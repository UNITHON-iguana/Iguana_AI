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192.168.0.23\공유폴더\1) 현장관리\1. 내화\영종도 인스파이어 복합리조트 (대현) 25일\3. 사진대지\"/>
    </mc:Choice>
  </mc:AlternateContent>
  <bookViews>
    <workbookView xWindow="0" yWindow="0" windowWidth="28740" windowHeight="11595" activeTab="1"/>
  </bookViews>
  <sheets>
    <sheet name="사진대지" sheetId="29" r:id="rId1"/>
    <sheet name="집계표" sheetId="33" r:id="rId2"/>
    <sheet name="누계" sheetId="31" r:id="rId3"/>
  </sheets>
  <definedNames>
    <definedName name="_xlnm.Print_Area" localSheetId="0">사진대지!$A$1:$L$2550</definedName>
    <definedName name="_xlnm.Print_Titles" localSheetId="0">사진대지!$1:$1</definedName>
  </definedNames>
  <calcPr calcId="152511"/>
</workbook>
</file>

<file path=xl/calcChain.xml><?xml version="1.0" encoding="utf-8"?>
<calcChain xmlns="http://schemas.openxmlformats.org/spreadsheetml/2006/main">
  <c r="V2352" i="29" l="1"/>
  <c r="U2352" i="29"/>
  <c r="T2352" i="29"/>
  <c r="R2352" i="29"/>
  <c r="Q2352" i="29"/>
  <c r="V2351" i="29"/>
  <c r="U2351" i="29"/>
  <c r="T2351" i="29"/>
  <c r="R2351" i="29"/>
  <c r="Q2351" i="29"/>
  <c r="V2350" i="29"/>
  <c r="U2350" i="29"/>
  <c r="T2350" i="29"/>
  <c r="R2350" i="29"/>
  <c r="Q2350" i="29"/>
  <c r="W2351" i="29" l="1"/>
  <c r="X2351" i="29" s="1"/>
  <c r="W2350" i="29"/>
  <c r="X2350" i="29" s="1"/>
  <c r="W2352" i="29"/>
  <c r="X2352" i="29" s="1"/>
  <c r="V1682" i="29"/>
  <c r="U1682" i="29"/>
  <c r="T1682" i="29"/>
  <c r="R1682" i="29"/>
  <c r="Q1682" i="29"/>
  <c r="V1681" i="29"/>
  <c r="U1681" i="29"/>
  <c r="T1681" i="29"/>
  <c r="R1681" i="29"/>
  <c r="Q1681" i="29"/>
  <c r="V1680" i="29"/>
  <c r="U1680" i="29"/>
  <c r="T1680" i="29"/>
  <c r="R1680" i="29"/>
  <c r="Q1680" i="29"/>
  <c r="I106" i="31"/>
  <c r="H106" i="31"/>
  <c r="G106" i="31"/>
  <c r="F106" i="31"/>
  <c r="E106" i="31"/>
  <c r="W1681" i="29" l="1"/>
  <c r="X1681" i="29" s="1"/>
  <c r="W1682" i="29"/>
  <c r="X1682" i="29" s="1"/>
  <c r="W1680" i="29"/>
  <c r="X1680" i="29" s="1"/>
  <c r="W150" i="33"/>
  <c r="AA150" i="33" s="1"/>
  <c r="W133" i="33"/>
  <c r="AA133" i="33" s="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92" i="31"/>
  <c r="B93" i="31"/>
  <c r="B94" i="31"/>
  <c r="B95" i="31"/>
  <c r="B96" i="31"/>
  <c r="B97" i="31"/>
  <c r="B98" i="31"/>
  <c r="B99" i="31"/>
  <c r="B100" i="31"/>
  <c r="B101" i="31"/>
  <c r="B102" i="31"/>
  <c r="B103" i="31"/>
  <c r="B104" i="31"/>
  <c r="B105" i="31"/>
  <c r="Q26" i="31"/>
  <c r="Q25" i="31"/>
  <c r="Q24" i="31"/>
  <c r="Q23" i="31"/>
  <c r="Q22" i="31"/>
  <c r="Q21" i="31"/>
  <c r="Q20" i="31"/>
  <c r="Q19" i="31"/>
  <c r="Q18" i="31"/>
  <c r="Q17" i="31"/>
  <c r="Q16" i="31"/>
  <c r="W109" i="33"/>
  <c r="AA109" i="33" s="1"/>
  <c r="W15" i="33"/>
  <c r="AA15" i="33" s="1"/>
  <c r="W25" i="33"/>
  <c r="AA25" i="33" s="1"/>
  <c r="W24" i="33"/>
  <c r="AA24" i="33" s="1"/>
  <c r="W23" i="33"/>
  <c r="AA23" i="33" s="1"/>
  <c r="W22" i="33"/>
  <c r="AA22" i="33" s="1"/>
  <c r="W21" i="33"/>
  <c r="AA21" i="33" s="1"/>
  <c r="W20" i="33"/>
  <c r="AA20" i="33" s="1"/>
  <c r="W19" i="33"/>
  <c r="AA19" i="33" s="1"/>
  <c r="W18" i="33"/>
  <c r="AA18" i="33" s="1"/>
  <c r="W17" i="33"/>
  <c r="AA17" i="33" s="1"/>
  <c r="W16" i="33"/>
  <c r="AA16" i="33" s="1"/>
  <c r="W72" i="33" l="1"/>
  <c r="AA72" i="33" s="1"/>
  <c r="Q72" i="31"/>
  <c r="W158" i="33" l="1"/>
  <c r="AA158" i="33" s="1"/>
  <c r="Q95" i="31"/>
  <c r="W121" i="33"/>
  <c r="AA121" i="33" s="1"/>
  <c r="W95" i="33"/>
  <c r="AA95" i="33" s="1"/>
  <c r="W119" i="33"/>
  <c r="AA119" i="33" s="1"/>
  <c r="Q93" i="31"/>
  <c r="W93" i="33"/>
  <c r="AA93" i="33" s="1"/>
  <c r="W154" i="33"/>
  <c r="AA154" i="33" s="1"/>
  <c r="W155" i="33"/>
  <c r="AA155" i="33" s="1"/>
  <c r="W153" i="33"/>
  <c r="AA153" i="33" s="1"/>
  <c r="W152" i="33"/>
  <c r="AA152" i="33" s="1"/>
  <c r="W151" i="33"/>
  <c r="AA151" i="33" s="1"/>
  <c r="W147" i="33"/>
  <c r="AA147" i="33" s="1"/>
  <c r="W146" i="33"/>
  <c r="AA146" i="33" s="1"/>
  <c r="W145" i="33"/>
  <c r="AA145" i="33" s="1"/>
  <c r="W144" i="33"/>
  <c r="AA144" i="33" s="1"/>
  <c r="W143" i="33"/>
  <c r="AA143" i="33" s="1"/>
  <c r="W142" i="33"/>
  <c r="AA142" i="33" s="1"/>
  <c r="W141" i="33"/>
  <c r="AA141" i="33" s="1"/>
  <c r="W140" i="33"/>
  <c r="AA140" i="33" s="1"/>
  <c r="W139" i="33"/>
  <c r="AA139" i="33" s="1"/>
  <c r="W138" i="33"/>
  <c r="AA138" i="33" s="1"/>
  <c r="W137" i="33"/>
  <c r="AA137" i="33" s="1"/>
  <c r="W136" i="33"/>
  <c r="AA136" i="33" s="1"/>
  <c r="W135" i="33"/>
  <c r="AA135" i="33" s="1"/>
  <c r="W134" i="33"/>
  <c r="AA134" i="33" s="1"/>
  <c r="W128" i="33"/>
  <c r="AA128" i="33" s="1"/>
  <c r="W125" i="33" l="1"/>
  <c r="AA125" i="33" s="1"/>
  <c r="W126" i="33"/>
  <c r="AA126" i="33" s="1"/>
  <c r="W127" i="33"/>
  <c r="AA127" i="33" s="1"/>
  <c r="W120" i="33"/>
  <c r="AA120" i="33" s="1"/>
  <c r="W122" i="33"/>
  <c r="AA122" i="33" s="1"/>
  <c r="W118" i="33"/>
  <c r="AA118" i="33" s="1"/>
  <c r="W115" i="33"/>
  <c r="AA115" i="33" s="1"/>
  <c r="W123" i="33"/>
  <c r="AA123" i="33" s="1"/>
  <c r="W112" i="33"/>
  <c r="AA112" i="33" s="1"/>
  <c r="W113" i="33"/>
  <c r="AA113" i="33" s="1"/>
  <c r="W111" i="33"/>
  <c r="AA111" i="33" s="1"/>
  <c r="Q96" i="31"/>
  <c r="W96" i="33"/>
  <c r="AA96" i="33" s="1"/>
  <c r="W94" i="33"/>
  <c r="AA94" i="33" s="1"/>
  <c r="Q94" i="31"/>
  <c r="Q102" i="31"/>
  <c r="Q92" i="31"/>
  <c r="W62" i="33"/>
  <c r="AA62" i="33" s="1"/>
  <c r="W102" i="33" l="1"/>
  <c r="AA102" i="33" s="1"/>
  <c r="Q99" i="31"/>
  <c r="Q100" i="31"/>
  <c r="W99" i="33"/>
  <c r="AA99" i="33" s="1"/>
  <c r="W100" i="33"/>
  <c r="AA100" i="33" s="1"/>
  <c r="Q32" i="31"/>
  <c r="W32" i="33"/>
  <c r="AA32" i="33" s="1"/>
  <c r="Q63" i="31"/>
  <c r="Q64" i="31"/>
  <c r="Q65" i="31"/>
  <c r="Q66" i="31"/>
  <c r="W75" i="33"/>
  <c r="AA75" i="33" s="1"/>
  <c r="W76" i="33"/>
  <c r="AA76" i="33" s="1"/>
  <c r="W77" i="33"/>
  <c r="AA77" i="33" s="1"/>
  <c r="W78" i="33"/>
  <c r="AA78" i="33" s="1"/>
  <c r="Q91" i="31"/>
  <c r="Q89" i="31"/>
  <c r="Q87" i="31"/>
  <c r="Q84" i="31"/>
  <c r="Q85" i="31"/>
  <c r="Q82" i="31"/>
  <c r="W61" i="33"/>
  <c r="AA61" i="33" s="1"/>
  <c r="W59" i="33"/>
  <c r="AA59" i="33" s="1"/>
  <c r="W57" i="33"/>
  <c r="AA57" i="33" s="1"/>
  <c r="W34" i="33"/>
  <c r="AA34" i="33" s="1"/>
  <c r="W36" i="33"/>
  <c r="AA36" i="33" s="1"/>
  <c r="W37" i="33"/>
  <c r="AA37" i="33" s="1"/>
  <c r="Q80" i="31" l="1"/>
  <c r="Q61" i="31"/>
  <c r="W91" i="33"/>
  <c r="AA91" i="33" s="1"/>
  <c r="W73" i="33"/>
  <c r="AA73" i="33" s="1"/>
  <c r="B5" i="31" l="1"/>
  <c r="P106" i="31" l="1"/>
  <c r="Q3" i="31"/>
  <c r="X3" i="33"/>
  <c r="W161" i="33"/>
  <c r="AA161" i="33" s="1"/>
  <c r="W160" i="33"/>
  <c r="AA160" i="33" s="1"/>
  <c r="W159" i="33"/>
  <c r="AA159" i="33" s="1"/>
  <c r="W157" i="33"/>
  <c r="AA157" i="33" s="1"/>
  <c r="W156" i="33"/>
  <c r="AA156" i="33" s="1"/>
  <c r="W131" i="33"/>
  <c r="AA131" i="33" s="1"/>
  <c r="W130" i="33"/>
  <c r="AA130" i="33" s="1"/>
  <c r="W129" i="33"/>
  <c r="AA129" i="33" s="1"/>
  <c r="W124" i="33"/>
  <c r="AA124" i="33" s="1"/>
  <c r="W117" i="33"/>
  <c r="AA117" i="33" s="1"/>
  <c r="W116" i="33"/>
  <c r="AA116" i="33" s="1"/>
  <c r="W114" i="33"/>
  <c r="AA114" i="33" s="1"/>
  <c r="W110" i="33"/>
  <c r="AA110" i="33" s="1"/>
  <c r="W105" i="33"/>
  <c r="AA105" i="33" s="1"/>
  <c r="W104" i="33"/>
  <c r="AA104" i="33" s="1"/>
  <c r="W103" i="33"/>
  <c r="AA103" i="33" s="1"/>
  <c r="W101" i="33"/>
  <c r="AA101" i="33" s="1"/>
  <c r="W98" i="33"/>
  <c r="AA98" i="33" s="1"/>
  <c r="W97" i="33"/>
  <c r="AA97" i="33" s="1"/>
  <c r="W60" i="33"/>
  <c r="AA60" i="33" s="1"/>
  <c r="W58" i="33"/>
  <c r="AA58" i="33" s="1"/>
  <c r="W38" i="33"/>
  <c r="AA38" i="33" s="1"/>
  <c r="W35" i="33"/>
  <c r="AA35" i="33" s="1"/>
  <c r="W92" i="33"/>
  <c r="AA92" i="33" s="1"/>
  <c r="W90" i="33"/>
  <c r="AA90" i="33" s="1"/>
  <c r="W89" i="33"/>
  <c r="AA89" i="33" s="1"/>
  <c r="W88" i="33"/>
  <c r="AA88" i="33" s="1"/>
  <c r="W87" i="33"/>
  <c r="AA87" i="33" s="1"/>
  <c r="W86" i="33"/>
  <c r="AA86" i="33" s="1"/>
  <c r="W85" i="33"/>
  <c r="AA85" i="33" s="1"/>
  <c r="W84" i="33"/>
  <c r="AA84" i="33" s="1"/>
  <c r="W83" i="33"/>
  <c r="AA83" i="33" s="1"/>
  <c r="W82" i="33"/>
  <c r="AA82" i="33" s="1"/>
  <c r="W81" i="33"/>
  <c r="AA81" i="33" s="1"/>
  <c r="W80" i="33"/>
  <c r="AA80" i="33" s="1"/>
  <c r="W79" i="33"/>
  <c r="AA79" i="33" s="1"/>
  <c r="W74" i="33"/>
  <c r="AA74" i="33" s="1"/>
  <c r="W71" i="33"/>
  <c r="AA71" i="33" s="1"/>
  <c r="W70" i="33"/>
  <c r="AA70" i="33" s="1"/>
  <c r="W69" i="33"/>
  <c r="AA69" i="33" s="1"/>
  <c r="W68" i="33"/>
  <c r="AA68" i="33" s="1"/>
  <c r="W67" i="33"/>
  <c r="AA67" i="33" s="1"/>
  <c r="W66" i="33"/>
  <c r="AA66" i="33" s="1"/>
  <c r="W65" i="33"/>
  <c r="AA65" i="33" s="1"/>
  <c r="W64" i="33"/>
  <c r="AA64" i="33" s="1"/>
  <c r="W63" i="33"/>
  <c r="AA63" i="33" s="1"/>
  <c r="W56" i="33"/>
  <c r="AA56" i="33" s="1"/>
  <c r="W55" i="33"/>
  <c r="AA55" i="33" s="1"/>
  <c r="W54" i="33"/>
  <c r="AA54" i="33" s="1"/>
  <c r="W53" i="33"/>
  <c r="AA53" i="33" s="1"/>
  <c r="W52" i="33"/>
  <c r="AA52" i="33" s="1"/>
  <c r="W51" i="33"/>
  <c r="AA51" i="33" s="1"/>
  <c r="W50" i="33"/>
  <c r="AA50" i="33" s="1"/>
  <c r="W49" i="33"/>
  <c r="AA49" i="33" s="1"/>
  <c r="W48" i="33"/>
  <c r="AA48" i="33" s="1"/>
  <c r="W47" i="33"/>
  <c r="AA47" i="33" s="1"/>
  <c r="W46" i="33"/>
  <c r="AA46" i="33" s="1"/>
  <c r="W45" i="33"/>
  <c r="AA45" i="33" s="1"/>
  <c r="W44" i="33"/>
  <c r="AA44" i="33" s="1"/>
  <c r="W43" i="33"/>
  <c r="AA43" i="33" s="1"/>
  <c r="W42" i="33"/>
  <c r="AA42" i="33" s="1"/>
  <c r="W41" i="33"/>
  <c r="AA41" i="33" s="1"/>
  <c r="W40" i="33"/>
  <c r="AA40" i="33" s="1"/>
  <c r="W39" i="33"/>
  <c r="AA39" i="33" s="1"/>
  <c r="W33" i="33"/>
  <c r="AA33" i="33" s="1"/>
  <c r="W31" i="33"/>
  <c r="AA31" i="33" s="1"/>
  <c r="W30" i="33"/>
  <c r="AA30" i="33" s="1"/>
  <c r="W29" i="33"/>
  <c r="AA29" i="33" s="1"/>
  <c r="W28" i="33"/>
  <c r="AA28" i="33" s="1"/>
  <c r="W27" i="33"/>
  <c r="AA27" i="33" s="1"/>
  <c r="W26" i="33"/>
  <c r="AA26" i="33" s="1"/>
  <c r="W14" i="33"/>
  <c r="AA14" i="33" s="1"/>
  <c r="W13" i="33"/>
  <c r="AA13" i="33" s="1"/>
  <c r="W12" i="33"/>
  <c r="AA12" i="33" s="1"/>
  <c r="W11" i="33"/>
  <c r="AA11" i="33" s="1"/>
  <c r="W10" i="33"/>
  <c r="AA10" i="33" s="1"/>
  <c r="W9" i="33"/>
  <c r="AA9" i="33" s="1"/>
  <c r="W8" i="33"/>
  <c r="AA8" i="33" s="1"/>
  <c r="W7" i="33"/>
  <c r="AA7" i="33" s="1"/>
  <c r="W6" i="33"/>
  <c r="AA6" i="33" s="1"/>
  <c r="W5" i="33"/>
  <c r="AA5" i="33" s="1"/>
  <c r="AB3" i="33" l="1"/>
  <c r="Q50" i="31"/>
  <c r="Q31" i="31" l="1"/>
  <c r="Q103" i="31" l="1"/>
  <c r="C106" i="31" l="1"/>
  <c r="Q105" i="31" l="1"/>
  <c r="Q104" i="31" l="1"/>
  <c r="O106" i="31" l="1"/>
  <c r="N106" i="31"/>
  <c r="M106" i="31"/>
  <c r="L106" i="31"/>
  <c r="K106" i="31"/>
  <c r="J106" i="31"/>
  <c r="D106" i="31"/>
  <c r="Q101" i="31"/>
  <c r="Q98" i="31"/>
  <c r="Q97" i="31"/>
  <c r="Q90" i="31"/>
  <c r="Q88" i="31"/>
  <c r="Q86" i="31"/>
  <c r="Q83" i="31"/>
  <c r="Q81" i="31"/>
  <c r="Q79" i="31"/>
  <c r="Q78" i="31"/>
  <c r="Q77" i="31"/>
  <c r="Q76" i="31"/>
  <c r="Q75" i="31"/>
  <c r="Q74" i="31"/>
  <c r="Q73" i="31"/>
  <c r="Q71" i="31"/>
  <c r="Q70" i="31"/>
  <c r="Q69" i="31"/>
  <c r="Q68" i="31"/>
  <c r="Q67" i="31"/>
  <c r="Q62" i="31"/>
  <c r="Q60" i="31"/>
  <c r="Q59" i="31"/>
  <c r="Q58" i="31"/>
  <c r="Q57" i="31"/>
  <c r="Q56" i="31"/>
  <c r="Q55" i="31"/>
  <c r="Q54" i="31"/>
  <c r="Q53" i="31"/>
  <c r="Q52" i="31"/>
  <c r="Q51" i="31"/>
  <c r="Q49" i="31"/>
  <c r="Q48" i="31"/>
  <c r="Q47" i="31"/>
  <c r="Q46" i="31"/>
  <c r="Q45" i="31"/>
  <c r="Q44" i="31"/>
  <c r="Q43" i="31"/>
  <c r="Q42" i="31"/>
  <c r="Q41" i="31"/>
  <c r="Q40" i="31"/>
  <c r="Q39" i="31"/>
  <c r="Q38" i="31"/>
  <c r="Q37" i="31"/>
  <c r="Q36" i="31"/>
  <c r="Q35" i="31"/>
  <c r="Q34" i="31"/>
  <c r="Q33" i="31"/>
  <c r="Q30" i="31"/>
  <c r="Q29" i="31"/>
  <c r="Q28" i="31"/>
  <c r="Q27" i="31"/>
  <c r="Q15" i="31"/>
  <c r="Q14" i="31"/>
  <c r="Q13" i="31"/>
  <c r="Q12" i="31"/>
  <c r="Q11" i="31"/>
  <c r="Q10" i="31"/>
  <c r="Q9" i="31"/>
  <c r="Q8" i="31"/>
  <c r="Q7" i="31"/>
  <c r="Q6" i="31"/>
  <c r="Q5" i="31"/>
  <c r="Q106" i="31" l="1"/>
  <c r="V5629" i="29" l="1"/>
  <c r="U5629" i="29"/>
  <c r="T5629" i="29"/>
  <c r="R5629" i="29"/>
  <c r="Q5629" i="29"/>
  <c r="V5628" i="29"/>
  <c r="U5628" i="29"/>
  <c r="T5628" i="29"/>
  <c r="R5628" i="29"/>
  <c r="Q5628" i="29"/>
  <c r="V5627" i="29"/>
  <c r="U5627" i="29"/>
  <c r="T5627" i="29"/>
  <c r="R5627" i="29"/>
  <c r="Q5627" i="29"/>
  <c r="V5626" i="29"/>
  <c r="U5626" i="29"/>
  <c r="T5626" i="29"/>
  <c r="R5626" i="29"/>
  <c r="Q5626" i="29"/>
  <c r="V5625" i="29"/>
  <c r="U5625" i="29"/>
  <c r="T5625" i="29"/>
  <c r="R5625" i="29"/>
  <c r="Q5625" i="29"/>
  <c r="V5624" i="29"/>
  <c r="U5624" i="29"/>
  <c r="T5624" i="29"/>
  <c r="R5624" i="29"/>
  <c r="Q5624" i="29"/>
  <c r="V5623" i="29"/>
  <c r="U5623" i="29"/>
  <c r="T5623" i="29"/>
  <c r="R5623" i="29"/>
  <c r="Q5623" i="29"/>
  <c r="V5622" i="29"/>
  <c r="U5622" i="29"/>
  <c r="T5622" i="29"/>
  <c r="R5622" i="29"/>
  <c r="Q5622" i="29"/>
  <c r="V5621" i="29"/>
  <c r="U5621" i="29"/>
  <c r="T5621" i="29"/>
  <c r="R5621" i="29"/>
  <c r="Q5621" i="29"/>
  <c r="V5618" i="29"/>
  <c r="U5618" i="29"/>
  <c r="T5618" i="29"/>
  <c r="R5618" i="29"/>
  <c r="Q5618" i="29"/>
  <c r="V5617" i="29"/>
  <c r="U5617" i="29"/>
  <c r="T5617" i="29"/>
  <c r="R5617" i="29"/>
  <c r="Q5617" i="29"/>
  <c r="V5616" i="29"/>
  <c r="U5616" i="29"/>
  <c r="T5616" i="29"/>
  <c r="R5616" i="29"/>
  <c r="Q5616" i="29"/>
  <c r="V5615" i="29"/>
  <c r="U5615" i="29"/>
  <c r="T5615" i="29"/>
  <c r="R5615" i="29"/>
  <c r="Q5615" i="29"/>
  <c r="V5614" i="29"/>
  <c r="U5614" i="29"/>
  <c r="T5614" i="29"/>
  <c r="R5614" i="29"/>
  <c r="Q5614" i="29"/>
  <c r="V5613" i="29"/>
  <c r="U5613" i="29"/>
  <c r="T5613" i="29"/>
  <c r="R5613" i="29"/>
  <c r="Q5613" i="29"/>
  <c r="V5612" i="29"/>
  <c r="U5612" i="29"/>
  <c r="T5612" i="29"/>
  <c r="R5612" i="29"/>
  <c r="Q5612" i="29"/>
  <c r="V5611" i="29"/>
  <c r="U5611" i="29"/>
  <c r="T5611" i="29"/>
  <c r="R5611" i="29"/>
  <c r="Q5611" i="29"/>
  <c r="V5610" i="29"/>
  <c r="U5610" i="29"/>
  <c r="T5610" i="29"/>
  <c r="R5610" i="29"/>
  <c r="Q5610" i="29"/>
  <c r="V5607" i="29"/>
  <c r="U5607" i="29"/>
  <c r="T5607" i="29"/>
  <c r="R5607" i="29"/>
  <c r="Q5607" i="29"/>
  <c r="V5606" i="29"/>
  <c r="U5606" i="29"/>
  <c r="T5606" i="29"/>
  <c r="R5606" i="29"/>
  <c r="Q5606" i="29"/>
  <c r="V5605" i="29"/>
  <c r="U5605" i="29"/>
  <c r="T5605" i="29"/>
  <c r="R5605" i="29"/>
  <c r="Q5605" i="29"/>
  <c r="V5604" i="29"/>
  <c r="U5604" i="29"/>
  <c r="T5604" i="29"/>
  <c r="R5604" i="29"/>
  <c r="Q5604" i="29"/>
  <c r="V5603" i="29"/>
  <c r="U5603" i="29"/>
  <c r="T5603" i="29"/>
  <c r="R5603" i="29"/>
  <c r="Q5603" i="29"/>
  <c r="V5602" i="29"/>
  <c r="U5602" i="29"/>
  <c r="T5602" i="29"/>
  <c r="R5602" i="29"/>
  <c r="Q5602" i="29"/>
  <c r="V5601" i="29"/>
  <c r="U5601" i="29"/>
  <c r="T5601" i="29"/>
  <c r="R5601" i="29"/>
  <c r="Q5601" i="29"/>
  <c r="V5600" i="29"/>
  <c r="U5600" i="29"/>
  <c r="T5600" i="29"/>
  <c r="R5600" i="29"/>
  <c r="Q5600" i="29"/>
  <c r="V5599" i="29"/>
  <c r="U5599" i="29"/>
  <c r="T5599" i="29"/>
  <c r="R5599" i="29"/>
  <c r="Q5599" i="29"/>
  <c r="V5596" i="29"/>
  <c r="U5596" i="29"/>
  <c r="T5596" i="29"/>
  <c r="R5596" i="29"/>
  <c r="Q5596" i="29"/>
  <c r="V5595" i="29"/>
  <c r="U5595" i="29"/>
  <c r="T5595" i="29"/>
  <c r="R5595" i="29"/>
  <c r="Q5595" i="29"/>
  <c r="V5594" i="29"/>
  <c r="U5594" i="29"/>
  <c r="T5594" i="29"/>
  <c r="R5594" i="29"/>
  <c r="Q5594" i="29"/>
  <c r="V5593" i="29"/>
  <c r="U5593" i="29"/>
  <c r="T5593" i="29"/>
  <c r="R5593" i="29"/>
  <c r="Q5593" i="29"/>
  <c r="V5592" i="29"/>
  <c r="U5592" i="29"/>
  <c r="T5592" i="29"/>
  <c r="R5592" i="29"/>
  <c r="Q5592" i="29"/>
  <c r="V5591" i="29"/>
  <c r="U5591" i="29"/>
  <c r="T5591" i="29"/>
  <c r="R5591" i="29"/>
  <c r="Q5591" i="29"/>
  <c r="V5590" i="29"/>
  <c r="U5590" i="29"/>
  <c r="T5590" i="29"/>
  <c r="R5590" i="29"/>
  <c r="Q5590" i="29"/>
  <c r="V5589" i="29"/>
  <c r="U5589" i="29"/>
  <c r="T5589" i="29"/>
  <c r="R5589" i="29"/>
  <c r="Q5589" i="29"/>
  <c r="V5588" i="29"/>
  <c r="U5588" i="29"/>
  <c r="T5588" i="29"/>
  <c r="R5588" i="29"/>
  <c r="Q5588" i="29"/>
  <c r="V5585" i="29"/>
  <c r="U5585" i="29"/>
  <c r="T5585" i="29"/>
  <c r="R5585" i="29"/>
  <c r="Q5585" i="29"/>
  <c r="V5584" i="29"/>
  <c r="U5584" i="29"/>
  <c r="T5584" i="29"/>
  <c r="R5584" i="29"/>
  <c r="Q5584" i="29"/>
  <c r="V5583" i="29"/>
  <c r="U5583" i="29"/>
  <c r="T5583" i="29"/>
  <c r="R5583" i="29"/>
  <c r="Q5583" i="29"/>
  <c r="V5582" i="29"/>
  <c r="U5582" i="29"/>
  <c r="T5582" i="29"/>
  <c r="R5582" i="29"/>
  <c r="Q5582" i="29"/>
  <c r="V5581" i="29"/>
  <c r="U5581" i="29"/>
  <c r="T5581" i="29"/>
  <c r="R5581" i="29"/>
  <c r="Q5581" i="29"/>
  <c r="V5580" i="29"/>
  <c r="U5580" i="29"/>
  <c r="T5580" i="29"/>
  <c r="R5580" i="29"/>
  <c r="Q5580" i="29"/>
  <c r="V5579" i="29"/>
  <c r="U5579" i="29"/>
  <c r="T5579" i="29"/>
  <c r="R5579" i="29"/>
  <c r="Q5579" i="29"/>
  <c r="V5578" i="29"/>
  <c r="U5578" i="29"/>
  <c r="T5578" i="29"/>
  <c r="R5578" i="29"/>
  <c r="Q5578" i="29"/>
  <c r="V5577" i="29"/>
  <c r="U5577" i="29"/>
  <c r="T5577" i="29"/>
  <c r="R5577" i="29"/>
  <c r="Q5577" i="29"/>
  <c r="V5574" i="29"/>
  <c r="U5574" i="29"/>
  <c r="T5574" i="29"/>
  <c r="R5574" i="29"/>
  <c r="Q5574" i="29"/>
  <c r="V5573" i="29"/>
  <c r="U5573" i="29"/>
  <c r="T5573" i="29"/>
  <c r="R5573" i="29"/>
  <c r="Q5573" i="29"/>
  <c r="V5572" i="29"/>
  <c r="U5572" i="29"/>
  <c r="T5572" i="29"/>
  <c r="R5572" i="29"/>
  <c r="Q5572" i="29"/>
  <c r="V5571" i="29"/>
  <c r="U5571" i="29"/>
  <c r="T5571" i="29"/>
  <c r="R5571" i="29"/>
  <c r="Q5571" i="29"/>
  <c r="V5570" i="29"/>
  <c r="U5570" i="29"/>
  <c r="T5570" i="29"/>
  <c r="R5570" i="29"/>
  <c r="Q5570" i="29"/>
  <c r="V5569" i="29"/>
  <c r="U5569" i="29"/>
  <c r="T5569" i="29"/>
  <c r="R5569" i="29"/>
  <c r="Q5569" i="29"/>
  <c r="V5568" i="29"/>
  <c r="U5568" i="29"/>
  <c r="T5568" i="29"/>
  <c r="R5568" i="29"/>
  <c r="Q5568" i="29"/>
  <c r="V5567" i="29"/>
  <c r="U5567" i="29"/>
  <c r="T5567" i="29"/>
  <c r="R5567" i="29"/>
  <c r="Q5567" i="29"/>
  <c r="V5566" i="29"/>
  <c r="U5566" i="29"/>
  <c r="T5566" i="29"/>
  <c r="R5566" i="29"/>
  <c r="Q5566" i="29"/>
  <c r="V5563" i="29"/>
  <c r="U5563" i="29"/>
  <c r="T5563" i="29"/>
  <c r="R5563" i="29"/>
  <c r="Q5563" i="29"/>
  <c r="V5562" i="29"/>
  <c r="U5562" i="29"/>
  <c r="T5562" i="29"/>
  <c r="R5562" i="29"/>
  <c r="Q5562" i="29"/>
  <c r="V5561" i="29"/>
  <c r="U5561" i="29"/>
  <c r="T5561" i="29"/>
  <c r="R5561" i="29"/>
  <c r="Q5561" i="29"/>
  <c r="V5560" i="29"/>
  <c r="U5560" i="29"/>
  <c r="T5560" i="29"/>
  <c r="R5560" i="29"/>
  <c r="Q5560" i="29"/>
  <c r="V5559" i="29"/>
  <c r="U5559" i="29"/>
  <c r="T5559" i="29"/>
  <c r="R5559" i="29"/>
  <c r="Q5559" i="29"/>
  <c r="V5558" i="29"/>
  <c r="U5558" i="29"/>
  <c r="T5558" i="29"/>
  <c r="R5558" i="29"/>
  <c r="Q5558" i="29"/>
  <c r="V5557" i="29"/>
  <c r="U5557" i="29"/>
  <c r="T5557" i="29"/>
  <c r="R5557" i="29"/>
  <c r="Q5557" i="29"/>
  <c r="V5556" i="29"/>
  <c r="U5556" i="29"/>
  <c r="T5556" i="29"/>
  <c r="R5556" i="29"/>
  <c r="Q5556" i="29"/>
  <c r="V5555" i="29"/>
  <c r="U5555" i="29"/>
  <c r="T5555" i="29"/>
  <c r="R5555" i="29"/>
  <c r="Q5555" i="29"/>
  <c r="V5552" i="29"/>
  <c r="U5552" i="29"/>
  <c r="T5552" i="29"/>
  <c r="R5552" i="29"/>
  <c r="Q5552" i="29"/>
  <c r="V5551" i="29"/>
  <c r="U5551" i="29"/>
  <c r="T5551" i="29"/>
  <c r="R5551" i="29"/>
  <c r="Q5551" i="29"/>
  <c r="V5550" i="29"/>
  <c r="U5550" i="29"/>
  <c r="T5550" i="29"/>
  <c r="R5550" i="29"/>
  <c r="Q5550" i="29"/>
  <c r="V5549" i="29"/>
  <c r="U5549" i="29"/>
  <c r="T5549" i="29"/>
  <c r="R5549" i="29"/>
  <c r="Q5549" i="29"/>
  <c r="V5548" i="29"/>
  <c r="U5548" i="29"/>
  <c r="T5548" i="29"/>
  <c r="R5548" i="29"/>
  <c r="Q5548" i="29"/>
  <c r="V5547" i="29"/>
  <c r="U5547" i="29"/>
  <c r="T5547" i="29"/>
  <c r="R5547" i="29"/>
  <c r="Q5547" i="29"/>
  <c r="V5546" i="29"/>
  <c r="U5546" i="29"/>
  <c r="T5546" i="29"/>
  <c r="R5546" i="29"/>
  <c r="Q5546" i="29"/>
  <c r="V5545" i="29"/>
  <c r="U5545" i="29"/>
  <c r="T5545" i="29"/>
  <c r="R5545" i="29"/>
  <c r="Q5545" i="29"/>
  <c r="V5544" i="29"/>
  <c r="U5544" i="29"/>
  <c r="T5544" i="29"/>
  <c r="R5544" i="29"/>
  <c r="Q5544" i="29"/>
  <c r="V5541" i="29"/>
  <c r="U5541" i="29"/>
  <c r="T5541" i="29"/>
  <c r="R5541" i="29"/>
  <c r="Q5541" i="29"/>
  <c r="V5540" i="29"/>
  <c r="U5540" i="29"/>
  <c r="T5540" i="29"/>
  <c r="R5540" i="29"/>
  <c r="Q5540" i="29"/>
  <c r="V5539" i="29"/>
  <c r="U5539" i="29"/>
  <c r="T5539" i="29"/>
  <c r="R5539" i="29"/>
  <c r="Q5539" i="29"/>
  <c r="V5538" i="29"/>
  <c r="U5538" i="29"/>
  <c r="T5538" i="29"/>
  <c r="R5538" i="29"/>
  <c r="Q5538" i="29"/>
  <c r="V5537" i="29"/>
  <c r="U5537" i="29"/>
  <c r="T5537" i="29"/>
  <c r="R5537" i="29"/>
  <c r="Q5537" i="29"/>
  <c r="V5536" i="29"/>
  <c r="U5536" i="29"/>
  <c r="T5536" i="29"/>
  <c r="R5536" i="29"/>
  <c r="Q5536" i="29"/>
  <c r="V5535" i="29"/>
  <c r="U5535" i="29"/>
  <c r="T5535" i="29"/>
  <c r="R5535" i="29"/>
  <c r="Q5535" i="29"/>
  <c r="V5534" i="29"/>
  <c r="U5534" i="29"/>
  <c r="T5534" i="29"/>
  <c r="R5534" i="29"/>
  <c r="Q5534" i="29"/>
  <c r="V5533" i="29"/>
  <c r="U5533" i="29"/>
  <c r="T5533" i="29"/>
  <c r="R5533" i="29"/>
  <c r="Q5533" i="29"/>
  <c r="V5530" i="29"/>
  <c r="U5530" i="29"/>
  <c r="T5530" i="29"/>
  <c r="R5530" i="29"/>
  <c r="Q5530" i="29"/>
  <c r="V5529" i="29"/>
  <c r="U5529" i="29"/>
  <c r="T5529" i="29"/>
  <c r="R5529" i="29"/>
  <c r="Q5529" i="29"/>
  <c r="V5528" i="29"/>
  <c r="U5528" i="29"/>
  <c r="T5528" i="29"/>
  <c r="R5528" i="29"/>
  <c r="Q5528" i="29"/>
  <c r="V5527" i="29"/>
  <c r="U5527" i="29"/>
  <c r="T5527" i="29"/>
  <c r="R5527" i="29"/>
  <c r="Q5527" i="29"/>
  <c r="V5526" i="29"/>
  <c r="U5526" i="29"/>
  <c r="T5526" i="29"/>
  <c r="R5526" i="29"/>
  <c r="Q5526" i="29"/>
  <c r="V5525" i="29"/>
  <c r="U5525" i="29"/>
  <c r="T5525" i="29"/>
  <c r="R5525" i="29"/>
  <c r="Q5525" i="29"/>
  <c r="V5524" i="29"/>
  <c r="U5524" i="29"/>
  <c r="T5524" i="29"/>
  <c r="R5524" i="29"/>
  <c r="Q5524" i="29"/>
  <c r="V5523" i="29"/>
  <c r="U5523" i="29"/>
  <c r="T5523" i="29"/>
  <c r="R5523" i="29"/>
  <c r="Q5523" i="29"/>
  <c r="V5522" i="29"/>
  <c r="U5522" i="29"/>
  <c r="T5522" i="29"/>
  <c r="R5522" i="29"/>
  <c r="Q5522" i="29"/>
  <c r="V5519" i="29"/>
  <c r="U5519" i="29"/>
  <c r="T5519" i="29"/>
  <c r="R5519" i="29"/>
  <c r="Q5519" i="29"/>
  <c r="V5518" i="29"/>
  <c r="U5518" i="29"/>
  <c r="T5518" i="29"/>
  <c r="R5518" i="29"/>
  <c r="Q5518" i="29"/>
  <c r="V5517" i="29"/>
  <c r="U5517" i="29"/>
  <c r="T5517" i="29"/>
  <c r="R5517" i="29"/>
  <c r="Q5517" i="29"/>
  <c r="V5516" i="29"/>
  <c r="U5516" i="29"/>
  <c r="T5516" i="29"/>
  <c r="R5516" i="29"/>
  <c r="Q5516" i="29"/>
  <c r="V5515" i="29"/>
  <c r="U5515" i="29"/>
  <c r="T5515" i="29"/>
  <c r="R5515" i="29"/>
  <c r="Q5515" i="29"/>
  <c r="V5514" i="29"/>
  <c r="U5514" i="29"/>
  <c r="T5514" i="29"/>
  <c r="R5514" i="29"/>
  <c r="Q5514" i="29"/>
  <c r="V5513" i="29"/>
  <c r="U5513" i="29"/>
  <c r="T5513" i="29"/>
  <c r="R5513" i="29"/>
  <c r="Q5513" i="29"/>
  <c r="V5512" i="29"/>
  <c r="U5512" i="29"/>
  <c r="T5512" i="29"/>
  <c r="R5512" i="29"/>
  <c r="Q5512" i="29"/>
  <c r="V5511" i="29"/>
  <c r="U5511" i="29"/>
  <c r="T5511" i="29"/>
  <c r="R5511" i="29"/>
  <c r="Q5511" i="29"/>
  <c r="V5508" i="29"/>
  <c r="U5508" i="29"/>
  <c r="T5508" i="29"/>
  <c r="R5508" i="29"/>
  <c r="Q5508" i="29"/>
  <c r="V5507" i="29"/>
  <c r="U5507" i="29"/>
  <c r="T5507" i="29"/>
  <c r="R5507" i="29"/>
  <c r="Q5507" i="29"/>
  <c r="V5506" i="29"/>
  <c r="U5506" i="29"/>
  <c r="T5506" i="29"/>
  <c r="R5506" i="29"/>
  <c r="Q5506" i="29"/>
  <c r="V5505" i="29"/>
  <c r="U5505" i="29"/>
  <c r="T5505" i="29"/>
  <c r="R5505" i="29"/>
  <c r="Q5505" i="29"/>
  <c r="V5504" i="29"/>
  <c r="U5504" i="29"/>
  <c r="T5504" i="29"/>
  <c r="R5504" i="29"/>
  <c r="Q5504" i="29"/>
  <c r="V5503" i="29"/>
  <c r="U5503" i="29"/>
  <c r="T5503" i="29"/>
  <c r="R5503" i="29"/>
  <c r="Q5503" i="29"/>
  <c r="V5502" i="29"/>
  <c r="U5502" i="29"/>
  <c r="T5502" i="29"/>
  <c r="R5502" i="29"/>
  <c r="Q5502" i="29"/>
  <c r="V5501" i="29"/>
  <c r="U5501" i="29"/>
  <c r="T5501" i="29"/>
  <c r="R5501" i="29"/>
  <c r="Q5501" i="29"/>
  <c r="V5500" i="29"/>
  <c r="U5500" i="29"/>
  <c r="T5500" i="29"/>
  <c r="R5500" i="29"/>
  <c r="Q5500" i="29"/>
  <c r="V5497" i="29"/>
  <c r="U5497" i="29"/>
  <c r="T5497" i="29"/>
  <c r="R5497" i="29"/>
  <c r="Q5497" i="29"/>
  <c r="V5496" i="29"/>
  <c r="U5496" i="29"/>
  <c r="T5496" i="29"/>
  <c r="R5496" i="29"/>
  <c r="Q5496" i="29"/>
  <c r="V5495" i="29"/>
  <c r="U5495" i="29"/>
  <c r="T5495" i="29"/>
  <c r="R5495" i="29"/>
  <c r="Q5495" i="29"/>
  <c r="V5494" i="29"/>
  <c r="U5494" i="29"/>
  <c r="T5494" i="29"/>
  <c r="R5494" i="29"/>
  <c r="Q5494" i="29"/>
  <c r="V5493" i="29"/>
  <c r="U5493" i="29"/>
  <c r="T5493" i="29"/>
  <c r="R5493" i="29"/>
  <c r="Q5493" i="29"/>
  <c r="V5492" i="29"/>
  <c r="U5492" i="29"/>
  <c r="T5492" i="29"/>
  <c r="R5492" i="29"/>
  <c r="Q5492" i="29"/>
  <c r="V5491" i="29"/>
  <c r="U5491" i="29"/>
  <c r="T5491" i="29"/>
  <c r="R5491" i="29"/>
  <c r="Q5491" i="29"/>
  <c r="V5490" i="29"/>
  <c r="U5490" i="29"/>
  <c r="T5490" i="29"/>
  <c r="R5490" i="29"/>
  <c r="Q5490" i="29"/>
  <c r="V5489" i="29"/>
  <c r="U5489" i="29"/>
  <c r="T5489" i="29"/>
  <c r="R5489" i="29"/>
  <c r="Q5489" i="29"/>
  <c r="V5486" i="29"/>
  <c r="U5486" i="29"/>
  <c r="T5486" i="29"/>
  <c r="R5486" i="29"/>
  <c r="Q5486" i="29"/>
  <c r="V5485" i="29"/>
  <c r="U5485" i="29"/>
  <c r="T5485" i="29"/>
  <c r="R5485" i="29"/>
  <c r="Q5485" i="29"/>
  <c r="V5484" i="29"/>
  <c r="U5484" i="29"/>
  <c r="T5484" i="29"/>
  <c r="R5484" i="29"/>
  <c r="Q5484" i="29"/>
  <c r="V5483" i="29"/>
  <c r="U5483" i="29"/>
  <c r="T5483" i="29"/>
  <c r="R5483" i="29"/>
  <c r="Q5483" i="29"/>
  <c r="V5482" i="29"/>
  <c r="U5482" i="29"/>
  <c r="T5482" i="29"/>
  <c r="R5482" i="29"/>
  <c r="Q5482" i="29"/>
  <c r="V5481" i="29"/>
  <c r="U5481" i="29"/>
  <c r="T5481" i="29"/>
  <c r="R5481" i="29"/>
  <c r="Q5481" i="29"/>
  <c r="V5480" i="29"/>
  <c r="U5480" i="29"/>
  <c r="T5480" i="29"/>
  <c r="R5480" i="29"/>
  <c r="Q5480" i="29"/>
  <c r="V5479" i="29"/>
  <c r="U5479" i="29"/>
  <c r="T5479" i="29"/>
  <c r="R5479" i="29"/>
  <c r="Q5479" i="29"/>
  <c r="V5478" i="29"/>
  <c r="U5478" i="29"/>
  <c r="T5478" i="29"/>
  <c r="R5478" i="29"/>
  <c r="Q5478" i="29"/>
  <c r="V5475" i="29"/>
  <c r="U5475" i="29"/>
  <c r="T5475" i="29"/>
  <c r="R5475" i="29"/>
  <c r="Q5475" i="29"/>
  <c r="V5474" i="29"/>
  <c r="U5474" i="29"/>
  <c r="T5474" i="29"/>
  <c r="R5474" i="29"/>
  <c r="Q5474" i="29"/>
  <c r="V5473" i="29"/>
  <c r="U5473" i="29"/>
  <c r="T5473" i="29"/>
  <c r="R5473" i="29"/>
  <c r="Q5473" i="29"/>
  <c r="V5472" i="29"/>
  <c r="U5472" i="29"/>
  <c r="T5472" i="29"/>
  <c r="R5472" i="29"/>
  <c r="Q5472" i="29"/>
  <c r="V5471" i="29"/>
  <c r="U5471" i="29"/>
  <c r="T5471" i="29"/>
  <c r="R5471" i="29"/>
  <c r="Q5471" i="29"/>
  <c r="V5470" i="29"/>
  <c r="U5470" i="29"/>
  <c r="T5470" i="29"/>
  <c r="R5470" i="29"/>
  <c r="Q5470" i="29"/>
  <c r="V5469" i="29"/>
  <c r="U5469" i="29"/>
  <c r="T5469" i="29"/>
  <c r="R5469" i="29"/>
  <c r="Q5469" i="29"/>
  <c r="V5468" i="29"/>
  <c r="U5468" i="29"/>
  <c r="T5468" i="29"/>
  <c r="R5468" i="29"/>
  <c r="Q5468" i="29"/>
  <c r="V5467" i="29"/>
  <c r="U5467" i="29"/>
  <c r="T5467" i="29"/>
  <c r="R5467" i="29"/>
  <c r="Q5467" i="29"/>
  <c r="V5464" i="29"/>
  <c r="U5464" i="29"/>
  <c r="T5464" i="29"/>
  <c r="R5464" i="29"/>
  <c r="Q5464" i="29"/>
  <c r="V5463" i="29"/>
  <c r="U5463" i="29"/>
  <c r="T5463" i="29"/>
  <c r="R5463" i="29"/>
  <c r="Q5463" i="29"/>
  <c r="V5462" i="29"/>
  <c r="U5462" i="29"/>
  <c r="T5462" i="29"/>
  <c r="R5462" i="29"/>
  <c r="Q5462" i="29"/>
  <c r="V5461" i="29"/>
  <c r="U5461" i="29"/>
  <c r="T5461" i="29"/>
  <c r="R5461" i="29"/>
  <c r="Q5461" i="29"/>
  <c r="V5460" i="29"/>
  <c r="U5460" i="29"/>
  <c r="T5460" i="29"/>
  <c r="R5460" i="29"/>
  <c r="Q5460" i="29"/>
  <c r="V5459" i="29"/>
  <c r="U5459" i="29"/>
  <c r="T5459" i="29"/>
  <c r="R5459" i="29"/>
  <c r="Q5459" i="29"/>
  <c r="V5458" i="29"/>
  <c r="U5458" i="29"/>
  <c r="T5458" i="29"/>
  <c r="R5458" i="29"/>
  <c r="Q5458" i="29"/>
  <c r="V5457" i="29"/>
  <c r="U5457" i="29"/>
  <c r="T5457" i="29"/>
  <c r="R5457" i="29"/>
  <c r="Q5457" i="29"/>
  <c r="V5456" i="29"/>
  <c r="U5456" i="29"/>
  <c r="T5456" i="29"/>
  <c r="R5456" i="29"/>
  <c r="Q5456" i="29"/>
  <c r="V5453" i="29"/>
  <c r="U5453" i="29"/>
  <c r="T5453" i="29"/>
  <c r="R5453" i="29"/>
  <c r="Q5453" i="29"/>
  <c r="V5452" i="29"/>
  <c r="U5452" i="29"/>
  <c r="T5452" i="29"/>
  <c r="R5452" i="29"/>
  <c r="Q5452" i="29"/>
  <c r="V5451" i="29"/>
  <c r="U5451" i="29"/>
  <c r="T5451" i="29"/>
  <c r="R5451" i="29"/>
  <c r="Q5451" i="29"/>
  <c r="V5450" i="29"/>
  <c r="U5450" i="29"/>
  <c r="T5450" i="29"/>
  <c r="R5450" i="29"/>
  <c r="Q5450" i="29"/>
  <c r="V5449" i="29"/>
  <c r="U5449" i="29"/>
  <c r="T5449" i="29"/>
  <c r="R5449" i="29"/>
  <c r="Q5449" i="29"/>
  <c r="V5448" i="29"/>
  <c r="U5448" i="29"/>
  <c r="T5448" i="29"/>
  <c r="R5448" i="29"/>
  <c r="Q5448" i="29"/>
  <c r="V5447" i="29"/>
  <c r="U5447" i="29"/>
  <c r="T5447" i="29"/>
  <c r="R5447" i="29"/>
  <c r="Q5447" i="29"/>
  <c r="V5446" i="29"/>
  <c r="U5446" i="29"/>
  <c r="T5446" i="29"/>
  <c r="R5446" i="29"/>
  <c r="Q5446" i="29"/>
  <c r="V5445" i="29"/>
  <c r="U5445" i="29"/>
  <c r="T5445" i="29"/>
  <c r="R5445" i="29"/>
  <c r="Q5445" i="29"/>
  <c r="V5442" i="29"/>
  <c r="U5442" i="29"/>
  <c r="T5442" i="29"/>
  <c r="R5442" i="29"/>
  <c r="Q5442" i="29"/>
  <c r="V5441" i="29"/>
  <c r="U5441" i="29"/>
  <c r="T5441" i="29"/>
  <c r="R5441" i="29"/>
  <c r="Q5441" i="29"/>
  <c r="V5440" i="29"/>
  <c r="U5440" i="29"/>
  <c r="T5440" i="29"/>
  <c r="R5440" i="29"/>
  <c r="Q5440" i="29"/>
  <c r="V5439" i="29"/>
  <c r="U5439" i="29"/>
  <c r="T5439" i="29"/>
  <c r="R5439" i="29"/>
  <c r="Q5439" i="29"/>
  <c r="V5438" i="29"/>
  <c r="U5438" i="29"/>
  <c r="T5438" i="29"/>
  <c r="R5438" i="29"/>
  <c r="Q5438" i="29"/>
  <c r="V5437" i="29"/>
  <c r="U5437" i="29"/>
  <c r="T5437" i="29"/>
  <c r="R5437" i="29"/>
  <c r="Q5437" i="29"/>
  <c r="V5436" i="29"/>
  <c r="U5436" i="29"/>
  <c r="T5436" i="29"/>
  <c r="R5436" i="29"/>
  <c r="Q5436" i="29"/>
  <c r="V5435" i="29"/>
  <c r="U5435" i="29"/>
  <c r="T5435" i="29"/>
  <c r="R5435" i="29"/>
  <c r="Q5435" i="29"/>
  <c r="V5434" i="29"/>
  <c r="U5434" i="29"/>
  <c r="T5434" i="29"/>
  <c r="R5434" i="29"/>
  <c r="Q5434" i="29"/>
  <c r="V5431" i="29"/>
  <c r="U5431" i="29"/>
  <c r="T5431" i="29"/>
  <c r="R5431" i="29"/>
  <c r="Q5431" i="29"/>
  <c r="V5430" i="29"/>
  <c r="U5430" i="29"/>
  <c r="T5430" i="29"/>
  <c r="R5430" i="29"/>
  <c r="Q5430" i="29"/>
  <c r="V5429" i="29"/>
  <c r="U5429" i="29"/>
  <c r="T5429" i="29"/>
  <c r="R5429" i="29"/>
  <c r="Q5429" i="29"/>
  <c r="V5428" i="29"/>
  <c r="U5428" i="29"/>
  <c r="T5428" i="29"/>
  <c r="R5428" i="29"/>
  <c r="Q5428" i="29"/>
  <c r="V5427" i="29"/>
  <c r="U5427" i="29"/>
  <c r="T5427" i="29"/>
  <c r="R5427" i="29"/>
  <c r="Q5427" i="29"/>
  <c r="V5426" i="29"/>
  <c r="U5426" i="29"/>
  <c r="T5426" i="29"/>
  <c r="R5426" i="29"/>
  <c r="Q5426" i="29"/>
  <c r="V5425" i="29"/>
  <c r="U5425" i="29"/>
  <c r="T5425" i="29"/>
  <c r="R5425" i="29"/>
  <c r="Q5425" i="29"/>
  <c r="V5424" i="29"/>
  <c r="U5424" i="29"/>
  <c r="T5424" i="29"/>
  <c r="R5424" i="29"/>
  <c r="Q5424" i="29"/>
  <c r="V5423" i="29"/>
  <c r="U5423" i="29"/>
  <c r="T5423" i="29"/>
  <c r="R5423" i="29"/>
  <c r="Q5423" i="29"/>
  <c r="V5420" i="29"/>
  <c r="U5420" i="29"/>
  <c r="T5420" i="29"/>
  <c r="R5420" i="29"/>
  <c r="Q5420" i="29"/>
  <c r="V5419" i="29"/>
  <c r="U5419" i="29"/>
  <c r="T5419" i="29"/>
  <c r="R5419" i="29"/>
  <c r="Q5419" i="29"/>
  <c r="V5418" i="29"/>
  <c r="U5418" i="29"/>
  <c r="T5418" i="29"/>
  <c r="R5418" i="29"/>
  <c r="Q5418" i="29"/>
  <c r="V5417" i="29"/>
  <c r="U5417" i="29"/>
  <c r="T5417" i="29"/>
  <c r="R5417" i="29"/>
  <c r="Q5417" i="29"/>
  <c r="V5416" i="29"/>
  <c r="U5416" i="29"/>
  <c r="T5416" i="29"/>
  <c r="R5416" i="29"/>
  <c r="Q5416" i="29"/>
  <c r="V5415" i="29"/>
  <c r="U5415" i="29"/>
  <c r="T5415" i="29"/>
  <c r="R5415" i="29"/>
  <c r="Q5415" i="29"/>
  <c r="V5414" i="29"/>
  <c r="U5414" i="29"/>
  <c r="T5414" i="29"/>
  <c r="R5414" i="29"/>
  <c r="Q5414" i="29"/>
  <c r="V5413" i="29"/>
  <c r="U5413" i="29"/>
  <c r="T5413" i="29"/>
  <c r="R5413" i="29"/>
  <c r="Q5413" i="29"/>
  <c r="V5412" i="29"/>
  <c r="U5412" i="29"/>
  <c r="T5412" i="29"/>
  <c r="R5412" i="29"/>
  <c r="Q5412" i="29"/>
  <c r="V5409" i="29"/>
  <c r="U5409" i="29"/>
  <c r="T5409" i="29"/>
  <c r="R5409" i="29"/>
  <c r="Q5409" i="29"/>
  <c r="V5408" i="29"/>
  <c r="U5408" i="29"/>
  <c r="T5408" i="29"/>
  <c r="R5408" i="29"/>
  <c r="Q5408" i="29"/>
  <c r="V5407" i="29"/>
  <c r="U5407" i="29"/>
  <c r="T5407" i="29"/>
  <c r="R5407" i="29"/>
  <c r="Q5407" i="29"/>
  <c r="V5406" i="29"/>
  <c r="U5406" i="29"/>
  <c r="T5406" i="29"/>
  <c r="R5406" i="29"/>
  <c r="Q5406" i="29"/>
  <c r="V5405" i="29"/>
  <c r="U5405" i="29"/>
  <c r="T5405" i="29"/>
  <c r="R5405" i="29"/>
  <c r="Q5405" i="29"/>
  <c r="V5404" i="29"/>
  <c r="U5404" i="29"/>
  <c r="T5404" i="29"/>
  <c r="R5404" i="29"/>
  <c r="Q5404" i="29"/>
  <c r="V5403" i="29"/>
  <c r="U5403" i="29"/>
  <c r="T5403" i="29"/>
  <c r="R5403" i="29"/>
  <c r="Q5403" i="29"/>
  <c r="V5402" i="29"/>
  <c r="U5402" i="29"/>
  <c r="T5402" i="29"/>
  <c r="R5402" i="29"/>
  <c r="Q5402" i="29"/>
  <c r="V5401" i="29"/>
  <c r="U5401" i="29"/>
  <c r="T5401" i="29"/>
  <c r="R5401" i="29"/>
  <c r="Q5401" i="29"/>
  <c r="V5398" i="29"/>
  <c r="U5398" i="29"/>
  <c r="T5398" i="29"/>
  <c r="R5398" i="29"/>
  <c r="Q5398" i="29"/>
  <c r="V5397" i="29"/>
  <c r="U5397" i="29"/>
  <c r="T5397" i="29"/>
  <c r="R5397" i="29"/>
  <c r="Q5397" i="29"/>
  <c r="V5396" i="29"/>
  <c r="U5396" i="29"/>
  <c r="T5396" i="29"/>
  <c r="R5396" i="29"/>
  <c r="Q5396" i="29"/>
  <c r="V5395" i="29"/>
  <c r="U5395" i="29"/>
  <c r="T5395" i="29"/>
  <c r="R5395" i="29"/>
  <c r="Q5395" i="29"/>
  <c r="V5394" i="29"/>
  <c r="U5394" i="29"/>
  <c r="T5394" i="29"/>
  <c r="R5394" i="29"/>
  <c r="Q5394" i="29"/>
  <c r="V5393" i="29"/>
  <c r="U5393" i="29"/>
  <c r="T5393" i="29"/>
  <c r="R5393" i="29"/>
  <c r="Q5393" i="29"/>
  <c r="V5392" i="29"/>
  <c r="U5392" i="29"/>
  <c r="T5392" i="29"/>
  <c r="R5392" i="29"/>
  <c r="Q5392" i="29"/>
  <c r="V5391" i="29"/>
  <c r="U5391" i="29"/>
  <c r="T5391" i="29"/>
  <c r="R5391" i="29"/>
  <c r="Q5391" i="29"/>
  <c r="V5390" i="29"/>
  <c r="U5390" i="29"/>
  <c r="T5390" i="29"/>
  <c r="R5390" i="29"/>
  <c r="Q5390" i="29"/>
  <c r="V5387" i="29"/>
  <c r="U5387" i="29"/>
  <c r="T5387" i="29"/>
  <c r="R5387" i="29"/>
  <c r="Q5387" i="29"/>
  <c r="V5386" i="29"/>
  <c r="U5386" i="29"/>
  <c r="T5386" i="29"/>
  <c r="R5386" i="29"/>
  <c r="Q5386" i="29"/>
  <c r="V5385" i="29"/>
  <c r="U5385" i="29"/>
  <c r="T5385" i="29"/>
  <c r="R5385" i="29"/>
  <c r="Q5385" i="29"/>
  <c r="V5384" i="29"/>
  <c r="U5384" i="29"/>
  <c r="T5384" i="29"/>
  <c r="R5384" i="29"/>
  <c r="Q5384" i="29"/>
  <c r="V5383" i="29"/>
  <c r="U5383" i="29"/>
  <c r="T5383" i="29"/>
  <c r="R5383" i="29"/>
  <c r="Q5383" i="29"/>
  <c r="V5382" i="29"/>
  <c r="U5382" i="29"/>
  <c r="T5382" i="29"/>
  <c r="R5382" i="29"/>
  <c r="Q5382" i="29"/>
  <c r="V5381" i="29"/>
  <c r="U5381" i="29"/>
  <c r="T5381" i="29"/>
  <c r="R5381" i="29"/>
  <c r="Q5381" i="29"/>
  <c r="V5380" i="29"/>
  <c r="U5380" i="29"/>
  <c r="T5380" i="29"/>
  <c r="R5380" i="29"/>
  <c r="Q5380" i="29"/>
  <c r="V5379" i="29"/>
  <c r="U5379" i="29"/>
  <c r="T5379" i="29"/>
  <c r="R5379" i="29"/>
  <c r="Q5379" i="29"/>
  <c r="V5376" i="29"/>
  <c r="U5376" i="29"/>
  <c r="T5376" i="29"/>
  <c r="R5376" i="29"/>
  <c r="Q5376" i="29"/>
  <c r="V5375" i="29"/>
  <c r="U5375" i="29"/>
  <c r="T5375" i="29"/>
  <c r="R5375" i="29"/>
  <c r="Q5375" i="29"/>
  <c r="V5374" i="29"/>
  <c r="U5374" i="29"/>
  <c r="T5374" i="29"/>
  <c r="R5374" i="29"/>
  <c r="Q5374" i="29"/>
  <c r="V5373" i="29"/>
  <c r="U5373" i="29"/>
  <c r="T5373" i="29"/>
  <c r="R5373" i="29"/>
  <c r="Q5373" i="29"/>
  <c r="V5372" i="29"/>
  <c r="U5372" i="29"/>
  <c r="T5372" i="29"/>
  <c r="R5372" i="29"/>
  <c r="Q5372" i="29"/>
  <c r="V5371" i="29"/>
  <c r="U5371" i="29"/>
  <c r="T5371" i="29"/>
  <c r="R5371" i="29"/>
  <c r="Q5371" i="29"/>
  <c r="V5370" i="29"/>
  <c r="U5370" i="29"/>
  <c r="T5370" i="29"/>
  <c r="R5370" i="29"/>
  <c r="Q5370" i="29"/>
  <c r="V5369" i="29"/>
  <c r="U5369" i="29"/>
  <c r="T5369" i="29"/>
  <c r="R5369" i="29"/>
  <c r="Q5369" i="29"/>
  <c r="V5368" i="29"/>
  <c r="U5368" i="29"/>
  <c r="T5368" i="29"/>
  <c r="R5368" i="29"/>
  <c r="Q5368" i="29"/>
  <c r="V5365" i="29"/>
  <c r="U5365" i="29"/>
  <c r="T5365" i="29"/>
  <c r="R5365" i="29"/>
  <c r="Q5365" i="29"/>
  <c r="V5364" i="29"/>
  <c r="U5364" i="29"/>
  <c r="T5364" i="29"/>
  <c r="R5364" i="29"/>
  <c r="Q5364" i="29"/>
  <c r="V5363" i="29"/>
  <c r="U5363" i="29"/>
  <c r="T5363" i="29"/>
  <c r="R5363" i="29"/>
  <c r="Q5363" i="29"/>
  <c r="V5362" i="29"/>
  <c r="U5362" i="29"/>
  <c r="T5362" i="29"/>
  <c r="R5362" i="29"/>
  <c r="Q5362" i="29"/>
  <c r="V5361" i="29"/>
  <c r="U5361" i="29"/>
  <c r="T5361" i="29"/>
  <c r="R5361" i="29"/>
  <c r="Q5361" i="29"/>
  <c r="V5360" i="29"/>
  <c r="U5360" i="29"/>
  <c r="T5360" i="29"/>
  <c r="R5360" i="29"/>
  <c r="Q5360" i="29"/>
  <c r="V5359" i="29"/>
  <c r="U5359" i="29"/>
  <c r="T5359" i="29"/>
  <c r="R5359" i="29"/>
  <c r="Q5359" i="29"/>
  <c r="V5358" i="29"/>
  <c r="U5358" i="29"/>
  <c r="T5358" i="29"/>
  <c r="R5358" i="29"/>
  <c r="Q5358" i="29"/>
  <c r="V5357" i="29"/>
  <c r="U5357" i="29"/>
  <c r="T5357" i="29"/>
  <c r="R5357" i="29"/>
  <c r="Q5357" i="29"/>
  <c r="V5354" i="29"/>
  <c r="U5354" i="29"/>
  <c r="T5354" i="29"/>
  <c r="R5354" i="29"/>
  <c r="Q5354" i="29"/>
  <c r="V5353" i="29"/>
  <c r="U5353" i="29"/>
  <c r="T5353" i="29"/>
  <c r="R5353" i="29"/>
  <c r="Q5353" i="29"/>
  <c r="V5352" i="29"/>
  <c r="U5352" i="29"/>
  <c r="T5352" i="29"/>
  <c r="R5352" i="29"/>
  <c r="Q5352" i="29"/>
  <c r="V5351" i="29"/>
  <c r="U5351" i="29"/>
  <c r="T5351" i="29"/>
  <c r="R5351" i="29"/>
  <c r="Q5351" i="29"/>
  <c r="V5350" i="29"/>
  <c r="U5350" i="29"/>
  <c r="T5350" i="29"/>
  <c r="R5350" i="29"/>
  <c r="Q5350" i="29"/>
  <c r="V5349" i="29"/>
  <c r="U5349" i="29"/>
  <c r="T5349" i="29"/>
  <c r="R5349" i="29"/>
  <c r="Q5349" i="29"/>
  <c r="V5348" i="29"/>
  <c r="U5348" i="29"/>
  <c r="T5348" i="29"/>
  <c r="R5348" i="29"/>
  <c r="Q5348" i="29"/>
  <c r="V5347" i="29"/>
  <c r="U5347" i="29"/>
  <c r="T5347" i="29"/>
  <c r="R5347" i="29"/>
  <c r="Q5347" i="29"/>
  <c r="V5346" i="29"/>
  <c r="U5346" i="29"/>
  <c r="T5346" i="29"/>
  <c r="R5346" i="29"/>
  <c r="Q5346" i="29"/>
  <c r="V5343" i="29"/>
  <c r="U5343" i="29"/>
  <c r="T5343" i="29"/>
  <c r="R5343" i="29"/>
  <c r="Q5343" i="29"/>
  <c r="V5342" i="29"/>
  <c r="U5342" i="29"/>
  <c r="T5342" i="29"/>
  <c r="R5342" i="29"/>
  <c r="Q5342" i="29"/>
  <c r="V5341" i="29"/>
  <c r="U5341" i="29"/>
  <c r="T5341" i="29"/>
  <c r="R5341" i="29"/>
  <c r="Q5341" i="29"/>
  <c r="V5340" i="29"/>
  <c r="U5340" i="29"/>
  <c r="T5340" i="29"/>
  <c r="R5340" i="29"/>
  <c r="Q5340" i="29"/>
  <c r="V5339" i="29"/>
  <c r="U5339" i="29"/>
  <c r="T5339" i="29"/>
  <c r="R5339" i="29"/>
  <c r="Q5339" i="29"/>
  <c r="V5338" i="29"/>
  <c r="U5338" i="29"/>
  <c r="T5338" i="29"/>
  <c r="R5338" i="29"/>
  <c r="Q5338" i="29"/>
  <c r="V5337" i="29"/>
  <c r="U5337" i="29"/>
  <c r="T5337" i="29"/>
  <c r="R5337" i="29"/>
  <c r="Q5337" i="29"/>
  <c r="V5336" i="29"/>
  <c r="U5336" i="29"/>
  <c r="T5336" i="29"/>
  <c r="R5336" i="29"/>
  <c r="Q5336" i="29"/>
  <c r="V5335" i="29"/>
  <c r="U5335" i="29"/>
  <c r="T5335" i="29"/>
  <c r="R5335" i="29"/>
  <c r="Q5335" i="29"/>
  <c r="V5332" i="29"/>
  <c r="U5332" i="29"/>
  <c r="T5332" i="29"/>
  <c r="R5332" i="29"/>
  <c r="Q5332" i="29"/>
  <c r="V5331" i="29"/>
  <c r="U5331" i="29"/>
  <c r="T5331" i="29"/>
  <c r="R5331" i="29"/>
  <c r="Q5331" i="29"/>
  <c r="V5330" i="29"/>
  <c r="U5330" i="29"/>
  <c r="T5330" i="29"/>
  <c r="R5330" i="29"/>
  <c r="Q5330" i="29"/>
  <c r="V5329" i="29"/>
  <c r="U5329" i="29"/>
  <c r="T5329" i="29"/>
  <c r="R5329" i="29"/>
  <c r="Q5329" i="29"/>
  <c r="V5328" i="29"/>
  <c r="U5328" i="29"/>
  <c r="T5328" i="29"/>
  <c r="R5328" i="29"/>
  <c r="Q5328" i="29"/>
  <c r="V5327" i="29"/>
  <c r="U5327" i="29"/>
  <c r="T5327" i="29"/>
  <c r="R5327" i="29"/>
  <c r="Q5327" i="29"/>
  <c r="V5326" i="29"/>
  <c r="U5326" i="29"/>
  <c r="T5326" i="29"/>
  <c r="R5326" i="29"/>
  <c r="Q5326" i="29"/>
  <c r="V5325" i="29"/>
  <c r="U5325" i="29"/>
  <c r="T5325" i="29"/>
  <c r="R5325" i="29"/>
  <c r="Q5325" i="29"/>
  <c r="V5324" i="29"/>
  <c r="U5324" i="29"/>
  <c r="T5324" i="29"/>
  <c r="R5324" i="29"/>
  <c r="Q5324" i="29"/>
  <c r="V5321" i="29"/>
  <c r="U5321" i="29"/>
  <c r="T5321" i="29"/>
  <c r="R5321" i="29"/>
  <c r="Q5321" i="29"/>
  <c r="V5320" i="29"/>
  <c r="U5320" i="29"/>
  <c r="T5320" i="29"/>
  <c r="R5320" i="29"/>
  <c r="Q5320" i="29"/>
  <c r="V5319" i="29"/>
  <c r="U5319" i="29"/>
  <c r="T5319" i="29"/>
  <c r="R5319" i="29"/>
  <c r="Q5319" i="29"/>
  <c r="V5318" i="29"/>
  <c r="U5318" i="29"/>
  <c r="T5318" i="29"/>
  <c r="R5318" i="29"/>
  <c r="Q5318" i="29"/>
  <c r="V5317" i="29"/>
  <c r="U5317" i="29"/>
  <c r="T5317" i="29"/>
  <c r="R5317" i="29"/>
  <c r="Q5317" i="29"/>
  <c r="V5316" i="29"/>
  <c r="U5316" i="29"/>
  <c r="T5316" i="29"/>
  <c r="R5316" i="29"/>
  <c r="Q5316" i="29"/>
  <c r="V5315" i="29"/>
  <c r="U5315" i="29"/>
  <c r="T5315" i="29"/>
  <c r="R5315" i="29"/>
  <c r="Q5315" i="29"/>
  <c r="V5314" i="29"/>
  <c r="U5314" i="29"/>
  <c r="T5314" i="29"/>
  <c r="R5314" i="29"/>
  <c r="Q5314" i="29"/>
  <c r="V5313" i="29"/>
  <c r="U5313" i="29"/>
  <c r="T5313" i="29"/>
  <c r="R5313" i="29"/>
  <c r="Q5313" i="29"/>
  <c r="V5310" i="29"/>
  <c r="U5310" i="29"/>
  <c r="T5310" i="29"/>
  <c r="R5310" i="29"/>
  <c r="Q5310" i="29"/>
  <c r="V5309" i="29"/>
  <c r="U5309" i="29"/>
  <c r="T5309" i="29"/>
  <c r="R5309" i="29"/>
  <c r="Q5309" i="29"/>
  <c r="V5308" i="29"/>
  <c r="U5308" i="29"/>
  <c r="T5308" i="29"/>
  <c r="R5308" i="29"/>
  <c r="Q5308" i="29"/>
  <c r="V5307" i="29"/>
  <c r="U5307" i="29"/>
  <c r="T5307" i="29"/>
  <c r="R5307" i="29"/>
  <c r="Q5307" i="29"/>
  <c r="V5306" i="29"/>
  <c r="U5306" i="29"/>
  <c r="T5306" i="29"/>
  <c r="R5306" i="29"/>
  <c r="Q5306" i="29"/>
  <c r="V5305" i="29"/>
  <c r="U5305" i="29"/>
  <c r="T5305" i="29"/>
  <c r="R5305" i="29"/>
  <c r="Q5305" i="29"/>
  <c r="V5304" i="29"/>
  <c r="U5304" i="29"/>
  <c r="T5304" i="29"/>
  <c r="R5304" i="29"/>
  <c r="Q5304" i="29"/>
  <c r="V5303" i="29"/>
  <c r="U5303" i="29"/>
  <c r="T5303" i="29"/>
  <c r="R5303" i="29"/>
  <c r="Q5303" i="29"/>
  <c r="V5302" i="29"/>
  <c r="U5302" i="29"/>
  <c r="T5302" i="29"/>
  <c r="R5302" i="29"/>
  <c r="Q5302" i="29"/>
  <c r="V5299" i="29"/>
  <c r="U5299" i="29"/>
  <c r="T5299" i="29"/>
  <c r="R5299" i="29"/>
  <c r="Q5299" i="29"/>
  <c r="V5298" i="29"/>
  <c r="U5298" i="29"/>
  <c r="T5298" i="29"/>
  <c r="R5298" i="29"/>
  <c r="Q5298" i="29"/>
  <c r="V5297" i="29"/>
  <c r="U5297" i="29"/>
  <c r="T5297" i="29"/>
  <c r="R5297" i="29"/>
  <c r="Q5297" i="29"/>
  <c r="V5296" i="29"/>
  <c r="U5296" i="29"/>
  <c r="T5296" i="29"/>
  <c r="R5296" i="29"/>
  <c r="Q5296" i="29"/>
  <c r="V5295" i="29"/>
  <c r="U5295" i="29"/>
  <c r="T5295" i="29"/>
  <c r="R5295" i="29"/>
  <c r="Q5295" i="29"/>
  <c r="V5294" i="29"/>
  <c r="U5294" i="29"/>
  <c r="T5294" i="29"/>
  <c r="R5294" i="29"/>
  <c r="Q5294" i="29"/>
  <c r="V5293" i="29"/>
  <c r="U5293" i="29"/>
  <c r="T5293" i="29"/>
  <c r="R5293" i="29"/>
  <c r="Q5293" i="29"/>
  <c r="V5292" i="29"/>
  <c r="U5292" i="29"/>
  <c r="T5292" i="29"/>
  <c r="R5292" i="29"/>
  <c r="Q5292" i="29"/>
  <c r="V5291" i="29"/>
  <c r="U5291" i="29"/>
  <c r="T5291" i="29"/>
  <c r="R5291" i="29"/>
  <c r="Q5291" i="29"/>
  <c r="V5288" i="29"/>
  <c r="U5288" i="29"/>
  <c r="T5288" i="29"/>
  <c r="R5288" i="29"/>
  <c r="Q5288" i="29"/>
  <c r="V5287" i="29"/>
  <c r="U5287" i="29"/>
  <c r="T5287" i="29"/>
  <c r="R5287" i="29"/>
  <c r="Q5287" i="29"/>
  <c r="V5286" i="29"/>
  <c r="U5286" i="29"/>
  <c r="T5286" i="29"/>
  <c r="R5286" i="29"/>
  <c r="Q5286" i="29"/>
  <c r="V5285" i="29"/>
  <c r="U5285" i="29"/>
  <c r="T5285" i="29"/>
  <c r="R5285" i="29"/>
  <c r="Q5285" i="29"/>
  <c r="V5284" i="29"/>
  <c r="U5284" i="29"/>
  <c r="T5284" i="29"/>
  <c r="R5284" i="29"/>
  <c r="Q5284" i="29"/>
  <c r="V5283" i="29"/>
  <c r="U5283" i="29"/>
  <c r="T5283" i="29"/>
  <c r="R5283" i="29"/>
  <c r="Q5283" i="29"/>
  <c r="V5282" i="29"/>
  <c r="U5282" i="29"/>
  <c r="T5282" i="29"/>
  <c r="R5282" i="29"/>
  <c r="Q5282" i="29"/>
  <c r="V5281" i="29"/>
  <c r="U5281" i="29"/>
  <c r="T5281" i="29"/>
  <c r="R5281" i="29"/>
  <c r="Q5281" i="29"/>
  <c r="V5280" i="29"/>
  <c r="U5280" i="29"/>
  <c r="T5280" i="29"/>
  <c r="R5280" i="29"/>
  <c r="Q5280" i="29"/>
  <c r="V5277" i="29"/>
  <c r="U5277" i="29"/>
  <c r="T5277" i="29"/>
  <c r="R5277" i="29"/>
  <c r="Q5277" i="29"/>
  <c r="V5276" i="29"/>
  <c r="U5276" i="29"/>
  <c r="T5276" i="29"/>
  <c r="R5276" i="29"/>
  <c r="Q5276" i="29"/>
  <c r="V5275" i="29"/>
  <c r="U5275" i="29"/>
  <c r="T5275" i="29"/>
  <c r="R5275" i="29"/>
  <c r="Q5275" i="29"/>
  <c r="V5274" i="29"/>
  <c r="U5274" i="29"/>
  <c r="T5274" i="29"/>
  <c r="R5274" i="29"/>
  <c r="Q5274" i="29"/>
  <c r="V5273" i="29"/>
  <c r="U5273" i="29"/>
  <c r="T5273" i="29"/>
  <c r="R5273" i="29"/>
  <c r="Q5273" i="29"/>
  <c r="V5272" i="29"/>
  <c r="U5272" i="29"/>
  <c r="T5272" i="29"/>
  <c r="R5272" i="29"/>
  <c r="Q5272" i="29"/>
  <c r="V5271" i="29"/>
  <c r="U5271" i="29"/>
  <c r="T5271" i="29"/>
  <c r="R5271" i="29"/>
  <c r="Q5271" i="29"/>
  <c r="V5270" i="29"/>
  <c r="U5270" i="29"/>
  <c r="T5270" i="29"/>
  <c r="R5270" i="29"/>
  <c r="Q5270" i="29"/>
  <c r="V5269" i="29"/>
  <c r="U5269" i="29"/>
  <c r="T5269" i="29"/>
  <c r="R5269" i="29"/>
  <c r="Q5269" i="29"/>
  <c r="V5266" i="29"/>
  <c r="U5266" i="29"/>
  <c r="T5266" i="29"/>
  <c r="R5266" i="29"/>
  <c r="Q5266" i="29"/>
  <c r="V5265" i="29"/>
  <c r="U5265" i="29"/>
  <c r="T5265" i="29"/>
  <c r="R5265" i="29"/>
  <c r="Q5265" i="29"/>
  <c r="V5264" i="29"/>
  <c r="U5264" i="29"/>
  <c r="T5264" i="29"/>
  <c r="R5264" i="29"/>
  <c r="Q5264" i="29"/>
  <c r="V5263" i="29"/>
  <c r="U5263" i="29"/>
  <c r="T5263" i="29"/>
  <c r="R5263" i="29"/>
  <c r="Q5263" i="29"/>
  <c r="V5262" i="29"/>
  <c r="U5262" i="29"/>
  <c r="T5262" i="29"/>
  <c r="R5262" i="29"/>
  <c r="Q5262" i="29"/>
  <c r="V5261" i="29"/>
  <c r="U5261" i="29"/>
  <c r="T5261" i="29"/>
  <c r="R5261" i="29"/>
  <c r="Q5261" i="29"/>
  <c r="V5260" i="29"/>
  <c r="U5260" i="29"/>
  <c r="T5260" i="29"/>
  <c r="R5260" i="29"/>
  <c r="Q5260" i="29"/>
  <c r="V5259" i="29"/>
  <c r="U5259" i="29"/>
  <c r="T5259" i="29"/>
  <c r="R5259" i="29"/>
  <c r="Q5259" i="29"/>
  <c r="V5258" i="29"/>
  <c r="U5258" i="29"/>
  <c r="T5258" i="29"/>
  <c r="R5258" i="29"/>
  <c r="Q5258" i="29"/>
  <c r="V5255" i="29"/>
  <c r="U5255" i="29"/>
  <c r="T5255" i="29"/>
  <c r="R5255" i="29"/>
  <c r="Q5255" i="29"/>
  <c r="V5254" i="29"/>
  <c r="U5254" i="29"/>
  <c r="T5254" i="29"/>
  <c r="R5254" i="29"/>
  <c r="Q5254" i="29"/>
  <c r="V5253" i="29"/>
  <c r="U5253" i="29"/>
  <c r="T5253" i="29"/>
  <c r="R5253" i="29"/>
  <c r="Q5253" i="29"/>
  <c r="V5252" i="29"/>
  <c r="U5252" i="29"/>
  <c r="T5252" i="29"/>
  <c r="R5252" i="29"/>
  <c r="Q5252" i="29"/>
  <c r="V5251" i="29"/>
  <c r="U5251" i="29"/>
  <c r="T5251" i="29"/>
  <c r="R5251" i="29"/>
  <c r="Q5251" i="29"/>
  <c r="V5250" i="29"/>
  <c r="U5250" i="29"/>
  <c r="T5250" i="29"/>
  <c r="R5250" i="29"/>
  <c r="Q5250" i="29"/>
  <c r="V5249" i="29"/>
  <c r="U5249" i="29"/>
  <c r="T5249" i="29"/>
  <c r="R5249" i="29"/>
  <c r="Q5249" i="29"/>
  <c r="V5248" i="29"/>
  <c r="U5248" i="29"/>
  <c r="T5248" i="29"/>
  <c r="R5248" i="29"/>
  <c r="Q5248" i="29"/>
  <c r="V5247" i="29"/>
  <c r="U5247" i="29"/>
  <c r="T5247" i="29"/>
  <c r="R5247" i="29"/>
  <c r="Q5247" i="29"/>
  <c r="V5244" i="29"/>
  <c r="U5244" i="29"/>
  <c r="T5244" i="29"/>
  <c r="R5244" i="29"/>
  <c r="Q5244" i="29"/>
  <c r="V5243" i="29"/>
  <c r="U5243" i="29"/>
  <c r="T5243" i="29"/>
  <c r="R5243" i="29"/>
  <c r="Q5243" i="29"/>
  <c r="V5242" i="29"/>
  <c r="U5242" i="29"/>
  <c r="T5242" i="29"/>
  <c r="R5242" i="29"/>
  <c r="Q5242" i="29"/>
  <c r="V5241" i="29"/>
  <c r="U5241" i="29"/>
  <c r="T5241" i="29"/>
  <c r="R5241" i="29"/>
  <c r="Q5241" i="29"/>
  <c r="V5240" i="29"/>
  <c r="U5240" i="29"/>
  <c r="T5240" i="29"/>
  <c r="R5240" i="29"/>
  <c r="Q5240" i="29"/>
  <c r="V5239" i="29"/>
  <c r="U5239" i="29"/>
  <c r="T5239" i="29"/>
  <c r="R5239" i="29"/>
  <c r="Q5239" i="29"/>
  <c r="V5238" i="29"/>
  <c r="U5238" i="29"/>
  <c r="T5238" i="29"/>
  <c r="R5238" i="29"/>
  <c r="Q5238" i="29"/>
  <c r="V5237" i="29"/>
  <c r="U5237" i="29"/>
  <c r="T5237" i="29"/>
  <c r="R5237" i="29"/>
  <c r="Q5237" i="29"/>
  <c r="V5236" i="29"/>
  <c r="U5236" i="29"/>
  <c r="T5236" i="29"/>
  <c r="R5236" i="29"/>
  <c r="Q5236" i="29"/>
  <c r="V5233" i="29"/>
  <c r="U5233" i="29"/>
  <c r="T5233" i="29"/>
  <c r="R5233" i="29"/>
  <c r="Q5233" i="29"/>
  <c r="V5232" i="29"/>
  <c r="U5232" i="29"/>
  <c r="T5232" i="29"/>
  <c r="R5232" i="29"/>
  <c r="Q5232" i="29"/>
  <c r="V5231" i="29"/>
  <c r="U5231" i="29"/>
  <c r="T5231" i="29"/>
  <c r="R5231" i="29"/>
  <c r="Q5231" i="29"/>
  <c r="V5230" i="29"/>
  <c r="U5230" i="29"/>
  <c r="T5230" i="29"/>
  <c r="R5230" i="29"/>
  <c r="Q5230" i="29"/>
  <c r="V5229" i="29"/>
  <c r="U5229" i="29"/>
  <c r="T5229" i="29"/>
  <c r="R5229" i="29"/>
  <c r="Q5229" i="29"/>
  <c r="V5228" i="29"/>
  <c r="U5228" i="29"/>
  <c r="T5228" i="29"/>
  <c r="R5228" i="29"/>
  <c r="Q5228" i="29"/>
  <c r="V5227" i="29"/>
  <c r="U5227" i="29"/>
  <c r="T5227" i="29"/>
  <c r="R5227" i="29"/>
  <c r="Q5227" i="29"/>
  <c r="V5226" i="29"/>
  <c r="U5226" i="29"/>
  <c r="T5226" i="29"/>
  <c r="R5226" i="29"/>
  <c r="Q5226" i="29"/>
  <c r="V5225" i="29"/>
  <c r="U5225" i="29"/>
  <c r="T5225" i="29"/>
  <c r="R5225" i="29"/>
  <c r="Q5225" i="29"/>
  <c r="V5222" i="29"/>
  <c r="U5222" i="29"/>
  <c r="T5222" i="29"/>
  <c r="R5222" i="29"/>
  <c r="Q5222" i="29"/>
  <c r="V5221" i="29"/>
  <c r="U5221" i="29"/>
  <c r="T5221" i="29"/>
  <c r="R5221" i="29"/>
  <c r="Q5221" i="29"/>
  <c r="V5220" i="29"/>
  <c r="U5220" i="29"/>
  <c r="T5220" i="29"/>
  <c r="R5220" i="29"/>
  <c r="Q5220" i="29"/>
  <c r="V5219" i="29"/>
  <c r="U5219" i="29"/>
  <c r="T5219" i="29"/>
  <c r="R5219" i="29"/>
  <c r="Q5219" i="29"/>
  <c r="V5218" i="29"/>
  <c r="U5218" i="29"/>
  <c r="T5218" i="29"/>
  <c r="R5218" i="29"/>
  <c r="Q5218" i="29"/>
  <c r="V5217" i="29"/>
  <c r="U5217" i="29"/>
  <c r="T5217" i="29"/>
  <c r="R5217" i="29"/>
  <c r="Q5217" i="29"/>
  <c r="V5216" i="29"/>
  <c r="U5216" i="29"/>
  <c r="T5216" i="29"/>
  <c r="R5216" i="29"/>
  <c r="Q5216" i="29"/>
  <c r="V5215" i="29"/>
  <c r="U5215" i="29"/>
  <c r="T5215" i="29"/>
  <c r="R5215" i="29"/>
  <c r="Q5215" i="29"/>
  <c r="V5214" i="29"/>
  <c r="U5214" i="29"/>
  <c r="T5214" i="29"/>
  <c r="R5214" i="29"/>
  <c r="Q5214" i="29"/>
  <c r="V5211" i="29"/>
  <c r="U5211" i="29"/>
  <c r="T5211" i="29"/>
  <c r="R5211" i="29"/>
  <c r="Q5211" i="29"/>
  <c r="V5210" i="29"/>
  <c r="U5210" i="29"/>
  <c r="T5210" i="29"/>
  <c r="R5210" i="29"/>
  <c r="Q5210" i="29"/>
  <c r="V5209" i="29"/>
  <c r="U5209" i="29"/>
  <c r="T5209" i="29"/>
  <c r="R5209" i="29"/>
  <c r="Q5209" i="29"/>
  <c r="V5208" i="29"/>
  <c r="U5208" i="29"/>
  <c r="T5208" i="29"/>
  <c r="R5208" i="29"/>
  <c r="Q5208" i="29"/>
  <c r="V5207" i="29"/>
  <c r="U5207" i="29"/>
  <c r="T5207" i="29"/>
  <c r="R5207" i="29"/>
  <c r="Q5207" i="29"/>
  <c r="V5206" i="29"/>
  <c r="U5206" i="29"/>
  <c r="T5206" i="29"/>
  <c r="R5206" i="29"/>
  <c r="Q5206" i="29"/>
  <c r="V5205" i="29"/>
  <c r="U5205" i="29"/>
  <c r="T5205" i="29"/>
  <c r="R5205" i="29"/>
  <c r="Q5205" i="29"/>
  <c r="V5204" i="29"/>
  <c r="U5204" i="29"/>
  <c r="T5204" i="29"/>
  <c r="R5204" i="29"/>
  <c r="Q5204" i="29"/>
  <c r="V5203" i="29"/>
  <c r="U5203" i="29"/>
  <c r="T5203" i="29"/>
  <c r="R5203" i="29"/>
  <c r="Q5203" i="29"/>
  <c r="V5200" i="29"/>
  <c r="U5200" i="29"/>
  <c r="T5200" i="29"/>
  <c r="R5200" i="29"/>
  <c r="Q5200" i="29"/>
  <c r="V5199" i="29"/>
  <c r="U5199" i="29"/>
  <c r="T5199" i="29"/>
  <c r="R5199" i="29"/>
  <c r="Q5199" i="29"/>
  <c r="V5198" i="29"/>
  <c r="U5198" i="29"/>
  <c r="T5198" i="29"/>
  <c r="R5198" i="29"/>
  <c r="Q5198" i="29"/>
  <c r="V5197" i="29"/>
  <c r="U5197" i="29"/>
  <c r="T5197" i="29"/>
  <c r="R5197" i="29"/>
  <c r="Q5197" i="29"/>
  <c r="V5196" i="29"/>
  <c r="U5196" i="29"/>
  <c r="T5196" i="29"/>
  <c r="R5196" i="29"/>
  <c r="Q5196" i="29"/>
  <c r="V5195" i="29"/>
  <c r="U5195" i="29"/>
  <c r="T5195" i="29"/>
  <c r="R5195" i="29"/>
  <c r="Q5195" i="29"/>
  <c r="V5194" i="29"/>
  <c r="U5194" i="29"/>
  <c r="T5194" i="29"/>
  <c r="R5194" i="29"/>
  <c r="Q5194" i="29"/>
  <c r="V5193" i="29"/>
  <c r="U5193" i="29"/>
  <c r="T5193" i="29"/>
  <c r="R5193" i="29"/>
  <c r="Q5193" i="29"/>
  <c r="V5192" i="29"/>
  <c r="U5192" i="29"/>
  <c r="T5192" i="29"/>
  <c r="R5192" i="29"/>
  <c r="Q5192" i="29"/>
  <c r="V5189" i="29"/>
  <c r="U5189" i="29"/>
  <c r="T5189" i="29"/>
  <c r="R5189" i="29"/>
  <c r="Q5189" i="29"/>
  <c r="V5188" i="29"/>
  <c r="U5188" i="29"/>
  <c r="T5188" i="29"/>
  <c r="R5188" i="29"/>
  <c r="Q5188" i="29"/>
  <c r="V5187" i="29"/>
  <c r="U5187" i="29"/>
  <c r="T5187" i="29"/>
  <c r="R5187" i="29"/>
  <c r="Q5187" i="29"/>
  <c r="V5186" i="29"/>
  <c r="U5186" i="29"/>
  <c r="T5186" i="29"/>
  <c r="R5186" i="29"/>
  <c r="Q5186" i="29"/>
  <c r="V5185" i="29"/>
  <c r="U5185" i="29"/>
  <c r="T5185" i="29"/>
  <c r="R5185" i="29"/>
  <c r="Q5185" i="29"/>
  <c r="V5184" i="29"/>
  <c r="U5184" i="29"/>
  <c r="T5184" i="29"/>
  <c r="R5184" i="29"/>
  <c r="Q5184" i="29"/>
  <c r="V5183" i="29"/>
  <c r="U5183" i="29"/>
  <c r="T5183" i="29"/>
  <c r="R5183" i="29"/>
  <c r="Q5183" i="29"/>
  <c r="V5182" i="29"/>
  <c r="U5182" i="29"/>
  <c r="T5182" i="29"/>
  <c r="R5182" i="29"/>
  <c r="Q5182" i="29"/>
  <c r="V5181" i="29"/>
  <c r="U5181" i="29"/>
  <c r="T5181" i="29"/>
  <c r="R5181" i="29"/>
  <c r="Q5181" i="29"/>
  <c r="V5178" i="29"/>
  <c r="U5178" i="29"/>
  <c r="T5178" i="29"/>
  <c r="R5178" i="29"/>
  <c r="Q5178" i="29"/>
  <c r="V5177" i="29"/>
  <c r="U5177" i="29"/>
  <c r="T5177" i="29"/>
  <c r="R5177" i="29"/>
  <c r="Q5177" i="29"/>
  <c r="V5176" i="29"/>
  <c r="U5176" i="29"/>
  <c r="T5176" i="29"/>
  <c r="R5176" i="29"/>
  <c r="Q5176" i="29"/>
  <c r="V5175" i="29"/>
  <c r="U5175" i="29"/>
  <c r="T5175" i="29"/>
  <c r="R5175" i="29"/>
  <c r="Q5175" i="29"/>
  <c r="V5174" i="29"/>
  <c r="U5174" i="29"/>
  <c r="T5174" i="29"/>
  <c r="R5174" i="29"/>
  <c r="Q5174" i="29"/>
  <c r="V5173" i="29"/>
  <c r="U5173" i="29"/>
  <c r="T5173" i="29"/>
  <c r="R5173" i="29"/>
  <c r="Q5173" i="29"/>
  <c r="V5172" i="29"/>
  <c r="U5172" i="29"/>
  <c r="T5172" i="29"/>
  <c r="R5172" i="29"/>
  <c r="Q5172" i="29"/>
  <c r="V5171" i="29"/>
  <c r="U5171" i="29"/>
  <c r="T5171" i="29"/>
  <c r="R5171" i="29"/>
  <c r="Q5171" i="29"/>
  <c r="V5170" i="29"/>
  <c r="U5170" i="29"/>
  <c r="T5170" i="29"/>
  <c r="R5170" i="29"/>
  <c r="Q5170" i="29"/>
  <c r="V5167" i="29"/>
  <c r="U5167" i="29"/>
  <c r="T5167" i="29"/>
  <c r="R5167" i="29"/>
  <c r="Q5167" i="29"/>
  <c r="V5166" i="29"/>
  <c r="U5166" i="29"/>
  <c r="T5166" i="29"/>
  <c r="R5166" i="29"/>
  <c r="Q5166" i="29"/>
  <c r="V5165" i="29"/>
  <c r="U5165" i="29"/>
  <c r="T5165" i="29"/>
  <c r="R5165" i="29"/>
  <c r="Q5165" i="29"/>
  <c r="V5164" i="29"/>
  <c r="U5164" i="29"/>
  <c r="T5164" i="29"/>
  <c r="R5164" i="29"/>
  <c r="Q5164" i="29"/>
  <c r="V5163" i="29"/>
  <c r="U5163" i="29"/>
  <c r="T5163" i="29"/>
  <c r="R5163" i="29"/>
  <c r="Q5163" i="29"/>
  <c r="V5162" i="29"/>
  <c r="U5162" i="29"/>
  <c r="T5162" i="29"/>
  <c r="R5162" i="29"/>
  <c r="Q5162" i="29"/>
  <c r="V5161" i="29"/>
  <c r="U5161" i="29"/>
  <c r="T5161" i="29"/>
  <c r="R5161" i="29"/>
  <c r="Q5161" i="29"/>
  <c r="V5160" i="29"/>
  <c r="U5160" i="29"/>
  <c r="T5160" i="29"/>
  <c r="R5160" i="29"/>
  <c r="Q5160" i="29"/>
  <c r="V5159" i="29"/>
  <c r="U5159" i="29"/>
  <c r="T5159" i="29"/>
  <c r="R5159" i="29"/>
  <c r="Q5159" i="29"/>
  <c r="V5156" i="29"/>
  <c r="U5156" i="29"/>
  <c r="T5156" i="29"/>
  <c r="R5156" i="29"/>
  <c r="Q5156" i="29"/>
  <c r="V5155" i="29"/>
  <c r="U5155" i="29"/>
  <c r="T5155" i="29"/>
  <c r="R5155" i="29"/>
  <c r="Q5155" i="29"/>
  <c r="V5154" i="29"/>
  <c r="U5154" i="29"/>
  <c r="T5154" i="29"/>
  <c r="R5154" i="29"/>
  <c r="Q5154" i="29"/>
  <c r="V5153" i="29"/>
  <c r="U5153" i="29"/>
  <c r="T5153" i="29"/>
  <c r="R5153" i="29"/>
  <c r="Q5153" i="29"/>
  <c r="V5152" i="29"/>
  <c r="U5152" i="29"/>
  <c r="T5152" i="29"/>
  <c r="R5152" i="29"/>
  <c r="Q5152" i="29"/>
  <c r="V5151" i="29"/>
  <c r="U5151" i="29"/>
  <c r="T5151" i="29"/>
  <c r="R5151" i="29"/>
  <c r="Q5151" i="29"/>
  <c r="V5150" i="29"/>
  <c r="U5150" i="29"/>
  <c r="T5150" i="29"/>
  <c r="R5150" i="29"/>
  <c r="Q5150" i="29"/>
  <c r="V5149" i="29"/>
  <c r="U5149" i="29"/>
  <c r="T5149" i="29"/>
  <c r="R5149" i="29"/>
  <c r="Q5149" i="29"/>
  <c r="V5148" i="29"/>
  <c r="U5148" i="29"/>
  <c r="T5148" i="29"/>
  <c r="R5148" i="29"/>
  <c r="Q5148" i="29"/>
  <c r="V5145" i="29"/>
  <c r="U5145" i="29"/>
  <c r="T5145" i="29"/>
  <c r="R5145" i="29"/>
  <c r="Q5145" i="29"/>
  <c r="V5144" i="29"/>
  <c r="U5144" i="29"/>
  <c r="T5144" i="29"/>
  <c r="R5144" i="29"/>
  <c r="Q5144" i="29"/>
  <c r="V5143" i="29"/>
  <c r="U5143" i="29"/>
  <c r="T5143" i="29"/>
  <c r="R5143" i="29"/>
  <c r="Q5143" i="29"/>
  <c r="V5142" i="29"/>
  <c r="U5142" i="29"/>
  <c r="T5142" i="29"/>
  <c r="R5142" i="29"/>
  <c r="Q5142" i="29"/>
  <c r="V5141" i="29"/>
  <c r="U5141" i="29"/>
  <c r="T5141" i="29"/>
  <c r="R5141" i="29"/>
  <c r="Q5141" i="29"/>
  <c r="V5140" i="29"/>
  <c r="U5140" i="29"/>
  <c r="T5140" i="29"/>
  <c r="R5140" i="29"/>
  <c r="Q5140" i="29"/>
  <c r="V5139" i="29"/>
  <c r="U5139" i="29"/>
  <c r="T5139" i="29"/>
  <c r="R5139" i="29"/>
  <c r="Q5139" i="29"/>
  <c r="V5138" i="29"/>
  <c r="U5138" i="29"/>
  <c r="T5138" i="29"/>
  <c r="R5138" i="29"/>
  <c r="Q5138" i="29"/>
  <c r="V5137" i="29"/>
  <c r="U5137" i="29"/>
  <c r="T5137" i="29"/>
  <c r="R5137" i="29"/>
  <c r="Q5137" i="29"/>
  <c r="V5134" i="29"/>
  <c r="U5134" i="29"/>
  <c r="T5134" i="29"/>
  <c r="R5134" i="29"/>
  <c r="Q5134" i="29"/>
  <c r="V5133" i="29"/>
  <c r="U5133" i="29"/>
  <c r="T5133" i="29"/>
  <c r="R5133" i="29"/>
  <c r="Q5133" i="29"/>
  <c r="V5132" i="29"/>
  <c r="U5132" i="29"/>
  <c r="T5132" i="29"/>
  <c r="R5132" i="29"/>
  <c r="Q5132" i="29"/>
  <c r="V5131" i="29"/>
  <c r="U5131" i="29"/>
  <c r="T5131" i="29"/>
  <c r="R5131" i="29"/>
  <c r="Q5131" i="29"/>
  <c r="V5130" i="29"/>
  <c r="U5130" i="29"/>
  <c r="T5130" i="29"/>
  <c r="R5130" i="29"/>
  <c r="Q5130" i="29"/>
  <c r="V5129" i="29"/>
  <c r="U5129" i="29"/>
  <c r="T5129" i="29"/>
  <c r="R5129" i="29"/>
  <c r="Q5129" i="29"/>
  <c r="V5128" i="29"/>
  <c r="U5128" i="29"/>
  <c r="T5128" i="29"/>
  <c r="R5128" i="29"/>
  <c r="Q5128" i="29"/>
  <c r="V5127" i="29"/>
  <c r="U5127" i="29"/>
  <c r="T5127" i="29"/>
  <c r="R5127" i="29"/>
  <c r="Q5127" i="29"/>
  <c r="V5126" i="29"/>
  <c r="U5126" i="29"/>
  <c r="T5126" i="29"/>
  <c r="R5126" i="29"/>
  <c r="Q5126" i="29"/>
  <c r="V5123" i="29"/>
  <c r="U5123" i="29"/>
  <c r="T5123" i="29"/>
  <c r="R5123" i="29"/>
  <c r="Q5123" i="29"/>
  <c r="V5122" i="29"/>
  <c r="U5122" i="29"/>
  <c r="T5122" i="29"/>
  <c r="R5122" i="29"/>
  <c r="Q5122" i="29"/>
  <c r="V5121" i="29"/>
  <c r="U5121" i="29"/>
  <c r="T5121" i="29"/>
  <c r="R5121" i="29"/>
  <c r="Q5121" i="29"/>
  <c r="V5120" i="29"/>
  <c r="U5120" i="29"/>
  <c r="T5120" i="29"/>
  <c r="R5120" i="29"/>
  <c r="Q5120" i="29"/>
  <c r="V5119" i="29"/>
  <c r="U5119" i="29"/>
  <c r="T5119" i="29"/>
  <c r="R5119" i="29"/>
  <c r="Q5119" i="29"/>
  <c r="V5118" i="29"/>
  <c r="U5118" i="29"/>
  <c r="T5118" i="29"/>
  <c r="R5118" i="29"/>
  <c r="Q5118" i="29"/>
  <c r="V5117" i="29"/>
  <c r="U5117" i="29"/>
  <c r="T5117" i="29"/>
  <c r="R5117" i="29"/>
  <c r="Q5117" i="29"/>
  <c r="V5116" i="29"/>
  <c r="U5116" i="29"/>
  <c r="T5116" i="29"/>
  <c r="R5116" i="29"/>
  <c r="Q5116" i="29"/>
  <c r="V5115" i="29"/>
  <c r="U5115" i="29"/>
  <c r="T5115" i="29"/>
  <c r="R5115" i="29"/>
  <c r="Q5115" i="29"/>
  <c r="V5112" i="29"/>
  <c r="U5112" i="29"/>
  <c r="T5112" i="29"/>
  <c r="R5112" i="29"/>
  <c r="Q5112" i="29"/>
  <c r="V5111" i="29"/>
  <c r="U5111" i="29"/>
  <c r="T5111" i="29"/>
  <c r="R5111" i="29"/>
  <c r="Q5111" i="29"/>
  <c r="V5110" i="29"/>
  <c r="U5110" i="29"/>
  <c r="T5110" i="29"/>
  <c r="R5110" i="29"/>
  <c r="Q5110" i="29"/>
  <c r="V5109" i="29"/>
  <c r="U5109" i="29"/>
  <c r="T5109" i="29"/>
  <c r="R5109" i="29"/>
  <c r="Q5109" i="29"/>
  <c r="V5108" i="29"/>
  <c r="U5108" i="29"/>
  <c r="T5108" i="29"/>
  <c r="R5108" i="29"/>
  <c r="Q5108" i="29"/>
  <c r="V5107" i="29"/>
  <c r="U5107" i="29"/>
  <c r="T5107" i="29"/>
  <c r="R5107" i="29"/>
  <c r="Q5107" i="29"/>
  <c r="V5106" i="29"/>
  <c r="U5106" i="29"/>
  <c r="T5106" i="29"/>
  <c r="R5106" i="29"/>
  <c r="Q5106" i="29"/>
  <c r="V5105" i="29"/>
  <c r="U5105" i="29"/>
  <c r="T5105" i="29"/>
  <c r="R5105" i="29"/>
  <c r="Q5105" i="29"/>
  <c r="V5104" i="29"/>
  <c r="U5104" i="29"/>
  <c r="T5104" i="29"/>
  <c r="R5104" i="29"/>
  <c r="Q5104" i="29"/>
  <c r="V5101" i="29"/>
  <c r="U5101" i="29"/>
  <c r="T5101" i="29"/>
  <c r="R5101" i="29"/>
  <c r="Q5101" i="29"/>
  <c r="V5100" i="29"/>
  <c r="U5100" i="29"/>
  <c r="T5100" i="29"/>
  <c r="R5100" i="29"/>
  <c r="Q5100" i="29"/>
  <c r="V5099" i="29"/>
  <c r="U5099" i="29"/>
  <c r="T5099" i="29"/>
  <c r="R5099" i="29"/>
  <c r="Q5099" i="29"/>
  <c r="V5098" i="29"/>
  <c r="U5098" i="29"/>
  <c r="T5098" i="29"/>
  <c r="R5098" i="29"/>
  <c r="Q5098" i="29"/>
  <c r="V5097" i="29"/>
  <c r="U5097" i="29"/>
  <c r="T5097" i="29"/>
  <c r="R5097" i="29"/>
  <c r="Q5097" i="29"/>
  <c r="V5096" i="29"/>
  <c r="U5096" i="29"/>
  <c r="T5096" i="29"/>
  <c r="R5096" i="29"/>
  <c r="Q5096" i="29"/>
  <c r="V5095" i="29"/>
  <c r="U5095" i="29"/>
  <c r="T5095" i="29"/>
  <c r="R5095" i="29"/>
  <c r="Q5095" i="29"/>
  <c r="V5094" i="29"/>
  <c r="U5094" i="29"/>
  <c r="T5094" i="29"/>
  <c r="R5094" i="29"/>
  <c r="Q5094" i="29"/>
  <c r="V5093" i="29"/>
  <c r="U5093" i="29"/>
  <c r="T5093" i="29"/>
  <c r="R5093" i="29"/>
  <c r="Q5093" i="29"/>
  <c r="V5090" i="29"/>
  <c r="U5090" i="29"/>
  <c r="T5090" i="29"/>
  <c r="R5090" i="29"/>
  <c r="Q5090" i="29"/>
  <c r="V5089" i="29"/>
  <c r="U5089" i="29"/>
  <c r="T5089" i="29"/>
  <c r="R5089" i="29"/>
  <c r="Q5089" i="29"/>
  <c r="V5088" i="29"/>
  <c r="U5088" i="29"/>
  <c r="T5088" i="29"/>
  <c r="R5088" i="29"/>
  <c r="Q5088" i="29"/>
  <c r="V5087" i="29"/>
  <c r="U5087" i="29"/>
  <c r="T5087" i="29"/>
  <c r="R5087" i="29"/>
  <c r="Q5087" i="29"/>
  <c r="V5086" i="29"/>
  <c r="U5086" i="29"/>
  <c r="T5086" i="29"/>
  <c r="R5086" i="29"/>
  <c r="Q5086" i="29"/>
  <c r="V5085" i="29"/>
  <c r="U5085" i="29"/>
  <c r="T5085" i="29"/>
  <c r="R5085" i="29"/>
  <c r="Q5085" i="29"/>
  <c r="V5084" i="29"/>
  <c r="U5084" i="29"/>
  <c r="T5084" i="29"/>
  <c r="R5084" i="29"/>
  <c r="Q5084" i="29"/>
  <c r="V5083" i="29"/>
  <c r="U5083" i="29"/>
  <c r="T5083" i="29"/>
  <c r="R5083" i="29"/>
  <c r="Q5083" i="29"/>
  <c r="V5082" i="29"/>
  <c r="U5082" i="29"/>
  <c r="T5082" i="29"/>
  <c r="R5082" i="29"/>
  <c r="Q5082" i="29"/>
  <c r="V5079" i="29"/>
  <c r="U5079" i="29"/>
  <c r="T5079" i="29"/>
  <c r="R5079" i="29"/>
  <c r="Q5079" i="29"/>
  <c r="V5078" i="29"/>
  <c r="U5078" i="29"/>
  <c r="T5078" i="29"/>
  <c r="R5078" i="29"/>
  <c r="Q5078" i="29"/>
  <c r="V5077" i="29"/>
  <c r="U5077" i="29"/>
  <c r="T5077" i="29"/>
  <c r="R5077" i="29"/>
  <c r="Q5077" i="29"/>
  <c r="V5076" i="29"/>
  <c r="U5076" i="29"/>
  <c r="T5076" i="29"/>
  <c r="R5076" i="29"/>
  <c r="Q5076" i="29"/>
  <c r="V5075" i="29"/>
  <c r="U5075" i="29"/>
  <c r="T5075" i="29"/>
  <c r="R5075" i="29"/>
  <c r="Q5075" i="29"/>
  <c r="V5074" i="29"/>
  <c r="U5074" i="29"/>
  <c r="T5074" i="29"/>
  <c r="R5074" i="29"/>
  <c r="Q5074" i="29"/>
  <c r="V5073" i="29"/>
  <c r="U5073" i="29"/>
  <c r="T5073" i="29"/>
  <c r="R5073" i="29"/>
  <c r="Q5073" i="29"/>
  <c r="V5072" i="29"/>
  <c r="U5072" i="29"/>
  <c r="T5072" i="29"/>
  <c r="R5072" i="29"/>
  <c r="Q5072" i="29"/>
  <c r="V5071" i="29"/>
  <c r="U5071" i="29"/>
  <c r="T5071" i="29"/>
  <c r="R5071" i="29"/>
  <c r="Q5071" i="29"/>
  <c r="V5068" i="29"/>
  <c r="U5068" i="29"/>
  <c r="T5068" i="29"/>
  <c r="R5068" i="29"/>
  <c r="Q5068" i="29"/>
  <c r="V5067" i="29"/>
  <c r="U5067" i="29"/>
  <c r="T5067" i="29"/>
  <c r="R5067" i="29"/>
  <c r="Q5067" i="29"/>
  <c r="V5066" i="29"/>
  <c r="U5066" i="29"/>
  <c r="T5066" i="29"/>
  <c r="R5066" i="29"/>
  <c r="Q5066" i="29"/>
  <c r="V5065" i="29"/>
  <c r="U5065" i="29"/>
  <c r="T5065" i="29"/>
  <c r="R5065" i="29"/>
  <c r="Q5065" i="29"/>
  <c r="V5064" i="29"/>
  <c r="U5064" i="29"/>
  <c r="T5064" i="29"/>
  <c r="R5064" i="29"/>
  <c r="Q5064" i="29"/>
  <c r="V5063" i="29"/>
  <c r="U5063" i="29"/>
  <c r="T5063" i="29"/>
  <c r="R5063" i="29"/>
  <c r="Q5063" i="29"/>
  <c r="V5062" i="29"/>
  <c r="U5062" i="29"/>
  <c r="T5062" i="29"/>
  <c r="R5062" i="29"/>
  <c r="Q5062" i="29"/>
  <c r="V5061" i="29"/>
  <c r="U5061" i="29"/>
  <c r="T5061" i="29"/>
  <c r="R5061" i="29"/>
  <c r="Q5061" i="29"/>
  <c r="V5060" i="29"/>
  <c r="U5060" i="29"/>
  <c r="T5060" i="29"/>
  <c r="R5060" i="29"/>
  <c r="Q5060" i="29"/>
  <c r="V5057" i="29"/>
  <c r="U5057" i="29"/>
  <c r="T5057" i="29"/>
  <c r="R5057" i="29"/>
  <c r="Q5057" i="29"/>
  <c r="V5056" i="29"/>
  <c r="U5056" i="29"/>
  <c r="T5056" i="29"/>
  <c r="R5056" i="29"/>
  <c r="Q5056" i="29"/>
  <c r="V5055" i="29"/>
  <c r="U5055" i="29"/>
  <c r="T5055" i="29"/>
  <c r="R5055" i="29"/>
  <c r="Q5055" i="29"/>
  <c r="V5054" i="29"/>
  <c r="U5054" i="29"/>
  <c r="T5054" i="29"/>
  <c r="R5054" i="29"/>
  <c r="Q5054" i="29"/>
  <c r="V5053" i="29"/>
  <c r="U5053" i="29"/>
  <c r="T5053" i="29"/>
  <c r="R5053" i="29"/>
  <c r="Q5053" i="29"/>
  <c r="V5052" i="29"/>
  <c r="U5052" i="29"/>
  <c r="T5052" i="29"/>
  <c r="R5052" i="29"/>
  <c r="Q5052" i="29"/>
  <c r="V5051" i="29"/>
  <c r="U5051" i="29"/>
  <c r="T5051" i="29"/>
  <c r="R5051" i="29"/>
  <c r="Q5051" i="29"/>
  <c r="V5050" i="29"/>
  <c r="U5050" i="29"/>
  <c r="T5050" i="29"/>
  <c r="R5050" i="29"/>
  <c r="Q5050" i="29"/>
  <c r="V5049" i="29"/>
  <c r="U5049" i="29"/>
  <c r="T5049" i="29"/>
  <c r="R5049" i="29"/>
  <c r="Q5049" i="29"/>
  <c r="V5046" i="29"/>
  <c r="U5046" i="29"/>
  <c r="T5046" i="29"/>
  <c r="R5046" i="29"/>
  <c r="Q5046" i="29"/>
  <c r="V5045" i="29"/>
  <c r="U5045" i="29"/>
  <c r="T5045" i="29"/>
  <c r="R5045" i="29"/>
  <c r="Q5045" i="29"/>
  <c r="V5044" i="29"/>
  <c r="U5044" i="29"/>
  <c r="T5044" i="29"/>
  <c r="R5044" i="29"/>
  <c r="Q5044" i="29"/>
  <c r="V5043" i="29"/>
  <c r="U5043" i="29"/>
  <c r="T5043" i="29"/>
  <c r="R5043" i="29"/>
  <c r="Q5043" i="29"/>
  <c r="V5042" i="29"/>
  <c r="U5042" i="29"/>
  <c r="T5042" i="29"/>
  <c r="R5042" i="29"/>
  <c r="Q5042" i="29"/>
  <c r="V5041" i="29"/>
  <c r="U5041" i="29"/>
  <c r="T5041" i="29"/>
  <c r="R5041" i="29"/>
  <c r="Q5041" i="29"/>
  <c r="V5040" i="29"/>
  <c r="U5040" i="29"/>
  <c r="T5040" i="29"/>
  <c r="R5040" i="29"/>
  <c r="Q5040" i="29"/>
  <c r="V5039" i="29"/>
  <c r="U5039" i="29"/>
  <c r="T5039" i="29"/>
  <c r="R5039" i="29"/>
  <c r="Q5039" i="29"/>
  <c r="V5038" i="29"/>
  <c r="U5038" i="29"/>
  <c r="T5038" i="29"/>
  <c r="R5038" i="29"/>
  <c r="Q5038" i="29"/>
  <c r="V5035" i="29"/>
  <c r="U5035" i="29"/>
  <c r="T5035" i="29"/>
  <c r="R5035" i="29"/>
  <c r="Q5035" i="29"/>
  <c r="V5034" i="29"/>
  <c r="U5034" i="29"/>
  <c r="T5034" i="29"/>
  <c r="R5034" i="29"/>
  <c r="Q5034" i="29"/>
  <c r="V5033" i="29"/>
  <c r="U5033" i="29"/>
  <c r="T5033" i="29"/>
  <c r="R5033" i="29"/>
  <c r="Q5033" i="29"/>
  <c r="V5032" i="29"/>
  <c r="U5032" i="29"/>
  <c r="T5032" i="29"/>
  <c r="R5032" i="29"/>
  <c r="Q5032" i="29"/>
  <c r="V5031" i="29"/>
  <c r="U5031" i="29"/>
  <c r="T5031" i="29"/>
  <c r="R5031" i="29"/>
  <c r="Q5031" i="29"/>
  <c r="V5030" i="29"/>
  <c r="U5030" i="29"/>
  <c r="T5030" i="29"/>
  <c r="R5030" i="29"/>
  <c r="Q5030" i="29"/>
  <c r="V5029" i="29"/>
  <c r="U5029" i="29"/>
  <c r="T5029" i="29"/>
  <c r="R5029" i="29"/>
  <c r="Q5029" i="29"/>
  <c r="V5028" i="29"/>
  <c r="U5028" i="29"/>
  <c r="T5028" i="29"/>
  <c r="R5028" i="29"/>
  <c r="Q5028" i="29"/>
  <c r="V5027" i="29"/>
  <c r="U5027" i="29"/>
  <c r="T5027" i="29"/>
  <c r="R5027" i="29"/>
  <c r="Q5027" i="29"/>
  <c r="V5024" i="29"/>
  <c r="U5024" i="29"/>
  <c r="T5024" i="29"/>
  <c r="R5024" i="29"/>
  <c r="Q5024" i="29"/>
  <c r="V5023" i="29"/>
  <c r="U5023" i="29"/>
  <c r="T5023" i="29"/>
  <c r="R5023" i="29"/>
  <c r="Q5023" i="29"/>
  <c r="V5022" i="29"/>
  <c r="U5022" i="29"/>
  <c r="T5022" i="29"/>
  <c r="R5022" i="29"/>
  <c r="Q5022" i="29"/>
  <c r="V5021" i="29"/>
  <c r="U5021" i="29"/>
  <c r="T5021" i="29"/>
  <c r="R5021" i="29"/>
  <c r="Q5021" i="29"/>
  <c r="V5020" i="29"/>
  <c r="U5020" i="29"/>
  <c r="T5020" i="29"/>
  <c r="R5020" i="29"/>
  <c r="Q5020" i="29"/>
  <c r="V5019" i="29"/>
  <c r="U5019" i="29"/>
  <c r="T5019" i="29"/>
  <c r="R5019" i="29"/>
  <c r="Q5019" i="29"/>
  <c r="V5018" i="29"/>
  <c r="U5018" i="29"/>
  <c r="T5018" i="29"/>
  <c r="R5018" i="29"/>
  <c r="Q5018" i="29"/>
  <c r="V5017" i="29"/>
  <c r="U5017" i="29"/>
  <c r="T5017" i="29"/>
  <c r="R5017" i="29"/>
  <c r="Q5017" i="29"/>
  <c r="V5016" i="29"/>
  <c r="U5016" i="29"/>
  <c r="T5016" i="29"/>
  <c r="R5016" i="29"/>
  <c r="Q5016" i="29"/>
  <c r="V5013" i="29"/>
  <c r="U5013" i="29"/>
  <c r="T5013" i="29"/>
  <c r="R5013" i="29"/>
  <c r="Q5013" i="29"/>
  <c r="V5012" i="29"/>
  <c r="U5012" i="29"/>
  <c r="T5012" i="29"/>
  <c r="R5012" i="29"/>
  <c r="Q5012" i="29"/>
  <c r="V5011" i="29"/>
  <c r="U5011" i="29"/>
  <c r="T5011" i="29"/>
  <c r="R5011" i="29"/>
  <c r="Q5011" i="29"/>
  <c r="V5010" i="29"/>
  <c r="U5010" i="29"/>
  <c r="T5010" i="29"/>
  <c r="R5010" i="29"/>
  <c r="Q5010" i="29"/>
  <c r="V5009" i="29"/>
  <c r="U5009" i="29"/>
  <c r="T5009" i="29"/>
  <c r="R5009" i="29"/>
  <c r="Q5009" i="29"/>
  <c r="V5008" i="29"/>
  <c r="U5008" i="29"/>
  <c r="T5008" i="29"/>
  <c r="R5008" i="29"/>
  <c r="Q5008" i="29"/>
  <c r="V5007" i="29"/>
  <c r="U5007" i="29"/>
  <c r="T5007" i="29"/>
  <c r="R5007" i="29"/>
  <c r="Q5007" i="29"/>
  <c r="V5006" i="29"/>
  <c r="U5006" i="29"/>
  <c r="T5006" i="29"/>
  <c r="R5006" i="29"/>
  <c r="Q5006" i="29"/>
  <c r="V5005" i="29"/>
  <c r="U5005" i="29"/>
  <c r="T5005" i="29"/>
  <c r="R5005" i="29"/>
  <c r="Q5005" i="29"/>
  <c r="V5002" i="29"/>
  <c r="U5002" i="29"/>
  <c r="T5002" i="29"/>
  <c r="R5002" i="29"/>
  <c r="Q5002" i="29"/>
  <c r="V5001" i="29"/>
  <c r="U5001" i="29"/>
  <c r="T5001" i="29"/>
  <c r="R5001" i="29"/>
  <c r="Q5001" i="29"/>
  <c r="V5000" i="29"/>
  <c r="U5000" i="29"/>
  <c r="T5000" i="29"/>
  <c r="R5000" i="29"/>
  <c r="Q5000" i="29"/>
  <c r="V4999" i="29"/>
  <c r="U4999" i="29"/>
  <c r="T4999" i="29"/>
  <c r="R4999" i="29"/>
  <c r="Q4999" i="29"/>
  <c r="V4998" i="29"/>
  <c r="U4998" i="29"/>
  <c r="T4998" i="29"/>
  <c r="R4998" i="29"/>
  <c r="Q4998" i="29"/>
  <c r="V4997" i="29"/>
  <c r="U4997" i="29"/>
  <c r="T4997" i="29"/>
  <c r="R4997" i="29"/>
  <c r="Q4997" i="29"/>
  <c r="V4996" i="29"/>
  <c r="U4996" i="29"/>
  <c r="T4996" i="29"/>
  <c r="R4996" i="29"/>
  <c r="Q4996" i="29"/>
  <c r="V4995" i="29"/>
  <c r="U4995" i="29"/>
  <c r="T4995" i="29"/>
  <c r="R4995" i="29"/>
  <c r="Q4995" i="29"/>
  <c r="V4994" i="29"/>
  <c r="U4994" i="29"/>
  <c r="T4994" i="29"/>
  <c r="R4994" i="29"/>
  <c r="Q4994" i="29"/>
  <c r="V4991" i="29"/>
  <c r="U4991" i="29"/>
  <c r="T4991" i="29"/>
  <c r="R4991" i="29"/>
  <c r="Q4991" i="29"/>
  <c r="V4990" i="29"/>
  <c r="U4990" i="29"/>
  <c r="T4990" i="29"/>
  <c r="R4990" i="29"/>
  <c r="Q4990" i="29"/>
  <c r="V4989" i="29"/>
  <c r="U4989" i="29"/>
  <c r="T4989" i="29"/>
  <c r="R4989" i="29"/>
  <c r="Q4989" i="29"/>
  <c r="V4988" i="29"/>
  <c r="U4988" i="29"/>
  <c r="T4988" i="29"/>
  <c r="R4988" i="29"/>
  <c r="Q4988" i="29"/>
  <c r="V4987" i="29"/>
  <c r="U4987" i="29"/>
  <c r="T4987" i="29"/>
  <c r="R4987" i="29"/>
  <c r="Q4987" i="29"/>
  <c r="V4986" i="29"/>
  <c r="U4986" i="29"/>
  <c r="T4986" i="29"/>
  <c r="R4986" i="29"/>
  <c r="Q4986" i="29"/>
  <c r="V4985" i="29"/>
  <c r="U4985" i="29"/>
  <c r="T4985" i="29"/>
  <c r="R4985" i="29"/>
  <c r="Q4985" i="29"/>
  <c r="V4984" i="29"/>
  <c r="U4984" i="29"/>
  <c r="T4984" i="29"/>
  <c r="R4984" i="29"/>
  <c r="Q4984" i="29"/>
  <c r="V4983" i="29"/>
  <c r="U4983" i="29"/>
  <c r="T4983" i="29"/>
  <c r="R4983" i="29"/>
  <c r="Q4983" i="29"/>
  <c r="V4980" i="29"/>
  <c r="U4980" i="29"/>
  <c r="T4980" i="29"/>
  <c r="R4980" i="29"/>
  <c r="Q4980" i="29"/>
  <c r="V4979" i="29"/>
  <c r="U4979" i="29"/>
  <c r="T4979" i="29"/>
  <c r="R4979" i="29"/>
  <c r="Q4979" i="29"/>
  <c r="V4978" i="29"/>
  <c r="U4978" i="29"/>
  <c r="T4978" i="29"/>
  <c r="R4978" i="29"/>
  <c r="Q4978" i="29"/>
  <c r="V4977" i="29"/>
  <c r="U4977" i="29"/>
  <c r="T4977" i="29"/>
  <c r="R4977" i="29"/>
  <c r="Q4977" i="29"/>
  <c r="V4976" i="29"/>
  <c r="U4976" i="29"/>
  <c r="T4976" i="29"/>
  <c r="R4976" i="29"/>
  <c r="Q4976" i="29"/>
  <c r="V4975" i="29"/>
  <c r="U4975" i="29"/>
  <c r="T4975" i="29"/>
  <c r="R4975" i="29"/>
  <c r="Q4975" i="29"/>
  <c r="V4974" i="29"/>
  <c r="U4974" i="29"/>
  <c r="T4974" i="29"/>
  <c r="R4974" i="29"/>
  <c r="Q4974" i="29"/>
  <c r="V4973" i="29"/>
  <c r="U4973" i="29"/>
  <c r="T4973" i="29"/>
  <c r="R4973" i="29"/>
  <c r="Q4973" i="29"/>
  <c r="V4972" i="29"/>
  <c r="U4972" i="29"/>
  <c r="T4972" i="29"/>
  <c r="R4972" i="29"/>
  <c r="Q4972" i="29"/>
  <c r="V4969" i="29"/>
  <c r="U4969" i="29"/>
  <c r="T4969" i="29"/>
  <c r="R4969" i="29"/>
  <c r="Q4969" i="29"/>
  <c r="V4968" i="29"/>
  <c r="U4968" i="29"/>
  <c r="T4968" i="29"/>
  <c r="R4968" i="29"/>
  <c r="Q4968" i="29"/>
  <c r="V4967" i="29"/>
  <c r="U4967" i="29"/>
  <c r="T4967" i="29"/>
  <c r="R4967" i="29"/>
  <c r="Q4967" i="29"/>
  <c r="V4966" i="29"/>
  <c r="U4966" i="29"/>
  <c r="T4966" i="29"/>
  <c r="R4966" i="29"/>
  <c r="Q4966" i="29"/>
  <c r="V4965" i="29"/>
  <c r="U4965" i="29"/>
  <c r="T4965" i="29"/>
  <c r="R4965" i="29"/>
  <c r="Q4965" i="29"/>
  <c r="V4964" i="29"/>
  <c r="U4964" i="29"/>
  <c r="T4964" i="29"/>
  <c r="R4964" i="29"/>
  <c r="Q4964" i="29"/>
  <c r="V4963" i="29"/>
  <c r="U4963" i="29"/>
  <c r="T4963" i="29"/>
  <c r="R4963" i="29"/>
  <c r="Q4963" i="29"/>
  <c r="V4962" i="29"/>
  <c r="U4962" i="29"/>
  <c r="T4962" i="29"/>
  <c r="R4962" i="29"/>
  <c r="Q4962" i="29"/>
  <c r="V4961" i="29"/>
  <c r="U4961" i="29"/>
  <c r="T4961" i="29"/>
  <c r="R4961" i="29"/>
  <c r="Q4961" i="29"/>
  <c r="V4958" i="29"/>
  <c r="U4958" i="29"/>
  <c r="T4958" i="29"/>
  <c r="R4958" i="29"/>
  <c r="Q4958" i="29"/>
  <c r="V4957" i="29"/>
  <c r="U4957" i="29"/>
  <c r="T4957" i="29"/>
  <c r="R4957" i="29"/>
  <c r="Q4957" i="29"/>
  <c r="V4956" i="29"/>
  <c r="U4956" i="29"/>
  <c r="T4956" i="29"/>
  <c r="R4956" i="29"/>
  <c r="Q4956" i="29"/>
  <c r="V4955" i="29"/>
  <c r="U4955" i="29"/>
  <c r="T4955" i="29"/>
  <c r="R4955" i="29"/>
  <c r="Q4955" i="29"/>
  <c r="V4954" i="29"/>
  <c r="U4954" i="29"/>
  <c r="T4954" i="29"/>
  <c r="R4954" i="29"/>
  <c r="Q4954" i="29"/>
  <c r="V4953" i="29"/>
  <c r="U4953" i="29"/>
  <c r="T4953" i="29"/>
  <c r="R4953" i="29"/>
  <c r="Q4953" i="29"/>
  <c r="V4952" i="29"/>
  <c r="U4952" i="29"/>
  <c r="T4952" i="29"/>
  <c r="R4952" i="29"/>
  <c r="Q4952" i="29"/>
  <c r="V4951" i="29"/>
  <c r="U4951" i="29"/>
  <c r="T4951" i="29"/>
  <c r="R4951" i="29"/>
  <c r="Q4951" i="29"/>
  <c r="V4950" i="29"/>
  <c r="U4950" i="29"/>
  <c r="T4950" i="29"/>
  <c r="R4950" i="29"/>
  <c r="Q4950" i="29"/>
  <c r="V4947" i="29"/>
  <c r="U4947" i="29"/>
  <c r="T4947" i="29"/>
  <c r="R4947" i="29"/>
  <c r="Q4947" i="29"/>
  <c r="V4946" i="29"/>
  <c r="U4946" i="29"/>
  <c r="T4946" i="29"/>
  <c r="R4946" i="29"/>
  <c r="Q4946" i="29"/>
  <c r="V4945" i="29"/>
  <c r="U4945" i="29"/>
  <c r="T4945" i="29"/>
  <c r="R4945" i="29"/>
  <c r="Q4945" i="29"/>
  <c r="V4944" i="29"/>
  <c r="U4944" i="29"/>
  <c r="T4944" i="29"/>
  <c r="R4944" i="29"/>
  <c r="Q4944" i="29"/>
  <c r="V4943" i="29"/>
  <c r="U4943" i="29"/>
  <c r="T4943" i="29"/>
  <c r="R4943" i="29"/>
  <c r="Q4943" i="29"/>
  <c r="V4942" i="29"/>
  <c r="U4942" i="29"/>
  <c r="T4942" i="29"/>
  <c r="R4942" i="29"/>
  <c r="Q4942" i="29"/>
  <c r="V4941" i="29"/>
  <c r="U4941" i="29"/>
  <c r="T4941" i="29"/>
  <c r="R4941" i="29"/>
  <c r="Q4941" i="29"/>
  <c r="V4940" i="29"/>
  <c r="U4940" i="29"/>
  <c r="T4940" i="29"/>
  <c r="R4940" i="29"/>
  <c r="Q4940" i="29"/>
  <c r="V4939" i="29"/>
  <c r="U4939" i="29"/>
  <c r="T4939" i="29"/>
  <c r="R4939" i="29"/>
  <c r="Q4939" i="29"/>
  <c r="V4936" i="29"/>
  <c r="U4936" i="29"/>
  <c r="T4936" i="29"/>
  <c r="R4936" i="29"/>
  <c r="Q4936" i="29"/>
  <c r="V4935" i="29"/>
  <c r="U4935" i="29"/>
  <c r="T4935" i="29"/>
  <c r="R4935" i="29"/>
  <c r="Q4935" i="29"/>
  <c r="V4934" i="29"/>
  <c r="U4934" i="29"/>
  <c r="T4934" i="29"/>
  <c r="R4934" i="29"/>
  <c r="Q4934" i="29"/>
  <c r="V4933" i="29"/>
  <c r="U4933" i="29"/>
  <c r="T4933" i="29"/>
  <c r="R4933" i="29"/>
  <c r="Q4933" i="29"/>
  <c r="V4932" i="29"/>
  <c r="U4932" i="29"/>
  <c r="T4932" i="29"/>
  <c r="R4932" i="29"/>
  <c r="Q4932" i="29"/>
  <c r="V4931" i="29"/>
  <c r="U4931" i="29"/>
  <c r="T4931" i="29"/>
  <c r="R4931" i="29"/>
  <c r="Q4931" i="29"/>
  <c r="V4930" i="29"/>
  <c r="U4930" i="29"/>
  <c r="T4930" i="29"/>
  <c r="R4930" i="29"/>
  <c r="Q4930" i="29"/>
  <c r="V4929" i="29"/>
  <c r="U4929" i="29"/>
  <c r="T4929" i="29"/>
  <c r="R4929" i="29"/>
  <c r="Q4929" i="29"/>
  <c r="V4928" i="29"/>
  <c r="U4928" i="29"/>
  <c r="T4928" i="29"/>
  <c r="R4928" i="29"/>
  <c r="Q4928" i="29"/>
  <c r="V4925" i="29"/>
  <c r="U4925" i="29"/>
  <c r="T4925" i="29"/>
  <c r="R4925" i="29"/>
  <c r="Q4925" i="29"/>
  <c r="V4924" i="29"/>
  <c r="U4924" i="29"/>
  <c r="T4924" i="29"/>
  <c r="R4924" i="29"/>
  <c r="Q4924" i="29"/>
  <c r="V4923" i="29"/>
  <c r="U4923" i="29"/>
  <c r="T4923" i="29"/>
  <c r="R4923" i="29"/>
  <c r="Q4923" i="29"/>
  <c r="V4922" i="29"/>
  <c r="U4922" i="29"/>
  <c r="T4922" i="29"/>
  <c r="R4922" i="29"/>
  <c r="Q4922" i="29"/>
  <c r="V4921" i="29"/>
  <c r="U4921" i="29"/>
  <c r="T4921" i="29"/>
  <c r="R4921" i="29"/>
  <c r="Q4921" i="29"/>
  <c r="V4920" i="29"/>
  <c r="U4920" i="29"/>
  <c r="T4920" i="29"/>
  <c r="R4920" i="29"/>
  <c r="Q4920" i="29"/>
  <c r="V4919" i="29"/>
  <c r="U4919" i="29"/>
  <c r="T4919" i="29"/>
  <c r="R4919" i="29"/>
  <c r="Q4919" i="29"/>
  <c r="V4918" i="29"/>
  <c r="U4918" i="29"/>
  <c r="T4918" i="29"/>
  <c r="R4918" i="29"/>
  <c r="Q4918" i="29"/>
  <c r="V4917" i="29"/>
  <c r="U4917" i="29"/>
  <c r="T4917" i="29"/>
  <c r="R4917" i="29"/>
  <c r="Q4917" i="29"/>
  <c r="V4914" i="29"/>
  <c r="U4914" i="29"/>
  <c r="T4914" i="29"/>
  <c r="R4914" i="29"/>
  <c r="Q4914" i="29"/>
  <c r="V4913" i="29"/>
  <c r="U4913" i="29"/>
  <c r="T4913" i="29"/>
  <c r="R4913" i="29"/>
  <c r="Q4913" i="29"/>
  <c r="V4912" i="29"/>
  <c r="U4912" i="29"/>
  <c r="T4912" i="29"/>
  <c r="R4912" i="29"/>
  <c r="Q4912" i="29"/>
  <c r="V4911" i="29"/>
  <c r="U4911" i="29"/>
  <c r="T4911" i="29"/>
  <c r="R4911" i="29"/>
  <c r="Q4911" i="29"/>
  <c r="V4910" i="29"/>
  <c r="U4910" i="29"/>
  <c r="T4910" i="29"/>
  <c r="R4910" i="29"/>
  <c r="Q4910" i="29"/>
  <c r="V4909" i="29"/>
  <c r="U4909" i="29"/>
  <c r="T4909" i="29"/>
  <c r="R4909" i="29"/>
  <c r="Q4909" i="29"/>
  <c r="V4908" i="29"/>
  <c r="U4908" i="29"/>
  <c r="T4908" i="29"/>
  <c r="R4908" i="29"/>
  <c r="Q4908" i="29"/>
  <c r="V4907" i="29"/>
  <c r="U4907" i="29"/>
  <c r="T4907" i="29"/>
  <c r="R4907" i="29"/>
  <c r="Q4907" i="29"/>
  <c r="V4906" i="29"/>
  <c r="U4906" i="29"/>
  <c r="T4906" i="29"/>
  <c r="R4906" i="29"/>
  <c r="Q4906" i="29"/>
  <c r="V4903" i="29"/>
  <c r="U4903" i="29"/>
  <c r="T4903" i="29"/>
  <c r="R4903" i="29"/>
  <c r="Q4903" i="29"/>
  <c r="V4902" i="29"/>
  <c r="U4902" i="29"/>
  <c r="T4902" i="29"/>
  <c r="R4902" i="29"/>
  <c r="Q4902" i="29"/>
  <c r="V4901" i="29"/>
  <c r="U4901" i="29"/>
  <c r="T4901" i="29"/>
  <c r="R4901" i="29"/>
  <c r="Q4901" i="29"/>
  <c r="V4900" i="29"/>
  <c r="U4900" i="29"/>
  <c r="T4900" i="29"/>
  <c r="R4900" i="29"/>
  <c r="Q4900" i="29"/>
  <c r="V4899" i="29"/>
  <c r="U4899" i="29"/>
  <c r="T4899" i="29"/>
  <c r="R4899" i="29"/>
  <c r="Q4899" i="29"/>
  <c r="V4898" i="29"/>
  <c r="U4898" i="29"/>
  <c r="T4898" i="29"/>
  <c r="R4898" i="29"/>
  <c r="Q4898" i="29"/>
  <c r="V4897" i="29"/>
  <c r="U4897" i="29"/>
  <c r="T4897" i="29"/>
  <c r="R4897" i="29"/>
  <c r="Q4897" i="29"/>
  <c r="V4896" i="29"/>
  <c r="U4896" i="29"/>
  <c r="T4896" i="29"/>
  <c r="R4896" i="29"/>
  <c r="Q4896" i="29"/>
  <c r="V4895" i="29"/>
  <c r="U4895" i="29"/>
  <c r="T4895" i="29"/>
  <c r="R4895" i="29"/>
  <c r="Q4895" i="29"/>
  <c r="V4892" i="29"/>
  <c r="U4892" i="29"/>
  <c r="T4892" i="29"/>
  <c r="R4892" i="29"/>
  <c r="Q4892" i="29"/>
  <c r="V4891" i="29"/>
  <c r="U4891" i="29"/>
  <c r="T4891" i="29"/>
  <c r="R4891" i="29"/>
  <c r="Q4891" i="29"/>
  <c r="V4890" i="29"/>
  <c r="U4890" i="29"/>
  <c r="T4890" i="29"/>
  <c r="R4890" i="29"/>
  <c r="Q4890" i="29"/>
  <c r="V4889" i="29"/>
  <c r="U4889" i="29"/>
  <c r="T4889" i="29"/>
  <c r="R4889" i="29"/>
  <c r="Q4889" i="29"/>
  <c r="V4888" i="29"/>
  <c r="U4888" i="29"/>
  <c r="T4888" i="29"/>
  <c r="R4888" i="29"/>
  <c r="Q4888" i="29"/>
  <c r="V4887" i="29"/>
  <c r="U4887" i="29"/>
  <c r="T4887" i="29"/>
  <c r="R4887" i="29"/>
  <c r="Q4887" i="29"/>
  <c r="V4886" i="29"/>
  <c r="U4886" i="29"/>
  <c r="T4886" i="29"/>
  <c r="R4886" i="29"/>
  <c r="Q4886" i="29"/>
  <c r="V4885" i="29"/>
  <c r="U4885" i="29"/>
  <c r="T4885" i="29"/>
  <c r="R4885" i="29"/>
  <c r="Q4885" i="29"/>
  <c r="V4884" i="29"/>
  <c r="U4884" i="29"/>
  <c r="T4884" i="29"/>
  <c r="R4884" i="29"/>
  <c r="Q4884" i="29"/>
  <c r="V4881" i="29"/>
  <c r="U4881" i="29"/>
  <c r="T4881" i="29"/>
  <c r="R4881" i="29"/>
  <c r="Q4881" i="29"/>
  <c r="V4880" i="29"/>
  <c r="U4880" i="29"/>
  <c r="T4880" i="29"/>
  <c r="R4880" i="29"/>
  <c r="Q4880" i="29"/>
  <c r="V4879" i="29"/>
  <c r="U4879" i="29"/>
  <c r="T4879" i="29"/>
  <c r="R4879" i="29"/>
  <c r="Q4879" i="29"/>
  <c r="V4878" i="29"/>
  <c r="U4878" i="29"/>
  <c r="T4878" i="29"/>
  <c r="R4878" i="29"/>
  <c r="Q4878" i="29"/>
  <c r="V4877" i="29"/>
  <c r="U4877" i="29"/>
  <c r="T4877" i="29"/>
  <c r="R4877" i="29"/>
  <c r="Q4877" i="29"/>
  <c r="V4876" i="29"/>
  <c r="U4876" i="29"/>
  <c r="T4876" i="29"/>
  <c r="R4876" i="29"/>
  <c r="Q4876" i="29"/>
  <c r="V4875" i="29"/>
  <c r="U4875" i="29"/>
  <c r="T4875" i="29"/>
  <c r="R4875" i="29"/>
  <c r="Q4875" i="29"/>
  <c r="V4874" i="29"/>
  <c r="U4874" i="29"/>
  <c r="T4874" i="29"/>
  <c r="R4874" i="29"/>
  <c r="Q4874" i="29"/>
  <c r="V4873" i="29"/>
  <c r="U4873" i="29"/>
  <c r="T4873" i="29"/>
  <c r="R4873" i="29"/>
  <c r="Q4873" i="29"/>
  <c r="V4870" i="29"/>
  <c r="U4870" i="29"/>
  <c r="T4870" i="29"/>
  <c r="R4870" i="29"/>
  <c r="Q4870" i="29"/>
  <c r="V4869" i="29"/>
  <c r="U4869" i="29"/>
  <c r="T4869" i="29"/>
  <c r="R4869" i="29"/>
  <c r="Q4869" i="29"/>
  <c r="V4868" i="29"/>
  <c r="U4868" i="29"/>
  <c r="T4868" i="29"/>
  <c r="R4868" i="29"/>
  <c r="Q4868" i="29"/>
  <c r="V4867" i="29"/>
  <c r="U4867" i="29"/>
  <c r="T4867" i="29"/>
  <c r="R4867" i="29"/>
  <c r="Q4867" i="29"/>
  <c r="V4866" i="29"/>
  <c r="U4866" i="29"/>
  <c r="T4866" i="29"/>
  <c r="R4866" i="29"/>
  <c r="Q4866" i="29"/>
  <c r="V4865" i="29"/>
  <c r="U4865" i="29"/>
  <c r="T4865" i="29"/>
  <c r="R4865" i="29"/>
  <c r="Q4865" i="29"/>
  <c r="V4864" i="29"/>
  <c r="U4864" i="29"/>
  <c r="T4864" i="29"/>
  <c r="R4864" i="29"/>
  <c r="Q4864" i="29"/>
  <c r="V4863" i="29"/>
  <c r="U4863" i="29"/>
  <c r="T4863" i="29"/>
  <c r="R4863" i="29"/>
  <c r="Q4863" i="29"/>
  <c r="V4862" i="29"/>
  <c r="U4862" i="29"/>
  <c r="T4862" i="29"/>
  <c r="R4862" i="29"/>
  <c r="Q4862" i="29"/>
  <c r="V4859" i="29"/>
  <c r="U4859" i="29"/>
  <c r="T4859" i="29"/>
  <c r="R4859" i="29"/>
  <c r="Q4859" i="29"/>
  <c r="V4858" i="29"/>
  <c r="U4858" i="29"/>
  <c r="T4858" i="29"/>
  <c r="R4858" i="29"/>
  <c r="Q4858" i="29"/>
  <c r="V4857" i="29"/>
  <c r="U4857" i="29"/>
  <c r="T4857" i="29"/>
  <c r="R4857" i="29"/>
  <c r="Q4857" i="29"/>
  <c r="V4856" i="29"/>
  <c r="U4856" i="29"/>
  <c r="T4856" i="29"/>
  <c r="R4856" i="29"/>
  <c r="Q4856" i="29"/>
  <c r="V4855" i="29"/>
  <c r="U4855" i="29"/>
  <c r="T4855" i="29"/>
  <c r="R4855" i="29"/>
  <c r="Q4855" i="29"/>
  <c r="V4854" i="29"/>
  <c r="U4854" i="29"/>
  <c r="T4854" i="29"/>
  <c r="R4854" i="29"/>
  <c r="Q4854" i="29"/>
  <c r="V4853" i="29"/>
  <c r="U4853" i="29"/>
  <c r="T4853" i="29"/>
  <c r="R4853" i="29"/>
  <c r="Q4853" i="29"/>
  <c r="V4852" i="29"/>
  <c r="U4852" i="29"/>
  <c r="T4852" i="29"/>
  <c r="R4852" i="29"/>
  <c r="Q4852" i="29"/>
  <c r="V4851" i="29"/>
  <c r="U4851" i="29"/>
  <c r="T4851" i="29"/>
  <c r="R4851" i="29"/>
  <c r="Q4851" i="29"/>
  <c r="V4848" i="29"/>
  <c r="U4848" i="29"/>
  <c r="T4848" i="29"/>
  <c r="R4848" i="29"/>
  <c r="Q4848" i="29"/>
  <c r="V4847" i="29"/>
  <c r="U4847" i="29"/>
  <c r="T4847" i="29"/>
  <c r="R4847" i="29"/>
  <c r="Q4847" i="29"/>
  <c r="V4846" i="29"/>
  <c r="U4846" i="29"/>
  <c r="T4846" i="29"/>
  <c r="R4846" i="29"/>
  <c r="Q4846" i="29"/>
  <c r="V4845" i="29"/>
  <c r="U4845" i="29"/>
  <c r="T4845" i="29"/>
  <c r="R4845" i="29"/>
  <c r="Q4845" i="29"/>
  <c r="V4844" i="29"/>
  <c r="U4844" i="29"/>
  <c r="T4844" i="29"/>
  <c r="R4844" i="29"/>
  <c r="Q4844" i="29"/>
  <c r="V4843" i="29"/>
  <c r="U4843" i="29"/>
  <c r="T4843" i="29"/>
  <c r="R4843" i="29"/>
  <c r="Q4843" i="29"/>
  <c r="V4842" i="29"/>
  <c r="U4842" i="29"/>
  <c r="T4842" i="29"/>
  <c r="R4842" i="29"/>
  <c r="Q4842" i="29"/>
  <c r="V4841" i="29"/>
  <c r="U4841" i="29"/>
  <c r="T4841" i="29"/>
  <c r="R4841" i="29"/>
  <c r="Q4841" i="29"/>
  <c r="V4840" i="29"/>
  <c r="U4840" i="29"/>
  <c r="T4840" i="29"/>
  <c r="R4840" i="29"/>
  <c r="Q4840" i="29"/>
  <c r="V4837" i="29"/>
  <c r="U4837" i="29"/>
  <c r="T4837" i="29"/>
  <c r="R4837" i="29"/>
  <c r="Q4837" i="29"/>
  <c r="V4836" i="29"/>
  <c r="U4836" i="29"/>
  <c r="T4836" i="29"/>
  <c r="R4836" i="29"/>
  <c r="Q4836" i="29"/>
  <c r="V4835" i="29"/>
  <c r="U4835" i="29"/>
  <c r="T4835" i="29"/>
  <c r="R4835" i="29"/>
  <c r="Q4835" i="29"/>
  <c r="V4834" i="29"/>
  <c r="U4834" i="29"/>
  <c r="T4834" i="29"/>
  <c r="R4834" i="29"/>
  <c r="Q4834" i="29"/>
  <c r="V4833" i="29"/>
  <c r="U4833" i="29"/>
  <c r="T4833" i="29"/>
  <c r="R4833" i="29"/>
  <c r="Q4833" i="29"/>
  <c r="V4832" i="29"/>
  <c r="U4832" i="29"/>
  <c r="T4832" i="29"/>
  <c r="R4832" i="29"/>
  <c r="Q4832" i="29"/>
  <c r="V4831" i="29"/>
  <c r="U4831" i="29"/>
  <c r="T4831" i="29"/>
  <c r="R4831" i="29"/>
  <c r="Q4831" i="29"/>
  <c r="V4830" i="29"/>
  <c r="U4830" i="29"/>
  <c r="T4830" i="29"/>
  <c r="R4830" i="29"/>
  <c r="Q4830" i="29"/>
  <c r="V4829" i="29"/>
  <c r="U4829" i="29"/>
  <c r="T4829" i="29"/>
  <c r="R4829" i="29"/>
  <c r="Q4829" i="29"/>
  <c r="V4826" i="29"/>
  <c r="U4826" i="29"/>
  <c r="T4826" i="29"/>
  <c r="R4826" i="29"/>
  <c r="Q4826" i="29"/>
  <c r="V4825" i="29"/>
  <c r="U4825" i="29"/>
  <c r="T4825" i="29"/>
  <c r="R4825" i="29"/>
  <c r="Q4825" i="29"/>
  <c r="V4824" i="29"/>
  <c r="U4824" i="29"/>
  <c r="T4824" i="29"/>
  <c r="R4824" i="29"/>
  <c r="Q4824" i="29"/>
  <c r="V4823" i="29"/>
  <c r="U4823" i="29"/>
  <c r="T4823" i="29"/>
  <c r="R4823" i="29"/>
  <c r="Q4823" i="29"/>
  <c r="V4822" i="29"/>
  <c r="U4822" i="29"/>
  <c r="T4822" i="29"/>
  <c r="R4822" i="29"/>
  <c r="Q4822" i="29"/>
  <c r="V4821" i="29"/>
  <c r="U4821" i="29"/>
  <c r="T4821" i="29"/>
  <c r="R4821" i="29"/>
  <c r="Q4821" i="29"/>
  <c r="V4820" i="29"/>
  <c r="U4820" i="29"/>
  <c r="T4820" i="29"/>
  <c r="R4820" i="29"/>
  <c r="Q4820" i="29"/>
  <c r="V4819" i="29"/>
  <c r="U4819" i="29"/>
  <c r="T4819" i="29"/>
  <c r="R4819" i="29"/>
  <c r="Q4819" i="29"/>
  <c r="V4818" i="29"/>
  <c r="U4818" i="29"/>
  <c r="T4818" i="29"/>
  <c r="R4818" i="29"/>
  <c r="Q4818" i="29"/>
  <c r="V4815" i="29"/>
  <c r="U4815" i="29"/>
  <c r="T4815" i="29"/>
  <c r="R4815" i="29"/>
  <c r="Q4815" i="29"/>
  <c r="V4814" i="29"/>
  <c r="U4814" i="29"/>
  <c r="T4814" i="29"/>
  <c r="R4814" i="29"/>
  <c r="Q4814" i="29"/>
  <c r="V4813" i="29"/>
  <c r="U4813" i="29"/>
  <c r="T4813" i="29"/>
  <c r="R4813" i="29"/>
  <c r="Q4813" i="29"/>
  <c r="V4812" i="29"/>
  <c r="U4812" i="29"/>
  <c r="T4812" i="29"/>
  <c r="R4812" i="29"/>
  <c r="Q4812" i="29"/>
  <c r="V4811" i="29"/>
  <c r="U4811" i="29"/>
  <c r="T4811" i="29"/>
  <c r="R4811" i="29"/>
  <c r="Q4811" i="29"/>
  <c r="V4810" i="29"/>
  <c r="U4810" i="29"/>
  <c r="T4810" i="29"/>
  <c r="R4810" i="29"/>
  <c r="Q4810" i="29"/>
  <c r="V4809" i="29"/>
  <c r="U4809" i="29"/>
  <c r="T4809" i="29"/>
  <c r="R4809" i="29"/>
  <c r="Q4809" i="29"/>
  <c r="V4808" i="29"/>
  <c r="U4808" i="29"/>
  <c r="T4808" i="29"/>
  <c r="R4808" i="29"/>
  <c r="Q4808" i="29"/>
  <c r="V4807" i="29"/>
  <c r="U4807" i="29"/>
  <c r="T4807" i="29"/>
  <c r="R4807" i="29"/>
  <c r="Q4807" i="29"/>
  <c r="V4804" i="29"/>
  <c r="U4804" i="29"/>
  <c r="T4804" i="29"/>
  <c r="R4804" i="29"/>
  <c r="Q4804" i="29"/>
  <c r="V4803" i="29"/>
  <c r="U4803" i="29"/>
  <c r="T4803" i="29"/>
  <c r="R4803" i="29"/>
  <c r="Q4803" i="29"/>
  <c r="V4802" i="29"/>
  <c r="U4802" i="29"/>
  <c r="T4802" i="29"/>
  <c r="R4802" i="29"/>
  <c r="Q4802" i="29"/>
  <c r="V4801" i="29"/>
  <c r="U4801" i="29"/>
  <c r="T4801" i="29"/>
  <c r="R4801" i="29"/>
  <c r="Q4801" i="29"/>
  <c r="V4800" i="29"/>
  <c r="U4800" i="29"/>
  <c r="T4800" i="29"/>
  <c r="R4800" i="29"/>
  <c r="Q4800" i="29"/>
  <c r="V4799" i="29"/>
  <c r="U4799" i="29"/>
  <c r="T4799" i="29"/>
  <c r="R4799" i="29"/>
  <c r="Q4799" i="29"/>
  <c r="V4798" i="29"/>
  <c r="U4798" i="29"/>
  <c r="T4798" i="29"/>
  <c r="R4798" i="29"/>
  <c r="Q4798" i="29"/>
  <c r="V4797" i="29"/>
  <c r="U4797" i="29"/>
  <c r="T4797" i="29"/>
  <c r="R4797" i="29"/>
  <c r="Q4797" i="29"/>
  <c r="V4796" i="29"/>
  <c r="U4796" i="29"/>
  <c r="T4796" i="29"/>
  <c r="R4796" i="29"/>
  <c r="Q4796" i="29"/>
  <c r="V4793" i="29"/>
  <c r="U4793" i="29"/>
  <c r="T4793" i="29"/>
  <c r="R4793" i="29"/>
  <c r="Q4793" i="29"/>
  <c r="V4792" i="29"/>
  <c r="U4792" i="29"/>
  <c r="T4792" i="29"/>
  <c r="R4792" i="29"/>
  <c r="Q4792" i="29"/>
  <c r="V4791" i="29"/>
  <c r="U4791" i="29"/>
  <c r="T4791" i="29"/>
  <c r="R4791" i="29"/>
  <c r="Q4791" i="29"/>
  <c r="V4790" i="29"/>
  <c r="U4790" i="29"/>
  <c r="T4790" i="29"/>
  <c r="R4790" i="29"/>
  <c r="Q4790" i="29"/>
  <c r="V4789" i="29"/>
  <c r="U4789" i="29"/>
  <c r="T4789" i="29"/>
  <c r="R4789" i="29"/>
  <c r="Q4789" i="29"/>
  <c r="V4788" i="29"/>
  <c r="U4788" i="29"/>
  <c r="T4788" i="29"/>
  <c r="R4788" i="29"/>
  <c r="Q4788" i="29"/>
  <c r="V4787" i="29"/>
  <c r="U4787" i="29"/>
  <c r="T4787" i="29"/>
  <c r="R4787" i="29"/>
  <c r="Q4787" i="29"/>
  <c r="V4786" i="29"/>
  <c r="U4786" i="29"/>
  <c r="T4786" i="29"/>
  <c r="R4786" i="29"/>
  <c r="Q4786" i="29"/>
  <c r="V4785" i="29"/>
  <c r="U4785" i="29"/>
  <c r="T4785" i="29"/>
  <c r="R4785" i="29"/>
  <c r="Q4785" i="29"/>
  <c r="V4782" i="29"/>
  <c r="U4782" i="29"/>
  <c r="T4782" i="29"/>
  <c r="R4782" i="29"/>
  <c r="Q4782" i="29"/>
  <c r="V4781" i="29"/>
  <c r="U4781" i="29"/>
  <c r="T4781" i="29"/>
  <c r="R4781" i="29"/>
  <c r="Q4781" i="29"/>
  <c r="V4780" i="29"/>
  <c r="U4780" i="29"/>
  <c r="T4780" i="29"/>
  <c r="R4780" i="29"/>
  <c r="Q4780" i="29"/>
  <c r="V4779" i="29"/>
  <c r="U4779" i="29"/>
  <c r="T4779" i="29"/>
  <c r="R4779" i="29"/>
  <c r="Q4779" i="29"/>
  <c r="V4778" i="29"/>
  <c r="U4778" i="29"/>
  <c r="T4778" i="29"/>
  <c r="R4778" i="29"/>
  <c r="Q4778" i="29"/>
  <c r="V4777" i="29"/>
  <c r="U4777" i="29"/>
  <c r="T4777" i="29"/>
  <c r="R4777" i="29"/>
  <c r="Q4777" i="29"/>
  <c r="V4776" i="29"/>
  <c r="U4776" i="29"/>
  <c r="T4776" i="29"/>
  <c r="R4776" i="29"/>
  <c r="Q4776" i="29"/>
  <c r="V4775" i="29"/>
  <c r="U4775" i="29"/>
  <c r="T4775" i="29"/>
  <c r="R4775" i="29"/>
  <c r="Q4775" i="29"/>
  <c r="V4774" i="29"/>
  <c r="U4774" i="29"/>
  <c r="T4774" i="29"/>
  <c r="R4774" i="29"/>
  <c r="Q4774" i="29"/>
  <c r="V4771" i="29"/>
  <c r="U4771" i="29"/>
  <c r="T4771" i="29"/>
  <c r="R4771" i="29"/>
  <c r="Q4771" i="29"/>
  <c r="V4770" i="29"/>
  <c r="U4770" i="29"/>
  <c r="T4770" i="29"/>
  <c r="R4770" i="29"/>
  <c r="Q4770" i="29"/>
  <c r="V4769" i="29"/>
  <c r="U4769" i="29"/>
  <c r="T4769" i="29"/>
  <c r="R4769" i="29"/>
  <c r="Q4769" i="29"/>
  <c r="V4768" i="29"/>
  <c r="U4768" i="29"/>
  <c r="T4768" i="29"/>
  <c r="R4768" i="29"/>
  <c r="Q4768" i="29"/>
  <c r="V4767" i="29"/>
  <c r="U4767" i="29"/>
  <c r="T4767" i="29"/>
  <c r="R4767" i="29"/>
  <c r="Q4767" i="29"/>
  <c r="V4766" i="29"/>
  <c r="U4766" i="29"/>
  <c r="T4766" i="29"/>
  <c r="R4766" i="29"/>
  <c r="Q4766" i="29"/>
  <c r="V4765" i="29"/>
  <c r="U4765" i="29"/>
  <c r="T4765" i="29"/>
  <c r="R4765" i="29"/>
  <c r="Q4765" i="29"/>
  <c r="V4764" i="29"/>
  <c r="U4764" i="29"/>
  <c r="T4764" i="29"/>
  <c r="R4764" i="29"/>
  <c r="Q4764" i="29"/>
  <c r="V4763" i="29"/>
  <c r="U4763" i="29"/>
  <c r="T4763" i="29"/>
  <c r="R4763" i="29"/>
  <c r="Q4763" i="29"/>
  <c r="V4760" i="29"/>
  <c r="U4760" i="29"/>
  <c r="T4760" i="29"/>
  <c r="R4760" i="29"/>
  <c r="Q4760" i="29"/>
  <c r="V4759" i="29"/>
  <c r="U4759" i="29"/>
  <c r="T4759" i="29"/>
  <c r="R4759" i="29"/>
  <c r="Q4759" i="29"/>
  <c r="V4758" i="29"/>
  <c r="U4758" i="29"/>
  <c r="T4758" i="29"/>
  <c r="R4758" i="29"/>
  <c r="Q4758" i="29"/>
  <c r="V4757" i="29"/>
  <c r="U4757" i="29"/>
  <c r="T4757" i="29"/>
  <c r="R4757" i="29"/>
  <c r="Q4757" i="29"/>
  <c r="V4756" i="29"/>
  <c r="U4756" i="29"/>
  <c r="T4756" i="29"/>
  <c r="R4756" i="29"/>
  <c r="Q4756" i="29"/>
  <c r="V4755" i="29"/>
  <c r="U4755" i="29"/>
  <c r="T4755" i="29"/>
  <c r="R4755" i="29"/>
  <c r="Q4755" i="29"/>
  <c r="V4754" i="29"/>
  <c r="U4754" i="29"/>
  <c r="T4754" i="29"/>
  <c r="R4754" i="29"/>
  <c r="Q4754" i="29"/>
  <c r="V4753" i="29"/>
  <c r="U4753" i="29"/>
  <c r="T4753" i="29"/>
  <c r="R4753" i="29"/>
  <c r="Q4753" i="29"/>
  <c r="V4752" i="29"/>
  <c r="U4752" i="29"/>
  <c r="T4752" i="29"/>
  <c r="R4752" i="29"/>
  <c r="Q4752" i="29"/>
  <c r="V4749" i="29"/>
  <c r="U4749" i="29"/>
  <c r="T4749" i="29"/>
  <c r="R4749" i="29"/>
  <c r="Q4749" i="29"/>
  <c r="V4748" i="29"/>
  <c r="U4748" i="29"/>
  <c r="T4748" i="29"/>
  <c r="R4748" i="29"/>
  <c r="Q4748" i="29"/>
  <c r="V4747" i="29"/>
  <c r="U4747" i="29"/>
  <c r="T4747" i="29"/>
  <c r="R4747" i="29"/>
  <c r="Q4747" i="29"/>
  <c r="V4746" i="29"/>
  <c r="U4746" i="29"/>
  <c r="T4746" i="29"/>
  <c r="R4746" i="29"/>
  <c r="Q4746" i="29"/>
  <c r="V4745" i="29"/>
  <c r="U4745" i="29"/>
  <c r="T4745" i="29"/>
  <c r="R4745" i="29"/>
  <c r="Q4745" i="29"/>
  <c r="V4744" i="29"/>
  <c r="U4744" i="29"/>
  <c r="T4744" i="29"/>
  <c r="R4744" i="29"/>
  <c r="Q4744" i="29"/>
  <c r="V4743" i="29"/>
  <c r="U4743" i="29"/>
  <c r="T4743" i="29"/>
  <c r="R4743" i="29"/>
  <c r="Q4743" i="29"/>
  <c r="V4742" i="29"/>
  <c r="U4742" i="29"/>
  <c r="T4742" i="29"/>
  <c r="R4742" i="29"/>
  <c r="Q4742" i="29"/>
  <c r="V4741" i="29"/>
  <c r="U4741" i="29"/>
  <c r="T4741" i="29"/>
  <c r="R4741" i="29"/>
  <c r="Q4741" i="29"/>
  <c r="V4738" i="29"/>
  <c r="U4738" i="29"/>
  <c r="T4738" i="29"/>
  <c r="R4738" i="29"/>
  <c r="Q4738" i="29"/>
  <c r="V4737" i="29"/>
  <c r="U4737" i="29"/>
  <c r="T4737" i="29"/>
  <c r="R4737" i="29"/>
  <c r="Q4737" i="29"/>
  <c r="V4736" i="29"/>
  <c r="U4736" i="29"/>
  <c r="T4736" i="29"/>
  <c r="R4736" i="29"/>
  <c r="Q4736" i="29"/>
  <c r="V4735" i="29"/>
  <c r="U4735" i="29"/>
  <c r="T4735" i="29"/>
  <c r="R4735" i="29"/>
  <c r="Q4735" i="29"/>
  <c r="V4734" i="29"/>
  <c r="U4734" i="29"/>
  <c r="T4734" i="29"/>
  <c r="R4734" i="29"/>
  <c r="Q4734" i="29"/>
  <c r="V4733" i="29"/>
  <c r="U4733" i="29"/>
  <c r="T4733" i="29"/>
  <c r="R4733" i="29"/>
  <c r="Q4733" i="29"/>
  <c r="V4732" i="29"/>
  <c r="U4732" i="29"/>
  <c r="T4732" i="29"/>
  <c r="R4732" i="29"/>
  <c r="Q4732" i="29"/>
  <c r="V4731" i="29"/>
  <c r="U4731" i="29"/>
  <c r="T4731" i="29"/>
  <c r="R4731" i="29"/>
  <c r="Q4731" i="29"/>
  <c r="V4730" i="29"/>
  <c r="U4730" i="29"/>
  <c r="T4730" i="29"/>
  <c r="R4730" i="29"/>
  <c r="Q4730" i="29"/>
  <c r="V4727" i="29"/>
  <c r="U4727" i="29"/>
  <c r="T4727" i="29"/>
  <c r="R4727" i="29"/>
  <c r="Q4727" i="29"/>
  <c r="V4726" i="29"/>
  <c r="U4726" i="29"/>
  <c r="T4726" i="29"/>
  <c r="R4726" i="29"/>
  <c r="Q4726" i="29"/>
  <c r="V4725" i="29"/>
  <c r="U4725" i="29"/>
  <c r="T4725" i="29"/>
  <c r="R4725" i="29"/>
  <c r="Q4725" i="29"/>
  <c r="V4724" i="29"/>
  <c r="U4724" i="29"/>
  <c r="T4724" i="29"/>
  <c r="R4724" i="29"/>
  <c r="Q4724" i="29"/>
  <c r="V4723" i="29"/>
  <c r="U4723" i="29"/>
  <c r="T4723" i="29"/>
  <c r="R4723" i="29"/>
  <c r="Q4723" i="29"/>
  <c r="V4722" i="29"/>
  <c r="U4722" i="29"/>
  <c r="T4722" i="29"/>
  <c r="R4722" i="29"/>
  <c r="Q4722" i="29"/>
  <c r="V4721" i="29"/>
  <c r="U4721" i="29"/>
  <c r="T4721" i="29"/>
  <c r="R4721" i="29"/>
  <c r="Q4721" i="29"/>
  <c r="V4720" i="29"/>
  <c r="U4720" i="29"/>
  <c r="T4720" i="29"/>
  <c r="R4720" i="29"/>
  <c r="Q4720" i="29"/>
  <c r="V4719" i="29"/>
  <c r="U4719" i="29"/>
  <c r="T4719" i="29"/>
  <c r="R4719" i="29"/>
  <c r="Q4719" i="29"/>
  <c r="V4716" i="29"/>
  <c r="U4716" i="29"/>
  <c r="T4716" i="29"/>
  <c r="R4716" i="29"/>
  <c r="Q4716" i="29"/>
  <c r="V4715" i="29"/>
  <c r="U4715" i="29"/>
  <c r="T4715" i="29"/>
  <c r="R4715" i="29"/>
  <c r="Q4715" i="29"/>
  <c r="V4714" i="29"/>
  <c r="U4714" i="29"/>
  <c r="T4714" i="29"/>
  <c r="R4714" i="29"/>
  <c r="Q4714" i="29"/>
  <c r="V4713" i="29"/>
  <c r="U4713" i="29"/>
  <c r="T4713" i="29"/>
  <c r="R4713" i="29"/>
  <c r="Q4713" i="29"/>
  <c r="V4712" i="29"/>
  <c r="U4712" i="29"/>
  <c r="T4712" i="29"/>
  <c r="R4712" i="29"/>
  <c r="Q4712" i="29"/>
  <c r="V4711" i="29"/>
  <c r="U4711" i="29"/>
  <c r="T4711" i="29"/>
  <c r="R4711" i="29"/>
  <c r="Q4711" i="29"/>
  <c r="V4710" i="29"/>
  <c r="U4710" i="29"/>
  <c r="T4710" i="29"/>
  <c r="R4710" i="29"/>
  <c r="Q4710" i="29"/>
  <c r="V4709" i="29"/>
  <c r="U4709" i="29"/>
  <c r="T4709" i="29"/>
  <c r="R4709" i="29"/>
  <c r="Q4709" i="29"/>
  <c r="V4708" i="29"/>
  <c r="U4708" i="29"/>
  <c r="T4708" i="29"/>
  <c r="R4708" i="29"/>
  <c r="Q4708" i="29"/>
  <c r="V4705" i="29"/>
  <c r="U4705" i="29"/>
  <c r="T4705" i="29"/>
  <c r="R4705" i="29"/>
  <c r="Q4705" i="29"/>
  <c r="V4704" i="29"/>
  <c r="U4704" i="29"/>
  <c r="T4704" i="29"/>
  <c r="R4704" i="29"/>
  <c r="Q4704" i="29"/>
  <c r="V4703" i="29"/>
  <c r="U4703" i="29"/>
  <c r="T4703" i="29"/>
  <c r="R4703" i="29"/>
  <c r="Q4703" i="29"/>
  <c r="V4702" i="29"/>
  <c r="U4702" i="29"/>
  <c r="T4702" i="29"/>
  <c r="R4702" i="29"/>
  <c r="Q4702" i="29"/>
  <c r="V4701" i="29"/>
  <c r="U4701" i="29"/>
  <c r="T4701" i="29"/>
  <c r="R4701" i="29"/>
  <c r="Q4701" i="29"/>
  <c r="V4700" i="29"/>
  <c r="U4700" i="29"/>
  <c r="T4700" i="29"/>
  <c r="R4700" i="29"/>
  <c r="Q4700" i="29"/>
  <c r="V4699" i="29"/>
  <c r="U4699" i="29"/>
  <c r="T4699" i="29"/>
  <c r="R4699" i="29"/>
  <c r="Q4699" i="29"/>
  <c r="V4698" i="29"/>
  <c r="U4698" i="29"/>
  <c r="T4698" i="29"/>
  <c r="R4698" i="29"/>
  <c r="Q4698" i="29"/>
  <c r="V4697" i="29"/>
  <c r="U4697" i="29"/>
  <c r="T4697" i="29"/>
  <c r="R4697" i="29"/>
  <c r="Q4697" i="29"/>
  <c r="V4694" i="29"/>
  <c r="U4694" i="29"/>
  <c r="T4694" i="29"/>
  <c r="R4694" i="29"/>
  <c r="Q4694" i="29"/>
  <c r="V4693" i="29"/>
  <c r="U4693" i="29"/>
  <c r="T4693" i="29"/>
  <c r="R4693" i="29"/>
  <c r="Q4693" i="29"/>
  <c r="V4692" i="29"/>
  <c r="U4692" i="29"/>
  <c r="T4692" i="29"/>
  <c r="R4692" i="29"/>
  <c r="Q4692" i="29"/>
  <c r="V4691" i="29"/>
  <c r="U4691" i="29"/>
  <c r="T4691" i="29"/>
  <c r="R4691" i="29"/>
  <c r="Q4691" i="29"/>
  <c r="V4690" i="29"/>
  <c r="U4690" i="29"/>
  <c r="T4690" i="29"/>
  <c r="R4690" i="29"/>
  <c r="Q4690" i="29"/>
  <c r="V4689" i="29"/>
  <c r="U4689" i="29"/>
  <c r="T4689" i="29"/>
  <c r="R4689" i="29"/>
  <c r="Q4689" i="29"/>
  <c r="V4688" i="29"/>
  <c r="U4688" i="29"/>
  <c r="T4688" i="29"/>
  <c r="R4688" i="29"/>
  <c r="Q4688" i="29"/>
  <c r="V4687" i="29"/>
  <c r="U4687" i="29"/>
  <c r="T4687" i="29"/>
  <c r="R4687" i="29"/>
  <c r="Q4687" i="29"/>
  <c r="V4686" i="29"/>
  <c r="U4686" i="29"/>
  <c r="T4686" i="29"/>
  <c r="R4686" i="29"/>
  <c r="Q4686" i="29"/>
  <c r="V4683" i="29"/>
  <c r="U4683" i="29"/>
  <c r="T4683" i="29"/>
  <c r="R4683" i="29"/>
  <c r="Q4683" i="29"/>
  <c r="V4682" i="29"/>
  <c r="U4682" i="29"/>
  <c r="T4682" i="29"/>
  <c r="R4682" i="29"/>
  <c r="Q4682" i="29"/>
  <c r="V4681" i="29"/>
  <c r="U4681" i="29"/>
  <c r="T4681" i="29"/>
  <c r="R4681" i="29"/>
  <c r="Q4681" i="29"/>
  <c r="V4680" i="29"/>
  <c r="U4680" i="29"/>
  <c r="T4680" i="29"/>
  <c r="R4680" i="29"/>
  <c r="Q4680" i="29"/>
  <c r="V4679" i="29"/>
  <c r="U4679" i="29"/>
  <c r="T4679" i="29"/>
  <c r="R4679" i="29"/>
  <c r="Q4679" i="29"/>
  <c r="V4678" i="29"/>
  <c r="U4678" i="29"/>
  <c r="T4678" i="29"/>
  <c r="R4678" i="29"/>
  <c r="Q4678" i="29"/>
  <c r="V4677" i="29"/>
  <c r="U4677" i="29"/>
  <c r="T4677" i="29"/>
  <c r="R4677" i="29"/>
  <c r="Q4677" i="29"/>
  <c r="V4676" i="29"/>
  <c r="U4676" i="29"/>
  <c r="T4676" i="29"/>
  <c r="R4676" i="29"/>
  <c r="Q4676" i="29"/>
  <c r="V4675" i="29"/>
  <c r="U4675" i="29"/>
  <c r="T4675" i="29"/>
  <c r="R4675" i="29"/>
  <c r="Q4675" i="29"/>
  <c r="V4672" i="29"/>
  <c r="U4672" i="29"/>
  <c r="T4672" i="29"/>
  <c r="R4672" i="29"/>
  <c r="Q4672" i="29"/>
  <c r="V4671" i="29"/>
  <c r="U4671" i="29"/>
  <c r="T4671" i="29"/>
  <c r="R4671" i="29"/>
  <c r="Q4671" i="29"/>
  <c r="V4670" i="29"/>
  <c r="U4670" i="29"/>
  <c r="T4670" i="29"/>
  <c r="R4670" i="29"/>
  <c r="Q4670" i="29"/>
  <c r="V4669" i="29"/>
  <c r="U4669" i="29"/>
  <c r="T4669" i="29"/>
  <c r="R4669" i="29"/>
  <c r="Q4669" i="29"/>
  <c r="V4668" i="29"/>
  <c r="U4668" i="29"/>
  <c r="T4668" i="29"/>
  <c r="R4668" i="29"/>
  <c r="Q4668" i="29"/>
  <c r="V4667" i="29"/>
  <c r="U4667" i="29"/>
  <c r="T4667" i="29"/>
  <c r="R4667" i="29"/>
  <c r="Q4667" i="29"/>
  <c r="V4666" i="29"/>
  <c r="U4666" i="29"/>
  <c r="T4666" i="29"/>
  <c r="R4666" i="29"/>
  <c r="Q4666" i="29"/>
  <c r="V4665" i="29"/>
  <c r="U4665" i="29"/>
  <c r="T4665" i="29"/>
  <c r="R4665" i="29"/>
  <c r="Q4665" i="29"/>
  <c r="V4664" i="29"/>
  <c r="U4664" i="29"/>
  <c r="T4664" i="29"/>
  <c r="R4664" i="29"/>
  <c r="Q4664" i="29"/>
  <c r="V4661" i="29"/>
  <c r="U4661" i="29"/>
  <c r="T4661" i="29"/>
  <c r="R4661" i="29"/>
  <c r="Q4661" i="29"/>
  <c r="V4660" i="29"/>
  <c r="U4660" i="29"/>
  <c r="T4660" i="29"/>
  <c r="R4660" i="29"/>
  <c r="Q4660" i="29"/>
  <c r="V4659" i="29"/>
  <c r="U4659" i="29"/>
  <c r="T4659" i="29"/>
  <c r="R4659" i="29"/>
  <c r="Q4659" i="29"/>
  <c r="V4658" i="29"/>
  <c r="U4658" i="29"/>
  <c r="T4658" i="29"/>
  <c r="R4658" i="29"/>
  <c r="Q4658" i="29"/>
  <c r="V4657" i="29"/>
  <c r="U4657" i="29"/>
  <c r="T4657" i="29"/>
  <c r="R4657" i="29"/>
  <c r="Q4657" i="29"/>
  <c r="V4656" i="29"/>
  <c r="U4656" i="29"/>
  <c r="T4656" i="29"/>
  <c r="R4656" i="29"/>
  <c r="Q4656" i="29"/>
  <c r="V4655" i="29"/>
  <c r="U4655" i="29"/>
  <c r="T4655" i="29"/>
  <c r="R4655" i="29"/>
  <c r="Q4655" i="29"/>
  <c r="V4654" i="29"/>
  <c r="U4654" i="29"/>
  <c r="T4654" i="29"/>
  <c r="R4654" i="29"/>
  <c r="Q4654" i="29"/>
  <c r="V4653" i="29"/>
  <c r="U4653" i="29"/>
  <c r="T4653" i="29"/>
  <c r="R4653" i="29"/>
  <c r="Q4653" i="29"/>
  <c r="V4650" i="29"/>
  <c r="U4650" i="29"/>
  <c r="T4650" i="29"/>
  <c r="R4650" i="29"/>
  <c r="Q4650" i="29"/>
  <c r="V4649" i="29"/>
  <c r="U4649" i="29"/>
  <c r="T4649" i="29"/>
  <c r="R4649" i="29"/>
  <c r="Q4649" i="29"/>
  <c r="V4648" i="29"/>
  <c r="U4648" i="29"/>
  <c r="T4648" i="29"/>
  <c r="R4648" i="29"/>
  <c r="Q4648" i="29"/>
  <c r="V4647" i="29"/>
  <c r="U4647" i="29"/>
  <c r="T4647" i="29"/>
  <c r="R4647" i="29"/>
  <c r="Q4647" i="29"/>
  <c r="V4646" i="29"/>
  <c r="U4646" i="29"/>
  <c r="T4646" i="29"/>
  <c r="R4646" i="29"/>
  <c r="Q4646" i="29"/>
  <c r="V4645" i="29"/>
  <c r="U4645" i="29"/>
  <c r="T4645" i="29"/>
  <c r="R4645" i="29"/>
  <c r="Q4645" i="29"/>
  <c r="V4644" i="29"/>
  <c r="U4644" i="29"/>
  <c r="T4644" i="29"/>
  <c r="R4644" i="29"/>
  <c r="Q4644" i="29"/>
  <c r="V4643" i="29"/>
  <c r="U4643" i="29"/>
  <c r="T4643" i="29"/>
  <c r="R4643" i="29"/>
  <c r="Q4643" i="29"/>
  <c r="V4642" i="29"/>
  <c r="U4642" i="29"/>
  <c r="T4642" i="29"/>
  <c r="R4642" i="29"/>
  <c r="Q4642" i="29"/>
  <c r="V4639" i="29"/>
  <c r="U4639" i="29"/>
  <c r="T4639" i="29"/>
  <c r="R4639" i="29"/>
  <c r="Q4639" i="29"/>
  <c r="V4638" i="29"/>
  <c r="U4638" i="29"/>
  <c r="T4638" i="29"/>
  <c r="R4638" i="29"/>
  <c r="Q4638" i="29"/>
  <c r="V4637" i="29"/>
  <c r="U4637" i="29"/>
  <c r="T4637" i="29"/>
  <c r="R4637" i="29"/>
  <c r="Q4637" i="29"/>
  <c r="V4636" i="29"/>
  <c r="U4636" i="29"/>
  <c r="T4636" i="29"/>
  <c r="R4636" i="29"/>
  <c r="Q4636" i="29"/>
  <c r="V4635" i="29"/>
  <c r="U4635" i="29"/>
  <c r="T4635" i="29"/>
  <c r="R4635" i="29"/>
  <c r="Q4635" i="29"/>
  <c r="V4634" i="29"/>
  <c r="U4634" i="29"/>
  <c r="T4634" i="29"/>
  <c r="R4634" i="29"/>
  <c r="Q4634" i="29"/>
  <c r="V4633" i="29"/>
  <c r="U4633" i="29"/>
  <c r="T4633" i="29"/>
  <c r="R4633" i="29"/>
  <c r="Q4633" i="29"/>
  <c r="V4632" i="29"/>
  <c r="U4632" i="29"/>
  <c r="T4632" i="29"/>
  <c r="R4632" i="29"/>
  <c r="Q4632" i="29"/>
  <c r="V4631" i="29"/>
  <c r="U4631" i="29"/>
  <c r="T4631" i="29"/>
  <c r="R4631" i="29"/>
  <c r="Q4631" i="29"/>
  <c r="V4628" i="29"/>
  <c r="U4628" i="29"/>
  <c r="T4628" i="29"/>
  <c r="R4628" i="29"/>
  <c r="Q4628" i="29"/>
  <c r="V4627" i="29"/>
  <c r="U4627" i="29"/>
  <c r="T4627" i="29"/>
  <c r="R4627" i="29"/>
  <c r="Q4627" i="29"/>
  <c r="V4626" i="29"/>
  <c r="U4626" i="29"/>
  <c r="T4626" i="29"/>
  <c r="R4626" i="29"/>
  <c r="Q4626" i="29"/>
  <c r="V4625" i="29"/>
  <c r="U4625" i="29"/>
  <c r="T4625" i="29"/>
  <c r="R4625" i="29"/>
  <c r="Q4625" i="29"/>
  <c r="V4624" i="29"/>
  <c r="U4624" i="29"/>
  <c r="T4624" i="29"/>
  <c r="R4624" i="29"/>
  <c r="Q4624" i="29"/>
  <c r="V4623" i="29"/>
  <c r="U4623" i="29"/>
  <c r="T4623" i="29"/>
  <c r="R4623" i="29"/>
  <c r="Q4623" i="29"/>
  <c r="V4622" i="29"/>
  <c r="U4622" i="29"/>
  <c r="T4622" i="29"/>
  <c r="R4622" i="29"/>
  <c r="Q4622" i="29"/>
  <c r="V4621" i="29"/>
  <c r="U4621" i="29"/>
  <c r="T4621" i="29"/>
  <c r="R4621" i="29"/>
  <c r="Q4621" i="29"/>
  <c r="V4620" i="29"/>
  <c r="U4620" i="29"/>
  <c r="T4620" i="29"/>
  <c r="R4620" i="29"/>
  <c r="Q4620" i="29"/>
  <c r="V4617" i="29"/>
  <c r="U4617" i="29"/>
  <c r="T4617" i="29"/>
  <c r="R4617" i="29"/>
  <c r="Q4617" i="29"/>
  <c r="V4616" i="29"/>
  <c r="U4616" i="29"/>
  <c r="T4616" i="29"/>
  <c r="R4616" i="29"/>
  <c r="Q4616" i="29"/>
  <c r="V4615" i="29"/>
  <c r="U4615" i="29"/>
  <c r="T4615" i="29"/>
  <c r="R4615" i="29"/>
  <c r="Q4615" i="29"/>
  <c r="V4614" i="29"/>
  <c r="U4614" i="29"/>
  <c r="T4614" i="29"/>
  <c r="R4614" i="29"/>
  <c r="Q4614" i="29"/>
  <c r="V4613" i="29"/>
  <c r="U4613" i="29"/>
  <c r="T4613" i="29"/>
  <c r="R4613" i="29"/>
  <c r="Q4613" i="29"/>
  <c r="V4612" i="29"/>
  <c r="U4612" i="29"/>
  <c r="T4612" i="29"/>
  <c r="R4612" i="29"/>
  <c r="Q4612" i="29"/>
  <c r="V4611" i="29"/>
  <c r="U4611" i="29"/>
  <c r="T4611" i="29"/>
  <c r="R4611" i="29"/>
  <c r="Q4611" i="29"/>
  <c r="V4610" i="29"/>
  <c r="U4610" i="29"/>
  <c r="T4610" i="29"/>
  <c r="R4610" i="29"/>
  <c r="Q4610" i="29"/>
  <c r="V4609" i="29"/>
  <c r="U4609" i="29"/>
  <c r="T4609" i="29"/>
  <c r="R4609" i="29"/>
  <c r="Q4609" i="29"/>
  <c r="V4606" i="29"/>
  <c r="U4606" i="29"/>
  <c r="T4606" i="29"/>
  <c r="R4606" i="29"/>
  <c r="Q4606" i="29"/>
  <c r="V4605" i="29"/>
  <c r="U4605" i="29"/>
  <c r="T4605" i="29"/>
  <c r="R4605" i="29"/>
  <c r="Q4605" i="29"/>
  <c r="V4604" i="29"/>
  <c r="U4604" i="29"/>
  <c r="T4604" i="29"/>
  <c r="R4604" i="29"/>
  <c r="Q4604" i="29"/>
  <c r="V4603" i="29"/>
  <c r="U4603" i="29"/>
  <c r="T4603" i="29"/>
  <c r="R4603" i="29"/>
  <c r="Q4603" i="29"/>
  <c r="V4602" i="29"/>
  <c r="U4602" i="29"/>
  <c r="T4602" i="29"/>
  <c r="R4602" i="29"/>
  <c r="Q4602" i="29"/>
  <c r="V4601" i="29"/>
  <c r="U4601" i="29"/>
  <c r="T4601" i="29"/>
  <c r="R4601" i="29"/>
  <c r="Q4601" i="29"/>
  <c r="V4600" i="29"/>
  <c r="U4600" i="29"/>
  <c r="T4600" i="29"/>
  <c r="R4600" i="29"/>
  <c r="Q4600" i="29"/>
  <c r="V4599" i="29"/>
  <c r="U4599" i="29"/>
  <c r="T4599" i="29"/>
  <c r="R4599" i="29"/>
  <c r="Q4599" i="29"/>
  <c r="V4598" i="29"/>
  <c r="U4598" i="29"/>
  <c r="T4598" i="29"/>
  <c r="R4598" i="29"/>
  <c r="Q4598" i="29"/>
  <c r="V4595" i="29"/>
  <c r="U4595" i="29"/>
  <c r="T4595" i="29"/>
  <c r="R4595" i="29"/>
  <c r="Q4595" i="29"/>
  <c r="V4594" i="29"/>
  <c r="U4594" i="29"/>
  <c r="T4594" i="29"/>
  <c r="R4594" i="29"/>
  <c r="Q4594" i="29"/>
  <c r="V4593" i="29"/>
  <c r="U4593" i="29"/>
  <c r="T4593" i="29"/>
  <c r="R4593" i="29"/>
  <c r="Q4593" i="29"/>
  <c r="V4592" i="29"/>
  <c r="U4592" i="29"/>
  <c r="T4592" i="29"/>
  <c r="R4592" i="29"/>
  <c r="Q4592" i="29"/>
  <c r="V4591" i="29"/>
  <c r="U4591" i="29"/>
  <c r="T4591" i="29"/>
  <c r="R4591" i="29"/>
  <c r="Q4591" i="29"/>
  <c r="V4590" i="29"/>
  <c r="U4590" i="29"/>
  <c r="T4590" i="29"/>
  <c r="R4590" i="29"/>
  <c r="Q4590" i="29"/>
  <c r="V4589" i="29"/>
  <c r="U4589" i="29"/>
  <c r="T4589" i="29"/>
  <c r="R4589" i="29"/>
  <c r="Q4589" i="29"/>
  <c r="V4588" i="29"/>
  <c r="U4588" i="29"/>
  <c r="T4588" i="29"/>
  <c r="R4588" i="29"/>
  <c r="Q4588" i="29"/>
  <c r="V4587" i="29"/>
  <c r="U4587" i="29"/>
  <c r="T4587" i="29"/>
  <c r="R4587" i="29"/>
  <c r="Q4587" i="29"/>
  <c r="V4584" i="29"/>
  <c r="U4584" i="29"/>
  <c r="T4584" i="29"/>
  <c r="R4584" i="29"/>
  <c r="Q4584" i="29"/>
  <c r="V4583" i="29"/>
  <c r="U4583" i="29"/>
  <c r="T4583" i="29"/>
  <c r="R4583" i="29"/>
  <c r="Q4583" i="29"/>
  <c r="V4582" i="29"/>
  <c r="U4582" i="29"/>
  <c r="T4582" i="29"/>
  <c r="R4582" i="29"/>
  <c r="Q4582" i="29"/>
  <c r="V4581" i="29"/>
  <c r="U4581" i="29"/>
  <c r="T4581" i="29"/>
  <c r="R4581" i="29"/>
  <c r="Q4581" i="29"/>
  <c r="V4580" i="29"/>
  <c r="U4580" i="29"/>
  <c r="T4580" i="29"/>
  <c r="R4580" i="29"/>
  <c r="Q4580" i="29"/>
  <c r="V4579" i="29"/>
  <c r="U4579" i="29"/>
  <c r="T4579" i="29"/>
  <c r="R4579" i="29"/>
  <c r="Q4579" i="29"/>
  <c r="V4578" i="29"/>
  <c r="U4578" i="29"/>
  <c r="T4578" i="29"/>
  <c r="R4578" i="29"/>
  <c r="Q4578" i="29"/>
  <c r="V4577" i="29"/>
  <c r="U4577" i="29"/>
  <c r="T4577" i="29"/>
  <c r="R4577" i="29"/>
  <c r="Q4577" i="29"/>
  <c r="V4576" i="29"/>
  <c r="U4576" i="29"/>
  <c r="T4576" i="29"/>
  <c r="R4576" i="29"/>
  <c r="Q4576" i="29"/>
  <c r="V4573" i="29"/>
  <c r="U4573" i="29"/>
  <c r="T4573" i="29"/>
  <c r="R4573" i="29"/>
  <c r="Q4573" i="29"/>
  <c r="V4572" i="29"/>
  <c r="U4572" i="29"/>
  <c r="T4572" i="29"/>
  <c r="R4572" i="29"/>
  <c r="Q4572" i="29"/>
  <c r="V4571" i="29"/>
  <c r="U4571" i="29"/>
  <c r="T4571" i="29"/>
  <c r="R4571" i="29"/>
  <c r="Q4571" i="29"/>
  <c r="V4570" i="29"/>
  <c r="U4570" i="29"/>
  <c r="T4570" i="29"/>
  <c r="R4570" i="29"/>
  <c r="Q4570" i="29"/>
  <c r="V4569" i="29"/>
  <c r="U4569" i="29"/>
  <c r="T4569" i="29"/>
  <c r="R4569" i="29"/>
  <c r="Q4569" i="29"/>
  <c r="V4568" i="29"/>
  <c r="U4568" i="29"/>
  <c r="T4568" i="29"/>
  <c r="R4568" i="29"/>
  <c r="Q4568" i="29"/>
  <c r="V4567" i="29"/>
  <c r="U4567" i="29"/>
  <c r="T4567" i="29"/>
  <c r="R4567" i="29"/>
  <c r="Q4567" i="29"/>
  <c r="V4566" i="29"/>
  <c r="U4566" i="29"/>
  <c r="T4566" i="29"/>
  <c r="R4566" i="29"/>
  <c r="Q4566" i="29"/>
  <c r="V4565" i="29"/>
  <c r="U4565" i="29"/>
  <c r="T4565" i="29"/>
  <c r="R4565" i="29"/>
  <c r="Q4565" i="29"/>
  <c r="V4562" i="29"/>
  <c r="U4562" i="29"/>
  <c r="T4562" i="29"/>
  <c r="R4562" i="29"/>
  <c r="Q4562" i="29"/>
  <c r="V4561" i="29"/>
  <c r="U4561" i="29"/>
  <c r="T4561" i="29"/>
  <c r="R4561" i="29"/>
  <c r="Q4561" i="29"/>
  <c r="V4560" i="29"/>
  <c r="U4560" i="29"/>
  <c r="T4560" i="29"/>
  <c r="R4560" i="29"/>
  <c r="Q4560" i="29"/>
  <c r="V4559" i="29"/>
  <c r="U4559" i="29"/>
  <c r="T4559" i="29"/>
  <c r="R4559" i="29"/>
  <c r="Q4559" i="29"/>
  <c r="V4558" i="29"/>
  <c r="U4558" i="29"/>
  <c r="T4558" i="29"/>
  <c r="R4558" i="29"/>
  <c r="Q4558" i="29"/>
  <c r="V4557" i="29"/>
  <c r="U4557" i="29"/>
  <c r="T4557" i="29"/>
  <c r="R4557" i="29"/>
  <c r="Q4557" i="29"/>
  <c r="V4556" i="29"/>
  <c r="U4556" i="29"/>
  <c r="T4556" i="29"/>
  <c r="R4556" i="29"/>
  <c r="Q4556" i="29"/>
  <c r="V4555" i="29"/>
  <c r="U4555" i="29"/>
  <c r="T4555" i="29"/>
  <c r="R4555" i="29"/>
  <c r="Q4555" i="29"/>
  <c r="V4554" i="29"/>
  <c r="U4554" i="29"/>
  <c r="T4554" i="29"/>
  <c r="R4554" i="29"/>
  <c r="Q4554" i="29"/>
  <c r="V4551" i="29"/>
  <c r="U4551" i="29"/>
  <c r="T4551" i="29"/>
  <c r="R4551" i="29"/>
  <c r="Q4551" i="29"/>
  <c r="V4550" i="29"/>
  <c r="U4550" i="29"/>
  <c r="T4550" i="29"/>
  <c r="R4550" i="29"/>
  <c r="Q4550" i="29"/>
  <c r="V4549" i="29"/>
  <c r="U4549" i="29"/>
  <c r="T4549" i="29"/>
  <c r="R4549" i="29"/>
  <c r="Q4549" i="29"/>
  <c r="V4548" i="29"/>
  <c r="U4548" i="29"/>
  <c r="T4548" i="29"/>
  <c r="R4548" i="29"/>
  <c r="Q4548" i="29"/>
  <c r="V4547" i="29"/>
  <c r="U4547" i="29"/>
  <c r="T4547" i="29"/>
  <c r="R4547" i="29"/>
  <c r="Q4547" i="29"/>
  <c r="V4546" i="29"/>
  <c r="U4546" i="29"/>
  <c r="T4546" i="29"/>
  <c r="R4546" i="29"/>
  <c r="Q4546" i="29"/>
  <c r="V4545" i="29"/>
  <c r="U4545" i="29"/>
  <c r="T4545" i="29"/>
  <c r="R4545" i="29"/>
  <c r="Q4545" i="29"/>
  <c r="V4544" i="29"/>
  <c r="U4544" i="29"/>
  <c r="T4544" i="29"/>
  <c r="R4544" i="29"/>
  <c r="Q4544" i="29"/>
  <c r="V4543" i="29"/>
  <c r="U4543" i="29"/>
  <c r="T4543" i="29"/>
  <c r="R4543" i="29"/>
  <c r="Q4543" i="29"/>
  <c r="V4540" i="29"/>
  <c r="U4540" i="29"/>
  <c r="T4540" i="29"/>
  <c r="R4540" i="29"/>
  <c r="Q4540" i="29"/>
  <c r="V4539" i="29"/>
  <c r="U4539" i="29"/>
  <c r="T4539" i="29"/>
  <c r="R4539" i="29"/>
  <c r="Q4539" i="29"/>
  <c r="V4538" i="29"/>
  <c r="U4538" i="29"/>
  <c r="T4538" i="29"/>
  <c r="R4538" i="29"/>
  <c r="Q4538" i="29"/>
  <c r="V4537" i="29"/>
  <c r="U4537" i="29"/>
  <c r="T4537" i="29"/>
  <c r="R4537" i="29"/>
  <c r="Q4537" i="29"/>
  <c r="V4536" i="29"/>
  <c r="U4536" i="29"/>
  <c r="T4536" i="29"/>
  <c r="R4536" i="29"/>
  <c r="Q4536" i="29"/>
  <c r="V4535" i="29"/>
  <c r="U4535" i="29"/>
  <c r="T4535" i="29"/>
  <c r="R4535" i="29"/>
  <c r="Q4535" i="29"/>
  <c r="V4534" i="29"/>
  <c r="U4534" i="29"/>
  <c r="T4534" i="29"/>
  <c r="R4534" i="29"/>
  <c r="Q4534" i="29"/>
  <c r="V4533" i="29"/>
  <c r="U4533" i="29"/>
  <c r="T4533" i="29"/>
  <c r="R4533" i="29"/>
  <c r="Q4533" i="29"/>
  <c r="V4532" i="29"/>
  <c r="U4532" i="29"/>
  <c r="T4532" i="29"/>
  <c r="R4532" i="29"/>
  <c r="Q4532" i="29"/>
  <c r="V4529" i="29"/>
  <c r="U4529" i="29"/>
  <c r="T4529" i="29"/>
  <c r="R4529" i="29"/>
  <c r="Q4529" i="29"/>
  <c r="V4528" i="29"/>
  <c r="U4528" i="29"/>
  <c r="T4528" i="29"/>
  <c r="R4528" i="29"/>
  <c r="Q4528" i="29"/>
  <c r="V4527" i="29"/>
  <c r="U4527" i="29"/>
  <c r="T4527" i="29"/>
  <c r="R4527" i="29"/>
  <c r="Q4527" i="29"/>
  <c r="V4526" i="29"/>
  <c r="U4526" i="29"/>
  <c r="T4526" i="29"/>
  <c r="R4526" i="29"/>
  <c r="Q4526" i="29"/>
  <c r="V4525" i="29"/>
  <c r="U4525" i="29"/>
  <c r="T4525" i="29"/>
  <c r="R4525" i="29"/>
  <c r="Q4525" i="29"/>
  <c r="V4524" i="29"/>
  <c r="U4524" i="29"/>
  <c r="T4524" i="29"/>
  <c r="R4524" i="29"/>
  <c r="Q4524" i="29"/>
  <c r="V4523" i="29"/>
  <c r="U4523" i="29"/>
  <c r="T4523" i="29"/>
  <c r="R4523" i="29"/>
  <c r="Q4523" i="29"/>
  <c r="V4522" i="29"/>
  <c r="U4522" i="29"/>
  <c r="T4522" i="29"/>
  <c r="R4522" i="29"/>
  <c r="Q4522" i="29"/>
  <c r="V4521" i="29"/>
  <c r="U4521" i="29"/>
  <c r="T4521" i="29"/>
  <c r="R4521" i="29"/>
  <c r="Q4521" i="29"/>
  <c r="V4518" i="29"/>
  <c r="U4518" i="29"/>
  <c r="T4518" i="29"/>
  <c r="R4518" i="29"/>
  <c r="Q4518" i="29"/>
  <c r="V4517" i="29"/>
  <c r="U4517" i="29"/>
  <c r="T4517" i="29"/>
  <c r="R4517" i="29"/>
  <c r="Q4517" i="29"/>
  <c r="V4516" i="29"/>
  <c r="U4516" i="29"/>
  <c r="T4516" i="29"/>
  <c r="R4516" i="29"/>
  <c r="Q4516" i="29"/>
  <c r="V4515" i="29"/>
  <c r="U4515" i="29"/>
  <c r="T4515" i="29"/>
  <c r="R4515" i="29"/>
  <c r="Q4515" i="29"/>
  <c r="V4514" i="29"/>
  <c r="U4514" i="29"/>
  <c r="T4514" i="29"/>
  <c r="R4514" i="29"/>
  <c r="Q4514" i="29"/>
  <c r="V4513" i="29"/>
  <c r="U4513" i="29"/>
  <c r="T4513" i="29"/>
  <c r="R4513" i="29"/>
  <c r="Q4513" i="29"/>
  <c r="V4512" i="29"/>
  <c r="U4512" i="29"/>
  <c r="T4512" i="29"/>
  <c r="R4512" i="29"/>
  <c r="Q4512" i="29"/>
  <c r="V4511" i="29"/>
  <c r="U4511" i="29"/>
  <c r="T4511" i="29"/>
  <c r="R4511" i="29"/>
  <c r="Q4511" i="29"/>
  <c r="V4510" i="29"/>
  <c r="U4510" i="29"/>
  <c r="T4510" i="29"/>
  <c r="R4510" i="29"/>
  <c r="Q4510" i="29"/>
  <c r="V4507" i="29"/>
  <c r="U4507" i="29"/>
  <c r="T4507" i="29"/>
  <c r="R4507" i="29"/>
  <c r="Q4507" i="29"/>
  <c r="V4506" i="29"/>
  <c r="U4506" i="29"/>
  <c r="T4506" i="29"/>
  <c r="R4506" i="29"/>
  <c r="Q4506" i="29"/>
  <c r="V4505" i="29"/>
  <c r="U4505" i="29"/>
  <c r="T4505" i="29"/>
  <c r="R4505" i="29"/>
  <c r="Q4505" i="29"/>
  <c r="V4504" i="29"/>
  <c r="U4504" i="29"/>
  <c r="T4504" i="29"/>
  <c r="R4504" i="29"/>
  <c r="Q4504" i="29"/>
  <c r="V4503" i="29"/>
  <c r="U4503" i="29"/>
  <c r="T4503" i="29"/>
  <c r="R4503" i="29"/>
  <c r="Q4503" i="29"/>
  <c r="V4502" i="29"/>
  <c r="U4502" i="29"/>
  <c r="T4502" i="29"/>
  <c r="R4502" i="29"/>
  <c r="Q4502" i="29"/>
  <c r="V4501" i="29"/>
  <c r="U4501" i="29"/>
  <c r="T4501" i="29"/>
  <c r="R4501" i="29"/>
  <c r="Q4501" i="29"/>
  <c r="V4500" i="29"/>
  <c r="U4500" i="29"/>
  <c r="T4500" i="29"/>
  <c r="R4500" i="29"/>
  <c r="Q4500" i="29"/>
  <c r="V4499" i="29"/>
  <c r="U4499" i="29"/>
  <c r="T4499" i="29"/>
  <c r="R4499" i="29"/>
  <c r="Q4499" i="29"/>
  <c r="V4496" i="29"/>
  <c r="U4496" i="29"/>
  <c r="T4496" i="29"/>
  <c r="R4496" i="29"/>
  <c r="Q4496" i="29"/>
  <c r="V4495" i="29"/>
  <c r="U4495" i="29"/>
  <c r="T4495" i="29"/>
  <c r="R4495" i="29"/>
  <c r="Q4495" i="29"/>
  <c r="V4494" i="29"/>
  <c r="U4494" i="29"/>
  <c r="T4494" i="29"/>
  <c r="R4494" i="29"/>
  <c r="Q4494" i="29"/>
  <c r="V4493" i="29"/>
  <c r="U4493" i="29"/>
  <c r="T4493" i="29"/>
  <c r="R4493" i="29"/>
  <c r="Q4493" i="29"/>
  <c r="V4492" i="29"/>
  <c r="U4492" i="29"/>
  <c r="T4492" i="29"/>
  <c r="R4492" i="29"/>
  <c r="Q4492" i="29"/>
  <c r="V4491" i="29"/>
  <c r="U4491" i="29"/>
  <c r="T4491" i="29"/>
  <c r="R4491" i="29"/>
  <c r="Q4491" i="29"/>
  <c r="V4490" i="29"/>
  <c r="U4490" i="29"/>
  <c r="T4490" i="29"/>
  <c r="R4490" i="29"/>
  <c r="Q4490" i="29"/>
  <c r="V4489" i="29"/>
  <c r="U4489" i="29"/>
  <c r="T4489" i="29"/>
  <c r="R4489" i="29"/>
  <c r="Q4489" i="29"/>
  <c r="V4488" i="29"/>
  <c r="U4488" i="29"/>
  <c r="T4488" i="29"/>
  <c r="R4488" i="29"/>
  <c r="Q4488" i="29"/>
  <c r="V4485" i="29"/>
  <c r="U4485" i="29"/>
  <c r="T4485" i="29"/>
  <c r="R4485" i="29"/>
  <c r="Q4485" i="29"/>
  <c r="V4484" i="29"/>
  <c r="U4484" i="29"/>
  <c r="T4484" i="29"/>
  <c r="R4484" i="29"/>
  <c r="Q4484" i="29"/>
  <c r="V4483" i="29"/>
  <c r="U4483" i="29"/>
  <c r="T4483" i="29"/>
  <c r="R4483" i="29"/>
  <c r="Q4483" i="29"/>
  <c r="V4482" i="29"/>
  <c r="U4482" i="29"/>
  <c r="T4482" i="29"/>
  <c r="R4482" i="29"/>
  <c r="Q4482" i="29"/>
  <c r="V4481" i="29"/>
  <c r="U4481" i="29"/>
  <c r="T4481" i="29"/>
  <c r="R4481" i="29"/>
  <c r="Q4481" i="29"/>
  <c r="V4480" i="29"/>
  <c r="U4480" i="29"/>
  <c r="T4480" i="29"/>
  <c r="R4480" i="29"/>
  <c r="Q4480" i="29"/>
  <c r="V4479" i="29"/>
  <c r="U4479" i="29"/>
  <c r="T4479" i="29"/>
  <c r="R4479" i="29"/>
  <c r="Q4479" i="29"/>
  <c r="V4478" i="29"/>
  <c r="U4478" i="29"/>
  <c r="T4478" i="29"/>
  <c r="R4478" i="29"/>
  <c r="Q4478" i="29"/>
  <c r="V4477" i="29"/>
  <c r="U4477" i="29"/>
  <c r="T4477" i="29"/>
  <c r="R4477" i="29"/>
  <c r="Q4477" i="29"/>
  <c r="V4474" i="29"/>
  <c r="U4474" i="29"/>
  <c r="T4474" i="29"/>
  <c r="R4474" i="29"/>
  <c r="Q4474" i="29"/>
  <c r="V4473" i="29"/>
  <c r="U4473" i="29"/>
  <c r="T4473" i="29"/>
  <c r="R4473" i="29"/>
  <c r="Q4473" i="29"/>
  <c r="V4472" i="29"/>
  <c r="U4472" i="29"/>
  <c r="T4472" i="29"/>
  <c r="R4472" i="29"/>
  <c r="Q4472" i="29"/>
  <c r="V4471" i="29"/>
  <c r="U4471" i="29"/>
  <c r="T4471" i="29"/>
  <c r="R4471" i="29"/>
  <c r="Q4471" i="29"/>
  <c r="V4470" i="29"/>
  <c r="U4470" i="29"/>
  <c r="T4470" i="29"/>
  <c r="R4470" i="29"/>
  <c r="Q4470" i="29"/>
  <c r="V4469" i="29"/>
  <c r="U4469" i="29"/>
  <c r="T4469" i="29"/>
  <c r="R4469" i="29"/>
  <c r="Q4469" i="29"/>
  <c r="V4468" i="29"/>
  <c r="U4468" i="29"/>
  <c r="T4468" i="29"/>
  <c r="R4468" i="29"/>
  <c r="Q4468" i="29"/>
  <c r="V4467" i="29"/>
  <c r="U4467" i="29"/>
  <c r="T4467" i="29"/>
  <c r="R4467" i="29"/>
  <c r="Q4467" i="29"/>
  <c r="V4466" i="29"/>
  <c r="U4466" i="29"/>
  <c r="T4466" i="29"/>
  <c r="R4466" i="29"/>
  <c r="Q4466" i="29"/>
  <c r="V4463" i="29"/>
  <c r="U4463" i="29"/>
  <c r="T4463" i="29"/>
  <c r="R4463" i="29"/>
  <c r="Q4463" i="29"/>
  <c r="V4462" i="29"/>
  <c r="U4462" i="29"/>
  <c r="T4462" i="29"/>
  <c r="R4462" i="29"/>
  <c r="Q4462" i="29"/>
  <c r="V4461" i="29"/>
  <c r="U4461" i="29"/>
  <c r="T4461" i="29"/>
  <c r="R4461" i="29"/>
  <c r="Q4461" i="29"/>
  <c r="V4460" i="29"/>
  <c r="U4460" i="29"/>
  <c r="T4460" i="29"/>
  <c r="R4460" i="29"/>
  <c r="Q4460" i="29"/>
  <c r="V4459" i="29"/>
  <c r="U4459" i="29"/>
  <c r="T4459" i="29"/>
  <c r="R4459" i="29"/>
  <c r="Q4459" i="29"/>
  <c r="V4458" i="29"/>
  <c r="U4458" i="29"/>
  <c r="T4458" i="29"/>
  <c r="R4458" i="29"/>
  <c r="Q4458" i="29"/>
  <c r="V4457" i="29"/>
  <c r="U4457" i="29"/>
  <c r="T4457" i="29"/>
  <c r="R4457" i="29"/>
  <c r="Q4457" i="29"/>
  <c r="V4456" i="29"/>
  <c r="U4456" i="29"/>
  <c r="T4456" i="29"/>
  <c r="R4456" i="29"/>
  <c r="Q4456" i="29"/>
  <c r="V4455" i="29"/>
  <c r="U4455" i="29"/>
  <c r="T4455" i="29"/>
  <c r="R4455" i="29"/>
  <c r="Q4455" i="29"/>
  <c r="V4452" i="29"/>
  <c r="U4452" i="29"/>
  <c r="T4452" i="29"/>
  <c r="R4452" i="29"/>
  <c r="Q4452" i="29"/>
  <c r="V4451" i="29"/>
  <c r="U4451" i="29"/>
  <c r="T4451" i="29"/>
  <c r="R4451" i="29"/>
  <c r="Q4451" i="29"/>
  <c r="V4450" i="29"/>
  <c r="U4450" i="29"/>
  <c r="T4450" i="29"/>
  <c r="R4450" i="29"/>
  <c r="Q4450" i="29"/>
  <c r="V4449" i="29"/>
  <c r="U4449" i="29"/>
  <c r="T4449" i="29"/>
  <c r="R4449" i="29"/>
  <c r="Q4449" i="29"/>
  <c r="V4448" i="29"/>
  <c r="U4448" i="29"/>
  <c r="T4448" i="29"/>
  <c r="R4448" i="29"/>
  <c r="Q4448" i="29"/>
  <c r="V4447" i="29"/>
  <c r="U4447" i="29"/>
  <c r="T4447" i="29"/>
  <c r="R4447" i="29"/>
  <c r="Q4447" i="29"/>
  <c r="V4446" i="29"/>
  <c r="U4446" i="29"/>
  <c r="T4446" i="29"/>
  <c r="R4446" i="29"/>
  <c r="Q4446" i="29"/>
  <c r="V4445" i="29"/>
  <c r="U4445" i="29"/>
  <c r="T4445" i="29"/>
  <c r="R4445" i="29"/>
  <c r="Q4445" i="29"/>
  <c r="V4444" i="29"/>
  <c r="U4444" i="29"/>
  <c r="T4444" i="29"/>
  <c r="R4444" i="29"/>
  <c r="Q4444" i="29"/>
  <c r="V4441" i="29"/>
  <c r="U4441" i="29"/>
  <c r="T4441" i="29"/>
  <c r="R4441" i="29"/>
  <c r="Q4441" i="29"/>
  <c r="V4440" i="29"/>
  <c r="U4440" i="29"/>
  <c r="T4440" i="29"/>
  <c r="R4440" i="29"/>
  <c r="Q4440" i="29"/>
  <c r="V4439" i="29"/>
  <c r="U4439" i="29"/>
  <c r="T4439" i="29"/>
  <c r="R4439" i="29"/>
  <c r="Q4439" i="29"/>
  <c r="V4438" i="29"/>
  <c r="U4438" i="29"/>
  <c r="T4438" i="29"/>
  <c r="R4438" i="29"/>
  <c r="Q4438" i="29"/>
  <c r="V4437" i="29"/>
  <c r="U4437" i="29"/>
  <c r="T4437" i="29"/>
  <c r="R4437" i="29"/>
  <c r="Q4437" i="29"/>
  <c r="V4436" i="29"/>
  <c r="U4436" i="29"/>
  <c r="T4436" i="29"/>
  <c r="R4436" i="29"/>
  <c r="Q4436" i="29"/>
  <c r="V4435" i="29"/>
  <c r="U4435" i="29"/>
  <c r="T4435" i="29"/>
  <c r="R4435" i="29"/>
  <c r="Q4435" i="29"/>
  <c r="V4434" i="29"/>
  <c r="U4434" i="29"/>
  <c r="T4434" i="29"/>
  <c r="R4434" i="29"/>
  <c r="Q4434" i="29"/>
  <c r="V4433" i="29"/>
  <c r="U4433" i="29"/>
  <c r="T4433" i="29"/>
  <c r="R4433" i="29"/>
  <c r="Q4433" i="29"/>
  <c r="V4430" i="29"/>
  <c r="U4430" i="29"/>
  <c r="T4430" i="29"/>
  <c r="R4430" i="29"/>
  <c r="Q4430" i="29"/>
  <c r="V4429" i="29"/>
  <c r="U4429" i="29"/>
  <c r="T4429" i="29"/>
  <c r="R4429" i="29"/>
  <c r="Q4429" i="29"/>
  <c r="V4428" i="29"/>
  <c r="U4428" i="29"/>
  <c r="T4428" i="29"/>
  <c r="R4428" i="29"/>
  <c r="Q4428" i="29"/>
  <c r="V4427" i="29"/>
  <c r="U4427" i="29"/>
  <c r="T4427" i="29"/>
  <c r="R4427" i="29"/>
  <c r="Q4427" i="29"/>
  <c r="V4426" i="29"/>
  <c r="U4426" i="29"/>
  <c r="T4426" i="29"/>
  <c r="R4426" i="29"/>
  <c r="Q4426" i="29"/>
  <c r="V4425" i="29"/>
  <c r="U4425" i="29"/>
  <c r="T4425" i="29"/>
  <c r="R4425" i="29"/>
  <c r="Q4425" i="29"/>
  <c r="V4424" i="29"/>
  <c r="U4424" i="29"/>
  <c r="T4424" i="29"/>
  <c r="R4424" i="29"/>
  <c r="Q4424" i="29"/>
  <c r="V4423" i="29"/>
  <c r="U4423" i="29"/>
  <c r="T4423" i="29"/>
  <c r="R4423" i="29"/>
  <c r="Q4423" i="29"/>
  <c r="V4422" i="29"/>
  <c r="U4422" i="29"/>
  <c r="T4422" i="29"/>
  <c r="R4422" i="29"/>
  <c r="Q4422" i="29"/>
  <c r="V4419" i="29"/>
  <c r="U4419" i="29"/>
  <c r="T4419" i="29"/>
  <c r="R4419" i="29"/>
  <c r="Q4419" i="29"/>
  <c r="V4418" i="29"/>
  <c r="U4418" i="29"/>
  <c r="T4418" i="29"/>
  <c r="R4418" i="29"/>
  <c r="Q4418" i="29"/>
  <c r="V4417" i="29"/>
  <c r="U4417" i="29"/>
  <c r="T4417" i="29"/>
  <c r="R4417" i="29"/>
  <c r="Q4417" i="29"/>
  <c r="V4416" i="29"/>
  <c r="U4416" i="29"/>
  <c r="T4416" i="29"/>
  <c r="R4416" i="29"/>
  <c r="Q4416" i="29"/>
  <c r="V4415" i="29"/>
  <c r="U4415" i="29"/>
  <c r="T4415" i="29"/>
  <c r="R4415" i="29"/>
  <c r="Q4415" i="29"/>
  <c r="V4414" i="29"/>
  <c r="U4414" i="29"/>
  <c r="T4414" i="29"/>
  <c r="R4414" i="29"/>
  <c r="Q4414" i="29"/>
  <c r="V4413" i="29"/>
  <c r="U4413" i="29"/>
  <c r="T4413" i="29"/>
  <c r="R4413" i="29"/>
  <c r="Q4413" i="29"/>
  <c r="V4412" i="29"/>
  <c r="U4412" i="29"/>
  <c r="T4412" i="29"/>
  <c r="R4412" i="29"/>
  <c r="Q4412" i="29"/>
  <c r="V4411" i="29"/>
  <c r="U4411" i="29"/>
  <c r="T4411" i="29"/>
  <c r="R4411" i="29"/>
  <c r="Q4411" i="29"/>
  <c r="V4408" i="29"/>
  <c r="U4408" i="29"/>
  <c r="T4408" i="29"/>
  <c r="R4408" i="29"/>
  <c r="Q4408" i="29"/>
  <c r="V4407" i="29"/>
  <c r="U4407" i="29"/>
  <c r="T4407" i="29"/>
  <c r="R4407" i="29"/>
  <c r="Q4407" i="29"/>
  <c r="V4406" i="29"/>
  <c r="U4406" i="29"/>
  <c r="T4406" i="29"/>
  <c r="R4406" i="29"/>
  <c r="Q4406" i="29"/>
  <c r="V4405" i="29"/>
  <c r="U4405" i="29"/>
  <c r="T4405" i="29"/>
  <c r="R4405" i="29"/>
  <c r="Q4405" i="29"/>
  <c r="V4404" i="29"/>
  <c r="U4404" i="29"/>
  <c r="T4404" i="29"/>
  <c r="R4404" i="29"/>
  <c r="Q4404" i="29"/>
  <c r="V4403" i="29"/>
  <c r="U4403" i="29"/>
  <c r="T4403" i="29"/>
  <c r="R4403" i="29"/>
  <c r="Q4403" i="29"/>
  <c r="V4402" i="29"/>
  <c r="U4402" i="29"/>
  <c r="T4402" i="29"/>
  <c r="R4402" i="29"/>
  <c r="Q4402" i="29"/>
  <c r="V4401" i="29"/>
  <c r="U4401" i="29"/>
  <c r="T4401" i="29"/>
  <c r="R4401" i="29"/>
  <c r="Q4401" i="29"/>
  <c r="V4400" i="29"/>
  <c r="U4400" i="29"/>
  <c r="T4400" i="29"/>
  <c r="R4400" i="29"/>
  <c r="Q4400" i="29"/>
  <c r="V4397" i="29"/>
  <c r="U4397" i="29"/>
  <c r="T4397" i="29"/>
  <c r="R4397" i="29"/>
  <c r="Q4397" i="29"/>
  <c r="V4396" i="29"/>
  <c r="U4396" i="29"/>
  <c r="T4396" i="29"/>
  <c r="R4396" i="29"/>
  <c r="Q4396" i="29"/>
  <c r="V4395" i="29"/>
  <c r="U4395" i="29"/>
  <c r="T4395" i="29"/>
  <c r="R4395" i="29"/>
  <c r="Q4395" i="29"/>
  <c r="V4394" i="29"/>
  <c r="U4394" i="29"/>
  <c r="T4394" i="29"/>
  <c r="R4394" i="29"/>
  <c r="Q4394" i="29"/>
  <c r="V4393" i="29"/>
  <c r="U4393" i="29"/>
  <c r="T4393" i="29"/>
  <c r="R4393" i="29"/>
  <c r="Q4393" i="29"/>
  <c r="V4392" i="29"/>
  <c r="U4392" i="29"/>
  <c r="T4392" i="29"/>
  <c r="R4392" i="29"/>
  <c r="Q4392" i="29"/>
  <c r="V4391" i="29"/>
  <c r="U4391" i="29"/>
  <c r="T4391" i="29"/>
  <c r="R4391" i="29"/>
  <c r="Q4391" i="29"/>
  <c r="V4390" i="29"/>
  <c r="U4390" i="29"/>
  <c r="T4390" i="29"/>
  <c r="R4390" i="29"/>
  <c r="Q4390" i="29"/>
  <c r="V4389" i="29"/>
  <c r="U4389" i="29"/>
  <c r="T4389" i="29"/>
  <c r="R4389" i="29"/>
  <c r="Q4389" i="29"/>
  <c r="V4386" i="29"/>
  <c r="U4386" i="29"/>
  <c r="T4386" i="29"/>
  <c r="R4386" i="29"/>
  <c r="Q4386" i="29"/>
  <c r="V4385" i="29"/>
  <c r="U4385" i="29"/>
  <c r="T4385" i="29"/>
  <c r="R4385" i="29"/>
  <c r="Q4385" i="29"/>
  <c r="V4384" i="29"/>
  <c r="U4384" i="29"/>
  <c r="T4384" i="29"/>
  <c r="R4384" i="29"/>
  <c r="Q4384" i="29"/>
  <c r="V4383" i="29"/>
  <c r="U4383" i="29"/>
  <c r="T4383" i="29"/>
  <c r="R4383" i="29"/>
  <c r="Q4383" i="29"/>
  <c r="V4382" i="29"/>
  <c r="U4382" i="29"/>
  <c r="T4382" i="29"/>
  <c r="R4382" i="29"/>
  <c r="Q4382" i="29"/>
  <c r="V4381" i="29"/>
  <c r="U4381" i="29"/>
  <c r="T4381" i="29"/>
  <c r="R4381" i="29"/>
  <c r="Q4381" i="29"/>
  <c r="V4380" i="29"/>
  <c r="U4380" i="29"/>
  <c r="T4380" i="29"/>
  <c r="R4380" i="29"/>
  <c r="Q4380" i="29"/>
  <c r="V4379" i="29"/>
  <c r="U4379" i="29"/>
  <c r="T4379" i="29"/>
  <c r="R4379" i="29"/>
  <c r="Q4379" i="29"/>
  <c r="V4378" i="29"/>
  <c r="U4378" i="29"/>
  <c r="T4378" i="29"/>
  <c r="R4378" i="29"/>
  <c r="Q4378" i="29"/>
  <c r="V4375" i="29"/>
  <c r="U4375" i="29"/>
  <c r="T4375" i="29"/>
  <c r="R4375" i="29"/>
  <c r="Q4375" i="29"/>
  <c r="V4374" i="29"/>
  <c r="U4374" i="29"/>
  <c r="T4374" i="29"/>
  <c r="R4374" i="29"/>
  <c r="Q4374" i="29"/>
  <c r="V4373" i="29"/>
  <c r="U4373" i="29"/>
  <c r="T4373" i="29"/>
  <c r="R4373" i="29"/>
  <c r="Q4373" i="29"/>
  <c r="V4372" i="29"/>
  <c r="U4372" i="29"/>
  <c r="T4372" i="29"/>
  <c r="R4372" i="29"/>
  <c r="Q4372" i="29"/>
  <c r="V4371" i="29"/>
  <c r="U4371" i="29"/>
  <c r="T4371" i="29"/>
  <c r="R4371" i="29"/>
  <c r="Q4371" i="29"/>
  <c r="V4370" i="29"/>
  <c r="U4370" i="29"/>
  <c r="T4370" i="29"/>
  <c r="R4370" i="29"/>
  <c r="Q4370" i="29"/>
  <c r="V4369" i="29"/>
  <c r="U4369" i="29"/>
  <c r="T4369" i="29"/>
  <c r="R4369" i="29"/>
  <c r="Q4369" i="29"/>
  <c r="V4368" i="29"/>
  <c r="U4368" i="29"/>
  <c r="T4368" i="29"/>
  <c r="R4368" i="29"/>
  <c r="Q4368" i="29"/>
  <c r="V4367" i="29"/>
  <c r="U4367" i="29"/>
  <c r="T4367" i="29"/>
  <c r="R4367" i="29"/>
  <c r="Q4367" i="29"/>
  <c r="V4364" i="29"/>
  <c r="U4364" i="29"/>
  <c r="T4364" i="29"/>
  <c r="R4364" i="29"/>
  <c r="Q4364" i="29"/>
  <c r="V4363" i="29"/>
  <c r="U4363" i="29"/>
  <c r="T4363" i="29"/>
  <c r="R4363" i="29"/>
  <c r="Q4363" i="29"/>
  <c r="V4362" i="29"/>
  <c r="U4362" i="29"/>
  <c r="T4362" i="29"/>
  <c r="R4362" i="29"/>
  <c r="Q4362" i="29"/>
  <c r="V4361" i="29"/>
  <c r="U4361" i="29"/>
  <c r="T4361" i="29"/>
  <c r="R4361" i="29"/>
  <c r="Q4361" i="29"/>
  <c r="V4360" i="29"/>
  <c r="U4360" i="29"/>
  <c r="T4360" i="29"/>
  <c r="R4360" i="29"/>
  <c r="Q4360" i="29"/>
  <c r="V4359" i="29"/>
  <c r="U4359" i="29"/>
  <c r="T4359" i="29"/>
  <c r="R4359" i="29"/>
  <c r="Q4359" i="29"/>
  <c r="V4358" i="29"/>
  <c r="U4358" i="29"/>
  <c r="T4358" i="29"/>
  <c r="R4358" i="29"/>
  <c r="Q4358" i="29"/>
  <c r="V4357" i="29"/>
  <c r="U4357" i="29"/>
  <c r="T4357" i="29"/>
  <c r="R4357" i="29"/>
  <c r="Q4357" i="29"/>
  <c r="V4356" i="29"/>
  <c r="U4356" i="29"/>
  <c r="T4356" i="29"/>
  <c r="R4356" i="29"/>
  <c r="Q4356" i="29"/>
  <c r="V4353" i="29"/>
  <c r="U4353" i="29"/>
  <c r="T4353" i="29"/>
  <c r="R4353" i="29"/>
  <c r="Q4353" i="29"/>
  <c r="V4352" i="29"/>
  <c r="U4352" i="29"/>
  <c r="T4352" i="29"/>
  <c r="R4352" i="29"/>
  <c r="Q4352" i="29"/>
  <c r="V4351" i="29"/>
  <c r="U4351" i="29"/>
  <c r="T4351" i="29"/>
  <c r="R4351" i="29"/>
  <c r="Q4351" i="29"/>
  <c r="V4350" i="29"/>
  <c r="U4350" i="29"/>
  <c r="T4350" i="29"/>
  <c r="R4350" i="29"/>
  <c r="Q4350" i="29"/>
  <c r="V4349" i="29"/>
  <c r="U4349" i="29"/>
  <c r="T4349" i="29"/>
  <c r="R4349" i="29"/>
  <c r="Q4349" i="29"/>
  <c r="V4348" i="29"/>
  <c r="U4348" i="29"/>
  <c r="T4348" i="29"/>
  <c r="R4348" i="29"/>
  <c r="Q4348" i="29"/>
  <c r="V4347" i="29"/>
  <c r="U4347" i="29"/>
  <c r="T4347" i="29"/>
  <c r="R4347" i="29"/>
  <c r="Q4347" i="29"/>
  <c r="V4346" i="29"/>
  <c r="U4346" i="29"/>
  <c r="T4346" i="29"/>
  <c r="R4346" i="29"/>
  <c r="Q4346" i="29"/>
  <c r="V4345" i="29"/>
  <c r="U4345" i="29"/>
  <c r="T4345" i="29"/>
  <c r="R4345" i="29"/>
  <c r="Q4345" i="29"/>
  <c r="V4342" i="29"/>
  <c r="U4342" i="29"/>
  <c r="T4342" i="29"/>
  <c r="R4342" i="29"/>
  <c r="Q4342" i="29"/>
  <c r="V4341" i="29"/>
  <c r="U4341" i="29"/>
  <c r="T4341" i="29"/>
  <c r="R4341" i="29"/>
  <c r="Q4341" i="29"/>
  <c r="V4340" i="29"/>
  <c r="U4340" i="29"/>
  <c r="T4340" i="29"/>
  <c r="R4340" i="29"/>
  <c r="Q4340" i="29"/>
  <c r="V4339" i="29"/>
  <c r="U4339" i="29"/>
  <c r="T4339" i="29"/>
  <c r="R4339" i="29"/>
  <c r="Q4339" i="29"/>
  <c r="V4338" i="29"/>
  <c r="U4338" i="29"/>
  <c r="T4338" i="29"/>
  <c r="R4338" i="29"/>
  <c r="Q4338" i="29"/>
  <c r="V4337" i="29"/>
  <c r="U4337" i="29"/>
  <c r="T4337" i="29"/>
  <c r="R4337" i="29"/>
  <c r="Q4337" i="29"/>
  <c r="V4336" i="29"/>
  <c r="U4336" i="29"/>
  <c r="T4336" i="29"/>
  <c r="R4336" i="29"/>
  <c r="Q4336" i="29"/>
  <c r="V4335" i="29"/>
  <c r="U4335" i="29"/>
  <c r="T4335" i="29"/>
  <c r="R4335" i="29"/>
  <c r="Q4335" i="29"/>
  <c r="V4334" i="29"/>
  <c r="U4334" i="29"/>
  <c r="T4334" i="29"/>
  <c r="R4334" i="29"/>
  <c r="Q4334" i="29"/>
  <c r="V4331" i="29"/>
  <c r="U4331" i="29"/>
  <c r="T4331" i="29"/>
  <c r="R4331" i="29"/>
  <c r="Q4331" i="29"/>
  <c r="V4330" i="29"/>
  <c r="U4330" i="29"/>
  <c r="T4330" i="29"/>
  <c r="R4330" i="29"/>
  <c r="Q4330" i="29"/>
  <c r="V4329" i="29"/>
  <c r="U4329" i="29"/>
  <c r="T4329" i="29"/>
  <c r="R4329" i="29"/>
  <c r="Q4329" i="29"/>
  <c r="V4328" i="29"/>
  <c r="U4328" i="29"/>
  <c r="T4328" i="29"/>
  <c r="R4328" i="29"/>
  <c r="Q4328" i="29"/>
  <c r="V4327" i="29"/>
  <c r="U4327" i="29"/>
  <c r="T4327" i="29"/>
  <c r="R4327" i="29"/>
  <c r="Q4327" i="29"/>
  <c r="V4326" i="29"/>
  <c r="U4326" i="29"/>
  <c r="T4326" i="29"/>
  <c r="R4326" i="29"/>
  <c r="Q4326" i="29"/>
  <c r="V4325" i="29"/>
  <c r="U4325" i="29"/>
  <c r="T4325" i="29"/>
  <c r="R4325" i="29"/>
  <c r="Q4325" i="29"/>
  <c r="V4324" i="29"/>
  <c r="U4324" i="29"/>
  <c r="T4324" i="29"/>
  <c r="R4324" i="29"/>
  <c r="Q4324" i="29"/>
  <c r="V4323" i="29"/>
  <c r="U4323" i="29"/>
  <c r="T4323" i="29"/>
  <c r="R4323" i="29"/>
  <c r="Q4323" i="29"/>
  <c r="V4320" i="29"/>
  <c r="U4320" i="29"/>
  <c r="T4320" i="29"/>
  <c r="R4320" i="29"/>
  <c r="Q4320" i="29"/>
  <c r="V4319" i="29"/>
  <c r="U4319" i="29"/>
  <c r="T4319" i="29"/>
  <c r="R4319" i="29"/>
  <c r="Q4319" i="29"/>
  <c r="V4318" i="29"/>
  <c r="U4318" i="29"/>
  <c r="T4318" i="29"/>
  <c r="R4318" i="29"/>
  <c r="Q4318" i="29"/>
  <c r="V4317" i="29"/>
  <c r="U4317" i="29"/>
  <c r="T4317" i="29"/>
  <c r="R4317" i="29"/>
  <c r="Q4317" i="29"/>
  <c r="V4316" i="29"/>
  <c r="U4316" i="29"/>
  <c r="T4316" i="29"/>
  <c r="R4316" i="29"/>
  <c r="Q4316" i="29"/>
  <c r="V4315" i="29"/>
  <c r="U4315" i="29"/>
  <c r="T4315" i="29"/>
  <c r="R4315" i="29"/>
  <c r="Q4315" i="29"/>
  <c r="V4314" i="29"/>
  <c r="U4314" i="29"/>
  <c r="T4314" i="29"/>
  <c r="R4314" i="29"/>
  <c r="Q4314" i="29"/>
  <c r="V4313" i="29"/>
  <c r="U4313" i="29"/>
  <c r="T4313" i="29"/>
  <c r="R4313" i="29"/>
  <c r="Q4313" i="29"/>
  <c r="V4312" i="29"/>
  <c r="U4312" i="29"/>
  <c r="T4312" i="29"/>
  <c r="R4312" i="29"/>
  <c r="Q4312" i="29"/>
  <c r="V4309" i="29"/>
  <c r="U4309" i="29"/>
  <c r="T4309" i="29"/>
  <c r="R4309" i="29"/>
  <c r="Q4309" i="29"/>
  <c r="V4308" i="29"/>
  <c r="U4308" i="29"/>
  <c r="T4308" i="29"/>
  <c r="R4308" i="29"/>
  <c r="Q4308" i="29"/>
  <c r="V4307" i="29"/>
  <c r="U4307" i="29"/>
  <c r="T4307" i="29"/>
  <c r="R4307" i="29"/>
  <c r="Q4307" i="29"/>
  <c r="V4306" i="29"/>
  <c r="U4306" i="29"/>
  <c r="T4306" i="29"/>
  <c r="R4306" i="29"/>
  <c r="Q4306" i="29"/>
  <c r="V4305" i="29"/>
  <c r="U4305" i="29"/>
  <c r="T4305" i="29"/>
  <c r="R4305" i="29"/>
  <c r="Q4305" i="29"/>
  <c r="V4304" i="29"/>
  <c r="U4304" i="29"/>
  <c r="T4304" i="29"/>
  <c r="R4304" i="29"/>
  <c r="Q4304" i="29"/>
  <c r="V4303" i="29"/>
  <c r="U4303" i="29"/>
  <c r="T4303" i="29"/>
  <c r="R4303" i="29"/>
  <c r="Q4303" i="29"/>
  <c r="V4302" i="29"/>
  <c r="U4302" i="29"/>
  <c r="T4302" i="29"/>
  <c r="R4302" i="29"/>
  <c r="Q4302" i="29"/>
  <c r="V4301" i="29"/>
  <c r="U4301" i="29"/>
  <c r="T4301" i="29"/>
  <c r="R4301" i="29"/>
  <c r="Q4301" i="29"/>
  <c r="V4298" i="29"/>
  <c r="U4298" i="29"/>
  <c r="T4298" i="29"/>
  <c r="R4298" i="29"/>
  <c r="Q4298" i="29"/>
  <c r="V4297" i="29"/>
  <c r="U4297" i="29"/>
  <c r="T4297" i="29"/>
  <c r="R4297" i="29"/>
  <c r="Q4297" i="29"/>
  <c r="V4296" i="29"/>
  <c r="U4296" i="29"/>
  <c r="T4296" i="29"/>
  <c r="R4296" i="29"/>
  <c r="Q4296" i="29"/>
  <c r="V4295" i="29"/>
  <c r="U4295" i="29"/>
  <c r="T4295" i="29"/>
  <c r="R4295" i="29"/>
  <c r="Q4295" i="29"/>
  <c r="V4294" i="29"/>
  <c r="U4294" i="29"/>
  <c r="T4294" i="29"/>
  <c r="R4294" i="29"/>
  <c r="Q4294" i="29"/>
  <c r="V4293" i="29"/>
  <c r="U4293" i="29"/>
  <c r="T4293" i="29"/>
  <c r="R4293" i="29"/>
  <c r="Q4293" i="29"/>
  <c r="V4292" i="29"/>
  <c r="U4292" i="29"/>
  <c r="T4292" i="29"/>
  <c r="R4292" i="29"/>
  <c r="Q4292" i="29"/>
  <c r="V4291" i="29"/>
  <c r="U4291" i="29"/>
  <c r="T4291" i="29"/>
  <c r="R4291" i="29"/>
  <c r="Q4291" i="29"/>
  <c r="V4290" i="29"/>
  <c r="U4290" i="29"/>
  <c r="T4290" i="29"/>
  <c r="R4290" i="29"/>
  <c r="Q4290" i="29"/>
  <c r="V4287" i="29"/>
  <c r="U4287" i="29"/>
  <c r="T4287" i="29"/>
  <c r="R4287" i="29"/>
  <c r="Q4287" i="29"/>
  <c r="V4286" i="29"/>
  <c r="U4286" i="29"/>
  <c r="T4286" i="29"/>
  <c r="R4286" i="29"/>
  <c r="Q4286" i="29"/>
  <c r="V4285" i="29"/>
  <c r="U4285" i="29"/>
  <c r="T4285" i="29"/>
  <c r="R4285" i="29"/>
  <c r="Q4285" i="29"/>
  <c r="V4284" i="29"/>
  <c r="U4284" i="29"/>
  <c r="T4284" i="29"/>
  <c r="R4284" i="29"/>
  <c r="Q4284" i="29"/>
  <c r="V4283" i="29"/>
  <c r="U4283" i="29"/>
  <c r="T4283" i="29"/>
  <c r="R4283" i="29"/>
  <c r="Q4283" i="29"/>
  <c r="V4282" i="29"/>
  <c r="U4282" i="29"/>
  <c r="T4282" i="29"/>
  <c r="R4282" i="29"/>
  <c r="Q4282" i="29"/>
  <c r="V4281" i="29"/>
  <c r="U4281" i="29"/>
  <c r="T4281" i="29"/>
  <c r="R4281" i="29"/>
  <c r="Q4281" i="29"/>
  <c r="V4280" i="29"/>
  <c r="U4280" i="29"/>
  <c r="T4280" i="29"/>
  <c r="R4280" i="29"/>
  <c r="Q4280" i="29"/>
  <c r="V4279" i="29"/>
  <c r="U4279" i="29"/>
  <c r="T4279" i="29"/>
  <c r="R4279" i="29"/>
  <c r="Q4279" i="29"/>
  <c r="V4276" i="29"/>
  <c r="U4276" i="29"/>
  <c r="T4276" i="29"/>
  <c r="R4276" i="29"/>
  <c r="Q4276" i="29"/>
  <c r="V4275" i="29"/>
  <c r="U4275" i="29"/>
  <c r="T4275" i="29"/>
  <c r="R4275" i="29"/>
  <c r="Q4275" i="29"/>
  <c r="V4274" i="29"/>
  <c r="U4274" i="29"/>
  <c r="T4274" i="29"/>
  <c r="R4274" i="29"/>
  <c r="Q4274" i="29"/>
  <c r="V4273" i="29"/>
  <c r="U4273" i="29"/>
  <c r="T4273" i="29"/>
  <c r="R4273" i="29"/>
  <c r="Q4273" i="29"/>
  <c r="V4272" i="29"/>
  <c r="U4272" i="29"/>
  <c r="T4272" i="29"/>
  <c r="R4272" i="29"/>
  <c r="Q4272" i="29"/>
  <c r="V4271" i="29"/>
  <c r="U4271" i="29"/>
  <c r="T4271" i="29"/>
  <c r="R4271" i="29"/>
  <c r="Q4271" i="29"/>
  <c r="V4270" i="29"/>
  <c r="U4270" i="29"/>
  <c r="T4270" i="29"/>
  <c r="R4270" i="29"/>
  <c r="Q4270" i="29"/>
  <c r="V4269" i="29"/>
  <c r="U4269" i="29"/>
  <c r="T4269" i="29"/>
  <c r="R4269" i="29"/>
  <c r="Q4269" i="29"/>
  <c r="V4268" i="29"/>
  <c r="U4268" i="29"/>
  <c r="T4268" i="29"/>
  <c r="R4268" i="29"/>
  <c r="Q4268" i="29"/>
  <c r="V4265" i="29"/>
  <c r="U4265" i="29"/>
  <c r="T4265" i="29"/>
  <c r="R4265" i="29"/>
  <c r="Q4265" i="29"/>
  <c r="V4264" i="29"/>
  <c r="U4264" i="29"/>
  <c r="T4264" i="29"/>
  <c r="R4264" i="29"/>
  <c r="Q4264" i="29"/>
  <c r="V4263" i="29"/>
  <c r="U4263" i="29"/>
  <c r="T4263" i="29"/>
  <c r="R4263" i="29"/>
  <c r="Q4263" i="29"/>
  <c r="V4262" i="29"/>
  <c r="U4262" i="29"/>
  <c r="T4262" i="29"/>
  <c r="R4262" i="29"/>
  <c r="Q4262" i="29"/>
  <c r="V4261" i="29"/>
  <c r="U4261" i="29"/>
  <c r="T4261" i="29"/>
  <c r="R4261" i="29"/>
  <c r="Q4261" i="29"/>
  <c r="V4260" i="29"/>
  <c r="U4260" i="29"/>
  <c r="T4260" i="29"/>
  <c r="R4260" i="29"/>
  <c r="Q4260" i="29"/>
  <c r="V4259" i="29"/>
  <c r="U4259" i="29"/>
  <c r="T4259" i="29"/>
  <c r="R4259" i="29"/>
  <c r="Q4259" i="29"/>
  <c r="V4258" i="29"/>
  <c r="U4258" i="29"/>
  <c r="T4258" i="29"/>
  <c r="R4258" i="29"/>
  <c r="Q4258" i="29"/>
  <c r="V4257" i="29"/>
  <c r="U4257" i="29"/>
  <c r="T4257" i="29"/>
  <c r="R4257" i="29"/>
  <c r="Q4257" i="29"/>
  <c r="V4254" i="29"/>
  <c r="U4254" i="29"/>
  <c r="T4254" i="29"/>
  <c r="R4254" i="29"/>
  <c r="Q4254" i="29"/>
  <c r="V4253" i="29"/>
  <c r="U4253" i="29"/>
  <c r="T4253" i="29"/>
  <c r="R4253" i="29"/>
  <c r="Q4253" i="29"/>
  <c r="V4252" i="29"/>
  <c r="U4252" i="29"/>
  <c r="T4252" i="29"/>
  <c r="R4252" i="29"/>
  <c r="Q4252" i="29"/>
  <c r="V4251" i="29"/>
  <c r="U4251" i="29"/>
  <c r="T4251" i="29"/>
  <c r="R4251" i="29"/>
  <c r="Q4251" i="29"/>
  <c r="V4250" i="29"/>
  <c r="U4250" i="29"/>
  <c r="T4250" i="29"/>
  <c r="R4250" i="29"/>
  <c r="Q4250" i="29"/>
  <c r="V4249" i="29"/>
  <c r="U4249" i="29"/>
  <c r="T4249" i="29"/>
  <c r="R4249" i="29"/>
  <c r="Q4249" i="29"/>
  <c r="V4248" i="29"/>
  <c r="U4248" i="29"/>
  <c r="T4248" i="29"/>
  <c r="R4248" i="29"/>
  <c r="Q4248" i="29"/>
  <c r="V4247" i="29"/>
  <c r="U4247" i="29"/>
  <c r="T4247" i="29"/>
  <c r="R4247" i="29"/>
  <c r="Q4247" i="29"/>
  <c r="V4246" i="29"/>
  <c r="U4246" i="29"/>
  <c r="T4246" i="29"/>
  <c r="R4246" i="29"/>
  <c r="Q4246" i="29"/>
  <c r="V4243" i="29"/>
  <c r="U4243" i="29"/>
  <c r="T4243" i="29"/>
  <c r="R4243" i="29"/>
  <c r="Q4243" i="29"/>
  <c r="V4242" i="29"/>
  <c r="U4242" i="29"/>
  <c r="T4242" i="29"/>
  <c r="R4242" i="29"/>
  <c r="Q4242" i="29"/>
  <c r="V4241" i="29"/>
  <c r="U4241" i="29"/>
  <c r="T4241" i="29"/>
  <c r="R4241" i="29"/>
  <c r="Q4241" i="29"/>
  <c r="V4240" i="29"/>
  <c r="U4240" i="29"/>
  <c r="T4240" i="29"/>
  <c r="R4240" i="29"/>
  <c r="Q4240" i="29"/>
  <c r="V4239" i="29"/>
  <c r="U4239" i="29"/>
  <c r="T4239" i="29"/>
  <c r="R4239" i="29"/>
  <c r="Q4239" i="29"/>
  <c r="V4238" i="29"/>
  <c r="U4238" i="29"/>
  <c r="T4238" i="29"/>
  <c r="R4238" i="29"/>
  <c r="Q4238" i="29"/>
  <c r="V4237" i="29"/>
  <c r="U4237" i="29"/>
  <c r="T4237" i="29"/>
  <c r="R4237" i="29"/>
  <c r="Q4237" i="29"/>
  <c r="V4236" i="29"/>
  <c r="U4236" i="29"/>
  <c r="T4236" i="29"/>
  <c r="R4236" i="29"/>
  <c r="Q4236" i="29"/>
  <c r="V4235" i="29"/>
  <c r="U4235" i="29"/>
  <c r="T4235" i="29"/>
  <c r="R4235" i="29"/>
  <c r="Q4235" i="29"/>
  <c r="V4232" i="29"/>
  <c r="U4232" i="29"/>
  <c r="T4232" i="29"/>
  <c r="R4232" i="29"/>
  <c r="Q4232" i="29"/>
  <c r="V4231" i="29"/>
  <c r="U4231" i="29"/>
  <c r="T4231" i="29"/>
  <c r="R4231" i="29"/>
  <c r="Q4231" i="29"/>
  <c r="V4230" i="29"/>
  <c r="U4230" i="29"/>
  <c r="T4230" i="29"/>
  <c r="R4230" i="29"/>
  <c r="Q4230" i="29"/>
  <c r="V4229" i="29"/>
  <c r="U4229" i="29"/>
  <c r="T4229" i="29"/>
  <c r="R4229" i="29"/>
  <c r="Q4229" i="29"/>
  <c r="V4228" i="29"/>
  <c r="U4228" i="29"/>
  <c r="T4228" i="29"/>
  <c r="R4228" i="29"/>
  <c r="Q4228" i="29"/>
  <c r="V4227" i="29"/>
  <c r="U4227" i="29"/>
  <c r="T4227" i="29"/>
  <c r="R4227" i="29"/>
  <c r="Q4227" i="29"/>
  <c r="V4226" i="29"/>
  <c r="U4226" i="29"/>
  <c r="T4226" i="29"/>
  <c r="R4226" i="29"/>
  <c r="Q4226" i="29"/>
  <c r="V4225" i="29"/>
  <c r="U4225" i="29"/>
  <c r="T4225" i="29"/>
  <c r="R4225" i="29"/>
  <c r="Q4225" i="29"/>
  <c r="V4224" i="29"/>
  <c r="U4224" i="29"/>
  <c r="T4224" i="29"/>
  <c r="R4224" i="29"/>
  <c r="Q4224" i="29"/>
  <c r="V4221" i="29"/>
  <c r="U4221" i="29"/>
  <c r="T4221" i="29"/>
  <c r="R4221" i="29"/>
  <c r="Q4221" i="29"/>
  <c r="V4220" i="29"/>
  <c r="U4220" i="29"/>
  <c r="T4220" i="29"/>
  <c r="R4220" i="29"/>
  <c r="Q4220" i="29"/>
  <c r="V4219" i="29"/>
  <c r="U4219" i="29"/>
  <c r="T4219" i="29"/>
  <c r="R4219" i="29"/>
  <c r="Q4219" i="29"/>
  <c r="V4218" i="29"/>
  <c r="U4218" i="29"/>
  <c r="T4218" i="29"/>
  <c r="R4218" i="29"/>
  <c r="Q4218" i="29"/>
  <c r="V4217" i="29"/>
  <c r="U4217" i="29"/>
  <c r="T4217" i="29"/>
  <c r="R4217" i="29"/>
  <c r="Q4217" i="29"/>
  <c r="V4216" i="29"/>
  <c r="U4216" i="29"/>
  <c r="T4216" i="29"/>
  <c r="R4216" i="29"/>
  <c r="Q4216" i="29"/>
  <c r="V4215" i="29"/>
  <c r="U4215" i="29"/>
  <c r="T4215" i="29"/>
  <c r="R4215" i="29"/>
  <c r="Q4215" i="29"/>
  <c r="V4214" i="29"/>
  <c r="U4214" i="29"/>
  <c r="T4214" i="29"/>
  <c r="R4214" i="29"/>
  <c r="Q4214" i="29"/>
  <c r="V4213" i="29"/>
  <c r="U4213" i="29"/>
  <c r="T4213" i="29"/>
  <c r="R4213" i="29"/>
  <c r="Q4213" i="29"/>
  <c r="V4210" i="29"/>
  <c r="U4210" i="29"/>
  <c r="T4210" i="29"/>
  <c r="R4210" i="29"/>
  <c r="Q4210" i="29"/>
  <c r="V4209" i="29"/>
  <c r="U4209" i="29"/>
  <c r="T4209" i="29"/>
  <c r="R4209" i="29"/>
  <c r="Q4209" i="29"/>
  <c r="V4208" i="29"/>
  <c r="U4208" i="29"/>
  <c r="T4208" i="29"/>
  <c r="R4208" i="29"/>
  <c r="Q4208" i="29"/>
  <c r="V4207" i="29"/>
  <c r="U4207" i="29"/>
  <c r="T4207" i="29"/>
  <c r="R4207" i="29"/>
  <c r="Q4207" i="29"/>
  <c r="V4206" i="29"/>
  <c r="U4206" i="29"/>
  <c r="T4206" i="29"/>
  <c r="R4206" i="29"/>
  <c r="Q4206" i="29"/>
  <c r="V4205" i="29"/>
  <c r="U4205" i="29"/>
  <c r="T4205" i="29"/>
  <c r="R4205" i="29"/>
  <c r="Q4205" i="29"/>
  <c r="V4204" i="29"/>
  <c r="U4204" i="29"/>
  <c r="T4204" i="29"/>
  <c r="R4204" i="29"/>
  <c r="Q4204" i="29"/>
  <c r="V4203" i="29"/>
  <c r="U4203" i="29"/>
  <c r="T4203" i="29"/>
  <c r="R4203" i="29"/>
  <c r="Q4203" i="29"/>
  <c r="V4202" i="29"/>
  <c r="U4202" i="29"/>
  <c r="T4202" i="29"/>
  <c r="R4202" i="29"/>
  <c r="Q4202" i="29"/>
  <c r="V4199" i="29"/>
  <c r="U4199" i="29"/>
  <c r="T4199" i="29"/>
  <c r="R4199" i="29"/>
  <c r="Q4199" i="29"/>
  <c r="V4198" i="29"/>
  <c r="U4198" i="29"/>
  <c r="T4198" i="29"/>
  <c r="R4198" i="29"/>
  <c r="Q4198" i="29"/>
  <c r="V4197" i="29"/>
  <c r="U4197" i="29"/>
  <c r="T4197" i="29"/>
  <c r="R4197" i="29"/>
  <c r="Q4197" i="29"/>
  <c r="V4196" i="29"/>
  <c r="U4196" i="29"/>
  <c r="T4196" i="29"/>
  <c r="R4196" i="29"/>
  <c r="Q4196" i="29"/>
  <c r="V4195" i="29"/>
  <c r="U4195" i="29"/>
  <c r="T4195" i="29"/>
  <c r="R4195" i="29"/>
  <c r="Q4195" i="29"/>
  <c r="V4194" i="29"/>
  <c r="U4194" i="29"/>
  <c r="T4194" i="29"/>
  <c r="R4194" i="29"/>
  <c r="Q4194" i="29"/>
  <c r="V4193" i="29"/>
  <c r="U4193" i="29"/>
  <c r="T4193" i="29"/>
  <c r="R4193" i="29"/>
  <c r="Q4193" i="29"/>
  <c r="V4192" i="29"/>
  <c r="U4192" i="29"/>
  <c r="T4192" i="29"/>
  <c r="R4192" i="29"/>
  <c r="Q4192" i="29"/>
  <c r="V4191" i="29"/>
  <c r="U4191" i="29"/>
  <c r="T4191" i="29"/>
  <c r="R4191" i="29"/>
  <c r="Q4191" i="29"/>
  <c r="V4188" i="29"/>
  <c r="U4188" i="29"/>
  <c r="T4188" i="29"/>
  <c r="R4188" i="29"/>
  <c r="Q4188" i="29"/>
  <c r="V4187" i="29"/>
  <c r="U4187" i="29"/>
  <c r="T4187" i="29"/>
  <c r="R4187" i="29"/>
  <c r="Q4187" i="29"/>
  <c r="V4186" i="29"/>
  <c r="U4186" i="29"/>
  <c r="T4186" i="29"/>
  <c r="R4186" i="29"/>
  <c r="Q4186" i="29"/>
  <c r="V4185" i="29"/>
  <c r="U4185" i="29"/>
  <c r="T4185" i="29"/>
  <c r="R4185" i="29"/>
  <c r="Q4185" i="29"/>
  <c r="V4184" i="29"/>
  <c r="U4184" i="29"/>
  <c r="T4184" i="29"/>
  <c r="R4184" i="29"/>
  <c r="Q4184" i="29"/>
  <c r="V4183" i="29"/>
  <c r="U4183" i="29"/>
  <c r="T4183" i="29"/>
  <c r="R4183" i="29"/>
  <c r="Q4183" i="29"/>
  <c r="V4182" i="29"/>
  <c r="U4182" i="29"/>
  <c r="T4182" i="29"/>
  <c r="R4182" i="29"/>
  <c r="Q4182" i="29"/>
  <c r="V4181" i="29"/>
  <c r="U4181" i="29"/>
  <c r="T4181" i="29"/>
  <c r="R4181" i="29"/>
  <c r="Q4181" i="29"/>
  <c r="V4180" i="29"/>
  <c r="U4180" i="29"/>
  <c r="T4180" i="29"/>
  <c r="R4180" i="29"/>
  <c r="Q4180" i="29"/>
  <c r="V4177" i="29"/>
  <c r="U4177" i="29"/>
  <c r="T4177" i="29"/>
  <c r="R4177" i="29"/>
  <c r="Q4177" i="29"/>
  <c r="V4176" i="29"/>
  <c r="U4176" i="29"/>
  <c r="T4176" i="29"/>
  <c r="R4176" i="29"/>
  <c r="Q4176" i="29"/>
  <c r="V4175" i="29"/>
  <c r="U4175" i="29"/>
  <c r="T4175" i="29"/>
  <c r="R4175" i="29"/>
  <c r="Q4175" i="29"/>
  <c r="V4174" i="29"/>
  <c r="U4174" i="29"/>
  <c r="T4174" i="29"/>
  <c r="R4174" i="29"/>
  <c r="Q4174" i="29"/>
  <c r="V4173" i="29"/>
  <c r="U4173" i="29"/>
  <c r="T4173" i="29"/>
  <c r="R4173" i="29"/>
  <c r="Q4173" i="29"/>
  <c r="V4172" i="29"/>
  <c r="U4172" i="29"/>
  <c r="T4172" i="29"/>
  <c r="R4172" i="29"/>
  <c r="Q4172" i="29"/>
  <c r="V4171" i="29"/>
  <c r="U4171" i="29"/>
  <c r="T4171" i="29"/>
  <c r="R4171" i="29"/>
  <c r="Q4171" i="29"/>
  <c r="V4170" i="29"/>
  <c r="U4170" i="29"/>
  <c r="T4170" i="29"/>
  <c r="R4170" i="29"/>
  <c r="Q4170" i="29"/>
  <c r="V4169" i="29"/>
  <c r="U4169" i="29"/>
  <c r="T4169" i="29"/>
  <c r="R4169" i="29"/>
  <c r="Q4169" i="29"/>
  <c r="V4166" i="29"/>
  <c r="U4166" i="29"/>
  <c r="T4166" i="29"/>
  <c r="R4166" i="29"/>
  <c r="Q4166" i="29"/>
  <c r="V4165" i="29"/>
  <c r="U4165" i="29"/>
  <c r="T4165" i="29"/>
  <c r="R4165" i="29"/>
  <c r="Q4165" i="29"/>
  <c r="V4164" i="29"/>
  <c r="U4164" i="29"/>
  <c r="T4164" i="29"/>
  <c r="R4164" i="29"/>
  <c r="Q4164" i="29"/>
  <c r="V4163" i="29"/>
  <c r="U4163" i="29"/>
  <c r="T4163" i="29"/>
  <c r="R4163" i="29"/>
  <c r="Q4163" i="29"/>
  <c r="V4162" i="29"/>
  <c r="U4162" i="29"/>
  <c r="T4162" i="29"/>
  <c r="R4162" i="29"/>
  <c r="Q4162" i="29"/>
  <c r="V4161" i="29"/>
  <c r="U4161" i="29"/>
  <c r="T4161" i="29"/>
  <c r="R4161" i="29"/>
  <c r="Q4161" i="29"/>
  <c r="V4160" i="29"/>
  <c r="U4160" i="29"/>
  <c r="T4160" i="29"/>
  <c r="R4160" i="29"/>
  <c r="Q4160" i="29"/>
  <c r="V4159" i="29"/>
  <c r="U4159" i="29"/>
  <c r="T4159" i="29"/>
  <c r="R4159" i="29"/>
  <c r="Q4159" i="29"/>
  <c r="V4158" i="29"/>
  <c r="U4158" i="29"/>
  <c r="T4158" i="29"/>
  <c r="R4158" i="29"/>
  <c r="Q4158" i="29"/>
  <c r="V4155" i="29"/>
  <c r="U4155" i="29"/>
  <c r="T4155" i="29"/>
  <c r="R4155" i="29"/>
  <c r="Q4155" i="29"/>
  <c r="V4154" i="29"/>
  <c r="U4154" i="29"/>
  <c r="T4154" i="29"/>
  <c r="R4154" i="29"/>
  <c r="Q4154" i="29"/>
  <c r="V4153" i="29"/>
  <c r="U4153" i="29"/>
  <c r="T4153" i="29"/>
  <c r="R4153" i="29"/>
  <c r="Q4153" i="29"/>
  <c r="V4152" i="29"/>
  <c r="U4152" i="29"/>
  <c r="T4152" i="29"/>
  <c r="R4152" i="29"/>
  <c r="Q4152" i="29"/>
  <c r="V4151" i="29"/>
  <c r="U4151" i="29"/>
  <c r="T4151" i="29"/>
  <c r="R4151" i="29"/>
  <c r="Q4151" i="29"/>
  <c r="V4150" i="29"/>
  <c r="U4150" i="29"/>
  <c r="T4150" i="29"/>
  <c r="R4150" i="29"/>
  <c r="Q4150" i="29"/>
  <c r="V4149" i="29"/>
  <c r="U4149" i="29"/>
  <c r="T4149" i="29"/>
  <c r="R4149" i="29"/>
  <c r="Q4149" i="29"/>
  <c r="V4148" i="29"/>
  <c r="U4148" i="29"/>
  <c r="T4148" i="29"/>
  <c r="R4148" i="29"/>
  <c r="Q4148" i="29"/>
  <c r="V4147" i="29"/>
  <c r="U4147" i="29"/>
  <c r="T4147" i="29"/>
  <c r="R4147" i="29"/>
  <c r="Q4147" i="29"/>
  <c r="V4144" i="29"/>
  <c r="U4144" i="29"/>
  <c r="T4144" i="29"/>
  <c r="R4144" i="29"/>
  <c r="Q4144" i="29"/>
  <c r="V4143" i="29"/>
  <c r="U4143" i="29"/>
  <c r="T4143" i="29"/>
  <c r="R4143" i="29"/>
  <c r="Q4143" i="29"/>
  <c r="V4142" i="29"/>
  <c r="U4142" i="29"/>
  <c r="T4142" i="29"/>
  <c r="R4142" i="29"/>
  <c r="Q4142" i="29"/>
  <c r="V4141" i="29"/>
  <c r="U4141" i="29"/>
  <c r="T4141" i="29"/>
  <c r="R4141" i="29"/>
  <c r="Q4141" i="29"/>
  <c r="V4140" i="29"/>
  <c r="U4140" i="29"/>
  <c r="T4140" i="29"/>
  <c r="R4140" i="29"/>
  <c r="Q4140" i="29"/>
  <c r="V4139" i="29"/>
  <c r="U4139" i="29"/>
  <c r="T4139" i="29"/>
  <c r="R4139" i="29"/>
  <c r="Q4139" i="29"/>
  <c r="V4138" i="29"/>
  <c r="U4138" i="29"/>
  <c r="T4138" i="29"/>
  <c r="R4138" i="29"/>
  <c r="Q4138" i="29"/>
  <c r="V4137" i="29"/>
  <c r="U4137" i="29"/>
  <c r="T4137" i="29"/>
  <c r="R4137" i="29"/>
  <c r="Q4137" i="29"/>
  <c r="V4136" i="29"/>
  <c r="U4136" i="29"/>
  <c r="T4136" i="29"/>
  <c r="R4136" i="29"/>
  <c r="Q4136" i="29"/>
  <c r="V4133" i="29"/>
  <c r="U4133" i="29"/>
  <c r="T4133" i="29"/>
  <c r="R4133" i="29"/>
  <c r="Q4133" i="29"/>
  <c r="V4132" i="29"/>
  <c r="U4132" i="29"/>
  <c r="T4132" i="29"/>
  <c r="R4132" i="29"/>
  <c r="Q4132" i="29"/>
  <c r="V4131" i="29"/>
  <c r="U4131" i="29"/>
  <c r="T4131" i="29"/>
  <c r="R4131" i="29"/>
  <c r="Q4131" i="29"/>
  <c r="V4130" i="29"/>
  <c r="U4130" i="29"/>
  <c r="T4130" i="29"/>
  <c r="R4130" i="29"/>
  <c r="Q4130" i="29"/>
  <c r="V4129" i="29"/>
  <c r="U4129" i="29"/>
  <c r="T4129" i="29"/>
  <c r="R4129" i="29"/>
  <c r="Q4129" i="29"/>
  <c r="V4128" i="29"/>
  <c r="U4128" i="29"/>
  <c r="T4128" i="29"/>
  <c r="R4128" i="29"/>
  <c r="Q4128" i="29"/>
  <c r="V4127" i="29"/>
  <c r="U4127" i="29"/>
  <c r="T4127" i="29"/>
  <c r="R4127" i="29"/>
  <c r="Q4127" i="29"/>
  <c r="V4126" i="29"/>
  <c r="U4126" i="29"/>
  <c r="T4126" i="29"/>
  <c r="R4126" i="29"/>
  <c r="Q4126" i="29"/>
  <c r="V4125" i="29"/>
  <c r="U4125" i="29"/>
  <c r="T4125" i="29"/>
  <c r="R4125" i="29"/>
  <c r="Q4125" i="29"/>
  <c r="V4122" i="29"/>
  <c r="U4122" i="29"/>
  <c r="T4122" i="29"/>
  <c r="R4122" i="29"/>
  <c r="Q4122" i="29"/>
  <c r="V4121" i="29"/>
  <c r="U4121" i="29"/>
  <c r="T4121" i="29"/>
  <c r="R4121" i="29"/>
  <c r="Q4121" i="29"/>
  <c r="V4120" i="29"/>
  <c r="U4120" i="29"/>
  <c r="T4120" i="29"/>
  <c r="R4120" i="29"/>
  <c r="Q4120" i="29"/>
  <c r="V4119" i="29"/>
  <c r="U4119" i="29"/>
  <c r="T4119" i="29"/>
  <c r="R4119" i="29"/>
  <c r="Q4119" i="29"/>
  <c r="V4118" i="29"/>
  <c r="U4118" i="29"/>
  <c r="T4118" i="29"/>
  <c r="R4118" i="29"/>
  <c r="Q4118" i="29"/>
  <c r="V4117" i="29"/>
  <c r="U4117" i="29"/>
  <c r="T4117" i="29"/>
  <c r="R4117" i="29"/>
  <c r="Q4117" i="29"/>
  <c r="V4116" i="29"/>
  <c r="U4116" i="29"/>
  <c r="T4116" i="29"/>
  <c r="R4116" i="29"/>
  <c r="Q4116" i="29"/>
  <c r="V4115" i="29"/>
  <c r="U4115" i="29"/>
  <c r="T4115" i="29"/>
  <c r="R4115" i="29"/>
  <c r="Q4115" i="29"/>
  <c r="V4114" i="29"/>
  <c r="U4114" i="29"/>
  <c r="T4114" i="29"/>
  <c r="R4114" i="29"/>
  <c r="Q4114" i="29"/>
  <c r="V4111" i="29"/>
  <c r="U4111" i="29"/>
  <c r="T4111" i="29"/>
  <c r="R4111" i="29"/>
  <c r="Q4111" i="29"/>
  <c r="V4110" i="29"/>
  <c r="U4110" i="29"/>
  <c r="T4110" i="29"/>
  <c r="R4110" i="29"/>
  <c r="Q4110" i="29"/>
  <c r="V4109" i="29"/>
  <c r="U4109" i="29"/>
  <c r="T4109" i="29"/>
  <c r="R4109" i="29"/>
  <c r="Q4109" i="29"/>
  <c r="V4108" i="29"/>
  <c r="U4108" i="29"/>
  <c r="T4108" i="29"/>
  <c r="R4108" i="29"/>
  <c r="Q4108" i="29"/>
  <c r="V4107" i="29"/>
  <c r="U4107" i="29"/>
  <c r="T4107" i="29"/>
  <c r="R4107" i="29"/>
  <c r="Q4107" i="29"/>
  <c r="V4106" i="29"/>
  <c r="U4106" i="29"/>
  <c r="T4106" i="29"/>
  <c r="R4106" i="29"/>
  <c r="Q4106" i="29"/>
  <c r="V4105" i="29"/>
  <c r="U4105" i="29"/>
  <c r="T4105" i="29"/>
  <c r="R4105" i="29"/>
  <c r="Q4105" i="29"/>
  <c r="V4104" i="29"/>
  <c r="U4104" i="29"/>
  <c r="T4104" i="29"/>
  <c r="R4104" i="29"/>
  <c r="Q4104" i="29"/>
  <c r="V4103" i="29"/>
  <c r="U4103" i="29"/>
  <c r="T4103" i="29"/>
  <c r="R4103" i="29"/>
  <c r="Q4103" i="29"/>
  <c r="V4100" i="29"/>
  <c r="U4100" i="29"/>
  <c r="T4100" i="29"/>
  <c r="R4100" i="29"/>
  <c r="Q4100" i="29"/>
  <c r="V4099" i="29"/>
  <c r="U4099" i="29"/>
  <c r="T4099" i="29"/>
  <c r="R4099" i="29"/>
  <c r="Q4099" i="29"/>
  <c r="V4098" i="29"/>
  <c r="U4098" i="29"/>
  <c r="T4098" i="29"/>
  <c r="R4098" i="29"/>
  <c r="Q4098" i="29"/>
  <c r="V4097" i="29"/>
  <c r="U4097" i="29"/>
  <c r="T4097" i="29"/>
  <c r="R4097" i="29"/>
  <c r="Q4097" i="29"/>
  <c r="V4096" i="29"/>
  <c r="U4096" i="29"/>
  <c r="T4096" i="29"/>
  <c r="R4096" i="29"/>
  <c r="Q4096" i="29"/>
  <c r="V4095" i="29"/>
  <c r="U4095" i="29"/>
  <c r="T4095" i="29"/>
  <c r="R4095" i="29"/>
  <c r="Q4095" i="29"/>
  <c r="V4094" i="29"/>
  <c r="U4094" i="29"/>
  <c r="T4094" i="29"/>
  <c r="R4094" i="29"/>
  <c r="Q4094" i="29"/>
  <c r="V4093" i="29"/>
  <c r="U4093" i="29"/>
  <c r="T4093" i="29"/>
  <c r="R4093" i="29"/>
  <c r="Q4093" i="29"/>
  <c r="V4092" i="29"/>
  <c r="U4092" i="29"/>
  <c r="T4092" i="29"/>
  <c r="R4092" i="29"/>
  <c r="Q4092" i="29"/>
  <c r="V4089" i="29"/>
  <c r="U4089" i="29"/>
  <c r="T4089" i="29"/>
  <c r="R4089" i="29"/>
  <c r="Q4089" i="29"/>
  <c r="V4088" i="29"/>
  <c r="U4088" i="29"/>
  <c r="T4088" i="29"/>
  <c r="R4088" i="29"/>
  <c r="Q4088" i="29"/>
  <c r="V4087" i="29"/>
  <c r="U4087" i="29"/>
  <c r="T4087" i="29"/>
  <c r="R4087" i="29"/>
  <c r="Q4087" i="29"/>
  <c r="V4086" i="29"/>
  <c r="U4086" i="29"/>
  <c r="T4086" i="29"/>
  <c r="R4086" i="29"/>
  <c r="Q4086" i="29"/>
  <c r="V4085" i="29"/>
  <c r="U4085" i="29"/>
  <c r="T4085" i="29"/>
  <c r="R4085" i="29"/>
  <c r="Q4085" i="29"/>
  <c r="V4084" i="29"/>
  <c r="U4084" i="29"/>
  <c r="T4084" i="29"/>
  <c r="R4084" i="29"/>
  <c r="Q4084" i="29"/>
  <c r="V4083" i="29"/>
  <c r="U4083" i="29"/>
  <c r="T4083" i="29"/>
  <c r="R4083" i="29"/>
  <c r="Q4083" i="29"/>
  <c r="V4082" i="29"/>
  <c r="U4082" i="29"/>
  <c r="T4082" i="29"/>
  <c r="R4082" i="29"/>
  <c r="Q4082" i="29"/>
  <c r="V4081" i="29"/>
  <c r="U4081" i="29"/>
  <c r="T4081" i="29"/>
  <c r="R4081" i="29"/>
  <c r="Q4081" i="29"/>
  <c r="V4078" i="29"/>
  <c r="U4078" i="29"/>
  <c r="T4078" i="29"/>
  <c r="R4078" i="29"/>
  <c r="Q4078" i="29"/>
  <c r="V4077" i="29"/>
  <c r="U4077" i="29"/>
  <c r="T4077" i="29"/>
  <c r="R4077" i="29"/>
  <c r="Q4077" i="29"/>
  <c r="V4076" i="29"/>
  <c r="U4076" i="29"/>
  <c r="T4076" i="29"/>
  <c r="R4076" i="29"/>
  <c r="Q4076" i="29"/>
  <c r="V4075" i="29"/>
  <c r="U4075" i="29"/>
  <c r="T4075" i="29"/>
  <c r="R4075" i="29"/>
  <c r="Q4075" i="29"/>
  <c r="V4074" i="29"/>
  <c r="U4074" i="29"/>
  <c r="T4074" i="29"/>
  <c r="R4074" i="29"/>
  <c r="Q4074" i="29"/>
  <c r="V4073" i="29"/>
  <c r="U4073" i="29"/>
  <c r="T4073" i="29"/>
  <c r="R4073" i="29"/>
  <c r="Q4073" i="29"/>
  <c r="V4072" i="29"/>
  <c r="U4072" i="29"/>
  <c r="T4072" i="29"/>
  <c r="R4072" i="29"/>
  <c r="Q4072" i="29"/>
  <c r="V4071" i="29"/>
  <c r="U4071" i="29"/>
  <c r="T4071" i="29"/>
  <c r="R4071" i="29"/>
  <c r="Q4071" i="29"/>
  <c r="V4070" i="29"/>
  <c r="U4070" i="29"/>
  <c r="T4070" i="29"/>
  <c r="R4070" i="29"/>
  <c r="Q4070" i="29"/>
  <c r="V4067" i="29"/>
  <c r="U4067" i="29"/>
  <c r="T4067" i="29"/>
  <c r="R4067" i="29"/>
  <c r="Q4067" i="29"/>
  <c r="V4066" i="29"/>
  <c r="U4066" i="29"/>
  <c r="T4066" i="29"/>
  <c r="R4066" i="29"/>
  <c r="Q4066" i="29"/>
  <c r="V4065" i="29"/>
  <c r="U4065" i="29"/>
  <c r="T4065" i="29"/>
  <c r="R4065" i="29"/>
  <c r="Q4065" i="29"/>
  <c r="V4064" i="29"/>
  <c r="U4064" i="29"/>
  <c r="T4064" i="29"/>
  <c r="R4064" i="29"/>
  <c r="Q4064" i="29"/>
  <c r="V4063" i="29"/>
  <c r="U4063" i="29"/>
  <c r="T4063" i="29"/>
  <c r="R4063" i="29"/>
  <c r="Q4063" i="29"/>
  <c r="V4062" i="29"/>
  <c r="U4062" i="29"/>
  <c r="T4062" i="29"/>
  <c r="R4062" i="29"/>
  <c r="Q4062" i="29"/>
  <c r="V4061" i="29"/>
  <c r="U4061" i="29"/>
  <c r="T4061" i="29"/>
  <c r="R4061" i="29"/>
  <c r="Q4061" i="29"/>
  <c r="V4060" i="29"/>
  <c r="U4060" i="29"/>
  <c r="T4060" i="29"/>
  <c r="R4060" i="29"/>
  <c r="Q4060" i="29"/>
  <c r="V4059" i="29"/>
  <c r="U4059" i="29"/>
  <c r="T4059" i="29"/>
  <c r="R4059" i="29"/>
  <c r="Q4059" i="29"/>
  <c r="V4056" i="29"/>
  <c r="U4056" i="29"/>
  <c r="T4056" i="29"/>
  <c r="R4056" i="29"/>
  <c r="Q4056" i="29"/>
  <c r="V4055" i="29"/>
  <c r="U4055" i="29"/>
  <c r="T4055" i="29"/>
  <c r="R4055" i="29"/>
  <c r="Q4055" i="29"/>
  <c r="V4054" i="29"/>
  <c r="U4054" i="29"/>
  <c r="T4054" i="29"/>
  <c r="R4054" i="29"/>
  <c r="Q4054" i="29"/>
  <c r="V4053" i="29"/>
  <c r="U4053" i="29"/>
  <c r="T4053" i="29"/>
  <c r="R4053" i="29"/>
  <c r="Q4053" i="29"/>
  <c r="V4052" i="29"/>
  <c r="U4052" i="29"/>
  <c r="T4052" i="29"/>
  <c r="R4052" i="29"/>
  <c r="Q4052" i="29"/>
  <c r="V4051" i="29"/>
  <c r="U4051" i="29"/>
  <c r="T4051" i="29"/>
  <c r="R4051" i="29"/>
  <c r="Q4051" i="29"/>
  <c r="V4050" i="29"/>
  <c r="U4050" i="29"/>
  <c r="T4050" i="29"/>
  <c r="R4050" i="29"/>
  <c r="Q4050" i="29"/>
  <c r="V4049" i="29"/>
  <c r="U4049" i="29"/>
  <c r="T4049" i="29"/>
  <c r="R4049" i="29"/>
  <c r="Q4049" i="29"/>
  <c r="V4048" i="29"/>
  <c r="U4048" i="29"/>
  <c r="T4048" i="29"/>
  <c r="R4048" i="29"/>
  <c r="Q4048" i="29"/>
  <c r="V4045" i="29"/>
  <c r="U4045" i="29"/>
  <c r="T4045" i="29"/>
  <c r="R4045" i="29"/>
  <c r="Q4045" i="29"/>
  <c r="V4044" i="29"/>
  <c r="U4044" i="29"/>
  <c r="T4044" i="29"/>
  <c r="R4044" i="29"/>
  <c r="Q4044" i="29"/>
  <c r="V4043" i="29"/>
  <c r="U4043" i="29"/>
  <c r="T4043" i="29"/>
  <c r="R4043" i="29"/>
  <c r="Q4043" i="29"/>
  <c r="V4042" i="29"/>
  <c r="U4042" i="29"/>
  <c r="T4042" i="29"/>
  <c r="R4042" i="29"/>
  <c r="Q4042" i="29"/>
  <c r="V4041" i="29"/>
  <c r="U4041" i="29"/>
  <c r="T4041" i="29"/>
  <c r="R4041" i="29"/>
  <c r="Q4041" i="29"/>
  <c r="V4040" i="29"/>
  <c r="U4040" i="29"/>
  <c r="T4040" i="29"/>
  <c r="R4040" i="29"/>
  <c r="Q4040" i="29"/>
  <c r="V4039" i="29"/>
  <c r="U4039" i="29"/>
  <c r="T4039" i="29"/>
  <c r="R4039" i="29"/>
  <c r="Q4039" i="29"/>
  <c r="V4038" i="29"/>
  <c r="U4038" i="29"/>
  <c r="T4038" i="29"/>
  <c r="R4038" i="29"/>
  <c r="Q4038" i="29"/>
  <c r="V4037" i="29"/>
  <c r="U4037" i="29"/>
  <c r="T4037" i="29"/>
  <c r="R4037" i="29"/>
  <c r="Q4037" i="29"/>
  <c r="V4034" i="29"/>
  <c r="U4034" i="29"/>
  <c r="T4034" i="29"/>
  <c r="R4034" i="29"/>
  <c r="Q4034" i="29"/>
  <c r="V4033" i="29"/>
  <c r="U4033" i="29"/>
  <c r="T4033" i="29"/>
  <c r="R4033" i="29"/>
  <c r="Q4033" i="29"/>
  <c r="V4032" i="29"/>
  <c r="U4032" i="29"/>
  <c r="T4032" i="29"/>
  <c r="R4032" i="29"/>
  <c r="Q4032" i="29"/>
  <c r="V4031" i="29"/>
  <c r="U4031" i="29"/>
  <c r="T4031" i="29"/>
  <c r="R4031" i="29"/>
  <c r="Q4031" i="29"/>
  <c r="V4030" i="29"/>
  <c r="U4030" i="29"/>
  <c r="T4030" i="29"/>
  <c r="R4030" i="29"/>
  <c r="Q4030" i="29"/>
  <c r="V4029" i="29"/>
  <c r="U4029" i="29"/>
  <c r="T4029" i="29"/>
  <c r="R4029" i="29"/>
  <c r="Q4029" i="29"/>
  <c r="V4028" i="29"/>
  <c r="U4028" i="29"/>
  <c r="T4028" i="29"/>
  <c r="R4028" i="29"/>
  <c r="Q4028" i="29"/>
  <c r="V4027" i="29"/>
  <c r="U4027" i="29"/>
  <c r="T4027" i="29"/>
  <c r="R4027" i="29"/>
  <c r="Q4027" i="29"/>
  <c r="V4026" i="29"/>
  <c r="U4026" i="29"/>
  <c r="T4026" i="29"/>
  <c r="R4026" i="29"/>
  <c r="Q4026" i="29"/>
  <c r="V4023" i="29"/>
  <c r="U4023" i="29"/>
  <c r="T4023" i="29"/>
  <c r="R4023" i="29"/>
  <c r="Q4023" i="29"/>
  <c r="V4022" i="29"/>
  <c r="U4022" i="29"/>
  <c r="T4022" i="29"/>
  <c r="R4022" i="29"/>
  <c r="Q4022" i="29"/>
  <c r="V4021" i="29"/>
  <c r="U4021" i="29"/>
  <c r="T4021" i="29"/>
  <c r="R4021" i="29"/>
  <c r="Q4021" i="29"/>
  <c r="V4020" i="29"/>
  <c r="U4020" i="29"/>
  <c r="T4020" i="29"/>
  <c r="R4020" i="29"/>
  <c r="Q4020" i="29"/>
  <c r="V4019" i="29"/>
  <c r="U4019" i="29"/>
  <c r="T4019" i="29"/>
  <c r="R4019" i="29"/>
  <c r="Q4019" i="29"/>
  <c r="V4018" i="29"/>
  <c r="U4018" i="29"/>
  <c r="T4018" i="29"/>
  <c r="R4018" i="29"/>
  <c r="Q4018" i="29"/>
  <c r="V4017" i="29"/>
  <c r="U4017" i="29"/>
  <c r="T4017" i="29"/>
  <c r="R4017" i="29"/>
  <c r="Q4017" i="29"/>
  <c r="V4016" i="29"/>
  <c r="U4016" i="29"/>
  <c r="T4016" i="29"/>
  <c r="R4016" i="29"/>
  <c r="Q4016" i="29"/>
  <c r="V4015" i="29"/>
  <c r="U4015" i="29"/>
  <c r="T4015" i="29"/>
  <c r="R4015" i="29"/>
  <c r="Q4015" i="29"/>
  <c r="V4012" i="29"/>
  <c r="U4012" i="29"/>
  <c r="T4012" i="29"/>
  <c r="R4012" i="29"/>
  <c r="Q4012" i="29"/>
  <c r="V4011" i="29"/>
  <c r="U4011" i="29"/>
  <c r="T4011" i="29"/>
  <c r="R4011" i="29"/>
  <c r="Q4011" i="29"/>
  <c r="V4010" i="29"/>
  <c r="U4010" i="29"/>
  <c r="T4010" i="29"/>
  <c r="R4010" i="29"/>
  <c r="Q4010" i="29"/>
  <c r="V4009" i="29"/>
  <c r="U4009" i="29"/>
  <c r="T4009" i="29"/>
  <c r="R4009" i="29"/>
  <c r="Q4009" i="29"/>
  <c r="V4008" i="29"/>
  <c r="U4008" i="29"/>
  <c r="T4008" i="29"/>
  <c r="R4008" i="29"/>
  <c r="Q4008" i="29"/>
  <c r="V4007" i="29"/>
  <c r="U4007" i="29"/>
  <c r="T4007" i="29"/>
  <c r="R4007" i="29"/>
  <c r="Q4007" i="29"/>
  <c r="V4006" i="29"/>
  <c r="U4006" i="29"/>
  <c r="T4006" i="29"/>
  <c r="R4006" i="29"/>
  <c r="Q4006" i="29"/>
  <c r="V4005" i="29"/>
  <c r="U4005" i="29"/>
  <c r="T4005" i="29"/>
  <c r="R4005" i="29"/>
  <c r="Q4005" i="29"/>
  <c r="V4004" i="29"/>
  <c r="U4004" i="29"/>
  <c r="T4004" i="29"/>
  <c r="R4004" i="29"/>
  <c r="Q4004" i="29"/>
  <c r="V4001" i="29"/>
  <c r="U4001" i="29"/>
  <c r="T4001" i="29"/>
  <c r="R4001" i="29"/>
  <c r="Q4001" i="29"/>
  <c r="V4000" i="29"/>
  <c r="U4000" i="29"/>
  <c r="T4000" i="29"/>
  <c r="R4000" i="29"/>
  <c r="Q4000" i="29"/>
  <c r="V3999" i="29"/>
  <c r="U3999" i="29"/>
  <c r="T3999" i="29"/>
  <c r="R3999" i="29"/>
  <c r="Q3999" i="29"/>
  <c r="V3998" i="29"/>
  <c r="U3998" i="29"/>
  <c r="T3998" i="29"/>
  <c r="R3998" i="29"/>
  <c r="Q3998" i="29"/>
  <c r="V3997" i="29"/>
  <c r="U3997" i="29"/>
  <c r="T3997" i="29"/>
  <c r="R3997" i="29"/>
  <c r="Q3997" i="29"/>
  <c r="V3996" i="29"/>
  <c r="U3996" i="29"/>
  <c r="T3996" i="29"/>
  <c r="R3996" i="29"/>
  <c r="Q3996" i="29"/>
  <c r="V3995" i="29"/>
  <c r="U3995" i="29"/>
  <c r="T3995" i="29"/>
  <c r="R3995" i="29"/>
  <c r="Q3995" i="29"/>
  <c r="V3994" i="29"/>
  <c r="U3994" i="29"/>
  <c r="T3994" i="29"/>
  <c r="R3994" i="29"/>
  <c r="Q3994" i="29"/>
  <c r="V3993" i="29"/>
  <c r="U3993" i="29"/>
  <c r="T3993" i="29"/>
  <c r="R3993" i="29"/>
  <c r="Q3993" i="29"/>
  <c r="V3990" i="29"/>
  <c r="U3990" i="29"/>
  <c r="T3990" i="29"/>
  <c r="R3990" i="29"/>
  <c r="Q3990" i="29"/>
  <c r="V3989" i="29"/>
  <c r="U3989" i="29"/>
  <c r="T3989" i="29"/>
  <c r="R3989" i="29"/>
  <c r="Q3989" i="29"/>
  <c r="V3988" i="29"/>
  <c r="U3988" i="29"/>
  <c r="T3988" i="29"/>
  <c r="R3988" i="29"/>
  <c r="Q3988" i="29"/>
  <c r="V3987" i="29"/>
  <c r="U3987" i="29"/>
  <c r="T3987" i="29"/>
  <c r="R3987" i="29"/>
  <c r="Q3987" i="29"/>
  <c r="V3986" i="29"/>
  <c r="U3986" i="29"/>
  <c r="T3986" i="29"/>
  <c r="R3986" i="29"/>
  <c r="Q3986" i="29"/>
  <c r="V3985" i="29"/>
  <c r="U3985" i="29"/>
  <c r="T3985" i="29"/>
  <c r="R3985" i="29"/>
  <c r="Q3985" i="29"/>
  <c r="V3984" i="29"/>
  <c r="U3984" i="29"/>
  <c r="T3984" i="29"/>
  <c r="R3984" i="29"/>
  <c r="Q3984" i="29"/>
  <c r="V3983" i="29"/>
  <c r="U3983" i="29"/>
  <c r="T3983" i="29"/>
  <c r="R3983" i="29"/>
  <c r="Q3983" i="29"/>
  <c r="V3982" i="29"/>
  <c r="U3982" i="29"/>
  <c r="T3982" i="29"/>
  <c r="R3982" i="29"/>
  <c r="Q3982" i="29"/>
  <c r="V3979" i="29"/>
  <c r="U3979" i="29"/>
  <c r="T3979" i="29"/>
  <c r="R3979" i="29"/>
  <c r="Q3979" i="29"/>
  <c r="V3978" i="29"/>
  <c r="U3978" i="29"/>
  <c r="T3978" i="29"/>
  <c r="R3978" i="29"/>
  <c r="Q3978" i="29"/>
  <c r="V3977" i="29"/>
  <c r="U3977" i="29"/>
  <c r="T3977" i="29"/>
  <c r="R3977" i="29"/>
  <c r="Q3977" i="29"/>
  <c r="V3976" i="29"/>
  <c r="U3976" i="29"/>
  <c r="T3976" i="29"/>
  <c r="R3976" i="29"/>
  <c r="Q3976" i="29"/>
  <c r="V3975" i="29"/>
  <c r="U3975" i="29"/>
  <c r="T3975" i="29"/>
  <c r="R3975" i="29"/>
  <c r="Q3975" i="29"/>
  <c r="V3974" i="29"/>
  <c r="U3974" i="29"/>
  <c r="T3974" i="29"/>
  <c r="R3974" i="29"/>
  <c r="Q3974" i="29"/>
  <c r="V3973" i="29"/>
  <c r="U3973" i="29"/>
  <c r="T3973" i="29"/>
  <c r="R3973" i="29"/>
  <c r="Q3973" i="29"/>
  <c r="V3972" i="29"/>
  <c r="U3972" i="29"/>
  <c r="T3972" i="29"/>
  <c r="R3972" i="29"/>
  <c r="Q3972" i="29"/>
  <c r="V3971" i="29"/>
  <c r="U3971" i="29"/>
  <c r="T3971" i="29"/>
  <c r="R3971" i="29"/>
  <c r="Q3971" i="29"/>
  <c r="V3968" i="29"/>
  <c r="U3968" i="29"/>
  <c r="T3968" i="29"/>
  <c r="R3968" i="29"/>
  <c r="Q3968" i="29"/>
  <c r="V3967" i="29"/>
  <c r="U3967" i="29"/>
  <c r="T3967" i="29"/>
  <c r="R3967" i="29"/>
  <c r="Q3967" i="29"/>
  <c r="V3966" i="29"/>
  <c r="U3966" i="29"/>
  <c r="T3966" i="29"/>
  <c r="R3966" i="29"/>
  <c r="Q3966" i="29"/>
  <c r="V3965" i="29"/>
  <c r="U3965" i="29"/>
  <c r="T3965" i="29"/>
  <c r="R3965" i="29"/>
  <c r="Q3965" i="29"/>
  <c r="V3964" i="29"/>
  <c r="U3964" i="29"/>
  <c r="T3964" i="29"/>
  <c r="R3964" i="29"/>
  <c r="Q3964" i="29"/>
  <c r="V3963" i="29"/>
  <c r="U3963" i="29"/>
  <c r="T3963" i="29"/>
  <c r="R3963" i="29"/>
  <c r="Q3963" i="29"/>
  <c r="V3962" i="29"/>
  <c r="U3962" i="29"/>
  <c r="T3962" i="29"/>
  <c r="R3962" i="29"/>
  <c r="Q3962" i="29"/>
  <c r="V3961" i="29"/>
  <c r="U3961" i="29"/>
  <c r="T3961" i="29"/>
  <c r="R3961" i="29"/>
  <c r="Q3961" i="29"/>
  <c r="V3960" i="29"/>
  <c r="U3960" i="29"/>
  <c r="T3960" i="29"/>
  <c r="R3960" i="29"/>
  <c r="Q3960" i="29"/>
  <c r="V3957" i="29"/>
  <c r="U3957" i="29"/>
  <c r="T3957" i="29"/>
  <c r="R3957" i="29"/>
  <c r="Q3957" i="29"/>
  <c r="V3956" i="29"/>
  <c r="U3956" i="29"/>
  <c r="T3956" i="29"/>
  <c r="R3956" i="29"/>
  <c r="Q3956" i="29"/>
  <c r="V3955" i="29"/>
  <c r="U3955" i="29"/>
  <c r="T3955" i="29"/>
  <c r="R3955" i="29"/>
  <c r="Q3955" i="29"/>
  <c r="V3954" i="29"/>
  <c r="U3954" i="29"/>
  <c r="T3954" i="29"/>
  <c r="R3954" i="29"/>
  <c r="Q3954" i="29"/>
  <c r="V3953" i="29"/>
  <c r="U3953" i="29"/>
  <c r="T3953" i="29"/>
  <c r="R3953" i="29"/>
  <c r="Q3953" i="29"/>
  <c r="V3952" i="29"/>
  <c r="U3952" i="29"/>
  <c r="T3952" i="29"/>
  <c r="R3952" i="29"/>
  <c r="Q3952" i="29"/>
  <c r="V3951" i="29"/>
  <c r="U3951" i="29"/>
  <c r="T3951" i="29"/>
  <c r="R3951" i="29"/>
  <c r="Q3951" i="29"/>
  <c r="V3950" i="29"/>
  <c r="U3950" i="29"/>
  <c r="T3950" i="29"/>
  <c r="R3950" i="29"/>
  <c r="Q3950" i="29"/>
  <c r="V3949" i="29"/>
  <c r="U3949" i="29"/>
  <c r="T3949" i="29"/>
  <c r="R3949" i="29"/>
  <c r="Q3949" i="29"/>
  <c r="V3946" i="29"/>
  <c r="U3946" i="29"/>
  <c r="T3946" i="29"/>
  <c r="R3946" i="29"/>
  <c r="Q3946" i="29"/>
  <c r="V3945" i="29"/>
  <c r="U3945" i="29"/>
  <c r="T3945" i="29"/>
  <c r="R3945" i="29"/>
  <c r="Q3945" i="29"/>
  <c r="V3944" i="29"/>
  <c r="U3944" i="29"/>
  <c r="T3944" i="29"/>
  <c r="R3944" i="29"/>
  <c r="Q3944" i="29"/>
  <c r="V3943" i="29"/>
  <c r="U3943" i="29"/>
  <c r="T3943" i="29"/>
  <c r="R3943" i="29"/>
  <c r="Q3943" i="29"/>
  <c r="V3942" i="29"/>
  <c r="U3942" i="29"/>
  <c r="T3942" i="29"/>
  <c r="R3942" i="29"/>
  <c r="Q3942" i="29"/>
  <c r="V3941" i="29"/>
  <c r="U3941" i="29"/>
  <c r="T3941" i="29"/>
  <c r="R3941" i="29"/>
  <c r="Q3941" i="29"/>
  <c r="V3940" i="29"/>
  <c r="U3940" i="29"/>
  <c r="T3940" i="29"/>
  <c r="R3940" i="29"/>
  <c r="Q3940" i="29"/>
  <c r="V3939" i="29"/>
  <c r="U3939" i="29"/>
  <c r="T3939" i="29"/>
  <c r="R3939" i="29"/>
  <c r="Q3939" i="29"/>
  <c r="V3938" i="29"/>
  <c r="U3938" i="29"/>
  <c r="T3938" i="29"/>
  <c r="R3938" i="29"/>
  <c r="Q3938" i="29"/>
  <c r="V3935" i="29"/>
  <c r="U3935" i="29"/>
  <c r="T3935" i="29"/>
  <c r="R3935" i="29"/>
  <c r="Q3935" i="29"/>
  <c r="V3934" i="29"/>
  <c r="U3934" i="29"/>
  <c r="T3934" i="29"/>
  <c r="R3934" i="29"/>
  <c r="Q3934" i="29"/>
  <c r="V3933" i="29"/>
  <c r="U3933" i="29"/>
  <c r="T3933" i="29"/>
  <c r="R3933" i="29"/>
  <c r="Q3933" i="29"/>
  <c r="V3932" i="29"/>
  <c r="U3932" i="29"/>
  <c r="T3932" i="29"/>
  <c r="R3932" i="29"/>
  <c r="Q3932" i="29"/>
  <c r="V3931" i="29"/>
  <c r="U3931" i="29"/>
  <c r="T3931" i="29"/>
  <c r="R3931" i="29"/>
  <c r="Q3931" i="29"/>
  <c r="V3930" i="29"/>
  <c r="U3930" i="29"/>
  <c r="T3930" i="29"/>
  <c r="R3930" i="29"/>
  <c r="Q3930" i="29"/>
  <c r="V3929" i="29"/>
  <c r="U3929" i="29"/>
  <c r="T3929" i="29"/>
  <c r="R3929" i="29"/>
  <c r="Q3929" i="29"/>
  <c r="V3928" i="29"/>
  <c r="U3928" i="29"/>
  <c r="T3928" i="29"/>
  <c r="R3928" i="29"/>
  <c r="Q3928" i="29"/>
  <c r="V3927" i="29"/>
  <c r="U3927" i="29"/>
  <c r="T3927" i="29"/>
  <c r="R3927" i="29"/>
  <c r="Q3927" i="29"/>
  <c r="V3924" i="29"/>
  <c r="U3924" i="29"/>
  <c r="T3924" i="29"/>
  <c r="R3924" i="29"/>
  <c r="Q3924" i="29"/>
  <c r="V3923" i="29"/>
  <c r="U3923" i="29"/>
  <c r="T3923" i="29"/>
  <c r="R3923" i="29"/>
  <c r="Q3923" i="29"/>
  <c r="V3922" i="29"/>
  <c r="U3922" i="29"/>
  <c r="T3922" i="29"/>
  <c r="R3922" i="29"/>
  <c r="Q3922" i="29"/>
  <c r="V3921" i="29"/>
  <c r="U3921" i="29"/>
  <c r="T3921" i="29"/>
  <c r="R3921" i="29"/>
  <c r="Q3921" i="29"/>
  <c r="V3920" i="29"/>
  <c r="U3920" i="29"/>
  <c r="T3920" i="29"/>
  <c r="R3920" i="29"/>
  <c r="Q3920" i="29"/>
  <c r="V3919" i="29"/>
  <c r="U3919" i="29"/>
  <c r="T3919" i="29"/>
  <c r="R3919" i="29"/>
  <c r="Q3919" i="29"/>
  <c r="V3918" i="29"/>
  <c r="U3918" i="29"/>
  <c r="T3918" i="29"/>
  <c r="R3918" i="29"/>
  <c r="Q3918" i="29"/>
  <c r="V3917" i="29"/>
  <c r="U3917" i="29"/>
  <c r="T3917" i="29"/>
  <c r="R3917" i="29"/>
  <c r="Q3917" i="29"/>
  <c r="V3916" i="29"/>
  <c r="U3916" i="29"/>
  <c r="T3916" i="29"/>
  <c r="R3916" i="29"/>
  <c r="Q3916" i="29"/>
  <c r="V3913" i="29"/>
  <c r="U3913" i="29"/>
  <c r="T3913" i="29"/>
  <c r="R3913" i="29"/>
  <c r="Q3913" i="29"/>
  <c r="V3912" i="29"/>
  <c r="U3912" i="29"/>
  <c r="T3912" i="29"/>
  <c r="R3912" i="29"/>
  <c r="Q3912" i="29"/>
  <c r="V3911" i="29"/>
  <c r="U3911" i="29"/>
  <c r="T3911" i="29"/>
  <c r="R3911" i="29"/>
  <c r="Q3911" i="29"/>
  <c r="V3910" i="29"/>
  <c r="U3910" i="29"/>
  <c r="T3910" i="29"/>
  <c r="R3910" i="29"/>
  <c r="Q3910" i="29"/>
  <c r="V3909" i="29"/>
  <c r="U3909" i="29"/>
  <c r="T3909" i="29"/>
  <c r="R3909" i="29"/>
  <c r="Q3909" i="29"/>
  <c r="V3908" i="29"/>
  <c r="U3908" i="29"/>
  <c r="T3908" i="29"/>
  <c r="R3908" i="29"/>
  <c r="Q3908" i="29"/>
  <c r="V3907" i="29"/>
  <c r="U3907" i="29"/>
  <c r="T3907" i="29"/>
  <c r="R3907" i="29"/>
  <c r="Q3907" i="29"/>
  <c r="V3906" i="29"/>
  <c r="U3906" i="29"/>
  <c r="T3906" i="29"/>
  <c r="R3906" i="29"/>
  <c r="Q3906" i="29"/>
  <c r="V3905" i="29"/>
  <c r="U3905" i="29"/>
  <c r="T3905" i="29"/>
  <c r="R3905" i="29"/>
  <c r="Q3905" i="29"/>
  <c r="V3902" i="29"/>
  <c r="U3902" i="29"/>
  <c r="T3902" i="29"/>
  <c r="R3902" i="29"/>
  <c r="Q3902" i="29"/>
  <c r="V3901" i="29"/>
  <c r="U3901" i="29"/>
  <c r="T3901" i="29"/>
  <c r="R3901" i="29"/>
  <c r="Q3901" i="29"/>
  <c r="V3900" i="29"/>
  <c r="U3900" i="29"/>
  <c r="T3900" i="29"/>
  <c r="R3900" i="29"/>
  <c r="Q3900" i="29"/>
  <c r="V3899" i="29"/>
  <c r="U3899" i="29"/>
  <c r="T3899" i="29"/>
  <c r="R3899" i="29"/>
  <c r="Q3899" i="29"/>
  <c r="V3898" i="29"/>
  <c r="U3898" i="29"/>
  <c r="T3898" i="29"/>
  <c r="R3898" i="29"/>
  <c r="Q3898" i="29"/>
  <c r="V3897" i="29"/>
  <c r="U3897" i="29"/>
  <c r="T3897" i="29"/>
  <c r="R3897" i="29"/>
  <c r="Q3897" i="29"/>
  <c r="V3896" i="29"/>
  <c r="U3896" i="29"/>
  <c r="T3896" i="29"/>
  <c r="R3896" i="29"/>
  <c r="Q3896" i="29"/>
  <c r="V3895" i="29"/>
  <c r="U3895" i="29"/>
  <c r="T3895" i="29"/>
  <c r="R3895" i="29"/>
  <c r="Q3895" i="29"/>
  <c r="V3894" i="29"/>
  <c r="U3894" i="29"/>
  <c r="T3894" i="29"/>
  <c r="R3894" i="29"/>
  <c r="Q3894" i="29"/>
  <c r="V3891" i="29"/>
  <c r="U3891" i="29"/>
  <c r="T3891" i="29"/>
  <c r="R3891" i="29"/>
  <c r="Q3891" i="29"/>
  <c r="V3890" i="29"/>
  <c r="U3890" i="29"/>
  <c r="T3890" i="29"/>
  <c r="R3890" i="29"/>
  <c r="Q3890" i="29"/>
  <c r="V3889" i="29"/>
  <c r="U3889" i="29"/>
  <c r="T3889" i="29"/>
  <c r="R3889" i="29"/>
  <c r="Q3889" i="29"/>
  <c r="V3888" i="29"/>
  <c r="U3888" i="29"/>
  <c r="T3888" i="29"/>
  <c r="R3888" i="29"/>
  <c r="Q3888" i="29"/>
  <c r="V3887" i="29"/>
  <c r="U3887" i="29"/>
  <c r="T3887" i="29"/>
  <c r="R3887" i="29"/>
  <c r="Q3887" i="29"/>
  <c r="V3886" i="29"/>
  <c r="U3886" i="29"/>
  <c r="T3886" i="29"/>
  <c r="R3886" i="29"/>
  <c r="Q3886" i="29"/>
  <c r="V3885" i="29"/>
  <c r="U3885" i="29"/>
  <c r="T3885" i="29"/>
  <c r="R3885" i="29"/>
  <c r="Q3885" i="29"/>
  <c r="V3884" i="29"/>
  <c r="U3884" i="29"/>
  <c r="T3884" i="29"/>
  <c r="R3884" i="29"/>
  <c r="Q3884" i="29"/>
  <c r="V3883" i="29"/>
  <c r="U3883" i="29"/>
  <c r="T3883" i="29"/>
  <c r="R3883" i="29"/>
  <c r="Q3883" i="29"/>
  <c r="V3880" i="29"/>
  <c r="U3880" i="29"/>
  <c r="T3880" i="29"/>
  <c r="R3880" i="29"/>
  <c r="Q3880" i="29"/>
  <c r="V3879" i="29"/>
  <c r="U3879" i="29"/>
  <c r="T3879" i="29"/>
  <c r="R3879" i="29"/>
  <c r="Q3879" i="29"/>
  <c r="V3878" i="29"/>
  <c r="U3878" i="29"/>
  <c r="T3878" i="29"/>
  <c r="R3878" i="29"/>
  <c r="Q3878" i="29"/>
  <c r="V3877" i="29"/>
  <c r="U3877" i="29"/>
  <c r="T3877" i="29"/>
  <c r="R3877" i="29"/>
  <c r="Q3877" i="29"/>
  <c r="V3876" i="29"/>
  <c r="U3876" i="29"/>
  <c r="T3876" i="29"/>
  <c r="R3876" i="29"/>
  <c r="Q3876" i="29"/>
  <c r="V3875" i="29"/>
  <c r="U3875" i="29"/>
  <c r="T3875" i="29"/>
  <c r="R3875" i="29"/>
  <c r="Q3875" i="29"/>
  <c r="V3874" i="29"/>
  <c r="U3874" i="29"/>
  <c r="T3874" i="29"/>
  <c r="R3874" i="29"/>
  <c r="Q3874" i="29"/>
  <c r="V3873" i="29"/>
  <c r="U3873" i="29"/>
  <c r="T3873" i="29"/>
  <c r="R3873" i="29"/>
  <c r="Q3873" i="29"/>
  <c r="V3872" i="29"/>
  <c r="U3872" i="29"/>
  <c r="T3872" i="29"/>
  <c r="R3872" i="29"/>
  <c r="Q3872" i="29"/>
  <c r="V3869" i="29"/>
  <c r="U3869" i="29"/>
  <c r="T3869" i="29"/>
  <c r="R3869" i="29"/>
  <c r="Q3869" i="29"/>
  <c r="V3868" i="29"/>
  <c r="U3868" i="29"/>
  <c r="T3868" i="29"/>
  <c r="R3868" i="29"/>
  <c r="Q3868" i="29"/>
  <c r="V3867" i="29"/>
  <c r="U3867" i="29"/>
  <c r="T3867" i="29"/>
  <c r="R3867" i="29"/>
  <c r="Q3867" i="29"/>
  <c r="V3866" i="29"/>
  <c r="U3866" i="29"/>
  <c r="T3866" i="29"/>
  <c r="R3866" i="29"/>
  <c r="Q3866" i="29"/>
  <c r="V3865" i="29"/>
  <c r="U3865" i="29"/>
  <c r="T3865" i="29"/>
  <c r="R3865" i="29"/>
  <c r="Q3865" i="29"/>
  <c r="V3864" i="29"/>
  <c r="U3864" i="29"/>
  <c r="T3864" i="29"/>
  <c r="R3864" i="29"/>
  <c r="Q3864" i="29"/>
  <c r="V3863" i="29"/>
  <c r="U3863" i="29"/>
  <c r="T3863" i="29"/>
  <c r="R3863" i="29"/>
  <c r="Q3863" i="29"/>
  <c r="V3862" i="29"/>
  <c r="U3862" i="29"/>
  <c r="T3862" i="29"/>
  <c r="R3862" i="29"/>
  <c r="Q3862" i="29"/>
  <c r="V3861" i="29"/>
  <c r="U3861" i="29"/>
  <c r="T3861" i="29"/>
  <c r="R3861" i="29"/>
  <c r="Q3861" i="29"/>
  <c r="V3858" i="29"/>
  <c r="U3858" i="29"/>
  <c r="T3858" i="29"/>
  <c r="R3858" i="29"/>
  <c r="Q3858" i="29"/>
  <c r="V3857" i="29"/>
  <c r="U3857" i="29"/>
  <c r="T3857" i="29"/>
  <c r="R3857" i="29"/>
  <c r="Q3857" i="29"/>
  <c r="V3856" i="29"/>
  <c r="U3856" i="29"/>
  <c r="T3856" i="29"/>
  <c r="R3856" i="29"/>
  <c r="Q3856" i="29"/>
  <c r="V3855" i="29"/>
  <c r="U3855" i="29"/>
  <c r="T3855" i="29"/>
  <c r="R3855" i="29"/>
  <c r="Q3855" i="29"/>
  <c r="V3854" i="29"/>
  <c r="U3854" i="29"/>
  <c r="T3854" i="29"/>
  <c r="R3854" i="29"/>
  <c r="Q3854" i="29"/>
  <c r="V3853" i="29"/>
  <c r="U3853" i="29"/>
  <c r="T3853" i="29"/>
  <c r="R3853" i="29"/>
  <c r="Q3853" i="29"/>
  <c r="V3852" i="29"/>
  <c r="U3852" i="29"/>
  <c r="T3852" i="29"/>
  <c r="R3852" i="29"/>
  <c r="Q3852" i="29"/>
  <c r="V3851" i="29"/>
  <c r="U3851" i="29"/>
  <c r="T3851" i="29"/>
  <c r="R3851" i="29"/>
  <c r="Q3851" i="29"/>
  <c r="V3850" i="29"/>
  <c r="U3850" i="29"/>
  <c r="T3850" i="29"/>
  <c r="R3850" i="29"/>
  <c r="Q3850" i="29"/>
  <c r="V3847" i="29"/>
  <c r="U3847" i="29"/>
  <c r="T3847" i="29"/>
  <c r="R3847" i="29"/>
  <c r="Q3847" i="29"/>
  <c r="V3846" i="29"/>
  <c r="U3846" i="29"/>
  <c r="T3846" i="29"/>
  <c r="R3846" i="29"/>
  <c r="Q3846" i="29"/>
  <c r="V3845" i="29"/>
  <c r="U3845" i="29"/>
  <c r="T3845" i="29"/>
  <c r="R3845" i="29"/>
  <c r="Q3845" i="29"/>
  <c r="V3844" i="29"/>
  <c r="U3844" i="29"/>
  <c r="T3844" i="29"/>
  <c r="R3844" i="29"/>
  <c r="Q3844" i="29"/>
  <c r="V3843" i="29"/>
  <c r="U3843" i="29"/>
  <c r="T3843" i="29"/>
  <c r="R3843" i="29"/>
  <c r="Q3843" i="29"/>
  <c r="V3842" i="29"/>
  <c r="U3842" i="29"/>
  <c r="T3842" i="29"/>
  <c r="R3842" i="29"/>
  <c r="Q3842" i="29"/>
  <c r="V3841" i="29"/>
  <c r="U3841" i="29"/>
  <c r="T3841" i="29"/>
  <c r="R3841" i="29"/>
  <c r="Q3841" i="29"/>
  <c r="V3840" i="29"/>
  <c r="U3840" i="29"/>
  <c r="T3840" i="29"/>
  <c r="R3840" i="29"/>
  <c r="Q3840" i="29"/>
  <c r="V3839" i="29"/>
  <c r="U3839" i="29"/>
  <c r="T3839" i="29"/>
  <c r="R3839" i="29"/>
  <c r="Q3839" i="29"/>
  <c r="V3836" i="29"/>
  <c r="U3836" i="29"/>
  <c r="T3836" i="29"/>
  <c r="R3836" i="29"/>
  <c r="Q3836" i="29"/>
  <c r="V3835" i="29"/>
  <c r="U3835" i="29"/>
  <c r="T3835" i="29"/>
  <c r="R3835" i="29"/>
  <c r="Q3835" i="29"/>
  <c r="V3834" i="29"/>
  <c r="U3834" i="29"/>
  <c r="T3834" i="29"/>
  <c r="R3834" i="29"/>
  <c r="Q3834" i="29"/>
  <c r="V3833" i="29"/>
  <c r="U3833" i="29"/>
  <c r="T3833" i="29"/>
  <c r="R3833" i="29"/>
  <c r="Q3833" i="29"/>
  <c r="V3832" i="29"/>
  <c r="U3832" i="29"/>
  <c r="T3832" i="29"/>
  <c r="R3832" i="29"/>
  <c r="Q3832" i="29"/>
  <c r="V3831" i="29"/>
  <c r="U3831" i="29"/>
  <c r="T3831" i="29"/>
  <c r="R3831" i="29"/>
  <c r="Q3831" i="29"/>
  <c r="V3830" i="29"/>
  <c r="U3830" i="29"/>
  <c r="T3830" i="29"/>
  <c r="R3830" i="29"/>
  <c r="Q3830" i="29"/>
  <c r="V3829" i="29"/>
  <c r="U3829" i="29"/>
  <c r="T3829" i="29"/>
  <c r="R3829" i="29"/>
  <c r="Q3829" i="29"/>
  <c r="V3828" i="29"/>
  <c r="U3828" i="29"/>
  <c r="T3828" i="29"/>
  <c r="R3828" i="29"/>
  <c r="Q3828" i="29"/>
  <c r="V3825" i="29"/>
  <c r="U3825" i="29"/>
  <c r="T3825" i="29"/>
  <c r="R3825" i="29"/>
  <c r="Q3825" i="29"/>
  <c r="V3824" i="29"/>
  <c r="U3824" i="29"/>
  <c r="T3824" i="29"/>
  <c r="R3824" i="29"/>
  <c r="Q3824" i="29"/>
  <c r="V3823" i="29"/>
  <c r="U3823" i="29"/>
  <c r="T3823" i="29"/>
  <c r="R3823" i="29"/>
  <c r="Q3823" i="29"/>
  <c r="V3822" i="29"/>
  <c r="U3822" i="29"/>
  <c r="T3822" i="29"/>
  <c r="R3822" i="29"/>
  <c r="Q3822" i="29"/>
  <c r="V3821" i="29"/>
  <c r="U3821" i="29"/>
  <c r="T3821" i="29"/>
  <c r="R3821" i="29"/>
  <c r="Q3821" i="29"/>
  <c r="V3820" i="29"/>
  <c r="U3820" i="29"/>
  <c r="T3820" i="29"/>
  <c r="R3820" i="29"/>
  <c r="Q3820" i="29"/>
  <c r="V3819" i="29"/>
  <c r="U3819" i="29"/>
  <c r="T3819" i="29"/>
  <c r="R3819" i="29"/>
  <c r="Q3819" i="29"/>
  <c r="V3818" i="29"/>
  <c r="U3818" i="29"/>
  <c r="T3818" i="29"/>
  <c r="R3818" i="29"/>
  <c r="Q3818" i="29"/>
  <c r="V3817" i="29"/>
  <c r="U3817" i="29"/>
  <c r="T3817" i="29"/>
  <c r="R3817" i="29"/>
  <c r="Q3817" i="29"/>
  <c r="V3814" i="29"/>
  <c r="U3814" i="29"/>
  <c r="T3814" i="29"/>
  <c r="R3814" i="29"/>
  <c r="Q3814" i="29"/>
  <c r="V3813" i="29"/>
  <c r="U3813" i="29"/>
  <c r="T3813" i="29"/>
  <c r="R3813" i="29"/>
  <c r="Q3813" i="29"/>
  <c r="V3812" i="29"/>
  <c r="U3812" i="29"/>
  <c r="T3812" i="29"/>
  <c r="R3812" i="29"/>
  <c r="Q3812" i="29"/>
  <c r="V3811" i="29"/>
  <c r="U3811" i="29"/>
  <c r="T3811" i="29"/>
  <c r="R3811" i="29"/>
  <c r="Q3811" i="29"/>
  <c r="V3810" i="29"/>
  <c r="U3810" i="29"/>
  <c r="T3810" i="29"/>
  <c r="R3810" i="29"/>
  <c r="Q3810" i="29"/>
  <c r="V3809" i="29"/>
  <c r="U3809" i="29"/>
  <c r="T3809" i="29"/>
  <c r="R3809" i="29"/>
  <c r="Q3809" i="29"/>
  <c r="V3808" i="29"/>
  <c r="U3808" i="29"/>
  <c r="T3808" i="29"/>
  <c r="R3808" i="29"/>
  <c r="Q3808" i="29"/>
  <c r="V3807" i="29"/>
  <c r="U3807" i="29"/>
  <c r="T3807" i="29"/>
  <c r="R3807" i="29"/>
  <c r="Q3807" i="29"/>
  <c r="V3806" i="29"/>
  <c r="U3806" i="29"/>
  <c r="T3806" i="29"/>
  <c r="R3806" i="29"/>
  <c r="Q3806" i="29"/>
  <c r="V3803" i="29"/>
  <c r="U3803" i="29"/>
  <c r="T3803" i="29"/>
  <c r="R3803" i="29"/>
  <c r="Q3803" i="29"/>
  <c r="V3802" i="29"/>
  <c r="U3802" i="29"/>
  <c r="T3802" i="29"/>
  <c r="R3802" i="29"/>
  <c r="Q3802" i="29"/>
  <c r="V3801" i="29"/>
  <c r="U3801" i="29"/>
  <c r="T3801" i="29"/>
  <c r="R3801" i="29"/>
  <c r="Q3801" i="29"/>
  <c r="V3800" i="29"/>
  <c r="U3800" i="29"/>
  <c r="T3800" i="29"/>
  <c r="R3800" i="29"/>
  <c r="Q3800" i="29"/>
  <c r="V3799" i="29"/>
  <c r="U3799" i="29"/>
  <c r="T3799" i="29"/>
  <c r="R3799" i="29"/>
  <c r="Q3799" i="29"/>
  <c r="V3798" i="29"/>
  <c r="U3798" i="29"/>
  <c r="T3798" i="29"/>
  <c r="R3798" i="29"/>
  <c r="Q3798" i="29"/>
  <c r="V3797" i="29"/>
  <c r="U3797" i="29"/>
  <c r="T3797" i="29"/>
  <c r="R3797" i="29"/>
  <c r="Q3797" i="29"/>
  <c r="V3796" i="29"/>
  <c r="U3796" i="29"/>
  <c r="T3796" i="29"/>
  <c r="R3796" i="29"/>
  <c r="Q3796" i="29"/>
  <c r="V3795" i="29"/>
  <c r="U3795" i="29"/>
  <c r="T3795" i="29"/>
  <c r="R3795" i="29"/>
  <c r="Q3795" i="29"/>
  <c r="V3792" i="29"/>
  <c r="U3792" i="29"/>
  <c r="T3792" i="29"/>
  <c r="R3792" i="29"/>
  <c r="Q3792" i="29"/>
  <c r="V3791" i="29"/>
  <c r="U3791" i="29"/>
  <c r="T3791" i="29"/>
  <c r="R3791" i="29"/>
  <c r="Q3791" i="29"/>
  <c r="V3790" i="29"/>
  <c r="U3790" i="29"/>
  <c r="T3790" i="29"/>
  <c r="R3790" i="29"/>
  <c r="Q3790" i="29"/>
  <c r="V3789" i="29"/>
  <c r="U3789" i="29"/>
  <c r="T3789" i="29"/>
  <c r="R3789" i="29"/>
  <c r="Q3789" i="29"/>
  <c r="V3788" i="29"/>
  <c r="U3788" i="29"/>
  <c r="T3788" i="29"/>
  <c r="R3788" i="29"/>
  <c r="Q3788" i="29"/>
  <c r="V3787" i="29"/>
  <c r="U3787" i="29"/>
  <c r="T3787" i="29"/>
  <c r="R3787" i="29"/>
  <c r="Q3787" i="29"/>
  <c r="V3786" i="29"/>
  <c r="U3786" i="29"/>
  <c r="T3786" i="29"/>
  <c r="R3786" i="29"/>
  <c r="Q3786" i="29"/>
  <c r="V3785" i="29"/>
  <c r="U3785" i="29"/>
  <c r="T3785" i="29"/>
  <c r="R3785" i="29"/>
  <c r="Q3785" i="29"/>
  <c r="V3784" i="29"/>
  <c r="U3784" i="29"/>
  <c r="T3784" i="29"/>
  <c r="R3784" i="29"/>
  <c r="Q3784" i="29"/>
  <c r="V3781" i="29"/>
  <c r="U3781" i="29"/>
  <c r="T3781" i="29"/>
  <c r="R3781" i="29"/>
  <c r="Q3781" i="29"/>
  <c r="V3780" i="29"/>
  <c r="U3780" i="29"/>
  <c r="T3780" i="29"/>
  <c r="R3780" i="29"/>
  <c r="Q3780" i="29"/>
  <c r="V3779" i="29"/>
  <c r="U3779" i="29"/>
  <c r="T3779" i="29"/>
  <c r="R3779" i="29"/>
  <c r="Q3779" i="29"/>
  <c r="V3778" i="29"/>
  <c r="U3778" i="29"/>
  <c r="T3778" i="29"/>
  <c r="R3778" i="29"/>
  <c r="Q3778" i="29"/>
  <c r="V3777" i="29"/>
  <c r="U3777" i="29"/>
  <c r="T3777" i="29"/>
  <c r="R3777" i="29"/>
  <c r="Q3777" i="29"/>
  <c r="V3776" i="29"/>
  <c r="U3776" i="29"/>
  <c r="T3776" i="29"/>
  <c r="R3776" i="29"/>
  <c r="Q3776" i="29"/>
  <c r="V3775" i="29"/>
  <c r="U3775" i="29"/>
  <c r="T3775" i="29"/>
  <c r="R3775" i="29"/>
  <c r="Q3775" i="29"/>
  <c r="V3774" i="29"/>
  <c r="U3774" i="29"/>
  <c r="T3774" i="29"/>
  <c r="R3774" i="29"/>
  <c r="Q3774" i="29"/>
  <c r="V3773" i="29"/>
  <c r="U3773" i="29"/>
  <c r="T3773" i="29"/>
  <c r="R3773" i="29"/>
  <c r="Q3773" i="29"/>
  <c r="V3770" i="29"/>
  <c r="U3770" i="29"/>
  <c r="T3770" i="29"/>
  <c r="R3770" i="29"/>
  <c r="Q3770" i="29"/>
  <c r="V3769" i="29"/>
  <c r="U3769" i="29"/>
  <c r="T3769" i="29"/>
  <c r="R3769" i="29"/>
  <c r="Q3769" i="29"/>
  <c r="V3768" i="29"/>
  <c r="U3768" i="29"/>
  <c r="T3768" i="29"/>
  <c r="R3768" i="29"/>
  <c r="Q3768" i="29"/>
  <c r="V3767" i="29"/>
  <c r="U3767" i="29"/>
  <c r="T3767" i="29"/>
  <c r="R3767" i="29"/>
  <c r="Q3767" i="29"/>
  <c r="V3766" i="29"/>
  <c r="U3766" i="29"/>
  <c r="T3766" i="29"/>
  <c r="R3766" i="29"/>
  <c r="Q3766" i="29"/>
  <c r="V3765" i="29"/>
  <c r="U3765" i="29"/>
  <c r="T3765" i="29"/>
  <c r="R3765" i="29"/>
  <c r="Q3765" i="29"/>
  <c r="V3764" i="29"/>
  <c r="U3764" i="29"/>
  <c r="T3764" i="29"/>
  <c r="R3764" i="29"/>
  <c r="Q3764" i="29"/>
  <c r="V3763" i="29"/>
  <c r="U3763" i="29"/>
  <c r="T3763" i="29"/>
  <c r="R3763" i="29"/>
  <c r="Q3763" i="29"/>
  <c r="V3762" i="29"/>
  <c r="U3762" i="29"/>
  <c r="T3762" i="29"/>
  <c r="R3762" i="29"/>
  <c r="Q3762" i="29"/>
  <c r="V3759" i="29"/>
  <c r="U3759" i="29"/>
  <c r="T3759" i="29"/>
  <c r="R3759" i="29"/>
  <c r="Q3759" i="29"/>
  <c r="V3758" i="29"/>
  <c r="U3758" i="29"/>
  <c r="T3758" i="29"/>
  <c r="R3758" i="29"/>
  <c r="Q3758" i="29"/>
  <c r="V3757" i="29"/>
  <c r="U3757" i="29"/>
  <c r="T3757" i="29"/>
  <c r="R3757" i="29"/>
  <c r="Q3757" i="29"/>
  <c r="V3756" i="29"/>
  <c r="U3756" i="29"/>
  <c r="T3756" i="29"/>
  <c r="R3756" i="29"/>
  <c r="Q3756" i="29"/>
  <c r="V3755" i="29"/>
  <c r="U3755" i="29"/>
  <c r="T3755" i="29"/>
  <c r="R3755" i="29"/>
  <c r="Q3755" i="29"/>
  <c r="V3754" i="29"/>
  <c r="U3754" i="29"/>
  <c r="T3754" i="29"/>
  <c r="R3754" i="29"/>
  <c r="Q3754" i="29"/>
  <c r="V3753" i="29"/>
  <c r="U3753" i="29"/>
  <c r="T3753" i="29"/>
  <c r="R3753" i="29"/>
  <c r="Q3753" i="29"/>
  <c r="V3752" i="29"/>
  <c r="U3752" i="29"/>
  <c r="T3752" i="29"/>
  <c r="R3752" i="29"/>
  <c r="Q3752" i="29"/>
  <c r="V3751" i="29"/>
  <c r="U3751" i="29"/>
  <c r="T3751" i="29"/>
  <c r="R3751" i="29"/>
  <c r="Q3751" i="29"/>
  <c r="V3748" i="29"/>
  <c r="U3748" i="29"/>
  <c r="T3748" i="29"/>
  <c r="R3748" i="29"/>
  <c r="Q3748" i="29"/>
  <c r="V3747" i="29"/>
  <c r="U3747" i="29"/>
  <c r="T3747" i="29"/>
  <c r="R3747" i="29"/>
  <c r="Q3747" i="29"/>
  <c r="V3746" i="29"/>
  <c r="U3746" i="29"/>
  <c r="T3746" i="29"/>
  <c r="R3746" i="29"/>
  <c r="Q3746" i="29"/>
  <c r="V3745" i="29"/>
  <c r="U3745" i="29"/>
  <c r="T3745" i="29"/>
  <c r="R3745" i="29"/>
  <c r="Q3745" i="29"/>
  <c r="V3744" i="29"/>
  <c r="U3744" i="29"/>
  <c r="T3744" i="29"/>
  <c r="R3744" i="29"/>
  <c r="Q3744" i="29"/>
  <c r="V3743" i="29"/>
  <c r="U3743" i="29"/>
  <c r="T3743" i="29"/>
  <c r="R3743" i="29"/>
  <c r="Q3743" i="29"/>
  <c r="V3742" i="29"/>
  <c r="U3742" i="29"/>
  <c r="T3742" i="29"/>
  <c r="R3742" i="29"/>
  <c r="Q3742" i="29"/>
  <c r="V3741" i="29"/>
  <c r="U3741" i="29"/>
  <c r="T3741" i="29"/>
  <c r="R3741" i="29"/>
  <c r="Q3741" i="29"/>
  <c r="V3740" i="29"/>
  <c r="U3740" i="29"/>
  <c r="T3740" i="29"/>
  <c r="R3740" i="29"/>
  <c r="Q3740" i="29"/>
  <c r="V3737" i="29"/>
  <c r="U3737" i="29"/>
  <c r="T3737" i="29"/>
  <c r="R3737" i="29"/>
  <c r="Q3737" i="29"/>
  <c r="V3736" i="29"/>
  <c r="U3736" i="29"/>
  <c r="T3736" i="29"/>
  <c r="R3736" i="29"/>
  <c r="Q3736" i="29"/>
  <c r="V3735" i="29"/>
  <c r="U3735" i="29"/>
  <c r="T3735" i="29"/>
  <c r="R3735" i="29"/>
  <c r="Q3735" i="29"/>
  <c r="V3734" i="29"/>
  <c r="U3734" i="29"/>
  <c r="T3734" i="29"/>
  <c r="R3734" i="29"/>
  <c r="Q3734" i="29"/>
  <c r="V3733" i="29"/>
  <c r="U3733" i="29"/>
  <c r="T3733" i="29"/>
  <c r="R3733" i="29"/>
  <c r="Q3733" i="29"/>
  <c r="V3732" i="29"/>
  <c r="U3732" i="29"/>
  <c r="T3732" i="29"/>
  <c r="R3732" i="29"/>
  <c r="Q3732" i="29"/>
  <c r="V3731" i="29"/>
  <c r="U3731" i="29"/>
  <c r="T3731" i="29"/>
  <c r="R3731" i="29"/>
  <c r="Q3731" i="29"/>
  <c r="V3730" i="29"/>
  <c r="U3730" i="29"/>
  <c r="T3730" i="29"/>
  <c r="R3730" i="29"/>
  <c r="Q3730" i="29"/>
  <c r="V3729" i="29"/>
  <c r="U3729" i="29"/>
  <c r="T3729" i="29"/>
  <c r="R3729" i="29"/>
  <c r="Q3729" i="29"/>
  <c r="V3726" i="29"/>
  <c r="U3726" i="29"/>
  <c r="T3726" i="29"/>
  <c r="R3726" i="29"/>
  <c r="Q3726" i="29"/>
  <c r="V3725" i="29"/>
  <c r="U3725" i="29"/>
  <c r="T3725" i="29"/>
  <c r="R3725" i="29"/>
  <c r="Q3725" i="29"/>
  <c r="V3724" i="29"/>
  <c r="U3724" i="29"/>
  <c r="T3724" i="29"/>
  <c r="R3724" i="29"/>
  <c r="Q3724" i="29"/>
  <c r="V3723" i="29"/>
  <c r="U3723" i="29"/>
  <c r="T3723" i="29"/>
  <c r="R3723" i="29"/>
  <c r="Q3723" i="29"/>
  <c r="V3722" i="29"/>
  <c r="U3722" i="29"/>
  <c r="T3722" i="29"/>
  <c r="R3722" i="29"/>
  <c r="Q3722" i="29"/>
  <c r="V3721" i="29"/>
  <c r="U3721" i="29"/>
  <c r="T3721" i="29"/>
  <c r="R3721" i="29"/>
  <c r="Q3721" i="29"/>
  <c r="V3720" i="29"/>
  <c r="U3720" i="29"/>
  <c r="T3720" i="29"/>
  <c r="R3720" i="29"/>
  <c r="Q3720" i="29"/>
  <c r="V3719" i="29"/>
  <c r="U3719" i="29"/>
  <c r="T3719" i="29"/>
  <c r="R3719" i="29"/>
  <c r="Q3719" i="29"/>
  <c r="V3718" i="29"/>
  <c r="U3718" i="29"/>
  <c r="T3718" i="29"/>
  <c r="R3718" i="29"/>
  <c r="Q3718" i="29"/>
  <c r="V3715" i="29"/>
  <c r="U3715" i="29"/>
  <c r="T3715" i="29"/>
  <c r="R3715" i="29"/>
  <c r="Q3715" i="29"/>
  <c r="V3714" i="29"/>
  <c r="U3714" i="29"/>
  <c r="T3714" i="29"/>
  <c r="R3714" i="29"/>
  <c r="Q3714" i="29"/>
  <c r="V3713" i="29"/>
  <c r="U3713" i="29"/>
  <c r="T3713" i="29"/>
  <c r="R3713" i="29"/>
  <c r="Q3713" i="29"/>
  <c r="V3712" i="29"/>
  <c r="U3712" i="29"/>
  <c r="T3712" i="29"/>
  <c r="R3712" i="29"/>
  <c r="Q3712" i="29"/>
  <c r="V3711" i="29"/>
  <c r="U3711" i="29"/>
  <c r="T3711" i="29"/>
  <c r="R3711" i="29"/>
  <c r="Q3711" i="29"/>
  <c r="V3710" i="29"/>
  <c r="U3710" i="29"/>
  <c r="T3710" i="29"/>
  <c r="R3710" i="29"/>
  <c r="Q3710" i="29"/>
  <c r="V3709" i="29"/>
  <c r="U3709" i="29"/>
  <c r="T3709" i="29"/>
  <c r="R3709" i="29"/>
  <c r="Q3709" i="29"/>
  <c r="V3708" i="29"/>
  <c r="U3708" i="29"/>
  <c r="T3708" i="29"/>
  <c r="R3708" i="29"/>
  <c r="Q3708" i="29"/>
  <c r="V3707" i="29"/>
  <c r="U3707" i="29"/>
  <c r="T3707" i="29"/>
  <c r="R3707" i="29"/>
  <c r="Q3707" i="29"/>
  <c r="V3704" i="29"/>
  <c r="U3704" i="29"/>
  <c r="T3704" i="29"/>
  <c r="R3704" i="29"/>
  <c r="Q3704" i="29"/>
  <c r="V3703" i="29"/>
  <c r="U3703" i="29"/>
  <c r="T3703" i="29"/>
  <c r="R3703" i="29"/>
  <c r="Q3703" i="29"/>
  <c r="V3702" i="29"/>
  <c r="U3702" i="29"/>
  <c r="T3702" i="29"/>
  <c r="R3702" i="29"/>
  <c r="Q3702" i="29"/>
  <c r="V3701" i="29"/>
  <c r="U3701" i="29"/>
  <c r="T3701" i="29"/>
  <c r="R3701" i="29"/>
  <c r="Q3701" i="29"/>
  <c r="V3700" i="29"/>
  <c r="U3700" i="29"/>
  <c r="T3700" i="29"/>
  <c r="R3700" i="29"/>
  <c r="Q3700" i="29"/>
  <c r="V3699" i="29"/>
  <c r="U3699" i="29"/>
  <c r="T3699" i="29"/>
  <c r="R3699" i="29"/>
  <c r="Q3699" i="29"/>
  <c r="V3698" i="29"/>
  <c r="U3698" i="29"/>
  <c r="T3698" i="29"/>
  <c r="R3698" i="29"/>
  <c r="Q3698" i="29"/>
  <c r="V3697" i="29"/>
  <c r="U3697" i="29"/>
  <c r="T3697" i="29"/>
  <c r="R3697" i="29"/>
  <c r="Q3697" i="29"/>
  <c r="V3696" i="29"/>
  <c r="U3696" i="29"/>
  <c r="T3696" i="29"/>
  <c r="R3696" i="29"/>
  <c r="Q3696" i="29"/>
  <c r="V3693" i="29"/>
  <c r="U3693" i="29"/>
  <c r="T3693" i="29"/>
  <c r="R3693" i="29"/>
  <c r="Q3693" i="29"/>
  <c r="V3692" i="29"/>
  <c r="U3692" i="29"/>
  <c r="T3692" i="29"/>
  <c r="R3692" i="29"/>
  <c r="Q3692" i="29"/>
  <c r="V3691" i="29"/>
  <c r="U3691" i="29"/>
  <c r="T3691" i="29"/>
  <c r="R3691" i="29"/>
  <c r="Q3691" i="29"/>
  <c r="V3690" i="29"/>
  <c r="U3690" i="29"/>
  <c r="T3690" i="29"/>
  <c r="R3690" i="29"/>
  <c r="Q3690" i="29"/>
  <c r="V3689" i="29"/>
  <c r="U3689" i="29"/>
  <c r="T3689" i="29"/>
  <c r="R3689" i="29"/>
  <c r="Q3689" i="29"/>
  <c r="V3688" i="29"/>
  <c r="U3688" i="29"/>
  <c r="T3688" i="29"/>
  <c r="R3688" i="29"/>
  <c r="Q3688" i="29"/>
  <c r="V3687" i="29"/>
  <c r="U3687" i="29"/>
  <c r="T3687" i="29"/>
  <c r="R3687" i="29"/>
  <c r="Q3687" i="29"/>
  <c r="V3686" i="29"/>
  <c r="U3686" i="29"/>
  <c r="T3686" i="29"/>
  <c r="R3686" i="29"/>
  <c r="Q3686" i="29"/>
  <c r="V3685" i="29"/>
  <c r="U3685" i="29"/>
  <c r="T3685" i="29"/>
  <c r="R3685" i="29"/>
  <c r="Q3685" i="29"/>
  <c r="V3682" i="29"/>
  <c r="U3682" i="29"/>
  <c r="T3682" i="29"/>
  <c r="R3682" i="29"/>
  <c r="Q3682" i="29"/>
  <c r="V3681" i="29"/>
  <c r="U3681" i="29"/>
  <c r="T3681" i="29"/>
  <c r="R3681" i="29"/>
  <c r="Q3681" i="29"/>
  <c r="V3680" i="29"/>
  <c r="U3680" i="29"/>
  <c r="T3680" i="29"/>
  <c r="R3680" i="29"/>
  <c r="Q3680" i="29"/>
  <c r="V3679" i="29"/>
  <c r="U3679" i="29"/>
  <c r="T3679" i="29"/>
  <c r="R3679" i="29"/>
  <c r="Q3679" i="29"/>
  <c r="V3678" i="29"/>
  <c r="U3678" i="29"/>
  <c r="T3678" i="29"/>
  <c r="R3678" i="29"/>
  <c r="Q3678" i="29"/>
  <c r="V3677" i="29"/>
  <c r="U3677" i="29"/>
  <c r="T3677" i="29"/>
  <c r="R3677" i="29"/>
  <c r="Q3677" i="29"/>
  <c r="V3676" i="29"/>
  <c r="U3676" i="29"/>
  <c r="T3676" i="29"/>
  <c r="R3676" i="29"/>
  <c r="Q3676" i="29"/>
  <c r="V3675" i="29"/>
  <c r="U3675" i="29"/>
  <c r="T3675" i="29"/>
  <c r="R3675" i="29"/>
  <c r="Q3675" i="29"/>
  <c r="V3674" i="29"/>
  <c r="U3674" i="29"/>
  <c r="T3674" i="29"/>
  <c r="R3674" i="29"/>
  <c r="Q3674" i="29"/>
  <c r="V3671" i="29"/>
  <c r="U3671" i="29"/>
  <c r="T3671" i="29"/>
  <c r="R3671" i="29"/>
  <c r="Q3671" i="29"/>
  <c r="V3670" i="29"/>
  <c r="U3670" i="29"/>
  <c r="T3670" i="29"/>
  <c r="R3670" i="29"/>
  <c r="Q3670" i="29"/>
  <c r="V3669" i="29"/>
  <c r="U3669" i="29"/>
  <c r="T3669" i="29"/>
  <c r="R3669" i="29"/>
  <c r="Q3669" i="29"/>
  <c r="V3668" i="29"/>
  <c r="U3668" i="29"/>
  <c r="T3668" i="29"/>
  <c r="R3668" i="29"/>
  <c r="Q3668" i="29"/>
  <c r="V3667" i="29"/>
  <c r="U3667" i="29"/>
  <c r="T3667" i="29"/>
  <c r="R3667" i="29"/>
  <c r="Q3667" i="29"/>
  <c r="V3666" i="29"/>
  <c r="U3666" i="29"/>
  <c r="T3666" i="29"/>
  <c r="R3666" i="29"/>
  <c r="Q3666" i="29"/>
  <c r="V3665" i="29"/>
  <c r="U3665" i="29"/>
  <c r="T3665" i="29"/>
  <c r="R3665" i="29"/>
  <c r="Q3665" i="29"/>
  <c r="V3664" i="29"/>
  <c r="U3664" i="29"/>
  <c r="T3664" i="29"/>
  <c r="R3664" i="29"/>
  <c r="Q3664" i="29"/>
  <c r="V3663" i="29"/>
  <c r="U3663" i="29"/>
  <c r="T3663" i="29"/>
  <c r="R3663" i="29"/>
  <c r="Q3663" i="29"/>
  <c r="V3660" i="29"/>
  <c r="U3660" i="29"/>
  <c r="T3660" i="29"/>
  <c r="R3660" i="29"/>
  <c r="Q3660" i="29"/>
  <c r="V3659" i="29"/>
  <c r="U3659" i="29"/>
  <c r="T3659" i="29"/>
  <c r="R3659" i="29"/>
  <c r="Q3659" i="29"/>
  <c r="V3658" i="29"/>
  <c r="U3658" i="29"/>
  <c r="T3658" i="29"/>
  <c r="R3658" i="29"/>
  <c r="Q3658" i="29"/>
  <c r="V3657" i="29"/>
  <c r="U3657" i="29"/>
  <c r="T3657" i="29"/>
  <c r="R3657" i="29"/>
  <c r="Q3657" i="29"/>
  <c r="V3656" i="29"/>
  <c r="U3656" i="29"/>
  <c r="T3656" i="29"/>
  <c r="R3656" i="29"/>
  <c r="Q3656" i="29"/>
  <c r="V3655" i="29"/>
  <c r="U3655" i="29"/>
  <c r="T3655" i="29"/>
  <c r="R3655" i="29"/>
  <c r="Q3655" i="29"/>
  <c r="V3654" i="29"/>
  <c r="U3654" i="29"/>
  <c r="T3654" i="29"/>
  <c r="R3654" i="29"/>
  <c r="Q3654" i="29"/>
  <c r="V3653" i="29"/>
  <c r="U3653" i="29"/>
  <c r="T3653" i="29"/>
  <c r="R3653" i="29"/>
  <c r="Q3653" i="29"/>
  <c r="V3652" i="29"/>
  <c r="U3652" i="29"/>
  <c r="T3652" i="29"/>
  <c r="R3652" i="29"/>
  <c r="Q3652" i="29"/>
  <c r="V3649" i="29"/>
  <c r="U3649" i="29"/>
  <c r="T3649" i="29"/>
  <c r="R3649" i="29"/>
  <c r="Q3649" i="29"/>
  <c r="V3648" i="29"/>
  <c r="U3648" i="29"/>
  <c r="T3648" i="29"/>
  <c r="R3648" i="29"/>
  <c r="Q3648" i="29"/>
  <c r="V3647" i="29"/>
  <c r="U3647" i="29"/>
  <c r="T3647" i="29"/>
  <c r="R3647" i="29"/>
  <c r="Q3647" i="29"/>
  <c r="V3646" i="29"/>
  <c r="U3646" i="29"/>
  <c r="T3646" i="29"/>
  <c r="R3646" i="29"/>
  <c r="Q3646" i="29"/>
  <c r="V3645" i="29"/>
  <c r="U3645" i="29"/>
  <c r="T3645" i="29"/>
  <c r="R3645" i="29"/>
  <c r="Q3645" i="29"/>
  <c r="V3644" i="29"/>
  <c r="U3644" i="29"/>
  <c r="T3644" i="29"/>
  <c r="R3644" i="29"/>
  <c r="Q3644" i="29"/>
  <c r="V3643" i="29"/>
  <c r="U3643" i="29"/>
  <c r="T3643" i="29"/>
  <c r="R3643" i="29"/>
  <c r="Q3643" i="29"/>
  <c r="V3642" i="29"/>
  <c r="U3642" i="29"/>
  <c r="T3642" i="29"/>
  <c r="R3642" i="29"/>
  <c r="Q3642" i="29"/>
  <c r="V3641" i="29"/>
  <c r="U3641" i="29"/>
  <c r="T3641" i="29"/>
  <c r="R3641" i="29"/>
  <c r="Q3641" i="29"/>
  <c r="V3638" i="29"/>
  <c r="U3638" i="29"/>
  <c r="T3638" i="29"/>
  <c r="R3638" i="29"/>
  <c r="Q3638" i="29"/>
  <c r="V3637" i="29"/>
  <c r="U3637" i="29"/>
  <c r="T3637" i="29"/>
  <c r="R3637" i="29"/>
  <c r="Q3637" i="29"/>
  <c r="V3636" i="29"/>
  <c r="U3636" i="29"/>
  <c r="T3636" i="29"/>
  <c r="R3636" i="29"/>
  <c r="Q3636" i="29"/>
  <c r="V3635" i="29"/>
  <c r="U3635" i="29"/>
  <c r="T3635" i="29"/>
  <c r="R3635" i="29"/>
  <c r="Q3635" i="29"/>
  <c r="V3634" i="29"/>
  <c r="U3634" i="29"/>
  <c r="T3634" i="29"/>
  <c r="R3634" i="29"/>
  <c r="Q3634" i="29"/>
  <c r="V3633" i="29"/>
  <c r="U3633" i="29"/>
  <c r="T3633" i="29"/>
  <c r="R3633" i="29"/>
  <c r="Q3633" i="29"/>
  <c r="V3632" i="29"/>
  <c r="U3632" i="29"/>
  <c r="T3632" i="29"/>
  <c r="R3632" i="29"/>
  <c r="Q3632" i="29"/>
  <c r="V3631" i="29"/>
  <c r="U3631" i="29"/>
  <c r="T3631" i="29"/>
  <c r="R3631" i="29"/>
  <c r="Q3631" i="29"/>
  <c r="V3630" i="29"/>
  <c r="U3630" i="29"/>
  <c r="T3630" i="29"/>
  <c r="R3630" i="29"/>
  <c r="Q3630" i="29"/>
  <c r="V3627" i="29"/>
  <c r="U3627" i="29"/>
  <c r="T3627" i="29"/>
  <c r="R3627" i="29"/>
  <c r="Q3627" i="29"/>
  <c r="V3626" i="29"/>
  <c r="U3626" i="29"/>
  <c r="T3626" i="29"/>
  <c r="R3626" i="29"/>
  <c r="Q3626" i="29"/>
  <c r="V3625" i="29"/>
  <c r="U3625" i="29"/>
  <c r="T3625" i="29"/>
  <c r="R3625" i="29"/>
  <c r="Q3625" i="29"/>
  <c r="V3624" i="29"/>
  <c r="U3624" i="29"/>
  <c r="T3624" i="29"/>
  <c r="R3624" i="29"/>
  <c r="Q3624" i="29"/>
  <c r="V3623" i="29"/>
  <c r="U3623" i="29"/>
  <c r="T3623" i="29"/>
  <c r="R3623" i="29"/>
  <c r="Q3623" i="29"/>
  <c r="V3622" i="29"/>
  <c r="U3622" i="29"/>
  <c r="T3622" i="29"/>
  <c r="R3622" i="29"/>
  <c r="Q3622" i="29"/>
  <c r="V3621" i="29"/>
  <c r="U3621" i="29"/>
  <c r="T3621" i="29"/>
  <c r="R3621" i="29"/>
  <c r="Q3621" i="29"/>
  <c r="V3620" i="29"/>
  <c r="U3620" i="29"/>
  <c r="T3620" i="29"/>
  <c r="R3620" i="29"/>
  <c r="Q3620" i="29"/>
  <c r="V3619" i="29"/>
  <c r="U3619" i="29"/>
  <c r="T3619" i="29"/>
  <c r="R3619" i="29"/>
  <c r="Q3619" i="29"/>
  <c r="V3616" i="29"/>
  <c r="U3616" i="29"/>
  <c r="T3616" i="29"/>
  <c r="R3616" i="29"/>
  <c r="Q3616" i="29"/>
  <c r="V3615" i="29"/>
  <c r="U3615" i="29"/>
  <c r="T3615" i="29"/>
  <c r="R3615" i="29"/>
  <c r="Q3615" i="29"/>
  <c r="V3614" i="29"/>
  <c r="U3614" i="29"/>
  <c r="T3614" i="29"/>
  <c r="R3614" i="29"/>
  <c r="Q3614" i="29"/>
  <c r="V3613" i="29"/>
  <c r="U3613" i="29"/>
  <c r="T3613" i="29"/>
  <c r="R3613" i="29"/>
  <c r="Q3613" i="29"/>
  <c r="V3612" i="29"/>
  <c r="U3612" i="29"/>
  <c r="T3612" i="29"/>
  <c r="R3612" i="29"/>
  <c r="Q3612" i="29"/>
  <c r="V3611" i="29"/>
  <c r="U3611" i="29"/>
  <c r="T3611" i="29"/>
  <c r="R3611" i="29"/>
  <c r="Q3611" i="29"/>
  <c r="V3610" i="29"/>
  <c r="U3610" i="29"/>
  <c r="T3610" i="29"/>
  <c r="R3610" i="29"/>
  <c r="Q3610" i="29"/>
  <c r="V3609" i="29"/>
  <c r="U3609" i="29"/>
  <c r="T3609" i="29"/>
  <c r="R3609" i="29"/>
  <c r="Q3609" i="29"/>
  <c r="V3608" i="29"/>
  <c r="U3608" i="29"/>
  <c r="T3608" i="29"/>
  <c r="R3608" i="29"/>
  <c r="Q3608" i="29"/>
  <c r="V3605" i="29"/>
  <c r="U3605" i="29"/>
  <c r="T3605" i="29"/>
  <c r="R3605" i="29"/>
  <c r="Q3605" i="29"/>
  <c r="V3604" i="29"/>
  <c r="U3604" i="29"/>
  <c r="T3604" i="29"/>
  <c r="R3604" i="29"/>
  <c r="Q3604" i="29"/>
  <c r="V3603" i="29"/>
  <c r="U3603" i="29"/>
  <c r="T3603" i="29"/>
  <c r="R3603" i="29"/>
  <c r="Q3603" i="29"/>
  <c r="V3602" i="29"/>
  <c r="U3602" i="29"/>
  <c r="T3602" i="29"/>
  <c r="R3602" i="29"/>
  <c r="Q3602" i="29"/>
  <c r="V3601" i="29"/>
  <c r="U3601" i="29"/>
  <c r="T3601" i="29"/>
  <c r="R3601" i="29"/>
  <c r="Q3601" i="29"/>
  <c r="V3600" i="29"/>
  <c r="U3600" i="29"/>
  <c r="T3600" i="29"/>
  <c r="R3600" i="29"/>
  <c r="Q3600" i="29"/>
  <c r="V3599" i="29"/>
  <c r="U3599" i="29"/>
  <c r="T3599" i="29"/>
  <c r="R3599" i="29"/>
  <c r="Q3599" i="29"/>
  <c r="V3598" i="29"/>
  <c r="U3598" i="29"/>
  <c r="T3598" i="29"/>
  <c r="R3598" i="29"/>
  <c r="Q3598" i="29"/>
  <c r="V3597" i="29"/>
  <c r="U3597" i="29"/>
  <c r="T3597" i="29"/>
  <c r="R3597" i="29"/>
  <c r="Q3597" i="29"/>
  <c r="V3594" i="29"/>
  <c r="U3594" i="29"/>
  <c r="T3594" i="29"/>
  <c r="R3594" i="29"/>
  <c r="Q3594" i="29"/>
  <c r="V3593" i="29"/>
  <c r="U3593" i="29"/>
  <c r="T3593" i="29"/>
  <c r="R3593" i="29"/>
  <c r="Q3593" i="29"/>
  <c r="V3592" i="29"/>
  <c r="U3592" i="29"/>
  <c r="T3592" i="29"/>
  <c r="R3592" i="29"/>
  <c r="Q3592" i="29"/>
  <c r="V3591" i="29"/>
  <c r="U3591" i="29"/>
  <c r="T3591" i="29"/>
  <c r="R3591" i="29"/>
  <c r="Q3591" i="29"/>
  <c r="V3590" i="29"/>
  <c r="U3590" i="29"/>
  <c r="T3590" i="29"/>
  <c r="R3590" i="29"/>
  <c r="Q3590" i="29"/>
  <c r="V3589" i="29"/>
  <c r="U3589" i="29"/>
  <c r="T3589" i="29"/>
  <c r="R3589" i="29"/>
  <c r="Q3589" i="29"/>
  <c r="V3588" i="29"/>
  <c r="U3588" i="29"/>
  <c r="T3588" i="29"/>
  <c r="R3588" i="29"/>
  <c r="Q3588" i="29"/>
  <c r="V3587" i="29"/>
  <c r="U3587" i="29"/>
  <c r="T3587" i="29"/>
  <c r="R3587" i="29"/>
  <c r="Q3587" i="29"/>
  <c r="V3586" i="29"/>
  <c r="U3586" i="29"/>
  <c r="T3586" i="29"/>
  <c r="R3586" i="29"/>
  <c r="Q3586" i="29"/>
  <c r="V3583" i="29"/>
  <c r="U3583" i="29"/>
  <c r="T3583" i="29"/>
  <c r="R3583" i="29"/>
  <c r="Q3583" i="29"/>
  <c r="V3582" i="29"/>
  <c r="U3582" i="29"/>
  <c r="T3582" i="29"/>
  <c r="R3582" i="29"/>
  <c r="Q3582" i="29"/>
  <c r="V3581" i="29"/>
  <c r="U3581" i="29"/>
  <c r="T3581" i="29"/>
  <c r="R3581" i="29"/>
  <c r="Q3581" i="29"/>
  <c r="V3580" i="29"/>
  <c r="U3580" i="29"/>
  <c r="T3580" i="29"/>
  <c r="R3580" i="29"/>
  <c r="Q3580" i="29"/>
  <c r="V3579" i="29"/>
  <c r="U3579" i="29"/>
  <c r="T3579" i="29"/>
  <c r="R3579" i="29"/>
  <c r="Q3579" i="29"/>
  <c r="V3578" i="29"/>
  <c r="U3578" i="29"/>
  <c r="T3578" i="29"/>
  <c r="R3578" i="29"/>
  <c r="Q3578" i="29"/>
  <c r="V3577" i="29"/>
  <c r="U3577" i="29"/>
  <c r="T3577" i="29"/>
  <c r="R3577" i="29"/>
  <c r="Q3577" i="29"/>
  <c r="V3576" i="29"/>
  <c r="U3576" i="29"/>
  <c r="T3576" i="29"/>
  <c r="R3576" i="29"/>
  <c r="Q3576" i="29"/>
  <c r="V3575" i="29"/>
  <c r="U3575" i="29"/>
  <c r="T3575" i="29"/>
  <c r="R3575" i="29"/>
  <c r="Q3575" i="29"/>
  <c r="V3572" i="29"/>
  <c r="U3572" i="29"/>
  <c r="T3572" i="29"/>
  <c r="R3572" i="29"/>
  <c r="Q3572" i="29"/>
  <c r="V3571" i="29"/>
  <c r="U3571" i="29"/>
  <c r="T3571" i="29"/>
  <c r="R3571" i="29"/>
  <c r="Q3571" i="29"/>
  <c r="V3570" i="29"/>
  <c r="U3570" i="29"/>
  <c r="T3570" i="29"/>
  <c r="R3570" i="29"/>
  <c r="Q3570" i="29"/>
  <c r="V3569" i="29"/>
  <c r="U3569" i="29"/>
  <c r="T3569" i="29"/>
  <c r="R3569" i="29"/>
  <c r="Q3569" i="29"/>
  <c r="V3568" i="29"/>
  <c r="U3568" i="29"/>
  <c r="T3568" i="29"/>
  <c r="R3568" i="29"/>
  <c r="Q3568" i="29"/>
  <c r="V3567" i="29"/>
  <c r="U3567" i="29"/>
  <c r="T3567" i="29"/>
  <c r="R3567" i="29"/>
  <c r="Q3567" i="29"/>
  <c r="V3566" i="29"/>
  <c r="U3566" i="29"/>
  <c r="T3566" i="29"/>
  <c r="R3566" i="29"/>
  <c r="Q3566" i="29"/>
  <c r="V3565" i="29"/>
  <c r="U3565" i="29"/>
  <c r="T3565" i="29"/>
  <c r="R3565" i="29"/>
  <c r="Q3565" i="29"/>
  <c r="V3564" i="29"/>
  <c r="U3564" i="29"/>
  <c r="T3564" i="29"/>
  <c r="R3564" i="29"/>
  <c r="Q3564" i="29"/>
  <c r="V3561" i="29"/>
  <c r="U3561" i="29"/>
  <c r="T3561" i="29"/>
  <c r="R3561" i="29"/>
  <c r="Q3561" i="29"/>
  <c r="V3560" i="29"/>
  <c r="U3560" i="29"/>
  <c r="T3560" i="29"/>
  <c r="R3560" i="29"/>
  <c r="Q3560" i="29"/>
  <c r="V3559" i="29"/>
  <c r="U3559" i="29"/>
  <c r="T3559" i="29"/>
  <c r="R3559" i="29"/>
  <c r="Q3559" i="29"/>
  <c r="V3558" i="29"/>
  <c r="U3558" i="29"/>
  <c r="T3558" i="29"/>
  <c r="R3558" i="29"/>
  <c r="Q3558" i="29"/>
  <c r="V3557" i="29"/>
  <c r="U3557" i="29"/>
  <c r="T3557" i="29"/>
  <c r="R3557" i="29"/>
  <c r="Q3557" i="29"/>
  <c r="V3556" i="29"/>
  <c r="U3556" i="29"/>
  <c r="T3556" i="29"/>
  <c r="R3556" i="29"/>
  <c r="Q3556" i="29"/>
  <c r="V3555" i="29"/>
  <c r="U3555" i="29"/>
  <c r="T3555" i="29"/>
  <c r="R3555" i="29"/>
  <c r="Q3555" i="29"/>
  <c r="V3554" i="29"/>
  <c r="U3554" i="29"/>
  <c r="T3554" i="29"/>
  <c r="R3554" i="29"/>
  <c r="Q3554" i="29"/>
  <c r="V3553" i="29"/>
  <c r="U3553" i="29"/>
  <c r="T3553" i="29"/>
  <c r="R3553" i="29"/>
  <c r="Q3553" i="29"/>
  <c r="V3550" i="29"/>
  <c r="U3550" i="29"/>
  <c r="T3550" i="29"/>
  <c r="R3550" i="29"/>
  <c r="Q3550" i="29"/>
  <c r="V3549" i="29"/>
  <c r="U3549" i="29"/>
  <c r="T3549" i="29"/>
  <c r="R3549" i="29"/>
  <c r="Q3549" i="29"/>
  <c r="V3548" i="29"/>
  <c r="U3548" i="29"/>
  <c r="T3548" i="29"/>
  <c r="R3548" i="29"/>
  <c r="Q3548" i="29"/>
  <c r="V3547" i="29"/>
  <c r="U3547" i="29"/>
  <c r="T3547" i="29"/>
  <c r="R3547" i="29"/>
  <c r="Q3547" i="29"/>
  <c r="V3546" i="29"/>
  <c r="U3546" i="29"/>
  <c r="T3546" i="29"/>
  <c r="R3546" i="29"/>
  <c r="Q3546" i="29"/>
  <c r="V3545" i="29"/>
  <c r="U3545" i="29"/>
  <c r="T3545" i="29"/>
  <c r="R3545" i="29"/>
  <c r="Q3545" i="29"/>
  <c r="V3544" i="29"/>
  <c r="U3544" i="29"/>
  <c r="T3544" i="29"/>
  <c r="R3544" i="29"/>
  <c r="Q3544" i="29"/>
  <c r="V3543" i="29"/>
  <c r="U3543" i="29"/>
  <c r="T3543" i="29"/>
  <c r="R3543" i="29"/>
  <c r="Q3543" i="29"/>
  <c r="V3542" i="29"/>
  <c r="U3542" i="29"/>
  <c r="T3542" i="29"/>
  <c r="R3542" i="29"/>
  <c r="Q3542" i="29"/>
  <c r="V3539" i="29"/>
  <c r="U3539" i="29"/>
  <c r="T3539" i="29"/>
  <c r="R3539" i="29"/>
  <c r="Q3539" i="29"/>
  <c r="V3538" i="29"/>
  <c r="U3538" i="29"/>
  <c r="T3538" i="29"/>
  <c r="R3538" i="29"/>
  <c r="Q3538" i="29"/>
  <c r="V3537" i="29"/>
  <c r="U3537" i="29"/>
  <c r="T3537" i="29"/>
  <c r="R3537" i="29"/>
  <c r="Q3537" i="29"/>
  <c r="V3536" i="29"/>
  <c r="U3536" i="29"/>
  <c r="T3536" i="29"/>
  <c r="R3536" i="29"/>
  <c r="Q3536" i="29"/>
  <c r="V3535" i="29"/>
  <c r="U3535" i="29"/>
  <c r="T3535" i="29"/>
  <c r="R3535" i="29"/>
  <c r="Q3535" i="29"/>
  <c r="V3534" i="29"/>
  <c r="U3534" i="29"/>
  <c r="T3534" i="29"/>
  <c r="R3534" i="29"/>
  <c r="Q3534" i="29"/>
  <c r="V3533" i="29"/>
  <c r="U3533" i="29"/>
  <c r="T3533" i="29"/>
  <c r="R3533" i="29"/>
  <c r="Q3533" i="29"/>
  <c r="V3532" i="29"/>
  <c r="U3532" i="29"/>
  <c r="T3532" i="29"/>
  <c r="R3532" i="29"/>
  <c r="Q3532" i="29"/>
  <c r="V3531" i="29"/>
  <c r="U3531" i="29"/>
  <c r="T3531" i="29"/>
  <c r="R3531" i="29"/>
  <c r="Q3531" i="29"/>
  <c r="V3528" i="29"/>
  <c r="U3528" i="29"/>
  <c r="T3528" i="29"/>
  <c r="R3528" i="29"/>
  <c r="Q3528" i="29"/>
  <c r="V3527" i="29"/>
  <c r="U3527" i="29"/>
  <c r="T3527" i="29"/>
  <c r="R3527" i="29"/>
  <c r="Q3527" i="29"/>
  <c r="V3526" i="29"/>
  <c r="U3526" i="29"/>
  <c r="T3526" i="29"/>
  <c r="R3526" i="29"/>
  <c r="Q3526" i="29"/>
  <c r="V3525" i="29"/>
  <c r="U3525" i="29"/>
  <c r="T3525" i="29"/>
  <c r="R3525" i="29"/>
  <c r="Q3525" i="29"/>
  <c r="V3524" i="29"/>
  <c r="U3524" i="29"/>
  <c r="T3524" i="29"/>
  <c r="R3524" i="29"/>
  <c r="Q3524" i="29"/>
  <c r="V3523" i="29"/>
  <c r="U3523" i="29"/>
  <c r="T3523" i="29"/>
  <c r="R3523" i="29"/>
  <c r="Q3523" i="29"/>
  <c r="V3522" i="29"/>
  <c r="U3522" i="29"/>
  <c r="T3522" i="29"/>
  <c r="R3522" i="29"/>
  <c r="Q3522" i="29"/>
  <c r="V3521" i="29"/>
  <c r="U3521" i="29"/>
  <c r="T3521" i="29"/>
  <c r="R3521" i="29"/>
  <c r="Q3521" i="29"/>
  <c r="V3520" i="29"/>
  <c r="U3520" i="29"/>
  <c r="T3520" i="29"/>
  <c r="R3520" i="29"/>
  <c r="Q3520" i="29"/>
  <c r="V3517" i="29"/>
  <c r="U3517" i="29"/>
  <c r="T3517" i="29"/>
  <c r="R3517" i="29"/>
  <c r="Q3517" i="29"/>
  <c r="V3516" i="29"/>
  <c r="U3516" i="29"/>
  <c r="T3516" i="29"/>
  <c r="R3516" i="29"/>
  <c r="Q3516" i="29"/>
  <c r="V3515" i="29"/>
  <c r="U3515" i="29"/>
  <c r="T3515" i="29"/>
  <c r="R3515" i="29"/>
  <c r="Q3515" i="29"/>
  <c r="V3514" i="29"/>
  <c r="U3514" i="29"/>
  <c r="T3514" i="29"/>
  <c r="R3514" i="29"/>
  <c r="Q3514" i="29"/>
  <c r="V3513" i="29"/>
  <c r="U3513" i="29"/>
  <c r="T3513" i="29"/>
  <c r="R3513" i="29"/>
  <c r="Q3513" i="29"/>
  <c r="V3512" i="29"/>
  <c r="U3512" i="29"/>
  <c r="T3512" i="29"/>
  <c r="R3512" i="29"/>
  <c r="Q3512" i="29"/>
  <c r="V3511" i="29"/>
  <c r="U3511" i="29"/>
  <c r="T3511" i="29"/>
  <c r="R3511" i="29"/>
  <c r="Q3511" i="29"/>
  <c r="V3510" i="29"/>
  <c r="U3510" i="29"/>
  <c r="T3510" i="29"/>
  <c r="R3510" i="29"/>
  <c r="Q3510" i="29"/>
  <c r="V3509" i="29"/>
  <c r="U3509" i="29"/>
  <c r="T3509" i="29"/>
  <c r="R3509" i="29"/>
  <c r="Q3509" i="29"/>
  <c r="V3506" i="29"/>
  <c r="U3506" i="29"/>
  <c r="T3506" i="29"/>
  <c r="R3506" i="29"/>
  <c r="Q3506" i="29"/>
  <c r="V3505" i="29"/>
  <c r="U3505" i="29"/>
  <c r="T3505" i="29"/>
  <c r="R3505" i="29"/>
  <c r="Q3505" i="29"/>
  <c r="V3504" i="29"/>
  <c r="U3504" i="29"/>
  <c r="T3504" i="29"/>
  <c r="R3504" i="29"/>
  <c r="Q3504" i="29"/>
  <c r="V3503" i="29"/>
  <c r="U3503" i="29"/>
  <c r="T3503" i="29"/>
  <c r="R3503" i="29"/>
  <c r="Q3503" i="29"/>
  <c r="V3502" i="29"/>
  <c r="U3502" i="29"/>
  <c r="T3502" i="29"/>
  <c r="R3502" i="29"/>
  <c r="Q3502" i="29"/>
  <c r="V3501" i="29"/>
  <c r="U3501" i="29"/>
  <c r="T3501" i="29"/>
  <c r="R3501" i="29"/>
  <c r="Q3501" i="29"/>
  <c r="V3500" i="29"/>
  <c r="U3500" i="29"/>
  <c r="T3500" i="29"/>
  <c r="R3500" i="29"/>
  <c r="Q3500" i="29"/>
  <c r="V3499" i="29"/>
  <c r="U3499" i="29"/>
  <c r="T3499" i="29"/>
  <c r="R3499" i="29"/>
  <c r="Q3499" i="29"/>
  <c r="V3498" i="29"/>
  <c r="U3498" i="29"/>
  <c r="T3498" i="29"/>
  <c r="R3498" i="29"/>
  <c r="Q3498" i="29"/>
  <c r="V3495" i="29"/>
  <c r="U3495" i="29"/>
  <c r="T3495" i="29"/>
  <c r="R3495" i="29"/>
  <c r="Q3495" i="29"/>
  <c r="V3494" i="29"/>
  <c r="U3494" i="29"/>
  <c r="T3494" i="29"/>
  <c r="R3494" i="29"/>
  <c r="Q3494" i="29"/>
  <c r="V3493" i="29"/>
  <c r="U3493" i="29"/>
  <c r="T3493" i="29"/>
  <c r="R3493" i="29"/>
  <c r="Q3493" i="29"/>
  <c r="V3492" i="29"/>
  <c r="U3492" i="29"/>
  <c r="T3492" i="29"/>
  <c r="R3492" i="29"/>
  <c r="Q3492" i="29"/>
  <c r="V3491" i="29"/>
  <c r="U3491" i="29"/>
  <c r="T3491" i="29"/>
  <c r="R3491" i="29"/>
  <c r="Q3491" i="29"/>
  <c r="V3490" i="29"/>
  <c r="U3490" i="29"/>
  <c r="T3490" i="29"/>
  <c r="R3490" i="29"/>
  <c r="Q3490" i="29"/>
  <c r="V3489" i="29"/>
  <c r="U3489" i="29"/>
  <c r="T3489" i="29"/>
  <c r="R3489" i="29"/>
  <c r="Q3489" i="29"/>
  <c r="V3488" i="29"/>
  <c r="U3488" i="29"/>
  <c r="T3488" i="29"/>
  <c r="R3488" i="29"/>
  <c r="Q3488" i="29"/>
  <c r="V3487" i="29"/>
  <c r="U3487" i="29"/>
  <c r="T3487" i="29"/>
  <c r="R3487" i="29"/>
  <c r="Q3487" i="29"/>
  <c r="V3484" i="29"/>
  <c r="U3484" i="29"/>
  <c r="T3484" i="29"/>
  <c r="R3484" i="29"/>
  <c r="Q3484" i="29"/>
  <c r="V3483" i="29"/>
  <c r="U3483" i="29"/>
  <c r="T3483" i="29"/>
  <c r="R3483" i="29"/>
  <c r="Q3483" i="29"/>
  <c r="V3482" i="29"/>
  <c r="U3482" i="29"/>
  <c r="T3482" i="29"/>
  <c r="R3482" i="29"/>
  <c r="Q3482" i="29"/>
  <c r="V3481" i="29"/>
  <c r="U3481" i="29"/>
  <c r="T3481" i="29"/>
  <c r="R3481" i="29"/>
  <c r="Q3481" i="29"/>
  <c r="V3480" i="29"/>
  <c r="U3480" i="29"/>
  <c r="T3480" i="29"/>
  <c r="R3480" i="29"/>
  <c r="Q3480" i="29"/>
  <c r="V3479" i="29"/>
  <c r="U3479" i="29"/>
  <c r="T3479" i="29"/>
  <c r="R3479" i="29"/>
  <c r="Q3479" i="29"/>
  <c r="V3478" i="29"/>
  <c r="U3478" i="29"/>
  <c r="T3478" i="29"/>
  <c r="R3478" i="29"/>
  <c r="Q3478" i="29"/>
  <c r="V3477" i="29"/>
  <c r="U3477" i="29"/>
  <c r="T3477" i="29"/>
  <c r="R3477" i="29"/>
  <c r="Q3477" i="29"/>
  <c r="V3476" i="29"/>
  <c r="U3476" i="29"/>
  <c r="T3476" i="29"/>
  <c r="R3476" i="29"/>
  <c r="Q3476" i="29"/>
  <c r="V3473" i="29"/>
  <c r="U3473" i="29"/>
  <c r="T3473" i="29"/>
  <c r="R3473" i="29"/>
  <c r="Q3473" i="29"/>
  <c r="V3472" i="29"/>
  <c r="U3472" i="29"/>
  <c r="T3472" i="29"/>
  <c r="R3472" i="29"/>
  <c r="Q3472" i="29"/>
  <c r="V3471" i="29"/>
  <c r="U3471" i="29"/>
  <c r="T3471" i="29"/>
  <c r="R3471" i="29"/>
  <c r="Q3471" i="29"/>
  <c r="V3470" i="29"/>
  <c r="U3470" i="29"/>
  <c r="T3470" i="29"/>
  <c r="R3470" i="29"/>
  <c r="Q3470" i="29"/>
  <c r="V3469" i="29"/>
  <c r="U3469" i="29"/>
  <c r="T3469" i="29"/>
  <c r="R3469" i="29"/>
  <c r="Q3469" i="29"/>
  <c r="V3468" i="29"/>
  <c r="U3468" i="29"/>
  <c r="T3468" i="29"/>
  <c r="R3468" i="29"/>
  <c r="Q3468" i="29"/>
  <c r="V3467" i="29"/>
  <c r="U3467" i="29"/>
  <c r="T3467" i="29"/>
  <c r="R3467" i="29"/>
  <c r="Q3467" i="29"/>
  <c r="V3466" i="29"/>
  <c r="U3466" i="29"/>
  <c r="T3466" i="29"/>
  <c r="R3466" i="29"/>
  <c r="Q3466" i="29"/>
  <c r="V3465" i="29"/>
  <c r="U3465" i="29"/>
  <c r="T3465" i="29"/>
  <c r="R3465" i="29"/>
  <c r="Q3465" i="29"/>
  <c r="V3462" i="29"/>
  <c r="U3462" i="29"/>
  <c r="T3462" i="29"/>
  <c r="R3462" i="29"/>
  <c r="Q3462" i="29"/>
  <c r="V3461" i="29"/>
  <c r="U3461" i="29"/>
  <c r="T3461" i="29"/>
  <c r="R3461" i="29"/>
  <c r="Q3461" i="29"/>
  <c r="V3460" i="29"/>
  <c r="U3460" i="29"/>
  <c r="T3460" i="29"/>
  <c r="R3460" i="29"/>
  <c r="Q3460" i="29"/>
  <c r="V3459" i="29"/>
  <c r="U3459" i="29"/>
  <c r="T3459" i="29"/>
  <c r="R3459" i="29"/>
  <c r="Q3459" i="29"/>
  <c r="V3458" i="29"/>
  <c r="U3458" i="29"/>
  <c r="T3458" i="29"/>
  <c r="R3458" i="29"/>
  <c r="Q3458" i="29"/>
  <c r="V3457" i="29"/>
  <c r="U3457" i="29"/>
  <c r="T3457" i="29"/>
  <c r="R3457" i="29"/>
  <c r="Q3457" i="29"/>
  <c r="V3456" i="29"/>
  <c r="U3456" i="29"/>
  <c r="T3456" i="29"/>
  <c r="R3456" i="29"/>
  <c r="Q3456" i="29"/>
  <c r="V3455" i="29"/>
  <c r="U3455" i="29"/>
  <c r="T3455" i="29"/>
  <c r="R3455" i="29"/>
  <c r="Q3455" i="29"/>
  <c r="V3454" i="29"/>
  <c r="U3454" i="29"/>
  <c r="T3454" i="29"/>
  <c r="R3454" i="29"/>
  <c r="Q3454" i="29"/>
  <c r="V3451" i="29"/>
  <c r="U3451" i="29"/>
  <c r="T3451" i="29"/>
  <c r="R3451" i="29"/>
  <c r="Q3451" i="29"/>
  <c r="V3450" i="29"/>
  <c r="U3450" i="29"/>
  <c r="T3450" i="29"/>
  <c r="R3450" i="29"/>
  <c r="Q3450" i="29"/>
  <c r="V3449" i="29"/>
  <c r="U3449" i="29"/>
  <c r="T3449" i="29"/>
  <c r="R3449" i="29"/>
  <c r="Q3449" i="29"/>
  <c r="V3448" i="29"/>
  <c r="U3448" i="29"/>
  <c r="T3448" i="29"/>
  <c r="R3448" i="29"/>
  <c r="Q3448" i="29"/>
  <c r="V3447" i="29"/>
  <c r="U3447" i="29"/>
  <c r="T3447" i="29"/>
  <c r="R3447" i="29"/>
  <c r="Q3447" i="29"/>
  <c r="V3446" i="29"/>
  <c r="U3446" i="29"/>
  <c r="T3446" i="29"/>
  <c r="R3446" i="29"/>
  <c r="Q3446" i="29"/>
  <c r="V3445" i="29"/>
  <c r="U3445" i="29"/>
  <c r="T3445" i="29"/>
  <c r="R3445" i="29"/>
  <c r="Q3445" i="29"/>
  <c r="V3444" i="29"/>
  <c r="U3444" i="29"/>
  <c r="T3444" i="29"/>
  <c r="R3444" i="29"/>
  <c r="Q3444" i="29"/>
  <c r="V3443" i="29"/>
  <c r="U3443" i="29"/>
  <c r="T3443" i="29"/>
  <c r="R3443" i="29"/>
  <c r="Q3443" i="29"/>
  <c r="V3440" i="29"/>
  <c r="U3440" i="29"/>
  <c r="T3440" i="29"/>
  <c r="R3440" i="29"/>
  <c r="Q3440" i="29"/>
  <c r="V3439" i="29"/>
  <c r="U3439" i="29"/>
  <c r="T3439" i="29"/>
  <c r="R3439" i="29"/>
  <c r="Q3439" i="29"/>
  <c r="V3438" i="29"/>
  <c r="U3438" i="29"/>
  <c r="T3438" i="29"/>
  <c r="R3438" i="29"/>
  <c r="Q3438" i="29"/>
  <c r="V3437" i="29"/>
  <c r="U3437" i="29"/>
  <c r="T3437" i="29"/>
  <c r="R3437" i="29"/>
  <c r="Q3437" i="29"/>
  <c r="V3436" i="29"/>
  <c r="U3436" i="29"/>
  <c r="T3436" i="29"/>
  <c r="R3436" i="29"/>
  <c r="Q3436" i="29"/>
  <c r="V3435" i="29"/>
  <c r="U3435" i="29"/>
  <c r="T3435" i="29"/>
  <c r="R3435" i="29"/>
  <c r="Q3435" i="29"/>
  <c r="V3434" i="29"/>
  <c r="U3434" i="29"/>
  <c r="T3434" i="29"/>
  <c r="R3434" i="29"/>
  <c r="Q3434" i="29"/>
  <c r="V3433" i="29"/>
  <c r="U3433" i="29"/>
  <c r="T3433" i="29"/>
  <c r="R3433" i="29"/>
  <c r="Q3433" i="29"/>
  <c r="V3432" i="29"/>
  <c r="U3432" i="29"/>
  <c r="T3432" i="29"/>
  <c r="R3432" i="29"/>
  <c r="Q3432" i="29"/>
  <c r="V3429" i="29"/>
  <c r="U3429" i="29"/>
  <c r="T3429" i="29"/>
  <c r="R3429" i="29"/>
  <c r="Q3429" i="29"/>
  <c r="V3428" i="29"/>
  <c r="U3428" i="29"/>
  <c r="T3428" i="29"/>
  <c r="R3428" i="29"/>
  <c r="Q3428" i="29"/>
  <c r="V3427" i="29"/>
  <c r="U3427" i="29"/>
  <c r="T3427" i="29"/>
  <c r="R3427" i="29"/>
  <c r="Q3427" i="29"/>
  <c r="V3426" i="29"/>
  <c r="U3426" i="29"/>
  <c r="T3426" i="29"/>
  <c r="R3426" i="29"/>
  <c r="Q3426" i="29"/>
  <c r="V3425" i="29"/>
  <c r="U3425" i="29"/>
  <c r="T3425" i="29"/>
  <c r="R3425" i="29"/>
  <c r="Q3425" i="29"/>
  <c r="V3424" i="29"/>
  <c r="U3424" i="29"/>
  <c r="T3424" i="29"/>
  <c r="R3424" i="29"/>
  <c r="Q3424" i="29"/>
  <c r="V3423" i="29"/>
  <c r="U3423" i="29"/>
  <c r="T3423" i="29"/>
  <c r="R3423" i="29"/>
  <c r="Q3423" i="29"/>
  <c r="V3422" i="29"/>
  <c r="U3422" i="29"/>
  <c r="T3422" i="29"/>
  <c r="R3422" i="29"/>
  <c r="Q3422" i="29"/>
  <c r="V3421" i="29"/>
  <c r="U3421" i="29"/>
  <c r="T3421" i="29"/>
  <c r="R3421" i="29"/>
  <c r="Q3421" i="29"/>
  <c r="V3418" i="29"/>
  <c r="U3418" i="29"/>
  <c r="T3418" i="29"/>
  <c r="R3418" i="29"/>
  <c r="Q3418" i="29"/>
  <c r="V3417" i="29"/>
  <c r="U3417" i="29"/>
  <c r="T3417" i="29"/>
  <c r="R3417" i="29"/>
  <c r="Q3417" i="29"/>
  <c r="V3416" i="29"/>
  <c r="U3416" i="29"/>
  <c r="T3416" i="29"/>
  <c r="R3416" i="29"/>
  <c r="Q3416" i="29"/>
  <c r="V3415" i="29"/>
  <c r="U3415" i="29"/>
  <c r="T3415" i="29"/>
  <c r="R3415" i="29"/>
  <c r="Q3415" i="29"/>
  <c r="V3414" i="29"/>
  <c r="U3414" i="29"/>
  <c r="T3414" i="29"/>
  <c r="R3414" i="29"/>
  <c r="Q3414" i="29"/>
  <c r="V3413" i="29"/>
  <c r="U3413" i="29"/>
  <c r="T3413" i="29"/>
  <c r="R3413" i="29"/>
  <c r="Q3413" i="29"/>
  <c r="V3412" i="29"/>
  <c r="U3412" i="29"/>
  <c r="T3412" i="29"/>
  <c r="R3412" i="29"/>
  <c r="Q3412" i="29"/>
  <c r="V3411" i="29"/>
  <c r="U3411" i="29"/>
  <c r="T3411" i="29"/>
  <c r="R3411" i="29"/>
  <c r="Q3411" i="29"/>
  <c r="V3410" i="29"/>
  <c r="U3410" i="29"/>
  <c r="T3410" i="29"/>
  <c r="R3410" i="29"/>
  <c r="Q3410" i="29"/>
  <c r="V3407" i="29"/>
  <c r="U3407" i="29"/>
  <c r="T3407" i="29"/>
  <c r="R3407" i="29"/>
  <c r="Q3407" i="29"/>
  <c r="V3406" i="29"/>
  <c r="U3406" i="29"/>
  <c r="T3406" i="29"/>
  <c r="R3406" i="29"/>
  <c r="Q3406" i="29"/>
  <c r="V3405" i="29"/>
  <c r="U3405" i="29"/>
  <c r="T3405" i="29"/>
  <c r="R3405" i="29"/>
  <c r="Q3405" i="29"/>
  <c r="V3404" i="29"/>
  <c r="U3404" i="29"/>
  <c r="T3404" i="29"/>
  <c r="R3404" i="29"/>
  <c r="Q3404" i="29"/>
  <c r="V3403" i="29"/>
  <c r="U3403" i="29"/>
  <c r="T3403" i="29"/>
  <c r="R3403" i="29"/>
  <c r="Q3403" i="29"/>
  <c r="V3402" i="29"/>
  <c r="U3402" i="29"/>
  <c r="T3402" i="29"/>
  <c r="R3402" i="29"/>
  <c r="Q3402" i="29"/>
  <c r="V3401" i="29"/>
  <c r="U3401" i="29"/>
  <c r="T3401" i="29"/>
  <c r="R3401" i="29"/>
  <c r="Q3401" i="29"/>
  <c r="V3400" i="29"/>
  <c r="U3400" i="29"/>
  <c r="T3400" i="29"/>
  <c r="R3400" i="29"/>
  <c r="Q3400" i="29"/>
  <c r="V3399" i="29"/>
  <c r="U3399" i="29"/>
  <c r="T3399" i="29"/>
  <c r="R3399" i="29"/>
  <c r="Q3399" i="29"/>
  <c r="V3396" i="29"/>
  <c r="U3396" i="29"/>
  <c r="T3396" i="29"/>
  <c r="R3396" i="29"/>
  <c r="Q3396" i="29"/>
  <c r="V3395" i="29"/>
  <c r="U3395" i="29"/>
  <c r="T3395" i="29"/>
  <c r="R3395" i="29"/>
  <c r="Q3395" i="29"/>
  <c r="V3394" i="29"/>
  <c r="U3394" i="29"/>
  <c r="T3394" i="29"/>
  <c r="R3394" i="29"/>
  <c r="Q3394" i="29"/>
  <c r="V3393" i="29"/>
  <c r="U3393" i="29"/>
  <c r="T3393" i="29"/>
  <c r="R3393" i="29"/>
  <c r="Q3393" i="29"/>
  <c r="V3392" i="29"/>
  <c r="U3392" i="29"/>
  <c r="T3392" i="29"/>
  <c r="R3392" i="29"/>
  <c r="Q3392" i="29"/>
  <c r="V3391" i="29"/>
  <c r="U3391" i="29"/>
  <c r="T3391" i="29"/>
  <c r="R3391" i="29"/>
  <c r="Q3391" i="29"/>
  <c r="V3390" i="29"/>
  <c r="U3390" i="29"/>
  <c r="T3390" i="29"/>
  <c r="R3390" i="29"/>
  <c r="Q3390" i="29"/>
  <c r="V3389" i="29"/>
  <c r="U3389" i="29"/>
  <c r="T3389" i="29"/>
  <c r="R3389" i="29"/>
  <c r="Q3389" i="29"/>
  <c r="V3388" i="29"/>
  <c r="U3388" i="29"/>
  <c r="T3388" i="29"/>
  <c r="R3388" i="29"/>
  <c r="Q3388" i="29"/>
  <c r="V3385" i="29"/>
  <c r="U3385" i="29"/>
  <c r="T3385" i="29"/>
  <c r="R3385" i="29"/>
  <c r="Q3385" i="29"/>
  <c r="V3384" i="29"/>
  <c r="U3384" i="29"/>
  <c r="T3384" i="29"/>
  <c r="R3384" i="29"/>
  <c r="Q3384" i="29"/>
  <c r="V3383" i="29"/>
  <c r="U3383" i="29"/>
  <c r="T3383" i="29"/>
  <c r="R3383" i="29"/>
  <c r="Q3383" i="29"/>
  <c r="V3382" i="29"/>
  <c r="U3382" i="29"/>
  <c r="T3382" i="29"/>
  <c r="R3382" i="29"/>
  <c r="Q3382" i="29"/>
  <c r="V3381" i="29"/>
  <c r="U3381" i="29"/>
  <c r="T3381" i="29"/>
  <c r="R3381" i="29"/>
  <c r="Q3381" i="29"/>
  <c r="V3380" i="29"/>
  <c r="U3380" i="29"/>
  <c r="T3380" i="29"/>
  <c r="R3380" i="29"/>
  <c r="Q3380" i="29"/>
  <c r="V3379" i="29"/>
  <c r="U3379" i="29"/>
  <c r="T3379" i="29"/>
  <c r="R3379" i="29"/>
  <c r="Q3379" i="29"/>
  <c r="V3378" i="29"/>
  <c r="U3378" i="29"/>
  <c r="T3378" i="29"/>
  <c r="R3378" i="29"/>
  <c r="Q3378" i="29"/>
  <c r="V3377" i="29"/>
  <c r="U3377" i="29"/>
  <c r="T3377" i="29"/>
  <c r="R3377" i="29"/>
  <c r="Q3377" i="29"/>
  <c r="V3374" i="29"/>
  <c r="U3374" i="29"/>
  <c r="T3374" i="29"/>
  <c r="R3374" i="29"/>
  <c r="Q3374" i="29"/>
  <c r="V3373" i="29"/>
  <c r="U3373" i="29"/>
  <c r="T3373" i="29"/>
  <c r="R3373" i="29"/>
  <c r="Q3373" i="29"/>
  <c r="V3372" i="29"/>
  <c r="U3372" i="29"/>
  <c r="T3372" i="29"/>
  <c r="R3372" i="29"/>
  <c r="Q3372" i="29"/>
  <c r="V3371" i="29"/>
  <c r="U3371" i="29"/>
  <c r="T3371" i="29"/>
  <c r="R3371" i="29"/>
  <c r="Q3371" i="29"/>
  <c r="V3370" i="29"/>
  <c r="U3370" i="29"/>
  <c r="T3370" i="29"/>
  <c r="R3370" i="29"/>
  <c r="Q3370" i="29"/>
  <c r="V3369" i="29"/>
  <c r="U3369" i="29"/>
  <c r="T3369" i="29"/>
  <c r="R3369" i="29"/>
  <c r="Q3369" i="29"/>
  <c r="V3368" i="29"/>
  <c r="U3368" i="29"/>
  <c r="T3368" i="29"/>
  <c r="R3368" i="29"/>
  <c r="Q3368" i="29"/>
  <c r="V3367" i="29"/>
  <c r="U3367" i="29"/>
  <c r="T3367" i="29"/>
  <c r="R3367" i="29"/>
  <c r="Q3367" i="29"/>
  <c r="V3366" i="29"/>
  <c r="U3366" i="29"/>
  <c r="T3366" i="29"/>
  <c r="R3366" i="29"/>
  <c r="Q3366" i="29"/>
  <c r="V3363" i="29"/>
  <c r="U3363" i="29"/>
  <c r="T3363" i="29"/>
  <c r="R3363" i="29"/>
  <c r="Q3363" i="29"/>
  <c r="V3362" i="29"/>
  <c r="U3362" i="29"/>
  <c r="T3362" i="29"/>
  <c r="R3362" i="29"/>
  <c r="Q3362" i="29"/>
  <c r="V3361" i="29"/>
  <c r="U3361" i="29"/>
  <c r="T3361" i="29"/>
  <c r="R3361" i="29"/>
  <c r="Q3361" i="29"/>
  <c r="V3360" i="29"/>
  <c r="U3360" i="29"/>
  <c r="T3360" i="29"/>
  <c r="R3360" i="29"/>
  <c r="Q3360" i="29"/>
  <c r="V3359" i="29"/>
  <c r="U3359" i="29"/>
  <c r="T3359" i="29"/>
  <c r="R3359" i="29"/>
  <c r="Q3359" i="29"/>
  <c r="V3358" i="29"/>
  <c r="U3358" i="29"/>
  <c r="T3358" i="29"/>
  <c r="R3358" i="29"/>
  <c r="Q3358" i="29"/>
  <c r="V3357" i="29"/>
  <c r="U3357" i="29"/>
  <c r="T3357" i="29"/>
  <c r="R3357" i="29"/>
  <c r="Q3357" i="29"/>
  <c r="V3356" i="29"/>
  <c r="U3356" i="29"/>
  <c r="T3356" i="29"/>
  <c r="R3356" i="29"/>
  <c r="Q3356" i="29"/>
  <c r="V3355" i="29"/>
  <c r="U3355" i="29"/>
  <c r="T3355" i="29"/>
  <c r="R3355" i="29"/>
  <c r="Q3355" i="29"/>
  <c r="V3352" i="29"/>
  <c r="U3352" i="29"/>
  <c r="T3352" i="29"/>
  <c r="R3352" i="29"/>
  <c r="Q3352" i="29"/>
  <c r="V3351" i="29"/>
  <c r="U3351" i="29"/>
  <c r="T3351" i="29"/>
  <c r="R3351" i="29"/>
  <c r="Q3351" i="29"/>
  <c r="V3350" i="29"/>
  <c r="U3350" i="29"/>
  <c r="T3350" i="29"/>
  <c r="R3350" i="29"/>
  <c r="Q3350" i="29"/>
  <c r="V3349" i="29"/>
  <c r="U3349" i="29"/>
  <c r="T3349" i="29"/>
  <c r="R3349" i="29"/>
  <c r="Q3349" i="29"/>
  <c r="V3348" i="29"/>
  <c r="U3348" i="29"/>
  <c r="T3348" i="29"/>
  <c r="R3348" i="29"/>
  <c r="Q3348" i="29"/>
  <c r="V3347" i="29"/>
  <c r="U3347" i="29"/>
  <c r="T3347" i="29"/>
  <c r="R3347" i="29"/>
  <c r="Q3347" i="29"/>
  <c r="V3346" i="29"/>
  <c r="U3346" i="29"/>
  <c r="T3346" i="29"/>
  <c r="R3346" i="29"/>
  <c r="Q3346" i="29"/>
  <c r="V3345" i="29"/>
  <c r="U3345" i="29"/>
  <c r="T3345" i="29"/>
  <c r="R3345" i="29"/>
  <c r="Q3345" i="29"/>
  <c r="V3344" i="29"/>
  <c r="U3344" i="29"/>
  <c r="T3344" i="29"/>
  <c r="R3344" i="29"/>
  <c r="Q3344" i="29"/>
  <c r="V3341" i="29"/>
  <c r="U3341" i="29"/>
  <c r="T3341" i="29"/>
  <c r="R3341" i="29"/>
  <c r="Q3341" i="29"/>
  <c r="V3340" i="29"/>
  <c r="U3340" i="29"/>
  <c r="T3340" i="29"/>
  <c r="R3340" i="29"/>
  <c r="Q3340" i="29"/>
  <c r="V3339" i="29"/>
  <c r="U3339" i="29"/>
  <c r="T3339" i="29"/>
  <c r="R3339" i="29"/>
  <c r="Q3339" i="29"/>
  <c r="V3338" i="29"/>
  <c r="U3338" i="29"/>
  <c r="T3338" i="29"/>
  <c r="R3338" i="29"/>
  <c r="Q3338" i="29"/>
  <c r="V3337" i="29"/>
  <c r="U3337" i="29"/>
  <c r="T3337" i="29"/>
  <c r="R3337" i="29"/>
  <c r="Q3337" i="29"/>
  <c r="V3336" i="29"/>
  <c r="U3336" i="29"/>
  <c r="T3336" i="29"/>
  <c r="R3336" i="29"/>
  <c r="Q3336" i="29"/>
  <c r="V3335" i="29"/>
  <c r="U3335" i="29"/>
  <c r="T3335" i="29"/>
  <c r="R3335" i="29"/>
  <c r="Q3335" i="29"/>
  <c r="V3334" i="29"/>
  <c r="U3334" i="29"/>
  <c r="T3334" i="29"/>
  <c r="R3334" i="29"/>
  <c r="Q3334" i="29"/>
  <c r="V3333" i="29"/>
  <c r="U3333" i="29"/>
  <c r="T3333" i="29"/>
  <c r="R3333" i="29"/>
  <c r="Q3333" i="29"/>
  <c r="V3330" i="29"/>
  <c r="U3330" i="29"/>
  <c r="T3330" i="29"/>
  <c r="R3330" i="29"/>
  <c r="Q3330" i="29"/>
  <c r="V3329" i="29"/>
  <c r="U3329" i="29"/>
  <c r="T3329" i="29"/>
  <c r="R3329" i="29"/>
  <c r="Q3329" i="29"/>
  <c r="V3328" i="29"/>
  <c r="U3328" i="29"/>
  <c r="T3328" i="29"/>
  <c r="R3328" i="29"/>
  <c r="Q3328" i="29"/>
  <c r="V3327" i="29"/>
  <c r="U3327" i="29"/>
  <c r="T3327" i="29"/>
  <c r="R3327" i="29"/>
  <c r="Q3327" i="29"/>
  <c r="V3326" i="29"/>
  <c r="U3326" i="29"/>
  <c r="T3326" i="29"/>
  <c r="R3326" i="29"/>
  <c r="Q3326" i="29"/>
  <c r="V3325" i="29"/>
  <c r="U3325" i="29"/>
  <c r="T3325" i="29"/>
  <c r="R3325" i="29"/>
  <c r="Q3325" i="29"/>
  <c r="V3324" i="29"/>
  <c r="U3324" i="29"/>
  <c r="T3324" i="29"/>
  <c r="R3324" i="29"/>
  <c r="Q3324" i="29"/>
  <c r="V3323" i="29"/>
  <c r="U3323" i="29"/>
  <c r="T3323" i="29"/>
  <c r="R3323" i="29"/>
  <c r="Q3323" i="29"/>
  <c r="V3322" i="29"/>
  <c r="U3322" i="29"/>
  <c r="T3322" i="29"/>
  <c r="R3322" i="29"/>
  <c r="Q3322" i="29"/>
  <c r="V3319" i="29"/>
  <c r="U3319" i="29"/>
  <c r="T3319" i="29"/>
  <c r="R3319" i="29"/>
  <c r="Q3319" i="29"/>
  <c r="V3318" i="29"/>
  <c r="U3318" i="29"/>
  <c r="T3318" i="29"/>
  <c r="R3318" i="29"/>
  <c r="Q3318" i="29"/>
  <c r="V3317" i="29"/>
  <c r="U3317" i="29"/>
  <c r="T3317" i="29"/>
  <c r="R3317" i="29"/>
  <c r="Q3317" i="29"/>
  <c r="V3316" i="29"/>
  <c r="U3316" i="29"/>
  <c r="T3316" i="29"/>
  <c r="R3316" i="29"/>
  <c r="Q3316" i="29"/>
  <c r="V3315" i="29"/>
  <c r="U3315" i="29"/>
  <c r="T3315" i="29"/>
  <c r="R3315" i="29"/>
  <c r="Q3315" i="29"/>
  <c r="V3314" i="29"/>
  <c r="U3314" i="29"/>
  <c r="T3314" i="29"/>
  <c r="R3314" i="29"/>
  <c r="Q3314" i="29"/>
  <c r="V3313" i="29"/>
  <c r="U3313" i="29"/>
  <c r="T3313" i="29"/>
  <c r="R3313" i="29"/>
  <c r="Q3313" i="29"/>
  <c r="V3312" i="29"/>
  <c r="U3312" i="29"/>
  <c r="T3312" i="29"/>
  <c r="R3312" i="29"/>
  <c r="Q3312" i="29"/>
  <c r="V3311" i="29"/>
  <c r="U3311" i="29"/>
  <c r="T3311" i="29"/>
  <c r="R3311" i="29"/>
  <c r="Q3311" i="29"/>
  <c r="V3308" i="29"/>
  <c r="U3308" i="29"/>
  <c r="T3308" i="29"/>
  <c r="R3308" i="29"/>
  <c r="Q3308" i="29"/>
  <c r="V3307" i="29"/>
  <c r="U3307" i="29"/>
  <c r="T3307" i="29"/>
  <c r="R3307" i="29"/>
  <c r="Q3307" i="29"/>
  <c r="V3306" i="29"/>
  <c r="U3306" i="29"/>
  <c r="T3306" i="29"/>
  <c r="R3306" i="29"/>
  <c r="Q3306" i="29"/>
  <c r="V3305" i="29"/>
  <c r="U3305" i="29"/>
  <c r="T3305" i="29"/>
  <c r="R3305" i="29"/>
  <c r="Q3305" i="29"/>
  <c r="V3304" i="29"/>
  <c r="U3304" i="29"/>
  <c r="T3304" i="29"/>
  <c r="R3304" i="29"/>
  <c r="Q3304" i="29"/>
  <c r="V3303" i="29"/>
  <c r="U3303" i="29"/>
  <c r="T3303" i="29"/>
  <c r="R3303" i="29"/>
  <c r="Q3303" i="29"/>
  <c r="V3302" i="29"/>
  <c r="U3302" i="29"/>
  <c r="T3302" i="29"/>
  <c r="R3302" i="29"/>
  <c r="Q3302" i="29"/>
  <c r="V3301" i="29"/>
  <c r="U3301" i="29"/>
  <c r="T3301" i="29"/>
  <c r="R3301" i="29"/>
  <c r="Q3301" i="29"/>
  <c r="V3300" i="29"/>
  <c r="U3300" i="29"/>
  <c r="T3300" i="29"/>
  <c r="R3300" i="29"/>
  <c r="Q3300" i="29"/>
  <c r="V3297" i="29"/>
  <c r="U3297" i="29"/>
  <c r="T3297" i="29"/>
  <c r="R3297" i="29"/>
  <c r="Q3297" i="29"/>
  <c r="V3296" i="29"/>
  <c r="U3296" i="29"/>
  <c r="T3296" i="29"/>
  <c r="R3296" i="29"/>
  <c r="Q3296" i="29"/>
  <c r="V3295" i="29"/>
  <c r="U3295" i="29"/>
  <c r="T3295" i="29"/>
  <c r="R3295" i="29"/>
  <c r="Q3295" i="29"/>
  <c r="V3294" i="29"/>
  <c r="U3294" i="29"/>
  <c r="T3294" i="29"/>
  <c r="R3294" i="29"/>
  <c r="Q3294" i="29"/>
  <c r="V3293" i="29"/>
  <c r="U3293" i="29"/>
  <c r="T3293" i="29"/>
  <c r="R3293" i="29"/>
  <c r="Q3293" i="29"/>
  <c r="V3292" i="29"/>
  <c r="U3292" i="29"/>
  <c r="T3292" i="29"/>
  <c r="R3292" i="29"/>
  <c r="Q3292" i="29"/>
  <c r="V3291" i="29"/>
  <c r="U3291" i="29"/>
  <c r="T3291" i="29"/>
  <c r="R3291" i="29"/>
  <c r="Q3291" i="29"/>
  <c r="V3290" i="29"/>
  <c r="U3290" i="29"/>
  <c r="T3290" i="29"/>
  <c r="R3290" i="29"/>
  <c r="Q3290" i="29"/>
  <c r="V3289" i="29"/>
  <c r="U3289" i="29"/>
  <c r="T3289" i="29"/>
  <c r="R3289" i="29"/>
  <c r="Q3289" i="29"/>
  <c r="V3286" i="29"/>
  <c r="U3286" i="29"/>
  <c r="T3286" i="29"/>
  <c r="R3286" i="29"/>
  <c r="Q3286" i="29"/>
  <c r="V3285" i="29"/>
  <c r="U3285" i="29"/>
  <c r="T3285" i="29"/>
  <c r="R3285" i="29"/>
  <c r="Q3285" i="29"/>
  <c r="V3284" i="29"/>
  <c r="U3284" i="29"/>
  <c r="T3284" i="29"/>
  <c r="R3284" i="29"/>
  <c r="Q3284" i="29"/>
  <c r="V3283" i="29"/>
  <c r="U3283" i="29"/>
  <c r="T3283" i="29"/>
  <c r="R3283" i="29"/>
  <c r="Q3283" i="29"/>
  <c r="V3282" i="29"/>
  <c r="U3282" i="29"/>
  <c r="T3282" i="29"/>
  <c r="R3282" i="29"/>
  <c r="Q3282" i="29"/>
  <c r="V3281" i="29"/>
  <c r="U3281" i="29"/>
  <c r="T3281" i="29"/>
  <c r="R3281" i="29"/>
  <c r="Q3281" i="29"/>
  <c r="V3280" i="29"/>
  <c r="U3280" i="29"/>
  <c r="T3280" i="29"/>
  <c r="R3280" i="29"/>
  <c r="Q3280" i="29"/>
  <c r="V3279" i="29"/>
  <c r="U3279" i="29"/>
  <c r="T3279" i="29"/>
  <c r="R3279" i="29"/>
  <c r="Q3279" i="29"/>
  <c r="V3278" i="29"/>
  <c r="U3278" i="29"/>
  <c r="T3278" i="29"/>
  <c r="R3278" i="29"/>
  <c r="Q3278" i="29"/>
  <c r="V3275" i="29"/>
  <c r="U3275" i="29"/>
  <c r="T3275" i="29"/>
  <c r="R3275" i="29"/>
  <c r="Q3275" i="29"/>
  <c r="V3274" i="29"/>
  <c r="U3274" i="29"/>
  <c r="T3274" i="29"/>
  <c r="R3274" i="29"/>
  <c r="Q3274" i="29"/>
  <c r="V3273" i="29"/>
  <c r="U3273" i="29"/>
  <c r="T3273" i="29"/>
  <c r="R3273" i="29"/>
  <c r="Q3273" i="29"/>
  <c r="V3272" i="29"/>
  <c r="U3272" i="29"/>
  <c r="T3272" i="29"/>
  <c r="R3272" i="29"/>
  <c r="Q3272" i="29"/>
  <c r="V3271" i="29"/>
  <c r="U3271" i="29"/>
  <c r="T3271" i="29"/>
  <c r="R3271" i="29"/>
  <c r="Q3271" i="29"/>
  <c r="V3270" i="29"/>
  <c r="U3270" i="29"/>
  <c r="T3270" i="29"/>
  <c r="R3270" i="29"/>
  <c r="Q3270" i="29"/>
  <c r="V3269" i="29"/>
  <c r="U3269" i="29"/>
  <c r="T3269" i="29"/>
  <c r="R3269" i="29"/>
  <c r="Q3269" i="29"/>
  <c r="V3268" i="29"/>
  <c r="U3268" i="29"/>
  <c r="T3268" i="29"/>
  <c r="R3268" i="29"/>
  <c r="Q3268" i="29"/>
  <c r="V3267" i="29"/>
  <c r="U3267" i="29"/>
  <c r="T3267" i="29"/>
  <c r="R3267" i="29"/>
  <c r="Q3267" i="29"/>
  <c r="V3264" i="29"/>
  <c r="U3264" i="29"/>
  <c r="T3264" i="29"/>
  <c r="R3264" i="29"/>
  <c r="Q3264" i="29"/>
  <c r="V3263" i="29"/>
  <c r="U3263" i="29"/>
  <c r="T3263" i="29"/>
  <c r="R3263" i="29"/>
  <c r="Q3263" i="29"/>
  <c r="V3262" i="29"/>
  <c r="U3262" i="29"/>
  <c r="T3262" i="29"/>
  <c r="R3262" i="29"/>
  <c r="Q3262" i="29"/>
  <c r="V3261" i="29"/>
  <c r="U3261" i="29"/>
  <c r="T3261" i="29"/>
  <c r="R3261" i="29"/>
  <c r="Q3261" i="29"/>
  <c r="V3260" i="29"/>
  <c r="U3260" i="29"/>
  <c r="T3260" i="29"/>
  <c r="R3260" i="29"/>
  <c r="Q3260" i="29"/>
  <c r="V3259" i="29"/>
  <c r="U3259" i="29"/>
  <c r="T3259" i="29"/>
  <c r="R3259" i="29"/>
  <c r="Q3259" i="29"/>
  <c r="V3258" i="29"/>
  <c r="U3258" i="29"/>
  <c r="T3258" i="29"/>
  <c r="R3258" i="29"/>
  <c r="Q3258" i="29"/>
  <c r="V3257" i="29"/>
  <c r="U3257" i="29"/>
  <c r="T3257" i="29"/>
  <c r="R3257" i="29"/>
  <c r="Q3257" i="29"/>
  <c r="V3256" i="29"/>
  <c r="U3256" i="29"/>
  <c r="T3256" i="29"/>
  <c r="R3256" i="29"/>
  <c r="Q3256" i="29"/>
  <c r="V3253" i="29"/>
  <c r="U3253" i="29"/>
  <c r="T3253" i="29"/>
  <c r="R3253" i="29"/>
  <c r="Q3253" i="29"/>
  <c r="V3252" i="29"/>
  <c r="U3252" i="29"/>
  <c r="T3252" i="29"/>
  <c r="R3252" i="29"/>
  <c r="Q3252" i="29"/>
  <c r="V3251" i="29"/>
  <c r="U3251" i="29"/>
  <c r="T3251" i="29"/>
  <c r="R3251" i="29"/>
  <c r="Q3251" i="29"/>
  <c r="V3250" i="29"/>
  <c r="U3250" i="29"/>
  <c r="T3250" i="29"/>
  <c r="R3250" i="29"/>
  <c r="Q3250" i="29"/>
  <c r="V3249" i="29"/>
  <c r="U3249" i="29"/>
  <c r="T3249" i="29"/>
  <c r="R3249" i="29"/>
  <c r="Q3249" i="29"/>
  <c r="V3248" i="29"/>
  <c r="U3248" i="29"/>
  <c r="T3248" i="29"/>
  <c r="R3248" i="29"/>
  <c r="Q3248" i="29"/>
  <c r="V3247" i="29"/>
  <c r="U3247" i="29"/>
  <c r="T3247" i="29"/>
  <c r="R3247" i="29"/>
  <c r="Q3247" i="29"/>
  <c r="V3246" i="29"/>
  <c r="U3246" i="29"/>
  <c r="T3246" i="29"/>
  <c r="R3246" i="29"/>
  <c r="Q3246" i="29"/>
  <c r="V3245" i="29"/>
  <c r="U3245" i="29"/>
  <c r="T3245" i="29"/>
  <c r="R3245" i="29"/>
  <c r="Q3245" i="29"/>
  <c r="V3242" i="29"/>
  <c r="U3242" i="29"/>
  <c r="T3242" i="29"/>
  <c r="R3242" i="29"/>
  <c r="Q3242" i="29"/>
  <c r="V3241" i="29"/>
  <c r="U3241" i="29"/>
  <c r="T3241" i="29"/>
  <c r="R3241" i="29"/>
  <c r="Q3241" i="29"/>
  <c r="V3240" i="29"/>
  <c r="U3240" i="29"/>
  <c r="T3240" i="29"/>
  <c r="R3240" i="29"/>
  <c r="Q3240" i="29"/>
  <c r="V3239" i="29"/>
  <c r="U3239" i="29"/>
  <c r="T3239" i="29"/>
  <c r="R3239" i="29"/>
  <c r="Q3239" i="29"/>
  <c r="V3238" i="29"/>
  <c r="U3238" i="29"/>
  <c r="T3238" i="29"/>
  <c r="R3238" i="29"/>
  <c r="Q3238" i="29"/>
  <c r="V3237" i="29"/>
  <c r="U3237" i="29"/>
  <c r="T3237" i="29"/>
  <c r="R3237" i="29"/>
  <c r="Q3237" i="29"/>
  <c r="V3236" i="29"/>
  <c r="U3236" i="29"/>
  <c r="T3236" i="29"/>
  <c r="R3236" i="29"/>
  <c r="Q3236" i="29"/>
  <c r="V3235" i="29"/>
  <c r="U3235" i="29"/>
  <c r="T3235" i="29"/>
  <c r="R3235" i="29"/>
  <c r="Q3235" i="29"/>
  <c r="V3234" i="29"/>
  <c r="U3234" i="29"/>
  <c r="T3234" i="29"/>
  <c r="R3234" i="29"/>
  <c r="Q3234" i="29"/>
  <c r="V3231" i="29"/>
  <c r="U3231" i="29"/>
  <c r="T3231" i="29"/>
  <c r="R3231" i="29"/>
  <c r="Q3231" i="29"/>
  <c r="V3230" i="29"/>
  <c r="U3230" i="29"/>
  <c r="T3230" i="29"/>
  <c r="R3230" i="29"/>
  <c r="Q3230" i="29"/>
  <c r="V3229" i="29"/>
  <c r="U3229" i="29"/>
  <c r="T3229" i="29"/>
  <c r="R3229" i="29"/>
  <c r="Q3229" i="29"/>
  <c r="V3228" i="29"/>
  <c r="U3228" i="29"/>
  <c r="T3228" i="29"/>
  <c r="R3228" i="29"/>
  <c r="Q3228" i="29"/>
  <c r="V3227" i="29"/>
  <c r="U3227" i="29"/>
  <c r="T3227" i="29"/>
  <c r="R3227" i="29"/>
  <c r="Q3227" i="29"/>
  <c r="V3226" i="29"/>
  <c r="U3226" i="29"/>
  <c r="T3226" i="29"/>
  <c r="R3226" i="29"/>
  <c r="Q3226" i="29"/>
  <c r="V3225" i="29"/>
  <c r="U3225" i="29"/>
  <c r="T3225" i="29"/>
  <c r="R3225" i="29"/>
  <c r="Q3225" i="29"/>
  <c r="V3224" i="29"/>
  <c r="U3224" i="29"/>
  <c r="T3224" i="29"/>
  <c r="R3224" i="29"/>
  <c r="Q3224" i="29"/>
  <c r="V3223" i="29"/>
  <c r="U3223" i="29"/>
  <c r="T3223" i="29"/>
  <c r="R3223" i="29"/>
  <c r="Q3223" i="29"/>
  <c r="V3220" i="29"/>
  <c r="U3220" i="29"/>
  <c r="T3220" i="29"/>
  <c r="R3220" i="29"/>
  <c r="Q3220" i="29"/>
  <c r="V3219" i="29"/>
  <c r="U3219" i="29"/>
  <c r="T3219" i="29"/>
  <c r="R3219" i="29"/>
  <c r="Q3219" i="29"/>
  <c r="V3218" i="29"/>
  <c r="U3218" i="29"/>
  <c r="T3218" i="29"/>
  <c r="R3218" i="29"/>
  <c r="Q3218" i="29"/>
  <c r="V3217" i="29"/>
  <c r="U3217" i="29"/>
  <c r="T3217" i="29"/>
  <c r="R3217" i="29"/>
  <c r="Q3217" i="29"/>
  <c r="V3216" i="29"/>
  <c r="U3216" i="29"/>
  <c r="T3216" i="29"/>
  <c r="R3216" i="29"/>
  <c r="Q3216" i="29"/>
  <c r="V3215" i="29"/>
  <c r="U3215" i="29"/>
  <c r="T3215" i="29"/>
  <c r="R3215" i="29"/>
  <c r="Q3215" i="29"/>
  <c r="V3214" i="29"/>
  <c r="U3214" i="29"/>
  <c r="T3214" i="29"/>
  <c r="R3214" i="29"/>
  <c r="Q3214" i="29"/>
  <c r="V3213" i="29"/>
  <c r="U3213" i="29"/>
  <c r="T3213" i="29"/>
  <c r="R3213" i="29"/>
  <c r="Q3213" i="29"/>
  <c r="V3212" i="29"/>
  <c r="U3212" i="29"/>
  <c r="T3212" i="29"/>
  <c r="R3212" i="29"/>
  <c r="Q3212" i="29"/>
  <c r="V3209" i="29"/>
  <c r="U3209" i="29"/>
  <c r="T3209" i="29"/>
  <c r="R3209" i="29"/>
  <c r="Q3209" i="29"/>
  <c r="V3208" i="29"/>
  <c r="U3208" i="29"/>
  <c r="T3208" i="29"/>
  <c r="R3208" i="29"/>
  <c r="Q3208" i="29"/>
  <c r="V3207" i="29"/>
  <c r="U3207" i="29"/>
  <c r="T3207" i="29"/>
  <c r="R3207" i="29"/>
  <c r="Q3207" i="29"/>
  <c r="V3206" i="29"/>
  <c r="U3206" i="29"/>
  <c r="T3206" i="29"/>
  <c r="R3206" i="29"/>
  <c r="Q3206" i="29"/>
  <c r="V3205" i="29"/>
  <c r="U3205" i="29"/>
  <c r="T3205" i="29"/>
  <c r="R3205" i="29"/>
  <c r="Q3205" i="29"/>
  <c r="V3204" i="29"/>
  <c r="U3204" i="29"/>
  <c r="T3204" i="29"/>
  <c r="R3204" i="29"/>
  <c r="Q3204" i="29"/>
  <c r="V3203" i="29"/>
  <c r="U3203" i="29"/>
  <c r="T3203" i="29"/>
  <c r="R3203" i="29"/>
  <c r="Q3203" i="29"/>
  <c r="V3202" i="29"/>
  <c r="U3202" i="29"/>
  <c r="T3202" i="29"/>
  <c r="R3202" i="29"/>
  <c r="Q3202" i="29"/>
  <c r="V3201" i="29"/>
  <c r="U3201" i="29"/>
  <c r="T3201" i="29"/>
  <c r="R3201" i="29"/>
  <c r="Q3201" i="29"/>
  <c r="V3198" i="29"/>
  <c r="U3198" i="29"/>
  <c r="T3198" i="29"/>
  <c r="R3198" i="29"/>
  <c r="Q3198" i="29"/>
  <c r="V3197" i="29"/>
  <c r="U3197" i="29"/>
  <c r="T3197" i="29"/>
  <c r="R3197" i="29"/>
  <c r="Q3197" i="29"/>
  <c r="V3196" i="29"/>
  <c r="U3196" i="29"/>
  <c r="T3196" i="29"/>
  <c r="R3196" i="29"/>
  <c r="Q3196" i="29"/>
  <c r="V3195" i="29"/>
  <c r="U3195" i="29"/>
  <c r="T3195" i="29"/>
  <c r="R3195" i="29"/>
  <c r="Q3195" i="29"/>
  <c r="V3194" i="29"/>
  <c r="U3194" i="29"/>
  <c r="T3194" i="29"/>
  <c r="R3194" i="29"/>
  <c r="Q3194" i="29"/>
  <c r="V3193" i="29"/>
  <c r="U3193" i="29"/>
  <c r="T3193" i="29"/>
  <c r="R3193" i="29"/>
  <c r="Q3193" i="29"/>
  <c r="V3192" i="29"/>
  <c r="U3192" i="29"/>
  <c r="T3192" i="29"/>
  <c r="R3192" i="29"/>
  <c r="Q3192" i="29"/>
  <c r="V3191" i="29"/>
  <c r="U3191" i="29"/>
  <c r="T3191" i="29"/>
  <c r="R3191" i="29"/>
  <c r="Q3191" i="29"/>
  <c r="V3190" i="29"/>
  <c r="U3190" i="29"/>
  <c r="T3190" i="29"/>
  <c r="R3190" i="29"/>
  <c r="Q3190" i="29"/>
  <c r="V3187" i="29"/>
  <c r="U3187" i="29"/>
  <c r="T3187" i="29"/>
  <c r="R3187" i="29"/>
  <c r="Q3187" i="29"/>
  <c r="V3186" i="29"/>
  <c r="U3186" i="29"/>
  <c r="T3186" i="29"/>
  <c r="R3186" i="29"/>
  <c r="Q3186" i="29"/>
  <c r="V3185" i="29"/>
  <c r="U3185" i="29"/>
  <c r="T3185" i="29"/>
  <c r="R3185" i="29"/>
  <c r="Q3185" i="29"/>
  <c r="V3184" i="29"/>
  <c r="U3184" i="29"/>
  <c r="T3184" i="29"/>
  <c r="R3184" i="29"/>
  <c r="Q3184" i="29"/>
  <c r="V3183" i="29"/>
  <c r="U3183" i="29"/>
  <c r="T3183" i="29"/>
  <c r="R3183" i="29"/>
  <c r="Q3183" i="29"/>
  <c r="V3182" i="29"/>
  <c r="U3182" i="29"/>
  <c r="T3182" i="29"/>
  <c r="R3182" i="29"/>
  <c r="Q3182" i="29"/>
  <c r="V3181" i="29"/>
  <c r="U3181" i="29"/>
  <c r="T3181" i="29"/>
  <c r="R3181" i="29"/>
  <c r="Q3181" i="29"/>
  <c r="V3180" i="29"/>
  <c r="U3180" i="29"/>
  <c r="T3180" i="29"/>
  <c r="R3180" i="29"/>
  <c r="Q3180" i="29"/>
  <c r="V3179" i="29"/>
  <c r="U3179" i="29"/>
  <c r="T3179" i="29"/>
  <c r="R3179" i="29"/>
  <c r="Q3179" i="29"/>
  <c r="V3176" i="29"/>
  <c r="U3176" i="29"/>
  <c r="T3176" i="29"/>
  <c r="R3176" i="29"/>
  <c r="Q3176" i="29"/>
  <c r="V3175" i="29"/>
  <c r="U3175" i="29"/>
  <c r="T3175" i="29"/>
  <c r="R3175" i="29"/>
  <c r="Q3175" i="29"/>
  <c r="V3174" i="29"/>
  <c r="U3174" i="29"/>
  <c r="T3174" i="29"/>
  <c r="R3174" i="29"/>
  <c r="Q3174" i="29"/>
  <c r="V3173" i="29"/>
  <c r="U3173" i="29"/>
  <c r="T3173" i="29"/>
  <c r="R3173" i="29"/>
  <c r="Q3173" i="29"/>
  <c r="V3172" i="29"/>
  <c r="U3172" i="29"/>
  <c r="T3172" i="29"/>
  <c r="R3172" i="29"/>
  <c r="Q3172" i="29"/>
  <c r="V3171" i="29"/>
  <c r="U3171" i="29"/>
  <c r="T3171" i="29"/>
  <c r="R3171" i="29"/>
  <c r="Q3171" i="29"/>
  <c r="V3170" i="29"/>
  <c r="U3170" i="29"/>
  <c r="T3170" i="29"/>
  <c r="R3170" i="29"/>
  <c r="Q3170" i="29"/>
  <c r="V3169" i="29"/>
  <c r="U3169" i="29"/>
  <c r="T3169" i="29"/>
  <c r="R3169" i="29"/>
  <c r="Q3169" i="29"/>
  <c r="V3168" i="29"/>
  <c r="U3168" i="29"/>
  <c r="T3168" i="29"/>
  <c r="R3168" i="29"/>
  <c r="Q3168" i="29"/>
  <c r="V3165" i="29"/>
  <c r="U3165" i="29"/>
  <c r="T3165" i="29"/>
  <c r="R3165" i="29"/>
  <c r="Q3165" i="29"/>
  <c r="V3164" i="29"/>
  <c r="U3164" i="29"/>
  <c r="T3164" i="29"/>
  <c r="R3164" i="29"/>
  <c r="Q3164" i="29"/>
  <c r="V3163" i="29"/>
  <c r="U3163" i="29"/>
  <c r="T3163" i="29"/>
  <c r="R3163" i="29"/>
  <c r="Q3163" i="29"/>
  <c r="V3162" i="29"/>
  <c r="U3162" i="29"/>
  <c r="T3162" i="29"/>
  <c r="R3162" i="29"/>
  <c r="Q3162" i="29"/>
  <c r="V3161" i="29"/>
  <c r="U3161" i="29"/>
  <c r="T3161" i="29"/>
  <c r="R3161" i="29"/>
  <c r="Q3161" i="29"/>
  <c r="V3160" i="29"/>
  <c r="U3160" i="29"/>
  <c r="T3160" i="29"/>
  <c r="R3160" i="29"/>
  <c r="Q3160" i="29"/>
  <c r="V3159" i="29"/>
  <c r="U3159" i="29"/>
  <c r="T3159" i="29"/>
  <c r="R3159" i="29"/>
  <c r="Q3159" i="29"/>
  <c r="V3158" i="29"/>
  <c r="U3158" i="29"/>
  <c r="T3158" i="29"/>
  <c r="R3158" i="29"/>
  <c r="Q3158" i="29"/>
  <c r="V3157" i="29"/>
  <c r="U3157" i="29"/>
  <c r="T3157" i="29"/>
  <c r="R3157" i="29"/>
  <c r="Q3157" i="29"/>
  <c r="V3154" i="29"/>
  <c r="U3154" i="29"/>
  <c r="T3154" i="29"/>
  <c r="R3154" i="29"/>
  <c r="Q3154" i="29"/>
  <c r="V3153" i="29"/>
  <c r="U3153" i="29"/>
  <c r="T3153" i="29"/>
  <c r="R3153" i="29"/>
  <c r="Q3153" i="29"/>
  <c r="V3152" i="29"/>
  <c r="U3152" i="29"/>
  <c r="T3152" i="29"/>
  <c r="R3152" i="29"/>
  <c r="Q3152" i="29"/>
  <c r="V3151" i="29"/>
  <c r="U3151" i="29"/>
  <c r="T3151" i="29"/>
  <c r="R3151" i="29"/>
  <c r="Q3151" i="29"/>
  <c r="V3150" i="29"/>
  <c r="U3150" i="29"/>
  <c r="T3150" i="29"/>
  <c r="R3150" i="29"/>
  <c r="Q3150" i="29"/>
  <c r="V3149" i="29"/>
  <c r="U3149" i="29"/>
  <c r="T3149" i="29"/>
  <c r="R3149" i="29"/>
  <c r="Q3149" i="29"/>
  <c r="V3148" i="29"/>
  <c r="U3148" i="29"/>
  <c r="T3148" i="29"/>
  <c r="R3148" i="29"/>
  <c r="Q3148" i="29"/>
  <c r="V3147" i="29"/>
  <c r="U3147" i="29"/>
  <c r="T3147" i="29"/>
  <c r="R3147" i="29"/>
  <c r="Q3147" i="29"/>
  <c r="V3146" i="29"/>
  <c r="U3146" i="29"/>
  <c r="T3146" i="29"/>
  <c r="R3146" i="29"/>
  <c r="Q3146" i="29"/>
  <c r="V3143" i="29"/>
  <c r="U3143" i="29"/>
  <c r="T3143" i="29"/>
  <c r="R3143" i="29"/>
  <c r="Q3143" i="29"/>
  <c r="V3142" i="29"/>
  <c r="U3142" i="29"/>
  <c r="T3142" i="29"/>
  <c r="R3142" i="29"/>
  <c r="Q3142" i="29"/>
  <c r="V3141" i="29"/>
  <c r="U3141" i="29"/>
  <c r="T3141" i="29"/>
  <c r="R3141" i="29"/>
  <c r="Q3141" i="29"/>
  <c r="V3140" i="29"/>
  <c r="U3140" i="29"/>
  <c r="T3140" i="29"/>
  <c r="R3140" i="29"/>
  <c r="Q3140" i="29"/>
  <c r="V3139" i="29"/>
  <c r="U3139" i="29"/>
  <c r="T3139" i="29"/>
  <c r="R3139" i="29"/>
  <c r="Q3139" i="29"/>
  <c r="V3138" i="29"/>
  <c r="U3138" i="29"/>
  <c r="T3138" i="29"/>
  <c r="R3138" i="29"/>
  <c r="Q3138" i="29"/>
  <c r="V3137" i="29"/>
  <c r="U3137" i="29"/>
  <c r="T3137" i="29"/>
  <c r="R3137" i="29"/>
  <c r="Q3137" i="29"/>
  <c r="V3136" i="29"/>
  <c r="U3136" i="29"/>
  <c r="T3136" i="29"/>
  <c r="R3136" i="29"/>
  <c r="Q3136" i="29"/>
  <c r="V3135" i="29"/>
  <c r="U3135" i="29"/>
  <c r="T3135" i="29"/>
  <c r="R3135" i="29"/>
  <c r="Q3135" i="29"/>
  <c r="V3132" i="29"/>
  <c r="U3132" i="29"/>
  <c r="T3132" i="29"/>
  <c r="R3132" i="29"/>
  <c r="Q3132" i="29"/>
  <c r="V3131" i="29"/>
  <c r="U3131" i="29"/>
  <c r="T3131" i="29"/>
  <c r="R3131" i="29"/>
  <c r="Q3131" i="29"/>
  <c r="V3130" i="29"/>
  <c r="U3130" i="29"/>
  <c r="T3130" i="29"/>
  <c r="R3130" i="29"/>
  <c r="Q3130" i="29"/>
  <c r="V3129" i="29"/>
  <c r="U3129" i="29"/>
  <c r="T3129" i="29"/>
  <c r="R3129" i="29"/>
  <c r="Q3129" i="29"/>
  <c r="V3128" i="29"/>
  <c r="U3128" i="29"/>
  <c r="T3128" i="29"/>
  <c r="R3128" i="29"/>
  <c r="Q3128" i="29"/>
  <c r="V3127" i="29"/>
  <c r="U3127" i="29"/>
  <c r="T3127" i="29"/>
  <c r="R3127" i="29"/>
  <c r="Q3127" i="29"/>
  <c r="V3126" i="29"/>
  <c r="U3126" i="29"/>
  <c r="T3126" i="29"/>
  <c r="R3126" i="29"/>
  <c r="Q3126" i="29"/>
  <c r="V3125" i="29"/>
  <c r="U3125" i="29"/>
  <c r="T3125" i="29"/>
  <c r="R3125" i="29"/>
  <c r="Q3125" i="29"/>
  <c r="V3124" i="29"/>
  <c r="U3124" i="29"/>
  <c r="T3124" i="29"/>
  <c r="R3124" i="29"/>
  <c r="Q3124" i="29"/>
  <c r="V3121" i="29"/>
  <c r="U3121" i="29"/>
  <c r="T3121" i="29"/>
  <c r="R3121" i="29"/>
  <c r="Q3121" i="29"/>
  <c r="V3120" i="29"/>
  <c r="U3120" i="29"/>
  <c r="T3120" i="29"/>
  <c r="R3120" i="29"/>
  <c r="Q3120" i="29"/>
  <c r="V3119" i="29"/>
  <c r="U3119" i="29"/>
  <c r="T3119" i="29"/>
  <c r="R3119" i="29"/>
  <c r="Q3119" i="29"/>
  <c r="V3118" i="29"/>
  <c r="U3118" i="29"/>
  <c r="T3118" i="29"/>
  <c r="R3118" i="29"/>
  <c r="Q3118" i="29"/>
  <c r="V3117" i="29"/>
  <c r="U3117" i="29"/>
  <c r="T3117" i="29"/>
  <c r="R3117" i="29"/>
  <c r="Q3117" i="29"/>
  <c r="V3116" i="29"/>
  <c r="U3116" i="29"/>
  <c r="T3116" i="29"/>
  <c r="R3116" i="29"/>
  <c r="Q3116" i="29"/>
  <c r="V3115" i="29"/>
  <c r="U3115" i="29"/>
  <c r="T3115" i="29"/>
  <c r="R3115" i="29"/>
  <c r="Q3115" i="29"/>
  <c r="V3114" i="29"/>
  <c r="U3114" i="29"/>
  <c r="T3114" i="29"/>
  <c r="R3114" i="29"/>
  <c r="Q3114" i="29"/>
  <c r="V3113" i="29"/>
  <c r="U3113" i="29"/>
  <c r="T3113" i="29"/>
  <c r="R3113" i="29"/>
  <c r="Q3113" i="29"/>
  <c r="V3110" i="29"/>
  <c r="U3110" i="29"/>
  <c r="T3110" i="29"/>
  <c r="R3110" i="29"/>
  <c r="Q3110" i="29"/>
  <c r="V3109" i="29"/>
  <c r="U3109" i="29"/>
  <c r="T3109" i="29"/>
  <c r="R3109" i="29"/>
  <c r="Q3109" i="29"/>
  <c r="V3108" i="29"/>
  <c r="U3108" i="29"/>
  <c r="T3108" i="29"/>
  <c r="R3108" i="29"/>
  <c r="Q3108" i="29"/>
  <c r="V3107" i="29"/>
  <c r="U3107" i="29"/>
  <c r="T3107" i="29"/>
  <c r="R3107" i="29"/>
  <c r="Q3107" i="29"/>
  <c r="V3106" i="29"/>
  <c r="U3106" i="29"/>
  <c r="T3106" i="29"/>
  <c r="R3106" i="29"/>
  <c r="Q3106" i="29"/>
  <c r="V3105" i="29"/>
  <c r="U3105" i="29"/>
  <c r="T3105" i="29"/>
  <c r="R3105" i="29"/>
  <c r="Q3105" i="29"/>
  <c r="V3104" i="29"/>
  <c r="U3104" i="29"/>
  <c r="T3104" i="29"/>
  <c r="R3104" i="29"/>
  <c r="Q3104" i="29"/>
  <c r="V3103" i="29"/>
  <c r="U3103" i="29"/>
  <c r="T3103" i="29"/>
  <c r="R3103" i="29"/>
  <c r="Q3103" i="29"/>
  <c r="V3102" i="29"/>
  <c r="U3102" i="29"/>
  <c r="T3102" i="29"/>
  <c r="R3102" i="29"/>
  <c r="Q3102" i="29"/>
  <c r="V3099" i="29"/>
  <c r="U3099" i="29"/>
  <c r="T3099" i="29"/>
  <c r="R3099" i="29"/>
  <c r="Q3099" i="29"/>
  <c r="V3098" i="29"/>
  <c r="U3098" i="29"/>
  <c r="T3098" i="29"/>
  <c r="R3098" i="29"/>
  <c r="Q3098" i="29"/>
  <c r="V3097" i="29"/>
  <c r="U3097" i="29"/>
  <c r="T3097" i="29"/>
  <c r="R3097" i="29"/>
  <c r="Q3097" i="29"/>
  <c r="V3096" i="29"/>
  <c r="U3096" i="29"/>
  <c r="T3096" i="29"/>
  <c r="R3096" i="29"/>
  <c r="Q3096" i="29"/>
  <c r="V3095" i="29"/>
  <c r="U3095" i="29"/>
  <c r="T3095" i="29"/>
  <c r="R3095" i="29"/>
  <c r="Q3095" i="29"/>
  <c r="V3094" i="29"/>
  <c r="U3094" i="29"/>
  <c r="T3094" i="29"/>
  <c r="R3094" i="29"/>
  <c r="Q3094" i="29"/>
  <c r="V3093" i="29"/>
  <c r="U3093" i="29"/>
  <c r="T3093" i="29"/>
  <c r="R3093" i="29"/>
  <c r="Q3093" i="29"/>
  <c r="V3092" i="29"/>
  <c r="U3092" i="29"/>
  <c r="T3092" i="29"/>
  <c r="R3092" i="29"/>
  <c r="Q3092" i="29"/>
  <c r="V3091" i="29"/>
  <c r="U3091" i="29"/>
  <c r="T3091" i="29"/>
  <c r="R3091" i="29"/>
  <c r="Q3091" i="29"/>
  <c r="V3088" i="29"/>
  <c r="U3088" i="29"/>
  <c r="T3088" i="29"/>
  <c r="R3088" i="29"/>
  <c r="Q3088" i="29"/>
  <c r="V3087" i="29"/>
  <c r="U3087" i="29"/>
  <c r="T3087" i="29"/>
  <c r="R3087" i="29"/>
  <c r="Q3087" i="29"/>
  <c r="V3086" i="29"/>
  <c r="U3086" i="29"/>
  <c r="T3086" i="29"/>
  <c r="R3086" i="29"/>
  <c r="Q3086" i="29"/>
  <c r="V3085" i="29"/>
  <c r="U3085" i="29"/>
  <c r="T3085" i="29"/>
  <c r="R3085" i="29"/>
  <c r="Q3085" i="29"/>
  <c r="V3084" i="29"/>
  <c r="U3084" i="29"/>
  <c r="T3084" i="29"/>
  <c r="R3084" i="29"/>
  <c r="Q3084" i="29"/>
  <c r="V3083" i="29"/>
  <c r="U3083" i="29"/>
  <c r="T3083" i="29"/>
  <c r="R3083" i="29"/>
  <c r="Q3083" i="29"/>
  <c r="V3082" i="29"/>
  <c r="U3082" i="29"/>
  <c r="T3082" i="29"/>
  <c r="R3082" i="29"/>
  <c r="Q3082" i="29"/>
  <c r="V3081" i="29"/>
  <c r="U3081" i="29"/>
  <c r="T3081" i="29"/>
  <c r="R3081" i="29"/>
  <c r="Q3081" i="29"/>
  <c r="V3080" i="29"/>
  <c r="U3080" i="29"/>
  <c r="T3080" i="29"/>
  <c r="R3080" i="29"/>
  <c r="Q3080" i="29"/>
  <c r="V3077" i="29"/>
  <c r="U3077" i="29"/>
  <c r="T3077" i="29"/>
  <c r="R3077" i="29"/>
  <c r="Q3077" i="29"/>
  <c r="V3076" i="29"/>
  <c r="U3076" i="29"/>
  <c r="T3076" i="29"/>
  <c r="R3076" i="29"/>
  <c r="Q3076" i="29"/>
  <c r="V3075" i="29"/>
  <c r="U3075" i="29"/>
  <c r="T3075" i="29"/>
  <c r="R3075" i="29"/>
  <c r="Q3075" i="29"/>
  <c r="V3074" i="29"/>
  <c r="U3074" i="29"/>
  <c r="T3074" i="29"/>
  <c r="R3074" i="29"/>
  <c r="Q3074" i="29"/>
  <c r="V3073" i="29"/>
  <c r="U3073" i="29"/>
  <c r="T3073" i="29"/>
  <c r="R3073" i="29"/>
  <c r="Q3073" i="29"/>
  <c r="V3072" i="29"/>
  <c r="U3072" i="29"/>
  <c r="T3072" i="29"/>
  <c r="R3072" i="29"/>
  <c r="Q3072" i="29"/>
  <c r="V3071" i="29"/>
  <c r="U3071" i="29"/>
  <c r="T3071" i="29"/>
  <c r="R3071" i="29"/>
  <c r="Q3071" i="29"/>
  <c r="V3070" i="29"/>
  <c r="U3070" i="29"/>
  <c r="T3070" i="29"/>
  <c r="R3070" i="29"/>
  <c r="Q3070" i="29"/>
  <c r="V3069" i="29"/>
  <c r="U3069" i="29"/>
  <c r="T3069" i="29"/>
  <c r="R3069" i="29"/>
  <c r="Q3069" i="29"/>
  <c r="V3066" i="29"/>
  <c r="U3066" i="29"/>
  <c r="T3066" i="29"/>
  <c r="R3066" i="29"/>
  <c r="Q3066" i="29"/>
  <c r="V3065" i="29"/>
  <c r="U3065" i="29"/>
  <c r="T3065" i="29"/>
  <c r="R3065" i="29"/>
  <c r="Q3065" i="29"/>
  <c r="V3064" i="29"/>
  <c r="U3064" i="29"/>
  <c r="T3064" i="29"/>
  <c r="R3064" i="29"/>
  <c r="Q3064" i="29"/>
  <c r="V3063" i="29"/>
  <c r="U3063" i="29"/>
  <c r="T3063" i="29"/>
  <c r="R3063" i="29"/>
  <c r="Q3063" i="29"/>
  <c r="V3062" i="29"/>
  <c r="U3062" i="29"/>
  <c r="T3062" i="29"/>
  <c r="R3062" i="29"/>
  <c r="Q3062" i="29"/>
  <c r="V3061" i="29"/>
  <c r="U3061" i="29"/>
  <c r="T3061" i="29"/>
  <c r="R3061" i="29"/>
  <c r="Q3061" i="29"/>
  <c r="V3060" i="29"/>
  <c r="U3060" i="29"/>
  <c r="T3060" i="29"/>
  <c r="R3060" i="29"/>
  <c r="Q3060" i="29"/>
  <c r="V3059" i="29"/>
  <c r="U3059" i="29"/>
  <c r="T3059" i="29"/>
  <c r="R3059" i="29"/>
  <c r="Q3059" i="29"/>
  <c r="V3058" i="29"/>
  <c r="U3058" i="29"/>
  <c r="T3058" i="29"/>
  <c r="R3058" i="29"/>
  <c r="Q3058" i="29"/>
  <c r="V3055" i="29"/>
  <c r="U3055" i="29"/>
  <c r="T3055" i="29"/>
  <c r="R3055" i="29"/>
  <c r="Q3055" i="29"/>
  <c r="V3054" i="29"/>
  <c r="U3054" i="29"/>
  <c r="T3054" i="29"/>
  <c r="R3054" i="29"/>
  <c r="Q3054" i="29"/>
  <c r="V3053" i="29"/>
  <c r="U3053" i="29"/>
  <c r="T3053" i="29"/>
  <c r="R3053" i="29"/>
  <c r="Q3053" i="29"/>
  <c r="V3052" i="29"/>
  <c r="U3052" i="29"/>
  <c r="T3052" i="29"/>
  <c r="R3052" i="29"/>
  <c r="Q3052" i="29"/>
  <c r="V3051" i="29"/>
  <c r="U3051" i="29"/>
  <c r="T3051" i="29"/>
  <c r="R3051" i="29"/>
  <c r="Q3051" i="29"/>
  <c r="V3050" i="29"/>
  <c r="U3050" i="29"/>
  <c r="T3050" i="29"/>
  <c r="R3050" i="29"/>
  <c r="Q3050" i="29"/>
  <c r="V3049" i="29"/>
  <c r="U3049" i="29"/>
  <c r="T3049" i="29"/>
  <c r="R3049" i="29"/>
  <c r="Q3049" i="29"/>
  <c r="V3048" i="29"/>
  <c r="U3048" i="29"/>
  <c r="T3048" i="29"/>
  <c r="R3048" i="29"/>
  <c r="Q3048" i="29"/>
  <c r="V3047" i="29"/>
  <c r="U3047" i="29"/>
  <c r="T3047" i="29"/>
  <c r="R3047" i="29"/>
  <c r="Q3047" i="29"/>
  <c r="V3044" i="29"/>
  <c r="U3044" i="29"/>
  <c r="T3044" i="29"/>
  <c r="R3044" i="29"/>
  <c r="Q3044" i="29"/>
  <c r="V3043" i="29"/>
  <c r="U3043" i="29"/>
  <c r="T3043" i="29"/>
  <c r="R3043" i="29"/>
  <c r="Q3043" i="29"/>
  <c r="V3042" i="29"/>
  <c r="U3042" i="29"/>
  <c r="T3042" i="29"/>
  <c r="R3042" i="29"/>
  <c r="Q3042" i="29"/>
  <c r="V3041" i="29"/>
  <c r="U3041" i="29"/>
  <c r="T3041" i="29"/>
  <c r="R3041" i="29"/>
  <c r="Q3041" i="29"/>
  <c r="V3040" i="29"/>
  <c r="U3040" i="29"/>
  <c r="T3040" i="29"/>
  <c r="R3040" i="29"/>
  <c r="Q3040" i="29"/>
  <c r="V3039" i="29"/>
  <c r="U3039" i="29"/>
  <c r="T3039" i="29"/>
  <c r="R3039" i="29"/>
  <c r="Q3039" i="29"/>
  <c r="V3038" i="29"/>
  <c r="U3038" i="29"/>
  <c r="T3038" i="29"/>
  <c r="R3038" i="29"/>
  <c r="Q3038" i="29"/>
  <c r="V3037" i="29"/>
  <c r="U3037" i="29"/>
  <c r="T3037" i="29"/>
  <c r="R3037" i="29"/>
  <c r="Q3037" i="29"/>
  <c r="V3036" i="29"/>
  <c r="U3036" i="29"/>
  <c r="T3036" i="29"/>
  <c r="R3036" i="29"/>
  <c r="Q3036" i="29"/>
  <c r="V3033" i="29"/>
  <c r="U3033" i="29"/>
  <c r="T3033" i="29"/>
  <c r="R3033" i="29"/>
  <c r="Q3033" i="29"/>
  <c r="V3032" i="29"/>
  <c r="U3032" i="29"/>
  <c r="T3032" i="29"/>
  <c r="R3032" i="29"/>
  <c r="Q3032" i="29"/>
  <c r="V3031" i="29"/>
  <c r="U3031" i="29"/>
  <c r="T3031" i="29"/>
  <c r="R3031" i="29"/>
  <c r="Q3031" i="29"/>
  <c r="V3030" i="29"/>
  <c r="U3030" i="29"/>
  <c r="T3030" i="29"/>
  <c r="R3030" i="29"/>
  <c r="Q3030" i="29"/>
  <c r="V3029" i="29"/>
  <c r="U3029" i="29"/>
  <c r="T3029" i="29"/>
  <c r="R3029" i="29"/>
  <c r="Q3029" i="29"/>
  <c r="V3028" i="29"/>
  <c r="U3028" i="29"/>
  <c r="T3028" i="29"/>
  <c r="R3028" i="29"/>
  <c r="Q3028" i="29"/>
  <c r="V3027" i="29"/>
  <c r="U3027" i="29"/>
  <c r="T3027" i="29"/>
  <c r="R3027" i="29"/>
  <c r="Q3027" i="29"/>
  <c r="V3026" i="29"/>
  <c r="U3026" i="29"/>
  <c r="T3026" i="29"/>
  <c r="R3026" i="29"/>
  <c r="Q3026" i="29"/>
  <c r="V3025" i="29"/>
  <c r="U3025" i="29"/>
  <c r="T3025" i="29"/>
  <c r="R3025" i="29"/>
  <c r="Q3025" i="29"/>
  <c r="V3022" i="29"/>
  <c r="U3022" i="29"/>
  <c r="T3022" i="29"/>
  <c r="R3022" i="29"/>
  <c r="Q3022" i="29"/>
  <c r="V3021" i="29"/>
  <c r="U3021" i="29"/>
  <c r="T3021" i="29"/>
  <c r="R3021" i="29"/>
  <c r="Q3021" i="29"/>
  <c r="V3020" i="29"/>
  <c r="U3020" i="29"/>
  <c r="T3020" i="29"/>
  <c r="R3020" i="29"/>
  <c r="Q3020" i="29"/>
  <c r="V3019" i="29"/>
  <c r="U3019" i="29"/>
  <c r="T3019" i="29"/>
  <c r="R3019" i="29"/>
  <c r="Q3019" i="29"/>
  <c r="V3018" i="29"/>
  <c r="U3018" i="29"/>
  <c r="T3018" i="29"/>
  <c r="R3018" i="29"/>
  <c r="Q3018" i="29"/>
  <c r="V3017" i="29"/>
  <c r="U3017" i="29"/>
  <c r="T3017" i="29"/>
  <c r="R3017" i="29"/>
  <c r="Q3017" i="29"/>
  <c r="V3016" i="29"/>
  <c r="U3016" i="29"/>
  <c r="T3016" i="29"/>
  <c r="R3016" i="29"/>
  <c r="Q3016" i="29"/>
  <c r="V3015" i="29"/>
  <c r="U3015" i="29"/>
  <c r="T3015" i="29"/>
  <c r="R3015" i="29"/>
  <c r="Q3015" i="29"/>
  <c r="V3014" i="29"/>
  <c r="U3014" i="29"/>
  <c r="T3014" i="29"/>
  <c r="R3014" i="29"/>
  <c r="Q3014" i="29"/>
  <c r="V3011" i="29"/>
  <c r="U3011" i="29"/>
  <c r="T3011" i="29"/>
  <c r="R3011" i="29"/>
  <c r="Q3011" i="29"/>
  <c r="V3010" i="29"/>
  <c r="U3010" i="29"/>
  <c r="T3010" i="29"/>
  <c r="R3010" i="29"/>
  <c r="Q3010" i="29"/>
  <c r="V3009" i="29"/>
  <c r="U3009" i="29"/>
  <c r="T3009" i="29"/>
  <c r="R3009" i="29"/>
  <c r="Q3009" i="29"/>
  <c r="V3008" i="29"/>
  <c r="U3008" i="29"/>
  <c r="T3008" i="29"/>
  <c r="R3008" i="29"/>
  <c r="Q3008" i="29"/>
  <c r="V3007" i="29"/>
  <c r="U3007" i="29"/>
  <c r="T3007" i="29"/>
  <c r="R3007" i="29"/>
  <c r="Q3007" i="29"/>
  <c r="V3006" i="29"/>
  <c r="U3006" i="29"/>
  <c r="T3006" i="29"/>
  <c r="R3006" i="29"/>
  <c r="Q3006" i="29"/>
  <c r="V3005" i="29"/>
  <c r="U3005" i="29"/>
  <c r="T3005" i="29"/>
  <c r="R3005" i="29"/>
  <c r="Q3005" i="29"/>
  <c r="V3004" i="29"/>
  <c r="U3004" i="29"/>
  <c r="T3004" i="29"/>
  <c r="R3004" i="29"/>
  <c r="Q3004" i="29"/>
  <c r="V3003" i="29"/>
  <c r="U3003" i="29"/>
  <c r="T3003" i="29"/>
  <c r="R3003" i="29"/>
  <c r="Q3003" i="29"/>
  <c r="V3000" i="29"/>
  <c r="U3000" i="29"/>
  <c r="T3000" i="29"/>
  <c r="R3000" i="29"/>
  <c r="Q3000" i="29"/>
  <c r="V2999" i="29"/>
  <c r="U2999" i="29"/>
  <c r="T2999" i="29"/>
  <c r="R2999" i="29"/>
  <c r="Q2999" i="29"/>
  <c r="V2998" i="29"/>
  <c r="U2998" i="29"/>
  <c r="T2998" i="29"/>
  <c r="R2998" i="29"/>
  <c r="Q2998" i="29"/>
  <c r="V2997" i="29"/>
  <c r="U2997" i="29"/>
  <c r="T2997" i="29"/>
  <c r="R2997" i="29"/>
  <c r="Q2997" i="29"/>
  <c r="V2996" i="29"/>
  <c r="U2996" i="29"/>
  <c r="T2996" i="29"/>
  <c r="R2996" i="29"/>
  <c r="Q2996" i="29"/>
  <c r="V2995" i="29"/>
  <c r="U2995" i="29"/>
  <c r="T2995" i="29"/>
  <c r="R2995" i="29"/>
  <c r="Q2995" i="29"/>
  <c r="V2994" i="29"/>
  <c r="U2994" i="29"/>
  <c r="T2994" i="29"/>
  <c r="R2994" i="29"/>
  <c r="Q2994" i="29"/>
  <c r="V2993" i="29"/>
  <c r="U2993" i="29"/>
  <c r="T2993" i="29"/>
  <c r="R2993" i="29"/>
  <c r="Q2993" i="29"/>
  <c r="V2992" i="29"/>
  <c r="U2992" i="29"/>
  <c r="T2992" i="29"/>
  <c r="R2992" i="29"/>
  <c r="Q2992" i="29"/>
  <c r="V2989" i="29"/>
  <c r="U2989" i="29"/>
  <c r="T2989" i="29"/>
  <c r="R2989" i="29"/>
  <c r="Q2989" i="29"/>
  <c r="V2988" i="29"/>
  <c r="U2988" i="29"/>
  <c r="T2988" i="29"/>
  <c r="R2988" i="29"/>
  <c r="Q2988" i="29"/>
  <c r="V2987" i="29"/>
  <c r="U2987" i="29"/>
  <c r="T2987" i="29"/>
  <c r="R2987" i="29"/>
  <c r="Q2987" i="29"/>
  <c r="V2986" i="29"/>
  <c r="U2986" i="29"/>
  <c r="T2986" i="29"/>
  <c r="R2986" i="29"/>
  <c r="Q2986" i="29"/>
  <c r="V2985" i="29"/>
  <c r="U2985" i="29"/>
  <c r="T2985" i="29"/>
  <c r="R2985" i="29"/>
  <c r="Q2985" i="29"/>
  <c r="V2984" i="29"/>
  <c r="U2984" i="29"/>
  <c r="T2984" i="29"/>
  <c r="R2984" i="29"/>
  <c r="Q2984" i="29"/>
  <c r="V2983" i="29"/>
  <c r="U2983" i="29"/>
  <c r="T2983" i="29"/>
  <c r="R2983" i="29"/>
  <c r="Q2983" i="29"/>
  <c r="V2982" i="29"/>
  <c r="U2982" i="29"/>
  <c r="T2982" i="29"/>
  <c r="R2982" i="29"/>
  <c r="Q2982" i="29"/>
  <c r="V2981" i="29"/>
  <c r="U2981" i="29"/>
  <c r="T2981" i="29"/>
  <c r="R2981" i="29"/>
  <c r="Q2981" i="29"/>
  <c r="V2978" i="29"/>
  <c r="U2978" i="29"/>
  <c r="T2978" i="29"/>
  <c r="R2978" i="29"/>
  <c r="Q2978" i="29"/>
  <c r="V2977" i="29"/>
  <c r="U2977" i="29"/>
  <c r="T2977" i="29"/>
  <c r="R2977" i="29"/>
  <c r="Q2977" i="29"/>
  <c r="V2976" i="29"/>
  <c r="U2976" i="29"/>
  <c r="T2976" i="29"/>
  <c r="R2976" i="29"/>
  <c r="Q2976" i="29"/>
  <c r="V2975" i="29"/>
  <c r="U2975" i="29"/>
  <c r="T2975" i="29"/>
  <c r="R2975" i="29"/>
  <c r="Q2975" i="29"/>
  <c r="V2974" i="29"/>
  <c r="U2974" i="29"/>
  <c r="T2974" i="29"/>
  <c r="R2974" i="29"/>
  <c r="Q2974" i="29"/>
  <c r="V2973" i="29"/>
  <c r="U2973" i="29"/>
  <c r="T2973" i="29"/>
  <c r="R2973" i="29"/>
  <c r="Q2973" i="29"/>
  <c r="V2972" i="29"/>
  <c r="U2972" i="29"/>
  <c r="T2972" i="29"/>
  <c r="R2972" i="29"/>
  <c r="Q2972" i="29"/>
  <c r="V2971" i="29"/>
  <c r="U2971" i="29"/>
  <c r="T2971" i="29"/>
  <c r="R2971" i="29"/>
  <c r="Q2971" i="29"/>
  <c r="V2970" i="29"/>
  <c r="U2970" i="29"/>
  <c r="T2970" i="29"/>
  <c r="R2970" i="29"/>
  <c r="Q2970" i="29"/>
  <c r="V2967" i="29"/>
  <c r="U2967" i="29"/>
  <c r="T2967" i="29"/>
  <c r="R2967" i="29"/>
  <c r="Q2967" i="29"/>
  <c r="V2966" i="29"/>
  <c r="U2966" i="29"/>
  <c r="T2966" i="29"/>
  <c r="R2966" i="29"/>
  <c r="Q2966" i="29"/>
  <c r="V2965" i="29"/>
  <c r="U2965" i="29"/>
  <c r="T2965" i="29"/>
  <c r="R2965" i="29"/>
  <c r="Q2965" i="29"/>
  <c r="V2964" i="29"/>
  <c r="U2964" i="29"/>
  <c r="T2964" i="29"/>
  <c r="R2964" i="29"/>
  <c r="Q2964" i="29"/>
  <c r="V2963" i="29"/>
  <c r="U2963" i="29"/>
  <c r="T2963" i="29"/>
  <c r="R2963" i="29"/>
  <c r="Q2963" i="29"/>
  <c r="V2962" i="29"/>
  <c r="U2962" i="29"/>
  <c r="T2962" i="29"/>
  <c r="R2962" i="29"/>
  <c r="Q2962" i="29"/>
  <c r="V2961" i="29"/>
  <c r="U2961" i="29"/>
  <c r="T2961" i="29"/>
  <c r="R2961" i="29"/>
  <c r="Q2961" i="29"/>
  <c r="V2960" i="29"/>
  <c r="U2960" i="29"/>
  <c r="T2960" i="29"/>
  <c r="R2960" i="29"/>
  <c r="Q2960" i="29"/>
  <c r="V2959" i="29"/>
  <c r="U2959" i="29"/>
  <c r="T2959" i="29"/>
  <c r="R2959" i="29"/>
  <c r="Q2959" i="29"/>
  <c r="V2956" i="29"/>
  <c r="U2956" i="29"/>
  <c r="T2956" i="29"/>
  <c r="R2956" i="29"/>
  <c r="Q2956" i="29"/>
  <c r="V2955" i="29"/>
  <c r="U2955" i="29"/>
  <c r="T2955" i="29"/>
  <c r="R2955" i="29"/>
  <c r="Q2955" i="29"/>
  <c r="V2954" i="29"/>
  <c r="U2954" i="29"/>
  <c r="T2954" i="29"/>
  <c r="R2954" i="29"/>
  <c r="Q2954" i="29"/>
  <c r="V2953" i="29"/>
  <c r="U2953" i="29"/>
  <c r="T2953" i="29"/>
  <c r="R2953" i="29"/>
  <c r="Q2953" i="29"/>
  <c r="V2952" i="29"/>
  <c r="U2952" i="29"/>
  <c r="T2952" i="29"/>
  <c r="R2952" i="29"/>
  <c r="Q2952" i="29"/>
  <c r="V2951" i="29"/>
  <c r="U2951" i="29"/>
  <c r="T2951" i="29"/>
  <c r="R2951" i="29"/>
  <c r="Q2951" i="29"/>
  <c r="V2950" i="29"/>
  <c r="U2950" i="29"/>
  <c r="T2950" i="29"/>
  <c r="R2950" i="29"/>
  <c r="Q2950" i="29"/>
  <c r="V2949" i="29"/>
  <c r="U2949" i="29"/>
  <c r="T2949" i="29"/>
  <c r="R2949" i="29"/>
  <c r="Q2949" i="29"/>
  <c r="V2948" i="29"/>
  <c r="U2948" i="29"/>
  <c r="T2948" i="29"/>
  <c r="R2948" i="29"/>
  <c r="Q2948" i="29"/>
  <c r="V2945" i="29"/>
  <c r="U2945" i="29"/>
  <c r="T2945" i="29"/>
  <c r="R2945" i="29"/>
  <c r="Q2945" i="29"/>
  <c r="V2944" i="29"/>
  <c r="U2944" i="29"/>
  <c r="T2944" i="29"/>
  <c r="R2944" i="29"/>
  <c r="Q2944" i="29"/>
  <c r="V2943" i="29"/>
  <c r="U2943" i="29"/>
  <c r="T2943" i="29"/>
  <c r="R2943" i="29"/>
  <c r="Q2943" i="29"/>
  <c r="V2942" i="29"/>
  <c r="U2942" i="29"/>
  <c r="T2942" i="29"/>
  <c r="R2942" i="29"/>
  <c r="Q2942" i="29"/>
  <c r="V2941" i="29"/>
  <c r="U2941" i="29"/>
  <c r="T2941" i="29"/>
  <c r="R2941" i="29"/>
  <c r="Q2941" i="29"/>
  <c r="V2940" i="29"/>
  <c r="U2940" i="29"/>
  <c r="T2940" i="29"/>
  <c r="R2940" i="29"/>
  <c r="Q2940" i="29"/>
  <c r="V2939" i="29"/>
  <c r="U2939" i="29"/>
  <c r="T2939" i="29"/>
  <c r="R2939" i="29"/>
  <c r="Q2939" i="29"/>
  <c r="V2938" i="29"/>
  <c r="U2938" i="29"/>
  <c r="T2938" i="29"/>
  <c r="R2938" i="29"/>
  <c r="Q2938" i="29"/>
  <c r="V2937" i="29"/>
  <c r="U2937" i="29"/>
  <c r="T2937" i="29"/>
  <c r="R2937" i="29"/>
  <c r="Q2937" i="29"/>
  <c r="V2934" i="29"/>
  <c r="U2934" i="29"/>
  <c r="T2934" i="29"/>
  <c r="R2934" i="29"/>
  <c r="Q2934" i="29"/>
  <c r="V2933" i="29"/>
  <c r="U2933" i="29"/>
  <c r="T2933" i="29"/>
  <c r="R2933" i="29"/>
  <c r="Q2933" i="29"/>
  <c r="V2932" i="29"/>
  <c r="U2932" i="29"/>
  <c r="T2932" i="29"/>
  <c r="R2932" i="29"/>
  <c r="Q2932" i="29"/>
  <c r="V2931" i="29"/>
  <c r="U2931" i="29"/>
  <c r="T2931" i="29"/>
  <c r="R2931" i="29"/>
  <c r="Q2931" i="29"/>
  <c r="V2930" i="29"/>
  <c r="U2930" i="29"/>
  <c r="T2930" i="29"/>
  <c r="R2930" i="29"/>
  <c r="Q2930" i="29"/>
  <c r="V2929" i="29"/>
  <c r="U2929" i="29"/>
  <c r="T2929" i="29"/>
  <c r="R2929" i="29"/>
  <c r="Q2929" i="29"/>
  <c r="V2928" i="29"/>
  <c r="U2928" i="29"/>
  <c r="T2928" i="29"/>
  <c r="R2928" i="29"/>
  <c r="Q2928" i="29"/>
  <c r="V2927" i="29"/>
  <c r="U2927" i="29"/>
  <c r="T2927" i="29"/>
  <c r="R2927" i="29"/>
  <c r="Q2927" i="29"/>
  <c r="V2926" i="29"/>
  <c r="U2926" i="29"/>
  <c r="T2926" i="29"/>
  <c r="R2926" i="29"/>
  <c r="Q2926" i="29"/>
  <c r="V2923" i="29"/>
  <c r="U2923" i="29"/>
  <c r="T2923" i="29"/>
  <c r="R2923" i="29"/>
  <c r="Q2923" i="29"/>
  <c r="V2922" i="29"/>
  <c r="U2922" i="29"/>
  <c r="T2922" i="29"/>
  <c r="R2922" i="29"/>
  <c r="Q2922" i="29"/>
  <c r="V2921" i="29"/>
  <c r="U2921" i="29"/>
  <c r="T2921" i="29"/>
  <c r="R2921" i="29"/>
  <c r="Q2921" i="29"/>
  <c r="V2920" i="29"/>
  <c r="U2920" i="29"/>
  <c r="T2920" i="29"/>
  <c r="R2920" i="29"/>
  <c r="Q2920" i="29"/>
  <c r="V2919" i="29"/>
  <c r="U2919" i="29"/>
  <c r="T2919" i="29"/>
  <c r="R2919" i="29"/>
  <c r="Q2919" i="29"/>
  <c r="V2918" i="29"/>
  <c r="U2918" i="29"/>
  <c r="T2918" i="29"/>
  <c r="R2918" i="29"/>
  <c r="Q2918" i="29"/>
  <c r="V2917" i="29"/>
  <c r="U2917" i="29"/>
  <c r="T2917" i="29"/>
  <c r="R2917" i="29"/>
  <c r="Q2917" i="29"/>
  <c r="V2916" i="29"/>
  <c r="U2916" i="29"/>
  <c r="T2916" i="29"/>
  <c r="R2916" i="29"/>
  <c r="Q2916" i="29"/>
  <c r="V2915" i="29"/>
  <c r="U2915" i="29"/>
  <c r="T2915" i="29"/>
  <c r="R2915" i="29"/>
  <c r="Q2915" i="29"/>
  <c r="V2912" i="29"/>
  <c r="U2912" i="29"/>
  <c r="T2912" i="29"/>
  <c r="R2912" i="29"/>
  <c r="Q2912" i="29"/>
  <c r="V2911" i="29"/>
  <c r="U2911" i="29"/>
  <c r="T2911" i="29"/>
  <c r="R2911" i="29"/>
  <c r="Q2911" i="29"/>
  <c r="V2910" i="29"/>
  <c r="U2910" i="29"/>
  <c r="T2910" i="29"/>
  <c r="R2910" i="29"/>
  <c r="Q2910" i="29"/>
  <c r="V2909" i="29"/>
  <c r="U2909" i="29"/>
  <c r="T2909" i="29"/>
  <c r="R2909" i="29"/>
  <c r="Q2909" i="29"/>
  <c r="V2908" i="29"/>
  <c r="U2908" i="29"/>
  <c r="T2908" i="29"/>
  <c r="R2908" i="29"/>
  <c r="Q2908" i="29"/>
  <c r="V2907" i="29"/>
  <c r="U2907" i="29"/>
  <c r="T2907" i="29"/>
  <c r="R2907" i="29"/>
  <c r="Q2907" i="29"/>
  <c r="V2906" i="29"/>
  <c r="U2906" i="29"/>
  <c r="T2906" i="29"/>
  <c r="R2906" i="29"/>
  <c r="Q2906" i="29"/>
  <c r="V2905" i="29"/>
  <c r="U2905" i="29"/>
  <c r="T2905" i="29"/>
  <c r="R2905" i="29"/>
  <c r="Q2905" i="29"/>
  <c r="V2904" i="29"/>
  <c r="U2904" i="29"/>
  <c r="T2904" i="29"/>
  <c r="R2904" i="29"/>
  <c r="Q2904" i="29"/>
  <c r="V2901" i="29"/>
  <c r="U2901" i="29"/>
  <c r="T2901" i="29"/>
  <c r="R2901" i="29"/>
  <c r="Q2901" i="29"/>
  <c r="V2900" i="29"/>
  <c r="U2900" i="29"/>
  <c r="T2900" i="29"/>
  <c r="R2900" i="29"/>
  <c r="Q2900" i="29"/>
  <c r="V2899" i="29"/>
  <c r="U2899" i="29"/>
  <c r="T2899" i="29"/>
  <c r="R2899" i="29"/>
  <c r="Q2899" i="29"/>
  <c r="V2898" i="29"/>
  <c r="U2898" i="29"/>
  <c r="T2898" i="29"/>
  <c r="R2898" i="29"/>
  <c r="Q2898" i="29"/>
  <c r="V2897" i="29"/>
  <c r="U2897" i="29"/>
  <c r="T2897" i="29"/>
  <c r="R2897" i="29"/>
  <c r="Q2897" i="29"/>
  <c r="V2896" i="29"/>
  <c r="U2896" i="29"/>
  <c r="T2896" i="29"/>
  <c r="R2896" i="29"/>
  <c r="Q2896" i="29"/>
  <c r="V2895" i="29"/>
  <c r="U2895" i="29"/>
  <c r="T2895" i="29"/>
  <c r="R2895" i="29"/>
  <c r="Q2895" i="29"/>
  <c r="V2894" i="29"/>
  <c r="U2894" i="29"/>
  <c r="T2894" i="29"/>
  <c r="R2894" i="29"/>
  <c r="Q2894" i="29"/>
  <c r="V2893" i="29"/>
  <c r="U2893" i="29"/>
  <c r="T2893" i="29"/>
  <c r="R2893" i="29"/>
  <c r="Q2893" i="29"/>
  <c r="V2890" i="29"/>
  <c r="U2890" i="29"/>
  <c r="T2890" i="29"/>
  <c r="R2890" i="29"/>
  <c r="Q2890" i="29"/>
  <c r="V2889" i="29"/>
  <c r="U2889" i="29"/>
  <c r="T2889" i="29"/>
  <c r="R2889" i="29"/>
  <c r="Q2889" i="29"/>
  <c r="V2888" i="29"/>
  <c r="U2888" i="29"/>
  <c r="T2888" i="29"/>
  <c r="R2888" i="29"/>
  <c r="Q2888" i="29"/>
  <c r="V2887" i="29"/>
  <c r="U2887" i="29"/>
  <c r="T2887" i="29"/>
  <c r="R2887" i="29"/>
  <c r="Q2887" i="29"/>
  <c r="V2886" i="29"/>
  <c r="U2886" i="29"/>
  <c r="T2886" i="29"/>
  <c r="R2886" i="29"/>
  <c r="Q2886" i="29"/>
  <c r="V2885" i="29"/>
  <c r="U2885" i="29"/>
  <c r="T2885" i="29"/>
  <c r="R2885" i="29"/>
  <c r="Q2885" i="29"/>
  <c r="V2884" i="29"/>
  <c r="U2884" i="29"/>
  <c r="T2884" i="29"/>
  <c r="R2884" i="29"/>
  <c r="Q2884" i="29"/>
  <c r="V2883" i="29"/>
  <c r="U2883" i="29"/>
  <c r="T2883" i="29"/>
  <c r="R2883" i="29"/>
  <c r="Q2883" i="29"/>
  <c r="V2882" i="29"/>
  <c r="U2882" i="29"/>
  <c r="T2882" i="29"/>
  <c r="R2882" i="29"/>
  <c r="Q2882" i="29"/>
  <c r="V2879" i="29"/>
  <c r="U2879" i="29"/>
  <c r="T2879" i="29"/>
  <c r="R2879" i="29"/>
  <c r="Q2879" i="29"/>
  <c r="V2878" i="29"/>
  <c r="U2878" i="29"/>
  <c r="T2878" i="29"/>
  <c r="R2878" i="29"/>
  <c r="Q2878" i="29"/>
  <c r="V2877" i="29"/>
  <c r="U2877" i="29"/>
  <c r="T2877" i="29"/>
  <c r="R2877" i="29"/>
  <c r="Q2877" i="29"/>
  <c r="V2876" i="29"/>
  <c r="U2876" i="29"/>
  <c r="T2876" i="29"/>
  <c r="R2876" i="29"/>
  <c r="Q2876" i="29"/>
  <c r="V2875" i="29"/>
  <c r="U2875" i="29"/>
  <c r="T2875" i="29"/>
  <c r="R2875" i="29"/>
  <c r="Q2875" i="29"/>
  <c r="V2874" i="29"/>
  <c r="U2874" i="29"/>
  <c r="T2874" i="29"/>
  <c r="R2874" i="29"/>
  <c r="Q2874" i="29"/>
  <c r="V2873" i="29"/>
  <c r="U2873" i="29"/>
  <c r="T2873" i="29"/>
  <c r="R2873" i="29"/>
  <c r="Q2873" i="29"/>
  <c r="V2872" i="29"/>
  <c r="U2872" i="29"/>
  <c r="T2872" i="29"/>
  <c r="R2872" i="29"/>
  <c r="Q2872" i="29"/>
  <c r="V2871" i="29"/>
  <c r="U2871" i="29"/>
  <c r="T2871" i="29"/>
  <c r="R2871" i="29"/>
  <c r="Q2871" i="29"/>
  <c r="V2868" i="29"/>
  <c r="U2868" i="29"/>
  <c r="T2868" i="29"/>
  <c r="R2868" i="29"/>
  <c r="Q2868" i="29"/>
  <c r="V2867" i="29"/>
  <c r="U2867" i="29"/>
  <c r="T2867" i="29"/>
  <c r="R2867" i="29"/>
  <c r="Q2867" i="29"/>
  <c r="V2866" i="29"/>
  <c r="U2866" i="29"/>
  <c r="T2866" i="29"/>
  <c r="R2866" i="29"/>
  <c r="Q2866" i="29"/>
  <c r="V2865" i="29"/>
  <c r="U2865" i="29"/>
  <c r="T2865" i="29"/>
  <c r="R2865" i="29"/>
  <c r="Q2865" i="29"/>
  <c r="V2864" i="29"/>
  <c r="U2864" i="29"/>
  <c r="T2864" i="29"/>
  <c r="R2864" i="29"/>
  <c r="Q2864" i="29"/>
  <c r="V2863" i="29"/>
  <c r="U2863" i="29"/>
  <c r="T2863" i="29"/>
  <c r="R2863" i="29"/>
  <c r="Q2863" i="29"/>
  <c r="V2862" i="29"/>
  <c r="U2862" i="29"/>
  <c r="T2862" i="29"/>
  <c r="R2862" i="29"/>
  <c r="Q2862" i="29"/>
  <c r="V2861" i="29"/>
  <c r="U2861" i="29"/>
  <c r="T2861" i="29"/>
  <c r="R2861" i="29"/>
  <c r="Q2861" i="29"/>
  <c r="V2860" i="29"/>
  <c r="U2860" i="29"/>
  <c r="T2860" i="29"/>
  <c r="R2860" i="29"/>
  <c r="Q2860" i="29"/>
  <c r="V2857" i="29"/>
  <c r="U2857" i="29"/>
  <c r="T2857" i="29"/>
  <c r="R2857" i="29"/>
  <c r="Q2857" i="29"/>
  <c r="V2856" i="29"/>
  <c r="U2856" i="29"/>
  <c r="T2856" i="29"/>
  <c r="R2856" i="29"/>
  <c r="Q2856" i="29"/>
  <c r="V2855" i="29"/>
  <c r="U2855" i="29"/>
  <c r="T2855" i="29"/>
  <c r="R2855" i="29"/>
  <c r="Q2855" i="29"/>
  <c r="V2854" i="29"/>
  <c r="U2854" i="29"/>
  <c r="T2854" i="29"/>
  <c r="R2854" i="29"/>
  <c r="Q2854" i="29"/>
  <c r="V2853" i="29"/>
  <c r="U2853" i="29"/>
  <c r="T2853" i="29"/>
  <c r="R2853" i="29"/>
  <c r="Q2853" i="29"/>
  <c r="V2852" i="29"/>
  <c r="U2852" i="29"/>
  <c r="T2852" i="29"/>
  <c r="R2852" i="29"/>
  <c r="Q2852" i="29"/>
  <c r="V2851" i="29"/>
  <c r="U2851" i="29"/>
  <c r="T2851" i="29"/>
  <c r="R2851" i="29"/>
  <c r="Q2851" i="29"/>
  <c r="V2850" i="29"/>
  <c r="U2850" i="29"/>
  <c r="T2850" i="29"/>
  <c r="R2850" i="29"/>
  <c r="Q2850" i="29"/>
  <c r="V2849" i="29"/>
  <c r="U2849" i="29"/>
  <c r="T2849" i="29"/>
  <c r="R2849" i="29"/>
  <c r="Q2849" i="29"/>
  <c r="V2846" i="29"/>
  <c r="U2846" i="29"/>
  <c r="T2846" i="29"/>
  <c r="R2846" i="29"/>
  <c r="Q2846" i="29"/>
  <c r="V2845" i="29"/>
  <c r="U2845" i="29"/>
  <c r="T2845" i="29"/>
  <c r="R2845" i="29"/>
  <c r="Q2845" i="29"/>
  <c r="V2844" i="29"/>
  <c r="U2844" i="29"/>
  <c r="T2844" i="29"/>
  <c r="R2844" i="29"/>
  <c r="Q2844" i="29"/>
  <c r="V2843" i="29"/>
  <c r="U2843" i="29"/>
  <c r="T2843" i="29"/>
  <c r="R2843" i="29"/>
  <c r="Q2843" i="29"/>
  <c r="V2842" i="29"/>
  <c r="U2842" i="29"/>
  <c r="T2842" i="29"/>
  <c r="R2842" i="29"/>
  <c r="Q2842" i="29"/>
  <c r="V2841" i="29"/>
  <c r="U2841" i="29"/>
  <c r="T2841" i="29"/>
  <c r="R2841" i="29"/>
  <c r="Q2841" i="29"/>
  <c r="V2840" i="29"/>
  <c r="U2840" i="29"/>
  <c r="T2840" i="29"/>
  <c r="R2840" i="29"/>
  <c r="Q2840" i="29"/>
  <c r="V2839" i="29"/>
  <c r="U2839" i="29"/>
  <c r="T2839" i="29"/>
  <c r="R2839" i="29"/>
  <c r="Q2839" i="29"/>
  <c r="V2838" i="29"/>
  <c r="U2838" i="29"/>
  <c r="T2838" i="29"/>
  <c r="R2838" i="29"/>
  <c r="Q2838" i="29"/>
  <c r="V2835" i="29"/>
  <c r="U2835" i="29"/>
  <c r="T2835" i="29"/>
  <c r="R2835" i="29"/>
  <c r="Q2835" i="29"/>
  <c r="V2834" i="29"/>
  <c r="U2834" i="29"/>
  <c r="T2834" i="29"/>
  <c r="R2834" i="29"/>
  <c r="Q2834" i="29"/>
  <c r="V2833" i="29"/>
  <c r="U2833" i="29"/>
  <c r="T2833" i="29"/>
  <c r="R2833" i="29"/>
  <c r="Q2833" i="29"/>
  <c r="V2832" i="29"/>
  <c r="U2832" i="29"/>
  <c r="T2832" i="29"/>
  <c r="R2832" i="29"/>
  <c r="Q2832" i="29"/>
  <c r="V2831" i="29"/>
  <c r="U2831" i="29"/>
  <c r="T2831" i="29"/>
  <c r="R2831" i="29"/>
  <c r="Q2831" i="29"/>
  <c r="V2830" i="29"/>
  <c r="U2830" i="29"/>
  <c r="T2830" i="29"/>
  <c r="R2830" i="29"/>
  <c r="Q2830" i="29"/>
  <c r="V2829" i="29"/>
  <c r="U2829" i="29"/>
  <c r="T2829" i="29"/>
  <c r="R2829" i="29"/>
  <c r="Q2829" i="29"/>
  <c r="V2828" i="29"/>
  <c r="U2828" i="29"/>
  <c r="T2828" i="29"/>
  <c r="R2828" i="29"/>
  <c r="Q2828" i="29"/>
  <c r="V2827" i="29"/>
  <c r="U2827" i="29"/>
  <c r="T2827" i="29"/>
  <c r="R2827" i="29"/>
  <c r="Q2827" i="29"/>
  <c r="V2824" i="29"/>
  <c r="U2824" i="29"/>
  <c r="T2824" i="29"/>
  <c r="R2824" i="29"/>
  <c r="Q2824" i="29"/>
  <c r="V2823" i="29"/>
  <c r="U2823" i="29"/>
  <c r="T2823" i="29"/>
  <c r="R2823" i="29"/>
  <c r="Q2823" i="29"/>
  <c r="V2822" i="29"/>
  <c r="U2822" i="29"/>
  <c r="T2822" i="29"/>
  <c r="R2822" i="29"/>
  <c r="Q2822" i="29"/>
  <c r="V2821" i="29"/>
  <c r="U2821" i="29"/>
  <c r="T2821" i="29"/>
  <c r="R2821" i="29"/>
  <c r="Q2821" i="29"/>
  <c r="V2820" i="29"/>
  <c r="U2820" i="29"/>
  <c r="T2820" i="29"/>
  <c r="R2820" i="29"/>
  <c r="Q2820" i="29"/>
  <c r="V2819" i="29"/>
  <c r="U2819" i="29"/>
  <c r="T2819" i="29"/>
  <c r="R2819" i="29"/>
  <c r="Q2819" i="29"/>
  <c r="V2818" i="29"/>
  <c r="U2818" i="29"/>
  <c r="T2818" i="29"/>
  <c r="R2818" i="29"/>
  <c r="Q2818" i="29"/>
  <c r="V2817" i="29"/>
  <c r="U2817" i="29"/>
  <c r="T2817" i="29"/>
  <c r="R2817" i="29"/>
  <c r="Q2817" i="29"/>
  <c r="V2816" i="29"/>
  <c r="U2816" i="29"/>
  <c r="T2816" i="29"/>
  <c r="R2816" i="29"/>
  <c r="Q2816" i="29"/>
  <c r="V2813" i="29"/>
  <c r="U2813" i="29"/>
  <c r="T2813" i="29"/>
  <c r="R2813" i="29"/>
  <c r="Q2813" i="29"/>
  <c r="V2812" i="29"/>
  <c r="U2812" i="29"/>
  <c r="T2812" i="29"/>
  <c r="R2812" i="29"/>
  <c r="Q2812" i="29"/>
  <c r="V2811" i="29"/>
  <c r="U2811" i="29"/>
  <c r="T2811" i="29"/>
  <c r="R2811" i="29"/>
  <c r="Q2811" i="29"/>
  <c r="V2810" i="29"/>
  <c r="U2810" i="29"/>
  <c r="T2810" i="29"/>
  <c r="R2810" i="29"/>
  <c r="Q2810" i="29"/>
  <c r="V2809" i="29"/>
  <c r="U2809" i="29"/>
  <c r="T2809" i="29"/>
  <c r="R2809" i="29"/>
  <c r="Q2809" i="29"/>
  <c r="V2808" i="29"/>
  <c r="U2808" i="29"/>
  <c r="T2808" i="29"/>
  <c r="R2808" i="29"/>
  <c r="Q2808" i="29"/>
  <c r="V2807" i="29"/>
  <c r="U2807" i="29"/>
  <c r="T2807" i="29"/>
  <c r="R2807" i="29"/>
  <c r="Q2807" i="29"/>
  <c r="V2806" i="29"/>
  <c r="U2806" i="29"/>
  <c r="T2806" i="29"/>
  <c r="R2806" i="29"/>
  <c r="Q2806" i="29"/>
  <c r="V2805" i="29"/>
  <c r="U2805" i="29"/>
  <c r="T2805" i="29"/>
  <c r="R2805" i="29"/>
  <c r="Q2805" i="29"/>
  <c r="V2802" i="29"/>
  <c r="U2802" i="29"/>
  <c r="T2802" i="29"/>
  <c r="R2802" i="29"/>
  <c r="Q2802" i="29"/>
  <c r="V2801" i="29"/>
  <c r="U2801" i="29"/>
  <c r="T2801" i="29"/>
  <c r="R2801" i="29"/>
  <c r="Q2801" i="29"/>
  <c r="V2800" i="29"/>
  <c r="U2800" i="29"/>
  <c r="T2800" i="29"/>
  <c r="R2800" i="29"/>
  <c r="Q2800" i="29"/>
  <c r="V2799" i="29"/>
  <c r="U2799" i="29"/>
  <c r="T2799" i="29"/>
  <c r="R2799" i="29"/>
  <c r="Q2799" i="29"/>
  <c r="V2798" i="29"/>
  <c r="U2798" i="29"/>
  <c r="T2798" i="29"/>
  <c r="R2798" i="29"/>
  <c r="Q2798" i="29"/>
  <c r="V2797" i="29"/>
  <c r="U2797" i="29"/>
  <c r="T2797" i="29"/>
  <c r="R2797" i="29"/>
  <c r="Q2797" i="29"/>
  <c r="V2796" i="29"/>
  <c r="U2796" i="29"/>
  <c r="T2796" i="29"/>
  <c r="R2796" i="29"/>
  <c r="Q2796" i="29"/>
  <c r="V2795" i="29"/>
  <c r="U2795" i="29"/>
  <c r="T2795" i="29"/>
  <c r="R2795" i="29"/>
  <c r="Q2795" i="29"/>
  <c r="V2794" i="29"/>
  <c r="U2794" i="29"/>
  <c r="T2794" i="29"/>
  <c r="R2794" i="29"/>
  <c r="Q2794" i="29"/>
  <c r="V2791" i="29"/>
  <c r="U2791" i="29"/>
  <c r="T2791" i="29"/>
  <c r="R2791" i="29"/>
  <c r="Q2791" i="29"/>
  <c r="V2790" i="29"/>
  <c r="U2790" i="29"/>
  <c r="T2790" i="29"/>
  <c r="R2790" i="29"/>
  <c r="Q2790" i="29"/>
  <c r="V2789" i="29"/>
  <c r="U2789" i="29"/>
  <c r="T2789" i="29"/>
  <c r="R2789" i="29"/>
  <c r="Q2789" i="29"/>
  <c r="V2788" i="29"/>
  <c r="U2788" i="29"/>
  <c r="T2788" i="29"/>
  <c r="R2788" i="29"/>
  <c r="Q2788" i="29"/>
  <c r="V2787" i="29"/>
  <c r="U2787" i="29"/>
  <c r="T2787" i="29"/>
  <c r="R2787" i="29"/>
  <c r="Q2787" i="29"/>
  <c r="V2786" i="29"/>
  <c r="U2786" i="29"/>
  <c r="T2786" i="29"/>
  <c r="R2786" i="29"/>
  <c r="Q2786" i="29"/>
  <c r="V2785" i="29"/>
  <c r="U2785" i="29"/>
  <c r="T2785" i="29"/>
  <c r="R2785" i="29"/>
  <c r="Q2785" i="29"/>
  <c r="V2784" i="29"/>
  <c r="U2784" i="29"/>
  <c r="T2784" i="29"/>
  <c r="R2784" i="29"/>
  <c r="Q2784" i="29"/>
  <c r="V2783" i="29"/>
  <c r="U2783" i="29"/>
  <c r="T2783" i="29"/>
  <c r="R2783" i="29"/>
  <c r="Q2783" i="29"/>
  <c r="V2780" i="29"/>
  <c r="U2780" i="29"/>
  <c r="T2780" i="29"/>
  <c r="R2780" i="29"/>
  <c r="Q2780" i="29"/>
  <c r="V2779" i="29"/>
  <c r="U2779" i="29"/>
  <c r="T2779" i="29"/>
  <c r="R2779" i="29"/>
  <c r="Q2779" i="29"/>
  <c r="V2778" i="29"/>
  <c r="U2778" i="29"/>
  <c r="T2778" i="29"/>
  <c r="R2778" i="29"/>
  <c r="Q2778" i="29"/>
  <c r="V2777" i="29"/>
  <c r="U2777" i="29"/>
  <c r="T2777" i="29"/>
  <c r="R2777" i="29"/>
  <c r="Q2777" i="29"/>
  <c r="V2776" i="29"/>
  <c r="U2776" i="29"/>
  <c r="T2776" i="29"/>
  <c r="R2776" i="29"/>
  <c r="Q2776" i="29"/>
  <c r="V2775" i="29"/>
  <c r="U2775" i="29"/>
  <c r="T2775" i="29"/>
  <c r="R2775" i="29"/>
  <c r="Q2775" i="29"/>
  <c r="V2774" i="29"/>
  <c r="U2774" i="29"/>
  <c r="T2774" i="29"/>
  <c r="R2774" i="29"/>
  <c r="Q2774" i="29"/>
  <c r="V2773" i="29"/>
  <c r="U2773" i="29"/>
  <c r="T2773" i="29"/>
  <c r="R2773" i="29"/>
  <c r="Q2773" i="29"/>
  <c r="V2772" i="29"/>
  <c r="U2772" i="29"/>
  <c r="T2772" i="29"/>
  <c r="R2772" i="29"/>
  <c r="Q2772" i="29"/>
  <c r="V2769" i="29"/>
  <c r="U2769" i="29"/>
  <c r="T2769" i="29"/>
  <c r="R2769" i="29"/>
  <c r="Q2769" i="29"/>
  <c r="V2768" i="29"/>
  <c r="U2768" i="29"/>
  <c r="T2768" i="29"/>
  <c r="R2768" i="29"/>
  <c r="Q2768" i="29"/>
  <c r="V2767" i="29"/>
  <c r="U2767" i="29"/>
  <c r="T2767" i="29"/>
  <c r="R2767" i="29"/>
  <c r="Q2767" i="29"/>
  <c r="V2766" i="29"/>
  <c r="U2766" i="29"/>
  <c r="T2766" i="29"/>
  <c r="R2766" i="29"/>
  <c r="Q2766" i="29"/>
  <c r="V2765" i="29"/>
  <c r="U2765" i="29"/>
  <c r="T2765" i="29"/>
  <c r="R2765" i="29"/>
  <c r="Q2765" i="29"/>
  <c r="V2764" i="29"/>
  <c r="U2764" i="29"/>
  <c r="T2764" i="29"/>
  <c r="R2764" i="29"/>
  <c r="Q2764" i="29"/>
  <c r="V2763" i="29"/>
  <c r="U2763" i="29"/>
  <c r="T2763" i="29"/>
  <c r="R2763" i="29"/>
  <c r="Q2763" i="29"/>
  <c r="V2762" i="29"/>
  <c r="U2762" i="29"/>
  <c r="T2762" i="29"/>
  <c r="R2762" i="29"/>
  <c r="Q2762" i="29"/>
  <c r="V2761" i="29"/>
  <c r="U2761" i="29"/>
  <c r="T2761" i="29"/>
  <c r="R2761" i="29"/>
  <c r="Q2761" i="29"/>
  <c r="V2758" i="29"/>
  <c r="U2758" i="29"/>
  <c r="T2758" i="29"/>
  <c r="R2758" i="29"/>
  <c r="Q2758" i="29"/>
  <c r="V2757" i="29"/>
  <c r="U2757" i="29"/>
  <c r="T2757" i="29"/>
  <c r="R2757" i="29"/>
  <c r="Q2757" i="29"/>
  <c r="V2756" i="29"/>
  <c r="U2756" i="29"/>
  <c r="T2756" i="29"/>
  <c r="R2756" i="29"/>
  <c r="Q2756" i="29"/>
  <c r="V2755" i="29"/>
  <c r="U2755" i="29"/>
  <c r="T2755" i="29"/>
  <c r="R2755" i="29"/>
  <c r="Q2755" i="29"/>
  <c r="V2754" i="29"/>
  <c r="U2754" i="29"/>
  <c r="T2754" i="29"/>
  <c r="R2754" i="29"/>
  <c r="Q2754" i="29"/>
  <c r="V2753" i="29"/>
  <c r="U2753" i="29"/>
  <c r="T2753" i="29"/>
  <c r="R2753" i="29"/>
  <c r="Q2753" i="29"/>
  <c r="V2752" i="29"/>
  <c r="U2752" i="29"/>
  <c r="T2752" i="29"/>
  <c r="R2752" i="29"/>
  <c r="Q2752" i="29"/>
  <c r="V2751" i="29"/>
  <c r="U2751" i="29"/>
  <c r="T2751" i="29"/>
  <c r="R2751" i="29"/>
  <c r="Q2751" i="29"/>
  <c r="V2750" i="29"/>
  <c r="U2750" i="29"/>
  <c r="T2750" i="29"/>
  <c r="R2750" i="29"/>
  <c r="Q2750" i="29"/>
  <c r="V2747" i="29"/>
  <c r="U2747" i="29"/>
  <c r="T2747" i="29"/>
  <c r="R2747" i="29"/>
  <c r="Q2747" i="29"/>
  <c r="V2746" i="29"/>
  <c r="U2746" i="29"/>
  <c r="T2746" i="29"/>
  <c r="R2746" i="29"/>
  <c r="Q2746" i="29"/>
  <c r="V2745" i="29"/>
  <c r="U2745" i="29"/>
  <c r="T2745" i="29"/>
  <c r="R2745" i="29"/>
  <c r="Q2745" i="29"/>
  <c r="V2744" i="29"/>
  <c r="U2744" i="29"/>
  <c r="T2744" i="29"/>
  <c r="R2744" i="29"/>
  <c r="Q2744" i="29"/>
  <c r="V2743" i="29"/>
  <c r="U2743" i="29"/>
  <c r="T2743" i="29"/>
  <c r="R2743" i="29"/>
  <c r="Q2743" i="29"/>
  <c r="V2742" i="29"/>
  <c r="U2742" i="29"/>
  <c r="T2742" i="29"/>
  <c r="R2742" i="29"/>
  <c r="Q2742" i="29"/>
  <c r="V2741" i="29"/>
  <c r="U2741" i="29"/>
  <c r="T2741" i="29"/>
  <c r="R2741" i="29"/>
  <c r="Q2741" i="29"/>
  <c r="V2740" i="29"/>
  <c r="U2740" i="29"/>
  <c r="T2740" i="29"/>
  <c r="R2740" i="29"/>
  <c r="Q2740" i="29"/>
  <c r="V2739" i="29"/>
  <c r="U2739" i="29"/>
  <c r="T2739" i="29"/>
  <c r="R2739" i="29"/>
  <c r="Q2739" i="29"/>
  <c r="V2736" i="29"/>
  <c r="U2736" i="29"/>
  <c r="T2736" i="29"/>
  <c r="R2736" i="29"/>
  <c r="Q2736" i="29"/>
  <c r="V2735" i="29"/>
  <c r="U2735" i="29"/>
  <c r="T2735" i="29"/>
  <c r="R2735" i="29"/>
  <c r="Q2735" i="29"/>
  <c r="V2734" i="29"/>
  <c r="U2734" i="29"/>
  <c r="T2734" i="29"/>
  <c r="R2734" i="29"/>
  <c r="Q2734" i="29"/>
  <c r="V2733" i="29"/>
  <c r="U2733" i="29"/>
  <c r="T2733" i="29"/>
  <c r="R2733" i="29"/>
  <c r="Q2733" i="29"/>
  <c r="V2732" i="29"/>
  <c r="U2732" i="29"/>
  <c r="T2732" i="29"/>
  <c r="R2732" i="29"/>
  <c r="Q2732" i="29"/>
  <c r="V2731" i="29"/>
  <c r="U2731" i="29"/>
  <c r="T2731" i="29"/>
  <c r="R2731" i="29"/>
  <c r="Q2731" i="29"/>
  <c r="V2730" i="29"/>
  <c r="U2730" i="29"/>
  <c r="T2730" i="29"/>
  <c r="R2730" i="29"/>
  <c r="Q2730" i="29"/>
  <c r="V2729" i="29"/>
  <c r="U2729" i="29"/>
  <c r="T2729" i="29"/>
  <c r="R2729" i="29"/>
  <c r="Q2729" i="29"/>
  <c r="V2728" i="29"/>
  <c r="U2728" i="29"/>
  <c r="T2728" i="29"/>
  <c r="R2728" i="29"/>
  <c r="Q2728" i="29"/>
  <c r="V2725" i="29"/>
  <c r="U2725" i="29"/>
  <c r="T2725" i="29"/>
  <c r="R2725" i="29"/>
  <c r="Q2725" i="29"/>
  <c r="V2724" i="29"/>
  <c r="U2724" i="29"/>
  <c r="T2724" i="29"/>
  <c r="R2724" i="29"/>
  <c r="Q2724" i="29"/>
  <c r="V2723" i="29"/>
  <c r="U2723" i="29"/>
  <c r="T2723" i="29"/>
  <c r="R2723" i="29"/>
  <c r="Q2723" i="29"/>
  <c r="V2722" i="29"/>
  <c r="U2722" i="29"/>
  <c r="T2722" i="29"/>
  <c r="R2722" i="29"/>
  <c r="Q2722" i="29"/>
  <c r="V2721" i="29"/>
  <c r="U2721" i="29"/>
  <c r="T2721" i="29"/>
  <c r="R2721" i="29"/>
  <c r="Q2721" i="29"/>
  <c r="V2720" i="29"/>
  <c r="U2720" i="29"/>
  <c r="T2720" i="29"/>
  <c r="R2720" i="29"/>
  <c r="Q2720" i="29"/>
  <c r="V2719" i="29"/>
  <c r="U2719" i="29"/>
  <c r="T2719" i="29"/>
  <c r="R2719" i="29"/>
  <c r="Q2719" i="29"/>
  <c r="V2718" i="29"/>
  <c r="U2718" i="29"/>
  <c r="T2718" i="29"/>
  <c r="R2718" i="29"/>
  <c r="Q2718" i="29"/>
  <c r="V2717" i="29"/>
  <c r="U2717" i="29"/>
  <c r="T2717" i="29"/>
  <c r="R2717" i="29"/>
  <c r="Q2717" i="29"/>
  <c r="V2714" i="29"/>
  <c r="U2714" i="29"/>
  <c r="T2714" i="29"/>
  <c r="R2714" i="29"/>
  <c r="Q2714" i="29"/>
  <c r="V2713" i="29"/>
  <c r="U2713" i="29"/>
  <c r="T2713" i="29"/>
  <c r="R2713" i="29"/>
  <c r="Q2713" i="29"/>
  <c r="V2712" i="29"/>
  <c r="U2712" i="29"/>
  <c r="T2712" i="29"/>
  <c r="R2712" i="29"/>
  <c r="Q2712" i="29"/>
  <c r="V2711" i="29"/>
  <c r="U2711" i="29"/>
  <c r="T2711" i="29"/>
  <c r="R2711" i="29"/>
  <c r="Q2711" i="29"/>
  <c r="V2710" i="29"/>
  <c r="U2710" i="29"/>
  <c r="T2710" i="29"/>
  <c r="R2710" i="29"/>
  <c r="Q2710" i="29"/>
  <c r="V2709" i="29"/>
  <c r="U2709" i="29"/>
  <c r="T2709" i="29"/>
  <c r="R2709" i="29"/>
  <c r="Q2709" i="29"/>
  <c r="V2708" i="29"/>
  <c r="U2708" i="29"/>
  <c r="T2708" i="29"/>
  <c r="R2708" i="29"/>
  <c r="Q2708" i="29"/>
  <c r="V2707" i="29"/>
  <c r="U2707" i="29"/>
  <c r="T2707" i="29"/>
  <c r="R2707" i="29"/>
  <c r="Q2707" i="29"/>
  <c r="V2706" i="29"/>
  <c r="U2706" i="29"/>
  <c r="T2706" i="29"/>
  <c r="R2706" i="29"/>
  <c r="Q2706" i="29"/>
  <c r="V2703" i="29"/>
  <c r="U2703" i="29"/>
  <c r="T2703" i="29"/>
  <c r="R2703" i="29"/>
  <c r="Q2703" i="29"/>
  <c r="V2702" i="29"/>
  <c r="U2702" i="29"/>
  <c r="T2702" i="29"/>
  <c r="R2702" i="29"/>
  <c r="Q2702" i="29"/>
  <c r="V2701" i="29"/>
  <c r="U2701" i="29"/>
  <c r="T2701" i="29"/>
  <c r="R2701" i="29"/>
  <c r="Q2701" i="29"/>
  <c r="V2700" i="29"/>
  <c r="U2700" i="29"/>
  <c r="T2700" i="29"/>
  <c r="R2700" i="29"/>
  <c r="Q2700" i="29"/>
  <c r="V2699" i="29"/>
  <c r="U2699" i="29"/>
  <c r="T2699" i="29"/>
  <c r="R2699" i="29"/>
  <c r="Q2699" i="29"/>
  <c r="V2698" i="29"/>
  <c r="U2698" i="29"/>
  <c r="T2698" i="29"/>
  <c r="R2698" i="29"/>
  <c r="Q2698" i="29"/>
  <c r="V2697" i="29"/>
  <c r="U2697" i="29"/>
  <c r="T2697" i="29"/>
  <c r="R2697" i="29"/>
  <c r="Q2697" i="29"/>
  <c r="V2696" i="29"/>
  <c r="U2696" i="29"/>
  <c r="T2696" i="29"/>
  <c r="R2696" i="29"/>
  <c r="Q2696" i="29"/>
  <c r="V2695" i="29"/>
  <c r="U2695" i="29"/>
  <c r="T2695" i="29"/>
  <c r="R2695" i="29"/>
  <c r="Q2695" i="29"/>
  <c r="V2692" i="29"/>
  <c r="U2692" i="29"/>
  <c r="T2692" i="29"/>
  <c r="R2692" i="29"/>
  <c r="Q2692" i="29"/>
  <c r="V2691" i="29"/>
  <c r="U2691" i="29"/>
  <c r="T2691" i="29"/>
  <c r="R2691" i="29"/>
  <c r="Q2691" i="29"/>
  <c r="V2690" i="29"/>
  <c r="U2690" i="29"/>
  <c r="T2690" i="29"/>
  <c r="R2690" i="29"/>
  <c r="Q2690" i="29"/>
  <c r="V2689" i="29"/>
  <c r="U2689" i="29"/>
  <c r="T2689" i="29"/>
  <c r="R2689" i="29"/>
  <c r="Q2689" i="29"/>
  <c r="V2688" i="29"/>
  <c r="U2688" i="29"/>
  <c r="T2688" i="29"/>
  <c r="R2688" i="29"/>
  <c r="Q2688" i="29"/>
  <c r="V2687" i="29"/>
  <c r="U2687" i="29"/>
  <c r="T2687" i="29"/>
  <c r="R2687" i="29"/>
  <c r="Q2687" i="29"/>
  <c r="V2686" i="29"/>
  <c r="U2686" i="29"/>
  <c r="T2686" i="29"/>
  <c r="R2686" i="29"/>
  <c r="Q2686" i="29"/>
  <c r="V2685" i="29"/>
  <c r="U2685" i="29"/>
  <c r="T2685" i="29"/>
  <c r="R2685" i="29"/>
  <c r="Q2685" i="29"/>
  <c r="V2684" i="29"/>
  <c r="U2684" i="29"/>
  <c r="T2684" i="29"/>
  <c r="R2684" i="29"/>
  <c r="Q2684" i="29"/>
  <c r="V2681" i="29"/>
  <c r="U2681" i="29"/>
  <c r="T2681" i="29"/>
  <c r="R2681" i="29"/>
  <c r="Q2681" i="29"/>
  <c r="V2680" i="29"/>
  <c r="U2680" i="29"/>
  <c r="T2680" i="29"/>
  <c r="R2680" i="29"/>
  <c r="Q2680" i="29"/>
  <c r="V2679" i="29"/>
  <c r="U2679" i="29"/>
  <c r="T2679" i="29"/>
  <c r="R2679" i="29"/>
  <c r="Q2679" i="29"/>
  <c r="V2678" i="29"/>
  <c r="U2678" i="29"/>
  <c r="T2678" i="29"/>
  <c r="R2678" i="29"/>
  <c r="Q2678" i="29"/>
  <c r="V2677" i="29"/>
  <c r="U2677" i="29"/>
  <c r="T2677" i="29"/>
  <c r="R2677" i="29"/>
  <c r="Q2677" i="29"/>
  <c r="V2676" i="29"/>
  <c r="U2676" i="29"/>
  <c r="T2676" i="29"/>
  <c r="R2676" i="29"/>
  <c r="Q2676" i="29"/>
  <c r="V2675" i="29"/>
  <c r="U2675" i="29"/>
  <c r="T2675" i="29"/>
  <c r="R2675" i="29"/>
  <c r="Q2675" i="29"/>
  <c r="V2674" i="29"/>
  <c r="U2674" i="29"/>
  <c r="T2674" i="29"/>
  <c r="R2674" i="29"/>
  <c r="Q2674" i="29"/>
  <c r="V2673" i="29"/>
  <c r="U2673" i="29"/>
  <c r="T2673" i="29"/>
  <c r="R2673" i="29"/>
  <c r="Q2673" i="29"/>
  <c r="V2670" i="29"/>
  <c r="U2670" i="29"/>
  <c r="T2670" i="29"/>
  <c r="R2670" i="29"/>
  <c r="Q2670" i="29"/>
  <c r="V2669" i="29"/>
  <c r="U2669" i="29"/>
  <c r="T2669" i="29"/>
  <c r="R2669" i="29"/>
  <c r="Q2669" i="29"/>
  <c r="V2668" i="29"/>
  <c r="U2668" i="29"/>
  <c r="T2668" i="29"/>
  <c r="R2668" i="29"/>
  <c r="Q2668" i="29"/>
  <c r="V2667" i="29"/>
  <c r="U2667" i="29"/>
  <c r="T2667" i="29"/>
  <c r="R2667" i="29"/>
  <c r="Q2667" i="29"/>
  <c r="V2666" i="29"/>
  <c r="U2666" i="29"/>
  <c r="T2666" i="29"/>
  <c r="R2666" i="29"/>
  <c r="Q2666" i="29"/>
  <c r="V2665" i="29"/>
  <c r="U2665" i="29"/>
  <c r="T2665" i="29"/>
  <c r="R2665" i="29"/>
  <c r="Q2665" i="29"/>
  <c r="V2664" i="29"/>
  <c r="U2664" i="29"/>
  <c r="T2664" i="29"/>
  <c r="R2664" i="29"/>
  <c r="Q2664" i="29"/>
  <c r="V2663" i="29"/>
  <c r="U2663" i="29"/>
  <c r="T2663" i="29"/>
  <c r="R2663" i="29"/>
  <c r="Q2663" i="29"/>
  <c r="V2662" i="29"/>
  <c r="U2662" i="29"/>
  <c r="T2662" i="29"/>
  <c r="R2662" i="29"/>
  <c r="Q2662" i="29"/>
  <c r="V2659" i="29"/>
  <c r="U2659" i="29"/>
  <c r="T2659" i="29"/>
  <c r="R2659" i="29"/>
  <c r="Q2659" i="29"/>
  <c r="V2658" i="29"/>
  <c r="U2658" i="29"/>
  <c r="T2658" i="29"/>
  <c r="R2658" i="29"/>
  <c r="Q2658" i="29"/>
  <c r="V2657" i="29"/>
  <c r="U2657" i="29"/>
  <c r="T2657" i="29"/>
  <c r="R2657" i="29"/>
  <c r="Q2657" i="29"/>
  <c r="V2656" i="29"/>
  <c r="U2656" i="29"/>
  <c r="T2656" i="29"/>
  <c r="R2656" i="29"/>
  <c r="Q2656" i="29"/>
  <c r="V2655" i="29"/>
  <c r="U2655" i="29"/>
  <c r="T2655" i="29"/>
  <c r="R2655" i="29"/>
  <c r="Q2655" i="29"/>
  <c r="V2654" i="29"/>
  <c r="U2654" i="29"/>
  <c r="T2654" i="29"/>
  <c r="R2654" i="29"/>
  <c r="Q2654" i="29"/>
  <c r="V2653" i="29"/>
  <c r="U2653" i="29"/>
  <c r="T2653" i="29"/>
  <c r="R2653" i="29"/>
  <c r="Q2653" i="29"/>
  <c r="V2652" i="29"/>
  <c r="U2652" i="29"/>
  <c r="T2652" i="29"/>
  <c r="R2652" i="29"/>
  <c r="Q2652" i="29"/>
  <c r="V2651" i="29"/>
  <c r="U2651" i="29"/>
  <c r="T2651" i="29"/>
  <c r="R2651" i="29"/>
  <c r="Q2651" i="29"/>
  <c r="V2648" i="29"/>
  <c r="U2648" i="29"/>
  <c r="T2648" i="29"/>
  <c r="R2648" i="29"/>
  <c r="Q2648" i="29"/>
  <c r="V2647" i="29"/>
  <c r="U2647" i="29"/>
  <c r="T2647" i="29"/>
  <c r="R2647" i="29"/>
  <c r="Q2647" i="29"/>
  <c r="V2646" i="29"/>
  <c r="U2646" i="29"/>
  <c r="T2646" i="29"/>
  <c r="R2646" i="29"/>
  <c r="Q2646" i="29"/>
  <c r="V2645" i="29"/>
  <c r="U2645" i="29"/>
  <c r="T2645" i="29"/>
  <c r="R2645" i="29"/>
  <c r="Q2645" i="29"/>
  <c r="V2644" i="29"/>
  <c r="U2644" i="29"/>
  <c r="T2644" i="29"/>
  <c r="R2644" i="29"/>
  <c r="Q2644" i="29"/>
  <c r="V2643" i="29"/>
  <c r="U2643" i="29"/>
  <c r="T2643" i="29"/>
  <c r="R2643" i="29"/>
  <c r="Q2643" i="29"/>
  <c r="V2642" i="29"/>
  <c r="U2642" i="29"/>
  <c r="T2642" i="29"/>
  <c r="R2642" i="29"/>
  <c r="Q2642" i="29"/>
  <c r="V2641" i="29"/>
  <c r="U2641" i="29"/>
  <c r="T2641" i="29"/>
  <c r="R2641" i="29"/>
  <c r="Q2641" i="29"/>
  <c r="V2640" i="29"/>
  <c r="U2640" i="29"/>
  <c r="T2640" i="29"/>
  <c r="R2640" i="29"/>
  <c r="Q2640" i="29"/>
  <c r="V2637" i="29"/>
  <c r="U2637" i="29"/>
  <c r="T2637" i="29"/>
  <c r="R2637" i="29"/>
  <c r="Q2637" i="29"/>
  <c r="V2636" i="29"/>
  <c r="U2636" i="29"/>
  <c r="T2636" i="29"/>
  <c r="R2636" i="29"/>
  <c r="Q2636" i="29"/>
  <c r="V2635" i="29"/>
  <c r="U2635" i="29"/>
  <c r="T2635" i="29"/>
  <c r="R2635" i="29"/>
  <c r="Q2635" i="29"/>
  <c r="V2634" i="29"/>
  <c r="U2634" i="29"/>
  <c r="T2634" i="29"/>
  <c r="R2634" i="29"/>
  <c r="Q2634" i="29"/>
  <c r="V2633" i="29"/>
  <c r="U2633" i="29"/>
  <c r="T2633" i="29"/>
  <c r="R2633" i="29"/>
  <c r="Q2633" i="29"/>
  <c r="V2632" i="29"/>
  <c r="U2632" i="29"/>
  <c r="T2632" i="29"/>
  <c r="R2632" i="29"/>
  <c r="Q2632" i="29"/>
  <c r="V2631" i="29"/>
  <c r="U2631" i="29"/>
  <c r="T2631" i="29"/>
  <c r="R2631" i="29"/>
  <c r="Q2631" i="29"/>
  <c r="V2630" i="29"/>
  <c r="U2630" i="29"/>
  <c r="T2630" i="29"/>
  <c r="R2630" i="29"/>
  <c r="Q2630" i="29"/>
  <c r="V2629" i="29"/>
  <c r="U2629" i="29"/>
  <c r="T2629" i="29"/>
  <c r="R2629" i="29"/>
  <c r="Q2629" i="29"/>
  <c r="V2626" i="29"/>
  <c r="U2626" i="29"/>
  <c r="T2626" i="29"/>
  <c r="R2626" i="29"/>
  <c r="Q2626" i="29"/>
  <c r="V2625" i="29"/>
  <c r="U2625" i="29"/>
  <c r="T2625" i="29"/>
  <c r="R2625" i="29"/>
  <c r="Q2625" i="29"/>
  <c r="V2624" i="29"/>
  <c r="U2624" i="29"/>
  <c r="T2624" i="29"/>
  <c r="R2624" i="29"/>
  <c r="Q2624" i="29"/>
  <c r="V2623" i="29"/>
  <c r="U2623" i="29"/>
  <c r="T2623" i="29"/>
  <c r="R2623" i="29"/>
  <c r="Q2623" i="29"/>
  <c r="V2622" i="29"/>
  <c r="U2622" i="29"/>
  <c r="T2622" i="29"/>
  <c r="R2622" i="29"/>
  <c r="Q2622" i="29"/>
  <c r="V2621" i="29"/>
  <c r="U2621" i="29"/>
  <c r="T2621" i="29"/>
  <c r="R2621" i="29"/>
  <c r="Q2621" i="29"/>
  <c r="V2620" i="29"/>
  <c r="U2620" i="29"/>
  <c r="T2620" i="29"/>
  <c r="R2620" i="29"/>
  <c r="Q2620" i="29"/>
  <c r="V2619" i="29"/>
  <c r="U2619" i="29"/>
  <c r="T2619" i="29"/>
  <c r="R2619" i="29"/>
  <c r="Q2619" i="29"/>
  <c r="V2618" i="29"/>
  <c r="U2618" i="29"/>
  <c r="T2618" i="29"/>
  <c r="R2618" i="29"/>
  <c r="Q2618" i="29"/>
  <c r="V2615" i="29"/>
  <c r="U2615" i="29"/>
  <c r="T2615" i="29"/>
  <c r="R2615" i="29"/>
  <c r="Q2615" i="29"/>
  <c r="V2614" i="29"/>
  <c r="U2614" i="29"/>
  <c r="T2614" i="29"/>
  <c r="R2614" i="29"/>
  <c r="Q2614" i="29"/>
  <c r="V2613" i="29"/>
  <c r="U2613" i="29"/>
  <c r="T2613" i="29"/>
  <c r="R2613" i="29"/>
  <c r="Q2613" i="29"/>
  <c r="V2612" i="29"/>
  <c r="U2612" i="29"/>
  <c r="T2612" i="29"/>
  <c r="R2612" i="29"/>
  <c r="Q2612" i="29"/>
  <c r="V2611" i="29"/>
  <c r="U2611" i="29"/>
  <c r="T2611" i="29"/>
  <c r="R2611" i="29"/>
  <c r="Q2611" i="29"/>
  <c r="V2610" i="29"/>
  <c r="U2610" i="29"/>
  <c r="T2610" i="29"/>
  <c r="R2610" i="29"/>
  <c r="Q2610" i="29"/>
  <c r="V2609" i="29"/>
  <c r="U2609" i="29"/>
  <c r="T2609" i="29"/>
  <c r="R2609" i="29"/>
  <c r="Q2609" i="29"/>
  <c r="V2608" i="29"/>
  <c r="U2608" i="29"/>
  <c r="T2608" i="29"/>
  <c r="R2608" i="29"/>
  <c r="Q2608" i="29"/>
  <c r="V2607" i="29"/>
  <c r="U2607" i="29"/>
  <c r="T2607" i="29"/>
  <c r="R2607" i="29"/>
  <c r="Q2607" i="29"/>
  <c r="V2604" i="29"/>
  <c r="U2604" i="29"/>
  <c r="T2604" i="29"/>
  <c r="R2604" i="29"/>
  <c r="Q2604" i="29"/>
  <c r="V2603" i="29"/>
  <c r="U2603" i="29"/>
  <c r="T2603" i="29"/>
  <c r="R2603" i="29"/>
  <c r="Q2603" i="29"/>
  <c r="V2602" i="29"/>
  <c r="U2602" i="29"/>
  <c r="T2602" i="29"/>
  <c r="R2602" i="29"/>
  <c r="Q2602" i="29"/>
  <c r="V2601" i="29"/>
  <c r="U2601" i="29"/>
  <c r="T2601" i="29"/>
  <c r="R2601" i="29"/>
  <c r="Q2601" i="29"/>
  <c r="V2600" i="29"/>
  <c r="U2600" i="29"/>
  <c r="T2600" i="29"/>
  <c r="R2600" i="29"/>
  <c r="Q2600" i="29"/>
  <c r="V2599" i="29"/>
  <c r="U2599" i="29"/>
  <c r="T2599" i="29"/>
  <c r="R2599" i="29"/>
  <c r="Q2599" i="29"/>
  <c r="V2598" i="29"/>
  <c r="U2598" i="29"/>
  <c r="T2598" i="29"/>
  <c r="R2598" i="29"/>
  <c r="Q2598" i="29"/>
  <c r="V2597" i="29"/>
  <c r="U2597" i="29"/>
  <c r="T2597" i="29"/>
  <c r="R2597" i="29"/>
  <c r="Q2597" i="29"/>
  <c r="V2596" i="29"/>
  <c r="U2596" i="29"/>
  <c r="T2596" i="29"/>
  <c r="R2596" i="29"/>
  <c r="Q2596" i="29"/>
  <c r="V2593" i="29"/>
  <c r="U2593" i="29"/>
  <c r="T2593" i="29"/>
  <c r="R2593" i="29"/>
  <c r="Q2593" i="29"/>
  <c r="V2592" i="29"/>
  <c r="U2592" i="29"/>
  <c r="T2592" i="29"/>
  <c r="R2592" i="29"/>
  <c r="Q2592" i="29"/>
  <c r="V2591" i="29"/>
  <c r="U2591" i="29"/>
  <c r="T2591" i="29"/>
  <c r="R2591" i="29"/>
  <c r="Q2591" i="29"/>
  <c r="V2590" i="29"/>
  <c r="U2590" i="29"/>
  <c r="T2590" i="29"/>
  <c r="R2590" i="29"/>
  <c r="Q2590" i="29"/>
  <c r="V2589" i="29"/>
  <c r="U2589" i="29"/>
  <c r="T2589" i="29"/>
  <c r="R2589" i="29"/>
  <c r="Q2589" i="29"/>
  <c r="V2588" i="29"/>
  <c r="U2588" i="29"/>
  <c r="T2588" i="29"/>
  <c r="R2588" i="29"/>
  <c r="Q2588" i="29"/>
  <c r="V2587" i="29"/>
  <c r="U2587" i="29"/>
  <c r="T2587" i="29"/>
  <c r="R2587" i="29"/>
  <c r="Q2587" i="29"/>
  <c r="V2586" i="29"/>
  <c r="U2586" i="29"/>
  <c r="T2586" i="29"/>
  <c r="R2586" i="29"/>
  <c r="Q2586" i="29"/>
  <c r="V2585" i="29"/>
  <c r="U2585" i="29"/>
  <c r="T2585" i="29"/>
  <c r="R2585" i="29"/>
  <c r="Q2585" i="29"/>
  <c r="V2582" i="29"/>
  <c r="U2582" i="29"/>
  <c r="T2582" i="29"/>
  <c r="R2582" i="29"/>
  <c r="Q2582" i="29"/>
  <c r="V2581" i="29"/>
  <c r="U2581" i="29"/>
  <c r="T2581" i="29"/>
  <c r="R2581" i="29"/>
  <c r="Q2581" i="29"/>
  <c r="V2580" i="29"/>
  <c r="U2580" i="29"/>
  <c r="T2580" i="29"/>
  <c r="R2580" i="29"/>
  <c r="Q2580" i="29"/>
  <c r="V2579" i="29"/>
  <c r="U2579" i="29"/>
  <c r="T2579" i="29"/>
  <c r="R2579" i="29"/>
  <c r="Q2579" i="29"/>
  <c r="V2578" i="29"/>
  <c r="U2578" i="29"/>
  <c r="T2578" i="29"/>
  <c r="R2578" i="29"/>
  <c r="Q2578" i="29"/>
  <c r="V2577" i="29"/>
  <c r="U2577" i="29"/>
  <c r="T2577" i="29"/>
  <c r="R2577" i="29"/>
  <c r="Q2577" i="29"/>
  <c r="V2576" i="29"/>
  <c r="U2576" i="29"/>
  <c r="T2576" i="29"/>
  <c r="R2576" i="29"/>
  <c r="Q2576" i="29"/>
  <c r="V2575" i="29"/>
  <c r="U2575" i="29"/>
  <c r="T2575" i="29"/>
  <c r="R2575" i="29"/>
  <c r="Q2575" i="29"/>
  <c r="V2574" i="29"/>
  <c r="U2574" i="29"/>
  <c r="T2574" i="29"/>
  <c r="R2574" i="29"/>
  <c r="Q2574" i="29"/>
  <c r="V2571" i="29"/>
  <c r="U2571" i="29"/>
  <c r="T2571" i="29"/>
  <c r="R2571" i="29"/>
  <c r="Q2571" i="29"/>
  <c r="V2570" i="29"/>
  <c r="U2570" i="29"/>
  <c r="T2570" i="29"/>
  <c r="R2570" i="29"/>
  <c r="Q2570" i="29"/>
  <c r="V2569" i="29"/>
  <c r="U2569" i="29"/>
  <c r="T2569" i="29"/>
  <c r="R2569" i="29"/>
  <c r="Q2569" i="29"/>
  <c r="V2568" i="29"/>
  <c r="U2568" i="29"/>
  <c r="T2568" i="29"/>
  <c r="R2568" i="29"/>
  <c r="Q2568" i="29"/>
  <c r="V2567" i="29"/>
  <c r="U2567" i="29"/>
  <c r="T2567" i="29"/>
  <c r="R2567" i="29"/>
  <c r="Q2567" i="29"/>
  <c r="V2566" i="29"/>
  <c r="U2566" i="29"/>
  <c r="T2566" i="29"/>
  <c r="R2566" i="29"/>
  <c r="Q2566" i="29"/>
  <c r="V2565" i="29"/>
  <c r="U2565" i="29"/>
  <c r="T2565" i="29"/>
  <c r="R2565" i="29"/>
  <c r="Q2565" i="29"/>
  <c r="V2564" i="29"/>
  <c r="U2564" i="29"/>
  <c r="T2564" i="29"/>
  <c r="R2564" i="29"/>
  <c r="Q2564" i="29"/>
  <c r="V2563" i="29"/>
  <c r="U2563" i="29"/>
  <c r="T2563" i="29"/>
  <c r="R2563" i="29"/>
  <c r="Q2563" i="29"/>
  <c r="V2560" i="29"/>
  <c r="U2560" i="29"/>
  <c r="T2560" i="29"/>
  <c r="R2560" i="29"/>
  <c r="Q2560" i="29"/>
  <c r="V2559" i="29"/>
  <c r="U2559" i="29"/>
  <c r="T2559" i="29"/>
  <c r="R2559" i="29"/>
  <c r="Q2559" i="29"/>
  <c r="V2558" i="29"/>
  <c r="U2558" i="29"/>
  <c r="T2558" i="29"/>
  <c r="R2558" i="29"/>
  <c r="Q2558" i="29"/>
  <c r="V2557" i="29"/>
  <c r="U2557" i="29"/>
  <c r="T2557" i="29"/>
  <c r="R2557" i="29"/>
  <c r="Q2557" i="29"/>
  <c r="V2556" i="29"/>
  <c r="U2556" i="29"/>
  <c r="T2556" i="29"/>
  <c r="R2556" i="29"/>
  <c r="Q2556" i="29"/>
  <c r="V2555" i="29"/>
  <c r="U2555" i="29"/>
  <c r="T2555" i="29"/>
  <c r="R2555" i="29"/>
  <c r="Q2555" i="29"/>
  <c r="V2554" i="29"/>
  <c r="U2554" i="29"/>
  <c r="T2554" i="29"/>
  <c r="R2554" i="29"/>
  <c r="Q2554" i="29"/>
  <c r="V2553" i="29"/>
  <c r="U2553" i="29"/>
  <c r="T2553" i="29"/>
  <c r="R2553" i="29"/>
  <c r="Q2553" i="29"/>
  <c r="V2552" i="29"/>
  <c r="U2552" i="29"/>
  <c r="T2552" i="29"/>
  <c r="R2552" i="29"/>
  <c r="Q2552" i="29"/>
  <c r="V2549" i="29"/>
  <c r="U2549" i="29"/>
  <c r="T2549" i="29"/>
  <c r="R2549" i="29"/>
  <c r="Q2549" i="29"/>
  <c r="V2548" i="29"/>
  <c r="U2548" i="29"/>
  <c r="T2548" i="29"/>
  <c r="R2548" i="29"/>
  <c r="Q2548" i="29"/>
  <c r="V2547" i="29"/>
  <c r="U2547" i="29"/>
  <c r="T2547" i="29"/>
  <c r="R2547" i="29"/>
  <c r="Q2547" i="29"/>
  <c r="V2546" i="29"/>
  <c r="U2546" i="29"/>
  <c r="T2546" i="29"/>
  <c r="R2546" i="29"/>
  <c r="Q2546" i="29"/>
  <c r="V2545" i="29"/>
  <c r="U2545" i="29"/>
  <c r="T2545" i="29"/>
  <c r="R2545" i="29"/>
  <c r="Q2545" i="29"/>
  <c r="V2544" i="29"/>
  <c r="U2544" i="29"/>
  <c r="T2544" i="29"/>
  <c r="R2544" i="29"/>
  <c r="Q2544" i="29"/>
  <c r="V2543" i="29"/>
  <c r="U2543" i="29"/>
  <c r="T2543" i="29"/>
  <c r="R2543" i="29"/>
  <c r="Q2543" i="29"/>
  <c r="V2542" i="29"/>
  <c r="U2542" i="29"/>
  <c r="T2542" i="29"/>
  <c r="R2542" i="29"/>
  <c r="Q2542" i="29"/>
  <c r="V2541" i="29"/>
  <c r="U2541" i="29"/>
  <c r="T2541" i="29"/>
  <c r="R2541" i="29"/>
  <c r="Q2541" i="29"/>
  <c r="V2538" i="29"/>
  <c r="U2538" i="29"/>
  <c r="T2538" i="29"/>
  <c r="R2538" i="29"/>
  <c r="Q2538" i="29"/>
  <c r="V2537" i="29"/>
  <c r="U2537" i="29"/>
  <c r="T2537" i="29"/>
  <c r="R2537" i="29"/>
  <c r="Q2537" i="29"/>
  <c r="V2536" i="29"/>
  <c r="U2536" i="29"/>
  <c r="T2536" i="29"/>
  <c r="R2536" i="29"/>
  <c r="Q2536" i="29"/>
  <c r="V2535" i="29"/>
  <c r="U2535" i="29"/>
  <c r="T2535" i="29"/>
  <c r="R2535" i="29"/>
  <c r="Q2535" i="29"/>
  <c r="V2534" i="29"/>
  <c r="U2534" i="29"/>
  <c r="T2534" i="29"/>
  <c r="R2534" i="29"/>
  <c r="Q2534" i="29"/>
  <c r="V2533" i="29"/>
  <c r="U2533" i="29"/>
  <c r="T2533" i="29"/>
  <c r="R2533" i="29"/>
  <c r="Q2533" i="29"/>
  <c r="V2532" i="29"/>
  <c r="U2532" i="29"/>
  <c r="T2532" i="29"/>
  <c r="R2532" i="29"/>
  <c r="Q2532" i="29"/>
  <c r="V2531" i="29"/>
  <c r="U2531" i="29"/>
  <c r="T2531" i="29"/>
  <c r="R2531" i="29"/>
  <c r="Q2531" i="29"/>
  <c r="V2530" i="29"/>
  <c r="U2530" i="29"/>
  <c r="T2530" i="29"/>
  <c r="R2530" i="29"/>
  <c r="Q2530" i="29"/>
  <c r="V2527" i="29"/>
  <c r="U2527" i="29"/>
  <c r="T2527" i="29"/>
  <c r="R2527" i="29"/>
  <c r="Q2527" i="29"/>
  <c r="V2526" i="29"/>
  <c r="U2526" i="29"/>
  <c r="T2526" i="29"/>
  <c r="R2526" i="29"/>
  <c r="Q2526" i="29"/>
  <c r="V2525" i="29"/>
  <c r="U2525" i="29"/>
  <c r="T2525" i="29"/>
  <c r="R2525" i="29"/>
  <c r="Q2525" i="29"/>
  <c r="V2524" i="29"/>
  <c r="U2524" i="29"/>
  <c r="T2524" i="29"/>
  <c r="R2524" i="29"/>
  <c r="Q2524" i="29"/>
  <c r="V2523" i="29"/>
  <c r="U2523" i="29"/>
  <c r="T2523" i="29"/>
  <c r="R2523" i="29"/>
  <c r="Q2523" i="29"/>
  <c r="V2522" i="29"/>
  <c r="U2522" i="29"/>
  <c r="T2522" i="29"/>
  <c r="R2522" i="29"/>
  <c r="Q2522" i="29"/>
  <c r="V2521" i="29"/>
  <c r="U2521" i="29"/>
  <c r="T2521" i="29"/>
  <c r="R2521" i="29"/>
  <c r="Q2521" i="29"/>
  <c r="V2520" i="29"/>
  <c r="U2520" i="29"/>
  <c r="T2520" i="29"/>
  <c r="R2520" i="29"/>
  <c r="Q2520" i="29"/>
  <c r="V2519" i="29"/>
  <c r="U2519" i="29"/>
  <c r="T2519" i="29"/>
  <c r="R2519" i="29"/>
  <c r="Q2519" i="29"/>
  <c r="V2516" i="29"/>
  <c r="U2516" i="29"/>
  <c r="T2516" i="29"/>
  <c r="R2516" i="29"/>
  <c r="Q2516" i="29"/>
  <c r="V2515" i="29"/>
  <c r="U2515" i="29"/>
  <c r="T2515" i="29"/>
  <c r="R2515" i="29"/>
  <c r="Q2515" i="29"/>
  <c r="V2514" i="29"/>
  <c r="U2514" i="29"/>
  <c r="T2514" i="29"/>
  <c r="R2514" i="29"/>
  <c r="Q2514" i="29"/>
  <c r="V2513" i="29"/>
  <c r="U2513" i="29"/>
  <c r="T2513" i="29"/>
  <c r="R2513" i="29"/>
  <c r="Q2513" i="29"/>
  <c r="V2512" i="29"/>
  <c r="U2512" i="29"/>
  <c r="T2512" i="29"/>
  <c r="R2512" i="29"/>
  <c r="Q2512" i="29"/>
  <c r="V2511" i="29"/>
  <c r="U2511" i="29"/>
  <c r="T2511" i="29"/>
  <c r="R2511" i="29"/>
  <c r="Q2511" i="29"/>
  <c r="V2510" i="29"/>
  <c r="U2510" i="29"/>
  <c r="T2510" i="29"/>
  <c r="R2510" i="29"/>
  <c r="Q2510" i="29"/>
  <c r="V2509" i="29"/>
  <c r="U2509" i="29"/>
  <c r="T2509" i="29"/>
  <c r="R2509" i="29"/>
  <c r="Q2509" i="29"/>
  <c r="V2508" i="29"/>
  <c r="U2508" i="29"/>
  <c r="T2508" i="29"/>
  <c r="R2508" i="29"/>
  <c r="Q2508" i="29"/>
  <c r="V2505" i="29"/>
  <c r="U2505" i="29"/>
  <c r="T2505" i="29"/>
  <c r="R2505" i="29"/>
  <c r="Q2505" i="29"/>
  <c r="V2504" i="29"/>
  <c r="U2504" i="29"/>
  <c r="T2504" i="29"/>
  <c r="R2504" i="29"/>
  <c r="Q2504" i="29"/>
  <c r="V2503" i="29"/>
  <c r="U2503" i="29"/>
  <c r="T2503" i="29"/>
  <c r="R2503" i="29"/>
  <c r="Q2503" i="29"/>
  <c r="V2502" i="29"/>
  <c r="U2502" i="29"/>
  <c r="T2502" i="29"/>
  <c r="R2502" i="29"/>
  <c r="Q2502" i="29"/>
  <c r="V2501" i="29"/>
  <c r="U2501" i="29"/>
  <c r="T2501" i="29"/>
  <c r="R2501" i="29"/>
  <c r="Q2501" i="29"/>
  <c r="V2500" i="29"/>
  <c r="U2500" i="29"/>
  <c r="T2500" i="29"/>
  <c r="R2500" i="29"/>
  <c r="Q2500" i="29"/>
  <c r="V2499" i="29"/>
  <c r="U2499" i="29"/>
  <c r="T2499" i="29"/>
  <c r="R2499" i="29"/>
  <c r="Q2499" i="29"/>
  <c r="V2498" i="29"/>
  <c r="U2498" i="29"/>
  <c r="T2498" i="29"/>
  <c r="R2498" i="29"/>
  <c r="Q2498" i="29"/>
  <c r="V2497" i="29"/>
  <c r="U2497" i="29"/>
  <c r="T2497" i="29"/>
  <c r="R2497" i="29"/>
  <c r="Q2497" i="29"/>
  <c r="V2494" i="29"/>
  <c r="U2494" i="29"/>
  <c r="T2494" i="29"/>
  <c r="R2494" i="29"/>
  <c r="Q2494" i="29"/>
  <c r="V2493" i="29"/>
  <c r="U2493" i="29"/>
  <c r="T2493" i="29"/>
  <c r="R2493" i="29"/>
  <c r="Q2493" i="29"/>
  <c r="V2492" i="29"/>
  <c r="U2492" i="29"/>
  <c r="T2492" i="29"/>
  <c r="R2492" i="29"/>
  <c r="Q2492" i="29"/>
  <c r="V2491" i="29"/>
  <c r="U2491" i="29"/>
  <c r="T2491" i="29"/>
  <c r="R2491" i="29"/>
  <c r="Q2491" i="29"/>
  <c r="V2490" i="29"/>
  <c r="U2490" i="29"/>
  <c r="T2490" i="29"/>
  <c r="R2490" i="29"/>
  <c r="Q2490" i="29"/>
  <c r="V2489" i="29"/>
  <c r="U2489" i="29"/>
  <c r="T2489" i="29"/>
  <c r="R2489" i="29"/>
  <c r="Q2489" i="29"/>
  <c r="V2488" i="29"/>
  <c r="U2488" i="29"/>
  <c r="T2488" i="29"/>
  <c r="R2488" i="29"/>
  <c r="Q2488" i="29"/>
  <c r="V2487" i="29"/>
  <c r="U2487" i="29"/>
  <c r="T2487" i="29"/>
  <c r="R2487" i="29"/>
  <c r="Q2487" i="29"/>
  <c r="V2486" i="29"/>
  <c r="U2486" i="29"/>
  <c r="T2486" i="29"/>
  <c r="R2486" i="29"/>
  <c r="Q2486" i="29"/>
  <c r="V2483" i="29"/>
  <c r="U2483" i="29"/>
  <c r="T2483" i="29"/>
  <c r="R2483" i="29"/>
  <c r="Q2483" i="29"/>
  <c r="V2482" i="29"/>
  <c r="U2482" i="29"/>
  <c r="T2482" i="29"/>
  <c r="R2482" i="29"/>
  <c r="Q2482" i="29"/>
  <c r="V2481" i="29"/>
  <c r="U2481" i="29"/>
  <c r="T2481" i="29"/>
  <c r="R2481" i="29"/>
  <c r="Q2481" i="29"/>
  <c r="V2480" i="29"/>
  <c r="U2480" i="29"/>
  <c r="T2480" i="29"/>
  <c r="R2480" i="29"/>
  <c r="Q2480" i="29"/>
  <c r="V2479" i="29"/>
  <c r="U2479" i="29"/>
  <c r="T2479" i="29"/>
  <c r="R2479" i="29"/>
  <c r="Q2479" i="29"/>
  <c r="V2478" i="29"/>
  <c r="U2478" i="29"/>
  <c r="T2478" i="29"/>
  <c r="R2478" i="29"/>
  <c r="Q2478" i="29"/>
  <c r="V2477" i="29"/>
  <c r="U2477" i="29"/>
  <c r="T2477" i="29"/>
  <c r="R2477" i="29"/>
  <c r="Q2477" i="29"/>
  <c r="V2476" i="29"/>
  <c r="U2476" i="29"/>
  <c r="T2476" i="29"/>
  <c r="R2476" i="29"/>
  <c r="Q2476" i="29"/>
  <c r="V2475" i="29"/>
  <c r="U2475" i="29"/>
  <c r="T2475" i="29"/>
  <c r="R2475" i="29"/>
  <c r="Q2475" i="29"/>
  <c r="V2472" i="29"/>
  <c r="U2472" i="29"/>
  <c r="T2472" i="29"/>
  <c r="R2472" i="29"/>
  <c r="Q2472" i="29"/>
  <c r="V2471" i="29"/>
  <c r="U2471" i="29"/>
  <c r="T2471" i="29"/>
  <c r="R2471" i="29"/>
  <c r="Q2471" i="29"/>
  <c r="V2470" i="29"/>
  <c r="U2470" i="29"/>
  <c r="T2470" i="29"/>
  <c r="R2470" i="29"/>
  <c r="Q2470" i="29"/>
  <c r="V2469" i="29"/>
  <c r="U2469" i="29"/>
  <c r="T2469" i="29"/>
  <c r="R2469" i="29"/>
  <c r="Q2469" i="29"/>
  <c r="V2468" i="29"/>
  <c r="U2468" i="29"/>
  <c r="T2468" i="29"/>
  <c r="R2468" i="29"/>
  <c r="Q2468" i="29"/>
  <c r="V2467" i="29"/>
  <c r="U2467" i="29"/>
  <c r="T2467" i="29"/>
  <c r="R2467" i="29"/>
  <c r="Q2467" i="29"/>
  <c r="V2466" i="29"/>
  <c r="U2466" i="29"/>
  <c r="T2466" i="29"/>
  <c r="R2466" i="29"/>
  <c r="Q2466" i="29"/>
  <c r="V2465" i="29"/>
  <c r="U2465" i="29"/>
  <c r="T2465" i="29"/>
  <c r="R2465" i="29"/>
  <c r="Q2465" i="29"/>
  <c r="V2464" i="29"/>
  <c r="U2464" i="29"/>
  <c r="T2464" i="29"/>
  <c r="R2464" i="29"/>
  <c r="Q2464" i="29"/>
  <c r="V2461" i="29"/>
  <c r="U2461" i="29"/>
  <c r="T2461" i="29"/>
  <c r="R2461" i="29"/>
  <c r="Q2461" i="29"/>
  <c r="V2460" i="29"/>
  <c r="U2460" i="29"/>
  <c r="T2460" i="29"/>
  <c r="R2460" i="29"/>
  <c r="Q2460" i="29"/>
  <c r="V2459" i="29"/>
  <c r="U2459" i="29"/>
  <c r="T2459" i="29"/>
  <c r="R2459" i="29"/>
  <c r="Q2459" i="29"/>
  <c r="V2458" i="29"/>
  <c r="U2458" i="29"/>
  <c r="T2458" i="29"/>
  <c r="R2458" i="29"/>
  <c r="Q2458" i="29"/>
  <c r="V2457" i="29"/>
  <c r="U2457" i="29"/>
  <c r="T2457" i="29"/>
  <c r="R2457" i="29"/>
  <c r="Q2457" i="29"/>
  <c r="V2456" i="29"/>
  <c r="U2456" i="29"/>
  <c r="T2456" i="29"/>
  <c r="R2456" i="29"/>
  <c r="Q2456" i="29"/>
  <c r="V2455" i="29"/>
  <c r="U2455" i="29"/>
  <c r="T2455" i="29"/>
  <c r="R2455" i="29"/>
  <c r="Q2455" i="29"/>
  <c r="V2454" i="29"/>
  <c r="U2454" i="29"/>
  <c r="T2454" i="29"/>
  <c r="R2454" i="29"/>
  <c r="Q2454" i="29"/>
  <c r="V2453" i="29"/>
  <c r="U2453" i="29"/>
  <c r="T2453" i="29"/>
  <c r="R2453" i="29"/>
  <c r="Q2453" i="29"/>
  <c r="V2450" i="29"/>
  <c r="U2450" i="29"/>
  <c r="T2450" i="29"/>
  <c r="R2450" i="29"/>
  <c r="Q2450" i="29"/>
  <c r="V2449" i="29"/>
  <c r="U2449" i="29"/>
  <c r="T2449" i="29"/>
  <c r="R2449" i="29"/>
  <c r="Q2449" i="29"/>
  <c r="V2448" i="29"/>
  <c r="U2448" i="29"/>
  <c r="T2448" i="29"/>
  <c r="R2448" i="29"/>
  <c r="Q2448" i="29"/>
  <c r="V2447" i="29"/>
  <c r="U2447" i="29"/>
  <c r="T2447" i="29"/>
  <c r="R2447" i="29"/>
  <c r="Q2447" i="29"/>
  <c r="V2446" i="29"/>
  <c r="U2446" i="29"/>
  <c r="T2446" i="29"/>
  <c r="R2446" i="29"/>
  <c r="Q2446" i="29"/>
  <c r="V2445" i="29"/>
  <c r="U2445" i="29"/>
  <c r="T2445" i="29"/>
  <c r="R2445" i="29"/>
  <c r="Q2445" i="29"/>
  <c r="V2444" i="29"/>
  <c r="U2444" i="29"/>
  <c r="T2444" i="29"/>
  <c r="R2444" i="29"/>
  <c r="Q2444" i="29"/>
  <c r="V2443" i="29"/>
  <c r="U2443" i="29"/>
  <c r="T2443" i="29"/>
  <c r="R2443" i="29"/>
  <c r="Q2443" i="29"/>
  <c r="V2442" i="29"/>
  <c r="U2442" i="29"/>
  <c r="T2442" i="29"/>
  <c r="R2442" i="29"/>
  <c r="Q2442" i="29"/>
  <c r="V2439" i="29"/>
  <c r="U2439" i="29"/>
  <c r="T2439" i="29"/>
  <c r="R2439" i="29"/>
  <c r="Q2439" i="29"/>
  <c r="V2438" i="29"/>
  <c r="U2438" i="29"/>
  <c r="T2438" i="29"/>
  <c r="R2438" i="29"/>
  <c r="Q2438" i="29"/>
  <c r="V2437" i="29"/>
  <c r="U2437" i="29"/>
  <c r="T2437" i="29"/>
  <c r="R2437" i="29"/>
  <c r="Q2437" i="29"/>
  <c r="V2436" i="29"/>
  <c r="U2436" i="29"/>
  <c r="T2436" i="29"/>
  <c r="R2436" i="29"/>
  <c r="Q2436" i="29"/>
  <c r="V2435" i="29"/>
  <c r="U2435" i="29"/>
  <c r="T2435" i="29"/>
  <c r="R2435" i="29"/>
  <c r="Q2435" i="29"/>
  <c r="V2434" i="29"/>
  <c r="U2434" i="29"/>
  <c r="T2434" i="29"/>
  <c r="R2434" i="29"/>
  <c r="Q2434" i="29"/>
  <c r="V2433" i="29"/>
  <c r="U2433" i="29"/>
  <c r="T2433" i="29"/>
  <c r="R2433" i="29"/>
  <c r="Q2433" i="29"/>
  <c r="V2432" i="29"/>
  <c r="U2432" i="29"/>
  <c r="T2432" i="29"/>
  <c r="R2432" i="29"/>
  <c r="Q2432" i="29"/>
  <c r="V2431" i="29"/>
  <c r="U2431" i="29"/>
  <c r="T2431" i="29"/>
  <c r="R2431" i="29"/>
  <c r="Q2431" i="29"/>
  <c r="V2428" i="29"/>
  <c r="U2428" i="29"/>
  <c r="T2428" i="29"/>
  <c r="R2428" i="29"/>
  <c r="Q2428" i="29"/>
  <c r="V2427" i="29"/>
  <c r="U2427" i="29"/>
  <c r="T2427" i="29"/>
  <c r="R2427" i="29"/>
  <c r="Q2427" i="29"/>
  <c r="V2426" i="29"/>
  <c r="U2426" i="29"/>
  <c r="T2426" i="29"/>
  <c r="R2426" i="29"/>
  <c r="Q2426" i="29"/>
  <c r="V2425" i="29"/>
  <c r="U2425" i="29"/>
  <c r="T2425" i="29"/>
  <c r="R2425" i="29"/>
  <c r="Q2425" i="29"/>
  <c r="V2424" i="29"/>
  <c r="U2424" i="29"/>
  <c r="T2424" i="29"/>
  <c r="R2424" i="29"/>
  <c r="Q2424" i="29"/>
  <c r="V2423" i="29"/>
  <c r="U2423" i="29"/>
  <c r="T2423" i="29"/>
  <c r="R2423" i="29"/>
  <c r="Q2423" i="29"/>
  <c r="V2422" i="29"/>
  <c r="U2422" i="29"/>
  <c r="T2422" i="29"/>
  <c r="R2422" i="29"/>
  <c r="Q2422" i="29"/>
  <c r="V2421" i="29"/>
  <c r="U2421" i="29"/>
  <c r="T2421" i="29"/>
  <c r="R2421" i="29"/>
  <c r="Q2421" i="29"/>
  <c r="V2420" i="29"/>
  <c r="U2420" i="29"/>
  <c r="T2420" i="29"/>
  <c r="R2420" i="29"/>
  <c r="Q2420" i="29"/>
  <c r="V2410" i="29"/>
  <c r="U2410" i="29"/>
  <c r="T2410" i="29"/>
  <c r="R2410" i="29"/>
  <c r="Q2410" i="29"/>
  <c r="V2409" i="29"/>
  <c r="U2409" i="29"/>
  <c r="T2409" i="29"/>
  <c r="R2409" i="29"/>
  <c r="Q2409" i="29"/>
  <c r="V2408" i="29"/>
  <c r="U2408" i="29"/>
  <c r="T2408" i="29"/>
  <c r="R2408" i="29"/>
  <c r="Q2408" i="29"/>
  <c r="V2407" i="29"/>
  <c r="U2407" i="29"/>
  <c r="T2407" i="29"/>
  <c r="R2407" i="29"/>
  <c r="Q2407" i="29"/>
  <c r="V2406" i="29"/>
  <c r="U2406" i="29"/>
  <c r="T2406" i="29"/>
  <c r="R2406" i="29"/>
  <c r="Q2406" i="29"/>
  <c r="V2405" i="29"/>
  <c r="U2405" i="29"/>
  <c r="T2405" i="29"/>
  <c r="R2405" i="29"/>
  <c r="Q2405" i="29"/>
  <c r="V2404" i="29"/>
  <c r="U2404" i="29"/>
  <c r="T2404" i="29"/>
  <c r="R2404" i="29"/>
  <c r="Q2404" i="29"/>
  <c r="V2403" i="29"/>
  <c r="U2403" i="29"/>
  <c r="T2403" i="29"/>
  <c r="R2403" i="29"/>
  <c r="Q2403" i="29"/>
  <c r="V2402" i="29"/>
  <c r="U2402" i="29"/>
  <c r="T2402" i="29"/>
  <c r="R2402" i="29"/>
  <c r="Q2402" i="29"/>
  <c r="V2399" i="29"/>
  <c r="U2399" i="29"/>
  <c r="T2399" i="29"/>
  <c r="R2399" i="29"/>
  <c r="Q2399" i="29"/>
  <c r="V2398" i="29"/>
  <c r="U2398" i="29"/>
  <c r="T2398" i="29"/>
  <c r="R2398" i="29"/>
  <c r="Q2398" i="29"/>
  <c r="V2397" i="29"/>
  <c r="U2397" i="29"/>
  <c r="T2397" i="29"/>
  <c r="R2397" i="29"/>
  <c r="Q2397" i="29"/>
  <c r="V2396" i="29"/>
  <c r="U2396" i="29"/>
  <c r="T2396" i="29"/>
  <c r="R2396" i="29"/>
  <c r="Q2396" i="29"/>
  <c r="V2395" i="29"/>
  <c r="U2395" i="29"/>
  <c r="T2395" i="29"/>
  <c r="R2395" i="29"/>
  <c r="Q2395" i="29"/>
  <c r="V2394" i="29"/>
  <c r="U2394" i="29"/>
  <c r="T2394" i="29"/>
  <c r="R2394" i="29"/>
  <c r="Q2394" i="29"/>
  <c r="V2393" i="29"/>
  <c r="U2393" i="29"/>
  <c r="T2393" i="29"/>
  <c r="R2393" i="29"/>
  <c r="Q2393" i="29"/>
  <c r="V2392" i="29"/>
  <c r="U2392" i="29"/>
  <c r="T2392" i="29"/>
  <c r="R2392" i="29"/>
  <c r="Q2392" i="29"/>
  <c r="V2391" i="29"/>
  <c r="U2391" i="29"/>
  <c r="T2391" i="29"/>
  <c r="R2391" i="29"/>
  <c r="Q2391" i="29"/>
  <c r="V2388" i="29"/>
  <c r="U2388" i="29"/>
  <c r="T2388" i="29"/>
  <c r="R2388" i="29"/>
  <c r="Q2388" i="29"/>
  <c r="V2387" i="29"/>
  <c r="U2387" i="29"/>
  <c r="T2387" i="29"/>
  <c r="R2387" i="29"/>
  <c r="Q2387" i="29"/>
  <c r="V2386" i="29"/>
  <c r="U2386" i="29"/>
  <c r="T2386" i="29"/>
  <c r="R2386" i="29"/>
  <c r="Q2386" i="29"/>
  <c r="V2385" i="29"/>
  <c r="U2385" i="29"/>
  <c r="T2385" i="29"/>
  <c r="R2385" i="29"/>
  <c r="Q2385" i="29"/>
  <c r="V2384" i="29"/>
  <c r="U2384" i="29"/>
  <c r="T2384" i="29"/>
  <c r="R2384" i="29"/>
  <c r="Q2384" i="29"/>
  <c r="V2383" i="29"/>
  <c r="U2383" i="29"/>
  <c r="T2383" i="29"/>
  <c r="R2383" i="29"/>
  <c r="Q2383" i="29"/>
  <c r="V2382" i="29"/>
  <c r="U2382" i="29"/>
  <c r="T2382" i="29"/>
  <c r="R2382" i="29"/>
  <c r="Q2382" i="29"/>
  <c r="V2381" i="29"/>
  <c r="U2381" i="29"/>
  <c r="T2381" i="29"/>
  <c r="R2381" i="29"/>
  <c r="Q2381" i="29"/>
  <c r="V2380" i="29"/>
  <c r="U2380" i="29"/>
  <c r="T2380" i="29"/>
  <c r="R2380" i="29"/>
  <c r="Q2380" i="29"/>
  <c r="V2377" i="29"/>
  <c r="U2377" i="29"/>
  <c r="T2377" i="29"/>
  <c r="R2377" i="29"/>
  <c r="Q2377" i="29"/>
  <c r="V2376" i="29"/>
  <c r="U2376" i="29"/>
  <c r="T2376" i="29"/>
  <c r="R2376" i="29"/>
  <c r="Q2376" i="29"/>
  <c r="V2375" i="29"/>
  <c r="U2375" i="29"/>
  <c r="T2375" i="29"/>
  <c r="R2375" i="29"/>
  <c r="Q2375" i="29"/>
  <c r="V2374" i="29"/>
  <c r="U2374" i="29"/>
  <c r="T2374" i="29"/>
  <c r="R2374" i="29"/>
  <c r="Q2374" i="29"/>
  <c r="V2373" i="29"/>
  <c r="U2373" i="29"/>
  <c r="T2373" i="29"/>
  <c r="R2373" i="29"/>
  <c r="Q2373" i="29"/>
  <c r="V2372" i="29"/>
  <c r="U2372" i="29"/>
  <c r="T2372" i="29"/>
  <c r="R2372" i="29"/>
  <c r="Q2372" i="29"/>
  <c r="V2371" i="29"/>
  <c r="U2371" i="29"/>
  <c r="T2371" i="29"/>
  <c r="R2371" i="29"/>
  <c r="Q2371" i="29"/>
  <c r="V2370" i="29"/>
  <c r="U2370" i="29"/>
  <c r="T2370" i="29"/>
  <c r="R2370" i="29"/>
  <c r="Q2370" i="29"/>
  <c r="V2369" i="29"/>
  <c r="U2369" i="29"/>
  <c r="T2369" i="29"/>
  <c r="R2369" i="29"/>
  <c r="Q2369" i="29"/>
  <c r="V2366" i="29"/>
  <c r="U2366" i="29"/>
  <c r="T2366" i="29"/>
  <c r="R2366" i="29"/>
  <c r="Q2366" i="29"/>
  <c r="V2365" i="29"/>
  <c r="U2365" i="29"/>
  <c r="T2365" i="29"/>
  <c r="R2365" i="29"/>
  <c r="Q2365" i="29"/>
  <c r="V2364" i="29"/>
  <c r="U2364" i="29"/>
  <c r="T2364" i="29"/>
  <c r="R2364" i="29"/>
  <c r="Q2364" i="29"/>
  <c r="V2363" i="29"/>
  <c r="U2363" i="29"/>
  <c r="T2363" i="29"/>
  <c r="R2363" i="29"/>
  <c r="Q2363" i="29"/>
  <c r="V2362" i="29"/>
  <c r="U2362" i="29"/>
  <c r="T2362" i="29"/>
  <c r="R2362" i="29"/>
  <c r="Q2362" i="29"/>
  <c r="V2361" i="29"/>
  <c r="U2361" i="29"/>
  <c r="T2361" i="29"/>
  <c r="R2361" i="29"/>
  <c r="Q2361" i="29"/>
  <c r="V2360" i="29"/>
  <c r="U2360" i="29"/>
  <c r="T2360" i="29"/>
  <c r="R2360" i="29"/>
  <c r="Q2360" i="29"/>
  <c r="V2359" i="29"/>
  <c r="U2359" i="29"/>
  <c r="T2359" i="29"/>
  <c r="R2359" i="29"/>
  <c r="Q2359" i="29"/>
  <c r="V2358" i="29"/>
  <c r="U2358" i="29"/>
  <c r="T2358" i="29"/>
  <c r="R2358" i="29"/>
  <c r="Q2358" i="29"/>
  <c r="V2355" i="29"/>
  <c r="U2355" i="29"/>
  <c r="T2355" i="29"/>
  <c r="R2355" i="29"/>
  <c r="Q2355" i="29"/>
  <c r="V2354" i="29"/>
  <c r="U2354" i="29"/>
  <c r="T2354" i="29"/>
  <c r="R2354" i="29"/>
  <c r="Q2354" i="29"/>
  <c r="V2353" i="29"/>
  <c r="U2353" i="29"/>
  <c r="T2353" i="29"/>
  <c r="R2353" i="29"/>
  <c r="Q2353" i="29"/>
  <c r="V2349" i="29"/>
  <c r="U2349" i="29"/>
  <c r="T2349" i="29"/>
  <c r="R2349" i="29"/>
  <c r="Q2349" i="29"/>
  <c r="V2348" i="29"/>
  <c r="U2348" i="29"/>
  <c r="T2348" i="29"/>
  <c r="R2348" i="29"/>
  <c r="Q2348" i="29"/>
  <c r="V2347" i="29"/>
  <c r="U2347" i="29"/>
  <c r="T2347" i="29"/>
  <c r="R2347" i="29"/>
  <c r="Q2347" i="29"/>
  <c r="V2346" i="29"/>
  <c r="U2346" i="29"/>
  <c r="T2346" i="29"/>
  <c r="R2346" i="29"/>
  <c r="Q2346" i="29"/>
  <c r="V2345" i="29"/>
  <c r="U2345" i="29"/>
  <c r="T2345" i="29"/>
  <c r="R2345" i="29"/>
  <c r="Q2345" i="29"/>
  <c r="V2344" i="29"/>
  <c r="U2344" i="29"/>
  <c r="T2344" i="29"/>
  <c r="R2344" i="29"/>
  <c r="Q2344" i="29"/>
  <c r="V2341" i="29"/>
  <c r="U2341" i="29"/>
  <c r="T2341" i="29"/>
  <c r="R2341" i="29"/>
  <c r="Q2341" i="29"/>
  <c r="V2340" i="29"/>
  <c r="U2340" i="29"/>
  <c r="T2340" i="29"/>
  <c r="R2340" i="29"/>
  <c r="Q2340" i="29"/>
  <c r="V2339" i="29"/>
  <c r="U2339" i="29"/>
  <c r="T2339" i="29"/>
  <c r="R2339" i="29"/>
  <c r="Q2339" i="29"/>
  <c r="V2338" i="29"/>
  <c r="U2338" i="29"/>
  <c r="T2338" i="29"/>
  <c r="R2338" i="29"/>
  <c r="Q2338" i="29"/>
  <c r="V2337" i="29"/>
  <c r="U2337" i="29"/>
  <c r="T2337" i="29"/>
  <c r="R2337" i="29"/>
  <c r="Q2337" i="29"/>
  <c r="V2336" i="29"/>
  <c r="U2336" i="29"/>
  <c r="T2336" i="29"/>
  <c r="R2336" i="29"/>
  <c r="Q2336" i="29"/>
  <c r="V2335" i="29"/>
  <c r="U2335" i="29"/>
  <c r="T2335" i="29"/>
  <c r="R2335" i="29"/>
  <c r="Q2335" i="29"/>
  <c r="V2334" i="29"/>
  <c r="U2334" i="29"/>
  <c r="T2334" i="29"/>
  <c r="R2334" i="29"/>
  <c r="Q2334" i="29"/>
  <c r="V2333" i="29"/>
  <c r="U2333" i="29"/>
  <c r="T2333" i="29"/>
  <c r="R2333" i="29"/>
  <c r="Q2333" i="29"/>
  <c r="V2330" i="29"/>
  <c r="U2330" i="29"/>
  <c r="T2330" i="29"/>
  <c r="R2330" i="29"/>
  <c r="Q2330" i="29"/>
  <c r="V2329" i="29"/>
  <c r="U2329" i="29"/>
  <c r="T2329" i="29"/>
  <c r="R2329" i="29"/>
  <c r="Q2329" i="29"/>
  <c r="V2328" i="29"/>
  <c r="U2328" i="29"/>
  <c r="T2328" i="29"/>
  <c r="R2328" i="29"/>
  <c r="Q2328" i="29"/>
  <c r="V2327" i="29"/>
  <c r="U2327" i="29"/>
  <c r="T2327" i="29"/>
  <c r="R2327" i="29"/>
  <c r="Q2327" i="29"/>
  <c r="V2326" i="29"/>
  <c r="U2326" i="29"/>
  <c r="T2326" i="29"/>
  <c r="R2326" i="29"/>
  <c r="Q2326" i="29"/>
  <c r="V2325" i="29"/>
  <c r="U2325" i="29"/>
  <c r="T2325" i="29"/>
  <c r="R2325" i="29"/>
  <c r="Q2325" i="29"/>
  <c r="V2324" i="29"/>
  <c r="U2324" i="29"/>
  <c r="T2324" i="29"/>
  <c r="R2324" i="29"/>
  <c r="Q2324" i="29"/>
  <c r="V2323" i="29"/>
  <c r="U2323" i="29"/>
  <c r="T2323" i="29"/>
  <c r="R2323" i="29"/>
  <c r="Q2323" i="29"/>
  <c r="V2322" i="29"/>
  <c r="U2322" i="29"/>
  <c r="T2322" i="29"/>
  <c r="R2322" i="29"/>
  <c r="Q2322" i="29"/>
  <c r="V2319" i="29"/>
  <c r="U2319" i="29"/>
  <c r="T2319" i="29"/>
  <c r="R2319" i="29"/>
  <c r="Q2319" i="29"/>
  <c r="V2318" i="29"/>
  <c r="U2318" i="29"/>
  <c r="T2318" i="29"/>
  <c r="R2318" i="29"/>
  <c r="Q2318" i="29"/>
  <c r="V2317" i="29"/>
  <c r="U2317" i="29"/>
  <c r="T2317" i="29"/>
  <c r="R2317" i="29"/>
  <c r="Q2317" i="29"/>
  <c r="V2316" i="29"/>
  <c r="U2316" i="29"/>
  <c r="T2316" i="29"/>
  <c r="R2316" i="29"/>
  <c r="Q2316" i="29"/>
  <c r="V2315" i="29"/>
  <c r="U2315" i="29"/>
  <c r="T2315" i="29"/>
  <c r="R2315" i="29"/>
  <c r="Q2315" i="29"/>
  <c r="V2314" i="29"/>
  <c r="U2314" i="29"/>
  <c r="T2314" i="29"/>
  <c r="R2314" i="29"/>
  <c r="Q2314" i="29"/>
  <c r="V2313" i="29"/>
  <c r="U2313" i="29"/>
  <c r="T2313" i="29"/>
  <c r="R2313" i="29"/>
  <c r="Q2313" i="29"/>
  <c r="V2312" i="29"/>
  <c r="U2312" i="29"/>
  <c r="T2312" i="29"/>
  <c r="R2312" i="29"/>
  <c r="Q2312" i="29"/>
  <c r="V2311" i="29"/>
  <c r="U2311" i="29"/>
  <c r="T2311" i="29"/>
  <c r="R2311" i="29"/>
  <c r="Q2311" i="29"/>
  <c r="V2308" i="29"/>
  <c r="U2308" i="29"/>
  <c r="T2308" i="29"/>
  <c r="R2308" i="29"/>
  <c r="Q2308" i="29"/>
  <c r="V2307" i="29"/>
  <c r="U2307" i="29"/>
  <c r="T2307" i="29"/>
  <c r="R2307" i="29"/>
  <c r="Q2307" i="29"/>
  <c r="V2306" i="29"/>
  <c r="U2306" i="29"/>
  <c r="T2306" i="29"/>
  <c r="R2306" i="29"/>
  <c r="Q2306" i="29"/>
  <c r="V2305" i="29"/>
  <c r="U2305" i="29"/>
  <c r="T2305" i="29"/>
  <c r="R2305" i="29"/>
  <c r="Q2305" i="29"/>
  <c r="V2304" i="29"/>
  <c r="U2304" i="29"/>
  <c r="T2304" i="29"/>
  <c r="R2304" i="29"/>
  <c r="Q2304" i="29"/>
  <c r="V2303" i="29"/>
  <c r="U2303" i="29"/>
  <c r="T2303" i="29"/>
  <c r="R2303" i="29"/>
  <c r="Q2303" i="29"/>
  <c r="V2302" i="29"/>
  <c r="U2302" i="29"/>
  <c r="T2302" i="29"/>
  <c r="R2302" i="29"/>
  <c r="Q2302" i="29"/>
  <c r="V2301" i="29"/>
  <c r="U2301" i="29"/>
  <c r="T2301" i="29"/>
  <c r="R2301" i="29"/>
  <c r="Q2301" i="29"/>
  <c r="V2300" i="29"/>
  <c r="U2300" i="29"/>
  <c r="T2300" i="29"/>
  <c r="R2300" i="29"/>
  <c r="Q2300" i="29"/>
  <c r="V2297" i="29"/>
  <c r="U2297" i="29"/>
  <c r="T2297" i="29"/>
  <c r="R2297" i="29"/>
  <c r="Q2297" i="29"/>
  <c r="V2296" i="29"/>
  <c r="U2296" i="29"/>
  <c r="T2296" i="29"/>
  <c r="R2296" i="29"/>
  <c r="Q2296" i="29"/>
  <c r="V2295" i="29"/>
  <c r="U2295" i="29"/>
  <c r="T2295" i="29"/>
  <c r="R2295" i="29"/>
  <c r="Q2295" i="29"/>
  <c r="V2294" i="29"/>
  <c r="U2294" i="29"/>
  <c r="T2294" i="29"/>
  <c r="R2294" i="29"/>
  <c r="Q2294" i="29"/>
  <c r="V2293" i="29"/>
  <c r="U2293" i="29"/>
  <c r="T2293" i="29"/>
  <c r="R2293" i="29"/>
  <c r="Q2293" i="29"/>
  <c r="V2292" i="29"/>
  <c r="U2292" i="29"/>
  <c r="T2292" i="29"/>
  <c r="R2292" i="29"/>
  <c r="Q2292" i="29"/>
  <c r="V2291" i="29"/>
  <c r="U2291" i="29"/>
  <c r="T2291" i="29"/>
  <c r="R2291" i="29"/>
  <c r="Q2291" i="29"/>
  <c r="V2290" i="29"/>
  <c r="U2290" i="29"/>
  <c r="T2290" i="29"/>
  <c r="R2290" i="29"/>
  <c r="Q2290" i="29"/>
  <c r="V2289" i="29"/>
  <c r="U2289" i="29"/>
  <c r="T2289" i="29"/>
  <c r="R2289" i="29"/>
  <c r="Q2289" i="29"/>
  <c r="V2286" i="29"/>
  <c r="U2286" i="29"/>
  <c r="T2286" i="29"/>
  <c r="R2286" i="29"/>
  <c r="Q2286" i="29"/>
  <c r="V2285" i="29"/>
  <c r="U2285" i="29"/>
  <c r="T2285" i="29"/>
  <c r="R2285" i="29"/>
  <c r="Q2285" i="29"/>
  <c r="V2284" i="29"/>
  <c r="U2284" i="29"/>
  <c r="T2284" i="29"/>
  <c r="R2284" i="29"/>
  <c r="Q2284" i="29"/>
  <c r="V2283" i="29"/>
  <c r="U2283" i="29"/>
  <c r="T2283" i="29"/>
  <c r="R2283" i="29"/>
  <c r="Q2283" i="29"/>
  <c r="V2282" i="29"/>
  <c r="U2282" i="29"/>
  <c r="T2282" i="29"/>
  <c r="R2282" i="29"/>
  <c r="Q2282" i="29"/>
  <c r="V2281" i="29"/>
  <c r="U2281" i="29"/>
  <c r="T2281" i="29"/>
  <c r="R2281" i="29"/>
  <c r="Q2281" i="29"/>
  <c r="V2280" i="29"/>
  <c r="U2280" i="29"/>
  <c r="T2280" i="29"/>
  <c r="R2280" i="29"/>
  <c r="Q2280" i="29"/>
  <c r="V2279" i="29"/>
  <c r="U2279" i="29"/>
  <c r="T2279" i="29"/>
  <c r="R2279" i="29"/>
  <c r="Q2279" i="29"/>
  <c r="V2278" i="29"/>
  <c r="U2278" i="29"/>
  <c r="T2278" i="29"/>
  <c r="R2278" i="29"/>
  <c r="Q2278" i="29"/>
  <c r="V2275" i="29"/>
  <c r="U2275" i="29"/>
  <c r="T2275" i="29"/>
  <c r="R2275" i="29"/>
  <c r="Q2275" i="29"/>
  <c r="V2274" i="29"/>
  <c r="U2274" i="29"/>
  <c r="T2274" i="29"/>
  <c r="R2274" i="29"/>
  <c r="Q2274" i="29"/>
  <c r="V2273" i="29"/>
  <c r="U2273" i="29"/>
  <c r="T2273" i="29"/>
  <c r="R2273" i="29"/>
  <c r="Q2273" i="29"/>
  <c r="V2272" i="29"/>
  <c r="U2272" i="29"/>
  <c r="T2272" i="29"/>
  <c r="R2272" i="29"/>
  <c r="Q2272" i="29"/>
  <c r="V2271" i="29"/>
  <c r="U2271" i="29"/>
  <c r="T2271" i="29"/>
  <c r="R2271" i="29"/>
  <c r="Q2271" i="29"/>
  <c r="V2270" i="29"/>
  <c r="U2270" i="29"/>
  <c r="T2270" i="29"/>
  <c r="R2270" i="29"/>
  <c r="Q2270" i="29"/>
  <c r="V2269" i="29"/>
  <c r="U2269" i="29"/>
  <c r="T2269" i="29"/>
  <c r="R2269" i="29"/>
  <c r="Q2269" i="29"/>
  <c r="V2268" i="29"/>
  <c r="U2268" i="29"/>
  <c r="T2268" i="29"/>
  <c r="R2268" i="29"/>
  <c r="Q2268" i="29"/>
  <c r="V2267" i="29"/>
  <c r="U2267" i="29"/>
  <c r="T2267" i="29"/>
  <c r="R2267" i="29"/>
  <c r="Q2267" i="29"/>
  <c r="V2264" i="29"/>
  <c r="U2264" i="29"/>
  <c r="T2264" i="29"/>
  <c r="R2264" i="29"/>
  <c r="Q2264" i="29"/>
  <c r="V2263" i="29"/>
  <c r="U2263" i="29"/>
  <c r="T2263" i="29"/>
  <c r="R2263" i="29"/>
  <c r="Q2263" i="29"/>
  <c r="V2262" i="29"/>
  <c r="U2262" i="29"/>
  <c r="T2262" i="29"/>
  <c r="R2262" i="29"/>
  <c r="Q2262" i="29"/>
  <c r="V2261" i="29"/>
  <c r="U2261" i="29"/>
  <c r="T2261" i="29"/>
  <c r="R2261" i="29"/>
  <c r="Q2261" i="29"/>
  <c r="V2260" i="29"/>
  <c r="U2260" i="29"/>
  <c r="T2260" i="29"/>
  <c r="R2260" i="29"/>
  <c r="Q2260" i="29"/>
  <c r="V2259" i="29"/>
  <c r="U2259" i="29"/>
  <c r="T2259" i="29"/>
  <c r="R2259" i="29"/>
  <c r="Q2259" i="29"/>
  <c r="V2258" i="29"/>
  <c r="U2258" i="29"/>
  <c r="T2258" i="29"/>
  <c r="R2258" i="29"/>
  <c r="Q2258" i="29"/>
  <c r="V2257" i="29"/>
  <c r="U2257" i="29"/>
  <c r="T2257" i="29"/>
  <c r="R2257" i="29"/>
  <c r="Q2257" i="29"/>
  <c r="V2256" i="29"/>
  <c r="U2256" i="29"/>
  <c r="T2256" i="29"/>
  <c r="R2256" i="29"/>
  <c r="Q2256" i="29"/>
  <c r="V2253" i="29"/>
  <c r="U2253" i="29"/>
  <c r="T2253" i="29"/>
  <c r="R2253" i="29"/>
  <c r="Q2253" i="29"/>
  <c r="V2252" i="29"/>
  <c r="U2252" i="29"/>
  <c r="T2252" i="29"/>
  <c r="R2252" i="29"/>
  <c r="Q2252" i="29"/>
  <c r="V2251" i="29"/>
  <c r="U2251" i="29"/>
  <c r="T2251" i="29"/>
  <c r="R2251" i="29"/>
  <c r="Q2251" i="29"/>
  <c r="V2250" i="29"/>
  <c r="U2250" i="29"/>
  <c r="T2250" i="29"/>
  <c r="R2250" i="29"/>
  <c r="Q2250" i="29"/>
  <c r="V2249" i="29"/>
  <c r="U2249" i="29"/>
  <c r="T2249" i="29"/>
  <c r="R2249" i="29"/>
  <c r="Q2249" i="29"/>
  <c r="V2248" i="29"/>
  <c r="U2248" i="29"/>
  <c r="T2248" i="29"/>
  <c r="R2248" i="29"/>
  <c r="Q2248" i="29"/>
  <c r="V2247" i="29"/>
  <c r="U2247" i="29"/>
  <c r="T2247" i="29"/>
  <c r="R2247" i="29"/>
  <c r="Q2247" i="29"/>
  <c r="V2246" i="29"/>
  <c r="U2246" i="29"/>
  <c r="T2246" i="29"/>
  <c r="R2246" i="29"/>
  <c r="Q2246" i="29"/>
  <c r="V2245" i="29"/>
  <c r="U2245" i="29"/>
  <c r="T2245" i="29"/>
  <c r="R2245" i="29"/>
  <c r="Q2245" i="29"/>
  <c r="V2242" i="29"/>
  <c r="U2242" i="29"/>
  <c r="T2242" i="29"/>
  <c r="R2242" i="29"/>
  <c r="Q2242" i="29"/>
  <c r="V2241" i="29"/>
  <c r="U2241" i="29"/>
  <c r="T2241" i="29"/>
  <c r="R2241" i="29"/>
  <c r="Q2241" i="29"/>
  <c r="V2240" i="29"/>
  <c r="U2240" i="29"/>
  <c r="T2240" i="29"/>
  <c r="R2240" i="29"/>
  <c r="Q2240" i="29"/>
  <c r="V2239" i="29"/>
  <c r="U2239" i="29"/>
  <c r="T2239" i="29"/>
  <c r="R2239" i="29"/>
  <c r="Q2239" i="29"/>
  <c r="V2238" i="29"/>
  <c r="U2238" i="29"/>
  <c r="T2238" i="29"/>
  <c r="R2238" i="29"/>
  <c r="Q2238" i="29"/>
  <c r="V2237" i="29"/>
  <c r="U2237" i="29"/>
  <c r="T2237" i="29"/>
  <c r="R2237" i="29"/>
  <c r="Q2237" i="29"/>
  <c r="V2236" i="29"/>
  <c r="U2236" i="29"/>
  <c r="T2236" i="29"/>
  <c r="R2236" i="29"/>
  <c r="Q2236" i="29"/>
  <c r="V2235" i="29"/>
  <c r="U2235" i="29"/>
  <c r="T2235" i="29"/>
  <c r="R2235" i="29"/>
  <c r="Q2235" i="29"/>
  <c r="V2234" i="29"/>
  <c r="U2234" i="29"/>
  <c r="T2234" i="29"/>
  <c r="R2234" i="29"/>
  <c r="Q2234" i="29"/>
  <c r="V2231" i="29"/>
  <c r="U2231" i="29"/>
  <c r="T2231" i="29"/>
  <c r="R2231" i="29"/>
  <c r="Q2231" i="29"/>
  <c r="V2230" i="29"/>
  <c r="U2230" i="29"/>
  <c r="T2230" i="29"/>
  <c r="R2230" i="29"/>
  <c r="Q2230" i="29"/>
  <c r="V2229" i="29"/>
  <c r="U2229" i="29"/>
  <c r="T2229" i="29"/>
  <c r="R2229" i="29"/>
  <c r="Q2229" i="29"/>
  <c r="V2228" i="29"/>
  <c r="U2228" i="29"/>
  <c r="T2228" i="29"/>
  <c r="R2228" i="29"/>
  <c r="Q2228" i="29"/>
  <c r="V2227" i="29"/>
  <c r="U2227" i="29"/>
  <c r="T2227" i="29"/>
  <c r="R2227" i="29"/>
  <c r="Q2227" i="29"/>
  <c r="V2226" i="29"/>
  <c r="U2226" i="29"/>
  <c r="T2226" i="29"/>
  <c r="R2226" i="29"/>
  <c r="Q2226" i="29"/>
  <c r="V2225" i="29"/>
  <c r="U2225" i="29"/>
  <c r="T2225" i="29"/>
  <c r="R2225" i="29"/>
  <c r="Q2225" i="29"/>
  <c r="V2224" i="29"/>
  <c r="U2224" i="29"/>
  <c r="T2224" i="29"/>
  <c r="R2224" i="29"/>
  <c r="Q2224" i="29"/>
  <c r="V2223" i="29"/>
  <c r="U2223" i="29"/>
  <c r="T2223" i="29"/>
  <c r="R2223" i="29"/>
  <c r="Q2223" i="29"/>
  <c r="V2220" i="29"/>
  <c r="U2220" i="29"/>
  <c r="T2220" i="29"/>
  <c r="R2220" i="29"/>
  <c r="Q2220" i="29"/>
  <c r="V2219" i="29"/>
  <c r="U2219" i="29"/>
  <c r="T2219" i="29"/>
  <c r="R2219" i="29"/>
  <c r="Q2219" i="29"/>
  <c r="V2218" i="29"/>
  <c r="U2218" i="29"/>
  <c r="T2218" i="29"/>
  <c r="R2218" i="29"/>
  <c r="Q2218" i="29"/>
  <c r="V2217" i="29"/>
  <c r="U2217" i="29"/>
  <c r="T2217" i="29"/>
  <c r="R2217" i="29"/>
  <c r="Q2217" i="29"/>
  <c r="V2216" i="29"/>
  <c r="U2216" i="29"/>
  <c r="T2216" i="29"/>
  <c r="R2216" i="29"/>
  <c r="Q2216" i="29"/>
  <c r="V2215" i="29"/>
  <c r="U2215" i="29"/>
  <c r="T2215" i="29"/>
  <c r="R2215" i="29"/>
  <c r="Q2215" i="29"/>
  <c r="V2214" i="29"/>
  <c r="U2214" i="29"/>
  <c r="T2214" i="29"/>
  <c r="R2214" i="29"/>
  <c r="Q2214" i="29"/>
  <c r="V2213" i="29"/>
  <c r="U2213" i="29"/>
  <c r="T2213" i="29"/>
  <c r="R2213" i="29"/>
  <c r="Q2213" i="29"/>
  <c r="V2212" i="29"/>
  <c r="U2212" i="29"/>
  <c r="T2212" i="29"/>
  <c r="R2212" i="29"/>
  <c r="Q2212" i="29"/>
  <c r="V2209" i="29"/>
  <c r="U2209" i="29"/>
  <c r="T2209" i="29"/>
  <c r="R2209" i="29"/>
  <c r="Q2209" i="29"/>
  <c r="V2208" i="29"/>
  <c r="U2208" i="29"/>
  <c r="T2208" i="29"/>
  <c r="R2208" i="29"/>
  <c r="Q2208" i="29"/>
  <c r="V2207" i="29"/>
  <c r="U2207" i="29"/>
  <c r="T2207" i="29"/>
  <c r="R2207" i="29"/>
  <c r="Q2207" i="29"/>
  <c r="V2206" i="29"/>
  <c r="U2206" i="29"/>
  <c r="T2206" i="29"/>
  <c r="R2206" i="29"/>
  <c r="Q2206" i="29"/>
  <c r="V2205" i="29"/>
  <c r="U2205" i="29"/>
  <c r="T2205" i="29"/>
  <c r="R2205" i="29"/>
  <c r="Q2205" i="29"/>
  <c r="V2204" i="29"/>
  <c r="U2204" i="29"/>
  <c r="T2204" i="29"/>
  <c r="R2204" i="29"/>
  <c r="Q2204" i="29"/>
  <c r="V2203" i="29"/>
  <c r="U2203" i="29"/>
  <c r="T2203" i="29"/>
  <c r="R2203" i="29"/>
  <c r="Q2203" i="29"/>
  <c r="V2202" i="29"/>
  <c r="U2202" i="29"/>
  <c r="T2202" i="29"/>
  <c r="R2202" i="29"/>
  <c r="Q2202" i="29"/>
  <c r="V2201" i="29"/>
  <c r="U2201" i="29"/>
  <c r="T2201" i="29"/>
  <c r="R2201" i="29"/>
  <c r="Q2201" i="29"/>
  <c r="V2198" i="29"/>
  <c r="U2198" i="29"/>
  <c r="T2198" i="29"/>
  <c r="R2198" i="29"/>
  <c r="Q2198" i="29"/>
  <c r="V2197" i="29"/>
  <c r="U2197" i="29"/>
  <c r="T2197" i="29"/>
  <c r="R2197" i="29"/>
  <c r="Q2197" i="29"/>
  <c r="V2196" i="29"/>
  <c r="U2196" i="29"/>
  <c r="T2196" i="29"/>
  <c r="R2196" i="29"/>
  <c r="Q2196" i="29"/>
  <c r="V2195" i="29"/>
  <c r="U2195" i="29"/>
  <c r="T2195" i="29"/>
  <c r="R2195" i="29"/>
  <c r="Q2195" i="29"/>
  <c r="V2194" i="29"/>
  <c r="U2194" i="29"/>
  <c r="T2194" i="29"/>
  <c r="R2194" i="29"/>
  <c r="Q2194" i="29"/>
  <c r="V2193" i="29"/>
  <c r="U2193" i="29"/>
  <c r="T2193" i="29"/>
  <c r="R2193" i="29"/>
  <c r="Q2193" i="29"/>
  <c r="V2192" i="29"/>
  <c r="U2192" i="29"/>
  <c r="T2192" i="29"/>
  <c r="R2192" i="29"/>
  <c r="Q2192" i="29"/>
  <c r="V2191" i="29"/>
  <c r="U2191" i="29"/>
  <c r="T2191" i="29"/>
  <c r="R2191" i="29"/>
  <c r="Q2191" i="29"/>
  <c r="V2190" i="29"/>
  <c r="U2190" i="29"/>
  <c r="T2190" i="29"/>
  <c r="R2190" i="29"/>
  <c r="Q2190" i="29"/>
  <c r="V2187" i="29"/>
  <c r="U2187" i="29"/>
  <c r="T2187" i="29"/>
  <c r="R2187" i="29"/>
  <c r="Q2187" i="29"/>
  <c r="V2186" i="29"/>
  <c r="U2186" i="29"/>
  <c r="T2186" i="29"/>
  <c r="R2186" i="29"/>
  <c r="Q2186" i="29"/>
  <c r="V2185" i="29"/>
  <c r="U2185" i="29"/>
  <c r="T2185" i="29"/>
  <c r="R2185" i="29"/>
  <c r="Q2185" i="29"/>
  <c r="V2184" i="29"/>
  <c r="U2184" i="29"/>
  <c r="T2184" i="29"/>
  <c r="R2184" i="29"/>
  <c r="Q2184" i="29"/>
  <c r="V2183" i="29"/>
  <c r="U2183" i="29"/>
  <c r="T2183" i="29"/>
  <c r="R2183" i="29"/>
  <c r="Q2183" i="29"/>
  <c r="V2182" i="29"/>
  <c r="U2182" i="29"/>
  <c r="T2182" i="29"/>
  <c r="R2182" i="29"/>
  <c r="Q2182" i="29"/>
  <c r="V2181" i="29"/>
  <c r="U2181" i="29"/>
  <c r="T2181" i="29"/>
  <c r="R2181" i="29"/>
  <c r="Q2181" i="29"/>
  <c r="V2180" i="29"/>
  <c r="U2180" i="29"/>
  <c r="T2180" i="29"/>
  <c r="R2180" i="29"/>
  <c r="Q2180" i="29"/>
  <c r="V2179" i="29"/>
  <c r="U2179" i="29"/>
  <c r="T2179" i="29"/>
  <c r="R2179" i="29"/>
  <c r="Q2179" i="29"/>
  <c r="V2176" i="29"/>
  <c r="U2176" i="29"/>
  <c r="T2176" i="29"/>
  <c r="R2176" i="29"/>
  <c r="Q2176" i="29"/>
  <c r="V2175" i="29"/>
  <c r="U2175" i="29"/>
  <c r="T2175" i="29"/>
  <c r="R2175" i="29"/>
  <c r="Q2175" i="29"/>
  <c r="V2174" i="29"/>
  <c r="U2174" i="29"/>
  <c r="T2174" i="29"/>
  <c r="R2174" i="29"/>
  <c r="Q2174" i="29"/>
  <c r="V2173" i="29"/>
  <c r="U2173" i="29"/>
  <c r="T2173" i="29"/>
  <c r="R2173" i="29"/>
  <c r="Q2173" i="29"/>
  <c r="V2172" i="29"/>
  <c r="U2172" i="29"/>
  <c r="T2172" i="29"/>
  <c r="R2172" i="29"/>
  <c r="Q2172" i="29"/>
  <c r="V2171" i="29"/>
  <c r="U2171" i="29"/>
  <c r="T2171" i="29"/>
  <c r="R2171" i="29"/>
  <c r="Q2171" i="29"/>
  <c r="V2170" i="29"/>
  <c r="U2170" i="29"/>
  <c r="T2170" i="29"/>
  <c r="R2170" i="29"/>
  <c r="Q2170" i="29"/>
  <c r="V2169" i="29"/>
  <c r="U2169" i="29"/>
  <c r="T2169" i="29"/>
  <c r="R2169" i="29"/>
  <c r="Q2169" i="29"/>
  <c r="V2168" i="29"/>
  <c r="U2168" i="29"/>
  <c r="W2168" i="29" s="1"/>
  <c r="X2168" i="29" s="1"/>
  <c r="T2168" i="29"/>
  <c r="R2168" i="29"/>
  <c r="Q2168" i="29"/>
  <c r="V2165" i="29"/>
  <c r="U2165" i="29"/>
  <c r="T2165" i="29"/>
  <c r="R2165" i="29"/>
  <c r="Q2165" i="29"/>
  <c r="V2164" i="29"/>
  <c r="U2164" i="29"/>
  <c r="T2164" i="29"/>
  <c r="R2164" i="29"/>
  <c r="Q2164" i="29"/>
  <c r="V2163" i="29"/>
  <c r="U2163" i="29"/>
  <c r="T2163" i="29"/>
  <c r="R2163" i="29"/>
  <c r="Q2163" i="29"/>
  <c r="V2162" i="29"/>
  <c r="U2162" i="29"/>
  <c r="T2162" i="29"/>
  <c r="R2162" i="29"/>
  <c r="Q2162" i="29"/>
  <c r="V2161" i="29"/>
  <c r="U2161" i="29"/>
  <c r="T2161" i="29"/>
  <c r="R2161" i="29"/>
  <c r="Q2161" i="29"/>
  <c r="V2160" i="29"/>
  <c r="U2160" i="29"/>
  <c r="T2160" i="29"/>
  <c r="R2160" i="29"/>
  <c r="Q2160" i="29"/>
  <c r="V2159" i="29"/>
  <c r="U2159" i="29"/>
  <c r="T2159" i="29"/>
  <c r="R2159" i="29"/>
  <c r="Q2159" i="29"/>
  <c r="V2158" i="29"/>
  <c r="U2158" i="29"/>
  <c r="T2158" i="29"/>
  <c r="R2158" i="29"/>
  <c r="Q2158" i="29"/>
  <c r="V2157" i="29"/>
  <c r="U2157" i="29"/>
  <c r="T2157" i="29"/>
  <c r="R2157" i="29"/>
  <c r="Q2157" i="29"/>
  <c r="V2154" i="29"/>
  <c r="U2154" i="29"/>
  <c r="T2154" i="29"/>
  <c r="R2154" i="29"/>
  <c r="Q2154" i="29"/>
  <c r="V2153" i="29"/>
  <c r="U2153" i="29"/>
  <c r="T2153" i="29"/>
  <c r="R2153" i="29"/>
  <c r="Q2153" i="29"/>
  <c r="V2152" i="29"/>
  <c r="U2152" i="29"/>
  <c r="T2152" i="29"/>
  <c r="R2152" i="29"/>
  <c r="Q2152" i="29"/>
  <c r="V2151" i="29"/>
  <c r="U2151" i="29"/>
  <c r="T2151" i="29"/>
  <c r="R2151" i="29"/>
  <c r="Q2151" i="29"/>
  <c r="V2150" i="29"/>
  <c r="U2150" i="29"/>
  <c r="T2150" i="29"/>
  <c r="R2150" i="29"/>
  <c r="Q2150" i="29"/>
  <c r="V2149" i="29"/>
  <c r="U2149" i="29"/>
  <c r="T2149" i="29"/>
  <c r="R2149" i="29"/>
  <c r="Q2149" i="29"/>
  <c r="V2148" i="29"/>
  <c r="U2148" i="29"/>
  <c r="T2148" i="29"/>
  <c r="R2148" i="29"/>
  <c r="Q2148" i="29"/>
  <c r="V2147" i="29"/>
  <c r="U2147" i="29"/>
  <c r="T2147" i="29"/>
  <c r="R2147" i="29"/>
  <c r="Q2147" i="29"/>
  <c r="V2146" i="29"/>
  <c r="U2146" i="29"/>
  <c r="T2146" i="29"/>
  <c r="R2146" i="29"/>
  <c r="Q2146" i="29"/>
  <c r="V2143" i="29"/>
  <c r="U2143" i="29"/>
  <c r="T2143" i="29"/>
  <c r="R2143" i="29"/>
  <c r="Q2143" i="29"/>
  <c r="V2142" i="29"/>
  <c r="U2142" i="29"/>
  <c r="T2142" i="29"/>
  <c r="R2142" i="29"/>
  <c r="Q2142" i="29"/>
  <c r="V2141" i="29"/>
  <c r="U2141" i="29"/>
  <c r="T2141" i="29"/>
  <c r="R2141" i="29"/>
  <c r="Q2141" i="29"/>
  <c r="V2140" i="29"/>
  <c r="U2140" i="29"/>
  <c r="T2140" i="29"/>
  <c r="R2140" i="29"/>
  <c r="Q2140" i="29"/>
  <c r="V2139" i="29"/>
  <c r="U2139" i="29"/>
  <c r="T2139" i="29"/>
  <c r="R2139" i="29"/>
  <c r="Q2139" i="29"/>
  <c r="V2138" i="29"/>
  <c r="U2138" i="29"/>
  <c r="T2138" i="29"/>
  <c r="R2138" i="29"/>
  <c r="Q2138" i="29"/>
  <c r="V2137" i="29"/>
  <c r="U2137" i="29"/>
  <c r="T2137" i="29"/>
  <c r="R2137" i="29"/>
  <c r="Q2137" i="29"/>
  <c r="V2136" i="29"/>
  <c r="U2136" i="29"/>
  <c r="T2136" i="29"/>
  <c r="R2136" i="29"/>
  <c r="Q2136" i="29"/>
  <c r="V2135" i="29"/>
  <c r="U2135" i="29"/>
  <c r="T2135" i="29"/>
  <c r="R2135" i="29"/>
  <c r="Q2135" i="29"/>
  <c r="V2132" i="29"/>
  <c r="U2132" i="29"/>
  <c r="T2132" i="29"/>
  <c r="R2132" i="29"/>
  <c r="Q2132" i="29"/>
  <c r="V2131" i="29"/>
  <c r="U2131" i="29"/>
  <c r="T2131" i="29"/>
  <c r="R2131" i="29"/>
  <c r="Q2131" i="29"/>
  <c r="V2130" i="29"/>
  <c r="U2130" i="29"/>
  <c r="T2130" i="29"/>
  <c r="R2130" i="29"/>
  <c r="Q2130" i="29"/>
  <c r="V2129" i="29"/>
  <c r="U2129" i="29"/>
  <c r="T2129" i="29"/>
  <c r="R2129" i="29"/>
  <c r="Q2129" i="29"/>
  <c r="V2128" i="29"/>
  <c r="U2128" i="29"/>
  <c r="T2128" i="29"/>
  <c r="R2128" i="29"/>
  <c r="Q2128" i="29"/>
  <c r="V2127" i="29"/>
  <c r="U2127" i="29"/>
  <c r="T2127" i="29"/>
  <c r="R2127" i="29"/>
  <c r="Q2127" i="29"/>
  <c r="V2126" i="29"/>
  <c r="U2126" i="29"/>
  <c r="T2126" i="29"/>
  <c r="R2126" i="29"/>
  <c r="Q2126" i="29"/>
  <c r="V2125" i="29"/>
  <c r="U2125" i="29"/>
  <c r="T2125" i="29"/>
  <c r="R2125" i="29"/>
  <c r="Q2125" i="29"/>
  <c r="V2124" i="29"/>
  <c r="U2124" i="29"/>
  <c r="T2124" i="29"/>
  <c r="R2124" i="29"/>
  <c r="Q2124" i="29"/>
  <c r="V2121" i="29"/>
  <c r="U2121" i="29"/>
  <c r="T2121" i="29"/>
  <c r="R2121" i="29"/>
  <c r="Q2121" i="29"/>
  <c r="V2120" i="29"/>
  <c r="U2120" i="29"/>
  <c r="T2120" i="29"/>
  <c r="R2120" i="29"/>
  <c r="Q2120" i="29"/>
  <c r="V2119" i="29"/>
  <c r="U2119" i="29"/>
  <c r="T2119" i="29"/>
  <c r="R2119" i="29"/>
  <c r="Q2119" i="29"/>
  <c r="V2118" i="29"/>
  <c r="U2118" i="29"/>
  <c r="T2118" i="29"/>
  <c r="R2118" i="29"/>
  <c r="Q2118" i="29"/>
  <c r="V2117" i="29"/>
  <c r="U2117" i="29"/>
  <c r="T2117" i="29"/>
  <c r="R2117" i="29"/>
  <c r="Q2117" i="29"/>
  <c r="V2116" i="29"/>
  <c r="U2116" i="29"/>
  <c r="T2116" i="29"/>
  <c r="R2116" i="29"/>
  <c r="Q2116" i="29"/>
  <c r="V2115" i="29"/>
  <c r="U2115" i="29"/>
  <c r="T2115" i="29"/>
  <c r="R2115" i="29"/>
  <c r="Q2115" i="29"/>
  <c r="V2114" i="29"/>
  <c r="U2114" i="29"/>
  <c r="T2114" i="29"/>
  <c r="R2114" i="29"/>
  <c r="Q2114" i="29"/>
  <c r="V2113" i="29"/>
  <c r="U2113" i="29"/>
  <c r="T2113" i="29"/>
  <c r="R2113" i="29"/>
  <c r="Q2113" i="29"/>
  <c r="V2110" i="29"/>
  <c r="U2110" i="29"/>
  <c r="T2110" i="29"/>
  <c r="R2110" i="29"/>
  <c r="Q2110" i="29"/>
  <c r="V2109" i="29"/>
  <c r="U2109" i="29"/>
  <c r="T2109" i="29"/>
  <c r="R2109" i="29"/>
  <c r="Q2109" i="29"/>
  <c r="V2108" i="29"/>
  <c r="U2108" i="29"/>
  <c r="T2108" i="29"/>
  <c r="R2108" i="29"/>
  <c r="Q2108" i="29"/>
  <c r="V2107" i="29"/>
  <c r="U2107" i="29"/>
  <c r="T2107" i="29"/>
  <c r="R2107" i="29"/>
  <c r="Q2107" i="29"/>
  <c r="V2106" i="29"/>
  <c r="U2106" i="29"/>
  <c r="T2106" i="29"/>
  <c r="R2106" i="29"/>
  <c r="Q2106" i="29"/>
  <c r="V2105" i="29"/>
  <c r="U2105" i="29"/>
  <c r="T2105" i="29"/>
  <c r="R2105" i="29"/>
  <c r="Q2105" i="29"/>
  <c r="V2104" i="29"/>
  <c r="U2104" i="29"/>
  <c r="T2104" i="29"/>
  <c r="R2104" i="29"/>
  <c r="Q2104" i="29"/>
  <c r="V2103" i="29"/>
  <c r="U2103" i="29"/>
  <c r="T2103" i="29"/>
  <c r="R2103" i="29"/>
  <c r="Q2103" i="29"/>
  <c r="V2102" i="29"/>
  <c r="U2102" i="29"/>
  <c r="T2102" i="29"/>
  <c r="R2102" i="29"/>
  <c r="Q2102" i="29"/>
  <c r="V2099" i="29"/>
  <c r="U2099" i="29"/>
  <c r="T2099" i="29"/>
  <c r="R2099" i="29"/>
  <c r="Q2099" i="29"/>
  <c r="V2098" i="29"/>
  <c r="U2098" i="29"/>
  <c r="T2098" i="29"/>
  <c r="R2098" i="29"/>
  <c r="Q2098" i="29"/>
  <c r="V2097" i="29"/>
  <c r="U2097" i="29"/>
  <c r="T2097" i="29"/>
  <c r="R2097" i="29"/>
  <c r="Q2097" i="29"/>
  <c r="V2096" i="29"/>
  <c r="U2096" i="29"/>
  <c r="T2096" i="29"/>
  <c r="R2096" i="29"/>
  <c r="Q2096" i="29"/>
  <c r="V2095" i="29"/>
  <c r="U2095" i="29"/>
  <c r="T2095" i="29"/>
  <c r="R2095" i="29"/>
  <c r="Q2095" i="29"/>
  <c r="V2094" i="29"/>
  <c r="U2094" i="29"/>
  <c r="T2094" i="29"/>
  <c r="R2094" i="29"/>
  <c r="Q2094" i="29"/>
  <c r="V2093" i="29"/>
  <c r="U2093" i="29"/>
  <c r="T2093" i="29"/>
  <c r="R2093" i="29"/>
  <c r="Q2093" i="29"/>
  <c r="V2092" i="29"/>
  <c r="U2092" i="29"/>
  <c r="T2092" i="29"/>
  <c r="R2092" i="29"/>
  <c r="Q2092" i="29"/>
  <c r="V2091" i="29"/>
  <c r="U2091" i="29"/>
  <c r="T2091" i="29"/>
  <c r="R2091" i="29"/>
  <c r="Q2091" i="29"/>
  <c r="V2088" i="29"/>
  <c r="U2088" i="29"/>
  <c r="T2088" i="29"/>
  <c r="R2088" i="29"/>
  <c r="Q2088" i="29"/>
  <c r="V2087" i="29"/>
  <c r="U2087" i="29"/>
  <c r="T2087" i="29"/>
  <c r="R2087" i="29"/>
  <c r="Q2087" i="29"/>
  <c r="V2086" i="29"/>
  <c r="U2086" i="29"/>
  <c r="T2086" i="29"/>
  <c r="R2086" i="29"/>
  <c r="Q2086" i="29"/>
  <c r="V2085" i="29"/>
  <c r="U2085" i="29"/>
  <c r="T2085" i="29"/>
  <c r="R2085" i="29"/>
  <c r="Q2085" i="29"/>
  <c r="V2084" i="29"/>
  <c r="U2084" i="29"/>
  <c r="T2084" i="29"/>
  <c r="R2084" i="29"/>
  <c r="Q2084" i="29"/>
  <c r="V2083" i="29"/>
  <c r="U2083" i="29"/>
  <c r="T2083" i="29"/>
  <c r="R2083" i="29"/>
  <c r="Q2083" i="29"/>
  <c r="V2082" i="29"/>
  <c r="U2082" i="29"/>
  <c r="T2082" i="29"/>
  <c r="R2082" i="29"/>
  <c r="Q2082" i="29"/>
  <c r="V2081" i="29"/>
  <c r="U2081" i="29"/>
  <c r="T2081" i="29"/>
  <c r="R2081" i="29"/>
  <c r="Q2081" i="29"/>
  <c r="V2080" i="29"/>
  <c r="U2080" i="29"/>
  <c r="T2080" i="29"/>
  <c r="R2080" i="29"/>
  <c r="Q2080" i="29"/>
  <c r="V2077" i="29"/>
  <c r="U2077" i="29"/>
  <c r="T2077" i="29"/>
  <c r="R2077" i="29"/>
  <c r="Q2077" i="29"/>
  <c r="V2076" i="29"/>
  <c r="U2076" i="29"/>
  <c r="T2076" i="29"/>
  <c r="R2076" i="29"/>
  <c r="Q2076" i="29"/>
  <c r="V2075" i="29"/>
  <c r="U2075" i="29"/>
  <c r="T2075" i="29"/>
  <c r="R2075" i="29"/>
  <c r="Q2075" i="29"/>
  <c r="V2074" i="29"/>
  <c r="U2074" i="29"/>
  <c r="T2074" i="29"/>
  <c r="R2074" i="29"/>
  <c r="Q2074" i="29"/>
  <c r="V2073" i="29"/>
  <c r="U2073" i="29"/>
  <c r="T2073" i="29"/>
  <c r="R2073" i="29"/>
  <c r="Q2073" i="29"/>
  <c r="V2072" i="29"/>
  <c r="U2072" i="29"/>
  <c r="T2072" i="29"/>
  <c r="R2072" i="29"/>
  <c r="Q2072" i="29"/>
  <c r="V2071" i="29"/>
  <c r="U2071" i="29"/>
  <c r="T2071" i="29"/>
  <c r="R2071" i="29"/>
  <c r="Q2071" i="29"/>
  <c r="V2070" i="29"/>
  <c r="U2070" i="29"/>
  <c r="T2070" i="29"/>
  <c r="R2070" i="29"/>
  <c r="Q2070" i="29"/>
  <c r="V2069" i="29"/>
  <c r="U2069" i="29"/>
  <c r="T2069" i="29"/>
  <c r="R2069" i="29"/>
  <c r="Q2069" i="29"/>
  <c r="V2066" i="29"/>
  <c r="U2066" i="29"/>
  <c r="T2066" i="29"/>
  <c r="R2066" i="29"/>
  <c r="Q2066" i="29"/>
  <c r="V2065" i="29"/>
  <c r="U2065" i="29"/>
  <c r="T2065" i="29"/>
  <c r="R2065" i="29"/>
  <c r="Q2065" i="29"/>
  <c r="V2064" i="29"/>
  <c r="U2064" i="29"/>
  <c r="T2064" i="29"/>
  <c r="R2064" i="29"/>
  <c r="Q2064" i="29"/>
  <c r="V2063" i="29"/>
  <c r="U2063" i="29"/>
  <c r="T2063" i="29"/>
  <c r="R2063" i="29"/>
  <c r="Q2063" i="29"/>
  <c r="V2062" i="29"/>
  <c r="U2062" i="29"/>
  <c r="T2062" i="29"/>
  <c r="R2062" i="29"/>
  <c r="Q2062" i="29"/>
  <c r="V2061" i="29"/>
  <c r="U2061" i="29"/>
  <c r="T2061" i="29"/>
  <c r="R2061" i="29"/>
  <c r="Q2061" i="29"/>
  <c r="V2060" i="29"/>
  <c r="U2060" i="29"/>
  <c r="T2060" i="29"/>
  <c r="R2060" i="29"/>
  <c r="Q2060" i="29"/>
  <c r="V2059" i="29"/>
  <c r="U2059" i="29"/>
  <c r="T2059" i="29"/>
  <c r="R2059" i="29"/>
  <c r="Q2059" i="29"/>
  <c r="V2058" i="29"/>
  <c r="U2058" i="29"/>
  <c r="T2058" i="29"/>
  <c r="R2058" i="29"/>
  <c r="Q2058" i="29"/>
  <c r="V2055" i="29"/>
  <c r="U2055" i="29"/>
  <c r="T2055" i="29"/>
  <c r="R2055" i="29"/>
  <c r="Q2055" i="29"/>
  <c r="V2054" i="29"/>
  <c r="U2054" i="29"/>
  <c r="T2054" i="29"/>
  <c r="R2054" i="29"/>
  <c r="Q2054" i="29"/>
  <c r="V2053" i="29"/>
  <c r="U2053" i="29"/>
  <c r="T2053" i="29"/>
  <c r="R2053" i="29"/>
  <c r="Q2053" i="29"/>
  <c r="V2052" i="29"/>
  <c r="U2052" i="29"/>
  <c r="T2052" i="29"/>
  <c r="R2052" i="29"/>
  <c r="Q2052" i="29"/>
  <c r="V2051" i="29"/>
  <c r="U2051" i="29"/>
  <c r="T2051" i="29"/>
  <c r="R2051" i="29"/>
  <c r="Q2051" i="29"/>
  <c r="V2050" i="29"/>
  <c r="U2050" i="29"/>
  <c r="T2050" i="29"/>
  <c r="R2050" i="29"/>
  <c r="Q2050" i="29"/>
  <c r="V2049" i="29"/>
  <c r="U2049" i="29"/>
  <c r="T2049" i="29"/>
  <c r="R2049" i="29"/>
  <c r="Q2049" i="29"/>
  <c r="V2048" i="29"/>
  <c r="U2048" i="29"/>
  <c r="T2048" i="29"/>
  <c r="R2048" i="29"/>
  <c r="Q2048" i="29"/>
  <c r="V2047" i="29"/>
  <c r="U2047" i="29"/>
  <c r="T2047" i="29"/>
  <c r="R2047" i="29"/>
  <c r="Q2047" i="29"/>
  <c r="V2044" i="29"/>
  <c r="U2044" i="29"/>
  <c r="T2044" i="29"/>
  <c r="R2044" i="29"/>
  <c r="Q2044" i="29"/>
  <c r="V2043" i="29"/>
  <c r="U2043" i="29"/>
  <c r="T2043" i="29"/>
  <c r="R2043" i="29"/>
  <c r="Q2043" i="29"/>
  <c r="V2042" i="29"/>
  <c r="U2042" i="29"/>
  <c r="T2042" i="29"/>
  <c r="R2042" i="29"/>
  <c r="Q2042" i="29"/>
  <c r="V2041" i="29"/>
  <c r="U2041" i="29"/>
  <c r="T2041" i="29"/>
  <c r="R2041" i="29"/>
  <c r="Q2041" i="29"/>
  <c r="V2040" i="29"/>
  <c r="U2040" i="29"/>
  <c r="T2040" i="29"/>
  <c r="R2040" i="29"/>
  <c r="Q2040" i="29"/>
  <c r="V2039" i="29"/>
  <c r="U2039" i="29"/>
  <c r="T2039" i="29"/>
  <c r="R2039" i="29"/>
  <c r="Q2039" i="29"/>
  <c r="V2038" i="29"/>
  <c r="U2038" i="29"/>
  <c r="T2038" i="29"/>
  <c r="R2038" i="29"/>
  <c r="Q2038" i="29"/>
  <c r="V2037" i="29"/>
  <c r="U2037" i="29"/>
  <c r="T2037" i="29"/>
  <c r="R2037" i="29"/>
  <c r="Q2037" i="29"/>
  <c r="V2036" i="29"/>
  <c r="U2036" i="29"/>
  <c r="T2036" i="29"/>
  <c r="R2036" i="29"/>
  <c r="Q2036" i="29"/>
  <c r="V2033" i="29"/>
  <c r="U2033" i="29"/>
  <c r="T2033" i="29"/>
  <c r="R2033" i="29"/>
  <c r="Q2033" i="29"/>
  <c r="V2032" i="29"/>
  <c r="U2032" i="29"/>
  <c r="T2032" i="29"/>
  <c r="R2032" i="29"/>
  <c r="Q2032" i="29"/>
  <c r="V2031" i="29"/>
  <c r="U2031" i="29"/>
  <c r="T2031" i="29"/>
  <c r="R2031" i="29"/>
  <c r="Q2031" i="29"/>
  <c r="V2030" i="29"/>
  <c r="U2030" i="29"/>
  <c r="T2030" i="29"/>
  <c r="R2030" i="29"/>
  <c r="Q2030" i="29"/>
  <c r="V2029" i="29"/>
  <c r="U2029" i="29"/>
  <c r="T2029" i="29"/>
  <c r="R2029" i="29"/>
  <c r="Q2029" i="29"/>
  <c r="V2028" i="29"/>
  <c r="U2028" i="29"/>
  <c r="T2028" i="29"/>
  <c r="R2028" i="29"/>
  <c r="Q2028" i="29"/>
  <c r="V2027" i="29"/>
  <c r="U2027" i="29"/>
  <c r="T2027" i="29"/>
  <c r="R2027" i="29"/>
  <c r="Q2027" i="29"/>
  <c r="V2026" i="29"/>
  <c r="U2026" i="29"/>
  <c r="T2026" i="29"/>
  <c r="R2026" i="29"/>
  <c r="Q2026" i="29"/>
  <c r="V2025" i="29"/>
  <c r="U2025" i="29"/>
  <c r="T2025" i="29"/>
  <c r="R2025" i="29"/>
  <c r="Q2025" i="29"/>
  <c r="V2022" i="29"/>
  <c r="U2022" i="29"/>
  <c r="T2022" i="29"/>
  <c r="R2022" i="29"/>
  <c r="Q2022" i="29"/>
  <c r="V2021" i="29"/>
  <c r="U2021" i="29"/>
  <c r="T2021" i="29"/>
  <c r="R2021" i="29"/>
  <c r="Q2021" i="29"/>
  <c r="V2020" i="29"/>
  <c r="U2020" i="29"/>
  <c r="W2020" i="29" s="1"/>
  <c r="X2020" i="29" s="1"/>
  <c r="T2020" i="29"/>
  <c r="R2020" i="29"/>
  <c r="Q2020" i="29"/>
  <c r="V2019" i="29"/>
  <c r="U2019" i="29"/>
  <c r="T2019" i="29"/>
  <c r="R2019" i="29"/>
  <c r="Q2019" i="29"/>
  <c r="V2018" i="29"/>
  <c r="U2018" i="29"/>
  <c r="T2018" i="29"/>
  <c r="R2018" i="29"/>
  <c r="Q2018" i="29"/>
  <c r="V2017" i="29"/>
  <c r="U2017" i="29"/>
  <c r="T2017" i="29"/>
  <c r="R2017" i="29"/>
  <c r="Q2017" i="29"/>
  <c r="V2016" i="29"/>
  <c r="U2016" i="29"/>
  <c r="T2016" i="29"/>
  <c r="R2016" i="29"/>
  <c r="Q2016" i="29"/>
  <c r="V2015" i="29"/>
  <c r="U2015" i="29"/>
  <c r="T2015" i="29"/>
  <c r="R2015" i="29"/>
  <c r="Q2015" i="29"/>
  <c r="V2014" i="29"/>
  <c r="U2014" i="29"/>
  <c r="T2014" i="29"/>
  <c r="R2014" i="29"/>
  <c r="Q2014" i="29"/>
  <c r="V2011" i="29"/>
  <c r="U2011" i="29"/>
  <c r="T2011" i="29"/>
  <c r="R2011" i="29"/>
  <c r="Q2011" i="29"/>
  <c r="V2010" i="29"/>
  <c r="U2010" i="29"/>
  <c r="T2010" i="29"/>
  <c r="R2010" i="29"/>
  <c r="Q2010" i="29"/>
  <c r="V2009" i="29"/>
  <c r="U2009" i="29"/>
  <c r="T2009" i="29"/>
  <c r="R2009" i="29"/>
  <c r="Q2009" i="29"/>
  <c r="V2008" i="29"/>
  <c r="U2008" i="29"/>
  <c r="T2008" i="29"/>
  <c r="R2008" i="29"/>
  <c r="Q2008" i="29"/>
  <c r="V2007" i="29"/>
  <c r="U2007" i="29"/>
  <c r="T2007" i="29"/>
  <c r="R2007" i="29"/>
  <c r="Q2007" i="29"/>
  <c r="V2006" i="29"/>
  <c r="U2006" i="29"/>
  <c r="T2006" i="29"/>
  <c r="R2006" i="29"/>
  <c r="Q2006" i="29"/>
  <c r="V2005" i="29"/>
  <c r="U2005" i="29"/>
  <c r="T2005" i="29"/>
  <c r="R2005" i="29"/>
  <c r="Q2005" i="29"/>
  <c r="V2004" i="29"/>
  <c r="U2004" i="29"/>
  <c r="T2004" i="29"/>
  <c r="R2004" i="29"/>
  <c r="Q2004" i="29"/>
  <c r="V2003" i="29"/>
  <c r="U2003" i="29"/>
  <c r="T2003" i="29"/>
  <c r="R2003" i="29"/>
  <c r="Q2003" i="29"/>
  <c r="V2000" i="29"/>
  <c r="U2000" i="29"/>
  <c r="T2000" i="29"/>
  <c r="R2000" i="29"/>
  <c r="Q2000" i="29"/>
  <c r="V1999" i="29"/>
  <c r="U1999" i="29"/>
  <c r="T1999" i="29"/>
  <c r="R1999" i="29"/>
  <c r="Q1999" i="29"/>
  <c r="V1998" i="29"/>
  <c r="U1998" i="29"/>
  <c r="T1998" i="29"/>
  <c r="R1998" i="29"/>
  <c r="Q1998" i="29"/>
  <c r="V1997" i="29"/>
  <c r="U1997" i="29"/>
  <c r="T1997" i="29"/>
  <c r="R1997" i="29"/>
  <c r="Q1997" i="29"/>
  <c r="V1996" i="29"/>
  <c r="U1996" i="29"/>
  <c r="T1996" i="29"/>
  <c r="R1996" i="29"/>
  <c r="Q1996" i="29"/>
  <c r="V1995" i="29"/>
  <c r="U1995" i="29"/>
  <c r="T1995" i="29"/>
  <c r="R1995" i="29"/>
  <c r="Q1995" i="29"/>
  <c r="V1994" i="29"/>
  <c r="U1994" i="29"/>
  <c r="T1994" i="29"/>
  <c r="R1994" i="29"/>
  <c r="Q1994" i="29"/>
  <c r="V1993" i="29"/>
  <c r="U1993" i="29"/>
  <c r="T1993" i="29"/>
  <c r="R1993" i="29"/>
  <c r="Q1993" i="29"/>
  <c r="V1992" i="29"/>
  <c r="U1992" i="29"/>
  <c r="T1992" i="29"/>
  <c r="R1992" i="29"/>
  <c r="Q1992" i="29"/>
  <c r="V1989" i="29"/>
  <c r="U1989" i="29"/>
  <c r="T1989" i="29"/>
  <c r="R1989" i="29"/>
  <c r="Q1989" i="29"/>
  <c r="V1988" i="29"/>
  <c r="U1988" i="29"/>
  <c r="T1988" i="29"/>
  <c r="R1988" i="29"/>
  <c r="Q1988" i="29"/>
  <c r="V1987" i="29"/>
  <c r="U1987" i="29"/>
  <c r="T1987" i="29"/>
  <c r="R1987" i="29"/>
  <c r="Q1987" i="29"/>
  <c r="V1986" i="29"/>
  <c r="U1986" i="29"/>
  <c r="T1986" i="29"/>
  <c r="R1986" i="29"/>
  <c r="Q1986" i="29"/>
  <c r="V1985" i="29"/>
  <c r="U1985" i="29"/>
  <c r="T1985" i="29"/>
  <c r="R1985" i="29"/>
  <c r="Q1985" i="29"/>
  <c r="V1984" i="29"/>
  <c r="U1984" i="29"/>
  <c r="T1984" i="29"/>
  <c r="R1984" i="29"/>
  <c r="Q1984" i="29"/>
  <c r="V1983" i="29"/>
  <c r="U1983" i="29"/>
  <c r="T1983" i="29"/>
  <c r="R1983" i="29"/>
  <c r="Q1983" i="29"/>
  <c r="V1982" i="29"/>
  <c r="U1982" i="29"/>
  <c r="T1982" i="29"/>
  <c r="R1982" i="29"/>
  <c r="Q1982" i="29"/>
  <c r="V1981" i="29"/>
  <c r="U1981" i="29"/>
  <c r="T1981" i="29"/>
  <c r="R1981" i="29"/>
  <c r="Q1981" i="29"/>
  <c r="V1978" i="29"/>
  <c r="U1978" i="29"/>
  <c r="T1978" i="29"/>
  <c r="R1978" i="29"/>
  <c r="Q1978" i="29"/>
  <c r="V1977" i="29"/>
  <c r="U1977" i="29"/>
  <c r="T1977" i="29"/>
  <c r="R1977" i="29"/>
  <c r="Q1977" i="29"/>
  <c r="V1976" i="29"/>
  <c r="U1976" i="29"/>
  <c r="T1976" i="29"/>
  <c r="R1976" i="29"/>
  <c r="Q1976" i="29"/>
  <c r="V1975" i="29"/>
  <c r="U1975" i="29"/>
  <c r="T1975" i="29"/>
  <c r="R1975" i="29"/>
  <c r="Q1975" i="29"/>
  <c r="V1974" i="29"/>
  <c r="U1974" i="29"/>
  <c r="T1974" i="29"/>
  <c r="R1974" i="29"/>
  <c r="Q1974" i="29"/>
  <c r="V1973" i="29"/>
  <c r="U1973" i="29"/>
  <c r="T1973" i="29"/>
  <c r="R1973" i="29"/>
  <c r="Q1973" i="29"/>
  <c r="V1972" i="29"/>
  <c r="U1972" i="29"/>
  <c r="T1972" i="29"/>
  <c r="R1972" i="29"/>
  <c r="Q1972" i="29"/>
  <c r="V1971" i="29"/>
  <c r="U1971" i="29"/>
  <c r="T1971" i="29"/>
  <c r="R1971" i="29"/>
  <c r="Q1971" i="29"/>
  <c r="V1970" i="29"/>
  <c r="U1970" i="29"/>
  <c r="T1970" i="29"/>
  <c r="R1970" i="29"/>
  <c r="Q1970" i="29"/>
  <c r="V1967" i="29"/>
  <c r="U1967" i="29"/>
  <c r="T1967" i="29"/>
  <c r="R1967" i="29"/>
  <c r="Q1967" i="29"/>
  <c r="V1966" i="29"/>
  <c r="U1966" i="29"/>
  <c r="T1966" i="29"/>
  <c r="R1966" i="29"/>
  <c r="Q1966" i="29"/>
  <c r="V1965" i="29"/>
  <c r="U1965" i="29"/>
  <c r="T1965" i="29"/>
  <c r="R1965" i="29"/>
  <c r="Q1965" i="29"/>
  <c r="V1964" i="29"/>
  <c r="U1964" i="29"/>
  <c r="T1964" i="29"/>
  <c r="R1964" i="29"/>
  <c r="Q1964" i="29"/>
  <c r="V1963" i="29"/>
  <c r="U1963" i="29"/>
  <c r="T1963" i="29"/>
  <c r="R1963" i="29"/>
  <c r="Q1963" i="29"/>
  <c r="V1962" i="29"/>
  <c r="U1962" i="29"/>
  <c r="T1962" i="29"/>
  <c r="R1962" i="29"/>
  <c r="Q1962" i="29"/>
  <c r="V1961" i="29"/>
  <c r="U1961" i="29"/>
  <c r="T1961" i="29"/>
  <c r="R1961" i="29"/>
  <c r="Q1961" i="29"/>
  <c r="V1960" i="29"/>
  <c r="U1960" i="29"/>
  <c r="T1960" i="29"/>
  <c r="R1960" i="29"/>
  <c r="Q1960" i="29"/>
  <c r="V1959" i="29"/>
  <c r="U1959" i="29"/>
  <c r="T1959" i="29"/>
  <c r="R1959" i="29"/>
  <c r="Q1959" i="29"/>
  <c r="V1956" i="29"/>
  <c r="U1956" i="29"/>
  <c r="T1956" i="29"/>
  <c r="R1956" i="29"/>
  <c r="Q1956" i="29"/>
  <c r="V1955" i="29"/>
  <c r="U1955" i="29"/>
  <c r="T1955" i="29"/>
  <c r="R1955" i="29"/>
  <c r="Q1955" i="29"/>
  <c r="V1954" i="29"/>
  <c r="U1954" i="29"/>
  <c r="T1954" i="29"/>
  <c r="R1954" i="29"/>
  <c r="Q1954" i="29"/>
  <c r="V1953" i="29"/>
  <c r="U1953" i="29"/>
  <c r="T1953" i="29"/>
  <c r="R1953" i="29"/>
  <c r="Q1953" i="29"/>
  <c r="V1952" i="29"/>
  <c r="U1952" i="29"/>
  <c r="T1952" i="29"/>
  <c r="R1952" i="29"/>
  <c r="Q1952" i="29"/>
  <c r="V1951" i="29"/>
  <c r="U1951" i="29"/>
  <c r="T1951" i="29"/>
  <c r="R1951" i="29"/>
  <c r="Q1951" i="29"/>
  <c r="V1950" i="29"/>
  <c r="U1950" i="29"/>
  <c r="T1950" i="29"/>
  <c r="R1950" i="29"/>
  <c r="Q1950" i="29"/>
  <c r="V1949" i="29"/>
  <c r="U1949" i="29"/>
  <c r="T1949" i="29"/>
  <c r="R1949" i="29"/>
  <c r="Q1949" i="29"/>
  <c r="V1948" i="29"/>
  <c r="U1948" i="29"/>
  <c r="T1948" i="29"/>
  <c r="R1948" i="29"/>
  <c r="Q1948" i="29"/>
  <c r="V1945" i="29"/>
  <c r="U1945" i="29"/>
  <c r="T1945" i="29"/>
  <c r="R1945" i="29"/>
  <c r="Q1945" i="29"/>
  <c r="V1944" i="29"/>
  <c r="U1944" i="29"/>
  <c r="T1944" i="29"/>
  <c r="R1944" i="29"/>
  <c r="Q1944" i="29"/>
  <c r="V1943" i="29"/>
  <c r="U1943" i="29"/>
  <c r="T1943" i="29"/>
  <c r="R1943" i="29"/>
  <c r="Q1943" i="29"/>
  <c r="V1942" i="29"/>
  <c r="U1942" i="29"/>
  <c r="T1942" i="29"/>
  <c r="R1942" i="29"/>
  <c r="Q1942" i="29"/>
  <c r="V1941" i="29"/>
  <c r="U1941" i="29"/>
  <c r="T1941" i="29"/>
  <c r="R1941" i="29"/>
  <c r="Q1941" i="29"/>
  <c r="V1940" i="29"/>
  <c r="U1940" i="29"/>
  <c r="T1940" i="29"/>
  <c r="R1940" i="29"/>
  <c r="Q1940" i="29"/>
  <c r="V1939" i="29"/>
  <c r="U1939" i="29"/>
  <c r="T1939" i="29"/>
  <c r="R1939" i="29"/>
  <c r="Q1939" i="29"/>
  <c r="V1938" i="29"/>
  <c r="U1938" i="29"/>
  <c r="T1938" i="29"/>
  <c r="R1938" i="29"/>
  <c r="Q1938" i="29"/>
  <c r="V1937" i="29"/>
  <c r="U1937" i="29"/>
  <c r="T1937" i="29"/>
  <c r="R1937" i="29"/>
  <c r="Q1937" i="29"/>
  <c r="V1934" i="29"/>
  <c r="U1934" i="29"/>
  <c r="T1934" i="29"/>
  <c r="R1934" i="29"/>
  <c r="Q1934" i="29"/>
  <c r="V1933" i="29"/>
  <c r="U1933" i="29"/>
  <c r="T1933" i="29"/>
  <c r="R1933" i="29"/>
  <c r="Q1933" i="29"/>
  <c r="V1932" i="29"/>
  <c r="U1932" i="29"/>
  <c r="T1932" i="29"/>
  <c r="R1932" i="29"/>
  <c r="Q1932" i="29"/>
  <c r="V1931" i="29"/>
  <c r="U1931" i="29"/>
  <c r="T1931" i="29"/>
  <c r="R1931" i="29"/>
  <c r="Q1931" i="29"/>
  <c r="V1930" i="29"/>
  <c r="U1930" i="29"/>
  <c r="T1930" i="29"/>
  <c r="R1930" i="29"/>
  <c r="Q1930" i="29"/>
  <c r="V1929" i="29"/>
  <c r="U1929" i="29"/>
  <c r="T1929" i="29"/>
  <c r="R1929" i="29"/>
  <c r="Q1929" i="29"/>
  <c r="V1928" i="29"/>
  <c r="U1928" i="29"/>
  <c r="T1928" i="29"/>
  <c r="R1928" i="29"/>
  <c r="Q1928" i="29"/>
  <c r="V1927" i="29"/>
  <c r="U1927" i="29"/>
  <c r="T1927" i="29"/>
  <c r="R1927" i="29"/>
  <c r="Q1927" i="29"/>
  <c r="V1926" i="29"/>
  <c r="U1926" i="29"/>
  <c r="T1926" i="29"/>
  <c r="R1926" i="29"/>
  <c r="Q1926" i="29"/>
  <c r="V1923" i="29"/>
  <c r="U1923" i="29"/>
  <c r="T1923" i="29"/>
  <c r="R1923" i="29"/>
  <c r="Q1923" i="29"/>
  <c r="V1922" i="29"/>
  <c r="U1922" i="29"/>
  <c r="T1922" i="29"/>
  <c r="R1922" i="29"/>
  <c r="Q1922" i="29"/>
  <c r="V1921" i="29"/>
  <c r="U1921" i="29"/>
  <c r="T1921" i="29"/>
  <c r="R1921" i="29"/>
  <c r="Q1921" i="29"/>
  <c r="V1920" i="29"/>
  <c r="U1920" i="29"/>
  <c r="T1920" i="29"/>
  <c r="R1920" i="29"/>
  <c r="Q1920" i="29"/>
  <c r="V1919" i="29"/>
  <c r="U1919" i="29"/>
  <c r="T1919" i="29"/>
  <c r="R1919" i="29"/>
  <c r="Q1919" i="29"/>
  <c r="V1918" i="29"/>
  <c r="U1918" i="29"/>
  <c r="T1918" i="29"/>
  <c r="R1918" i="29"/>
  <c r="Q1918" i="29"/>
  <c r="V1917" i="29"/>
  <c r="U1917" i="29"/>
  <c r="T1917" i="29"/>
  <c r="R1917" i="29"/>
  <c r="Q1917" i="29"/>
  <c r="V1916" i="29"/>
  <c r="U1916" i="29"/>
  <c r="T1916" i="29"/>
  <c r="R1916" i="29"/>
  <c r="Q1916" i="29"/>
  <c r="V1915" i="29"/>
  <c r="U1915" i="29"/>
  <c r="T1915" i="29"/>
  <c r="R1915" i="29"/>
  <c r="Q1915" i="29"/>
  <c r="V1912" i="29"/>
  <c r="U1912" i="29"/>
  <c r="T1912" i="29"/>
  <c r="R1912" i="29"/>
  <c r="Q1912" i="29"/>
  <c r="V1911" i="29"/>
  <c r="U1911" i="29"/>
  <c r="T1911" i="29"/>
  <c r="R1911" i="29"/>
  <c r="Q1911" i="29"/>
  <c r="V1910" i="29"/>
  <c r="U1910" i="29"/>
  <c r="T1910" i="29"/>
  <c r="R1910" i="29"/>
  <c r="Q1910" i="29"/>
  <c r="V1909" i="29"/>
  <c r="U1909" i="29"/>
  <c r="T1909" i="29"/>
  <c r="R1909" i="29"/>
  <c r="Q1909" i="29"/>
  <c r="V1908" i="29"/>
  <c r="U1908" i="29"/>
  <c r="T1908" i="29"/>
  <c r="R1908" i="29"/>
  <c r="Q1908" i="29"/>
  <c r="V1907" i="29"/>
  <c r="U1907" i="29"/>
  <c r="T1907" i="29"/>
  <c r="R1907" i="29"/>
  <c r="Q1907" i="29"/>
  <c r="V1906" i="29"/>
  <c r="U1906" i="29"/>
  <c r="T1906" i="29"/>
  <c r="R1906" i="29"/>
  <c r="Q1906" i="29"/>
  <c r="V1905" i="29"/>
  <c r="U1905" i="29"/>
  <c r="T1905" i="29"/>
  <c r="R1905" i="29"/>
  <c r="Q1905" i="29"/>
  <c r="V1904" i="29"/>
  <c r="U1904" i="29"/>
  <c r="T1904" i="29"/>
  <c r="R1904" i="29"/>
  <c r="Q1904" i="29"/>
  <c r="V1901" i="29"/>
  <c r="U1901" i="29"/>
  <c r="T1901" i="29"/>
  <c r="R1901" i="29"/>
  <c r="Q1901" i="29"/>
  <c r="V1900" i="29"/>
  <c r="U1900" i="29"/>
  <c r="T1900" i="29"/>
  <c r="R1900" i="29"/>
  <c r="Q1900" i="29"/>
  <c r="V1899" i="29"/>
  <c r="U1899" i="29"/>
  <c r="T1899" i="29"/>
  <c r="R1899" i="29"/>
  <c r="Q1899" i="29"/>
  <c r="V1898" i="29"/>
  <c r="U1898" i="29"/>
  <c r="T1898" i="29"/>
  <c r="R1898" i="29"/>
  <c r="Q1898" i="29"/>
  <c r="V1897" i="29"/>
  <c r="U1897" i="29"/>
  <c r="T1897" i="29"/>
  <c r="R1897" i="29"/>
  <c r="Q1897" i="29"/>
  <c r="V1896" i="29"/>
  <c r="U1896" i="29"/>
  <c r="T1896" i="29"/>
  <c r="R1896" i="29"/>
  <c r="Q1896" i="29"/>
  <c r="V1895" i="29"/>
  <c r="U1895" i="29"/>
  <c r="T1895" i="29"/>
  <c r="R1895" i="29"/>
  <c r="Q1895" i="29"/>
  <c r="V1894" i="29"/>
  <c r="U1894" i="29"/>
  <c r="T1894" i="29"/>
  <c r="R1894" i="29"/>
  <c r="Q1894" i="29"/>
  <c r="V1893" i="29"/>
  <c r="U1893" i="29"/>
  <c r="T1893" i="29"/>
  <c r="R1893" i="29"/>
  <c r="Q1893" i="29"/>
  <c r="V1890" i="29"/>
  <c r="U1890" i="29"/>
  <c r="T1890" i="29"/>
  <c r="R1890" i="29"/>
  <c r="Q1890" i="29"/>
  <c r="V1889" i="29"/>
  <c r="U1889" i="29"/>
  <c r="T1889" i="29"/>
  <c r="R1889" i="29"/>
  <c r="Q1889" i="29"/>
  <c r="V1888" i="29"/>
  <c r="U1888" i="29"/>
  <c r="T1888" i="29"/>
  <c r="R1888" i="29"/>
  <c r="Q1888" i="29"/>
  <c r="V1887" i="29"/>
  <c r="U1887" i="29"/>
  <c r="T1887" i="29"/>
  <c r="R1887" i="29"/>
  <c r="Q1887" i="29"/>
  <c r="V1886" i="29"/>
  <c r="U1886" i="29"/>
  <c r="T1886" i="29"/>
  <c r="R1886" i="29"/>
  <c r="Q1886" i="29"/>
  <c r="V1885" i="29"/>
  <c r="U1885" i="29"/>
  <c r="T1885" i="29"/>
  <c r="R1885" i="29"/>
  <c r="Q1885" i="29"/>
  <c r="V1884" i="29"/>
  <c r="U1884" i="29"/>
  <c r="T1884" i="29"/>
  <c r="R1884" i="29"/>
  <c r="Q1884" i="29"/>
  <c r="V1883" i="29"/>
  <c r="U1883" i="29"/>
  <c r="T1883" i="29"/>
  <c r="R1883" i="29"/>
  <c r="Q1883" i="29"/>
  <c r="V1882" i="29"/>
  <c r="U1882" i="29"/>
  <c r="T1882" i="29"/>
  <c r="R1882" i="29"/>
  <c r="Q1882" i="29"/>
  <c r="V1879" i="29"/>
  <c r="U1879" i="29"/>
  <c r="T1879" i="29"/>
  <c r="R1879" i="29"/>
  <c r="Q1879" i="29"/>
  <c r="V1878" i="29"/>
  <c r="U1878" i="29"/>
  <c r="T1878" i="29"/>
  <c r="R1878" i="29"/>
  <c r="Q1878" i="29"/>
  <c r="V1877" i="29"/>
  <c r="U1877" i="29"/>
  <c r="T1877" i="29"/>
  <c r="R1877" i="29"/>
  <c r="Q1877" i="29"/>
  <c r="V1876" i="29"/>
  <c r="U1876" i="29"/>
  <c r="T1876" i="29"/>
  <c r="R1876" i="29"/>
  <c r="Q1876" i="29"/>
  <c r="V1875" i="29"/>
  <c r="U1875" i="29"/>
  <c r="T1875" i="29"/>
  <c r="R1875" i="29"/>
  <c r="Q1875" i="29"/>
  <c r="V1874" i="29"/>
  <c r="U1874" i="29"/>
  <c r="T1874" i="29"/>
  <c r="R1874" i="29"/>
  <c r="Q1874" i="29"/>
  <c r="V1873" i="29"/>
  <c r="U1873" i="29"/>
  <c r="T1873" i="29"/>
  <c r="R1873" i="29"/>
  <c r="Q1873" i="29"/>
  <c r="V1872" i="29"/>
  <c r="U1872" i="29"/>
  <c r="T1872" i="29"/>
  <c r="R1872" i="29"/>
  <c r="Q1872" i="29"/>
  <c r="V1871" i="29"/>
  <c r="U1871" i="29"/>
  <c r="T1871" i="29"/>
  <c r="R1871" i="29"/>
  <c r="Q1871" i="29"/>
  <c r="V1868" i="29"/>
  <c r="U1868" i="29"/>
  <c r="T1868" i="29"/>
  <c r="R1868" i="29"/>
  <c r="Q1868" i="29"/>
  <c r="V1867" i="29"/>
  <c r="U1867" i="29"/>
  <c r="T1867" i="29"/>
  <c r="R1867" i="29"/>
  <c r="Q1867" i="29"/>
  <c r="V1866" i="29"/>
  <c r="U1866" i="29"/>
  <c r="T1866" i="29"/>
  <c r="R1866" i="29"/>
  <c r="Q1866" i="29"/>
  <c r="V1865" i="29"/>
  <c r="U1865" i="29"/>
  <c r="T1865" i="29"/>
  <c r="R1865" i="29"/>
  <c r="Q1865" i="29"/>
  <c r="V1864" i="29"/>
  <c r="U1864" i="29"/>
  <c r="T1864" i="29"/>
  <c r="R1864" i="29"/>
  <c r="Q1864" i="29"/>
  <c r="V1863" i="29"/>
  <c r="U1863" i="29"/>
  <c r="T1863" i="29"/>
  <c r="R1863" i="29"/>
  <c r="Q1863" i="29"/>
  <c r="V1862" i="29"/>
  <c r="U1862" i="29"/>
  <c r="T1862" i="29"/>
  <c r="R1862" i="29"/>
  <c r="Q1862" i="29"/>
  <c r="V1861" i="29"/>
  <c r="U1861" i="29"/>
  <c r="T1861" i="29"/>
  <c r="R1861" i="29"/>
  <c r="Q1861" i="29"/>
  <c r="V1860" i="29"/>
  <c r="U1860" i="29"/>
  <c r="T1860" i="29"/>
  <c r="R1860" i="29"/>
  <c r="Q1860" i="29"/>
  <c r="V1857" i="29"/>
  <c r="U1857" i="29"/>
  <c r="T1857" i="29"/>
  <c r="R1857" i="29"/>
  <c r="Q1857" i="29"/>
  <c r="V1856" i="29"/>
  <c r="U1856" i="29"/>
  <c r="T1856" i="29"/>
  <c r="R1856" i="29"/>
  <c r="Q1856" i="29"/>
  <c r="V1855" i="29"/>
  <c r="U1855" i="29"/>
  <c r="T1855" i="29"/>
  <c r="R1855" i="29"/>
  <c r="Q1855" i="29"/>
  <c r="V1854" i="29"/>
  <c r="U1854" i="29"/>
  <c r="T1854" i="29"/>
  <c r="R1854" i="29"/>
  <c r="Q1854" i="29"/>
  <c r="V1853" i="29"/>
  <c r="U1853" i="29"/>
  <c r="T1853" i="29"/>
  <c r="R1853" i="29"/>
  <c r="Q1853" i="29"/>
  <c r="V1852" i="29"/>
  <c r="U1852" i="29"/>
  <c r="T1852" i="29"/>
  <c r="R1852" i="29"/>
  <c r="Q1852" i="29"/>
  <c r="V1851" i="29"/>
  <c r="U1851" i="29"/>
  <c r="T1851" i="29"/>
  <c r="R1851" i="29"/>
  <c r="Q1851" i="29"/>
  <c r="V1850" i="29"/>
  <c r="U1850" i="29"/>
  <c r="T1850" i="29"/>
  <c r="R1850" i="29"/>
  <c r="Q1850" i="29"/>
  <c r="V1849" i="29"/>
  <c r="U1849" i="29"/>
  <c r="T1849" i="29"/>
  <c r="R1849" i="29"/>
  <c r="Q1849" i="29"/>
  <c r="V1846" i="29"/>
  <c r="U1846" i="29"/>
  <c r="T1846" i="29"/>
  <c r="R1846" i="29"/>
  <c r="Q1846" i="29"/>
  <c r="V1845" i="29"/>
  <c r="U1845" i="29"/>
  <c r="T1845" i="29"/>
  <c r="R1845" i="29"/>
  <c r="Q1845" i="29"/>
  <c r="V1844" i="29"/>
  <c r="U1844" i="29"/>
  <c r="T1844" i="29"/>
  <c r="R1844" i="29"/>
  <c r="Q1844" i="29"/>
  <c r="V1843" i="29"/>
  <c r="U1843" i="29"/>
  <c r="T1843" i="29"/>
  <c r="R1843" i="29"/>
  <c r="Q1843" i="29"/>
  <c r="V1842" i="29"/>
  <c r="U1842" i="29"/>
  <c r="T1842" i="29"/>
  <c r="R1842" i="29"/>
  <c r="Q1842" i="29"/>
  <c r="V1841" i="29"/>
  <c r="U1841" i="29"/>
  <c r="T1841" i="29"/>
  <c r="R1841" i="29"/>
  <c r="Q1841" i="29"/>
  <c r="V1840" i="29"/>
  <c r="U1840" i="29"/>
  <c r="T1840" i="29"/>
  <c r="R1840" i="29"/>
  <c r="Q1840" i="29"/>
  <c r="V1839" i="29"/>
  <c r="U1839" i="29"/>
  <c r="T1839" i="29"/>
  <c r="R1839" i="29"/>
  <c r="Q1839" i="29"/>
  <c r="V1838" i="29"/>
  <c r="U1838" i="29"/>
  <c r="T1838" i="29"/>
  <c r="R1838" i="29"/>
  <c r="Q1838" i="29"/>
  <c r="V1835" i="29"/>
  <c r="U1835" i="29"/>
  <c r="T1835" i="29"/>
  <c r="R1835" i="29"/>
  <c r="Q1835" i="29"/>
  <c r="V1834" i="29"/>
  <c r="U1834" i="29"/>
  <c r="T1834" i="29"/>
  <c r="R1834" i="29"/>
  <c r="Q1834" i="29"/>
  <c r="V1833" i="29"/>
  <c r="U1833" i="29"/>
  <c r="T1833" i="29"/>
  <c r="R1833" i="29"/>
  <c r="Q1833" i="29"/>
  <c r="V1832" i="29"/>
  <c r="U1832" i="29"/>
  <c r="T1832" i="29"/>
  <c r="R1832" i="29"/>
  <c r="Q1832" i="29"/>
  <c r="V1831" i="29"/>
  <c r="U1831" i="29"/>
  <c r="T1831" i="29"/>
  <c r="R1831" i="29"/>
  <c r="Q1831" i="29"/>
  <c r="V1830" i="29"/>
  <c r="U1830" i="29"/>
  <c r="T1830" i="29"/>
  <c r="R1830" i="29"/>
  <c r="Q1830" i="29"/>
  <c r="V1829" i="29"/>
  <c r="U1829" i="29"/>
  <c r="T1829" i="29"/>
  <c r="R1829" i="29"/>
  <c r="Q1829" i="29"/>
  <c r="V1828" i="29"/>
  <c r="U1828" i="29"/>
  <c r="T1828" i="29"/>
  <c r="R1828" i="29"/>
  <c r="Q1828" i="29"/>
  <c r="V1827" i="29"/>
  <c r="U1827" i="29"/>
  <c r="T1827" i="29"/>
  <c r="R1827" i="29"/>
  <c r="Q1827" i="29"/>
  <c r="V1824" i="29"/>
  <c r="U1824" i="29"/>
  <c r="T1824" i="29"/>
  <c r="R1824" i="29"/>
  <c r="Q1824" i="29"/>
  <c r="V1823" i="29"/>
  <c r="U1823" i="29"/>
  <c r="T1823" i="29"/>
  <c r="R1823" i="29"/>
  <c r="Q1823" i="29"/>
  <c r="V1822" i="29"/>
  <c r="U1822" i="29"/>
  <c r="T1822" i="29"/>
  <c r="R1822" i="29"/>
  <c r="Q1822" i="29"/>
  <c r="V1821" i="29"/>
  <c r="U1821" i="29"/>
  <c r="T1821" i="29"/>
  <c r="R1821" i="29"/>
  <c r="Q1821" i="29"/>
  <c r="V1820" i="29"/>
  <c r="U1820" i="29"/>
  <c r="T1820" i="29"/>
  <c r="R1820" i="29"/>
  <c r="Q1820" i="29"/>
  <c r="V1819" i="29"/>
  <c r="U1819" i="29"/>
  <c r="T1819" i="29"/>
  <c r="R1819" i="29"/>
  <c r="Q1819" i="29"/>
  <c r="V1818" i="29"/>
  <c r="U1818" i="29"/>
  <c r="T1818" i="29"/>
  <c r="R1818" i="29"/>
  <c r="Q1818" i="29"/>
  <c r="V1817" i="29"/>
  <c r="U1817" i="29"/>
  <c r="T1817" i="29"/>
  <c r="R1817" i="29"/>
  <c r="Q1817" i="29"/>
  <c r="V1816" i="29"/>
  <c r="U1816" i="29"/>
  <c r="T1816" i="29"/>
  <c r="R1816" i="29"/>
  <c r="Q1816" i="29"/>
  <c r="V1813" i="29"/>
  <c r="U1813" i="29"/>
  <c r="T1813" i="29"/>
  <c r="R1813" i="29"/>
  <c r="Q1813" i="29"/>
  <c r="V1812" i="29"/>
  <c r="U1812" i="29"/>
  <c r="T1812" i="29"/>
  <c r="R1812" i="29"/>
  <c r="Q1812" i="29"/>
  <c r="V1811" i="29"/>
  <c r="U1811" i="29"/>
  <c r="T1811" i="29"/>
  <c r="R1811" i="29"/>
  <c r="Q1811" i="29"/>
  <c r="V1810" i="29"/>
  <c r="U1810" i="29"/>
  <c r="T1810" i="29"/>
  <c r="R1810" i="29"/>
  <c r="Q1810" i="29"/>
  <c r="V1809" i="29"/>
  <c r="U1809" i="29"/>
  <c r="T1809" i="29"/>
  <c r="R1809" i="29"/>
  <c r="Q1809" i="29"/>
  <c r="V1808" i="29"/>
  <c r="U1808" i="29"/>
  <c r="T1808" i="29"/>
  <c r="R1808" i="29"/>
  <c r="Q1808" i="29"/>
  <c r="V1807" i="29"/>
  <c r="U1807" i="29"/>
  <c r="T1807" i="29"/>
  <c r="R1807" i="29"/>
  <c r="Q1807" i="29"/>
  <c r="V1806" i="29"/>
  <c r="U1806" i="29"/>
  <c r="T1806" i="29"/>
  <c r="R1806" i="29"/>
  <c r="Q1806" i="29"/>
  <c r="V1805" i="29"/>
  <c r="U1805" i="29"/>
  <c r="T1805" i="29"/>
  <c r="R1805" i="29"/>
  <c r="Q1805" i="29"/>
  <c r="V1802" i="29"/>
  <c r="U1802" i="29"/>
  <c r="T1802" i="29"/>
  <c r="R1802" i="29"/>
  <c r="Q1802" i="29"/>
  <c r="V1801" i="29"/>
  <c r="U1801" i="29"/>
  <c r="T1801" i="29"/>
  <c r="R1801" i="29"/>
  <c r="Q1801" i="29"/>
  <c r="V1800" i="29"/>
  <c r="U1800" i="29"/>
  <c r="T1800" i="29"/>
  <c r="R1800" i="29"/>
  <c r="Q1800" i="29"/>
  <c r="V1799" i="29"/>
  <c r="U1799" i="29"/>
  <c r="T1799" i="29"/>
  <c r="R1799" i="29"/>
  <c r="Q1799" i="29"/>
  <c r="V1798" i="29"/>
  <c r="U1798" i="29"/>
  <c r="T1798" i="29"/>
  <c r="R1798" i="29"/>
  <c r="Q1798" i="29"/>
  <c r="V1797" i="29"/>
  <c r="U1797" i="29"/>
  <c r="T1797" i="29"/>
  <c r="R1797" i="29"/>
  <c r="Q1797" i="29"/>
  <c r="V1796" i="29"/>
  <c r="U1796" i="29"/>
  <c r="T1796" i="29"/>
  <c r="R1796" i="29"/>
  <c r="Q1796" i="29"/>
  <c r="V1795" i="29"/>
  <c r="U1795" i="29"/>
  <c r="T1795" i="29"/>
  <c r="R1795" i="29"/>
  <c r="Q1795" i="29"/>
  <c r="V1794" i="29"/>
  <c r="U1794" i="29"/>
  <c r="T1794" i="29"/>
  <c r="R1794" i="29"/>
  <c r="Q1794" i="29"/>
  <c r="V1791" i="29"/>
  <c r="U1791" i="29"/>
  <c r="T1791" i="29"/>
  <c r="R1791" i="29"/>
  <c r="Q1791" i="29"/>
  <c r="V1790" i="29"/>
  <c r="U1790" i="29"/>
  <c r="T1790" i="29"/>
  <c r="R1790" i="29"/>
  <c r="Q1790" i="29"/>
  <c r="V1789" i="29"/>
  <c r="U1789" i="29"/>
  <c r="T1789" i="29"/>
  <c r="R1789" i="29"/>
  <c r="Q1789" i="29"/>
  <c r="V1788" i="29"/>
  <c r="U1788" i="29"/>
  <c r="T1788" i="29"/>
  <c r="R1788" i="29"/>
  <c r="Q1788" i="29"/>
  <c r="V1787" i="29"/>
  <c r="U1787" i="29"/>
  <c r="T1787" i="29"/>
  <c r="R1787" i="29"/>
  <c r="Q1787" i="29"/>
  <c r="V1786" i="29"/>
  <c r="U1786" i="29"/>
  <c r="T1786" i="29"/>
  <c r="R1786" i="29"/>
  <c r="Q1786" i="29"/>
  <c r="V1785" i="29"/>
  <c r="U1785" i="29"/>
  <c r="T1785" i="29"/>
  <c r="R1785" i="29"/>
  <c r="Q1785" i="29"/>
  <c r="V1784" i="29"/>
  <c r="U1784" i="29"/>
  <c r="T1784" i="29"/>
  <c r="R1784" i="29"/>
  <c r="Q1784" i="29"/>
  <c r="V1783" i="29"/>
  <c r="U1783" i="29"/>
  <c r="T1783" i="29"/>
  <c r="R1783" i="29"/>
  <c r="Q1783" i="29"/>
  <c r="V1780" i="29"/>
  <c r="U1780" i="29"/>
  <c r="T1780" i="29"/>
  <c r="R1780" i="29"/>
  <c r="Q1780" i="29"/>
  <c r="V1779" i="29"/>
  <c r="U1779" i="29"/>
  <c r="T1779" i="29"/>
  <c r="R1779" i="29"/>
  <c r="Q1779" i="29"/>
  <c r="V1778" i="29"/>
  <c r="U1778" i="29"/>
  <c r="T1778" i="29"/>
  <c r="R1778" i="29"/>
  <c r="Q1778" i="29"/>
  <c r="V1777" i="29"/>
  <c r="U1777" i="29"/>
  <c r="T1777" i="29"/>
  <c r="R1777" i="29"/>
  <c r="Q1777" i="29"/>
  <c r="V1776" i="29"/>
  <c r="U1776" i="29"/>
  <c r="T1776" i="29"/>
  <c r="R1776" i="29"/>
  <c r="Q1776" i="29"/>
  <c r="V1775" i="29"/>
  <c r="U1775" i="29"/>
  <c r="T1775" i="29"/>
  <c r="R1775" i="29"/>
  <c r="Q1775" i="29"/>
  <c r="V1774" i="29"/>
  <c r="U1774" i="29"/>
  <c r="T1774" i="29"/>
  <c r="R1774" i="29"/>
  <c r="Q1774" i="29"/>
  <c r="V1773" i="29"/>
  <c r="U1773" i="29"/>
  <c r="T1773" i="29"/>
  <c r="R1773" i="29"/>
  <c r="Q1773" i="29"/>
  <c r="V1772" i="29"/>
  <c r="U1772" i="29"/>
  <c r="T1772" i="29"/>
  <c r="R1772" i="29"/>
  <c r="Q1772" i="29"/>
  <c r="V1769" i="29"/>
  <c r="U1769" i="29"/>
  <c r="T1769" i="29"/>
  <c r="R1769" i="29"/>
  <c r="Q1769" i="29"/>
  <c r="V1768" i="29"/>
  <c r="U1768" i="29"/>
  <c r="T1768" i="29"/>
  <c r="R1768" i="29"/>
  <c r="Q1768" i="29"/>
  <c r="V1767" i="29"/>
  <c r="U1767" i="29"/>
  <c r="T1767" i="29"/>
  <c r="R1767" i="29"/>
  <c r="Q1767" i="29"/>
  <c r="V1766" i="29"/>
  <c r="U1766" i="29"/>
  <c r="T1766" i="29"/>
  <c r="R1766" i="29"/>
  <c r="Q1766" i="29"/>
  <c r="V1765" i="29"/>
  <c r="U1765" i="29"/>
  <c r="T1765" i="29"/>
  <c r="R1765" i="29"/>
  <c r="Q1765" i="29"/>
  <c r="V1764" i="29"/>
  <c r="U1764" i="29"/>
  <c r="T1764" i="29"/>
  <c r="R1764" i="29"/>
  <c r="Q1764" i="29"/>
  <c r="V1763" i="29"/>
  <c r="U1763" i="29"/>
  <c r="T1763" i="29"/>
  <c r="R1763" i="29"/>
  <c r="Q1763" i="29"/>
  <c r="V1762" i="29"/>
  <c r="U1762" i="29"/>
  <c r="T1762" i="29"/>
  <c r="R1762" i="29"/>
  <c r="Q1762" i="29"/>
  <c r="V1761" i="29"/>
  <c r="U1761" i="29"/>
  <c r="T1761" i="29"/>
  <c r="R1761" i="29"/>
  <c r="Q1761" i="29"/>
  <c r="V1751" i="29"/>
  <c r="U1751" i="29"/>
  <c r="T1751" i="29"/>
  <c r="R1751" i="29"/>
  <c r="Q1751" i="29"/>
  <c r="V1750" i="29"/>
  <c r="U1750" i="29"/>
  <c r="T1750" i="29"/>
  <c r="R1750" i="29"/>
  <c r="Q1750" i="29"/>
  <c r="V1749" i="29"/>
  <c r="U1749" i="29"/>
  <c r="T1749" i="29"/>
  <c r="R1749" i="29"/>
  <c r="Q1749" i="29"/>
  <c r="V1748" i="29"/>
  <c r="U1748" i="29"/>
  <c r="T1748" i="29"/>
  <c r="R1748" i="29"/>
  <c r="Q1748" i="29"/>
  <c r="V1747" i="29"/>
  <c r="U1747" i="29"/>
  <c r="T1747" i="29"/>
  <c r="R1747" i="29"/>
  <c r="Q1747" i="29"/>
  <c r="V1746" i="29"/>
  <c r="U1746" i="29"/>
  <c r="T1746" i="29"/>
  <c r="R1746" i="29"/>
  <c r="Q1746" i="29"/>
  <c r="V1745" i="29"/>
  <c r="U1745" i="29"/>
  <c r="T1745" i="29"/>
  <c r="R1745" i="29"/>
  <c r="Q1745" i="29"/>
  <c r="V1744" i="29"/>
  <c r="U1744" i="29"/>
  <c r="T1744" i="29"/>
  <c r="R1744" i="29"/>
  <c r="Q1744" i="29"/>
  <c r="V1743" i="29"/>
  <c r="U1743" i="29"/>
  <c r="T1743" i="29"/>
  <c r="R1743" i="29"/>
  <c r="Q1743" i="29"/>
  <c r="V1740" i="29"/>
  <c r="U1740" i="29"/>
  <c r="T1740" i="29"/>
  <c r="R1740" i="29"/>
  <c r="Q1740" i="29"/>
  <c r="V1739" i="29"/>
  <c r="U1739" i="29"/>
  <c r="T1739" i="29"/>
  <c r="R1739" i="29"/>
  <c r="Q1739" i="29"/>
  <c r="V1738" i="29"/>
  <c r="U1738" i="29"/>
  <c r="T1738" i="29"/>
  <c r="R1738" i="29"/>
  <c r="Q1738" i="29"/>
  <c r="V1737" i="29"/>
  <c r="U1737" i="29"/>
  <c r="T1737" i="29"/>
  <c r="R1737" i="29"/>
  <c r="Q1737" i="29"/>
  <c r="V1736" i="29"/>
  <c r="U1736" i="29"/>
  <c r="T1736" i="29"/>
  <c r="R1736" i="29"/>
  <c r="Q1736" i="29"/>
  <c r="V1735" i="29"/>
  <c r="U1735" i="29"/>
  <c r="T1735" i="29"/>
  <c r="R1735" i="29"/>
  <c r="Q1735" i="29"/>
  <c r="V1734" i="29"/>
  <c r="U1734" i="29"/>
  <c r="T1734" i="29"/>
  <c r="R1734" i="29"/>
  <c r="Q1734" i="29"/>
  <c r="V1733" i="29"/>
  <c r="U1733" i="29"/>
  <c r="T1733" i="29"/>
  <c r="R1733" i="29"/>
  <c r="Q1733" i="29"/>
  <c r="V1732" i="29"/>
  <c r="U1732" i="29"/>
  <c r="T1732" i="29"/>
  <c r="R1732" i="29"/>
  <c r="Q1732" i="29"/>
  <c r="V1729" i="29"/>
  <c r="U1729" i="29"/>
  <c r="T1729" i="29"/>
  <c r="R1729" i="29"/>
  <c r="Q1729" i="29"/>
  <c r="V1728" i="29"/>
  <c r="U1728" i="29"/>
  <c r="T1728" i="29"/>
  <c r="R1728" i="29"/>
  <c r="Q1728" i="29"/>
  <c r="V1727" i="29"/>
  <c r="U1727" i="29"/>
  <c r="T1727" i="29"/>
  <c r="R1727" i="29"/>
  <c r="Q1727" i="29"/>
  <c r="V1726" i="29"/>
  <c r="U1726" i="29"/>
  <c r="T1726" i="29"/>
  <c r="R1726" i="29"/>
  <c r="Q1726" i="29"/>
  <c r="V1725" i="29"/>
  <c r="U1725" i="29"/>
  <c r="T1725" i="29"/>
  <c r="R1725" i="29"/>
  <c r="Q1725" i="29"/>
  <c r="V1724" i="29"/>
  <c r="U1724" i="29"/>
  <c r="T1724" i="29"/>
  <c r="R1724" i="29"/>
  <c r="Q1724" i="29"/>
  <c r="V1723" i="29"/>
  <c r="U1723" i="29"/>
  <c r="T1723" i="29"/>
  <c r="R1723" i="29"/>
  <c r="Q1723" i="29"/>
  <c r="V1722" i="29"/>
  <c r="U1722" i="29"/>
  <c r="T1722" i="29"/>
  <c r="R1722" i="29"/>
  <c r="Q1722" i="29"/>
  <c r="V1721" i="29"/>
  <c r="U1721" i="29"/>
  <c r="T1721" i="29"/>
  <c r="R1721" i="29"/>
  <c r="Q1721" i="29"/>
  <c r="V1718" i="29"/>
  <c r="U1718" i="29"/>
  <c r="T1718" i="29"/>
  <c r="R1718" i="29"/>
  <c r="Q1718" i="29"/>
  <c r="V1717" i="29"/>
  <c r="U1717" i="29"/>
  <c r="T1717" i="29"/>
  <c r="R1717" i="29"/>
  <c r="Q1717" i="29"/>
  <c r="V1716" i="29"/>
  <c r="U1716" i="29"/>
  <c r="T1716" i="29"/>
  <c r="R1716" i="29"/>
  <c r="Q1716" i="29"/>
  <c r="V1715" i="29"/>
  <c r="U1715" i="29"/>
  <c r="T1715" i="29"/>
  <c r="R1715" i="29"/>
  <c r="Q1715" i="29"/>
  <c r="V1714" i="29"/>
  <c r="U1714" i="29"/>
  <c r="T1714" i="29"/>
  <c r="R1714" i="29"/>
  <c r="Q1714" i="29"/>
  <c r="V1713" i="29"/>
  <c r="U1713" i="29"/>
  <c r="T1713" i="29"/>
  <c r="R1713" i="29"/>
  <c r="Q1713" i="29"/>
  <c r="V1712" i="29"/>
  <c r="U1712" i="29"/>
  <c r="T1712" i="29"/>
  <c r="R1712" i="29"/>
  <c r="Q1712" i="29"/>
  <c r="V1711" i="29"/>
  <c r="U1711" i="29"/>
  <c r="T1711" i="29"/>
  <c r="R1711" i="29"/>
  <c r="Q1711" i="29"/>
  <c r="V1710" i="29"/>
  <c r="U1710" i="29"/>
  <c r="T1710" i="29"/>
  <c r="R1710" i="29"/>
  <c r="Q1710" i="29"/>
  <c r="V1707" i="29"/>
  <c r="U1707" i="29"/>
  <c r="T1707" i="29"/>
  <c r="R1707" i="29"/>
  <c r="Q1707" i="29"/>
  <c r="V1706" i="29"/>
  <c r="U1706" i="29"/>
  <c r="T1706" i="29"/>
  <c r="R1706" i="29"/>
  <c r="Q1706" i="29"/>
  <c r="V1705" i="29"/>
  <c r="U1705" i="29"/>
  <c r="T1705" i="29"/>
  <c r="R1705" i="29"/>
  <c r="Q1705" i="29"/>
  <c r="V1704" i="29"/>
  <c r="U1704" i="29"/>
  <c r="T1704" i="29"/>
  <c r="R1704" i="29"/>
  <c r="Q1704" i="29"/>
  <c r="V1703" i="29"/>
  <c r="U1703" i="29"/>
  <c r="T1703" i="29"/>
  <c r="R1703" i="29"/>
  <c r="Q1703" i="29"/>
  <c r="V1702" i="29"/>
  <c r="U1702" i="29"/>
  <c r="T1702" i="29"/>
  <c r="R1702" i="29"/>
  <c r="Q1702" i="29"/>
  <c r="V1701" i="29"/>
  <c r="U1701" i="29"/>
  <c r="T1701" i="29"/>
  <c r="R1701" i="29"/>
  <c r="Q1701" i="29"/>
  <c r="V1700" i="29"/>
  <c r="U1700" i="29"/>
  <c r="T1700" i="29"/>
  <c r="R1700" i="29"/>
  <c r="Q1700" i="29"/>
  <c r="V1699" i="29"/>
  <c r="U1699" i="29"/>
  <c r="T1699" i="29"/>
  <c r="R1699" i="29"/>
  <c r="Q1699" i="29"/>
  <c r="V1696" i="29"/>
  <c r="U1696" i="29"/>
  <c r="T1696" i="29"/>
  <c r="R1696" i="29"/>
  <c r="Q1696" i="29"/>
  <c r="V1695" i="29"/>
  <c r="U1695" i="29"/>
  <c r="T1695" i="29"/>
  <c r="R1695" i="29"/>
  <c r="Q1695" i="29"/>
  <c r="V1694" i="29"/>
  <c r="U1694" i="29"/>
  <c r="T1694" i="29"/>
  <c r="R1694" i="29"/>
  <c r="Q1694" i="29"/>
  <c r="V1693" i="29"/>
  <c r="U1693" i="29"/>
  <c r="T1693" i="29"/>
  <c r="R1693" i="29"/>
  <c r="Q1693" i="29"/>
  <c r="V1692" i="29"/>
  <c r="U1692" i="29"/>
  <c r="T1692" i="29"/>
  <c r="R1692" i="29"/>
  <c r="Q1692" i="29"/>
  <c r="V1691" i="29"/>
  <c r="U1691" i="29"/>
  <c r="T1691" i="29"/>
  <c r="R1691" i="29"/>
  <c r="Q1691" i="29"/>
  <c r="V1690" i="29"/>
  <c r="U1690" i="29"/>
  <c r="T1690" i="29"/>
  <c r="R1690" i="29"/>
  <c r="Q1690" i="29"/>
  <c r="V1689" i="29"/>
  <c r="U1689" i="29"/>
  <c r="T1689" i="29"/>
  <c r="R1689" i="29"/>
  <c r="Q1689" i="29"/>
  <c r="V1688" i="29"/>
  <c r="U1688" i="29"/>
  <c r="T1688" i="29"/>
  <c r="R1688" i="29"/>
  <c r="Q1688" i="29"/>
  <c r="V1685" i="29"/>
  <c r="U1685" i="29"/>
  <c r="T1685" i="29"/>
  <c r="R1685" i="29"/>
  <c r="Q1685" i="29"/>
  <c r="V1684" i="29"/>
  <c r="U1684" i="29"/>
  <c r="T1684" i="29"/>
  <c r="R1684" i="29"/>
  <c r="Q1684" i="29"/>
  <c r="V1683" i="29"/>
  <c r="U1683" i="29"/>
  <c r="T1683" i="29"/>
  <c r="R1683" i="29"/>
  <c r="Q1683" i="29"/>
  <c r="V1679" i="29"/>
  <c r="U1679" i="29"/>
  <c r="T1679" i="29"/>
  <c r="R1679" i="29"/>
  <c r="Q1679" i="29"/>
  <c r="V1678" i="29"/>
  <c r="U1678" i="29"/>
  <c r="T1678" i="29"/>
  <c r="R1678" i="29"/>
  <c r="Q1678" i="29"/>
  <c r="V1677" i="29"/>
  <c r="U1677" i="29"/>
  <c r="T1677" i="29"/>
  <c r="R1677" i="29"/>
  <c r="Q1677" i="29"/>
  <c r="V1676" i="29"/>
  <c r="U1676" i="29"/>
  <c r="T1676" i="29"/>
  <c r="R1676" i="29"/>
  <c r="Q1676" i="29"/>
  <c r="V1675" i="29"/>
  <c r="U1675" i="29"/>
  <c r="T1675" i="29"/>
  <c r="R1675" i="29"/>
  <c r="Q1675" i="29"/>
  <c r="V1674" i="29"/>
  <c r="U1674" i="29"/>
  <c r="T1674" i="29"/>
  <c r="R1674" i="29"/>
  <c r="Q1674" i="29"/>
  <c r="V1671" i="29"/>
  <c r="U1671" i="29"/>
  <c r="T1671" i="29"/>
  <c r="R1671" i="29"/>
  <c r="Q1671" i="29"/>
  <c r="V1670" i="29"/>
  <c r="U1670" i="29"/>
  <c r="T1670" i="29"/>
  <c r="R1670" i="29"/>
  <c r="Q1670" i="29"/>
  <c r="V1669" i="29"/>
  <c r="U1669" i="29"/>
  <c r="T1669" i="29"/>
  <c r="R1669" i="29"/>
  <c r="Q1669" i="29"/>
  <c r="V1668" i="29"/>
  <c r="U1668" i="29"/>
  <c r="T1668" i="29"/>
  <c r="R1668" i="29"/>
  <c r="Q1668" i="29"/>
  <c r="V1667" i="29"/>
  <c r="U1667" i="29"/>
  <c r="T1667" i="29"/>
  <c r="R1667" i="29"/>
  <c r="Q1667" i="29"/>
  <c r="V1666" i="29"/>
  <c r="U1666" i="29"/>
  <c r="T1666" i="29"/>
  <c r="R1666" i="29"/>
  <c r="Q1666" i="29"/>
  <c r="V1665" i="29"/>
  <c r="U1665" i="29"/>
  <c r="T1665" i="29"/>
  <c r="R1665" i="29"/>
  <c r="Q1665" i="29"/>
  <c r="V1664" i="29"/>
  <c r="U1664" i="29"/>
  <c r="T1664" i="29"/>
  <c r="R1664" i="29"/>
  <c r="Q1664" i="29"/>
  <c r="V1663" i="29"/>
  <c r="U1663" i="29"/>
  <c r="T1663" i="29"/>
  <c r="R1663" i="29"/>
  <c r="Q1663" i="29"/>
  <c r="V1660" i="29"/>
  <c r="U1660" i="29"/>
  <c r="T1660" i="29"/>
  <c r="R1660" i="29"/>
  <c r="Q1660" i="29"/>
  <c r="V1659" i="29"/>
  <c r="U1659" i="29"/>
  <c r="T1659" i="29"/>
  <c r="R1659" i="29"/>
  <c r="Q1659" i="29"/>
  <c r="V1658" i="29"/>
  <c r="U1658" i="29"/>
  <c r="T1658" i="29"/>
  <c r="R1658" i="29"/>
  <c r="Q1658" i="29"/>
  <c r="V1657" i="29"/>
  <c r="U1657" i="29"/>
  <c r="T1657" i="29"/>
  <c r="R1657" i="29"/>
  <c r="Q1657" i="29"/>
  <c r="V1656" i="29"/>
  <c r="U1656" i="29"/>
  <c r="T1656" i="29"/>
  <c r="R1656" i="29"/>
  <c r="Q1656" i="29"/>
  <c r="V1655" i="29"/>
  <c r="U1655" i="29"/>
  <c r="T1655" i="29"/>
  <c r="R1655" i="29"/>
  <c r="Q1655" i="29"/>
  <c r="V1654" i="29"/>
  <c r="U1654" i="29"/>
  <c r="T1654" i="29"/>
  <c r="R1654" i="29"/>
  <c r="Q1654" i="29"/>
  <c r="V1653" i="29"/>
  <c r="U1653" i="29"/>
  <c r="T1653" i="29"/>
  <c r="R1653" i="29"/>
  <c r="Q1653" i="29"/>
  <c r="V1652" i="29"/>
  <c r="U1652" i="29"/>
  <c r="T1652" i="29"/>
  <c r="R1652" i="29"/>
  <c r="Q1652" i="29"/>
  <c r="V1649" i="29"/>
  <c r="U1649" i="29"/>
  <c r="T1649" i="29"/>
  <c r="R1649" i="29"/>
  <c r="Q1649" i="29"/>
  <c r="V1648" i="29"/>
  <c r="U1648" i="29"/>
  <c r="T1648" i="29"/>
  <c r="R1648" i="29"/>
  <c r="Q1648" i="29"/>
  <c r="V1647" i="29"/>
  <c r="U1647" i="29"/>
  <c r="T1647" i="29"/>
  <c r="R1647" i="29"/>
  <c r="Q1647" i="29"/>
  <c r="V1646" i="29"/>
  <c r="U1646" i="29"/>
  <c r="T1646" i="29"/>
  <c r="R1646" i="29"/>
  <c r="Q1646" i="29"/>
  <c r="V1645" i="29"/>
  <c r="U1645" i="29"/>
  <c r="T1645" i="29"/>
  <c r="R1645" i="29"/>
  <c r="Q1645" i="29"/>
  <c r="V1644" i="29"/>
  <c r="U1644" i="29"/>
  <c r="T1644" i="29"/>
  <c r="R1644" i="29"/>
  <c r="Q1644" i="29"/>
  <c r="V1643" i="29"/>
  <c r="U1643" i="29"/>
  <c r="T1643" i="29"/>
  <c r="R1643" i="29"/>
  <c r="Q1643" i="29"/>
  <c r="V1642" i="29"/>
  <c r="U1642" i="29"/>
  <c r="T1642" i="29"/>
  <c r="R1642" i="29"/>
  <c r="Q1642" i="29"/>
  <c r="V1641" i="29"/>
  <c r="U1641" i="29"/>
  <c r="T1641" i="29"/>
  <c r="R1641" i="29"/>
  <c r="Q1641" i="29"/>
  <c r="V1638" i="29"/>
  <c r="U1638" i="29"/>
  <c r="T1638" i="29"/>
  <c r="R1638" i="29"/>
  <c r="Q1638" i="29"/>
  <c r="V1637" i="29"/>
  <c r="U1637" i="29"/>
  <c r="T1637" i="29"/>
  <c r="R1637" i="29"/>
  <c r="Q1637" i="29"/>
  <c r="V1636" i="29"/>
  <c r="U1636" i="29"/>
  <c r="T1636" i="29"/>
  <c r="R1636" i="29"/>
  <c r="Q1636" i="29"/>
  <c r="V1635" i="29"/>
  <c r="U1635" i="29"/>
  <c r="T1635" i="29"/>
  <c r="R1635" i="29"/>
  <c r="Q1635" i="29"/>
  <c r="V1634" i="29"/>
  <c r="U1634" i="29"/>
  <c r="T1634" i="29"/>
  <c r="R1634" i="29"/>
  <c r="Q1634" i="29"/>
  <c r="V1633" i="29"/>
  <c r="U1633" i="29"/>
  <c r="T1633" i="29"/>
  <c r="R1633" i="29"/>
  <c r="Q1633" i="29"/>
  <c r="V1632" i="29"/>
  <c r="U1632" i="29"/>
  <c r="T1632" i="29"/>
  <c r="R1632" i="29"/>
  <c r="Q1632" i="29"/>
  <c r="V1631" i="29"/>
  <c r="U1631" i="29"/>
  <c r="T1631" i="29"/>
  <c r="R1631" i="29"/>
  <c r="Q1631" i="29"/>
  <c r="V1630" i="29"/>
  <c r="U1630" i="29"/>
  <c r="T1630" i="29"/>
  <c r="R1630" i="29"/>
  <c r="Q1630" i="29"/>
  <c r="V1627" i="29"/>
  <c r="U1627" i="29"/>
  <c r="T1627" i="29"/>
  <c r="R1627" i="29"/>
  <c r="Q1627" i="29"/>
  <c r="V1626" i="29"/>
  <c r="U1626" i="29"/>
  <c r="T1626" i="29"/>
  <c r="R1626" i="29"/>
  <c r="Q1626" i="29"/>
  <c r="V1625" i="29"/>
  <c r="U1625" i="29"/>
  <c r="T1625" i="29"/>
  <c r="R1625" i="29"/>
  <c r="Q1625" i="29"/>
  <c r="V1624" i="29"/>
  <c r="U1624" i="29"/>
  <c r="T1624" i="29"/>
  <c r="R1624" i="29"/>
  <c r="Q1624" i="29"/>
  <c r="V1623" i="29"/>
  <c r="U1623" i="29"/>
  <c r="T1623" i="29"/>
  <c r="R1623" i="29"/>
  <c r="Q1623" i="29"/>
  <c r="V1622" i="29"/>
  <c r="U1622" i="29"/>
  <c r="T1622" i="29"/>
  <c r="R1622" i="29"/>
  <c r="Q1622" i="29"/>
  <c r="V1621" i="29"/>
  <c r="U1621" i="29"/>
  <c r="T1621" i="29"/>
  <c r="R1621" i="29"/>
  <c r="Q1621" i="29"/>
  <c r="V1620" i="29"/>
  <c r="U1620" i="29"/>
  <c r="T1620" i="29"/>
  <c r="R1620" i="29"/>
  <c r="Q1620" i="29"/>
  <c r="V1619" i="29"/>
  <c r="U1619" i="29"/>
  <c r="T1619" i="29"/>
  <c r="R1619" i="29"/>
  <c r="Q1619" i="29"/>
  <c r="V1616" i="29"/>
  <c r="U1616" i="29"/>
  <c r="T1616" i="29"/>
  <c r="R1616" i="29"/>
  <c r="Q1616" i="29"/>
  <c r="V1615" i="29"/>
  <c r="U1615" i="29"/>
  <c r="T1615" i="29"/>
  <c r="R1615" i="29"/>
  <c r="Q1615" i="29"/>
  <c r="V1614" i="29"/>
  <c r="U1614" i="29"/>
  <c r="T1614" i="29"/>
  <c r="R1614" i="29"/>
  <c r="Q1614" i="29"/>
  <c r="V1613" i="29"/>
  <c r="U1613" i="29"/>
  <c r="T1613" i="29"/>
  <c r="R1613" i="29"/>
  <c r="Q1613" i="29"/>
  <c r="V1612" i="29"/>
  <c r="U1612" i="29"/>
  <c r="T1612" i="29"/>
  <c r="R1612" i="29"/>
  <c r="Q1612" i="29"/>
  <c r="V1611" i="29"/>
  <c r="U1611" i="29"/>
  <c r="T1611" i="29"/>
  <c r="R1611" i="29"/>
  <c r="Q1611" i="29"/>
  <c r="V1610" i="29"/>
  <c r="U1610" i="29"/>
  <c r="T1610" i="29"/>
  <c r="R1610" i="29"/>
  <c r="Q1610" i="29"/>
  <c r="V1609" i="29"/>
  <c r="U1609" i="29"/>
  <c r="T1609" i="29"/>
  <c r="R1609" i="29"/>
  <c r="Q1609" i="29"/>
  <c r="V1608" i="29"/>
  <c r="U1608" i="29"/>
  <c r="T1608" i="29"/>
  <c r="R1608" i="29"/>
  <c r="Q1608" i="29"/>
  <c r="V1605" i="29"/>
  <c r="U1605" i="29"/>
  <c r="T1605" i="29"/>
  <c r="R1605" i="29"/>
  <c r="Q1605" i="29"/>
  <c r="V1604" i="29"/>
  <c r="U1604" i="29"/>
  <c r="T1604" i="29"/>
  <c r="R1604" i="29"/>
  <c r="Q1604" i="29"/>
  <c r="V1603" i="29"/>
  <c r="U1603" i="29"/>
  <c r="T1603" i="29"/>
  <c r="R1603" i="29"/>
  <c r="Q1603" i="29"/>
  <c r="V1602" i="29"/>
  <c r="U1602" i="29"/>
  <c r="T1602" i="29"/>
  <c r="R1602" i="29"/>
  <c r="Q1602" i="29"/>
  <c r="V1601" i="29"/>
  <c r="U1601" i="29"/>
  <c r="T1601" i="29"/>
  <c r="R1601" i="29"/>
  <c r="Q1601" i="29"/>
  <c r="V1600" i="29"/>
  <c r="U1600" i="29"/>
  <c r="T1600" i="29"/>
  <c r="R1600" i="29"/>
  <c r="Q1600" i="29"/>
  <c r="V1599" i="29"/>
  <c r="U1599" i="29"/>
  <c r="T1599" i="29"/>
  <c r="R1599" i="29"/>
  <c r="Q1599" i="29"/>
  <c r="V1598" i="29"/>
  <c r="U1598" i="29"/>
  <c r="T1598" i="29"/>
  <c r="R1598" i="29"/>
  <c r="Q1598" i="29"/>
  <c r="V1597" i="29"/>
  <c r="U1597" i="29"/>
  <c r="T1597" i="29"/>
  <c r="R1597" i="29"/>
  <c r="Q1597" i="29"/>
  <c r="V1594" i="29"/>
  <c r="U1594" i="29"/>
  <c r="T1594" i="29"/>
  <c r="R1594" i="29"/>
  <c r="Q1594" i="29"/>
  <c r="V1593" i="29"/>
  <c r="U1593" i="29"/>
  <c r="T1593" i="29"/>
  <c r="R1593" i="29"/>
  <c r="Q1593" i="29"/>
  <c r="V1592" i="29"/>
  <c r="U1592" i="29"/>
  <c r="T1592" i="29"/>
  <c r="R1592" i="29"/>
  <c r="Q1592" i="29"/>
  <c r="V1591" i="29"/>
  <c r="U1591" i="29"/>
  <c r="T1591" i="29"/>
  <c r="R1591" i="29"/>
  <c r="Q1591" i="29"/>
  <c r="V1590" i="29"/>
  <c r="U1590" i="29"/>
  <c r="T1590" i="29"/>
  <c r="R1590" i="29"/>
  <c r="Q1590" i="29"/>
  <c r="V1589" i="29"/>
  <c r="U1589" i="29"/>
  <c r="T1589" i="29"/>
  <c r="R1589" i="29"/>
  <c r="Q1589" i="29"/>
  <c r="V1588" i="29"/>
  <c r="U1588" i="29"/>
  <c r="T1588" i="29"/>
  <c r="R1588" i="29"/>
  <c r="Q1588" i="29"/>
  <c r="V1587" i="29"/>
  <c r="U1587" i="29"/>
  <c r="T1587" i="29"/>
  <c r="R1587" i="29"/>
  <c r="Q1587" i="29"/>
  <c r="V1586" i="29"/>
  <c r="U1586" i="29"/>
  <c r="T1586" i="29"/>
  <c r="R1586" i="29"/>
  <c r="Q1586" i="29"/>
  <c r="V1583" i="29"/>
  <c r="U1583" i="29"/>
  <c r="T1583" i="29"/>
  <c r="R1583" i="29"/>
  <c r="Q1583" i="29"/>
  <c r="V1582" i="29"/>
  <c r="U1582" i="29"/>
  <c r="T1582" i="29"/>
  <c r="R1582" i="29"/>
  <c r="Q1582" i="29"/>
  <c r="V1581" i="29"/>
  <c r="U1581" i="29"/>
  <c r="T1581" i="29"/>
  <c r="R1581" i="29"/>
  <c r="Q1581" i="29"/>
  <c r="V1580" i="29"/>
  <c r="U1580" i="29"/>
  <c r="T1580" i="29"/>
  <c r="R1580" i="29"/>
  <c r="Q1580" i="29"/>
  <c r="V1579" i="29"/>
  <c r="U1579" i="29"/>
  <c r="T1579" i="29"/>
  <c r="R1579" i="29"/>
  <c r="Q1579" i="29"/>
  <c r="V1578" i="29"/>
  <c r="U1578" i="29"/>
  <c r="T1578" i="29"/>
  <c r="R1578" i="29"/>
  <c r="Q1578" i="29"/>
  <c r="V1577" i="29"/>
  <c r="U1577" i="29"/>
  <c r="T1577" i="29"/>
  <c r="R1577" i="29"/>
  <c r="Q1577" i="29"/>
  <c r="V1576" i="29"/>
  <c r="U1576" i="29"/>
  <c r="T1576" i="29"/>
  <c r="R1576" i="29"/>
  <c r="Q1576" i="29"/>
  <c r="V1575" i="29"/>
  <c r="U1575" i="29"/>
  <c r="T1575" i="29"/>
  <c r="R1575" i="29"/>
  <c r="Q1575" i="29"/>
  <c r="V1572" i="29"/>
  <c r="U1572" i="29"/>
  <c r="T1572" i="29"/>
  <c r="R1572" i="29"/>
  <c r="Q1572" i="29"/>
  <c r="V1571" i="29"/>
  <c r="U1571" i="29"/>
  <c r="T1571" i="29"/>
  <c r="R1571" i="29"/>
  <c r="Q1571" i="29"/>
  <c r="V1570" i="29"/>
  <c r="U1570" i="29"/>
  <c r="T1570" i="29"/>
  <c r="R1570" i="29"/>
  <c r="Q1570" i="29"/>
  <c r="V1569" i="29"/>
  <c r="U1569" i="29"/>
  <c r="T1569" i="29"/>
  <c r="R1569" i="29"/>
  <c r="Q1569" i="29"/>
  <c r="V1568" i="29"/>
  <c r="U1568" i="29"/>
  <c r="T1568" i="29"/>
  <c r="R1568" i="29"/>
  <c r="Q1568" i="29"/>
  <c r="V1567" i="29"/>
  <c r="U1567" i="29"/>
  <c r="T1567" i="29"/>
  <c r="R1567" i="29"/>
  <c r="Q1567" i="29"/>
  <c r="V1566" i="29"/>
  <c r="U1566" i="29"/>
  <c r="T1566" i="29"/>
  <c r="R1566" i="29"/>
  <c r="Q1566" i="29"/>
  <c r="V1565" i="29"/>
  <c r="U1565" i="29"/>
  <c r="T1565" i="29"/>
  <c r="R1565" i="29"/>
  <c r="Q1565" i="29"/>
  <c r="V1564" i="29"/>
  <c r="U1564" i="29"/>
  <c r="T1564" i="29"/>
  <c r="R1564" i="29"/>
  <c r="Q1564" i="29"/>
  <c r="V1561" i="29"/>
  <c r="U1561" i="29"/>
  <c r="T1561" i="29"/>
  <c r="R1561" i="29"/>
  <c r="Q1561" i="29"/>
  <c r="V1560" i="29"/>
  <c r="U1560" i="29"/>
  <c r="T1560" i="29"/>
  <c r="R1560" i="29"/>
  <c r="Q1560" i="29"/>
  <c r="V1559" i="29"/>
  <c r="U1559" i="29"/>
  <c r="T1559" i="29"/>
  <c r="R1559" i="29"/>
  <c r="Q1559" i="29"/>
  <c r="V1558" i="29"/>
  <c r="U1558" i="29"/>
  <c r="T1558" i="29"/>
  <c r="R1558" i="29"/>
  <c r="Q1558" i="29"/>
  <c r="V1557" i="29"/>
  <c r="U1557" i="29"/>
  <c r="T1557" i="29"/>
  <c r="R1557" i="29"/>
  <c r="Q1557" i="29"/>
  <c r="V1556" i="29"/>
  <c r="U1556" i="29"/>
  <c r="T1556" i="29"/>
  <c r="R1556" i="29"/>
  <c r="Q1556" i="29"/>
  <c r="V1555" i="29"/>
  <c r="U1555" i="29"/>
  <c r="T1555" i="29"/>
  <c r="R1555" i="29"/>
  <c r="Q1555" i="29"/>
  <c r="V1554" i="29"/>
  <c r="U1554" i="29"/>
  <c r="T1554" i="29"/>
  <c r="R1554" i="29"/>
  <c r="Q1554" i="29"/>
  <c r="V1553" i="29"/>
  <c r="U1553" i="29"/>
  <c r="T1553" i="29"/>
  <c r="R1553" i="29"/>
  <c r="Q1553" i="29"/>
  <c r="V1550" i="29"/>
  <c r="U1550" i="29"/>
  <c r="T1550" i="29"/>
  <c r="R1550" i="29"/>
  <c r="Q1550" i="29"/>
  <c r="V1549" i="29"/>
  <c r="U1549" i="29"/>
  <c r="T1549" i="29"/>
  <c r="R1549" i="29"/>
  <c r="Q1549" i="29"/>
  <c r="V1548" i="29"/>
  <c r="U1548" i="29"/>
  <c r="T1548" i="29"/>
  <c r="R1548" i="29"/>
  <c r="Q1548" i="29"/>
  <c r="V1547" i="29"/>
  <c r="U1547" i="29"/>
  <c r="T1547" i="29"/>
  <c r="R1547" i="29"/>
  <c r="Q1547" i="29"/>
  <c r="V1546" i="29"/>
  <c r="U1546" i="29"/>
  <c r="T1546" i="29"/>
  <c r="R1546" i="29"/>
  <c r="Q1546" i="29"/>
  <c r="V1545" i="29"/>
  <c r="U1545" i="29"/>
  <c r="T1545" i="29"/>
  <c r="R1545" i="29"/>
  <c r="Q1545" i="29"/>
  <c r="V1544" i="29"/>
  <c r="U1544" i="29"/>
  <c r="T1544" i="29"/>
  <c r="R1544" i="29"/>
  <c r="Q1544" i="29"/>
  <c r="V1543" i="29"/>
  <c r="U1543" i="29"/>
  <c r="T1543" i="29"/>
  <c r="R1543" i="29"/>
  <c r="Q1543" i="29"/>
  <c r="V1542" i="29"/>
  <c r="U1542" i="29"/>
  <c r="T1542" i="29"/>
  <c r="R1542" i="29"/>
  <c r="Q1542" i="29"/>
  <c r="V1539" i="29"/>
  <c r="U1539" i="29"/>
  <c r="T1539" i="29"/>
  <c r="R1539" i="29"/>
  <c r="Q1539" i="29"/>
  <c r="V1538" i="29"/>
  <c r="U1538" i="29"/>
  <c r="T1538" i="29"/>
  <c r="R1538" i="29"/>
  <c r="Q1538" i="29"/>
  <c r="V1537" i="29"/>
  <c r="U1537" i="29"/>
  <c r="T1537" i="29"/>
  <c r="R1537" i="29"/>
  <c r="Q1537" i="29"/>
  <c r="V1536" i="29"/>
  <c r="U1536" i="29"/>
  <c r="T1536" i="29"/>
  <c r="R1536" i="29"/>
  <c r="Q1536" i="29"/>
  <c r="V1535" i="29"/>
  <c r="U1535" i="29"/>
  <c r="T1535" i="29"/>
  <c r="R1535" i="29"/>
  <c r="Q1535" i="29"/>
  <c r="V1534" i="29"/>
  <c r="U1534" i="29"/>
  <c r="T1534" i="29"/>
  <c r="R1534" i="29"/>
  <c r="Q1534" i="29"/>
  <c r="V1533" i="29"/>
  <c r="U1533" i="29"/>
  <c r="T1533" i="29"/>
  <c r="R1533" i="29"/>
  <c r="Q1533" i="29"/>
  <c r="V1532" i="29"/>
  <c r="U1532" i="29"/>
  <c r="T1532" i="29"/>
  <c r="R1532" i="29"/>
  <c r="Q1532" i="29"/>
  <c r="V1531" i="29"/>
  <c r="U1531" i="29"/>
  <c r="T1531" i="29"/>
  <c r="R1531" i="29"/>
  <c r="Q1531" i="29"/>
  <c r="V1528" i="29"/>
  <c r="U1528" i="29"/>
  <c r="T1528" i="29"/>
  <c r="R1528" i="29"/>
  <c r="Q1528" i="29"/>
  <c r="V1527" i="29"/>
  <c r="U1527" i="29"/>
  <c r="T1527" i="29"/>
  <c r="R1527" i="29"/>
  <c r="Q1527" i="29"/>
  <c r="V1526" i="29"/>
  <c r="U1526" i="29"/>
  <c r="T1526" i="29"/>
  <c r="R1526" i="29"/>
  <c r="Q1526" i="29"/>
  <c r="V1525" i="29"/>
  <c r="U1525" i="29"/>
  <c r="T1525" i="29"/>
  <c r="R1525" i="29"/>
  <c r="Q1525" i="29"/>
  <c r="V1524" i="29"/>
  <c r="U1524" i="29"/>
  <c r="T1524" i="29"/>
  <c r="R1524" i="29"/>
  <c r="Q1524" i="29"/>
  <c r="V1523" i="29"/>
  <c r="U1523" i="29"/>
  <c r="T1523" i="29"/>
  <c r="R1523" i="29"/>
  <c r="Q1523" i="29"/>
  <c r="V1522" i="29"/>
  <c r="U1522" i="29"/>
  <c r="T1522" i="29"/>
  <c r="R1522" i="29"/>
  <c r="Q1522" i="29"/>
  <c r="V1521" i="29"/>
  <c r="U1521" i="29"/>
  <c r="T1521" i="29"/>
  <c r="R1521" i="29"/>
  <c r="Q1521" i="29"/>
  <c r="V1520" i="29"/>
  <c r="U1520" i="29"/>
  <c r="T1520" i="29"/>
  <c r="R1520" i="29"/>
  <c r="Q1520" i="29"/>
  <c r="V1517" i="29"/>
  <c r="U1517" i="29"/>
  <c r="T1517" i="29"/>
  <c r="R1517" i="29"/>
  <c r="Q1517" i="29"/>
  <c r="V1516" i="29"/>
  <c r="U1516" i="29"/>
  <c r="T1516" i="29"/>
  <c r="R1516" i="29"/>
  <c r="Q1516" i="29"/>
  <c r="V1515" i="29"/>
  <c r="U1515" i="29"/>
  <c r="T1515" i="29"/>
  <c r="R1515" i="29"/>
  <c r="Q1515" i="29"/>
  <c r="V1514" i="29"/>
  <c r="U1514" i="29"/>
  <c r="T1514" i="29"/>
  <c r="R1514" i="29"/>
  <c r="Q1514" i="29"/>
  <c r="V1513" i="29"/>
  <c r="U1513" i="29"/>
  <c r="T1513" i="29"/>
  <c r="R1513" i="29"/>
  <c r="Q1513" i="29"/>
  <c r="V1512" i="29"/>
  <c r="U1512" i="29"/>
  <c r="T1512" i="29"/>
  <c r="R1512" i="29"/>
  <c r="Q1512" i="29"/>
  <c r="V1511" i="29"/>
  <c r="U1511" i="29"/>
  <c r="T1511" i="29"/>
  <c r="R1511" i="29"/>
  <c r="Q1511" i="29"/>
  <c r="V1510" i="29"/>
  <c r="U1510" i="29"/>
  <c r="T1510" i="29"/>
  <c r="R1510" i="29"/>
  <c r="Q1510" i="29"/>
  <c r="V1509" i="29"/>
  <c r="U1509" i="29"/>
  <c r="T1509" i="29"/>
  <c r="R1509" i="29"/>
  <c r="Q1509" i="29"/>
  <c r="V1506" i="29"/>
  <c r="U1506" i="29"/>
  <c r="T1506" i="29"/>
  <c r="R1506" i="29"/>
  <c r="Q1506" i="29"/>
  <c r="V1505" i="29"/>
  <c r="U1505" i="29"/>
  <c r="T1505" i="29"/>
  <c r="R1505" i="29"/>
  <c r="Q1505" i="29"/>
  <c r="V1504" i="29"/>
  <c r="U1504" i="29"/>
  <c r="T1504" i="29"/>
  <c r="R1504" i="29"/>
  <c r="Q1504" i="29"/>
  <c r="V1503" i="29"/>
  <c r="U1503" i="29"/>
  <c r="T1503" i="29"/>
  <c r="R1503" i="29"/>
  <c r="Q1503" i="29"/>
  <c r="V1502" i="29"/>
  <c r="U1502" i="29"/>
  <c r="T1502" i="29"/>
  <c r="R1502" i="29"/>
  <c r="Q1502" i="29"/>
  <c r="V1501" i="29"/>
  <c r="U1501" i="29"/>
  <c r="T1501" i="29"/>
  <c r="R1501" i="29"/>
  <c r="Q1501" i="29"/>
  <c r="V1500" i="29"/>
  <c r="U1500" i="29"/>
  <c r="T1500" i="29"/>
  <c r="R1500" i="29"/>
  <c r="Q1500" i="29"/>
  <c r="V1499" i="29"/>
  <c r="U1499" i="29"/>
  <c r="T1499" i="29"/>
  <c r="R1499" i="29"/>
  <c r="Q1499" i="29"/>
  <c r="V1498" i="29"/>
  <c r="U1498" i="29"/>
  <c r="T1498" i="29"/>
  <c r="R1498" i="29"/>
  <c r="Q1498" i="29"/>
  <c r="V1495" i="29"/>
  <c r="U1495" i="29"/>
  <c r="T1495" i="29"/>
  <c r="R1495" i="29"/>
  <c r="Q1495" i="29"/>
  <c r="V1494" i="29"/>
  <c r="U1494" i="29"/>
  <c r="T1494" i="29"/>
  <c r="R1494" i="29"/>
  <c r="Q1494" i="29"/>
  <c r="V1493" i="29"/>
  <c r="U1493" i="29"/>
  <c r="T1493" i="29"/>
  <c r="R1493" i="29"/>
  <c r="Q1493" i="29"/>
  <c r="V1492" i="29"/>
  <c r="U1492" i="29"/>
  <c r="T1492" i="29"/>
  <c r="R1492" i="29"/>
  <c r="Q1492" i="29"/>
  <c r="V1491" i="29"/>
  <c r="U1491" i="29"/>
  <c r="T1491" i="29"/>
  <c r="R1491" i="29"/>
  <c r="Q1491" i="29"/>
  <c r="V1490" i="29"/>
  <c r="U1490" i="29"/>
  <c r="T1490" i="29"/>
  <c r="R1490" i="29"/>
  <c r="Q1490" i="29"/>
  <c r="V1489" i="29"/>
  <c r="U1489" i="29"/>
  <c r="T1489" i="29"/>
  <c r="R1489" i="29"/>
  <c r="Q1489" i="29"/>
  <c r="V1488" i="29"/>
  <c r="U1488" i="29"/>
  <c r="T1488" i="29"/>
  <c r="R1488" i="29"/>
  <c r="Q1488" i="29"/>
  <c r="V1487" i="29"/>
  <c r="U1487" i="29"/>
  <c r="T1487" i="29"/>
  <c r="R1487" i="29"/>
  <c r="Q1487" i="29"/>
  <c r="V1484" i="29"/>
  <c r="U1484" i="29"/>
  <c r="T1484" i="29"/>
  <c r="R1484" i="29"/>
  <c r="Q1484" i="29"/>
  <c r="V1483" i="29"/>
  <c r="U1483" i="29"/>
  <c r="T1483" i="29"/>
  <c r="R1483" i="29"/>
  <c r="Q1483" i="29"/>
  <c r="V1482" i="29"/>
  <c r="U1482" i="29"/>
  <c r="T1482" i="29"/>
  <c r="R1482" i="29"/>
  <c r="Q1482" i="29"/>
  <c r="V1481" i="29"/>
  <c r="U1481" i="29"/>
  <c r="T1481" i="29"/>
  <c r="R1481" i="29"/>
  <c r="Q1481" i="29"/>
  <c r="V1480" i="29"/>
  <c r="U1480" i="29"/>
  <c r="T1480" i="29"/>
  <c r="R1480" i="29"/>
  <c r="Q1480" i="29"/>
  <c r="V1479" i="29"/>
  <c r="U1479" i="29"/>
  <c r="T1479" i="29"/>
  <c r="R1479" i="29"/>
  <c r="Q1479" i="29"/>
  <c r="V1478" i="29"/>
  <c r="U1478" i="29"/>
  <c r="T1478" i="29"/>
  <c r="R1478" i="29"/>
  <c r="Q1478" i="29"/>
  <c r="V1477" i="29"/>
  <c r="U1477" i="29"/>
  <c r="T1477" i="29"/>
  <c r="R1477" i="29"/>
  <c r="Q1477" i="29"/>
  <c r="V1476" i="29"/>
  <c r="U1476" i="29"/>
  <c r="T1476" i="29"/>
  <c r="R1476" i="29"/>
  <c r="Q1476" i="29"/>
  <c r="V1473" i="29"/>
  <c r="U1473" i="29"/>
  <c r="T1473" i="29"/>
  <c r="R1473" i="29"/>
  <c r="Q1473" i="29"/>
  <c r="V1472" i="29"/>
  <c r="U1472" i="29"/>
  <c r="T1472" i="29"/>
  <c r="R1472" i="29"/>
  <c r="Q1472" i="29"/>
  <c r="V1471" i="29"/>
  <c r="U1471" i="29"/>
  <c r="T1471" i="29"/>
  <c r="R1471" i="29"/>
  <c r="Q1471" i="29"/>
  <c r="V1470" i="29"/>
  <c r="U1470" i="29"/>
  <c r="T1470" i="29"/>
  <c r="R1470" i="29"/>
  <c r="Q1470" i="29"/>
  <c r="V1469" i="29"/>
  <c r="U1469" i="29"/>
  <c r="T1469" i="29"/>
  <c r="R1469" i="29"/>
  <c r="Q1469" i="29"/>
  <c r="V1468" i="29"/>
  <c r="U1468" i="29"/>
  <c r="T1468" i="29"/>
  <c r="R1468" i="29"/>
  <c r="Q1468" i="29"/>
  <c r="V1467" i="29"/>
  <c r="U1467" i="29"/>
  <c r="T1467" i="29"/>
  <c r="R1467" i="29"/>
  <c r="Q1467" i="29"/>
  <c r="V1466" i="29"/>
  <c r="U1466" i="29"/>
  <c r="T1466" i="29"/>
  <c r="R1466" i="29"/>
  <c r="Q1466" i="29"/>
  <c r="V1465" i="29"/>
  <c r="U1465" i="29"/>
  <c r="T1465" i="29"/>
  <c r="R1465" i="29"/>
  <c r="Q1465" i="29"/>
  <c r="V1462" i="29"/>
  <c r="U1462" i="29"/>
  <c r="T1462" i="29"/>
  <c r="R1462" i="29"/>
  <c r="Q1462" i="29"/>
  <c r="V1461" i="29"/>
  <c r="U1461" i="29"/>
  <c r="T1461" i="29"/>
  <c r="R1461" i="29"/>
  <c r="Q1461" i="29"/>
  <c r="V1460" i="29"/>
  <c r="U1460" i="29"/>
  <c r="T1460" i="29"/>
  <c r="R1460" i="29"/>
  <c r="Q1460" i="29"/>
  <c r="V1459" i="29"/>
  <c r="U1459" i="29"/>
  <c r="T1459" i="29"/>
  <c r="R1459" i="29"/>
  <c r="Q1459" i="29"/>
  <c r="V1458" i="29"/>
  <c r="U1458" i="29"/>
  <c r="T1458" i="29"/>
  <c r="R1458" i="29"/>
  <c r="Q1458" i="29"/>
  <c r="V1457" i="29"/>
  <c r="U1457" i="29"/>
  <c r="T1457" i="29"/>
  <c r="R1457" i="29"/>
  <c r="Q1457" i="29"/>
  <c r="V1456" i="29"/>
  <c r="U1456" i="29"/>
  <c r="T1456" i="29"/>
  <c r="R1456" i="29"/>
  <c r="Q1456" i="29"/>
  <c r="V1455" i="29"/>
  <c r="U1455" i="29"/>
  <c r="T1455" i="29"/>
  <c r="R1455" i="29"/>
  <c r="Q1455" i="29"/>
  <c r="V1454" i="29"/>
  <c r="U1454" i="29"/>
  <c r="T1454" i="29"/>
  <c r="R1454" i="29"/>
  <c r="Q1454" i="29"/>
  <c r="V1451" i="29"/>
  <c r="U1451" i="29"/>
  <c r="T1451" i="29"/>
  <c r="R1451" i="29"/>
  <c r="Q1451" i="29"/>
  <c r="V1450" i="29"/>
  <c r="U1450" i="29"/>
  <c r="T1450" i="29"/>
  <c r="R1450" i="29"/>
  <c r="Q1450" i="29"/>
  <c r="V1449" i="29"/>
  <c r="U1449" i="29"/>
  <c r="T1449" i="29"/>
  <c r="R1449" i="29"/>
  <c r="Q1449" i="29"/>
  <c r="V1448" i="29"/>
  <c r="U1448" i="29"/>
  <c r="T1448" i="29"/>
  <c r="R1448" i="29"/>
  <c r="Q1448" i="29"/>
  <c r="V1447" i="29"/>
  <c r="U1447" i="29"/>
  <c r="T1447" i="29"/>
  <c r="R1447" i="29"/>
  <c r="Q1447" i="29"/>
  <c r="V1446" i="29"/>
  <c r="U1446" i="29"/>
  <c r="T1446" i="29"/>
  <c r="R1446" i="29"/>
  <c r="Q1446" i="29"/>
  <c r="V1445" i="29"/>
  <c r="U1445" i="29"/>
  <c r="T1445" i="29"/>
  <c r="R1445" i="29"/>
  <c r="Q1445" i="29"/>
  <c r="V1444" i="29"/>
  <c r="U1444" i="29"/>
  <c r="T1444" i="29"/>
  <c r="R1444" i="29"/>
  <c r="Q1444" i="29"/>
  <c r="V1443" i="29"/>
  <c r="U1443" i="29"/>
  <c r="T1443" i="29"/>
  <c r="R1443" i="29"/>
  <c r="Q1443" i="29"/>
  <c r="V1440" i="29"/>
  <c r="U1440" i="29"/>
  <c r="T1440" i="29"/>
  <c r="R1440" i="29"/>
  <c r="Q1440" i="29"/>
  <c r="V1439" i="29"/>
  <c r="U1439" i="29"/>
  <c r="T1439" i="29"/>
  <c r="R1439" i="29"/>
  <c r="Q1439" i="29"/>
  <c r="V1438" i="29"/>
  <c r="U1438" i="29"/>
  <c r="T1438" i="29"/>
  <c r="R1438" i="29"/>
  <c r="Q1438" i="29"/>
  <c r="V1437" i="29"/>
  <c r="U1437" i="29"/>
  <c r="T1437" i="29"/>
  <c r="R1437" i="29"/>
  <c r="Q1437" i="29"/>
  <c r="V1436" i="29"/>
  <c r="U1436" i="29"/>
  <c r="T1436" i="29"/>
  <c r="R1436" i="29"/>
  <c r="Q1436" i="29"/>
  <c r="V1435" i="29"/>
  <c r="U1435" i="29"/>
  <c r="T1435" i="29"/>
  <c r="R1435" i="29"/>
  <c r="Q1435" i="29"/>
  <c r="V1434" i="29"/>
  <c r="U1434" i="29"/>
  <c r="T1434" i="29"/>
  <c r="R1434" i="29"/>
  <c r="Q1434" i="29"/>
  <c r="V1433" i="29"/>
  <c r="U1433" i="29"/>
  <c r="T1433" i="29"/>
  <c r="R1433" i="29"/>
  <c r="Q1433" i="29"/>
  <c r="V1432" i="29"/>
  <c r="U1432" i="29"/>
  <c r="T1432" i="29"/>
  <c r="R1432" i="29"/>
  <c r="Q1432" i="29"/>
  <c r="V1429" i="29"/>
  <c r="U1429" i="29"/>
  <c r="T1429" i="29"/>
  <c r="R1429" i="29"/>
  <c r="Q1429" i="29"/>
  <c r="V1428" i="29"/>
  <c r="U1428" i="29"/>
  <c r="T1428" i="29"/>
  <c r="R1428" i="29"/>
  <c r="Q1428" i="29"/>
  <c r="V1427" i="29"/>
  <c r="U1427" i="29"/>
  <c r="T1427" i="29"/>
  <c r="R1427" i="29"/>
  <c r="Q1427" i="29"/>
  <c r="V1426" i="29"/>
  <c r="U1426" i="29"/>
  <c r="T1426" i="29"/>
  <c r="R1426" i="29"/>
  <c r="Q1426" i="29"/>
  <c r="V1425" i="29"/>
  <c r="U1425" i="29"/>
  <c r="T1425" i="29"/>
  <c r="R1425" i="29"/>
  <c r="Q1425" i="29"/>
  <c r="V1424" i="29"/>
  <c r="U1424" i="29"/>
  <c r="T1424" i="29"/>
  <c r="R1424" i="29"/>
  <c r="Q1424" i="29"/>
  <c r="V1423" i="29"/>
  <c r="U1423" i="29"/>
  <c r="T1423" i="29"/>
  <c r="R1423" i="29"/>
  <c r="Q1423" i="29"/>
  <c r="V1422" i="29"/>
  <c r="U1422" i="29"/>
  <c r="T1422" i="29"/>
  <c r="R1422" i="29"/>
  <c r="Q1422" i="29"/>
  <c r="V1421" i="29"/>
  <c r="U1421" i="29"/>
  <c r="T1421" i="29"/>
  <c r="R1421" i="29"/>
  <c r="Q1421" i="29"/>
  <c r="V1418" i="29"/>
  <c r="U1418" i="29"/>
  <c r="T1418" i="29"/>
  <c r="R1418" i="29"/>
  <c r="Q1418" i="29"/>
  <c r="V1417" i="29"/>
  <c r="U1417" i="29"/>
  <c r="T1417" i="29"/>
  <c r="R1417" i="29"/>
  <c r="Q1417" i="29"/>
  <c r="V1416" i="29"/>
  <c r="U1416" i="29"/>
  <c r="T1416" i="29"/>
  <c r="R1416" i="29"/>
  <c r="Q1416" i="29"/>
  <c r="V1415" i="29"/>
  <c r="U1415" i="29"/>
  <c r="T1415" i="29"/>
  <c r="R1415" i="29"/>
  <c r="Q1415" i="29"/>
  <c r="V1414" i="29"/>
  <c r="U1414" i="29"/>
  <c r="T1414" i="29"/>
  <c r="R1414" i="29"/>
  <c r="Q1414" i="29"/>
  <c r="V1413" i="29"/>
  <c r="U1413" i="29"/>
  <c r="T1413" i="29"/>
  <c r="R1413" i="29"/>
  <c r="Q1413" i="29"/>
  <c r="V1412" i="29"/>
  <c r="U1412" i="29"/>
  <c r="T1412" i="29"/>
  <c r="R1412" i="29"/>
  <c r="Q1412" i="29"/>
  <c r="V1411" i="29"/>
  <c r="U1411" i="29"/>
  <c r="T1411" i="29"/>
  <c r="R1411" i="29"/>
  <c r="Q1411" i="29"/>
  <c r="V1410" i="29"/>
  <c r="U1410" i="29"/>
  <c r="T1410" i="29"/>
  <c r="R1410" i="29"/>
  <c r="Q1410" i="29"/>
  <c r="V1407" i="29"/>
  <c r="U1407" i="29"/>
  <c r="T1407" i="29"/>
  <c r="R1407" i="29"/>
  <c r="Q1407" i="29"/>
  <c r="V1406" i="29"/>
  <c r="U1406" i="29"/>
  <c r="T1406" i="29"/>
  <c r="R1406" i="29"/>
  <c r="Q1406" i="29"/>
  <c r="V1405" i="29"/>
  <c r="U1405" i="29"/>
  <c r="T1405" i="29"/>
  <c r="R1405" i="29"/>
  <c r="Q1405" i="29"/>
  <c r="V1404" i="29"/>
  <c r="U1404" i="29"/>
  <c r="T1404" i="29"/>
  <c r="R1404" i="29"/>
  <c r="Q1404" i="29"/>
  <c r="V1403" i="29"/>
  <c r="U1403" i="29"/>
  <c r="T1403" i="29"/>
  <c r="R1403" i="29"/>
  <c r="Q1403" i="29"/>
  <c r="V1402" i="29"/>
  <c r="U1402" i="29"/>
  <c r="T1402" i="29"/>
  <c r="R1402" i="29"/>
  <c r="Q1402" i="29"/>
  <c r="V1401" i="29"/>
  <c r="U1401" i="29"/>
  <c r="T1401" i="29"/>
  <c r="R1401" i="29"/>
  <c r="Q1401" i="29"/>
  <c r="V1400" i="29"/>
  <c r="U1400" i="29"/>
  <c r="T1400" i="29"/>
  <c r="R1400" i="29"/>
  <c r="Q1400" i="29"/>
  <c r="V1399" i="29"/>
  <c r="U1399" i="29"/>
  <c r="T1399" i="29"/>
  <c r="R1399" i="29"/>
  <c r="Q1399" i="29"/>
  <c r="V1396" i="29"/>
  <c r="U1396" i="29"/>
  <c r="T1396" i="29"/>
  <c r="R1396" i="29"/>
  <c r="Q1396" i="29"/>
  <c r="V1395" i="29"/>
  <c r="U1395" i="29"/>
  <c r="T1395" i="29"/>
  <c r="R1395" i="29"/>
  <c r="Q1395" i="29"/>
  <c r="V1394" i="29"/>
  <c r="U1394" i="29"/>
  <c r="T1394" i="29"/>
  <c r="R1394" i="29"/>
  <c r="Q1394" i="29"/>
  <c r="V1393" i="29"/>
  <c r="U1393" i="29"/>
  <c r="T1393" i="29"/>
  <c r="R1393" i="29"/>
  <c r="Q1393" i="29"/>
  <c r="V1392" i="29"/>
  <c r="U1392" i="29"/>
  <c r="T1392" i="29"/>
  <c r="R1392" i="29"/>
  <c r="Q1392" i="29"/>
  <c r="V1391" i="29"/>
  <c r="U1391" i="29"/>
  <c r="T1391" i="29"/>
  <c r="R1391" i="29"/>
  <c r="Q1391" i="29"/>
  <c r="V1390" i="29"/>
  <c r="U1390" i="29"/>
  <c r="T1390" i="29"/>
  <c r="R1390" i="29"/>
  <c r="Q1390" i="29"/>
  <c r="V1389" i="29"/>
  <c r="U1389" i="29"/>
  <c r="T1389" i="29"/>
  <c r="R1389" i="29"/>
  <c r="Q1389" i="29"/>
  <c r="V1388" i="29"/>
  <c r="U1388" i="29"/>
  <c r="T1388" i="29"/>
  <c r="R1388" i="29"/>
  <c r="Q1388" i="29"/>
  <c r="V1385" i="29"/>
  <c r="U1385" i="29"/>
  <c r="T1385" i="29"/>
  <c r="R1385" i="29"/>
  <c r="Q1385" i="29"/>
  <c r="V1384" i="29"/>
  <c r="U1384" i="29"/>
  <c r="T1384" i="29"/>
  <c r="R1384" i="29"/>
  <c r="Q1384" i="29"/>
  <c r="V1383" i="29"/>
  <c r="U1383" i="29"/>
  <c r="T1383" i="29"/>
  <c r="R1383" i="29"/>
  <c r="Q1383" i="29"/>
  <c r="V1382" i="29"/>
  <c r="U1382" i="29"/>
  <c r="T1382" i="29"/>
  <c r="R1382" i="29"/>
  <c r="Q1382" i="29"/>
  <c r="V1381" i="29"/>
  <c r="U1381" i="29"/>
  <c r="T1381" i="29"/>
  <c r="R1381" i="29"/>
  <c r="Q1381" i="29"/>
  <c r="V1380" i="29"/>
  <c r="U1380" i="29"/>
  <c r="T1380" i="29"/>
  <c r="R1380" i="29"/>
  <c r="Q1380" i="29"/>
  <c r="V1379" i="29"/>
  <c r="U1379" i="29"/>
  <c r="T1379" i="29"/>
  <c r="R1379" i="29"/>
  <c r="Q1379" i="29"/>
  <c r="V1378" i="29"/>
  <c r="U1378" i="29"/>
  <c r="T1378" i="29"/>
  <c r="R1378" i="29"/>
  <c r="Q1378" i="29"/>
  <c r="V1377" i="29"/>
  <c r="U1377" i="29"/>
  <c r="T1377" i="29"/>
  <c r="R1377" i="29"/>
  <c r="Q1377" i="29"/>
  <c r="V1374" i="29"/>
  <c r="U1374" i="29"/>
  <c r="T1374" i="29"/>
  <c r="R1374" i="29"/>
  <c r="Q1374" i="29"/>
  <c r="V1373" i="29"/>
  <c r="U1373" i="29"/>
  <c r="T1373" i="29"/>
  <c r="R1373" i="29"/>
  <c r="Q1373" i="29"/>
  <c r="V1372" i="29"/>
  <c r="U1372" i="29"/>
  <c r="T1372" i="29"/>
  <c r="R1372" i="29"/>
  <c r="Q1372" i="29"/>
  <c r="V1371" i="29"/>
  <c r="U1371" i="29"/>
  <c r="T1371" i="29"/>
  <c r="R1371" i="29"/>
  <c r="Q1371" i="29"/>
  <c r="V1370" i="29"/>
  <c r="U1370" i="29"/>
  <c r="T1370" i="29"/>
  <c r="R1370" i="29"/>
  <c r="Q1370" i="29"/>
  <c r="V1369" i="29"/>
  <c r="U1369" i="29"/>
  <c r="T1369" i="29"/>
  <c r="R1369" i="29"/>
  <c r="Q1369" i="29"/>
  <c r="V1368" i="29"/>
  <c r="U1368" i="29"/>
  <c r="T1368" i="29"/>
  <c r="R1368" i="29"/>
  <c r="Q1368" i="29"/>
  <c r="V1367" i="29"/>
  <c r="U1367" i="29"/>
  <c r="T1367" i="29"/>
  <c r="R1367" i="29"/>
  <c r="Q1367" i="29"/>
  <c r="V1366" i="29"/>
  <c r="U1366" i="29"/>
  <c r="T1366" i="29"/>
  <c r="R1366" i="29"/>
  <c r="Q1366" i="29"/>
  <c r="V1363" i="29"/>
  <c r="U1363" i="29"/>
  <c r="T1363" i="29"/>
  <c r="R1363" i="29"/>
  <c r="Q1363" i="29"/>
  <c r="V1362" i="29"/>
  <c r="U1362" i="29"/>
  <c r="T1362" i="29"/>
  <c r="R1362" i="29"/>
  <c r="Q1362" i="29"/>
  <c r="V1361" i="29"/>
  <c r="U1361" i="29"/>
  <c r="T1361" i="29"/>
  <c r="R1361" i="29"/>
  <c r="Q1361" i="29"/>
  <c r="V1360" i="29"/>
  <c r="U1360" i="29"/>
  <c r="T1360" i="29"/>
  <c r="R1360" i="29"/>
  <c r="Q1360" i="29"/>
  <c r="V1359" i="29"/>
  <c r="U1359" i="29"/>
  <c r="T1359" i="29"/>
  <c r="R1359" i="29"/>
  <c r="Q1359" i="29"/>
  <c r="V1358" i="29"/>
  <c r="U1358" i="29"/>
  <c r="T1358" i="29"/>
  <c r="R1358" i="29"/>
  <c r="Q1358" i="29"/>
  <c r="V1357" i="29"/>
  <c r="U1357" i="29"/>
  <c r="T1357" i="29"/>
  <c r="R1357" i="29"/>
  <c r="Q1357" i="29"/>
  <c r="V1356" i="29"/>
  <c r="U1356" i="29"/>
  <c r="T1356" i="29"/>
  <c r="R1356" i="29"/>
  <c r="Q1356" i="29"/>
  <c r="V1355" i="29"/>
  <c r="U1355" i="29"/>
  <c r="T1355" i="29"/>
  <c r="R1355" i="29"/>
  <c r="Q1355" i="29"/>
  <c r="V1352" i="29"/>
  <c r="U1352" i="29"/>
  <c r="T1352" i="29"/>
  <c r="R1352" i="29"/>
  <c r="Q1352" i="29"/>
  <c r="V1351" i="29"/>
  <c r="U1351" i="29"/>
  <c r="T1351" i="29"/>
  <c r="R1351" i="29"/>
  <c r="Q1351" i="29"/>
  <c r="V1350" i="29"/>
  <c r="U1350" i="29"/>
  <c r="T1350" i="29"/>
  <c r="R1350" i="29"/>
  <c r="Q1350" i="29"/>
  <c r="V1349" i="29"/>
  <c r="U1349" i="29"/>
  <c r="T1349" i="29"/>
  <c r="R1349" i="29"/>
  <c r="Q1349" i="29"/>
  <c r="V1348" i="29"/>
  <c r="U1348" i="29"/>
  <c r="T1348" i="29"/>
  <c r="R1348" i="29"/>
  <c r="Q1348" i="29"/>
  <c r="V1347" i="29"/>
  <c r="U1347" i="29"/>
  <c r="T1347" i="29"/>
  <c r="R1347" i="29"/>
  <c r="Q1347" i="29"/>
  <c r="V1346" i="29"/>
  <c r="U1346" i="29"/>
  <c r="T1346" i="29"/>
  <c r="R1346" i="29"/>
  <c r="Q1346" i="29"/>
  <c r="V1345" i="29"/>
  <c r="U1345" i="29"/>
  <c r="T1345" i="29"/>
  <c r="R1345" i="29"/>
  <c r="Q1345" i="29"/>
  <c r="V1344" i="29"/>
  <c r="U1344" i="29"/>
  <c r="T1344" i="29"/>
  <c r="R1344" i="29"/>
  <c r="Q1344" i="29"/>
  <c r="V1341" i="29"/>
  <c r="U1341" i="29"/>
  <c r="T1341" i="29"/>
  <c r="R1341" i="29"/>
  <c r="Q1341" i="29"/>
  <c r="V1340" i="29"/>
  <c r="U1340" i="29"/>
  <c r="T1340" i="29"/>
  <c r="R1340" i="29"/>
  <c r="Q1340" i="29"/>
  <c r="V1339" i="29"/>
  <c r="U1339" i="29"/>
  <c r="T1339" i="29"/>
  <c r="R1339" i="29"/>
  <c r="Q1339" i="29"/>
  <c r="V1338" i="29"/>
  <c r="U1338" i="29"/>
  <c r="T1338" i="29"/>
  <c r="R1338" i="29"/>
  <c r="Q1338" i="29"/>
  <c r="V1337" i="29"/>
  <c r="U1337" i="29"/>
  <c r="T1337" i="29"/>
  <c r="R1337" i="29"/>
  <c r="Q1337" i="29"/>
  <c r="V1336" i="29"/>
  <c r="U1336" i="29"/>
  <c r="T1336" i="29"/>
  <c r="R1336" i="29"/>
  <c r="Q1336" i="29"/>
  <c r="V1335" i="29"/>
  <c r="U1335" i="29"/>
  <c r="T1335" i="29"/>
  <c r="R1335" i="29"/>
  <c r="Q1335" i="29"/>
  <c r="V1334" i="29"/>
  <c r="U1334" i="29"/>
  <c r="T1334" i="29"/>
  <c r="R1334" i="29"/>
  <c r="Q1334" i="29"/>
  <c r="V1333" i="29"/>
  <c r="U1333" i="29"/>
  <c r="T1333" i="29"/>
  <c r="R1333" i="29"/>
  <c r="Q1333" i="29"/>
  <c r="V1330" i="29"/>
  <c r="U1330" i="29"/>
  <c r="T1330" i="29"/>
  <c r="R1330" i="29"/>
  <c r="Q1330" i="29"/>
  <c r="V1329" i="29"/>
  <c r="U1329" i="29"/>
  <c r="T1329" i="29"/>
  <c r="R1329" i="29"/>
  <c r="Q1329" i="29"/>
  <c r="V1328" i="29"/>
  <c r="U1328" i="29"/>
  <c r="T1328" i="29"/>
  <c r="R1328" i="29"/>
  <c r="Q1328" i="29"/>
  <c r="V1327" i="29"/>
  <c r="U1327" i="29"/>
  <c r="T1327" i="29"/>
  <c r="R1327" i="29"/>
  <c r="Q1327" i="29"/>
  <c r="V1326" i="29"/>
  <c r="U1326" i="29"/>
  <c r="T1326" i="29"/>
  <c r="R1326" i="29"/>
  <c r="Q1326" i="29"/>
  <c r="V1325" i="29"/>
  <c r="U1325" i="29"/>
  <c r="T1325" i="29"/>
  <c r="R1325" i="29"/>
  <c r="Q1325" i="29"/>
  <c r="V1324" i="29"/>
  <c r="U1324" i="29"/>
  <c r="T1324" i="29"/>
  <c r="R1324" i="29"/>
  <c r="Q1324" i="29"/>
  <c r="V1323" i="29"/>
  <c r="U1323" i="29"/>
  <c r="T1323" i="29"/>
  <c r="R1323" i="29"/>
  <c r="Q1323" i="29"/>
  <c r="V1322" i="29"/>
  <c r="U1322" i="29"/>
  <c r="T1322" i="29"/>
  <c r="R1322" i="29"/>
  <c r="Q1322" i="29"/>
  <c r="V1319" i="29"/>
  <c r="U1319" i="29"/>
  <c r="T1319" i="29"/>
  <c r="R1319" i="29"/>
  <c r="Q1319" i="29"/>
  <c r="V1318" i="29"/>
  <c r="U1318" i="29"/>
  <c r="T1318" i="29"/>
  <c r="R1318" i="29"/>
  <c r="Q1318" i="29"/>
  <c r="V1317" i="29"/>
  <c r="U1317" i="29"/>
  <c r="T1317" i="29"/>
  <c r="R1317" i="29"/>
  <c r="Q1317" i="29"/>
  <c r="V1316" i="29"/>
  <c r="U1316" i="29"/>
  <c r="T1316" i="29"/>
  <c r="R1316" i="29"/>
  <c r="Q1316" i="29"/>
  <c r="V1315" i="29"/>
  <c r="U1315" i="29"/>
  <c r="T1315" i="29"/>
  <c r="R1315" i="29"/>
  <c r="Q1315" i="29"/>
  <c r="V1314" i="29"/>
  <c r="U1314" i="29"/>
  <c r="T1314" i="29"/>
  <c r="R1314" i="29"/>
  <c r="Q1314" i="29"/>
  <c r="V1313" i="29"/>
  <c r="U1313" i="29"/>
  <c r="T1313" i="29"/>
  <c r="R1313" i="29"/>
  <c r="Q1313" i="29"/>
  <c r="V1312" i="29"/>
  <c r="U1312" i="29"/>
  <c r="T1312" i="29"/>
  <c r="R1312" i="29"/>
  <c r="Q1312" i="29"/>
  <c r="V1311" i="29"/>
  <c r="U1311" i="29"/>
  <c r="T1311" i="29"/>
  <c r="R1311" i="29"/>
  <c r="Q1311" i="29"/>
  <c r="V1308" i="29"/>
  <c r="U1308" i="29"/>
  <c r="T1308" i="29"/>
  <c r="R1308" i="29"/>
  <c r="Q1308" i="29"/>
  <c r="V1307" i="29"/>
  <c r="U1307" i="29"/>
  <c r="T1307" i="29"/>
  <c r="R1307" i="29"/>
  <c r="Q1307" i="29"/>
  <c r="V1306" i="29"/>
  <c r="U1306" i="29"/>
  <c r="T1306" i="29"/>
  <c r="R1306" i="29"/>
  <c r="Q1306" i="29"/>
  <c r="V1305" i="29"/>
  <c r="U1305" i="29"/>
  <c r="T1305" i="29"/>
  <c r="R1305" i="29"/>
  <c r="Q1305" i="29"/>
  <c r="V1304" i="29"/>
  <c r="U1304" i="29"/>
  <c r="T1304" i="29"/>
  <c r="R1304" i="29"/>
  <c r="Q1304" i="29"/>
  <c r="V1303" i="29"/>
  <c r="U1303" i="29"/>
  <c r="T1303" i="29"/>
  <c r="R1303" i="29"/>
  <c r="Q1303" i="29"/>
  <c r="V1302" i="29"/>
  <c r="U1302" i="29"/>
  <c r="T1302" i="29"/>
  <c r="R1302" i="29"/>
  <c r="Q1302" i="29"/>
  <c r="V1301" i="29"/>
  <c r="U1301" i="29"/>
  <c r="T1301" i="29"/>
  <c r="R1301" i="29"/>
  <c r="Q1301" i="29"/>
  <c r="V1300" i="29"/>
  <c r="U1300" i="29"/>
  <c r="T1300" i="29"/>
  <c r="R1300" i="29"/>
  <c r="Q1300" i="29"/>
  <c r="V1297" i="29"/>
  <c r="U1297" i="29"/>
  <c r="T1297" i="29"/>
  <c r="R1297" i="29"/>
  <c r="Q1297" i="29"/>
  <c r="V1296" i="29"/>
  <c r="U1296" i="29"/>
  <c r="T1296" i="29"/>
  <c r="R1296" i="29"/>
  <c r="Q1296" i="29"/>
  <c r="V1295" i="29"/>
  <c r="U1295" i="29"/>
  <c r="T1295" i="29"/>
  <c r="R1295" i="29"/>
  <c r="Q1295" i="29"/>
  <c r="V1294" i="29"/>
  <c r="U1294" i="29"/>
  <c r="T1294" i="29"/>
  <c r="R1294" i="29"/>
  <c r="Q1294" i="29"/>
  <c r="V1293" i="29"/>
  <c r="U1293" i="29"/>
  <c r="T1293" i="29"/>
  <c r="R1293" i="29"/>
  <c r="Q1293" i="29"/>
  <c r="V1292" i="29"/>
  <c r="U1292" i="29"/>
  <c r="T1292" i="29"/>
  <c r="R1292" i="29"/>
  <c r="Q1292" i="29"/>
  <c r="V1291" i="29"/>
  <c r="U1291" i="29"/>
  <c r="T1291" i="29"/>
  <c r="R1291" i="29"/>
  <c r="Q1291" i="29"/>
  <c r="V1290" i="29"/>
  <c r="U1290" i="29"/>
  <c r="T1290" i="29"/>
  <c r="R1290" i="29"/>
  <c r="Q1290" i="29"/>
  <c r="V1289" i="29"/>
  <c r="U1289" i="29"/>
  <c r="T1289" i="29"/>
  <c r="R1289" i="29"/>
  <c r="Q1289" i="29"/>
  <c r="V1286" i="29"/>
  <c r="U1286" i="29"/>
  <c r="T1286" i="29"/>
  <c r="R1286" i="29"/>
  <c r="Q1286" i="29"/>
  <c r="V1285" i="29"/>
  <c r="U1285" i="29"/>
  <c r="T1285" i="29"/>
  <c r="R1285" i="29"/>
  <c r="Q1285" i="29"/>
  <c r="V1284" i="29"/>
  <c r="U1284" i="29"/>
  <c r="T1284" i="29"/>
  <c r="R1284" i="29"/>
  <c r="Q1284" i="29"/>
  <c r="V1283" i="29"/>
  <c r="U1283" i="29"/>
  <c r="T1283" i="29"/>
  <c r="R1283" i="29"/>
  <c r="Q1283" i="29"/>
  <c r="V1282" i="29"/>
  <c r="U1282" i="29"/>
  <c r="T1282" i="29"/>
  <c r="R1282" i="29"/>
  <c r="Q1282" i="29"/>
  <c r="V1281" i="29"/>
  <c r="U1281" i="29"/>
  <c r="T1281" i="29"/>
  <c r="R1281" i="29"/>
  <c r="Q1281" i="29"/>
  <c r="V1280" i="29"/>
  <c r="U1280" i="29"/>
  <c r="T1280" i="29"/>
  <c r="R1280" i="29"/>
  <c r="Q1280" i="29"/>
  <c r="V1279" i="29"/>
  <c r="U1279" i="29"/>
  <c r="T1279" i="29"/>
  <c r="R1279" i="29"/>
  <c r="Q1279" i="29"/>
  <c r="V1278" i="29"/>
  <c r="U1278" i="29"/>
  <c r="T1278" i="29"/>
  <c r="R1278" i="29"/>
  <c r="Q1278" i="29"/>
  <c r="V1275" i="29"/>
  <c r="U1275" i="29"/>
  <c r="T1275" i="29"/>
  <c r="R1275" i="29"/>
  <c r="Q1275" i="29"/>
  <c r="V1274" i="29"/>
  <c r="U1274" i="29"/>
  <c r="T1274" i="29"/>
  <c r="R1274" i="29"/>
  <c r="Q1274" i="29"/>
  <c r="V1273" i="29"/>
  <c r="U1273" i="29"/>
  <c r="T1273" i="29"/>
  <c r="R1273" i="29"/>
  <c r="Q1273" i="29"/>
  <c r="V1272" i="29"/>
  <c r="U1272" i="29"/>
  <c r="T1272" i="29"/>
  <c r="R1272" i="29"/>
  <c r="Q1272" i="29"/>
  <c r="V1271" i="29"/>
  <c r="U1271" i="29"/>
  <c r="T1271" i="29"/>
  <c r="R1271" i="29"/>
  <c r="Q1271" i="29"/>
  <c r="V1270" i="29"/>
  <c r="U1270" i="29"/>
  <c r="T1270" i="29"/>
  <c r="R1270" i="29"/>
  <c r="Q1270" i="29"/>
  <c r="V1269" i="29"/>
  <c r="U1269" i="29"/>
  <c r="T1269" i="29"/>
  <c r="R1269" i="29"/>
  <c r="Q1269" i="29"/>
  <c r="V1268" i="29"/>
  <c r="U1268" i="29"/>
  <c r="T1268" i="29"/>
  <c r="R1268" i="29"/>
  <c r="Q1268" i="29"/>
  <c r="V1267" i="29"/>
  <c r="U1267" i="29"/>
  <c r="T1267" i="29"/>
  <c r="R1267" i="29"/>
  <c r="Q1267" i="29"/>
  <c r="V1264" i="29"/>
  <c r="U1264" i="29"/>
  <c r="T1264" i="29"/>
  <c r="R1264" i="29"/>
  <c r="Q1264" i="29"/>
  <c r="V1263" i="29"/>
  <c r="U1263" i="29"/>
  <c r="T1263" i="29"/>
  <c r="R1263" i="29"/>
  <c r="Q1263" i="29"/>
  <c r="V1262" i="29"/>
  <c r="U1262" i="29"/>
  <c r="T1262" i="29"/>
  <c r="R1262" i="29"/>
  <c r="Q1262" i="29"/>
  <c r="V1261" i="29"/>
  <c r="U1261" i="29"/>
  <c r="T1261" i="29"/>
  <c r="R1261" i="29"/>
  <c r="Q1261" i="29"/>
  <c r="V1260" i="29"/>
  <c r="U1260" i="29"/>
  <c r="T1260" i="29"/>
  <c r="R1260" i="29"/>
  <c r="Q1260" i="29"/>
  <c r="V1259" i="29"/>
  <c r="U1259" i="29"/>
  <c r="T1259" i="29"/>
  <c r="R1259" i="29"/>
  <c r="Q1259" i="29"/>
  <c r="V1258" i="29"/>
  <c r="U1258" i="29"/>
  <c r="T1258" i="29"/>
  <c r="R1258" i="29"/>
  <c r="Q1258" i="29"/>
  <c r="V1257" i="29"/>
  <c r="U1257" i="29"/>
  <c r="T1257" i="29"/>
  <c r="R1257" i="29"/>
  <c r="Q1257" i="29"/>
  <c r="V1256" i="29"/>
  <c r="U1256" i="29"/>
  <c r="T1256" i="29"/>
  <c r="R1256" i="29"/>
  <c r="Q1256" i="29"/>
  <c r="V1253" i="29"/>
  <c r="U1253" i="29"/>
  <c r="T1253" i="29"/>
  <c r="R1253" i="29"/>
  <c r="Q1253" i="29"/>
  <c r="V1252" i="29"/>
  <c r="U1252" i="29"/>
  <c r="T1252" i="29"/>
  <c r="R1252" i="29"/>
  <c r="Q1252" i="29"/>
  <c r="V1251" i="29"/>
  <c r="U1251" i="29"/>
  <c r="T1251" i="29"/>
  <c r="R1251" i="29"/>
  <c r="Q1251" i="29"/>
  <c r="V1250" i="29"/>
  <c r="U1250" i="29"/>
  <c r="T1250" i="29"/>
  <c r="R1250" i="29"/>
  <c r="Q1250" i="29"/>
  <c r="V1249" i="29"/>
  <c r="U1249" i="29"/>
  <c r="T1249" i="29"/>
  <c r="R1249" i="29"/>
  <c r="Q1249" i="29"/>
  <c r="V1248" i="29"/>
  <c r="U1248" i="29"/>
  <c r="T1248" i="29"/>
  <c r="R1248" i="29"/>
  <c r="Q1248" i="29"/>
  <c r="V1247" i="29"/>
  <c r="U1247" i="29"/>
  <c r="T1247" i="29"/>
  <c r="R1247" i="29"/>
  <c r="Q1247" i="29"/>
  <c r="V1246" i="29"/>
  <c r="U1246" i="29"/>
  <c r="T1246" i="29"/>
  <c r="R1246" i="29"/>
  <c r="Q1246" i="29"/>
  <c r="V1245" i="29"/>
  <c r="U1245" i="29"/>
  <c r="T1245" i="29"/>
  <c r="R1245" i="29"/>
  <c r="Q1245" i="29"/>
  <c r="V1242" i="29"/>
  <c r="U1242" i="29"/>
  <c r="T1242" i="29"/>
  <c r="R1242" i="29"/>
  <c r="Q1242" i="29"/>
  <c r="V1241" i="29"/>
  <c r="U1241" i="29"/>
  <c r="T1241" i="29"/>
  <c r="R1241" i="29"/>
  <c r="Q1241" i="29"/>
  <c r="V1240" i="29"/>
  <c r="U1240" i="29"/>
  <c r="T1240" i="29"/>
  <c r="R1240" i="29"/>
  <c r="Q1240" i="29"/>
  <c r="V1239" i="29"/>
  <c r="U1239" i="29"/>
  <c r="T1239" i="29"/>
  <c r="R1239" i="29"/>
  <c r="Q1239" i="29"/>
  <c r="V1238" i="29"/>
  <c r="U1238" i="29"/>
  <c r="T1238" i="29"/>
  <c r="R1238" i="29"/>
  <c r="Q1238" i="29"/>
  <c r="V1237" i="29"/>
  <c r="U1237" i="29"/>
  <c r="T1237" i="29"/>
  <c r="R1237" i="29"/>
  <c r="Q1237" i="29"/>
  <c r="V1236" i="29"/>
  <c r="U1236" i="29"/>
  <c r="T1236" i="29"/>
  <c r="R1236" i="29"/>
  <c r="Q1236" i="29"/>
  <c r="V1235" i="29"/>
  <c r="U1235" i="29"/>
  <c r="T1235" i="29"/>
  <c r="R1235" i="29"/>
  <c r="Q1235" i="29"/>
  <c r="V1234" i="29"/>
  <c r="U1234" i="29"/>
  <c r="T1234" i="29"/>
  <c r="R1234" i="29"/>
  <c r="Q1234" i="29"/>
  <c r="V1231" i="29"/>
  <c r="U1231" i="29"/>
  <c r="T1231" i="29"/>
  <c r="R1231" i="29"/>
  <c r="Q1231" i="29"/>
  <c r="V1230" i="29"/>
  <c r="U1230" i="29"/>
  <c r="T1230" i="29"/>
  <c r="R1230" i="29"/>
  <c r="Q1230" i="29"/>
  <c r="V1229" i="29"/>
  <c r="U1229" i="29"/>
  <c r="T1229" i="29"/>
  <c r="R1229" i="29"/>
  <c r="Q1229" i="29"/>
  <c r="V1228" i="29"/>
  <c r="U1228" i="29"/>
  <c r="T1228" i="29"/>
  <c r="R1228" i="29"/>
  <c r="Q1228" i="29"/>
  <c r="V1227" i="29"/>
  <c r="U1227" i="29"/>
  <c r="T1227" i="29"/>
  <c r="R1227" i="29"/>
  <c r="Q1227" i="29"/>
  <c r="V1226" i="29"/>
  <c r="U1226" i="29"/>
  <c r="T1226" i="29"/>
  <c r="R1226" i="29"/>
  <c r="Q1226" i="29"/>
  <c r="V1225" i="29"/>
  <c r="U1225" i="29"/>
  <c r="T1225" i="29"/>
  <c r="R1225" i="29"/>
  <c r="Q1225" i="29"/>
  <c r="V1224" i="29"/>
  <c r="U1224" i="29"/>
  <c r="T1224" i="29"/>
  <c r="R1224" i="29"/>
  <c r="Q1224" i="29"/>
  <c r="V1223" i="29"/>
  <c r="U1223" i="29"/>
  <c r="T1223" i="29"/>
  <c r="R1223" i="29"/>
  <c r="Q1223" i="29"/>
  <c r="V1220" i="29"/>
  <c r="U1220" i="29"/>
  <c r="T1220" i="29"/>
  <c r="R1220" i="29"/>
  <c r="Q1220" i="29"/>
  <c r="V1219" i="29"/>
  <c r="U1219" i="29"/>
  <c r="T1219" i="29"/>
  <c r="R1219" i="29"/>
  <c r="Q1219" i="29"/>
  <c r="V1218" i="29"/>
  <c r="U1218" i="29"/>
  <c r="T1218" i="29"/>
  <c r="R1218" i="29"/>
  <c r="Q1218" i="29"/>
  <c r="V1217" i="29"/>
  <c r="U1217" i="29"/>
  <c r="T1217" i="29"/>
  <c r="R1217" i="29"/>
  <c r="Q1217" i="29"/>
  <c r="V1216" i="29"/>
  <c r="U1216" i="29"/>
  <c r="T1216" i="29"/>
  <c r="R1216" i="29"/>
  <c r="Q1216" i="29"/>
  <c r="V1215" i="29"/>
  <c r="U1215" i="29"/>
  <c r="T1215" i="29"/>
  <c r="R1215" i="29"/>
  <c r="Q1215" i="29"/>
  <c r="V1214" i="29"/>
  <c r="U1214" i="29"/>
  <c r="T1214" i="29"/>
  <c r="R1214" i="29"/>
  <c r="Q1214" i="29"/>
  <c r="V1213" i="29"/>
  <c r="U1213" i="29"/>
  <c r="T1213" i="29"/>
  <c r="R1213" i="29"/>
  <c r="Q1213" i="29"/>
  <c r="V1212" i="29"/>
  <c r="U1212" i="29"/>
  <c r="T1212" i="29"/>
  <c r="R1212" i="29"/>
  <c r="Q1212" i="29"/>
  <c r="V1209" i="29"/>
  <c r="U1209" i="29"/>
  <c r="T1209" i="29"/>
  <c r="R1209" i="29"/>
  <c r="Q1209" i="29"/>
  <c r="V1208" i="29"/>
  <c r="U1208" i="29"/>
  <c r="T1208" i="29"/>
  <c r="R1208" i="29"/>
  <c r="Q1208" i="29"/>
  <c r="V1207" i="29"/>
  <c r="U1207" i="29"/>
  <c r="T1207" i="29"/>
  <c r="R1207" i="29"/>
  <c r="Q1207" i="29"/>
  <c r="V1206" i="29"/>
  <c r="U1206" i="29"/>
  <c r="T1206" i="29"/>
  <c r="R1206" i="29"/>
  <c r="Q1206" i="29"/>
  <c r="V1205" i="29"/>
  <c r="U1205" i="29"/>
  <c r="T1205" i="29"/>
  <c r="R1205" i="29"/>
  <c r="Q1205" i="29"/>
  <c r="V1204" i="29"/>
  <c r="U1204" i="29"/>
  <c r="T1204" i="29"/>
  <c r="R1204" i="29"/>
  <c r="Q1204" i="29"/>
  <c r="V1203" i="29"/>
  <c r="U1203" i="29"/>
  <c r="T1203" i="29"/>
  <c r="R1203" i="29"/>
  <c r="Q1203" i="29"/>
  <c r="V1202" i="29"/>
  <c r="U1202" i="29"/>
  <c r="T1202" i="29"/>
  <c r="R1202" i="29"/>
  <c r="Q1202" i="29"/>
  <c r="V1201" i="29"/>
  <c r="U1201" i="29"/>
  <c r="T1201" i="29"/>
  <c r="R1201" i="29"/>
  <c r="Q1201" i="29"/>
  <c r="V1198" i="29"/>
  <c r="U1198" i="29"/>
  <c r="T1198" i="29"/>
  <c r="R1198" i="29"/>
  <c r="Q1198" i="29"/>
  <c r="V1197" i="29"/>
  <c r="U1197" i="29"/>
  <c r="T1197" i="29"/>
  <c r="R1197" i="29"/>
  <c r="Q1197" i="29"/>
  <c r="V1196" i="29"/>
  <c r="U1196" i="29"/>
  <c r="T1196" i="29"/>
  <c r="R1196" i="29"/>
  <c r="Q1196" i="29"/>
  <c r="V1195" i="29"/>
  <c r="U1195" i="29"/>
  <c r="T1195" i="29"/>
  <c r="R1195" i="29"/>
  <c r="Q1195" i="29"/>
  <c r="V1194" i="29"/>
  <c r="U1194" i="29"/>
  <c r="T1194" i="29"/>
  <c r="R1194" i="29"/>
  <c r="Q1194" i="29"/>
  <c r="V1193" i="29"/>
  <c r="U1193" i="29"/>
  <c r="T1193" i="29"/>
  <c r="R1193" i="29"/>
  <c r="Q1193" i="29"/>
  <c r="V1192" i="29"/>
  <c r="U1192" i="29"/>
  <c r="T1192" i="29"/>
  <c r="R1192" i="29"/>
  <c r="Q1192" i="29"/>
  <c r="V1191" i="29"/>
  <c r="U1191" i="29"/>
  <c r="T1191" i="29"/>
  <c r="R1191" i="29"/>
  <c r="Q1191" i="29"/>
  <c r="V1190" i="29"/>
  <c r="U1190" i="29"/>
  <c r="T1190" i="29"/>
  <c r="R1190" i="29"/>
  <c r="Q1190" i="29"/>
  <c r="V1187" i="29"/>
  <c r="U1187" i="29"/>
  <c r="T1187" i="29"/>
  <c r="R1187" i="29"/>
  <c r="Q1187" i="29"/>
  <c r="V1186" i="29"/>
  <c r="U1186" i="29"/>
  <c r="T1186" i="29"/>
  <c r="R1186" i="29"/>
  <c r="Q1186" i="29"/>
  <c r="V1185" i="29"/>
  <c r="U1185" i="29"/>
  <c r="T1185" i="29"/>
  <c r="R1185" i="29"/>
  <c r="Q1185" i="29"/>
  <c r="V1184" i="29"/>
  <c r="U1184" i="29"/>
  <c r="T1184" i="29"/>
  <c r="R1184" i="29"/>
  <c r="Q1184" i="29"/>
  <c r="V1183" i="29"/>
  <c r="U1183" i="29"/>
  <c r="T1183" i="29"/>
  <c r="R1183" i="29"/>
  <c r="Q1183" i="29"/>
  <c r="V1182" i="29"/>
  <c r="U1182" i="29"/>
  <c r="T1182" i="29"/>
  <c r="R1182" i="29"/>
  <c r="Q1182" i="29"/>
  <c r="V1181" i="29"/>
  <c r="U1181" i="29"/>
  <c r="T1181" i="29"/>
  <c r="R1181" i="29"/>
  <c r="Q1181" i="29"/>
  <c r="V1180" i="29"/>
  <c r="U1180" i="29"/>
  <c r="T1180" i="29"/>
  <c r="R1180" i="29"/>
  <c r="Q1180" i="29"/>
  <c r="V1179" i="29"/>
  <c r="U1179" i="29"/>
  <c r="T1179" i="29"/>
  <c r="R1179" i="29"/>
  <c r="Q1179" i="29"/>
  <c r="V1176" i="29"/>
  <c r="U1176" i="29"/>
  <c r="T1176" i="29"/>
  <c r="R1176" i="29"/>
  <c r="Q1176" i="29"/>
  <c r="V1175" i="29"/>
  <c r="U1175" i="29"/>
  <c r="T1175" i="29"/>
  <c r="R1175" i="29"/>
  <c r="Q1175" i="29"/>
  <c r="V1174" i="29"/>
  <c r="U1174" i="29"/>
  <c r="T1174" i="29"/>
  <c r="R1174" i="29"/>
  <c r="Q1174" i="29"/>
  <c r="V1173" i="29"/>
  <c r="U1173" i="29"/>
  <c r="T1173" i="29"/>
  <c r="R1173" i="29"/>
  <c r="Q1173" i="29"/>
  <c r="V1172" i="29"/>
  <c r="U1172" i="29"/>
  <c r="T1172" i="29"/>
  <c r="R1172" i="29"/>
  <c r="Q1172" i="29"/>
  <c r="V1171" i="29"/>
  <c r="U1171" i="29"/>
  <c r="T1171" i="29"/>
  <c r="R1171" i="29"/>
  <c r="Q1171" i="29"/>
  <c r="V1170" i="29"/>
  <c r="U1170" i="29"/>
  <c r="T1170" i="29"/>
  <c r="R1170" i="29"/>
  <c r="Q1170" i="29"/>
  <c r="V1169" i="29"/>
  <c r="U1169" i="29"/>
  <c r="T1169" i="29"/>
  <c r="R1169" i="29"/>
  <c r="Q1169" i="29"/>
  <c r="V1168" i="29"/>
  <c r="U1168" i="29"/>
  <c r="T1168" i="29"/>
  <c r="R1168" i="29"/>
  <c r="Q1168" i="29"/>
  <c r="V1165" i="29"/>
  <c r="U1165" i="29"/>
  <c r="T1165" i="29"/>
  <c r="R1165" i="29"/>
  <c r="Q1165" i="29"/>
  <c r="V1164" i="29"/>
  <c r="U1164" i="29"/>
  <c r="T1164" i="29"/>
  <c r="R1164" i="29"/>
  <c r="Q1164" i="29"/>
  <c r="V1163" i="29"/>
  <c r="U1163" i="29"/>
  <c r="T1163" i="29"/>
  <c r="R1163" i="29"/>
  <c r="Q1163" i="29"/>
  <c r="V1162" i="29"/>
  <c r="U1162" i="29"/>
  <c r="T1162" i="29"/>
  <c r="R1162" i="29"/>
  <c r="Q1162" i="29"/>
  <c r="V1161" i="29"/>
  <c r="U1161" i="29"/>
  <c r="T1161" i="29"/>
  <c r="R1161" i="29"/>
  <c r="Q1161" i="29"/>
  <c r="V1160" i="29"/>
  <c r="U1160" i="29"/>
  <c r="T1160" i="29"/>
  <c r="R1160" i="29"/>
  <c r="Q1160" i="29"/>
  <c r="V1159" i="29"/>
  <c r="U1159" i="29"/>
  <c r="T1159" i="29"/>
  <c r="R1159" i="29"/>
  <c r="Q1159" i="29"/>
  <c r="V1158" i="29"/>
  <c r="U1158" i="29"/>
  <c r="T1158" i="29"/>
  <c r="R1158" i="29"/>
  <c r="Q1158" i="29"/>
  <c r="V1157" i="29"/>
  <c r="U1157" i="29"/>
  <c r="T1157" i="29"/>
  <c r="R1157" i="29"/>
  <c r="Q1157" i="29"/>
  <c r="V1154" i="29"/>
  <c r="U1154" i="29"/>
  <c r="T1154" i="29"/>
  <c r="R1154" i="29"/>
  <c r="Q1154" i="29"/>
  <c r="V1153" i="29"/>
  <c r="U1153" i="29"/>
  <c r="T1153" i="29"/>
  <c r="R1153" i="29"/>
  <c r="Q1153" i="29"/>
  <c r="V1152" i="29"/>
  <c r="U1152" i="29"/>
  <c r="T1152" i="29"/>
  <c r="R1152" i="29"/>
  <c r="Q1152" i="29"/>
  <c r="V1151" i="29"/>
  <c r="U1151" i="29"/>
  <c r="T1151" i="29"/>
  <c r="R1151" i="29"/>
  <c r="Q1151" i="29"/>
  <c r="V1150" i="29"/>
  <c r="U1150" i="29"/>
  <c r="T1150" i="29"/>
  <c r="R1150" i="29"/>
  <c r="Q1150" i="29"/>
  <c r="V1149" i="29"/>
  <c r="U1149" i="29"/>
  <c r="T1149" i="29"/>
  <c r="R1149" i="29"/>
  <c r="Q1149" i="29"/>
  <c r="V1148" i="29"/>
  <c r="U1148" i="29"/>
  <c r="T1148" i="29"/>
  <c r="R1148" i="29"/>
  <c r="Q1148" i="29"/>
  <c r="V1147" i="29"/>
  <c r="U1147" i="29"/>
  <c r="T1147" i="29"/>
  <c r="R1147" i="29"/>
  <c r="Q1147" i="29"/>
  <c r="V1146" i="29"/>
  <c r="U1146" i="29"/>
  <c r="T1146" i="29"/>
  <c r="R1146" i="29"/>
  <c r="Q1146" i="29"/>
  <c r="V1143" i="29"/>
  <c r="U1143" i="29"/>
  <c r="T1143" i="29"/>
  <c r="R1143" i="29"/>
  <c r="Q1143" i="29"/>
  <c r="V1142" i="29"/>
  <c r="U1142" i="29"/>
  <c r="T1142" i="29"/>
  <c r="R1142" i="29"/>
  <c r="Q1142" i="29"/>
  <c r="V1141" i="29"/>
  <c r="U1141" i="29"/>
  <c r="T1141" i="29"/>
  <c r="R1141" i="29"/>
  <c r="Q1141" i="29"/>
  <c r="V1140" i="29"/>
  <c r="U1140" i="29"/>
  <c r="T1140" i="29"/>
  <c r="R1140" i="29"/>
  <c r="Q1140" i="29"/>
  <c r="V1139" i="29"/>
  <c r="U1139" i="29"/>
  <c r="T1139" i="29"/>
  <c r="R1139" i="29"/>
  <c r="Q1139" i="29"/>
  <c r="V1138" i="29"/>
  <c r="U1138" i="29"/>
  <c r="T1138" i="29"/>
  <c r="R1138" i="29"/>
  <c r="Q1138" i="29"/>
  <c r="V1137" i="29"/>
  <c r="U1137" i="29"/>
  <c r="T1137" i="29"/>
  <c r="R1137" i="29"/>
  <c r="Q1137" i="29"/>
  <c r="V1136" i="29"/>
  <c r="U1136" i="29"/>
  <c r="T1136" i="29"/>
  <c r="R1136" i="29"/>
  <c r="Q1136" i="29"/>
  <c r="V1135" i="29"/>
  <c r="U1135" i="29"/>
  <c r="T1135" i="29"/>
  <c r="R1135" i="29"/>
  <c r="Q1135" i="29"/>
  <c r="V1132" i="29"/>
  <c r="U1132" i="29"/>
  <c r="T1132" i="29"/>
  <c r="R1132" i="29"/>
  <c r="Q1132" i="29"/>
  <c r="V1131" i="29"/>
  <c r="U1131" i="29"/>
  <c r="T1131" i="29"/>
  <c r="R1131" i="29"/>
  <c r="Q1131" i="29"/>
  <c r="V1130" i="29"/>
  <c r="U1130" i="29"/>
  <c r="T1130" i="29"/>
  <c r="R1130" i="29"/>
  <c r="Q1130" i="29"/>
  <c r="V1129" i="29"/>
  <c r="U1129" i="29"/>
  <c r="T1129" i="29"/>
  <c r="R1129" i="29"/>
  <c r="Q1129" i="29"/>
  <c r="V1128" i="29"/>
  <c r="U1128" i="29"/>
  <c r="T1128" i="29"/>
  <c r="R1128" i="29"/>
  <c r="Q1128" i="29"/>
  <c r="V1127" i="29"/>
  <c r="U1127" i="29"/>
  <c r="T1127" i="29"/>
  <c r="R1127" i="29"/>
  <c r="Q1127" i="29"/>
  <c r="V1126" i="29"/>
  <c r="U1126" i="29"/>
  <c r="T1126" i="29"/>
  <c r="R1126" i="29"/>
  <c r="Q1126" i="29"/>
  <c r="V1125" i="29"/>
  <c r="U1125" i="29"/>
  <c r="T1125" i="29"/>
  <c r="R1125" i="29"/>
  <c r="Q1125" i="29"/>
  <c r="V1124" i="29"/>
  <c r="U1124" i="29"/>
  <c r="T1124" i="29"/>
  <c r="R1124" i="29"/>
  <c r="Q1124" i="29"/>
  <c r="V1121" i="29"/>
  <c r="U1121" i="29"/>
  <c r="T1121" i="29"/>
  <c r="R1121" i="29"/>
  <c r="Q1121" i="29"/>
  <c r="V1120" i="29"/>
  <c r="U1120" i="29"/>
  <c r="T1120" i="29"/>
  <c r="R1120" i="29"/>
  <c r="Q1120" i="29"/>
  <c r="V1119" i="29"/>
  <c r="U1119" i="29"/>
  <c r="T1119" i="29"/>
  <c r="R1119" i="29"/>
  <c r="Q1119" i="29"/>
  <c r="V1118" i="29"/>
  <c r="U1118" i="29"/>
  <c r="T1118" i="29"/>
  <c r="R1118" i="29"/>
  <c r="Q1118" i="29"/>
  <c r="V1117" i="29"/>
  <c r="U1117" i="29"/>
  <c r="T1117" i="29"/>
  <c r="R1117" i="29"/>
  <c r="Q1117" i="29"/>
  <c r="V1116" i="29"/>
  <c r="U1116" i="29"/>
  <c r="T1116" i="29"/>
  <c r="R1116" i="29"/>
  <c r="Q1116" i="29"/>
  <c r="V1115" i="29"/>
  <c r="U1115" i="29"/>
  <c r="T1115" i="29"/>
  <c r="R1115" i="29"/>
  <c r="Q1115" i="29"/>
  <c r="V1114" i="29"/>
  <c r="U1114" i="29"/>
  <c r="T1114" i="29"/>
  <c r="R1114" i="29"/>
  <c r="Q1114" i="29"/>
  <c r="V1113" i="29"/>
  <c r="U1113" i="29"/>
  <c r="T1113" i="29"/>
  <c r="R1113" i="29"/>
  <c r="Q1113" i="29"/>
  <c r="V1110" i="29"/>
  <c r="U1110" i="29"/>
  <c r="T1110" i="29"/>
  <c r="R1110" i="29"/>
  <c r="Q1110" i="29"/>
  <c r="V1109" i="29"/>
  <c r="U1109" i="29"/>
  <c r="T1109" i="29"/>
  <c r="R1109" i="29"/>
  <c r="Q1109" i="29"/>
  <c r="V1108" i="29"/>
  <c r="U1108" i="29"/>
  <c r="T1108" i="29"/>
  <c r="R1108" i="29"/>
  <c r="Q1108" i="29"/>
  <c r="V1107" i="29"/>
  <c r="U1107" i="29"/>
  <c r="T1107" i="29"/>
  <c r="R1107" i="29"/>
  <c r="Q1107" i="29"/>
  <c r="V1106" i="29"/>
  <c r="U1106" i="29"/>
  <c r="T1106" i="29"/>
  <c r="R1106" i="29"/>
  <c r="Q1106" i="29"/>
  <c r="V1105" i="29"/>
  <c r="U1105" i="29"/>
  <c r="T1105" i="29"/>
  <c r="R1105" i="29"/>
  <c r="Q1105" i="29"/>
  <c r="V1104" i="29"/>
  <c r="U1104" i="29"/>
  <c r="T1104" i="29"/>
  <c r="R1104" i="29"/>
  <c r="Q1104" i="29"/>
  <c r="V1103" i="29"/>
  <c r="U1103" i="29"/>
  <c r="T1103" i="29"/>
  <c r="R1103" i="29"/>
  <c r="Q1103" i="29"/>
  <c r="V1102" i="29"/>
  <c r="U1102" i="29"/>
  <c r="T1102" i="29"/>
  <c r="R1102" i="29"/>
  <c r="Q1102" i="29"/>
  <c r="V1099" i="29"/>
  <c r="U1099" i="29"/>
  <c r="T1099" i="29"/>
  <c r="R1099" i="29"/>
  <c r="Q1099" i="29"/>
  <c r="V1098" i="29"/>
  <c r="U1098" i="29"/>
  <c r="T1098" i="29"/>
  <c r="R1098" i="29"/>
  <c r="Q1098" i="29"/>
  <c r="V1097" i="29"/>
  <c r="U1097" i="29"/>
  <c r="T1097" i="29"/>
  <c r="R1097" i="29"/>
  <c r="Q1097" i="29"/>
  <c r="V1096" i="29"/>
  <c r="U1096" i="29"/>
  <c r="T1096" i="29"/>
  <c r="R1096" i="29"/>
  <c r="Q1096" i="29"/>
  <c r="V1095" i="29"/>
  <c r="U1095" i="29"/>
  <c r="T1095" i="29"/>
  <c r="R1095" i="29"/>
  <c r="Q1095" i="29"/>
  <c r="V1094" i="29"/>
  <c r="U1094" i="29"/>
  <c r="T1094" i="29"/>
  <c r="R1094" i="29"/>
  <c r="Q1094" i="29"/>
  <c r="V1093" i="29"/>
  <c r="U1093" i="29"/>
  <c r="T1093" i="29"/>
  <c r="R1093" i="29"/>
  <c r="Q1093" i="29"/>
  <c r="V1092" i="29"/>
  <c r="U1092" i="29"/>
  <c r="T1092" i="29"/>
  <c r="R1092" i="29"/>
  <c r="Q1092" i="29"/>
  <c r="V1091" i="29"/>
  <c r="U1091" i="29"/>
  <c r="T1091" i="29"/>
  <c r="R1091" i="29"/>
  <c r="Q1091" i="29"/>
  <c r="V1088" i="29"/>
  <c r="U1088" i="29"/>
  <c r="T1088" i="29"/>
  <c r="R1088" i="29"/>
  <c r="Q1088" i="29"/>
  <c r="V1087" i="29"/>
  <c r="U1087" i="29"/>
  <c r="T1087" i="29"/>
  <c r="R1087" i="29"/>
  <c r="Q1087" i="29"/>
  <c r="V1086" i="29"/>
  <c r="U1086" i="29"/>
  <c r="T1086" i="29"/>
  <c r="R1086" i="29"/>
  <c r="Q1086" i="29"/>
  <c r="V1085" i="29"/>
  <c r="U1085" i="29"/>
  <c r="T1085" i="29"/>
  <c r="R1085" i="29"/>
  <c r="Q1085" i="29"/>
  <c r="V1084" i="29"/>
  <c r="U1084" i="29"/>
  <c r="T1084" i="29"/>
  <c r="R1084" i="29"/>
  <c r="Q1084" i="29"/>
  <c r="V1083" i="29"/>
  <c r="U1083" i="29"/>
  <c r="T1083" i="29"/>
  <c r="R1083" i="29"/>
  <c r="Q1083" i="29"/>
  <c r="V1082" i="29"/>
  <c r="U1082" i="29"/>
  <c r="T1082" i="29"/>
  <c r="R1082" i="29"/>
  <c r="Q1082" i="29"/>
  <c r="V1081" i="29"/>
  <c r="U1081" i="29"/>
  <c r="T1081" i="29"/>
  <c r="R1081" i="29"/>
  <c r="Q1081" i="29"/>
  <c r="V1080" i="29"/>
  <c r="U1080" i="29"/>
  <c r="T1080" i="29"/>
  <c r="R1080" i="29"/>
  <c r="Q1080" i="29"/>
  <c r="V1077" i="29"/>
  <c r="U1077" i="29"/>
  <c r="T1077" i="29"/>
  <c r="R1077" i="29"/>
  <c r="Q1077" i="29"/>
  <c r="V1076" i="29"/>
  <c r="U1076" i="29"/>
  <c r="T1076" i="29"/>
  <c r="R1076" i="29"/>
  <c r="Q1076" i="29"/>
  <c r="V1075" i="29"/>
  <c r="U1075" i="29"/>
  <c r="T1075" i="29"/>
  <c r="R1075" i="29"/>
  <c r="Q1075" i="29"/>
  <c r="V1074" i="29"/>
  <c r="U1074" i="29"/>
  <c r="T1074" i="29"/>
  <c r="R1074" i="29"/>
  <c r="Q1074" i="29"/>
  <c r="V1073" i="29"/>
  <c r="U1073" i="29"/>
  <c r="T1073" i="29"/>
  <c r="R1073" i="29"/>
  <c r="Q1073" i="29"/>
  <c r="V1072" i="29"/>
  <c r="U1072" i="29"/>
  <c r="T1072" i="29"/>
  <c r="R1072" i="29"/>
  <c r="Q1072" i="29"/>
  <c r="V1071" i="29"/>
  <c r="U1071" i="29"/>
  <c r="T1071" i="29"/>
  <c r="R1071" i="29"/>
  <c r="Q1071" i="29"/>
  <c r="V1070" i="29"/>
  <c r="U1070" i="29"/>
  <c r="T1070" i="29"/>
  <c r="R1070" i="29"/>
  <c r="Q1070" i="29"/>
  <c r="V1069" i="29"/>
  <c r="U1069" i="29"/>
  <c r="T1069" i="29"/>
  <c r="R1069" i="29"/>
  <c r="Q1069" i="29"/>
  <c r="V1066" i="29"/>
  <c r="U1066" i="29"/>
  <c r="T1066" i="29"/>
  <c r="R1066" i="29"/>
  <c r="Q1066" i="29"/>
  <c r="V1065" i="29"/>
  <c r="U1065" i="29"/>
  <c r="T1065" i="29"/>
  <c r="R1065" i="29"/>
  <c r="Q1065" i="29"/>
  <c r="V1064" i="29"/>
  <c r="U1064" i="29"/>
  <c r="T1064" i="29"/>
  <c r="R1064" i="29"/>
  <c r="Q1064" i="29"/>
  <c r="V1063" i="29"/>
  <c r="U1063" i="29"/>
  <c r="T1063" i="29"/>
  <c r="R1063" i="29"/>
  <c r="Q1063" i="29"/>
  <c r="V1062" i="29"/>
  <c r="U1062" i="29"/>
  <c r="T1062" i="29"/>
  <c r="R1062" i="29"/>
  <c r="Q1062" i="29"/>
  <c r="V1061" i="29"/>
  <c r="U1061" i="29"/>
  <c r="T1061" i="29"/>
  <c r="R1061" i="29"/>
  <c r="Q1061" i="29"/>
  <c r="V1060" i="29"/>
  <c r="U1060" i="29"/>
  <c r="T1060" i="29"/>
  <c r="R1060" i="29"/>
  <c r="Q1060" i="29"/>
  <c r="V1059" i="29"/>
  <c r="U1059" i="29"/>
  <c r="T1059" i="29"/>
  <c r="R1059" i="29"/>
  <c r="Q1059" i="29"/>
  <c r="V1058" i="29"/>
  <c r="U1058" i="29"/>
  <c r="T1058" i="29"/>
  <c r="R1058" i="29"/>
  <c r="Q1058" i="29"/>
  <c r="V1055" i="29"/>
  <c r="U1055" i="29"/>
  <c r="T1055" i="29"/>
  <c r="R1055" i="29"/>
  <c r="Q1055" i="29"/>
  <c r="V1054" i="29"/>
  <c r="U1054" i="29"/>
  <c r="T1054" i="29"/>
  <c r="R1054" i="29"/>
  <c r="Q1054" i="29"/>
  <c r="V1053" i="29"/>
  <c r="U1053" i="29"/>
  <c r="T1053" i="29"/>
  <c r="R1053" i="29"/>
  <c r="Q1053" i="29"/>
  <c r="V1052" i="29"/>
  <c r="U1052" i="29"/>
  <c r="T1052" i="29"/>
  <c r="R1052" i="29"/>
  <c r="Q1052" i="29"/>
  <c r="V1051" i="29"/>
  <c r="U1051" i="29"/>
  <c r="T1051" i="29"/>
  <c r="R1051" i="29"/>
  <c r="Q1051" i="29"/>
  <c r="V1050" i="29"/>
  <c r="U1050" i="29"/>
  <c r="T1050" i="29"/>
  <c r="R1050" i="29"/>
  <c r="Q1050" i="29"/>
  <c r="V1049" i="29"/>
  <c r="U1049" i="29"/>
  <c r="T1049" i="29"/>
  <c r="R1049" i="29"/>
  <c r="Q1049" i="29"/>
  <c r="V1048" i="29"/>
  <c r="U1048" i="29"/>
  <c r="T1048" i="29"/>
  <c r="R1048" i="29"/>
  <c r="Q1048" i="29"/>
  <c r="V1047" i="29"/>
  <c r="U1047" i="29"/>
  <c r="T1047" i="29"/>
  <c r="R1047" i="29"/>
  <c r="Q1047" i="29"/>
  <c r="V1044" i="29"/>
  <c r="U1044" i="29"/>
  <c r="T1044" i="29"/>
  <c r="R1044" i="29"/>
  <c r="Q1044" i="29"/>
  <c r="V1043" i="29"/>
  <c r="U1043" i="29"/>
  <c r="T1043" i="29"/>
  <c r="R1043" i="29"/>
  <c r="Q1043" i="29"/>
  <c r="V1042" i="29"/>
  <c r="U1042" i="29"/>
  <c r="T1042" i="29"/>
  <c r="R1042" i="29"/>
  <c r="Q1042" i="29"/>
  <c r="V1041" i="29"/>
  <c r="U1041" i="29"/>
  <c r="T1041" i="29"/>
  <c r="R1041" i="29"/>
  <c r="Q1041" i="29"/>
  <c r="V1040" i="29"/>
  <c r="U1040" i="29"/>
  <c r="T1040" i="29"/>
  <c r="R1040" i="29"/>
  <c r="Q1040" i="29"/>
  <c r="V1039" i="29"/>
  <c r="U1039" i="29"/>
  <c r="T1039" i="29"/>
  <c r="R1039" i="29"/>
  <c r="Q1039" i="29"/>
  <c r="V1038" i="29"/>
  <c r="U1038" i="29"/>
  <c r="T1038" i="29"/>
  <c r="R1038" i="29"/>
  <c r="Q1038" i="29"/>
  <c r="V1037" i="29"/>
  <c r="U1037" i="29"/>
  <c r="T1037" i="29"/>
  <c r="R1037" i="29"/>
  <c r="Q1037" i="29"/>
  <c r="V1036" i="29"/>
  <c r="U1036" i="29"/>
  <c r="T1036" i="29"/>
  <c r="R1036" i="29"/>
  <c r="Q1036" i="29"/>
  <c r="V1033" i="29"/>
  <c r="U1033" i="29"/>
  <c r="T1033" i="29"/>
  <c r="R1033" i="29"/>
  <c r="Q1033" i="29"/>
  <c r="V1032" i="29"/>
  <c r="U1032" i="29"/>
  <c r="T1032" i="29"/>
  <c r="R1032" i="29"/>
  <c r="Q1032" i="29"/>
  <c r="V1031" i="29"/>
  <c r="U1031" i="29"/>
  <c r="T1031" i="29"/>
  <c r="R1031" i="29"/>
  <c r="Q1031" i="29"/>
  <c r="V1030" i="29"/>
  <c r="U1030" i="29"/>
  <c r="T1030" i="29"/>
  <c r="R1030" i="29"/>
  <c r="Q1030" i="29"/>
  <c r="V1029" i="29"/>
  <c r="U1029" i="29"/>
  <c r="T1029" i="29"/>
  <c r="R1029" i="29"/>
  <c r="Q1029" i="29"/>
  <c r="V1028" i="29"/>
  <c r="U1028" i="29"/>
  <c r="T1028" i="29"/>
  <c r="R1028" i="29"/>
  <c r="Q1028" i="29"/>
  <c r="V1027" i="29"/>
  <c r="U1027" i="29"/>
  <c r="T1027" i="29"/>
  <c r="R1027" i="29"/>
  <c r="Q1027" i="29"/>
  <c r="V1026" i="29"/>
  <c r="U1026" i="29"/>
  <c r="T1026" i="29"/>
  <c r="R1026" i="29"/>
  <c r="Q1026" i="29"/>
  <c r="V1025" i="29"/>
  <c r="U1025" i="29"/>
  <c r="T1025" i="29"/>
  <c r="R1025" i="29"/>
  <c r="Q1025" i="29"/>
  <c r="V1022" i="29"/>
  <c r="U1022" i="29"/>
  <c r="T1022" i="29"/>
  <c r="R1022" i="29"/>
  <c r="Q1022" i="29"/>
  <c r="V1021" i="29"/>
  <c r="U1021" i="29"/>
  <c r="T1021" i="29"/>
  <c r="R1021" i="29"/>
  <c r="Q1021" i="29"/>
  <c r="V1020" i="29"/>
  <c r="U1020" i="29"/>
  <c r="T1020" i="29"/>
  <c r="R1020" i="29"/>
  <c r="Q1020" i="29"/>
  <c r="V1019" i="29"/>
  <c r="U1019" i="29"/>
  <c r="T1019" i="29"/>
  <c r="R1019" i="29"/>
  <c r="Q1019" i="29"/>
  <c r="V1018" i="29"/>
  <c r="U1018" i="29"/>
  <c r="T1018" i="29"/>
  <c r="R1018" i="29"/>
  <c r="Q1018" i="29"/>
  <c r="V1017" i="29"/>
  <c r="U1017" i="29"/>
  <c r="T1017" i="29"/>
  <c r="R1017" i="29"/>
  <c r="Q1017" i="29"/>
  <c r="V1016" i="29"/>
  <c r="U1016" i="29"/>
  <c r="T1016" i="29"/>
  <c r="R1016" i="29"/>
  <c r="Q1016" i="29"/>
  <c r="V1015" i="29"/>
  <c r="U1015" i="29"/>
  <c r="T1015" i="29"/>
  <c r="R1015" i="29"/>
  <c r="Q1015" i="29"/>
  <c r="V1014" i="29"/>
  <c r="U1014" i="29"/>
  <c r="T1014" i="29"/>
  <c r="R1014" i="29"/>
  <c r="Q1014" i="29"/>
  <c r="V1011" i="29"/>
  <c r="U1011" i="29"/>
  <c r="T1011" i="29"/>
  <c r="R1011" i="29"/>
  <c r="Q1011" i="29"/>
  <c r="V1010" i="29"/>
  <c r="U1010" i="29"/>
  <c r="T1010" i="29"/>
  <c r="R1010" i="29"/>
  <c r="Q1010" i="29"/>
  <c r="V1009" i="29"/>
  <c r="U1009" i="29"/>
  <c r="T1009" i="29"/>
  <c r="R1009" i="29"/>
  <c r="Q1009" i="29"/>
  <c r="V1008" i="29"/>
  <c r="U1008" i="29"/>
  <c r="T1008" i="29"/>
  <c r="R1008" i="29"/>
  <c r="Q1008" i="29"/>
  <c r="V1007" i="29"/>
  <c r="U1007" i="29"/>
  <c r="T1007" i="29"/>
  <c r="R1007" i="29"/>
  <c r="Q1007" i="29"/>
  <c r="V1006" i="29"/>
  <c r="U1006" i="29"/>
  <c r="T1006" i="29"/>
  <c r="R1006" i="29"/>
  <c r="Q1006" i="29"/>
  <c r="V1005" i="29"/>
  <c r="U1005" i="29"/>
  <c r="T1005" i="29"/>
  <c r="R1005" i="29"/>
  <c r="Q1005" i="29"/>
  <c r="V1004" i="29"/>
  <c r="U1004" i="29"/>
  <c r="T1004" i="29"/>
  <c r="R1004" i="29"/>
  <c r="Q1004" i="29"/>
  <c r="V1003" i="29"/>
  <c r="U1003" i="29"/>
  <c r="T1003" i="29"/>
  <c r="R1003" i="29"/>
  <c r="Q1003" i="29"/>
  <c r="V1000" i="29"/>
  <c r="U1000" i="29"/>
  <c r="T1000" i="29"/>
  <c r="R1000" i="29"/>
  <c r="Q1000" i="29"/>
  <c r="V999" i="29"/>
  <c r="U999" i="29"/>
  <c r="T999" i="29"/>
  <c r="R999" i="29"/>
  <c r="Q999" i="29"/>
  <c r="V998" i="29"/>
  <c r="U998" i="29"/>
  <c r="T998" i="29"/>
  <c r="R998" i="29"/>
  <c r="Q998" i="29"/>
  <c r="V997" i="29"/>
  <c r="U997" i="29"/>
  <c r="T997" i="29"/>
  <c r="R997" i="29"/>
  <c r="Q997" i="29"/>
  <c r="V996" i="29"/>
  <c r="U996" i="29"/>
  <c r="T996" i="29"/>
  <c r="R996" i="29"/>
  <c r="Q996" i="29"/>
  <c r="V995" i="29"/>
  <c r="U995" i="29"/>
  <c r="T995" i="29"/>
  <c r="R995" i="29"/>
  <c r="Q995" i="29"/>
  <c r="V994" i="29"/>
  <c r="U994" i="29"/>
  <c r="T994" i="29"/>
  <c r="R994" i="29"/>
  <c r="Q994" i="29"/>
  <c r="V993" i="29"/>
  <c r="U993" i="29"/>
  <c r="T993" i="29"/>
  <c r="R993" i="29"/>
  <c r="Q993" i="29"/>
  <c r="V992" i="29"/>
  <c r="U992" i="29"/>
  <c r="T992" i="29"/>
  <c r="R992" i="29"/>
  <c r="Q992" i="29"/>
  <c r="V989" i="29"/>
  <c r="U989" i="29"/>
  <c r="T989" i="29"/>
  <c r="R989" i="29"/>
  <c r="Q989" i="29"/>
  <c r="V988" i="29"/>
  <c r="U988" i="29"/>
  <c r="T988" i="29"/>
  <c r="R988" i="29"/>
  <c r="Q988" i="29"/>
  <c r="V987" i="29"/>
  <c r="U987" i="29"/>
  <c r="T987" i="29"/>
  <c r="R987" i="29"/>
  <c r="Q987" i="29"/>
  <c r="V986" i="29"/>
  <c r="U986" i="29"/>
  <c r="T986" i="29"/>
  <c r="R986" i="29"/>
  <c r="Q986" i="29"/>
  <c r="V985" i="29"/>
  <c r="U985" i="29"/>
  <c r="T985" i="29"/>
  <c r="R985" i="29"/>
  <c r="Q985" i="29"/>
  <c r="V984" i="29"/>
  <c r="U984" i="29"/>
  <c r="T984" i="29"/>
  <c r="R984" i="29"/>
  <c r="Q984" i="29"/>
  <c r="V983" i="29"/>
  <c r="U983" i="29"/>
  <c r="T983" i="29"/>
  <c r="R983" i="29"/>
  <c r="Q983" i="29"/>
  <c r="V982" i="29"/>
  <c r="U982" i="29"/>
  <c r="T982" i="29"/>
  <c r="R982" i="29"/>
  <c r="Q982" i="29"/>
  <c r="V981" i="29"/>
  <c r="U981" i="29"/>
  <c r="T981" i="29"/>
  <c r="R981" i="29"/>
  <c r="Q981" i="29"/>
  <c r="V978" i="29"/>
  <c r="U978" i="29"/>
  <c r="T978" i="29"/>
  <c r="R978" i="29"/>
  <c r="Q978" i="29"/>
  <c r="V977" i="29"/>
  <c r="U977" i="29"/>
  <c r="T977" i="29"/>
  <c r="R977" i="29"/>
  <c r="Q977" i="29"/>
  <c r="V976" i="29"/>
  <c r="U976" i="29"/>
  <c r="T976" i="29"/>
  <c r="R976" i="29"/>
  <c r="Q976" i="29"/>
  <c r="V975" i="29"/>
  <c r="U975" i="29"/>
  <c r="T975" i="29"/>
  <c r="R975" i="29"/>
  <c r="Q975" i="29"/>
  <c r="V974" i="29"/>
  <c r="U974" i="29"/>
  <c r="T974" i="29"/>
  <c r="R974" i="29"/>
  <c r="Q974" i="29"/>
  <c r="V973" i="29"/>
  <c r="U973" i="29"/>
  <c r="T973" i="29"/>
  <c r="R973" i="29"/>
  <c r="Q973" i="29"/>
  <c r="V972" i="29"/>
  <c r="U972" i="29"/>
  <c r="T972" i="29"/>
  <c r="R972" i="29"/>
  <c r="Q972" i="29"/>
  <c r="V971" i="29"/>
  <c r="U971" i="29"/>
  <c r="T971" i="29"/>
  <c r="R971" i="29"/>
  <c r="Q971" i="29"/>
  <c r="V970" i="29"/>
  <c r="U970" i="29"/>
  <c r="T970" i="29"/>
  <c r="R970" i="29"/>
  <c r="Q970" i="29"/>
  <c r="V967" i="29"/>
  <c r="U967" i="29"/>
  <c r="T967" i="29"/>
  <c r="R967" i="29"/>
  <c r="Q967" i="29"/>
  <c r="V966" i="29"/>
  <c r="U966" i="29"/>
  <c r="T966" i="29"/>
  <c r="R966" i="29"/>
  <c r="Q966" i="29"/>
  <c r="V965" i="29"/>
  <c r="U965" i="29"/>
  <c r="T965" i="29"/>
  <c r="R965" i="29"/>
  <c r="Q965" i="29"/>
  <c r="V964" i="29"/>
  <c r="U964" i="29"/>
  <c r="T964" i="29"/>
  <c r="R964" i="29"/>
  <c r="Q964" i="29"/>
  <c r="V963" i="29"/>
  <c r="U963" i="29"/>
  <c r="T963" i="29"/>
  <c r="R963" i="29"/>
  <c r="Q963" i="29"/>
  <c r="V962" i="29"/>
  <c r="U962" i="29"/>
  <c r="T962" i="29"/>
  <c r="R962" i="29"/>
  <c r="Q962" i="29"/>
  <c r="V961" i="29"/>
  <c r="U961" i="29"/>
  <c r="T961" i="29"/>
  <c r="R961" i="29"/>
  <c r="Q961" i="29"/>
  <c r="V960" i="29"/>
  <c r="U960" i="29"/>
  <c r="T960" i="29"/>
  <c r="R960" i="29"/>
  <c r="Q960" i="29"/>
  <c r="V959" i="29"/>
  <c r="U959" i="29"/>
  <c r="T959" i="29"/>
  <c r="R959" i="29"/>
  <c r="Q959" i="29"/>
  <c r="V956" i="29"/>
  <c r="U956" i="29"/>
  <c r="T956" i="29"/>
  <c r="R956" i="29"/>
  <c r="Q956" i="29"/>
  <c r="V955" i="29"/>
  <c r="U955" i="29"/>
  <c r="T955" i="29"/>
  <c r="R955" i="29"/>
  <c r="Q955" i="29"/>
  <c r="V954" i="29"/>
  <c r="U954" i="29"/>
  <c r="T954" i="29"/>
  <c r="R954" i="29"/>
  <c r="Q954" i="29"/>
  <c r="V953" i="29"/>
  <c r="U953" i="29"/>
  <c r="T953" i="29"/>
  <c r="R953" i="29"/>
  <c r="Q953" i="29"/>
  <c r="V952" i="29"/>
  <c r="U952" i="29"/>
  <c r="T952" i="29"/>
  <c r="R952" i="29"/>
  <c r="Q952" i="29"/>
  <c r="V951" i="29"/>
  <c r="U951" i="29"/>
  <c r="T951" i="29"/>
  <c r="R951" i="29"/>
  <c r="Q951" i="29"/>
  <c r="V950" i="29"/>
  <c r="U950" i="29"/>
  <c r="T950" i="29"/>
  <c r="R950" i="29"/>
  <c r="Q950" i="29"/>
  <c r="V949" i="29"/>
  <c r="U949" i="29"/>
  <c r="T949" i="29"/>
  <c r="R949" i="29"/>
  <c r="Q949" i="29"/>
  <c r="V948" i="29"/>
  <c r="U948" i="29"/>
  <c r="T948" i="29"/>
  <c r="R948" i="29"/>
  <c r="Q948" i="29"/>
  <c r="V945" i="29"/>
  <c r="U945" i="29"/>
  <c r="T945" i="29"/>
  <c r="R945" i="29"/>
  <c r="Q945" i="29"/>
  <c r="V944" i="29"/>
  <c r="U944" i="29"/>
  <c r="T944" i="29"/>
  <c r="R944" i="29"/>
  <c r="Q944" i="29"/>
  <c r="V943" i="29"/>
  <c r="U943" i="29"/>
  <c r="T943" i="29"/>
  <c r="R943" i="29"/>
  <c r="Q943" i="29"/>
  <c r="V942" i="29"/>
  <c r="U942" i="29"/>
  <c r="T942" i="29"/>
  <c r="R942" i="29"/>
  <c r="Q942" i="29"/>
  <c r="V941" i="29"/>
  <c r="U941" i="29"/>
  <c r="T941" i="29"/>
  <c r="R941" i="29"/>
  <c r="Q941" i="29"/>
  <c r="V940" i="29"/>
  <c r="U940" i="29"/>
  <c r="T940" i="29"/>
  <c r="R940" i="29"/>
  <c r="Q940" i="29"/>
  <c r="V939" i="29"/>
  <c r="U939" i="29"/>
  <c r="T939" i="29"/>
  <c r="R939" i="29"/>
  <c r="Q939" i="29"/>
  <c r="V938" i="29"/>
  <c r="U938" i="29"/>
  <c r="T938" i="29"/>
  <c r="R938" i="29"/>
  <c r="Q938" i="29"/>
  <c r="V937" i="29"/>
  <c r="U937" i="29"/>
  <c r="T937" i="29"/>
  <c r="R937" i="29"/>
  <c r="Q937" i="29"/>
  <c r="V934" i="29"/>
  <c r="U934" i="29"/>
  <c r="T934" i="29"/>
  <c r="R934" i="29"/>
  <c r="Q934" i="29"/>
  <c r="V933" i="29"/>
  <c r="U933" i="29"/>
  <c r="T933" i="29"/>
  <c r="R933" i="29"/>
  <c r="Q933" i="29"/>
  <c r="V932" i="29"/>
  <c r="U932" i="29"/>
  <c r="T932" i="29"/>
  <c r="R932" i="29"/>
  <c r="Q932" i="29"/>
  <c r="V931" i="29"/>
  <c r="U931" i="29"/>
  <c r="T931" i="29"/>
  <c r="R931" i="29"/>
  <c r="Q931" i="29"/>
  <c r="V930" i="29"/>
  <c r="U930" i="29"/>
  <c r="T930" i="29"/>
  <c r="R930" i="29"/>
  <c r="Q930" i="29"/>
  <c r="V929" i="29"/>
  <c r="U929" i="29"/>
  <c r="T929" i="29"/>
  <c r="R929" i="29"/>
  <c r="Q929" i="29"/>
  <c r="V928" i="29"/>
  <c r="U928" i="29"/>
  <c r="T928" i="29"/>
  <c r="R928" i="29"/>
  <c r="Q928" i="29"/>
  <c r="V927" i="29"/>
  <c r="U927" i="29"/>
  <c r="T927" i="29"/>
  <c r="R927" i="29"/>
  <c r="Q927" i="29"/>
  <c r="V926" i="29"/>
  <c r="U926" i="29"/>
  <c r="T926" i="29"/>
  <c r="R926" i="29"/>
  <c r="Q926" i="29"/>
  <c r="V923" i="29"/>
  <c r="U923" i="29"/>
  <c r="T923" i="29"/>
  <c r="R923" i="29"/>
  <c r="Q923" i="29"/>
  <c r="V922" i="29"/>
  <c r="U922" i="29"/>
  <c r="T922" i="29"/>
  <c r="R922" i="29"/>
  <c r="Q922" i="29"/>
  <c r="V921" i="29"/>
  <c r="U921" i="29"/>
  <c r="T921" i="29"/>
  <c r="R921" i="29"/>
  <c r="Q921" i="29"/>
  <c r="V920" i="29"/>
  <c r="U920" i="29"/>
  <c r="T920" i="29"/>
  <c r="R920" i="29"/>
  <c r="Q920" i="29"/>
  <c r="V919" i="29"/>
  <c r="U919" i="29"/>
  <c r="T919" i="29"/>
  <c r="R919" i="29"/>
  <c r="Q919" i="29"/>
  <c r="V918" i="29"/>
  <c r="U918" i="29"/>
  <c r="T918" i="29"/>
  <c r="R918" i="29"/>
  <c r="Q918" i="29"/>
  <c r="V917" i="29"/>
  <c r="U917" i="29"/>
  <c r="T917" i="29"/>
  <c r="R917" i="29"/>
  <c r="Q917" i="29"/>
  <c r="V916" i="29"/>
  <c r="U916" i="29"/>
  <c r="T916" i="29"/>
  <c r="R916" i="29"/>
  <c r="Q916" i="29"/>
  <c r="V915" i="29"/>
  <c r="U915" i="29"/>
  <c r="T915" i="29"/>
  <c r="R915" i="29"/>
  <c r="Q915" i="29"/>
  <c r="V912" i="29"/>
  <c r="U912" i="29"/>
  <c r="T912" i="29"/>
  <c r="R912" i="29"/>
  <c r="Q912" i="29"/>
  <c r="V911" i="29"/>
  <c r="U911" i="29"/>
  <c r="T911" i="29"/>
  <c r="R911" i="29"/>
  <c r="Q911" i="29"/>
  <c r="V910" i="29"/>
  <c r="U910" i="29"/>
  <c r="T910" i="29"/>
  <c r="R910" i="29"/>
  <c r="Q910" i="29"/>
  <c r="V909" i="29"/>
  <c r="U909" i="29"/>
  <c r="T909" i="29"/>
  <c r="R909" i="29"/>
  <c r="Q909" i="29"/>
  <c r="V908" i="29"/>
  <c r="U908" i="29"/>
  <c r="T908" i="29"/>
  <c r="R908" i="29"/>
  <c r="Q908" i="29"/>
  <c r="V907" i="29"/>
  <c r="U907" i="29"/>
  <c r="T907" i="29"/>
  <c r="R907" i="29"/>
  <c r="Q907" i="29"/>
  <c r="V906" i="29"/>
  <c r="U906" i="29"/>
  <c r="T906" i="29"/>
  <c r="R906" i="29"/>
  <c r="Q906" i="29"/>
  <c r="V905" i="29"/>
  <c r="U905" i="29"/>
  <c r="T905" i="29"/>
  <c r="R905" i="29"/>
  <c r="Q905" i="29"/>
  <c r="V904" i="29"/>
  <c r="U904" i="29"/>
  <c r="T904" i="29"/>
  <c r="R904" i="29"/>
  <c r="Q904" i="29"/>
  <c r="V901" i="29"/>
  <c r="U901" i="29"/>
  <c r="T901" i="29"/>
  <c r="R901" i="29"/>
  <c r="Q901" i="29"/>
  <c r="V900" i="29"/>
  <c r="U900" i="29"/>
  <c r="T900" i="29"/>
  <c r="R900" i="29"/>
  <c r="Q900" i="29"/>
  <c r="V899" i="29"/>
  <c r="U899" i="29"/>
  <c r="T899" i="29"/>
  <c r="R899" i="29"/>
  <c r="Q899" i="29"/>
  <c r="V898" i="29"/>
  <c r="U898" i="29"/>
  <c r="T898" i="29"/>
  <c r="R898" i="29"/>
  <c r="Q898" i="29"/>
  <c r="V897" i="29"/>
  <c r="U897" i="29"/>
  <c r="T897" i="29"/>
  <c r="R897" i="29"/>
  <c r="Q897" i="29"/>
  <c r="V896" i="29"/>
  <c r="U896" i="29"/>
  <c r="T896" i="29"/>
  <c r="R896" i="29"/>
  <c r="Q896" i="29"/>
  <c r="V895" i="29"/>
  <c r="U895" i="29"/>
  <c r="T895" i="29"/>
  <c r="R895" i="29"/>
  <c r="Q895" i="29"/>
  <c r="V894" i="29"/>
  <c r="U894" i="29"/>
  <c r="T894" i="29"/>
  <c r="R894" i="29"/>
  <c r="Q894" i="29"/>
  <c r="V893" i="29"/>
  <c r="U893" i="29"/>
  <c r="T893" i="29"/>
  <c r="R893" i="29"/>
  <c r="Q893" i="29"/>
  <c r="V890" i="29"/>
  <c r="U890" i="29"/>
  <c r="T890" i="29"/>
  <c r="R890" i="29"/>
  <c r="Q890" i="29"/>
  <c r="V889" i="29"/>
  <c r="U889" i="29"/>
  <c r="T889" i="29"/>
  <c r="R889" i="29"/>
  <c r="Q889" i="29"/>
  <c r="V888" i="29"/>
  <c r="U888" i="29"/>
  <c r="T888" i="29"/>
  <c r="R888" i="29"/>
  <c r="Q888" i="29"/>
  <c r="V887" i="29"/>
  <c r="U887" i="29"/>
  <c r="T887" i="29"/>
  <c r="R887" i="29"/>
  <c r="Q887" i="29"/>
  <c r="V886" i="29"/>
  <c r="U886" i="29"/>
  <c r="T886" i="29"/>
  <c r="R886" i="29"/>
  <c r="Q886" i="29"/>
  <c r="V885" i="29"/>
  <c r="U885" i="29"/>
  <c r="T885" i="29"/>
  <c r="R885" i="29"/>
  <c r="Q885" i="29"/>
  <c r="V884" i="29"/>
  <c r="U884" i="29"/>
  <c r="T884" i="29"/>
  <c r="R884" i="29"/>
  <c r="Q884" i="29"/>
  <c r="V883" i="29"/>
  <c r="U883" i="29"/>
  <c r="T883" i="29"/>
  <c r="R883" i="29"/>
  <c r="Q883" i="29"/>
  <c r="V882" i="29"/>
  <c r="U882" i="29"/>
  <c r="T882" i="29"/>
  <c r="R882" i="29"/>
  <c r="Q882" i="29"/>
  <c r="V879" i="29"/>
  <c r="U879" i="29"/>
  <c r="T879" i="29"/>
  <c r="R879" i="29"/>
  <c r="Q879" i="29"/>
  <c r="V878" i="29"/>
  <c r="U878" i="29"/>
  <c r="T878" i="29"/>
  <c r="R878" i="29"/>
  <c r="Q878" i="29"/>
  <c r="V877" i="29"/>
  <c r="U877" i="29"/>
  <c r="T877" i="29"/>
  <c r="R877" i="29"/>
  <c r="Q877" i="29"/>
  <c r="V876" i="29"/>
  <c r="U876" i="29"/>
  <c r="T876" i="29"/>
  <c r="R876" i="29"/>
  <c r="Q876" i="29"/>
  <c r="V875" i="29"/>
  <c r="U875" i="29"/>
  <c r="T875" i="29"/>
  <c r="R875" i="29"/>
  <c r="Q875" i="29"/>
  <c r="V874" i="29"/>
  <c r="U874" i="29"/>
  <c r="T874" i="29"/>
  <c r="R874" i="29"/>
  <c r="Q874" i="29"/>
  <c r="V873" i="29"/>
  <c r="U873" i="29"/>
  <c r="T873" i="29"/>
  <c r="R873" i="29"/>
  <c r="Q873" i="29"/>
  <c r="V872" i="29"/>
  <c r="U872" i="29"/>
  <c r="T872" i="29"/>
  <c r="R872" i="29"/>
  <c r="Q872" i="29"/>
  <c r="V871" i="29"/>
  <c r="U871" i="29"/>
  <c r="T871" i="29"/>
  <c r="R871" i="29"/>
  <c r="Q871" i="29"/>
  <c r="V868" i="29"/>
  <c r="U868" i="29"/>
  <c r="T868" i="29"/>
  <c r="R868" i="29"/>
  <c r="Q868" i="29"/>
  <c r="V867" i="29"/>
  <c r="U867" i="29"/>
  <c r="T867" i="29"/>
  <c r="R867" i="29"/>
  <c r="Q867" i="29"/>
  <c r="V866" i="29"/>
  <c r="U866" i="29"/>
  <c r="T866" i="29"/>
  <c r="R866" i="29"/>
  <c r="Q866" i="29"/>
  <c r="V865" i="29"/>
  <c r="U865" i="29"/>
  <c r="T865" i="29"/>
  <c r="R865" i="29"/>
  <c r="Q865" i="29"/>
  <c r="V864" i="29"/>
  <c r="U864" i="29"/>
  <c r="T864" i="29"/>
  <c r="R864" i="29"/>
  <c r="Q864" i="29"/>
  <c r="V863" i="29"/>
  <c r="U863" i="29"/>
  <c r="T863" i="29"/>
  <c r="R863" i="29"/>
  <c r="Q863" i="29"/>
  <c r="V862" i="29"/>
  <c r="U862" i="29"/>
  <c r="T862" i="29"/>
  <c r="R862" i="29"/>
  <c r="Q862" i="29"/>
  <c r="V861" i="29"/>
  <c r="U861" i="29"/>
  <c r="T861" i="29"/>
  <c r="R861" i="29"/>
  <c r="Q861" i="29"/>
  <c r="V860" i="29"/>
  <c r="U860" i="29"/>
  <c r="T860" i="29"/>
  <c r="R860" i="29"/>
  <c r="Q860" i="29"/>
  <c r="V857" i="29"/>
  <c r="U857" i="29"/>
  <c r="T857" i="29"/>
  <c r="R857" i="29"/>
  <c r="Q857" i="29"/>
  <c r="V856" i="29"/>
  <c r="U856" i="29"/>
  <c r="T856" i="29"/>
  <c r="R856" i="29"/>
  <c r="Q856" i="29"/>
  <c r="V855" i="29"/>
  <c r="U855" i="29"/>
  <c r="T855" i="29"/>
  <c r="R855" i="29"/>
  <c r="Q855" i="29"/>
  <c r="V854" i="29"/>
  <c r="U854" i="29"/>
  <c r="T854" i="29"/>
  <c r="R854" i="29"/>
  <c r="Q854" i="29"/>
  <c r="V853" i="29"/>
  <c r="U853" i="29"/>
  <c r="T853" i="29"/>
  <c r="R853" i="29"/>
  <c r="Q853" i="29"/>
  <c r="V852" i="29"/>
  <c r="U852" i="29"/>
  <c r="T852" i="29"/>
  <c r="R852" i="29"/>
  <c r="Q852" i="29"/>
  <c r="V851" i="29"/>
  <c r="U851" i="29"/>
  <c r="T851" i="29"/>
  <c r="R851" i="29"/>
  <c r="Q851" i="29"/>
  <c r="V850" i="29"/>
  <c r="U850" i="29"/>
  <c r="T850" i="29"/>
  <c r="R850" i="29"/>
  <c r="Q850" i="29"/>
  <c r="V849" i="29"/>
  <c r="U849" i="29"/>
  <c r="T849" i="29"/>
  <c r="R849" i="29"/>
  <c r="Q849" i="29"/>
  <c r="V846" i="29"/>
  <c r="U846" i="29"/>
  <c r="T846" i="29"/>
  <c r="R846" i="29"/>
  <c r="Q846" i="29"/>
  <c r="V845" i="29"/>
  <c r="U845" i="29"/>
  <c r="T845" i="29"/>
  <c r="R845" i="29"/>
  <c r="Q845" i="29"/>
  <c r="V844" i="29"/>
  <c r="U844" i="29"/>
  <c r="T844" i="29"/>
  <c r="R844" i="29"/>
  <c r="Q844" i="29"/>
  <c r="V843" i="29"/>
  <c r="U843" i="29"/>
  <c r="T843" i="29"/>
  <c r="R843" i="29"/>
  <c r="Q843" i="29"/>
  <c r="V842" i="29"/>
  <c r="U842" i="29"/>
  <c r="T842" i="29"/>
  <c r="R842" i="29"/>
  <c r="Q842" i="29"/>
  <c r="V841" i="29"/>
  <c r="U841" i="29"/>
  <c r="T841" i="29"/>
  <c r="R841" i="29"/>
  <c r="Q841" i="29"/>
  <c r="V840" i="29"/>
  <c r="U840" i="29"/>
  <c r="T840" i="29"/>
  <c r="R840" i="29"/>
  <c r="Q840" i="29"/>
  <c r="V839" i="29"/>
  <c r="U839" i="29"/>
  <c r="T839" i="29"/>
  <c r="R839" i="29"/>
  <c r="Q839" i="29"/>
  <c r="V838" i="29"/>
  <c r="U838" i="29"/>
  <c r="T838" i="29"/>
  <c r="R838" i="29"/>
  <c r="Q838" i="29"/>
  <c r="V835" i="29"/>
  <c r="U835" i="29"/>
  <c r="T835" i="29"/>
  <c r="R835" i="29"/>
  <c r="Q835" i="29"/>
  <c r="V834" i="29"/>
  <c r="U834" i="29"/>
  <c r="T834" i="29"/>
  <c r="R834" i="29"/>
  <c r="Q834" i="29"/>
  <c r="V833" i="29"/>
  <c r="U833" i="29"/>
  <c r="T833" i="29"/>
  <c r="R833" i="29"/>
  <c r="Q833" i="29"/>
  <c r="V832" i="29"/>
  <c r="U832" i="29"/>
  <c r="T832" i="29"/>
  <c r="R832" i="29"/>
  <c r="Q832" i="29"/>
  <c r="V831" i="29"/>
  <c r="U831" i="29"/>
  <c r="T831" i="29"/>
  <c r="R831" i="29"/>
  <c r="Q831" i="29"/>
  <c r="V830" i="29"/>
  <c r="U830" i="29"/>
  <c r="T830" i="29"/>
  <c r="R830" i="29"/>
  <c r="Q830" i="29"/>
  <c r="V829" i="29"/>
  <c r="U829" i="29"/>
  <c r="T829" i="29"/>
  <c r="R829" i="29"/>
  <c r="Q829" i="29"/>
  <c r="V828" i="29"/>
  <c r="U828" i="29"/>
  <c r="T828" i="29"/>
  <c r="R828" i="29"/>
  <c r="Q828" i="29"/>
  <c r="V827" i="29"/>
  <c r="U827" i="29"/>
  <c r="T827" i="29"/>
  <c r="R827" i="29"/>
  <c r="Q827" i="29"/>
  <c r="V824" i="29"/>
  <c r="U824" i="29"/>
  <c r="T824" i="29"/>
  <c r="R824" i="29"/>
  <c r="Q824" i="29"/>
  <c r="V823" i="29"/>
  <c r="U823" i="29"/>
  <c r="T823" i="29"/>
  <c r="R823" i="29"/>
  <c r="Q823" i="29"/>
  <c r="V822" i="29"/>
  <c r="U822" i="29"/>
  <c r="T822" i="29"/>
  <c r="R822" i="29"/>
  <c r="Q822" i="29"/>
  <c r="V821" i="29"/>
  <c r="U821" i="29"/>
  <c r="T821" i="29"/>
  <c r="R821" i="29"/>
  <c r="Q821" i="29"/>
  <c r="V820" i="29"/>
  <c r="U820" i="29"/>
  <c r="T820" i="29"/>
  <c r="R820" i="29"/>
  <c r="Q820" i="29"/>
  <c r="V819" i="29"/>
  <c r="U819" i="29"/>
  <c r="T819" i="29"/>
  <c r="R819" i="29"/>
  <c r="Q819" i="29"/>
  <c r="V818" i="29"/>
  <c r="U818" i="29"/>
  <c r="T818" i="29"/>
  <c r="R818" i="29"/>
  <c r="Q818" i="29"/>
  <c r="V817" i="29"/>
  <c r="U817" i="29"/>
  <c r="T817" i="29"/>
  <c r="R817" i="29"/>
  <c r="Q817" i="29"/>
  <c r="V816" i="29"/>
  <c r="U816" i="29"/>
  <c r="T816" i="29"/>
  <c r="R816" i="29"/>
  <c r="Q816" i="29"/>
  <c r="V813" i="29"/>
  <c r="U813" i="29"/>
  <c r="T813" i="29"/>
  <c r="R813" i="29"/>
  <c r="Q813" i="29"/>
  <c r="V812" i="29"/>
  <c r="U812" i="29"/>
  <c r="T812" i="29"/>
  <c r="R812" i="29"/>
  <c r="Q812" i="29"/>
  <c r="V811" i="29"/>
  <c r="U811" i="29"/>
  <c r="T811" i="29"/>
  <c r="R811" i="29"/>
  <c r="Q811" i="29"/>
  <c r="V810" i="29"/>
  <c r="U810" i="29"/>
  <c r="T810" i="29"/>
  <c r="R810" i="29"/>
  <c r="Q810" i="29"/>
  <c r="V809" i="29"/>
  <c r="U809" i="29"/>
  <c r="T809" i="29"/>
  <c r="R809" i="29"/>
  <c r="Q809" i="29"/>
  <c r="V808" i="29"/>
  <c r="U808" i="29"/>
  <c r="T808" i="29"/>
  <c r="R808" i="29"/>
  <c r="Q808" i="29"/>
  <c r="V807" i="29"/>
  <c r="U807" i="29"/>
  <c r="T807" i="29"/>
  <c r="R807" i="29"/>
  <c r="Q807" i="29"/>
  <c r="V806" i="29"/>
  <c r="U806" i="29"/>
  <c r="T806" i="29"/>
  <c r="R806" i="29"/>
  <c r="Q806" i="29"/>
  <c r="V805" i="29"/>
  <c r="U805" i="29"/>
  <c r="T805" i="29"/>
  <c r="R805" i="29"/>
  <c r="Q805" i="29"/>
  <c r="V802" i="29"/>
  <c r="U802" i="29"/>
  <c r="T802" i="29"/>
  <c r="R802" i="29"/>
  <c r="Q802" i="29"/>
  <c r="V801" i="29"/>
  <c r="U801" i="29"/>
  <c r="T801" i="29"/>
  <c r="R801" i="29"/>
  <c r="Q801" i="29"/>
  <c r="V800" i="29"/>
  <c r="U800" i="29"/>
  <c r="T800" i="29"/>
  <c r="R800" i="29"/>
  <c r="Q800" i="29"/>
  <c r="V799" i="29"/>
  <c r="U799" i="29"/>
  <c r="T799" i="29"/>
  <c r="R799" i="29"/>
  <c r="Q799" i="29"/>
  <c r="V798" i="29"/>
  <c r="U798" i="29"/>
  <c r="T798" i="29"/>
  <c r="R798" i="29"/>
  <c r="Q798" i="29"/>
  <c r="V797" i="29"/>
  <c r="U797" i="29"/>
  <c r="T797" i="29"/>
  <c r="R797" i="29"/>
  <c r="Q797" i="29"/>
  <c r="V796" i="29"/>
  <c r="U796" i="29"/>
  <c r="T796" i="29"/>
  <c r="R796" i="29"/>
  <c r="Q796" i="29"/>
  <c r="V795" i="29"/>
  <c r="U795" i="29"/>
  <c r="T795" i="29"/>
  <c r="R795" i="29"/>
  <c r="Q795" i="29"/>
  <c r="V794" i="29"/>
  <c r="U794" i="29"/>
  <c r="T794" i="29"/>
  <c r="R794" i="29"/>
  <c r="Q794" i="29"/>
  <c r="V791" i="29"/>
  <c r="U791" i="29"/>
  <c r="T791" i="29"/>
  <c r="R791" i="29"/>
  <c r="Q791" i="29"/>
  <c r="V790" i="29"/>
  <c r="U790" i="29"/>
  <c r="T790" i="29"/>
  <c r="R790" i="29"/>
  <c r="Q790" i="29"/>
  <c r="V789" i="29"/>
  <c r="U789" i="29"/>
  <c r="T789" i="29"/>
  <c r="R789" i="29"/>
  <c r="Q789" i="29"/>
  <c r="V788" i="29"/>
  <c r="U788" i="29"/>
  <c r="T788" i="29"/>
  <c r="R788" i="29"/>
  <c r="Q788" i="29"/>
  <c r="V787" i="29"/>
  <c r="U787" i="29"/>
  <c r="T787" i="29"/>
  <c r="R787" i="29"/>
  <c r="Q787" i="29"/>
  <c r="V786" i="29"/>
  <c r="U786" i="29"/>
  <c r="T786" i="29"/>
  <c r="R786" i="29"/>
  <c r="Q786" i="29"/>
  <c r="V785" i="29"/>
  <c r="U785" i="29"/>
  <c r="T785" i="29"/>
  <c r="R785" i="29"/>
  <c r="Q785" i="29"/>
  <c r="V784" i="29"/>
  <c r="U784" i="29"/>
  <c r="T784" i="29"/>
  <c r="R784" i="29"/>
  <c r="Q784" i="29"/>
  <c r="V783" i="29"/>
  <c r="U783" i="29"/>
  <c r="T783" i="29"/>
  <c r="R783" i="29"/>
  <c r="Q783" i="29"/>
  <c r="V780" i="29"/>
  <c r="U780" i="29"/>
  <c r="T780" i="29"/>
  <c r="R780" i="29"/>
  <c r="Q780" i="29"/>
  <c r="V779" i="29"/>
  <c r="U779" i="29"/>
  <c r="T779" i="29"/>
  <c r="R779" i="29"/>
  <c r="Q779" i="29"/>
  <c r="V778" i="29"/>
  <c r="U778" i="29"/>
  <c r="T778" i="29"/>
  <c r="R778" i="29"/>
  <c r="Q778" i="29"/>
  <c r="V777" i="29"/>
  <c r="U777" i="29"/>
  <c r="T777" i="29"/>
  <c r="R777" i="29"/>
  <c r="Q777" i="29"/>
  <c r="V776" i="29"/>
  <c r="U776" i="29"/>
  <c r="T776" i="29"/>
  <c r="R776" i="29"/>
  <c r="Q776" i="29"/>
  <c r="V775" i="29"/>
  <c r="U775" i="29"/>
  <c r="T775" i="29"/>
  <c r="R775" i="29"/>
  <c r="Q775" i="29"/>
  <c r="V774" i="29"/>
  <c r="U774" i="29"/>
  <c r="T774" i="29"/>
  <c r="R774" i="29"/>
  <c r="Q774" i="29"/>
  <c r="V773" i="29"/>
  <c r="U773" i="29"/>
  <c r="T773" i="29"/>
  <c r="R773" i="29"/>
  <c r="Q773" i="29"/>
  <c r="V772" i="29"/>
  <c r="U772" i="29"/>
  <c r="T772" i="29"/>
  <c r="R772" i="29"/>
  <c r="Q772" i="29"/>
  <c r="V769" i="29"/>
  <c r="U769" i="29"/>
  <c r="T769" i="29"/>
  <c r="R769" i="29"/>
  <c r="Q769" i="29"/>
  <c r="V768" i="29"/>
  <c r="U768" i="29"/>
  <c r="T768" i="29"/>
  <c r="R768" i="29"/>
  <c r="Q768" i="29"/>
  <c r="V767" i="29"/>
  <c r="U767" i="29"/>
  <c r="T767" i="29"/>
  <c r="R767" i="29"/>
  <c r="Q767" i="29"/>
  <c r="V766" i="29"/>
  <c r="U766" i="29"/>
  <c r="T766" i="29"/>
  <c r="R766" i="29"/>
  <c r="Q766" i="29"/>
  <c r="V765" i="29"/>
  <c r="U765" i="29"/>
  <c r="T765" i="29"/>
  <c r="R765" i="29"/>
  <c r="Q765" i="29"/>
  <c r="V764" i="29"/>
  <c r="U764" i="29"/>
  <c r="T764" i="29"/>
  <c r="R764" i="29"/>
  <c r="Q764" i="29"/>
  <c r="V763" i="29"/>
  <c r="U763" i="29"/>
  <c r="T763" i="29"/>
  <c r="R763" i="29"/>
  <c r="Q763" i="29"/>
  <c r="V762" i="29"/>
  <c r="U762" i="29"/>
  <c r="T762" i="29"/>
  <c r="R762" i="29"/>
  <c r="Q762" i="29"/>
  <c r="V761" i="29"/>
  <c r="U761" i="29"/>
  <c r="T761" i="29"/>
  <c r="R761" i="29"/>
  <c r="Q761" i="29"/>
  <c r="V758" i="29"/>
  <c r="U758" i="29"/>
  <c r="T758" i="29"/>
  <c r="R758" i="29"/>
  <c r="Q758" i="29"/>
  <c r="V757" i="29"/>
  <c r="U757" i="29"/>
  <c r="T757" i="29"/>
  <c r="R757" i="29"/>
  <c r="Q757" i="29"/>
  <c r="V756" i="29"/>
  <c r="U756" i="29"/>
  <c r="T756" i="29"/>
  <c r="R756" i="29"/>
  <c r="Q756" i="29"/>
  <c r="V755" i="29"/>
  <c r="U755" i="29"/>
  <c r="T755" i="29"/>
  <c r="R755" i="29"/>
  <c r="Q755" i="29"/>
  <c r="V754" i="29"/>
  <c r="U754" i="29"/>
  <c r="T754" i="29"/>
  <c r="R754" i="29"/>
  <c r="Q754" i="29"/>
  <c r="V753" i="29"/>
  <c r="U753" i="29"/>
  <c r="T753" i="29"/>
  <c r="R753" i="29"/>
  <c r="Q753" i="29"/>
  <c r="V752" i="29"/>
  <c r="U752" i="29"/>
  <c r="T752" i="29"/>
  <c r="R752" i="29"/>
  <c r="Q752" i="29"/>
  <c r="V751" i="29"/>
  <c r="U751" i="29"/>
  <c r="T751" i="29"/>
  <c r="R751" i="29"/>
  <c r="Q751" i="29"/>
  <c r="V750" i="29"/>
  <c r="U750" i="29"/>
  <c r="T750" i="29"/>
  <c r="R750" i="29"/>
  <c r="Q750" i="29"/>
  <c r="V747" i="29"/>
  <c r="U747" i="29"/>
  <c r="T747" i="29"/>
  <c r="R747" i="29"/>
  <c r="Q747" i="29"/>
  <c r="V746" i="29"/>
  <c r="U746" i="29"/>
  <c r="T746" i="29"/>
  <c r="R746" i="29"/>
  <c r="Q746" i="29"/>
  <c r="V745" i="29"/>
  <c r="U745" i="29"/>
  <c r="T745" i="29"/>
  <c r="R745" i="29"/>
  <c r="Q745" i="29"/>
  <c r="V744" i="29"/>
  <c r="U744" i="29"/>
  <c r="T744" i="29"/>
  <c r="R744" i="29"/>
  <c r="Q744" i="29"/>
  <c r="V743" i="29"/>
  <c r="U743" i="29"/>
  <c r="T743" i="29"/>
  <c r="R743" i="29"/>
  <c r="Q743" i="29"/>
  <c r="V742" i="29"/>
  <c r="U742" i="29"/>
  <c r="T742" i="29"/>
  <c r="R742" i="29"/>
  <c r="Q742" i="29"/>
  <c r="V741" i="29"/>
  <c r="U741" i="29"/>
  <c r="T741" i="29"/>
  <c r="R741" i="29"/>
  <c r="Q741" i="29"/>
  <c r="V740" i="29"/>
  <c r="U740" i="29"/>
  <c r="T740" i="29"/>
  <c r="R740" i="29"/>
  <c r="Q740" i="29"/>
  <c r="V739" i="29"/>
  <c r="U739" i="29"/>
  <c r="T739" i="29"/>
  <c r="R739" i="29"/>
  <c r="Q739" i="29"/>
  <c r="V736" i="29"/>
  <c r="U736" i="29"/>
  <c r="T736" i="29"/>
  <c r="R736" i="29"/>
  <c r="Q736" i="29"/>
  <c r="V735" i="29"/>
  <c r="U735" i="29"/>
  <c r="T735" i="29"/>
  <c r="R735" i="29"/>
  <c r="Q735" i="29"/>
  <c r="V734" i="29"/>
  <c r="U734" i="29"/>
  <c r="T734" i="29"/>
  <c r="R734" i="29"/>
  <c r="Q734" i="29"/>
  <c r="V733" i="29"/>
  <c r="U733" i="29"/>
  <c r="T733" i="29"/>
  <c r="R733" i="29"/>
  <c r="Q733" i="29"/>
  <c r="V732" i="29"/>
  <c r="U732" i="29"/>
  <c r="T732" i="29"/>
  <c r="R732" i="29"/>
  <c r="Q732" i="29"/>
  <c r="V731" i="29"/>
  <c r="U731" i="29"/>
  <c r="T731" i="29"/>
  <c r="R731" i="29"/>
  <c r="Q731" i="29"/>
  <c r="V730" i="29"/>
  <c r="U730" i="29"/>
  <c r="T730" i="29"/>
  <c r="R730" i="29"/>
  <c r="Q730" i="29"/>
  <c r="V729" i="29"/>
  <c r="U729" i="29"/>
  <c r="T729" i="29"/>
  <c r="R729" i="29"/>
  <c r="Q729" i="29"/>
  <c r="V728" i="29"/>
  <c r="U728" i="29"/>
  <c r="T728" i="29"/>
  <c r="R728" i="29"/>
  <c r="Q728" i="29"/>
  <c r="V725" i="29"/>
  <c r="U725" i="29"/>
  <c r="T725" i="29"/>
  <c r="R725" i="29"/>
  <c r="Q725" i="29"/>
  <c r="V724" i="29"/>
  <c r="U724" i="29"/>
  <c r="T724" i="29"/>
  <c r="R724" i="29"/>
  <c r="Q724" i="29"/>
  <c r="V723" i="29"/>
  <c r="U723" i="29"/>
  <c r="T723" i="29"/>
  <c r="R723" i="29"/>
  <c r="Q723" i="29"/>
  <c r="V722" i="29"/>
  <c r="U722" i="29"/>
  <c r="T722" i="29"/>
  <c r="R722" i="29"/>
  <c r="Q722" i="29"/>
  <c r="V721" i="29"/>
  <c r="U721" i="29"/>
  <c r="T721" i="29"/>
  <c r="R721" i="29"/>
  <c r="Q721" i="29"/>
  <c r="V720" i="29"/>
  <c r="U720" i="29"/>
  <c r="T720" i="29"/>
  <c r="R720" i="29"/>
  <c r="Q720" i="29"/>
  <c r="V719" i="29"/>
  <c r="U719" i="29"/>
  <c r="T719" i="29"/>
  <c r="R719" i="29"/>
  <c r="Q719" i="29"/>
  <c r="V718" i="29"/>
  <c r="U718" i="29"/>
  <c r="T718" i="29"/>
  <c r="R718" i="29"/>
  <c r="Q718" i="29"/>
  <c r="V717" i="29"/>
  <c r="U717" i="29"/>
  <c r="T717" i="29"/>
  <c r="R717" i="29"/>
  <c r="Q717" i="29"/>
  <c r="V714" i="29"/>
  <c r="U714" i="29"/>
  <c r="T714" i="29"/>
  <c r="R714" i="29"/>
  <c r="Q714" i="29"/>
  <c r="V713" i="29"/>
  <c r="U713" i="29"/>
  <c r="T713" i="29"/>
  <c r="R713" i="29"/>
  <c r="Q713" i="29"/>
  <c r="V712" i="29"/>
  <c r="U712" i="29"/>
  <c r="T712" i="29"/>
  <c r="R712" i="29"/>
  <c r="Q712" i="29"/>
  <c r="V711" i="29"/>
  <c r="U711" i="29"/>
  <c r="T711" i="29"/>
  <c r="R711" i="29"/>
  <c r="Q711" i="29"/>
  <c r="V710" i="29"/>
  <c r="U710" i="29"/>
  <c r="T710" i="29"/>
  <c r="R710" i="29"/>
  <c r="Q710" i="29"/>
  <c r="V709" i="29"/>
  <c r="U709" i="29"/>
  <c r="T709" i="29"/>
  <c r="R709" i="29"/>
  <c r="Q709" i="29"/>
  <c r="V708" i="29"/>
  <c r="U708" i="29"/>
  <c r="T708" i="29"/>
  <c r="R708" i="29"/>
  <c r="Q708" i="29"/>
  <c r="V707" i="29"/>
  <c r="U707" i="29"/>
  <c r="T707" i="29"/>
  <c r="R707" i="29"/>
  <c r="Q707" i="29"/>
  <c r="V706" i="29"/>
  <c r="U706" i="29"/>
  <c r="T706" i="29"/>
  <c r="R706" i="29"/>
  <c r="Q706" i="29"/>
  <c r="V703" i="29"/>
  <c r="U703" i="29"/>
  <c r="T703" i="29"/>
  <c r="R703" i="29"/>
  <c r="Q703" i="29"/>
  <c r="V702" i="29"/>
  <c r="U702" i="29"/>
  <c r="T702" i="29"/>
  <c r="R702" i="29"/>
  <c r="Q702" i="29"/>
  <c r="V701" i="29"/>
  <c r="U701" i="29"/>
  <c r="T701" i="29"/>
  <c r="R701" i="29"/>
  <c r="Q701" i="29"/>
  <c r="V700" i="29"/>
  <c r="U700" i="29"/>
  <c r="T700" i="29"/>
  <c r="R700" i="29"/>
  <c r="Q700" i="29"/>
  <c r="V699" i="29"/>
  <c r="U699" i="29"/>
  <c r="T699" i="29"/>
  <c r="R699" i="29"/>
  <c r="Q699" i="29"/>
  <c r="V698" i="29"/>
  <c r="U698" i="29"/>
  <c r="T698" i="29"/>
  <c r="R698" i="29"/>
  <c r="Q698" i="29"/>
  <c r="V697" i="29"/>
  <c r="U697" i="29"/>
  <c r="T697" i="29"/>
  <c r="R697" i="29"/>
  <c r="Q697" i="29"/>
  <c r="V696" i="29"/>
  <c r="U696" i="29"/>
  <c r="T696" i="29"/>
  <c r="R696" i="29"/>
  <c r="Q696" i="29"/>
  <c r="V695" i="29"/>
  <c r="U695" i="29"/>
  <c r="T695" i="29"/>
  <c r="R695" i="29"/>
  <c r="Q695" i="29"/>
  <c r="V692" i="29"/>
  <c r="U692" i="29"/>
  <c r="T692" i="29"/>
  <c r="R692" i="29"/>
  <c r="Q692" i="29"/>
  <c r="V691" i="29"/>
  <c r="U691" i="29"/>
  <c r="T691" i="29"/>
  <c r="R691" i="29"/>
  <c r="Q691" i="29"/>
  <c r="V690" i="29"/>
  <c r="U690" i="29"/>
  <c r="T690" i="29"/>
  <c r="R690" i="29"/>
  <c r="Q690" i="29"/>
  <c r="V689" i="29"/>
  <c r="U689" i="29"/>
  <c r="T689" i="29"/>
  <c r="R689" i="29"/>
  <c r="Q689" i="29"/>
  <c r="V688" i="29"/>
  <c r="U688" i="29"/>
  <c r="T688" i="29"/>
  <c r="R688" i="29"/>
  <c r="Q688" i="29"/>
  <c r="V687" i="29"/>
  <c r="U687" i="29"/>
  <c r="T687" i="29"/>
  <c r="R687" i="29"/>
  <c r="Q687" i="29"/>
  <c r="V686" i="29"/>
  <c r="U686" i="29"/>
  <c r="T686" i="29"/>
  <c r="R686" i="29"/>
  <c r="Q686" i="29"/>
  <c r="V685" i="29"/>
  <c r="U685" i="29"/>
  <c r="T685" i="29"/>
  <c r="R685" i="29"/>
  <c r="Q685" i="29"/>
  <c r="V684" i="29"/>
  <c r="U684" i="29"/>
  <c r="T684" i="29"/>
  <c r="R684" i="29"/>
  <c r="Q684" i="29"/>
  <c r="V681" i="29"/>
  <c r="U681" i="29"/>
  <c r="T681" i="29"/>
  <c r="R681" i="29"/>
  <c r="Q681" i="29"/>
  <c r="V680" i="29"/>
  <c r="U680" i="29"/>
  <c r="T680" i="29"/>
  <c r="R680" i="29"/>
  <c r="Q680" i="29"/>
  <c r="V679" i="29"/>
  <c r="U679" i="29"/>
  <c r="T679" i="29"/>
  <c r="R679" i="29"/>
  <c r="Q679" i="29"/>
  <c r="V678" i="29"/>
  <c r="U678" i="29"/>
  <c r="T678" i="29"/>
  <c r="R678" i="29"/>
  <c r="Q678" i="29"/>
  <c r="V677" i="29"/>
  <c r="U677" i="29"/>
  <c r="T677" i="29"/>
  <c r="R677" i="29"/>
  <c r="Q677" i="29"/>
  <c r="V676" i="29"/>
  <c r="U676" i="29"/>
  <c r="T676" i="29"/>
  <c r="R676" i="29"/>
  <c r="Q676" i="29"/>
  <c r="V675" i="29"/>
  <c r="U675" i="29"/>
  <c r="T675" i="29"/>
  <c r="R675" i="29"/>
  <c r="Q675" i="29"/>
  <c r="V674" i="29"/>
  <c r="U674" i="29"/>
  <c r="T674" i="29"/>
  <c r="R674" i="29"/>
  <c r="Q674" i="29"/>
  <c r="V673" i="29"/>
  <c r="U673" i="29"/>
  <c r="T673" i="29"/>
  <c r="R673" i="29"/>
  <c r="Q673" i="29"/>
  <c r="V670" i="29"/>
  <c r="U670" i="29"/>
  <c r="T670" i="29"/>
  <c r="R670" i="29"/>
  <c r="Q670" i="29"/>
  <c r="V669" i="29"/>
  <c r="U669" i="29"/>
  <c r="T669" i="29"/>
  <c r="R669" i="29"/>
  <c r="Q669" i="29"/>
  <c r="V668" i="29"/>
  <c r="U668" i="29"/>
  <c r="T668" i="29"/>
  <c r="R668" i="29"/>
  <c r="Q668" i="29"/>
  <c r="V667" i="29"/>
  <c r="U667" i="29"/>
  <c r="T667" i="29"/>
  <c r="R667" i="29"/>
  <c r="Q667" i="29"/>
  <c r="V666" i="29"/>
  <c r="U666" i="29"/>
  <c r="T666" i="29"/>
  <c r="R666" i="29"/>
  <c r="Q666" i="29"/>
  <c r="V665" i="29"/>
  <c r="U665" i="29"/>
  <c r="T665" i="29"/>
  <c r="R665" i="29"/>
  <c r="Q665" i="29"/>
  <c r="V664" i="29"/>
  <c r="U664" i="29"/>
  <c r="T664" i="29"/>
  <c r="R664" i="29"/>
  <c r="Q664" i="29"/>
  <c r="V663" i="29"/>
  <c r="U663" i="29"/>
  <c r="T663" i="29"/>
  <c r="R663" i="29"/>
  <c r="Q663" i="29"/>
  <c r="V662" i="29"/>
  <c r="U662" i="29"/>
  <c r="T662" i="29"/>
  <c r="R662" i="29"/>
  <c r="Q662" i="29"/>
  <c r="V659" i="29"/>
  <c r="U659" i="29"/>
  <c r="T659" i="29"/>
  <c r="R659" i="29"/>
  <c r="Q659" i="29"/>
  <c r="V658" i="29"/>
  <c r="U658" i="29"/>
  <c r="T658" i="29"/>
  <c r="R658" i="29"/>
  <c r="Q658" i="29"/>
  <c r="V657" i="29"/>
  <c r="U657" i="29"/>
  <c r="T657" i="29"/>
  <c r="R657" i="29"/>
  <c r="Q657" i="29"/>
  <c r="V656" i="29"/>
  <c r="U656" i="29"/>
  <c r="T656" i="29"/>
  <c r="R656" i="29"/>
  <c r="Q656" i="29"/>
  <c r="V655" i="29"/>
  <c r="U655" i="29"/>
  <c r="T655" i="29"/>
  <c r="R655" i="29"/>
  <c r="Q655" i="29"/>
  <c r="V654" i="29"/>
  <c r="U654" i="29"/>
  <c r="T654" i="29"/>
  <c r="R654" i="29"/>
  <c r="Q654" i="29"/>
  <c r="V653" i="29"/>
  <c r="U653" i="29"/>
  <c r="T653" i="29"/>
  <c r="R653" i="29"/>
  <c r="Q653" i="29"/>
  <c r="V652" i="29"/>
  <c r="U652" i="29"/>
  <c r="T652" i="29"/>
  <c r="R652" i="29"/>
  <c r="Q652" i="29"/>
  <c r="V651" i="29"/>
  <c r="U651" i="29"/>
  <c r="T651" i="29"/>
  <c r="R651" i="29"/>
  <c r="Q651" i="29"/>
  <c r="V648" i="29"/>
  <c r="U648" i="29"/>
  <c r="T648" i="29"/>
  <c r="R648" i="29"/>
  <c r="Q648" i="29"/>
  <c r="V647" i="29"/>
  <c r="U647" i="29"/>
  <c r="T647" i="29"/>
  <c r="R647" i="29"/>
  <c r="Q647" i="29"/>
  <c r="V646" i="29"/>
  <c r="U646" i="29"/>
  <c r="T646" i="29"/>
  <c r="R646" i="29"/>
  <c r="Q646" i="29"/>
  <c r="V645" i="29"/>
  <c r="U645" i="29"/>
  <c r="T645" i="29"/>
  <c r="R645" i="29"/>
  <c r="Q645" i="29"/>
  <c r="V644" i="29"/>
  <c r="U644" i="29"/>
  <c r="T644" i="29"/>
  <c r="R644" i="29"/>
  <c r="Q644" i="29"/>
  <c r="V643" i="29"/>
  <c r="U643" i="29"/>
  <c r="T643" i="29"/>
  <c r="R643" i="29"/>
  <c r="Q643" i="29"/>
  <c r="V642" i="29"/>
  <c r="U642" i="29"/>
  <c r="T642" i="29"/>
  <c r="R642" i="29"/>
  <c r="Q642" i="29"/>
  <c r="V641" i="29"/>
  <c r="U641" i="29"/>
  <c r="T641" i="29"/>
  <c r="R641" i="29"/>
  <c r="Q641" i="29"/>
  <c r="V640" i="29"/>
  <c r="U640" i="29"/>
  <c r="T640" i="29"/>
  <c r="R640" i="29"/>
  <c r="Q640" i="29"/>
  <c r="V637" i="29"/>
  <c r="U637" i="29"/>
  <c r="T637" i="29"/>
  <c r="R637" i="29"/>
  <c r="Q637" i="29"/>
  <c r="V636" i="29"/>
  <c r="U636" i="29"/>
  <c r="T636" i="29"/>
  <c r="R636" i="29"/>
  <c r="Q636" i="29"/>
  <c r="V635" i="29"/>
  <c r="U635" i="29"/>
  <c r="T635" i="29"/>
  <c r="R635" i="29"/>
  <c r="Q635" i="29"/>
  <c r="V634" i="29"/>
  <c r="U634" i="29"/>
  <c r="T634" i="29"/>
  <c r="R634" i="29"/>
  <c r="Q634" i="29"/>
  <c r="V633" i="29"/>
  <c r="U633" i="29"/>
  <c r="T633" i="29"/>
  <c r="R633" i="29"/>
  <c r="Q633" i="29"/>
  <c r="V632" i="29"/>
  <c r="U632" i="29"/>
  <c r="T632" i="29"/>
  <c r="R632" i="29"/>
  <c r="Q632" i="29"/>
  <c r="V631" i="29"/>
  <c r="U631" i="29"/>
  <c r="T631" i="29"/>
  <c r="R631" i="29"/>
  <c r="Q631" i="29"/>
  <c r="V630" i="29"/>
  <c r="U630" i="29"/>
  <c r="T630" i="29"/>
  <c r="R630" i="29"/>
  <c r="Q630" i="29"/>
  <c r="V629" i="29"/>
  <c r="U629" i="29"/>
  <c r="T629" i="29"/>
  <c r="R629" i="29"/>
  <c r="Q629" i="29"/>
  <c r="V626" i="29"/>
  <c r="U626" i="29"/>
  <c r="T626" i="29"/>
  <c r="R626" i="29"/>
  <c r="Q626" i="29"/>
  <c r="V625" i="29"/>
  <c r="U625" i="29"/>
  <c r="T625" i="29"/>
  <c r="R625" i="29"/>
  <c r="Q625" i="29"/>
  <c r="V624" i="29"/>
  <c r="U624" i="29"/>
  <c r="T624" i="29"/>
  <c r="R624" i="29"/>
  <c r="Q624" i="29"/>
  <c r="V623" i="29"/>
  <c r="U623" i="29"/>
  <c r="T623" i="29"/>
  <c r="R623" i="29"/>
  <c r="Q623" i="29"/>
  <c r="V622" i="29"/>
  <c r="U622" i="29"/>
  <c r="T622" i="29"/>
  <c r="R622" i="29"/>
  <c r="Q622" i="29"/>
  <c r="V621" i="29"/>
  <c r="U621" i="29"/>
  <c r="T621" i="29"/>
  <c r="R621" i="29"/>
  <c r="Q621" i="29"/>
  <c r="V620" i="29"/>
  <c r="U620" i="29"/>
  <c r="T620" i="29"/>
  <c r="R620" i="29"/>
  <c r="Q620" i="29"/>
  <c r="V619" i="29"/>
  <c r="U619" i="29"/>
  <c r="T619" i="29"/>
  <c r="R619" i="29"/>
  <c r="Q619" i="29"/>
  <c r="V618" i="29"/>
  <c r="U618" i="29"/>
  <c r="T618" i="29"/>
  <c r="R618" i="29"/>
  <c r="Q618" i="29"/>
  <c r="V615" i="29"/>
  <c r="U615" i="29"/>
  <c r="T615" i="29"/>
  <c r="R615" i="29"/>
  <c r="Q615" i="29"/>
  <c r="V614" i="29"/>
  <c r="U614" i="29"/>
  <c r="T614" i="29"/>
  <c r="R614" i="29"/>
  <c r="Q614" i="29"/>
  <c r="V613" i="29"/>
  <c r="U613" i="29"/>
  <c r="T613" i="29"/>
  <c r="R613" i="29"/>
  <c r="Q613" i="29"/>
  <c r="V612" i="29"/>
  <c r="U612" i="29"/>
  <c r="T612" i="29"/>
  <c r="R612" i="29"/>
  <c r="Q612" i="29"/>
  <c r="V611" i="29"/>
  <c r="U611" i="29"/>
  <c r="T611" i="29"/>
  <c r="R611" i="29"/>
  <c r="Q611" i="29"/>
  <c r="V610" i="29"/>
  <c r="U610" i="29"/>
  <c r="T610" i="29"/>
  <c r="R610" i="29"/>
  <c r="Q610" i="29"/>
  <c r="V609" i="29"/>
  <c r="U609" i="29"/>
  <c r="T609" i="29"/>
  <c r="R609" i="29"/>
  <c r="Q609" i="29"/>
  <c r="V608" i="29"/>
  <c r="U608" i="29"/>
  <c r="T608" i="29"/>
  <c r="R608" i="29"/>
  <c r="Q608" i="29"/>
  <c r="V607" i="29"/>
  <c r="U607" i="29"/>
  <c r="T607" i="29"/>
  <c r="R607" i="29"/>
  <c r="Q607" i="29"/>
  <c r="V604" i="29"/>
  <c r="U604" i="29"/>
  <c r="T604" i="29"/>
  <c r="R604" i="29"/>
  <c r="Q604" i="29"/>
  <c r="V603" i="29"/>
  <c r="U603" i="29"/>
  <c r="T603" i="29"/>
  <c r="R603" i="29"/>
  <c r="Q603" i="29"/>
  <c r="V602" i="29"/>
  <c r="U602" i="29"/>
  <c r="T602" i="29"/>
  <c r="R602" i="29"/>
  <c r="Q602" i="29"/>
  <c r="V601" i="29"/>
  <c r="U601" i="29"/>
  <c r="T601" i="29"/>
  <c r="R601" i="29"/>
  <c r="Q601" i="29"/>
  <c r="V600" i="29"/>
  <c r="U600" i="29"/>
  <c r="T600" i="29"/>
  <c r="R600" i="29"/>
  <c r="Q600" i="29"/>
  <c r="V599" i="29"/>
  <c r="U599" i="29"/>
  <c r="T599" i="29"/>
  <c r="R599" i="29"/>
  <c r="Q599" i="29"/>
  <c r="V598" i="29"/>
  <c r="U598" i="29"/>
  <c r="T598" i="29"/>
  <c r="R598" i="29"/>
  <c r="Q598" i="29"/>
  <c r="V597" i="29"/>
  <c r="U597" i="29"/>
  <c r="T597" i="29"/>
  <c r="R597" i="29"/>
  <c r="Q597" i="29"/>
  <c r="V596" i="29"/>
  <c r="U596" i="29"/>
  <c r="T596" i="29"/>
  <c r="R596" i="29"/>
  <c r="Q596" i="29"/>
  <c r="V593" i="29"/>
  <c r="U593" i="29"/>
  <c r="T593" i="29"/>
  <c r="R593" i="29"/>
  <c r="Q593" i="29"/>
  <c r="V592" i="29"/>
  <c r="U592" i="29"/>
  <c r="T592" i="29"/>
  <c r="R592" i="29"/>
  <c r="Q592" i="29"/>
  <c r="V591" i="29"/>
  <c r="U591" i="29"/>
  <c r="T591" i="29"/>
  <c r="R591" i="29"/>
  <c r="Q591" i="29"/>
  <c r="V590" i="29"/>
  <c r="U590" i="29"/>
  <c r="T590" i="29"/>
  <c r="R590" i="29"/>
  <c r="Q590" i="29"/>
  <c r="V589" i="29"/>
  <c r="U589" i="29"/>
  <c r="T589" i="29"/>
  <c r="R589" i="29"/>
  <c r="Q589" i="29"/>
  <c r="V588" i="29"/>
  <c r="U588" i="29"/>
  <c r="T588" i="29"/>
  <c r="R588" i="29"/>
  <c r="Q588" i="29"/>
  <c r="V587" i="29"/>
  <c r="U587" i="29"/>
  <c r="T587" i="29"/>
  <c r="R587" i="29"/>
  <c r="Q587" i="29"/>
  <c r="V586" i="29"/>
  <c r="U586" i="29"/>
  <c r="T586" i="29"/>
  <c r="R586" i="29"/>
  <c r="Q586" i="29"/>
  <c r="V585" i="29"/>
  <c r="U585" i="29"/>
  <c r="T585" i="29"/>
  <c r="R585" i="29"/>
  <c r="Q585" i="29"/>
  <c r="V582" i="29"/>
  <c r="U582" i="29"/>
  <c r="T582" i="29"/>
  <c r="R582" i="29"/>
  <c r="Q582" i="29"/>
  <c r="V581" i="29"/>
  <c r="U581" i="29"/>
  <c r="T581" i="29"/>
  <c r="R581" i="29"/>
  <c r="Q581" i="29"/>
  <c r="V580" i="29"/>
  <c r="U580" i="29"/>
  <c r="T580" i="29"/>
  <c r="R580" i="29"/>
  <c r="Q580" i="29"/>
  <c r="V579" i="29"/>
  <c r="U579" i="29"/>
  <c r="T579" i="29"/>
  <c r="R579" i="29"/>
  <c r="Q579" i="29"/>
  <c r="V578" i="29"/>
  <c r="U578" i="29"/>
  <c r="T578" i="29"/>
  <c r="R578" i="29"/>
  <c r="Q578" i="29"/>
  <c r="V577" i="29"/>
  <c r="U577" i="29"/>
  <c r="T577" i="29"/>
  <c r="R577" i="29"/>
  <c r="Q577" i="29"/>
  <c r="V576" i="29"/>
  <c r="U576" i="29"/>
  <c r="T576" i="29"/>
  <c r="R576" i="29"/>
  <c r="Q576" i="29"/>
  <c r="V575" i="29"/>
  <c r="U575" i="29"/>
  <c r="T575" i="29"/>
  <c r="R575" i="29"/>
  <c r="Q575" i="29"/>
  <c r="V574" i="29"/>
  <c r="U574" i="29"/>
  <c r="T574" i="29"/>
  <c r="R574" i="29"/>
  <c r="Q574" i="29"/>
  <c r="V571" i="29"/>
  <c r="U571" i="29"/>
  <c r="T571" i="29"/>
  <c r="R571" i="29"/>
  <c r="Q571" i="29"/>
  <c r="V570" i="29"/>
  <c r="U570" i="29"/>
  <c r="T570" i="29"/>
  <c r="R570" i="29"/>
  <c r="Q570" i="29"/>
  <c r="V569" i="29"/>
  <c r="U569" i="29"/>
  <c r="T569" i="29"/>
  <c r="R569" i="29"/>
  <c r="Q569" i="29"/>
  <c r="V568" i="29"/>
  <c r="U568" i="29"/>
  <c r="T568" i="29"/>
  <c r="R568" i="29"/>
  <c r="Q568" i="29"/>
  <c r="V567" i="29"/>
  <c r="U567" i="29"/>
  <c r="T567" i="29"/>
  <c r="R567" i="29"/>
  <c r="Q567" i="29"/>
  <c r="V566" i="29"/>
  <c r="U566" i="29"/>
  <c r="T566" i="29"/>
  <c r="R566" i="29"/>
  <c r="Q566" i="29"/>
  <c r="V565" i="29"/>
  <c r="U565" i="29"/>
  <c r="T565" i="29"/>
  <c r="R565" i="29"/>
  <c r="Q565" i="29"/>
  <c r="V564" i="29"/>
  <c r="U564" i="29"/>
  <c r="T564" i="29"/>
  <c r="R564" i="29"/>
  <c r="Q564" i="29"/>
  <c r="V563" i="29"/>
  <c r="U563" i="29"/>
  <c r="T563" i="29"/>
  <c r="R563" i="29"/>
  <c r="Q563" i="29"/>
  <c r="V560" i="29"/>
  <c r="U560" i="29"/>
  <c r="T560" i="29"/>
  <c r="R560" i="29"/>
  <c r="Q560" i="29"/>
  <c r="V559" i="29"/>
  <c r="U559" i="29"/>
  <c r="T559" i="29"/>
  <c r="R559" i="29"/>
  <c r="Q559" i="29"/>
  <c r="V558" i="29"/>
  <c r="U558" i="29"/>
  <c r="T558" i="29"/>
  <c r="R558" i="29"/>
  <c r="Q558" i="29"/>
  <c r="V557" i="29"/>
  <c r="U557" i="29"/>
  <c r="T557" i="29"/>
  <c r="R557" i="29"/>
  <c r="Q557" i="29"/>
  <c r="V556" i="29"/>
  <c r="U556" i="29"/>
  <c r="T556" i="29"/>
  <c r="R556" i="29"/>
  <c r="Q556" i="29"/>
  <c r="V555" i="29"/>
  <c r="U555" i="29"/>
  <c r="T555" i="29"/>
  <c r="R555" i="29"/>
  <c r="Q555" i="29"/>
  <c r="V554" i="29"/>
  <c r="U554" i="29"/>
  <c r="T554" i="29"/>
  <c r="R554" i="29"/>
  <c r="Q554" i="29"/>
  <c r="V553" i="29"/>
  <c r="U553" i="29"/>
  <c r="T553" i="29"/>
  <c r="R553" i="29"/>
  <c r="Q553" i="29"/>
  <c r="V552" i="29"/>
  <c r="U552" i="29"/>
  <c r="T552" i="29"/>
  <c r="R552" i="29"/>
  <c r="Q552" i="29"/>
  <c r="V549" i="29"/>
  <c r="U549" i="29"/>
  <c r="T549" i="29"/>
  <c r="R549" i="29"/>
  <c r="Q549" i="29"/>
  <c r="V548" i="29"/>
  <c r="U548" i="29"/>
  <c r="T548" i="29"/>
  <c r="R548" i="29"/>
  <c r="Q548" i="29"/>
  <c r="V547" i="29"/>
  <c r="U547" i="29"/>
  <c r="T547" i="29"/>
  <c r="R547" i="29"/>
  <c r="Q547" i="29"/>
  <c r="V546" i="29"/>
  <c r="U546" i="29"/>
  <c r="T546" i="29"/>
  <c r="R546" i="29"/>
  <c r="Q546" i="29"/>
  <c r="V545" i="29"/>
  <c r="U545" i="29"/>
  <c r="T545" i="29"/>
  <c r="R545" i="29"/>
  <c r="Q545" i="29"/>
  <c r="V544" i="29"/>
  <c r="U544" i="29"/>
  <c r="T544" i="29"/>
  <c r="R544" i="29"/>
  <c r="Q544" i="29"/>
  <c r="V543" i="29"/>
  <c r="U543" i="29"/>
  <c r="T543" i="29"/>
  <c r="R543" i="29"/>
  <c r="Q543" i="29"/>
  <c r="V542" i="29"/>
  <c r="U542" i="29"/>
  <c r="T542" i="29"/>
  <c r="R542" i="29"/>
  <c r="Q542" i="29"/>
  <c r="V541" i="29"/>
  <c r="U541" i="29"/>
  <c r="T541" i="29"/>
  <c r="R541" i="29"/>
  <c r="Q541" i="29"/>
  <c r="V538" i="29"/>
  <c r="U538" i="29"/>
  <c r="T538" i="29"/>
  <c r="R538" i="29"/>
  <c r="Q538" i="29"/>
  <c r="V537" i="29"/>
  <c r="U537" i="29"/>
  <c r="T537" i="29"/>
  <c r="R537" i="29"/>
  <c r="Q537" i="29"/>
  <c r="V536" i="29"/>
  <c r="U536" i="29"/>
  <c r="T536" i="29"/>
  <c r="R536" i="29"/>
  <c r="Q536" i="29"/>
  <c r="V535" i="29"/>
  <c r="U535" i="29"/>
  <c r="T535" i="29"/>
  <c r="R535" i="29"/>
  <c r="Q535" i="29"/>
  <c r="V534" i="29"/>
  <c r="U534" i="29"/>
  <c r="T534" i="29"/>
  <c r="R534" i="29"/>
  <c r="Q534" i="29"/>
  <c r="V533" i="29"/>
  <c r="U533" i="29"/>
  <c r="T533" i="29"/>
  <c r="R533" i="29"/>
  <c r="Q533" i="29"/>
  <c r="V532" i="29"/>
  <c r="U532" i="29"/>
  <c r="T532" i="29"/>
  <c r="R532" i="29"/>
  <c r="Q532" i="29"/>
  <c r="V531" i="29"/>
  <c r="U531" i="29"/>
  <c r="T531" i="29"/>
  <c r="R531" i="29"/>
  <c r="Q531" i="29"/>
  <c r="V530" i="29"/>
  <c r="U530" i="29"/>
  <c r="T530" i="29"/>
  <c r="R530" i="29"/>
  <c r="Q530" i="29"/>
  <c r="V527" i="29"/>
  <c r="U527" i="29"/>
  <c r="T527" i="29"/>
  <c r="R527" i="29"/>
  <c r="Q527" i="29"/>
  <c r="V526" i="29"/>
  <c r="U526" i="29"/>
  <c r="T526" i="29"/>
  <c r="R526" i="29"/>
  <c r="Q526" i="29"/>
  <c r="V525" i="29"/>
  <c r="U525" i="29"/>
  <c r="T525" i="29"/>
  <c r="R525" i="29"/>
  <c r="Q525" i="29"/>
  <c r="V524" i="29"/>
  <c r="U524" i="29"/>
  <c r="T524" i="29"/>
  <c r="R524" i="29"/>
  <c r="Q524" i="29"/>
  <c r="V523" i="29"/>
  <c r="U523" i="29"/>
  <c r="T523" i="29"/>
  <c r="R523" i="29"/>
  <c r="Q523" i="29"/>
  <c r="V522" i="29"/>
  <c r="U522" i="29"/>
  <c r="T522" i="29"/>
  <c r="R522" i="29"/>
  <c r="Q522" i="29"/>
  <c r="V521" i="29"/>
  <c r="U521" i="29"/>
  <c r="T521" i="29"/>
  <c r="R521" i="29"/>
  <c r="Q521" i="29"/>
  <c r="V520" i="29"/>
  <c r="U520" i="29"/>
  <c r="T520" i="29"/>
  <c r="R520" i="29"/>
  <c r="Q520" i="29"/>
  <c r="V519" i="29"/>
  <c r="U519" i="29"/>
  <c r="T519" i="29"/>
  <c r="R519" i="29"/>
  <c r="Q519" i="29"/>
  <c r="V516" i="29"/>
  <c r="U516" i="29"/>
  <c r="T516" i="29"/>
  <c r="R516" i="29"/>
  <c r="Q516" i="29"/>
  <c r="V515" i="29"/>
  <c r="U515" i="29"/>
  <c r="T515" i="29"/>
  <c r="R515" i="29"/>
  <c r="Q515" i="29"/>
  <c r="V514" i="29"/>
  <c r="U514" i="29"/>
  <c r="T514" i="29"/>
  <c r="R514" i="29"/>
  <c r="Q514" i="29"/>
  <c r="V513" i="29"/>
  <c r="U513" i="29"/>
  <c r="T513" i="29"/>
  <c r="R513" i="29"/>
  <c r="Q513" i="29"/>
  <c r="V512" i="29"/>
  <c r="U512" i="29"/>
  <c r="T512" i="29"/>
  <c r="R512" i="29"/>
  <c r="Q512" i="29"/>
  <c r="V511" i="29"/>
  <c r="U511" i="29"/>
  <c r="T511" i="29"/>
  <c r="R511" i="29"/>
  <c r="Q511" i="29"/>
  <c r="V510" i="29"/>
  <c r="U510" i="29"/>
  <c r="T510" i="29"/>
  <c r="R510" i="29"/>
  <c r="Q510" i="29"/>
  <c r="V509" i="29"/>
  <c r="U509" i="29"/>
  <c r="T509" i="29"/>
  <c r="R509" i="29"/>
  <c r="Q509" i="29"/>
  <c r="V508" i="29"/>
  <c r="U508" i="29"/>
  <c r="T508" i="29"/>
  <c r="R508" i="29"/>
  <c r="Q508" i="29"/>
  <c r="V505" i="29"/>
  <c r="U505" i="29"/>
  <c r="T505" i="29"/>
  <c r="R505" i="29"/>
  <c r="Q505" i="29"/>
  <c r="V504" i="29"/>
  <c r="U504" i="29"/>
  <c r="T504" i="29"/>
  <c r="R504" i="29"/>
  <c r="Q504" i="29"/>
  <c r="V503" i="29"/>
  <c r="U503" i="29"/>
  <c r="T503" i="29"/>
  <c r="R503" i="29"/>
  <c r="Q503" i="29"/>
  <c r="V502" i="29"/>
  <c r="U502" i="29"/>
  <c r="T502" i="29"/>
  <c r="R502" i="29"/>
  <c r="Q502" i="29"/>
  <c r="V501" i="29"/>
  <c r="U501" i="29"/>
  <c r="T501" i="29"/>
  <c r="R501" i="29"/>
  <c r="Q501" i="29"/>
  <c r="V500" i="29"/>
  <c r="U500" i="29"/>
  <c r="T500" i="29"/>
  <c r="R500" i="29"/>
  <c r="Q500" i="29"/>
  <c r="V499" i="29"/>
  <c r="U499" i="29"/>
  <c r="T499" i="29"/>
  <c r="R499" i="29"/>
  <c r="Q499" i="29"/>
  <c r="V498" i="29"/>
  <c r="U498" i="29"/>
  <c r="T498" i="29"/>
  <c r="R498" i="29"/>
  <c r="Q498" i="29"/>
  <c r="V497" i="29"/>
  <c r="U497" i="29"/>
  <c r="T497" i="29"/>
  <c r="R497" i="29"/>
  <c r="Q497" i="29"/>
  <c r="V494" i="29"/>
  <c r="U494" i="29"/>
  <c r="T494" i="29"/>
  <c r="R494" i="29"/>
  <c r="Q494" i="29"/>
  <c r="V493" i="29"/>
  <c r="U493" i="29"/>
  <c r="T493" i="29"/>
  <c r="R493" i="29"/>
  <c r="Q493" i="29"/>
  <c r="V492" i="29"/>
  <c r="U492" i="29"/>
  <c r="T492" i="29"/>
  <c r="R492" i="29"/>
  <c r="Q492" i="29"/>
  <c r="V491" i="29"/>
  <c r="U491" i="29"/>
  <c r="T491" i="29"/>
  <c r="R491" i="29"/>
  <c r="Q491" i="29"/>
  <c r="V490" i="29"/>
  <c r="U490" i="29"/>
  <c r="T490" i="29"/>
  <c r="R490" i="29"/>
  <c r="Q490" i="29"/>
  <c r="V489" i="29"/>
  <c r="U489" i="29"/>
  <c r="T489" i="29"/>
  <c r="R489" i="29"/>
  <c r="Q489" i="29"/>
  <c r="V488" i="29"/>
  <c r="U488" i="29"/>
  <c r="T488" i="29"/>
  <c r="R488" i="29"/>
  <c r="Q488" i="29"/>
  <c r="V487" i="29"/>
  <c r="U487" i="29"/>
  <c r="T487" i="29"/>
  <c r="R487" i="29"/>
  <c r="Q487" i="29"/>
  <c r="V486" i="29"/>
  <c r="U486" i="29"/>
  <c r="T486" i="29"/>
  <c r="R486" i="29"/>
  <c r="Q486" i="29"/>
  <c r="V483" i="29"/>
  <c r="U483" i="29"/>
  <c r="T483" i="29"/>
  <c r="R483" i="29"/>
  <c r="Q483" i="29"/>
  <c r="V482" i="29"/>
  <c r="U482" i="29"/>
  <c r="T482" i="29"/>
  <c r="R482" i="29"/>
  <c r="Q482" i="29"/>
  <c r="V481" i="29"/>
  <c r="U481" i="29"/>
  <c r="T481" i="29"/>
  <c r="R481" i="29"/>
  <c r="Q481" i="29"/>
  <c r="V480" i="29"/>
  <c r="U480" i="29"/>
  <c r="T480" i="29"/>
  <c r="R480" i="29"/>
  <c r="Q480" i="29"/>
  <c r="V479" i="29"/>
  <c r="U479" i="29"/>
  <c r="T479" i="29"/>
  <c r="R479" i="29"/>
  <c r="Q479" i="29"/>
  <c r="V478" i="29"/>
  <c r="U478" i="29"/>
  <c r="T478" i="29"/>
  <c r="R478" i="29"/>
  <c r="Q478" i="29"/>
  <c r="V477" i="29"/>
  <c r="U477" i="29"/>
  <c r="T477" i="29"/>
  <c r="R477" i="29"/>
  <c r="Q477" i="29"/>
  <c r="V476" i="29"/>
  <c r="U476" i="29"/>
  <c r="T476" i="29"/>
  <c r="R476" i="29"/>
  <c r="Q476" i="29"/>
  <c r="V475" i="29"/>
  <c r="U475" i="29"/>
  <c r="T475" i="29"/>
  <c r="R475" i="29"/>
  <c r="Q475" i="29"/>
  <c r="V472" i="29"/>
  <c r="U472" i="29"/>
  <c r="T472" i="29"/>
  <c r="R472" i="29"/>
  <c r="Q472" i="29"/>
  <c r="V471" i="29"/>
  <c r="U471" i="29"/>
  <c r="T471" i="29"/>
  <c r="R471" i="29"/>
  <c r="Q471" i="29"/>
  <c r="V470" i="29"/>
  <c r="U470" i="29"/>
  <c r="T470" i="29"/>
  <c r="R470" i="29"/>
  <c r="Q470" i="29"/>
  <c r="V469" i="29"/>
  <c r="U469" i="29"/>
  <c r="T469" i="29"/>
  <c r="R469" i="29"/>
  <c r="Q469" i="29"/>
  <c r="V468" i="29"/>
  <c r="U468" i="29"/>
  <c r="T468" i="29"/>
  <c r="R468" i="29"/>
  <c r="Q468" i="29"/>
  <c r="V467" i="29"/>
  <c r="U467" i="29"/>
  <c r="T467" i="29"/>
  <c r="R467" i="29"/>
  <c r="Q467" i="29"/>
  <c r="V466" i="29"/>
  <c r="U466" i="29"/>
  <c r="T466" i="29"/>
  <c r="R466" i="29"/>
  <c r="Q466" i="29"/>
  <c r="V465" i="29"/>
  <c r="U465" i="29"/>
  <c r="T465" i="29"/>
  <c r="R465" i="29"/>
  <c r="Q465" i="29"/>
  <c r="V464" i="29"/>
  <c r="U464" i="29"/>
  <c r="T464" i="29"/>
  <c r="R464" i="29"/>
  <c r="Q464" i="29"/>
  <c r="V461" i="29"/>
  <c r="U461" i="29"/>
  <c r="T461" i="29"/>
  <c r="R461" i="29"/>
  <c r="Q461" i="29"/>
  <c r="V460" i="29"/>
  <c r="U460" i="29"/>
  <c r="T460" i="29"/>
  <c r="R460" i="29"/>
  <c r="Q460" i="29"/>
  <c r="V459" i="29"/>
  <c r="U459" i="29"/>
  <c r="T459" i="29"/>
  <c r="R459" i="29"/>
  <c r="Q459" i="29"/>
  <c r="V458" i="29"/>
  <c r="U458" i="29"/>
  <c r="T458" i="29"/>
  <c r="R458" i="29"/>
  <c r="Q458" i="29"/>
  <c r="V457" i="29"/>
  <c r="U457" i="29"/>
  <c r="T457" i="29"/>
  <c r="R457" i="29"/>
  <c r="Q457" i="29"/>
  <c r="V456" i="29"/>
  <c r="U456" i="29"/>
  <c r="T456" i="29"/>
  <c r="R456" i="29"/>
  <c r="Q456" i="29"/>
  <c r="V455" i="29"/>
  <c r="U455" i="29"/>
  <c r="T455" i="29"/>
  <c r="R455" i="29"/>
  <c r="Q455" i="29"/>
  <c r="V454" i="29"/>
  <c r="U454" i="29"/>
  <c r="T454" i="29"/>
  <c r="R454" i="29"/>
  <c r="Q454" i="29"/>
  <c r="V453" i="29"/>
  <c r="U453" i="29"/>
  <c r="T453" i="29"/>
  <c r="R453" i="29"/>
  <c r="Q453" i="29"/>
  <c r="V450" i="29"/>
  <c r="U450" i="29"/>
  <c r="T450" i="29"/>
  <c r="R450" i="29"/>
  <c r="Q450" i="29"/>
  <c r="V449" i="29"/>
  <c r="U449" i="29"/>
  <c r="T449" i="29"/>
  <c r="R449" i="29"/>
  <c r="Q449" i="29"/>
  <c r="V448" i="29"/>
  <c r="U448" i="29"/>
  <c r="T448" i="29"/>
  <c r="R448" i="29"/>
  <c r="Q448" i="29"/>
  <c r="V447" i="29"/>
  <c r="U447" i="29"/>
  <c r="T447" i="29"/>
  <c r="R447" i="29"/>
  <c r="Q447" i="29"/>
  <c r="V446" i="29"/>
  <c r="U446" i="29"/>
  <c r="T446" i="29"/>
  <c r="R446" i="29"/>
  <c r="Q446" i="29"/>
  <c r="V445" i="29"/>
  <c r="U445" i="29"/>
  <c r="T445" i="29"/>
  <c r="R445" i="29"/>
  <c r="Q445" i="29"/>
  <c r="V444" i="29"/>
  <c r="U444" i="29"/>
  <c r="T444" i="29"/>
  <c r="R444" i="29"/>
  <c r="Q444" i="29"/>
  <c r="V443" i="29"/>
  <c r="U443" i="29"/>
  <c r="T443" i="29"/>
  <c r="R443" i="29"/>
  <c r="Q443" i="29"/>
  <c r="V442" i="29"/>
  <c r="U442" i="29"/>
  <c r="T442" i="29"/>
  <c r="R442" i="29"/>
  <c r="Q442" i="29"/>
  <c r="V439" i="29"/>
  <c r="U439" i="29"/>
  <c r="T439" i="29"/>
  <c r="R439" i="29"/>
  <c r="Q439" i="29"/>
  <c r="V438" i="29"/>
  <c r="U438" i="29"/>
  <c r="T438" i="29"/>
  <c r="R438" i="29"/>
  <c r="Q438" i="29"/>
  <c r="V437" i="29"/>
  <c r="U437" i="29"/>
  <c r="T437" i="29"/>
  <c r="R437" i="29"/>
  <c r="Q437" i="29"/>
  <c r="V436" i="29"/>
  <c r="U436" i="29"/>
  <c r="T436" i="29"/>
  <c r="R436" i="29"/>
  <c r="Q436" i="29"/>
  <c r="V435" i="29"/>
  <c r="U435" i="29"/>
  <c r="T435" i="29"/>
  <c r="R435" i="29"/>
  <c r="Q435" i="29"/>
  <c r="V434" i="29"/>
  <c r="U434" i="29"/>
  <c r="T434" i="29"/>
  <c r="R434" i="29"/>
  <c r="Q434" i="29"/>
  <c r="V433" i="29"/>
  <c r="U433" i="29"/>
  <c r="T433" i="29"/>
  <c r="R433" i="29"/>
  <c r="Q433" i="29"/>
  <c r="V432" i="29"/>
  <c r="U432" i="29"/>
  <c r="T432" i="29"/>
  <c r="R432" i="29"/>
  <c r="Q432" i="29"/>
  <c r="V431" i="29"/>
  <c r="U431" i="29"/>
  <c r="T431" i="29"/>
  <c r="R431" i="29"/>
  <c r="Q431" i="29"/>
  <c r="V428" i="29"/>
  <c r="U428" i="29"/>
  <c r="T428" i="29"/>
  <c r="R428" i="29"/>
  <c r="Q428" i="29"/>
  <c r="V427" i="29"/>
  <c r="U427" i="29"/>
  <c r="T427" i="29"/>
  <c r="R427" i="29"/>
  <c r="Q427" i="29"/>
  <c r="V426" i="29"/>
  <c r="U426" i="29"/>
  <c r="T426" i="29"/>
  <c r="R426" i="29"/>
  <c r="Q426" i="29"/>
  <c r="V425" i="29"/>
  <c r="U425" i="29"/>
  <c r="T425" i="29"/>
  <c r="R425" i="29"/>
  <c r="Q425" i="29"/>
  <c r="V424" i="29"/>
  <c r="U424" i="29"/>
  <c r="T424" i="29"/>
  <c r="R424" i="29"/>
  <c r="Q424" i="29"/>
  <c r="V423" i="29"/>
  <c r="U423" i="29"/>
  <c r="T423" i="29"/>
  <c r="R423" i="29"/>
  <c r="Q423" i="29"/>
  <c r="V422" i="29"/>
  <c r="U422" i="29"/>
  <c r="T422" i="29"/>
  <c r="R422" i="29"/>
  <c r="Q422" i="29"/>
  <c r="V421" i="29"/>
  <c r="U421" i="29"/>
  <c r="T421" i="29"/>
  <c r="R421" i="29"/>
  <c r="Q421" i="29"/>
  <c r="V420" i="29"/>
  <c r="U420" i="29"/>
  <c r="T420" i="29"/>
  <c r="R420" i="29"/>
  <c r="Q420" i="29"/>
  <c r="V417" i="29"/>
  <c r="U417" i="29"/>
  <c r="T417" i="29"/>
  <c r="R417" i="29"/>
  <c r="Q417" i="29"/>
  <c r="V416" i="29"/>
  <c r="U416" i="29"/>
  <c r="T416" i="29"/>
  <c r="R416" i="29"/>
  <c r="Q416" i="29"/>
  <c r="V415" i="29"/>
  <c r="U415" i="29"/>
  <c r="T415" i="29"/>
  <c r="R415" i="29"/>
  <c r="Q415" i="29"/>
  <c r="V414" i="29"/>
  <c r="U414" i="29"/>
  <c r="T414" i="29"/>
  <c r="R414" i="29"/>
  <c r="Q414" i="29"/>
  <c r="V413" i="29"/>
  <c r="U413" i="29"/>
  <c r="T413" i="29"/>
  <c r="R413" i="29"/>
  <c r="Q413" i="29"/>
  <c r="V412" i="29"/>
  <c r="U412" i="29"/>
  <c r="T412" i="29"/>
  <c r="R412" i="29"/>
  <c r="Q412" i="29"/>
  <c r="V411" i="29"/>
  <c r="U411" i="29"/>
  <c r="T411" i="29"/>
  <c r="R411" i="29"/>
  <c r="Q411" i="29"/>
  <c r="V410" i="29"/>
  <c r="U410" i="29"/>
  <c r="T410" i="29"/>
  <c r="R410" i="29"/>
  <c r="Q410" i="29"/>
  <c r="V409" i="29"/>
  <c r="U409" i="29"/>
  <c r="T409" i="29"/>
  <c r="R409" i="29"/>
  <c r="Q409" i="29"/>
  <c r="V406" i="29"/>
  <c r="U406" i="29"/>
  <c r="T406" i="29"/>
  <c r="R406" i="29"/>
  <c r="Q406" i="29"/>
  <c r="V405" i="29"/>
  <c r="U405" i="29"/>
  <c r="T405" i="29"/>
  <c r="R405" i="29"/>
  <c r="Q405" i="29"/>
  <c r="V404" i="29"/>
  <c r="U404" i="29"/>
  <c r="T404" i="29"/>
  <c r="R404" i="29"/>
  <c r="Q404" i="29"/>
  <c r="V403" i="29"/>
  <c r="U403" i="29"/>
  <c r="T403" i="29"/>
  <c r="R403" i="29"/>
  <c r="Q403" i="29"/>
  <c r="V402" i="29"/>
  <c r="U402" i="29"/>
  <c r="T402" i="29"/>
  <c r="R402" i="29"/>
  <c r="Q402" i="29"/>
  <c r="V401" i="29"/>
  <c r="U401" i="29"/>
  <c r="T401" i="29"/>
  <c r="R401" i="29"/>
  <c r="Q401" i="29"/>
  <c r="V400" i="29"/>
  <c r="U400" i="29"/>
  <c r="T400" i="29"/>
  <c r="R400" i="29"/>
  <c r="Q400" i="29"/>
  <c r="V399" i="29"/>
  <c r="U399" i="29"/>
  <c r="T399" i="29"/>
  <c r="R399" i="29"/>
  <c r="Q399" i="29"/>
  <c r="V398" i="29"/>
  <c r="U398" i="29"/>
  <c r="T398" i="29"/>
  <c r="R398" i="29"/>
  <c r="Q398" i="29"/>
  <c r="V395" i="29"/>
  <c r="U395" i="29"/>
  <c r="T395" i="29"/>
  <c r="R395" i="29"/>
  <c r="Q395" i="29"/>
  <c r="V394" i="29"/>
  <c r="U394" i="29"/>
  <c r="T394" i="29"/>
  <c r="R394" i="29"/>
  <c r="Q394" i="29"/>
  <c r="V393" i="29"/>
  <c r="U393" i="29"/>
  <c r="T393" i="29"/>
  <c r="R393" i="29"/>
  <c r="Q393" i="29"/>
  <c r="V392" i="29"/>
  <c r="U392" i="29"/>
  <c r="T392" i="29"/>
  <c r="R392" i="29"/>
  <c r="Q392" i="29"/>
  <c r="V391" i="29"/>
  <c r="U391" i="29"/>
  <c r="T391" i="29"/>
  <c r="R391" i="29"/>
  <c r="Q391" i="29"/>
  <c r="V390" i="29"/>
  <c r="U390" i="29"/>
  <c r="T390" i="29"/>
  <c r="R390" i="29"/>
  <c r="Q390" i="29"/>
  <c r="V389" i="29"/>
  <c r="U389" i="29"/>
  <c r="T389" i="29"/>
  <c r="R389" i="29"/>
  <c r="Q389" i="29"/>
  <c r="V388" i="29"/>
  <c r="U388" i="29"/>
  <c r="T388" i="29"/>
  <c r="R388" i="29"/>
  <c r="Q388" i="29"/>
  <c r="V387" i="29"/>
  <c r="U387" i="29"/>
  <c r="T387" i="29"/>
  <c r="R387" i="29"/>
  <c r="Q387" i="29"/>
  <c r="V384" i="29"/>
  <c r="U384" i="29"/>
  <c r="T384" i="29"/>
  <c r="R384" i="29"/>
  <c r="Q384" i="29"/>
  <c r="V383" i="29"/>
  <c r="U383" i="29"/>
  <c r="T383" i="29"/>
  <c r="R383" i="29"/>
  <c r="Q383" i="29"/>
  <c r="V382" i="29"/>
  <c r="U382" i="29"/>
  <c r="T382" i="29"/>
  <c r="R382" i="29"/>
  <c r="Q382" i="29"/>
  <c r="V381" i="29"/>
  <c r="U381" i="29"/>
  <c r="T381" i="29"/>
  <c r="R381" i="29"/>
  <c r="Q381" i="29"/>
  <c r="V380" i="29"/>
  <c r="U380" i="29"/>
  <c r="T380" i="29"/>
  <c r="R380" i="29"/>
  <c r="Q380" i="29"/>
  <c r="V379" i="29"/>
  <c r="U379" i="29"/>
  <c r="T379" i="29"/>
  <c r="R379" i="29"/>
  <c r="Q379" i="29"/>
  <c r="V378" i="29"/>
  <c r="U378" i="29"/>
  <c r="T378" i="29"/>
  <c r="R378" i="29"/>
  <c r="Q378" i="29"/>
  <c r="V377" i="29"/>
  <c r="U377" i="29"/>
  <c r="T377" i="29"/>
  <c r="R377" i="29"/>
  <c r="Q377" i="29"/>
  <c r="V376" i="29"/>
  <c r="U376" i="29"/>
  <c r="T376" i="29"/>
  <c r="R376" i="29"/>
  <c r="Q376" i="29"/>
  <c r="V373" i="29"/>
  <c r="U373" i="29"/>
  <c r="T373" i="29"/>
  <c r="R373" i="29"/>
  <c r="Q373" i="29"/>
  <c r="V372" i="29"/>
  <c r="U372" i="29"/>
  <c r="T372" i="29"/>
  <c r="R372" i="29"/>
  <c r="Q372" i="29"/>
  <c r="V371" i="29"/>
  <c r="U371" i="29"/>
  <c r="T371" i="29"/>
  <c r="R371" i="29"/>
  <c r="Q371" i="29"/>
  <c r="V370" i="29"/>
  <c r="U370" i="29"/>
  <c r="T370" i="29"/>
  <c r="R370" i="29"/>
  <c r="Q370" i="29"/>
  <c r="V369" i="29"/>
  <c r="U369" i="29"/>
  <c r="T369" i="29"/>
  <c r="R369" i="29"/>
  <c r="Q369" i="29"/>
  <c r="V368" i="29"/>
  <c r="U368" i="29"/>
  <c r="T368" i="29"/>
  <c r="R368" i="29"/>
  <c r="Q368" i="29"/>
  <c r="V367" i="29"/>
  <c r="U367" i="29"/>
  <c r="T367" i="29"/>
  <c r="R367" i="29"/>
  <c r="Q367" i="29"/>
  <c r="V366" i="29"/>
  <c r="U366" i="29"/>
  <c r="T366" i="29"/>
  <c r="R366" i="29"/>
  <c r="Q366" i="29"/>
  <c r="V365" i="29"/>
  <c r="U365" i="29"/>
  <c r="T365" i="29"/>
  <c r="R365" i="29"/>
  <c r="Q365" i="29"/>
  <c r="V362" i="29"/>
  <c r="U362" i="29"/>
  <c r="T362" i="29"/>
  <c r="R362" i="29"/>
  <c r="Q362" i="29"/>
  <c r="V361" i="29"/>
  <c r="U361" i="29"/>
  <c r="T361" i="29"/>
  <c r="R361" i="29"/>
  <c r="Q361" i="29"/>
  <c r="V360" i="29"/>
  <c r="U360" i="29"/>
  <c r="T360" i="29"/>
  <c r="R360" i="29"/>
  <c r="Q360" i="29"/>
  <c r="V359" i="29"/>
  <c r="U359" i="29"/>
  <c r="T359" i="29"/>
  <c r="R359" i="29"/>
  <c r="Q359" i="29"/>
  <c r="V358" i="29"/>
  <c r="U358" i="29"/>
  <c r="T358" i="29"/>
  <c r="R358" i="29"/>
  <c r="Q358" i="29"/>
  <c r="V357" i="29"/>
  <c r="U357" i="29"/>
  <c r="T357" i="29"/>
  <c r="R357" i="29"/>
  <c r="Q357" i="29"/>
  <c r="V356" i="29"/>
  <c r="U356" i="29"/>
  <c r="T356" i="29"/>
  <c r="R356" i="29"/>
  <c r="Q356" i="29"/>
  <c r="V355" i="29"/>
  <c r="U355" i="29"/>
  <c r="T355" i="29"/>
  <c r="R355" i="29"/>
  <c r="Q355" i="29"/>
  <c r="V354" i="29"/>
  <c r="U354" i="29"/>
  <c r="T354" i="29"/>
  <c r="R354" i="29"/>
  <c r="Q354" i="29"/>
  <c r="V351" i="29"/>
  <c r="U351" i="29"/>
  <c r="T351" i="29"/>
  <c r="R351" i="29"/>
  <c r="Q351" i="29"/>
  <c r="V350" i="29"/>
  <c r="U350" i="29"/>
  <c r="T350" i="29"/>
  <c r="R350" i="29"/>
  <c r="Q350" i="29"/>
  <c r="V349" i="29"/>
  <c r="U349" i="29"/>
  <c r="T349" i="29"/>
  <c r="R349" i="29"/>
  <c r="Q349" i="29"/>
  <c r="V348" i="29"/>
  <c r="U348" i="29"/>
  <c r="T348" i="29"/>
  <c r="R348" i="29"/>
  <c r="Q348" i="29"/>
  <c r="V347" i="29"/>
  <c r="U347" i="29"/>
  <c r="T347" i="29"/>
  <c r="R347" i="29"/>
  <c r="Q347" i="29"/>
  <c r="V346" i="29"/>
  <c r="U346" i="29"/>
  <c r="T346" i="29"/>
  <c r="R346" i="29"/>
  <c r="Q346" i="29"/>
  <c r="V345" i="29"/>
  <c r="U345" i="29"/>
  <c r="T345" i="29"/>
  <c r="R345" i="29"/>
  <c r="Q345" i="29"/>
  <c r="V344" i="29"/>
  <c r="U344" i="29"/>
  <c r="T344" i="29"/>
  <c r="R344" i="29"/>
  <c r="Q344" i="29"/>
  <c r="V343" i="29"/>
  <c r="U343" i="29"/>
  <c r="T343" i="29"/>
  <c r="R343" i="29"/>
  <c r="Q343" i="29"/>
  <c r="V340" i="29"/>
  <c r="U340" i="29"/>
  <c r="T340" i="29"/>
  <c r="R340" i="29"/>
  <c r="Q340" i="29"/>
  <c r="V339" i="29"/>
  <c r="U339" i="29"/>
  <c r="T339" i="29"/>
  <c r="R339" i="29"/>
  <c r="Q339" i="29"/>
  <c r="V338" i="29"/>
  <c r="U338" i="29"/>
  <c r="T338" i="29"/>
  <c r="R338" i="29"/>
  <c r="Q338" i="29"/>
  <c r="V337" i="29"/>
  <c r="U337" i="29"/>
  <c r="T337" i="29"/>
  <c r="R337" i="29"/>
  <c r="Q337" i="29"/>
  <c r="V336" i="29"/>
  <c r="U336" i="29"/>
  <c r="T336" i="29"/>
  <c r="R336" i="29"/>
  <c r="Q336" i="29"/>
  <c r="V335" i="29"/>
  <c r="U335" i="29"/>
  <c r="T335" i="29"/>
  <c r="R335" i="29"/>
  <c r="Q335" i="29"/>
  <c r="V334" i="29"/>
  <c r="U334" i="29"/>
  <c r="T334" i="29"/>
  <c r="R334" i="29"/>
  <c r="Q334" i="29"/>
  <c r="V333" i="29"/>
  <c r="U333" i="29"/>
  <c r="T333" i="29"/>
  <c r="R333" i="29"/>
  <c r="Q333" i="29"/>
  <c r="V332" i="29"/>
  <c r="U332" i="29"/>
  <c r="T332" i="29"/>
  <c r="R332" i="29"/>
  <c r="Q332" i="29"/>
  <c r="V329" i="29"/>
  <c r="U329" i="29"/>
  <c r="T329" i="29"/>
  <c r="R329" i="29"/>
  <c r="Q329" i="29"/>
  <c r="V328" i="29"/>
  <c r="U328" i="29"/>
  <c r="T328" i="29"/>
  <c r="R328" i="29"/>
  <c r="Q328" i="29"/>
  <c r="V327" i="29"/>
  <c r="U327" i="29"/>
  <c r="T327" i="29"/>
  <c r="R327" i="29"/>
  <c r="Q327" i="29"/>
  <c r="V326" i="29"/>
  <c r="U326" i="29"/>
  <c r="T326" i="29"/>
  <c r="R326" i="29"/>
  <c r="Q326" i="29"/>
  <c r="V325" i="29"/>
  <c r="U325" i="29"/>
  <c r="T325" i="29"/>
  <c r="R325" i="29"/>
  <c r="Q325" i="29"/>
  <c r="V324" i="29"/>
  <c r="U324" i="29"/>
  <c r="T324" i="29"/>
  <c r="R324" i="29"/>
  <c r="Q324" i="29"/>
  <c r="V323" i="29"/>
  <c r="U323" i="29"/>
  <c r="T323" i="29"/>
  <c r="R323" i="29"/>
  <c r="Q323" i="29"/>
  <c r="V322" i="29"/>
  <c r="U322" i="29"/>
  <c r="T322" i="29"/>
  <c r="R322" i="29"/>
  <c r="Q322" i="29"/>
  <c r="V321" i="29"/>
  <c r="U321" i="29"/>
  <c r="T321" i="29"/>
  <c r="R321" i="29"/>
  <c r="Q321" i="29"/>
  <c r="V318" i="29"/>
  <c r="U318" i="29"/>
  <c r="T318" i="29"/>
  <c r="R318" i="29"/>
  <c r="Q318" i="29"/>
  <c r="V317" i="29"/>
  <c r="U317" i="29"/>
  <c r="T317" i="29"/>
  <c r="R317" i="29"/>
  <c r="Q317" i="29"/>
  <c r="V316" i="29"/>
  <c r="U316" i="29"/>
  <c r="T316" i="29"/>
  <c r="R316" i="29"/>
  <c r="Q316" i="29"/>
  <c r="V315" i="29"/>
  <c r="U315" i="29"/>
  <c r="T315" i="29"/>
  <c r="R315" i="29"/>
  <c r="Q315" i="29"/>
  <c r="V314" i="29"/>
  <c r="U314" i="29"/>
  <c r="T314" i="29"/>
  <c r="R314" i="29"/>
  <c r="Q314" i="29"/>
  <c r="V313" i="29"/>
  <c r="U313" i="29"/>
  <c r="T313" i="29"/>
  <c r="R313" i="29"/>
  <c r="Q313" i="29"/>
  <c r="V312" i="29"/>
  <c r="U312" i="29"/>
  <c r="T312" i="29"/>
  <c r="R312" i="29"/>
  <c r="Q312" i="29"/>
  <c r="V311" i="29"/>
  <c r="U311" i="29"/>
  <c r="T311" i="29"/>
  <c r="R311" i="29"/>
  <c r="Q311" i="29"/>
  <c r="V310" i="29"/>
  <c r="U310" i="29"/>
  <c r="T310" i="29"/>
  <c r="R310" i="29"/>
  <c r="Q310" i="29"/>
  <c r="V307" i="29"/>
  <c r="U307" i="29"/>
  <c r="T307" i="29"/>
  <c r="R307" i="29"/>
  <c r="Q307" i="29"/>
  <c r="V306" i="29"/>
  <c r="U306" i="29"/>
  <c r="T306" i="29"/>
  <c r="R306" i="29"/>
  <c r="Q306" i="29"/>
  <c r="V305" i="29"/>
  <c r="U305" i="29"/>
  <c r="T305" i="29"/>
  <c r="R305" i="29"/>
  <c r="Q305" i="29"/>
  <c r="V304" i="29"/>
  <c r="U304" i="29"/>
  <c r="T304" i="29"/>
  <c r="R304" i="29"/>
  <c r="Q304" i="29"/>
  <c r="V303" i="29"/>
  <c r="U303" i="29"/>
  <c r="T303" i="29"/>
  <c r="R303" i="29"/>
  <c r="Q303" i="29"/>
  <c r="V302" i="29"/>
  <c r="U302" i="29"/>
  <c r="T302" i="29"/>
  <c r="R302" i="29"/>
  <c r="Q302" i="29"/>
  <c r="V301" i="29"/>
  <c r="U301" i="29"/>
  <c r="T301" i="29"/>
  <c r="R301" i="29"/>
  <c r="Q301" i="29"/>
  <c r="V300" i="29"/>
  <c r="U300" i="29"/>
  <c r="T300" i="29"/>
  <c r="R300" i="29"/>
  <c r="Q300" i="29"/>
  <c r="V299" i="29"/>
  <c r="U299" i="29"/>
  <c r="T299" i="29"/>
  <c r="R299" i="29"/>
  <c r="Q299" i="29"/>
  <c r="V296" i="29"/>
  <c r="U296" i="29"/>
  <c r="T296" i="29"/>
  <c r="R296" i="29"/>
  <c r="Q296" i="29"/>
  <c r="V295" i="29"/>
  <c r="U295" i="29"/>
  <c r="T295" i="29"/>
  <c r="R295" i="29"/>
  <c r="Q295" i="29"/>
  <c r="V294" i="29"/>
  <c r="U294" i="29"/>
  <c r="T294" i="29"/>
  <c r="R294" i="29"/>
  <c r="Q294" i="29"/>
  <c r="V293" i="29"/>
  <c r="U293" i="29"/>
  <c r="T293" i="29"/>
  <c r="R293" i="29"/>
  <c r="Q293" i="29"/>
  <c r="V292" i="29"/>
  <c r="U292" i="29"/>
  <c r="T292" i="29"/>
  <c r="R292" i="29"/>
  <c r="Q292" i="29"/>
  <c r="V291" i="29"/>
  <c r="U291" i="29"/>
  <c r="T291" i="29"/>
  <c r="R291" i="29"/>
  <c r="Q291" i="29"/>
  <c r="V290" i="29"/>
  <c r="U290" i="29"/>
  <c r="T290" i="29"/>
  <c r="R290" i="29"/>
  <c r="Q290" i="29"/>
  <c r="V289" i="29"/>
  <c r="U289" i="29"/>
  <c r="T289" i="29"/>
  <c r="R289" i="29"/>
  <c r="Q289" i="29"/>
  <c r="V288" i="29"/>
  <c r="U288" i="29"/>
  <c r="T288" i="29"/>
  <c r="R288" i="29"/>
  <c r="Q288" i="29"/>
  <c r="V285" i="29"/>
  <c r="U285" i="29"/>
  <c r="T285" i="29"/>
  <c r="R285" i="29"/>
  <c r="Q285" i="29"/>
  <c r="V284" i="29"/>
  <c r="U284" i="29"/>
  <c r="T284" i="29"/>
  <c r="R284" i="29"/>
  <c r="Q284" i="29"/>
  <c r="V283" i="29"/>
  <c r="U283" i="29"/>
  <c r="T283" i="29"/>
  <c r="R283" i="29"/>
  <c r="Q283" i="29"/>
  <c r="V282" i="29"/>
  <c r="U282" i="29"/>
  <c r="T282" i="29"/>
  <c r="R282" i="29"/>
  <c r="Q282" i="29"/>
  <c r="V281" i="29"/>
  <c r="U281" i="29"/>
  <c r="T281" i="29"/>
  <c r="R281" i="29"/>
  <c r="Q281" i="29"/>
  <c r="V280" i="29"/>
  <c r="U280" i="29"/>
  <c r="T280" i="29"/>
  <c r="R280" i="29"/>
  <c r="Q280" i="29"/>
  <c r="V279" i="29"/>
  <c r="U279" i="29"/>
  <c r="T279" i="29"/>
  <c r="R279" i="29"/>
  <c r="Q279" i="29"/>
  <c r="V278" i="29"/>
  <c r="U278" i="29"/>
  <c r="T278" i="29"/>
  <c r="R278" i="29"/>
  <c r="Q278" i="29"/>
  <c r="V277" i="29"/>
  <c r="U277" i="29"/>
  <c r="T277" i="29"/>
  <c r="R277" i="29"/>
  <c r="Q277" i="29"/>
  <c r="V274" i="29"/>
  <c r="U274" i="29"/>
  <c r="T274" i="29"/>
  <c r="R274" i="29"/>
  <c r="Q274" i="29"/>
  <c r="V273" i="29"/>
  <c r="U273" i="29"/>
  <c r="T273" i="29"/>
  <c r="R273" i="29"/>
  <c r="Q273" i="29"/>
  <c r="V272" i="29"/>
  <c r="U272" i="29"/>
  <c r="T272" i="29"/>
  <c r="R272" i="29"/>
  <c r="Q272" i="29"/>
  <c r="V271" i="29"/>
  <c r="U271" i="29"/>
  <c r="T271" i="29"/>
  <c r="R271" i="29"/>
  <c r="Q271" i="29"/>
  <c r="V270" i="29"/>
  <c r="U270" i="29"/>
  <c r="T270" i="29"/>
  <c r="R270" i="29"/>
  <c r="Q270" i="29"/>
  <c r="V269" i="29"/>
  <c r="U269" i="29"/>
  <c r="T269" i="29"/>
  <c r="R269" i="29"/>
  <c r="Q269" i="29"/>
  <c r="V268" i="29"/>
  <c r="U268" i="29"/>
  <c r="T268" i="29"/>
  <c r="R268" i="29"/>
  <c r="Q268" i="29"/>
  <c r="V267" i="29"/>
  <c r="U267" i="29"/>
  <c r="T267" i="29"/>
  <c r="R267" i="29"/>
  <c r="Q267" i="29"/>
  <c r="V266" i="29"/>
  <c r="U266" i="29"/>
  <c r="T266" i="29"/>
  <c r="R266" i="29"/>
  <c r="Q266" i="29"/>
  <c r="V263" i="29"/>
  <c r="U263" i="29"/>
  <c r="T263" i="29"/>
  <c r="R263" i="29"/>
  <c r="Q263" i="29"/>
  <c r="V262" i="29"/>
  <c r="U262" i="29"/>
  <c r="T262" i="29"/>
  <c r="R262" i="29"/>
  <c r="Q262" i="29"/>
  <c r="V261" i="29"/>
  <c r="U261" i="29"/>
  <c r="T261" i="29"/>
  <c r="R261" i="29"/>
  <c r="Q261" i="29"/>
  <c r="V260" i="29"/>
  <c r="U260" i="29"/>
  <c r="T260" i="29"/>
  <c r="R260" i="29"/>
  <c r="Q260" i="29"/>
  <c r="V259" i="29"/>
  <c r="U259" i="29"/>
  <c r="T259" i="29"/>
  <c r="R259" i="29"/>
  <c r="Q259" i="29"/>
  <c r="V258" i="29"/>
  <c r="U258" i="29"/>
  <c r="T258" i="29"/>
  <c r="R258" i="29"/>
  <c r="Q258" i="29"/>
  <c r="V257" i="29"/>
  <c r="U257" i="29"/>
  <c r="T257" i="29"/>
  <c r="R257" i="29"/>
  <c r="Q257" i="29"/>
  <c r="V256" i="29"/>
  <c r="U256" i="29"/>
  <c r="T256" i="29"/>
  <c r="R256" i="29"/>
  <c r="Q256" i="29"/>
  <c r="V255" i="29"/>
  <c r="U255" i="29"/>
  <c r="T255" i="29"/>
  <c r="R255" i="29"/>
  <c r="Q255" i="29"/>
  <c r="V252" i="29"/>
  <c r="U252" i="29"/>
  <c r="T252" i="29"/>
  <c r="R252" i="29"/>
  <c r="Q252" i="29"/>
  <c r="V251" i="29"/>
  <c r="U251" i="29"/>
  <c r="T251" i="29"/>
  <c r="R251" i="29"/>
  <c r="Q251" i="29"/>
  <c r="V250" i="29"/>
  <c r="U250" i="29"/>
  <c r="T250" i="29"/>
  <c r="R250" i="29"/>
  <c r="Q250" i="29"/>
  <c r="V249" i="29"/>
  <c r="U249" i="29"/>
  <c r="T249" i="29"/>
  <c r="R249" i="29"/>
  <c r="Q249" i="29"/>
  <c r="V248" i="29"/>
  <c r="U248" i="29"/>
  <c r="T248" i="29"/>
  <c r="R248" i="29"/>
  <c r="Q248" i="29"/>
  <c r="V247" i="29"/>
  <c r="U247" i="29"/>
  <c r="T247" i="29"/>
  <c r="R247" i="29"/>
  <c r="Q247" i="29"/>
  <c r="V246" i="29"/>
  <c r="U246" i="29"/>
  <c r="T246" i="29"/>
  <c r="R246" i="29"/>
  <c r="Q246" i="29"/>
  <c r="V245" i="29"/>
  <c r="U245" i="29"/>
  <c r="T245" i="29"/>
  <c r="R245" i="29"/>
  <c r="Q245" i="29"/>
  <c r="V244" i="29"/>
  <c r="U244" i="29"/>
  <c r="T244" i="29"/>
  <c r="R244" i="29"/>
  <c r="Q244" i="29"/>
  <c r="V241" i="29"/>
  <c r="U241" i="29"/>
  <c r="T241" i="29"/>
  <c r="R241" i="29"/>
  <c r="Q241" i="29"/>
  <c r="V240" i="29"/>
  <c r="U240" i="29"/>
  <c r="T240" i="29"/>
  <c r="R240" i="29"/>
  <c r="Q240" i="29"/>
  <c r="V239" i="29"/>
  <c r="U239" i="29"/>
  <c r="T239" i="29"/>
  <c r="R239" i="29"/>
  <c r="Q239" i="29"/>
  <c r="V238" i="29"/>
  <c r="U238" i="29"/>
  <c r="T238" i="29"/>
  <c r="R238" i="29"/>
  <c r="Q238" i="29"/>
  <c r="V237" i="29"/>
  <c r="U237" i="29"/>
  <c r="T237" i="29"/>
  <c r="R237" i="29"/>
  <c r="Q237" i="29"/>
  <c r="V236" i="29"/>
  <c r="U236" i="29"/>
  <c r="T236" i="29"/>
  <c r="R236" i="29"/>
  <c r="Q236" i="29"/>
  <c r="V235" i="29"/>
  <c r="U235" i="29"/>
  <c r="T235" i="29"/>
  <c r="R235" i="29"/>
  <c r="Q235" i="29"/>
  <c r="V234" i="29"/>
  <c r="U234" i="29"/>
  <c r="T234" i="29"/>
  <c r="R234" i="29"/>
  <c r="Q234" i="29"/>
  <c r="V233" i="29"/>
  <c r="U233" i="29"/>
  <c r="T233" i="29"/>
  <c r="R233" i="29"/>
  <c r="Q233" i="29"/>
  <c r="V230" i="29"/>
  <c r="U230" i="29"/>
  <c r="T230" i="29"/>
  <c r="R230" i="29"/>
  <c r="Q230" i="29"/>
  <c r="V229" i="29"/>
  <c r="U229" i="29"/>
  <c r="T229" i="29"/>
  <c r="R229" i="29"/>
  <c r="Q229" i="29"/>
  <c r="V228" i="29"/>
  <c r="U228" i="29"/>
  <c r="T228" i="29"/>
  <c r="R228" i="29"/>
  <c r="Q228" i="29"/>
  <c r="V227" i="29"/>
  <c r="U227" i="29"/>
  <c r="T227" i="29"/>
  <c r="R227" i="29"/>
  <c r="Q227" i="29"/>
  <c r="V226" i="29"/>
  <c r="U226" i="29"/>
  <c r="T226" i="29"/>
  <c r="R226" i="29"/>
  <c r="Q226" i="29"/>
  <c r="V225" i="29"/>
  <c r="U225" i="29"/>
  <c r="T225" i="29"/>
  <c r="R225" i="29"/>
  <c r="Q225" i="29"/>
  <c r="V224" i="29"/>
  <c r="U224" i="29"/>
  <c r="T224" i="29"/>
  <c r="R224" i="29"/>
  <c r="Q224" i="29"/>
  <c r="V223" i="29"/>
  <c r="U223" i="29"/>
  <c r="T223" i="29"/>
  <c r="R223" i="29"/>
  <c r="Q223" i="29"/>
  <c r="V222" i="29"/>
  <c r="U222" i="29"/>
  <c r="T222" i="29"/>
  <c r="R222" i="29"/>
  <c r="Q222" i="29"/>
  <c r="V219" i="29"/>
  <c r="U219" i="29"/>
  <c r="T219" i="29"/>
  <c r="R219" i="29"/>
  <c r="Q219" i="29"/>
  <c r="V218" i="29"/>
  <c r="U218" i="29"/>
  <c r="T218" i="29"/>
  <c r="R218" i="29"/>
  <c r="Q218" i="29"/>
  <c r="V217" i="29"/>
  <c r="U217" i="29"/>
  <c r="T217" i="29"/>
  <c r="R217" i="29"/>
  <c r="Q217" i="29"/>
  <c r="V216" i="29"/>
  <c r="U216" i="29"/>
  <c r="T216" i="29"/>
  <c r="R216" i="29"/>
  <c r="Q216" i="29"/>
  <c r="V215" i="29"/>
  <c r="U215" i="29"/>
  <c r="T215" i="29"/>
  <c r="R215" i="29"/>
  <c r="Q215" i="29"/>
  <c r="V214" i="29"/>
  <c r="U214" i="29"/>
  <c r="T214" i="29"/>
  <c r="R214" i="29"/>
  <c r="Q214" i="29"/>
  <c r="V213" i="29"/>
  <c r="U213" i="29"/>
  <c r="T213" i="29"/>
  <c r="R213" i="29"/>
  <c r="Q213" i="29"/>
  <c r="V212" i="29"/>
  <c r="U212" i="29"/>
  <c r="T212" i="29"/>
  <c r="R212" i="29"/>
  <c r="Q212" i="29"/>
  <c r="V211" i="29"/>
  <c r="U211" i="29"/>
  <c r="T211" i="29"/>
  <c r="R211" i="29"/>
  <c r="Q211" i="29"/>
  <c r="V208" i="29"/>
  <c r="U208" i="29"/>
  <c r="T208" i="29"/>
  <c r="R208" i="29"/>
  <c r="Q208" i="29"/>
  <c r="V207" i="29"/>
  <c r="U207" i="29"/>
  <c r="T207" i="29"/>
  <c r="R207" i="29"/>
  <c r="Q207" i="29"/>
  <c r="V206" i="29"/>
  <c r="U206" i="29"/>
  <c r="T206" i="29"/>
  <c r="R206" i="29"/>
  <c r="Q206" i="29"/>
  <c r="V205" i="29"/>
  <c r="U205" i="29"/>
  <c r="T205" i="29"/>
  <c r="R205" i="29"/>
  <c r="Q205" i="29"/>
  <c r="V204" i="29"/>
  <c r="U204" i="29"/>
  <c r="T204" i="29"/>
  <c r="R204" i="29"/>
  <c r="Q204" i="29"/>
  <c r="V203" i="29"/>
  <c r="U203" i="29"/>
  <c r="T203" i="29"/>
  <c r="R203" i="29"/>
  <c r="Q203" i="29"/>
  <c r="V202" i="29"/>
  <c r="U202" i="29"/>
  <c r="T202" i="29"/>
  <c r="R202" i="29"/>
  <c r="Q202" i="29"/>
  <c r="V201" i="29"/>
  <c r="U201" i="29"/>
  <c r="T201" i="29"/>
  <c r="R201" i="29"/>
  <c r="Q201" i="29"/>
  <c r="V200" i="29"/>
  <c r="U200" i="29"/>
  <c r="T200" i="29"/>
  <c r="R200" i="29"/>
  <c r="Q200" i="29"/>
  <c r="V197" i="29"/>
  <c r="U197" i="29"/>
  <c r="T197" i="29"/>
  <c r="R197" i="29"/>
  <c r="Q197" i="29"/>
  <c r="V196" i="29"/>
  <c r="U196" i="29"/>
  <c r="T196" i="29"/>
  <c r="R196" i="29"/>
  <c r="Q196" i="29"/>
  <c r="V195" i="29"/>
  <c r="U195" i="29"/>
  <c r="T195" i="29"/>
  <c r="R195" i="29"/>
  <c r="Q195" i="29"/>
  <c r="V194" i="29"/>
  <c r="U194" i="29"/>
  <c r="T194" i="29"/>
  <c r="R194" i="29"/>
  <c r="Q194" i="29"/>
  <c r="V193" i="29"/>
  <c r="U193" i="29"/>
  <c r="T193" i="29"/>
  <c r="R193" i="29"/>
  <c r="Q193" i="29"/>
  <c r="V192" i="29"/>
  <c r="U192" i="29"/>
  <c r="T192" i="29"/>
  <c r="R192" i="29"/>
  <c r="Q192" i="29"/>
  <c r="V191" i="29"/>
  <c r="U191" i="29"/>
  <c r="T191" i="29"/>
  <c r="R191" i="29"/>
  <c r="Q191" i="29"/>
  <c r="V190" i="29"/>
  <c r="U190" i="29"/>
  <c r="T190" i="29"/>
  <c r="R190" i="29"/>
  <c r="Q190" i="29"/>
  <c r="V189" i="29"/>
  <c r="U189" i="29"/>
  <c r="T189" i="29"/>
  <c r="R189" i="29"/>
  <c r="Q189" i="29"/>
  <c r="V186" i="29"/>
  <c r="U186" i="29"/>
  <c r="T186" i="29"/>
  <c r="R186" i="29"/>
  <c r="Q186" i="29"/>
  <c r="V185" i="29"/>
  <c r="U185" i="29"/>
  <c r="T185" i="29"/>
  <c r="R185" i="29"/>
  <c r="Q185" i="29"/>
  <c r="V184" i="29"/>
  <c r="U184" i="29"/>
  <c r="T184" i="29"/>
  <c r="R184" i="29"/>
  <c r="Q184" i="29"/>
  <c r="V183" i="29"/>
  <c r="U183" i="29"/>
  <c r="T183" i="29"/>
  <c r="R183" i="29"/>
  <c r="Q183" i="29"/>
  <c r="V182" i="29"/>
  <c r="U182" i="29"/>
  <c r="T182" i="29"/>
  <c r="R182" i="29"/>
  <c r="Q182" i="29"/>
  <c r="V181" i="29"/>
  <c r="U181" i="29"/>
  <c r="T181" i="29"/>
  <c r="R181" i="29"/>
  <c r="Q181" i="29"/>
  <c r="V180" i="29"/>
  <c r="U180" i="29"/>
  <c r="T180" i="29"/>
  <c r="R180" i="29"/>
  <c r="Q180" i="29"/>
  <c r="V179" i="29"/>
  <c r="U179" i="29"/>
  <c r="T179" i="29"/>
  <c r="R179" i="29"/>
  <c r="Q179" i="29"/>
  <c r="V178" i="29"/>
  <c r="U178" i="29"/>
  <c r="T178" i="29"/>
  <c r="R178" i="29"/>
  <c r="Q178" i="29"/>
  <c r="V175" i="29"/>
  <c r="U175" i="29"/>
  <c r="T175" i="29"/>
  <c r="R175" i="29"/>
  <c r="Q175" i="29"/>
  <c r="V174" i="29"/>
  <c r="U174" i="29"/>
  <c r="T174" i="29"/>
  <c r="R174" i="29"/>
  <c r="Q174" i="29"/>
  <c r="V173" i="29"/>
  <c r="U173" i="29"/>
  <c r="T173" i="29"/>
  <c r="R173" i="29"/>
  <c r="Q173" i="29"/>
  <c r="V172" i="29"/>
  <c r="U172" i="29"/>
  <c r="T172" i="29"/>
  <c r="R172" i="29"/>
  <c r="Q172" i="29"/>
  <c r="V171" i="29"/>
  <c r="U171" i="29"/>
  <c r="T171" i="29"/>
  <c r="R171" i="29"/>
  <c r="Q171" i="29"/>
  <c r="V170" i="29"/>
  <c r="U170" i="29"/>
  <c r="T170" i="29"/>
  <c r="R170" i="29"/>
  <c r="Q170" i="29"/>
  <c r="V169" i="29"/>
  <c r="U169" i="29"/>
  <c r="T169" i="29"/>
  <c r="R169" i="29"/>
  <c r="Q169" i="29"/>
  <c r="V168" i="29"/>
  <c r="U168" i="29"/>
  <c r="T168" i="29"/>
  <c r="R168" i="29"/>
  <c r="Q168" i="29"/>
  <c r="V167" i="29"/>
  <c r="U167" i="29"/>
  <c r="T167" i="29"/>
  <c r="R167" i="29"/>
  <c r="Q167" i="29"/>
  <c r="V164" i="29"/>
  <c r="U164" i="29"/>
  <c r="T164" i="29"/>
  <c r="R164" i="29"/>
  <c r="Q164" i="29"/>
  <c r="V163" i="29"/>
  <c r="U163" i="29"/>
  <c r="T163" i="29"/>
  <c r="R163" i="29"/>
  <c r="Q163" i="29"/>
  <c r="V162" i="29"/>
  <c r="U162" i="29"/>
  <c r="T162" i="29"/>
  <c r="R162" i="29"/>
  <c r="Q162" i="29"/>
  <c r="V161" i="29"/>
  <c r="U161" i="29"/>
  <c r="T161" i="29"/>
  <c r="R161" i="29"/>
  <c r="Q161" i="29"/>
  <c r="V160" i="29"/>
  <c r="U160" i="29"/>
  <c r="T160" i="29"/>
  <c r="R160" i="29"/>
  <c r="Q160" i="29"/>
  <c r="V159" i="29"/>
  <c r="U159" i="29"/>
  <c r="T159" i="29"/>
  <c r="R159" i="29"/>
  <c r="Q159" i="29"/>
  <c r="V158" i="29"/>
  <c r="U158" i="29"/>
  <c r="T158" i="29"/>
  <c r="R158" i="29"/>
  <c r="Q158" i="29"/>
  <c r="V157" i="29"/>
  <c r="U157" i="29"/>
  <c r="T157" i="29"/>
  <c r="R157" i="29"/>
  <c r="Q157" i="29"/>
  <c r="V156" i="29"/>
  <c r="U156" i="29"/>
  <c r="T156" i="29"/>
  <c r="R156" i="29"/>
  <c r="Q156" i="29"/>
  <c r="V153" i="29"/>
  <c r="U153" i="29"/>
  <c r="T153" i="29"/>
  <c r="R153" i="29"/>
  <c r="Q153" i="29"/>
  <c r="V152" i="29"/>
  <c r="U152" i="29"/>
  <c r="T152" i="29"/>
  <c r="R152" i="29"/>
  <c r="Q152" i="29"/>
  <c r="V151" i="29"/>
  <c r="U151" i="29"/>
  <c r="T151" i="29"/>
  <c r="R151" i="29"/>
  <c r="Q151" i="29"/>
  <c r="V150" i="29"/>
  <c r="U150" i="29"/>
  <c r="T150" i="29"/>
  <c r="R150" i="29"/>
  <c r="Q150" i="29"/>
  <c r="V149" i="29"/>
  <c r="U149" i="29"/>
  <c r="T149" i="29"/>
  <c r="R149" i="29"/>
  <c r="Q149" i="29"/>
  <c r="V148" i="29"/>
  <c r="U148" i="29"/>
  <c r="T148" i="29"/>
  <c r="R148" i="29"/>
  <c r="Q148" i="29"/>
  <c r="V147" i="29"/>
  <c r="U147" i="29"/>
  <c r="T147" i="29"/>
  <c r="R147" i="29"/>
  <c r="Q147" i="29"/>
  <c r="V146" i="29"/>
  <c r="U146" i="29"/>
  <c r="T146" i="29"/>
  <c r="R146" i="29"/>
  <c r="Q146" i="29"/>
  <c r="V145" i="29"/>
  <c r="U145" i="29"/>
  <c r="T145" i="29"/>
  <c r="R145" i="29"/>
  <c r="Q145" i="29"/>
  <c r="V142" i="29"/>
  <c r="U142" i="29"/>
  <c r="T142" i="29"/>
  <c r="R142" i="29"/>
  <c r="Q142" i="29"/>
  <c r="V141" i="29"/>
  <c r="U141" i="29"/>
  <c r="T141" i="29"/>
  <c r="R141" i="29"/>
  <c r="Q141" i="29"/>
  <c r="V140" i="29"/>
  <c r="U140" i="29"/>
  <c r="T140" i="29"/>
  <c r="R140" i="29"/>
  <c r="Q140" i="29"/>
  <c r="V139" i="29"/>
  <c r="U139" i="29"/>
  <c r="T139" i="29"/>
  <c r="R139" i="29"/>
  <c r="Q139" i="29"/>
  <c r="V138" i="29"/>
  <c r="U138" i="29"/>
  <c r="T138" i="29"/>
  <c r="R138" i="29"/>
  <c r="Q138" i="29"/>
  <c r="V137" i="29"/>
  <c r="U137" i="29"/>
  <c r="T137" i="29"/>
  <c r="R137" i="29"/>
  <c r="Q137" i="29"/>
  <c r="V136" i="29"/>
  <c r="U136" i="29"/>
  <c r="T136" i="29"/>
  <c r="R136" i="29"/>
  <c r="Q136" i="29"/>
  <c r="V135" i="29"/>
  <c r="U135" i="29"/>
  <c r="T135" i="29"/>
  <c r="R135" i="29"/>
  <c r="Q135" i="29"/>
  <c r="V134" i="29"/>
  <c r="U134" i="29"/>
  <c r="T134" i="29"/>
  <c r="R134" i="29"/>
  <c r="Q134" i="29"/>
  <c r="V131" i="29"/>
  <c r="U131" i="29"/>
  <c r="T131" i="29"/>
  <c r="R131" i="29"/>
  <c r="Q131" i="29"/>
  <c r="V130" i="29"/>
  <c r="U130" i="29"/>
  <c r="T130" i="29"/>
  <c r="R130" i="29"/>
  <c r="Q130" i="29"/>
  <c r="V129" i="29"/>
  <c r="U129" i="29"/>
  <c r="T129" i="29"/>
  <c r="R129" i="29"/>
  <c r="Q129" i="29"/>
  <c r="V128" i="29"/>
  <c r="U128" i="29"/>
  <c r="T128" i="29"/>
  <c r="R128" i="29"/>
  <c r="Q128" i="29"/>
  <c r="V127" i="29"/>
  <c r="U127" i="29"/>
  <c r="T127" i="29"/>
  <c r="R127" i="29"/>
  <c r="Q127" i="29"/>
  <c r="V126" i="29"/>
  <c r="U126" i="29"/>
  <c r="T126" i="29"/>
  <c r="R126" i="29"/>
  <c r="Q126" i="29"/>
  <c r="V125" i="29"/>
  <c r="U125" i="29"/>
  <c r="T125" i="29"/>
  <c r="R125" i="29"/>
  <c r="Q125" i="29"/>
  <c r="V124" i="29"/>
  <c r="U124" i="29"/>
  <c r="T124" i="29"/>
  <c r="R124" i="29"/>
  <c r="Q124" i="29"/>
  <c r="V123" i="29"/>
  <c r="U123" i="29"/>
  <c r="T123" i="29"/>
  <c r="R123" i="29"/>
  <c r="Q123" i="29"/>
  <c r="V120" i="29"/>
  <c r="U120" i="29"/>
  <c r="T120" i="29"/>
  <c r="R120" i="29"/>
  <c r="Q120" i="29"/>
  <c r="V119" i="29"/>
  <c r="U119" i="29"/>
  <c r="T119" i="29"/>
  <c r="R119" i="29"/>
  <c r="Q119" i="29"/>
  <c r="V118" i="29"/>
  <c r="U118" i="29"/>
  <c r="T118" i="29"/>
  <c r="R118" i="29"/>
  <c r="Q118" i="29"/>
  <c r="V117" i="29"/>
  <c r="U117" i="29"/>
  <c r="T117" i="29"/>
  <c r="R117" i="29"/>
  <c r="Q117" i="29"/>
  <c r="V116" i="29"/>
  <c r="U116" i="29"/>
  <c r="T116" i="29"/>
  <c r="R116" i="29"/>
  <c r="Q116" i="29"/>
  <c r="V115" i="29"/>
  <c r="U115" i="29"/>
  <c r="T115" i="29"/>
  <c r="R115" i="29"/>
  <c r="Q115" i="29"/>
  <c r="V114" i="29"/>
  <c r="U114" i="29"/>
  <c r="T114" i="29"/>
  <c r="R114" i="29"/>
  <c r="Q114" i="29"/>
  <c r="V113" i="29"/>
  <c r="U113" i="29"/>
  <c r="T113" i="29"/>
  <c r="R113" i="29"/>
  <c r="Q113" i="29"/>
  <c r="V112" i="29"/>
  <c r="U112" i="29"/>
  <c r="T112" i="29"/>
  <c r="R112" i="29"/>
  <c r="Q112" i="29"/>
  <c r="W5286" i="29" l="1"/>
  <c r="X5286" i="29" s="1"/>
  <c r="W1580" i="29"/>
  <c r="X1580" i="29" s="1"/>
  <c r="W1610" i="29"/>
  <c r="X1610" i="29" s="1"/>
  <c r="W2802" i="29"/>
  <c r="X2802" i="29" s="1"/>
  <c r="W3038" i="29"/>
  <c r="X3038" i="29" s="1"/>
  <c r="W3126" i="29"/>
  <c r="X3126" i="29" s="1"/>
  <c r="W4768" i="29"/>
  <c r="X4768" i="29" s="1"/>
  <c r="W2842" i="29"/>
  <c r="X2842" i="29" s="1"/>
  <c r="W380" i="29"/>
  <c r="X380" i="29" s="1"/>
  <c r="W410" i="29"/>
  <c r="X410" i="29" s="1"/>
  <c r="W438" i="29"/>
  <c r="X438" i="29" s="1"/>
  <c r="W526" i="29"/>
  <c r="X526" i="29" s="1"/>
  <c r="W2477" i="29"/>
  <c r="X2477" i="29" s="1"/>
  <c r="W3151" i="29"/>
  <c r="X3151" i="29" s="1"/>
  <c r="W1085" i="29"/>
  <c r="X1085" i="29" s="1"/>
  <c r="W120" i="29"/>
  <c r="X120" i="29" s="1"/>
  <c r="W130" i="29"/>
  <c r="X130" i="29" s="1"/>
  <c r="W150" i="29"/>
  <c r="X150" i="29" s="1"/>
  <c r="W218" i="29"/>
  <c r="X218" i="29" s="1"/>
  <c r="W336" i="29"/>
  <c r="X336" i="29" s="1"/>
  <c r="W394" i="29"/>
  <c r="X394" i="29" s="1"/>
  <c r="W424" i="29"/>
  <c r="X424" i="29" s="1"/>
  <c r="W3670" i="29"/>
  <c r="X3670" i="29" s="1"/>
  <c r="W3730" i="29"/>
  <c r="X3730" i="29" s="1"/>
  <c r="W3778" i="29"/>
  <c r="X3778" i="29" s="1"/>
  <c r="W3788" i="29"/>
  <c r="X3788" i="29" s="1"/>
  <c r="W4364" i="29"/>
  <c r="X4364" i="29" s="1"/>
  <c r="W4512" i="29"/>
  <c r="X4512" i="29" s="1"/>
  <c r="W4540" i="29"/>
  <c r="X4540" i="29" s="1"/>
  <c r="W4628" i="29"/>
  <c r="X4628" i="29" s="1"/>
  <c r="W4658" i="29"/>
  <c r="X4658" i="29" s="1"/>
  <c r="W3719" i="29"/>
  <c r="X3719" i="29" s="1"/>
  <c r="W3953" i="29"/>
  <c r="X3953" i="29" s="1"/>
  <c r="W4071" i="29"/>
  <c r="X4071" i="29" s="1"/>
  <c r="W4129" i="29"/>
  <c r="X4129" i="29" s="1"/>
  <c r="W4745" i="29"/>
  <c r="X4745" i="29" s="1"/>
  <c r="W5567" i="29"/>
  <c r="X5567" i="29" s="1"/>
  <c r="W5595" i="29"/>
  <c r="X5595" i="29" s="1"/>
  <c r="W1544" i="29"/>
  <c r="X1544" i="29" s="1"/>
  <c r="W3158" i="29"/>
  <c r="X3158" i="29" s="1"/>
  <c r="W3626" i="29"/>
  <c r="X3626" i="29" s="1"/>
  <c r="W3646" i="29"/>
  <c r="X3646" i="29" s="1"/>
  <c r="W3862" i="29"/>
  <c r="X3862" i="29" s="1"/>
  <c r="W5552" i="29"/>
  <c r="X5552" i="29" s="1"/>
  <c r="W1589" i="29"/>
  <c r="X1589" i="29" s="1"/>
  <c r="W4327" i="29"/>
  <c r="X4327" i="29" s="1"/>
  <c r="W4425" i="29"/>
  <c r="X4425" i="29" s="1"/>
  <c r="W1043" i="29"/>
  <c r="X1043" i="29" s="1"/>
  <c r="W1561" i="29"/>
  <c r="X1561" i="29" s="1"/>
  <c r="W1712" i="29"/>
  <c r="X1712" i="29" s="1"/>
  <c r="W3235" i="29"/>
  <c r="X3235" i="29" s="1"/>
  <c r="W3351" i="29"/>
  <c r="X3351" i="29" s="1"/>
  <c r="W3381" i="29"/>
  <c r="X3381" i="29" s="1"/>
  <c r="W3645" i="29"/>
  <c r="X3645" i="29" s="1"/>
  <c r="W3879" i="29"/>
  <c r="X3879" i="29" s="1"/>
  <c r="W3997" i="29"/>
  <c r="X3997" i="29" s="1"/>
  <c r="W4055" i="29"/>
  <c r="X4055" i="29" s="1"/>
  <c r="W4671" i="29"/>
  <c r="X4671" i="29" s="1"/>
  <c r="W5375" i="29"/>
  <c r="X5375" i="29" s="1"/>
  <c r="W5405" i="29"/>
  <c r="X5405" i="29" s="1"/>
  <c r="W125" i="29"/>
  <c r="X125" i="29" s="1"/>
  <c r="W145" i="29"/>
  <c r="X145" i="29" s="1"/>
  <c r="W127" i="29"/>
  <c r="X127" i="29" s="1"/>
  <c r="W1359" i="29"/>
  <c r="X1359" i="29" s="1"/>
  <c r="W1447" i="29"/>
  <c r="X1447" i="29" s="1"/>
  <c r="W1505" i="29"/>
  <c r="X1505" i="29" s="1"/>
  <c r="W2269" i="29"/>
  <c r="X2269" i="29" s="1"/>
  <c r="W2483" i="29"/>
  <c r="X2483" i="29" s="1"/>
  <c r="W2631" i="29"/>
  <c r="X2631" i="29" s="1"/>
  <c r="W2699" i="29"/>
  <c r="X2699" i="29" s="1"/>
  <c r="W2757" i="29"/>
  <c r="X2757" i="29" s="1"/>
  <c r="W3257" i="29"/>
  <c r="X3257" i="29" s="1"/>
  <c r="W3579" i="29"/>
  <c r="X3579" i="29" s="1"/>
  <c r="W3989" i="29"/>
  <c r="X3989" i="29" s="1"/>
  <c r="W4479" i="29"/>
  <c r="X4479" i="29" s="1"/>
  <c r="W4824" i="29"/>
  <c r="X4824" i="29" s="1"/>
  <c r="W735" i="29"/>
  <c r="X735" i="29" s="1"/>
  <c r="W1059" i="29"/>
  <c r="X1059" i="29" s="1"/>
  <c r="W1577" i="29"/>
  <c r="X1577" i="29" s="1"/>
  <c r="W933" i="29"/>
  <c r="X933" i="29" s="1"/>
  <c r="W1021" i="29"/>
  <c r="X1021" i="29" s="1"/>
  <c r="W2341" i="29"/>
  <c r="X2341" i="29" s="1"/>
  <c r="W2527" i="29"/>
  <c r="X2527" i="29" s="1"/>
  <c r="W2557" i="29"/>
  <c r="X2557" i="29" s="1"/>
  <c r="W2615" i="29"/>
  <c r="X2615" i="29" s="1"/>
  <c r="W4692" i="29"/>
  <c r="X4692" i="29" s="1"/>
  <c r="W4699" i="29"/>
  <c r="X4699" i="29" s="1"/>
  <c r="W4727" i="29"/>
  <c r="X4727" i="29" s="1"/>
  <c r="W4757" i="29"/>
  <c r="X4757" i="29" s="1"/>
  <c r="W128" i="29"/>
  <c r="X128" i="29" s="1"/>
  <c r="W158" i="29"/>
  <c r="X158" i="29" s="1"/>
  <c r="W168" i="29"/>
  <c r="X168" i="29" s="1"/>
  <c r="W196" i="29"/>
  <c r="X196" i="29" s="1"/>
  <c r="W216" i="29"/>
  <c r="X216" i="29" s="1"/>
  <c r="W236" i="29"/>
  <c r="X236" i="29" s="1"/>
  <c r="W402" i="29"/>
  <c r="X402" i="29" s="1"/>
  <c r="W412" i="29"/>
  <c r="X412" i="29" s="1"/>
  <c r="W598" i="29"/>
  <c r="X598" i="29" s="1"/>
  <c r="W1418" i="29"/>
  <c r="X1418" i="29" s="1"/>
  <c r="W1594" i="29"/>
  <c r="X1594" i="29" s="1"/>
  <c r="W1654" i="29"/>
  <c r="X1654" i="29" s="1"/>
  <c r="W1976" i="29"/>
  <c r="X1976" i="29" s="1"/>
  <c r="W1986" i="29"/>
  <c r="X1986" i="29" s="1"/>
  <c r="W2036" i="29"/>
  <c r="X2036" i="29" s="1"/>
  <c r="W2142" i="29"/>
  <c r="X2142" i="29" s="1"/>
  <c r="W3620" i="29"/>
  <c r="X3620" i="29" s="1"/>
  <c r="W3726" i="29"/>
  <c r="X3726" i="29" s="1"/>
  <c r="W3814" i="29"/>
  <c r="X3814" i="29" s="1"/>
  <c r="W3854" i="29"/>
  <c r="X3854" i="29" s="1"/>
  <c r="W3962" i="29"/>
  <c r="X3962" i="29" s="1"/>
  <c r="W4578" i="29"/>
  <c r="X4578" i="29" s="1"/>
  <c r="W535" i="29"/>
  <c r="X535" i="29" s="1"/>
  <c r="W4887" i="29"/>
  <c r="X4887" i="29" s="1"/>
  <c r="W1158" i="29"/>
  <c r="X1158" i="29" s="1"/>
  <c r="W1124" i="29"/>
  <c r="X1124" i="29" s="1"/>
  <c r="W1182" i="29"/>
  <c r="X1182" i="29" s="1"/>
  <c r="W1300" i="29"/>
  <c r="X1300" i="29" s="1"/>
  <c r="W2086" i="29"/>
  <c r="X2086" i="29" s="1"/>
  <c r="W2218" i="29"/>
  <c r="X2218" i="29" s="1"/>
  <c r="W2234" i="29"/>
  <c r="X2234" i="29" s="1"/>
  <c r="W2248" i="29"/>
  <c r="X2248" i="29" s="1"/>
  <c r="W2654" i="29"/>
  <c r="X2654" i="29" s="1"/>
  <c r="W2698" i="29"/>
  <c r="X2698" i="29" s="1"/>
  <c r="W2844" i="29"/>
  <c r="X2844" i="29" s="1"/>
  <c r="W2948" i="29"/>
  <c r="X2948" i="29" s="1"/>
  <c r="W3006" i="29"/>
  <c r="X3006" i="29" s="1"/>
  <c r="W3036" i="29"/>
  <c r="X3036" i="29" s="1"/>
  <c r="W3490" i="29"/>
  <c r="X3490" i="29" s="1"/>
  <c r="W3622" i="29"/>
  <c r="X3622" i="29" s="1"/>
  <c r="W513" i="29"/>
  <c r="X513" i="29" s="1"/>
  <c r="W5051" i="29"/>
  <c r="X5051" i="29" s="1"/>
  <c r="W5329" i="29"/>
  <c r="X5329" i="29" s="1"/>
  <c r="W5588" i="29"/>
  <c r="X5588" i="29" s="1"/>
  <c r="W5628" i="29"/>
  <c r="X5628" i="29" s="1"/>
  <c r="W1053" i="29"/>
  <c r="X1053" i="29" s="1"/>
  <c r="W1097" i="29"/>
  <c r="X1097" i="29" s="1"/>
  <c r="W1157" i="29"/>
  <c r="X1157" i="29" s="1"/>
  <c r="W1185" i="29"/>
  <c r="X1185" i="29" s="1"/>
  <c r="W1215" i="29"/>
  <c r="X1215" i="29" s="1"/>
  <c r="W1229" i="29"/>
  <c r="X1229" i="29" s="1"/>
  <c r="W1289" i="29"/>
  <c r="X1289" i="29" s="1"/>
  <c r="W1987" i="29"/>
  <c r="X1987" i="29" s="1"/>
  <c r="W3919" i="29"/>
  <c r="X3919" i="29" s="1"/>
  <c r="W4153" i="29"/>
  <c r="X4153" i="29" s="1"/>
  <c r="W4220" i="29"/>
  <c r="X4220" i="29" s="1"/>
  <c r="W4285" i="29"/>
  <c r="X4285" i="29" s="1"/>
  <c r="W4389" i="29"/>
  <c r="X4389" i="29" s="1"/>
  <c r="W5297" i="29"/>
  <c r="X5297" i="29" s="1"/>
  <c r="W5380" i="29"/>
  <c r="X5380" i="29" s="1"/>
  <c r="W3866" i="29"/>
  <c r="X3866" i="29" s="1"/>
  <c r="W1862" i="29"/>
  <c r="X1862" i="29" s="1"/>
  <c r="W470" i="29"/>
  <c r="X470" i="29" s="1"/>
  <c r="W3160" i="29"/>
  <c r="X3160" i="29" s="1"/>
  <c r="W3218" i="29"/>
  <c r="X3218" i="29" s="1"/>
  <c r="W3248" i="29"/>
  <c r="X3248" i="29" s="1"/>
  <c r="W4686" i="29"/>
  <c r="X4686" i="29" s="1"/>
  <c r="W4714" i="29"/>
  <c r="X4714" i="29" s="1"/>
  <c r="W5550" i="29"/>
  <c r="X5550" i="29" s="1"/>
  <c r="W1151" i="29"/>
  <c r="X1151" i="29" s="1"/>
  <c r="W1195" i="29"/>
  <c r="X1195" i="29" s="1"/>
  <c r="W1209" i="29"/>
  <c r="X1209" i="29" s="1"/>
  <c r="W1939" i="29"/>
  <c r="X1939" i="29" s="1"/>
  <c r="W1967" i="29"/>
  <c r="X1967" i="29" s="1"/>
  <c r="W3987" i="29"/>
  <c r="X3987" i="29" s="1"/>
  <c r="W4075" i="29"/>
  <c r="X4075" i="29" s="1"/>
  <c r="W4610" i="29"/>
  <c r="X4610" i="29" s="1"/>
  <c r="W4770" i="29"/>
  <c r="X4770" i="29" s="1"/>
  <c r="W5574" i="29"/>
  <c r="X5574" i="29" s="1"/>
  <c r="W5604" i="29"/>
  <c r="X5604" i="29" s="1"/>
  <c r="W5593" i="29"/>
  <c r="X5593" i="29" s="1"/>
  <c r="W5623" i="29"/>
  <c r="X5623" i="29" s="1"/>
  <c r="W5562" i="29"/>
  <c r="X5562" i="29" s="1"/>
  <c r="W5071" i="29"/>
  <c r="X5071" i="29" s="1"/>
  <c r="W5129" i="29"/>
  <c r="X5129" i="29" s="1"/>
  <c r="W5032" i="29"/>
  <c r="X5032" i="29" s="1"/>
  <c r="W5340" i="29"/>
  <c r="X5340" i="29" s="1"/>
  <c r="W5370" i="29"/>
  <c r="X5370" i="29" s="1"/>
  <c r="W5132" i="29"/>
  <c r="X5132" i="29" s="1"/>
  <c r="W5236" i="29"/>
  <c r="X5236" i="29" s="1"/>
  <c r="W5119" i="29"/>
  <c r="X5119" i="29" s="1"/>
  <c r="W5309" i="29"/>
  <c r="X5309" i="29" s="1"/>
  <c r="W5029" i="29"/>
  <c r="X5029" i="29" s="1"/>
  <c r="W5360" i="29"/>
  <c r="X5360" i="29" s="1"/>
  <c r="W5064" i="29"/>
  <c r="X5064" i="29" s="1"/>
  <c r="W5298" i="29"/>
  <c r="X5298" i="29" s="1"/>
  <c r="W5504" i="29"/>
  <c r="X5504" i="29" s="1"/>
  <c r="W4909" i="29"/>
  <c r="X4909" i="29" s="1"/>
  <c r="W4923" i="29"/>
  <c r="X4923" i="29" s="1"/>
  <c r="W4967" i="29"/>
  <c r="X4967" i="29" s="1"/>
  <c r="W4511" i="29"/>
  <c r="X4511" i="29" s="1"/>
  <c r="W4604" i="29"/>
  <c r="X4604" i="29" s="1"/>
  <c r="W4780" i="29"/>
  <c r="X4780" i="29" s="1"/>
  <c r="W4558" i="29"/>
  <c r="X4558" i="29" s="1"/>
  <c r="W4426" i="29"/>
  <c r="X4426" i="29" s="1"/>
  <c r="W4489" i="29"/>
  <c r="X4489" i="29" s="1"/>
  <c r="W4403" i="29"/>
  <c r="X4403" i="29" s="1"/>
  <c r="W4137" i="29"/>
  <c r="X4137" i="29" s="1"/>
  <c r="W4225" i="29"/>
  <c r="X4225" i="29" s="1"/>
  <c r="W3890" i="29"/>
  <c r="X3890" i="29" s="1"/>
  <c r="W3950" i="29"/>
  <c r="X3950" i="29" s="1"/>
  <c r="W4008" i="29"/>
  <c r="X4008" i="29" s="1"/>
  <c r="W4038" i="29"/>
  <c r="X4038" i="29" s="1"/>
  <c r="W4052" i="29"/>
  <c r="X4052" i="29" s="1"/>
  <c r="W3619" i="29"/>
  <c r="X3619" i="29" s="1"/>
  <c r="W3439" i="29"/>
  <c r="X3439" i="29" s="1"/>
  <c r="W3483" i="29"/>
  <c r="X3483" i="29" s="1"/>
  <c r="W3599" i="29"/>
  <c r="X3599" i="29" s="1"/>
  <c r="W3711" i="29"/>
  <c r="X3711" i="29" s="1"/>
  <c r="W2943" i="29"/>
  <c r="X2943" i="29" s="1"/>
  <c r="W2973" i="29"/>
  <c r="X2973" i="29" s="1"/>
  <c r="W3075" i="29"/>
  <c r="X3075" i="29" s="1"/>
  <c r="W3105" i="29"/>
  <c r="X3105" i="29" s="1"/>
  <c r="W3135" i="29"/>
  <c r="X3135" i="29" s="1"/>
  <c r="W3094" i="29"/>
  <c r="X3094" i="29" s="1"/>
  <c r="W3168" i="29"/>
  <c r="X3168" i="29" s="1"/>
  <c r="W3300" i="29"/>
  <c r="X3300" i="29" s="1"/>
  <c r="W2791" i="29"/>
  <c r="X2791" i="29" s="1"/>
  <c r="W2895" i="29"/>
  <c r="X2895" i="29" s="1"/>
  <c r="W2923" i="29"/>
  <c r="X2923" i="29" s="1"/>
  <c r="W3027" i="29"/>
  <c r="X3027" i="29" s="1"/>
  <c r="W3085" i="29"/>
  <c r="X3085" i="29" s="1"/>
  <c r="W3187" i="29"/>
  <c r="X3187" i="29" s="1"/>
  <c r="W3247" i="29"/>
  <c r="X3247" i="29" s="1"/>
  <c r="W2801" i="29"/>
  <c r="X2801" i="29" s="1"/>
  <c r="W2875" i="29"/>
  <c r="X2875" i="29" s="1"/>
  <c r="W2963" i="29"/>
  <c r="X2963" i="29" s="1"/>
  <c r="W3007" i="29"/>
  <c r="X3007" i="29" s="1"/>
  <c r="W3125" i="29"/>
  <c r="X3125" i="29" s="1"/>
  <c r="W3278" i="29"/>
  <c r="X3278" i="29" s="1"/>
  <c r="W2778" i="29"/>
  <c r="X2778" i="29" s="1"/>
  <c r="W3019" i="29"/>
  <c r="X3019" i="29" s="1"/>
  <c r="W3137" i="29"/>
  <c r="X3137" i="29" s="1"/>
  <c r="W2531" i="29"/>
  <c r="X2531" i="29" s="1"/>
  <c r="W2554" i="29"/>
  <c r="X2554" i="29" s="1"/>
  <c r="W2559" i="29"/>
  <c r="X2559" i="29" s="1"/>
  <c r="W2246" i="29"/>
  <c r="X2246" i="29" s="1"/>
  <c r="W2548" i="29"/>
  <c r="X2548" i="29" s="1"/>
  <c r="W2339" i="29"/>
  <c r="X2339" i="29" s="1"/>
  <c r="W2372" i="29"/>
  <c r="X2372" i="29" s="1"/>
  <c r="W2648" i="29"/>
  <c r="X2648" i="29" s="1"/>
  <c r="W2263" i="29"/>
  <c r="X2263" i="29" s="1"/>
  <c r="W2354" i="29"/>
  <c r="X2354" i="29" s="1"/>
  <c r="W2597" i="29"/>
  <c r="X2597" i="29" s="1"/>
  <c r="W2282" i="29"/>
  <c r="X2282" i="29" s="1"/>
  <c r="W2482" i="29"/>
  <c r="X2482" i="29" s="1"/>
  <c r="W2526" i="29"/>
  <c r="X2526" i="29" s="1"/>
  <c r="W2556" i="29"/>
  <c r="X2556" i="29" s="1"/>
  <c r="W2614" i="29"/>
  <c r="X2614" i="29" s="1"/>
  <c r="W1663" i="29"/>
  <c r="X1663" i="29" s="1"/>
  <c r="W1877" i="29"/>
  <c r="X1877" i="29" s="1"/>
  <c r="W2069" i="29"/>
  <c r="X2069" i="29" s="1"/>
  <c r="W2157" i="29"/>
  <c r="X2157" i="29" s="1"/>
  <c r="W2037" i="29"/>
  <c r="X2037" i="29" s="1"/>
  <c r="W2065" i="29"/>
  <c r="X2065" i="29" s="1"/>
  <c r="W1671" i="29"/>
  <c r="X1671" i="29" s="1"/>
  <c r="W1945" i="29"/>
  <c r="X1945" i="29" s="1"/>
  <c r="W1975" i="29"/>
  <c r="X1975" i="29" s="1"/>
  <c r="W2165" i="29"/>
  <c r="X2165" i="29" s="1"/>
  <c r="W1894" i="29"/>
  <c r="X1894" i="29" s="1"/>
  <c r="W1908" i="29"/>
  <c r="X1908" i="29" s="1"/>
  <c r="W1660" i="29"/>
  <c r="X1660" i="29" s="1"/>
  <c r="W1890" i="29"/>
  <c r="X1890" i="29" s="1"/>
  <c r="W2043" i="29"/>
  <c r="X2043" i="29" s="1"/>
  <c r="W2131" i="29"/>
  <c r="X2131" i="29" s="1"/>
  <c r="W2147" i="29"/>
  <c r="X2147" i="29" s="1"/>
  <c r="W2161" i="29"/>
  <c r="X2161" i="29" s="1"/>
  <c r="W1705" i="29"/>
  <c r="X1705" i="29" s="1"/>
  <c r="W1930" i="29"/>
  <c r="X1930" i="29" s="1"/>
  <c r="W1193" i="29"/>
  <c r="X1193" i="29" s="1"/>
  <c r="W1281" i="29"/>
  <c r="X1281" i="29" s="1"/>
  <c r="W1457" i="29"/>
  <c r="X1457" i="29" s="1"/>
  <c r="W1571" i="29"/>
  <c r="X1571" i="29" s="1"/>
  <c r="W1312" i="29"/>
  <c r="X1312" i="29" s="1"/>
  <c r="W1546" i="29"/>
  <c r="X1546" i="29" s="1"/>
  <c r="W1248" i="29"/>
  <c r="X1248" i="29" s="1"/>
  <c r="W1336" i="29"/>
  <c r="X1336" i="29" s="1"/>
  <c r="W1424" i="29"/>
  <c r="X1424" i="29" s="1"/>
  <c r="W1433" i="29"/>
  <c r="X1433" i="29" s="1"/>
  <c r="W1438" i="29"/>
  <c r="X1438" i="29" s="1"/>
  <c r="W1609" i="29"/>
  <c r="X1609" i="29" s="1"/>
  <c r="W1260" i="29"/>
  <c r="X1260" i="29" s="1"/>
  <c r="W1290" i="29"/>
  <c r="X1290" i="29" s="1"/>
  <c r="W1061" i="29"/>
  <c r="X1061" i="29" s="1"/>
  <c r="W1064" i="29"/>
  <c r="X1064" i="29" s="1"/>
  <c r="W1011" i="29"/>
  <c r="X1011" i="29" s="1"/>
  <c r="W1092" i="29"/>
  <c r="X1092" i="29" s="1"/>
  <c r="W620" i="29"/>
  <c r="X620" i="29" s="1"/>
  <c r="W931" i="29"/>
  <c r="X931" i="29" s="1"/>
  <c r="W1014" i="29"/>
  <c r="X1014" i="29" s="1"/>
  <c r="W1093" i="29"/>
  <c r="X1093" i="29" s="1"/>
  <c r="W570" i="29"/>
  <c r="X570" i="29" s="1"/>
  <c r="W630" i="29"/>
  <c r="X630" i="29" s="1"/>
  <c r="W1026" i="29"/>
  <c r="X1026" i="29" s="1"/>
  <c r="W371" i="29"/>
  <c r="X371" i="29" s="1"/>
  <c r="W475" i="29"/>
  <c r="X475" i="29" s="1"/>
  <c r="W489" i="29"/>
  <c r="X489" i="29" s="1"/>
  <c r="W503" i="29"/>
  <c r="X503" i="29" s="1"/>
  <c r="W200" i="29"/>
  <c r="X200" i="29" s="1"/>
  <c r="W624" i="29"/>
  <c r="X624" i="29" s="1"/>
  <c r="W277" i="29"/>
  <c r="X277" i="29" s="1"/>
  <c r="W664" i="29"/>
  <c r="X664" i="29" s="1"/>
  <c r="W157" i="29"/>
  <c r="X157" i="29" s="1"/>
  <c r="W185" i="29"/>
  <c r="X185" i="29" s="1"/>
  <c r="W273" i="29"/>
  <c r="X273" i="29" s="1"/>
  <c r="W289" i="29"/>
  <c r="X289" i="29" s="1"/>
  <c r="W558" i="29"/>
  <c r="X558" i="29" s="1"/>
  <c r="W588" i="29"/>
  <c r="X588" i="29" s="1"/>
  <c r="W1555" i="29"/>
  <c r="X1555" i="29" s="1"/>
  <c r="W2619" i="29"/>
  <c r="X2619" i="29" s="1"/>
  <c r="W3894" i="29"/>
  <c r="X3894" i="29" s="1"/>
  <c r="W4392" i="29"/>
  <c r="X4392" i="29" s="1"/>
  <c r="W1570" i="29"/>
  <c r="X1570" i="29" s="1"/>
  <c r="W3283" i="29"/>
  <c r="X3283" i="29" s="1"/>
  <c r="W3577" i="29"/>
  <c r="X3577" i="29" s="1"/>
  <c r="W3781" i="29"/>
  <c r="X3781" i="29" s="1"/>
  <c r="W3861" i="29"/>
  <c r="X3861" i="29" s="1"/>
  <c r="W4485" i="29"/>
  <c r="X4485" i="29" s="1"/>
  <c r="W4666" i="29"/>
  <c r="X4666" i="29" s="1"/>
  <c r="W4946" i="29"/>
  <c r="X4946" i="29" s="1"/>
  <c r="W5044" i="29"/>
  <c r="X5044" i="29" s="1"/>
  <c r="W2951" i="29"/>
  <c r="X2951" i="29" s="1"/>
  <c r="W3610" i="29"/>
  <c r="X3610" i="29" s="1"/>
  <c r="W2566" i="29"/>
  <c r="X2566" i="29" s="1"/>
  <c r="W1054" i="29"/>
  <c r="X1054" i="29" s="1"/>
  <c r="W2533" i="29"/>
  <c r="X2533" i="29" s="1"/>
  <c r="W2621" i="29"/>
  <c r="X2621" i="29" s="1"/>
  <c r="W3886" i="29"/>
  <c r="X3886" i="29" s="1"/>
  <c r="W4072" i="29"/>
  <c r="X4072" i="29" s="1"/>
  <c r="W4092" i="29"/>
  <c r="X4092" i="29" s="1"/>
  <c r="W5517" i="29"/>
  <c r="X5517" i="29" s="1"/>
  <c r="W2629" i="29"/>
  <c r="X2629" i="29" s="1"/>
  <c r="W4873" i="29"/>
  <c r="X4873" i="29" s="1"/>
  <c r="W191" i="29"/>
  <c r="X191" i="29" s="1"/>
  <c r="W261" i="29"/>
  <c r="X261" i="29" s="1"/>
  <c r="W321" i="29"/>
  <c r="X321" i="29" s="1"/>
  <c r="W339" i="29"/>
  <c r="X339" i="29" s="1"/>
  <c r="W457" i="29"/>
  <c r="X457" i="29" s="1"/>
  <c r="W761" i="29"/>
  <c r="X761" i="29" s="1"/>
  <c r="W779" i="29"/>
  <c r="X779" i="29" s="1"/>
  <c r="W789" i="29"/>
  <c r="X789" i="29" s="1"/>
  <c r="W927" i="29"/>
  <c r="X927" i="29" s="1"/>
  <c r="W1028" i="29"/>
  <c r="X1028" i="29" s="1"/>
  <c r="W1086" i="29"/>
  <c r="X1086" i="29" s="1"/>
  <c r="W1207" i="29"/>
  <c r="X1207" i="29" s="1"/>
  <c r="W1325" i="29"/>
  <c r="X1325" i="29" s="1"/>
  <c r="W1471" i="29"/>
  <c r="X1471" i="29" s="1"/>
  <c r="W1521" i="29"/>
  <c r="X1521" i="29" s="1"/>
  <c r="W1733" i="29"/>
  <c r="X1733" i="29" s="1"/>
  <c r="W1775" i="29"/>
  <c r="X1775" i="29" s="1"/>
  <c r="W1778" i="29"/>
  <c r="X1778" i="29" s="1"/>
  <c r="W1813" i="29"/>
  <c r="X1813" i="29" s="1"/>
  <c r="W1964" i="29"/>
  <c r="X1964" i="29" s="1"/>
  <c r="W1984" i="29"/>
  <c r="X1984" i="29" s="1"/>
  <c r="W2014" i="29"/>
  <c r="X2014" i="29" s="1"/>
  <c r="W2203" i="29"/>
  <c r="X2203" i="29" s="1"/>
  <c r="W2223" i="29"/>
  <c r="X2223" i="29" s="1"/>
  <c r="W2271" i="29"/>
  <c r="X2271" i="29" s="1"/>
  <c r="W2314" i="29"/>
  <c r="X2314" i="29" s="1"/>
  <c r="W2457" i="29"/>
  <c r="X2457" i="29" s="1"/>
  <c r="W2673" i="29"/>
  <c r="X2673" i="29" s="1"/>
  <c r="W2691" i="29"/>
  <c r="X2691" i="29" s="1"/>
  <c r="W2721" i="29"/>
  <c r="X2721" i="29" s="1"/>
  <c r="W2731" i="29"/>
  <c r="X2731" i="29" s="1"/>
  <c r="W2761" i="29"/>
  <c r="X2761" i="29" s="1"/>
  <c r="W2829" i="29"/>
  <c r="X2829" i="29" s="1"/>
  <c r="W2970" i="29"/>
  <c r="X2970" i="29" s="1"/>
  <c r="W3637" i="29"/>
  <c r="X3637" i="29" s="1"/>
  <c r="W3647" i="29"/>
  <c r="X3647" i="29" s="1"/>
  <c r="W3654" i="29"/>
  <c r="X3654" i="29" s="1"/>
  <c r="W3682" i="29"/>
  <c r="X3682" i="29" s="1"/>
  <c r="W3752" i="29"/>
  <c r="X3752" i="29" s="1"/>
  <c r="W3795" i="29"/>
  <c r="X3795" i="29" s="1"/>
  <c r="W3800" i="29"/>
  <c r="X3800" i="29" s="1"/>
  <c r="W3888" i="29"/>
  <c r="X3888" i="29" s="1"/>
  <c r="W3946" i="29"/>
  <c r="X3946" i="29" s="1"/>
  <c r="W4094" i="29"/>
  <c r="X4094" i="29" s="1"/>
  <c r="W4293" i="29"/>
  <c r="X4293" i="29" s="1"/>
  <c r="W4338" i="29"/>
  <c r="X4338" i="29" s="1"/>
  <c r="W4386" i="29"/>
  <c r="X4386" i="29" s="1"/>
  <c r="W4504" i="29"/>
  <c r="X4504" i="29" s="1"/>
  <c r="W4562" i="29"/>
  <c r="X4562" i="29" s="1"/>
  <c r="W4766" i="29"/>
  <c r="X4766" i="29" s="1"/>
  <c r="W4809" i="29"/>
  <c r="X4809" i="29" s="1"/>
  <c r="W4965" i="29"/>
  <c r="X4965" i="29" s="1"/>
  <c r="W4995" i="29"/>
  <c r="X4995" i="29" s="1"/>
  <c r="W5013" i="29"/>
  <c r="X5013" i="29" s="1"/>
  <c r="W5038" i="29"/>
  <c r="X5038" i="29" s="1"/>
  <c r="W5043" i="29"/>
  <c r="X5043" i="29" s="1"/>
  <c r="W5232" i="29"/>
  <c r="X5232" i="29" s="1"/>
  <c r="W3834" i="29"/>
  <c r="X3834" i="29" s="1"/>
  <c r="W4433" i="29"/>
  <c r="X4433" i="29" s="1"/>
  <c r="W4461" i="29"/>
  <c r="X4461" i="29" s="1"/>
  <c r="W4700" i="29"/>
  <c r="X4700" i="29" s="1"/>
  <c r="W4892" i="29"/>
  <c r="X4892" i="29" s="1"/>
  <c r="W4922" i="29"/>
  <c r="X4922" i="29" s="1"/>
  <c r="W4980" i="29"/>
  <c r="X4980" i="29" s="1"/>
  <c r="W5010" i="29"/>
  <c r="X5010" i="29" s="1"/>
  <c r="W217" i="29"/>
  <c r="X217" i="29" s="1"/>
  <c r="W3718" i="29"/>
  <c r="X3718" i="29" s="1"/>
  <c r="W1907" i="29"/>
  <c r="X1907" i="29" s="1"/>
  <c r="W1083" i="29"/>
  <c r="X1083" i="29" s="1"/>
  <c r="W1224" i="29"/>
  <c r="X1224" i="29" s="1"/>
  <c r="W1400" i="29"/>
  <c r="X1400" i="29" s="1"/>
  <c r="W1478" i="29"/>
  <c r="X1478" i="29" s="1"/>
  <c r="W2029" i="29"/>
  <c r="X2029" i="29" s="1"/>
  <c r="W2336" i="29"/>
  <c r="X2336" i="29" s="1"/>
  <c r="W2610" i="29"/>
  <c r="X2610" i="29" s="1"/>
  <c r="W3010" i="29"/>
  <c r="X3010" i="29" s="1"/>
  <c r="W3118" i="29"/>
  <c r="X3118" i="29" s="1"/>
  <c r="W3148" i="29"/>
  <c r="X3148" i="29" s="1"/>
  <c r="W3181" i="29"/>
  <c r="X3181" i="29" s="1"/>
  <c r="W3186" i="29"/>
  <c r="X3186" i="29" s="1"/>
  <c r="W3239" i="29"/>
  <c r="X3239" i="29" s="1"/>
  <c r="W3317" i="29"/>
  <c r="X3317" i="29" s="1"/>
  <c r="W3445" i="29"/>
  <c r="X3445" i="29" s="1"/>
  <c r="W1515" i="29"/>
  <c r="X1515" i="29" s="1"/>
  <c r="W5545" i="29"/>
  <c r="X5545" i="29" s="1"/>
  <c r="W114" i="29"/>
  <c r="X114" i="29" s="1"/>
  <c r="W124" i="29"/>
  <c r="X124" i="29" s="1"/>
  <c r="W142" i="29"/>
  <c r="X142" i="29" s="1"/>
  <c r="W182" i="29"/>
  <c r="X182" i="29" s="1"/>
  <c r="W212" i="29"/>
  <c r="X212" i="29" s="1"/>
  <c r="W388" i="29"/>
  <c r="X388" i="29" s="1"/>
  <c r="W426" i="29"/>
  <c r="X426" i="29" s="1"/>
  <c r="W514" i="29"/>
  <c r="X514" i="29" s="1"/>
  <c r="W554" i="29"/>
  <c r="X554" i="29" s="1"/>
  <c r="W632" i="29"/>
  <c r="X632" i="29" s="1"/>
  <c r="W720" i="29"/>
  <c r="X720" i="29" s="1"/>
  <c r="W1050" i="29"/>
  <c r="X1050" i="29" s="1"/>
  <c r="W1118" i="29"/>
  <c r="X1118" i="29" s="1"/>
  <c r="W1168" i="29"/>
  <c r="X1168" i="29" s="1"/>
  <c r="W1274" i="29"/>
  <c r="X1274" i="29" s="1"/>
  <c r="W1297" i="29"/>
  <c r="X1297" i="29" s="1"/>
  <c r="W1314" i="29"/>
  <c r="X1314" i="29" s="1"/>
  <c r="W1490" i="29"/>
  <c r="X1490" i="29" s="1"/>
  <c r="W1528" i="29"/>
  <c r="X1528" i="29" s="1"/>
  <c r="W1581" i="29"/>
  <c r="X1581" i="29" s="1"/>
  <c r="W1631" i="29"/>
  <c r="X1631" i="29" s="1"/>
  <c r="W1707" i="29"/>
  <c r="X1707" i="29" s="1"/>
  <c r="W2109" i="29"/>
  <c r="X2109" i="29" s="1"/>
  <c r="W2273" i="29"/>
  <c r="X2273" i="29" s="1"/>
  <c r="W2318" i="29"/>
  <c r="X2318" i="29" s="1"/>
  <c r="W2409" i="29"/>
  <c r="X2409" i="29" s="1"/>
  <c r="W2592" i="29"/>
  <c r="X2592" i="29" s="1"/>
  <c r="W2906" i="29"/>
  <c r="X2906" i="29" s="1"/>
  <c r="W2964" i="29"/>
  <c r="X2964" i="29" s="1"/>
  <c r="W3261" i="29"/>
  <c r="X3261" i="29" s="1"/>
  <c r="W3301" i="29"/>
  <c r="X3301" i="29" s="1"/>
  <c r="W3311" i="29"/>
  <c r="X3311" i="29" s="1"/>
  <c r="W3319" i="29"/>
  <c r="X3319" i="29" s="1"/>
  <c r="W3359" i="29"/>
  <c r="X3359" i="29" s="1"/>
  <c r="W3369" i="29"/>
  <c r="X3369" i="29" s="1"/>
  <c r="W3417" i="29"/>
  <c r="X3417" i="29" s="1"/>
  <c r="W3457" i="29"/>
  <c r="X3457" i="29" s="1"/>
  <c r="W3515" i="29"/>
  <c r="X3515" i="29" s="1"/>
  <c r="W3535" i="29"/>
  <c r="X3535" i="29" s="1"/>
  <c r="W3555" i="29"/>
  <c r="X3555" i="29" s="1"/>
  <c r="W3613" i="29"/>
  <c r="X3613" i="29" s="1"/>
  <c r="W4063" i="29"/>
  <c r="X4063" i="29" s="1"/>
  <c r="W4106" i="29"/>
  <c r="X4106" i="29" s="1"/>
  <c r="W4181" i="29"/>
  <c r="X4181" i="29" s="1"/>
  <c r="W4214" i="29"/>
  <c r="X4214" i="29" s="1"/>
  <c r="W4232" i="29"/>
  <c r="X4232" i="29" s="1"/>
  <c r="W4239" i="29"/>
  <c r="X4239" i="29" s="1"/>
  <c r="W4503" i="29"/>
  <c r="X4503" i="29" s="1"/>
  <c r="W4543" i="29"/>
  <c r="X4543" i="29" s="1"/>
  <c r="W4614" i="29"/>
  <c r="X4614" i="29" s="1"/>
  <c r="W4866" i="29"/>
  <c r="X4866" i="29" s="1"/>
  <c r="W5055" i="29"/>
  <c r="X5055" i="29" s="1"/>
  <c r="W5062" i="29"/>
  <c r="X5062" i="29" s="1"/>
  <c r="W5085" i="29"/>
  <c r="X5085" i="29" s="1"/>
  <c r="W5105" i="29"/>
  <c r="X5105" i="29" s="1"/>
  <c r="W5284" i="29"/>
  <c r="X5284" i="29" s="1"/>
  <c r="W5342" i="29"/>
  <c r="X5342" i="29" s="1"/>
  <c r="W5392" i="29"/>
  <c r="X5392" i="29" s="1"/>
  <c r="W5541" i="29"/>
  <c r="X5541" i="29" s="1"/>
  <c r="W5528" i="29"/>
  <c r="X5528" i="29" s="1"/>
  <c r="W5544" i="29"/>
  <c r="X5544" i="29" s="1"/>
  <c r="W5584" i="29"/>
  <c r="X5584" i="29" s="1"/>
  <c r="W5600" i="29"/>
  <c r="X5600" i="29" s="1"/>
  <c r="W5605" i="29"/>
  <c r="X5605" i="29" s="1"/>
  <c r="W5629" i="29"/>
  <c r="X5629" i="29" s="1"/>
  <c r="W5613" i="29"/>
  <c r="X5613" i="29" s="1"/>
  <c r="W5627" i="29"/>
  <c r="X5627" i="29" s="1"/>
  <c r="W4977" i="29"/>
  <c r="X4977" i="29" s="1"/>
  <c r="W5021" i="29"/>
  <c r="X5021" i="29" s="1"/>
  <c r="W5060" i="29"/>
  <c r="X5060" i="29" s="1"/>
  <c r="W5083" i="29"/>
  <c r="X5083" i="29" s="1"/>
  <c r="W5243" i="29"/>
  <c r="X5243" i="29" s="1"/>
  <c r="W5273" i="29"/>
  <c r="X5273" i="29" s="1"/>
  <c r="W5428" i="29"/>
  <c r="X5428" i="29" s="1"/>
  <c r="W5502" i="29"/>
  <c r="X5502" i="29" s="1"/>
  <c r="W5033" i="29"/>
  <c r="X5033" i="29" s="1"/>
  <c r="W5049" i="29"/>
  <c r="X5049" i="29" s="1"/>
  <c r="W5079" i="29"/>
  <c r="X5079" i="29" s="1"/>
  <c r="W5264" i="29"/>
  <c r="X5264" i="29" s="1"/>
  <c r="W5271" i="29"/>
  <c r="X5271" i="29" s="1"/>
  <c r="W5352" i="29"/>
  <c r="X5352" i="29" s="1"/>
  <c r="W5396" i="29"/>
  <c r="X5396" i="29" s="1"/>
  <c r="W5077" i="29"/>
  <c r="X5077" i="29" s="1"/>
  <c r="W5253" i="29"/>
  <c r="X5253" i="29" s="1"/>
  <c r="W5269" i="29"/>
  <c r="X5269" i="29" s="1"/>
  <c r="W5283" i="29"/>
  <c r="X5283" i="29" s="1"/>
  <c r="W5408" i="29"/>
  <c r="X5408" i="29" s="1"/>
  <c r="W5505" i="29"/>
  <c r="X5505" i="29" s="1"/>
  <c r="W5142" i="29"/>
  <c r="X5142" i="29" s="1"/>
  <c r="W5172" i="29"/>
  <c r="X5172" i="29" s="1"/>
  <c r="W5230" i="29"/>
  <c r="X5230" i="29" s="1"/>
  <c r="W5371" i="29"/>
  <c r="X5371" i="29" s="1"/>
  <c r="W5385" i="29"/>
  <c r="X5385" i="29" s="1"/>
  <c r="W5011" i="29"/>
  <c r="X5011" i="29" s="1"/>
  <c r="W5205" i="29"/>
  <c r="X5205" i="29" s="1"/>
  <c r="W5263" i="29"/>
  <c r="X5263" i="29" s="1"/>
  <c r="W5302" i="29"/>
  <c r="X5302" i="29" s="1"/>
  <c r="W5404" i="29"/>
  <c r="X5404" i="29" s="1"/>
  <c r="W5478" i="29"/>
  <c r="X5478" i="29" s="1"/>
  <c r="W5296" i="29"/>
  <c r="X5296" i="29" s="1"/>
  <c r="W5335" i="29"/>
  <c r="X5335" i="29" s="1"/>
  <c r="W4441" i="29"/>
  <c r="X4441" i="29" s="1"/>
  <c r="W4501" i="29"/>
  <c r="X4501" i="29" s="1"/>
  <c r="W4538" i="29"/>
  <c r="X4538" i="29" s="1"/>
  <c r="W4570" i="29"/>
  <c r="X4570" i="29" s="1"/>
  <c r="W4681" i="29"/>
  <c r="X4681" i="29" s="1"/>
  <c r="W4764" i="29"/>
  <c r="X4764" i="29" s="1"/>
  <c r="W4787" i="29"/>
  <c r="X4787" i="29" s="1"/>
  <c r="W4831" i="29"/>
  <c r="X4831" i="29" s="1"/>
  <c r="W4903" i="29"/>
  <c r="X4903" i="29" s="1"/>
  <c r="W4919" i="29"/>
  <c r="X4919" i="29" s="1"/>
  <c r="W4947" i="29"/>
  <c r="X4947" i="29" s="1"/>
  <c r="W4963" i="29"/>
  <c r="X4963" i="29" s="1"/>
  <c r="W4483" i="29"/>
  <c r="X4483" i="29" s="1"/>
  <c r="W4499" i="29"/>
  <c r="X4499" i="29" s="1"/>
  <c r="W4577" i="29"/>
  <c r="X4577" i="29" s="1"/>
  <c r="W4635" i="29"/>
  <c r="X4635" i="29" s="1"/>
  <c r="W4693" i="29"/>
  <c r="X4693" i="29" s="1"/>
  <c r="W4799" i="29"/>
  <c r="X4799" i="29" s="1"/>
  <c r="W4813" i="29"/>
  <c r="X4813" i="29" s="1"/>
  <c r="W4917" i="29"/>
  <c r="X4917" i="29" s="1"/>
  <c r="W4423" i="29"/>
  <c r="X4423" i="29" s="1"/>
  <c r="W4451" i="29"/>
  <c r="X4451" i="29" s="1"/>
  <c r="W4557" i="29"/>
  <c r="X4557" i="29" s="1"/>
  <c r="W4721" i="29"/>
  <c r="X4721" i="29" s="1"/>
  <c r="W4749" i="29"/>
  <c r="X4749" i="29" s="1"/>
  <c r="W4758" i="29"/>
  <c r="X4758" i="29" s="1"/>
  <c r="W4767" i="29"/>
  <c r="X4767" i="29" s="1"/>
  <c r="W4774" i="29"/>
  <c r="X4774" i="29" s="1"/>
  <c r="W4797" i="29"/>
  <c r="X4797" i="29" s="1"/>
  <c r="W4966" i="29"/>
  <c r="X4966" i="29" s="1"/>
  <c r="W4472" i="29"/>
  <c r="X4472" i="29" s="1"/>
  <c r="W4638" i="29"/>
  <c r="X4638" i="29" s="1"/>
  <c r="W4484" i="29"/>
  <c r="X4484" i="29" s="1"/>
  <c r="W4532" i="29"/>
  <c r="X4532" i="29" s="1"/>
  <c r="W4569" i="29"/>
  <c r="X4569" i="29" s="1"/>
  <c r="W4710" i="29"/>
  <c r="X4710" i="29" s="1"/>
  <c r="W4830" i="29"/>
  <c r="X4830" i="29" s="1"/>
  <c r="W4867" i="29"/>
  <c r="X4867" i="29" s="1"/>
  <c r="W4888" i="29"/>
  <c r="X4888" i="29" s="1"/>
  <c r="W4897" i="29"/>
  <c r="X4897" i="29" s="1"/>
  <c r="W4932" i="29"/>
  <c r="X4932" i="29" s="1"/>
  <c r="W4477" i="29"/>
  <c r="X4477" i="29" s="1"/>
  <c r="W4496" i="29"/>
  <c r="X4496" i="29" s="1"/>
  <c r="W4521" i="29"/>
  <c r="X4521" i="29" s="1"/>
  <c r="W4708" i="29"/>
  <c r="X4708" i="29" s="1"/>
  <c r="W4459" i="29"/>
  <c r="X4459" i="29" s="1"/>
  <c r="W4494" i="29"/>
  <c r="X4494" i="29" s="1"/>
  <c r="W4510" i="29"/>
  <c r="X4510" i="29" s="1"/>
  <c r="W4517" i="29"/>
  <c r="X4517" i="29" s="1"/>
  <c r="W4533" i="29"/>
  <c r="X4533" i="29" s="1"/>
  <c r="W4579" i="29"/>
  <c r="X4579" i="29" s="1"/>
  <c r="W4632" i="29"/>
  <c r="X4632" i="29" s="1"/>
  <c r="W4669" i="29"/>
  <c r="X4669" i="29" s="1"/>
  <c r="W4704" i="29"/>
  <c r="X4704" i="29" s="1"/>
  <c r="W4713" i="29"/>
  <c r="X4713" i="29" s="1"/>
  <c r="W4847" i="29"/>
  <c r="X4847" i="29" s="1"/>
  <c r="W4868" i="29"/>
  <c r="X4868" i="29" s="1"/>
  <c r="W4898" i="29"/>
  <c r="X4898" i="29" s="1"/>
  <c r="W4015" i="29"/>
  <c r="X4015" i="29" s="1"/>
  <c r="W4059" i="29"/>
  <c r="X4059" i="29" s="1"/>
  <c r="W4117" i="29"/>
  <c r="X4117" i="29" s="1"/>
  <c r="W4219" i="29"/>
  <c r="X4219" i="29" s="1"/>
  <c r="W4279" i="29"/>
  <c r="X4279" i="29" s="1"/>
  <c r="W4078" i="29"/>
  <c r="X4078" i="29" s="1"/>
  <c r="W3944" i="29"/>
  <c r="X3944" i="29" s="1"/>
  <c r="W3988" i="29"/>
  <c r="X3988" i="29" s="1"/>
  <c r="W4018" i="29"/>
  <c r="X4018" i="29" s="1"/>
  <c r="W4048" i="29"/>
  <c r="X4048" i="29" s="1"/>
  <c r="W4173" i="29"/>
  <c r="X4173" i="29" s="1"/>
  <c r="W4261" i="29"/>
  <c r="X4261" i="29" s="1"/>
  <c r="W3979" i="29"/>
  <c r="X3979" i="29" s="1"/>
  <c r="W4083" i="29"/>
  <c r="X4083" i="29" s="1"/>
  <c r="W4097" i="29"/>
  <c r="X4097" i="29" s="1"/>
  <c r="W4111" i="29"/>
  <c r="X4111" i="29" s="1"/>
  <c r="W4155" i="29"/>
  <c r="X4155" i="29" s="1"/>
  <c r="W4185" i="29"/>
  <c r="X4185" i="29" s="1"/>
  <c r="W4215" i="29"/>
  <c r="X4215" i="29" s="1"/>
  <c r="W4229" i="29"/>
  <c r="X4229" i="29" s="1"/>
  <c r="W4326" i="29"/>
  <c r="X4326" i="29" s="1"/>
  <c r="W3986" i="29"/>
  <c r="X3986" i="29" s="1"/>
  <c r="W4176" i="29"/>
  <c r="X4176" i="29" s="1"/>
  <c r="W4400" i="29"/>
  <c r="X4400" i="29" s="1"/>
  <c r="W3896" i="29"/>
  <c r="X3896" i="29" s="1"/>
  <c r="W3984" i="29"/>
  <c r="X3984" i="29" s="1"/>
  <c r="W4174" i="29"/>
  <c r="X4174" i="29" s="1"/>
  <c r="W4345" i="29"/>
  <c r="X4345" i="29" s="1"/>
  <c r="W3952" i="29"/>
  <c r="X3952" i="29" s="1"/>
  <c r="W4084" i="29"/>
  <c r="X4084" i="29" s="1"/>
  <c r="W4158" i="29"/>
  <c r="X4158" i="29" s="1"/>
  <c r="W4341" i="29"/>
  <c r="X4341" i="29" s="1"/>
  <c r="W4198" i="29"/>
  <c r="X4198" i="29" s="1"/>
  <c r="W4258" i="29"/>
  <c r="X4258" i="29" s="1"/>
  <c r="W4281" i="29"/>
  <c r="X4281" i="29" s="1"/>
  <c r="W4309" i="29"/>
  <c r="X4309" i="29" s="1"/>
  <c r="W4339" i="29"/>
  <c r="X4339" i="29" s="1"/>
  <c r="W3360" i="29"/>
  <c r="X3360" i="29" s="1"/>
  <c r="W3390" i="29"/>
  <c r="X3390" i="29" s="1"/>
  <c r="W3448" i="29"/>
  <c r="X3448" i="29" s="1"/>
  <c r="W3700" i="29"/>
  <c r="X3700" i="29" s="1"/>
  <c r="W3428" i="29"/>
  <c r="X3428" i="29" s="1"/>
  <c r="W3458" i="29"/>
  <c r="X3458" i="29" s="1"/>
  <c r="W3502" i="29"/>
  <c r="X3502" i="29" s="1"/>
  <c r="W3833" i="29"/>
  <c r="X3833" i="29" s="1"/>
  <c r="W3847" i="29"/>
  <c r="X3847" i="29" s="1"/>
  <c r="W3324" i="29"/>
  <c r="X3324" i="29" s="1"/>
  <c r="W3352" i="29"/>
  <c r="X3352" i="29" s="1"/>
  <c r="W3382" i="29"/>
  <c r="X3382" i="29" s="1"/>
  <c r="W3500" i="29"/>
  <c r="X3500" i="29" s="1"/>
  <c r="W3514" i="29"/>
  <c r="X3514" i="29" s="1"/>
  <c r="W3537" i="29"/>
  <c r="X3537" i="29" s="1"/>
  <c r="W3602" i="29"/>
  <c r="X3602" i="29" s="1"/>
  <c r="W3625" i="29"/>
  <c r="X3625" i="29" s="1"/>
  <c r="W3678" i="29"/>
  <c r="X3678" i="29" s="1"/>
  <c r="W3713" i="29"/>
  <c r="X3713" i="29" s="1"/>
  <c r="W3824" i="29"/>
  <c r="X3824" i="29" s="1"/>
  <c r="W3831" i="29"/>
  <c r="X3831" i="29" s="1"/>
  <c r="W3345" i="29"/>
  <c r="X3345" i="29" s="1"/>
  <c r="W3482" i="29"/>
  <c r="X3482" i="29" s="1"/>
  <c r="W3505" i="29"/>
  <c r="X3505" i="29" s="1"/>
  <c r="W3556" i="29"/>
  <c r="X3556" i="29" s="1"/>
  <c r="W3697" i="29"/>
  <c r="X3697" i="29" s="1"/>
  <c r="W3720" i="29"/>
  <c r="X3720" i="29" s="1"/>
  <c r="W3533" i="29"/>
  <c r="X3533" i="29" s="1"/>
  <c r="W3776" i="29"/>
  <c r="X3776" i="29" s="1"/>
  <c r="W3415" i="29"/>
  <c r="X3415" i="29" s="1"/>
  <c r="W3422" i="29"/>
  <c r="X3422" i="29" s="1"/>
  <c r="W3554" i="29"/>
  <c r="X3554" i="29" s="1"/>
  <c r="W3723" i="29"/>
  <c r="X3723" i="29" s="1"/>
  <c r="W2897" i="29"/>
  <c r="X2897" i="29" s="1"/>
  <c r="W2950" i="29"/>
  <c r="X2950" i="29" s="1"/>
  <c r="W2955" i="29"/>
  <c r="X2955" i="29" s="1"/>
  <c r="W3029" i="29"/>
  <c r="X3029" i="29" s="1"/>
  <c r="W3059" i="29"/>
  <c r="X3059" i="29" s="1"/>
  <c r="W3117" i="29"/>
  <c r="X3117" i="29" s="1"/>
  <c r="W3258" i="29"/>
  <c r="X3258" i="29" s="1"/>
  <c r="W3286" i="29"/>
  <c r="X3286" i="29" s="1"/>
  <c r="W2904" i="29"/>
  <c r="X2904" i="29" s="1"/>
  <c r="W2962" i="29"/>
  <c r="X2962" i="29" s="1"/>
  <c r="W2851" i="29"/>
  <c r="X2851" i="29" s="1"/>
  <c r="W3041" i="29"/>
  <c r="X3041" i="29" s="1"/>
  <c r="W2789" i="29"/>
  <c r="X2789" i="29" s="1"/>
  <c r="W2995" i="29"/>
  <c r="X2995" i="29" s="1"/>
  <c r="W3009" i="29"/>
  <c r="X3009" i="29" s="1"/>
  <c r="W3039" i="29"/>
  <c r="X3039" i="29" s="1"/>
  <c r="W3097" i="29"/>
  <c r="X3097" i="29" s="1"/>
  <c r="W3173" i="29"/>
  <c r="X3173" i="29" s="1"/>
  <c r="W3305" i="29"/>
  <c r="X3305" i="29" s="1"/>
  <c r="W2928" i="29"/>
  <c r="X2928" i="29" s="1"/>
  <c r="W3016" i="29"/>
  <c r="X3016" i="29" s="1"/>
  <c r="W3074" i="29"/>
  <c r="X3074" i="29" s="1"/>
  <c r="W3185" i="29"/>
  <c r="X3185" i="29" s="1"/>
  <c r="W3259" i="29"/>
  <c r="X3259" i="29" s="1"/>
  <c r="W3289" i="29"/>
  <c r="X3289" i="29" s="1"/>
  <c r="W2889" i="29"/>
  <c r="X2889" i="29" s="1"/>
  <c r="W2896" i="29"/>
  <c r="X2896" i="29" s="1"/>
  <c r="W2954" i="29"/>
  <c r="X2954" i="29" s="1"/>
  <c r="W2977" i="29"/>
  <c r="X2977" i="29" s="1"/>
  <c r="W3086" i="29"/>
  <c r="X3086" i="29" s="1"/>
  <c r="W2786" i="29"/>
  <c r="X2786" i="29" s="1"/>
  <c r="W3213" i="29"/>
  <c r="X3213" i="29" s="1"/>
  <c r="W2790" i="29"/>
  <c r="X2790" i="29" s="1"/>
  <c r="W2864" i="29"/>
  <c r="X2864" i="29" s="1"/>
  <c r="W2908" i="29"/>
  <c r="X2908" i="29" s="1"/>
  <c r="W2966" i="29"/>
  <c r="X2966" i="29" s="1"/>
  <c r="W2996" i="29"/>
  <c r="X2996" i="29" s="1"/>
  <c r="W3253" i="29"/>
  <c r="X3253" i="29" s="1"/>
  <c r="W3290" i="29"/>
  <c r="X3290" i="29" s="1"/>
  <c r="W2313" i="29"/>
  <c r="X2313" i="29" s="1"/>
  <c r="W2281" i="29"/>
  <c r="X2281" i="29" s="1"/>
  <c r="W2358" i="29"/>
  <c r="X2358" i="29" s="1"/>
  <c r="W2386" i="29"/>
  <c r="X2386" i="29" s="1"/>
  <c r="W2504" i="29"/>
  <c r="X2504" i="29" s="1"/>
  <c r="W2747" i="29"/>
  <c r="X2747" i="29" s="1"/>
  <c r="W2763" i="29"/>
  <c r="X2763" i="29" s="1"/>
  <c r="W2360" i="29"/>
  <c r="X2360" i="29" s="1"/>
  <c r="W2330" i="29"/>
  <c r="X2330" i="29" s="1"/>
  <c r="W2231" i="29"/>
  <c r="X2231" i="29" s="1"/>
  <c r="W2328" i="29"/>
  <c r="X2328" i="29" s="1"/>
  <c r="W2375" i="29"/>
  <c r="X2375" i="29" s="1"/>
  <c r="W2391" i="29"/>
  <c r="X2391" i="29" s="1"/>
  <c r="W2523" i="29"/>
  <c r="X2523" i="29" s="1"/>
  <c r="W2558" i="29"/>
  <c r="X2558" i="29" s="1"/>
  <c r="W2657" i="29"/>
  <c r="X2657" i="29" s="1"/>
  <c r="W2745" i="29"/>
  <c r="X2745" i="29" s="1"/>
  <c r="W2543" i="29"/>
  <c r="X2543" i="29" s="1"/>
  <c r="W2587" i="29"/>
  <c r="X2587" i="29" s="1"/>
  <c r="W2238" i="29"/>
  <c r="X2238" i="29" s="1"/>
  <c r="W2609" i="29"/>
  <c r="X2609" i="29" s="1"/>
  <c r="W2764" i="29"/>
  <c r="X2764" i="29" s="1"/>
  <c r="W2230" i="29"/>
  <c r="X2230" i="29" s="1"/>
  <c r="W2220" i="29"/>
  <c r="X2220" i="29" s="1"/>
  <c r="W2317" i="29"/>
  <c r="X2317" i="29" s="1"/>
  <c r="W2454" i="29"/>
  <c r="X2454" i="29" s="1"/>
  <c r="W2519" i="29"/>
  <c r="X2519" i="29" s="1"/>
  <c r="W2741" i="29"/>
  <c r="X2741" i="29" s="1"/>
  <c r="W2308" i="29"/>
  <c r="X2308" i="29" s="1"/>
  <c r="W2688" i="29"/>
  <c r="X2688" i="29" s="1"/>
  <c r="W2746" i="29"/>
  <c r="X2746" i="29" s="1"/>
  <c r="W2292" i="29"/>
  <c r="X2292" i="29" s="1"/>
  <c r="W2383" i="29"/>
  <c r="X2383" i="29" s="1"/>
  <c r="W2397" i="29"/>
  <c r="X2397" i="29" s="1"/>
  <c r="W2624" i="29"/>
  <c r="X2624" i="29" s="1"/>
  <c r="W2647" i="29"/>
  <c r="X2647" i="29" s="1"/>
  <c r="W2670" i="29"/>
  <c r="X2670" i="29" s="1"/>
  <c r="W2730" i="29"/>
  <c r="X2730" i="29" s="1"/>
  <c r="W1647" i="29"/>
  <c r="X1647" i="29" s="1"/>
  <c r="W1923" i="29"/>
  <c r="X1923" i="29" s="1"/>
  <c r="W1120" i="29"/>
  <c r="X1120" i="29" s="1"/>
  <c r="W1173" i="29"/>
  <c r="X1173" i="29" s="1"/>
  <c r="W1621" i="29"/>
  <c r="X1621" i="29" s="1"/>
  <c r="W1665" i="29"/>
  <c r="X1665" i="29" s="1"/>
  <c r="W1689" i="29"/>
  <c r="X1689" i="29" s="1"/>
  <c r="W1703" i="29"/>
  <c r="X1703" i="29" s="1"/>
  <c r="W1763" i="29"/>
  <c r="X1763" i="29" s="1"/>
  <c r="W1918" i="29"/>
  <c r="X1918" i="29" s="1"/>
  <c r="W1985" i="29"/>
  <c r="X1985" i="29" s="1"/>
  <c r="W2154" i="29"/>
  <c r="X2154" i="29" s="1"/>
  <c r="W2202" i="29"/>
  <c r="X2202" i="29" s="1"/>
  <c r="W2006" i="29"/>
  <c r="X2006" i="29" s="1"/>
  <c r="W1206" i="29"/>
  <c r="X1206" i="29" s="1"/>
  <c r="W1250" i="29"/>
  <c r="X1250" i="29" s="1"/>
  <c r="W1303" i="29"/>
  <c r="X1303" i="29" s="1"/>
  <c r="W1347" i="29"/>
  <c r="X1347" i="29" s="1"/>
  <c r="W1352" i="29"/>
  <c r="X1352" i="29" s="1"/>
  <c r="W1370" i="29"/>
  <c r="X1370" i="29" s="1"/>
  <c r="W1379" i="29"/>
  <c r="X1379" i="29" s="1"/>
  <c r="W1384" i="29"/>
  <c r="X1384" i="29" s="1"/>
  <c r="W1414" i="29"/>
  <c r="X1414" i="29" s="1"/>
  <c r="W1437" i="29"/>
  <c r="X1437" i="29" s="1"/>
  <c r="W1548" i="29"/>
  <c r="X1548" i="29" s="1"/>
  <c r="W1578" i="29"/>
  <c r="X1578" i="29" s="1"/>
  <c r="W1701" i="29"/>
  <c r="X1701" i="29" s="1"/>
  <c r="W1706" i="29"/>
  <c r="X1706" i="29" s="1"/>
  <c r="W1722" i="29"/>
  <c r="X1722" i="29" s="1"/>
  <c r="W1736" i="29"/>
  <c r="X1736" i="29" s="1"/>
  <c r="W1974" i="29"/>
  <c r="X1974" i="29" s="1"/>
  <c r="W1405" i="29"/>
  <c r="X1405" i="29" s="1"/>
  <c r="W1622" i="29"/>
  <c r="X1622" i="29" s="1"/>
  <c r="W1636" i="29"/>
  <c r="X1636" i="29" s="1"/>
  <c r="W1683" i="29"/>
  <c r="X1683" i="29" s="1"/>
  <c r="W1875" i="29"/>
  <c r="X1875" i="29" s="1"/>
  <c r="W1937" i="29"/>
  <c r="X1937" i="29" s="1"/>
  <c r="W2076" i="29"/>
  <c r="X2076" i="29" s="1"/>
  <c r="W2182" i="29"/>
  <c r="X2182" i="29" s="1"/>
  <c r="W1116" i="29"/>
  <c r="X1116" i="29" s="1"/>
  <c r="W1257" i="29"/>
  <c r="X1257" i="29" s="1"/>
  <c r="W1361" i="29"/>
  <c r="X1361" i="29" s="1"/>
  <c r="W1128" i="29"/>
  <c r="X1128" i="29" s="1"/>
  <c r="W1142" i="29"/>
  <c r="X1142" i="29" s="1"/>
  <c r="W1165" i="29"/>
  <c r="X1165" i="29" s="1"/>
  <c r="W1216" i="29"/>
  <c r="X1216" i="29" s="1"/>
  <c r="W1283" i="29"/>
  <c r="X1283" i="29" s="1"/>
  <c r="W1327" i="29"/>
  <c r="X1327" i="29" s="1"/>
  <c r="W1412" i="29"/>
  <c r="X1412" i="29" s="1"/>
  <c r="W1484" i="29"/>
  <c r="X1484" i="29" s="1"/>
  <c r="W1516" i="29"/>
  <c r="X1516" i="29" s="1"/>
  <c r="W1576" i="29"/>
  <c r="X1576" i="29" s="1"/>
  <c r="W1734" i="29"/>
  <c r="X1734" i="29" s="1"/>
  <c r="W1882" i="29"/>
  <c r="X1882" i="29" s="1"/>
  <c r="W1910" i="29"/>
  <c r="X1910" i="29" s="1"/>
  <c r="W1977" i="29"/>
  <c r="X1977" i="29" s="1"/>
  <c r="W2000" i="29"/>
  <c r="X2000" i="29" s="1"/>
  <c r="W2007" i="29"/>
  <c r="X2007" i="29" s="1"/>
  <c r="W2088" i="29"/>
  <c r="X2088" i="29" s="1"/>
  <c r="W2187" i="29"/>
  <c r="X2187" i="29" s="1"/>
  <c r="W1149" i="29"/>
  <c r="X1149" i="29" s="1"/>
  <c r="W1394" i="29"/>
  <c r="X1394" i="29" s="1"/>
  <c r="W1855" i="29"/>
  <c r="X1855" i="29" s="1"/>
  <c r="W1940" i="29"/>
  <c r="X1940" i="29" s="1"/>
  <c r="W2102" i="29"/>
  <c r="X2102" i="29" s="1"/>
  <c r="W1198" i="29"/>
  <c r="X1198" i="29" s="1"/>
  <c r="W1330" i="29"/>
  <c r="X1330" i="29" s="1"/>
  <c r="W1436" i="29"/>
  <c r="X1436" i="29" s="1"/>
  <c r="W1454" i="29"/>
  <c r="X1454" i="29" s="1"/>
  <c r="W1512" i="29"/>
  <c r="X1512" i="29" s="1"/>
  <c r="W1653" i="29"/>
  <c r="X1653" i="29" s="1"/>
  <c r="W1765" i="29"/>
  <c r="X1765" i="29" s="1"/>
  <c r="W1774" i="29"/>
  <c r="X1774" i="29" s="1"/>
  <c r="W1779" i="29"/>
  <c r="X1779" i="29" s="1"/>
  <c r="W1876" i="29"/>
  <c r="X1876" i="29" s="1"/>
  <c r="W1922" i="29"/>
  <c r="X1922" i="29" s="1"/>
  <c r="W1938" i="29"/>
  <c r="X1938" i="29" s="1"/>
  <c r="W1989" i="29"/>
  <c r="X1989" i="29" s="1"/>
  <c r="W2010" i="29"/>
  <c r="X2010" i="29" s="1"/>
  <c r="W2063" i="29"/>
  <c r="X2063" i="29" s="1"/>
  <c r="W2183" i="29"/>
  <c r="X2183" i="29" s="1"/>
  <c r="W1171" i="29"/>
  <c r="X1171" i="29" s="1"/>
  <c r="W1566" i="29"/>
  <c r="X1566" i="29" s="1"/>
  <c r="W1383" i="29"/>
  <c r="X1383" i="29" s="1"/>
  <c r="W1427" i="29"/>
  <c r="X1427" i="29" s="1"/>
  <c r="W1450" i="29"/>
  <c r="X1450" i="29" s="1"/>
  <c r="W1466" i="29"/>
  <c r="X1466" i="29" s="1"/>
  <c r="W1691" i="29"/>
  <c r="X1691" i="29" s="1"/>
  <c r="W1786" i="29"/>
  <c r="X1786" i="29" s="1"/>
  <c r="W1844" i="29"/>
  <c r="X1844" i="29" s="1"/>
  <c r="W2135" i="29"/>
  <c r="X2135" i="29" s="1"/>
  <c r="W579" i="29"/>
  <c r="X579" i="29" s="1"/>
  <c r="W609" i="29"/>
  <c r="X609" i="29" s="1"/>
  <c r="W697" i="29"/>
  <c r="X697" i="29" s="1"/>
  <c r="W711" i="29"/>
  <c r="X711" i="29" s="1"/>
  <c r="W845" i="29"/>
  <c r="X845" i="29" s="1"/>
  <c r="W949" i="29"/>
  <c r="X949" i="29" s="1"/>
  <c r="W954" i="29"/>
  <c r="X954" i="29" s="1"/>
  <c r="W970" i="29"/>
  <c r="X970" i="29" s="1"/>
  <c r="W977" i="29"/>
  <c r="X977" i="29" s="1"/>
  <c r="W984" i="29"/>
  <c r="X984" i="29" s="1"/>
  <c r="W998" i="29"/>
  <c r="X998" i="29" s="1"/>
  <c r="W577" i="29"/>
  <c r="X577" i="29" s="1"/>
  <c r="W695" i="29"/>
  <c r="X695" i="29" s="1"/>
  <c r="W702" i="29"/>
  <c r="X702" i="29" s="1"/>
  <c r="W709" i="29"/>
  <c r="X709" i="29" s="1"/>
  <c r="W723" i="29"/>
  <c r="X723" i="29" s="1"/>
  <c r="W762" i="29"/>
  <c r="X762" i="29" s="1"/>
  <c r="W1010" i="29"/>
  <c r="X1010" i="29" s="1"/>
  <c r="W619" i="29"/>
  <c r="X619" i="29" s="1"/>
  <c r="W987" i="29"/>
  <c r="X987" i="29" s="1"/>
  <c r="W689" i="29"/>
  <c r="X689" i="29" s="1"/>
  <c r="W733" i="29"/>
  <c r="X733" i="29" s="1"/>
  <c r="W742" i="29"/>
  <c r="X742" i="29" s="1"/>
  <c r="W756" i="29"/>
  <c r="X756" i="29" s="1"/>
  <c r="W772" i="29"/>
  <c r="X772" i="29" s="1"/>
  <c r="W786" i="29"/>
  <c r="X786" i="29" s="1"/>
  <c r="W800" i="29"/>
  <c r="X800" i="29" s="1"/>
  <c r="W830" i="29"/>
  <c r="X830" i="29" s="1"/>
  <c r="W844" i="29"/>
  <c r="X844" i="29" s="1"/>
  <c r="W860" i="29"/>
  <c r="X860" i="29" s="1"/>
  <c r="W874" i="29"/>
  <c r="X874" i="29" s="1"/>
  <c r="W904" i="29"/>
  <c r="X904" i="29" s="1"/>
  <c r="W911" i="29"/>
  <c r="X911" i="29" s="1"/>
  <c r="W629" i="29"/>
  <c r="X629" i="29" s="1"/>
  <c r="W701" i="29"/>
  <c r="X701" i="29" s="1"/>
  <c r="W740" i="29"/>
  <c r="X740" i="29" s="1"/>
  <c r="W798" i="29"/>
  <c r="X798" i="29" s="1"/>
  <c r="W812" i="29"/>
  <c r="X812" i="29" s="1"/>
  <c r="W828" i="29"/>
  <c r="X828" i="29" s="1"/>
  <c r="W835" i="29"/>
  <c r="X835" i="29" s="1"/>
  <c r="W856" i="29"/>
  <c r="X856" i="29" s="1"/>
  <c r="W872" i="29"/>
  <c r="X872" i="29" s="1"/>
  <c r="W900" i="29"/>
  <c r="X900" i="29" s="1"/>
  <c r="W939" i="29"/>
  <c r="X939" i="29" s="1"/>
  <c r="W944" i="29"/>
  <c r="X944" i="29" s="1"/>
  <c r="W581" i="29"/>
  <c r="X581" i="29" s="1"/>
  <c r="W669" i="29"/>
  <c r="X669" i="29" s="1"/>
  <c r="W685" i="29"/>
  <c r="X685" i="29" s="1"/>
  <c r="W713" i="29"/>
  <c r="X713" i="29" s="1"/>
  <c r="W729" i="29"/>
  <c r="X729" i="29" s="1"/>
  <c r="W752" i="29"/>
  <c r="X752" i="29" s="1"/>
  <c r="W796" i="29"/>
  <c r="X796" i="29" s="1"/>
  <c r="W810" i="29"/>
  <c r="X810" i="29" s="1"/>
  <c r="W824" i="29"/>
  <c r="X824" i="29" s="1"/>
  <c r="W840" i="29"/>
  <c r="X840" i="29" s="1"/>
  <c r="W854" i="29"/>
  <c r="X854" i="29" s="1"/>
  <c r="W884" i="29"/>
  <c r="X884" i="29" s="1"/>
  <c r="W912" i="29"/>
  <c r="X912" i="29" s="1"/>
  <c r="W951" i="29"/>
  <c r="X951" i="29" s="1"/>
  <c r="W477" i="29"/>
  <c r="X477" i="29" s="1"/>
  <c r="W466" i="29"/>
  <c r="X466" i="29" s="1"/>
  <c r="W510" i="29"/>
  <c r="X510" i="29" s="1"/>
  <c r="W443" i="29"/>
  <c r="X443" i="29" s="1"/>
  <c r="W543" i="29"/>
  <c r="X543" i="29" s="1"/>
  <c r="W444" i="29"/>
  <c r="X444" i="29" s="1"/>
  <c r="W532" i="29"/>
  <c r="X532" i="29" s="1"/>
  <c r="W479" i="29"/>
  <c r="X479" i="29" s="1"/>
  <c r="W493" i="29"/>
  <c r="X493" i="29" s="1"/>
  <c r="W509" i="29"/>
  <c r="X509" i="29" s="1"/>
  <c r="W406" i="29"/>
  <c r="X406" i="29" s="1"/>
  <c r="W422" i="29"/>
  <c r="X422" i="29" s="1"/>
  <c r="W436" i="29"/>
  <c r="X436" i="29" s="1"/>
  <c r="W349" i="29"/>
  <c r="X349" i="29" s="1"/>
  <c r="W377" i="29"/>
  <c r="X377" i="29" s="1"/>
  <c r="W295" i="29"/>
  <c r="X295" i="29" s="1"/>
  <c r="W325" i="29"/>
  <c r="X325" i="29" s="1"/>
  <c r="W263" i="29"/>
  <c r="X263" i="29" s="1"/>
  <c r="W279" i="29"/>
  <c r="X279" i="29" s="1"/>
  <c r="W240" i="29"/>
  <c r="X240" i="29" s="1"/>
  <c r="W256" i="29"/>
  <c r="X256" i="29" s="1"/>
  <c r="W224" i="29"/>
  <c r="X224" i="29" s="1"/>
  <c r="W250" i="29"/>
  <c r="X250" i="29" s="1"/>
  <c r="W211" i="29"/>
  <c r="X211" i="29" s="1"/>
  <c r="W214" i="29"/>
  <c r="X214" i="29" s="1"/>
  <c r="W147" i="29"/>
  <c r="X147" i="29" s="1"/>
  <c r="W257" i="29"/>
  <c r="X257" i="29" s="1"/>
  <c r="W266" i="29"/>
  <c r="X266" i="29" s="1"/>
  <c r="W285" i="29"/>
  <c r="X285" i="29" s="1"/>
  <c r="W292" i="29"/>
  <c r="X292" i="29" s="1"/>
  <c r="W318" i="29"/>
  <c r="X318" i="29" s="1"/>
  <c r="W378" i="29"/>
  <c r="X378" i="29" s="1"/>
  <c r="W235" i="29"/>
  <c r="X235" i="29" s="1"/>
  <c r="W258" i="29"/>
  <c r="X258" i="29" s="1"/>
  <c r="W316" i="29"/>
  <c r="X316" i="29" s="1"/>
  <c r="W390" i="29"/>
  <c r="X390" i="29" s="1"/>
  <c r="W404" i="29"/>
  <c r="X404" i="29" s="1"/>
  <c r="W420" i="29"/>
  <c r="X420" i="29" s="1"/>
  <c r="W434" i="29"/>
  <c r="X434" i="29" s="1"/>
  <c r="W323" i="29"/>
  <c r="X323" i="29" s="1"/>
  <c r="W337" i="29"/>
  <c r="X337" i="29" s="1"/>
  <c r="W416" i="29"/>
  <c r="X416" i="29" s="1"/>
  <c r="W425" i="29"/>
  <c r="X425" i="29" s="1"/>
  <c r="W437" i="29"/>
  <c r="X437" i="29" s="1"/>
  <c r="W296" i="29"/>
  <c r="X296" i="29" s="1"/>
  <c r="W822" i="29"/>
  <c r="X822" i="29" s="1"/>
  <c r="W829" i="29"/>
  <c r="X829" i="29" s="1"/>
  <c r="W867" i="29"/>
  <c r="X867" i="29" s="1"/>
  <c r="W882" i="29"/>
  <c r="X882" i="29" s="1"/>
  <c r="W887" i="29"/>
  <c r="X887" i="29" s="1"/>
  <c r="W943" i="29"/>
  <c r="X943" i="29" s="1"/>
  <c r="W948" i="29"/>
  <c r="X948" i="29" s="1"/>
  <c r="W966" i="29"/>
  <c r="X966" i="29" s="1"/>
  <c r="W973" i="29"/>
  <c r="X973" i="29" s="1"/>
  <c r="W993" i="29"/>
  <c r="X993" i="29" s="1"/>
  <c r="W1080" i="29"/>
  <c r="X1080" i="29" s="1"/>
  <c r="W1141" i="29"/>
  <c r="X1141" i="29" s="1"/>
  <c r="W1231" i="29"/>
  <c r="X1231" i="29" s="1"/>
  <c r="W1251" i="29"/>
  <c r="X1251" i="29" s="1"/>
  <c r="W1261" i="29"/>
  <c r="X1261" i="29" s="1"/>
  <c r="W1264" i="29"/>
  <c r="X1264" i="29" s="1"/>
  <c r="W1348" i="29"/>
  <c r="X1348" i="29" s="1"/>
  <c r="W1381" i="29"/>
  <c r="X1381" i="29" s="1"/>
  <c r="W1483" i="29"/>
  <c r="X1483" i="29" s="1"/>
  <c r="W1524" i="29"/>
  <c r="X1524" i="29" s="1"/>
  <c r="W1537" i="29"/>
  <c r="X1537" i="29" s="1"/>
  <c r="W1588" i="29"/>
  <c r="X1588" i="29" s="1"/>
  <c r="W1611" i="29"/>
  <c r="X1611" i="29" s="1"/>
  <c r="W1641" i="29"/>
  <c r="X1641" i="29" s="1"/>
  <c r="W1644" i="29"/>
  <c r="X1644" i="29" s="1"/>
  <c r="W1649" i="29"/>
  <c r="X1649" i="29" s="1"/>
  <c r="W1669" i="29"/>
  <c r="X1669" i="29" s="1"/>
  <c r="W1725" i="29"/>
  <c r="X1725" i="29" s="1"/>
  <c r="W1904" i="29"/>
  <c r="X1904" i="29" s="1"/>
  <c r="W1992" i="29"/>
  <c r="X1992" i="29" s="1"/>
  <c r="W2038" i="29"/>
  <c r="X2038" i="29" s="1"/>
  <c r="W2500" i="29"/>
  <c r="X2500" i="29" s="1"/>
  <c r="W523" i="29"/>
  <c r="X523" i="29" s="1"/>
  <c r="W710" i="29"/>
  <c r="X710" i="29" s="1"/>
  <c r="W366" i="29"/>
  <c r="X366" i="29" s="1"/>
  <c r="W647" i="29"/>
  <c r="X647" i="29" s="1"/>
  <c r="W680" i="29"/>
  <c r="X680" i="29" s="1"/>
  <c r="W769" i="29"/>
  <c r="X769" i="29" s="1"/>
  <c r="W179" i="29"/>
  <c r="X179" i="29" s="1"/>
  <c r="W237" i="29"/>
  <c r="X237" i="29" s="1"/>
  <c r="W260" i="29"/>
  <c r="X260" i="29" s="1"/>
  <c r="W310" i="29"/>
  <c r="X310" i="29" s="1"/>
  <c r="W368" i="29"/>
  <c r="X368" i="29" s="1"/>
  <c r="W459" i="29"/>
  <c r="X459" i="29" s="1"/>
  <c r="W469" i="29"/>
  <c r="X469" i="29" s="1"/>
  <c r="W492" i="29"/>
  <c r="X492" i="29" s="1"/>
  <c r="W502" i="29"/>
  <c r="X502" i="29" s="1"/>
  <c r="W515" i="29"/>
  <c r="X515" i="29" s="1"/>
  <c r="W525" i="29"/>
  <c r="X525" i="29" s="1"/>
  <c r="W555" i="29"/>
  <c r="X555" i="29" s="1"/>
  <c r="W591" i="29"/>
  <c r="X591" i="29" s="1"/>
  <c r="W674" i="29"/>
  <c r="X674" i="29" s="1"/>
  <c r="W677" i="29"/>
  <c r="X677" i="29" s="1"/>
  <c r="W687" i="29"/>
  <c r="X687" i="29" s="1"/>
  <c r="W692" i="29"/>
  <c r="X692" i="29" s="1"/>
  <c r="W730" i="29"/>
  <c r="X730" i="29" s="1"/>
  <c r="W746" i="29"/>
  <c r="X746" i="29" s="1"/>
  <c r="W753" i="29"/>
  <c r="X753" i="29" s="1"/>
  <c r="W894" i="29"/>
  <c r="X894" i="29" s="1"/>
  <c r="W899" i="29"/>
  <c r="X899" i="29" s="1"/>
  <c r="W955" i="29"/>
  <c r="X955" i="29" s="1"/>
  <c r="W995" i="29"/>
  <c r="X995" i="29" s="1"/>
  <c r="W1008" i="29"/>
  <c r="X1008" i="29" s="1"/>
  <c r="W1018" i="29"/>
  <c r="X1018" i="29" s="1"/>
  <c r="W1036" i="29"/>
  <c r="X1036" i="29" s="1"/>
  <c r="W1044" i="29"/>
  <c r="X1044" i="29" s="1"/>
  <c r="W1069" i="29"/>
  <c r="X1069" i="29" s="1"/>
  <c r="W1077" i="29"/>
  <c r="X1077" i="29" s="1"/>
  <c r="W1087" i="29"/>
  <c r="X1087" i="29" s="1"/>
  <c r="W1105" i="29"/>
  <c r="X1105" i="29" s="1"/>
  <c r="W1125" i="29"/>
  <c r="X1125" i="29" s="1"/>
  <c r="W1143" i="29"/>
  <c r="X1143" i="29" s="1"/>
  <c r="W1184" i="29"/>
  <c r="X1184" i="29" s="1"/>
  <c r="W1194" i="29"/>
  <c r="X1194" i="29" s="1"/>
  <c r="W1217" i="29"/>
  <c r="X1217" i="29" s="1"/>
  <c r="W1273" i="29"/>
  <c r="X1273" i="29" s="1"/>
  <c r="W1317" i="29"/>
  <c r="X1317" i="29" s="1"/>
  <c r="W1340" i="29"/>
  <c r="X1340" i="29" s="1"/>
  <c r="W1363" i="29"/>
  <c r="X1363" i="29" s="1"/>
  <c r="W1368" i="29"/>
  <c r="X1368" i="29" s="1"/>
  <c r="W1378" i="29"/>
  <c r="X1378" i="29" s="1"/>
  <c r="W1396" i="29"/>
  <c r="X1396" i="29" s="1"/>
  <c r="W1406" i="29"/>
  <c r="X1406" i="29" s="1"/>
  <c r="W1411" i="29"/>
  <c r="X1411" i="29" s="1"/>
  <c r="W1434" i="29"/>
  <c r="X1434" i="29" s="1"/>
  <c r="W1513" i="29"/>
  <c r="X1513" i="29" s="1"/>
  <c r="W1549" i="29"/>
  <c r="X1549" i="29" s="1"/>
  <c r="W1564" i="29"/>
  <c r="X1564" i="29" s="1"/>
  <c r="W1623" i="29"/>
  <c r="X1623" i="29" s="1"/>
  <c r="W1643" i="29"/>
  <c r="X1643" i="29" s="1"/>
  <c r="W1676" i="29"/>
  <c r="X1676" i="29" s="1"/>
  <c r="W1784" i="29"/>
  <c r="X1784" i="29" s="1"/>
  <c r="W1812" i="29"/>
  <c r="X1812" i="29" s="1"/>
  <c r="W1822" i="29"/>
  <c r="X1822" i="29" s="1"/>
  <c r="W1842" i="29"/>
  <c r="X1842" i="29" s="1"/>
  <c r="W1883" i="29"/>
  <c r="X1883" i="29" s="1"/>
  <c r="W1893" i="29"/>
  <c r="X1893" i="29" s="1"/>
  <c r="W1921" i="29"/>
  <c r="X1921" i="29" s="1"/>
  <c r="W2449" i="29"/>
  <c r="X2449" i="29" s="1"/>
  <c r="W359" i="29"/>
  <c r="X359" i="29" s="1"/>
  <c r="W382" i="29"/>
  <c r="X382" i="29" s="1"/>
  <c r="W141" i="29"/>
  <c r="X141" i="29" s="1"/>
  <c r="W151" i="29"/>
  <c r="X151" i="29" s="1"/>
  <c r="W201" i="29"/>
  <c r="X201" i="29" s="1"/>
  <c r="W219" i="29"/>
  <c r="X219" i="29" s="1"/>
  <c r="W249" i="29"/>
  <c r="X249" i="29" s="1"/>
  <c r="W272" i="29"/>
  <c r="X272" i="29" s="1"/>
  <c r="W302" i="29"/>
  <c r="X302" i="29" s="1"/>
  <c r="W312" i="29"/>
  <c r="X312" i="29" s="1"/>
  <c r="W370" i="29"/>
  <c r="X370" i="29" s="1"/>
  <c r="W393" i="29"/>
  <c r="X393" i="29" s="1"/>
  <c r="W403" i="29"/>
  <c r="X403" i="29" s="1"/>
  <c r="W423" i="29"/>
  <c r="X423" i="29" s="1"/>
  <c r="W433" i="29"/>
  <c r="X433" i="29" s="1"/>
  <c r="W476" i="29"/>
  <c r="X476" i="29" s="1"/>
  <c r="W504" i="29"/>
  <c r="X504" i="29" s="1"/>
  <c r="W537" i="29"/>
  <c r="X537" i="29" s="1"/>
  <c r="W557" i="29"/>
  <c r="X557" i="29" s="1"/>
  <c r="W567" i="29"/>
  <c r="X567" i="29" s="1"/>
  <c r="W623" i="29"/>
  <c r="X623" i="29" s="1"/>
  <c r="W636" i="29"/>
  <c r="X636" i="29" s="1"/>
  <c r="W643" i="29"/>
  <c r="X643" i="29" s="1"/>
  <c r="W656" i="29"/>
  <c r="X656" i="29" s="1"/>
  <c r="W663" i="29"/>
  <c r="X663" i="29" s="1"/>
  <c r="W765" i="29"/>
  <c r="X765" i="29" s="1"/>
  <c r="W775" i="29"/>
  <c r="X775" i="29" s="1"/>
  <c r="W795" i="29"/>
  <c r="X795" i="29" s="1"/>
  <c r="W813" i="29"/>
  <c r="X813" i="29" s="1"/>
  <c r="W853" i="29"/>
  <c r="X853" i="29" s="1"/>
  <c r="W873" i="29"/>
  <c r="X873" i="29" s="1"/>
  <c r="W942" i="29"/>
  <c r="X942" i="29" s="1"/>
  <c r="W972" i="29"/>
  <c r="X972" i="29" s="1"/>
  <c r="W1041" i="29"/>
  <c r="X1041" i="29" s="1"/>
  <c r="W1074" i="29"/>
  <c r="X1074" i="29" s="1"/>
  <c r="W1094" i="29"/>
  <c r="X1094" i="29" s="1"/>
  <c r="W1127" i="29"/>
  <c r="X1127" i="29" s="1"/>
  <c r="W1140" i="29"/>
  <c r="X1140" i="29" s="1"/>
  <c r="W1150" i="29"/>
  <c r="X1150" i="29" s="1"/>
  <c r="W1163" i="29"/>
  <c r="X1163" i="29" s="1"/>
  <c r="W1186" i="29"/>
  <c r="X1186" i="29" s="1"/>
  <c r="W1191" i="29"/>
  <c r="X1191" i="29" s="1"/>
  <c r="W1234" i="29"/>
  <c r="X1234" i="29" s="1"/>
  <c r="W1237" i="29"/>
  <c r="X1237" i="29" s="1"/>
  <c r="W1275" i="29"/>
  <c r="X1275" i="29" s="1"/>
  <c r="W1339" i="29"/>
  <c r="X1339" i="29" s="1"/>
  <c r="W1380" i="29"/>
  <c r="X1380" i="29" s="1"/>
  <c r="W1390" i="29"/>
  <c r="X1390" i="29" s="1"/>
  <c r="W1393" i="29"/>
  <c r="X1393" i="29" s="1"/>
  <c r="W1413" i="29"/>
  <c r="X1413" i="29" s="1"/>
  <c r="W1479" i="29"/>
  <c r="X1479" i="29" s="1"/>
  <c r="W1482" i="29"/>
  <c r="X1482" i="29" s="1"/>
  <c r="W1492" i="29"/>
  <c r="X1492" i="29" s="1"/>
  <c r="W1523" i="29"/>
  <c r="X1523" i="29" s="1"/>
  <c r="W1526" i="29"/>
  <c r="X1526" i="29" s="1"/>
  <c r="W1553" i="29"/>
  <c r="X1553" i="29" s="1"/>
  <c r="W1559" i="29"/>
  <c r="X1559" i="29" s="1"/>
  <c r="W1569" i="29"/>
  <c r="X1569" i="29" s="1"/>
  <c r="W1579" i="29"/>
  <c r="X1579" i="29" s="1"/>
  <c r="W1597" i="29"/>
  <c r="X1597" i="29" s="1"/>
  <c r="W1688" i="29"/>
  <c r="X1688" i="29" s="1"/>
  <c r="W1739" i="29"/>
  <c r="X1739" i="29" s="1"/>
  <c r="W1744" i="29"/>
  <c r="X1744" i="29" s="1"/>
  <c r="W2433" i="29"/>
  <c r="X2433" i="29" s="1"/>
  <c r="W115" i="29"/>
  <c r="X115" i="29" s="1"/>
  <c r="W148" i="29"/>
  <c r="X148" i="29" s="1"/>
  <c r="W163" i="29"/>
  <c r="X163" i="29" s="1"/>
  <c r="W183" i="29"/>
  <c r="X183" i="29" s="1"/>
  <c r="W193" i="29"/>
  <c r="X193" i="29" s="1"/>
  <c r="W203" i="29"/>
  <c r="X203" i="29" s="1"/>
  <c r="W213" i="29"/>
  <c r="X213" i="29" s="1"/>
  <c r="W223" i="29"/>
  <c r="X223" i="29" s="1"/>
  <c r="W251" i="29"/>
  <c r="X251" i="29" s="1"/>
  <c r="W294" i="29"/>
  <c r="X294" i="29" s="1"/>
  <c r="W400" i="29"/>
  <c r="X400" i="29" s="1"/>
  <c r="W445" i="29"/>
  <c r="X445" i="29" s="1"/>
  <c r="W478" i="29"/>
  <c r="X478" i="29" s="1"/>
  <c r="W511" i="29"/>
  <c r="X511" i="29" s="1"/>
  <c r="W524" i="29"/>
  <c r="X524" i="29" s="1"/>
  <c r="W549" i="29"/>
  <c r="X549" i="29" s="1"/>
  <c r="W564" i="29"/>
  <c r="X564" i="29" s="1"/>
  <c r="W597" i="29"/>
  <c r="X597" i="29" s="1"/>
  <c r="W607" i="29"/>
  <c r="X607" i="29" s="1"/>
  <c r="W610" i="29"/>
  <c r="X610" i="29" s="1"/>
  <c r="W698" i="29"/>
  <c r="X698" i="29" s="1"/>
  <c r="W739" i="29"/>
  <c r="X739" i="29" s="1"/>
  <c r="W757" i="29"/>
  <c r="X757" i="29" s="1"/>
  <c r="W895" i="29"/>
  <c r="X895" i="29" s="1"/>
  <c r="W905" i="29"/>
  <c r="X905" i="29" s="1"/>
  <c r="W908" i="29"/>
  <c r="X908" i="29" s="1"/>
  <c r="W923" i="29"/>
  <c r="X923" i="29" s="1"/>
  <c r="W934" i="29"/>
  <c r="X934" i="29" s="1"/>
  <c r="W961" i="29"/>
  <c r="X961" i="29" s="1"/>
  <c r="W971" i="29"/>
  <c r="X971" i="29" s="1"/>
  <c r="W1017" i="29"/>
  <c r="X1017" i="29" s="1"/>
  <c r="W1027" i="29"/>
  <c r="X1027" i="29" s="1"/>
  <c r="W1030" i="29"/>
  <c r="X1030" i="29" s="1"/>
  <c r="W1060" i="29"/>
  <c r="X1060" i="29" s="1"/>
  <c r="W1063" i="29"/>
  <c r="X1063" i="29" s="1"/>
  <c r="W1099" i="29"/>
  <c r="X1099" i="29" s="1"/>
  <c r="W1119" i="29"/>
  <c r="X1119" i="29" s="1"/>
  <c r="W1129" i="29"/>
  <c r="X1129" i="29" s="1"/>
  <c r="W1132" i="29"/>
  <c r="X1132" i="29" s="1"/>
  <c r="W1208" i="29"/>
  <c r="X1208" i="29" s="1"/>
  <c r="W1223" i="29"/>
  <c r="X1223" i="29" s="1"/>
  <c r="W1239" i="29"/>
  <c r="X1239" i="29" s="1"/>
  <c r="W1282" i="29"/>
  <c r="X1282" i="29" s="1"/>
  <c r="W1295" i="29"/>
  <c r="X1295" i="29" s="1"/>
  <c r="W1318" i="29"/>
  <c r="X1318" i="29" s="1"/>
  <c r="W1341" i="29"/>
  <c r="X1341" i="29" s="1"/>
  <c r="W1346" i="29"/>
  <c r="X1346" i="29" s="1"/>
  <c r="W1351" i="29"/>
  <c r="X1351" i="29" s="1"/>
  <c r="W1425" i="29"/>
  <c r="X1425" i="29" s="1"/>
  <c r="W1468" i="29"/>
  <c r="X1468" i="29" s="1"/>
  <c r="W1491" i="29"/>
  <c r="X1491" i="29" s="1"/>
  <c r="W1501" i="29"/>
  <c r="X1501" i="29" s="1"/>
  <c r="W1504" i="29"/>
  <c r="X1504" i="29" s="1"/>
  <c r="W1522" i="29"/>
  <c r="X1522" i="29" s="1"/>
  <c r="W1538" i="29"/>
  <c r="X1538" i="29" s="1"/>
  <c r="W1798" i="29"/>
  <c r="X1798" i="29" s="1"/>
  <c r="W1808" i="29"/>
  <c r="X1808" i="29" s="1"/>
  <c r="W1838" i="29"/>
  <c r="X1838" i="29" s="1"/>
  <c r="W1851" i="29"/>
  <c r="X1851" i="29" s="1"/>
  <c r="W1864" i="29"/>
  <c r="X1864" i="29" s="1"/>
  <c r="W1874" i="29"/>
  <c r="X1874" i="29" s="1"/>
  <c r="W2114" i="29"/>
  <c r="X2114" i="29" s="1"/>
  <c r="W2124" i="29"/>
  <c r="X2124" i="29" s="1"/>
  <c r="W2132" i="29"/>
  <c r="X2132" i="29" s="1"/>
  <c r="W2596" i="29"/>
  <c r="X2596" i="29" s="1"/>
  <c r="W1927" i="29"/>
  <c r="X1927" i="29" s="1"/>
  <c r="W1970" i="29"/>
  <c r="X1970" i="29" s="1"/>
  <c r="W1993" i="29"/>
  <c r="X1993" i="29" s="1"/>
  <c r="W2016" i="29"/>
  <c r="X2016" i="29" s="1"/>
  <c r="W2026" i="29"/>
  <c r="X2026" i="29" s="1"/>
  <c r="W2095" i="29"/>
  <c r="X2095" i="29" s="1"/>
  <c r="W2125" i="29"/>
  <c r="X2125" i="29" s="1"/>
  <c r="W2158" i="29"/>
  <c r="X2158" i="29" s="1"/>
  <c r="W2204" i="29"/>
  <c r="X2204" i="29" s="1"/>
  <c r="W2227" i="29"/>
  <c r="X2227" i="29" s="1"/>
  <c r="W2260" i="29"/>
  <c r="X2260" i="29" s="1"/>
  <c r="W2392" i="29"/>
  <c r="X2392" i="29" s="1"/>
  <c r="W2432" i="29"/>
  <c r="X2432" i="29" s="1"/>
  <c r="W2489" i="29"/>
  <c r="X2489" i="29" s="1"/>
  <c r="W2585" i="29"/>
  <c r="X2585" i="29" s="1"/>
  <c r="W2598" i="29"/>
  <c r="X2598" i="29" s="1"/>
  <c r="W2626" i="29"/>
  <c r="X2626" i="29" s="1"/>
  <c r="W2651" i="29"/>
  <c r="X2651" i="29" s="1"/>
  <c r="W2674" i="29"/>
  <c r="X2674" i="29" s="1"/>
  <c r="W2692" i="29"/>
  <c r="X2692" i="29" s="1"/>
  <c r="W2702" i="29"/>
  <c r="X2702" i="29" s="1"/>
  <c r="W2742" i="29"/>
  <c r="X2742" i="29" s="1"/>
  <c r="W2752" i="29"/>
  <c r="X2752" i="29" s="1"/>
  <c r="W2765" i="29"/>
  <c r="X2765" i="29" s="1"/>
  <c r="W2795" i="29"/>
  <c r="X2795" i="29" s="1"/>
  <c r="W2856" i="29"/>
  <c r="X2856" i="29" s="1"/>
  <c r="W2871" i="29"/>
  <c r="X2871" i="29" s="1"/>
  <c r="W2879" i="29"/>
  <c r="X2879" i="29" s="1"/>
  <c r="W2929" i="29"/>
  <c r="X2929" i="29" s="1"/>
  <c r="W2967" i="29"/>
  <c r="X2967" i="29" s="1"/>
  <c r="W2987" i="29"/>
  <c r="X2987" i="29" s="1"/>
  <c r="W3000" i="29"/>
  <c r="X3000" i="29" s="1"/>
  <c r="W3060" i="29"/>
  <c r="X3060" i="29" s="1"/>
  <c r="W3088" i="29"/>
  <c r="X3088" i="29" s="1"/>
  <c r="W3098" i="29"/>
  <c r="X3098" i="29" s="1"/>
  <c r="W3138" i="29"/>
  <c r="X3138" i="29" s="1"/>
  <c r="W3191" i="29"/>
  <c r="X3191" i="29" s="1"/>
  <c r="W3209" i="29"/>
  <c r="X3209" i="29" s="1"/>
  <c r="W3219" i="29"/>
  <c r="X3219" i="29" s="1"/>
  <c r="W3325" i="29"/>
  <c r="X3325" i="29" s="1"/>
  <c r="W3383" i="29"/>
  <c r="X3383" i="29" s="1"/>
  <c r="W3451" i="29"/>
  <c r="X3451" i="29" s="1"/>
  <c r="W3567" i="29"/>
  <c r="X3567" i="29" s="1"/>
  <c r="W3587" i="29"/>
  <c r="X3587" i="29" s="1"/>
  <c r="W3648" i="29"/>
  <c r="X3648" i="29" s="1"/>
  <c r="W3731" i="29"/>
  <c r="X3731" i="29" s="1"/>
  <c r="W3809" i="29"/>
  <c r="X3809" i="29" s="1"/>
  <c r="W4370" i="29"/>
  <c r="X4370" i="29" s="1"/>
  <c r="W4380" i="29"/>
  <c r="X4380" i="29" s="1"/>
  <c r="W4393" i="29"/>
  <c r="X4393" i="29" s="1"/>
  <c r="W4446" i="29"/>
  <c r="X4446" i="29" s="1"/>
  <c r="W4466" i="29"/>
  <c r="X4466" i="29" s="1"/>
  <c r="W1764" i="29"/>
  <c r="X1764" i="29" s="1"/>
  <c r="W1800" i="29"/>
  <c r="X1800" i="29" s="1"/>
  <c r="W1835" i="29"/>
  <c r="X1835" i="29" s="1"/>
  <c r="W1850" i="29"/>
  <c r="X1850" i="29" s="1"/>
  <c r="W1860" i="29"/>
  <c r="X1860" i="29" s="1"/>
  <c r="W1955" i="29"/>
  <c r="X1955" i="29" s="1"/>
  <c r="W2031" i="29"/>
  <c r="X2031" i="29" s="1"/>
  <c r="W2054" i="29"/>
  <c r="X2054" i="29" s="1"/>
  <c r="W2163" i="29"/>
  <c r="X2163" i="29" s="1"/>
  <c r="W2216" i="29"/>
  <c r="X2216" i="29" s="1"/>
  <c r="W2267" i="29"/>
  <c r="X2267" i="29" s="1"/>
  <c r="W2270" i="29"/>
  <c r="X2270" i="29" s="1"/>
  <c r="W2285" i="29"/>
  <c r="X2285" i="29" s="1"/>
  <c r="W2305" i="29"/>
  <c r="X2305" i="29" s="1"/>
  <c r="W2315" i="29"/>
  <c r="X2315" i="29" s="1"/>
  <c r="W2361" i="29"/>
  <c r="X2361" i="29" s="1"/>
  <c r="W2364" i="29"/>
  <c r="X2364" i="29" s="1"/>
  <c r="W2394" i="29"/>
  <c r="X2394" i="29" s="1"/>
  <c r="W2424" i="29"/>
  <c r="X2424" i="29" s="1"/>
  <c r="W2445" i="29"/>
  <c r="X2445" i="29" s="1"/>
  <c r="W2465" i="29"/>
  <c r="X2465" i="29" s="1"/>
  <c r="W2475" i="29"/>
  <c r="X2475" i="29" s="1"/>
  <c r="W2570" i="29"/>
  <c r="X2570" i="29" s="1"/>
  <c r="W2633" i="29"/>
  <c r="X2633" i="29" s="1"/>
  <c r="W2656" i="29"/>
  <c r="X2656" i="29" s="1"/>
  <c r="W2659" i="29"/>
  <c r="X2659" i="29" s="1"/>
  <c r="W2679" i="29"/>
  <c r="X2679" i="29" s="1"/>
  <c r="W2686" i="29"/>
  <c r="X2686" i="29" s="1"/>
  <c r="W2724" i="29"/>
  <c r="X2724" i="29" s="1"/>
  <c r="W2744" i="29"/>
  <c r="X2744" i="29" s="1"/>
  <c r="W2787" i="29"/>
  <c r="X2787" i="29" s="1"/>
  <c r="W2797" i="29"/>
  <c r="X2797" i="29" s="1"/>
  <c r="W2827" i="29"/>
  <c r="X2827" i="29" s="1"/>
  <c r="W2835" i="29"/>
  <c r="X2835" i="29" s="1"/>
  <c r="W2863" i="29"/>
  <c r="X2863" i="29" s="1"/>
  <c r="W2868" i="29"/>
  <c r="X2868" i="29" s="1"/>
  <c r="W2876" i="29"/>
  <c r="X2876" i="29" s="1"/>
  <c r="W2941" i="29"/>
  <c r="X2941" i="29" s="1"/>
  <c r="W2961" i="29"/>
  <c r="X2961" i="29" s="1"/>
  <c r="W3014" i="29"/>
  <c r="X3014" i="29" s="1"/>
  <c r="W3032" i="29"/>
  <c r="X3032" i="29" s="1"/>
  <c r="W3052" i="29"/>
  <c r="X3052" i="29" s="1"/>
  <c r="W3062" i="29"/>
  <c r="X3062" i="29" s="1"/>
  <c r="W3082" i="29"/>
  <c r="X3082" i="29" s="1"/>
  <c r="W3102" i="29"/>
  <c r="X3102" i="29" s="1"/>
  <c r="W3223" i="29"/>
  <c r="X3223" i="29" s="1"/>
  <c r="W3231" i="29"/>
  <c r="X3231" i="29" s="1"/>
  <c r="W3251" i="29"/>
  <c r="X3251" i="29" s="1"/>
  <c r="W3425" i="29"/>
  <c r="X3425" i="29" s="1"/>
  <c r="W3478" i="29"/>
  <c r="X3478" i="29" s="1"/>
  <c r="W3506" i="29"/>
  <c r="X3506" i="29" s="1"/>
  <c r="W3521" i="29"/>
  <c r="X3521" i="29" s="1"/>
  <c r="W3685" i="29"/>
  <c r="X3685" i="29" s="1"/>
  <c r="W3693" i="29"/>
  <c r="X3693" i="29" s="1"/>
  <c r="W3877" i="29"/>
  <c r="X3877" i="29" s="1"/>
  <c r="W4183" i="29"/>
  <c r="X4183" i="29" s="1"/>
  <c r="W4193" i="29"/>
  <c r="X4193" i="29" s="1"/>
  <c r="W4572" i="29"/>
  <c r="X4572" i="29" s="1"/>
  <c r="W2431" i="29"/>
  <c r="X2431" i="29" s="1"/>
  <c r="W2444" i="29"/>
  <c r="X2444" i="29" s="1"/>
  <c r="W2470" i="29"/>
  <c r="X2470" i="29" s="1"/>
  <c r="W2488" i="29"/>
  <c r="X2488" i="29" s="1"/>
  <c r="W2549" i="29"/>
  <c r="X2549" i="29" s="1"/>
  <c r="W2625" i="29"/>
  <c r="X2625" i="29" s="1"/>
  <c r="W2822" i="29"/>
  <c r="X2822" i="29" s="1"/>
  <c r="W2918" i="29"/>
  <c r="X2918" i="29" s="1"/>
  <c r="W3049" i="29"/>
  <c r="X3049" i="29" s="1"/>
  <c r="W3087" i="29"/>
  <c r="X3087" i="29" s="1"/>
  <c r="W3147" i="29"/>
  <c r="X3147" i="29" s="1"/>
  <c r="W3412" i="29"/>
  <c r="X3412" i="29" s="1"/>
  <c r="W1614" i="29"/>
  <c r="X1614" i="29" s="1"/>
  <c r="W1713" i="29"/>
  <c r="X1713" i="29" s="1"/>
  <c r="W1716" i="29"/>
  <c r="X1716" i="29" s="1"/>
  <c r="W1723" i="29"/>
  <c r="X1723" i="29" s="1"/>
  <c r="W1746" i="29"/>
  <c r="X1746" i="29" s="1"/>
  <c r="W1796" i="29"/>
  <c r="X1796" i="29" s="1"/>
  <c r="W1799" i="29"/>
  <c r="X1799" i="29" s="1"/>
  <c r="W1852" i="29"/>
  <c r="X1852" i="29" s="1"/>
  <c r="W1857" i="29"/>
  <c r="X1857" i="29" s="1"/>
  <c r="W1865" i="29"/>
  <c r="X1865" i="29" s="1"/>
  <c r="W1878" i="29"/>
  <c r="X1878" i="29" s="1"/>
  <c r="W1885" i="29"/>
  <c r="X1885" i="29" s="1"/>
  <c r="W1928" i="29"/>
  <c r="X1928" i="29" s="1"/>
  <c r="W1931" i="29"/>
  <c r="X1931" i="29" s="1"/>
  <c r="W1941" i="29"/>
  <c r="X1941" i="29" s="1"/>
  <c r="W2017" i="29"/>
  <c r="X2017" i="29" s="1"/>
  <c r="W2040" i="29"/>
  <c r="X2040" i="29" s="1"/>
  <c r="W2050" i="29"/>
  <c r="X2050" i="29" s="1"/>
  <c r="W2096" i="29"/>
  <c r="X2096" i="29" s="1"/>
  <c r="W2116" i="29"/>
  <c r="X2116" i="29" s="1"/>
  <c r="W2139" i="29"/>
  <c r="X2139" i="29" s="1"/>
  <c r="W2228" i="29"/>
  <c r="X2228" i="29" s="1"/>
  <c r="W2251" i="29"/>
  <c r="X2251" i="29" s="1"/>
  <c r="W2261" i="29"/>
  <c r="X2261" i="29" s="1"/>
  <c r="W2324" i="29"/>
  <c r="X2324" i="29" s="1"/>
  <c r="W2423" i="29"/>
  <c r="X2423" i="29" s="1"/>
  <c r="W2490" i="29"/>
  <c r="X2490" i="29" s="1"/>
  <c r="W2599" i="29"/>
  <c r="X2599" i="29" s="1"/>
  <c r="W2622" i="29"/>
  <c r="X2622" i="29" s="1"/>
  <c r="W2632" i="29"/>
  <c r="X2632" i="29" s="1"/>
  <c r="W2658" i="29"/>
  <c r="X2658" i="29" s="1"/>
  <c r="W2665" i="29"/>
  <c r="X2665" i="29" s="1"/>
  <c r="W2675" i="29"/>
  <c r="X2675" i="29" s="1"/>
  <c r="W2695" i="29"/>
  <c r="X2695" i="29" s="1"/>
  <c r="W2723" i="29"/>
  <c r="X2723" i="29" s="1"/>
  <c r="W2776" i="29"/>
  <c r="X2776" i="29" s="1"/>
  <c r="W2796" i="29"/>
  <c r="X2796" i="29" s="1"/>
  <c r="W2806" i="29"/>
  <c r="X2806" i="29" s="1"/>
  <c r="W2816" i="29"/>
  <c r="X2816" i="29" s="1"/>
  <c r="W2824" i="29"/>
  <c r="X2824" i="29" s="1"/>
  <c r="W2849" i="29"/>
  <c r="X2849" i="29" s="1"/>
  <c r="W2885" i="29"/>
  <c r="X2885" i="29" s="1"/>
  <c r="W2890" i="29"/>
  <c r="X2890" i="29" s="1"/>
  <c r="W2900" i="29"/>
  <c r="X2900" i="29" s="1"/>
  <c r="W2920" i="29"/>
  <c r="X2920" i="29" s="1"/>
  <c r="W2978" i="29"/>
  <c r="X2978" i="29" s="1"/>
  <c r="W2988" i="29"/>
  <c r="X2988" i="29" s="1"/>
  <c r="W3011" i="29"/>
  <c r="X3011" i="29" s="1"/>
  <c r="W3051" i="29"/>
  <c r="X3051" i="29" s="1"/>
  <c r="W3061" i="29"/>
  <c r="X3061" i="29" s="1"/>
  <c r="W3071" i="29"/>
  <c r="X3071" i="29" s="1"/>
  <c r="W3114" i="29"/>
  <c r="X3114" i="29" s="1"/>
  <c r="W3152" i="29"/>
  <c r="X3152" i="29" s="1"/>
  <c r="W3172" i="29"/>
  <c r="X3172" i="29" s="1"/>
  <c r="W3182" i="29"/>
  <c r="X3182" i="29" s="1"/>
  <c r="W3192" i="29"/>
  <c r="X3192" i="29" s="1"/>
  <c r="W3263" i="29"/>
  <c r="X3263" i="29" s="1"/>
  <c r="W3303" i="29"/>
  <c r="X3303" i="29" s="1"/>
  <c r="W3306" i="29"/>
  <c r="X3306" i="29" s="1"/>
  <c r="W3316" i="29"/>
  <c r="X3316" i="29" s="1"/>
  <c r="W3349" i="29"/>
  <c r="X3349" i="29" s="1"/>
  <c r="W3356" i="29"/>
  <c r="X3356" i="29" s="1"/>
  <c r="W3366" i="29"/>
  <c r="X3366" i="29" s="1"/>
  <c r="W3414" i="29"/>
  <c r="X3414" i="29" s="1"/>
  <c r="W3424" i="29"/>
  <c r="X3424" i="29" s="1"/>
  <c r="W3434" i="29"/>
  <c r="X3434" i="29" s="1"/>
  <c r="W3472" i="29"/>
  <c r="X3472" i="29" s="1"/>
  <c r="W3510" i="29"/>
  <c r="X3510" i="29" s="1"/>
  <c r="W3548" i="29"/>
  <c r="X3548" i="29" s="1"/>
  <c r="W3993" i="29"/>
  <c r="X3993" i="29" s="1"/>
  <c r="W4011" i="29"/>
  <c r="X4011" i="29" s="1"/>
  <c r="W4127" i="29"/>
  <c r="X4127" i="29" s="1"/>
  <c r="W4147" i="29"/>
  <c r="X4147" i="29" s="1"/>
  <c r="W4492" i="29"/>
  <c r="X4492" i="29" s="1"/>
  <c r="W4801" i="29"/>
  <c r="X4801" i="29" s="1"/>
  <c r="W1887" i="29"/>
  <c r="X1887" i="29" s="1"/>
  <c r="W1900" i="29"/>
  <c r="X1900" i="29" s="1"/>
  <c r="W1933" i="29"/>
  <c r="X1933" i="29" s="1"/>
  <c r="W1966" i="29"/>
  <c r="X1966" i="29" s="1"/>
  <c r="W1996" i="29"/>
  <c r="X1996" i="29" s="1"/>
  <c r="W1999" i="29"/>
  <c r="X1999" i="29" s="1"/>
  <c r="W2009" i="29"/>
  <c r="X2009" i="29" s="1"/>
  <c r="W2022" i="29"/>
  <c r="X2022" i="29" s="1"/>
  <c r="W2032" i="29"/>
  <c r="X2032" i="29" s="1"/>
  <c r="W2047" i="29"/>
  <c r="X2047" i="29" s="1"/>
  <c r="W2055" i="29"/>
  <c r="X2055" i="29" s="1"/>
  <c r="W2062" i="29"/>
  <c r="X2062" i="29" s="1"/>
  <c r="W2085" i="29"/>
  <c r="X2085" i="29" s="1"/>
  <c r="W2121" i="29"/>
  <c r="X2121" i="29" s="1"/>
  <c r="W2141" i="29"/>
  <c r="X2141" i="29" s="1"/>
  <c r="W2164" i="29"/>
  <c r="X2164" i="29" s="1"/>
  <c r="W2179" i="29"/>
  <c r="X2179" i="29" s="1"/>
  <c r="W2207" i="29"/>
  <c r="X2207" i="29" s="1"/>
  <c r="W2268" i="29"/>
  <c r="X2268" i="29" s="1"/>
  <c r="W2306" i="29"/>
  <c r="X2306" i="29" s="1"/>
  <c r="W2316" i="29"/>
  <c r="X2316" i="29" s="1"/>
  <c r="W2329" i="29"/>
  <c r="X2329" i="29" s="1"/>
  <c r="W2382" i="29"/>
  <c r="X2382" i="29" s="1"/>
  <c r="W2425" i="29"/>
  <c r="X2425" i="29" s="1"/>
  <c r="W2456" i="29"/>
  <c r="X2456" i="29" s="1"/>
  <c r="W2466" i="29"/>
  <c r="X2466" i="29" s="1"/>
  <c r="W2476" i="29"/>
  <c r="X2476" i="29" s="1"/>
  <c r="W2487" i="29"/>
  <c r="X2487" i="29" s="1"/>
  <c r="W2505" i="29"/>
  <c r="X2505" i="29" s="1"/>
  <c r="W2520" i="29"/>
  <c r="X2520" i="29" s="1"/>
  <c r="W2525" i="29"/>
  <c r="X2525" i="29" s="1"/>
  <c r="W2530" i="29"/>
  <c r="X2530" i="29" s="1"/>
  <c r="W2555" i="29"/>
  <c r="X2555" i="29" s="1"/>
  <c r="W2563" i="29"/>
  <c r="X2563" i="29" s="1"/>
  <c r="W2581" i="29"/>
  <c r="X2581" i="29" s="1"/>
  <c r="W2588" i="29"/>
  <c r="X2588" i="29" s="1"/>
  <c r="W2601" i="29"/>
  <c r="X2601" i="29" s="1"/>
  <c r="W2667" i="29"/>
  <c r="X2667" i="29" s="1"/>
  <c r="W2690" i="29"/>
  <c r="X2690" i="29" s="1"/>
  <c r="W2697" i="29"/>
  <c r="X2697" i="29" s="1"/>
  <c r="W2707" i="29"/>
  <c r="X2707" i="29" s="1"/>
  <c r="W2755" i="29"/>
  <c r="X2755" i="29" s="1"/>
  <c r="W2798" i="29"/>
  <c r="X2798" i="29" s="1"/>
  <c r="W2818" i="29"/>
  <c r="X2818" i="29" s="1"/>
  <c r="W2874" i="29"/>
  <c r="X2874" i="29" s="1"/>
  <c r="W2894" i="29"/>
  <c r="X2894" i="29" s="1"/>
  <c r="W2932" i="29"/>
  <c r="X2932" i="29" s="1"/>
  <c r="W2952" i="29"/>
  <c r="X2952" i="29" s="1"/>
  <c r="W2972" i="29"/>
  <c r="X2972" i="29" s="1"/>
  <c r="W3053" i="29"/>
  <c r="X3053" i="29" s="1"/>
  <c r="W3113" i="29"/>
  <c r="X3113" i="29" s="1"/>
  <c r="W3159" i="29"/>
  <c r="X3159" i="29" s="1"/>
  <c r="W3194" i="29"/>
  <c r="X3194" i="29" s="1"/>
  <c r="W3252" i="29"/>
  <c r="X3252" i="29" s="1"/>
  <c r="W3280" i="29"/>
  <c r="X3280" i="29" s="1"/>
  <c r="W3285" i="29"/>
  <c r="X3285" i="29" s="1"/>
  <c r="W3313" i="29"/>
  <c r="X3313" i="29" s="1"/>
  <c r="W3358" i="29"/>
  <c r="X3358" i="29" s="1"/>
  <c r="W3368" i="29"/>
  <c r="X3368" i="29" s="1"/>
  <c r="W3449" i="29"/>
  <c r="X3449" i="29" s="1"/>
  <c r="W3456" i="29"/>
  <c r="X3456" i="29" s="1"/>
  <c r="W3489" i="29"/>
  <c r="X3489" i="29" s="1"/>
  <c r="W3522" i="29"/>
  <c r="X3522" i="29" s="1"/>
  <c r="W3532" i="29"/>
  <c r="X3532" i="29" s="1"/>
  <c r="W3545" i="29"/>
  <c r="X3545" i="29" s="1"/>
  <c r="W3550" i="29"/>
  <c r="X3550" i="29" s="1"/>
  <c r="W3580" i="29"/>
  <c r="X3580" i="29" s="1"/>
  <c r="W3721" i="29"/>
  <c r="X3721" i="29" s="1"/>
  <c r="W3825" i="29"/>
  <c r="X3825" i="29" s="1"/>
  <c r="W3845" i="29"/>
  <c r="X3845" i="29" s="1"/>
  <c r="W3868" i="29"/>
  <c r="X3868" i="29" s="1"/>
  <c r="W4676" i="29"/>
  <c r="X4676" i="29" s="1"/>
  <c r="W4689" i="29"/>
  <c r="X4689" i="29" s="1"/>
  <c r="W4821" i="29"/>
  <c r="X4821" i="29" s="1"/>
  <c r="W4854" i="29"/>
  <c r="X4854" i="29" s="1"/>
  <c r="W4864" i="29"/>
  <c r="X4864" i="29" s="1"/>
  <c r="W5005" i="29"/>
  <c r="X5005" i="29" s="1"/>
  <c r="W5099" i="29"/>
  <c r="X5099" i="29" s="1"/>
  <c r="W5145" i="29"/>
  <c r="X5145" i="29" s="1"/>
  <c r="W5178" i="29"/>
  <c r="X5178" i="29" s="1"/>
  <c r="W5188" i="29"/>
  <c r="X5188" i="29" s="1"/>
  <c r="W5317" i="29"/>
  <c r="X5317" i="29" s="1"/>
  <c r="W5501" i="29"/>
  <c r="X5501" i="29" s="1"/>
  <c r="W5592" i="29"/>
  <c r="X5592" i="29" s="1"/>
  <c r="W4051" i="29"/>
  <c r="X4051" i="29" s="1"/>
  <c r="W4142" i="29"/>
  <c r="X4142" i="29" s="1"/>
  <c r="W4188" i="29"/>
  <c r="X4188" i="29" s="1"/>
  <c r="W4208" i="29"/>
  <c r="X4208" i="29" s="1"/>
  <c r="W4228" i="29"/>
  <c r="X4228" i="29" s="1"/>
  <c r="W4286" i="29"/>
  <c r="X4286" i="29" s="1"/>
  <c r="W4518" i="29"/>
  <c r="X4518" i="29" s="1"/>
  <c r="W4609" i="29"/>
  <c r="X4609" i="29" s="1"/>
  <c r="W4625" i="29"/>
  <c r="X4625" i="29" s="1"/>
  <c r="W4709" i="29"/>
  <c r="X4709" i="29" s="1"/>
  <c r="W4765" i="29"/>
  <c r="X4765" i="29" s="1"/>
  <c r="W4798" i="29"/>
  <c r="X4798" i="29" s="1"/>
  <c r="W4879" i="29"/>
  <c r="X4879" i="29" s="1"/>
  <c r="W4962" i="29"/>
  <c r="X4962" i="29" s="1"/>
  <c r="W4972" i="29"/>
  <c r="X4972" i="29" s="1"/>
  <c r="W5076" i="29"/>
  <c r="X5076" i="29" s="1"/>
  <c r="W5109" i="29"/>
  <c r="X5109" i="29" s="1"/>
  <c r="W5162" i="29"/>
  <c r="X5162" i="29" s="1"/>
  <c r="W5359" i="29"/>
  <c r="X5359" i="29" s="1"/>
  <c r="W5369" i="29"/>
  <c r="X5369" i="29" s="1"/>
  <c r="W5402" i="29"/>
  <c r="X5402" i="29" s="1"/>
  <c r="W5418" i="29"/>
  <c r="X5418" i="29" s="1"/>
  <c r="W5425" i="29"/>
  <c r="X5425" i="29" s="1"/>
  <c r="W5445" i="29"/>
  <c r="X5445" i="29" s="1"/>
  <c r="W5468" i="29"/>
  <c r="X5468" i="29" s="1"/>
  <c r="W5473" i="29"/>
  <c r="X5473" i="29" s="1"/>
  <c r="W5493" i="29"/>
  <c r="X5493" i="29" s="1"/>
  <c r="W5506" i="29"/>
  <c r="X5506" i="29" s="1"/>
  <c r="W5569" i="29"/>
  <c r="X5569" i="29" s="1"/>
  <c r="W5599" i="29"/>
  <c r="X5599" i="29" s="1"/>
  <c r="W3576" i="29"/>
  <c r="X3576" i="29" s="1"/>
  <c r="W3652" i="29"/>
  <c r="X3652" i="29" s="1"/>
  <c r="W3657" i="29"/>
  <c r="X3657" i="29" s="1"/>
  <c r="W3660" i="29"/>
  <c r="X3660" i="29" s="1"/>
  <c r="W3667" i="29"/>
  <c r="X3667" i="29" s="1"/>
  <c r="W3680" i="29"/>
  <c r="X3680" i="29" s="1"/>
  <c r="W3687" i="29"/>
  <c r="X3687" i="29" s="1"/>
  <c r="W3690" i="29"/>
  <c r="X3690" i="29" s="1"/>
  <c r="W3710" i="29"/>
  <c r="X3710" i="29" s="1"/>
  <c r="W3733" i="29"/>
  <c r="X3733" i="29" s="1"/>
  <c r="W3736" i="29"/>
  <c r="X3736" i="29" s="1"/>
  <c r="W3743" i="29"/>
  <c r="X3743" i="29" s="1"/>
  <c r="W3791" i="29"/>
  <c r="X3791" i="29" s="1"/>
  <c r="W3811" i="29"/>
  <c r="X3811" i="29" s="1"/>
  <c r="W3829" i="29"/>
  <c r="X3829" i="29" s="1"/>
  <c r="W3880" i="29"/>
  <c r="X3880" i="29" s="1"/>
  <c r="W3911" i="29"/>
  <c r="X3911" i="29" s="1"/>
  <c r="W3954" i="29"/>
  <c r="X3954" i="29" s="1"/>
  <c r="W4020" i="29"/>
  <c r="X4020" i="29" s="1"/>
  <c r="W4086" i="29"/>
  <c r="X4086" i="29" s="1"/>
  <c r="W4096" i="29"/>
  <c r="X4096" i="29" s="1"/>
  <c r="W4273" i="29"/>
  <c r="X4273" i="29" s="1"/>
  <c r="W4280" i="29"/>
  <c r="X4280" i="29" s="1"/>
  <c r="W4303" i="29"/>
  <c r="X4303" i="29" s="1"/>
  <c r="W4306" i="29"/>
  <c r="X4306" i="29" s="1"/>
  <c r="W4346" i="29"/>
  <c r="X4346" i="29" s="1"/>
  <c r="W4405" i="29"/>
  <c r="X4405" i="29" s="1"/>
  <c r="W4435" i="29"/>
  <c r="X4435" i="29" s="1"/>
  <c r="W4463" i="29"/>
  <c r="X4463" i="29" s="1"/>
  <c r="W4491" i="29"/>
  <c r="X4491" i="29" s="1"/>
  <c r="W4545" i="29"/>
  <c r="X4545" i="29" s="1"/>
  <c r="W4584" i="29"/>
  <c r="X4584" i="29" s="1"/>
  <c r="W4655" i="29"/>
  <c r="X4655" i="29" s="1"/>
  <c r="W4665" i="29"/>
  <c r="X4665" i="29" s="1"/>
  <c r="W4668" i="29"/>
  <c r="X4668" i="29" s="1"/>
  <c r="W4688" i="29"/>
  <c r="X4688" i="29" s="1"/>
  <c r="W4691" i="29"/>
  <c r="X4691" i="29" s="1"/>
  <c r="W4724" i="29"/>
  <c r="X4724" i="29" s="1"/>
  <c r="W4790" i="29"/>
  <c r="X4790" i="29" s="1"/>
  <c r="W4820" i="29"/>
  <c r="X4820" i="29" s="1"/>
  <c r="W4843" i="29"/>
  <c r="X4843" i="29" s="1"/>
  <c r="W4846" i="29"/>
  <c r="X4846" i="29" s="1"/>
  <c r="W4853" i="29"/>
  <c r="X4853" i="29" s="1"/>
  <c r="W4896" i="29"/>
  <c r="X4896" i="29" s="1"/>
  <c r="W4929" i="29"/>
  <c r="X4929" i="29" s="1"/>
  <c r="W4939" i="29"/>
  <c r="X4939" i="29" s="1"/>
  <c r="W5022" i="29"/>
  <c r="X5022" i="29" s="1"/>
  <c r="W5088" i="29"/>
  <c r="X5088" i="29" s="1"/>
  <c r="W5093" i="29"/>
  <c r="X5093" i="29" s="1"/>
  <c r="W5101" i="29"/>
  <c r="X5101" i="29" s="1"/>
  <c r="W5106" i="29"/>
  <c r="X5106" i="29" s="1"/>
  <c r="W5121" i="29"/>
  <c r="X5121" i="29" s="1"/>
  <c r="W5134" i="29"/>
  <c r="X5134" i="29" s="1"/>
  <c r="W5139" i="29"/>
  <c r="X5139" i="29" s="1"/>
  <c r="W5144" i="29"/>
  <c r="X5144" i="29" s="1"/>
  <c r="W5149" i="29"/>
  <c r="X5149" i="29" s="1"/>
  <c r="W5154" i="29"/>
  <c r="X5154" i="29" s="1"/>
  <c r="W5164" i="29"/>
  <c r="X5164" i="29" s="1"/>
  <c r="W5207" i="29"/>
  <c r="X5207" i="29" s="1"/>
  <c r="W5217" i="29"/>
  <c r="X5217" i="29" s="1"/>
  <c r="W5227" i="29"/>
  <c r="X5227" i="29" s="1"/>
  <c r="W5237" i="29"/>
  <c r="X5237" i="29" s="1"/>
  <c r="W5240" i="29"/>
  <c r="X5240" i="29" s="1"/>
  <c r="W5293" i="29"/>
  <c r="X5293" i="29" s="1"/>
  <c r="W5303" i="29"/>
  <c r="X5303" i="29" s="1"/>
  <c r="W5316" i="29"/>
  <c r="X5316" i="29" s="1"/>
  <c r="W5326" i="29"/>
  <c r="X5326" i="29" s="1"/>
  <c r="W5336" i="29"/>
  <c r="X5336" i="29" s="1"/>
  <c r="W5346" i="29"/>
  <c r="X5346" i="29" s="1"/>
  <c r="W5397" i="29"/>
  <c r="X5397" i="29" s="1"/>
  <c r="W5407" i="29"/>
  <c r="X5407" i="29" s="1"/>
  <c r="W5460" i="29"/>
  <c r="X5460" i="29" s="1"/>
  <c r="W5561" i="29"/>
  <c r="X5561" i="29" s="1"/>
  <c r="W5594" i="29"/>
  <c r="X5594" i="29" s="1"/>
  <c r="W3588" i="29"/>
  <c r="X3588" i="29" s="1"/>
  <c r="W3611" i="29"/>
  <c r="X3611" i="29" s="1"/>
  <c r="W3616" i="29"/>
  <c r="X3616" i="29" s="1"/>
  <c r="W3679" i="29"/>
  <c r="X3679" i="29" s="1"/>
  <c r="W3702" i="29"/>
  <c r="X3702" i="29" s="1"/>
  <c r="W3712" i="29"/>
  <c r="X3712" i="29" s="1"/>
  <c r="W3722" i="29"/>
  <c r="X3722" i="29" s="1"/>
  <c r="W3745" i="29"/>
  <c r="X3745" i="29" s="1"/>
  <c r="W3813" i="29"/>
  <c r="X3813" i="29" s="1"/>
  <c r="W3828" i="29"/>
  <c r="X3828" i="29" s="1"/>
  <c r="W3874" i="29"/>
  <c r="X3874" i="29" s="1"/>
  <c r="W3884" i="29"/>
  <c r="X3884" i="29" s="1"/>
  <c r="W3887" i="29"/>
  <c r="X3887" i="29" s="1"/>
  <c r="W3905" i="29"/>
  <c r="X3905" i="29" s="1"/>
  <c r="W3913" i="29"/>
  <c r="X3913" i="29" s="1"/>
  <c r="W3976" i="29"/>
  <c r="X3976" i="29" s="1"/>
  <c r="W4007" i="29"/>
  <c r="X4007" i="29" s="1"/>
  <c r="W4012" i="29"/>
  <c r="X4012" i="29" s="1"/>
  <c r="W4022" i="29"/>
  <c r="X4022" i="29" s="1"/>
  <c r="W4088" i="29"/>
  <c r="X4088" i="29" s="1"/>
  <c r="W4118" i="29"/>
  <c r="X4118" i="29" s="1"/>
  <c r="W4148" i="29"/>
  <c r="X4148" i="29" s="1"/>
  <c r="W4151" i="29"/>
  <c r="X4151" i="29" s="1"/>
  <c r="W4207" i="29"/>
  <c r="X4207" i="29" s="1"/>
  <c r="W4262" i="29"/>
  <c r="X4262" i="29" s="1"/>
  <c r="W4272" i="29"/>
  <c r="X4272" i="29" s="1"/>
  <c r="W4292" i="29"/>
  <c r="X4292" i="29" s="1"/>
  <c r="W4305" i="29"/>
  <c r="X4305" i="29" s="1"/>
  <c r="W4371" i="29"/>
  <c r="X4371" i="29" s="1"/>
  <c r="W4397" i="29"/>
  <c r="X4397" i="29" s="1"/>
  <c r="W4447" i="29"/>
  <c r="X4447" i="29" s="1"/>
  <c r="W4467" i="29"/>
  <c r="X4467" i="29" s="1"/>
  <c r="W4550" i="29"/>
  <c r="X4550" i="29" s="1"/>
  <c r="W4560" i="29"/>
  <c r="X4560" i="29" s="1"/>
  <c r="W4565" i="29"/>
  <c r="X4565" i="29" s="1"/>
  <c r="W4593" i="29"/>
  <c r="X4593" i="29" s="1"/>
  <c r="W4598" i="29"/>
  <c r="X4598" i="29" s="1"/>
  <c r="W4611" i="29"/>
  <c r="X4611" i="29" s="1"/>
  <c r="W4690" i="29"/>
  <c r="X4690" i="29" s="1"/>
  <c r="W4726" i="29"/>
  <c r="X4726" i="29" s="1"/>
  <c r="W4855" i="29"/>
  <c r="X4855" i="29" s="1"/>
  <c r="W4928" i="29"/>
  <c r="X4928" i="29" s="1"/>
  <c r="W4996" i="29"/>
  <c r="X4996" i="29" s="1"/>
  <c r="W4999" i="29"/>
  <c r="X4999" i="29" s="1"/>
  <c r="W5024" i="29"/>
  <c r="X5024" i="29" s="1"/>
  <c r="W5108" i="29"/>
  <c r="X5108" i="29" s="1"/>
  <c r="W5128" i="29"/>
  <c r="X5128" i="29" s="1"/>
  <c r="W5138" i="29"/>
  <c r="X5138" i="29" s="1"/>
  <c r="W5141" i="29"/>
  <c r="X5141" i="29" s="1"/>
  <c r="W5161" i="29"/>
  <c r="X5161" i="29" s="1"/>
  <c r="W5214" i="29"/>
  <c r="X5214" i="29" s="1"/>
  <c r="W5239" i="29"/>
  <c r="X5239" i="29" s="1"/>
  <c r="W5252" i="29"/>
  <c r="X5252" i="29" s="1"/>
  <c r="W5305" i="29"/>
  <c r="X5305" i="29" s="1"/>
  <c r="W5338" i="29"/>
  <c r="X5338" i="29" s="1"/>
  <c r="W5414" i="29"/>
  <c r="X5414" i="29" s="1"/>
  <c r="W5417" i="29"/>
  <c r="X5417" i="29" s="1"/>
  <c r="W5434" i="29"/>
  <c r="X5434" i="29" s="1"/>
  <c r="W5462" i="29"/>
  <c r="X5462" i="29" s="1"/>
  <c r="W5518" i="29"/>
  <c r="X5518" i="29" s="1"/>
  <c r="W5548" i="29"/>
  <c r="X5548" i="29" s="1"/>
  <c r="W5563" i="29"/>
  <c r="X5563" i="29" s="1"/>
  <c r="W5568" i="29"/>
  <c r="X5568" i="29" s="1"/>
  <c r="W3636" i="29"/>
  <c r="X3636" i="29" s="1"/>
  <c r="W3663" i="29"/>
  <c r="X3663" i="29" s="1"/>
  <c r="W3686" i="29"/>
  <c r="X3686" i="29" s="1"/>
  <c r="W3691" i="29"/>
  <c r="X3691" i="29" s="1"/>
  <c r="W3747" i="29"/>
  <c r="X3747" i="29" s="1"/>
  <c r="W3762" i="29"/>
  <c r="X3762" i="29" s="1"/>
  <c r="W3873" i="29"/>
  <c r="X3873" i="29" s="1"/>
  <c r="W3897" i="29"/>
  <c r="X3897" i="29" s="1"/>
  <c r="W3900" i="29"/>
  <c r="X3900" i="29" s="1"/>
  <c r="W3927" i="29"/>
  <c r="X3927" i="29" s="1"/>
  <c r="W3940" i="29"/>
  <c r="X3940" i="29" s="1"/>
  <c r="W3973" i="29"/>
  <c r="X3973" i="29" s="1"/>
  <c r="W3978" i="29"/>
  <c r="X3978" i="29" s="1"/>
  <c r="W3983" i="29"/>
  <c r="X3983" i="29" s="1"/>
  <c r="W3999" i="29"/>
  <c r="X3999" i="29" s="1"/>
  <c r="W4016" i="29"/>
  <c r="X4016" i="29" s="1"/>
  <c r="W4082" i="29"/>
  <c r="X4082" i="29" s="1"/>
  <c r="W4095" i="29"/>
  <c r="X4095" i="29" s="1"/>
  <c r="W4100" i="29"/>
  <c r="X4100" i="29" s="1"/>
  <c r="W4110" i="29"/>
  <c r="X4110" i="29" s="1"/>
  <c r="W4115" i="29"/>
  <c r="X4115" i="29" s="1"/>
  <c r="W4125" i="29"/>
  <c r="X4125" i="29" s="1"/>
  <c r="W4150" i="29"/>
  <c r="X4150" i="29" s="1"/>
  <c r="W4186" i="29"/>
  <c r="X4186" i="29" s="1"/>
  <c r="W4254" i="29"/>
  <c r="X4254" i="29" s="1"/>
  <c r="W4274" i="29"/>
  <c r="X4274" i="29" s="1"/>
  <c r="W4284" i="29"/>
  <c r="X4284" i="29" s="1"/>
  <c r="W4317" i="29"/>
  <c r="X4317" i="29" s="1"/>
  <c r="W4396" i="29"/>
  <c r="X4396" i="29" s="1"/>
  <c r="W4401" i="29"/>
  <c r="X4401" i="29" s="1"/>
  <c r="W4404" i="29"/>
  <c r="X4404" i="29" s="1"/>
  <c r="W4419" i="29"/>
  <c r="X4419" i="29" s="1"/>
  <c r="W4439" i="29"/>
  <c r="X4439" i="29" s="1"/>
  <c r="W4452" i="29"/>
  <c r="X4452" i="29" s="1"/>
  <c r="W4587" i="29"/>
  <c r="X4587" i="29" s="1"/>
  <c r="W4595" i="29"/>
  <c r="X4595" i="29" s="1"/>
  <c r="W4633" i="29"/>
  <c r="X4633" i="29" s="1"/>
  <c r="W4654" i="29"/>
  <c r="X4654" i="29" s="1"/>
  <c r="W4659" i="29"/>
  <c r="X4659" i="29" s="1"/>
  <c r="W4687" i="29"/>
  <c r="X4687" i="29" s="1"/>
  <c r="W4796" i="29"/>
  <c r="X4796" i="29" s="1"/>
  <c r="W4837" i="29"/>
  <c r="X4837" i="29" s="1"/>
  <c r="W4930" i="29"/>
  <c r="X4930" i="29" s="1"/>
  <c r="W4933" i="29"/>
  <c r="X4933" i="29" s="1"/>
  <c r="W4978" i="29"/>
  <c r="X4978" i="29" s="1"/>
  <c r="W4988" i="29"/>
  <c r="X4988" i="29" s="1"/>
  <c r="W4998" i="29"/>
  <c r="X4998" i="29" s="1"/>
  <c r="W5028" i="29"/>
  <c r="X5028" i="29" s="1"/>
  <c r="W5087" i="29"/>
  <c r="X5087" i="29" s="1"/>
  <c r="W5140" i="29"/>
  <c r="X5140" i="29" s="1"/>
  <c r="W5153" i="29"/>
  <c r="X5153" i="29" s="1"/>
  <c r="W5183" i="29"/>
  <c r="X5183" i="29" s="1"/>
  <c r="W5186" i="29"/>
  <c r="X5186" i="29" s="1"/>
  <c r="W5226" i="29"/>
  <c r="X5226" i="29" s="1"/>
  <c r="W5403" i="29"/>
  <c r="X5403" i="29" s="1"/>
  <c r="W5419" i="29"/>
  <c r="X5419" i="29" s="1"/>
  <c r="W5439" i="29"/>
  <c r="X5439" i="29" s="1"/>
  <c r="W5449" i="29"/>
  <c r="X5449" i="29" s="1"/>
  <c r="W5479" i="29"/>
  <c r="X5479" i="29" s="1"/>
  <c r="W5489" i="29"/>
  <c r="X5489" i="29" s="1"/>
  <c r="W5494" i="29"/>
  <c r="X5494" i="29" s="1"/>
  <c r="W5507" i="29"/>
  <c r="X5507" i="29" s="1"/>
  <c r="W5580" i="29"/>
  <c r="X5580" i="29" s="1"/>
  <c r="W5610" i="29"/>
  <c r="X5610" i="29" s="1"/>
  <c r="W116" i="29"/>
  <c r="X116" i="29" s="1"/>
  <c r="W134" i="29"/>
  <c r="X134" i="29" s="1"/>
  <c r="W189" i="29"/>
  <c r="X189" i="29" s="1"/>
  <c r="W405" i="29"/>
  <c r="X405" i="29" s="1"/>
  <c r="W458" i="29"/>
  <c r="X458" i="29" s="1"/>
  <c r="W481" i="29"/>
  <c r="X481" i="29" s="1"/>
  <c r="W603" i="29"/>
  <c r="X603" i="29" s="1"/>
  <c r="W139" i="29"/>
  <c r="X139" i="29" s="1"/>
  <c r="W334" i="29"/>
  <c r="X334" i="29" s="1"/>
  <c r="W146" i="29"/>
  <c r="X146" i="29" s="1"/>
  <c r="W162" i="29"/>
  <c r="X162" i="29" s="1"/>
  <c r="W192" i="29"/>
  <c r="X192" i="29" s="1"/>
  <c r="W206" i="29"/>
  <c r="X206" i="29" s="1"/>
  <c r="W226" i="29"/>
  <c r="X226" i="29" s="1"/>
  <c r="W233" i="29"/>
  <c r="X233" i="29" s="1"/>
  <c r="W270" i="29"/>
  <c r="X270" i="29" s="1"/>
  <c r="W284" i="29"/>
  <c r="X284" i="29" s="1"/>
  <c r="W293" i="29"/>
  <c r="X293" i="29" s="1"/>
  <c r="W346" i="29"/>
  <c r="X346" i="29" s="1"/>
  <c r="W360" i="29"/>
  <c r="X360" i="29" s="1"/>
  <c r="W112" i="29"/>
  <c r="X112" i="29" s="1"/>
  <c r="W117" i="29"/>
  <c r="X117" i="29" s="1"/>
  <c r="W135" i="29"/>
  <c r="X135" i="29" s="1"/>
  <c r="W160" i="29"/>
  <c r="X160" i="29" s="1"/>
  <c r="W169" i="29"/>
  <c r="X169" i="29" s="1"/>
  <c r="W174" i="29"/>
  <c r="X174" i="29" s="1"/>
  <c r="W190" i="29"/>
  <c r="X190" i="29" s="1"/>
  <c r="W197" i="29"/>
  <c r="X197" i="29" s="1"/>
  <c r="W140" i="29"/>
  <c r="X140" i="29" s="1"/>
  <c r="W167" i="29"/>
  <c r="X167" i="29" s="1"/>
  <c r="W181" i="29"/>
  <c r="X181" i="29" s="1"/>
  <c r="W655" i="29"/>
  <c r="X655" i="29" s="1"/>
  <c r="W131" i="29"/>
  <c r="X131" i="29" s="1"/>
  <c r="W129" i="29"/>
  <c r="X129" i="29" s="1"/>
  <c r="W170" i="29"/>
  <c r="X170" i="29" s="1"/>
  <c r="W184" i="29"/>
  <c r="X184" i="29" s="1"/>
  <c r="W172" i="29"/>
  <c r="X172" i="29" s="1"/>
  <c r="W118" i="29"/>
  <c r="X118" i="29" s="1"/>
  <c r="W152" i="29"/>
  <c r="X152" i="29" s="1"/>
  <c r="W175" i="29"/>
  <c r="X175" i="29" s="1"/>
  <c r="W230" i="29"/>
  <c r="X230" i="29" s="1"/>
  <c r="W246" i="29"/>
  <c r="X246" i="29" s="1"/>
  <c r="W269" i="29"/>
  <c r="X269" i="29" s="1"/>
  <c r="W283" i="29"/>
  <c r="X283" i="29" s="1"/>
  <c r="W306" i="29"/>
  <c r="X306" i="29" s="1"/>
  <c r="W329" i="29"/>
  <c r="X329" i="29" s="1"/>
  <c r="W345" i="29"/>
  <c r="X345" i="29" s="1"/>
  <c r="W559" i="29"/>
  <c r="X559" i="29" s="1"/>
  <c r="W575" i="29"/>
  <c r="X575" i="29" s="1"/>
  <c r="W207" i="29"/>
  <c r="X207" i="29" s="1"/>
  <c r="W227" i="29"/>
  <c r="X227" i="29" s="1"/>
  <c r="W259" i="29"/>
  <c r="X259" i="29" s="1"/>
  <c r="W303" i="29"/>
  <c r="X303" i="29" s="1"/>
  <c r="W326" i="29"/>
  <c r="X326" i="29" s="1"/>
  <c r="W340" i="29"/>
  <c r="X340" i="29" s="1"/>
  <c r="W356" i="29"/>
  <c r="X356" i="29" s="1"/>
  <c r="W392" i="29"/>
  <c r="X392" i="29" s="1"/>
  <c r="W427" i="29"/>
  <c r="X427" i="29" s="1"/>
  <c r="W530" i="29"/>
  <c r="X530" i="29" s="1"/>
  <c r="W544" i="29"/>
  <c r="X544" i="29" s="1"/>
  <c r="W560" i="29"/>
  <c r="X560" i="29" s="1"/>
  <c r="W578" i="29"/>
  <c r="X578" i="29" s="1"/>
  <c r="W601" i="29"/>
  <c r="X601" i="29" s="1"/>
  <c r="W633" i="29"/>
  <c r="X633" i="29" s="1"/>
  <c r="W651" i="29"/>
  <c r="X651" i="29" s="1"/>
  <c r="W665" i="29"/>
  <c r="X665" i="29" s="1"/>
  <c r="W679" i="29"/>
  <c r="X679" i="29" s="1"/>
  <c r="W736" i="29"/>
  <c r="X736" i="29" s="1"/>
  <c r="W766" i="29"/>
  <c r="X766" i="29" s="1"/>
  <c r="W805" i="29"/>
  <c r="X805" i="29" s="1"/>
  <c r="W819" i="29"/>
  <c r="X819" i="29" s="1"/>
  <c r="W877" i="29"/>
  <c r="X877" i="29" s="1"/>
  <c r="W909" i="29"/>
  <c r="X909" i="29" s="1"/>
  <c r="W918" i="29"/>
  <c r="X918" i="29" s="1"/>
  <c r="W978" i="29"/>
  <c r="X978" i="29" s="1"/>
  <c r="W1039" i="29"/>
  <c r="X1039" i="29" s="1"/>
  <c r="W1066" i="29"/>
  <c r="X1066" i="29" s="1"/>
  <c r="W1082" i="29"/>
  <c r="X1082" i="29" s="1"/>
  <c r="W1091" i="29"/>
  <c r="X1091" i="29" s="1"/>
  <c r="W1148" i="29"/>
  <c r="X1148" i="29" s="1"/>
  <c r="W1159" i="29"/>
  <c r="X1159" i="29" s="1"/>
  <c r="W1214" i="29"/>
  <c r="X1214" i="29" s="1"/>
  <c r="W1225" i="29"/>
  <c r="X1225" i="29" s="1"/>
  <c r="W1259" i="29"/>
  <c r="X1259" i="29" s="1"/>
  <c r="W1280" i="29"/>
  <c r="X1280" i="29" s="1"/>
  <c r="W1291" i="29"/>
  <c r="X1291" i="29" s="1"/>
  <c r="W1377" i="29"/>
  <c r="X1377" i="29" s="1"/>
  <c r="W1402" i="29"/>
  <c r="X1402" i="29" s="1"/>
  <c r="W1429" i="29"/>
  <c r="X1429" i="29" s="1"/>
  <c r="W1470" i="29"/>
  <c r="X1470" i="29" s="1"/>
  <c r="W1506" i="29"/>
  <c r="X1506" i="29" s="1"/>
  <c r="W1542" i="29"/>
  <c r="X1542" i="29" s="1"/>
  <c r="W1567" i="29"/>
  <c r="X1567" i="29" s="1"/>
  <c r="W1619" i="29"/>
  <c r="X1619" i="29" s="1"/>
  <c r="W1626" i="29"/>
  <c r="X1626" i="29" s="1"/>
  <c r="W1635" i="29"/>
  <c r="X1635" i="29" s="1"/>
  <c r="W1667" i="29"/>
  <c r="X1667" i="29" s="1"/>
  <c r="W1748" i="29"/>
  <c r="X1748" i="29" s="1"/>
  <c r="W1819" i="29"/>
  <c r="X1819" i="29" s="1"/>
  <c r="W1828" i="29"/>
  <c r="X1828" i="29" s="1"/>
  <c r="W1853" i="29"/>
  <c r="X1853" i="29" s="1"/>
  <c r="W1954" i="29"/>
  <c r="X1954" i="29" s="1"/>
  <c r="W1972" i="29"/>
  <c r="X1972" i="29" s="1"/>
  <c r="W1981" i="29"/>
  <c r="X1981" i="29" s="1"/>
  <c r="W2113" i="29"/>
  <c r="X2113" i="29" s="1"/>
  <c r="W2241" i="29"/>
  <c r="X2241" i="29" s="1"/>
  <c r="W2257" i="29"/>
  <c r="X2257" i="29" s="1"/>
  <c r="W2569" i="29"/>
  <c r="X2569" i="29" s="1"/>
  <c r="W225" i="29"/>
  <c r="X225" i="29" s="1"/>
  <c r="W239" i="29"/>
  <c r="X239" i="29" s="1"/>
  <c r="W262" i="29"/>
  <c r="X262" i="29" s="1"/>
  <c r="W301" i="29"/>
  <c r="X301" i="29" s="1"/>
  <c r="W315" i="29"/>
  <c r="X315" i="29" s="1"/>
  <c r="W324" i="29"/>
  <c r="X324" i="29" s="1"/>
  <c r="W338" i="29"/>
  <c r="X338" i="29" s="1"/>
  <c r="W395" i="29"/>
  <c r="X395" i="29" s="1"/>
  <c r="W411" i="29"/>
  <c r="X411" i="29" s="1"/>
  <c r="W448" i="29"/>
  <c r="X448" i="29" s="1"/>
  <c r="W519" i="29"/>
  <c r="X519" i="29" s="1"/>
  <c r="W533" i="29"/>
  <c r="X533" i="29" s="1"/>
  <c r="W542" i="29"/>
  <c r="X542" i="29" s="1"/>
  <c r="W585" i="29"/>
  <c r="X585" i="29" s="1"/>
  <c r="W599" i="29"/>
  <c r="X599" i="29" s="1"/>
  <c r="W608" i="29"/>
  <c r="X608" i="29" s="1"/>
  <c r="W631" i="29"/>
  <c r="X631" i="29" s="1"/>
  <c r="W645" i="29"/>
  <c r="X645" i="29" s="1"/>
  <c r="W654" i="29"/>
  <c r="X654" i="29" s="1"/>
  <c r="W741" i="29"/>
  <c r="X741" i="29" s="1"/>
  <c r="W755" i="29"/>
  <c r="X755" i="29" s="1"/>
  <c r="W764" i="29"/>
  <c r="X764" i="29" s="1"/>
  <c r="W778" i="29"/>
  <c r="X778" i="29" s="1"/>
  <c r="W801" i="29"/>
  <c r="X801" i="29" s="1"/>
  <c r="W817" i="29"/>
  <c r="X817" i="29" s="1"/>
  <c r="W831" i="29"/>
  <c r="X831" i="29" s="1"/>
  <c r="W861" i="29"/>
  <c r="X861" i="29" s="1"/>
  <c r="W907" i="29"/>
  <c r="X907" i="29" s="1"/>
  <c r="W916" i="29"/>
  <c r="X916" i="29" s="1"/>
  <c r="W932" i="29"/>
  <c r="X932" i="29" s="1"/>
  <c r="W941" i="29"/>
  <c r="X941" i="29" s="1"/>
  <c r="W985" i="29"/>
  <c r="X985" i="29" s="1"/>
  <c r="W994" i="29"/>
  <c r="X994" i="29" s="1"/>
  <c r="W1003" i="29"/>
  <c r="X1003" i="29" s="1"/>
  <c r="W1019" i="29"/>
  <c r="X1019" i="29" s="1"/>
  <c r="W1037" i="29"/>
  <c r="X1037" i="29" s="1"/>
  <c r="W1098" i="29"/>
  <c r="X1098" i="29" s="1"/>
  <c r="W1130" i="29"/>
  <c r="X1130" i="29" s="1"/>
  <c r="W1196" i="29"/>
  <c r="X1196" i="29" s="1"/>
  <c r="W1262" i="29"/>
  <c r="X1262" i="29" s="1"/>
  <c r="W1337" i="29"/>
  <c r="X1337" i="29" s="1"/>
  <c r="W1373" i="29"/>
  <c r="X1373" i="29" s="1"/>
  <c r="W1391" i="29"/>
  <c r="X1391" i="29" s="1"/>
  <c r="W1445" i="29"/>
  <c r="X1445" i="29" s="1"/>
  <c r="W1547" i="29"/>
  <c r="X1547" i="29" s="1"/>
  <c r="W1592" i="29"/>
  <c r="X1592" i="29" s="1"/>
  <c r="W1615" i="29"/>
  <c r="X1615" i="29" s="1"/>
  <c r="W1674" i="29"/>
  <c r="X1674" i="29" s="1"/>
  <c r="W1737" i="29"/>
  <c r="X1737" i="29" s="1"/>
  <c r="W1776" i="29"/>
  <c r="X1776" i="29" s="1"/>
  <c r="W1785" i="29"/>
  <c r="X1785" i="29" s="1"/>
  <c r="W1817" i="29"/>
  <c r="X1817" i="29" s="1"/>
  <c r="W1824" i="29"/>
  <c r="X1824" i="29" s="1"/>
  <c r="W2027" i="29"/>
  <c r="X2027" i="29" s="1"/>
  <c r="W2196" i="29"/>
  <c r="X2196" i="29" s="1"/>
  <c r="W2262" i="29"/>
  <c r="X2262" i="29" s="1"/>
  <c r="W2280" i="29"/>
  <c r="X2280" i="29" s="1"/>
  <c r="W2301" i="29"/>
  <c r="X2301" i="29" s="1"/>
  <c r="W2349" i="29"/>
  <c r="X2349" i="29" s="1"/>
  <c r="W2544" i="29"/>
  <c r="X2544" i="29" s="1"/>
  <c r="W455" i="29"/>
  <c r="X455" i="29" s="1"/>
  <c r="W464" i="29"/>
  <c r="X464" i="29" s="1"/>
  <c r="W471" i="29"/>
  <c r="X471" i="29" s="1"/>
  <c r="W547" i="29"/>
  <c r="X547" i="29" s="1"/>
  <c r="W565" i="29"/>
  <c r="X565" i="29" s="1"/>
  <c r="W590" i="29"/>
  <c r="X590" i="29" s="1"/>
  <c r="W613" i="29"/>
  <c r="X613" i="29" s="1"/>
  <c r="W659" i="29"/>
  <c r="X659" i="29" s="1"/>
  <c r="W668" i="29"/>
  <c r="X668" i="29" s="1"/>
  <c r="W691" i="29"/>
  <c r="X691" i="29" s="1"/>
  <c r="W714" i="29"/>
  <c r="X714" i="29" s="1"/>
  <c r="W785" i="29"/>
  <c r="X785" i="29" s="1"/>
  <c r="W794" i="29"/>
  <c r="X794" i="29" s="1"/>
  <c r="W808" i="29"/>
  <c r="X808" i="29" s="1"/>
  <c r="W838" i="29"/>
  <c r="X838" i="29" s="1"/>
  <c r="W852" i="29"/>
  <c r="X852" i="29" s="1"/>
  <c r="W866" i="29"/>
  <c r="X866" i="29" s="1"/>
  <c r="W921" i="29"/>
  <c r="X921" i="29" s="1"/>
  <c r="W953" i="29"/>
  <c r="X953" i="29" s="1"/>
  <c r="W992" i="29"/>
  <c r="X992" i="29" s="1"/>
  <c r="W1051" i="29"/>
  <c r="X1051" i="29" s="1"/>
  <c r="W1076" i="29"/>
  <c r="X1076" i="29" s="1"/>
  <c r="W1096" i="29"/>
  <c r="X1096" i="29" s="1"/>
  <c r="W1110" i="29"/>
  <c r="X1110" i="29" s="1"/>
  <c r="W1153" i="29"/>
  <c r="X1153" i="29" s="1"/>
  <c r="W1162" i="29"/>
  <c r="X1162" i="29" s="1"/>
  <c r="W1176" i="29"/>
  <c r="X1176" i="29" s="1"/>
  <c r="W1219" i="29"/>
  <c r="X1219" i="29" s="1"/>
  <c r="W1228" i="29"/>
  <c r="X1228" i="29" s="1"/>
  <c r="W1242" i="29"/>
  <c r="X1242" i="29" s="1"/>
  <c r="W1285" i="29"/>
  <c r="X1285" i="29" s="1"/>
  <c r="W1294" i="29"/>
  <c r="X1294" i="29" s="1"/>
  <c r="W1308" i="29"/>
  <c r="X1308" i="29" s="1"/>
  <c r="W1328" i="29"/>
  <c r="X1328" i="29" s="1"/>
  <c r="W1355" i="29"/>
  <c r="X1355" i="29" s="1"/>
  <c r="W1389" i="29"/>
  <c r="X1389" i="29" s="1"/>
  <c r="W1443" i="29"/>
  <c r="X1443" i="29" s="1"/>
  <c r="W1511" i="29"/>
  <c r="X1511" i="29" s="1"/>
  <c r="W1527" i="29"/>
  <c r="X1527" i="29" s="1"/>
  <c r="W1556" i="29"/>
  <c r="X1556" i="29" s="1"/>
  <c r="W1590" i="29"/>
  <c r="X1590" i="29" s="1"/>
  <c r="W1604" i="29"/>
  <c r="X1604" i="29" s="1"/>
  <c r="W1638" i="29"/>
  <c r="X1638" i="29" s="1"/>
  <c r="W1656" i="29"/>
  <c r="X1656" i="29" s="1"/>
  <c r="W1679" i="29"/>
  <c r="X1679" i="29" s="1"/>
  <c r="W1696" i="29"/>
  <c r="X1696" i="29" s="1"/>
  <c r="W1735" i="29"/>
  <c r="X1735" i="29" s="1"/>
  <c r="W1751" i="29"/>
  <c r="X1751" i="29" s="1"/>
  <c r="W1849" i="29"/>
  <c r="X1849" i="29" s="1"/>
  <c r="W2171" i="29"/>
  <c r="X2171" i="29" s="1"/>
  <c r="W2237" i="29"/>
  <c r="X2237" i="29" s="1"/>
  <c r="W194" i="29"/>
  <c r="X194" i="29" s="1"/>
  <c r="W208" i="29"/>
  <c r="X208" i="29" s="1"/>
  <c r="W228" i="29"/>
  <c r="X228" i="29" s="1"/>
  <c r="W244" i="29"/>
  <c r="X244" i="29" s="1"/>
  <c r="W290" i="29"/>
  <c r="X290" i="29" s="1"/>
  <c r="W299" i="29"/>
  <c r="X299" i="29" s="1"/>
  <c r="W384" i="29"/>
  <c r="X384" i="29" s="1"/>
  <c r="W453" i="29"/>
  <c r="X453" i="29" s="1"/>
  <c r="W460" i="29"/>
  <c r="X460" i="29" s="1"/>
  <c r="W499" i="29"/>
  <c r="X499" i="29" s="1"/>
  <c r="W522" i="29"/>
  <c r="X522" i="29" s="1"/>
  <c r="W563" i="29"/>
  <c r="X563" i="29" s="1"/>
  <c r="W604" i="29"/>
  <c r="X604" i="29" s="1"/>
  <c r="W657" i="29"/>
  <c r="X657" i="29" s="1"/>
  <c r="W744" i="29"/>
  <c r="X744" i="29" s="1"/>
  <c r="W790" i="29"/>
  <c r="X790" i="29" s="1"/>
  <c r="W806" i="29"/>
  <c r="X806" i="29" s="1"/>
  <c r="W820" i="29"/>
  <c r="X820" i="29" s="1"/>
  <c r="W834" i="29"/>
  <c r="X834" i="29" s="1"/>
  <c r="W864" i="29"/>
  <c r="X864" i="29" s="1"/>
  <c r="W878" i="29"/>
  <c r="X878" i="29" s="1"/>
  <c r="W919" i="29"/>
  <c r="X919" i="29" s="1"/>
  <c r="W928" i="29"/>
  <c r="X928" i="29" s="1"/>
  <c r="W960" i="29"/>
  <c r="X960" i="29" s="1"/>
  <c r="W974" i="29"/>
  <c r="X974" i="29" s="1"/>
  <c r="W988" i="29"/>
  <c r="X988" i="29" s="1"/>
  <c r="W1006" i="29"/>
  <c r="X1006" i="29" s="1"/>
  <c r="W1033" i="29"/>
  <c r="X1033" i="29" s="1"/>
  <c r="W1049" i="29"/>
  <c r="X1049" i="29" s="1"/>
  <c r="W1058" i="29"/>
  <c r="X1058" i="29" s="1"/>
  <c r="W1108" i="29"/>
  <c r="X1108" i="29" s="1"/>
  <c r="W1117" i="29"/>
  <c r="X1117" i="29" s="1"/>
  <c r="W1160" i="29"/>
  <c r="X1160" i="29" s="1"/>
  <c r="W1174" i="29"/>
  <c r="X1174" i="29" s="1"/>
  <c r="W1183" i="29"/>
  <c r="X1183" i="29" s="1"/>
  <c r="W1201" i="29"/>
  <c r="X1201" i="29" s="1"/>
  <c r="W1226" i="29"/>
  <c r="X1226" i="29" s="1"/>
  <c r="W1240" i="29"/>
  <c r="X1240" i="29" s="1"/>
  <c r="W1249" i="29"/>
  <c r="X1249" i="29" s="1"/>
  <c r="W1267" i="29"/>
  <c r="X1267" i="29" s="1"/>
  <c r="W1292" i="29"/>
  <c r="X1292" i="29" s="1"/>
  <c r="W1306" i="29"/>
  <c r="X1306" i="29" s="1"/>
  <c r="W1315" i="29"/>
  <c r="X1315" i="29" s="1"/>
  <c r="W1324" i="29"/>
  <c r="X1324" i="29" s="1"/>
  <c r="W1360" i="29"/>
  <c r="X1360" i="29" s="1"/>
  <c r="W1385" i="29"/>
  <c r="X1385" i="29" s="1"/>
  <c r="W1403" i="29"/>
  <c r="X1403" i="29" s="1"/>
  <c r="W1423" i="29"/>
  <c r="X1423" i="29" s="1"/>
  <c r="W1432" i="29"/>
  <c r="X1432" i="29" s="1"/>
  <c r="W1439" i="29"/>
  <c r="X1439" i="29" s="1"/>
  <c r="W1462" i="29"/>
  <c r="X1462" i="29" s="1"/>
  <c r="W1489" i="29"/>
  <c r="X1489" i="29" s="1"/>
  <c r="W1534" i="29"/>
  <c r="X1534" i="29" s="1"/>
  <c r="W1545" i="29"/>
  <c r="X1545" i="29" s="1"/>
  <c r="W1645" i="29"/>
  <c r="X1645" i="29" s="1"/>
  <c r="W1670" i="29"/>
  <c r="X1670" i="29" s="1"/>
  <c r="W1677" i="29"/>
  <c r="X1677" i="29" s="1"/>
  <c r="W1717" i="29"/>
  <c r="X1717" i="29" s="1"/>
  <c r="W1740" i="29"/>
  <c r="X1740" i="29" s="1"/>
  <c r="W1749" i="29"/>
  <c r="X1749" i="29" s="1"/>
  <c r="W1788" i="29"/>
  <c r="X1788" i="29" s="1"/>
  <c r="W1802" i="29"/>
  <c r="X1802" i="29" s="1"/>
  <c r="W1811" i="29"/>
  <c r="X1811" i="29" s="1"/>
  <c r="W1820" i="29"/>
  <c r="X1820" i="29" s="1"/>
  <c r="W1829" i="29"/>
  <c r="X1829" i="29" s="1"/>
  <c r="W1845" i="29"/>
  <c r="X1845" i="29" s="1"/>
  <c r="W1854" i="29"/>
  <c r="X1854" i="29" s="1"/>
  <c r="W1932" i="29"/>
  <c r="X1932" i="29" s="1"/>
  <c r="W2105" i="29"/>
  <c r="X2105" i="29" s="1"/>
  <c r="W2201" i="29"/>
  <c r="X2201" i="29" s="1"/>
  <c r="W2208" i="29"/>
  <c r="X2208" i="29" s="1"/>
  <c r="W2290" i="29"/>
  <c r="X2290" i="29" s="1"/>
  <c r="W2371" i="29"/>
  <c r="X2371" i="29" s="1"/>
  <c r="W2410" i="29"/>
  <c r="X2410" i="29" s="1"/>
  <c r="W2435" i="29"/>
  <c r="X2435" i="29" s="1"/>
  <c r="W2453" i="29"/>
  <c r="X2453" i="29" s="1"/>
  <c r="W2460" i="29"/>
  <c r="X2460" i="29" s="1"/>
  <c r="W536" i="29"/>
  <c r="X536" i="29" s="1"/>
  <c r="W586" i="29"/>
  <c r="X586" i="29" s="1"/>
  <c r="W625" i="29"/>
  <c r="X625" i="29" s="1"/>
  <c r="W648" i="29"/>
  <c r="X648" i="29" s="1"/>
  <c r="W673" i="29"/>
  <c r="X673" i="29" s="1"/>
  <c r="W696" i="29"/>
  <c r="X696" i="29" s="1"/>
  <c r="W751" i="29"/>
  <c r="X751" i="29" s="1"/>
  <c r="W774" i="29"/>
  <c r="X774" i="29" s="1"/>
  <c r="W788" i="29"/>
  <c r="X788" i="29" s="1"/>
  <c r="W827" i="29"/>
  <c r="X827" i="29" s="1"/>
  <c r="W841" i="29"/>
  <c r="X841" i="29" s="1"/>
  <c r="W855" i="29"/>
  <c r="X855" i="29" s="1"/>
  <c r="W885" i="29"/>
  <c r="X885" i="29" s="1"/>
  <c r="W926" i="29"/>
  <c r="X926" i="29" s="1"/>
  <c r="W997" i="29"/>
  <c r="X997" i="29" s="1"/>
  <c r="W1020" i="29"/>
  <c r="X1020" i="29" s="1"/>
  <c r="W1031" i="29"/>
  <c r="X1031" i="29" s="1"/>
  <c r="W1115" i="29"/>
  <c r="X1115" i="29" s="1"/>
  <c r="W1181" i="29"/>
  <c r="X1181" i="29" s="1"/>
  <c r="W1192" i="29"/>
  <c r="X1192" i="29" s="1"/>
  <c r="W1247" i="29"/>
  <c r="X1247" i="29" s="1"/>
  <c r="W1258" i="29"/>
  <c r="X1258" i="29" s="1"/>
  <c r="W1313" i="29"/>
  <c r="X1313" i="29" s="1"/>
  <c r="W1358" i="29"/>
  <c r="X1358" i="29" s="1"/>
  <c r="W1446" i="29"/>
  <c r="X1446" i="29" s="1"/>
  <c r="W1469" i="29"/>
  <c r="X1469" i="29" s="1"/>
  <c r="W1498" i="29"/>
  <c r="X1498" i="29" s="1"/>
  <c r="W1514" i="29"/>
  <c r="X1514" i="29" s="1"/>
  <c r="W1593" i="29"/>
  <c r="X1593" i="29" s="1"/>
  <c r="W1634" i="29"/>
  <c r="X1634" i="29" s="1"/>
  <c r="W1652" i="29"/>
  <c r="X1652" i="29" s="1"/>
  <c r="W1659" i="29"/>
  <c r="X1659" i="29" s="1"/>
  <c r="W1685" i="29"/>
  <c r="X1685" i="29" s="1"/>
  <c r="W1738" i="29"/>
  <c r="X1738" i="29" s="1"/>
  <c r="W1795" i="29"/>
  <c r="X1795" i="29" s="1"/>
  <c r="W1861" i="29"/>
  <c r="X1861" i="29" s="1"/>
  <c r="W1868" i="29"/>
  <c r="X1868" i="29" s="1"/>
  <c r="W1948" i="29"/>
  <c r="X1948" i="29" s="1"/>
  <c r="W2662" i="29"/>
  <c r="X2662" i="29" s="1"/>
  <c r="W818" i="29"/>
  <c r="X818" i="29" s="1"/>
  <c r="W832" i="29"/>
  <c r="X832" i="29" s="1"/>
  <c r="W862" i="29"/>
  <c r="X862" i="29" s="1"/>
  <c r="W986" i="29"/>
  <c r="X986" i="29" s="1"/>
  <c r="W1004" i="29"/>
  <c r="X1004" i="29" s="1"/>
  <c r="W1190" i="29"/>
  <c r="X1190" i="29" s="1"/>
  <c r="W1256" i="29"/>
  <c r="X1256" i="29" s="1"/>
  <c r="W1279" i="29"/>
  <c r="X1279" i="29" s="1"/>
  <c r="W1322" i="29"/>
  <c r="X1322" i="29" s="1"/>
  <c r="W1367" i="29"/>
  <c r="X1367" i="29" s="1"/>
  <c r="W1374" i="29"/>
  <c r="X1374" i="29" s="1"/>
  <c r="W1410" i="29"/>
  <c r="X1410" i="29" s="1"/>
  <c r="W1428" i="29"/>
  <c r="X1428" i="29" s="1"/>
  <c r="W1476" i="29"/>
  <c r="X1476" i="29" s="1"/>
  <c r="W1575" i="29"/>
  <c r="X1575" i="29" s="1"/>
  <c r="W1600" i="29"/>
  <c r="X1600" i="29" s="1"/>
  <c r="W1666" i="29"/>
  <c r="X1666" i="29" s="1"/>
  <c r="W1692" i="29"/>
  <c r="X1692" i="29" s="1"/>
  <c r="W1729" i="29"/>
  <c r="X1729" i="29" s="1"/>
  <c r="W1818" i="29"/>
  <c r="X1818" i="29" s="1"/>
  <c r="W1841" i="29"/>
  <c r="X1841" i="29" s="1"/>
  <c r="W2499" i="29"/>
  <c r="X2499" i="29" s="1"/>
  <c r="W2508" i="29"/>
  <c r="X2508" i="29" s="1"/>
  <c r="W2522" i="29"/>
  <c r="X2522" i="29" s="1"/>
  <c r="W1047" i="29"/>
  <c r="X1047" i="29" s="1"/>
  <c r="W1131" i="29"/>
  <c r="X1131" i="29" s="1"/>
  <c r="W614" i="29"/>
  <c r="X614" i="29" s="1"/>
  <c r="W717" i="29"/>
  <c r="X717" i="29" s="1"/>
  <c r="W940" i="29"/>
  <c r="X940" i="29" s="1"/>
  <c r="W1052" i="29"/>
  <c r="X1052" i="29" s="1"/>
  <c r="W1138" i="29"/>
  <c r="X1138" i="29" s="1"/>
  <c r="W1204" i="29"/>
  <c r="X1204" i="29" s="1"/>
  <c r="W1270" i="29"/>
  <c r="X1270" i="29" s="1"/>
  <c r="W1417" i="29"/>
  <c r="X1417" i="29" s="1"/>
  <c r="W1444" i="29"/>
  <c r="X1444" i="29" s="1"/>
  <c r="W1503" i="29"/>
  <c r="X1503" i="29" s="1"/>
  <c r="W1582" i="29"/>
  <c r="X1582" i="29" s="1"/>
  <c r="W1632" i="29"/>
  <c r="X1632" i="29" s="1"/>
  <c r="W1657" i="29"/>
  <c r="X1657" i="29" s="1"/>
  <c r="W1745" i="29"/>
  <c r="X1745" i="29" s="1"/>
  <c r="W1832" i="29"/>
  <c r="X1832" i="29" s="1"/>
  <c r="W2302" i="29"/>
  <c r="X2302" i="29" s="1"/>
  <c r="W2481" i="29"/>
  <c r="X2481" i="29" s="1"/>
  <c r="W229" i="29"/>
  <c r="X229" i="29" s="1"/>
  <c r="W252" i="29"/>
  <c r="X252" i="29" s="1"/>
  <c r="W268" i="29"/>
  <c r="X268" i="29" s="1"/>
  <c r="W282" i="29"/>
  <c r="X282" i="29" s="1"/>
  <c r="W291" i="29"/>
  <c r="X291" i="29" s="1"/>
  <c r="W305" i="29"/>
  <c r="X305" i="29" s="1"/>
  <c r="W344" i="29"/>
  <c r="X344" i="29" s="1"/>
  <c r="W358" i="29"/>
  <c r="X358" i="29" s="1"/>
  <c r="W367" i="29"/>
  <c r="X367" i="29" s="1"/>
  <c r="W387" i="29"/>
  <c r="X387" i="29" s="1"/>
  <c r="W486" i="29"/>
  <c r="X486" i="29" s="1"/>
  <c r="W571" i="29"/>
  <c r="X571" i="29" s="1"/>
  <c r="W580" i="29"/>
  <c r="X580" i="29" s="1"/>
  <c r="W589" i="29"/>
  <c r="X589" i="29" s="1"/>
  <c r="W621" i="29"/>
  <c r="X621" i="29" s="1"/>
  <c r="W635" i="29"/>
  <c r="X635" i="29" s="1"/>
  <c r="W667" i="29"/>
  <c r="X667" i="29" s="1"/>
  <c r="W676" i="29"/>
  <c r="X676" i="29" s="1"/>
  <c r="W681" i="29"/>
  <c r="X681" i="29" s="1"/>
  <c r="W690" i="29"/>
  <c r="X690" i="29" s="1"/>
  <c r="W722" i="29"/>
  <c r="X722" i="29" s="1"/>
  <c r="W763" i="29"/>
  <c r="X763" i="29" s="1"/>
  <c r="W768" i="29"/>
  <c r="X768" i="29" s="1"/>
  <c r="W807" i="29"/>
  <c r="X807" i="29" s="1"/>
  <c r="W821" i="29"/>
  <c r="X821" i="29" s="1"/>
  <c r="W851" i="29"/>
  <c r="X851" i="29" s="1"/>
  <c r="W879" i="29"/>
  <c r="X879" i="29" s="1"/>
  <c r="W888" i="29"/>
  <c r="X888" i="29" s="1"/>
  <c r="W897" i="29"/>
  <c r="X897" i="29" s="1"/>
  <c r="W920" i="29"/>
  <c r="X920" i="29" s="1"/>
  <c r="W929" i="29"/>
  <c r="X929" i="29" s="1"/>
  <c r="W975" i="29"/>
  <c r="X975" i="29" s="1"/>
  <c r="W989" i="29"/>
  <c r="X989" i="29" s="1"/>
  <c r="W1000" i="29"/>
  <c r="X1000" i="29" s="1"/>
  <c r="W1016" i="29"/>
  <c r="X1016" i="29" s="1"/>
  <c r="W1025" i="29"/>
  <c r="X1025" i="29" s="1"/>
  <c r="W1084" i="29"/>
  <c r="X1084" i="29" s="1"/>
  <c r="W1095" i="29"/>
  <c r="X1095" i="29" s="1"/>
  <c r="W1109" i="29"/>
  <c r="X1109" i="29" s="1"/>
  <c r="W1152" i="29"/>
  <c r="X1152" i="29" s="1"/>
  <c r="W1161" i="29"/>
  <c r="X1161" i="29" s="1"/>
  <c r="W1175" i="29"/>
  <c r="X1175" i="29" s="1"/>
  <c r="W1218" i="29"/>
  <c r="X1218" i="29" s="1"/>
  <c r="W1227" i="29"/>
  <c r="X1227" i="29" s="1"/>
  <c r="W1241" i="29"/>
  <c r="X1241" i="29" s="1"/>
  <c r="W1252" i="29"/>
  <c r="X1252" i="29" s="1"/>
  <c r="W1284" i="29"/>
  <c r="X1284" i="29" s="1"/>
  <c r="W1293" i="29"/>
  <c r="X1293" i="29" s="1"/>
  <c r="W1307" i="29"/>
  <c r="X1307" i="29" s="1"/>
  <c r="W1316" i="29"/>
  <c r="X1316" i="29" s="1"/>
  <c r="W1372" i="29"/>
  <c r="X1372" i="29" s="1"/>
  <c r="W1472" i="29"/>
  <c r="X1472" i="29" s="1"/>
  <c r="W1603" i="29"/>
  <c r="X1603" i="29" s="1"/>
  <c r="W1612" i="29"/>
  <c r="X1612" i="29" s="1"/>
  <c r="W1630" i="29"/>
  <c r="X1630" i="29" s="1"/>
  <c r="W1637" i="29"/>
  <c r="X1637" i="29" s="1"/>
  <c r="W1646" i="29"/>
  <c r="X1646" i="29" s="1"/>
  <c r="W1690" i="29"/>
  <c r="X1690" i="29" s="1"/>
  <c r="W1695" i="29"/>
  <c r="X1695" i="29" s="1"/>
  <c r="W1718" i="29"/>
  <c r="X1718" i="29" s="1"/>
  <c r="W1766" i="29"/>
  <c r="X1766" i="29" s="1"/>
  <c r="W1789" i="29"/>
  <c r="X1789" i="29" s="1"/>
  <c r="W1821" i="29"/>
  <c r="X1821" i="29" s="1"/>
  <c r="W1846" i="29"/>
  <c r="X1846" i="29" s="1"/>
  <c r="W1873" i="29"/>
  <c r="X1873" i="29" s="1"/>
  <c r="W1901" i="29"/>
  <c r="X1901" i="29" s="1"/>
  <c r="W2074" i="29"/>
  <c r="X2074" i="29" s="1"/>
  <c r="W2083" i="29"/>
  <c r="X2083" i="29" s="1"/>
  <c r="W2092" i="29"/>
  <c r="X2092" i="29" s="1"/>
  <c r="W2719" i="29"/>
  <c r="X2719" i="29" s="1"/>
  <c r="W2785" i="29"/>
  <c r="X2785" i="29" s="1"/>
  <c r="W2984" i="29"/>
  <c r="X2984" i="29" s="1"/>
  <c r="W3055" i="29"/>
  <c r="X3055" i="29" s="1"/>
  <c r="W1898" i="29"/>
  <c r="X1898" i="29" s="1"/>
  <c r="W1916" i="29"/>
  <c r="X1916" i="29" s="1"/>
  <c r="W1934" i="29"/>
  <c r="X1934" i="29" s="1"/>
  <c r="W1943" i="29"/>
  <c r="X1943" i="29" s="1"/>
  <c r="W1952" i="29"/>
  <c r="X1952" i="29" s="1"/>
  <c r="W2072" i="29"/>
  <c r="X2072" i="29" s="1"/>
  <c r="W2081" i="29"/>
  <c r="X2081" i="29" s="1"/>
  <c r="W2104" i="29"/>
  <c r="X2104" i="29" s="1"/>
  <c r="W2149" i="29"/>
  <c r="X2149" i="29" s="1"/>
  <c r="W2169" i="29"/>
  <c r="X2169" i="29" s="1"/>
  <c r="W2194" i="29"/>
  <c r="X2194" i="29" s="1"/>
  <c r="W2212" i="29"/>
  <c r="X2212" i="29" s="1"/>
  <c r="W2253" i="29"/>
  <c r="X2253" i="29" s="1"/>
  <c r="W2264" i="29"/>
  <c r="X2264" i="29" s="1"/>
  <c r="W2296" i="29"/>
  <c r="X2296" i="29" s="1"/>
  <c r="W2307" i="29"/>
  <c r="X2307" i="29" s="1"/>
  <c r="W2348" i="29"/>
  <c r="X2348" i="29" s="1"/>
  <c r="W2369" i="29"/>
  <c r="X2369" i="29" s="1"/>
  <c r="W2376" i="29"/>
  <c r="X2376" i="29" s="1"/>
  <c r="W2408" i="29"/>
  <c r="X2408" i="29" s="1"/>
  <c r="W2458" i="29"/>
  <c r="X2458" i="29" s="1"/>
  <c r="W2467" i="29"/>
  <c r="X2467" i="29" s="1"/>
  <c r="W2492" i="29"/>
  <c r="X2492" i="29" s="1"/>
  <c r="W2501" i="29"/>
  <c r="X2501" i="29" s="1"/>
  <c r="W2515" i="29"/>
  <c r="X2515" i="29" s="1"/>
  <c r="W2524" i="29"/>
  <c r="X2524" i="29" s="1"/>
  <c r="W2542" i="29"/>
  <c r="X2542" i="29" s="1"/>
  <c r="W2567" i="29"/>
  <c r="X2567" i="29" s="1"/>
  <c r="W2590" i="29"/>
  <c r="X2590" i="29" s="1"/>
  <c r="W2701" i="29"/>
  <c r="X2701" i="29" s="1"/>
  <c r="W2717" i="29"/>
  <c r="X2717" i="29" s="1"/>
  <c r="W2733" i="29"/>
  <c r="X2733" i="29" s="1"/>
  <c r="W2767" i="29"/>
  <c r="X2767" i="29" s="1"/>
  <c r="W2799" i="29"/>
  <c r="X2799" i="29" s="1"/>
  <c r="W2808" i="29"/>
  <c r="X2808" i="29" s="1"/>
  <c r="W2831" i="29"/>
  <c r="X2831" i="29" s="1"/>
  <c r="W2888" i="29"/>
  <c r="X2888" i="29" s="1"/>
  <c r="W2934" i="29"/>
  <c r="X2934" i="29" s="1"/>
  <c r="W2989" i="29"/>
  <c r="X2989" i="29" s="1"/>
  <c r="W2998" i="29"/>
  <c r="X2998" i="29" s="1"/>
  <c r="W3021" i="29"/>
  <c r="X3021" i="29" s="1"/>
  <c r="W3030" i="29"/>
  <c r="X3030" i="29" s="1"/>
  <c r="W3044" i="29"/>
  <c r="X3044" i="29" s="1"/>
  <c r="W3069" i="29"/>
  <c r="X3069" i="29" s="1"/>
  <c r="W3092" i="29"/>
  <c r="X3092" i="29" s="1"/>
  <c r="W3108" i="29"/>
  <c r="X3108" i="29" s="1"/>
  <c r="W3140" i="29"/>
  <c r="X3140" i="29" s="1"/>
  <c r="W3170" i="29"/>
  <c r="X3170" i="29" s="1"/>
  <c r="W3184" i="29"/>
  <c r="X3184" i="29" s="1"/>
  <c r="W3225" i="29"/>
  <c r="X3225" i="29" s="1"/>
  <c r="W3291" i="29"/>
  <c r="X3291" i="29" s="1"/>
  <c r="W3323" i="29"/>
  <c r="X3323" i="29" s="1"/>
  <c r="W3357" i="29"/>
  <c r="X3357" i="29" s="1"/>
  <c r="W3389" i="29"/>
  <c r="X3389" i="29" s="1"/>
  <c r="W3405" i="29"/>
  <c r="X3405" i="29" s="1"/>
  <c r="W3423" i="29"/>
  <c r="X3423" i="29" s="1"/>
  <c r="W3432" i="29"/>
  <c r="X3432" i="29" s="1"/>
  <c r="W3455" i="29"/>
  <c r="X3455" i="29" s="1"/>
  <c r="W3517" i="29"/>
  <c r="X3517" i="29" s="1"/>
  <c r="W3542" i="29"/>
  <c r="X3542" i="29" s="1"/>
  <c r="W3549" i="29"/>
  <c r="X3549" i="29" s="1"/>
  <c r="W3558" i="29"/>
  <c r="X3558" i="29" s="1"/>
  <c r="W3581" i="29"/>
  <c r="X3581" i="29" s="1"/>
  <c r="W3668" i="29"/>
  <c r="X3668" i="29" s="1"/>
  <c r="W3677" i="29"/>
  <c r="X3677" i="29" s="1"/>
  <c r="W3768" i="29"/>
  <c r="X3768" i="29" s="1"/>
  <c r="W4248" i="29"/>
  <c r="X4248" i="29" s="1"/>
  <c r="W2613" i="29"/>
  <c r="X2613" i="29" s="1"/>
  <c r="W2756" i="29"/>
  <c r="X2756" i="29" s="1"/>
  <c r="W2909" i="29"/>
  <c r="X2909" i="29" s="1"/>
  <c r="W3028" i="29"/>
  <c r="X3028" i="29" s="1"/>
  <c r="W3207" i="29"/>
  <c r="X3207" i="29" s="1"/>
  <c r="W3547" i="29"/>
  <c r="X3547" i="29" s="1"/>
  <c r="W4195" i="29"/>
  <c r="X4195" i="29" s="1"/>
  <c r="W4989" i="29"/>
  <c r="X4989" i="29" s="1"/>
  <c r="W1871" i="29"/>
  <c r="X1871" i="29" s="1"/>
  <c r="W1973" i="29"/>
  <c r="X1973" i="29" s="1"/>
  <c r="W1982" i="29"/>
  <c r="X1982" i="29" s="1"/>
  <c r="W2066" i="29"/>
  <c r="X2066" i="29" s="1"/>
  <c r="W2075" i="29"/>
  <c r="X2075" i="29" s="1"/>
  <c r="W2084" i="29"/>
  <c r="X2084" i="29" s="1"/>
  <c r="W2138" i="29"/>
  <c r="X2138" i="29" s="1"/>
  <c r="W2152" i="29"/>
  <c r="X2152" i="29" s="1"/>
  <c r="W2172" i="29"/>
  <c r="X2172" i="29" s="1"/>
  <c r="W2197" i="29"/>
  <c r="X2197" i="29" s="1"/>
  <c r="W2224" i="29"/>
  <c r="X2224" i="29" s="1"/>
  <c r="W2312" i="29"/>
  <c r="X2312" i="29" s="1"/>
  <c r="W2319" i="29"/>
  <c r="X2319" i="29" s="1"/>
  <c r="W2381" i="29"/>
  <c r="X2381" i="29" s="1"/>
  <c r="W2436" i="29"/>
  <c r="X2436" i="29" s="1"/>
  <c r="W2479" i="29"/>
  <c r="X2479" i="29" s="1"/>
  <c r="W2497" i="29"/>
  <c r="X2497" i="29" s="1"/>
  <c r="W2545" i="29"/>
  <c r="X2545" i="29" s="1"/>
  <c r="W2579" i="29"/>
  <c r="X2579" i="29" s="1"/>
  <c r="W2593" i="29"/>
  <c r="X2593" i="29" s="1"/>
  <c r="W2611" i="29"/>
  <c r="X2611" i="29" s="1"/>
  <c r="W2620" i="29"/>
  <c r="X2620" i="29" s="1"/>
  <c r="W2663" i="29"/>
  <c r="X2663" i="29" s="1"/>
  <c r="W2706" i="29"/>
  <c r="X2706" i="29" s="1"/>
  <c r="W2713" i="29"/>
  <c r="X2713" i="29" s="1"/>
  <c r="W2754" i="29"/>
  <c r="X2754" i="29" s="1"/>
  <c r="W2772" i="29"/>
  <c r="X2772" i="29" s="1"/>
  <c r="W2779" i="29"/>
  <c r="X2779" i="29" s="1"/>
  <c r="W2916" i="29"/>
  <c r="X2916" i="29" s="1"/>
  <c r="W2921" i="29"/>
  <c r="X2921" i="29" s="1"/>
  <c r="W2939" i="29"/>
  <c r="X2939" i="29" s="1"/>
  <c r="W2971" i="29"/>
  <c r="X2971" i="29" s="1"/>
  <c r="W2985" i="29"/>
  <c r="X2985" i="29" s="1"/>
  <c r="W2994" i="29"/>
  <c r="X2994" i="29" s="1"/>
  <c r="W3003" i="29"/>
  <c r="X3003" i="29" s="1"/>
  <c r="W3026" i="29"/>
  <c r="X3026" i="29" s="1"/>
  <c r="W3072" i="29"/>
  <c r="X3072" i="29" s="1"/>
  <c r="W3095" i="29"/>
  <c r="X3095" i="29" s="1"/>
  <c r="W3104" i="29"/>
  <c r="X3104" i="29" s="1"/>
  <c r="W3242" i="29"/>
  <c r="X3242" i="29" s="1"/>
  <c r="W3260" i="29"/>
  <c r="X3260" i="29" s="1"/>
  <c r="W3294" i="29"/>
  <c r="X3294" i="29" s="1"/>
  <c r="W3335" i="29"/>
  <c r="X3335" i="29" s="1"/>
  <c r="W3371" i="29"/>
  <c r="X3371" i="29" s="1"/>
  <c r="W3401" i="29"/>
  <c r="X3401" i="29" s="1"/>
  <c r="W3435" i="29"/>
  <c r="X3435" i="29" s="1"/>
  <c r="W3444" i="29"/>
  <c r="X3444" i="29" s="1"/>
  <c r="W3481" i="29"/>
  <c r="X3481" i="29" s="1"/>
  <c r="W3513" i="29"/>
  <c r="X3513" i="29" s="1"/>
  <c r="W3531" i="29"/>
  <c r="X3531" i="29" s="1"/>
  <c r="W3586" i="29"/>
  <c r="X3586" i="29" s="1"/>
  <c r="W3614" i="29"/>
  <c r="X3614" i="29" s="1"/>
  <c r="W3664" i="29"/>
  <c r="X3664" i="29" s="1"/>
  <c r="W3709" i="29"/>
  <c r="X3709" i="29" s="1"/>
  <c r="W3725" i="29"/>
  <c r="X3725" i="29" s="1"/>
  <c r="W3945" i="29"/>
  <c r="X3945" i="29" s="1"/>
  <c r="W3963" i="29"/>
  <c r="X3963" i="29" s="1"/>
  <c r="W4163" i="29"/>
  <c r="X4163" i="29" s="1"/>
  <c r="W3908" i="29"/>
  <c r="X3908" i="29" s="1"/>
  <c r="W1867" i="29"/>
  <c r="X1867" i="29" s="1"/>
  <c r="W1917" i="29"/>
  <c r="X1917" i="29" s="1"/>
  <c r="W1944" i="29"/>
  <c r="X1944" i="29" s="1"/>
  <c r="W2021" i="29"/>
  <c r="X2021" i="29" s="1"/>
  <c r="W2030" i="29"/>
  <c r="X2030" i="29" s="1"/>
  <c r="W2073" i="29"/>
  <c r="X2073" i="29" s="1"/>
  <c r="W2091" i="29"/>
  <c r="X2091" i="29" s="1"/>
  <c r="W2098" i="29"/>
  <c r="X2098" i="29" s="1"/>
  <c r="W2170" i="29"/>
  <c r="X2170" i="29" s="1"/>
  <c r="W2186" i="29"/>
  <c r="X2186" i="29" s="1"/>
  <c r="W2195" i="29"/>
  <c r="X2195" i="29" s="1"/>
  <c r="W2213" i="29"/>
  <c r="X2213" i="29" s="1"/>
  <c r="W2240" i="29"/>
  <c r="X2240" i="29" s="1"/>
  <c r="W2256" i="29"/>
  <c r="X2256" i="29" s="1"/>
  <c r="W2283" i="29"/>
  <c r="X2283" i="29" s="1"/>
  <c r="W2340" i="29"/>
  <c r="X2340" i="29" s="1"/>
  <c r="W2377" i="29"/>
  <c r="X2377" i="29" s="1"/>
  <c r="W2450" i="29"/>
  <c r="X2450" i="29" s="1"/>
  <c r="W2468" i="29"/>
  <c r="X2468" i="29" s="1"/>
  <c r="W2493" i="29"/>
  <c r="X2493" i="29" s="1"/>
  <c r="W2502" i="29"/>
  <c r="X2502" i="29" s="1"/>
  <c r="W2516" i="29"/>
  <c r="X2516" i="29" s="1"/>
  <c r="W2552" i="29"/>
  <c r="X2552" i="29" s="1"/>
  <c r="W2568" i="29"/>
  <c r="X2568" i="29" s="1"/>
  <c r="W2591" i="29"/>
  <c r="X2591" i="29" s="1"/>
  <c r="W2652" i="29"/>
  <c r="X2652" i="29" s="1"/>
  <c r="W2677" i="29"/>
  <c r="X2677" i="29" s="1"/>
  <c r="W2711" i="29"/>
  <c r="X2711" i="29" s="1"/>
  <c r="W2725" i="29"/>
  <c r="X2725" i="29" s="1"/>
  <c r="W2734" i="29"/>
  <c r="X2734" i="29" s="1"/>
  <c r="W2743" i="29"/>
  <c r="X2743" i="29" s="1"/>
  <c r="W2768" i="29"/>
  <c r="X2768" i="29" s="1"/>
  <c r="W2800" i="29"/>
  <c r="X2800" i="29" s="1"/>
  <c r="W2841" i="29"/>
  <c r="X2841" i="29" s="1"/>
  <c r="W2850" i="29"/>
  <c r="X2850" i="29" s="1"/>
  <c r="W2855" i="29"/>
  <c r="X2855" i="29" s="1"/>
  <c r="W2930" i="29"/>
  <c r="X2930" i="29" s="1"/>
  <c r="W2944" i="29"/>
  <c r="X2944" i="29" s="1"/>
  <c r="W2960" i="29"/>
  <c r="X2960" i="29" s="1"/>
  <c r="W3022" i="29"/>
  <c r="X3022" i="29" s="1"/>
  <c r="W3031" i="29"/>
  <c r="X3031" i="29" s="1"/>
  <c r="W3054" i="29"/>
  <c r="X3054" i="29" s="1"/>
  <c r="W3077" i="29"/>
  <c r="X3077" i="29" s="1"/>
  <c r="W3093" i="29"/>
  <c r="X3093" i="29" s="1"/>
  <c r="W3116" i="29"/>
  <c r="X3116" i="29" s="1"/>
  <c r="W3141" i="29"/>
  <c r="X3141" i="29" s="1"/>
  <c r="W3157" i="29"/>
  <c r="X3157" i="29" s="1"/>
  <c r="W3171" i="29"/>
  <c r="X3171" i="29" s="1"/>
  <c r="W3180" i="29"/>
  <c r="X3180" i="29" s="1"/>
  <c r="W3203" i="29"/>
  <c r="X3203" i="29" s="1"/>
  <c r="W3217" i="29"/>
  <c r="X3217" i="29" s="1"/>
  <c r="W3281" i="29"/>
  <c r="X3281" i="29" s="1"/>
  <c r="W3292" i="29"/>
  <c r="X3292" i="29" s="1"/>
  <c r="W3333" i="29"/>
  <c r="X3333" i="29" s="1"/>
  <c r="W3399" i="29"/>
  <c r="X3399" i="29" s="1"/>
  <c r="W3413" i="29"/>
  <c r="X3413" i="29" s="1"/>
  <c r="W3488" i="29"/>
  <c r="X3488" i="29" s="1"/>
  <c r="W3527" i="29"/>
  <c r="X3527" i="29" s="1"/>
  <c r="W3575" i="29"/>
  <c r="X3575" i="29" s="1"/>
  <c r="W3582" i="29"/>
  <c r="X3582" i="29" s="1"/>
  <c r="W3598" i="29"/>
  <c r="X3598" i="29" s="1"/>
  <c r="W3612" i="29"/>
  <c r="X3612" i="29" s="1"/>
  <c r="W3621" i="29"/>
  <c r="X3621" i="29" s="1"/>
  <c r="W3653" i="29"/>
  <c r="X3653" i="29" s="1"/>
  <c r="W3698" i="29"/>
  <c r="X3698" i="29" s="1"/>
  <c r="W3707" i="29"/>
  <c r="X3707" i="29" s="1"/>
  <c r="W3732" i="29"/>
  <c r="X3732" i="29" s="1"/>
  <c r="W3741" i="29"/>
  <c r="X3741" i="29" s="1"/>
  <c r="W1888" i="29"/>
  <c r="X1888" i="29" s="1"/>
  <c r="W1897" i="29"/>
  <c r="X1897" i="29" s="1"/>
  <c r="W1915" i="29"/>
  <c r="X1915" i="29" s="1"/>
  <c r="W1951" i="29"/>
  <c r="X1951" i="29" s="1"/>
  <c r="W2003" i="29"/>
  <c r="X2003" i="29" s="1"/>
  <c r="W2039" i="29"/>
  <c r="X2039" i="29" s="1"/>
  <c r="W2044" i="29"/>
  <c r="X2044" i="29" s="1"/>
  <c r="W2053" i="29"/>
  <c r="X2053" i="29" s="1"/>
  <c r="W2071" i="29"/>
  <c r="X2071" i="29" s="1"/>
  <c r="W2080" i="29"/>
  <c r="X2080" i="29" s="1"/>
  <c r="W2103" i="29"/>
  <c r="X2103" i="29" s="1"/>
  <c r="W2119" i="29"/>
  <c r="X2119" i="29" s="1"/>
  <c r="W2359" i="29"/>
  <c r="X2359" i="29" s="1"/>
  <c r="W2366" i="29"/>
  <c r="X2366" i="29" s="1"/>
  <c r="W2491" i="29"/>
  <c r="X2491" i="29" s="1"/>
  <c r="W2532" i="29"/>
  <c r="X2532" i="29" s="1"/>
  <c r="W2541" i="29"/>
  <c r="X2541" i="29" s="1"/>
  <c r="W2582" i="29"/>
  <c r="X2582" i="29" s="1"/>
  <c r="W2589" i="29"/>
  <c r="X2589" i="29" s="1"/>
  <c r="W2623" i="29"/>
  <c r="X2623" i="29" s="1"/>
  <c r="W2666" i="29"/>
  <c r="X2666" i="29" s="1"/>
  <c r="W2732" i="29"/>
  <c r="X2732" i="29" s="1"/>
  <c r="W2766" i="29"/>
  <c r="X2766" i="29" s="1"/>
  <c r="W2780" i="29"/>
  <c r="X2780" i="29" s="1"/>
  <c r="W2821" i="29"/>
  <c r="X2821" i="29" s="1"/>
  <c r="W2823" i="29"/>
  <c r="X2823" i="29" s="1"/>
  <c r="W2830" i="29"/>
  <c r="X2830" i="29" s="1"/>
  <c r="W2853" i="29"/>
  <c r="X2853" i="29" s="1"/>
  <c r="W2862" i="29"/>
  <c r="X2862" i="29" s="1"/>
  <c r="W2887" i="29"/>
  <c r="X2887" i="29" s="1"/>
  <c r="W2901" i="29"/>
  <c r="X2901" i="29" s="1"/>
  <c r="W2910" i="29"/>
  <c r="X2910" i="29" s="1"/>
  <c r="W2926" i="29"/>
  <c r="X2926" i="29" s="1"/>
  <c r="W2942" i="29"/>
  <c r="X2942" i="29" s="1"/>
  <c r="W2956" i="29"/>
  <c r="X2956" i="29" s="1"/>
  <c r="W2981" i="29"/>
  <c r="X2981" i="29" s="1"/>
  <c r="W3020" i="29"/>
  <c r="X3020" i="29" s="1"/>
  <c r="W3066" i="29"/>
  <c r="X3066" i="29" s="1"/>
  <c r="W3107" i="29"/>
  <c r="X3107" i="29" s="1"/>
  <c r="W3121" i="29"/>
  <c r="X3121" i="29" s="1"/>
  <c r="W3146" i="29"/>
  <c r="X3146" i="29" s="1"/>
  <c r="W3153" i="29"/>
  <c r="X3153" i="29" s="1"/>
  <c r="W3201" i="29"/>
  <c r="X3201" i="29" s="1"/>
  <c r="W3224" i="29"/>
  <c r="X3224" i="29" s="1"/>
  <c r="W3238" i="29"/>
  <c r="X3238" i="29" s="1"/>
  <c r="W3270" i="29"/>
  <c r="X3270" i="29" s="1"/>
  <c r="W3272" i="29"/>
  <c r="X3272" i="29" s="1"/>
  <c r="W3395" i="29"/>
  <c r="X3395" i="29" s="1"/>
  <c r="W3404" i="29"/>
  <c r="X3404" i="29" s="1"/>
  <c r="W3461" i="29"/>
  <c r="X3461" i="29" s="1"/>
  <c r="W3470" i="29"/>
  <c r="X3470" i="29" s="1"/>
  <c r="W3484" i="29"/>
  <c r="X3484" i="29" s="1"/>
  <c r="W3493" i="29"/>
  <c r="X3493" i="29" s="1"/>
  <c r="W3539" i="29"/>
  <c r="X3539" i="29" s="1"/>
  <c r="W3603" i="29"/>
  <c r="X3603" i="29" s="1"/>
  <c r="W3644" i="29"/>
  <c r="X3644" i="29" s="1"/>
  <c r="W3649" i="29"/>
  <c r="X3649" i="29" s="1"/>
  <c r="W3692" i="29"/>
  <c r="X3692" i="29" s="1"/>
  <c r="W3767" i="29"/>
  <c r="X3767" i="29" s="1"/>
  <c r="W3822" i="29"/>
  <c r="X3822" i="29" s="1"/>
  <c r="W3840" i="29"/>
  <c r="X3840" i="29" s="1"/>
  <c r="W4074" i="29"/>
  <c r="X4074" i="29" s="1"/>
  <c r="W4353" i="29"/>
  <c r="X4353" i="29" s="1"/>
  <c r="W4438" i="29"/>
  <c r="X4438" i="29" s="1"/>
  <c r="W3996" i="29"/>
  <c r="X3996" i="29" s="1"/>
  <c r="W4042" i="29"/>
  <c r="X4042" i="29" s="1"/>
  <c r="W4194" i="29"/>
  <c r="X4194" i="29" s="1"/>
  <c r="W1886" i="29"/>
  <c r="X1886" i="29" s="1"/>
  <c r="W1911" i="29"/>
  <c r="X1911" i="29" s="1"/>
  <c r="W1956" i="29"/>
  <c r="X1956" i="29" s="1"/>
  <c r="W1963" i="29"/>
  <c r="X1963" i="29" s="1"/>
  <c r="W1997" i="29"/>
  <c r="X1997" i="29" s="1"/>
  <c r="W2015" i="29"/>
  <c r="X2015" i="29" s="1"/>
  <c r="W2033" i="29"/>
  <c r="X2033" i="29" s="1"/>
  <c r="W2042" i="29"/>
  <c r="X2042" i="29" s="1"/>
  <c r="W2051" i="29"/>
  <c r="X2051" i="29" s="1"/>
  <c r="W2099" i="29"/>
  <c r="X2099" i="29" s="1"/>
  <c r="W2108" i="29"/>
  <c r="X2108" i="29" s="1"/>
  <c r="W2117" i="29"/>
  <c r="X2117" i="29" s="1"/>
  <c r="W2162" i="29"/>
  <c r="X2162" i="29" s="1"/>
  <c r="W2284" i="29"/>
  <c r="X2284" i="29" s="1"/>
  <c r="W2293" i="29"/>
  <c r="X2293" i="29" s="1"/>
  <c r="W2327" i="29"/>
  <c r="X2327" i="29" s="1"/>
  <c r="W2345" i="29"/>
  <c r="X2345" i="29" s="1"/>
  <c r="W2396" i="29"/>
  <c r="X2396" i="29" s="1"/>
  <c r="W2421" i="29"/>
  <c r="X2421" i="29" s="1"/>
  <c r="W2437" i="29"/>
  <c r="X2437" i="29" s="1"/>
  <c r="W2455" i="29"/>
  <c r="X2455" i="29" s="1"/>
  <c r="W2464" i="29"/>
  <c r="X2464" i="29" s="1"/>
  <c r="W2480" i="29"/>
  <c r="X2480" i="29" s="1"/>
  <c r="W2546" i="29"/>
  <c r="X2546" i="29" s="1"/>
  <c r="W2564" i="29"/>
  <c r="X2564" i="29" s="1"/>
  <c r="W2578" i="29"/>
  <c r="X2578" i="29" s="1"/>
  <c r="W2630" i="29"/>
  <c r="X2630" i="29" s="1"/>
  <c r="W2655" i="29"/>
  <c r="X2655" i="29" s="1"/>
  <c r="W2664" i="29"/>
  <c r="X2664" i="29" s="1"/>
  <c r="W2687" i="29"/>
  <c r="X2687" i="29" s="1"/>
  <c r="W2712" i="29"/>
  <c r="X2712" i="29" s="1"/>
  <c r="W2762" i="29"/>
  <c r="X2762" i="29" s="1"/>
  <c r="W2794" i="29"/>
  <c r="X2794" i="29" s="1"/>
  <c r="W2860" i="29"/>
  <c r="X2860" i="29" s="1"/>
  <c r="W2867" i="29"/>
  <c r="X2867" i="29" s="1"/>
  <c r="W2899" i="29"/>
  <c r="X2899" i="29" s="1"/>
  <c r="W2915" i="29"/>
  <c r="X2915" i="29" s="1"/>
  <c r="W2922" i="29"/>
  <c r="X2922" i="29" s="1"/>
  <c r="W3050" i="29"/>
  <c r="X3050" i="29" s="1"/>
  <c r="W3119" i="29"/>
  <c r="X3119" i="29" s="1"/>
  <c r="W3142" i="29"/>
  <c r="X3142" i="29" s="1"/>
  <c r="W3165" i="29"/>
  <c r="X3165" i="29" s="1"/>
  <c r="W3190" i="29"/>
  <c r="X3190" i="29" s="1"/>
  <c r="W3197" i="29"/>
  <c r="X3197" i="29" s="1"/>
  <c r="W3206" i="29"/>
  <c r="X3206" i="29" s="1"/>
  <c r="W3236" i="29"/>
  <c r="X3236" i="29" s="1"/>
  <c r="W3250" i="29"/>
  <c r="X3250" i="29" s="1"/>
  <c r="W3275" i="29"/>
  <c r="X3275" i="29" s="1"/>
  <c r="W3284" i="29"/>
  <c r="X3284" i="29" s="1"/>
  <c r="W3318" i="29"/>
  <c r="X3318" i="29" s="1"/>
  <c r="W3341" i="29"/>
  <c r="X3341" i="29" s="1"/>
  <c r="W3350" i="29"/>
  <c r="X3350" i="29" s="1"/>
  <c r="W3361" i="29"/>
  <c r="X3361" i="29" s="1"/>
  <c r="W3370" i="29"/>
  <c r="X3370" i="29" s="1"/>
  <c r="W3393" i="29"/>
  <c r="X3393" i="29" s="1"/>
  <c r="W3416" i="29"/>
  <c r="X3416" i="29" s="1"/>
  <c r="W3459" i="29"/>
  <c r="X3459" i="29" s="1"/>
  <c r="W3473" i="29"/>
  <c r="X3473" i="29" s="1"/>
  <c r="W3491" i="29"/>
  <c r="X3491" i="29" s="1"/>
  <c r="W3553" i="29"/>
  <c r="X3553" i="29" s="1"/>
  <c r="W3569" i="29"/>
  <c r="X3569" i="29" s="1"/>
  <c r="W3633" i="29"/>
  <c r="X3633" i="29" s="1"/>
  <c r="W3642" i="29"/>
  <c r="X3642" i="29" s="1"/>
  <c r="W3656" i="29"/>
  <c r="X3656" i="29" s="1"/>
  <c r="W3674" i="29"/>
  <c r="X3674" i="29" s="1"/>
  <c r="W3701" i="29"/>
  <c r="X3701" i="29" s="1"/>
  <c r="W3765" i="29"/>
  <c r="X3765" i="29" s="1"/>
  <c r="W4026" i="29"/>
  <c r="X4026" i="29" s="1"/>
  <c r="W3789" i="29"/>
  <c r="X3789" i="29" s="1"/>
  <c r="W3798" i="29"/>
  <c r="X3798" i="29" s="1"/>
  <c r="W3955" i="29"/>
  <c r="X3955" i="29" s="1"/>
  <c r="W3971" i="29"/>
  <c r="X3971" i="29" s="1"/>
  <c r="W4066" i="29"/>
  <c r="X4066" i="29" s="1"/>
  <c r="W4089" i="29"/>
  <c r="X4089" i="29" s="1"/>
  <c r="W4098" i="29"/>
  <c r="X4098" i="29" s="1"/>
  <c r="W4114" i="29"/>
  <c r="X4114" i="29" s="1"/>
  <c r="W4121" i="29"/>
  <c r="X4121" i="29" s="1"/>
  <c r="W4180" i="29"/>
  <c r="X4180" i="29" s="1"/>
  <c r="W4196" i="29"/>
  <c r="X4196" i="29" s="1"/>
  <c r="W4203" i="29"/>
  <c r="X4203" i="29" s="1"/>
  <c r="W4240" i="29"/>
  <c r="X4240" i="29" s="1"/>
  <c r="W4301" i="29"/>
  <c r="X4301" i="29" s="1"/>
  <c r="W4329" i="29"/>
  <c r="X4329" i="29" s="1"/>
  <c r="W4347" i="29"/>
  <c r="X4347" i="29" s="1"/>
  <c r="W4356" i="29"/>
  <c r="X4356" i="29" s="1"/>
  <c r="W4372" i="29"/>
  <c r="X4372" i="29" s="1"/>
  <c r="W4381" i="29"/>
  <c r="X4381" i="29" s="1"/>
  <c r="W4415" i="29"/>
  <c r="X4415" i="29" s="1"/>
  <c r="W4424" i="29"/>
  <c r="X4424" i="29" s="1"/>
  <c r="W4444" i="29"/>
  <c r="X4444" i="29" s="1"/>
  <c r="W4458" i="29"/>
  <c r="X4458" i="29" s="1"/>
  <c r="W4505" i="29"/>
  <c r="X4505" i="29" s="1"/>
  <c r="W4514" i="29"/>
  <c r="X4514" i="29" s="1"/>
  <c r="W4537" i="29"/>
  <c r="X4537" i="29" s="1"/>
  <c r="W4555" i="29"/>
  <c r="X4555" i="29" s="1"/>
  <c r="W4591" i="29"/>
  <c r="X4591" i="29" s="1"/>
  <c r="W4605" i="29"/>
  <c r="X4605" i="29" s="1"/>
  <c r="W4634" i="29"/>
  <c r="X4634" i="29" s="1"/>
  <c r="W4711" i="29"/>
  <c r="X4711" i="29" s="1"/>
  <c r="W4731" i="29"/>
  <c r="X4731" i="29" s="1"/>
  <c r="W4791" i="29"/>
  <c r="X4791" i="29" s="1"/>
  <c r="W4823" i="29"/>
  <c r="X4823" i="29" s="1"/>
  <c r="W4841" i="29"/>
  <c r="X4841" i="29" s="1"/>
  <c r="W4885" i="29"/>
  <c r="X4885" i="29" s="1"/>
  <c r="W4935" i="29"/>
  <c r="X4935" i="29" s="1"/>
  <c r="W4944" i="29"/>
  <c r="X4944" i="29" s="1"/>
  <c r="W4958" i="29"/>
  <c r="X4958" i="29" s="1"/>
  <c r="W4974" i="29"/>
  <c r="X4974" i="29" s="1"/>
  <c r="W4983" i="29"/>
  <c r="X4983" i="29" s="1"/>
  <c r="W4990" i="29"/>
  <c r="X4990" i="29" s="1"/>
  <c r="W5040" i="29"/>
  <c r="X5040" i="29" s="1"/>
  <c r="W5065" i="29"/>
  <c r="X5065" i="29" s="1"/>
  <c r="W5072" i="29"/>
  <c r="X5072" i="29" s="1"/>
  <c r="W5095" i="29"/>
  <c r="X5095" i="29" s="1"/>
  <c r="W5115" i="29"/>
  <c r="X5115" i="29" s="1"/>
  <c r="W5122" i="29"/>
  <c r="X5122" i="29" s="1"/>
  <c r="W5184" i="29"/>
  <c r="X5184" i="29" s="1"/>
  <c r="W5198" i="29"/>
  <c r="X5198" i="29" s="1"/>
  <c r="W5280" i="29"/>
  <c r="X5280" i="29" s="1"/>
  <c r="W5307" i="29"/>
  <c r="X5307" i="29" s="1"/>
  <c r="W5330" i="29"/>
  <c r="X5330" i="29" s="1"/>
  <c r="W5362" i="29"/>
  <c r="X5362" i="29" s="1"/>
  <c r="W5437" i="29"/>
  <c r="X5437" i="29" s="1"/>
  <c r="W5451" i="29"/>
  <c r="X5451" i="29" s="1"/>
  <c r="W5467" i="29"/>
  <c r="X5467" i="29" s="1"/>
  <c r="W5508" i="29"/>
  <c r="X5508" i="29" s="1"/>
  <c r="W5524" i="29"/>
  <c r="X5524" i="29" s="1"/>
  <c r="W5533" i="29"/>
  <c r="X5533" i="29" s="1"/>
  <c r="W5547" i="29"/>
  <c r="X5547" i="29" s="1"/>
  <c r="W5572" i="29"/>
  <c r="X5572" i="29" s="1"/>
  <c r="W5611" i="29"/>
  <c r="X5611" i="29" s="1"/>
  <c r="W3703" i="29"/>
  <c r="X3703" i="29" s="1"/>
  <c r="W3746" i="29"/>
  <c r="X3746" i="29" s="1"/>
  <c r="W3755" i="29"/>
  <c r="X3755" i="29" s="1"/>
  <c r="W3787" i="29"/>
  <c r="X3787" i="29" s="1"/>
  <c r="W3796" i="29"/>
  <c r="X3796" i="29" s="1"/>
  <c r="W3853" i="29"/>
  <c r="X3853" i="29" s="1"/>
  <c r="W3907" i="29"/>
  <c r="X3907" i="29" s="1"/>
  <c r="W3912" i="29"/>
  <c r="X3912" i="29" s="1"/>
  <c r="W3942" i="29"/>
  <c r="X3942" i="29" s="1"/>
  <c r="W4001" i="29"/>
  <c r="X4001" i="29" s="1"/>
  <c r="W4021" i="29"/>
  <c r="X4021" i="29" s="1"/>
  <c r="W4064" i="29"/>
  <c r="X4064" i="29" s="1"/>
  <c r="W4103" i="29"/>
  <c r="X4103" i="29" s="1"/>
  <c r="W4119" i="29"/>
  <c r="X4119" i="29" s="1"/>
  <c r="W4128" i="29"/>
  <c r="X4128" i="29" s="1"/>
  <c r="W4162" i="29"/>
  <c r="X4162" i="29" s="1"/>
  <c r="W4169" i="29"/>
  <c r="X4169" i="29" s="1"/>
  <c r="W4199" i="29"/>
  <c r="X4199" i="29" s="1"/>
  <c r="W4224" i="29"/>
  <c r="X4224" i="29" s="1"/>
  <c r="W4238" i="29"/>
  <c r="X4238" i="29" s="1"/>
  <c r="W4247" i="29"/>
  <c r="X4247" i="29" s="1"/>
  <c r="W4313" i="29"/>
  <c r="X4313" i="29" s="1"/>
  <c r="W4352" i="29"/>
  <c r="X4352" i="29" s="1"/>
  <c r="W4379" i="29"/>
  <c r="X4379" i="29" s="1"/>
  <c r="W4395" i="29"/>
  <c r="X4395" i="29" s="1"/>
  <c r="W4422" i="29"/>
  <c r="X4422" i="29" s="1"/>
  <c r="W4470" i="29"/>
  <c r="X4470" i="29" s="1"/>
  <c r="W4490" i="29"/>
  <c r="X4490" i="29" s="1"/>
  <c r="W4544" i="29"/>
  <c r="X4544" i="29" s="1"/>
  <c r="W4551" i="29"/>
  <c r="X4551" i="29" s="1"/>
  <c r="W4571" i="29"/>
  <c r="X4571" i="29" s="1"/>
  <c r="W4603" i="29"/>
  <c r="X4603" i="29" s="1"/>
  <c r="W4616" i="29"/>
  <c r="X4616" i="29" s="1"/>
  <c r="W4643" i="29"/>
  <c r="X4643" i="29" s="1"/>
  <c r="W4648" i="29"/>
  <c r="X4648" i="29" s="1"/>
  <c r="W4657" i="29"/>
  <c r="X4657" i="29" s="1"/>
  <c r="W4675" i="29"/>
  <c r="X4675" i="29" s="1"/>
  <c r="W4702" i="29"/>
  <c r="X4702" i="29" s="1"/>
  <c r="W4725" i="29"/>
  <c r="X4725" i="29" s="1"/>
  <c r="W4734" i="29"/>
  <c r="X4734" i="29" s="1"/>
  <c r="W4844" i="29"/>
  <c r="X4844" i="29" s="1"/>
  <c r="W4890" i="29"/>
  <c r="X4890" i="29" s="1"/>
  <c r="W4908" i="29"/>
  <c r="X4908" i="29" s="1"/>
  <c r="W4924" i="29"/>
  <c r="X4924" i="29" s="1"/>
  <c r="W4956" i="29"/>
  <c r="X4956" i="29" s="1"/>
  <c r="W4997" i="29"/>
  <c r="X4997" i="29" s="1"/>
  <c r="W5031" i="29"/>
  <c r="X5031" i="29" s="1"/>
  <c r="W5054" i="29"/>
  <c r="X5054" i="29" s="1"/>
  <c r="W5061" i="29"/>
  <c r="X5061" i="29" s="1"/>
  <c r="W5068" i="29"/>
  <c r="X5068" i="29" s="1"/>
  <c r="W5111" i="29"/>
  <c r="X5111" i="29" s="1"/>
  <c r="W5152" i="29"/>
  <c r="X5152" i="29" s="1"/>
  <c r="W5175" i="29"/>
  <c r="X5175" i="29" s="1"/>
  <c r="W5182" i="29"/>
  <c r="X5182" i="29" s="1"/>
  <c r="W5196" i="29"/>
  <c r="X5196" i="29" s="1"/>
  <c r="W5210" i="29"/>
  <c r="X5210" i="29" s="1"/>
  <c r="W5228" i="29"/>
  <c r="X5228" i="29" s="1"/>
  <c r="W5233" i="29"/>
  <c r="X5233" i="29" s="1"/>
  <c r="W5251" i="29"/>
  <c r="X5251" i="29" s="1"/>
  <c r="W5260" i="29"/>
  <c r="X5260" i="29" s="1"/>
  <c r="W5276" i="29"/>
  <c r="X5276" i="29" s="1"/>
  <c r="W5285" i="29"/>
  <c r="X5285" i="29" s="1"/>
  <c r="W5314" i="29"/>
  <c r="X5314" i="29" s="1"/>
  <c r="W5319" i="29"/>
  <c r="X5319" i="29" s="1"/>
  <c r="W5337" i="29"/>
  <c r="X5337" i="29" s="1"/>
  <c r="W5374" i="29"/>
  <c r="X5374" i="29" s="1"/>
  <c r="W5435" i="29"/>
  <c r="X5435" i="29" s="1"/>
  <c r="W5458" i="29"/>
  <c r="X5458" i="29" s="1"/>
  <c r="W5463" i="29"/>
  <c r="X5463" i="29" s="1"/>
  <c r="W5472" i="29"/>
  <c r="X5472" i="29" s="1"/>
  <c r="W5495" i="29"/>
  <c r="X5495" i="29" s="1"/>
  <c r="W5513" i="29"/>
  <c r="X5513" i="29" s="1"/>
  <c r="W5570" i="29"/>
  <c r="X5570" i="29" s="1"/>
  <c r="W3744" i="29"/>
  <c r="X3744" i="29" s="1"/>
  <c r="W3769" i="29"/>
  <c r="X3769" i="29" s="1"/>
  <c r="W3785" i="29"/>
  <c r="X3785" i="29" s="1"/>
  <c r="W3801" i="29"/>
  <c r="X3801" i="29" s="1"/>
  <c r="W3851" i="29"/>
  <c r="X3851" i="29" s="1"/>
  <c r="W3910" i="29"/>
  <c r="X3910" i="29" s="1"/>
  <c r="W3924" i="29"/>
  <c r="X3924" i="29" s="1"/>
  <c r="W3960" i="29"/>
  <c r="X3960" i="29" s="1"/>
  <c r="W3965" i="29"/>
  <c r="X3965" i="29" s="1"/>
  <c r="W4019" i="29"/>
  <c r="X4019" i="29" s="1"/>
  <c r="W4062" i="29"/>
  <c r="X4062" i="29" s="1"/>
  <c r="W4085" i="29"/>
  <c r="X4085" i="29" s="1"/>
  <c r="W4108" i="29"/>
  <c r="X4108" i="29" s="1"/>
  <c r="W4133" i="29"/>
  <c r="X4133" i="29" s="1"/>
  <c r="W4140" i="29"/>
  <c r="X4140" i="29" s="1"/>
  <c r="W4206" i="29"/>
  <c r="X4206" i="29" s="1"/>
  <c r="W4236" i="29"/>
  <c r="X4236" i="29" s="1"/>
  <c r="W4259" i="29"/>
  <c r="X4259" i="29" s="1"/>
  <c r="W4268" i="29"/>
  <c r="X4268" i="29" s="1"/>
  <c r="W4325" i="29"/>
  <c r="X4325" i="29" s="1"/>
  <c r="W4334" i="29"/>
  <c r="X4334" i="29" s="1"/>
  <c r="W4359" i="29"/>
  <c r="X4359" i="29" s="1"/>
  <c r="W4402" i="29"/>
  <c r="X4402" i="29" s="1"/>
  <c r="W4411" i="29"/>
  <c r="X4411" i="29" s="1"/>
  <c r="W4418" i="29"/>
  <c r="X4418" i="29" s="1"/>
  <c r="W4427" i="29"/>
  <c r="X4427" i="29" s="1"/>
  <c r="W4436" i="29"/>
  <c r="X4436" i="29" s="1"/>
  <c r="W4468" i="29"/>
  <c r="X4468" i="29" s="1"/>
  <c r="W4524" i="29"/>
  <c r="X4524" i="29" s="1"/>
  <c r="W4592" i="29"/>
  <c r="X4592" i="29" s="1"/>
  <c r="W4698" i="29"/>
  <c r="X4698" i="29" s="1"/>
  <c r="W4705" i="29"/>
  <c r="X4705" i="29" s="1"/>
  <c r="W4732" i="29"/>
  <c r="X4732" i="29" s="1"/>
  <c r="W4810" i="29"/>
  <c r="X4810" i="29" s="1"/>
  <c r="W4826" i="29"/>
  <c r="X4826" i="29" s="1"/>
  <c r="W4856" i="29"/>
  <c r="X4856" i="29" s="1"/>
  <c r="W4865" i="29"/>
  <c r="X4865" i="29" s="1"/>
  <c r="W4899" i="29"/>
  <c r="X4899" i="29" s="1"/>
  <c r="W4906" i="29"/>
  <c r="X4906" i="29" s="1"/>
  <c r="W4968" i="29"/>
  <c r="X4968" i="29" s="1"/>
  <c r="W4986" i="29"/>
  <c r="X4986" i="29" s="1"/>
  <c r="W5009" i="29"/>
  <c r="X5009" i="29" s="1"/>
  <c r="W5018" i="29"/>
  <c r="X5018" i="29" s="1"/>
  <c r="W5034" i="29"/>
  <c r="X5034" i="29" s="1"/>
  <c r="W5052" i="29"/>
  <c r="X5052" i="29" s="1"/>
  <c r="W5057" i="29"/>
  <c r="X5057" i="29" s="1"/>
  <c r="W5066" i="29"/>
  <c r="X5066" i="29" s="1"/>
  <c r="W5082" i="29"/>
  <c r="X5082" i="29" s="1"/>
  <c r="W5171" i="29"/>
  <c r="X5171" i="29" s="1"/>
  <c r="W5187" i="29"/>
  <c r="X5187" i="29" s="1"/>
  <c r="W5194" i="29"/>
  <c r="X5194" i="29" s="1"/>
  <c r="W5208" i="29"/>
  <c r="X5208" i="29" s="1"/>
  <c r="W5222" i="29"/>
  <c r="X5222" i="29" s="1"/>
  <c r="W5231" i="29"/>
  <c r="X5231" i="29" s="1"/>
  <c r="W5265" i="29"/>
  <c r="X5265" i="29" s="1"/>
  <c r="W5299" i="29"/>
  <c r="X5299" i="29" s="1"/>
  <c r="W5310" i="29"/>
  <c r="X5310" i="29" s="1"/>
  <c r="W5390" i="29"/>
  <c r="X5390" i="29" s="1"/>
  <c r="W5395" i="29"/>
  <c r="X5395" i="29" s="1"/>
  <c r="W5415" i="29"/>
  <c r="X5415" i="29" s="1"/>
  <c r="W5431" i="29"/>
  <c r="X5431" i="29" s="1"/>
  <c r="W5447" i="29"/>
  <c r="X5447" i="29" s="1"/>
  <c r="W5461" i="29"/>
  <c r="X5461" i="29" s="1"/>
  <c r="W5484" i="29"/>
  <c r="X5484" i="29" s="1"/>
  <c r="W5511" i="29"/>
  <c r="X5511" i="29" s="1"/>
  <c r="W5527" i="29"/>
  <c r="X5527" i="29" s="1"/>
  <c r="W5591" i="29"/>
  <c r="X5591" i="29" s="1"/>
  <c r="W5596" i="29"/>
  <c r="X5596" i="29" s="1"/>
  <c r="W5612" i="29"/>
  <c r="X5612" i="29" s="1"/>
  <c r="W5626" i="29"/>
  <c r="X5626" i="29" s="1"/>
  <c r="W3917" i="29"/>
  <c r="X3917" i="29" s="1"/>
  <c r="W3956" i="29"/>
  <c r="X3956" i="29" s="1"/>
  <c r="W3972" i="29"/>
  <c r="X3972" i="29" s="1"/>
  <c r="W4028" i="29"/>
  <c r="X4028" i="29" s="1"/>
  <c r="W4044" i="29"/>
  <c r="X4044" i="29" s="1"/>
  <c r="W4131" i="29"/>
  <c r="X4131" i="29" s="1"/>
  <c r="W4172" i="29"/>
  <c r="X4172" i="29" s="1"/>
  <c r="W4213" i="29"/>
  <c r="X4213" i="29" s="1"/>
  <c r="W4227" i="29"/>
  <c r="X4227" i="29" s="1"/>
  <c r="W4241" i="29"/>
  <c r="X4241" i="29" s="1"/>
  <c r="W4250" i="29"/>
  <c r="X4250" i="29" s="1"/>
  <c r="W4264" i="29"/>
  <c r="X4264" i="29" s="1"/>
  <c r="W4282" i="29"/>
  <c r="X4282" i="29" s="1"/>
  <c r="W4307" i="29"/>
  <c r="X4307" i="29" s="1"/>
  <c r="W4323" i="29"/>
  <c r="X4323" i="29" s="1"/>
  <c r="W4357" i="29"/>
  <c r="X4357" i="29" s="1"/>
  <c r="W4373" i="29"/>
  <c r="X4373" i="29" s="1"/>
  <c r="W4382" i="29"/>
  <c r="X4382" i="29" s="1"/>
  <c r="W4416" i="29"/>
  <c r="X4416" i="29" s="1"/>
  <c r="W4445" i="29"/>
  <c r="X4445" i="29" s="1"/>
  <c r="W4515" i="29"/>
  <c r="X4515" i="29" s="1"/>
  <c r="W4529" i="29"/>
  <c r="X4529" i="29" s="1"/>
  <c r="W4556" i="29"/>
  <c r="X4556" i="29" s="1"/>
  <c r="W4567" i="29"/>
  <c r="X4567" i="29" s="1"/>
  <c r="W4576" i="29"/>
  <c r="X4576" i="29" s="1"/>
  <c r="W4583" i="29"/>
  <c r="X4583" i="29" s="1"/>
  <c r="W4606" i="29"/>
  <c r="X4606" i="29" s="1"/>
  <c r="W4626" i="29"/>
  <c r="X4626" i="29" s="1"/>
  <c r="W4653" i="29"/>
  <c r="X4653" i="29" s="1"/>
  <c r="W4678" i="29"/>
  <c r="X4678" i="29" s="1"/>
  <c r="W4737" i="29"/>
  <c r="X4737" i="29" s="1"/>
  <c r="W4792" i="29"/>
  <c r="X4792" i="29" s="1"/>
  <c r="W4833" i="29"/>
  <c r="X4833" i="29" s="1"/>
  <c r="W4863" i="29"/>
  <c r="X4863" i="29" s="1"/>
  <c r="W4886" i="29"/>
  <c r="X4886" i="29" s="1"/>
  <c r="W4895" i="29"/>
  <c r="X4895" i="29" s="1"/>
  <c r="W4936" i="29"/>
  <c r="X4936" i="29" s="1"/>
  <c r="W4945" i="29"/>
  <c r="X4945" i="29" s="1"/>
  <c r="W4961" i="29"/>
  <c r="X4961" i="29" s="1"/>
  <c r="W4991" i="29"/>
  <c r="X4991" i="29" s="1"/>
  <c r="W5000" i="29"/>
  <c r="X5000" i="29" s="1"/>
  <c r="W5073" i="29"/>
  <c r="X5073" i="29" s="1"/>
  <c r="W5096" i="29"/>
  <c r="X5096" i="29" s="1"/>
  <c r="W5148" i="29"/>
  <c r="X5148" i="29" s="1"/>
  <c r="W5247" i="29"/>
  <c r="X5247" i="29" s="1"/>
  <c r="W5288" i="29"/>
  <c r="X5288" i="29" s="1"/>
  <c r="W5331" i="29"/>
  <c r="X5331" i="29" s="1"/>
  <c r="W5363" i="29"/>
  <c r="X5363" i="29" s="1"/>
  <c r="W5420" i="29"/>
  <c r="X5420" i="29" s="1"/>
  <c r="W5438" i="29"/>
  <c r="X5438" i="29" s="1"/>
  <c r="W5491" i="29"/>
  <c r="X5491" i="29" s="1"/>
  <c r="W5516" i="29"/>
  <c r="X5516" i="29" s="1"/>
  <c r="W5534" i="29"/>
  <c r="X5534" i="29" s="1"/>
  <c r="W5589" i="29"/>
  <c r="X5589" i="29" s="1"/>
  <c r="W4218" i="29"/>
  <c r="X4218" i="29" s="1"/>
  <c r="W4271" i="29"/>
  <c r="X4271" i="29" s="1"/>
  <c r="W4298" i="29"/>
  <c r="X4298" i="29" s="1"/>
  <c r="W4314" i="29"/>
  <c r="X4314" i="29" s="1"/>
  <c r="W4362" i="29"/>
  <c r="X4362" i="29" s="1"/>
  <c r="W4450" i="29"/>
  <c r="X4450" i="29" s="1"/>
  <c r="W4473" i="29"/>
  <c r="X4473" i="29" s="1"/>
  <c r="W4482" i="29"/>
  <c r="X4482" i="29" s="1"/>
  <c r="W4502" i="29"/>
  <c r="X4502" i="29" s="1"/>
  <c r="W4522" i="29"/>
  <c r="X4522" i="29" s="1"/>
  <c r="W4536" i="29"/>
  <c r="X4536" i="29" s="1"/>
  <c r="W4590" i="29"/>
  <c r="X4590" i="29" s="1"/>
  <c r="W4644" i="29"/>
  <c r="X4644" i="29" s="1"/>
  <c r="W4660" i="29"/>
  <c r="X4660" i="29" s="1"/>
  <c r="W4694" i="29"/>
  <c r="X4694" i="29" s="1"/>
  <c r="W4877" i="29"/>
  <c r="X4877" i="29" s="1"/>
  <c r="W4918" i="29"/>
  <c r="X4918" i="29" s="1"/>
  <c r="W4952" i="29"/>
  <c r="X4952" i="29" s="1"/>
  <c r="W5007" i="29"/>
  <c r="X5007" i="29" s="1"/>
  <c r="W5016" i="29"/>
  <c r="X5016" i="29" s="1"/>
  <c r="W5023" i="29"/>
  <c r="X5023" i="29" s="1"/>
  <c r="W5046" i="29"/>
  <c r="X5046" i="29" s="1"/>
  <c r="W5078" i="29"/>
  <c r="X5078" i="29" s="1"/>
  <c r="W5167" i="29"/>
  <c r="X5167" i="29" s="1"/>
  <c r="W5206" i="29"/>
  <c r="X5206" i="29" s="1"/>
  <c r="W5220" i="29"/>
  <c r="X5220" i="29" s="1"/>
  <c r="W5238" i="29"/>
  <c r="X5238" i="29" s="1"/>
  <c r="W5315" i="29"/>
  <c r="X5315" i="29" s="1"/>
  <c r="W5617" i="29"/>
  <c r="X5617" i="29" s="1"/>
  <c r="W5427" i="29"/>
  <c r="X5427" i="29" s="1"/>
  <c r="W5429" i="29"/>
  <c r="X5429" i="29" s="1"/>
  <c r="W5436" i="29"/>
  <c r="X5436" i="29" s="1"/>
  <c r="W5459" i="29"/>
  <c r="X5459" i="29" s="1"/>
  <c r="W5464" i="29"/>
  <c r="X5464" i="29" s="1"/>
  <c r="W5480" i="29"/>
  <c r="X5480" i="29" s="1"/>
  <c r="W5496" i="29"/>
  <c r="X5496" i="29" s="1"/>
  <c r="W5546" i="29"/>
  <c r="X5546" i="29" s="1"/>
  <c r="W5555" i="29"/>
  <c r="X5555" i="29" s="1"/>
  <c r="W5560" i="29"/>
  <c r="X5560" i="29" s="1"/>
  <c r="W5585" i="29"/>
  <c r="X5585" i="29" s="1"/>
  <c r="W5601" i="29"/>
  <c r="X5601" i="29" s="1"/>
  <c r="W3704" i="29"/>
  <c r="X3704" i="29" s="1"/>
  <c r="W3754" i="29"/>
  <c r="X3754" i="29" s="1"/>
  <c r="W3774" i="29"/>
  <c r="X3774" i="29" s="1"/>
  <c r="W3920" i="29"/>
  <c r="X3920" i="29" s="1"/>
  <c r="W3934" i="29"/>
  <c r="X3934" i="29" s="1"/>
  <c r="W3943" i="29"/>
  <c r="X3943" i="29" s="1"/>
  <c r="W3975" i="29"/>
  <c r="X3975" i="29" s="1"/>
  <c r="W4009" i="29"/>
  <c r="X4009" i="29" s="1"/>
  <c r="W4049" i="29"/>
  <c r="X4049" i="29" s="1"/>
  <c r="W4065" i="29"/>
  <c r="X4065" i="29" s="1"/>
  <c r="W4109" i="29"/>
  <c r="X4109" i="29" s="1"/>
  <c r="W4136" i="29"/>
  <c r="X4136" i="29" s="1"/>
  <c r="W4143" i="29"/>
  <c r="X4143" i="29" s="1"/>
  <c r="W4152" i="29"/>
  <c r="X4152" i="29" s="1"/>
  <c r="W4202" i="29"/>
  <c r="X4202" i="29" s="1"/>
  <c r="W4216" i="29"/>
  <c r="X4216" i="29" s="1"/>
  <c r="W4246" i="29"/>
  <c r="X4246" i="29" s="1"/>
  <c r="W4269" i="29"/>
  <c r="X4269" i="29" s="1"/>
  <c r="W4276" i="29"/>
  <c r="X4276" i="29" s="1"/>
  <c r="W4296" i="29"/>
  <c r="X4296" i="29" s="1"/>
  <c r="W4312" i="29"/>
  <c r="X4312" i="29" s="1"/>
  <c r="W4319" i="29"/>
  <c r="X4319" i="29" s="1"/>
  <c r="W4360" i="29"/>
  <c r="X4360" i="29" s="1"/>
  <c r="W4369" i="29"/>
  <c r="X4369" i="29" s="1"/>
  <c r="W4378" i="29"/>
  <c r="X4378" i="29" s="1"/>
  <c r="W4385" i="29"/>
  <c r="X4385" i="29" s="1"/>
  <c r="W4430" i="29"/>
  <c r="X4430" i="29" s="1"/>
  <c r="W4448" i="29"/>
  <c r="X4448" i="29" s="1"/>
  <c r="W4471" i="29"/>
  <c r="X4471" i="29" s="1"/>
  <c r="W4534" i="29"/>
  <c r="X4534" i="29" s="1"/>
  <c r="W4561" i="29"/>
  <c r="X4561" i="29" s="1"/>
  <c r="W4588" i="29"/>
  <c r="X4588" i="29" s="1"/>
  <c r="W4602" i="29"/>
  <c r="X4602" i="29" s="1"/>
  <c r="W4615" i="29"/>
  <c r="X4615" i="29" s="1"/>
  <c r="W4642" i="29"/>
  <c r="X4642" i="29" s="1"/>
  <c r="W4683" i="29"/>
  <c r="X4683" i="29" s="1"/>
  <c r="W4735" i="29"/>
  <c r="X4735" i="29" s="1"/>
  <c r="W4781" i="29"/>
  <c r="X4781" i="29" s="1"/>
  <c r="W4852" i="29"/>
  <c r="X4852" i="29" s="1"/>
  <c r="W4889" i="29"/>
  <c r="X4889" i="29" s="1"/>
  <c r="W4925" i="29"/>
  <c r="X4925" i="29" s="1"/>
  <c r="W5030" i="29"/>
  <c r="X5030" i="29" s="1"/>
  <c r="W5053" i="29"/>
  <c r="X5053" i="29" s="1"/>
  <c r="W5160" i="29"/>
  <c r="X5160" i="29" s="1"/>
  <c r="W5165" i="29"/>
  <c r="X5165" i="29" s="1"/>
  <c r="W5174" i="29"/>
  <c r="X5174" i="29" s="1"/>
  <c r="W5197" i="29"/>
  <c r="X5197" i="29" s="1"/>
  <c r="W5204" i="29"/>
  <c r="X5204" i="29" s="1"/>
  <c r="W5250" i="29"/>
  <c r="X5250" i="29" s="1"/>
  <c r="W5270" i="29"/>
  <c r="X5270" i="29" s="1"/>
  <c r="W5304" i="29"/>
  <c r="X5304" i="29" s="1"/>
  <c r="W5313" i="29"/>
  <c r="X5313" i="29" s="1"/>
  <c r="W5368" i="29"/>
  <c r="X5368" i="29" s="1"/>
  <c r="W5382" i="29"/>
  <c r="X5382" i="29" s="1"/>
  <c r="W5398" i="29"/>
  <c r="X5398" i="29" s="1"/>
  <c r="W5537" i="29"/>
  <c r="X5537" i="29" s="1"/>
  <c r="W5622" i="29"/>
  <c r="X5622" i="29" s="1"/>
  <c r="W3895" i="29"/>
  <c r="X3895" i="29" s="1"/>
  <c r="W3902" i="29"/>
  <c r="X3902" i="29" s="1"/>
  <c r="W4029" i="29"/>
  <c r="X4029" i="29" s="1"/>
  <c r="W4045" i="29"/>
  <c r="X4045" i="29" s="1"/>
  <c r="W4054" i="29"/>
  <c r="X4054" i="29" s="1"/>
  <c r="W4077" i="29"/>
  <c r="X4077" i="29" s="1"/>
  <c r="W4093" i="29"/>
  <c r="X4093" i="29" s="1"/>
  <c r="W4116" i="29"/>
  <c r="X4116" i="29" s="1"/>
  <c r="W4141" i="29"/>
  <c r="X4141" i="29" s="1"/>
  <c r="W4159" i="29"/>
  <c r="X4159" i="29" s="1"/>
  <c r="W4166" i="29"/>
  <c r="X4166" i="29" s="1"/>
  <c r="W4182" i="29"/>
  <c r="X4182" i="29" s="1"/>
  <c r="W4251" i="29"/>
  <c r="X4251" i="29" s="1"/>
  <c r="W4265" i="29"/>
  <c r="X4265" i="29" s="1"/>
  <c r="W4324" i="29"/>
  <c r="X4324" i="29" s="1"/>
  <c r="W4331" i="29"/>
  <c r="X4331" i="29" s="1"/>
  <c r="W4340" i="29"/>
  <c r="X4340" i="29" s="1"/>
  <c r="W4349" i="29"/>
  <c r="X4349" i="29" s="1"/>
  <c r="W4358" i="29"/>
  <c r="X4358" i="29" s="1"/>
  <c r="W4367" i="29"/>
  <c r="X4367" i="29" s="1"/>
  <c r="W4383" i="29"/>
  <c r="X4383" i="29" s="1"/>
  <c r="W4412" i="29"/>
  <c r="X4412" i="29" s="1"/>
  <c r="W4417" i="29"/>
  <c r="X4417" i="29" s="1"/>
  <c r="W4437" i="29"/>
  <c r="X4437" i="29" s="1"/>
  <c r="W4478" i="29"/>
  <c r="X4478" i="29" s="1"/>
  <c r="W4525" i="29"/>
  <c r="X4525" i="29" s="1"/>
  <c r="W4548" i="29"/>
  <c r="X4548" i="29" s="1"/>
  <c r="W4622" i="29"/>
  <c r="X4622" i="29" s="1"/>
  <c r="W4647" i="29"/>
  <c r="X4647" i="29" s="1"/>
  <c r="W4747" i="29"/>
  <c r="X4747" i="29" s="1"/>
  <c r="W4754" i="29"/>
  <c r="X4754" i="29" s="1"/>
  <c r="W4763" i="29"/>
  <c r="X4763" i="29" s="1"/>
  <c r="W4802" i="29"/>
  <c r="X4802" i="29" s="1"/>
  <c r="W4857" i="29"/>
  <c r="X4857" i="29" s="1"/>
  <c r="W4880" i="29"/>
  <c r="X4880" i="29" s="1"/>
  <c r="W4907" i="29"/>
  <c r="X4907" i="29" s="1"/>
  <c r="W4912" i="29"/>
  <c r="X4912" i="29" s="1"/>
  <c r="W4921" i="29"/>
  <c r="X4921" i="29" s="1"/>
  <c r="W4955" i="29"/>
  <c r="X4955" i="29" s="1"/>
  <c r="W4976" i="29"/>
  <c r="X4976" i="29" s="1"/>
  <c r="W4985" i="29"/>
  <c r="X4985" i="29" s="1"/>
  <c r="W5001" i="29"/>
  <c r="X5001" i="29" s="1"/>
  <c r="W5019" i="29"/>
  <c r="X5019" i="29" s="1"/>
  <c r="W5042" i="29"/>
  <c r="X5042" i="29" s="1"/>
  <c r="W5074" i="29"/>
  <c r="X5074" i="29" s="1"/>
  <c r="W5097" i="29"/>
  <c r="X5097" i="29" s="1"/>
  <c r="W5126" i="29"/>
  <c r="X5126" i="29" s="1"/>
  <c r="W5133" i="29"/>
  <c r="X5133" i="29" s="1"/>
  <c r="W5225" i="29"/>
  <c r="X5225" i="29" s="1"/>
  <c r="W5255" i="29"/>
  <c r="X5255" i="29" s="1"/>
  <c r="W5327" i="29"/>
  <c r="X5327" i="29" s="1"/>
  <c r="W5332" i="29"/>
  <c r="X5332" i="29" s="1"/>
  <c r="W5350" i="29"/>
  <c r="X5350" i="29" s="1"/>
  <c r="W5364" i="29"/>
  <c r="X5364" i="29" s="1"/>
  <c r="W5387" i="29"/>
  <c r="X5387" i="29" s="1"/>
  <c r="W5453" i="29"/>
  <c r="X5453" i="29" s="1"/>
  <c r="W5469" i="29"/>
  <c r="X5469" i="29" s="1"/>
  <c r="W5535" i="29"/>
  <c r="X5535" i="29" s="1"/>
  <c r="W5549" i="29"/>
  <c r="X5549" i="29" s="1"/>
  <c r="W5590" i="29"/>
  <c r="X5590" i="29" s="1"/>
  <c r="W5357" i="29"/>
  <c r="X5357" i="29" s="1"/>
  <c r="W5195" i="29"/>
  <c r="X5195" i="29" s="1"/>
  <c r="W5098" i="29"/>
  <c r="X5098" i="29" s="1"/>
  <c r="W5117" i="29"/>
  <c r="X5117" i="29" s="1"/>
  <c r="W5143" i="29"/>
  <c r="X5143" i="29" s="1"/>
  <c r="W5199" i="29"/>
  <c r="X5199" i="29" s="1"/>
  <c r="W5249" i="29"/>
  <c r="X5249" i="29" s="1"/>
  <c r="W5282" i="29"/>
  <c r="X5282" i="29" s="1"/>
  <c r="W5306" i="29"/>
  <c r="X5306" i="29" s="1"/>
  <c r="W5339" i="29"/>
  <c r="X5339" i="29" s="1"/>
  <c r="W5348" i="29"/>
  <c r="X5348" i="29" s="1"/>
  <c r="W5379" i="29"/>
  <c r="X5379" i="29" s="1"/>
  <c r="W5448" i="29"/>
  <c r="X5448" i="29" s="1"/>
  <c r="W5457" i="29"/>
  <c r="X5457" i="29" s="1"/>
  <c r="W5470" i="29"/>
  <c r="X5470" i="29" s="1"/>
  <c r="W5486" i="29"/>
  <c r="X5486" i="29" s="1"/>
  <c r="W5497" i="29"/>
  <c r="X5497" i="29" s="1"/>
  <c r="W5526" i="29"/>
  <c r="X5526" i="29" s="1"/>
  <c r="W5573" i="29"/>
  <c r="X5573" i="29" s="1"/>
  <c r="W5582" i="29"/>
  <c r="X5582" i="29" s="1"/>
  <c r="W5602" i="29"/>
  <c r="X5602" i="29" s="1"/>
  <c r="W5616" i="29"/>
  <c r="X5616" i="29" s="1"/>
  <c r="W5324" i="29"/>
  <c r="X5324" i="29" s="1"/>
  <c r="W5386" i="29"/>
  <c r="X5386" i="29" s="1"/>
  <c r="W5426" i="29"/>
  <c r="X5426" i="29" s="1"/>
  <c r="W5475" i="29"/>
  <c r="X5475" i="29" s="1"/>
  <c r="W5515" i="29"/>
  <c r="X5515" i="29" s="1"/>
  <c r="W5221" i="29"/>
  <c r="X5221" i="29" s="1"/>
  <c r="W5258" i="29"/>
  <c r="X5258" i="29" s="1"/>
  <c r="W5291" i="29"/>
  <c r="X5291" i="29" s="1"/>
  <c r="W5424" i="29"/>
  <c r="X5424" i="29" s="1"/>
  <c r="W5446" i="29"/>
  <c r="X5446" i="29" s="1"/>
  <c r="W5551" i="29"/>
  <c r="X5551" i="29" s="1"/>
  <c r="W5320" i="29"/>
  <c r="X5320" i="29" s="1"/>
  <c r="W5353" i="29"/>
  <c r="X5353" i="29" s="1"/>
  <c r="W5393" i="29"/>
  <c r="X5393" i="29" s="1"/>
  <c r="W5482" i="29"/>
  <c r="X5482" i="29" s="1"/>
  <c r="W5522" i="29"/>
  <c r="X5522" i="29" s="1"/>
  <c r="W5558" i="29"/>
  <c r="X5558" i="29" s="1"/>
  <c r="W5578" i="29"/>
  <c r="X5578" i="29" s="1"/>
  <c r="W5621" i="29"/>
  <c r="X5621" i="29" s="1"/>
  <c r="W5193" i="29"/>
  <c r="X5193" i="29" s="1"/>
  <c r="W5219" i="29"/>
  <c r="X5219" i="29" s="1"/>
  <c r="W5384" i="29"/>
  <c r="X5384" i="29" s="1"/>
  <c r="W5406" i="29"/>
  <c r="X5406" i="29" s="1"/>
  <c r="W5571" i="29"/>
  <c r="X5571" i="29" s="1"/>
  <c r="W5614" i="29"/>
  <c r="X5614" i="29" s="1"/>
  <c r="W5094" i="29"/>
  <c r="X5094" i="29" s="1"/>
  <c r="W5107" i="29"/>
  <c r="X5107" i="29" s="1"/>
  <c r="W5118" i="29"/>
  <c r="X5118" i="29" s="1"/>
  <c r="W5120" i="29"/>
  <c r="X5120" i="29" s="1"/>
  <c r="W5131" i="29"/>
  <c r="X5131" i="29" s="1"/>
  <c r="W5150" i="29"/>
  <c r="X5150" i="29" s="1"/>
  <c r="W5176" i="29"/>
  <c r="X5176" i="29" s="1"/>
  <c r="W5200" i="29"/>
  <c r="X5200" i="29" s="1"/>
  <c r="W5254" i="29"/>
  <c r="X5254" i="29" s="1"/>
  <c r="W5287" i="29"/>
  <c r="X5287" i="29" s="1"/>
  <c r="W5318" i="29"/>
  <c r="X5318" i="29" s="1"/>
  <c r="W5349" i="29"/>
  <c r="X5349" i="29" s="1"/>
  <c r="W5351" i="29"/>
  <c r="X5351" i="29" s="1"/>
  <c r="W5373" i="29"/>
  <c r="X5373" i="29" s="1"/>
  <c r="W5391" i="29"/>
  <c r="X5391" i="29" s="1"/>
  <c r="W5413" i="29"/>
  <c r="X5413" i="29" s="1"/>
  <c r="W5440" i="29"/>
  <c r="X5440" i="29" s="1"/>
  <c r="W5442" i="29"/>
  <c r="X5442" i="29" s="1"/>
  <c r="W5471" i="29"/>
  <c r="X5471" i="29" s="1"/>
  <c r="W5500" i="29"/>
  <c r="X5500" i="29" s="1"/>
  <c r="W5529" i="29"/>
  <c r="X5529" i="29" s="1"/>
  <c r="W5540" i="29"/>
  <c r="X5540" i="29" s="1"/>
  <c r="W5556" i="29"/>
  <c r="X5556" i="29" s="1"/>
  <c r="W5583" i="29"/>
  <c r="X5583" i="29" s="1"/>
  <c r="W5603" i="29"/>
  <c r="X5603" i="29" s="1"/>
  <c r="W5215" i="29"/>
  <c r="X5215" i="29" s="1"/>
  <c r="W5241" i="29"/>
  <c r="X5241" i="29" s="1"/>
  <c r="W5261" i="29"/>
  <c r="X5261" i="29" s="1"/>
  <c r="W5274" i="29"/>
  <c r="X5274" i="29" s="1"/>
  <c r="W5294" i="29"/>
  <c r="X5294" i="29" s="1"/>
  <c r="W5325" i="29"/>
  <c r="X5325" i="29" s="1"/>
  <c r="W5358" i="29"/>
  <c r="X5358" i="29" s="1"/>
  <c r="W5409" i="29"/>
  <c r="X5409" i="29" s="1"/>
  <c r="W5538" i="29"/>
  <c r="X5538" i="29" s="1"/>
  <c r="W5624" i="29"/>
  <c r="X5624" i="29" s="1"/>
  <c r="W5086" i="29"/>
  <c r="X5086" i="29" s="1"/>
  <c r="W5116" i="29"/>
  <c r="X5116" i="29" s="1"/>
  <c r="W5127" i="29"/>
  <c r="X5127" i="29" s="1"/>
  <c r="W5159" i="29"/>
  <c r="X5159" i="29" s="1"/>
  <c r="W5185" i="29"/>
  <c r="X5185" i="29" s="1"/>
  <c r="W5209" i="29"/>
  <c r="X5209" i="29" s="1"/>
  <c r="W5211" i="29"/>
  <c r="X5211" i="29" s="1"/>
  <c r="W5248" i="29"/>
  <c r="X5248" i="29" s="1"/>
  <c r="W5259" i="29"/>
  <c r="X5259" i="29" s="1"/>
  <c r="W5272" i="29"/>
  <c r="X5272" i="29" s="1"/>
  <c r="W5281" i="29"/>
  <c r="X5281" i="29" s="1"/>
  <c r="W5292" i="29"/>
  <c r="X5292" i="29" s="1"/>
  <c r="W5321" i="29"/>
  <c r="X5321" i="29" s="1"/>
  <c r="W5347" i="29"/>
  <c r="X5347" i="29" s="1"/>
  <c r="W5354" i="29"/>
  <c r="X5354" i="29" s="1"/>
  <c r="W5365" i="29"/>
  <c r="X5365" i="29" s="1"/>
  <c r="W5376" i="29"/>
  <c r="X5376" i="29" s="1"/>
  <c r="W5394" i="29"/>
  <c r="X5394" i="29" s="1"/>
  <c r="W5416" i="29"/>
  <c r="X5416" i="29" s="1"/>
  <c r="W5456" i="29"/>
  <c r="X5456" i="29" s="1"/>
  <c r="W5474" i="29"/>
  <c r="X5474" i="29" s="1"/>
  <c r="W5483" i="29"/>
  <c r="X5483" i="29" s="1"/>
  <c r="W5485" i="29"/>
  <c r="X5485" i="29" s="1"/>
  <c r="W5514" i="29"/>
  <c r="X5514" i="29" s="1"/>
  <c r="W5523" i="29"/>
  <c r="X5523" i="29" s="1"/>
  <c r="W5525" i="29"/>
  <c r="X5525" i="29" s="1"/>
  <c r="W5536" i="29"/>
  <c r="X5536" i="29" s="1"/>
  <c r="W5559" i="29"/>
  <c r="X5559" i="29" s="1"/>
  <c r="W5579" i="29"/>
  <c r="X5579" i="29" s="1"/>
  <c r="W5581" i="29"/>
  <c r="X5581" i="29" s="1"/>
  <c r="W5606" i="29"/>
  <c r="X5606" i="29" s="1"/>
  <c r="W5615" i="29"/>
  <c r="X5615" i="29" s="1"/>
  <c r="W5112" i="29"/>
  <c r="X5112" i="29" s="1"/>
  <c r="W5155" i="29"/>
  <c r="X5155" i="29" s="1"/>
  <c r="W5181" i="29"/>
  <c r="X5181" i="29" s="1"/>
  <c r="W5192" i="29"/>
  <c r="X5192" i="29" s="1"/>
  <c r="W5203" i="29"/>
  <c r="X5203" i="29" s="1"/>
  <c r="W5218" i="29"/>
  <c r="X5218" i="29" s="1"/>
  <c r="W5229" i="29"/>
  <c r="X5229" i="29" s="1"/>
  <c r="W5244" i="29"/>
  <c r="X5244" i="29" s="1"/>
  <c r="W5266" i="29"/>
  <c r="X5266" i="29" s="1"/>
  <c r="W5277" i="29"/>
  <c r="X5277" i="29" s="1"/>
  <c r="W5308" i="29"/>
  <c r="X5308" i="29" s="1"/>
  <c r="W5328" i="29"/>
  <c r="X5328" i="29" s="1"/>
  <c r="W5341" i="29"/>
  <c r="X5341" i="29" s="1"/>
  <c r="W5343" i="29"/>
  <c r="X5343" i="29" s="1"/>
  <c r="W5361" i="29"/>
  <c r="X5361" i="29" s="1"/>
  <c r="W5381" i="29"/>
  <c r="X5381" i="29" s="1"/>
  <c r="W5383" i="29"/>
  <c r="X5383" i="29" s="1"/>
  <c r="W5423" i="29"/>
  <c r="X5423" i="29" s="1"/>
  <c r="W5450" i="29"/>
  <c r="X5450" i="29" s="1"/>
  <c r="W5452" i="29"/>
  <c r="X5452" i="29" s="1"/>
  <c r="W5481" i="29"/>
  <c r="X5481" i="29" s="1"/>
  <c r="W5490" i="29"/>
  <c r="X5490" i="29" s="1"/>
  <c r="W5492" i="29"/>
  <c r="X5492" i="29" s="1"/>
  <c r="W5503" i="29"/>
  <c r="X5503" i="29" s="1"/>
  <c r="W5512" i="29"/>
  <c r="X5512" i="29" s="1"/>
  <c r="W5519" i="29"/>
  <c r="X5519" i="29" s="1"/>
  <c r="W5530" i="29"/>
  <c r="X5530" i="29" s="1"/>
  <c r="W5557" i="29"/>
  <c r="X5557" i="29" s="1"/>
  <c r="W5577" i="29"/>
  <c r="X5577" i="29" s="1"/>
  <c r="W5618" i="29"/>
  <c r="X5618" i="29" s="1"/>
  <c r="W5089" i="29"/>
  <c r="X5089" i="29" s="1"/>
  <c r="W5607" i="29"/>
  <c r="X5607" i="29" s="1"/>
  <c r="W5104" i="29"/>
  <c r="X5104" i="29" s="1"/>
  <c r="W5151" i="29"/>
  <c r="X5151" i="29" s="1"/>
  <c r="W5177" i="29"/>
  <c r="X5177" i="29" s="1"/>
  <c r="W5216" i="29"/>
  <c r="X5216" i="29" s="1"/>
  <c r="W5242" i="29"/>
  <c r="X5242" i="29" s="1"/>
  <c r="W5262" i="29"/>
  <c r="X5262" i="29" s="1"/>
  <c r="W5275" i="29"/>
  <c r="X5275" i="29" s="1"/>
  <c r="W5295" i="29"/>
  <c r="X5295" i="29" s="1"/>
  <c r="W5372" i="29"/>
  <c r="X5372" i="29" s="1"/>
  <c r="W5401" i="29"/>
  <c r="X5401" i="29" s="1"/>
  <c r="W5412" i="29"/>
  <c r="X5412" i="29" s="1"/>
  <c r="W5430" i="29"/>
  <c r="X5430" i="29" s="1"/>
  <c r="W5441" i="29"/>
  <c r="X5441" i="29" s="1"/>
  <c r="W5539" i="29"/>
  <c r="X5539" i="29" s="1"/>
  <c r="W5566" i="29"/>
  <c r="X5566" i="29" s="1"/>
  <c r="W5625" i="29"/>
  <c r="X5625" i="29" s="1"/>
  <c r="W4120" i="29"/>
  <c r="X4120" i="29" s="1"/>
  <c r="W4154" i="29"/>
  <c r="X4154" i="29" s="1"/>
  <c r="W4160" i="29"/>
  <c r="X4160" i="29" s="1"/>
  <c r="W4175" i="29"/>
  <c r="X4175" i="29" s="1"/>
  <c r="W4192" i="29"/>
  <c r="X4192" i="29" s="1"/>
  <c r="W4242" i="29"/>
  <c r="X4242" i="29" s="1"/>
  <c r="W4257" i="29"/>
  <c r="X4257" i="29" s="1"/>
  <c r="W4270" i="29"/>
  <c r="X4270" i="29" s="1"/>
  <c r="W4304" i="29"/>
  <c r="X4304" i="29" s="1"/>
  <c r="W4308" i="29"/>
  <c r="X4308" i="29" s="1"/>
  <c r="W4330" i="29"/>
  <c r="X4330" i="29" s="1"/>
  <c r="W4408" i="29"/>
  <c r="X4408" i="29" s="1"/>
  <c r="W4469" i="29"/>
  <c r="X4469" i="29" s="1"/>
  <c r="W4481" i="29"/>
  <c r="X4481" i="29" s="1"/>
  <c r="W4500" i="29"/>
  <c r="X4500" i="29" s="1"/>
  <c r="W4523" i="29"/>
  <c r="X4523" i="29" s="1"/>
  <c r="W4554" i="29"/>
  <c r="X4554" i="29" s="1"/>
  <c r="W4573" i="29"/>
  <c r="X4573" i="29" s="1"/>
  <c r="W4594" i="29"/>
  <c r="X4594" i="29" s="1"/>
  <c r="W4627" i="29"/>
  <c r="X4627" i="29" s="1"/>
  <c r="W4716" i="29"/>
  <c r="X4716" i="29" s="1"/>
  <c r="W4733" i="29"/>
  <c r="X4733" i="29" s="1"/>
  <c r="W4776" i="29"/>
  <c r="X4776" i="29" s="1"/>
  <c r="W4793" i="29"/>
  <c r="X4793" i="29" s="1"/>
  <c r="W4811" i="29"/>
  <c r="X4811" i="29" s="1"/>
  <c r="W4914" i="29"/>
  <c r="X4914" i="29" s="1"/>
  <c r="W4931" i="29"/>
  <c r="X4931" i="29" s="1"/>
  <c r="W4964" i="29"/>
  <c r="X4964" i="29" s="1"/>
  <c r="W4975" i="29"/>
  <c r="X4975" i="29" s="1"/>
  <c r="W4984" i="29"/>
  <c r="X4984" i="29" s="1"/>
  <c r="W5008" i="29"/>
  <c r="X5008" i="29" s="1"/>
  <c r="W5017" i="29"/>
  <c r="X5017" i="29" s="1"/>
  <c r="W5041" i="29"/>
  <c r="X5041" i="29" s="1"/>
  <c r="W5050" i="29"/>
  <c r="X5050" i="29" s="1"/>
  <c r="W5063" i="29"/>
  <c r="X5063" i="29" s="1"/>
  <c r="W4742" i="29"/>
  <c r="X4742" i="29" s="1"/>
  <c r="W4753" i="29"/>
  <c r="X4753" i="29" s="1"/>
  <c r="W4755" i="29"/>
  <c r="X4755" i="29" s="1"/>
  <c r="W4940" i="29"/>
  <c r="X4940" i="29" s="1"/>
  <c r="W4105" i="29"/>
  <c r="X4105" i="29" s="1"/>
  <c r="W4287" i="29"/>
  <c r="X4287" i="29" s="1"/>
  <c r="W4406" i="29"/>
  <c r="X4406" i="29" s="1"/>
  <c r="W4621" i="29"/>
  <c r="X4621" i="29" s="1"/>
  <c r="W4623" i="29"/>
  <c r="X4623" i="29" s="1"/>
  <c r="W4800" i="29"/>
  <c r="X4800" i="29" s="1"/>
  <c r="W4818" i="29"/>
  <c r="X4818" i="29" s="1"/>
  <c r="W4835" i="29"/>
  <c r="X4835" i="29" s="1"/>
  <c r="W4875" i="29"/>
  <c r="X4875" i="29" s="1"/>
  <c r="W4901" i="29"/>
  <c r="X4901" i="29" s="1"/>
  <c r="W4910" i="29"/>
  <c r="X4910" i="29" s="1"/>
  <c r="W4954" i="29"/>
  <c r="X4954" i="29" s="1"/>
  <c r="W4969" i="29"/>
  <c r="X4969" i="29" s="1"/>
  <c r="W4973" i="29"/>
  <c r="X4973" i="29" s="1"/>
  <c r="W5002" i="29"/>
  <c r="X5002" i="29" s="1"/>
  <c r="W5006" i="29"/>
  <c r="X5006" i="29" s="1"/>
  <c r="W5035" i="29"/>
  <c r="X5035" i="29" s="1"/>
  <c r="W5039" i="29"/>
  <c r="X5039" i="29" s="1"/>
  <c r="W4253" i="29"/>
  <c r="X4253" i="29" s="1"/>
  <c r="W4144" i="29"/>
  <c r="X4144" i="29" s="1"/>
  <c r="W4184" i="29"/>
  <c r="X4184" i="29" s="1"/>
  <c r="W4197" i="29"/>
  <c r="X4197" i="29" s="1"/>
  <c r="W4260" i="29"/>
  <c r="X4260" i="29" s="1"/>
  <c r="W4337" i="29"/>
  <c r="X4337" i="29" s="1"/>
  <c r="W4375" i="29"/>
  <c r="X4375" i="29" s="1"/>
  <c r="W4440" i="29"/>
  <c r="X4440" i="29" s="1"/>
  <c r="W4457" i="29"/>
  <c r="X4457" i="29" s="1"/>
  <c r="W4488" i="29"/>
  <c r="X4488" i="29" s="1"/>
  <c r="W4507" i="29"/>
  <c r="X4507" i="29" s="1"/>
  <c r="W4528" i="29"/>
  <c r="X4528" i="29" s="1"/>
  <c r="W4559" i="29"/>
  <c r="X4559" i="29" s="1"/>
  <c r="W4582" i="29"/>
  <c r="X4582" i="29" s="1"/>
  <c r="W4601" i="29"/>
  <c r="X4601" i="29" s="1"/>
  <c r="W4649" i="29"/>
  <c r="X4649" i="29" s="1"/>
  <c r="W4677" i="29"/>
  <c r="X4677" i="29" s="1"/>
  <c r="W4703" i="29"/>
  <c r="X4703" i="29" s="1"/>
  <c r="W4736" i="29"/>
  <c r="X4736" i="29" s="1"/>
  <c r="W4760" i="29"/>
  <c r="X4760" i="29" s="1"/>
  <c r="W4785" i="29"/>
  <c r="X4785" i="29" s="1"/>
  <c r="W4807" i="29"/>
  <c r="X4807" i="29" s="1"/>
  <c r="W4842" i="29"/>
  <c r="X4842" i="29" s="1"/>
  <c r="W4851" i="29"/>
  <c r="X4851" i="29" s="1"/>
  <c r="W4862" i="29"/>
  <c r="X4862" i="29" s="1"/>
  <c r="W4884" i="29"/>
  <c r="X4884" i="29" s="1"/>
  <c r="W4934" i="29"/>
  <c r="X4934" i="29" s="1"/>
  <c r="W4943" i="29"/>
  <c r="X4943" i="29" s="1"/>
  <c r="W4987" i="29"/>
  <c r="X4987" i="29" s="1"/>
  <c r="W5020" i="29"/>
  <c r="X5020" i="29" s="1"/>
  <c r="W4099" i="29"/>
  <c r="X4099" i="29" s="1"/>
  <c r="W4161" i="29"/>
  <c r="X4161" i="29" s="1"/>
  <c r="W4204" i="29"/>
  <c r="X4204" i="29" s="1"/>
  <c r="W4221" i="29"/>
  <c r="X4221" i="29" s="1"/>
  <c r="W4230" i="29"/>
  <c r="X4230" i="29" s="1"/>
  <c r="W4290" i="29"/>
  <c r="X4290" i="29" s="1"/>
  <c r="W4294" i="29"/>
  <c r="X4294" i="29" s="1"/>
  <c r="W4318" i="29"/>
  <c r="X4318" i="29" s="1"/>
  <c r="W4320" i="29"/>
  <c r="X4320" i="29" s="1"/>
  <c r="W4350" i="29"/>
  <c r="X4350" i="29" s="1"/>
  <c r="W4363" i="29"/>
  <c r="X4363" i="29" s="1"/>
  <c r="W4390" i="29"/>
  <c r="X4390" i="29" s="1"/>
  <c r="W4428" i="29"/>
  <c r="X4428" i="29" s="1"/>
  <c r="W4455" i="29"/>
  <c r="X4455" i="29" s="1"/>
  <c r="W4474" i="29"/>
  <c r="X4474" i="29" s="1"/>
  <c r="W4495" i="29"/>
  <c r="X4495" i="29" s="1"/>
  <c r="W4526" i="29"/>
  <c r="X4526" i="29" s="1"/>
  <c r="W4549" i="29"/>
  <c r="X4549" i="29" s="1"/>
  <c r="W4568" i="29"/>
  <c r="X4568" i="29" s="1"/>
  <c r="W4580" i="29"/>
  <c r="X4580" i="29" s="1"/>
  <c r="W4599" i="29"/>
  <c r="X4599" i="29" s="1"/>
  <c r="W4636" i="29"/>
  <c r="X4636" i="29" s="1"/>
  <c r="W4645" i="29"/>
  <c r="X4645" i="29" s="1"/>
  <c r="W4656" i="29"/>
  <c r="X4656" i="29" s="1"/>
  <c r="W4667" i="29"/>
  <c r="X4667" i="29" s="1"/>
  <c r="W4701" i="29"/>
  <c r="X4701" i="29" s="1"/>
  <c r="W4743" i="29"/>
  <c r="X4743" i="29" s="1"/>
  <c r="W4756" i="29"/>
  <c r="X4756" i="29" s="1"/>
  <c r="W4777" i="29"/>
  <c r="X4777" i="29" s="1"/>
  <c r="W4779" i="29"/>
  <c r="X4779" i="29" s="1"/>
  <c r="W4803" i="29"/>
  <c r="X4803" i="29" s="1"/>
  <c r="W4812" i="29"/>
  <c r="X4812" i="29" s="1"/>
  <c r="W4814" i="29"/>
  <c r="X4814" i="29" s="1"/>
  <c r="W4825" i="29"/>
  <c r="X4825" i="29" s="1"/>
  <c r="W4829" i="29"/>
  <c r="X4829" i="29" s="1"/>
  <c r="W4840" i="29"/>
  <c r="X4840" i="29" s="1"/>
  <c r="W4858" i="29"/>
  <c r="X4858" i="29" s="1"/>
  <c r="W4869" i="29"/>
  <c r="X4869" i="29" s="1"/>
  <c r="W4878" i="29"/>
  <c r="X4878" i="29" s="1"/>
  <c r="W4891" i="29"/>
  <c r="X4891" i="29" s="1"/>
  <c r="W4941" i="29"/>
  <c r="X4941" i="29" s="1"/>
  <c r="W4950" i="29"/>
  <c r="X4950" i="29" s="1"/>
  <c r="W5075" i="29"/>
  <c r="X5075" i="29" s="1"/>
  <c r="W4104" i="29"/>
  <c r="X4104" i="29" s="1"/>
  <c r="W4130" i="29"/>
  <c r="X4130" i="29" s="1"/>
  <c r="W4149" i="29"/>
  <c r="X4149" i="29" s="1"/>
  <c r="W4187" i="29"/>
  <c r="X4187" i="29" s="1"/>
  <c r="W4226" i="29"/>
  <c r="X4226" i="29" s="1"/>
  <c r="W4237" i="29"/>
  <c r="X4237" i="29" s="1"/>
  <c r="W4252" i="29"/>
  <c r="X4252" i="29" s="1"/>
  <c r="W4263" i="29"/>
  <c r="X4263" i="29" s="1"/>
  <c r="W4297" i="29"/>
  <c r="X4297" i="29" s="1"/>
  <c r="W4316" i="29"/>
  <c r="X4316" i="29" s="1"/>
  <c r="W4342" i="29"/>
  <c r="X4342" i="29" s="1"/>
  <c r="W4348" i="29"/>
  <c r="X4348" i="29" s="1"/>
  <c r="W4384" i="29"/>
  <c r="X4384" i="29" s="1"/>
  <c r="W4413" i="29"/>
  <c r="X4413" i="29" s="1"/>
  <c r="W4449" i="29"/>
  <c r="X4449" i="29" s="1"/>
  <c r="W4462" i="29"/>
  <c r="X4462" i="29" s="1"/>
  <c r="W4493" i="29"/>
  <c r="X4493" i="29" s="1"/>
  <c r="W4516" i="29"/>
  <c r="X4516" i="29" s="1"/>
  <c r="W4535" i="29"/>
  <c r="X4535" i="29" s="1"/>
  <c r="W4547" i="29"/>
  <c r="X4547" i="29" s="1"/>
  <c r="W4566" i="29"/>
  <c r="X4566" i="29" s="1"/>
  <c r="W4589" i="29"/>
  <c r="X4589" i="29" s="1"/>
  <c r="W4650" i="29"/>
  <c r="X4650" i="29" s="1"/>
  <c r="W4661" i="29"/>
  <c r="X4661" i="29" s="1"/>
  <c r="W4697" i="29"/>
  <c r="X4697" i="29" s="1"/>
  <c r="W4715" i="29"/>
  <c r="X4715" i="29" s="1"/>
  <c r="W4741" i="29"/>
  <c r="X4741" i="29" s="1"/>
  <c r="W4752" i="29"/>
  <c r="X4752" i="29" s="1"/>
  <c r="W4769" i="29"/>
  <c r="X4769" i="29" s="1"/>
  <c r="W4775" i="29"/>
  <c r="X4775" i="29" s="1"/>
  <c r="W4836" i="29"/>
  <c r="X4836" i="29" s="1"/>
  <c r="W4876" i="29"/>
  <c r="X4876" i="29" s="1"/>
  <c r="W4902" i="29"/>
  <c r="X4902" i="29" s="1"/>
  <c r="W4911" i="29"/>
  <c r="X4911" i="29" s="1"/>
  <c r="W4913" i="29"/>
  <c r="X4913" i="29" s="1"/>
  <c r="W4957" i="29"/>
  <c r="X4957" i="29" s="1"/>
  <c r="W4994" i="29"/>
  <c r="X4994" i="29" s="1"/>
  <c r="W5027" i="29"/>
  <c r="X5027" i="29" s="1"/>
  <c r="W5056" i="29"/>
  <c r="X5056" i="29" s="1"/>
  <c r="W5067" i="29"/>
  <c r="X5067" i="29" s="1"/>
  <c r="W4170" i="29"/>
  <c r="X4170" i="29" s="1"/>
  <c r="W4680" i="29"/>
  <c r="X4680" i="29" s="1"/>
  <c r="W4682" i="29"/>
  <c r="X4682" i="29" s="1"/>
  <c r="W4722" i="29"/>
  <c r="X4722" i="29" s="1"/>
  <c r="W4786" i="29"/>
  <c r="X4786" i="29" s="1"/>
  <c r="W4788" i="29"/>
  <c r="X4788" i="29" s="1"/>
  <c r="W4808" i="29"/>
  <c r="X4808" i="29" s="1"/>
  <c r="W4920" i="29"/>
  <c r="X4920" i="29" s="1"/>
  <c r="W4979" i="29"/>
  <c r="X4979" i="29" s="1"/>
  <c r="W5012" i="29"/>
  <c r="X5012" i="29" s="1"/>
  <c r="W5045" i="29"/>
  <c r="X5045" i="29" s="1"/>
  <c r="W4107" i="29"/>
  <c r="X4107" i="29" s="1"/>
  <c r="W4122" i="29"/>
  <c r="X4122" i="29" s="1"/>
  <c r="W4126" i="29"/>
  <c r="X4126" i="29" s="1"/>
  <c r="W4177" i="29"/>
  <c r="X4177" i="29" s="1"/>
  <c r="W4205" i="29"/>
  <c r="X4205" i="29" s="1"/>
  <c r="W4231" i="29"/>
  <c r="X4231" i="29" s="1"/>
  <c r="W4235" i="29"/>
  <c r="X4235" i="29" s="1"/>
  <c r="W4291" i="29"/>
  <c r="X4291" i="29" s="1"/>
  <c r="W4336" i="29"/>
  <c r="X4336" i="29" s="1"/>
  <c r="W4351" i="29"/>
  <c r="X4351" i="29" s="1"/>
  <c r="W4374" i="29"/>
  <c r="X4374" i="29" s="1"/>
  <c r="W4391" i="29"/>
  <c r="X4391" i="29" s="1"/>
  <c r="W4429" i="29"/>
  <c r="X4429" i="29" s="1"/>
  <c r="W4456" i="29"/>
  <c r="X4456" i="29" s="1"/>
  <c r="W4527" i="29"/>
  <c r="X4527" i="29" s="1"/>
  <c r="W4581" i="29"/>
  <c r="X4581" i="29" s="1"/>
  <c r="W4600" i="29"/>
  <c r="X4600" i="29" s="1"/>
  <c r="W4612" i="29"/>
  <c r="X4612" i="29" s="1"/>
  <c r="W4646" i="29"/>
  <c r="X4646" i="29" s="1"/>
  <c r="W4670" i="29"/>
  <c r="X4670" i="29" s="1"/>
  <c r="W4720" i="29"/>
  <c r="X4720" i="29" s="1"/>
  <c r="W4744" i="29"/>
  <c r="X4744" i="29" s="1"/>
  <c r="W4746" i="29"/>
  <c r="X4746" i="29" s="1"/>
  <c r="W4748" i="29"/>
  <c r="X4748" i="29" s="1"/>
  <c r="W4759" i="29"/>
  <c r="X4759" i="29" s="1"/>
  <c r="W4782" i="29"/>
  <c r="X4782" i="29" s="1"/>
  <c r="W4832" i="29"/>
  <c r="X4832" i="29" s="1"/>
  <c r="W4834" i="29"/>
  <c r="X4834" i="29" s="1"/>
  <c r="W4848" i="29"/>
  <c r="X4848" i="29" s="1"/>
  <c r="W4859" i="29"/>
  <c r="X4859" i="29" s="1"/>
  <c r="W4870" i="29"/>
  <c r="X4870" i="29" s="1"/>
  <c r="W4874" i="29"/>
  <c r="X4874" i="29" s="1"/>
  <c r="W4881" i="29"/>
  <c r="X4881" i="29" s="1"/>
  <c r="W4900" i="29"/>
  <c r="X4900" i="29" s="1"/>
  <c r="W4942" i="29"/>
  <c r="X4942" i="29" s="1"/>
  <c r="W4951" i="29"/>
  <c r="X4951" i="29" s="1"/>
  <c r="W4953" i="29"/>
  <c r="X4953" i="29" s="1"/>
  <c r="W3120" i="29"/>
  <c r="X3120" i="29" s="1"/>
  <c r="W3131" i="29"/>
  <c r="X3131" i="29" s="1"/>
  <c r="W3164" i="29"/>
  <c r="X3164" i="29" s="1"/>
  <c r="W3193" i="29"/>
  <c r="X3193" i="29" s="1"/>
  <c r="W3202" i="29"/>
  <c r="X3202" i="29" s="1"/>
  <c r="W3220" i="29"/>
  <c r="X3220" i="29" s="1"/>
  <c r="W3249" i="29"/>
  <c r="X3249" i="29" s="1"/>
  <c r="W3262" i="29"/>
  <c r="X3262" i="29" s="1"/>
  <c r="W3273" i="29"/>
  <c r="X3273" i="29" s="1"/>
  <c r="W3293" i="29"/>
  <c r="X3293" i="29" s="1"/>
  <c r="W3302" i="29"/>
  <c r="X3302" i="29" s="1"/>
  <c r="W3322" i="29"/>
  <c r="X3322" i="29" s="1"/>
  <c r="W3340" i="29"/>
  <c r="X3340" i="29" s="1"/>
  <c r="W3380" i="29"/>
  <c r="X3380" i="29" s="1"/>
  <c r="W3400" i="29"/>
  <c r="X3400" i="29" s="1"/>
  <c r="W3402" i="29"/>
  <c r="X3402" i="29" s="1"/>
  <c r="W3411" i="29"/>
  <c r="X3411" i="29" s="1"/>
  <c r="W3433" i="29"/>
  <c r="X3433" i="29" s="1"/>
  <c r="W3440" i="29"/>
  <c r="X3440" i="29" s="1"/>
  <c r="W3460" i="29"/>
  <c r="X3460" i="29" s="1"/>
  <c r="W3476" i="29"/>
  <c r="X3476" i="29" s="1"/>
  <c r="W3487" i="29"/>
  <c r="X3487" i="29" s="1"/>
  <c r="W3516" i="29"/>
  <c r="X3516" i="29" s="1"/>
  <c r="W3534" i="29"/>
  <c r="X3534" i="29" s="1"/>
  <c r="W3536" i="29"/>
  <c r="X3536" i="29" s="1"/>
  <c r="W3543" i="29"/>
  <c r="X3543" i="29" s="1"/>
  <c r="W3572" i="29"/>
  <c r="X3572" i="29" s="1"/>
  <c r="W3583" i="29"/>
  <c r="X3583" i="29" s="1"/>
  <c r="W3634" i="29"/>
  <c r="X3634" i="29" s="1"/>
  <c r="W3643" i="29"/>
  <c r="X3643" i="29" s="1"/>
  <c r="W3708" i="29"/>
  <c r="X3708" i="29" s="1"/>
  <c r="W3777" i="29"/>
  <c r="X3777" i="29" s="1"/>
  <c r="W3808" i="29"/>
  <c r="X3808" i="29" s="1"/>
  <c r="W3821" i="29"/>
  <c r="X3821" i="29" s="1"/>
  <c r="W3909" i="29"/>
  <c r="X3909" i="29" s="1"/>
  <c r="W3933" i="29"/>
  <c r="X3933" i="29" s="1"/>
  <c r="W3961" i="29"/>
  <c r="X3961" i="29" s="1"/>
  <c r="W3968" i="29"/>
  <c r="X3968" i="29" s="1"/>
  <c r="W4037" i="29"/>
  <c r="X4037" i="29" s="1"/>
  <c r="W4039" i="29"/>
  <c r="X4039" i="29" s="1"/>
  <c r="W4087" i="29"/>
  <c r="X4087" i="29" s="1"/>
  <c r="W3109" i="29"/>
  <c r="X3109" i="29" s="1"/>
  <c r="W3129" i="29"/>
  <c r="X3129" i="29" s="1"/>
  <c r="W3149" i="29"/>
  <c r="X3149" i="29" s="1"/>
  <c r="W3162" i="29"/>
  <c r="X3162" i="29" s="1"/>
  <c r="W3216" i="29"/>
  <c r="X3216" i="29" s="1"/>
  <c r="W3229" i="29"/>
  <c r="X3229" i="29" s="1"/>
  <c r="W3269" i="29"/>
  <c r="X3269" i="29" s="1"/>
  <c r="W3307" i="29"/>
  <c r="X3307" i="29" s="1"/>
  <c r="W3329" i="29"/>
  <c r="X3329" i="29" s="1"/>
  <c r="W3347" i="29"/>
  <c r="X3347" i="29" s="1"/>
  <c r="W3362" i="29"/>
  <c r="X3362" i="29" s="1"/>
  <c r="W3391" i="29"/>
  <c r="X3391" i="29" s="1"/>
  <c r="W3407" i="29"/>
  <c r="X3407" i="29" s="1"/>
  <c r="W3418" i="29"/>
  <c r="X3418" i="29" s="1"/>
  <c r="W3447" i="29"/>
  <c r="X3447" i="29" s="1"/>
  <c r="W3467" i="29"/>
  <c r="X3467" i="29" s="1"/>
  <c r="W3498" i="29"/>
  <c r="X3498" i="29" s="1"/>
  <c r="W3525" i="29"/>
  <c r="X3525" i="29" s="1"/>
  <c r="W3565" i="29"/>
  <c r="X3565" i="29" s="1"/>
  <c r="W3592" i="29"/>
  <c r="X3592" i="29" s="1"/>
  <c r="W3601" i="29"/>
  <c r="X3601" i="29" s="1"/>
  <c r="W3623" i="29"/>
  <c r="X3623" i="29" s="1"/>
  <c r="W3632" i="29"/>
  <c r="X3632" i="29" s="1"/>
  <c r="W3665" i="29"/>
  <c r="X3665" i="29" s="1"/>
  <c r="W3676" i="29"/>
  <c r="X3676" i="29" s="1"/>
  <c r="W3734" i="29"/>
  <c r="X3734" i="29" s="1"/>
  <c r="W3758" i="29"/>
  <c r="X3758" i="29" s="1"/>
  <c r="W3806" i="29"/>
  <c r="X3806" i="29" s="1"/>
  <c r="W3843" i="29"/>
  <c r="X3843" i="29" s="1"/>
  <c r="W3922" i="29"/>
  <c r="X3922" i="29" s="1"/>
  <c r="W3931" i="29"/>
  <c r="X3931" i="29" s="1"/>
  <c r="W3957" i="29"/>
  <c r="X3957" i="29" s="1"/>
  <c r="W3994" i="29"/>
  <c r="X3994" i="29" s="1"/>
  <c r="W4005" i="29"/>
  <c r="X4005" i="29" s="1"/>
  <c r="W4050" i="29"/>
  <c r="X4050" i="29" s="1"/>
  <c r="W3127" i="29"/>
  <c r="X3127" i="29" s="1"/>
  <c r="W3176" i="29"/>
  <c r="X3176" i="29" s="1"/>
  <c r="W3196" i="29"/>
  <c r="X3196" i="29" s="1"/>
  <c r="W3205" i="29"/>
  <c r="X3205" i="29" s="1"/>
  <c r="W3227" i="29"/>
  <c r="X3227" i="29" s="1"/>
  <c r="W3267" i="29"/>
  <c r="X3267" i="29" s="1"/>
  <c r="W3314" i="29"/>
  <c r="X3314" i="29" s="1"/>
  <c r="W3327" i="29"/>
  <c r="X3327" i="29" s="1"/>
  <c r="W3336" i="29"/>
  <c r="X3336" i="29" s="1"/>
  <c r="W3338" i="29"/>
  <c r="X3338" i="29" s="1"/>
  <c r="W3374" i="29"/>
  <c r="X3374" i="29" s="1"/>
  <c r="W3378" i="29"/>
  <c r="X3378" i="29" s="1"/>
  <c r="W3385" i="29"/>
  <c r="X3385" i="29" s="1"/>
  <c r="W3427" i="29"/>
  <c r="X3427" i="29" s="1"/>
  <c r="W3438" i="29"/>
  <c r="X3438" i="29" s="1"/>
  <c r="W3465" i="29"/>
  <c r="X3465" i="29" s="1"/>
  <c r="W3479" i="29"/>
  <c r="X3479" i="29" s="1"/>
  <c r="W3494" i="29"/>
  <c r="X3494" i="29" s="1"/>
  <c r="W3503" i="29"/>
  <c r="X3503" i="29" s="1"/>
  <c r="W3512" i="29"/>
  <c r="X3512" i="29" s="1"/>
  <c r="W3523" i="29"/>
  <c r="X3523" i="29" s="1"/>
  <c r="W3546" i="29"/>
  <c r="X3546" i="29" s="1"/>
  <c r="W3561" i="29"/>
  <c r="X3561" i="29" s="1"/>
  <c r="W3570" i="29"/>
  <c r="X3570" i="29" s="1"/>
  <c r="W3590" i="29"/>
  <c r="X3590" i="29" s="1"/>
  <c r="W3608" i="29"/>
  <c r="X3608" i="29" s="1"/>
  <c r="W3630" i="29"/>
  <c r="X3630" i="29" s="1"/>
  <c r="W3659" i="29"/>
  <c r="X3659" i="29" s="1"/>
  <c r="W3689" i="29"/>
  <c r="X3689" i="29" s="1"/>
  <c r="W3715" i="29"/>
  <c r="X3715" i="29" s="1"/>
  <c r="W3756" i="29"/>
  <c r="X3756" i="29" s="1"/>
  <c r="W3775" i="29"/>
  <c r="X3775" i="29" s="1"/>
  <c r="W3780" i="29"/>
  <c r="X3780" i="29" s="1"/>
  <c r="W3802" i="29"/>
  <c r="X3802" i="29" s="1"/>
  <c r="W3841" i="29"/>
  <c r="X3841" i="29" s="1"/>
  <c r="W3865" i="29"/>
  <c r="X3865" i="29" s="1"/>
  <c r="W3867" i="29"/>
  <c r="X3867" i="29" s="1"/>
  <c r="W3929" i="29"/>
  <c r="X3929" i="29" s="1"/>
  <c r="W3938" i="29"/>
  <c r="X3938" i="29" s="1"/>
  <c r="W3966" i="29"/>
  <c r="X3966" i="29" s="1"/>
  <c r="W4031" i="29"/>
  <c r="X4031" i="29" s="1"/>
  <c r="W4061" i="29"/>
  <c r="X4061" i="29" s="1"/>
  <c r="W4070" i="29"/>
  <c r="X4070" i="29" s="1"/>
  <c r="W4081" i="29"/>
  <c r="X4081" i="29" s="1"/>
  <c r="W3136" i="29"/>
  <c r="X3136" i="29" s="1"/>
  <c r="W3143" i="29"/>
  <c r="X3143" i="29" s="1"/>
  <c r="W3154" i="29"/>
  <c r="X3154" i="29" s="1"/>
  <c r="W3169" i="29"/>
  <c r="X3169" i="29" s="1"/>
  <c r="W3183" i="29"/>
  <c r="X3183" i="29" s="1"/>
  <c r="W3212" i="29"/>
  <c r="X3212" i="29" s="1"/>
  <c r="W3234" i="29"/>
  <c r="X3234" i="29" s="1"/>
  <c r="W3256" i="29"/>
  <c r="X3256" i="29" s="1"/>
  <c r="W3274" i="29"/>
  <c r="X3274" i="29" s="1"/>
  <c r="W3296" i="29"/>
  <c r="X3296" i="29" s="1"/>
  <c r="W3334" i="29"/>
  <c r="X3334" i="29" s="1"/>
  <c r="W3367" i="29"/>
  <c r="X3367" i="29" s="1"/>
  <c r="W3394" i="29"/>
  <c r="X3394" i="29" s="1"/>
  <c r="W3403" i="29"/>
  <c r="X3403" i="29" s="1"/>
  <c r="W3436" i="29"/>
  <c r="X3436" i="29" s="1"/>
  <c r="W3454" i="29"/>
  <c r="X3454" i="29" s="1"/>
  <c r="W3492" i="29"/>
  <c r="X3492" i="29" s="1"/>
  <c r="W3501" i="29"/>
  <c r="X3501" i="29" s="1"/>
  <c r="W3528" i="29"/>
  <c r="X3528" i="29" s="1"/>
  <c r="W3559" i="29"/>
  <c r="X3559" i="29" s="1"/>
  <c r="W3568" i="29"/>
  <c r="X3568" i="29" s="1"/>
  <c r="W3597" i="29"/>
  <c r="X3597" i="29" s="1"/>
  <c r="W3615" i="29"/>
  <c r="X3615" i="29" s="1"/>
  <c r="W3846" i="29"/>
  <c r="X3846" i="29" s="1"/>
  <c r="W3850" i="29"/>
  <c r="X3850" i="29" s="1"/>
  <c r="W3852" i="29"/>
  <c r="X3852" i="29" s="1"/>
  <c r="W3863" i="29"/>
  <c r="X3863" i="29" s="1"/>
  <c r="W3899" i="29"/>
  <c r="X3899" i="29" s="1"/>
  <c r="W3916" i="29"/>
  <c r="X3916" i="29" s="1"/>
  <c r="W3918" i="29"/>
  <c r="X3918" i="29" s="1"/>
  <c r="W3949" i="29"/>
  <c r="X3949" i="29" s="1"/>
  <c r="W4040" i="29"/>
  <c r="X4040" i="29" s="1"/>
  <c r="W3103" i="29"/>
  <c r="X3103" i="29" s="1"/>
  <c r="W3110" i="29"/>
  <c r="X3110" i="29" s="1"/>
  <c r="W3130" i="29"/>
  <c r="X3130" i="29" s="1"/>
  <c r="W3150" i="29"/>
  <c r="X3150" i="29" s="1"/>
  <c r="W3163" i="29"/>
  <c r="X3163" i="29" s="1"/>
  <c r="W3174" i="29"/>
  <c r="X3174" i="29" s="1"/>
  <c r="W3208" i="29"/>
  <c r="X3208" i="29" s="1"/>
  <c r="W3230" i="29"/>
  <c r="X3230" i="29" s="1"/>
  <c r="W3241" i="29"/>
  <c r="X3241" i="29" s="1"/>
  <c r="W3308" i="29"/>
  <c r="X3308" i="29" s="1"/>
  <c r="W3312" i="29"/>
  <c r="X3312" i="29" s="1"/>
  <c r="W3330" i="29"/>
  <c r="X3330" i="29" s="1"/>
  <c r="W3348" i="29"/>
  <c r="X3348" i="29" s="1"/>
  <c r="W3372" i="29"/>
  <c r="X3372" i="29" s="1"/>
  <c r="W3392" i="29"/>
  <c r="X3392" i="29" s="1"/>
  <c r="W3410" i="29"/>
  <c r="X3410" i="29" s="1"/>
  <c r="W3421" i="29"/>
  <c r="X3421" i="29" s="1"/>
  <c r="W3450" i="29"/>
  <c r="X3450" i="29" s="1"/>
  <c r="W3468" i="29"/>
  <c r="X3468" i="29" s="1"/>
  <c r="W3477" i="29"/>
  <c r="X3477" i="29" s="1"/>
  <c r="W3499" i="29"/>
  <c r="X3499" i="29" s="1"/>
  <c r="W3526" i="29"/>
  <c r="X3526" i="29" s="1"/>
  <c r="W3544" i="29"/>
  <c r="X3544" i="29" s="1"/>
  <c r="W3557" i="29"/>
  <c r="X3557" i="29" s="1"/>
  <c r="W3566" i="29"/>
  <c r="X3566" i="29" s="1"/>
  <c r="W3593" i="29"/>
  <c r="X3593" i="29" s="1"/>
  <c r="W3604" i="29"/>
  <c r="X3604" i="29" s="1"/>
  <c r="W3624" i="29"/>
  <c r="X3624" i="29" s="1"/>
  <c r="W3635" i="29"/>
  <c r="X3635" i="29" s="1"/>
  <c r="W3655" i="29"/>
  <c r="X3655" i="29" s="1"/>
  <c r="W3666" i="29"/>
  <c r="X3666" i="29" s="1"/>
  <c r="W3681" i="29"/>
  <c r="X3681" i="29" s="1"/>
  <c r="W3696" i="29"/>
  <c r="X3696" i="29" s="1"/>
  <c r="W3724" i="29"/>
  <c r="X3724" i="29" s="1"/>
  <c r="W3735" i="29"/>
  <c r="X3735" i="29" s="1"/>
  <c r="W3737" i="29"/>
  <c r="X3737" i="29" s="1"/>
  <c r="W3759" i="29"/>
  <c r="X3759" i="29" s="1"/>
  <c r="W3763" i="29"/>
  <c r="X3763" i="29" s="1"/>
  <c r="W3807" i="29"/>
  <c r="X3807" i="29" s="1"/>
  <c r="W3820" i="29"/>
  <c r="X3820" i="29" s="1"/>
  <c r="W3835" i="29"/>
  <c r="X3835" i="29" s="1"/>
  <c r="W3844" i="29"/>
  <c r="X3844" i="29" s="1"/>
  <c r="W3889" i="29"/>
  <c r="X3889" i="29" s="1"/>
  <c r="W3923" i="29"/>
  <c r="X3923" i="29" s="1"/>
  <c r="W3932" i="29"/>
  <c r="X3932" i="29" s="1"/>
  <c r="W3982" i="29"/>
  <c r="X3982" i="29" s="1"/>
  <c r="W3995" i="29"/>
  <c r="X3995" i="29" s="1"/>
  <c r="W4023" i="29"/>
  <c r="X4023" i="29" s="1"/>
  <c r="W4027" i="29"/>
  <c r="X4027" i="29" s="1"/>
  <c r="W4034" i="29"/>
  <c r="X4034" i="29" s="1"/>
  <c r="W4053" i="29"/>
  <c r="X4053" i="29" s="1"/>
  <c r="W4073" i="29"/>
  <c r="X4073" i="29" s="1"/>
  <c r="W3128" i="29"/>
  <c r="X3128" i="29" s="1"/>
  <c r="W3161" i="29"/>
  <c r="X3161" i="29" s="1"/>
  <c r="W3215" i="29"/>
  <c r="X3215" i="29" s="1"/>
  <c r="W3228" i="29"/>
  <c r="X3228" i="29" s="1"/>
  <c r="W3237" i="29"/>
  <c r="X3237" i="29" s="1"/>
  <c r="W3268" i="29"/>
  <c r="X3268" i="29" s="1"/>
  <c r="W3279" i="29"/>
  <c r="X3279" i="29" s="1"/>
  <c r="W3315" i="29"/>
  <c r="X3315" i="29" s="1"/>
  <c r="W3328" i="29"/>
  <c r="X3328" i="29" s="1"/>
  <c r="W3337" i="29"/>
  <c r="X3337" i="29" s="1"/>
  <c r="W3339" i="29"/>
  <c r="X3339" i="29" s="1"/>
  <c r="W3377" i="29"/>
  <c r="X3377" i="29" s="1"/>
  <c r="W3379" i="29"/>
  <c r="X3379" i="29" s="1"/>
  <c r="W3388" i="29"/>
  <c r="X3388" i="29" s="1"/>
  <c r="W3406" i="29"/>
  <c r="X3406" i="29" s="1"/>
  <c r="W3446" i="29"/>
  <c r="X3446" i="29" s="1"/>
  <c r="W3466" i="29"/>
  <c r="X3466" i="29" s="1"/>
  <c r="W3480" i="29"/>
  <c r="X3480" i="29" s="1"/>
  <c r="W3504" i="29"/>
  <c r="X3504" i="29" s="1"/>
  <c r="W3524" i="29"/>
  <c r="X3524" i="29" s="1"/>
  <c r="W3564" i="29"/>
  <c r="X3564" i="29" s="1"/>
  <c r="W3571" i="29"/>
  <c r="X3571" i="29" s="1"/>
  <c r="W3591" i="29"/>
  <c r="X3591" i="29" s="1"/>
  <c r="W3600" i="29"/>
  <c r="X3600" i="29" s="1"/>
  <c r="W3609" i="29"/>
  <c r="X3609" i="29" s="1"/>
  <c r="W3631" i="29"/>
  <c r="X3631" i="29" s="1"/>
  <c r="W3638" i="29"/>
  <c r="X3638" i="29" s="1"/>
  <c r="W3675" i="29"/>
  <c r="X3675" i="29" s="1"/>
  <c r="W3748" i="29"/>
  <c r="X3748" i="29" s="1"/>
  <c r="W3757" i="29"/>
  <c r="X3757" i="29" s="1"/>
  <c r="W3803" i="29"/>
  <c r="X3803" i="29" s="1"/>
  <c r="W3818" i="29"/>
  <c r="X3818" i="29" s="1"/>
  <c r="W3842" i="29"/>
  <c r="X3842" i="29" s="1"/>
  <c r="W3857" i="29"/>
  <c r="X3857" i="29" s="1"/>
  <c r="W3906" i="29"/>
  <c r="X3906" i="29" s="1"/>
  <c r="W3921" i="29"/>
  <c r="X3921" i="29" s="1"/>
  <c r="W3930" i="29"/>
  <c r="X3930" i="29" s="1"/>
  <c r="W3939" i="29"/>
  <c r="X3939" i="29" s="1"/>
  <c r="W4006" i="29"/>
  <c r="X4006" i="29" s="1"/>
  <c r="W4032" i="29"/>
  <c r="X4032" i="29" s="1"/>
  <c r="W4041" i="29"/>
  <c r="X4041" i="29" s="1"/>
  <c r="W4043" i="29"/>
  <c r="X4043" i="29" s="1"/>
  <c r="W3106" i="29"/>
  <c r="X3106" i="29" s="1"/>
  <c r="W3124" i="29"/>
  <c r="X3124" i="29" s="1"/>
  <c r="W3175" i="29"/>
  <c r="X3175" i="29" s="1"/>
  <c r="W3195" i="29"/>
  <c r="X3195" i="29" s="1"/>
  <c r="W3204" i="29"/>
  <c r="X3204" i="29" s="1"/>
  <c r="W3226" i="29"/>
  <c r="X3226" i="29" s="1"/>
  <c r="W3246" i="29"/>
  <c r="X3246" i="29" s="1"/>
  <c r="W3282" i="29"/>
  <c r="X3282" i="29" s="1"/>
  <c r="W3295" i="29"/>
  <c r="X3295" i="29" s="1"/>
  <c r="W3304" i="29"/>
  <c r="X3304" i="29" s="1"/>
  <c r="W3326" i="29"/>
  <c r="X3326" i="29" s="1"/>
  <c r="W3344" i="29"/>
  <c r="X3344" i="29" s="1"/>
  <c r="W3355" i="29"/>
  <c r="X3355" i="29" s="1"/>
  <c r="W3373" i="29"/>
  <c r="X3373" i="29" s="1"/>
  <c r="W3384" i="29"/>
  <c r="X3384" i="29" s="1"/>
  <c r="W3426" i="29"/>
  <c r="X3426" i="29" s="1"/>
  <c r="W3437" i="29"/>
  <c r="X3437" i="29" s="1"/>
  <c r="W3471" i="29"/>
  <c r="X3471" i="29" s="1"/>
  <c r="W3509" i="29"/>
  <c r="X3509" i="29" s="1"/>
  <c r="W3511" i="29"/>
  <c r="X3511" i="29" s="1"/>
  <c r="W3520" i="29"/>
  <c r="X3520" i="29" s="1"/>
  <c r="W3538" i="29"/>
  <c r="X3538" i="29" s="1"/>
  <c r="W3560" i="29"/>
  <c r="X3560" i="29" s="1"/>
  <c r="W3578" i="29"/>
  <c r="X3578" i="29" s="1"/>
  <c r="W3589" i="29"/>
  <c r="X3589" i="29" s="1"/>
  <c r="W3605" i="29"/>
  <c r="X3605" i="29" s="1"/>
  <c r="W3627" i="29"/>
  <c r="X3627" i="29" s="1"/>
  <c r="W3658" i="29"/>
  <c r="X3658" i="29" s="1"/>
  <c r="W3669" i="29"/>
  <c r="X3669" i="29" s="1"/>
  <c r="W3671" i="29"/>
  <c r="X3671" i="29" s="1"/>
  <c r="W3688" i="29"/>
  <c r="X3688" i="29" s="1"/>
  <c r="W3699" i="29"/>
  <c r="X3699" i="29" s="1"/>
  <c r="W3714" i="29"/>
  <c r="X3714" i="29" s="1"/>
  <c r="W3729" i="29"/>
  <c r="X3729" i="29" s="1"/>
  <c r="W3742" i="29"/>
  <c r="X3742" i="29" s="1"/>
  <c r="W3779" i="29"/>
  <c r="X3779" i="29" s="1"/>
  <c r="W3823" i="29"/>
  <c r="X3823" i="29" s="1"/>
  <c r="W3855" i="29"/>
  <c r="X3855" i="29" s="1"/>
  <c r="W3864" i="29"/>
  <c r="X3864" i="29" s="1"/>
  <c r="W3928" i="29"/>
  <c r="X3928" i="29" s="1"/>
  <c r="W3985" i="29"/>
  <c r="X3985" i="29" s="1"/>
  <c r="W3998" i="29"/>
  <c r="X3998" i="29" s="1"/>
  <c r="W4000" i="29"/>
  <c r="X4000" i="29" s="1"/>
  <c r="W4030" i="29"/>
  <c r="X4030" i="29" s="1"/>
  <c r="W4056" i="29"/>
  <c r="X4056" i="29" s="1"/>
  <c r="W4060" i="29"/>
  <c r="X4060" i="29" s="1"/>
  <c r="W4067" i="29"/>
  <c r="X4067" i="29" s="1"/>
  <c r="W4076" i="29"/>
  <c r="X4076" i="29" s="1"/>
  <c r="W2129" i="29"/>
  <c r="X2129" i="29" s="1"/>
  <c r="W2245" i="29"/>
  <c r="X2245" i="29" s="1"/>
  <c r="W2295" i="29"/>
  <c r="X2295" i="29" s="1"/>
  <c r="W2185" i="29"/>
  <c r="X2185" i="29" s="1"/>
  <c r="W2205" i="29"/>
  <c r="X2205" i="29" s="1"/>
  <c r="W2384" i="29"/>
  <c r="X2384" i="29" s="1"/>
  <c r="W2127" i="29"/>
  <c r="X2127" i="29" s="1"/>
  <c r="W2174" i="29"/>
  <c r="X2174" i="29" s="1"/>
  <c r="W2275" i="29"/>
  <c r="X2275" i="29" s="1"/>
  <c r="W2226" i="29"/>
  <c r="X2226" i="29" s="1"/>
  <c r="W2215" i="29"/>
  <c r="X2215" i="29" s="1"/>
  <c r="W2128" i="29"/>
  <c r="X2128" i="29" s="1"/>
  <c r="W2323" i="29"/>
  <c r="X2323" i="29" s="1"/>
  <c r="W2175" i="29"/>
  <c r="X2175" i="29" s="1"/>
  <c r="W2146" i="29"/>
  <c r="X2146" i="29" s="1"/>
  <c r="W2274" i="29"/>
  <c r="X2274" i="29" s="1"/>
  <c r="W2297" i="29"/>
  <c r="X2297" i="29" s="1"/>
  <c r="W2335" i="29"/>
  <c r="X2335" i="29" s="1"/>
  <c r="W2106" i="29"/>
  <c r="X2106" i="29" s="1"/>
  <c r="W2198" i="29"/>
  <c r="X2198" i="29" s="1"/>
  <c r="W2130" i="29"/>
  <c r="X2130" i="29" s="1"/>
  <c r="W2136" i="29"/>
  <c r="X2136" i="29" s="1"/>
  <c r="W2160" i="29"/>
  <c r="X2160" i="29" s="1"/>
  <c r="W2190" i="29"/>
  <c r="X2190" i="29" s="1"/>
  <c r="W2229" i="29"/>
  <c r="X2229" i="29" s="1"/>
  <c r="W2235" i="29"/>
  <c r="X2235" i="29" s="1"/>
  <c r="W2259" i="29"/>
  <c r="X2259" i="29" s="1"/>
  <c r="W2278" i="29"/>
  <c r="X2278" i="29" s="1"/>
  <c r="W2289" i="29"/>
  <c r="X2289" i="29" s="1"/>
  <c r="W2300" i="29"/>
  <c r="X2300" i="29" s="1"/>
  <c r="W2337" i="29"/>
  <c r="X2337" i="29" s="1"/>
  <c r="W2428" i="29"/>
  <c r="X2428" i="29" s="1"/>
  <c r="W2443" i="29"/>
  <c r="X2443" i="29" s="1"/>
  <c r="W2447" i="29"/>
  <c r="X2447" i="29" s="1"/>
  <c r="W2486" i="29"/>
  <c r="X2486" i="29" s="1"/>
  <c r="W2510" i="29"/>
  <c r="X2510" i="29" s="1"/>
  <c r="W2521" i="29"/>
  <c r="X2521" i="29" s="1"/>
  <c r="W2534" i="29"/>
  <c r="X2534" i="29" s="1"/>
  <c r="W2536" i="29"/>
  <c r="X2536" i="29" s="1"/>
  <c r="W2547" i="29"/>
  <c r="X2547" i="29" s="1"/>
  <c r="W2560" i="29"/>
  <c r="X2560" i="29" s="1"/>
  <c r="W2571" i="29"/>
  <c r="X2571" i="29" s="1"/>
  <c r="W2580" i="29"/>
  <c r="X2580" i="29" s="1"/>
  <c r="W2608" i="29"/>
  <c r="X2608" i="29" s="1"/>
  <c r="W2640" i="29"/>
  <c r="X2640" i="29" s="1"/>
  <c r="W2642" i="29"/>
  <c r="X2642" i="29" s="1"/>
  <c r="W2653" i="29"/>
  <c r="X2653" i="29" s="1"/>
  <c r="W2710" i="29"/>
  <c r="X2710" i="29" s="1"/>
  <c r="W2736" i="29"/>
  <c r="X2736" i="29" s="1"/>
  <c r="W2753" i="29"/>
  <c r="X2753" i="29" s="1"/>
  <c r="W2810" i="29"/>
  <c r="X2810" i="29" s="1"/>
  <c r="W2877" i="29"/>
  <c r="X2877" i="29" s="1"/>
  <c r="W3048" i="29"/>
  <c r="X3048" i="29" s="1"/>
  <c r="W3076" i="29"/>
  <c r="X3076" i="29" s="1"/>
  <c r="W2751" i="29"/>
  <c r="X2751" i="29" s="1"/>
  <c r="W2784" i="29"/>
  <c r="X2784" i="29" s="1"/>
  <c r="W2884" i="29"/>
  <c r="X2884" i="29" s="1"/>
  <c r="W2917" i="29"/>
  <c r="X2917" i="29" s="1"/>
  <c r="W2115" i="29"/>
  <c r="X2115" i="29" s="1"/>
  <c r="W2126" i="29"/>
  <c r="X2126" i="29" s="1"/>
  <c r="W2143" i="29"/>
  <c r="X2143" i="29" s="1"/>
  <c r="W2173" i="29"/>
  <c r="X2173" i="29" s="1"/>
  <c r="W2184" i="29"/>
  <c r="X2184" i="29" s="1"/>
  <c r="W2214" i="29"/>
  <c r="X2214" i="29" s="1"/>
  <c r="W2225" i="29"/>
  <c r="X2225" i="29" s="1"/>
  <c r="W2242" i="29"/>
  <c r="X2242" i="29" s="1"/>
  <c r="W2272" i="29"/>
  <c r="X2272" i="29" s="1"/>
  <c r="W2294" i="29"/>
  <c r="X2294" i="29" s="1"/>
  <c r="W2322" i="29"/>
  <c r="X2322" i="29" s="1"/>
  <c r="W2333" i="29"/>
  <c r="X2333" i="29" s="1"/>
  <c r="W2346" i="29"/>
  <c r="X2346" i="29" s="1"/>
  <c r="W2393" i="29"/>
  <c r="X2393" i="29" s="1"/>
  <c r="W2406" i="29"/>
  <c r="X2406" i="29" s="1"/>
  <c r="W2426" i="29"/>
  <c r="X2426" i="29" s="1"/>
  <c r="W2469" i="29"/>
  <c r="X2469" i="29" s="1"/>
  <c r="W2471" i="29"/>
  <c r="X2471" i="29" s="1"/>
  <c r="W2604" i="29"/>
  <c r="X2604" i="29" s="1"/>
  <c r="W2634" i="29"/>
  <c r="X2634" i="29" s="1"/>
  <c r="W2636" i="29"/>
  <c r="X2636" i="29" s="1"/>
  <c r="W2668" i="29"/>
  <c r="X2668" i="29" s="1"/>
  <c r="W2681" i="29"/>
  <c r="X2681" i="29" s="1"/>
  <c r="W2685" i="29"/>
  <c r="X2685" i="29" s="1"/>
  <c r="W2708" i="29"/>
  <c r="X2708" i="29" s="1"/>
  <c r="W2758" i="29"/>
  <c r="X2758" i="29" s="1"/>
  <c r="W2769" i="29"/>
  <c r="X2769" i="29" s="1"/>
  <c r="W2813" i="29"/>
  <c r="X2813" i="29" s="1"/>
  <c r="W2817" i="29"/>
  <c r="X2817" i="29" s="1"/>
  <c r="W2819" i="29"/>
  <c r="X2819" i="29" s="1"/>
  <c r="W2828" i="29"/>
  <c r="X2828" i="29" s="1"/>
  <c r="W2843" i="29"/>
  <c r="X2843" i="29" s="1"/>
  <c r="W2845" i="29"/>
  <c r="X2845" i="29" s="1"/>
  <c r="W2854" i="29"/>
  <c r="X2854" i="29" s="1"/>
  <c r="W2873" i="29"/>
  <c r="X2873" i="29" s="1"/>
  <c r="W2882" i="29"/>
  <c r="X2882" i="29" s="1"/>
  <c r="W2893" i="29"/>
  <c r="X2893" i="29" s="1"/>
  <c r="W2965" i="29"/>
  <c r="X2965" i="29" s="1"/>
  <c r="W2974" i="29"/>
  <c r="X2974" i="29" s="1"/>
  <c r="W2976" i="29"/>
  <c r="X2976" i="29" s="1"/>
  <c r="W3005" i="29"/>
  <c r="X3005" i="29" s="1"/>
  <c r="W3018" i="29"/>
  <c r="X3018" i="29" s="1"/>
  <c r="W3033" i="29"/>
  <c r="X3033" i="29" s="1"/>
  <c r="W3070" i="29"/>
  <c r="X3070" i="29" s="1"/>
  <c r="W3081" i="29"/>
  <c r="X3081" i="29" s="1"/>
  <c r="W3083" i="29"/>
  <c r="X3083" i="29" s="1"/>
  <c r="W2193" i="29"/>
  <c r="X2193" i="29" s="1"/>
  <c r="W2365" i="29"/>
  <c r="X2365" i="29" s="1"/>
  <c r="W2422" i="29"/>
  <c r="X2422" i="29" s="1"/>
  <c r="W2478" i="29"/>
  <c r="X2478" i="29" s="1"/>
  <c r="W2513" i="29"/>
  <c r="X2513" i="29" s="1"/>
  <c r="W2576" i="29"/>
  <c r="X2576" i="29" s="1"/>
  <c r="W2645" i="29"/>
  <c r="X2645" i="29" s="1"/>
  <c r="W2911" i="29"/>
  <c r="X2911" i="29" s="1"/>
  <c r="W2983" i="29"/>
  <c r="X2983" i="29" s="1"/>
  <c r="W3042" i="29"/>
  <c r="X3042" i="29" s="1"/>
  <c r="W2120" i="29"/>
  <c r="X2120" i="29" s="1"/>
  <c r="W2137" i="29"/>
  <c r="X2137" i="29" s="1"/>
  <c r="W2150" i="29"/>
  <c r="X2150" i="29" s="1"/>
  <c r="W2180" i="29"/>
  <c r="X2180" i="29" s="1"/>
  <c r="W2191" i="29"/>
  <c r="X2191" i="29" s="1"/>
  <c r="W2219" i="29"/>
  <c r="X2219" i="29" s="1"/>
  <c r="W2236" i="29"/>
  <c r="X2236" i="29" s="1"/>
  <c r="W2249" i="29"/>
  <c r="X2249" i="29" s="1"/>
  <c r="W2279" i="29"/>
  <c r="X2279" i="29" s="1"/>
  <c r="W2303" i="29"/>
  <c r="X2303" i="29" s="1"/>
  <c r="W2338" i="29"/>
  <c r="X2338" i="29" s="1"/>
  <c r="W2374" i="29"/>
  <c r="X2374" i="29" s="1"/>
  <c r="W2387" i="29"/>
  <c r="X2387" i="29" s="1"/>
  <c r="W2404" i="29"/>
  <c r="X2404" i="29" s="1"/>
  <c r="W2420" i="29"/>
  <c r="X2420" i="29" s="1"/>
  <c r="W2448" i="29"/>
  <c r="X2448" i="29" s="1"/>
  <c r="W2461" i="29"/>
  <c r="X2461" i="29" s="1"/>
  <c r="W2511" i="29"/>
  <c r="X2511" i="29" s="1"/>
  <c r="W2535" i="29"/>
  <c r="X2535" i="29" s="1"/>
  <c r="W2537" i="29"/>
  <c r="X2537" i="29" s="1"/>
  <c r="W2565" i="29"/>
  <c r="X2565" i="29" s="1"/>
  <c r="W2574" i="29"/>
  <c r="X2574" i="29" s="1"/>
  <c r="W2602" i="29"/>
  <c r="X2602" i="29" s="1"/>
  <c r="W2641" i="29"/>
  <c r="X2641" i="29" s="1"/>
  <c r="W2643" i="29"/>
  <c r="X2643" i="29" s="1"/>
  <c r="W2700" i="29"/>
  <c r="X2700" i="29" s="1"/>
  <c r="W2728" i="29"/>
  <c r="X2728" i="29" s="1"/>
  <c r="W2739" i="29"/>
  <c r="X2739" i="29" s="1"/>
  <c r="W2774" i="29"/>
  <c r="X2774" i="29" s="1"/>
  <c r="W2809" i="29"/>
  <c r="X2809" i="29" s="1"/>
  <c r="W2811" i="29"/>
  <c r="X2811" i="29" s="1"/>
  <c r="W2833" i="29"/>
  <c r="X2833" i="29" s="1"/>
  <c r="W2852" i="29"/>
  <c r="X2852" i="29" s="1"/>
  <c r="W2865" i="29"/>
  <c r="X2865" i="29" s="1"/>
  <c r="W2878" i="29"/>
  <c r="X2878" i="29" s="1"/>
  <c r="W2937" i="29"/>
  <c r="X2937" i="29" s="1"/>
  <c r="W2992" i="29"/>
  <c r="X2992" i="29" s="1"/>
  <c r="W3040" i="29"/>
  <c r="X3040" i="29" s="1"/>
  <c r="W3064" i="29"/>
  <c r="X3064" i="29" s="1"/>
  <c r="W3073" i="29"/>
  <c r="X3073" i="29" s="1"/>
  <c r="W2107" i="29"/>
  <c r="X2107" i="29" s="1"/>
  <c r="W2118" i="29"/>
  <c r="X2118" i="29" s="1"/>
  <c r="W2148" i="29"/>
  <c r="X2148" i="29" s="1"/>
  <c r="W2159" i="29"/>
  <c r="X2159" i="29" s="1"/>
  <c r="W2176" i="29"/>
  <c r="X2176" i="29" s="1"/>
  <c r="W2206" i="29"/>
  <c r="X2206" i="29" s="1"/>
  <c r="W2217" i="29"/>
  <c r="X2217" i="29" s="1"/>
  <c r="W2247" i="29"/>
  <c r="X2247" i="29" s="1"/>
  <c r="W2258" i="29"/>
  <c r="X2258" i="29" s="1"/>
  <c r="W2325" i="29"/>
  <c r="X2325" i="29" s="1"/>
  <c r="W2347" i="29"/>
  <c r="X2347" i="29" s="1"/>
  <c r="W2385" i="29"/>
  <c r="X2385" i="29" s="1"/>
  <c r="W2446" i="29"/>
  <c r="X2446" i="29" s="1"/>
  <c r="W2459" i="29"/>
  <c r="X2459" i="29" s="1"/>
  <c r="W2498" i="29"/>
  <c r="X2498" i="29" s="1"/>
  <c r="W2509" i="29"/>
  <c r="X2509" i="29" s="1"/>
  <c r="W2600" i="29"/>
  <c r="X2600" i="29" s="1"/>
  <c r="W2669" i="29"/>
  <c r="X2669" i="29" s="1"/>
  <c r="W2735" i="29"/>
  <c r="X2735" i="29" s="1"/>
  <c r="W2750" i="29"/>
  <c r="X2750" i="29" s="1"/>
  <c r="W2783" i="29"/>
  <c r="X2783" i="29" s="1"/>
  <c r="W2807" i="29"/>
  <c r="X2807" i="29" s="1"/>
  <c r="W2820" i="29"/>
  <c r="X2820" i="29" s="1"/>
  <c r="W2846" i="29"/>
  <c r="X2846" i="29" s="1"/>
  <c r="W2861" i="29"/>
  <c r="X2861" i="29" s="1"/>
  <c r="W2907" i="29"/>
  <c r="X2907" i="29" s="1"/>
  <c r="W2933" i="29"/>
  <c r="X2933" i="29" s="1"/>
  <c r="W2953" i="29"/>
  <c r="X2953" i="29" s="1"/>
  <c r="W2959" i="29"/>
  <c r="X2959" i="29" s="1"/>
  <c r="W2986" i="29"/>
  <c r="X2986" i="29" s="1"/>
  <c r="W2999" i="29"/>
  <c r="X2999" i="29" s="1"/>
  <c r="W3025" i="29"/>
  <c r="X3025" i="29" s="1"/>
  <c r="W3047" i="29"/>
  <c r="X3047" i="29" s="1"/>
  <c r="W3084" i="29"/>
  <c r="X3084" i="29" s="1"/>
  <c r="W2427" i="29"/>
  <c r="X2427" i="29" s="1"/>
  <c r="W2442" i="29"/>
  <c r="X2442" i="29" s="1"/>
  <c r="W2494" i="29"/>
  <c r="X2494" i="29" s="1"/>
  <c r="W2607" i="29"/>
  <c r="X2607" i="29" s="1"/>
  <c r="W2618" i="29"/>
  <c r="X2618" i="29" s="1"/>
  <c r="W2637" i="29"/>
  <c r="X2637" i="29" s="1"/>
  <c r="W2684" i="29"/>
  <c r="X2684" i="29" s="1"/>
  <c r="W2709" i="29"/>
  <c r="X2709" i="29" s="1"/>
  <c r="W2788" i="29"/>
  <c r="X2788" i="29" s="1"/>
  <c r="W2805" i="29"/>
  <c r="X2805" i="29" s="1"/>
  <c r="W2840" i="29"/>
  <c r="X2840" i="29" s="1"/>
  <c r="W2857" i="29"/>
  <c r="X2857" i="29" s="1"/>
  <c r="W2883" i="29"/>
  <c r="X2883" i="29" s="1"/>
  <c r="W2912" i="29"/>
  <c r="X2912" i="29" s="1"/>
  <c r="W2927" i="29"/>
  <c r="X2927" i="29" s="1"/>
  <c r="W2931" i="29"/>
  <c r="X2931" i="29" s="1"/>
  <c r="W2940" i="29"/>
  <c r="X2940" i="29" s="1"/>
  <c r="W2975" i="29"/>
  <c r="X2975" i="29" s="1"/>
  <c r="W3058" i="29"/>
  <c r="X3058" i="29" s="1"/>
  <c r="W2398" i="29"/>
  <c r="X2398" i="29" s="1"/>
  <c r="W2153" i="29"/>
  <c r="X2153" i="29" s="1"/>
  <c r="W2252" i="29"/>
  <c r="X2252" i="29" s="1"/>
  <c r="W2438" i="29"/>
  <c r="X2438" i="29" s="1"/>
  <c r="W2514" i="29"/>
  <c r="X2514" i="29" s="1"/>
  <c r="W2577" i="29"/>
  <c r="X2577" i="29" s="1"/>
  <c r="W2635" i="29"/>
  <c r="X2635" i="29" s="1"/>
  <c r="W2646" i="29"/>
  <c r="X2646" i="29" s="1"/>
  <c r="W2680" i="29"/>
  <c r="X2680" i="29" s="1"/>
  <c r="W2720" i="29"/>
  <c r="X2720" i="29" s="1"/>
  <c r="W3043" i="29"/>
  <c r="X3043" i="29" s="1"/>
  <c r="W3080" i="29"/>
  <c r="X3080" i="29" s="1"/>
  <c r="W2407" i="29"/>
  <c r="X2407" i="29" s="1"/>
  <c r="W2110" i="29"/>
  <c r="X2110" i="29" s="1"/>
  <c r="W2140" i="29"/>
  <c r="X2140" i="29" s="1"/>
  <c r="W2151" i="29"/>
  <c r="X2151" i="29" s="1"/>
  <c r="W2181" i="29"/>
  <c r="X2181" i="29" s="1"/>
  <c r="W2192" i="29"/>
  <c r="X2192" i="29" s="1"/>
  <c r="W2209" i="29"/>
  <c r="X2209" i="29" s="1"/>
  <c r="W2239" i="29"/>
  <c r="X2239" i="29" s="1"/>
  <c r="W2250" i="29"/>
  <c r="X2250" i="29" s="1"/>
  <c r="W2291" i="29"/>
  <c r="X2291" i="29" s="1"/>
  <c r="W2353" i="29"/>
  <c r="X2353" i="29" s="1"/>
  <c r="W2388" i="29"/>
  <c r="X2388" i="29" s="1"/>
  <c r="W2403" i="29"/>
  <c r="X2403" i="29" s="1"/>
  <c r="W2405" i="29"/>
  <c r="X2405" i="29" s="1"/>
  <c r="W2434" i="29"/>
  <c r="X2434" i="29" s="1"/>
  <c r="W2503" i="29"/>
  <c r="X2503" i="29" s="1"/>
  <c r="W2512" i="29"/>
  <c r="X2512" i="29" s="1"/>
  <c r="W2538" i="29"/>
  <c r="X2538" i="29" s="1"/>
  <c r="W2553" i="29"/>
  <c r="X2553" i="29" s="1"/>
  <c r="W2575" i="29"/>
  <c r="X2575" i="29" s="1"/>
  <c r="W2586" i="29"/>
  <c r="X2586" i="29" s="1"/>
  <c r="W2603" i="29"/>
  <c r="X2603" i="29" s="1"/>
  <c r="W2612" i="29"/>
  <c r="X2612" i="29" s="1"/>
  <c r="W2644" i="29"/>
  <c r="X2644" i="29" s="1"/>
  <c r="W2676" i="29"/>
  <c r="X2676" i="29" s="1"/>
  <c r="W2678" i="29"/>
  <c r="X2678" i="29" s="1"/>
  <c r="W2703" i="29"/>
  <c r="X2703" i="29" s="1"/>
  <c r="W2714" i="29"/>
  <c r="X2714" i="29" s="1"/>
  <c r="W2718" i="29"/>
  <c r="X2718" i="29" s="1"/>
  <c r="W2775" i="29"/>
  <c r="X2775" i="29" s="1"/>
  <c r="W2777" i="29"/>
  <c r="X2777" i="29" s="1"/>
  <c r="W2812" i="29"/>
  <c r="X2812" i="29" s="1"/>
  <c r="W2834" i="29"/>
  <c r="X2834" i="29" s="1"/>
  <c r="W2838" i="29"/>
  <c r="X2838" i="29" s="1"/>
  <c r="W2866" i="29"/>
  <c r="X2866" i="29" s="1"/>
  <c r="W2886" i="29"/>
  <c r="X2886" i="29" s="1"/>
  <c r="W2919" i="29"/>
  <c r="X2919" i="29" s="1"/>
  <c r="W2945" i="29"/>
  <c r="X2945" i="29" s="1"/>
  <c r="W2949" i="29"/>
  <c r="X2949" i="29" s="1"/>
  <c r="W2993" i="29"/>
  <c r="X2993" i="29" s="1"/>
  <c r="W3017" i="29"/>
  <c r="X3017" i="29" s="1"/>
  <c r="W3065" i="29"/>
  <c r="X3065" i="29" s="1"/>
  <c r="W3091" i="29"/>
  <c r="X3091" i="29" s="1"/>
  <c r="W1271" i="29"/>
  <c r="X1271" i="29" s="1"/>
  <c r="W1493" i="29"/>
  <c r="X1493" i="29" s="1"/>
  <c r="W1525" i="29"/>
  <c r="X1525" i="29" s="1"/>
  <c r="W1536" i="29"/>
  <c r="X1536" i="29" s="1"/>
  <c r="W1773" i="29"/>
  <c r="X1773" i="29" s="1"/>
  <c r="W1833" i="29"/>
  <c r="X1833" i="29" s="1"/>
  <c r="W1962" i="29"/>
  <c r="X1962" i="29" s="1"/>
  <c r="W2061" i="29"/>
  <c r="X2061" i="29" s="1"/>
  <c r="W1106" i="29"/>
  <c r="X1106" i="29" s="1"/>
  <c r="W1139" i="29"/>
  <c r="X1139" i="29" s="1"/>
  <c r="W1172" i="29"/>
  <c r="X1172" i="29" s="1"/>
  <c r="W1205" i="29"/>
  <c r="X1205" i="29" s="1"/>
  <c r="W1238" i="29"/>
  <c r="X1238" i="29" s="1"/>
  <c r="W1304" i="29"/>
  <c r="X1304" i="29" s="1"/>
  <c r="W1338" i="29"/>
  <c r="X1338" i="29" s="1"/>
  <c r="W1104" i="29"/>
  <c r="X1104" i="29" s="1"/>
  <c r="W1137" i="29"/>
  <c r="X1137" i="29" s="1"/>
  <c r="W1170" i="29"/>
  <c r="X1170" i="29" s="1"/>
  <c r="W1203" i="29"/>
  <c r="X1203" i="29" s="1"/>
  <c r="W1236" i="29"/>
  <c r="X1236" i="29" s="1"/>
  <c r="W1269" i="29"/>
  <c r="X1269" i="29" s="1"/>
  <c r="W1302" i="29"/>
  <c r="X1302" i="29" s="1"/>
  <c r="W1349" i="29"/>
  <c r="X1349" i="29" s="1"/>
  <c r="W1362" i="29"/>
  <c r="X1362" i="29" s="1"/>
  <c r="W1366" i="29"/>
  <c r="X1366" i="29" s="1"/>
  <c r="W1404" i="29"/>
  <c r="X1404" i="29" s="1"/>
  <c r="W1421" i="29"/>
  <c r="X1421" i="29" s="1"/>
  <c r="W1449" i="29"/>
  <c r="X1449" i="29" s="1"/>
  <c r="W1451" i="29"/>
  <c r="X1451" i="29" s="1"/>
  <c r="W1459" i="29"/>
  <c r="X1459" i="29" s="1"/>
  <c r="W1481" i="29"/>
  <c r="X1481" i="29" s="1"/>
  <c r="W1487" i="29"/>
  <c r="X1487" i="29" s="1"/>
  <c r="W1502" i="29"/>
  <c r="X1502" i="29" s="1"/>
  <c r="W1517" i="29"/>
  <c r="X1517" i="29" s="1"/>
  <c r="W1560" i="29"/>
  <c r="X1560" i="29" s="1"/>
  <c r="W1586" i="29"/>
  <c r="X1586" i="29" s="1"/>
  <c r="W1599" i="29"/>
  <c r="X1599" i="29" s="1"/>
  <c r="W1608" i="29"/>
  <c r="X1608" i="29" s="1"/>
  <c r="W1625" i="29"/>
  <c r="X1625" i="29" s="1"/>
  <c r="W1702" i="29"/>
  <c r="X1702" i="29" s="1"/>
  <c r="W1704" i="29"/>
  <c r="X1704" i="29" s="1"/>
  <c r="W1715" i="29"/>
  <c r="X1715" i="29" s="1"/>
  <c r="W1726" i="29"/>
  <c r="X1726" i="29" s="1"/>
  <c r="W1762" i="29"/>
  <c r="X1762" i="29" s="1"/>
  <c r="W1769" i="29"/>
  <c r="X1769" i="29" s="1"/>
  <c r="W1780" i="29"/>
  <c r="X1780" i="29" s="1"/>
  <c r="W1791" i="29"/>
  <c r="X1791" i="29" s="1"/>
  <c r="W1809" i="29"/>
  <c r="X1809" i="29" s="1"/>
  <c r="W1831" i="29"/>
  <c r="X1831" i="29" s="1"/>
  <c r="W1840" i="29"/>
  <c r="X1840" i="29" s="1"/>
  <c r="W1889" i="29"/>
  <c r="X1889" i="29" s="1"/>
  <c r="W1906" i="29"/>
  <c r="X1906" i="29" s="1"/>
  <c r="W1919" i="29"/>
  <c r="X1919" i="29" s="1"/>
  <c r="W1949" i="29"/>
  <c r="X1949" i="29" s="1"/>
  <c r="W1960" i="29"/>
  <c r="X1960" i="29" s="1"/>
  <c r="W1988" i="29"/>
  <c r="X1988" i="29" s="1"/>
  <c r="W2005" i="29"/>
  <c r="X2005" i="29" s="1"/>
  <c r="W2018" i="29"/>
  <c r="X2018" i="29" s="1"/>
  <c r="W2048" i="29"/>
  <c r="X2048" i="29" s="1"/>
  <c r="W2059" i="29"/>
  <c r="X2059" i="29" s="1"/>
  <c r="W2087" i="29"/>
  <c r="X2087" i="29" s="1"/>
  <c r="W1102" i="29"/>
  <c r="X1102" i="29" s="1"/>
  <c r="W1113" i="29"/>
  <c r="X1113" i="29" s="1"/>
  <c r="W1126" i="29"/>
  <c r="X1126" i="29" s="1"/>
  <c r="W1135" i="29"/>
  <c r="X1135" i="29" s="1"/>
  <c r="W1146" i="29"/>
  <c r="X1146" i="29" s="1"/>
  <c r="W1179" i="29"/>
  <c r="X1179" i="29" s="1"/>
  <c r="W1212" i="29"/>
  <c r="X1212" i="29" s="1"/>
  <c r="W1245" i="29"/>
  <c r="X1245" i="29" s="1"/>
  <c r="W1278" i="29"/>
  <c r="X1278" i="29" s="1"/>
  <c r="W1311" i="29"/>
  <c r="X1311" i="29" s="1"/>
  <c r="W1334" i="29"/>
  <c r="X1334" i="29" s="1"/>
  <c r="W1477" i="29"/>
  <c r="X1477" i="29" s="1"/>
  <c r="W1500" i="29"/>
  <c r="X1500" i="29" s="1"/>
  <c r="W1532" i="29"/>
  <c r="X1532" i="29" s="1"/>
  <c r="W1543" i="29"/>
  <c r="X1543" i="29" s="1"/>
  <c r="W1668" i="29"/>
  <c r="X1668" i="29" s="1"/>
  <c r="W1684" i="29"/>
  <c r="X1684" i="29" s="1"/>
  <c r="W1693" i="29"/>
  <c r="X1693" i="29" s="1"/>
  <c r="W1724" i="29"/>
  <c r="X1724" i="29" s="1"/>
  <c r="W1807" i="29"/>
  <c r="X1807" i="29" s="1"/>
  <c r="W1272" i="29"/>
  <c r="X1272" i="29" s="1"/>
  <c r="W1305" i="29"/>
  <c r="X1305" i="29" s="1"/>
  <c r="W1326" i="29"/>
  <c r="X1326" i="29" s="1"/>
  <c r="W1345" i="29"/>
  <c r="X1345" i="29" s="1"/>
  <c r="W1473" i="29"/>
  <c r="X1473" i="29" s="1"/>
  <c r="W1494" i="29"/>
  <c r="X1494" i="29" s="1"/>
  <c r="W1509" i="29"/>
  <c r="X1509" i="29" s="1"/>
  <c r="W1539" i="29"/>
  <c r="X1539" i="29" s="1"/>
  <c r="W1554" i="29"/>
  <c r="X1554" i="29" s="1"/>
  <c r="W1558" i="29"/>
  <c r="X1558" i="29" s="1"/>
  <c r="W1602" i="29"/>
  <c r="X1602" i="29" s="1"/>
  <c r="W1613" i="29"/>
  <c r="X1613" i="29" s="1"/>
  <c r="W1648" i="29"/>
  <c r="X1648" i="29" s="1"/>
  <c r="W1700" i="29"/>
  <c r="X1700" i="29" s="1"/>
  <c r="W1711" i="29"/>
  <c r="X1711" i="29" s="1"/>
  <c r="W1767" i="29"/>
  <c r="X1767" i="29" s="1"/>
  <c r="W1787" i="29"/>
  <c r="X1787" i="29" s="1"/>
  <c r="W1805" i="29"/>
  <c r="X1805" i="29" s="1"/>
  <c r="W1816" i="29"/>
  <c r="X1816" i="29" s="1"/>
  <c r="W1827" i="29"/>
  <c r="X1827" i="29" s="1"/>
  <c r="W1834" i="29"/>
  <c r="X1834" i="29" s="1"/>
  <c r="W1843" i="29"/>
  <c r="X1843" i="29" s="1"/>
  <c r="W1856" i="29"/>
  <c r="X1856" i="29" s="1"/>
  <c r="W1896" i="29"/>
  <c r="X1896" i="29" s="1"/>
  <c r="W1926" i="29"/>
  <c r="X1926" i="29" s="1"/>
  <c r="W1965" i="29"/>
  <c r="X1965" i="29" s="1"/>
  <c r="W1971" i="29"/>
  <c r="X1971" i="29" s="1"/>
  <c r="W1995" i="29"/>
  <c r="X1995" i="29" s="1"/>
  <c r="W2025" i="29"/>
  <c r="X2025" i="29" s="1"/>
  <c r="W2064" i="29"/>
  <c r="X2064" i="29" s="1"/>
  <c r="W2070" i="29"/>
  <c r="X2070" i="29" s="1"/>
  <c r="W2094" i="29"/>
  <c r="X2094" i="29" s="1"/>
  <c r="W1107" i="29"/>
  <c r="X1107" i="29" s="1"/>
  <c r="W1164" i="29"/>
  <c r="X1164" i="29" s="1"/>
  <c r="W1197" i="29"/>
  <c r="X1197" i="29" s="1"/>
  <c r="W1230" i="29"/>
  <c r="X1230" i="29" s="1"/>
  <c r="W1263" i="29"/>
  <c r="X1263" i="29" s="1"/>
  <c r="W1296" i="29"/>
  <c r="X1296" i="29" s="1"/>
  <c r="W1350" i="29"/>
  <c r="X1350" i="29" s="1"/>
  <c r="W1371" i="29"/>
  <c r="X1371" i="29" s="1"/>
  <c r="W1392" i="29"/>
  <c r="X1392" i="29" s="1"/>
  <c r="W1407" i="29"/>
  <c r="X1407" i="29" s="1"/>
  <c r="W1426" i="29"/>
  <c r="X1426" i="29" s="1"/>
  <c r="W1435" i="29"/>
  <c r="X1435" i="29" s="1"/>
  <c r="W1456" i="29"/>
  <c r="X1456" i="29" s="1"/>
  <c r="W1458" i="29"/>
  <c r="X1458" i="29" s="1"/>
  <c r="W1460" i="29"/>
  <c r="X1460" i="29" s="1"/>
  <c r="W1488" i="29"/>
  <c r="X1488" i="29" s="1"/>
  <c r="W1520" i="29"/>
  <c r="X1520" i="29" s="1"/>
  <c r="W1535" i="29"/>
  <c r="X1535" i="29" s="1"/>
  <c r="W1550" i="29"/>
  <c r="X1550" i="29" s="1"/>
  <c r="W1565" i="29"/>
  <c r="X1565" i="29" s="1"/>
  <c r="W1572" i="29"/>
  <c r="X1572" i="29" s="1"/>
  <c r="W1587" i="29"/>
  <c r="X1587" i="29" s="1"/>
  <c r="W1591" i="29"/>
  <c r="X1591" i="29" s="1"/>
  <c r="W1633" i="29"/>
  <c r="X1633" i="29" s="1"/>
  <c r="W1655" i="29"/>
  <c r="X1655" i="29" s="1"/>
  <c r="W1664" i="29"/>
  <c r="X1664" i="29" s="1"/>
  <c r="W1675" i="29"/>
  <c r="X1675" i="29" s="1"/>
  <c r="W1727" i="29"/>
  <c r="X1727" i="29" s="1"/>
  <c r="W1747" i="29"/>
  <c r="X1747" i="29" s="1"/>
  <c r="W1772" i="29"/>
  <c r="X1772" i="29" s="1"/>
  <c r="W1783" i="29"/>
  <c r="X1783" i="29" s="1"/>
  <c r="W1794" i="29"/>
  <c r="X1794" i="29" s="1"/>
  <c r="W1801" i="29"/>
  <c r="X1801" i="29" s="1"/>
  <c r="W1810" i="29"/>
  <c r="X1810" i="29" s="1"/>
  <c r="W1823" i="29"/>
  <c r="X1823" i="29" s="1"/>
  <c r="W1863" i="29"/>
  <c r="X1863" i="29" s="1"/>
  <c r="W1872" i="29"/>
  <c r="X1872" i="29" s="1"/>
  <c r="W1879" i="29"/>
  <c r="X1879" i="29" s="1"/>
  <c r="W1909" i="29"/>
  <c r="X1909" i="29" s="1"/>
  <c r="W1920" i="29"/>
  <c r="X1920" i="29" s="1"/>
  <c r="W1950" i="29"/>
  <c r="X1950" i="29" s="1"/>
  <c r="W1961" i="29"/>
  <c r="X1961" i="29" s="1"/>
  <c r="W1978" i="29"/>
  <c r="X1978" i="29" s="1"/>
  <c r="W2008" i="29"/>
  <c r="X2008" i="29" s="1"/>
  <c r="W2019" i="29"/>
  <c r="X2019" i="29" s="1"/>
  <c r="W2049" i="29"/>
  <c r="X2049" i="29" s="1"/>
  <c r="W2060" i="29"/>
  <c r="X2060" i="29" s="1"/>
  <c r="W2077" i="29"/>
  <c r="X2077" i="29" s="1"/>
  <c r="W1103" i="29"/>
  <c r="X1103" i="29" s="1"/>
  <c r="W1114" i="29"/>
  <c r="X1114" i="29" s="1"/>
  <c r="W1136" i="29"/>
  <c r="X1136" i="29" s="1"/>
  <c r="W1147" i="29"/>
  <c r="X1147" i="29" s="1"/>
  <c r="W1169" i="29"/>
  <c r="X1169" i="29" s="1"/>
  <c r="W1180" i="29"/>
  <c r="X1180" i="29" s="1"/>
  <c r="W1202" i="29"/>
  <c r="X1202" i="29" s="1"/>
  <c r="W1213" i="29"/>
  <c r="X1213" i="29" s="1"/>
  <c r="W1235" i="29"/>
  <c r="X1235" i="29" s="1"/>
  <c r="W1246" i="29"/>
  <c r="X1246" i="29" s="1"/>
  <c r="W1268" i="29"/>
  <c r="X1268" i="29" s="1"/>
  <c r="W1301" i="29"/>
  <c r="X1301" i="29" s="1"/>
  <c r="W1333" i="29"/>
  <c r="X1333" i="29" s="1"/>
  <c r="W1335" i="29"/>
  <c r="X1335" i="29" s="1"/>
  <c r="W1382" i="29"/>
  <c r="X1382" i="29" s="1"/>
  <c r="W1388" i="29"/>
  <c r="X1388" i="29" s="1"/>
  <c r="W1416" i="29"/>
  <c r="X1416" i="29" s="1"/>
  <c r="W1448" i="29"/>
  <c r="X1448" i="29" s="1"/>
  <c r="W1465" i="29"/>
  <c r="X1465" i="29" s="1"/>
  <c r="W1467" i="29"/>
  <c r="X1467" i="29" s="1"/>
  <c r="W1480" i="29"/>
  <c r="X1480" i="29" s="1"/>
  <c r="W1531" i="29"/>
  <c r="X1531" i="29" s="1"/>
  <c r="W1533" i="29"/>
  <c r="X1533" i="29" s="1"/>
  <c r="W1568" i="29"/>
  <c r="X1568" i="29" s="1"/>
  <c r="W1583" i="29"/>
  <c r="X1583" i="29" s="1"/>
  <c r="W1598" i="29"/>
  <c r="X1598" i="29" s="1"/>
  <c r="W1605" i="29"/>
  <c r="X1605" i="29" s="1"/>
  <c r="W1620" i="29"/>
  <c r="X1620" i="29" s="1"/>
  <c r="W1624" i="29"/>
  <c r="X1624" i="29" s="1"/>
  <c r="W1642" i="29"/>
  <c r="X1642" i="29" s="1"/>
  <c r="W1694" i="29"/>
  <c r="X1694" i="29" s="1"/>
  <c r="W1714" i="29"/>
  <c r="X1714" i="29" s="1"/>
  <c r="W1732" i="29"/>
  <c r="X1732" i="29" s="1"/>
  <c r="W1743" i="29"/>
  <c r="X1743" i="29" s="1"/>
  <c r="W1761" i="29"/>
  <c r="X1761" i="29" s="1"/>
  <c r="W1768" i="29"/>
  <c r="X1768" i="29" s="1"/>
  <c r="W1777" i="29"/>
  <c r="X1777" i="29" s="1"/>
  <c r="W1790" i="29"/>
  <c r="X1790" i="29" s="1"/>
  <c r="W1830" i="29"/>
  <c r="X1830" i="29" s="1"/>
  <c r="W1839" i="29"/>
  <c r="X1839" i="29" s="1"/>
  <c r="W1899" i="29"/>
  <c r="X1899" i="29" s="1"/>
  <c r="W1905" i="29"/>
  <c r="X1905" i="29" s="1"/>
  <c r="W1929" i="29"/>
  <c r="X1929" i="29" s="1"/>
  <c r="W1959" i="29"/>
  <c r="X1959" i="29" s="1"/>
  <c r="W1998" i="29"/>
  <c r="X1998" i="29" s="1"/>
  <c r="W2004" i="29"/>
  <c r="X2004" i="29" s="1"/>
  <c r="W2028" i="29"/>
  <c r="X2028" i="29" s="1"/>
  <c r="W2058" i="29"/>
  <c r="X2058" i="29" s="1"/>
  <c r="W2097" i="29"/>
  <c r="X2097" i="29" s="1"/>
  <c r="W1121" i="29"/>
  <c r="X1121" i="29" s="1"/>
  <c r="W1154" i="29"/>
  <c r="X1154" i="29" s="1"/>
  <c r="W1187" i="29"/>
  <c r="X1187" i="29" s="1"/>
  <c r="W1220" i="29"/>
  <c r="X1220" i="29" s="1"/>
  <c r="W1253" i="29"/>
  <c r="X1253" i="29" s="1"/>
  <c r="W1286" i="29"/>
  <c r="X1286" i="29" s="1"/>
  <c r="W1323" i="29"/>
  <c r="X1323" i="29" s="1"/>
  <c r="W1344" i="29"/>
  <c r="X1344" i="29" s="1"/>
  <c r="W1357" i="29"/>
  <c r="X1357" i="29" s="1"/>
  <c r="W1399" i="29"/>
  <c r="X1399" i="29" s="1"/>
  <c r="W1401" i="29"/>
  <c r="X1401" i="29" s="1"/>
  <c r="W1440" i="29"/>
  <c r="X1440" i="29" s="1"/>
  <c r="W1461" i="29"/>
  <c r="X1461" i="29" s="1"/>
  <c r="W1495" i="29"/>
  <c r="X1495" i="29" s="1"/>
  <c r="W1499" i="29"/>
  <c r="X1499" i="29" s="1"/>
  <c r="W1510" i="29"/>
  <c r="X1510" i="29" s="1"/>
  <c r="W1557" i="29"/>
  <c r="X1557" i="29" s="1"/>
  <c r="W1601" i="29"/>
  <c r="X1601" i="29" s="1"/>
  <c r="W1616" i="29"/>
  <c r="X1616" i="29" s="1"/>
  <c r="W1627" i="29"/>
  <c r="X1627" i="29" s="1"/>
  <c r="W1658" i="29"/>
  <c r="X1658" i="29" s="1"/>
  <c r="W1678" i="29"/>
  <c r="X1678" i="29" s="1"/>
  <c r="W1699" i="29"/>
  <c r="X1699" i="29" s="1"/>
  <c r="W1710" i="29"/>
  <c r="X1710" i="29" s="1"/>
  <c r="W1721" i="29"/>
  <c r="X1721" i="29" s="1"/>
  <c r="W1728" i="29"/>
  <c r="X1728" i="29" s="1"/>
  <c r="W1750" i="29"/>
  <c r="X1750" i="29" s="1"/>
  <c r="W1797" i="29"/>
  <c r="X1797" i="29" s="1"/>
  <c r="W1806" i="29"/>
  <c r="X1806" i="29" s="1"/>
  <c r="W1866" i="29"/>
  <c r="X1866" i="29" s="1"/>
  <c r="W1884" i="29"/>
  <c r="X1884" i="29" s="1"/>
  <c r="W1895" i="29"/>
  <c r="X1895" i="29" s="1"/>
  <c r="W1912" i="29"/>
  <c r="X1912" i="29" s="1"/>
  <c r="W1942" i="29"/>
  <c r="X1942" i="29" s="1"/>
  <c r="W1953" i="29"/>
  <c r="X1953" i="29" s="1"/>
  <c r="W1983" i="29"/>
  <c r="X1983" i="29" s="1"/>
  <c r="W1994" i="29"/>
  <c r="X1994" i="29" s="1"/>
  <c r="W2011" i="29"/>
  <c r="X2011" i="29" s="1"/>
  <c r="W2041" i="29"/>
  <c r="X2041" i="29" s="1"/>
  <c r="W2052" i="29"/>
  <c r="X2052" i="29" s="1"/>
  <c r="W2082" i="29"/>
  <c r="X2082" i="29" s="1"/>
  <c r="W2093" i="29"/>
  <c r="X2093" i="29" s="1"/>
  <c r="W1073" i="29"/>
  <c r="X1073" i="29" s="1"/>
  <c r="W1005" i="29"/>
  <c r="X1005" i="29" s="1"/>
  <c r="W1038" i="29"/>
  <c r="X1038" i="29" s="1"/>
  <c r="W1071" i="29"/>
  <c r="X1071" i="29" s="1"/>
  <c r="W996" i="29"/>
  <c r="X996" i="29" s="1"/>
  <c r="W1029" i="29"/>
  <c r="X1029" i="29" s="1"/>
  <c r="W1062" i="29"/>
  <c r="X1062" i="29" s="1"/>
  <c r="W999" i="29"/>
  <c r="X999" i="29" s="1"/>
  <c r="W1032" i="29"/>
  <c r="X1032" i="29" s="1"/>
  <c r="W1065" i="29"/>
  <c r="X1065" i="29" s="1"/>
  <c r="W1072" i="29"/>
  <c r="X1072" i="29" s="1"/>
  <c r="W1015" i="29"/>
  <c r="X1015" i="29" s="1"/>
  <c r="W1048" i="29"/>
  <c r="X1048" i="29" s="1"/>
  <c r="W1070" i="29"/>
  <c r="X1070" i="29" s="1"/>
  <c r="W1081" i="29"/>
  <c r="X1081" i="29" s="1"/>
  <c r="W1009" i="29"/>
  <c r="X1009" i="29" s="1"/>
  <c r="W1042" i="29"/>
  <c r="X1042" i="29" s="1"/>
  <c r="W1075" i="29"/>
  <c r="X1075" i="29" s="1"/>
  <c r="W1007" i="29"/>
  <c r="X1007" i="29" s="1"/>
  <c r="W1040" i="29"/>
  <c r="X1040" i="29" s="1"/>
  <c r="W1022" i="29"/>
  <c r="X1022" i="29" s="1"/>
  <c r="W1055" i="29"/>
  <c r="X1055" i="29" s="1"/>
  <c r="W1088" i="29"/>
  <c r="X1088" i="29" s="1"/>
  <c r="W890" i="29"/>
  <c r="X890" i="29" s="1"/>
  <c r="W938" i="29"/>
  <c r="X938" i="29" s="1"/>
  <c r="W962" i="29"/>
  <c r="X962" i="29" s="1"/>
  <c r="W976" i="29"/>
  <c r="X976" i="29" s="1"/>
  <c r="W886" i="29"/>
  <c r="X886" i="29" s="1"/>
  <c r="W901" i="29"/>
  <c r="X901" i="29" s="1"/>
  <c r="W910" i="29"/>
  <c r="X910" i="29" s="1"/>
  <c r="W945" i="29"/>
  <c r="X945" i="29" s="1"/>
  <c r="W956" i="29"/>
  <c r="X956" i="29" s="1"/>
  <c r="W967" i="29"/>
  <c r="X967" i="29" s="1"/>
  <c r="W983" i="29"/>
  <c r="X983" i="29" s="1"/>
  <c r="W906" i="29"/>
  <c r="X906" i="29" s="1"/>
  <c r="W917" i="29"/>
  <c r="X917" i="29" s="1"/>
  <c r="W930" i="29"/>
  <c r="X930" i="29" s="1"/>
  <c r="W952" i="29"/>
  <c r="X952" i="29" s="1"/>
  <c r="W965" i="29"/>
  <c r="X965" i="29" s="1"/>
  <c r="W893" i="29"/>
  <c r="X893" i="29" s="1"/>
  <c r="W950" i="29"/>
  <c r="X950" i="29" s="1"/>
  <c r="W963" i="29"/>
  <c r="X963" i="29" s="1"/>
  <c r="W981" i="29"/>
  <c r="X981" i="29" s="1"/>
  <c r="W889" i="29"/>
  <c r="X889" i="29" s="1"/>
  <c r="W915" i="29"/>
  <c r="X915" i="29" s="1"/>
  <c r="W937" i="29"/>
  <c r="X937" i="29" s="1"/>
  <c r="W959" i="29"/>
  <c r="X959" i="29" s="1"/>
  <c r="W898" i="29"/>
  <c r="X898" i="29" s="1"/>
  <c r="W922" i="29"/>
  <c r="X922" i="29" s="1"/>
  <c r="W883" i="29"/>
  <c r="X883" i="29" s="1"/>
  <c r="W896" i="29"/>
  <c r="X896" i="29" s="1"/>
  <c r="W964" i="29"/>
  <c r="X964" i="29" s="1"/>
  <c r="W982" i="29"/>
  <c r="X982" i="29" s="1"/>
  <c r="W809" i="29"/>
  <c r="X809" i="29" s="1"/>
  <c r="W783" i="29"/>
  <c r="X783" i="29" s="1"/>
  <c r="W842" i="29"/>
  <c r="X842" i="29" s="1"/>
  <c r="W868" i="29"/>
  <c r="X868" i="29" s="1"/>
  <c r="W816" i="29"/>
  <c r="X816" i="29" s="1"/>
  <c r="W875" i="29"/>
  <c r="X875" i="29" s="1"/>
  <c r="W777" i="29"/>
  <c r="X777" i="29" s="1"/>
  <c r="W799" i="29"/>
  <c r="X799" i="29" s="1"/>
  <c r="W823" i="29"/>
  <c r="X823" i="29" s="1"/>
  <c r="W849" i="29"/>
  <c r="X849" i="29" s="1"/>
  <c r="W871" i="29"/>
  <c r="X871" i="29" s="1"/>
  <c r="W773" i="29"/>
  <c r="X773" i="29" s="1"/>
  <c r="W784" i="29"/>
  <c r="X784" i="29" s="1"/>
  <c r="W797" i="29"/>
  <c r="X797" i="29" s="1"/>
  <c r="W843" i="29"/>
  <c r="X843" i="29" s="1"/>
  <c r="W865" i="29"/>
  <c r="X865" i="29" s="1"/>
  <c r="W876" i="29"/>
  <c r="X876" i="29" s="1"/>
  <c r="W776" i="29"/>
  <c r="X776" i="29" s="1"/>
  <c r="W780" i="29"/>
  <c r="X780" i="29" s="1"/>
  <c r="W791" i="29"/>
  <c r="X791" i="29" s="1"/>
  <c r="W839" i="29"/>
  <c r="X839" i="29" s="1"/>
  <c r="W850" i="29"/>
  <c r="X850" i="29" s="1"/>
  <c r="W863" i="29"/>
  <c r="X863" i="29" s="1"/>
  <c r="W787" i="29"/>
  <c r="X787" i="29" s="1"/>
  <c r="W802" i="29"/>
  <c r="X802" i="29" s="1"/>
  <c r="W811" i="29"/>
  <c r="X811" i="29" s="1"/>
  <c r="W833" i="29"/>
  <c r="X833" i="29" s="1"/>
  <c r="W846" i="29"/>
  <c r="X846" i="29" s="1"/>
  <c r="W857" i="29"/>
  <c r="X857" i="29" s="1"/>
  <c r="W684" i="29"/>
  <c r="X684" i="29" s="1"/>
  <c r="W706" i="29"/>
  <c r="X706" i="29" s="1"/>
  <c r="W728" i="29"/>
  <c r="X728" i="29" s="1"/>
  <c r="W743" i="29"/>
  <c r="X743" i="29" s="1"/>
  <c r="W678" i="29"/>
  <c r="X678" i="29" s="1"/>
  <c r="W700" i="29"/>
  <c r="X700" i="29" s="1"/>
  <c r="W724" i="29"/>
  <c r="X724" i="29" s="1"/>
  <c r="W750" i="29"/>
  <c r="X750" i="29" s="1"/>
  <c r="W707" i="29"/>
  <c r="X707" i="29" s="1"/>
  <c r="W718" i="29"/>
  <c r="X718" i="29" s="1"/>
  <c r="W731" i="29"/>
  <c r="X731" i="29" s="1"/>
  <c r="W670" i="29"/>
  <c r="X670" i="29" s="1"/>
  <c r="W725" i="29"/>
  <c r="X725" i="29" s="1"/>
  <c r="W666" i="29"/>
  <c r="X666" i="29" s="1"/>
  <c r="W688" i="29"/>
  <c r="X688" i="29" s="1"/>
  <c r="W703" i="29"/>
  <c r="X703" i="29" s="1"/>
  <c r="W712" i="29"/>
  <c r="X712" i="29" s="1"/>
  <c r="W734" i="29"/>
  <c r="X734" i="29" s="1"/>
  <c r="W747" i="29"/>
  <c r="X747" i="29" s="1"/>
  <c r="W758" i="29"/>
  <c r="X758" i="29" s="1"/>
  <c r="W675" i="29"/>
  <c r="X675" i="29" s="1"/>
  <c r="W686" i="29"/>
  <c r="X686" i="29" s="1"/>
  <c r="W699" i="29"/>
  <c r="X699" i="29" s="1"/>
  <c r="W721" i="29"/>
  <c r="X721" i="29" s="1"/>
  <c r="W745" i="29"/>
  <c r="X745" i="29" s="1"/>
  <c r="W767" i="29"/>
  <c r="X767" i="29" s="1"/>
  <c r="W662" i="29"/>
  <c r="X662" i="29" s="1"/>
  <c r="W708" i="29"/>
  <c r="X708" i="29" s="1"/>
  <c r="W719" i="29"/>
  <c r="X719" i="29" s="1"/>
  <c r="W732" i="29"/>
  <c r="X732" i="29" s="1"/>
  <c r="W754" i="29"/>
  <c r="X754" i="29" s="1"/>
  <c r="W553" i="29"/>
  <c r="X553" i="29" s="1"/>
  <c r="W566" i="29"/>
  <c r="X566" i="29" s="1"/>
  <c r="W612" i="29"/>
  <c r="X612" i="29" s="1"/>
  <c r="W634" i="29"/>
  <c r="X634" i="29" s="1"/>
  <c r="W658" i="29"/>
  <c r="X658" i="29" s="1"/>
  <c r="W569" i="29"/>
  <c r="X569" i="29" s="1"/>
  <c r="W582" i="29"/>
  <c r="X582" i="29" s="1"/>
  <c r="W593" i="29"/>
  <c r="X593" i="29" s="1"/>
  <c r="W641" i="29"/>
  <c r="X641" i="29" s="1"/>
  <c r="W652" i="29"/>
  <c r="X652" i="29" s="1"/>
  <c r="W556" i="29"/>
  <c r="X556" i="29" s="1"/>
  <c r="W602" i="29"/>
  <c r="X602" i="29" s="1"/>
  <c r="W615" i="29"/>
  <c r="X615" i="29" s="1"/>
  <c r="W626" i="29"/>
  <c r="X626" i="29" s="1"/>
  <c r="W576" i="29"/>
  <c r="X576" i="29" s="1"/>
  <c r="W587" i="29"/>
  <c r="X587" i="29" s="1"/>
  <c r="W600" i="29"/>
  <c r="X600" i="29" s="1"/>
  <c r="W622" i="29"/>
  <c r="X622" i="29" s="1"/>
  <c r="W637" i="29"/>
  <c r="X637" i="29" s="1"/>
  <c r="W646" i="29"/>
  <c r="X646" i="29" s="1"/>
  <c r="W552" i="29"/>
  <c r="X552" i="29" s="1"/>
  <c r="W574" i="29"/>
  <c r="X574" i="29" s="1"/>
  <c r="W596" i="29"/>
  <c r="X596" i="29" s="1"/>
  <c r="W611" i="29"/>
  <c r="X611" i="29" s="1"/>
  <c r="W642" i="29"/>
  <c r="X642" i="29" s="1"/>
  <c r="W653" i="29"/>
  <c r="X653" i="29" s="1"/>
  <c r="W644" i="29"/>
  <c r="X644" i="29" s="1"/>
  <c r="W568" i="29"/>
  <c r="X568" i="29" s="1"/>
  <c r="W592" i="29"/>
  <c r="X592" i="29" s="1"/>
  <c r="W618" i="29"/>
  <c r="X618" i="29" s="1"/>
  <c r="W640" i="29"/>
  <c r="X640" i="29" s="1"/>
  <c r="W531" i="29"/>
  <c r="X531" i="29" s="1"/>
  <c r="W446" i="29"/>
  <c r="X446" i="29" s="1"/>
  <c r="W482" i="29"/>
  <c r="X482" i="29" s="1"/>
  <c r="W491" i="29"/>
  <c r="X491" i="29" s="1"/>
  <c r="W500" i="29"/>
  <c r="X500" i="29" s="1"/>
  <c r="W520" i="29"/>
  <c r="X520" i="29" s="1"/>
  <c r="W527" i="29"/>
  <c r="X527" i="29" s="1"/>
  <c r="W538" i="29"/>
  <c r="X538" i="29" s="1"/>
  <c r="W442" i="29"/>
  <c r="X442" i="29" s="1"/>
  <c r="W480" i="29"/>
  <c r="X480" i="29" s="1"/>
  <c r="W498" i="29"/>
  <c r="X498" i="29" s="1"/>
  <c r="W516" i="29"/>
  <c r="X516" i="29" s="1"/>
  <c r="W534" i="29"/>
  <c r="X534" i="29" s="1"/>
  <c r="W449" i="29"/>
  <c r="X449" i="29" s="1"/>
  <c r="W467" i="29"/>
  <c r="X467" i="29" s="1"/>
  <c r="W487" i="29"/>
  <c r="X487" i="29" s="1"/>
  <c r="W494" i="29"/>
  <c r="X494" i="29" s="1"/>
  <c r="W505" i="29"/>
  <c r="X505" i="29" s="1"/>
  <c r="W545" i="29"/>
  <c r="X545" i="29" s="1"/>
  <c r="W447" i="29"/>
  <c r="X447" i="29" s="1"/>
  <c r="W456" i="29"/>
  <c r="X456" i="29" s="1"/>
  <c r="W465" i="29"/>
  <c r="X465" i="29" s="1"/>
  <c r="W483" i="29"/>
  <c r="X483" i="29" s="1"/>
  <c r="W501" i="29"/>
  <c r="X501" i="29" s="1"/>
  <c r="W521" i="29"/>
  <c r="X521" i="29" s="1"/>
  <c r="W541" i="29"/>
  <c r="X541" i="29" s="1"/>
  <c r="W454" i="29"/>
  <c r="X454" i="29" s="1"/>
  <c r="W461" i="29"/>
  <c r="X461" i="29" s="1"/>
  <c r="W472" i="29"/>
  <c r="X472" i="29" s="1"/>
  <c r="W490" i="29"/>
  <c r="X490" i="29" s="1"/>
  <c r="W512" i="29"/>
  <c r="X512" i="29" s="1"/>
  <c r="W548" i="29"/>
  <c r="X548" i="29" s="1"/>
  <c r="W450" i="29"/>
  <c r="X450" i="29" s="1"/>
  <c r="W468" i="29"/>
  <c r="X468" i="29" s="1"/>
  <c r="W488" i="29"/>
  <c r="X488" i="29" s="1"/>
  <c r="W497" i="29"/>
  <c r="X497" i="29" s="1"/>
  <c r="W508" i="29"/>
  <c r="X508" i="29" s="1"/>
  <c r="W546" i="29"/>
  <c r="X546" i="29" s="1"/>
  <c r="W335" i="29"/>
  <c r="X335" i="29" s="1"/>
  <c r="W381" i="29"/>
  <c r="X381" i="29" s="1"/>
  <c r="W383" i="29"/>
  <c r="X383" i="29" s="1"/>
  <c r="W401" i="29"/>
  <c r="X401" i="29" s="1"/>
  <c r="W421" i="29"/>
  <c r="X421" i="29" s="1"/>
  <c r="W428" i="29"/>
  <c r="X428" i="29" s="1"/>
  <c r="W439" i="29"/>
  <c r="X439" i="29" s="1"/>
  <c r="W333" i="29"/>
  <c r="X333" i="29" s="1"/>
  <c r="W355" i="29"/>
  <c r="X355" i="29" s="1"/>
  <c r="W357" i="29"/>
  <c r="X357" i="29" s="1"/>
  <c r="W379" i="29"/>
  <c r="X379" i="29" s="1"/>
  <c r="W399" i="29"/>
  <c r="X399" i="29" s="1"/>
  <c r="W417" i="29"/>
  <c r="X417" i="29" s="1"/>
  <c r="W435" i="29"/>
  <c r="X435" i="29" s="1"/>
  <c r="W351" i="29"/>
  <c r="X351" i="29" s="1"/>
  <c r="W362" i="29"/>
  <c r="X362" i="29" s="1"/>
  <c r="W373" i="29"/>
  <c r="X373" i="29" s="1"/>
  <c r="W415" i="29"/>
  <c r="X415" i="29" s="1"/>
  <c r="W431" i="29"/>
  <c r="X431" i="29" s="1"/>
  <c r="W347" i="29"/>
  <c r="X347" i="29" s="1"/>
  <c r="W369" i="29"/>
  <c r="X369" i="29" s="1"/>
  <c r="W391" i="29"/>
  <c r="X391" i="29" s="1"/>
  <c r="W413" i="29"/>
  <c r="X413" i="29" s="1"/>
  <c r="W332" i="29"/>
  <c r="X332" i="29" s="1"/>
  <c r="W343" i="29"/>
  <c r="X343" i="29" s="1"/>
  <c r="W389" i="29"/>
  <c r="X389" i="29" s="1"/>
  <c r="W398" i="29"/>
  <c r="X398" i="29" s="1"/>
  <c r="W409" i="29"/>
  <c r="X409" i="29" s="1"/>
  <c r="W354" i="29"/>
  <c r="X354" i="29" s="1"/>
  <c r="W365" i="29"/>
  <c r="X365" i="29" s="1"/>
  <c r="W376" i="29"/>
  <c r="X376" i="29" s="1"/>
  <c r="W348" i="29"/>
  <c r="X348" i="29" s="1"/>
  <c r="W350" i="29"/>
  <c r="X350" i="29" s="1"/>
  <c r="W361" i="29"/>
  <c r="X361" i="29" s="1"/>
  <c r="W372" i="29"/>
  <c r="X372" i="29" s="1"/>
  <c r="W414" i="29"/>
  <c r="X414" i="29" s="1"/>
  <c r="W432" i="29"/>
  <c r="X432" i="29" s="1"/>
  <c r="W245" i="29"/>
  <c r="X245" i="29" s="1"/>
  <c r="W234" i="29"/>
  <c r="X234" i="29" s="1"/>
  <c r="W241" i="29"/>
  <c r="X241" i="29" s="1"/>
  <c r="W267" i="29"/>
  <c r="X267" i="29" s="1"/>
  <c r="W274" i="29"/>
  <c r="X274" i="29" s="1"/>
  <c r="W300" i="29"/>
  <c r="X300" i="29" s="1"/>
  <c r="W307" i="29"/>
  <c r="X307" i="29" s="1"/>
  <c r="W327" i="29"/>
  <c r="X327" i="29" s="1"/>
  <c r="W248" i="29"/>
  <c r="X248" i="29" s="1"/>
  <c r="W281" i="29"/>
  <c r="X281" i="29" s="1"/>
  <c r="W314" i="29"/>
  <c r="X314" i="29" s="1"/>
  <c r="W328" i="29"/>
  <c r="X328" i="29" s="1"/>
  <c r="W222" i="29"/>
  <c r="X222" i="29" s="1"/>
  <c r="W255" i="29"/>
  <c r="X255" i="29" s="1"/>
  <c r="W288" i="29"/>
  <c r="X288" i="29" s="1"/>
  <c r="W317" i="29"/>
  <c r="X317" i="29" s="1"/>
  <c r="W238" i="29"/>
  <c r="X238" i="29" s="1"/>
  <c r="W247" i="29"/>
  <c r="X247" i="29" s="1"/>
  <c r="W271" i="29"/>
  <c r="X271" i="29" s="1"/>
  <c r="W280" i="29"/>
  <c r="X280" i="29" s="1"/>
  <c r="W304" i="29"/>
  <c r="X304" i="29" s="1"/>
  <c r="W313" i="29"/>
  <c r="X313" i="29" s="1"/>
  <c r="W278" i="29"/>
  <c r="X278" i="29" s="1"/>
  <c r="W311" i="29"/>
  <c r="X311" i="29" s="1"/>
  <c r="W322" i="29"/>
  <c r="X322" i="29" s="1"/>
  <c r="W215" i="29"/>
  <c r="X215" i="29" s="1"/>
  <c r="W202" i="29"/>
  <c r="X202" i="29" s="1"/>
  <c r="W205" i="29"/>
  <c r="X205" i="29" s="1"/>
  <c r="W204" i="29"/>
  <c r="X204" i="29" s="1"/>
  <c r="W195" i="29"/>
  <c r="X195" i="29" s="1"/>
  <c r="W186" i="29"/>
  <c r="X186" i="29" s="1"/>
  <c r="W180" i="29"/>
  <c r="X180" i="29" s="1"/>
  <c r="W178" i="29"/>
  <c r="X178" i="29" s="1"/>
  <c r="W161" i="29"/>
  <c r="X161" i="29" s="1"/>
  <c r="W159" i="29"/>
  <c r="X159" i="29" s="1"/>
  <c r="W173" i="29"/>
  <c r="X173" i="29" s="1"/>
  <c r="W153" i="29"/>
  <c r="X153" i="29" s="1"/>
  <c r="W164" i="29"/>
  <c r="X164" i="29" s="1"/>
  <c r="W171" i="29"/>
  <c r="X171" i="29" s="1"/>
  <c r="W149" i="29"/>
  <c r="X149" i="29" s="1"/>
  <c r="W156" i="29"/>
  <c r="X156" i="29" s="1"/>
  <c r="W137" i="29"/>
  <c r="X137" i="29" s="1"/>
  <c r="W138" i="29"/>
  <c r="X138" i="29" s="1"/>
  <c r="W136" i="29"/>
  <c r="X136" i="29" s="1"/>
  <c r="W123" i="29"/>
  <c r="X123" i="29" s="1"/>
  <c r="W126" i="29"/>
  <c r="X126" i="29" s="1"/>
  <c r="W119" i="29"/>
  <c r="X119" i="29" s="1"/>
  <c r="W113" i="29"/>
  <c r="X113" i="29" s="1"/>
  <c r="W3773" i="29"/>
  <c r="X3773" i="29" s="1"/>
  <c r="W3790" i="29"/>
  <c r="X3790" i="29" s="1"/>
  <c r="W3792" i="29"/>
  <c r="X3792" i="29" s="1"/>
  <c r="W3872" i="29"/>
  <c r="X3872" i="29" s="1"/>
  <c r="W3876" i="29"/>
  <c r="X3876" i="29" s="1"/>
  <c r="W3878" i="29"/>
  <c r="X3878" i="29" s="1"/>
  <c r="W3898" i="29"/>
  <c r="X3898" i="29" s="1"/>
  <c r="W3941" i="29"/>
  <c r="X3941" i="29" s="1"/>
  <c r="W4033" i="29"/>
  <c r="X4033" i="29" s="1"/>
  <c r="W3839" i="29"/>
  <c r="X3839" i="29" s="1"/>
  <c r="W3935" i="29"/>
  <c r="X3935" i="29" s="1"/>
  <c r="W3964" i="29"/>
  <c r="X3964" i="29" s="1"/>
  <c r="W4010" i="29"/>
  <c r="X4010" i="29" s="1"/>
  <c r="W3810" i="29"/>
  <c r="X3810" i="29" s="1"/>
  <c r="W3812" i="29"/>
  <c r="X3812" i="29" s="1"/>
  <c r="W3977" i="29"/>
  <c r="X3977" i="29" s="1"/>
  <c r="W4004" i="29"/>
  <c r="X4004" i="29" s="1"/>
  <c r="W3764" i="29"/>
  <c r="X3764" i="29" s="1"/>
  <c r="W3766" i="29"/>
  <c r="X3766" i="29" s="1"/>
  <c r="W3740" i="29"/>
  <c r="X3740" i="29" s="1"/>
  <c r="W3751" i="29"/>
  <c r="X3751" i="29" s="1"/>
  <c r="W3753" i="29"/>
  <c r="X3753" i="29" s="1"/>
  <c r="W3770" i="29"/>
  <c r="X3770" i="29" s="1"/>
  <c r="W3830" i="29"/>
  <c r="X3830" i="29" s="1"/>
  <c r="W3832" i="29"/>
  <c r="X3832" i="29" s="1"/>
  <c r="W3869" i="29"/>
  <c r="X3869" i="29" s="1"/>
  <c r="W3883" i="29"/>
  <c r="X3883" i="29" s="1"/>
  <c r="W3885" i="29"/>
  <c r="X3885" i="29" s="1"/>
  <c r="W3891" i="29"/>
  <c r="X3891" i="29" s="1"/>
  <c r="W3901" i="29"/>
  <c r="X3901" i="29" s="1"/>
  <c r="W3967" i="29"/>
  <c r="X3967" i="29" s="1"/>
  <c r="W3990" i="29"/>
  <c r="X3990" i="29" s="1"/>
  <c r="W4017" i="29"/>
  <c r="X4017" i="29" s="1"/>
  <c r="W3797" i="29"/>
  <c r="X3797" i="29" s="1"/>
  <c r="W3799" i="29"/>
  <c r="X3799" i="29" s="1"/>
  <c r="W3836" i="29"/>
  <c r="X3836" i="29" s="1"/>
  <c r="W3875" i="29"/>
  <c r="X3875" i="29" s="1"/>
  <c r="W3784" i="29"/>
  <c r="X3784" i="29" s="1"/>
  <c r="W3786" i="29"/>
  <c r="X3786" i="29" s="1"/>
  <c r="W3817" i="29"/>
  <c r="X3817" i="29" s="1"/>
  <c r="W3819" i="29"/>
  <c r="X3819" i="29" s="1"/>
  <c r="W3856" i="29"/>
  <c r="X3856" i="29" s="1"/>
  <c r="W3858" i="29"/>
  <c r="X3858" i="29" s="1"/>
  <c r="W3951" i="29"/>
  <c r="X3951" i="29" s="1"/>
  <c r="W3974" i="29"/>
  <c r="X3974" i="29" s="1"/>
  <c r="W4132" i="29"/>
  <c r="X4132" i="29" s="1"/>
  <c r="W4394" i="29"/>
  <c r="X4394" i="29" s="1"/>
  <c r="W4506" i="29"/>
  <c r="X4506" i="29" s="1"/>
  <c r="W4171" i="29"/>
  <c r="X4171" i="29" s="1"/>
  <c r="W4210" i="29"/>
  <c r="X4210" i="29" s="1"/>
  <c r="W4328" i="29"/>
  <c r="X4328" i="29" s="1"/>
  <c r="W4361" i="29"/>
  <c r="X4361" i="29" s="1"/>
  <c r="W4302" i="29"/>
  <c r="X4302" i="29" s="1"/>
  <c r="W4138" i="29"/>
  <c r="X4138" i="29" s="1"/>
  <c r="W4164" i="29"/>
  <c r="X4164" i="29" s="1"/>
  <c r="W4407" i="29"/>
  <c r="X4407" i="29" s="1"/>
  <c r="W4434" i="29"/>
  <c r="X4434" i="29" s="1"/>
  <c r="W4546" i="29"/>
  <c r="X4546" i="29" s="1"/>
  <c r="W4191" i="29"/>
  <c r="X4191" i="29" s="1"/>
  <c r="W4335" i="29"/>
  <c r="X4335" i="29" s="1"/>
  <c r="W4368" i="29"/>
  <c r="X4368" i="29" s="1"/>
  <c r="W4513" i="29"/>
  <c r="X4513" i="29" s="1"/>
  <c r="W4209" i="29"/>
  <c r="X4209" i="29" s="1"/>
  <c r="W4217" i="29"/>
  <c r="X4217" i="29" s="1"/>
  <c r="W4243" i="29"/>
  <c r="X4243" i="29" s="1"/>
  <c r="W4315" i="29"/>
  <c r="X4315" i="29" s="1"/>
  <c r="W4480" i="29"/>
  <c r="X4480" i="29" s="1"/>
  <c r="W4139" i="29"/>
  <c r="X4139" i="29" s="1"/>
  <c r="W4165" i="29"/>
  <c r="X4165" i="29" s="1"/>
  <c r="W4249" i="29"/>
  <c r="X4249" i="29" s="1"/>
  <c r="W4275" i="29"/>
  <c r="X4275" i="29" s="1"/>
  <c r="W4283" i="29"/>
  <c r="X4283" i="29" s="1"/>
  <c r="W4295" i="29"/>
  <c r="X4295" i="29" s="1"/>
  <c r="W4414" i="29"/>
  <c r="X4414" i="29" s="1"/>
  <c r="W4460" i="29"/>
  <c r="X4460" i="29" s="1"/>
  <c r="W4539" i="29"/>
  <c r="X4539" i="29" s="1"/>
  <c r="W4672" i="29"/>
  <c r="X4672" i="29" s="1"/>
  <c r="W4723" i="29"/>
  <c r="X4723" i="29" s="1"/>
  <c r="W4778" i="29"/>
  <c r="X4778" i="29" s="1"/>
  <c r="W4819" i="29"/>
  <c r="X4819" i="29" s="1"/>
  <c r="W4620" i="29"/>
  <c r="X4620" i="29" s="1"/>
  <c r="W4624" i="29"/>
  <c r="X4624" i="29" s="1"/>
  <c r="W4664" i="29"/>
  <c r="X4664" i="29" s="1"/>
  <c r="W4719" i="29"/>
  <c r="X4719" i="29" s="1"/>
  <c r="W4815" i="29"/>
  <c r="X4815" i="29" s="1"/>
  <c r="W4738" i="29"/>
  <c r="X4738" i="29" s="1"/>
  <c r="W4789" i="29"/>
  <c r="X4789" i="29" s="1"/>
  <c r="W4730" i="29"/>
  <c r="X4730" i="29" s="1"/>
  <c r="W4613" i="29"/>
  <c r="X4613" i="29" s="1"/>
  <c r="W4679" i="29"/>
  <c r="X4679" i="29" s="1"/>
  <c r="W4771" i="29"/>
  <c r="X4771" i="29" s="1"/>
  <c r="W4822" i="29"/>
  <c r="X4822" i="29" s="1"/>
  <c r="W4845" i="29"/>
  <c r="X4845" i="29" s="1"/>
  <c r="W4617" i="29"/>
  <c r="X4617" i="29" s="1"/>
  <c r="W4631" i="29"/>
  <c r="X4631" i="29" s="1"/>
  <c r="W4637" i="29"/>
  <c r="X4637" i="29" s="1"/>
  <c r="W4639" i="29"/>
  <c r="X4639" i="29" s="1"/>
  <c r="W4712" i="29"/>
  <c r="X4712" i="29" s="1"/>
  <c r="W4804" i="29"/>
  <c r="X4804" i="29" s="1"/>
  <c r="W5110" i="29"/>
  <c r="X5110" i="29" s="1"/>
  <c r="W5163" i="29"/>
  <c r="X5163" i="29" s="1"/>
  <c r="W5173" i="29"/>
  <c r="X5173" i="29" s="1"/>
  <c r="W5189" i="29"/>
  <c r="X5189" i="29" s="1"/>
  <c r="W5084" i="29"/>
  <c r="X5084" i="29" s="1"/>
  <c r="W5130" i="29"/>
  <c r="X5130" i="29" s="1"/>
  <c r="W5090" i="29"/>
  <c r="X5090" i="29" s="1"/>
  <c r="W5156" i="29"/>
  <c r="X5156" i="29" s="1"/>
  <c r="W5166" i="29"/>
  <c r="X5166" i="29" s="1"/>
  <c r="W5170" i="29"/>
  <c r="X5170" i="29" s="1"/>
  <c r="W5100" i="29"/>
  <c r="X5100" i="29" s="1"/>
  <c r="W5123" i="29"/>
  <c r="X5123" i="29" s="1"/>
  <c r="W5137" i="29"/>
  <c r="X5137" i="29" s="1"/>
  <c r="W2363" i="29"/>
  <c r="X2363" i="29" s="1"/>
  <c r="W2399" i="29"/>
  <c r="X2399" i="29" s="1"/>
  <c r="W2373" i="29"/>
  <c r="X2373" i="29" s="1"/>
  <c r="W2344" i="29"/>
  <c r="X2344" i="29" s="1"/>
  <c r="W2311" i="29"/>
  <c r="X2311" i="29" s="1"/>
  <c r="W2362" i="29"/>
  <c r="X2362" i="29" s="1"/>
  <c r="W2402" i="29"/>
  <c r="X2402" i="29" s="1"/>
  <c r="W2304" i="29"/>
  <c r="X2304" i="29" s="1"/>
  <c r="W2326" i="29"/>
  <c r="X2326" i="29" s="1"/>
  <c r="W2355" i="29"/>
  <c r="X2355" i="29" s="1"/>
  <c r="W2370" i="29"/>
  <c r="X2370" i="29" s="1"/>
  <c r="W2439" i="29"/>
  <c r="X2439" i="29" s="1"/>
  <c r="W2286" i="29"/>
  <c r="X2286" i="29" s="1"/>
  <c r="W2334" i="29"/>
  <c r="X2334" i="29" s="1"/>
  <c r="W2380" i="29"/>
  <c r="X2380" i="29" s="1"/>
  <c r="W2395" i="29"/>
  <c r="X2395" i="29" s="1"/>
  <c r="W2472" i="29"/>
  <c r="X2472" i="29" s="1"/>
  <c r="W2696" i="29"/>
  <c r="X2696" i="29" s="1"/>
  <c r="W2898" i="29"/>
  <c r="X2898" i="29" s="1"/>
  <c r="W3008" i="29"/>
  <c r="X3008" i="29" s="1"/>
  <c r="W3037" i="29"/>
  <c r="X3037" i="29" s="1"/>
  <c r="W2722" i="29"/>
  <c r="X2722" i="29" s="1"/>
  <c r="W2832" i="29"/>
  <c r="X2832" i="29" s="1"/>
  <c r="W3004" i="29"/>
  <c r="X3004" i="29" s="1"/>
  <c r="W2938" i="29"/>
  <c r="X2938" i="29" s="1"/>
  <c r="W3063" i="29"/>
  <c r="X3063" i="29" s="1"/>
  <c r="W2689" i="29"/>
  <c r="X2689" i="29" s="1"/>
  <c r="W2740" i="29"/>
  <c r="X2740" i="29" s="1"/>
  <c r="W2905" i="29"/>
  <c r="X2905" i="29" s="1"/>
  <c r="W3015" i="29"/>
  <c r="X3015" i="29" s="1"/>
  <c r="W2872" i="29"/>
  <c r="X2872" i="29" s="1"/>
  <c r="W2982" i="29"/>
  <c r="X2982" i="29" s="1"/>
  <c r="W2839" i="29"/>
  <c r="X2839" i="29" s="1"/>
  <c r="W2729" i="29"/>
  <c r="X2729" i="29" s="1"/>
  <c r="W2773" i="29"/>
  <c r="X2773" i="29" s="1"/>
  <c r="W2997" i="29"/>
  <c r="X2997" i="29" s="1"/>
  <c r="W3132" i="29"/>
  <c r="X3132" i="29" s="1"/>
  <c r="W3179" i="29"/>
  <c r="X3179" i="29" s="1"/>
  <c r="W3271" i="29"/>
  <c r="X3271" i="29" s="1"/>
  <c r="W3297" i="29"/>
  <c r="X3297" i="29" s="1"/>
  <c r="W3495" i="29"/>
  <c r="X3495" i="29" s="1"/>
  <c r="W3096" i="29"/>
  <c r="X3096" i="29" s="1"/>
  <c r="W3115" i="29"/>
  <c r="X3115" i="29" s="1"/>
  <c r="W3443" i="29"/>
  <c r="X3443" i="29" s="1"/>
  <c r="W3469" i="29"/>
  <c r="X3469" i="29" s="1"/>
  <c r="W3641" i="29"/>
  <c r="X3641" i="29" s="1"/>
  <c r="W3139" i="29"/>
  <c r="X3139" i="29" s="1"/>
  <c r="W3214" i="29"/>
  <c r="X3214" i="29" s="1"/>
  <c r="W3363" i="29"/>
  <c r="X3363" i="29" s="1"/>
  <c r="W3099" i="29"/>
  <c r="X3099" i="29" s="1"/>
  <c r="W3240" i="29"/>
  <c r="X3240" i="29" s="1"/>
  <c r="W3346" i="29"/>
  <c r="X3346" i="29" s="1"/>
  <c r="W3396" i="29"/>
  <c r="X3396" i="29" s="1"/>
  <c r="W3594" i="29"/>
  <c r="X3594" i="29" s="1"/>
  <c r="W3264" i="29"/>
  <c r="X3264" i="29" s="1"/>
  <c r="W3429" i="29"/>
  <c r="X3429" i="29" s="1"/>
  <c r="W3198" i="29"/>
  <c r="X3198" i="29" s="1"/>
  <c r="W3245" i="29"/>
  <c r="X3245" i="29" s="1"/>
  <c r="W3462" i="29"/>
  <c r="X3462" i="29" s="1"/>
  <c r="W1415" i="29"/>
  <c r="X1415" i="29" s="1"/>
  <c r="W1319" i="29"/>
  <c r="X1319" i="29" s="1"/>
  <c r="W1369" i="29"/>
  <c r="X1369" i="29" s="1"/>
  <c r="W1329" i="29"/>
  <c r="X1329" i="29" s="1"/>
  <c r="W1356" i="29"/>
  <c r="X1356" i="29" s="1"/>
  <c r="W1455" i="29"/>
  <c r="X1455" i="29" s="1"/>
  <c r="W1395" i="29"/>
  <c r="X1395" i="29" s="1"/>
  <c r="W1422" i="29"/>
  <c r="X1422" i="29" s="1"/>
  <c r="V109" i="29" l="1"/>
  <c r="U109" i="29"/>
  <c r="V108" i="29"/>
  <c r="U108" i="29"/>
  <c r="V107" i="29"/>
  <c r="U107" i="29"/>
  <c r="V106" i="29"/>
  <c r="U106" i="29"/>
  <c r="V105" i="29"/>
  <c r="U105" i="29"/>
  <c r="V104" i="29"/>
  <c r="U104" i="29"/>
  <c r="V103" i="29"/>
  <c r="U103" i="29"/>
  <c r="V102" i="29"/>
  <c r="U102" i="29"/>
  <c r="V101" i="29"/>
  <c r="U101" i="29"/>
  <c r="V98" i="29"/>
  <c r="U98" i="29"/>
  <c r="V97" i="29"/>
  <c r="U97" i="29"/>
  <c r="V96" i="29"/>
  <c r="U96" i="29"/>
  <c r="V95" i="29"/>
  <c r="U95" i="29"/>
  <c r="V94" i="29"/>
  <c r="U94" i="29"/>
  <c r="V93" i="29"/>
  <c r="U93" i="29"/>
  <c r="V92" i="29"/>
  <c r="U92" i="29"/>
  <c r="V91" i="29"/>
  <c r="U91" i="29"/>
  <c r="V90" i="29"/>
  <c r="U90" i="29"/>
  <c r="V87" i="29"/>
  <c r="U87" i="29"/>
  <c r="V86" i="29"/>
  <c r="U86" i="29"/>
  <c r="V85" i="29"/>
  <c r="U85" i="29"/>
  <c r="V84" i="29"/>
  <c r="U84" i="29"/>
  <c r="V83" i="29"/>
  <c r="U83" i="29"/>
  <c r="V82" i="29"/>
  <c r="U82" i="29"/>
  <c r="V81" i="29"/>
  <c r="U81" i="29"/>
  <c r="V80" i="29"/>
  <c r="U80" i="29"/>
  <c r="V79" i="29"/>
  <c r="U79" i="29"/>
  <c r="V76" i="29"/>
  <c r="U76" i="29"/>
  <c r="V75" i="29"/>
  <c r="U75" i="29"/>
  <c r="V74" i="29"/>
  <c r="U74" i="29"/>
  <c r="V73" i="29"/>
  <c r="U73" i="29"/>
  <c r="V72" i="29"/>
  <c r="U72" i="29"/>
  <c r="V71" i="29"/>
  <c r="U71" i="29"/>
  <c r="V70" i="29"/>
  <c r="U70" i="29"/>
  <c r="V69" i="29"/>
  <c r="U69" i="29"/>
  <c r="V68" i="29"/>
  <c r="U68" i="29"/>
  <c r="V65" i="29"/>
  <c r="U65" i="29"/>
  <c r="V64" i="29"/>
  <c r="U64" i="29"/>
  <c r="V63" i="29"/>
  <c r="U63" i="29"/>
  <c r="V62" i="29"/>
  <c r="U62" i="29"/>
  <c r="V61" i="29"/>
  <c r="U61" i="29"/>
  <c r="V60" i="29"/>
  <c r="U60" i="29"/>
  <c r="V59" i="29"/>
  <c r="U59" i="29"/>
  <c r="V58" i="29"/>
  <c r="U58" i="29"/>
  <c r="V57" i="29"/>
  <c r="U57" i="29"/>
  <c r="V54" i="29"/>
  <c r="U54" i="29"/>
  <c r="V53" i="29"/>
  <c r="U53" i="29"/>
  <c r="V52" i="29"/>
  <c r="U52" i="29"/>
  <c r="V51" i="29"/>
  <c r="U51" i="29"/>
  <c r="V50" i="29"/>
  <c r="U50" i="29"/>
  <c r="V49" i="29"/>
  <c r="U49" i="29"/>
  <c r="V48" i="29"/>
  <c r="U48" i="29"/>
  <c r="V47" i="29"/>
  <c r="U47" i="29"/>
  <c r="V46" i="29"/>
  <c r="U46" i="29"/>
  <c r="V43" i="29"/>
  <c r="U43" i="29"/>
  <c r="V42" i="29"/>
  <c r="U42" i="29"/>
  <c r="V41" i="29"/>
  <c r="U41" i="29"/>
  <c r="V40" i="29"/>
  <c r="U40" i="29"/>
  <c r="V39" i="29"/>
  <c r="U39" i="29"/>
  <c r="V38" i="29"/>
  <c r="U38" i="29"/>
  <c r="V37" i="29"/>
  <c r="U37" i="29"/>
  <c r="V36" i="29"/>
  <c r="U36" i="29"/>
  <c r="V35" i="29"/>
  <c r="U35" i="29"/>
  <c r="V32" i="29"/>
  <c r="U32" i="29"/>
  <c r="V31" i="29"/>
  <c r="U31" i="29"/>
  <c r="V30" i="29"/>
  <c r="U30" i="29"/>
  <c r="V29" i="29"/>
  <c r="U29" i="29"/>
  <c r="V28" i="29"/>
  <c r="U28" i="29"/>
  <c r="V27" i="29"/>
  <c r="U27" i="29"/>
  <c r="V26" i="29"/>
  <c r="U26" i="29"/>
  <c r="V25" i="29"/>
  <c r="U25" i="29"/>
  <c r="V24" i="29"/>
  <c r="U24" i="29"/>
  <c r="V21" i="29"/>
  <c r="U21" i="29"/>
  <c r="V20" i="29"/>
  <c r="U20" i="29"/>
  <c r="V19" i="29"/>
  <c r="U19" i="29"/>
  <c r="V18" i="29"/>
  <c r="U18" i="29"/>
  <c r="V17" i="29"/>
  <c r="U17" i="29"/>
  <c r="V16" i="29"/>
  <c r="U16" i="29"/>
  <c r="V15" i="29"/>
  <c r="U15" i="29"/>
  <c r="V14" i="29"/>
  <c r="U14" i="29"/>
  <c r="V13" i="29"/>
  <c r="U13" i="29"/>
  <c r="V4" i="29"/>
  <c r="U4" i="29"/>
  <c r="V10" i="29"/>
  <c r="U10" i="29"/>
  <c r="V9" i="29"/>
  <c r="U9" i="29"/>
  <c r="V3" i="29"/>
  <c r="U3" i="29"/>
  <c r="V7" i="29"/>
  <c r="U7" i="29"/>
  <c r="V6" i="29"/>
  <c r="U6" i="29"/>
  <c r="U5" i="29"/>
  <c r="V5" i="29"/>
  <c r="U8" i="29"/>
  <c r="V8" i="29"/>
  <c r="V2" i="29"/>
  <c r="U2" i="29"/>
  <c r="W21" i="29" l="1"/>
  <c r="X21" i="29" s="1"/>
  <c r="W37" i="29"/>
  <c r="X37" i="29" s="1"/>
  <c r="W43" i="29"/>
  <c r="X43" i="29" s="1"/>
  <c r="W51" i="29"/>
  <c r="X51" i="29" s="1"/>
  <c r="W25" i="29"/>
  <c r="X25" i="29" s="1"/>
  <c r="W19" i="29"/>
  <c r="X19" i="29" s="1"/>
  <c r="W57" i="29"/>
  <c r="X57" i="29" s="1"/>
  <c r="W63" i="29"/>
  <c r="X63" i="29" s="1"/>
  <c r="W14" i="29"/>
  <c r="X14" i="29" s="1"/>
  <c r="W20" i="29"/>
  <c r="X20" i="29" s="1"/>
  <c r="W28" i="29"/>
  <c r="X28" i="29" s="1"/>
  <c r="W36" i="29"/>
  <c r="X36" i="29" s="1"/>
  <c r="W42" i="29"/>
  <c r="X42" i="29" s="1"/>
  <c r="W50" i="29"/>
  <c r="X50" i="29" s="1"/>
  <c r="W24" i="29"/>
  <c r="X24" i="29" s="1"/>
  <c r="W60" i="29"/>
  <c r="X60" i="29" s="1"/>
  <c r="W79" i="29"/>
  <c r="X79" i="29" s="1"/>
  <c r="W85" i="29"/>
  <c r="X85" i="29" s="1"/>
  <c r="W82" i="29"/>
  <c r="X82" i="29" s="1"/>
  <c r="W31" i="29"/>
  <c r="X31" i="29" s="1"/>
  <c r="W39" i="29"/>
  <c r="X39" i="29" s="1"/>
  <c r="W47" i="29"/>
  <c r="X47" i="29" s="1"/>
  <c r="W53" i="29"/>
  <c r="X53" i="29" s="1"/>
  <c r="W61" i="29"/>
  <c r="X61" i="29" s="1"/>
  <c r="W26" i="29"/>
  <c r="X26" i="29" s="1"/>
  <c r="W40" i="29"/>
  <c r="X40" i="29" s="1"/>
  <c r="W48" i="29"/>
  <c r="X48" i="29" s="1"/>
  <c r="W54" i="29"/>
  <c r="X54" i="29" s="1"/>
  <c r="W62" i="29"/>
  <c r="X62" i="29" s="1"/>
  <c r="W41" i="29"/>
  <c r="X41" i="29" s="1"/>
  <c r="W70" i="29"/>
  <c r="X70" i="29" s="1"/>
  <c r="W76" i="29"/>
  <c r="X76" i="29" s="1"/>
  <c r="W84" i="29"/>
  <c r="X84" i="29" s="1"/>
  <c r="W92" i="29"/>
  <c r="X92" i="29" s="1"/>
  <c r="W98" i="29"/>
  <c r="X98" i="29" s="1"/>
  <c r="W106" i="29"/>
  <c r="X106" i="29" s="1"/>
  <c r="W58" i="29"/>
  <c r="X58" i="29" s="1"/>
  <c r="W71" i="29"/>
  <c r="X71" i="29" s="1"/>
  <c r="W93" i="29"/>
  <c r="X93" i="29" s="1"/>
  <c r="W101" i="29"/>
  <c r="X101" i="29" s="1"/>
  <c r="W107" i="29"/>
  <c r="X107" i="29" s="1"/>
  <c r="W59" i="29"/>
  <c r="X59" i="29" s="1"/>
  <c r="W64" i="29"/>
  <c r="X64" i="29" s="1"/>
  <c r="W72" i="29"/>
  <c r="X72" i="29" s="1"/>
  <c r="W80" i="29"/>
  <c r="X80" i="29" s="1"/>
  <c r="W86" i="29"/>
  <c r="X86" i="29" s="1"/>
  <c r="W94" i="29"/>
  <c r="X94" i="29" s="1"/>
  <c r="W102" i="29"/>
  <c r="X102" i="29" s="1"/>
  <c r="W108" i="29"/>
  <c r="X108" i="29" s="1"/>
  <c r="W38" i="29"/>
  <c r="X38" i="29" s="1"/>
  <c r="W46" i="29"/>
  <c r="X46" i="29" s="1"/>
  <c r="W52" i="29"/>
  <c r="X52" i="29" s="1"/>
  <c r="W65" i="29"/>
  <c r="X65" i="29" s="1"/>
  <c r="W73" i="29"/>
  <c r="X73" i="29" s="1"/>
  <c r="W81" i="29"/>
  <c r="X81" i="29" s="1"/>
  <c r="W87" i="29"/>
  <c r="X87" i="29" s="1"/>
  <c r="W95" i="29"/>
  <c r="X95" i="29" s="1"/>
  <c r="W103" i="29"/>
  <c r="X103" i="29" s="1"/>
  <c r="W109" i="29"/>
  <c r="X109" i="29" s="1"/>
  <c r="W68" i="29"/>
  <c r="X68" i="29" s="1"/>
  <c r="W74" i="29"/>
  <c r="X74" i="29" s="1"/>
  <c r="W90" i="29"/>
  <c r="X90" i="29" s="1"/>
  <c r="W96" i="29"/>
  <c r="X96" i="29" s="1"/>
  <c r="W104" i="29"/>
  <c r="X104" i="29" s="1"/>
  <c r="W69" i="29"/>
  <c r="X69" i="29" s="1"/>
  <c r="W75" i="29"/>
  <c r="X75" i="29" s="1"/>
  <c r="W83" i="29"/>
  <c r="X83" i="29" s="1"/>
  <c r="W91" i="29"/>
  <c r="X91" i="29" s="1"/>
  <c r="W97" i="29"/>
  <c r="X97" i="29" s="1"/>
  <c r="W105" i="29"/>
  <c r="X105" i="29" s="1"/>
  <c r="W13" i="29"/>
  <c r="X13" i="29" s="1"/>
  <c r="W18" i="29"/>
  <c r="X18" i="29" s="1"/>
  <c r="W15" i="29"/>
  <c r="X15" i="29" s="1"/>
  <c r="W16" i="29"/>
  <c r="X16" i="29" s="1"/>
  <c r="W17" i="29"/>
  <c r="X17" i="29" s="1"/>
  <c r="W32" i="29"/>
  <c r="X32" i="29" s="1"/>
  <c r="W27" i="29"/>
  <c r="X27" i="29" s="1"/>
  <c r="W49" i="29"/>
  <c r="X49" i="29" s="1"/>
  <c r="W35" i="29"/>
  <c r="X35" i="29" s="1"/>
  <c r="W29" i="29"/>
  <c r="X29" i="29" s="1"/>
  <c r="W30" i="29"/>
  <c r="X30" i="29" s="1"/>
  <c r="W8" i="29"/>
  <c r="X8" i="29" s="1"/>
  <c r="W4" i="29"/>
  <c r="X4" i="29" s="1"/>
  <c r="W10" i="29"/>
  <c r="X10" i="29" s="1"/>
  <c r="W9" i="29"/>
  <c r="X9" i="29" s="1"/>
  <c r="W3" i="29"/>
  <c r="X3" i="29" s="1"/>
  <c r="W7" i="29"/>
  <c r="X7" i="29" s="1"/>
  <c r="W6" i="29"/>
  <c r="X6" i="29" s="1"/>
  <c r="W5" i="29"/>
  <c r="X5" i="29" s="1"/>
  <c r="W2" i="29"/>
  <c r="X2" i="29" s="1"/>
  <c r="R24" i="29" l="1"/>
  <c r="Q24" i="29"/>
  <c r="R13" i="29"/>
  <c r="Q13" i="29"/>
  <c r="T109" i="29" l="1"/>
  <c r="R109" i="29"/>
  <c r="Q109" i="29"/>
  <c r="T108" i="29"/>
  <c r="R108" i="29"/>
  <c r="Q108" i="29"/>
  <c r="T107" i="29"/>
  <c r="R107" i="29"/>
  <c r="Q107" i="29"/>
  <c r="T106" i="29"/>
  <c r="R106" i="29"/>
  <c r="Q106" i="29"/>
  <c r="T105" i="29"/>
  <c r="R105" i="29"/>
  <c r="Q105" i="29"/>
  <c r="T104" i="29"/>
  <c r="R104" i="29"/>
  <c r="Q104" i="29"/>
  <c r="T103" i="29"/>
  <c r="R103" i="29"/>
  <c r="Q103" i="29"/>
  <c r="T102" i="29"/>
  <c r="R102" i="29"/>
  <c r="Q102" i="29"/>
  <c r="T101" i="29"/>
  <c r="R101" i="29"/>
  <c r="Q101" i="29"/>
  <c r="T98" i="29"/>
  <c r="R98" i="29"/>
  <c r="Q98" i="29"/>
  <c r="T97" i="29"/>
  <c r="R97" i="29"/>
  <c r="Q97" i="29"/>
  <c r="T96" i="29"/>
  <c r="R96" i="29"/>
  <c r="Q96" i="29"/>
  <c r="T95" i="29"/>
  <c r="R95" i="29"/>
  <c r="Q95" i="29"/>
  <c r="T94" i="29"/>
  <c r="R94" i="29"/>
  <c r="Q94" i="29"/>
  <c r="T93" i="29"/>
  <c r="R93" i="29"/>
  <c r="Q93" i="29"/>
  <c r="T92" i="29"/>
  <c r="R92" i="29"/>
  <c r="Q92" i="29"/>
  <c r="T91" i="29"/>
  <c r="R91" i="29"/>
  <c r="Q91" i="29"/>
  <c r="T90" i="29"/>
  <c r="R90" i="29"/>
  <c r="Q90" i="29"/>
  <c r="T87" i="29"/>
  <c r="R87" i="29"/>
  <c r="Q87" i="29"/>
  <c r="T86" i="29"/>
  <c r="R86" i="29"/>
  <c r="Q86" i="29"/>
  <c r="T85" i="29"/>
  <c r="R85" i="29"/>
  <c r="Q85" i="29"/>
  <c r="T84" i="29"/>
  <c r="R84" i="29"/>
  <c r="Q84" i="29"/>
  <c r="T83" i="29"/>
  <c r="R83" i="29"/>
  <c r="Q83" i="29"/>
  <c r="T82" i="29"/>
  <c r="R82" i="29"/>
  <c r="Q82" i="29"/>
  <c r="T81" i="29"/>
  <c r="R81" i="29"/>
  <c r="Q81" i="29"/>
  <c r="T80" i="29"/>
  <c r="R80" i="29"/>
  <c r="Q80" i="29"/>
  <c r="T79" i="29"/>
  <c r="R79" i="29"/>
  <c r="Q79" i="29"/>
  <c r="T76" i="29"/>
  <c r="R76" i="29"/>
  <c r="Q76" i="29"/>
  <c r="T75" i="29"/>
  <c r="R75" i="29"/>
  <c r="Q75" i="29"/>
  <c r="T74" i="29"/>
  <c r="R74" i="29"/>
  <c r="Q74" i="29"/>
  <c r="T73" i="29"/>
  <c r="R73" i="29"/>
  <c r="Q73" i="29"/>
  <c r="T72" i="29"/>
  <c r="R72" i="29"/>
  <c r="Q72" i="29"/>
  <c r="T71" i="29"/>
  <c r="R71" i="29"/>
  <c r="Q71" i="29"/>
  <c r="T70" i="29"/>
  <c r="R70" i="29"/>
  <c r="Q70" i="29"/>
  <c r="T69" i="29"/>
  <c r="R69" i="29"/>
  <c r="Q69" i="29"/>
  <c r="T68" i="29"/>
  <c r="R68" i="29"/>
  <c r="Q68" i="29"/>
  <c r="T65" i="29"/>
  <c r="R65" i="29"/>
  <c r="Q65" i="29"/>
  <c r="T64" i="29"/>
  <c r="R64" i="29"/>
  <c r="Q64" i="29"/>
  <c r="T63" i="29"/>
  <c r="R63" i="29"/>
  <c r="Q63" i="29"/>
  <c r="T62" i="29"/>
  <c r="R62" i="29"/>
  <c r="Q62" i="29"/>
  <c r="T61" i="29"/>
  <c r="R61" i="29"/>
  <c r="Q61" i="29"/>
  <c r="T60" i="29"/>
  <c r="R60" i="29"/>
  <c r="Q60" i="29"/>
  <c r="T59" i="29"/>
  <c r="R59" i="29"/>
  <c r="Q59" i="29"/>
  <c r="T58" i="29"/>
  <c r="R58" i="29"/>
  <c r="Q58" i="29"/>
  <c r="T57" i="29"/>
  <c r="R57" i="29"/>
  <c r="Q57" i="29"/>
  <c r="T54" i="29"/>
  <c r="R54" i="29"/>
  <c r="Q54" i="29"/>
  <c r="T53" i="29"/>
  <c r="R53" i="29"/>
  <c r="Q53" i="29"/>
  <c r="T52" i="29"/>
  <c r="R52" i="29"/>
  <c r="Q52" i="29"/>
  <c r="T51" i="29"/>
  <c r="R51" i="29"/>
  <c r="Q51" i="29"/>
  <c r="T50" i="29"/>
  <c r="R50" i="29"/>
  <c r="Q50" i="29"/>
  <c r="T49" i="29"/>
  <c r="R49" i="29"/>
  <c r="Q49" i="29"/>
  <c r="T48" i="29"/>
  <c r="R48" i="29"/>
  <c r="Q48" i="29"/>
  <c r="T47" i="29"/>
  <c r="R47" i="29"/>
  <c r="Q47" i="29"/>
  <c r="T46" i="29"/>
  <c r="R46" i="29"/>
  <c r="Q46" i="29"/>
  <c r="T43" i="29"/>
  <c r="R43" i="29"/>
  <c r="Q43" i="29"/>
  <c r="T42" i="29"/>
  <c r="R42" i="29"/>
  <c r="Q42" i="29"/>
  <c r="T41" i="29"/>
  <c r="R41" i="29"/>
  <c r="Q41" i="29"/>
  <c r="T40" i="29"/>
  <c r="R40" i="29"/>
  <c r="Q40" i="29"/>
  <c r="T39" i="29"/>
  <c r="R39" i="29"/>
  <c r="Q39" i="29"/>
  <c r="T38" i="29"/>
  <c r="R38" i="29"/>
  <c r="Q38" i="29"/>
  <c r="T37" i="29"/>
  <c r="R37" i="29"/>
  <c r="Q37" i="29"/>
  <c r="T36" i="29"/>
  <c r="R36" i="29"/>
  <c r="Q36" i="29"/>
  <c r="T35" i="29"/>
  <c r="R35" i="29"/>
  <c r="Q35" i="29"/>
  <c r="T32" i="29"/>
  <c r="R32" i="29"/>
  <c r="Q32" i="29"/>
  <c r="T31" i="29"/>
  <c r="R31" i="29"/>
  <c r="Q31" i="29"/>
  <c r="T30" i="29"/>
  <c r="R30" i="29"/>
  <c r="Q30" i="29"/>
  <c r="T29" i="29"/>
  <c r="R29" i="29"/>
  <c r="Q29" i="29"/>
  <c r="T28" i="29"/>
  <c r="R28" i="29"/>
  <c r="Q28" i="29"/>
  <c r="T27" i="29"/>
  <c r="R27" i="29"/>
  <c r="Q27" i="29"/>
  <c r="T26" i="29"/>
  <c r="R26" i="29"/>
  <c r="Q26" i="29"/>
  <c r="T25" i="29"/>
  <c r="R25" i="29"/>
  <c r="Q25" i="29"/>
  <c r="T24" i="29"/>
  <c r="A13" i="29"/>
  <c r="A24" i="29" s="1"/>
  <c r="A35" i="29" s="1"/>
  <c r="A46" i="29" s="1"/>
  <c r="A57" i="29" s="1"/>
  <c r="A68" i="29" s="1"/>
  <c r="A79" i="29" s="1"/>
  <c r="A90" i="29" s="1"/>
  <c r="A101" i="29" s="1"/>
  <c r="A112" i="29" s="1"/>
  <c r="A123" i="29" s="1"/>
  <c r="A134" i="29" s="1"/>
  <c r="A145" i="29" s="1"/>
  <c r="A156" i="29" s="1"/>
  <c r="A167" i="29" s="1"/>
  <c r="A178" i="29" s="1"/>
  <c r="A189" i="29" s="1"/>
  <c r="A200" i="29" s="1"/>
  <c r="A211" i="29" s="1"/>
  <c r="A222" i="29" s="1"/>
  <c r="A233" i="29" s="1"/>
  <c r="A244" i="29" s="1"/>
  <c r="A255" i="29" s="1"/>
  <c r="A266" i="29" s="1"/>
  <c r="A277" i="29" s="1"/>
  <c r="A288" i="29" s="1"/>
  <c r="A299" i="29" s="1"/>
  <c r="A310" i="29" s="1"/>
  <c r="A321" i="29" s="1"/>
  <c r="A332" i="29" s="1"/>
  <c r="A343" i="29" s="1"/>
  <c r="A354" i="29" s="1"/>
  <c r="A365" i="29" s="1"/>
  <c r="A376" i="29" s="1"/>
  <c r="A387" i="29" s="1"/>
  <c r="A398" i="29" s="1"/>
  <c r="A409" i="29" s="1"/>
  <c r="A420" i="29" s="1"/>
  <c r="A431" i="29" s="1"/>
  <c r="A442" i="29" s="1"/>
  <c r="A453" i="29" s="1"/>
  <c r="A464" i="29" s="1"/>
  <c r="A475" i="29" s="1"/>
  <c r="A486" i="29" s="1"/>
  <c r="A497" i="29" s="1"/>
  <c r="A508" i="29" s="1"/>
  <c r="A519" i="29" s="1"/>
  <c r="A530" i="29" s="1"/>
  <c r="A541" i="29" s="1"/>
  <c r="A552" i="29" s="1"/>
  <c r="A563" i="29" s="1"/>
  <c r="A574" i="29" s="1"/>
  <c r="A585" i="29" s="1"/>
  <c r="A596" i="29" s="1"/>
  <c r="A607" i="29" s="1"/>
  <c r="A618" i="29" s="1"/>
  <c r="A629" i="29" s="1"/>
  <c r="A640" i="29" s="1"/>
  <c r="A651" i="29" s="1"/>
  <c r="A662" i="29" s="1"/>
  <c r="A673" i="29" s="1"/>
  <c r="A684" i="29" s="1"/>
  <c r="A695" i="29" s="1"/>
  <c r="A706" i="29" s="1"/>
  <c r="A717" i="29" s="1"/>
  <c r="A728" i="29" s="1"/>
  <c r="A739" i="29" s="1"/>
  <c r="A750" i="29" s="1"/>
  <c r="A761" i="29" s="1"/>
  <c r="A772" i="29" s="1"/>
  <c r="A783" i="29" s="1"/>
  <c r="A794" i="29" s="1"/>
  <c r="A805" i="29" s="1"/>
  <c r="A816" i="29" s="1"/>
  <c r="A827" i="29" s="1"/>
  <c r="A838" i="29" s="1"/>
  <c r="A849" i="29" s="1"/>
  <c r="A860" i="29" s="1"/>
  <c r="A871" i="29" s="1"/>
  <c r="A882" i="29" s="1"/>
  <c r="A893" i="29" s="1"/>
  <c r="A904" i="29" s="1"/>
  <c r="A915" i="29" s="1"/>
  <c r="A926" i="29" s="1"/>
  <c r="A937" i="29" s="1"/>
  <c r="A948" i="29" s="1"/>
  <c r="A959" i="29" s="1"/>
  <c r="A970" i="29" s="1"/>
  <c r="A981" i="29" s="1"/>
  <c r="A992" i="29" s="1"/>
  <c r="A1003" i="29" s="1"/>
  <c r="A1014" i="29" s="1"/>
  <c r="A1025" i="29" s="1"/>
  <c r="A1036" i="29" s="1"/>
  <c r="A1047" i="29" s="1"/>
  <c r="A1058" i="29" s="1"/>
  <c r="A1069" i="29" s="1"/>
  <c r="A1080" i="29" s="1"/>
  <c r="A1091" i="29" s="1"/>
  <c r="A1102" i="29" s="1"/>
  <c r="A1113" i="29" s="1"/>
  <c r="A1124" i="29" s="1"/>
  <c r="A1135" i="29" s="1"/>
  <c r="A1146" i="29" s="1"/>
  <c r="A1157" i="29" s="1"/>
  <c r="A1168" i="29" s="1"/>
  <c r="A1179" i="29" s="1"/>
  <c r="A1190" i="29" s="1"/>
  <c r="A1201" i="29" s="1"/>
  <c r="A1212" i="29" s="1"/>
  <c r="A1223" i="29" s="1"/>
  <c r="A1234" i="29" s="1"/>
  <c r="A1245" i="29" s="1"/>
  <c r="A1256" i="29" s="1"/>
  <c r="A1267" i="29" s="1"/>
  <c r="A1278" i="29" s="1"/>
  <c r="A1289" i="29" s="1"/>
  <c r="A1300" i="29" s="1"/>
  <c r="A1311" i="29" s="1"/>
  <c r="A1322" i="29" s="1"/>
  <c r="A1333" i="29" s="1"/>
  <c r="A1344" i="29" s="1"/>
  <c r="A1355" i="29" s="1"/>
  <c r="A1366" i="29" s="1"/>
  <c r="A1377" i="29" s="1"/>
  <c r="A1388" i="29" s="1"/>
  <c r="A1399" i="29" s="1"/>
  <c r="A1410" i="29" s="1"/>
  <c r="A1421" i="29" s="1"/>
  <c r="A1432" i="29" s="1"/>
  <c r="A1443" i="29" s="1"/>
  <c r="A1454" i="29" s="1"/>
  <c r="A1465" i="29" s="1"/>
  <c r="A1476" i="29" s="1"/>
  <c r="A1487" i="29" s="1"/>
  <c r="A1498" i="29" s="1"/>
  <c r="A1509" i="29" s="1"/>
  <c r="A1520" i="29" s="1"/>
  <c r="A1531" i="29" s="1"/>
  <c r="A1542" i="29" s="1"/>
  <c r="A1553" i="29" s="1"/>
  <c r="A1564" i="29" s="1"/>
  <c r="A1575" i="29" s="1"/>
  <c r="A1586" i="29" s="1"/>
  <c r="A1597" i="29" s="1"/>
  <c r="A1608" i="29" s="1"/>
  <c r="A1619" i="29" s="1"/>
  <c r="A1630" i="29" s="1"/>
  <c r="A1641" i="29" s="1"/>
  <c r="A1652" i="29" s="1"/>
  <c r="A1663" i="29" s="1"/>
  <c r="A1674" i="29" s="1"/>
  <c r="A1688" i="29" s="1"/>
  <c r="A1699" i="29" s="1"/>
  <c r="A1710" i="29" s="1"/>
  <c r="A1721" i="29" s="1"/>
  <c r="A1732" i="29" s="1"/>
  <c r="A1743" i="29" s="1"/>
  <c r="A1761" i="29" s="1"/>
  <c r="A1772" i="29" s="1"/>
  <c r="A1783" i="29" s="1"/>
  <c r="A1794" i="29" s="1"/>
  <c r="A1805" i="29" s="1"/>
  <c r="A1816" i="29" s="1"/>
  <c r="A1827" i="29" s="1"/>
  <c r="A1838" i="29" s="1"/>
  <c r="A1849" i="29" s="1"/>
  <c r="A1860" i="29" s="1"/>
  <c r="A1871" i="29" s="1"/>
  <c r="A1882" i="29" s="1"/>
  <c r="A1893" i="29" s="1"/>
  <c r="A1904" i="29" s="1"/>
  <c r="A1915" i="29" s="1"/>
  <c r="A1926" i="29" s="1"/>
  <c r="A1937" i="29" s="1"/>
  <c r="A1948" i="29" s="1"/>
  <c r="A1959" i="29" s="1"/>
  <c r="A1970" i="29" s="1"/>
  <c r="A1981" i="29" s="1"/>
  <c r="A1992" i="29" s="1"/>
  <c r="A2003" i="29" s="1"/>
  <c r="A2014" i="29" s="1"/>
  <c r="A2025" i="29" s="1"/>
  <c r="A2036" i="29" s="1"/>
  <c r="A2047" i="29" s="1"/>
  <c r="A2058" i="29" s="1"/>
  <c r="A2069" i="29" s="1"/>
  <c r="A2080" i="29" s="1"/>
  <c r="A2091" i="29" s="1"/>
  <c r="A2102" i="29" s="1"/>
  <c r="A2113" i="29" s="1"/>
  <c r="A2124" i="29" s="1"/>
  <c r="A2135" i="29" s="1"/>
  <c r="A2146" i="29" s="1"/>
  <c r="A2157" i="29" s="1"/>
  <c r="A2168" i="29" s="1"/>
  <c r="A2179" i="29" s="1"/>
  <c r="A2190" i="29" s="1"/>
  <c r="A2201" i="29" s="1"/>
  <c r="A2212" i="29" s="1"/>
  <c r="A2223" i="29" s="1"/>
  <c r="A2234" i="29" s="1"/>
  <c r="A2245" i="29" s="1"/>
  <c r="A2256" i="29" s="1"/>
  <c r="A2267" i="29" s="1"/>
  <c r="A2278" i="29" s="1"/>
  <c r="A2289" i="29" s="1"/>
  <c r="A2300" i="29" s="1"/>
  <c r="A2311" i="29" s="1"/>
  <c r="A2322" i="29" s="1"/>
  <c r="A2333" i="29" s="1"/>
  <c r="A2344" i="29" s="1"/>
  <c r="A2358" i="29" s="1"/>
  <c r="A2369" i="29" s="1"/>
  <c r="A2380" i="29" s="1"/>
  <c r="A2391" i="29" s="1"/>
  <c r="A2402" i="29" s="1"/>
  <c r="A2420" i="29" s="1"/>
  <c r="A2431" i="29" s="1"/>
  <c r="A2442" i="29" s="1"/>
  <c r="A2453" i="29" s="1"/>
  <c r="A2464" i="29" s="1"/>
  <c r="A2475" i="29" s="1"/>
  <c r="A2486" i="29" s="1"/>
  <c r="A2497" i="29" s="1"/>
  <c r="A2508" i="29" s="1"/>
  <c r="A2519" i="29" s="1"/>
  <c r="A2530" i="29" s="1"/>
  <c r="A2541" i="29" s="1"/>
  <c r="A2552" i="29" s="1"/>
  <c r="A2563" i="29" s="1"/>
  <c r="A2574" i="29" s="1"/>
  <c r="A2585" i="29" s="1"/>
  <c r="A2596" i="29" s="1"/>
  <c r="A2607" i="29" s="1"/>
  <c r="A2618" i="29" s="1"/>
  <c r="A2629" i="29" s="1"/>
  <c r="A2640" i="29" s="1"/>
  <c r="A2651" i="29" s="1"/>
  <c r="A2662" i="29" s="1"/>
  <c r="A2673" i="29" s="1"/>
  <c r="A2684" i="29" s="1"/>
  <c r="A2695" i="29" s="1"/>
  <c r="A2706" i="29" s="1"/>
  <c r="A2717" i="29" s="1"/>
  <c r="A2728" i="29" s="1"/>
  <c r="A2739" i="29" s="1"/>
  <c r="A2750" i="29" s="1"/>
  <c r="A2761" i="29" s="1"/>
  <c r="A2772" i="29" s="1"/>
  <c r="A2783" i="29" s="1"/>
  <c r="A2794" i="29" s="1"/>
  <c r="A2805" i="29" s="1"/>
  <c r="A2816" i="29" s="1"/>
  <c r="A2827" i="29" s="1"/>
  <c r="A2838" i="29" s="1"/>
  <c r="A2849" i="29" s="1"/>
  <c r="A2860" i="29" s="1"/>
  <c r="A2871" i="29" s="1"/>
  <c r="A2882" i="29" s="1"/>
  <c r="A2893" i="29" s="1"/>
  <c r="A2904" i="29" s="1"/>
  <c r="A2915" i="29" s="1"/>
  <c r="A2926" i="29" s="1"/>
  <c r="A2937" i="29" s="1"/>
  <c r="A2948" i="29" s="1"/>
  <c r="A2959" i="29" s="1"/>
  <c r="A2970" i="29" s="1"/>
  <c r="A2981" i="29" s="1"/>
  <c r="A2992" i="29" s="1"/>
  <c r="A3003" i="29" s="1"/>
  <c r="A3014" i="29" s="1"/>
  <c r="A3025" i="29" s="1"/>
  <c r="A3036" i="29" s="1"/>
  <c r="A3047" i="29" s="1"/>
  <c r="A3058" i="29" s="1"/>
  <c r="A3069" i="29" s="1"/>
  <c r="A3080" i="29" s="1"/>
  <c r="A3091" i="29" s="1"/>
  <c r="A3102" i="29" s="1"/>
  <c r="A3113" i="29" s="1"/>
  <c r="A3124" i="29" s="1"/>
  <c r="A3135" i="29" s="1"/>
  <c r="A3146" i="29" s="1"/>
  <c r="A3157" i="29" s="1"/>
  <c r="A3168" i="29" s="1"/>
  <c r="A3179" i="29" s="1"/>
  <c r="A3190" i="29" s="1"/>
  <c r="A3201" i="29" s="1"/>
  <c r="A3212" i="29" s="1"/>
  <c r="A3223" i="29" s="1"/>
  <c r="A3234" i="29" s="1"/>
  <c r="A3245" i="29" s="1"/>
  <c r="A3256" i="29" s="1"/>
  <c r="A3267" i="29" s="1"/>
  <c r="A3278" i="29" s="1"/>
  <c r="A3289" i="29" s="1"/>
  <c r="A3300" i="29" s="1"/>
  <c r="A3311" i="29" s="1"/>
  <c r="A3322" i="29" s="1"/>
  <c r="A3333" i="29" s="1"/>
  <c r="A3344" i="29" s="1"/>
  <c r="A3355" i="29" s="1"/>
  <c r="A3366" i="29" s="1"/>
  <c r="A3377" i="29" s="1"/>
  <c r="A3388" i="29" s="1"/>
  <c r="A3399" i="29" s="1"/>
  <c r="A3410" i="29" s="1"/>
  <c r="A3421" i="29" s="1"/>
  <c r="A3432" i="29" s="1"/>
  <c r="A3443" i="29" s="1"/>
  <c r="A3454" i="29" s="1"/>
  <c r="A3465" i="29" s="1"/>
  <c r="A3476" i="29" s="1"/>
  <c r="A3487" i="29" s="1"/>
  <c r="A3498" i="29" s="1"/>
  <c r="A3509" i="29" s="1"/>
  <c r="A3520" i="29" s="1"/>
  <c r="A3531" i="29" s="1"/>
  <c r="A3542" i="29" s="1"/>
  <c r="A3553" i="29" s="1"/>
  <c r="A3564" i="29" s="1"/>
  <c r="A3575" i="29" s="1"/>
  <c r="A3586" i="29" s="1"/>
  <c r="A3597" i="29" s="1"/>
  <c r="A3608" i="29" s="1"/>
  <c r="A3619" i="29" s="1"/>
  <c r="A3630" i="29" s="1"/>
  <c r="A3641" i="29" s="1"/>
  <c r="A3652" i="29" s="1"/>
  <c r="A3663" i="29" s="1"/>
  <c r="A3674" i="29" s="1"/>
  <c r="A3685" i="29" s="1"/>
  <c r="A3696" i="29" s="1"/>
  <c r="A3707" i="29" s="1"/>
  <c r="A3718" i="29" s="1"/>
  <c r="A3729" i="29" s="1"/>
  <c r="A3740" i="29" s="1"/>
  <c r="A3751" i="29" s="1"/>
  <c r="A3762" i="29" s="1"/>
  <c r="A3773" i="29" s="1"/>
  <c r="A3784" i="29" s="1"/>
  <c r="A3795" i="29" s="1"/>
  <c r="A3806" i="29" s="1"/>
  <c r="A3817" i="29" s="1"/>
  <c r="A3828" i="29" s="1"/>
  <c r="A3839" i="29" s="1"/>
  <c r="A3850" i="29" s="1"/>
  <c r="A3861" i="29" s="1"/>
  <c r="A3872" i="29" s="1"/>
  <c r="A3883" i="29" s="1"/>
  <c r="A3894" i="29" s="1"/>
  <c r="A3905" i="29" s="1"/>
  <c r="A3916" i="29" s="1"/>
  <c r="A3927" i="29" s="1"/>
  <c r="A3938" i="29" s="1"/>
  <c r="A3949" i="29" s="1"/>
  <c r="A3960" i="29" s="1"/>
  <c r="A3971" i="29" s="1"/>
  <c r="A3982" i="29" s="1"/>
  <c r="A3993" i="29" s="1"/>
  <c r="A4004" i="29" s="1"/>
  <c r="A4015" i="29" s="1"/>
  <c r="A4026" i="29" s="1"/>
  <c r="A4037" i="29" s="1"/>
  <c r="A4048" i="29" s="1"/>
  <c r="A4059" i="29" s="1"/>
  <c r="A4070" i="29" s="1"/>
  <c r="A4081" i="29" s="1"/>
  <c r="A4092" i="29" s="1"/>
  <c r="A4103" i="29" s="1"/>
  <c r="A4114" i="29" s="1"/>
  <c r="A4125" i="29" s="1"/>
  <c r="A4136" i="29" s="1"/>
  <c r="A4147" i="29" s="1"/>
  <c r="A4158" i="29" s="1"/>
  <c r="A4169" i="29" s="1"/>
  <c r="A4180" i="29" s="1"/>
  <c r="A4191" i="29" s="1"/>
  <c r="A4202" i="29" s="1"/>
  <c r="A4213" i="29" s="1"/>
  <c r="A4224" i="29" s="1"/>
  <c r="A4235" i="29" s="1"/>
  <c r="A4246" i="29" s="1"/>
  <c r="A4257" i="29" s="1"/>
  <c r="A4268" i="29" s="1"/>
  <c r="A4279" i="29" s="1"/>
  <c r="A4290" i="29" s="1"/>
  <c r="A4301" i="29" s="1"/>
  <c r="A4312" i="29" s="1"/>
  <c r="A4323" i="29" s="1"/>
  <c r="A4334" i="29" s="1"/>
  <c r="A4345" i="29" s="1"/>
  <c r="A4356" i="29" s="1"/>
  <c r="A4367" i="29" s="1"/>
  <c r="A4378" i="29" s="1"/>
  <c r="A4389" i="29" s="1"/>
  <c r="A4400" i="29" s="1"/>
  <c r="A4411" i="29" s="1"/>
  <c r="A4422" i="29" s="1"/>
  <c r="A4433" i="29" s="1"/>
  <c r="A4444" i="29" s="1"/>
  <c r="A4455" i="29" s="1"/>
  <c r="A4466" i="29" s="1"/>
  <c r="A4477" i="29" s="1"/>
  <c r="A4488" i="29" s="1"/>
  <c r="A4499" i="29" s="1"/>
  <c r="A4510" i="29" s="1"/>
  <c r="A4521" i="29" s="1"/>
  <c r="A4532" i="29" s="1"/>
  <c r="A4543" i="29" s="1"/>
  <c r="A4554" i="29" s="1"/>
  <c r="A4565" i="29" s="1"/>
  <c r="A4576" i="29" s="1"/>
  <c r="A4587" i="29" s="1"/>
  <c r="A4598" i="29" s="1"/>
  <c r="A4609" i="29" s="1"/>
  <c r="A4620" i="29" s="1"/>
  <c r="A4631" i="29" s="1"/>
  <c r="A4642" i="29" s="1"/>
  <c r="A4653" i="29" s="1"/>
  <c r="A4664" i="29" s="1"/>
  <c r="A4675" i="29" s="1"/>
  <c r="A4686" i="29" s="1"/>
  <c r="A4697" i="29" s="1"/>
  <c r="A4708" i="29" s="1"/>
  <c r="A4719" i="29" s="1"/>
  <c r="A4730" i="29" s="1"/>
  <c r="A4741" i="29" s="1"/>
  <c r="A4752" i="29" s="1"/>
  <c r="A4763" i="29" s="1"/>
  <c r="A4774" i="29" s="1"/>
  <c r="A4785" i="29" s="1"/>
  <c r="A4796" i="29" s="1"/>
  <c r="A4807" i="29" s="1"/>
  <c r="A4818" i="29" s="1"/>
  <c r="A4829" i="29" s="1"/>
  <c r="A4840" i="29" s="1"/>
  <c r="A4851" i="29" s="1"/>
  <c r="A4862" i="29" s="1"/>
  <c r="A4873" i="29" s="1"/>
  <c r="A4884" i="29" s="1"/>
  <c r="A4895" i="29" s="1"/>
  <c r="A4906" i="29" s="1"/>
  <c r="A4917" i="29" s="1"/>
  <c r="A4928" i="29" s="1"/>
  <c r="A4939" i="29" s="1"/>
  <c r="A4950" i="29" s="1"/>
  <c r="A4961" i="29" s="1"/>
  <c r="A4972" i="29" s="1"/>
  <c r="A4983" i="29" s="1"/>
  <c r="A4994" i="29" s="1"/>
  <c r="A5005" i="29" s="1"/>
  <c r="A5016" i="29" s="1"/>
  <c r="A5027" i="29" s="1"/>
  <c r="A5038" i="29" s="1"/>
  <c r="A5049" i="29" s="1"/>
  <c r="A5060" i="29" s="1"/>
  <c r="A5071" i="29" s="1"/>
  <c r="A5082" i="29" s="1"/>
  <c r="A5093" i="29" s="1"/>
  <c r="A5104" i="29" s="1"/>
  <c r="A5115" i="29" s="1"/>
  <c r="A5126" i="29" s="1"/>
  <c r="A5137" i="29" s="1"/>
  <c r="A5148" i="29" s="1"/>
  <c r="A5159" i="29" s="1"/>
  <c r="A5170" i="29" s="1"/>
  <c r="A5181" i="29" s="1"/>
  <c r="A5192" i="29" s="1"/>
  <c r="A5203" i="29" s="1"/>
  <c r="A5214" i="29" s="1"/>
  <c r="A5225" i="29" s="1"/>
  <c r="A5236" i="29" s="1"/>
  <c r="A5247" i="29" s="1"/>
  <c r="A5258" i="29" s="1"/>
  <c r="A5269" i="29" s="1"/>
  <c r="A5280" i="29" s="1"/>
  <c r="A5291" i="29" s="1"/>
  <c r="A5302" i="29" s="1"/>
  <c r="A5313" i="29" s="1"/>
  <c r="A5324" i="29" s="1"/>
  <c r="A5335" i="29" s="1"/>
  <c r="A5346" i="29" s="1"/>
  <c r="A5357" i="29" s="1"/>
  <c r="A5368" i="29" s="1"/>
  <c r="A5379" i="29" s="1"/>
  <c r="A5390" i="29" s="1"/>
  <c r="A5401" i="29" s="1"/>
  <c r="A5412" i="29" s="1"/>
  <c r="A5423" i="29" s="1"/>
  <c r="A5434" i="29" s="1"/>
  <c r="A5445" i="29" s="1"/>
  <c r="A5456" i="29" s="1"/>
  <c r="A5467" i="29" s="1"/>
  <c r="A5478" i="29" s="1"/>
  <c r="A5489" i="29" s="1"/>
  <c r="A5500" i="29" s="1"/>
  <c r="A5511" i="29" s="1"/>
  <c r="A5522" i="29" s="1"/>
  <c r="A5533" i="29" s="1"/>
  <c r="A5544" i="29" s="1"/>
  <c r="A5555" i="29" s="1"/>
  <c r="A5566" i="29" s="1"/>
  <c r="A5577" i="29" s="1"/>
  <c r="A5588" i="29" s="1"/>
  <c r="A5599" i="29" s="1"/>
  <c r="A5610" i="29" s="1"/>
  <c r="A5621" i="29" s="1"/>
  <c r="T21" i="29"/>
  <c r="R21" i="29"/>
  <c r="Q21" i="29"/>
  <c r="T20" i="29"/>
  <c r="R20" i="29"/>
  <c r="Q20" i="29"/>
  <c r="T19" i="29"/>
  <c r="R19" i="29"/>
  <c r="Q19" i="29"/>
  <c r="T18" i="29"/>
  <c r="R18" i="29"/>
  <c r="Q18" i="29"/>
  <c r="T17" i="29"/>
  <c r="R17" i="29"/>
  <c r="Q17" i="29"/>
  <c r="T16" i="29"/>
  <c r="R16" i="29"/>
  <c r="Q16" i="29"/>
  <c r="T15" i="29"/>
  <c r="R15" i="29"/>
  <c r="Q15" i="29"/>
  <c r="T14" i="29"/>
  <c r="R14" i="29"/>
  <c r="Q14" i="29"/>
  <c r="T13" i="29"/>
  <c r="Q10" i="29"/>
  <c r="Q9" i="29"/>
  <c r="Q8" i="29"/>
  <c r="Q6" i="29"/>
  <c r="R10" i="29"/>
  <c r="R9" i="29"/>
  <c r="R8" i="29"/>
  <c r="T10" i="29"/>
  <c r="T9" i="29"/>
  <c r="T8" i="29"/>
  <c r="T5" i="29"/>
  <c r="T7" i="29"/>
  <c r="T6" i="29"/>
  <c r="T4" i="29"/>
  <c r="R7" i="29"/>
  <c r="R6" i="29"/>
  <c r="R5" i="29"/>
  <c r="Q7" i="29"/>
  <c r="Q5" i="29"/>
  <c r="T3" i="29"/>
  <c r="T2" i="29"/>
  <c r="R4" i="29"/>
  <c r="R3" i="29"/>
  <c r="R2" i="29"/>
  <c r="Q4" i="29"/>
  <c r="Q3" i="29"/>
  <c r="Q2" i="29"/>
  <c r="P15" i="33" l="1"/>
  <c r="D15" i="33"/>
  <c r="L25" i="33"/>
  <c r="T24" i="33"/>
  <c r="H24" i="33"/>
  <c r="P23" i="33"/>
  <c r="D23" i="33"/>
  <c r="L22" i="33"/>
  <c r="T21" i="33"/>
  <c r="H21" i="33"/>
  <c r="P20" i="33"/>
  <c r="D20" i="33"/>
  <c r="L19" i="33"/>
  <c r="T18" i="33"/>
  <c r="H18" i="33"/>
  <c r="P17" i="33"/>
  <c r="D17" i="33"/>
  <c r="L16" i="33"/>
  <c r="U18" i="33"/>
  <c r="O15" i="33"/>
  <c r="C15" i="33"/>
  <c r="K25" i="33"/>
  <c r="S24" i="33"/>
  <c r="G24" i="33"/>
  <c r="O23" i="33"/>
  <c r="C23" i="33"/>
  <c r="K22" i="33"/>
  <c r="S21" i="33"/>
  <c r="G21" i="33"/>
  <c r="O20" i="33"/>
  <c r="C20" i="33"/>
  <c r="K19" i="33"/>
  <c r="S18" i="33"/>
  <c r="G18" i="33"/>
  <c r="O17" i="33"/>
  <c r="C17" i="33"/>
  <c r="K16" i="33"/>
  <c r="I18" i="33"/>
  <c r="N15" i="33"/>
  <c r="J25" i="33"/>
  <c r="R24" i="33"/>
  <c r="F24" i="33"/>
  <c r="N23" i="33"/>
  <c r="J22" i="33"/>
  <c r="R21" i="33"/>
  <c r="F21" i="33"/>
  <c r="N20" i="33"/>
  <c r="J19" i="33"/>
  <c r="R18" i="33"/>
  <c r="F18" i="33"/>
  <c r="N17" i="33"/>
  <c r="J16" i="33"/>
  <c r="E18" i="33"/>
  <c r="U16" i="33"/>
  <c r="H16" i="33"/>
  <c r="D16" i="33"/>
  <c r="I21" i="33"/>
  <c r="M15" i="33"/>
  <c r="U25" i="33"/>
  <c r="I25" i="33"/>
  <c r="Q24" i="33"/>
  <c r="E24" i="33"/>
  <c r="M23" i="33"/>
  <c r="U22" i="33"/>
  <c r="I22" i="33"/>
  <c r="Q21" i="33"/>
  <c r="E21" i="33"/>
  <c r="M20" i="33"/>
  <c r="U19" i="33"/>
  <c r="I19" i="33"/>
  <c r="Q18" i="33"/>
  <c r="M17" i="33"/>
  <c r="I16" i="33"/>
  <c r="S16" i="33"/>
  <c r="L15" i="33"/>
  <c r="T25" i="33"/>
  <c r="H25" i="33"/>
  <c r="P24" i="33"/>
  <c r="D24" i="33"/>
  <c r="L23" i="33"/>
  <c r="T22" i="33"/>
  <c r="H22" i="33"/>
  <c r="P21" i="33"/>
  <c r="D21" i="33"/>
  <c r="L20" i="33"/>
  <c r="T19" i="33"/>
  <c r="H19" i="33"/>
  <c r="P18" i="33"/>
  <c r="D18" i="33"/>
  <c r="L17" i="33"/>
  <c r="T16" i="33"/>
  <c r="C16" i="33"/>
  <c r="Q20" i="33"/>
  <c r="K15" i="33"/>
  <c r="S25" i="33"/>
  <c r="G25" i="33"/>
  <c r="O24" i="33"/>
  <c r="C24" i="33"/>
  <c r="K23" i="33"/>
  <c r="S22" i="33"/>
  <c r="G22" i="33"/>
  <c r="O21" i="33"/>
  <c r="C21" i="33"/>
  <c r="K20" i="33"/>
  <c r="S19" i="33"/>
  <c r="G19" i="33"/>
  <c r="O18" i="33"/>
  <c r="C18" i="33"/>
  <c r="K17" i="33"/>
  <c r="G16" i="33"/>
  <c r="Q23" i="33"/>
  <c r="E17" i="33"/>
  <c r="J15" i="33"/>
  <c r="R25" i="33"/>
  <c r="F25" i="33"/>
  <c r="N24" i="33"/>
  <c r="J23" i="33"/>
  <c r="R22" i="33"/>
  <c r="F22" i="33"/>
  <c r="N21" i="33"/>
  <c r="J20" i="33"/>
  <c r="R19" i="33"/>
  <c r="F19" i="33"/>
  <c r="N18" i="33"/>
  <c r="J17" i="33"/>
  <c r="R16" i="33"/>
  <c r="F16" i="33"/>
  <c r="I17" i="33"/>
  <c r="E16" i="33"/>
  <c r="I24" i="33"/>
  <c r="M19" i="33"/>
  <c r="U15" i="33"/>
  <c r="I15" i="33"/>
  <c r="Q25" i="33"/>
  <c r="E25" i="33"/>
  <c r="M24" i="33"/>
  <c r="U23" i="33"/>
  <c r="I23" i="33"/>
  <c r="Q22" i="33"/>
  <c r="E22" i="33"/>
  <c r="M21" i="33"/>
  <c r="U20" i="33"/>
  <c r="I20" i="33"/>
  <c r="Q19" i="33"/>
  <c r="E19" i="33"/>
  <c r="M18" i="33"/>
  <c r="U17" i="33"/>
  <c r="Q16" i="33"/>
  <c r="P16" i="33"/>
  <c r="E23" i="33"/>
  <c r="Q17" i="33"/>
  <c r="T15" i="33"/>
  <c r="H15" i="33"/>
  <c r="P25" i="33"/>
  <c r="D25" i="33"/>
  <c r="L24" i="33"/>
  <c r="T23" i="33"/>
  <c r="H23" i="33"/>
  <c r="P22" i="33"/>
  <c r="D22" i="33"/>
  <c r="L21" i="33"/>
  <c r="T20" i="33"/>
  <c r="H20" i="33"/>
  <c r="P19" i="33"/>
  <c r="D19" i="33"/>
  <c r="L18" i="33"/>
  <c r="T17" i="33"/>
  <c r="H17" i="33"/>
  <c r="U24" i="33"/>
  <c r="E20" i="33"/>
  <c r="S15" i="33"/>
  <c r="G15" i="33"/>
  <c r="O25" i="33"/>
  <c r="C25" i="33"/>
  <c r="K24" i="33"/>
  <c r="S23" i="33"/>
  <c r="G23" i="33"/>
  <c r="O22" i="33"/>
  <c r="C22" i="33"/>
  <c r="K21" i="33"/>
  <c r="S20" i="33"/>
  <c r="G20" i="33"/>
  <c r="O19" i="33"/>
  <c r="C19" i="33"/>
  <c r="K18" i="33"/>
  <c r="S17" i="33"/>
  <c r="G17" i="33"/>
  <c r="O16" i="33"/>
  <c r="M22" i="33"/>
  <c r="M16" i="33"/>
  <c r="R15" i="33"/>
  <c r="F15" i="33"/>
  <c r="N25" i="33"/>
  <c r="J24" i="33"/>
  <c r="R23" i="33"/>
  <c r="F23" i="33"/>
  <c r="N22" i="33"/>
  <c r="J21" i="33"/>
  <c r="R20" i="33"/>
  <c r="F20" i="33"/>
  <c r="N19" i="33"/>
  <c r="J18" i="33"/>
  <c r="R17" i="33"/>
  <c r="F17" i="33"/>
  <c r="N16" i="33"/>
  <c r="Q15" i="33"/>
  <c r="E15" i="33"/>
  <c r="M25" i="33"/>
  <c r="U21" i="33"/>
  <c r="C5" i="33"/>
  <c r="C13" i="33"/>
  <c r="C32" i="33"/>
  <c r="C40" i="33"/>
  <c r="C48" i="33"/>
  <c r="C56" i="33"/>
  <c r="C64" i="33"/>
  <c r="C72" i="33"/>
  <c r="C80" i="33"/>
  <c r="C88" i="33"/>
  <c r="C96" i="33"/>
  <c r="C122" i="33" s="1"/>
  <c r="C63" i="33"/>
  <c r="C6" i="33"/>
  <c r="C14" i="33"/>
  <c r="C33" i="33"/>
  <c r="C41" i="33"/>
  <c r="C49" i="33"/>
  <c r="C57" i="33"/>
  <c r="C65" i="33"/>
  <c r="C73" i="33"/>
  <c r="C81" i="33"/>
  <c r="C89" i="33"/>
  <c r="C97" i="33"/>
  <c r="C123" i="33" s="1"/>
  <c r="C71" i="33"/>
  <c r="C7" i="33"/>
  <c r="C26" i="33"/>
  <c r="C34" i="33"/>
  <c r="C42" i="33"/>
  <c r="C50" i="33"/>
  <c r="C58" i="33"/>
  <c r="C66" i="33"/>
  <c r="C74" i="33"/>
  <c r="C82" i="33"/>
  <c r="C90" i="33"/>
  <c r="C39" i="33"/>
  <c r="C87" i="33"/>
  <c r="C8" i="33"/>
  <c r="C27" i="33"/>
  <c r="C35" i="33"/>
  <c r="C43" i="33"/>
  <c r="C51" i="33"/>
  <c r="C59" i="33"/>
  <c r="C67" i="33"/>
  <c r="C75" i="33"/>
  <c r="C83" i="33"/>
  <c r="C91" i="33"/>
  <c r="C55" i="33"/>
  <c r="C9" i="33"/>
  <c r="C28" i="33"/>
  <c r="C36" i="33"/>
  <c r="C44" i="33"/>
  <c r="C52" i="33"/>
  <c r="C60" i="33"/>
  <c r="C68" i="33"/>
  <c r="C76" i="33"/>
  <c r="C84" i="33"/>
  <c r="C92" i="33"/>
  <c r="C31" i="33"/>
  <c r="C79" i="33"/>
  <c r="C10" i="33"/>
  <c r="C29" i="33"/>
  <c r="C37" i="33"/>
  <c r="C45" i="33"/>
  <c r="C53" i="33"/>
  <c r="C61" i="33"/>
  <c r="C69" i="33"/>
  <c r="C77" i="33"/>
  <c r="C85" i="33"/>
  <c r="C93" i="33"/>
  <c r="C119" i="33" s="1"/>
  <c r="C12" i="33"/>
  <c r="C11" i="33"/>
  <c r="C30" i="33"/>
  <c r="C38" i="33"/>
  <c r="C46" i="33"/>
  <c r="C54" i="33"/>
  <c r="C62" i="33"/>
  <c r="C70" i="33"/>
  <c r="C78" i="33"/>
  <c r="C86" i="33"/>
  <c r="C94" i="33"/>
  <c r="C120" i="33" s="1"/>
  <c r="C47" i="33"/>
  <c r="C95" i="33"/>
  <c r="C121" i="33" s="1"/>
  <c r="C104" i="33"/>
  <c r="C130" i="33" s="1"/>
  <c r="C105" i="33"/>
  <c r="C131" i="33" s="1"/>
  <c r="C98" i="33"/>
  <c r="C124" i="33" s="1"/>
  <c r="C99" i="33"/>
  <c r="C125" i="33" s="1"/>
  <c r="C100" i="33"/>
  <c r="C126" i="33" s="1"/>
  <c r="C101" i="33"/>
  <c r="C127" i="33" s="1"/>
  <c r="C103" i="33"/>
  <c r="C129" i="33" s="1"/>
  <c r="C102" i="33"/>
  <c r="C128" i="33" s="1"/>
  <c r="R72" i="33"/>
  <c r="J72" i="33"/>
  <c r="M72" i="33"/>
  <c r="K72" i="33"/>
  <c r="Q72" i="33"/>
  <c r="I72" i="33"/>
  <c r="U72" i="33"/>
  <c r="D72" i="33"/>
  <c r="P72" i="33"/>
  <c r="H72" i="33"/>
  <c r="T72" i="33"/>
  <c r="O72" i="33"/>
  <c r="G72" i="33"/>
  <c r="E72" i="33"/>
  <c r="S72" i="33"/>
  <c r="N72" i="33"/>
  <c r="F72" i="33"/>
  <c r="L72" i="33"/>
  <c r="M95" i="33"/>
  <c r="M121" i="33" s="1"/>
  <c r="L93" i="33"/>
  <c r="L119" i="33" s="1"/>
  <c r="F93" i="33"/>
  <c r="F119" i="33" s="1"/>
  <c r="L95" i="33"/>
  <c r="L121" i="33" s="1"/>
  <c r="K93" i="33"/>
  <c r="K119" i="33" s="1"/>
  <c r="H93" i="33"/>
  <c r="H119" i="33" s="1"/>
  <c r="K95" i="33"/>
  <c r="K121" i="33" s="1"/>
  <c r="J93" i="33"/>
  <c r="J119" i="33" s="1"/>
  <c r="G93" i="33"/>
  <c r="G119" i="33" s="1"/>
  <c r="J95" i="33"/>
  <c r="J121" i="33" s="1"/>
  <c r="U93" i="33"/>
  <c r="U119" i="33" s="1"/>
  <c r="I93" i="33"/>
  <c r="I119" i="33" s="1"/>
  <c r="U95" i="33"/>
  <c r="U121" i="33" s="1"/>
  <c r="I95" i="33"/>
  <c r="I121" i="33" s="1"/>
  <c r="T93" i="33"/>
  <c r="T119" i="33" s="1"/>
  <c r="T95" i="33"/>
  <c r="T121" i="33" s="1"/>
  <c r="H95" i="33"/>
  <c r="H121" i="33" s="1"/>
  <c r="S93" i="33"/>
  <c r="S119" i="33" s="1"/>
  <c r="S95" i="33"/>
  <c r="S121" i="33" s="1"/>
  <c r="G95" i="33"/>
  <c r="G121" i="33" s="1"/>
  <c r="R93" i="33"/>
  <c r="R119" i="33" s="1"/>
  <c r="R95" i="33"/>
  <c r="R121" i="33" s="1"/>
  <c r="F95" i="33"/>
  <c r="F121" i="33" s="1"/>
  <c r="Q93" i="33"/>
  <c r="Q119" i="33" s="1"/>
  <c r="N95" i="33"/>
  <c r="N121" i="33" s="1"/>
  <c r="M93" i="33"/>
  <c r="M119" i="33" s="1"/>
  <c r="E93" i="33"/>
  <c r="E119" i="33" s="1"/>
  <c r="O93" i="33"/>
  <c r="O119" i="33" s="1"/>
  <c r="Q95" i="33"/>
  <c r="Q121" i="33" s="1"/>
  <c r="P95" i="33"/>
  <c r="P121" i="33" s="1"/>
  <c r="O95" i="33"/>
  <c r="O121" i="33" s="1"/>
  <c r="E95" i="33"/>
  <c r="E121" i="33" s="1"/>
  <c r="D95" i="33"/>
  <c r="D121" i="33" s="1"/>
  <c r="D93" i="33"/>
  <c r="D119" i="33" s="1"/>
  <c r="N93" i="33"/>
  <c r="N119" i="33" s="1"/>
  <c r="P93" i="33"/>
  <c r="P119" i="33" s="1"/>
  <c r="O1" i="29"/>
  <c r="K102" i="33"/>
  <c r="K128" i="33" s="1"/>
  <c r="U99" i="33"/>
  <c r="U125" i="33" s="1"/>
  <c r="I99" i="33"/>
  <c r="I125" i="33" s="1"/>
  <c r="Q100" i="33"/>
  <c r="Q126" i="33" s="1"/>
  <c r="E100" i="33"/>
  <c r="E126" i="33" s="1"/>
  <c r="J102" i="33"/>
  <c r="J128" i="33" s="1"/>
  <c r="T99" i="33"/>
  <c r="T125" i="33" s="1"/>
  <c r="H99" i="33"/>
  <c r="H125" i="33" s="1"/>
  <c r="P100" i="33"/>
  <c r="P126" i="33" s="1"/>
  <c r="D100" i="33"/>
  <c r="D126" i="33" s="1"/>
  <c r="U102" i="33"/>
  <c r="U128" i="33" s="1"/>
  <c r="I102" i="33"/>
  <c r="I128" i="33" s="1"/>
  <c r="S99" i="33"/>
  <c r="S125" i="33" s="1"/>
  <c r="G99" i="33"/>
  <c r="G125" i="33" s="1"/>
  <c r="O100" i="33"/>
  <c r="O126" i="33" s="1"/>
  <c r="T102" i="33"/>
  <c r="T128" i="33" s="1"/>
  <c r="H102" i="33"/>
  <c r="H128" i="33" s="1"/>
  <c r="R99" i="33"/>
  <c r="R125" i="33" s="1"/>
  <c r="F99" i="33"/>
  <c r="F125" i="33" s="1"/>
  <c r="N100" i="33"/>
  <c r="N126" i="33" s="1"/>
  <c r="S102" i="33"/>
  <c r="S128" i="33" s="1"/>
  <c r="G102" i="33"/>
  <c r="G128" i="33" s="1"/>
  <c r="Q99" i="33"/>
  <c r="Q125" i="33" s="1"/>
  <c r="E99" i="33"/>
  <c r="E125" i="33" s="1"/>
  <c r="M100" i="33"/>
  <c r="M126" i="33" s="1"/>
  <c r="R102" i="33"/>
  <c r="R128" i="33" s="1"/>
  <c r="F102" i="33"/>
  <c r="F128" i="33" s="1"/>
  <c r="P99" i="33"/>
  <c r="P125" i="33" s="1"/>
  <c r="D99" i="33"/>
  <c r="D125" i="33" s="1"/>
  <c r="L100" i="33"/>
  <c r="L126" i="33" s="1"/>
  <c r="Q102" i="33"/>
  <c r="Q128" i="33" s="1"/>
  <c r="E102" i="33"/>
  <c r="E128" i="33" s="1"/>
  <c r="O99" i="33"/>
  <c r="O125" i="33" s="1"/>
  <c r="K100" i="33"/>
  <c r="K126" i="33" s="1"/>
  <c r="F100" i="33"/>
  <c r="F126" i="33" s="1"/>
  <c r="P102" i="33"/>
  <c r="P128" i="33" s="1"/>
  <c r="D102" i="33"/>
  <c r="D128" i="33" s="1"/>
  <c r="N99" i="33"/>
  <c r="N125" i="33" s="1"/>
  <c r="J100" i="33"/>
  <c r="J126" i="33" s="1"/>
  <c r="R100" i="33"/>
  <c r="R126" i="33" s="1"/>
  <c r="O102" i="33"/>
  <c r="O128" i="33" s="1"/>
  <c r="M99" i="33"/>
  <c r="M125" i="33" s="1"/>
  <c r="U100" i="33"/>
  <c r="U126" i="33" s="1"/>
  <c r="I100" i="33"/>
  <c r="I126" i="33" s="1"/>
  <c r="J99" i="33"/>
  <c r="J125" i="33" s="1"/>
  <c r="N102" i="33"/>
  <c r="N128" i="33" s="1"/>
  <c r="L99" i="33"/>
  <c r="L125" i="33" s="1"/>
  <c r="T100" i="33"/>
  <c r="T126" i="33" s="1"/>
  <c r="H100" i="33"/>
  <c r="H126" i="33" s="1"/>
  <c r="M102" i="33"/>
  <c r="M128" i="33" s="1"/>
  <c r="K99" i="33"/>
  <c r="K125" i="33" s="1"/>
  <c r="S100" i="33"/>
  <c r="S126" i="33" s="1"/>
  <c r="G100" i="33"/>
  <c r="G126" i="33" s="1"/>
  <c r="L102" i="33"/>
  <c r="L128" i="33" s="1"/>
  <c r="O96" i="33"/>
  <c r="O122" i="33" s="1"/>
  <c r="L94" i="33"/>
  <c r="L120" i="33" s="1"/>
  <c r="K62" i="33"/>
  <c r="N96" i="33"/>
  <c r="N122" i="33" s="1"/>
  <c r="K94" i="33"/>
  <c r="K120" i="33" s="1"/>
  <c r="J62" i="33"/>
  <c r="M96" i="33"/>
  <c r="M122" i="33" s="1"/>
  <c r="J94" i="33"/>
  <c r="J120" i="33" s="1"/>
  <c r="U62" i="33"/>
  <c r="I62" i="33"/>
  <c r="Q62" i="33"/>
  <c r="D96" i="33"/>
  <c r="D122" i="33" s="1"/>
  <c r="L96" i="33"/>
  <c r="L122" i="33" s="1"/>
  <c r="U94" i="33"/>
  <c r="U120" i="33" s="1"/>
  <c r="I94" i="33"/>
  <c r="I120" i="33" s="1"/>
  <c r="T62" i="33"/>
  <c r="H62" i="33"/>
  <c r="E62" i="33"/>
  <c r="K96" i="33"/>
  <c r="K122" i="33" s="1"/>
  <c r="T94" i="33"/>
  <c r="T120" i="33" s="1"/>
  <c r="H94" i="33"/>
  <c r="H120" i="33" s="1"/>
  <c r="S62" i="33"/>
  <c r="G62" i="33"/>
  <c r="F94" i="33"/>
  <c r="F120" i="33" s="1"/>
  <c r="J96" i="33"/>
  <c r="J122" i="33" s="1"/>
  <c r="S94" i="33"/>
  <c r="S120" i="33" s="1"/>
  <c r="G94" i="33"/>
  <c r="G120" i="33" s="1"/>
  <c r="R62" i="33"/>
  <c r="F62" i="33"/>
  <c r="M94" i="33"/>
  <c r="M120" i="33" s="1"/>
  <c r="U96" i="33"/>
  <c r="U122" i="33" s="1"/>
  <c r="I96" i="33"/>
  <c r="I122" i="33" s="1"/>
  <c r="R94" i="33"/>
  <c r="R120" i="33" s="1"/>
  <c r="L62" i="33"/>
  <c r="T96" i="33"/>
  <c r="T122" i="33" s="1"/>
  <c r="H96" i="33"/>
  <c r="H122" i="33" s="1"/>
  <c r="Q94" i="33"/>
  <c r="Q120" i="33" s="1"/>
  <c r="E94" i="33"/>
  <c r="E120" i="33" s="1"/>
  <c r="P62" i="33"/>
  <c r="D62" i="33"/>
  <c r="P96" i="33"/>
  <c r="P122" i="33" s="1"/>
  <c r="S96" i="33"/>
  <c r="S122" i="33" s="1"/>
  <c r="G96" i="33"/>
  <c r="G122" i="33" s="1"/>
  <c r="P94" i="33"/>
  <c r="P120" i="33" s="1"/>
  <c r="D94" i="33"/>
  <c r="D120" i="33" s="1"/>
  <c r="O62" i="33"/>
  <c r="E96" i="33"/>
  <c r="E122" i="33" s="1"/>
  <c r="M62" i="33"/>
  <c r="R96" i="33"/>
  <c r="R122" i="33" s="1"/>
  <c r="F96" i="33"/>
  <c r="F122" i="33" s="1"/>
  <c r="O94" i="33"/>
  <c r="O120" i="33" s="1"/>
  <c r="N62" i="33"/>
  <c r="Q96" i="33"/>
  <c r="Q122" i="33" s="1"/>
  <c r="N94" i="33"/>
  <c r="N120" i="33" s="1"/>
  <c r="E34" i="33"/>
  <c r="N32" i="33"/>
  <c r="N75" i="33"/>
  <c r="J76" i="33"/>
  <c r="R77" i="33"/>
  <c r="F77" i="33"/>
  <c r="N78" i="33"/>
  <c r="P61" i="33"/>
  <c r="D61" i="33"/>
  <c r="L59" i="33"/>
  <c r="T57" i="33"/>
  <c r="H57" i="33"/>
  <c r="P34" i="33"/>
  <c r="D34" i="33"/>
  <c r="L36" i="33"/>
  <c r="T37" i="33"/>
  <c r="H37" i="33"/>
  <c r="S37" i="33"/>
  <c r="O32" i="33"/>
  <c r="M59" i="33"/>
  <c r="M32" i="33"/>
  <c r="M75" i="33"/>
  <c r="U76" i="33"/>
  <c r="I76" i="33"/>
  <c r="Q77" i="33"/>
  <c r="E77" i="33"/>
  <c r="M78" i="33"/>
  <c r="O61" i="33"/>
  <c r="K59" i="33"/>
  <c r="S57" i="33"/>
  <c r="G57" i="33"/>
  <c r="O34" i="33"/>
  <c r="K36" i="33"/>
  <c r="G37" i="33"/>
  <c r="M36" i="33"/>
  <c r="L32" i="33"/>
  <c r="L75" i="33"/>
  <c r="T76" i="33"/>
  <c r="H76" i="33"/>
  <c r="P77" i="33"/>
  <c r="D77" i="33"/>
  <c r="L78" i="33"/>
  <c r="N61" i="33"/>
  <c r="J59" i="33"/>
  <c r="R57" i="33"/>
  <c r="F57" i="33"/>
  <c r="N34" i="33"/>
  <c r="J36" i="33"/>
  <c r="R37" i="33"/>
  <c r="F37" i="33"/>
  <c r="E37" i="33"/>
  <c r="O37" i="33"/>
  <c r="K76" i="33"/>
  <c r="Q34" i="33"/>
  <c r="K32" i="33"/>
  <c r="K75" i="33"/>
  <c r="S76" i="33"/>
  <c r="G76" i="33"/>
  <c r="O77" i="33"/>
  <c r="K78" i="33"/>
  <c r="M61" i="33"/>
  <c r="U59" i="33"/>
  <c r="I59" i="33"/>
  <c r="Q57" i="33"/>
  <c r="E57" i="33"/>
  <c r="M34" i="33"/>
  <c r="U36" i="33"/>
  <c r="I36" i="33"/>
  <c r="Q37" i="33"/>
  <c r="G77" i="33"/>
  <c r="I37" i="33"/>
  <c r="J32" i="33"/>
  <c r="J75" i="33"/>
  <c r="R76" i="33"/>
  <c r="F76" i="33"/>
  <c r="N77" i="33"/>
  <c r="J78" i="33"/>
  <c r="L61" i="33"/>
  <c r="T59" i="33"/>
  <c r="H59" i="33"/>
  <c r="P57" i="33"/>
  <c r="D57" i="33"/>
  <c r="L34" i="33"/>
  <c r="T36" i="33"/>
  <c r="H36" i="33"/>
  <c r="P37" i="33"/>
  <c r="D37" i="33"/>
  <c r="S77" i="33"/>
  <c r="U37" i="33"/>
  <c r="U32" i="33"/>
  <c r="I32" i="33"/>
  <c r="U75" i="33"/>
  <c r="I75" i="33"/>
  <c r="Q76" i="33"/>
  <c r="E76" i="33"/>
  <c r="M77" i="33"/>
  <c r="U78" i="33"/>
  <c r="I78" i="33"/>
  <c r="K61" i="33"/>
  <c r="S59" i="33"/>
  <c r="G59" i="33"/>
  <c r="O57" i="33"/>
  <c r="K34" i="33"/>
  <c r="S36" i="33"/>
  <c r="G36" i="33"/>
  <c r="U57" i="33"/>
  <c r="T32" i="33"/>
  <c r="H32" i="33"/>
  <c r="T75" i="33"/>
  <c r="H75" i="33"/>
  <c r="P76" i="33"/>
  <c r="D76" i="33"/>
  <c r="L77" i="33"/>
  <c r="T78" i="33"/>
  <c r="H78" i="33"/>
  <c r="J61" i="33"/>
  <c r="R59" i="33"/>
  <c r="F59" i="33"/>
  <c r="N57" i="33"/>
  <c r="J34" i="33"/>
  <c r="R36" i="33"/>
  <c r="F36" i="33"/>
  <c r="N37" i="33"/>
  <c r="Q36" i="33"/>
  <c r="M37" i="33"/>
  <c r="O78" i="33"/>
  <c r="S32" i="33"/>
  <c r="G32" i="33"/>
  <c r="S75" i="33"/>
  <c r="G75" i="33"/>
  <c r="O76" i="33"/>
  <c r="K77" i="33"/>
  <c r="S78" i="33"/>
  <c r="G78" i="33"/>
  <c r="U61" i="33"/>
  <c r="I61" i="33"/>
  <c r="Q59" i="33"/>
  <c r="E59" i="33"/>
  <c r="M57" i="33"/>
  <c r="U34" i="33"/>
  <c r="I34" i="33"/>
  <c r="E36" i="33"/>
  <c r="L37" i="33"/>
  <c r="E61" i="33"/>
  <c r="R32" i="33"/>
  <c r="F32" i="33"/>
  <c r="R75" i="33"/>
  <c r="F75" i="33"/>
  <c r="N76" i="33"/>
  <c r="J77" i="33"/>
  <c r="R78" i="33"/>
  <c r="F78" i="33"/>
  <c r="T61" i="33"/>
  <c r="H61" i="33"/>
  <c r="P59" i="33"/>
  <c r="D59" i="33"/>
  <c r="L57" i="33"/>
  <c r="T34" i="33"/>
  <c r="H34" i="33"/>
  <c r="P36" i="33"/>
  <c r="D36" i="33"/>
  <c r="Q61" i="33"/>
  <c r="Q32" i="33"/>
  <c r="E32" i="33"/>
  <c r="Q75" i="33"/>
  <c r="E75" i="33"/>
  <c r="M76" i="33"/>
  <c r="U77" i="33"/>
  <c r="I77" i="33"/>
  <c r="Q78" i="33"/>
  <c r="E78" i="33"/>
  <c r="S61" i="33"/>
  <c r="G61" i="33"/>
  <c r="O59" i="33"/>
  <c r="K57" i="33"/>
  <c r="S34" i="33"/>
  <c r="G34" i="33"/>
  <c r="O36" i="33"/>
  <c r="K37" i="33"/>
  <c r="O75" i="33"/>
  <c r="I57" i="33"/>
  <c r="P32" i="33"/>
  <c r="D32" i="33"/>
  <c r="P75" i="33"/>
  <c r="D75" i="33"/>
  <c r="L76" i="33"/>
  <c r="T77" i="33"/>
  <c r="H77" i="33"/>
  <c r="P78" i="33"/>
  <c r="D78" i="33"/>
  <c r="R61" i="33"/>
  <c r="F61" i="33"/>
  <c r="N59" i="33"/>
  <c r="J57" i="33"/>
  <c r="R34" i="33"/>
  <c r="F34" i="33"/>
  <c r="N36" i="33"/>
  <c r="J37" i="33"/>
  <c r="R82" i="33"/>
  <c r="N91" i="33"/>
  <c r="J73" i="33"/>
  <c r="M91" i="33"/>
  <c r="U73" i="33"/>
  <c r="I73" i="33"/>
  <c r="F91" i="33"/>
  <c r="L91" i="33"/>
  <c r="T73" i="33"/>
  <c r="H73" i="33"/>
  <c r="T91" i="33"/>
  <c r="G91" i="33"/>
  <c r="K91" i="33"/>
  <c r="S73" i="33"/>
  <c r="G73" i="33"/>
  <c r="E73" i="33"/>
  <c r="D73" i="33"/>
  <c r="J91" i="33"/>
  <c r="R73" i="33"/>
  <c r="F73" i="33"/>
  <c r="H91" i="33"/>
  <c r="S91" i="33"/>
  <c r="U91" i="33"/>
  <c r="I91" i="33"/>
  <c r="Q73" i="33"/>
  <c r="P73" i="33"/>
  <c r="R91" i="33"/>
  <c r="Q91" i="33"/>
  <c r="E91" i="33"/>
  <c r="M73" i="33"/>
  <c r="K73" i="33"/>
  <c r="N73" i="33"/>
  <c r="P91" i="33"/>
  <c r="D91" i="33"/>
  <c r="L73" i="33"/>
  <c r="O91" i="33"/>
  <c r="O73" i="33"/>
  <c r="S41" i="33"/>
  <c r="R8" i="33"/>
  <c r="R51" i="33"/>
  <c r="R43" i="33"/>
  <c r="D60" i="33"/>
  <c r="G52" i="33"/>
  <c r="J58" i="33"/>
  <c r="U84" i="33"/>
  <c r="R83" i="33"/>
  <c r="R10" i="33"/>
  <c r="F29" i="33"/>
  <c r="F10" i="33"/>
  <c r="F81" i="33"/>
  <c r="R79" i="33"/>
  <c r="K35" i="33"/>
  <c r="F90" i="33"/>
  <c r="L68" i="33"/>
  <c r="M38" i="33"/>
  <c r="I82" i="33"/>
  <c r="F97" i="33"/>
  <c r="F123" i="33" s="1"/>
  <c r="S86" i="33"/>
  <c r="L48" i="33"/>
  <c r="Q58" i="33"/>
  <c r="G79" i="33"/>
  <c r="J92" i="33"/>
  <c r="M86" i="33"/>
  <c r="N58" i="33"/>
  <c r="U56" i="33"/>
  <c r="D84" i="33"/>
  <c r="Q47" i="33"/>
  <c r="Q6" i="33"/>
  <c r="J56" i="33"/>
  <c r="J26" i="33"/>
  <c r="I33" i="33"/>
  <c r="N43" i="33"/>
  <c r="S35" i="33"/>
  <c r="L60" i="33"/>
  <c r="L40" i="33"/>
  <c r="E58" i="33"/>
  <c r="Q71" i="33"/>
  <c r="P90" i="33"/>
  <c r="O60" i="33"/>
  <c r="I84" i="33"/>
  <c r="N35" i="33"/>
  <c r="F31" i="33"/>
  <c r="S82" i="33"/>
  <c r="E47" i="33"/>
  <c r="E6" i="33"/>
  <c r="P55" i="33"/>
  <c r="P14" i="33"/>
  <c r="U26" i="33"/>
  <c r="H33" i="33"/>
  <c r="U80" i="33"/>
  <c r="I90" i="33"/>
  <c r="Q85" i="33"/>
  <c r="R29" i="33"/>
  <c r="P38" i="33"/>
  <c r="M82" i="33"/>
  <c r="K97" i="33"/>
  <c r="K123" i="33" s="1"/>
  <c r="I74" i="33"/>
  <c r="T97" i="33"/>
  <c r="T123" i="33" s="1"/>
  <c r="F88" i="33"/>
  <c r="F55" i="33"/>
  <c r="G35" i="33"/>
  <c r="O79" i="33"/>
  <c r="U70" i="33"/>
  <c r="R58" i="33"/>
  <c r="M84" i="33"/>
  <c r="L26" i="33"/>
  <c r="Q35" i="33"/>
  <c r="F70" i="33"/>
  <c r="Q89" i="33"/>
  <c r="L80" i="33"/>
  <c r="T92" i="33"/>
  <c r="E85" i="33"/>
  <c r="G69" i="33"/>
  <c r="Q43" i="33"/>
  <c r="J88" i="33"/>
  <c r="J52" i="33"/>
  <c r="J11" i="33"/>
  <c r="I13" i="33"/>
  <c r="N29" i="33"/>
  <c r="G81" i="33"/>
  <c r="E87" i="33"/>
  <c r="R49" i="33"/>
  <c r="M92" i="33"/>
  <c r="S71" i="33"/>
  <c r="O38" i="33"/>
  <c r="F58" i="33"/>
  <c r="L83" i="33"/>
  <c r="L7" i="33"/>
  <c r="E35" i="33"/>
  <c r="R67" i="33"/>
  <c r="P86" i="33"/>
  <c r="R69" i="33"/>
  <c r="N89" i="33"/>
  <c r="G60" i="33"/>
  <c r="L52" i="33"/>
  <c r="Q41" i="33"/>
  <c r="J86" i="33"/>
  <c r="J50" i="33"/>
  <c r="J9" i="33"/>
  <c r="U7" i="33"/>
  <c r="H13" i="33"/>
  <c r="M70" i="33"/>
  <c r="J35" i="33"/>
  <c r="S79" i="33"/>
  <c r="O92" i="33"/>
  <c r="M68" i="33"/>
  <c r="I35" i="33"/>
  <c r="N60" i="33"/>
  <c r="S85" i="33"/>
  <c r="R41" i="33"/>
  <c r="S90" i="33"/>
  <c r="K70" i="33"/>
  <c r="L38" i="33"/>
  <c r="G82" i="33"/>
  <c r="K92" i="33"/>
  <c r="I64" i="33"/>
  <c r="G83" i="33"/>
  <c r="G67" i="33"/>
  <c r="N87" i="33"/>
  <c r="G38" i="33"/>
  <c r="L11" i="33"/>
  <c r="Q39" i="33"/>
  <c r="J84" i="33"/>
  <c r="J48" i="33"/>
  <c r="J7" i="33"/>
  <c r="I5" i="33"/>
  <c r="N10" i="33"/>
  <c r="U97" i="33"/>
  <c r="U123" i="33" s="1"/>
  <c r="P92" i="33"/>
  <c r="K74" i="33"/>
  <c r="G90" i="33"/>
  <c r="O65" i="33"/>
  <c r="U90" i="33"/>
  <c r="T58" i="33"/>
  <c r="R84" i="33"/>
  <c r="R27" i="33"/>
  <c r="D90" i="33"/>
  <c r="I68" i="33"/>
  <c r="R35" i="33"/>
  <c r="S80" i="33"/>
  <c r="E92" i="33"/>
  <c r="Q90" i="33"/>
  <c r="I54" i="33"/>
  <c r="S81" i="33"/>
  <c r="L46" i="33"/>
  <c r="G84" i="33"/>
  <c r="M35" i="33"/>
  <c r="E69" i="33"/>
  <c r="E39" i="33"/>
  <c r="P83" i="33"/>
  <c r="P47" i="33"/>
  <c r="P6" i="33"/>
  <c r="H82" i="33"/>
  <c r="H5" i="33"/>
  <c r="D38" i="33"/>
  <c r="D92" i="33"/>
  <c r="R70" i="33"/>
  <c r="G88" i="33"/>
  <c r="O55" i="33"/>
  <c r="F89" i="33"/>
  <c r="H58" i="33"/>
  <c r="O83" i="33"/>
  <c r="U88" i="33"/>
  <c r="U64" i="33"/>
  <c r="F35" i="33"/>
  <c r="L79" i="33"/>
  <c r="L74" i="33"/>
  <c r="R89" i="33"/>
  <c r="R39" i="33"/>
  <c r="O71" i="33"/>
  <c r="U60" i="33"/>
  <c r="L13" i="33"/>
  <c r="K80" i="33"/>
  <c r="L90" i="33"/>
  <c r="L97" i="33"/>
  <c r="L123" i="33" s="1"/>
  <c r="Q65" i="33"/>
  <c r="Q29" i="33"/>
  <c r="J80" i="33"/>
  <c r="J44" i="33"/>
  <c r="U50" i="33"/>
  <c r="N79" i="33"/>
  <c r="M71" i="33"/>
  <c r="F65" i="33"/>
  <c r="H97" i="33"/>
  <c r="H123" i="33" s="1"/>
  <c r="E38" i="33"/>
  <c r="H90" i="33"/>
  <c r="U68" i="33"/>
  <c r="F87" i="33"/>
  <c r="L50" i="33"/>
  <c r="N38" i="33"/>
  <c r="K82" i="33"/>
  <c r="S97" i="33"/>
  <c r="S123" i="33" s="1"/>
  <c r="D88" i="33"/>
  <c r="U54" i="33"/>
  <c r="L92" i="33"/>
  <c r="R71" i="33"/>
  <c r="U58" i="33"/>
  <c r="S88" i="33"/>
  <c r="R14" i="33"/>
  <c r="S69" i="33"/>
  <c r="I60" i="33"/>
  <c r="G86" i="33"/>
  <c r="U74" i="33"/>
  <c r="L88" i="33"/>
  <c r="L58" i="33"/>
  <c r="Q63" i="33"/>
  <c r="Q27" i="33"/>
  <c r="J74" i="33"/>
  <c r="J42" i="33"/>
  <c r="U48" i="33"/>
  <c r="H68" i="33"/>
  <c r="G66" i="33"/>
  <c r="E89" i="33"/>
  <c r="L81" i="33"/>
  <c r="S83" i="33"/>
  <c r="G89" i="33"/>
  <c r="R65" i="33"/>
  <c r="D86" i="33"/>
  <c r="L42" i="33"/>
  <c r="T35" i="33"/>
  <c r="E81" i="33"/>
  <c r="K58" i="33"/>
  <c r="G97" i="33"/>
  <c r="G123" i="33" s="1"/>
  <c r="U86" i="33"/>
  <c r="F49" i="33"/>
  <c r="R90" i="33"/>
  <c r="I70" i="33"/>
  <c r="R87" i="33"/>
  <c r="Q60" i="33"/>
  <c r="D97" i="33"/>
  <c r="D123" i="33" s="1"/>
  <c r="O67" i="33"/>
  <c r="O58" i="33"/>
  <c r="F67" i="33"/>
  <c r="G85" i="33"/>
  <c r="R38" i="33"/>
  <c r="Q55" i="33"/>
  <c r="Q14" i="33"/>
  <c r="J70" i="33"/>
  <c r="J40" i="33"/>
  <c r="U46" i="33"/>
  <c r="N65" i="33"/>
  <c r="M63" i="33"/>
  <c r="F98" i="33"/>
  <c r="F124" i="33" s="1"/>
  <c r="R98" i="33"/>
  <c r="R124" i="33" s="1"/>
  <c r="L101" i="33"/>
  <c r="L127" i="33" s="1"/>
  <c r="F103" i="33"/>
  <c r="F129" i="33" s="1"/>
  <c r="R103" i="33"/>
  <c r="R129" i="33" s="1"/>
  <c r="L104" i="33"/>
  <c r="L130" i="33" s="1"/>
  <c r="F105" i="33"/>
  <c r="F131" i="33" s="1"/>
  <c r="R105" i="33"/>
  <c r="R131" i="33" s="1"/>
  <c r="E105" i="33"/>
  <c r="E131" i="33" s="1"/>
  <c r="G98" i="33"/>
  <c r="G124" i="33" s="1"/>
  <c r="S98" i="33"/>
  <c r="S124" i="33" s="1"/>
  <c r="M101" i="33"/>
  <c r="M127" i="33" s="1"/>
  <c r="G103" i="33"/>
  <c r="G129" i="33" s="1"/>
  <c r="S103" i="33"/>
  <c r="S129" i="33" s="1"/>
  <c r="M104" i="33"/>
  <c r="M130" i="33" s="1"/>
  <c r="G105" i="33"/>
  <c r="G131" i="33" s="1"/>
  <c r="S105" i="33"/>
  <c r="S131" i="33" s="1"/>
  <c r="I104" i="33"/>
  <c r="I130" i="33" s="1"/>
  <c r="E98" i="33"/>
  <c r="E124" i="33" s="1"/>
  <c r="H98" i="33"/>
  <c r="H124" i="33" s="1"/>
  <c r="T98" i="33"/>
  <c r="T124" i="33" s="1"/>
  <c r="N101" i="33"/>
  <c r="N127" i="33" s="1"/>
  <c r="H103" i="33"/>
  <c r="H129" i="33" s="1"/>
  <c r="T103" i="33"/>
  <c r="T129" i="33" s="1"/>
  <c r="N104" i="33"/>
  <c r="N130" i="33" s="1"/>
  <c r="H105" i="33"/>
  <c r="H131" i="33" s="1"/>
  <c r="T105" i="33"/>
  <c r="T131" i="33" s="1"/>
  <c r="O103" i="33"/>
  <c r="O129" i="33" s="1"/>
  <c r="Q105" i="33"/>
  <c r="Q131" i="33" s="1"/>
  <c r="I98" i="33"/>
  <c r="I124" i="33" s="1"/>
  <c r="U98" i="33"/>
  <c r="U124" i="33" s="1"/>
  <c r="O101" i="33"/>
  <c r="O127" i="33" s="1"/>
  <c r="I103" i="33"/>
  <c r="I129" i="33" s="1"/>
  <c r="U103" i="33"/>
  <c r="U129" i="33" s="1"/>
  <c r="O104" i="33"/>
  <c r="O130" i="33" s="1"/>
  <c r="I105" i="33"/>
  <c r="I131" i="33" s="1"/>
  <c r="U105" i="33"/>
  <c r="U131" i="33" s="1"/>
  <c r="K101" i="33"/>
  <c r="K127" i="33" s="1"/>
  <c r="J98" i="33"/>
  <c r="J124" i="33" s="1"/>
  <c r="D101" i="33"/>
  <c r="D127" i="33" s="1"/>
  <c r="P101" i="33"/>
  <c r="P127" i="33" s="1"/>
  <c r="J103" i="33"/>
  <c r="J129" i="33" s="1"/>
  <c r="D104" i="33"/>
  <c r="D130" i="33" s="1"/>
  <c r="P104" i="33"/>
  <c r="P130" i="33" s="1"/>
  <c r="J105" i="33"/>
  <c r="J131" i="33" s="1"/>
  <c r="I101" i="33"/>
  <c r="I127" i="33" s="1"/>
  <c r="K98" i="33"/>
  <c r="K124" i="33" s="1"/>
  <c r="E101" i="33"/>
  <c r="E127" i="33" s="1"/>
  <c r="Q101" i="33"/>
  <c r="Q127" i="33" s="1"/>
  <c r="K103" i="33"/>
  <c r="K129" i="33" s="1"/>
  <c r="E104" i="33"/>
  <c r="E130" i="33" s="1"/>
  <c r="Q104" i="33"/>
  <c r="Q130" i="33" s="1"/>
  <c r="K105" i="33"/>
  <c r="K131" i="33" s="1"/>
  <c r="O105" i="33"/>
  <c r="O131" i="33" s="1"/>
  <c r="E103" i="33"/>
  <c r="E129" i="33" s="1"/>
  <c r="L98" i="33"/>
  <c r="L124" i="33" s="1"/>
  <c r="F101" i="33"/>
  <c r="F127" i="33" s="1"/>
  <c r="R101" i="33"/>
  <c r="R127" i="33" s="1"/>
  <c r="L103" i="33"/>
  <c r="L129" i="33" s="1"/>
  <c r="F104" i="33"/>
  <c r="F130" i="33" s="1"/>
  <c r="R104" i="33"/>
  <c r="R130" i="33" s="1"/>
  <c r="L105" i="33"/>
  <c r="L131" i="33" s="1"/>
  <c r="U104" i="33"/>
  <c r="U130" i="33" s="1"/>
  <c r="Q98" i="33"/>
  <c r="Q124" i="33" s="1"/>
  <c r="M98" i="33"/>
  <c r="M124" i="33" s="1"/>
  <c r="G101" i="33"/>
  <c r="G127" i="33" s="1"/>
  <c r="S101" i="33"/>
  <c r="S127" i="33" s="1"/>
  <c r="M103" i="33"/>
  <c r="M129" i="33" s="1"/>
  <c r="G104" i="33"/>
  <c r="G130" i="33" s="1"/>
  <c r="S104" i="33"/>
  <c r="S130" i="33" s="1"/>
  <c r="M105" i="33"/>
  <c r="M131" i="33" s="1"/>
  <c r="U101" i="33"/>
  <c r="U127" i="33" s="1"/>
  <c r="N98" i="33"/>
  <c r="N124" i="33" s="1"/>
  <c r="H101" i="33"/>
  <c r="H127" i="33" s="1"/>
  <c r="T101" i="33"/>
  <c r="T127" i="33" s="1"/>
  <c r="N103" i="33"/>
  <c r="N129" i="33" s="1"/>
  <c r="H104" i="33"/>
  <c r="H130" i="33" s="1"/>
  <c r="T104" i="33"/>
  <c r="T130" i="33" s="1"/>
  <c r="N105" i="33"/>
  <c r="N131" i="33" s="1"/>
  <c r="Q103" i="33"/>
  <c r="Q129" i="33" s="1"/>
  <c r="O98" i="33"/>
  <c r="O124" i="33" s="1"/>
  <c r="D98" i="33"/>
  <c r="D124" i="33" s="1"/>
  <c r="P98" i="33"/>
  <c r="P124" i="33" s="1"/>
  <c r="J101" i="33"/>
  <c r="J127" i="33" s="1"/>
  <c r="D103" i="33"/>
  <c r="D129" i="33" s="1"/>
  <c r="P103" i="33"/>
  <c r="P129" i="33" s="1"/>
  <c r="J104" i="33"/>
  <c r="J130" i="33" s="1"/>
  <c r="D105" i="33"/>
  <c r="D131" i="33" s="1"/>
  <c r="P105" i="33"/>
  <c r="P131" i="33" s="1"/>
  <c r="K104" i="33"/>
  <c r="K130" i="33" s="1"/>
  <c r="F69" i="33"/>
  <c r="H88" i="33"/>
  <c r="R55" i="33"/>
  <c r="S84" i="33"/>
  <c r="L28" i="33"/>
  <c r="H35" i="33"/>
  <c r="Q79" i="33"/>
  <c r="J87" i="33"/>
  <c r="M60" i="33"/>
  <c r="R85" i="33"/>
  <c r="F41" i="33"/>
  <c r="S89" i="33"/>
  <c r="S67" i="33"/>
  <c r="Q97" i="33"/>
  <c r="Q123" i="33" s="1"/>
  <c r="O85" i="33"/>
  <c r="I88" i="33"/>
  <c r="J60" i="33"/>
  <c r="F47" i="33"/>
  <c r="O35" i="33"/>
  <c r="F53" i="33"/>
  <c r="O81" i="33"/>
  <c r="R92" i="33"/>
  <c r="E55" i="33"/>
  <c r="E14" i="33"/>
  <c r="P69" i="33"/>
  <c r="P39" i="33"/>
  <c r="I46" i="33"/>
  <c r="H54" i="33"/>
  <c r="M5" i="33"/>
  <c r="M13" i="33"/>
  <c r="M33" i="33"/>
  <c r="M46" i="33"/>
  <c r="M54" i="33"/>
  <c r="T6" i="33"/>
  <c r="T14" i="33"/>
  <c r="T39" i="33"/>
  <c r="T47" i="33"/>
  <c r="T55" i="33"/>
  <c r="T69" i="33"/>
  <c r="T83" i="33"/>
  <c r="U6" i="33"/>
  <c r="U14" i="33"/>
  <c r="U39" i="33"/>
  <c r="U47" i="33"/>
  <c r="U55" i="33"/>
  <c r="U69" i="33"/>
  <c r="U83" i="33"/>
  <c r="P5" i="33"/>
  <c r="P13" i="33"/>
  <c r="P33" i="33"/>
  <c r="P46" i="33"/>
  <c r="P54" i="33"/>
  <c r="P68" i="33"/>
  <c r="P82" i="33"/>
  <c r="K12" i="33"/>
  <c r="K31" i="33"/>
  <c r="K45" i="33"/>
  <c r="K53" i="33"/>
  <c r="K67" i="33"/>
  <c r="K81" i="33"/>
  <c r="K89" i="33"/>
  <c r="R11" i="33"/>
  <c r="R30" i="33"/>
  <c r="R44" i="33"/>
  <c r="R52" i="33"/>
  <c r="R66" i="33"/>
  <c r="S9" i="33"/>
  <c r="S28" i="33"/>
  <c r="S42" i="33"/>
  <c r="S50" i="33"/>
  <c r="S64" i="33"/>
  <c r="S74" i="33"/>
  <c r="T11" i="33"/>
  <c r="T30" i="33"/>
  <c r="T44" i="33"/>
  <c r="T52" i="33"/>
  <c r="T66" i="33"/>
  <c r="T80" i="33"/>
  <c r="O6" i="33"/>
  <c r="O14" i="33"/>
  <c r="O39" i="33"/>
  <c r="O47" i="33"/>
  <c r="D8" i="33"/>
  <c r="D27" i="33"/>
  <c r="D41" i="33"/>
  <c r="D49" i="33"/>
  <c r="D63" i="33"/>
  <c r="D71" i="33"/>
  <c r="D85" i="33"/>
  <c r="K7" i="33"/>
  <c r="K26" i="33"/>
  <c r="K40" i="33"/>
  <c r="K48" i="33"/>
  <c r="K56" i="33"/>
  <c r="L30" i="33"/>
  <c r="F85" i="33"/>
  <c r="F60" i="33"/>
  <c r="Q38" i="33"/>
  <c r="U82" i="33"/>
  <c r="S38" i="33"/>
  <c r="Q81" i="33"/>
  <c r="H38" i="33"/>
  <c r="L71" i="33"/>
  <c r="I92" i="33"/>
  <c r="F14" i="33"/>
  <c r="K84" i="33"/>
  <c r="P58" i="33"/>
  <c r="R47" i="33"/>
  <c r="R86" i="33"/>
  <c r="G6" i="33"/>
  <c r="G14" i="33"/>
  <c r="G39" i="33"/>
  <c r="G47" i="33"/>
  <c r="G55" i="33"/>
  <c r="N7" i="33"/>
  <c r="N26" i="33"/>
  <c r="N40" i="33"/>
  <c r="N48" i="33"/>
  <c r="N56" i="33"/>
  <c r="N70" i="33"/>
  <c r="N84" i="33"/>
  <c r="O7" i="33"/>
  <c r="O26" i="33"/>
  <c r="O40" i="33"/>
  <c r="O48" i="33"/>
  <c r="O56" i="33"/>
  <c r="O70" i="33"/>
  <c r="O84" i="33"/>
  <c r="J6" i="33"/>
  <c r="J14" i="33"/>
  <c r="J39" i="33"/>
  <c r="J47" i="33"/>
  <c r="J55" i="33"/>
  <c r="J69" i="33"/>
  <c r="E5" i="33"/>
  <c r="E13" i="33"/>
  <c r="E33" i="33"/>
  <c r="E46" i="33"/>
  <c r="E54" i="33"/>
  <c r="E68" i="33"/>
  <c r="E82" i="33"/>
  <c r="E90" i="33"/>
  <c r="L12" i="33"/>
  <c r="L31" i="33"/>
  <c r="L45" i="33"/>
  <c r="L53" i="33"/>
  <c r="L67" i="33"/>
  <c r="M10" i="33"/>
  <c r="M29" i="33"/>
  <c r="M43" i="33"/>
  <c r="M51" i="33"/>
  <c r="M65" i="33"/>
  <c r="M79" i="33"/>
  <c r="N12" i="33"/>
  <c r="N31" i="33"/>
  <c r="N45" i="33"/>
  <c r="N53" i="33"/>
  <c r="N67" i="33"/>
  <c r="N81" i="33"/>
  <c r="I7" i="33"/>
  <c r="I26" i="33"/>
  <c r="I40" i="33"/>
  <c r="I48" i="33"/>
  <c r="P8" i="33"/>
  <c r="P27" i="33"/>
  <c r="P41" i="33"/>
  <c r="P49" i="33"/>
  <c r="P63" i="33"/>
  <c r="P71" i="33"/>
  <c r="P85" i="33"/>
  <c r="E8" i="33"/>
  <c r="E27" i="33"/>
  <c r="E41" i="33"/>
  <c r="E49" i="33"/>
  <c r="E63" i="33"/>
  <c r="L44" i="33"/>
  <c r="I86" i="33"/>
  <c r="R60" i="33"/>
  <c r="F12" i="33"/>
  <c r="F84" i="33"/>
  <c r="M58" i="33"/>
  <c r="J89" i="33"/>
  <c r="E83" i="33"/>
  <c r="T38" i="33"/>
  <c r="E79" i="33"/>
  <c r="U92" i="33"/>
  <c r="F39" i="33"/>
  <c r="M85" i="33"/>
  <c r="S6" i="33"/>
  <c r="S14" i="33"/>
  <c r="S39" i="33"/>
  <c r="S47" i="33"/>
  <c r="S55" i="33"/>
  <c r="H8" i="33"/>
  <c r="H27" i="33"/>
  <c r="H41" i="33"/>
  <c r="H49" i="33"/>
  <c r="H63" i="33"/>
  <c r="H71" i="33"/>
  <c r="H85" i="33"/>
  <c r="I8" i="33"/>
  <c r="I27" i="33"/>
  <c r="I41" i="33"/>
  <c r="I49" i="33"/>
  <c r="I63" i="33"/>
  <c r="I71" i="33"/>
  <c r="I85" i="33"/>
  <c r="D7" i="33"/>
  <c r="D26" i="33"/>
  <c r="D40" i="33"/>
  <c r="D48" i="33"/>
  <c r="D56" i="33"/>
  <c r="D70" i="33"/>
  <c r="Q5" i="33"/>
  <c r="Q13" i="33"/>
  <c r="Q33" i="33"/>
  <c r="Q46" i="33"/>
  <c r="Q54" i="33"/>
  <c r="Q68" i="33"/>
  <c r="Q82" i="33"/>
  <c r="F5" i="33"/>
  <c r="F13" i="33"/>
  <c r="F33" i="33"/>
  <c r="F46" i="33"/>
  <c r="F54" i="33"/>
  <c r="F68" i="33"/>
  <c r="G11" i="33"/>
  <c r="G30" i="33"/>
  <c r="G44" i="33"/>
  <c r="M7" i="33"/>
  <c r="M26" i="33"/>
  <c r="M40" i="33"/>
  <c r="M48" i="33"/>
  <c r="M56" i="33"/>
  <c r="T8" i="33"/>
  <c r="T27" i="33"/>
  <c r="T41" i="33"/>
  <c r="T49" i="33"/>
  <c r="T63" i="33"/>
  <c r="T71" i="33"/>
  <c r="T85" i="33"/>
  <c r="U8" i="33"/>
  <c r="U27" i="33"/>
  <c r="U41" i="33"/>
  <c r="U49" i="33"/>
  <c r="U63" i="33"/>
  <c r="U71" i="33"/>
  <c r="U85" i="33"/>
  <c r="P7" i="33"/>
  <c r="P26" i="33"/>
  <c r="P40" i="33"/>
  <c r="P48" i="33"/>
  <c r="P56" i="33"/>
  <c r="P70" i="33"/>
  <c r="K6" i="33"/>
  <c r="K14" i="33"/>
  <c r="K39" i="33"/>
  <c r="K47" i="33"/>
  <c r="K55" i="33"/>
  <c r="K69" i="33"/>
  <c r="K83" i="33"/>
  <c r="R5" i="33"/>
  <c r="R13" i="33"/>
  <c r="R33" i="33"/>
  <c r="R46" i="33"/>
  <c r="R54" i="33"/>
  <c r="R68" i="33"/>
  <c r="S11" i="33"/>
  <c r="S30" i="33"/>
  <c r="S44" i="33"/>
  <c r="S52" i="33"/>
  <c r="S66" i="33"/>
  <c r="T5" i="33"/>
  <c r="T13" i="33"/>
  <c r="T33" i="33"/>
  <c r="T46" i="33"/>
  <c r="T54" i="33"/>
  <c r="T68" i="33"/>
  <c r="T82" i="33"/>
  <c r="O8" i="33"/>
  <c r="O27" i="33"/>
  <c r="O41" i="33"/>
  <c r="O49" i="33"/>
  <c r="D10" i="33"/>
  <c r="D29" i="33"/>
  <c r="D43" i="33"/>
  <c r="D51" i="33"/>
  <c r="D65" i="33"/>
  <c r="D79" i="33"/>
  <c r="D87" i="33"/>
  <c r="K9" i="33"/>
  <c r="K28" i="33"/>
  <c r="K42" i="33"/>
  <c r="K50" i="33"/>
  <c r="K64" i="33"/>
  <c r="L56" i="33"/>
  <c r="K88" i="33"/>
  <c r="F45" i="33"/>
  <c r="K86" i="33"/>
  <c r="S60" i="33"/>
  <c r="R31" i="33"/>
  <c r="J85" i="33"/>
  <c r="H60" i="33"/>
  <c r="E60" i="33"/>
  <c r="R81" i="33"/>
  <c r="I38" i="33"/>
  <c r="R53" i="33"/>
  <c r="Q87" i="33"/>
  <c r="P97" i="33"/>
  <c r="P123" i="33" s="1"/>
  <c r="G8" i="33"/>
  <c r="G27" i="33"/>
  <c r="G41" i="33"/>
  <c r="G49" i="33"/>
  <c r="G63" i="33"/>
  <c r="N9" i="33"/>
  <c r="N28" i="33"/>
  <c r="N42" i="33"/>
  <c r="N50" i="33"/>
  <c r="N64" i="33"/>
  <c r="N74" i="33"/>
  <c r="N86" i="33"/>
  <c r="O9" i="33"/>
  <c r="O28" i="33"/>
  <c r="O42" i="33"/>
  <c r="O50" i="33"/>
  <c r="O64" i="33"/>
  <c r="O74" i="33"/>
  <c r="O86" i="33"/>
  <c r="J8" i="33"/>
  <c r="J27" i="33"/>
  <c r="J41" i="33"/>
  <c r="J49" i="33"/>
  <c r="J63" i="33"/>
  <c r="J71" i="33"/>
  <c r="E7" i="33"/>
  <c r="E26" i="33"/>
  <c r="E40" i="33"/>
  <c r="E48" i="33"/>
  <c r="E56" i="33"/>
  <c r="E70" i="33"/>
  <c r="E84" i="33"/>
  <c r="L6" i="33"/>
  <c r="L14" i="33"/>
  <c r="L39" i="33"/>
  <c r="L47" i="33"/>
  <c r="L55" i="33"/>
  <c r="L69" i="33"/>
  <c r="M12" i="33"/>
  <c r="M31" i="33"/>
  <c r="M45" i="33"/>
  <c r="M53" i="33"/>
  <c r="M67" i="33"/>
  <c r="N6" i="33"/>
  <c r="N14" i="33"/>
  <c r="N39" i="33"/>
  <c r="N47" i="33"/>
  <c r="N55" i="33"/>
  <c r="N69" i="33"/>
  <c r="N83" i="33"/>
  <c r="I9" i="33"/>
  <c r="I28" i="33"/>
  <c r="I42" i="33"/>
  <c r="I50" i="33"/>
  <c r="P10" i="33"/>
  <c r="P29" i="33"/>
  <c r="P43" i="33"/>
  <c r="P51" i="33"/>
  <c r="P65" i="33"/>
  <c r="P79" i="33"/>
  <c r="P87" i="33"/>
  <c r="E10" i="33"/>
  <c r="E29" i="33"/>
  <c r="E43" i="33"/>
  <c r="E51" i="33"/>
  <c r="E65" i="33"/>
  <c r="L66" i="33"/>
  <c r="L89" i="33"/>
  <c r="U52" i="33"/>
  <c r="M87" i="33"/>
  <c r="M97" i="33"/>
  <c r="M123" i="33" s="1"/>
  <c r="R45" i="33"/>
  <c r="L86" i="33"/>
  <c r="T60" i="33"/>
  <c r="L5" i="33"/>
  <c r="F83" i="33"/>
  <c r="U38" i="33"/>
  <c r="R63" i="33"/>
  <c r="R88" i="33"/>
  <c r="S8" i="33"/>
  <c r="S27" i="33"/>
  <c r="S49" i="33"/>
  <c r="S63" i="33"/>
  <c r="H10" i="33"/>
  <c r="H29" i="33"/>
  <c r="H43" i="33"/>
  <c r="H51" i="33"/>
  <c r="H65" i="33"/>
  <c r="H79" i="33"/>
  <c r="H87" i="33"/>
  <c r="I10" i="33"/>
  <c r="I29" i="33"/>
  <c r="I43" i="33"/>
  <c r="I51" i="33"/>
  <c r="I65" i="33"/>
  <c r="I79" i="33"/>
  <c r="I87" i="33"/>
  <c r="D9" i="33"/>
  <c r="D28" i="33"/>
  <c r="D42" i="33"/>
  <c r="D50" i="33"/>
  <c r="D64" i="33"/>
  <c r="D74" i="33"/>
  <c r="Q7" i="33"/>
  <c r="Q26" i="33"/>
  <c r="Q40" i="33"/>
  <c r="Q48" i="33"/>
  <c r="Q56" i="33"/>
  <c r="Q70" i="33"/>
  <c r="Q84" i="33"/>
  <c r="F7" i="33"/>
  <c r="F26" i="33"/>
  <c r="F40" i="33"/>
  <c r="F48" i="33"/>
  <c r="F56" i="33"/>
  <c r="G5" i="33"/>
  <c r="G13" i="33"/>
  <c r="G33" i="33"/>
  <c r="G46" i="33"/>
  <c r="G54" i="33"/>
  <c r="G68" i="33"/>
  <c r="H7" i="33"/>
  <c r="H26" i="33"/>
  <c r="H40" i="33"/>
  <c r="H48" i="33"/>
  <c r="H56" i="33"/>
  <c r="H70" i="33"/>
  <c r="H84" i="33"/>
  <c r="U9" i="33"/>
  <c r="U28" i="33"/>
  <c r="U42" i="33"/>
  <c r="M9" i="33"/>
  <c r="M28" i="33"/>
  <c r="M42" i="33"/>
  <c r="M50" i="33"/>
  <c r="M64" i="33"/>
  <c r="T10" i="33"/>
  <c r="T29" i="33"/>
  <c r="T43" i="33"/>
  <c r="T51" i="33"/>
  <c r="T65" i="33"/>
  <c r="T79" i="33"/>
  <c r="T87" i="33"/>
  <c r="U10" i="33"/>
  <c r="U29" i="33"/>
  <c r="U43" i="33"/>
  <c r="U51" i="33"/>
  <c r="U65" i="33"/>
  <c r="U79" i="33"/>
  <c r="U87" i="33"/>
  <c r="P9" i="33"/>
  <c r="P28" i="33"/>
  <c r="P42" i="33"/>
  <c r="P50" i="33"/>
  <c r="P64" i="33"/>
  <c r="P74" i="33"/>
  <c r="K8" i="33"/>
  <c r="K27" i="33"/>
  <c r="K41" i="33"/>
  <c r="K49" i="33"/>
  <c r="K63" i="33"/>
  <c r="K71" i="33"/>
  <c r="K85" i="33"/>
  <c r="R7" i="33"/>
  <c r="R26" i="33"/>
  <c r="R40" i="33"/>
  <c r="R48" i="33"/>
  <c r="R56" i="33"/>
  <c r="S5" i="33"/>
  <c r="S13" i="33"/>
  <c r="S33" i="33"/>
  <c r="S46" i="33"/>
  <c r="S54" i="33"/>
  <c r="S68" i="33"/>
  <c r="T7" i="33"/>
  <c r="T26" i="33"/>
  <c r="T40" i="33"/>
  <c r="T48" i="33"/>
  <c r="T56" i="33"/>
  <c r="T70" i="33"/>
  <c r="T84" i="33"/>
  <c r="O10" i="33"/>
  <c r="O29" i="33"/>
  <c r="O43" i="33"/>
  <c r="O51" i="33"/>
  <c r="D12" i="33"/>
  <c r="D31" i="33"/>
  <c r="D45" i="33"/>
  <c r="D53" i="33"/>
  <c r="D67" i="33"/>
  <c r="D81" i="33"/>
  <c r="D89" i="33"/>
  <c r="K11" i="33"/>
  <c r="K30" i="33"/>
  <c r="K44" i="33"/>
  <c r="K52" i="33"/>
  <c r="K66" i="33"/>
  <c r="E71" i="33"/>
  <c r="F92" i="33"/>
  <c r="U66" i="33"/>
  <c r="M89" i="33"/>
  <c r="F63" i="33"/>
  <c r="M88" i="33"/>
  <c r="L33" i="33"/>
  <c r="L85" i="33"/>
  <c r="G10" i="33"/>
  <c r="G29" i="33"/>
  <c r="G43" i="33"/>
  <c r="G51" i="33"/>
  <c r="G65" i="33"/>
  <c r="N11" i="33"/>
  <c r="N30" i="33"/>
  <c r="N44" i="33"/>
  <c r="N52" i="33"/>
  <c r="N66" i="33"/>
  <c r="N80" i="33"/>
  <c r="N88" i="33"/>
  <c r="O11" i="33"/>
  <c r="O30" i="33"/>
  <c r="O44" i="33"/>
  <c r="O52" i="33"/>
  <c r="O66" i="33"/>
  <c r="O80" i="33"/>
  <c r="O88" i="33"/>
  <c r="J10" i="33"/>
  <c r="J29" i="33"/>
  <c r="J43" i="33"/>
  <c r="J51" i="33"/>
  <c r="J65" i="33"/>
  <c r="J79" i="33"/>
  <c r="E9" i="33"/>
  <c r="E28" i="33"/>
  <c r="E42" i="33"/>
  <c r="E50" i="33"/>
  <c r="E64" i="33"/>
  <c r="E74" i="33"/>
  <c r="E86" i="33"/>
  <c r="L8" i="33"/>
  <c r="L27" i="33"/>
  <c r="L41" i="33"/>
  <c r="L49" i="33"/>
  <c r="L63" i="33"/>
  <c r="M6" i="33"/>
  <c r="M14" i="33"/>
  <c r="M39" i="33"/>
  <c r="M47" i="33"/>
  <c r="M55" i="33"/>
  <c r="M69" i="33"/>
  <c r="N8" i="33"/>
  <c r="N27" i="33"/>
  <c r="N41" i="33"/>
  <c r="N49" i="33"/>
  <c r="N63" i="33"/>
  <c r="N71" i="33"/>
  <c r="N85" i="33"/>
  <c r="I11" i="33"/>
  <c r="I30" i="33"/>
  <c r="I44" i="33"/>
  <c r="I52" i="33"/>
  <c r="P12" i="33"/>
  <c r="P31" i="33"/>
  <c r="P45" i="33"/>
  <c r="P53" i="33"/>
  <c r="P67" i="33"/>
  <c r="P81" i="33"/>
  <c r="P89" i="33"/>
  <c r="E12" i="33"/>
  <c r="E31" i="33"/>
  <c r="E45" i="33"/>
  <c r="E53" i="33"/>
  <c r="E67" i="33"/>
  <c r="M74" i="33"/>
  <c r="S10" i="33"/>
  <c r="S29" i="33"/>
  <c r="S43" i="33"/>
  <c r="S51" i="33"/>
  <c r="S65" i="33"/>
  <c r="H12" i="33"/>
  <c r="H31" i="33"/>
  <c r="H45" i="33"/>
  <c r="H53" i="33"/>
  <c r="H67" i="33"/>
  <c r="H81" i="33"/>
  <c r="H89" i="33"/>
  <c r="I12" i="33"/>
  <c r="I31" i="33"/>
  <c r="I45" i="33"/>
  <c r="I53" i="33"/>
  <c r="I67" i="33"/>
  <c r="I81" i="33"/>
  <c r="I89" i="33"/>
  <c r="D11" i="33"/>
  <c r="D30" i="33"/>
  <c r="D44" i="33"/>
  <c r="D52" i="33"/>
  <c r="D66" i="33"/>
  <c r="D80" i="33"/>
  <c r="Q9" i="33"/>
  <c r="Q28" i="33"/>
  <c r="Q42" i="33"/>
  <c r="Q50" i="33"/>
  <c r="Q64" i="33"/>
  <c r="Q74" i="33"/>
  <c r="Q86" i="33"/>
  <c r="F9" i="33"/>
  <c r="F28" i="33"/>
  <c r="F42" i="33"/>
  <c r="F50" i="33"/>
  <c r="F64" i="33"/>
  <c r="G7" i="33"/>
  <c r="G26" i="33"/>
  <c r="G40" i="33"/>
  <c r="G48" i="33"/>
  <c r="G56" i="33"/>
  <c r="G70" i="33"/>
  <c r="H9" i="33"/>
  <c r="H28" i="33"/>
  <c r="H42" i="33"/>
  <c r="H50" i="33"/>
  <c r="H64" i="33"/>
  <c r="H74" i="33"/>
  <c r="H86" i="33"/>
  <c r="U11" i="33"/>
  <c r="U30" i="33"/>
  <c r="U44" i="33"/>
  <c r="J5" i="33"/>
  <c r="J13" i="33"/>
  <c r="J33" i="33"/>
  <c r="J46" i="33"/>
  <c r="J54" i="33"/>
  <c r="J68" i="33"/>
  <c r="J82" i="33"/>
  <c r="J90" i="33"/>
  <c r="Q12" i="33"/>
  <c r="Q31" i="33"/>
  <c r="Q45" i="33"/>
  <c r="Q53" i="33"/>
  <c r="Q67" i="33"/>
  <c r="G80" i="33"/>
  <c r="L35" i="33"/>
  <c r="F71" i="33"/>
  <c r="G92" i="33"/>
  <c r="Q69" i="33"/>
  <c r="M90" i="33"/>
  <c r="O53" i="33"/>
  <c r="O87" i="33"/>
  <c r="O97" i="33"/>
  <c r="O123" i="33" s="1"/>
  <c r="F80" i="33"/>
  <c r="F79" i="33"/>
  <c r="D35" i="33"/>
  <c r="F82" i="33"/>
  <c r="K38" i="33"/>
  <c r="M11" i="33"/>
  <c r="M30" i="33"/>
  <c r="M44" i="33"/>
  <c r="M52" i="33"/>
  <c r="M66" i="33"/>
  <c r="T12" i="33"/>
  <c r="T31" i="33"/>
  <c r="T45" i="33"/>
  <c r="T53" i="33"/>
  <c r="T67" i="33"/>
  <c r="T81" i="33"/>
  <c r="T89" i="33"/>
  <c r="U12" i="33"/>
  <c r="U31" i="33"/>
  <c r="U45" i="33"/>
  <c r="U53" i="33"/>
  <c r="U67" i="33"/>
  <c r="U81" i="33"/>
  <c r="U89" i="33"/>
  <c r="P11" i="33"/>
  <c r="P30" i="33"/>
  <c r="P44" i="33"/>
  <c r="P52" i="33"/>
  <c r="P66" i="33"/>
  <c r="P80" i="33"/>
  <c r="K10" i="33"/>
  <c r="K29" i="33"/>
  <c r="K43" i="33"/>
  <c r="K51" i="33"/>
  <c r="K65" i="33"/>
  <c r="K79" i="33"/>
  <c r="K87" i="33"/>
  <c r="R9" i="33"/>
  <c r="R28" i="33"/>
  <c r="R42" i="33"/>
  <c r="R50" i="33"/>
  <c r="R64" i="33"/>
  <c r="S7" i="33"/>
  <c r="S26" i="33"/>
  <c r="S40" i="33"/>
  <c r="S48" i="33"/>
  <c r="S56" i="33"/>
  <c r="S70" i="33"/>
  <c r="T9" i="33"/>
  <c r="T28" i="33"/>
  <c r="T42" i="33"/>
  <c r="T50" i="33"/>
  <c r="T64" i="33"/>
  <c r="T74" i="33"/>
  <c r="T86" i="33"/>
  <c r="O12" i="33"/>
  <c r="O31" i="33"/>
  <c r="O45" i="33"/>
  <c r="D6" i="33"/>
  <c r="D14" i="33"/>
  <c r="D39" i="33"/>
  <c r="D47" i="33"/>
  <c r="D55" i="33"/>
  <c r="D69" i="33"/>
  <c r="D83" i="33"/>
  <c r="K5" i="33"/>
  <c r="K13" i="33"/>
  <c r="K33" i="33"/>
  <c r="K46" i="33"/>
  <c r="K54" i="33"/>
  <c r="K68" i="33"/>
  <c r="M81" i="33"/>
  <c r="F38" i="33"/>
  <c r="I97" i="33"/>
  <c r="I123" i="33" s="1"/>
  <c r="R74" i="33"/>
  <c r="S92" i="33"/>
  <c r="G71" i="33"/>
  <c r="H92" i="33"/>
  <c r="O63" i="33"/>
  <c r="P88" i="33"/>
  <c r="Q92" i="33"/>
  <c r="M80" i="33"/>
  <c r="P35" i="33"/>
  <c r="R6" i="33"/>
  <c r="J83" i="33"/>
  <c r="G12" i="33"/>
  <c r="G31" i="33"/>
  <c r="G45" i="33"/>
  <c r="G53" i="33"/>
  <c r="N5" i="33"/>
  <c r="N13" i="33"/>
  <c r="N33" i="33"/>
  <c r="N46" i="33"/>
  <c r="N54" i="33"/>
  <c r="N68" i="33"/>
  <c r="N82" i="33"/>
  <c r="O5" i="33"/>
  <c r="O13" i="33"/>
  <c r="O33" i="33"/>
  <c r="O46" i="33"/>
  <c r="O54" i="33"/>
  <c r="O68" i="33"/>
  <c r="O82" i="33"/>
  <c r="O90" i="33"/>
  <c r="J12" i="33"/>
  <c r="J31" i="33"/>
  <c r="J45" i="33"/>
  <c r="J53" i="33"/>
  <c r="J67" i="33"/>
  <c r="J81" i="33"/>
  <c r="E11" i="33"/>
  <c r="E30" i="33"/>
  <c r="E44" i="33"/>
  <c r="E52" i="33"/>
  <c r="E66" i="33"/>
  <c r="E80" i="33"/>
  <c r="E88" i="33"/>
  <c r="L10" i="33"/>
  <c r="L29" i="33"/>
  <c r="L43" i="33"/>
  <c r="L51" i="33"/>
  <c r="L65" i="33"/>
  <c r="M8" i="33"/>
  <c r="M27" i="33"/>
  <c r="S12" i="33"/>
  <c r="S31" i="33"/>
  <c r="S45" i="33"/>
  <c r="S53" i="33"/>
  <c r="H6" i="33"/>
  <c r="H14" i="33"/>
  <c r="H39" i="33"/>
  <c r="H47" i="33"/>
  <c r="H55" i="33"/>
  <c r="H69" i="33"/>
  <c r="H83" i="33"/>
  <c r="I6" i="33"/>
  <c r="I14" i="33"/>
  <c r="I39" i="33"/>
  <c r="I47" i="33"/>
  <c r="I55" i="33"/>
  <c r="I69" i="33"/>
  <c r="I83" i="33"/>
  <c r="D5" i="33"/>
  <c r="D13" i="33"/>
  <c r="D33" i="33"/>
  <c r="D46" i="33"/>
  <c r="D54" i="33"/>
  <c r="D68" i="33"/>
  <c r="D82" i="33"/>
  <c r="Q11" i="33"/>
  <c r="Q30" i="33"/>
  <c r="Q44" i="33"/>
  <c r="Q52" i="33"/>
  <c r="Q66" i="33"/>
  <c r="Q80" i="33"/>
  <c r="Q88" i="33"/>
  <c r="F11" i="33"/>
  <c r="F30" i="33"/>
  <c r="F44" i="33"/>
  <c r="F52" i="33"/>
  <c r="F66" i="33"/>
  <c r="G9" i="33"/>
  <c r="G28" i="33"/>
  <c r="G42" i="33"/>
  <c r="G50" i="33"/>
  <c r="G64" i="33"/>
  <c r="G74" i="33"/>
  <c r="H11" i="33"/>
  <c r="H30" i="33"/>
  <c r="H44" i="33"/>
  <c r="H52" i="33"/>
  <c r="H66" i="33"/>
  <c r="H80" i="33"/>
  <c r="U5" i="33"/>
  <c r="U13" i="33"/>
  <c r="J97" i="33"/>
  <c r="J123" i="33" s="1"/>
  <c r="F51" i="33"/>
  <c r="L9" i="33"/>
  <c r="N92" i="33"/>
  <c r="F74" i="33"/>
  <c r="S58" i="33"/>
  <c r="P84" i="33"/>
  <c r="F27" i="33"/>
  <c r="T88" i="33"/>
  <c r="L64" i="33"/>
  <c r="E97" i="33"/>
  <c r="E123" i="33" s="1"/>
  <c r="L84" i="33"/>
  <c r="D58" i="33"/>
  <c r="F6" i="33"/>
  <c r="N90" i="33"/>
  <c r="R12" i="33"/>
  <c r="I80" i="33"/>
  <c r="K90" i="33"/>
  <c r="Q51" i="33"/>
  <c r="Q10" i="33"/>
  <c r="J66" i="33"/>
  <c r="J30" i="33"/>
  <c r="U40" i="33"/>
  <c r="N51" i="33"/>
  <c r="M49" i="33"/>
  <c r="I66" i="33"/>
  <c r="G87" i="33"/>
  <c r="Q83" i="33"/>
  <c r="I56" i="33"/>
  <c r="P60" i="33"/>
  <c r="F86" i="33"/>
  <c r="F43" i="33"/>
  <c r="L82" i="33"/>
  <c r="T90" i="33"/>
  <c r="L70" i="33"/>
  <c r="U35" i="33"/>
  <c r="G58" i="33"/>
  <c r="M83" i="33"/>
  <c r="F8" i="33"/>
  <c r="R97" i="33"/>
  <c r="R123" i="33" s="1"/>
  <c r="S87" i="33"/>
  <c r="L54" i="33"/>
  <c r="K60" i="33"/>
  <c r="R80" i="33"/>
  <c r="J38" i="33"/>
  <c r="O89" i="33"/>
  <c r="N97" i="33"/>
  <c r="N123" i="33" s="1"/>
  <c r="I58" i="33"/>
  <c r="O69" i="33"/>
  <c r="L87" i="33"/>
  <c r="Q49" i="33"/>
  <c r="Q8" i="33"/>
  <c r="J64" i="33"/>
  <c r="J28" i="33"/>
  <c r="U33" i="33"/>
  <c r="H46" i="33"/>
  <c r="M41" i="33"/>
  <c r="L110" i="33" l="1"/>
  <c r="H110" i="33"/>
  <c r="F110" i="33"/>
  <c r="O110" i="33"/>
  <c r="K110" i="33"/>
  <c r="P110" i="33"/>
  <c r="E110" i="33"/>
  <c r="J110" i="33"/>
  <c r="G110" i="33"/>
  <c r="N110" i="33"/>
  <c r="R110" i="33"/>
  <c r="Q110" i="33"/>
  <c r="T110" i="33"/>
  <c r="D110" i="33"/>
  <c r="I110" i="33"/>
  <c r="S110" i="33"/>
  <c r="U110" i="33"/>
  <c r="M110" i="33"/>
  <c r="X19" i="33"/>
  <c r="AB19" i="33" s="1"/>
  <c r="X18" i="33"/>
  <c r="AB18" i="33" s="1"/>
  <c r="X17" i="33"/>
  <c r="AB17" i="33" s="1"/>
  <c r="X22" i="33"/>
  <c r="AB22" i="33" s="1"/>
  <c r="X15" i="33"/>
  <c r="AB15" i="33" s="1"/>
  <c r="X16" i="33"/>
  <c r="AB16" i="33" s="1"/>
  <c r="C110" i="33"/>
  <c r="X21" i="33"/>
  <c r="AB21" i="33" s="1"/>
  <c r="X20" i="33"/>
  <c r="AB20" i="33" s="1"/>
  <c r="X25" i="33"/>
  <c r="AB25" i="33" s="1"/>
  <c r="X24" i="33"/>
  <c r="AB24" i="33" s="1"/>
  <c r="X23" i="33"/>
  <c r="AB23" i="33" s="1"/>
  <c r="G139" i="33"/>
  <c r="O109" i="33"/>
  <c r="O150" i="33" s="1"/>
  <c r="G109" i="33"/>
  <c r="G150" i="33" s="1"/>
  <c r="F109" i="33"/>
  <c r="F150" i="33" s="1"/>
  <c r="M109" i="33"/>
  <c r="M150" i="33" s="1"/>
  <c r="E109" i="33"/>
  <c r="E150" i="33" s="1"/>
  <c r="U109" i="33"/>
  <c r="U150" i="33" s="1"/>
  <c r="N109" i="33"/>
  <c r="N150" i="33" s="1"/>
  <c r="K109" i="33"/>
  <c r="K150" i="33" s="1"/>
  <c r="H109" i="33"/>
  <c r="H150" i="33" s="1"/>
  <c r="L109" i="33"/>
  <c r="L150" i="33" s="1"/>
  <c r="P109" i="33"/>
  <c r="P150" i="33" s="1"/>
  <c r="J109" i="33"/>
  <c r="J150" i="33" s="1"/>
  <c r="S109" i="33"/>
  <c r="S150" i="33" s="1"/>
  <c r="R109" i="33"/>
  <c r="R150" i="33" s="1"/>
  <c r="Q109" i="33"/>
  <c r="Q150" i="33" s="1"/>
  <c r="I109" i="33"/>
  <c r="I150" i="33" s="1"/>
  <c r="T109" i="33"/>
  <c r="T150" i="33" s="1"/>
  <c r="D109" i="33"/>
  <c r="D150" i="33" s="1"/>
  <c r="C109" i="33"/>
  <c r="C150" i="33" s="1"/>
  <c r="P139" i="33"/>
  <c r="C111" i="33"/>
  <c r="C114" i="33"/>
  <c r="C117" i="33"/>
  <c r="C116" i="33"/>
  <c r="C136" i="33" s="1"/>
  <c r="C118" i="33"/>
  <c r="C138" i="33" s="1"/>
  <c r="C113" i="33"/>
  <c r="C112" i="33"/>
  <c r="C115" i="33"/>
  <c r="C106" i="33"/>
  <c r="S139" i="33"/>
  <c r="N139" i="33"/>
  <c r="X72" i="33"/>
  <c r="AB72" i="33" s="1"/>
  <c r="M111" i="33"/>
  <c r="Q117" i="33"/>
  <c r="Q137" i="33" s="1"/>
  <c r="G117" i="33"/>
  <c r="G137" i="33" s="1"/>
  <c r="T114" i="33"/>
  <c r="S117" i="33"/>
  <c r="S137" i="33" s="1"/>
  <c r="M157" i="33"/>
  <c r="R114" i="33"/>
  <c r="D113" i="33"/>
  <c r="M113" i="33"/>
  <c r="P117" i="33"/>
  <c r="P137" i="33" s="1"/>
  <c r="F111" i="33"/>
  <c r="H113" i="33"/>
  <c r="I141" i="33"/>
  <c r="I156" i="33"/>
  <c r="N113" i="33"/>
  <c r="J113" i="33"/>
  <c r="P113" i="33"/>
  <c r="P142" i="33"/>
  <c r="P157" i="33"/>
  <c r="M161" i="33"/>
  <c r="M147" i="33"/>
  <c r="L145" i="33"/>
  <c r="L159" i="33"/>
  <c r="K142" i="33"/>
  <c r="K157" i="33"/>
  <c r="O160" i="33"/>
  <c r="O146" i="33"/>
  <c r="T159" i="33"/>
  <c r="T145" i="33"/>
  <c r="S159" i="33"/>
  <c r="S145" i="33"/>
  <c r="N118" i="33"/>
  <c r="N138" i="33" s="1"/>
  <c r="R113" i="33"/>
  <c r="U141" i="33"/>
  <c r="U156" i="33"/>
  <c r="D117" i="33"/>
  <c r="D153" i="33" s="1"/>
  <c r="N117" i="33"/>
  <c r="L158" i="33"/>
  <c r="L144" i="33"/>
  <c r="M142" i="33"/>
  <c r="N143" i="33"/>
  <c r="P143" i="33"/>
  <c r="Q139" i="33"/>
  <c r="Q154" i="33"/>
  <c r="I139" i="33"/>
  <c r="I154" i="33"/>
  <c r="J111" i="33"/>
  <c r="N114" i="33"/>
  <c r="T111" i="33"/>
  <c r="Q156" i="33"/>
  <c r="Q141" i="33"/>
  <c r="S146" i="33"/>
  <c r="S160" i="33"/>
  <c r="U159" i="33"/>
  <c r="U145" i="33"/>
  <c r="H159" i="33"/>
  <c r="H145" i="33"/>
  <c r="G145" i="33"/>
  <c r="G159" i="33"/>
  <c r="R142" i="33"/>
  <c r="R157" i="33"/>
  <c r="G141" i="33"/>
  <c r="G156" i="33"/>
  <c r="U114" i="33"/>
  <c r="T141" i="33"/>
  <c r="T156" i="33"/>
  <c r="F112" i="33"/>
  <c r="I117" i="33"/>
  <c r="P115" i="33"/>
  <c r="N112" i="33"/>
  <c r="G143" i="33"/>
  <c r="Q158" i="33"/>
  <c r="Q144" i="33"/>
  <c r="H142" i="33"/>
  <c r="D154" i="33"/>
  <c r="F140" i="33"/>
  <c r="F155" i="33"/>
  <c r="U154" i="33"/>
  <c r="U139" i="33"/>
  <c r="G114" i="33"/>
  <c r="K118" i="33"/>
  <c r="K138" i="33" s="1"/>
  <c r="F118" i="33"/>
  <c r="F138" i="33" s="1"/>
  <c r="R116" i="33"/>
  <c r="R136" i="33" s="1"/>
  <c r="F113" i="33"/>
  <c r="P111" i="33"/>
  <c r="M118" i="33"/>
  <c r="M138" i="33" s="1"/>
  <c r="T113" i="33"/>
  <c r="O157" i="33"/>
  <c r="O142" i="33"/>
  <c r="G160" i="33"/>
  <c r="G146" i="33"/>
  <c r="J147" i="33"/>
  <c r="J161" i="33"/>
  <c r="I159" i="33"/>
  <c r="I145" i="33"/>
  <c r="F157" i="33"/>
  <c r="F142" i="33"/>
  <c r="J114" i="33"/>
  <c r="R112" i="33"/>
  <c r="F117" i="33"/>
  <c r="K112" i="33"/>
  <c r="U117" i="33"/>
  <c r="F115" i="33"/>
  <c r="P112" i="33"/>
  <c r="S143" i="33"/>
  <c r="O144" i="33"/>
  <c r="O158" i="33"/>
  <c r="L143" i="33"/>
  <c r="T142" i="33"/>
  <c r="R140" i="33"/>
  <c r="R155" i="33"/>
  <c r="J140" i="33"/>
  <c r="J155" i="33"/>
  <c r="J156" i="33"/>
  <c r="J141" i="33"/>
  <c r="K116" i="33"/>
  <c r="K136" i="33" s="1"/>
  <c r="U118" i="33"/>
  <c r="U138" i="33" s="1"/>
  <c r="H118" i="33"/>
  <c r="H138" i="33" s="1"/>
  <c r="K114" i="33"/>
  <c r="U116" i="33"/>
  <c r="U136" i="33" s="1"/>
  <c r="H116" i="33"/>
  <c r="H136" i="33" s="1"/>
  <c r="Q159" i="33"/>
  <c r="Q145" i="33"/>
  <c r="M145" i="33"/>
  <c r="M159" i="33"/>
  <c r="L142" i="33"/>
  <c r="L157" i="33"/>
  <c r="P160" i="33"/>
  <c r="P146" i="33"/>
  <c r="T157" i="33"/>
  <c r="S157" i="33"/>
  <c r="S142" i="33"/>
  <c r="M116" i="33"/>
  <c r="M136" i="33" s="1"/>
  <c r="L114" i="33"/>
  <c r="L118" i="33"/>
  <c r="L138" i="33" s="1"/>
  <c r="R111" i="33"/>
  <c r="K156" i="33"/>
  <c r="K141" i="33"/>
  <c r="J115" i="33"/>
  <c r="H112" i="33"/>
  <c r="R117" i="33"/>
  <c r="R115" i="33"/>
  <c r="H115" i="33"/>
  <c r="R143" i="33"/>
  <c r="H158" i="33"/>
  <c r="H144" i="33"/>
  <c r="J144" i="33"/>
  <c r="J158" i="33"/>
  <c r="R154" i="33"/>
  <c r="R139" i="33"/>
  <c r="G154" i="33"/>
  <c r="O156" i="33"/>
  <c r="O141" i="33"/>
  <c r="L116" i="33"/>
  <c r="L136" i="33" s="1"/>
  <c r="J118" i="33"/>
  <c r="J138" i="33" s="1"/>
  <c r="I114" i="33"/>
  <c r="O111" i="33"/>
  <c r="K113" i="33"/>
  <c r="S114" i="33"/>
  <c r="K160" i="33"/>
  <c r="K146" i="33"/>
  <c r="N147" i="33"/>
  <c r="N161" i="33"/>
  <c r="U142" i="33"/>
  <c r="U157" i="33"/>
  <c r="H157" i="33"/>
  <c r="G157" i="33"/>
  <c r="G142" i="33"/>
  <c r="I115" i="33"/>
  <c r="T112" i="33"/>
  <c r="O115" i="33"/>
  <c r="K117" i="33"/>
  <c r="T115" i="33"/>
  <c r="M158" i="33"/>
  <c r="M144" i="33"/>
  <c r="J143" i="33"/>
  <c r="T158" i="33"/>
  <c r="T144" i="33"/>
  <c r="G140" i="33"/>
  <c r="G155" i="33"/>
  <c r="J139" i="33"/>
  <c r="J154" i="33"/>
  <c r="I113" i="33"/>
  <c r="O116" i="33"/>
  <c r="O136" i="33" s="1"/>
  <c r="Q114" i="33"/>
  <c r="N116" i="33"/>
  <c r="N136" i="33" s="1"/>
  <c r="M114" i="33"/>
  <c r="G116" i="33"/>
  <c r="G136" i="33" s="1"/>
  <c r="O113" i="33"/>
  <c r="T160" i="33"/>
  <c r="T146" i="33"/>
  <c r="O147" i="33"/>
  <c r="O161" i="33"/>
  <c r="J159" i="33"/>
  <c r="J145" i="33"/>
  <c r="I157" i="33"/>
  <c r="I142" i="33"/>
  <c r="G118" i="33"/>
  <c r="G138" i="33" s="1"/>
  <c r="R118" i="33"/>
  <c r="R138" i="33" s="1"/>
  <c r="O117" i="33"/>
  <c r="L115" i="33"/>
  <c r="M112" i="33"/>
  <c r="M117" i="33"/>
  <c r="H143" i="33"/>
  <c r="F158" i="33"/>
  <c r="F144" i="33"/>
  <c r="Q143" i="33"/>
  <c r="O155" i="33"/>
  <c r="O140" i="33"/>
  <c r="S140" i="33"/>
  <c r="S155" i="33"/>
  <c r="K140" i="33"/>
  <c r="K155" i="33"/>
  <c r="R156" i="33"/>
  <c r="R141" i="33"/>
  <c r="K111" i="33"/>
  <c r="O114" i="33"/>
  <c r="U111" i="33"/>
  <c r="H111" i="33"/>
  <c r="P147" i="33"/>
  <c r="P161" i="33"/>
  <c r="H146" i="33"/>
  <c r="H160" i="33"/>
  <c r="K161" i="33"/>
  <c r="K147" i="33"/>
  <c r="Q161" i="33"/>
  <c r="Q147" i="33"/>
  <c r="L156" i="33"/>
  <c r="L141" i="33"/>
  <c r="Q113" i="33"/>
  <c r="S118" i="33"/>
  <c r="S138" i="33" s="1"/>
  <c r="H117" i="33"/>
  <c r="Q112" i="33"/>
  <c r="O112" i="33"/>
  <c r="T143" i="33"/>
  <c r="R158" i="33"/>
  <c r="R144" i="33"/>
  <c r="O143" i="33"/>
  <c r="P155" i="33"/>
  <c r="P140" i="33"/>
  <c r="S154" i="33"/>
  <c r="H139" i="33"/>
  <c r="H154" i="33"/>
  <c r="L111" i="33"/>
  <c r="G113" i="33"/>
  <c r="U113" i="33"/>
  <c r="N159" i="33"/>
  <c r="N145" i="33"/>
  <c r="Q142" i="33"/>
  <c r="Q157" i="33"/>
  <c r="Q146" i="33"/>
  <c r="Q160" i="33"/>
  <c r="O159" i="33"/>
  <c r="O145" i="33"/>
  <c r="I146" i="33"/>
  <c r="I160" i="33"/>
  <c r="R161" i="33"/>
  <c r="R147" i="33"/>
  <c r="Q111" i="33"/>
  <c r="T117" i="33"/>
  <c r="Q115" i="33"/>
  <c r="G115" i="33"/>
  <c r="P144" i="33"/>
  <c r="P158" i="33"/>
  <c r="M143" i="33"/>
  <c r="Q140" i="33"/>
  <c r="Q155" i="33"/>
  <c r="H140" i="33"/>
  <c r="H155" i="33"/>
  <c r="K154" i="33"/>
  <c r="K139" i="33"/>
  <c r="N111" i="33"/>
  <c r="F116" i="33"/>
  <c r="F136" i="33" s="1"/>
  <c r="I118" i="33"/>
  <c r="I138" i="33" s="1"/>
  <c r="G111" i="33"/>
  <c r="I116" i="33"/>
  <c r="I136" i="33" s="1"/>
  <c r="Q118" i="33"/>
  <c r="Q138" i="33" s="1"/>
  <c r="J160" i="33"/>
  <c r="J146" i="33"/>
  <c r="U146" i="33"/>
  <c r="U160" i="33"/>
  <c r="J157" i="33"/>
  <c r="F147" i="33"/>
  <c r="F161" i="33"/>
  <c r="Q116" i="33"/>
  <c r="Q136" i="33" s="1"/>
  <c r="O118" i="33"/>
  <c r="O138" i="33" s="1"/>
  <c r="G112" i="33"/>
  <c r="J112" i="33"/>
  <c r="S115" i="33"/>
  <c r="N158" i="33"/>
  <c r="N144" i="33"/>
  <c r="F143" i="33"/>
  <c r="K158" i="33"/>
  <c r="K144" i="33"/>
  <c r="O139" i="33"/>
  <c r="O154" i="33"/>
  <c r="T140" i="33"/>
  <c r="T155" i="33"/>
  <c r="L140" i="33"/>
  <c r="L155" i="33"/>
  <c r="S116" i="33"/>
  <c r="S136" i="33" s="1"/>
  <c r="P159" i="33"/>
  <c r="P145" i="33"/>
  <c r="L161" i="33"/>
  <c r="L147" i="33"/>
  <c r="K145" i="33"/>
  <c r="K159" i="33"/>
  <c r="T161" i="33"/>
  <c r="T147" i="33"/>
  <c r="S161" i="33"/>
  <c r="S147" i="33"/>
  <c r="L160" i="33"/>
  <c r="L146" i="33"/>
  <c r="H141" i="33"/>
  <c r="H156" i="33"/>
  <c r="F156" i="33"/>
  <c r="F141" i="33"/>
  <c r="S112" i="33"/>
  <c r="I112" i="33"/>
  <c r="N115" i="33"/>
  <c r="J117" i="33"/>
  <c r="J142" i="33"/>
  <c r="K143" i="33"/>
  <c r="I144" i="33"/>
  <c r="I158" i="33"/>
  <c r="T154" i="33"/>
  <c r="T139" i="33"/>
  <c r="F139" i="33"/>
  <c r="F154" i="33"/>
  <c r="F114" i="33"/>
  <c r="P114" i="33"/>
  <c r="T118" i="33"/>
  <c r="T138" i="33" s="1"/>
  <c r="M156" i="33"/>
  <c r="M141" i="33"/>
  <c r="P118" i="33"/>
  <c r="P138" i="33" s="1"/>
  <c r="J116" i="33"/>
  <c r="J136" i="33" s="1"/>
  <c r="T116" i="33"/>
  <c r="T136" i="33" s="1"/>
  <c r="S113" i="33"/>
  <c r="N157" i="33"/>
  <c r="N142" i="33"/>
  <c r="R146" i="33"/>
  <c r="R160" i="33"/>
  <c r="U147" i="33"/>
  <c r="U161" i="33"/>
  <c r="H161" i="33"/>
  <c r="H147" i="33"/>
  <c r="G147" i="33"/>
  <c r="G161" i="33"/>
  <c r="R145" i="33"/>
  <c r="R159" i="33"/>
  <c r="K115" i="33"/>
  <c r="U112" i="33"/>
  <c r="U115" i="33"/>
  <c r="I143" i="33"/>
  <c r="G158" i="33"/>
  <c r="G144" i="33"/>
  <c r="U144" i="33"/>
  <c r="U158" i="33"/>
  <c r="P154" i="33"/>
  <c r="M154" i="33"/>
  <c r="M139" i="33"/>
  <c r="I155" i="33"/>
  <c r="I140" i="33"/>
  <c r="L139" i="33"/>
  <c r="L154" i="33"/>
  <c r="N141" i="33"/>
  <c r="N156" i="33"/>
  <c r="H114" i="33"/>
  <c r="S111" i="33"/>
  <c r="L113" i="33"/>
  <c r="P156" i="33"/>
  <c r="P141" i="33"/>
  <c r="I111" i="33"/>
  <c r="P116" i="33"/>
  <c r="P136" i="33" s="1"/>
  <c r="F146" i="33"/>
  <c r="F160" i="33"/>
  <c r="I161" i="33"/>
  <c r="I147" i="33"/>
  <c r="N160" i="33"/>
  <c r="N146" i="33"/>
  <c r="M160" i="33"/>
  <c r="M146" i="33"/>
  <c r="F145" i="33"/>
  <c r="F159" i="33"/>
  <c r="S141" i="33"/>
  <c r="S156" i="33"/>
  <c r="M115" i="33"/>
  <c r="L112" i="33"/>
  <c r="L117" i="33"/>
  <c r="U143" i="33"/>
  <c r="S158" i="33"/>
  <c r="S144" i="33"/>
  <c r="N154" i="33"/>
  <c r="N155" i="33"/>
  <c r="N140" i="33"/>
  <c r="U155" i="33"/>
  <c r="U140" i="33"/>
  <c r="M140" i="33"/>
  <c r="M155" i="33"/>
  <c r="E114" i="33"/>
  <c r="D115" i="33"/>
  <c r="E158" i="33"/>
  <c r="E144" i="33"/>
  <c r="D111" i="33"/>
  <c r="E112" i="33"/>
  <c r="D139" i="33"/>
  <c r="D114" i="33"/>
  <c r="D155" i="33"/>
  <c r="D140" i="33"/>
  <c r="E141" i="33"/>
  <c r="E156" i="33"/>
  <c r="E116" i="33"/>
  <c r="E136" i="33" s="1"/>
  <c r="E145" i="33"/>
  <c r="E159" i="33"/>
  <c r="D160" i="33"/>
  <c r="D146" i="33"/>
  <c r="D156" i="33"/>
  <c r="D141" i="33"/>
  <c r="E143" i="33"/>
  <c r="E140" i="33"/>
  <c r="E155" i="33"/>
  <c r="D112" i="33"/>
  <c r="E118" i="33"/>
  <c r="E138" i="33" s="1"/>
  <c r="E147" i="33"/>
  <c r="E161" i="33"/>
  <c r="E157" i="33"/>
  <c r="E142" i="33"/>
  <c r="E115" i="33"/>
  <c r="D158" i="33"/>
  <c r="D144" i="33"/>
  <c r="E111" i="33"/>
  <c r="D147" i="33"/>
  <c r="D161" i="33"/>
  <c r="D142" i="33"/>
  <c r="D157" i="33"/>
  <c r="D118" i="33"/>
  <c r="D138" i="33" s="1"/>
  <c r="E160" i="33"/>
  <c r="E146" i="33"/>
  <c r="E117" i="33"/>
  <c r="E154" i="33"/>
  <c r="E139" i="33"/>
  <c r="D145" i="33"/>
  <c r="D159" i="33"/>
  <c r="E113" i="33"/>
  <c r="D116" i="33"/>
  <c r="D136" i="33" s="1"/>
  <c r="D143" i="33"/>
  <c r="C154" i="33"/>
  <c r="X93" i="33"/>
  <c r="AB93" i="33" s="1"/>
  <c r="C140" i="33"/>
  <c r="X95" i="33"/>
  <c r="AB95" i="33" s="1"/>
  <c r="C143" i="33"/>
  <c r="C157" i="33"/>
  <c r="X99" i="33"/>
  <c r="AB99" i="33" s="1"/>
  <c r="X78" i="33"/>
  <c r="AB78" i="33" s="1"/>
  <c r="X61" i="33"/>
  <c r="AB61" i="33" s="1"/>
  <c r="X96" i="33"/>
  <c r="AB96" i="33" s="1"/>
  <c r="X59" i="33"/>
  <c r="AB59" i="33" s="1"/>
  <c r="X32" i="33"/>
  <c r="AB32" i="33" s="1"/>
  <c r="X77" i="33"/>
  <c r="AB77" i="33" s="1"/>
  <c r="X62" i="33"/>
  <c r="AB62" i="33" s="1"/>
  <c r="X37" i="33"/>
  <c r="AB37" i="33" s="1"/>
  <c r="X102" i="33"/>
  <c r="AB102" i="33" s="1"/>
  <c r="X36" i="33"/>
  <c r="AB36" i="33" s="1"/>
  <c r="X75" i="33"/>
  <c r="AB75" i="33" s="1"/>
  <c r="X57" i="33"/>
  <c r="AB57" i="33" s="1"/>
  <c r="X34" i="33"/>
  <c r="AB34" i="33" s="1"/>
  <c r="X100" i="33"/>
  <c r="AB100" i="33" s="1"/>
  <c r="X94" i="33"/>
  <c r="AB94" i="33" s="1"/>
  <c r="X76" i="33"/>
  <c r="AB76" i="33" s="1"/>
  <c r="X91" i="33"/>
  <c r="AB91" i="33" s="1"/>
  <c r="X73" i="33"/>
  <c r="AB73" i="33" s="1"/>
  <c r="O106" i="33"/>
  <c r="M106" i="33"/>
  <c r="R106" i="33"/>
  <c r="Q106" i="33"/>
  <c r="T106" i="33"/>
  <c r="U106" i="33"/>
  <c r="N106" i="33"/>
  <c r="J106" i="33"/>
  <c r="I106" i="33"/>
  <c r="P106" i="33"/>
  <c r="H106" i="33"/>
  <c r="K106" i="33"/>
  <c r="S106" i="33"/>
  <c r="L106" i="33"/>
  <c r="P133" i="33" l="1"/>
  <c r="L133" i="33"/>
  <c r="H133" i="33"/>
  <c r="D133" i="33"/>
  <c r="U133" i="33"/>
  <c r="T133" i="33"/>
  <c r="E133" i="33"/>
  <c r="N133" i="33"/>
  <c r="I133" i="33"/>
  <c r="M133" i="33"/>
  <c r="C133" i="33"/>
  <c r="Q133" i="33"/>
  <c r="F133" i="33"/>
  <c r="R133" i="33"/>
  <c r="G133" i="33"/>
  <c r="S133" i="33"/>
  <c r="O133" i="33"/>
  <c r="K133" i="33"/>
  <c r="J133" i="33"/>
  <c r="C135" i="33"/>
  <c r="C134" i="33"/>
  <c r="AB121" i="33"/>
  <c r="X121" i="33"/>
  <c r="AB125" i="33"/>
  <c r="X125" i="33"/>
  <c r="AB117" i="33"/>
  <c r="AB137" i="33" s="1"/>
  <c r="X117" i="33"/>
  <c r="AB119" i="33"/>
  <c r="X119" i="33"/>
  <c r="AB128" i="33"/>
  <c r="AB158" i="33" s="1"/>
  <c r="AF158" i="33" s="1"/>
  <c r="X128" i="33"/>
  <c r="AB126" i="33"/>
  <c r="X126" i="33"/>
  <c r="AB120" i="33"/>
  <c r="X120" i="33"/>
  <c r="AB122" i="33"/>
  <c r="X122" i="33"/>
  <c r="S153" i="33"/>
  <c r="G153" i="33"/>
  <c r="S152" i="33"/>
  <c r="Q153" i="33"/>
  <c r="K152" i="33"/>
  <c r="O152" i="33"/>
  <c r="M134" i="33"/>
  <c r="D134" i="33"/>
  <c r="F152" i="33"/>
  <c r="I152" i="33"/>
  <c r="R152" i="33"/>
  <c r="Q152" i="33"/>
  <c r="M135" i="33"/>
  <c r="Q135" i="33"/>
  <c r="D135" i="33"/>
  <c r="N152" i="33"/>
  <c r="I135" i="33"/>
  <c r="P153" i="33"/>
  <c r="R135" i="33"/>
  <c r="D137" i="33"/>
  <c r="J135" i="33"/>
  <c r="U134" i="33"/>
  <c r="U151" i="33"/>
  <c r="L153" i="33"/>
  <c r="L137" i="33"/>
  <c r="K135" i="33"/>
  <c r="F153" i="33"/>
  <c r="F137" i="33"/>
  <c r="S151" i="33"/>
  <c r="S134" i="33"/>
  <c r="E135" i="33"/>
  <c r="P135" i="33"/>
  <c r="J137" i="33"/>
  <c r="J153" i="33"/>
  <c r="M151" i="33"/>
  <c r="L152" i="33"/>
  <c r="O137" i="33"/>
  <c r="O153" i="33"/>
  <c r="O135" i="33"/>
  <c r="T151" i="33"/>
  <c r="T135" i="33"/>
  <c r="M152" i="33"/>
  <c r="I134" i="33"/>
  <c r="I151" i="33"/>
  <c r="P134" i="33"/>
  <c r="P151" i="33"/>
  <c r="H153" i="33"/>
  <c r="H137" i="33"/>
  <c r="Q134" i="33"/>
  <c r="Q151" i="33"/>
  <c r="O151" i="33"/>
  <c r="G152" i="33"/>
  <c r="H134" i="33"/>
  <c r="H152" i="33"/>
  <c r="J151" i="33"/>
  <c r="P152" i="33"/>
  <c r="O134" i="33"/>
  <c r="R134" i="33"/>
  <c r="R151" i="33"/>
  <c r="U152" i="33"/>
  <c r="R153" i="33"/>
  <c r="R137" i="33"/>
  <c r="F135" i="33"/>
  <c r="T134" i="33"/>
  <c r="T152" i="33"/>
  <c r="N153" i="33"/>
  <c r="N137" i="33"/>
  <c r="G134" i="33"/>
  <c r="G151" i="33"/>
  <c r="L151" i="33"/>
  <c r="L134" i="33"/>
  <c r="N151" i="33"/>
  <c r="N134" i="33"/>
  <c r="N135" i="33"/>
  <c r="L135" i="33"/>
  <c r="K151" i="33"/>
  <c r="K134" i="33"/>
  <c r="T153" i="33"/>
  <c r="T137" i="33"/>
  <c r="K137" i="33"/>
  <c r="K153" i="33"/>
  <c r="J134" i="33"/>
  <c r="J152" i="33"/>
  <c r="S135" i="33"/>
  <c r="U153" i="33"/>
  <c r="U137" i="33"/>
  <c r="G135" i="33"/>
  <c r="I153" i="33"/>
  <c r="I137" i="33"/>
  <c r="H151" i="33"/>
  <c r="H135" i="33"/>
  <c r="U135" i="33"/>
  <c r="M153" i="33"/>
  <c r="M137" i="33"/>
  <c r="F151" i="33"/>
  <c r="F134" i="33"/>
  <c r="D151" i="33"/>
  <c r="E152" i="33"/>
  <c r="E153" i="33"/>
  <c r="E137" i="33"/>
  <c r="E134" i="33"/>
  <c r="E151" i="33"/>
  <c r="D152" i="33"/>
  <c r="C158" i="33"/>
  <c r="C144" i="33"/>
  <c r="C155" i="33"/>
  <c r="C139" i="33"/>
  <c r="C141" i="33"/>
  <c r="C156" i="33"/>
  <c r="C137" i="33"/>
  <c r="C153" i="33"/>
  <c r="C152" i="33"/>
  <c r="C142" i="33"/>
  <c r="E106" i="33"/>
  <c r="G106" i="33"/>
  <c r="D106" i="33"/>
  <c r="X88" i="33"/>
  <c r="AB88" i="33" s="1"/>
  <c r="X84" i="33"/>
  <c r="AB84" i="33" s="1"/>
  <c r="X80" i="33"/>
  <c r="AB80" i="33" s="1"/>
  <c r="X70" i="33"/>
  <c r="AB70" i="33" s="1"/>
  <c r="X66" i="33"/>
  <c r="AB66" i="33" s="1"/>
  <c r="X56" i="33"/>
  <c r="AB56" i="33" s="1"/>
  <c r="X52" i="33"/>
  <c r="AB52" i="33" s="1"/>
  <c r="X48" i="33"/>
  <c r="AB48" i="33" s="1"/>
  <c r="X44" i="33"/>
  <c r="AB44" i="33" s="1"/>
  <c r="X40" i="33"/>
  <c r="AB40" i="33" s="1"/>
  <c r="X98" i="33"/>
  <c r="AB98" i="33" s="1"/>
  <c r="X38" i="33"/>
  <c r="AB38" i="33" s="1"/>
  <c r="X89" i="33"/>
  <c r="AB89" i="33" s="1"/>
  <c r="X85" i="33"/>
  <c r="AB85" i="33" s="1"/>
  <c r="X81" i="33"/>
  <c r="AB81" i="33" s="1"/>
  <c r="X71" i="33"/>
  <c r="AB71" i="33" s="1"/>
  <c r="X63" i="33"/>
  <c r="AB63" i="33" s="1"/>
  <c r="X53" i="33"/>
  <c r="AB53" i="33" s="1"/>
  <c r="X49" i="33"/>
  <c r="AB49" i="33" s="1"/>
  <c r="X45" i="33"/>
  <c r="AB45" i="33" s="1"/>
  <c r="X41" i="33"/>
  <c r="AB41" i="33" s="1"/>
  <c r="X101" i="33"/>
  <c r="AB101" i="33" s="1"/>
  <c r="X90" i="33"/>
  <c r="AB90" i="33" s="1"/>
  <c r="X86" i="33"/>
  <c r="AB86" i="33" s="1"/>
  <c r="X74" i="33"/>
  <c r="AB74" i="33" s="1"/>
  <c r="X64" i="33"/>
  <c r="AB64" i="33" s="1"/>
  <c r="X54" i="33"/>
  <c r="AB54" i="33" s="1"/>
  <c r="X50" i="33"/>
  <c r="AB50" i="33" s="1"/>
  <c r="X46" i="33"/>
  <c r="AB46" i="33" s="1"/>
  <c r="X60" i="33"/>
  <c r="AB60" i="33" s="1"/>
  <c r="X92" i="33"/>
  <c r="AB92" i="33" s="1"/>
  <c r="X87" i="33"/>
  <c r="AB87" i="33" s="1"/>
  <c r="X83" i="33"/>
  <c r="AB83" i="33" s="1"/>
  <c r="X79" i="33"/>
  <c r="AB79" i="33" s="1"/>
  <c r="X30" i="33"/>
  <c r="AB30" i="33" s="1"/>
  <c r="X26" i="33"/>
  <c r="X11" i="33"/>
  <c r="AB11" i="33" s="1"/>
  <c r="X7" i="33"/>
  <c r="AB7" i="33" s="1"/>
  <c r="X14" i="33"/>
  <c r="AB14" i="33" s="1"/>
  <c r="X51" i="33"/>
  <c r="AB51" i="33" s="1"/>
  <c r="X69" i="33"/>
  <c r="AB69" i="33" s="1"/>
  <c r="X42" i="33"/>
  <c r="AB42" i="33" s="1"/>
  <c r="X31" i="33"/>
  <c r="AB31" i="33" s="1"/>
  <c r="X27" i="33"/>
  <c r="AB27" i="33" s="1"/>
  <c r="X12" i="33"/>
  <c r="AB12" i="33" s="1"/>
  <c r="X8" i="33"/>
  <c r="AB8" i="33" s="1"/>
  <c r="X29" i="33"/>
  <c r="AB29" i="33" s="1"/>
  <c r="X65" i="33"/>
  <c r="AB65" i="33" s="1"/>
  <c r="X33" i="33"/>
  <c r="AB33" i="33" s="1"/>
  <c r="X28" i="33"/>
  <c r="AB28" i="33" s="1"/>
  <c r="X13" i="33"/>
  <c r="AB13" i="33" s="1"/>
  <c r="X9" i="33"/>
  <c r="AB9" i="33" s="1"/>
  <c r="X5" i="33"/>
  <c r="X55" i="33"/>
  <c r="AB55" i="33" s="1"/>
  <c r="X47" i="33"/>
  <c r="AB47" i="33" s="1"/>
  <c r="X6" i="33"/>
  <c r="AB6" i="33" s="1"/>
  <c r="X10" i="33"/>
  <c r="AB10" i="33" s="1"/>
  <c r="X43" i="33"/>
  <c r="AB43" i="33" s="1"/>
  <c r="X39" i="33"/>
  <c r="AB39" i="33" s="1"/>
  <c r="X58" i="33"/>
  <c r="AB58" i="33" s="1"/>
  <c r="X35" i="33"/>
  <c r="AB35" i="33" s="1"/>
  <c r="X67" i="33"/>
  <c r="AB67" i="33" s="1"/>
  <c r="X82" i="33"/>
  <c r="AB82" i="33" s="1"/>
  <c r="X97" i="33"/>
  <c r="AB97" i="33" s="1"/>
  <c r="C161" i="33"/>
  <c r="C160" i="33"/>
  <c r="X68" i="33"/>
  <c r="AB68" i="33" s="1"/>
  <c r="AB26" i="33" l="1"/>
  <c r="AB110" i="33" s="1"/>
  <c r="X110" i="33"/>
  <c r="X109" i="33"/>
  <c r="X150" i="33" s="1"/>
  <c r="AE150" i="33" s="1"/>
  <c r="AB140" i="33"/>
  <c r="AB154" i="33"/>
  <c r="AF154" i="33" s="1"/>
  <c r="AB115" i="33"/>
  <c r="AB112" i="33"/>
  <c r="AB153" i="33"/>
  <c r="AF153" i="33" s="1"/>
  <c r="AB139" i="33"/>
  <c r="AB155" i="33"/>
  <c r="AF155" i="33" s="1"/>
  <c r="AB144" i="33"/>
  <c r="X111" i="33"/>
  <c r="X112" i="33"/>
  <c r="AB123" i="33"/>
  <c r="AB156" i="33" s="1"/>
  <c r="AF156" i="33" s="1"/>
  <c r="X123" i="33"/>
  <c r="X114" i="33"/>
  <c r="X115" i="33"/>
  <c r="X154" i="33"/>
  <c r="AE154" i="33" s="1"/>
  <c r="X139" i="33"/>
  <c r="X158" i="33"/>
  <c r="AE158" i="33" s="1"/>
  <c r="X144" i="33"/>
  <c r="AB5" i="33"/>
  <c r="AB109" i="33" s="1"/>
  <c r="AB150" i="33" s="1"/>
  <c r="AF150" i="33" s="1"/>
  <c r="X116" i="33"/>
  <c r="X136" i="33" s="1"/>
  <c r="X153" i="33"/>
  <c r="AE153" i="33" s="1"/>
  <c r="X137" i="33"/>
  <c r="AB113" i="33"/>
  <c r="X113" i="33"/>
  <c r="AB124" i="33"/>
  <c r="X124" i="33"/>
  <c r="AB118" i="33"/>
  <c r="AB138" i="33" s="1"/>
  <c r="X118" i="33"/>
  <c r="X138" i="33" s="1"/>
  <c r="AB127" i="33"/>
  <c r="AB143" i="33" s="1"/>
  <c r="X127" i="33"/>
  <c r="X143" i="33" s="1"/>
  <c r="X155" i="33"/>
  <c r="AE155" i="33" s="1"/>
  <c r="X140" i="33"/>
  <c r="AB116" i="33"/>
  <c r="AB136" i="33" s="1"/>
  <c r="AB114" i="33"/>
  <c r="AB111" i="33"/>
  <c r="C145" i="33"/>
  <c r="C159" i="33"/>
  <c r="C151" i="33"/>
  <c r="C146" i="33"/>
  <c r="C147" i="33"/>
  <c r="X105" i="33"/>
  <c r="AB105" i="33" s="1"/>
  <c r="X104" i="33"/>
  <c r="AB104" i="33" s="1"/>
  <c r="X103" i="33"/>
  <c r="AB103" i="33" s="1"/>
  <c r="F106" i="33"/>
  <c r="AB133" i="33" l="1"/>
  <c r="X133" i="33"/>
  <c r="AB151" i="33"/>
  <c r="AF151" i="33" s="1"/>
  <c r="AB141" i="33"/>
  <c r="X135" i="33"/>
  <c r="AB157" i="33"/>
  <c r="AF157" i="33" s="1"/>
  <c r="AB135" i="33"/>
  <c r="AB142" i="33"/>
  <c r="X156" i="33"/>
  <c r="AE156" i="33" s="1"/>
  <c r="X141" i="33"/>
  <c r="X157" i="33"/>
  <c r="AE157" i="33" s="1"/>
  <c r="X142" i="33"/>
  <c r="AB131" i="33"/>
  <c r="AB147" i="33" s="1"/>
  <c r="X131" i="33"/>
  <c r="AB129" i="33"/>
  <c r="AB145" i="33" s="1"/>
  <c r="X129" i="33"/>
  <c r="AB130" i="33"/>
  <c r="AB160" i="33" s="1"/>
  <c r="AF160" i="33" s="1"/>
  <c r="X130" i="33"/>
  <c r="X151" i="33"/>
  <c r="AE151" i="33" s="1"/>
  <c r="X134" i="33"/>
  <c r="X152" i="33"/>
  <c r="AE152" i="33" s="1"/>
  <c r="AB152" i="33"/>
  <c r="AF152" i="33" s="1"/>
  <c r="X106" i="33"/>
  <c r="AB134" i="33" l="1"/>
  <c r="AB161" i="33"/>
  <c r="AF161" i="33" s="1"/>
  <c r="X160" i="33"/>
  <c r="AE160" i="33" s="1"/>
  <c r="X146" i="33"/>
  <c r="X145" i="33"/>
  <c r="X159" i="33"/>
  <c r="AE159" i="33" s="1"/>
  <c r="AB159" i="33"/>
  <c r="AF159" i="33" s="1"/>
  <c r="X161" i="33"/>
  <c r="AE161" i="33" s="1"/>
  <c r="X147" i="33"/>
  <c r="AB146" i="33"/>
  <c r="AB106" i="33"/>
  <c r="AF162" i="33" l="1"/>
  <c r="AF164" i="33" s="1"/>
  <c r="AE162" i="33"/>
  <c r="AE164" i="33" s="1"/>
</calcChain>
</file>

<file path=xl/sharedStrings.xml><?xml version="1.0" encoding="utf-8"?>
<sst xmlns="http://schemas.openxmlformats.org/spreadsheetml/2006/main" count="7781" uniqueCount="302">
  <si>
    <t>구 분</t>
  </si>
  <si>
    <t>금속관입상20</t>
  </si>
  <si>
    <t>금속관입상25</t>
  </si>
  <si>
    <t>금속관입상32</t>
  </si>
  <si>
    <t>금속관입상40</t>
  </si>
  <si>
    <t>금속관입상50</t>
  </si>
  <si>
    <t>금속관입상65</t>
  </si>
  <si>
    <t>금속관입상80</t>
  </si>
  <si>
    <t>금속관입상100</t>
  </si>
  <si>
    <t>금속관입상125</t>
  </si>
  <si>
    <t>금속관입상150</t>
  </si>
  <si>
    <t>금속관입상200</t>
  </si>
  <si>
    <t>금속관입상250</t>
  </si>
  <si>
    <t>금속관입상300</t>
  </si>
  <si>
    <t>금속관입상400</t>
  </si>
  <si>
    <t>금속관벽체15</t>
  </si>
  <si>
    <t>금속관벽체20</t>
  </si>
  <si>
    <t>금속관벽체25</t>
  </si>
  <si>
    <t>금속관벽체32</t>
  </si>
  <si>
    <t>금속관벽체40</t>
  </si>
  <si>
    <t>금속관벽체50</t>
  </si>
  <si>
    <t>금속관벽체65</t>
  </si>
  <si>
    <t>금속관벽체80</t>
  </si>
  <si>
    <t>금속관벽체100</t>
  </si>
  <si>
    <t>금속관벽체125</t>
  </si>
  <si>
    <t>금속관벽체150</t>
  </si>
  <si>
    <t>PVC입상40</t>
  </si>
  <si>
    <t>PVC입상50</t>
  </si>
  <si>
    <t>PVC입상75</t>
  </si>
  <si>
    <t>PVC입상100</t>
  </si>
  <si>
    <t>PVC입상125</t>
  </si>
  <si>
    <t>PVC입상150</t>
  </si>
  <si>
    <t>PVC입상200</t>
  </si>
  <si>
    <t>PVC입상250</t>
  </si>
  <si>
    <t>PVC입상300</t>
  </si>
  <si>
    <t>PVC벽체65</t>
  </si>
  <si>
    <t>PVC벽체100</t>
  </si>
  <si>
    <t>PVC벽체125</t>
  </si>
  <si>
    <t>PVC벽체150</t>
  </si>
  <si>
    <t>구    분</t>
    <phoneticPr fontId="1" type="noConversion"/>
  </si>
  <si>
    <t>작업내용</t>
    <phoneticPr fontId="1" type="noConversion"/>
  </si>
  <si>
    <t>구분</t>
    <phoneticPr fontId="1" type="noConversion"/>
  </si>
  <si>
    <t>수량</t>
    <phoneticPr fontId="1" type="noConversion"/>
  </si>
  <si>
    <t>위     치</t>
    <phoneticPr fontId="1" type="noConversion"/>
  </si>
  <si>
    <t>합계</t>
    <phoneticPr fontId="1" type="noConversion"/>
  </si>
  <si>
    <t xml:space="preserve">총합계 </t>
    <phoneticPr fontId="1" type="noConversion"/>
  </si>
  <si>
    <t>단위(M)</t>
    <phoneticPr fontId="1" type="noConversion"/>
  </si>
  <si>
    <t>누계</t>
    <phoneticPr fontId="1" type="noConversion"/>
  </si>
  <si>
    <t>기성누적집계</t>
    <phoneticPr fontId="1" type="noConversion"/>
  </si>
  <si>
    <t xml:space="preserve">  </t>
    <phoneticPr fontId="1" type="noConversion"/>
  </si>
  <si>
    <t>일일작업현황</t>
    <phoneticPr fontId="1" type="noConversion"/>
  </si>
  <si>
    <t>금속관입상15</t>
    <phoneticPr fontId="1" type="noConversion"/>
  </si>
  <si>
    <t>금속관입상350</t>
    <phoneticPr fontId="1" type="noConversion"/>
  </si>
  <si>
    <t>금속관입상450</t>
    <phoneticPr fontId="1" type="noConversion"/>
  </si>
  <si>
    <t>PVC입상30</t>
    <phoneticPr fontId="1" type="noConversion"/>
  </si>
  <si>
    <t>PVC벽체25</t>
    <phoneticPr fontId="1" type="noConversion"/>
  </si>
  <si>
    <t>PVC벽체30</t>
    <phoneticPr fontId="1" type="noConversion"/>
  </si>
  <si>
    <t>PVC벽체40</t>
    <phoneticPr fontId="1" type="noConversion"/>
  </si>
  <si>
    <t>PVC벽체50</t>
    <phoneticPr fontId="1" type="noConversion"/>
  </si>
  <si>
    <t>PVC벽체75</t>
    <phoneticPr fontId="1" type="noConversion"/>
  </si>
  <si>
    <t>스파이럴입상150</t>
    <phoneticPr fontId="1" type="noConversion"/>
  </si>
  <si>
    <t>스파이럴입상200</t>
    <phoneticPr fontId="1" type="noConversion"/>
  </si>
  <si>
    <t>스파이럴벽체125</t>
    <phoneticPr fontId="1" type="noConversion"/>
  </si>
  <si>
    <t>스파이럴벽체150</t>
    <phoneticPr fontId="1" type="noConversion"/>
  </si>
  <si>
    <t>단위(M)</t>
    <phoneticPr fontId="1" type="noConversion"/>
  </si>
  <si>
    <t>오픈구</t>
    <phoneticPr fontId="1" type="noConversion"/>
  </si>
  <si>
    <t>차열재마감</t>
    <phoneticPr fontId="1" type="noConversion"/>
  </si>
  <si>
    <t>합계</t>
    <phoneticPr fontId="1" type="noConversion"/>
  </si>
  <si>
    <t>금속관 입상</t>
    <phoneticPr fontId="1" type="noConversion"/>
  </si>
  <si>
    <t>금속관 벽체</t>
    <phoneticPr fontId="1" type="noConversion"/>
  </si>
  <si>
    <t>PVC 입상</t>
    <phoneticPr fontId="1" type="noConversion"/>
  </si>
  <si>
    <t>PVC 벽체</t>
    <phoneticPr fontId="1" type="noConversion"/>
  </si>
  <si>
    <t>금번작업합계</t>
    <phoneticPr fontId="1" type="noConversion"/>
  </si>
  <si>
    <t>구 분</t>
    <phoneticPr fontId="1" type="noConversion"/>
  </si>
  <si>
    <t>금번작업일</t>
    <phoneticPr fontId="1" type="noConversion"/>
  </si>
  <si>
    <t>누적작업일</t>
    <phoneticPr fontId="1" type="noConversion"/>
  </si>
  <si>
    <t>작업일</t>
    <phoneticPr fontId="1" type="noConversion"/>
  </si>
  <si>
    <t>작 업 일 자</t>
    <phoneticPr fontId="1" type="noConversion"/>
  </si>
  <si>
    <t>날짜</t>
    <phoneticPr fontId="1" type="noConversion"/>
  </si>
  <si>
    <t>합계</t>
    <phoneticPr fontId="1" type="noConversion"/>
  </si>
  <si>
    <t>단위(M)</t>
  </si>
  <si>
    <t>-</t>
    <phoneticPr fontId="1" type="noConversion"/>
  </si>
  <si>
    <t>-</t>
    <phoneticPr fontId="1" type="noConversion"/>
  </si>
  <si>
    <t>PVC입상400</t>
    <phoneticPr fontId="1" type="noConversion"/>
  </si>
  <si>
    <t>PVC벽체400</t>
    <phoneticPr fontId="1" type="noConversion"/>
  </si>
  <si>
    <t>덕트마감</t>
    <phoneticPr fontId="1" type="noConversion"/>
  </si>
  <si>
    <t>댐퍼팽창테이프</t>
    <phoneticPr fontId="1" type="noConversion"/>
  </si>
  <si>
    <t>스파이럴입상250</t>
    <phoneticPr fontId="1" type="noConversion"/>
  </si>
  <si>
    <t>스파이럴입상300</t>
    <phoneticPr fontId="1" type="noConversion"/>
  </si>
  <si>
    <t>스파이럴입상100</t>
    <phoneticPr fontId="1" type="noConversion"/>
  </si>
  <si>
    <t>스파이럴벽체100</t>
    <phoneticPr fontId="1" type="noConversion"/>
  </si>
  <si>
    <t>스파이럴벽체200</t>
    <phoneticPr fontId="1" type="noConversion"/>
  </si>
  <si>
    <t>스파이럴벽체250</t>
    <phoneticPr fontId="1" type="noConversion"/>
  </si>
  <si>
    <t>스파이럴벽체300</t>
    <phoneticPr fontId="1" type="noConversion"/>
  </si>
  <si>
    <t>세대SP25</t>
    <phoneticPr fontId="1" type="noConversion"/>
  </si>
  <si>
    <t>세대SP40</t>
    <phoneticPr fontId="1" type="noConversion"/>
  </si>
  <si>
    <t>세대SP50</t>
    <phoneticPr fontId="1" type="noConversion"/>
  </si>
  <si>
    <t>금속관입상500</t>
    <phoneticPr fontId="1" type="noConversion"/>
  </si>
  <si>
    <t>금속관벽체200</t>
    <phoneticPr fontId="1" type="noConversion"/>
  </si>
  <si>
    <t>금속관벽체250</t>
    <phoneticPr fontId="1" type="noConversion"/>
  </si>
  <si>
    <t>금속관벽체300</t>
    <phoneticPr fontId="1" type="noConversion"/>
  </si>
  <si>
    <t>금속관벽체350</t>
    <phoneticPr fontId="1" type="noConversion"/>
  </si>
  <si>
    <t>금속관벽체400</t>
    <phoneticPr fontId="1" type="noConversion"/>
  </si>
  <si>
    <t>금속관벽체450</t>
    <phoneticPr fontId="1" type="noConversion"/>
  </si>
  <si>
    <t>금속관벽체500</t>
    <phoneticPr fontId="1" type="noConversion"/>
  </si>
  <si>
    <t>PVC벽체200</t>
    <phoneticPr fontId="1" type="noConversion"/>
  </si>
  <si>
    <t>PVC벽체250</t>
    <phoneticPr fontId="1" type="noConversion"/>
  </si>
  <si>
    <t>PVC벽체300</t>
    <phoneticPr fontId="1" type="noConversion"/>
  </si>
  <si>
    <t>PVC벽체350</t>
    <phoneticPr fontId="1" type="noConversion"/>
  </si>
  <si>
    <t>보온덕트입상</t>
  </si>
  <si>
    <t>보온덕트입상</t>
    <phoneticPr fontId="1" type="noConversion"/>
  </si>
  <si>
    <t>보온덕트벽체</t>
  </si>
  <si>
    <t>보온덕트벽체</t>
    <phoneticPr fontId="1" type="noConversion"/>
  </si>
  <si>
    <t>무보온덕트입상</t>
  </si>
  <si>
    <t>무보온덕트입상</t>
    <phoneticPr fontId="1" type="noConversion"/>
  </si>
  <si>
    <t>무보온덕트벽체</t>
  </si>
  <si>
    <t>무보온덕트벽체</t>
    <phoneticPr fontId="1" type="noConversion"/>
  </si>
  <si>
    <t>슬리브</t>
    <phoneticPr fontId="1" type="noConversion"/>
  </si>
  <si>
    <t>실란트마감</t>
    <phoneticPr fontId="1" type="noConversion"/>
  </si>
  <si>
    <t>금속관 입상(대구경)</t>
    <phoneticPr fontId="1" type="noConversion"/>
  </si>
  <si>
    <t>금속관 벽체(대구경)</t>
    <phoneticPr fontId="1" type="noConversion"/>
  </si>
  <si>
    <t>스파이럴 입상</t>
    <phoneticPr fontId="1" type="noConversion"/>
  </si>
  <si>
    <t>스파이럴 벽체</t>
    <phoneticPr fontId="1" type="noConversion"/>
  </si>
  <si>
    <t>대구경추가차열</t>
    <phoneticPr fontId="1" type="noConversion"/>
  </si>
  <si>
    <t>세대SP</t>
    <phoneticPr fontId="1" type="noConversion"/>
  </si>
  <si>
    <t>댐퍼팽창테이프</t>
    <phoneticPr fontId="1" type="noConversion"/>
  </si>
  <si>
    <t>덕트마감</t>
    <phoneticPr fontId="1" type="noConversion"/>
  </si>
  <si>
    <t>오픈구</t>
    <phoneticPr fontId="1" type="noConversion"/>
  </si>
  <si>
    <t>차열재마감</t>
    <phoneticPr fontId="1" type="noConversion"/>
  </si>
  <si>
    <t>덕트입상</t>
    <phoneticPr fontId="1" type="noConversion"/>
  </si>
  <si>
    <t>덕트벽체</t>
    <phoneticPr fontId="1" type="noConversion"/>
  </si>
  <si>
    <t>HB</t>
    <phoneticPr fontId="1" type="noConversion"/>
  </si>
  <si>
    <t>HB 배관(소구경)</t>
    <phoneticPr fontId="1" type="noConversion"/>
  </si>
  <si>
    <t>대구경추가차열입상</t>
    <phoneticPr fontId="1" type="noConversion"/>
  </si>
  <si>
    <t>대구경추가차열벽체</t>
    <phoneticPr fontId="1" type="noConversion"/>
  </si>
  <si>
    <t>실란트마감입상</t>
    <phoneticPr fontId="1" type="noConversion"/>
  </si>
  <si>
    <t>실란트마감벽체</t>
    <phoneticPr fontId="1" type="noConversion"/>
  </si>
  <si>
    <t>HB 세대SP</t>
    <phoneticPr fontId="1" type="noConversion"/>
  </si>
  <si>
    <t>HB 배관(대구경)</t>
    <phoneticPr fontId="1" type="noConversion"/>
  </si>
  <si>
    <t>HB 대구경추가차열</t>
    <phoneticPr fontId="1" type="noConversion"/>
  </si>
  <si>
    <t>HB 실란트마감</t>
    <phoneticPr fontId="1" type="noConversion"/>
  </si>
  <si>
    <t>HB 슬리브</t>
    <phoneticPr fontId="1" type="noConversion"/>
  </si>
  <si>
    <t>HB 덕트</t>
    <phoneticPr fontId="1" type="noConversion"/>
  </si>
  <si>
    <t>HB 댐퍼팽창테이프</t>
    <phoneticPr fontId="1" type="noConversion"/>
  </si>
  <si>
    <t>HB 덕트마감</t>
    <phoneticPr fontId="1" type="noConversion"/>
  </si>
  <si>
    <t>HB 오픈구</t>
    <phoneticPr fontId="1" type="noConversion"/>
  </si>
  <si>
    <t>HB 차열재마감</t>
    <phoneticPr fontId="1" type="noConversion"/>
  </si>
  <si>
    <t>금속관 입상(소구경)</t>
    <phoneticPr fontId="1" type="noConversion"/>
  </si>
  <si>
    <t>PVC입상350</t>
    <phoneticPr fontId="1" type="noConversion"/>
  </si>
  <si>
    <t>금속관입상차열15</t>
    <phoneticPr fontId="1" type="noConversion"/>
  </si>
  <si>
    <t>금속관입상차열20</t>
    <phoneticPr fontId="1" type="noConversion"/>
  </si>
  <si>
    <t>금속관입상차열25</t>
    <phoneticPr fontId="1" type="noConversion"/>
  </si>
  <si>
    <t>금속관입상차열32</t>
    <phoneticPr fontId="1" type="noConversion"/>
  </si>
  <si>
    <t>금속관입상차열40</t>
    <phoneticPr fontId="1" type="noConversion"/>
  </si>
  <si>
    <t>금속관입상차열50</t>
    <phoneticPr fontId="1" type="noConversion"/>
  </si>
  <si>
    <t>금속관입상차열65</t>
    <phoneticPr fontId="1" type="noConversion"/>
  </si>
  <si>
    <t>금속관입상차열80</t>
    <phoneticPr fontId="1" type="noConversion"/>
  </si>
  <si>
    <t>금속관입상차열100</t>
    <phoneticPr fontId="1" type="noConversion"/>
  </si>
  <si>
    <t>금속관입상차열125</t>
    <phoneticPr fontId="1" type="noConversion"/>
  </si>
  <si>
    <t>금속관입상차열150</t>
    <phoneticPr fontId="1" type="noConversion"/>
  </si>
  <si>
    <t>금속관 입상차열</t>
    <phoneticPr fontId="1" type="noConversion"/>
  </si>
  <si>
    <t>HB 금속관 입상차열</t>
    <phoneticPr fontId="1" type="noConversion"/>
  </si>
  <si>
    <t>세대SP65</t>
    <phoneticPr fontId="1" type="noConversion"/>
  </si>
  <si>
    <t>노무비</t>
    <phoneticPr fontId="1" type="noConversion"/>
  </si>
  <si>
    <t>자재비</t>
    <phoneticPr fontId="1" type="noConversion"/>
  </si>
  <si>
    <t>계</t>
    <phoneticPr fontId="1" type="noConversion"/>
  </si>
  <si>
    <t>HB 금속관 입상차열</t>
  </si>
  <si>
    <t>HB 배관(소구경)</t>
  </si>
  <si>
    <t>HB 배관(대구경)</t>
  </si>
  <si>
    <t>HB 세대SP</t>
  </si>
  <si>
    <t>HB 대구경추가차열</t>
  </si>
  <si>
    <t>HB 실란트마감</t>
  </si>
  <si>
    <t>HB 슬리브</t>
  </si>
  <si>
    <t>HB 덕트</t>
  </si>
  <si>
    <t>HB 댐퍼팽창테이프</t>
  </si>
  <si>
    <t>HB 덕트마감</t>
  </si>
  <si>
    <t>HB 오픈구</t>
  </si>
  <si>
    <t>HB 차열재마감</t>
  </si>
  <si>
    <t>금번</t>
    <phoneticPr fontId="1" type="noConversion"/>
  </si>
  <si>
    <t>누적</t>
    <phoneticPr fontId="1" type="noConversion"/>
  </si>
  <si>
    <t>영종도 인스파이어 복합리조트</t>
  </si>
  <si>
    <t>22.10.13</t>
  </si>
  <si>
    <t>10~11월</t>
  </si>
  <si>
    <t>2~3월</t>
  </si>
  <si>
    <t>리테일 4층</t>
    <phoneticPr fontId="1" type="noConversion"/>
  </si>
  <si>
    <t>리테일 3층</t>
    <phoneticPr fontId="1" type="noConversion"/>
  </si>
  <si>
    <t>금속관벽체</t>
  </si>
  <si>
    <t>1500*900</t>
    <phoneticPr fontId="1" type="noConversion"/>
  </si>
  <si>
    <t>차열재마감</t>
  </si>
  <si>
    <t>1300*900</t>
    <phoneticPr fontId="1" type="noConversion"/>
  </si>
  <si>
    <t>1400*600</t>
    <phoneticPr fontId="1" type="noConversion"/>
  </si>
  <si>
    <t>800*400</t>
    <phoneticPr fontId="1" type="noConversion"/>
  </si>
  <si>
    <t>1400*400</t>
    <phoneticPr fontId="1" type="noConversion"/>
  </si>
  <si>
    <t>1500*500</t>
    <phoneticPr fontId="1" type="noConversion"/>
  </si>
  <si>
    <t>1600*500</t>
    <phoneticPr fontId="1" type="noConversion"/>
  </si>
  <si>
    <t>600*400</t>
    <phoneticPr fontId="1" type="noConversion"/>
  </si>
  <si>
    <t>800*600</t>
    <phoneticPr fontId="1" type="noConversion"/>
  </si>
  <si>
    <t>2000*600</t>
    <phoneticPr fontId="1" type="noConversion"/>
  </si>
  <si>
    <t>1700*500</t>
    <phoneticPr fontId="1" type="noConversion"/>
  </si>
  <si>
    <t>2100*400</t>
    <phoneticPr fontId="1" type="noConversion"/>
  </si>
  <si>
    <t>1300*400</t>
    <phoneticPr fontId="1" type="noConversion"/>
  </si>
  <si>
    <t>1200*500</t>
    <phoneticPr fontId="1" type="noConversion"/>
  </si>
  <si>
    <t>아레나 3층</t>
    <phoneticPr fontId="1" type="noConversion"/>
  </si>
  <si>
    <t>1600*1000</t>
    <phoneticPr fontId="1" type="noConversion"/>
  </si>
  <si>
    <t>리테일 3층</t>
    <phoneticPr fontId="1" type="noConversion"/>
  </si>
  <si>
    <t>아레나 3층</t>
    <phoneticPr fontId="1" type="noConversion"/>
  </si>
  <si>
    <t>아레나 4층</t>
    <phoneticPr fontId="1" type="noConversion"/>
  </si>
  <si>
    <t>아레나 5층</t>
    <phoneticPr fontId="1" type="noConversion"/>
  </si>
  <si>
    <t>리테일 1층</t>
    <phoneticPr fontId="1" type="noConversion"/>
  </si>
  <si>
    <t>보온덕트벽체</t>
    <phoneticPr fontId="1" type="noConversion"/>
  </si>
  <si>
    <t>800*400</t>
    <phoneticPr fontId="1" type="noConversion"/>
  </si>
  <si>
    <t>오픈구</t>
    <phoneticPr fontId="1" type="noConversion"/>
  </si>
  <si>
    <t>800*300</t>
    <phoneticPr fontId="1" type="noConversion"/>
  </si>
  <si>
    <t>보온덕트벽체</t>
    <phoneticPr fontId="1" type="noConversion"/>
  </si>
  <si>
    <t>1800*1400</t>
    <phoneticPr fontId="1" type="noConversion"/>
  </si>
  <si>
    <t>차열재마감</t>
    <phoneticPr fontId="1" type="noConversion"/>
  </si>
  <si>
    <t>차열재마감</t>
    <phoneticPr fontId="1" type="noConversion"/>
  </si>
  <si>
    <t>1600*500</t>
    <phoneticPr fontId="1" type="noConversion"/>
  </si>
  <si>
    <t>600*400</t>
    <phoneticPr fontId="1" type="noConversion"/>
  </si>
  <si>
    <t>600*400</t>
    <phoneticPr fontId="1" type="noConversion"/>
  </si>
  <si>
    <t>금속관벽체</t>
    <phoneticPr fontId="1" type="noConversion"/>
  </si>
  <si>
    <t>리테일 1층</t>
    <phoneticPr fontId="1" type="noConversion"/>
  </si>
  <si>
    <t>보온덕트벽체</t>
    <phoneticPr fontId="1" type="noConversion"/>
  </si>
  <si>
    <t>1900*600</t>
    <phoneticPr fontId="1" type="noConversion"/>
  </si>
  <si>
    <t>차열재마감</t>
    <phoneticPr fontId="1" type="noConversion"/>
  </si>
  <si>
    <t>1900*600</t>
    <phoneticPr fontId="1" type="noConversion"/>
  </si>
  <si>
    <t>무보온덕트벽체</t>
    <phoneticPr fontId="1" type="noConversion"/>
  </si>
  <si>
    <t>2000*500</t>
    <phoneticPr fontId="1" type="noConversion"/>
  </si>
  <si>
    <t>차열재마감</t>
    <phoneticPr fontId="1" type="noConversion"/>
  </si>
  <si>
    <t>200*200</t>
    <phoneticPr fontId="1" type="noConversion"/>
  </si>
  <si>
    <t>800*400</t>
    <phoneticPr fontId="1" type="noConversion"/>
  </si>
  <si>
    <t>700*300</t>
    <phoneticPr fontId="1" type="noConversion"/>
  </si>
  <si>
    <t>800*600</t>
    <phoneticPr fontId="1" type="noConversion"/>
  </si>
  <si>
    <t>2000*600</t>
    <phoneticPr fontId="1" type="noConversion"/>
  </si>
  <si>
    <t>1300*600</t>
    <phoneticPr fontId="1" type="noConversion"/>
  </si>
  <si>
    <t>1000*400</t>
    <phoneticPr fontId="1" type="noConversion"/>
  </si>
  <si>
    <t>아레나 지상5층</t>
    <phoneticPr fontId="1" type="noConversion"/>
  </si>
  <si>
    <t>아레나 지상5층</t>
    <phoneticPr fontId="1" type="noConversion"/>
  </si>
  <si>
    <t>리테일 지상1층</t>
    <phoneticPr fontId="1" type="noConversion"/>
  </si>
  <si>
    <t>866 시공후</t>
  </si>
  <si>
    <t>871 시공후</t>
  </si>
  <si>
    <t>874 시공후</t>
  </si>
  <si>
    <t>880 (윤창아님)</t>
  </si>
  <si>
    <t>881 (윤창아님)</t>
  </si>
  <si>
    <t>882 (윤창아님)</t>
  </si>
  <si>
    <t>아레나 지상1층</t>
    <phoneticPr fontId="1" type="noConversion"/>
  </si>
  <si>
    <t>무보온덕트벽체</t>
    <phoneticPr fontId="1" type="noConversion"/>
  </si>
  <si>
    <t>1500*800</t>
    <phoneticPr fontId="1" type="noConversion"/>
  </si>
  <si>
    <t>1600*500</t>
    <phoneticPr fontId="1" type="noConversion"/>
  </si>
  <si>
    <t>2100*600</t>
    <phoneticPr fontId="1" type="noConversion"/>
  </si>
  <si>
    <t>2000*800</t>
    <phoneticPr fontId="1" type="noConversion"/>
  </si>
  <si>
    <t>2000*800</t>
    <phoneticPr fontId="1" type="noConversion"/>
  </si>
  <si>
    <t>1800*1400</t>
    <phoneticPr fontId="1" type="noConversion"/>
  </si>
  <si>
    <t>1800*1400</t>
    <phoneticPr fontId="1" type="noConversion"/>
  </si>
  <si>
    <t>700*400</t>
    <phoneticPr fontId="1" type="noConversion"/>
  </si>
  <si>
    <t>2000*700</t>
    <phoneticPr fontId="1" type="noConversion"/>
  </si>
  <si>
    <t>1500*800</t>
    <phoneticPr fontId="1" type="noConversion"/>
  </si>
  <si>
    <t>1600*500</t>
    <phoneticPr fontId="1" type="noConversion"/>
  </si>
  <si>
    <t>금속관벽체</t>
    <phoneticPr fontId="1" type="noConversion"/>
  </si>
  <si>
    <t>1800*500</t>
    <phoneticPr fontId="1" type="noConversion"/>
  </si>
  <si>
    <t>800*400</t>
    <phoneticPr fontId="1" type="noConversion"/>
  </si>
  <si>
    <t>2400*600</t>
    <phoneticPr fontId="1" type="noConversion"/>
  </si>
  <si>
    <t>2400*600</t>
    <phoneticPr fontId="1" type="noConversion"/>
  </si>
  <si>
    <t>1200*500</t>
    <phoneticPr fontId="1" type="noConversion"/>
  </si>
  <si>
    <t>1700*700</t>
    <phoneticPr fontId="1" type="noConversion"/>
  </si>
  <si>
    <t>리테일 3층</t>
    <phoneticPr fontId="1" type="noConversion"/>
  </si>
  <si>
    <t>금속관벽체</t>
    <phoneticPr fontId="1" type="noConversion"/>
  </si>
  <si>
    <t>오픈구</t>
    <phoneticPr fontId="1" type="noConversion"/>
  </si>
  <si>
    <t>600*200</t>
    <phoneticPr fontId="1" type="noConversion"/>
  </si>
  <si>
    <t>리테일 1층</t>
    <phoneticPr fontId="1" type="noConversion"/>
  </si>
  <si>
    <t>무보온덕트벽체</t>
    <phoneticPr fontId="1" type="noConversion"/>
  </si>
  <si>
    <t>600*400</t>
    <phoneticPr fontId="1" type="noConversion"/>
  </si>
  <si>
    <t>1200*400</t>
    <phoneticPr fontId="1" type="noConversion"/>
  </si>
  <si>
    <t>1400*400</t>
    <phoneticPr fontId="1" type="noConversion"/>
  </si>
  <si>
    <t>금속관벽체</t>
    <phoneticPr fontId="1" type="noConversion"/>
  </si>
  <si>
    <t>1600*400</t>
    <phoneticPr fontId="1" type="noConversion"/>
  </si>
  <si>
    <t>1200*400</t>
    <phoneticPr fontId="1" type="noConversion"/>
  </si>
  <si>
    <t>보온덕트벽체</t>
    <phoneticPr fontId="1" type="noConversion"/>
  </si>
  <si>
    <t>1000*400</t>
    <phoneticPr fontId="1" type="noConversion"/>
  </si>
  <si>
    <t>오픈구</t>
    <phoneticPr fontId="1" type="noConversion"/>
  </si>
  <si>
    <t>200*200</t>
    <phoneticPr fontId="1" type="noConversion"/>
  </si>
  <si>
    <t>700*400</t>
    <phoneticPr fontId="1" type="noConversion"/>
  </si>
  <si>
    <t>1400*400</t>
    <phoneticPr fontId="1" type="noConversion"/>
  </si>
  <si>
    <t>800*400</t>
    <phoneticPr fontId="1" type="noConversion"/>
  </si>
  <si>
    <t>300*200</t>
    <phoneticPr fontId="1" type="noConversion"/>
  </si>
  <si>
    <t>무보온덕트벽체</t>
    <phoneticPr fontId="1" type="noConversion"/>
  </si>
  <si>
    <t>1300*500</t>
    <phoneticPr fontId="1" type="noConversion"/>
  </si>
  <si>
    <t>차열재마감</t>
    <phoneticPr fontId="1" type="noConversion"/>
  </si>
  <si>
    <t>리테일 2층</t>
    <phoneticPr fontId="1" type="noConversion"/>
  </si>
  <si>
    <t>오픈구</t>
  </si>
  <si>
    <t>400*200</t>
    <phoneticPr fontId="1" type="noConversion"/>
  </si>
  <si>
    <t>1800*600</t>
    <phoneticPr fontId="1" type="noConversion"/>
  </si>
  <si>
    <t>2000*400</t>
    <phoneticPr fontId="1" type="noConversion"/>
  </si>
  <si>
    <t>금속관입상</t>
  </si>
  <si>
    <t>800*500</t>
    <phoneticPr fontId="1" type="noConversion"/>
  </si>
  <si>
    <t>2000*1200</t>
    <phoneticPr fontId="1" type="noConversion"/>
  </si>
  <si>
    <t>2100*1000</t>
    <phoneticPr fontId="1" type="noConversion"/>
  </si>
  <si>
    <t>카지노 2층</t>
    <phoneticPr fontId="1" type="noConversion"/>
  </si>
  <si>
    <t>2200*600</t>
    <phoneticPr fontId="1" type="noConversion"/>
  </si>
  <si>
    <t>1400*1200</t>
    <phoneticPr fontId="1" type="noConversion"/>
  </si>
  <si>
    <t>600*800</t>
    <phoneticPr fontId="1" type="noConversion"/>
  </si>
  <si>
    <t>1200*900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</si>
</sst>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1" formatCode="_-* #,##0_-;\-* #,##0_-;_-* &quot;-&quot;_-;_-@_-"/>
    <numFmt numFmtId="43" formatCode="_-* #,##0.00_-;\-* #,##0.00_-;_-* &quot;-&quot;??_-;_-@_-"/>
    <numFmt numFmtId="176" formatCode="General&quot;층 합계&quot;"/>
    <numFmt numFmtId="177" formatCode="General&quot;층&quot;"/>
    <numFmt numFmtId="178" formatCode="General&quot;월&quot;"/>
    <numFmt numFmtId="179" formatCode="#&quot;일&quot;"/>
    <numFmt numFmtId="180" formatCode="m&quot;월&quot;\ d&quot;일&quot;;@"/>
    <numFmt numFmtId="181" formatCode="#&quot;월&quot;"/>
    <numFmt numFmtId="182" formatCode="&quot;누계(&quot;@&quot;~)&quot;"/>
    <numFmt numFmtId="183" formatCode="_-* #,##0.0_-;\-* #,##0.0_-;_-* &quot;-&quot;_-;_-@_-"/>
    <numFmt numFmtId="184" formatCode="_-* #,##0.00_-;\-* #,##0.00_-;_-* &quot;-&quot;_-;_-@_-"/>
    <numFmt numFmtId="185" formatCode="mm&quot;월&quot;\ dd&quot;일&quot;"/>
    <numFmt numFmtId="186" formatCode="&quot;[내화채움 사진대지] &quot;@"/>
    <numFmt numFmtId="187" formatCode="_-* #,##0.0_-;\-* #,##0.0_-;_-* &quot;-&quot;?_-;_-@_-"/>
  </numFmts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6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u/>
      <sz val="20"/>
      <color theme="1"/>
      <name val="맑은 고딕"/>
      <family val="2"/>
      <charset val="129"/>
      <scheme val="minor"/>
    </font>
    <font>
      <b/>
      <sz val="26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u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2"/>
      <color theme="1"/>
      <name val="HY헤드라인M"/>
      <family val="1"/>
      <charset val="129"/>
    </font>
    <font>
      <b/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u/>
      <sz val="11"/>
      <color theme="1"/>
      <name val="맑은 고딕"/>
      <family val="2"/>
      <charset val="129"/>
      <scheme val="minor"/>
    </font>
    <font>
      <b/>
      <sz val="6"/>
      <color theme="1"/>
      <name val="맑은 고딕"/>
      <family val="3"/>
      <charset val="129"/>
      <scheme val="minor"/>
    </font>
    <font>
      <u/>
      <sz val="1"/>
      <color theme="1"/>
      <name val="맑은 고딕"/>
      <family val="2"/>
      <charset val="129"/>
      <scheme val="minor"/>
    </font>
    <font>
      <sz val="1"/>
      <color theme="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41" fontId="15" fillId="0" borderId="0" applyFont="0" applyFill="0" applyBorder="0" applyAlignment="0" applyProtection="0">
      <alignment vertical="center"/>
    </xf>
  </cellStyleXfs>
  <cellXfs count="205">
    <xf numFmtId="0" fontId="0" fillId="0" borderId="0" xfId="0">
      <alignment vertical="center"/>
    </xf>
    <xf numFmtId="0" fontId="7" fillId="0" borderId="8" xfId="0" applyFont="1" applyBorder="1">
      <alignment vertical="center"/>
    </xf>
    <xf numFmtId="177" fontId="7" fillId="0" borderId="8" xfId="0" applyNumberFormat="1" applyFont="1" applyBorder="1" applyAlignment="1">
      <alignment vertical="center" wrapText="1"/>
    </xf>
    <xf numFmtId="177" fontId="7" fillId="0" borderId="8" xfId="0" applyNumberFormat="1" applyFont="1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10" fillId="0" borderId="7" xfId="0" applyFont="1" applyBorder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178" fontId="3" fillId="0" borderId="0" xfId="0" applyNumberFormat="1" applyFont="1" applyAlignment="1">
      <alignment horizontal="center" vertical="center"/>
    </xf>
    <xf numFmtId="41" fontId="0" fillId="0" borderId="0" xfId="1" applyFont="1">
      <alignment vertical="center"/>
    </xf>
    <xf numFmtId="41" fontId="0" fillId="0" borderId="0" xfId="1" applyFont="1" applyBorder="1">
      <alignment vertical="center"/>
    </xf>
    <xf numFmtId="41" fontId="10" fillId="0" borderId="7" xfId="1" applyFont="1" applyBorder="1" applyAlignment="1">
      <alignment horizontal="right" vertical="center"/>
    </xf>
    <xf numFmtId="0" fontId="10" fillId="0" borderId="7" xfId="0" applyFont="1" applyBorder="1" applyAlignment="1">
      <alignment horizontal="right" vertical="center"/>
    </xf>
    <xf numFmtId="0" fontId="0" fillId="6" borderId="7" xfId="0" applyFill="1" applyBorder="1">
      <alignment vertical="center"/>
    </xf>
    <xf numFmtId="0" fontId="16" fillId="6" borderId="7" xfId="0" applyFont="1" applyFill="1" applyBorder="1">
      <alignment vertical="center"/>
    </xf>
    <xf numFmtId="0" fontId="16" fillId="0" borderId="7" xfId="0" applyFont="1" applyBorder="1">
      <alignment vertical="center"/>
    </xf>
    <xf numFmtId="0" fontId="0" fillId="6" borderId="15" xfId="0" applyFill="1" applyBorder="1">
      <alignment vertical="center"/>
    </xf>
    <xf numFmtId="0" fontId="6" fillId="5" borderId="20" xfId="0" applyFont="1" applyFill="1" applyBorder="1" applyAlignment="1">
      <alignment horizontal="center" vertical="center"/>
    </xf>
    <xf numFmtId="181" fontId="6" fillId="5" borderId="20" xfId="0" applyNumberFormat="1" applyFont="1" applyFill="1" applyBorder="1" applyAlignment="1">
      <alignment horizontal="center" vertical="center"/>
    </xf>
    <xf numFmtId="183" fontId="16" fillId="5" borderId="15" xfId="1" applyNumberFormat="1" applyFont="1" applyFill="1" applyBorder="1">
      <alignment vertical="center"/>
    </xf>
    <xf numFmtId="183" fontId="0" fillId="0" borderId="7" xfId="1" applyNumberFormat="1" applyFont="1" applyBorder="1" applyAlignment="1">
      <alignment horizontal="center" vertical="center"/>
    </xf>
    <xf numFmtId="0" fontId="20" fillId="0" borderId="0" xfId="0" applyFont="1">
      <alignment vertical="center"/>
    </xf>
    <xf numFmtId="0" fontId="6" fillId="6" borderId="7" xfId="0" applyFont="1" applyFill="1" applyBorder="1" applyAlignment="1">
      <alignment horizontal="center" vertical="center"/>
    </xf>
    <xf numFmtId="184" fontId="16" fillId="5" borderId="15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85" fontId="17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6" fontId="6" fillId="5" borderId="15" xfId="0" applyNumberFormat="1" applyFont="1" applyFill="1" applyBorder="1" applyAlignment="1">
      <alignment horizontal="center" vertical="center"/>
    </xf>
    <xf numFmtId="179" fontId="6" fillId="0" borderId="7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179" fontId="6" fillId="4" borderId="7" xfId="0" applyNumberFormat="1" applyFont="1" applyFill="1" applyBorder="1" applyAlignment="1">
      <alignment horizontal="center" vertical="center"/>
    </xf>
    <xf numFmtId="0" fontId="19" fillId="0" borderId="7" xfId="0" applyFont="1" applyBorder="1">
      <alignment vertical="center"/>
    </xf>
    <xf numFmtId="179" fontId="6" fillId="0" borderId="9" xfId="0" applyNumberFormat="1" applyFont="1" applyBorder="1" applyAlignment="1">
      <alignment horizontal="center" vertical="center"/>
    </xf>
    <xf numFmtId="181" fontId="6" fillId="5" borderId="24" xfId="0" applyNumberFormat="1" applyFont="1" applyFill="1" applyBorder="1" applyAlignment="1">
      <alignment horizontal="center" vertical="center"/>
    </xf>
    <xf numFmtId="179" fontId="3" fillId="0" borderId="29" xfId="0" applyNumberFormat="1" applyFont="1" applyBorder="1" applyAlignment="1">
      <alignment horizontal="center" vertical="center"/>
    </xf>
    <xf numFmtId="0" fontId="21" fillId="5" borderId="26" xfId="0" applyFont="1" applyFill="1" applyBorder="1" applyAlignment="1">
      <alignment horizontal="center" vertical="center"/>
    </xf>
    <xf numFmtId="179" fontId="6" fillId="0" borderId="13" xfId="0" applyNumberFormat="1" applyFont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180" fontId="22" fillId="5" borderId="20" xfId="0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9" fillId="0" borderId="41" xfId="0" applyFont="1" applyBorder="1" applyAlignment="1">
      <alignment horizontal="center" vertical="center"/>
    </xf>
    <xf numFmtId="0" fontId="0" fillId="0" borderId="8" xfId="0" applyBorder="1">
      <alignment vertical="center"/>
    </xf>
    <xf numFmtId="2" fontId="9" fillId="0" borderId="40" xfId="0" applyNumberFormat="1" applyFont="1" applyBorder="1">
      <alignment vertical="center"/>
    </xf>
    <xf numFmtId="0" fontId="4" fillId="0" borderId="8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6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3" fontId="16" fillId="6" borderId="15" xfId="1" applyNumberFormat="1" applyFont="1" applyFill="1" applyBorder="1">
      <alignment vertical="center"/>
    </xf>
    <xf numFmtId="183" fontId="16" fillId="6" borderId="7" xfId="1" applyNumberFormat="1" applyFont="1" applyFill="1" applyBorder="1">
      <alignment vertical="center"/>
    </xf>
    <xf numFmtId="183" fontId="16" fillId="0" borderId="15" xfId="1" applyNumberFormat="1" applyFont="1" applyFill="1" applyBorder="1">
      <alignment vertical="center"/>
    </xf>
    <xf numFmtId="183" fontId="16" fillId="0" borderId="7" xfId="1" applyNumberFormat="1" applyFont="1" applyFill="1" applyBorder="1">
      <alignment vertical="center"/>
    </xf>
    <xf numFmtId="183" fontId="0" fillId="0" borderId="0" xfId="0" applyNumberFormat="1">
      <alignment vertical="center"/>
    </xf>
    <xf numFmtId="183" fontId="6" fillId="6" borderId="7" xfId="0" applyNumberFormat="1" applyFont="1" applyFill="1" applyBorder="1" applyAlignment="1">
      <alignment horizontal="center" vertical="center"/>
    </xf>
    <xf numFmtId="183" fontId="16" fillId="0" borderId="0" xfId="0" applyNumberFormat="1" applyFont="1">
      <alignment vertical="center"/>
    </xf>
    <xf numFmtId="183" fontId="0" fillId="6" borderId="34" xfId="0" applyNumberFormat="1" applyFill="1" applyBorder="1">
      <alignment vertical="center"/>
    </xf>
    <xf numFmtId="183" fontId="0" fillId="6" borderId="15" xfId="0" applyNumberFormat="1" applyFill="1" applyBorder="1">
      <alignment vertical="center"/>
    </xf>
    <xf numFmtId="183" fontId="0" fillId="6" borderId="14" xfId="0" applyNumberFormat="1" applyFill="1" applyBorder="1">
      <alignment vertical="center"/>
    </xf>
    <xf numFmtId="183" fontId="0" fillId="6" borderId="7" xfId="0" applyNumberFormat="1" applyFill="1" applyBorder="1">
      <alignment vertical="center"/>
    </xf>
    <xf numFmtId="183" fontId="0" fillId="0" borderId="14" xfId="0" applyNumberFormat="1" applyBorder="1">
      <alignment vertical="center"/>
    </xf>
    <xf numFmtId="183" fontId="0" fillId="0" borderId="7" xfId="0" applyNumberFormat="1" applyBorder="1">
      <alignment vertical="center"/>
    </xf>
    <xf numFmtId="183" fontId="16" fillId="0" borderId="14" xfId="0" applyNumberFormat="1" applyFont="1" applyBorder="1">
      <alignment vertical="center"/>
    </xf>
    <xf numFmtId="183" fontId="16" fillId="0" borderId="7" xfId="0" applyNumberFormat="1" applyFont="1" applyBorder="1">
      <alignment vertical="center"/>
    </xf>
    <xf numFmtId="183" fontId="16" fillId="6" borderId="14" xfId="0" applyNumberFormat="1" applyFont="1" applyFill="1" applyBorder="1">
      <alignment vertical="center"/>
    </xf>
    <xf numFmtId="183" fontId="16" fillId="6" borderId="7" xfId="0" applyNumberFormat="1" applyFont="1" applyFill="1" applyBorder="1">
      <alignment vertical="center"/>
    </xf>
    <xf numFmtId="183" fontId="16" fillId="5" borderId="36" xfId="0" applyNumberFormat="1" applyFont="1" applyFill="1" applyBorder="1" applyAlignment="1">
      <alignment horizontal="center" vertical="center"/>
    </xf>
    <xf numFmtId="183" fontId="16" fillId="5" borderId="15" xfId="0" applyNumberFormat="1" applyFont="1" applyFill="1" applyBorder="1" applyAlignment="1">
      <alignment horizontal="center" vertical="center"/>
    </xf>
    <xf numFmtId="183" fontId="6" fillId="6" borderId="11" xfId="0" applyNumberFormat="1" applyFont="1" applyFill="1" applyBorder="1" applyAlignment="1">
      <alignment horizontal="center" vertical="center"/>
    </xf>
    <xf numFmtId="183" fontId="6" fillId="6" borderId="14" xfId="0" applyNumberFormat="1" applyFont="1" applyFill="1" applyBorder="1" applyAlignment="1">
      <alignment horizontal="center" vertical="center"/>
    </xf>
    <xf numFmtId="185" fontId="24" fillId="0" borderId="38" xfId="0" applyNumberFormat="1" applyFont="1" applyBorder="1" applyAlignment="1">
      <alignment horizontal="center" vertical="center"/>
    </xf>
    <xf numFmtId="185" fontId="24" fillId="0" borderId="7" xfId="0" applyNumberFormat="1" applyFont="1" applyBorder="1" applyAlignment="1">
      <alignment horizontal="center" vertical="center"/>
    </xf>
    <xf numFmtId="183" fontId="3" fillId="6" borderId="35" xfId="1" applyNumberFormat="1" applyFont="1" applyFill="1" applyBorder="1">
      <alignment vertical="center"/>
    </xf>
    <xf numFmtId="183" fontId="3" fillId="6" borderId="13" xfId="1" applyNumberFormat="1" applyFont="1" applyFill="1" applyBorder="1">
      <alignment vertical="center"/>
    </xf>
    <xf numFmtId="183" fontId="3" fillId="0" borderId="13" xfId="1" applyNumberFormat="1" applyFont="1" applyFill="1" applyBorder="1">
      <alignment vertical="center"/>
    </xf>
    <xf numFmtId="183" fontId="3" fillId="5" borderId="37" xfId="1" applyNumberFormat="1" applyFont="1" applyFill="1" applyBorder="1">
      <alignment vertical="center"/>
    </xf>
    <xf numFmtId="184" fontId="0" fillId="6" borderId="15" xfId="1" applyNumberFormat="1" applyFont="1" applyFill="1" applyBorder="1">
      <alignment vertical="center"/>
    </xf>
    <xf numFmtId="184" fontId="0" fillId="6" borderId="7" xfId="1" applyNumberFormat="1" applyFont="1" applyFill="1" applyBorder="1">
      <alignment vertical="center"/>
    </xf>
    <xf numFmtId="184" fontId="0" fillId="0" borderId="7" xfId="1" applyNumberFormat="1" applyFont="1" applyFill="1" applyBorder="1">
      <alignment vertical="center"/>
    </xf>
    <xf numFmtId="184" fontId="16" fillId="5" borderId="15" xfId="1" applyNumberFormat="1" applyFont="1" applyFill="1" applyBorder="1">
      <alignment vertical="center"/>
    </xf>
    <xf numFmtId="184" fontId="0" fillId="0" borderId="0" xfId="0" applyNumberFormat="1">
      <alignment vertical="center"/>
    </xf>
    <xf numFmtId="184" fontId="0" fillId="6" borderId="15" xfId="1" applyNumberFormat="1" applyFont="1" applyFill="1" applyBorder="1" applyAlignment="1">
      <alignment horizontal="center" vertical="center"/>
    </xf>
    <xf numFmtId="184" fontId="0" fillId="6" borderId="22" xfId="1" applyNumberFormat="1" applyFont="1" applyFill="1" applyBorder="1" applyAlignment="1">
      <alignment horizontal="center" vertical="center"/>
    </xf>
    <xf numFmtId="184" fontId="3" fillId="6" borderId="16" xfId="1" applyNumberFormat="1" applyFont="1" applyFill="1" applyBorder="1" applyAlignment="1">
      <alignment horizontal="center" vertical="center"/>
    </xf>
    <xf numFmtId="184" fontId="0" fillId="6" borderId="7" xfId="1" applyNumberFormat="1" applyFont="1" applyFill="1" applyBorder="1" applyAlignment="1">
      <alignment horizontal="center" vertical="center"/>
    </xf>
    <xf numFmtId="184" fontId="0" fillId="6" borderId="9" xfId="1" applyNumberFormat="1" applyFont="1" applyFill="1" applyBorder="1" applyAlignment="1">
      <alignment horizontal="center" vertical="center"/>
    </xf>
    <xf numFmtId="184" fontId="3" fillId="6" borderId="10" xfId="1" applyNumberFormat="1" applyFont="1" applyFill="1" applyBorder="1" applyAlignment="1">
      <alignment horizontal="center" vertical="center"/>
    </xf>
    <xf numFmtId="184" fontId="0" fillId="0" borderId="7" xfId="1" applyNumberFormat="1" applyFont="1" applyFill="1" applyBorder="1" applyAlignment="1">
      <alignment horizontal="center" vertical="center"/>
    </xf>
    <xf numFmtId="184" fontId="0" fillId="0" borderId="9" xfId="1" applyNumberFormat="1" applyFont="1" applyFill="1" applyBorder="1" applyAlignment="1">
      <alignment horizontal="center" vertical="center"/>
    </xf>
    <xf numFmtId="184" fontId="3" fillId="0" borderId="10" xfId="1" applyNumberFormat="1" applyFont="1" applyFill="1" applyBorder="1" applyAlignment="1">
      <alignment horizontal="center" vertical="center"/>
    </xf>
    <xf numFmtId="184" fontId="0" fillId="5" borderId="15" xfId="1" applyNumberFormat="1" applyFont="1" applyFill="1" applyBorder="1" applyAlignment="1">
      <alignment horizontal="center" vertical="center"/>
    </xf>
    <xf numFmtId="184" fontId="0" fillId="5" borderId="22" xfId="1" applyNumberFormat="1" applyFont="1" applyFill="1" applyBorder="1" applyAlignment="1">
      <alignment horizontal="center" vertical="center"/>
    </xf>
    <xf numFmtId="184" fontId="3" fillId="5" borderId="25" xfId="1" applyNumberFormat="1" applyFont="1" applyFill="1" applyBorder="1" applyAlignment="1">
      <alignment horizontal="center" vertical="center"/>
    </xf>
    <xf numFmtId="184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0" fillId="4" borderId="7" xfId="0" applyFill="1" applyBorder="1" applyAlignment="1">
      <alignment horizontal="center" vertical="center"/>
    </xf>
    <xf numFmtId="184" fontId="0" fillId="4" borderId="7" xfId="1" applyNumberFormat="1" applyFont="1" applyFill="1" applyBorder="1" applyAlignment="1">
      <alignment horizontal="center" vertical="center"/>
    </xf>
    <xf numFmtId="184" fontId="0" fillId="4" borderId="9" xfId="1" applyNumberFormat="1" applyFont="1" applyFill="1" applyBorder="1" applyAlignment="1">
      <alignment horizontal="center" vertical="center"/>
    </xf>
    <xf numFmtId="184" fontId="3" fillId="4" borderId="10" xfId="1" applyNumberFormat="1" applyFont="1" applyFill="1" applyBorder="1" applyAlignment="1">
      <alignment horizontal="center" vertical="center"/>
    </xf>
    <xf numFmtId="183" fontId="16" fillId="4" borderId="15" xfId="1" applyNumberFormat="1" applyFont="1" applyFill="1" applyBorder="1">
      <alignment vertical="center"/>
    </xf>
    <xf numFmtId="183" fontId="16" fillId="4" borderId="7" xfId="1" applyNumberFormat="1" applyFont="1" applyFill="1" applyBorder="1">
      <alignment vertical="center"/>
    </xf>
    <xf numFmtId="183" fontId="0" fillId="4" borderId="14" xfId="0" applyNumberFormat="1" applyFill="1" applyBorder="1">
      <alignment vertical="center"/>
    </xf>
    <xf numFmtId="183" fontId="3" fillId="4" borderId="13" xfId="1" applyNumberFormat="1" applyFont="1" applyFill="1" applyBorder="1">
      <alignment vertical="center"/>
    </xf>
    <xf numFmtId="183" fontId="0" fillId="4" borderId="7" xfId="0" applyNumberFormat="1" applyFill="1" applyBorder="1">
      <alignment vertical="center"/>
    </xf>
    <xf numFmtId="184" fontId="0" fillId="4" borderId="7" xfId="1" applyNumberFormat="1" applyFont="1" applyFill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7" xfId="0" applyFont="1" applyFill="1" applyBorder="1">
      <alignment vertical="center"/>
    </xf>
    <xf numFmtId="183" fontId="16" fillId="4" borderId="14" xfId="0" applyNumberFormat="1" applyFont="1" applyFill="1" applyBorder="1">
      <alignment vertical="center"/>
    </xf>
    <xf numFmtId="183" fontId="16" fillId="4" borderId="7" xfId="0" applyNumberFormat="1" applyFont="1" applyFill="1" applyBorder="1">
      <alignment vertical="center"/>
    </xf>
    <xf numFmtId="183" fontId="0" fillId="4" borderId="0" xfId="0" applyNumberFormat="1" applyFill="1">
      <alignment vertical="center"/>
    </xf>
    <xf numFmtId="183" fontId="16" fillId="4" borderId="0" xfId="0" applyNumberFormat="1" applyFont="1" applyFill="1">
      <alignment vertical="center"/>
    </xf>
    <xf numFmtId="0" fontId="0" fillId="7" borderId="0" xfId="0" applyFill="1">
      <alignment vertical="center"/>
    </xf>
    <xf numFmtId="183" fontId="0" fillId="7" borderId="0" xfId="0" applyNumberFormat="1" applyFill="1">
      <alignment vertical="center"/>
    </xf>
    <xf numFmtId="183" fontId="17" fillId="6" borderId="14" xfId="0" applyNumberFormat="1" applyFont="1" applyFill="1" applyBorder="1" applyAlignment="1">
      <alignment horizontal="center" vertical="center"/>
    </xf>
    <xf numFmtId="183" fontId="17" fillId="6" borderId="17" xfId="0" applyNumberFormat="1" applyFont="1" applyFill="1" applyBorder="1" applyAlignment="1">
      <alignment horizontal="center" vertical="center"/>
    </xf>
    <xf numFmtId="183" fontId="17" fillId="6" borderId="7" xfId="0" applyNumberFormat="1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183" fontId="0" fillId="0" borderId="7" xfId="1" applyNumberFormat="1" applyFont="1" applyFill="1" applyBorder="1" applyAlignment="1">
      <alignment horizontal="center" vertical="center"/>
    </xf>
    <xf numFmtId="0" fontId="0" fillId="7" borderId="7" xfId="0" applyFill="1" applyBorder="1">
      <alignment vertical="center"/>
    </xf>
    <xf numFmtId="183" fontId="0" fillId="7" borderId="12" xfId="1" applyNumberFormat="1" applyFont="1" applyFill="1" applyBorder="1" applyAlignment="1">
      <alignment horizontal="center" vertical="center"/>
    </xf>
    <xf numFmtId="183" fontId="0" fillId="7" borderId="13" xfId="1" applyNumberFormat="1" applyFont="1" applyFill="1" applyBorder="1" applyAlignment="1">
      <alignment horizontal="center" vertical="center"/>
    </xf>
    <xf numFmtId="183" fontId="6" fillId="6" borderId="17" xfId="0" applyNumberFormat="1" applyFont="1" applyFill="1" applyBorder="1" applyAlignment="1">
      <alignment horizontal="center" vertical="center"/>
    </xf>
    <xf numFmtId="183" fontId="0" fillId="7" borderId="18" xfId="1" applyNumberFormat="1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183" fontId="0" fillId="0" borderId="34" xfId="0" applyNumberFormat="1" applyBorder="1">
      <alignment vertical="center"/>
    </xf>
    <xf numFmtId="183" fontId="3" fillId="0" borderId="35" xfId="1" applyNumberFormat="1" applyFont="1" applyFill="1" applyBorder="1">
      <alignment vertical="center"/>
    </xf>
    <xf numFmtId="183" fontId="0" fillId="0" borderId="15" xfId="0" applyNumberFormat="1" applyBorder="1">
      <alignment vertical="center"/>
    </xf>
    <xf numFmtId="184" fontId="0" fillId="0" borderId="15" xfId="1" applyNumberFormat="1" applyFont="1" applyFill="1" applyBorder="1">
      <alignment vertical="center"/>
    </xf>
    <xf numFmtId="187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5" xfId="0" applyBorder="1" applyAlignment="1">
      <alignment horizontal="center" vertical="center"/>
    </xf>
    <xf numFmtId="184" fontId="0" fillId="0" borderId="15" xfId="1" applyNumberFormat="1" applyFont="1" applyFill="1" applyBorder="1" applyAlignment="1">
      <alignment horizontal="center" vertical="center"/>
    </xf>
    <xf numFmtId="184" fontId="0" fillId="0" borderId="22" xfId="1" applyNumberFormat="1" applyFont="1" applyFill="1" applyBorder="1" applyAlignment="1">
      <alignment horizontal="center" vertical="center"/>
    </xf>
    <xf numFmtId="184" fontId="3" fillId="0" borderId="16" xfId="1" applyNumberFormat="1" applyFont="1" applyFill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  <xf numFmtId="41" fontId="0" fillId="0" borderId="7" xfId="1" applyFont="1" applyBorder="1">
      <alignment vertical="center"/>
    </xf>
    <xf numFmtId="183" fontId="6" fillId="7" borderId="7" xfId="0" applyNumberFormat="1" applyFont="1" applyFill="1" applyBorder="1" applyAlignment="1">
      <alignment horizontal="center" vertical="center"/>
    </xf>
    <xf numFmtId="41" fontId="0" fillId="7" borderId="7" xfId="1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6" fillId="3" borderId="45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34" xfId="0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12" fillId="2" borderId="38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14" fillId="3" borderId="43" xfId="0" applyFont="1" applyFill="1" applyBorder="1" applyAlignment="1">
      <alignment horizontal="center" vertical="center"/>
    </xf>
    <xf numFmtId="0" fontId="14" fillId="3" borderId="44" xfId="0" applyFont="1" applyFill="1" applyBorder="1" applyAlignment="1">
      <alignment horizontal="center" vertical="center"/>
    </xf>
    <xf numFmtId="0" fontId="14" fillId="3" borderId="22" xfId="0" applyFont="1" applyFill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39" xfId="0" applyFont="1" applyBorder="1" applyAlignment="1">
      <alignment horizontal="center" vertical="center"/>
    </xf>
    <xf numFmtId="186" fontId="18" fillId="0" borderId="0" xfId="0" applyNumberFormat="1" applyFont="1" applyAlignment="1">
      <alignment horizontal="center" vertical="center"/>
    </xf>
    <xf numFmtId="182" fontId="19" fillId="4" borderId="9" xfId="0" applyNumberFormat="1" applyFont="1" applyFill="1" applyBorder="1" applyAlignment="1">
      <alignment horizontal="center" vertical="center"/>
    </xf>
    <xf numFmtId="182" fontId="19" fillId="4" borderId="19" xfId="0" applyNumberFormat="1" applyFont="1" applyFill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177" fontId="16" fillId="4" borderId="28" xfId="0" applyNumberFormat="1" applyFont="1" applyFill="1" applyBorder="1" applyAlignment="1">
      <alignment horizontal="center" vertical="center"/>
    </xf>
    <xf numFmtId="177" fontId="16" fillId="4" borderId="38" xfId="0" applyNumberFormat="1" applyFont="1" applyFill="1" applyBorder="1" applyAlignment="1">
      <alignment horizontal="center" vertical="center"/>
    </xf>
    <xf numFmtId="177" fontId="16" fillId="4" borderId="15" xfId="0" applyNumberFormat="1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19" fillId="7" borderId="30" xfId="0" applyFont="1" applyFill="1" applyBorder="1" applyAlignment="1">
      <alignment horizontal="center" vertical="center"/>
    </xf>
    <xf numFmtId="0" fontId="19" fillId="7" borderId="31" xfId="0" applyFont="1" applyFill="1" applyBorder="1" applyAlignment="1">
      <alignment horizontal="center" vertical="center"/>
    </xf>
    <xf numFmtId="178" fontId="3" fillId="0" borderId="9" xfId="0" applyNumberFormat="1" applyFont="1" applyBorder="1" applyAlignment="1">
      <alignment horizontal="center" vertical="center"/>
    </xf>
    <xf numFmtId="178" fontId="3" fillId="0" borderId="39" xfId="0" applyNumberFormat="1" applyFont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colors>
    <mruColors>
      <color rgb="FF3E11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jpg"/><Relationship Id="rId299" Type="http://schemas.openxmlformats.org/officeDocument/2006/relationships/image" Target="../media/image150.jpeg"/><Relationship Id="rId21" Type="http://schemas.openxmlformats.org/officeDocument/2006/relationships/image" Target="../media/image11.jpeg"/><Relationship Id="rId63" Type="http://schemas.openxmlformats.org/officeDocument/2006/relationships/image" Target="../media/image32.jpg"/><Relationship Id="rId159" Type="http://schemas.openxmlformats.org/officeDocument/2006/relationships/image" Target="../media/image80.jpg"/><Relationship Id="rId32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62.jpg" TargetMode="External"/><Relationship Id="rId36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83.jpg" TargetMode="External"/><Relationship Id="rId17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85.jpg" TargetMode="External"/><Relationship Id="rId22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13.jpg" TargetMode="External"/><Relationship Id="rId433" Type="http://schemas.openxmlformats.org/officeDocument/2006/relationships/image" Target="../media/image217.jpeg"/><Relationship Id="rId26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34.jpg" TargetMode="External"/><Relationship Id="rId3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4%20HB\\816.jpg" TargetMode="External"/><Relationship Id="rId7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37.jpg" TargetMode="External"/><Relationship Id="rId12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64.jpg" TargetMode="External"/><Relationship Id="rId335" Type="http://schemas.openxmlformats.org/officeDocument/2006/relationships/image" Target="../media/image168.jpeg"/><Relationship Id="rId377" Type="http://schemas.openxmlformats.org/officeDocument/2006/relationships/image" Target="../media/image189.jpeg"/><Relationship Id="rId5" Type="http://schemas.openxmlformats.org/officeDocument/2006/relationships/image" Target="../media/image3.jpeg"/><Relationship Id="rId181" Type="http://schemas.openxmlformats.org/officeDocument/2006/relationships/image" Target="../media/image91.jpg"/><Relationship Id="rId237" Type="http://schemas.openxmlformats.org/officeDocument/2006/relationships/image" Target="../media/image119.jpeg"/><Relationship Id="rId40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1001.jpg" TargetMode="External"/><Relationship Id="rId279" Type="http://schemas.openxmlformats.org/officeDocument/2006/relationships/image" Target="../media/image140.jpeg"/><Relationship Id="rId44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5%20HB\\1022.jpg" TargetMode="External"/><Relationship Id="rId43" Type="http://schemas.openxmlformats.org/officeDocument/2006/relationships/image" Target="../media/image22.jpeg"/><Relationship Id="rId139" Type="http://schemas.openxmlformats.org/officeDocument/2006/relationships/image" Target="../media/image70.jpg"/><Relationship Id="rId29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45.jpg" TargetMode="External"/><Relationship Id="rId30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52.jpg" TargetMode="External"/><Relationship Id="rId34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73.jpg" TargetMode="External"/><Relationship Id="rId38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94.jpg" TargetMode="External"/><Relationship Id="rId85" Type="http://schemas.openxmlformats.org/officeDocument/2006/relationships/image" Target="../media/image43.jpg"/><Relationship Id="rId15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75.jpg" TargetMode="External"/><Relationship Id="rId19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896.jpg" TargetMode="External"/><Relationship Id="rId20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03.jpg" TargetMode="External"/><Relationship Id="rId413" Type="http://schemas.openxmlformats.org/officeDocument/2006/relationships/image" Target="../media/image207.jpeg"/><Relationship Id="rId24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24.jpg" TargetMode="External"/><Relationship Id="rId455" Type="http://schemas.openxmlformats.org/officeDocument/2006/relationships/image" Target="../media/image228.jpeg"/><Relationship Id="rId1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06.jpg" TargetMode="External"/><Relationship Id="rId10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54.jpg" TargetMode="External"/><Relationship Id="rId315" Type="http://schemas.openxmlformats.org/officeDocument/2006/relationships/image" Target="../media/image158.jpeg"/><Relationship Id="rId357" Type="http://schemas.openxmlformats.org/officeDocument/2006/relationships/image" Target="../media/image179.jpeg"/><Relationship Id="rId5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27.jpg" TargetMode="External"/><Relationship Id="rId9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48.jpg" TargetMode="External"/><Relationship Id="rId161" Type="http://schemas.openxmlformats.org/officeDocument/2006/relationships/image" Target="../media/image81.jpg"/><Relationship Id="rId217" Type="http://schemas.openxmlformats.org/officeDocument/2006/relationships/image" Target="../media/image109.jpeg"/><Relationship Id="rId399" Type="http://schemas.openxmlformats.org/officeDocument/2006/relationships/image" Target="../media/image200.jpeg"/><Relationship Id="rId259" Type="http://schemas.openxmlformats.org/officeDocument/2006/relationships/image" Target="../media/image130.jpeg"/><Relationship Id="rId42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3%20HB\\1012.jpg" TargetMode="External"/><Relationship Id="rId23" Type="http://schemas.openxmlformats.org/officeDocument/2006/relationships/image" Target="../media/image12.jpeg"/><Relationship Id="rId119" Type="http://schemas.openxmlformats.org/officeDocument/2006/relationships/image" Target="../media/image60.jpg"/><Relationship Id="rId27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35.jpg" TargetMode="External"/><Relationship Id="rId291" Type="http://schemas.openxmlformats.org/officeDocument/2006/relationships/image" Target="../media/image146.jpeg"/><Relationship Id="rId305" Type="http://schemas.openxmlformats.org/officeDocument/2006/relationships/image" Target="../media/image153.jpeg"/><Relationship Id="rId32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63.jpg" TargetMode="External"/><Relationship Id="rId347" Type="http://schemas.openxmlformats.org/officeDocument/2006/relationships/image" Target="../media/image174.jpeg"/><Relationship Id="rId4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22.jpg" TargetMode="External"/><Relationship Id="rId65" Type="http://schemas.openxmlformats.org/officeDocument/2006/relationships/image" Target="../media/image33.jpg"/><Relationship Id="rId8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43.jpg" TargetMode="External"/><Relationship Id="rId13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65.jpg" TargetMode="External"/><Relationship Id="rId151" Type="http://schemas.openxmlformats.org/officeDocument/2006/relationships/image" Target="../media/image76.jpg"/><Relationship Id="rId36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84.jpg" TargetMode="External"/><Relationship Id="rId389" Type="http://schemas.openxmlformats.org/officeDocument/2006/relationships/image" Target="../media/image195.jpeg"/><Relationship Id="rId17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86.jpg" TargetMode="External"/><Relationship Id="rId193" Type="http://schemas.openxmlformats.org/officeDocument/2006/relationships/image" Target="../media/image97.jpeg"/><Relationship Id="rId207" Type="http://schemas.openxmlformats.org/officeDocument/2006/relationships/image" Target="../media/image104.jpeg"/><Relationship Id="rId22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14.jpg" TargetMode="External"/><Relationship Id="rId249" Type="http://schemas.openxmlformats.org/officeDocument/2006/relationships/image" Target="../media/image125.jpeg"/><Relationship Id="rId41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1%20HB\\1007.jpg" TargetMode="External"/><Relationship Id="rId435" Type="http://schemas.openxmlformats.org/officeDocument/2006/relationships/image" Target="../media/image218.jpeg"/><Relationship Id="rId45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5%20HB\\1028.jpg" TargetMode="External"/><Relationship Id="rId13" Type="http://schemas.openxmlformats.org/officeDocument/2006/relationships/image" Target="../media/image7.jpeg"/><Relationship Id="rId109" Type="http://schemas.openxmlformats.org/officeDocument/2006/relationships/image" Target="../media/image55.jpg"/><Relationship Id="rId26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30.jpg" TargetMode="External"/><Relationship Id="rId281" Type="http://schemas.openxmlformats.org/officeDocument/2006/relationships/image" Target="../media/image141.jpeg"/><Relationship Id="rId31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58.jpg" TargetMode="External"/><Relationship Id="rId337" Type="http://schemas.openxmlformats.org/officeDocument/2006/relationships/image" Target="../media/image169.jpeg"/><Relationship Id="rId3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4%20HB\\817.jpg" TargetMode="External"/><Relationship Id="rId55" Type="http://schemas.openxmlformats.org/officeDocument/2006/relationships/image" Target="../media/image28.jpeg"/><Relationship Id="rId7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38.jpg" TargetMode="External"/><Relationship Id="rId97" Type="http://schemas.openxmlformats.org/officeDocument/2006/relationships/image" Target="../media/image49.jpg"/><Relationship Id="rId12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60.jpg" TargetMode="External"/><Relationship Id="rId141" Type="http://schemas.openxmlformats.org/officeDocument/2006/relationships/image" Target="../media/image71.jpg"/><Relationship Id="rId35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79.jpg" TargetMode="External"/><Relationship Id="rId379" Type="http://schemas.openxmlformats.org/officeDocument/2006/relationships/image" Target="../media/image190.jpeg"/><Relationship Id="rId7" Type="http://schemas.openxmlformats.org/officeDocument/2006/relationships/image" Target="../media/image4.jpeg"/><Relationship Id="rId16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81%20(&#50980;&#52285;&#50500;&#45784;).jpg" TargetMode="External"/><Relationship Id="rId183" Type="http://schemas.openxmlformats.org/officeDocument/2006/relationships/image" Target="../media/image92.jpg"/><Relationship Id="rId21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09.jpg" TargetMode="External"/><Relationship Id="rId239" Type="http://schemas.openxmlformats.org/officeDocument/2006/relationships/image" Target="../media/image120.jpeg"/><Relationship Id="rId39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95.jpg" TargetMode="External"/><Relationship Id="rId40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1002.jpg" TargetMode="External"/><Relationship Id="rId425" Type="http://schemas.openxmlformats.org/officeDocument/2006/relationships/image" Target="../media/image213.jpeg"/><Relationship Id="rId44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5%20HB\\1023.jpg" TargetMode="External"/><Relationship Id="rId25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25.jpg" TargetMode="External"/><Relationship Id="rId271" Type="http://schemas.openxmlformats.org/officeDocument/2006/relationships/image" Target="../media/image136.jpeg"/><Relationship Id="rId29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46.jpg" TargetMode="External"/><Relationship Id="rId30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53.jpg" TargetMode="External"/><Relationship Id="rId2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12.jpg" TargetMode="External"/><Relationship Id="rId45" Type="http://schemas.openxmlformats.org/officeDocument/2006/relationships/image" Target="../media/image23.jpeg"/><Relationship Id="rId6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33.jpg" TargetMode="External"/><Relationship Id="rId87" Type="http://schemas.openxmlformats.org/officeDocument/2006/relationships/image" Target="../media/image44.jpg"/><Relationship Id="rId11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55.jpg" TargetMode="External"/><Relationship Id="rId131" Type="http://schemas.openxmlformats.org/officeDocument/2006/relationships/image" Target="../media/image66.jpg"/><Relationship Id="rId327" Type="http://schemas.openxmlformats.org/officeDocument/2006/relationships/image" Target="../media/image164.jpeg"/><Relationship Id="rId34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74.jpg" TargetMode="External"/><Relationship Id="rId369" Type="http://schemas.openxmlformats.org/officeDocument/2006/relationships/image" Target="../media/image185.jpeg"/><Relationship Id="rId15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76.jpg" TargetMode="External"/><Relationship Id="rId173" Type="http://schemas.openxmlformats.org/officeDocument/2006/relationships/image" Target="../media/image87.jpg"/><Relationship Id="rId19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897.jpg" TargetMode="External"/><Relationship Id="rId20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04.jpg" TargetMode="External"/><Relationship Id="rId229" Type="http://schemas.openxmlformats.org/officeDocument/2006/relationships/image" Target="../media/image115.jpeg"/><Relationship Id="rId38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90.jpg" TargetMode="External"/><Relationship Id="rId415" Type="http://schemas.openxmlformats.org/officeDocument/2006/relationships/image" Target="../media/image208.jpeg"/><Relationship Id="rId43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+&#49324;&#51652;\23.09.24%20HB\&#49352;%20&#54260;&#45908;\\1018.jpg" TargetMode="External"/><Relationship Id="rId457" Type="http://schemas.openxmlformats.org/officeDocument/2006/relationships/image" Target="../media/image229.jpeg"/><Relationship Id="rId24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20.jpg" TargetMode="External"/><Relationship Id="rId261" Type="http://schemas.openxmlformats.org/officeDocument/2006/relationships/image" Target="../media/image131.jpeg"/><Relationship Id="rId1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07.jpg" TargetMode="External"/><Relationship Id="rId35" Type="http://schemas.openxmlformats.org/officeDocument/2006/relationships/image" Target="../media/image18.jpeg"/><Relationship Id="rId5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28.jpg" TargetMode="External"/><Relationship Id="rId77" Type="http://schemas.openxmlformats.org/officeDocument/2006/relationships/image" Target="../media/image39.jpg"/><Relationship Id="rId10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50.jpg" TargetMode="External"/><Relationship Id="rId28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41.jpg" TargetMode="External"/><Relationship Id="rId317" Type="http://schemas.openxmlformats.org/officeDocument/2006/relationships/image" Target="../media/image159.jpeg"/><Relationship Id="rId33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69.jpg" TargetMode="External"/><Relationship Id="rId359" Type="http://schemas.openxmlformats.org/officeDocument/2006/relationships/image" Target="../media/image180.jpeg"/><Relationship Id="rId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04.jpg" TargetMode="External"/><Relationship Id="rId9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49.jpg" TargetMode="External"/><Relationship Id="rId121" Type="http://schemas.openxmlformats.org/officeDocument/2006/relationships/image" Target="../media/image61.jpg"/><Relationship Id="rId14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71%20&#49884;&#44277;&#54980;.jpg" TargetMode="External"/><Relationship Id="rId163" Type="http://schemas.openxmlformats.org/officeDocument/2006/relationships/image" Target="../media/image82.jpg"/><Relationship Id="rId18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92.jpg" TargetMode="External"/><Relationship Id="rId219" Type="http://schemas.openxmlformats.org/officeDocument/2006/relationships/image" Target="../media/image110.jpeg"/><Relationship Id="rId37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85.jpg" TargetMode="External"/><Relationship Id="rId391" Type="http://schemas.openxmlformats.org/officeDocument/2006/relationships/image" Target="../media/image196.jpeg"/><Relationship Id="rId405" Type="http://schemas.openxmlformats.org/officeDocument/2006/relationships/image" Target="../media/image203.jpeg"/><Relationship Id="rId42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3%20HB\\1013.jpg" TargetMode="External"/><Relationship Id="rId447" Type="http://schemas.openxmlformats.org/officeDocument/2006/relationships/image" Target="../media/image224.jpeg"/><Relationship Id="rId23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15.jpg" TargetMode="External"/><Relationship Id="rId251" Type="http://schemas.openxmlformats.org/officeDocument/2006/relationships/image" Target="../media/image126.jpeg"/><Relationship Id="rId25" Type="http://schemas.openxmlformats.org/officeDocument/2006/relationships/image" Target="../media/image13.jpeg"/><Relationship Id="rId4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23.jpg" TargetMode="External"/><Relationship Id="rId67" Type="http://schemas.openxmlformats.org/officeDocument/2006/relationships/image" Target="../media/image34.jpg"/><Relationship Id="rId27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36.jpg" TargetMode="External"/><Relationship Id="rId293" Type="http://schemas.openxmlformats.org/officeDocument/2006/relationships/image" Target="../media/image147.jpeg"/><Relationship Id="rId307" Type="http://schemas.openxmlformats.org/officeDocument/2006/relationships/image" Target="../media/image154.jpeg"/><Relationship Id="rId32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64.jpg" TargetMode="External"/><Relationship Id="rId349" Type="http://schemas.openxmlformats.org/officeDocument/2006/relationships/image" Target="../media/image175.jpeg"/><Relationship Id="rId8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44.jpg" TargetMode="External"/><Relationship Id="rId111" Type="http://schemas.openxmlformats.org/officeDocument/2006/relationships/image" Target="../media/image56.jpg"/><Relationship Id="rId13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66%20&#49884;&#44277;&#54980;.jpg" TargetMode="External"/><Relationship Id="rId153" Type="http://schemas.openxmlformats.org/officeDocument/2006/relationships/image" Target="../media/image77.jpg"/><Relationship Id="rId17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87.jpg" TargetMode="External"/><Relationship Id="rId195" Type="http://schemas.openxmlformats.org/officeDocument/2006/relationships/image" Target="../media/image98.jpeg"/><Relationship Id="rId209" Type="http://schemas.openxmlformats.org/officeDocument/2006/relationships/image" Target="../media/image105.jpeg"/><Relationship Id="rId36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80.jpg" TargetMode="External"/><Relationship Id="rId381" Type="http://schemas.openxmlformats.org/officeDocument/2006/relationships/image" Target="../media/image191.jpeg"/><Relationship Id="rId41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3%20HB\\1008.jpg" TargetMode="External"/><Relationship Id="rId22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10.jpg" TargetMode="External"/><Relationship Id="rId241" Type="http://schemas.openxmlformats.org/officeDocument/2006/relationships/image" Target="../media/image121.jpeg"/><Relationship Id="rId437" Type="http://schemas.openxmlformats.org/officeDocument/2006/relationships/image" Target="../media/image219.jpeg"/><Relationship Id="rId45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5%20HB\\1029.jpg" TargetMode="External"/><Relationship Id="rId15" Type="http://schemas.openxmlformats.org/officeDocument/2006/relationships/image" Target="../media/image8.jpeg"/><Relationship Id="rId3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4%20HB\\818.jpg" TargetMode="External"/><Relationship Id="rId57" Type="http://schemas.openxmlformats.org/officeDocument/2006/relationships/image" Target="../media/image29.jpeg"/><Relationship Id="rId26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31.jpg" TargetMode="External"/><Relationship Id="rId283" Type="http://schemas.openxmlformats.org/officeDocument/2006/relationships/image" Target="../media/image142.jpeg"/><Relationship Id="rId31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59.jpg" TargetMode="External"/><Relationship Id="rId339" Type="http://schemas.openxmlformats.org/officeDocument/2006/relationships/image" Target="../media/image170.jpeg"/><Relationship Id="rId7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39.jpg" TargetMode="External"/><Relationship Id="rId99" Type="http://schemas.openxmlformats.org/officeDocument/2006/relationships/image" Target="../media/image50.jpg"/><Relationship Id="rId101" Type="http://schemas.openxmlformats.org/officeDocument/2006/relationships/image" Target="../media/image51.jpg"/><Relationship Id="rId12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61.jpg" TargetMode="External"/><Relationship Id="rId143" Type="http://schemas.openxmlformats.org/officeDocument/2006/relationships/image" Target="../media/image72.jpg"/><Relationship Id="rId16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82%20(&#50980;&#52285;&#50500;&#45784;).jpg" TargetMode="External"/><Relationship Id="rId185" Type="http://schemas.openxmlformats.org/officeDocument/2006/relationships/image" Target="../media/image93.jpg"/><Relationship Id="rId35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75.jpg" TargetMode="External"/><Relationship Id="rId371" Type="http://schemas.openxmlformats.org/officeDocument/2006/relationships/image" Target="../media/image186.jpeg"/><Relationship Id="rId40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1%20HB\\1003.jpg" TargetMode="External"/><Relationship Id="rId9" Type="http://schemas.openxmlformats.org/officeDocument/2006/relationships/image" Target="../media/image5.jpeg"/><Relationship Id="rId21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05.jpg" TargetMode="External"/><Relationship Id="rId39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96.jpg" TargetMode="External"/><Relationship Id="rId427" Type="http://schemas.openxmlformats.org/officeDocument/2006/relationships/image" Target="../media/image214.jpeg"/><Relationship Id="rId44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5%20HB\\1024.jpg" TargetMode="External"/><Relationship Id="rId2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4%20HB\\813.jpg" TargetMode="External"/><Relationship Id="rId231" Type="http://schemas.openxmlformats.org/officeDocument/2006/relationships/image" Target="../media/image116.jpeg"/><Relationship Id="rId25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26.jpg" TargetMode="External"/><Relationship Id="rId273" Type="http://schemas.openxmlformats.org/officeDocument/2006/relationships/image" Target="../media/image137.jpeg"/><Relationship Id="rId29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47.jpg" TargetMode="External"/><Relationship Id="rId30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54.jpg" TargetMode="External"/><Relationship Id="rId329" Type="http://schemas.openxmlformats.org/officeDocument/2006/relationships/image" Target="../media/image165.jpeg"/><Relationship Id="rId47" Type="http://schemas.openxmlformats.org/officeDocument/2006/relationships/image" Target="../media/image24.jpeg"/><Relationship Id="rId6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34.jpg" TargetMode="External"/><Relationship Id="rId89" Type="http://schemas.openxmlformats.org/officeDocument/2006/relationships/image" Target="../media/image45.jpg"/><Relationship Id="rId11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56.jpg" TargetMode="External"/><Relationship Id="rId133" Type="http://schemas.openxmlformats.org/officeDocument/2006/relationships/image" Target="../media/image67.jpg"/><Relationship Id="rId15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77.jpg" TargetMode="External"/><Relationship Id="rId175" Type="http://schemas.openxmlformats.org/officeDocument/2006/relationships/image" Target="../media/image88.jpg"/><Relationship Id="rId34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70.jpg" TargetMode="External"/><Relationship Id="rId361" Type="http://schemas.openxmlformats.org/officeDocument/2006/relationships/image" Target="../media/image181.jpeg"/><Relationship Id="rId19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898.jpg" TargetMode="External"/><Relationship Id="rId20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00.jpg" TargetMode="External"/><Relationship Id="rId38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91.jpg" TargetMode="External"/><Relationship Id="rId417" Type="http://schemas.openxmlformats.org/officeDocument/2006/relationships/image" Target="../media/image209.jpeg"/><Relationship Id="rId43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+&#49324;&#51652;\23.09.24%20HB\&#49352;%20&#54260;&#45908;\\1019.jpg" TargetMode="External"/><Relationship Id="rId459" Type="http://schemas.openxmlformats.org/officeDocument/2006/relationships/image" Target="../media/image230.jpeg"/><Relationship Id="rId1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08.jpg" TargetMode="External"/><Relationship Id="rId221" Type="http://schemas.openxmlformats.org/officeDocument/2006/relationships/image" Target="../media/image111.jpeg"/><Relationship Id="rId24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21.jpg" TargetMode="External"/><Relationship Id="rId263" Type="http://schemas.openxmlformats.org/officeDocument/2006/relationships/image" Target="../media/image132.jpeg"/><Relationship Id="rId28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42.jpg" TargetMode="External"/><Relationship Id="rId319" Type="http://schemas.openxmlformats.org/officeDocument/2006/relationships/image" Target="../media/image160.jpeg"/><Relationship Id="rId37" Type="http://schemas.openxmlformats.org/officeDocument/2006/relationships/image" Target="../media/image19.jpeg"/><Relationship Id="rId5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29.jpg" TargetMode="External"/><Relationship Id="rId79" Type="http://schemas.openxmlformats.org/officeDocument/2006/relationships/image" Target="../media/image40.jpg"/><Relationship Id="rId10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51.jpg" TargetMode="External"/><Relationship Id="rId123" Type="http://schemas.openxmlformats.org/officeDocument/2006/relationships/image" Target="../media/image62.jpg"/><Relationship Id="rId14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72.jpg" TargetMode="External"/><Relationship Id="rId33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65.jpg" TargetMode="External"/><Relationship Id="rId9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45.jpg" TargetMode="External"/><Relationship Id="rId165" Type="http://schemas.openxmlformats.org/officeDocument/2006/relationships/image" Target="../media/image83.jpg"/><Relationship Id="rId18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93.jpg" TargetMode="External"/><Relationship Id="rId351" Type="http://schemas.openxmlformats.org/officeDocument/2006/relationships/image" Target="../media/image176.jpeg"/><Relationship Id="rId37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86.jpg" TargetMode="External"/><Relationship Id="rId393" Type="http://schemas.openxmlformats.org/officeDocument/2006/relationships/image" Target="../media/image197.jpeg"/><Relationship Id="rId407" Type="http://schemas.openxmlformats.org/officeDocument/2006/relationships/image" Target="../media/image204.jpeg"/><Relationship Id="rId42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4%20HB\\1014.jpg" TargetMode="External"/><Relationship Id="rId449" Type="http://schemas.openxmlformats.org/officeDocument/2006/relationships/image" Target="../media/image225.jpeg"/><Relationship Id="rId211" Type="http://schemas.openxmlformats.org/officeDocument/2006/relationships/image" Target="../media/image106.jpeg"/><Relationship Id="rId23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16.jpg" TargetMode="External"/><Relationship Id="rId253" Type="http://schemas.openxmlformats.org/officeDocument/2006/relationships/image" Target="../media/image127.jpeg"/><Relationship Id="rId27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37.jpg" TargetMode="External"/><Relationship Id="rId295" Type="http://schemas.openxmlformats.org/officeDocument/2006/relationships/image" Target="../media/image148.jpeg"/><Relationship Id="rId309" Type="http://schemas.openxmlformats.org/officeDocument/2006/relationships/image" Target="../media/image155.jpeg"/><Relationship Id="rId46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5%20HB\\1030.jpg" TargetMode="External"/><Relationship Id="rId27" Type="http://schemas.openxmlformats.org/officeDocument/2006/relationships/image" Target="../media/image14.jpeg"/><Relationship Id="rId4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24.jpg" TargetMode="External"/><Relationship Id="rId69" Type="http://schemas.openxmlformats.org/officeDocument/2006/relationships/image" Target="../media/image35.jpg"/><Relationship Id="rId113" Type="http://schemas.openxmlformats.org/officeDocument/2006/relationships/image" Target="../media/image57.jpg"/><Relationship Id="rId13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67.jpg" TargetMode="External"/><Relationship Id="rId32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60.jpg" TargetMode="External"/><Relationship Id="rId8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40.jpg" TargetMode="External"/><Relationship Id="rId155" Type="http://schemas.openxmlformats.org/officeDocument/2006/relationships/image" Target="../media/image78.jpg"/><Relationship Id="rId17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88.jpg" TargetMode="External"/><Relationship Id="rId197" Type="http://schemas.openxmlformats.org/officeDocument/2006/relationships/image" Target="../media/image99.jpeg"/><Relationship Id="rId341" Type="http://schemas.openxmlformats.org/officeDocument/2006/relationships/image" Target="../media/image171.jpeg"/><Relationship Id="rId36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81.jpg" TargetMode="External"/><Relationship Id="rId383" Type="http://schemas.openxmlformats.org/officeDocument/2006/relationships/image" Target="../media/image192.jpeg"/><Relationship Id="rId41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3%20HB\\1009.jpg" TargetMode="External"/><Relationship Id="rId439" Type="http://schemas.openxmlformats.org/officeDocument/2006/relationships/image" Target="../media/image220.jpeg"/><Relationship Id="rId201" Type="http://schemas.openxmlformats.org/officeDocument/2006/relationships/image" Target="../media/image101.jpeg"/><Relationship Id="rId22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11.jpg" TargetMode="External"/><Relationship Id="rId243" Type="http://schemas.openxmlformats.org/officeDocument/2006/relationships/image" Target="../media/image122.jpeg"/><Relationship Id="rId26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32.jpg" TargetMode="External"/><Relationship Id="rId285" Type="http://schemas.openxmlformats.org/officeDocument/2006/relationships/image" Target="../media/image143.jpeg"/><Relationship Id="rId45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5%20HB\\1025.jpg" TargetMode="External"/><Relationship Id="rId17" Type="http://schemas.openxmlformats.org/officeDocument/2006/relationships/image" Target="../media/image9.jpeg"/><Relationship Id="rId3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4%20HB\\819.jpg" TargetMode="External"/><Relationship Id="rId59" Type="http://schemas.openxmlformats.org/officeDocument/2006/relationships/image" Target="../media/image30.jpeg"/><Relationship Id="rId103" Type="http://schemas.openxmlformats.org/officeDocument/2006/relationships/image" Target="../media/image52.jpg"/><Relationship Id="rId12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62.jpg" TargetMode="External"/><Relationship Id="rId31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55.jpg" TargetMode="External"/><Relationship Id="rId7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35.jpg" TargetMode="External"/><Relationship Id="rId91" Type="http://schemas.openxmlformats.org/officeDocument/2006/relationships/image" Target="../media/image46.jpg"/><Relationship Id="rId145" Type="http://schemas.openxmlformats.org/officeDocument/2006/relationships/image" Target="../media/image73.jpg"/><Relationship Id="rId16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83.jpg" TargetMode="External"/><Relationship Id="rId187" Type="http://schemas.openxmlformats.org/officeDocument/2006/relationships/image" Target="../media/image94.jpg"/><Relationship Id="rId331" Type="http://schemas.openxmlformats.org/officeDocument/2006/relationships/image" Target="../media/image166.jpeg"/><Relationship Id="rId35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76.jpg" TargetMode="External"/><Relationship Id="rId373" Type="http://schemas.openxmlformats.org/officeDocument/2006/relationships/image" Target="../media/image187.jpeg"/><Relationship Id="rId39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97.jpg" TargetMode="External"/><Relationship Id="rId40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1%20HB\\1004.jpg" TargetMode="External"/><Relationship Id="rId429" Type="http://schemas.openxmlformats.org/officeDocument/2006/relationships/image" Target="../media/image215.jpeg"/><Relationship Id="rId1" Type="http://schemas.openxmlformats.org/officeDocument/2006/relationships/image" Target="../media/image1.jpeg"/><Relationship Id="rId21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06.jpg" TargetMode="External"/><Relationship Id="rId233" Type="http://schemas.openxmlformats.org/officeDocument/2006/relationships/image" Target="../media/image117.jpeg"/><Relationship Id="rId25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27.jpg" TargetMode="External"/><Relationship Id="rId44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+&#49324;&#51652;\23.09.24%20HB\&#49352;%20&#54260;&#45908;\\1020.jpg" TargetMode="External"/><Relationship Id="rId2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4%20HB\\814.jpg" TargetMode="External"/><Relationship Id="rId49" Type="http://schemas.openxmlformats.org/officeDocument/2006/relationships/image" Target="../media/image25.jpeg"/><Relationship Id="rId11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57.jpg" TargetMode="External"/><Relationship Id="rId275" Type="http://schemas.openxmlformats.org/officeDocument/2006/relationships/image" Target="../media/image138.jpeg"/><Relationship Id="rId29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48.jpg" TargetMode="External"/><Relationship Id="rId30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50.jpg" TargetMode="External"/><Relationship Id="rId6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30.jpg" TargetMode="External"/><Relationship Id="rId81" Type="http://schemas.openxmlformats.org/officeDocument/2006/relationships/image" Target="../media/image41.jpg"/><Relationship Id="rId135" Type="http://schemas.openxmlformats.org/officeDocument/2006/relationships/image" Target="../media/image68.jpg"/><Relationship Id="rId15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78.jpg" TargetMode="External"/><Relationship Id="rId177" Type="http://schemas.openxmlformats.org/officeDocument/2006/relationships/image" Target="../media/image89.jpg"/><Relationship Id="rId19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899.jpg" TargetMode="External"/><Relationship Id="rId321" Type="http://schemas.openxmlformats.org/officeDocument/2006/relationships/image" Target="../media/image161.jpeg"/><Relationship Id="rId34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71.jpg" TargetMode="External"/><Relationship Id="rId363" Type="http://schemas.openxmlformats.org/officeDocument/2006/relationships/image" Target="../media/image182.jpeg"/><Relationship Id="rId38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92.jpg" TargetMode="External"/><Relationship Id="rId419" Type="http://schemas.openxmlformats.org/officeDocument/2006/relationships/image" Target="../media/image210.jpeg"/><Relationship Id="rId20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01.jpg" TargetMode="External"/><Relationship Id="rId223" Type="http://schemas.openxmlformats.org/officeDocument/2006/relationships/image" Target="../media/image112.jpeg"/><Relationship Id="rId24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22.jpg" TargetMode="External"/><Relationship Id="rId43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4%20HB\\1015.jpg" TargetMode="External"/><Relationship Id="rId1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09.jpg" TargetMode="External"/><Relationship Id="rId39" Type="http://schemas.openxmlformats.org/officeDocument/2006/relationships/image" Target="../media/image20.jpeg"/><Relationship Id="rId265" Type="http://schemas.openxmlformats.org/officeDocument/2006/relationships/image" Target="../media/image133.jpeg"/><Relationship Id="rId28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43.jpg" TargetMode="External"/><Relationship Id="rId451" Type="http://schemas.openxmlformats.org/officeDocument/2006/relationships/image" Target="../media/image226.jpeg"/><Relationship Id="rId5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25.jpg" TargetMode="External"/><Relationship Id="rId10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52.jpg" TargetMode="External"/><Relationship Id="rId125" Type="http://schemas.openxmlformats.org/officeDocument/2006/relationships/image" Target="../media/image63.jpg"/><Relationship Id="rId14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73.jpg" TargetMode="External"/><Relationship Id="rId167" Type="http://schemas.openxmlformats.org/officeDocument/2006/relationships/image" Target="../media/image84.jpg"/><Relationship Id="rId18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94.jpg" TargetMode="External"/><Relationship Id="rId311" Type="http://schemas.openxmlformats.org/officeDocument/2006/relationships/image" Target="../media/image156.jpeg"/><Relationship Id="rId33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66.jpg" TargetMode="External"/><Relationship Id="rId353" Type="http://schemas.openxmlformats.org/officeDocument/2006/relationships/image" Target="../media/image177.jpeg"/><Relationship Id="rId37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87.jpg" TargetMode="External"/><Relationship Id="rId395" Type="http://schemas.openxmlformats.org/officeDocument/2006/relationships/image" Target="../media/image198.jpeg"/><Relationship Id="rId409" Type="http://schemas.openxmlformats.org/officeDocument/2006/relationships/image" Target="../media/image205.jpeg"/><Relationship Id="rId71" Type="http://schemas.openxmlformats.org/officeDocument/2006/relationships/image" Target="../media/image36.jpg"/><Relationship Id="rId9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46.jpg" TargetMode="External"/><Relationship Id="rId213" Type="http://schemas.openxmlformats.org/officeDocument/2006/relationships/image" Target="../media/image107.jpeg"/><Relationship Id="rId23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17.jpg" TargetMode="External"/><Relationship Id="rId42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3%20HB\\1010.jpg" TargetMode="External"/><Relationship Id="rId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01.jpg" TargetMode="External"/><Relationship Id="rId29" Type="http://schemas.openxmlformats.org/officeDocument/2006/relationships/image" Target="../media/image15.jpeg"/><Relationship Id="rId255" Type="http://schemas.openxmlformats.org/officeDocument/2006/relationships/image" Target="../media/image128.jpeg"/><Relationship Id="rId27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38.jpg" TargetMode="External"/><Relationship Id="rId297" Type="http://schemas.openxmlformats.org/officeDocument/2006/relationships/image" Target="../media/image149.jpeg"/><Relationship Id="rId441" Type="http://schemas.openxmlformats.org/officeDocument/2006/relationships/image" Target="../media/image221.jpeg"/><Relationship Id="rId4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20.jpg" TargetMode="External"/><Relationship Id="rId115" Type="http://schemas.openxmlformats.org/officeDocument/2006/relationships/image" Target="../media/image58.jpg"/><Relationship Id="rId13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68.jpg" TargetMode="External"/><Relationship Id="rId157" Type="http://schemas.openxmlformats.org/officeDocument/2006/relationships/image" Target="../media/image79.jpg"/><Relationship Id="rId17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89.jpg" TargetMode="External"/><Relationship Id="rId301" Type="http://schemas.openxmlformats.org/officeDocument/2006/relationships/image" Target="../media/image151.jpeg"/><Relationship Id="rId32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61.jpg" TargetMode="External"/><Relationship Id="rId343" Type="http://schemas.openxmlformats.org/officeDocument/2006/relationships/image" Target="../media/image172.jpeg"/><Relationship Id="rId36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82.jpg" TargetMode="External"/><Relationship Id="rId61" Type="http://schemas.openxmlformats.org/officeDocument/2006/relationships/image" Target="../media/image31.jpg"/><Relationship Id="rId8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41.jpg" TargetMode="External"/><Relationship Id="rId199" Type="http://schemas.openxmlformats.org/officeDocument/2006/relationships/image" Target="../media/image100.jpeg"/><Relationship Id="rId203" Type="http://schemas.openxmlformats.org/officeDocument/2006/relationships/image" Target="../media/image102.jpeg"/><Relationship Id="rId385" Type="http://schemas.openxmlformats.org/officeDocument/2006/relationships/image" Target="../media/image193.jpeg"/><Relationship Id="rId19" Type="http://schemas.openxmlformats.org/officeDocument/2006/relationships/image" Target="../media/image10.jpeg"/><Relationship Id="rId22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12.jpg" TargetMode="External"/><Relationship Id="rId245" Type="http://schemas.openxmlformats.org/officeDocument/2006/relationships/image" Target="../media/image123.jpeg"/><Relationship Id="rId26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33.jpg" TargetMode="External"/><Relationship Id="rId287" Type="http://schemas.openxmlformats.org/officeDocument/2006/relationships/image" Target="../media/image144.jpeg"/><Relationship Id="rId41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1%20HB\\1005.jpg" TargetMode="External"/><Relationship Id="rId431" Type="http://schemas.openxmlformats.org/officeDocument/2006/relationships/image" Target="../media/image216.jpeg"/><Relationship Id="rId45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5%20HB\\1026.jpg" TargetMode="External"/><Relationship Id="rId3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4%20HB\\815.jpg" TargetMode="External"/><Relationship Id="rId105" Type="http://schemas.openxmlformats.org/officeDocument/2006/relationships/image" Target="../media/image53.jpg"/><Relationship Id="rId12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63.jpg" TargetMode="External"/><Relationship Id="rId147" Type="http://schemas.openxmlformats.org/officeDocument/2006/relationships/image" Target="../media/image74.jpg"/><Relationship Id="rId16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84.jpg" TargetMode="External"/><Relationship Id="rId31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56.jpg" TargetMode="External"/><Relationship Id="rId333" Type="http://schemas.openxmlformats.org/officeDocument/2006/relationships/image" Target="../media/image167.jpeg"/><Relationship Id="rId35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77.jpg" TargetMode="External"/><Relationship Id="rId51" Type="http://schemas.openxmlformats.org/officeDocument/2006/relationships/image" Target="../media/image26.jpeg"/><Relationship Id="rId7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36.jpg" TargetMode="External"/><Relationship Id="rId93" Type="http://schemas.openxmlformats.org/officeDocument/2006/relationships/image" Target="../media/image47.jpg"/><Relationship Id="rId189" Type="http://schemas.openxmlformats.org/officeDocument/2006/relationships/image" Target="../media/image95.jpg"/><Relationship Id="rId375" Type="http://schemas.openxmlformats.org/officeDocument/2006/relationships/image" Target="../media/image188.jpeg"/><Relationship Id="rId39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98.jpg" TargetMode="External"/><Relationship Id="rId3" Type="http://schemas.openxmlformats.org/officeDocument/2006/relationships/image" Target="../media/image2.jpeg"/><Relationship Id="rId21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07.jpg" TargetMode="External"/><Relationship Id="rId235" Type="http://schemas.openxmlformats.org/officeDocument/2006/relationships/image" Target="../media/image118.jpeg"/><Relationship Id="rId25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28.jpg" TargetMode="External"/><Relationship Id="rId277" Type="http://schemas.openxmlformats.org/officeDocument/2006/relationships/image" Target="../media/image139.jpeg"/><Relationship Id="rId29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49.jpg" TargetMode="External"/><Relationship Id="rId40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1000.jpg" TargetMode="External"/><Relationship Id="rId421" Type="http://schemas.openxmlformats.org/officeDocument/2006/relationships/image" Target="../media/image211.jpeg"/><Relationship Id="rId44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+&#49324;&#51652;\23.09.24%20HB\&#49352;%20&#54260;&#45908;\\1021.jpg" TargetMode="External"/><Relationship Id="rId11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58.jpg" TargetMode="External"/><Relationship Id="rId137" Type="http://schemas.openxmlformats.org/officeDocument/2006/relationships/image" Target="../media/image69.jpg"/><Relationship Id="rId15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79.jpg" TargetMode="External"/><Relationship Id="rId30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51.jpg" TargetMode="External"/><Relationship Id="rId323" Type="http://schemas.openxmlformats.org/officeDocument/2006/relationships/image" Target="../media/image162.jpeg"/><Relationship Id="rId34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72.jpg" TargetMode="External"/><Relationship Id="rId2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10.jpg" TargetMode="External"/><Relationship Id="rId41" Type="http://schemas.openxmlformats.org/officeDocument/2006/relationships/image" Target="../media/image21.jpeg"/><Relationship Id="rId6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31.jpg" TargetMode="External"/><Relationship Id="rId83" Type="http://schemas.openxmlformats.org/officeDocument/2006/relationships/image" Target="../media/image42.jpg"/><Relationship Id="rId179" Type="http://schemas.openxmlformats.org/officeDocument/2006/relationships/image" Target="../media/image90.jpg"/><Relationship Id="rId365" Type="http://schemas.openxmlformats.org/officeDocument/2006/relationships/image" Target="../media/image183.jpeg"/><Relationship Id="rId38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93.jpg" TargetMode="External"/><Relationship Id="rId19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4%20HB%20(&#50556;&#44036;)\\895.jpg" TargetMode="External"/><Relationship Id="rId20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02.jpg" TargetMode="External"/><Relationship Id="rId225" Type="http://schemas.openxmlformats.org/officeDocument/2006/relationships/image" Target="../media/image113.jpeg"/><Relationship Id="rId24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23.jpg" TargetMode="External"/><Relationship Id="rId267" Type="http://schemas.openxmlformats.org/officeDocument/2006/relationships/image" Target="../media/image134.jpeg"/><Relationship Id="rId28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44.jpg" TargetMode="External"/><Relationship Id="rId411" Type="http://schemas.openxmlformats.org/officeDocument/2006/relationships/image" Target="../media/image206.jpeg"/><Relationship Id="rId43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4%20HB\\1016.jpg" TargetMode="External"/><Relationship Id="rId453" Type="http://schemas.openxmlformats.org/officeDocument/2006/relationships/image" Target="../media/image227.jpeg"/><Relationship Id="rId10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53.jpg" TargetMode="External"/><Relationship Id="rId127" Type="http://schemas.openxmlformats.org/officeDocument/2006/relationships/image" Target="../media/image64.jpg"/><Relationship Id="rId313" Type="http://schemas.openxmlformats.org/officeDocument/2006/relationships/image" Target="../media/image157.jpeg"/><Relationship Id="rId1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05.jpg" TargetMode="External"/><Relationship Id="rId31" Type="http://schemas.openxmlformats.org/officeDocument/2006/relationships/image" Target="../media/image16.jpeg"/><Relationship Id="rId5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26.jpg" TargetMode="External"/><Relationship Id="rId73" Type="http://schemas.openxmlformats.org/officeDocument/2006/relationships/image" Target="../media/image37.jpg"/><Relationship Id="rId9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47.jpg" TargetMode="External"/><Relationship Id="rId14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74%20&#49884;&#44277;&#54980;.jpg" TargetMode="External"/><Relationship Id="rId169" Type="http://schemas.openxmlformats.org/officeDocument/2006/relationships/image" Target="../media/image85.jpg"/><Relationship Id="rId33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67.jpg" TargetMode="External"/><Relationship Id="rId355" Type="http://schemas.openxmlformats.org/officeDocument/2006/relationships/image" Target="../media/image178.jpeg"/><Relationship Id="rId37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88.jpg" TargetMode="External"/><Relationship Id="rId397" Type="http://schemas.openxmlformats.org/officeDocument/2006/relationships/image" Target="../media/image199.jpeg"/><Relationship Id="rId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02.jpg" TargetMode="External"/><Relationship Id="rId18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90.jpg" TargetMode="External"/><Relationship Id="rId215" Type="http://schemas.openxmlformats.org/officeDocument/2006/relationships/image" Target="../media/image108.jpeg"/><Relationship Id="rId23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18.jpg" TargetMode="External"/><Relationship Id="rId257" Type="http://schemas.openxmlformats.org/officeDocument/2006/relationships/image" Target="../media/image129.jpeg"/><Relationship Id="rId27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39.jpg" TargetMode="External"/><Relationship Id="rId401" Type="http://schemas.openxmlformats.org/officeDocument/2006/relationships/image" Target="../media/image201.jpeg"/><Relationship Id="rId42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3%20HB\\1011.jpg" TargetMode="External"/><Relationship Id="rId443" Type="http://schemas.openxmlformats.org/officeDocument/2006/relationships/image" Target="../media/image222.jpeg"/><Relationship Id="rId303" Type="http://schemas.openxmlformats.org/officeDocument/2006/relationships/image" Target="../media/image152.jpeg"/><Relationship Id="rId4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5%20HB\\821.jpg" TargetMode="External"/><Relationship Id="rId8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42.jpg" TargetMode="External"/><Relationship Id="rId13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69.jpg" TargetMode="External"/><Relationship Id="rId345" Type="http://schemas.openxmlformats.org/officeDocument/2006/relationships/image" Target="../media/image173.jpeg"/><Relationship Id="rId387" Type="http://schemas.openxmlformats.org/officeDocument/2006/relationships/image" Target="../media/image194.jpeg"/><Relationship Id="rId191" Type="http://schemas.openxmlformats.org/officeDocument/2006/relationships/image" Target="../media/image96.jpeg"/><Relationship Id="rId205" Type="http://schemas.openxmlformats.org/officeDocument/2006/relationships/image" Target="../media/image103.jpeg"/><Relationship Id="rId247" Type="http://schemas.openxmlformats.org/officeDocument/2006/relationships/image" Target="../media/image124.jpeg"/><Relationship Id="rId41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1%20HB\\1006.jpg" TargetMode="External"/><Relationship Id="rId107" Type="http://schemas.openxmlformats.org/officeDocument/2006/relationships/image" Target="../media/image54.jpg"/><Relationship Id="rId289" Type="http://schemas.openxmlformats.org/officeDocument/2006/relationships/image" Target="../media/image145.jpeg"/><Relationship Id="rId45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5%20HB\\1027.jpg" TargetMode="External"/><Relationship Id="rId11" Type="http://schemas.openxmlformats.org/officeDocument/2006/relationships/image" Target="../media/image6.jpeg"/><Relationship Id="rId53" Type="http://schemas.openxmlformats.org/officeDocument/2006/relationships/image" Target="../media/image27.jpeg"/><Relationship Id="rId149" Type="http://schemas.openxmlformats.org/officeDocument/2006/relationships/image" Target="../media/image75.jpg"/><Relationship Id="rId31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57.jpg" TargetMode="External"/><Relationship Id="rId35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78.jpg" TargetMode="External"/><Relationship Id="rId39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99.jpg" TargetMode="External"/><Relationship Id="rId95" Type="http://schemas.openxmlformats.org/officeDocument/2006/relationships/image" Target="../media/image48.jpg"/><Relationship Id="rId16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80%20(&#50980;&#52285;&#50500;&#45784;).jpg" TargetMode="External"/><Relationship Id="rId216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08.jpg" TargetMode="External"/><Relationship Id="rId423" Type="http://schemas.openxmlformats.org/officeDocument/2006/relationships/image" Target="../media/image212.jpeg"/><Relationship Id="rId25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29.jpg" TargetMode="External"/><Relationship Id="rId22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11.jpg" TargetMode="External"/><Relationship Id="rId64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6%20HB\\832.jpg" TargetMode="External"/><Relationship Id="rId11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0%20HB%20(&#50556;&#44036;)\\859.jpg" TargetMode="External"/><Relationship Id="rId325" Type="http://schemas.openxmlformats.org/officeDocument/2006/relationships/image" Target="../media/image163.jpeg"/><Relationship Id="rId367" Type="http://schemas.openxmlformats.org/officeDocument/2006/relationships/image" Target="../media/image184.jpeg"/><Relationship Id="rId171" Type="http://schemas.openxmlformats.org/officeDocument/2006/relationships/image" Target="../media/image86.jpg"/><Relationship Id="rId227" Type="http://schemas.openxmlformats.org/officeDocument/2006/relationships/image" Target="../media/image114.jpeg"/><Relationship Id="rId269" Type="http://schemas.openxmlformats.org/officeDocument/2006/relationships/image" Target="../media/image135.jpeg"/><Relationship Id="rId434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+&#49324;&#51652;\23.09.24%20HB\&#49352;%20&#54260;&#45908;\\1017.jpg" TargetMode="External"/><Relationship Id="rId33" Type="http://schemas.openxmlformats.org/officeDocument/2006/relationships/image" Target="../media/image17.jpeg"/><Relationship Id="rId129" Type="http://schemas.openxmlformats.org/officeDocument/2006/relationships/image" Target="../media/image65.jpg"/><Relationship Id="rId280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8%20HB\\940.jpg" TargetMode="External"/><Relationship Id="rId33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9%20HB\\968.jpg" TargetMode="External"/><Relationship Id="rId75" Type="http://schemas.openxmlformats.org/officeDocument/2006/relationships/image" Target="../media/image38.jpg"/><Relationship Id="rId140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1%20HB%20(&#50556;&#44036;)\\870.jpg" TargetMode="External"/><Relationship Id="rId182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2%20HB%20(&#50556;&#44036;)\\891.jpg" TargetMode="External"/><Relationship Id="rId378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20%20HB\\0989.jpg" TargetMode="External"/><Relationship Id="rId403" Type="http://schemas.openxmlformats.org/officeDocument/2006/relationships/image" Target="../media/image202.jpeg"/><Relationship Id="rId6" Type="http://schemas.openxmlformats.org/officeDocument/2006/relationships/image" Target="file:///D: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03%20HB\\803.jpg" TargetMode="External"/><Relationship Id="rId238" Type="http://schemas.openxmlformats.org/officeDocument/2006/relationships/image" Target="file:///\\192.168.0.23\&#44277;&#50976;&#54260;&#45908;\1)%20&#54788;&#51109;&#44288;&#47532;\1.%20&#45236;&#54868;\&#50689;&#51333;&#46020;%20&#51064;&#49828;&#54028;&#51060;&#50612;%20&#48373;&#54633;&#47532;&#51312;&#53944;%20(&#45824;&#54788;)%2025&#51068;\3.%20&#49324;&#51652;&#45824;&#51648;\23.09.16%20HB%20(&#50556;&#44036;)\\919.jpg" TargetMode="External"/><Relationship Id="rId445" Type="http://schemas.openxmlformats.org/officeDocument/2006/relationships/image" Target="../media/image22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157370</xdr:colOff>
      <xdr:row>0</xdr:row>
      <xdr:rowOff>74543</xdr:rowOff>
    </xdr:from>
    <xdr:to>
      <xdr:col>22</xdr:col>
      <xdr:colOff>41413</xdr:colOff>
      <xdr:row>0</xdr:row>
      <xdr:rowOff>554935</xdr:rowOff>
    </xdr:to>
    <xdr:sp macro="[0]!bring_Pictures_With_Offset" textlink="">
      <xdr:nvSpPr>
        <xdr:cNvPr id="2" name="하트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0543761" y="74543"/>
          <a:ext cx="728869" cy="480392"/>
        </a:xfrm>
        <a:prstGeom prst="hear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25400</xdr:colOff>
      <xdr:row>1</xdr:row>
      <xdr:rowOff>25401</xdr:rowOff>
    </xdr:from>
    <xdr:to>
      <xdr:col>2</xdr:col>
      <xdr:colOff>631825</xdr:colOff>
      <xdr:row>10</xdr:row>
      <xdr:rowOff>241301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/>
        <a:stretch>
          <a:fillRect/>
        </a:stretch>
      </xdr:blipFill>
      <xdr:spPr>
        <a:xfrm>
          <a:off x="625475" y="6159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25401</xdr:rowOff>
    </xdr:from>
    <xdr:to>
      <xdr:col>2</xdr:col>
      <xdr:colOff>631825</xdr:colOff>
      <xdr:row>21</xdr:row>
      <xdr:rowOff>241301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/>
        <a:stretch>
          <a:fillRect/>
        </a:stretch>
      </xdr:blipFill>
      <xdr:spPr>
        <a:xfrm>
          <a:off x="625475" y="17780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</xdr:row>
      <xdr:rowOff>25401</xdr:rowOff>
    </xdr:from>
    <xdr:to>
      <xdr:col>2</xdr:col>
      <xdr:colOff>631825</xdr:colOff>
      <xdr:row>32</xdr:row>
      <xdr:rowOff>241301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/>
        <a:stretch>
          <a:fillRect/>
        </a:stretch>
      </xdr:blipFill>
      <xdr:spPr>
        <a:xfrm>
          <a:off x="625475" y="29400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</xdr:row>
      <xdr:rowOff>25401</xdr:rowOff>
    </xdr:from>
    <xdr:to>
      <xdr:col>2</xdr:col>
      <xdr:colOff>631825</xdr:colOff>
      <xdr:row>43</xdr:row>
      <xdr:rowOff>241301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/>
        <a:stretch>
          <a:fillRect/>
        </a:stretch>
      </xdr:blipFill>
      <xdr:spPr>
        <a:xfrm>
          <a:off x="625475" y="41021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</xdr:row>
      <xdr:rowOff>25401</xdr:rowOff>
    </xdr:from>
    <xdr:to>
      <xdr:col>2</xdr:col>
      <xdr:colOff>631825</xdr:colOff>
      <xdr:row>54</xdr:row>
      <xdr:rowOff>241301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/>
        <a:stretch>
          <a:fillRect/>
        </a:stretch>
      </xdr:blipFill>
      <xdr:spPr>
        <a:xfrm>
          <a:off x="625475" y="52641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</xdr:row>
      <xdr:rowOff>25401</xdr:rowOff>
    </xdr:from>
    <xdr:to>
      <xdr:col>2</xdr:col>
      <xdr:colOff>631825</xdr:colOff>
      <xdr:row>65</xdr:row>
      <xdr:rowOff>241301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/>
        <a:stretch>
          <a:fillRect/>
        </a:stretch>
      </xdr:blipFill>
      <xdr:spPr>
        <a:xfrm>
          <a:off x="625475" y="64262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</xdr:row>
      <xdr:rowOff>25401</xdr:rowOff>
    </xdr:from>
    <xdr:to>
      <xdr:col>2</xdr:col>
      <xdr:colOff>631825</xdr:colOff>
      <xdr:row>76</xdr:row>
      <xdr:rowOff>241301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/>
        <a:stretch>
          <a:fillRect/>
        </a:stretch>
      </xdr:blipFill>
      <xdr:spPr>
        <a:xfrm>
          <a:off x="625475" y="75882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</xdr:row>
      <xdr:rowOff>25401</xdr:rowOff>
    </xdr:from>
    <xdr:to>
      <xdr:col>2</xdr:col>
      <xdr:colOff>631825</xdr:colOff>
      <xdr:row>87</xdr:row>
      <xdr:rowOff>241301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/>
        <a:stretch>
          <a:fillRect/>
        </a:stretch>
      </xdr:blipFill>
      <xdr:spPr>
        <a:xfrm>
          <a:off x="625475" y="87503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</xdr:row>
      <xdr:rowOff>25401</xdr:rowOff>
    </xdr:from>
    <xdr:to>
      <xdr:col>2</xdr:col>
      <xdr:colOff>631825</xdr:colOff>
      <xdr:row>98</xdr:row>
      <xdr:rowOff>241301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/>
        <a:stretch>
          <a:fillRect/>
        </a:stretch>
      </xdr:blipFill>
      <xdr:spPr>
        <a:xfrm>
          <a:off x="625475" y="99123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</xdr:row>
      <xdr:rowOff>25401</xdr:rowOff>
    </xdr:from>
    <xdr:to>
      <xdr:col>2</xdr:col>
      <xdr:colOff>631825</xdr:colOff>
      <xdr:row>109</xdr:row>
      <xdr:rowOff>241301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/>
        <a:stretch>
          <a:fillRect/>
        </a:stretch>
      </xdr:blipFill>
      <xdr:spPr>
        <a:xfrm>
          <a:off x="625475" y="110744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</xdr:row>
      <xdr:rowOff>25401</xdr:rowOff>
    </xdr:from>
    <xdr:to>
      <xdr:col>2</xdr:col>
      <xdr:colOff>631825</xdr:colOff>
      <xdr:row>120</xdr:row>
      <xdr:rowOff>241301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/>
        <a:stretch>
          <a:fillRect/>
        </a:stretch>
      </xdr:blipFill>
      <xdr:spPr>
        <a:xfrm>
          <a:off x="625475" y="122364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</xdr:row>
      <xdr:rowOff>25401</xdr:rowOff>
    </xdr:from>
    <xdr:to>
      <xdr:col>2</xdr:col>
      <xdr:colOff>631825</xdr:colOff>
      <xdr:row>131</xdr:row>
      <xdr:rowOff>241301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/>
        <a:stretch>
          <a:fillRect/>
        </a:stretch>
      </xdr:blipFill>
      <xdr:spPr>
        <a:xfrm>
          <a:off x="625475" y="133985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</xdr:row>
      <xdr:rowOff>25401</xdr:rowOff>
    </xdr:from>
    <xdr:to>
      <xdr:col>2</xdr:col>
      <xdr:colOff>631825</xdr:colOff>
      <xdr:row>142</xdr:row>
      <xdr:rowOff>241301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/>
        <a:stretch>
          <a:fillRect/>
        </a:stretch>
      </xdr:blipFill>
      <xdr:spPr>
        <a:xfrm>
          <a:off x="625475" y="145605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</xdr:row>
      <xdr:rowOff>25401</xdr:rowOff>
    </xdr:from>
    <xdr:to>
      <xdr:col>2</xdr:col>
      <xdr:colOff>631825</xdr:colOff>
      <xdr:row>153</xdr:row>
      <xdr:rowOff>241301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/>
        <a:stretch>
          <a:fillRect/>
        </a:stretch>
      </xdr:blipFill>
      <xdr:spPr>
        <a:xfrm>
          <a:off x="625475" y="157226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</xdr:row>
      <xdr:rowOff>25401</xdr:rowOff>
    </xdr:from>
    <xdr:to>
      <xdr:col>2</xdr:col>
      <xdr:colOff>631825</xdr:colOff>
      <xdr:row>164</xdr:row>
      <xdr:rowOff>241301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/>
        <a:stretch>
          <a:fillRect/>
        </a:stretch>
      </xdr:blipFill>
      <xdr:spPr>
        <a:xfrm>
          <a:off x="625475" y="168846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</xdr:row>
      <xdr:rowOff>25401</xdr:rowOff>
    </xdr:from>
    <xdr:to>
      <xdr:col>2</xdr:col>
      <xdr:colOff>631825</xdr:colOff>
      <xdr:row>175</xdr:row>
      <xdr:rowOff>241301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/>
        <a:stretch>
          <a:fillRect/>
        </a:stretch>
      </xdr:blipFill>
      <xdr:spPr>
        <a:xfrm>
          <a:off x="625475" y="180467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</xdr:row>
      <xdr:rowOff>25401</xdr:rowOff>
    </xdr:from>
    <xdr:to>
      <xdr:col>2</xdr:col>
      <xdr:colOff>631825</xdr:colOff>
      <xdr:row>186</xdr:row>
      <xdr:rowOff>241301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/>
        <a:stretch>
          <a:fillRect/>
        </a:stretch>
      </xdr:blipFill>
      <xdr:spPr>
        <a:xfrm>
          <a:off x="625475" y="192087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</xdr:row>
      <xdr:rowOff>25401</xdr:rowOff>
    </xdr:from>
    <xdr:to>
      <xdr:col>2</xdr:col>
      <xdr:colOff>631825</xdr:colOff>
      <xdr:row>197</xdr:row>
      <xdr:rowOff>241301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/>
        <a:stretch>
          <a:fillRect/>
        </a:stretch>
      </xdr:blipFill>
      <xdr:spPr>
        <a:xfrm>
          <a:off x="625475" y="203708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</xdr:row>
      <xdr:rowOff>25401</xdr:rowOff>
    </xdr:from>
    <xdr:to>
      <xdr:col>2</xdr:col>
      <xdr:colOff>631825</xdr:colOff>
      <xdr:row>208</xdr:row>
      <xdr:rowOff>241301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/>
        <a:stretch>
          <a:fillRect/>
        </a:stretch>
      </xdr:blipFill>
      <xdr:spPr>
        <a:xfrm>
          <a:off x="625475" y="215328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</xdr:row>
      <xdr:rowOff>25401</xdr:rowOff>
    </xdr:from>
    <xdr:to>
      <xdr:col>2</xdr:col>
      <xdr:colOff>631825</xdr:colOff>
      <xdr:row>219</xdr:row>
      <xdr:rowOff>241301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/>
        <a:stretch>
          <a:fillRect/>
        </a:stretch>
      </xdr:blipFill>
      <xdr:spPr>
        <a:xfrm>
          <a:off x="625475" y="226949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</xdr:row>
      <xdr:rowOff>25401</xdr:rowOff>
    </xdr:from>
    <xdr:to>
      <xdr:col>2</xdr:col>
      <xdr:colOff>631825</xdr:colOff>
      <xdr:row>230</xdr:row>
      <xdr:rowOff>241301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/>
        <a:stretch>
          <a:fillRect/>
        </a:stretch>
      </xdr:blipFill>
      <xdr:spPr>
        <a:xfrm>
          <a:off x="625475" y="238569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</xdr:row>
      <xdr:rowOff>25401</xdr:rowOff>
    </xdr:from>
    <xdr:to>
      <xdr:col>2</xdr:col>
      <xdr:colOff>631825</xdr:colOff>
      <xdr:row>241</xdr:row>
      <xdr:rowOff>241301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/>
        <a:stretch>
          <a:fillRect/>
        </a:stretch>
      </xdr:blipFill>
      <xdr:spPr>
        <a:xfrm>
          <a:off x="625475" y="250190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</xdr:row>
      <xdr:rowOff>25401</xdr:rowOff>
    </xdr:from>
    <xdr:to>
      <xdr:col>2</xdr:col>
      <xdr:colOff>631825</xdr:colOff>
      <xdr:row>252</xdr:row>
      <xdr:rowOff>241301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/>
        <a:stretch>
          <a:fillRect/>
        </a:stretch>
      </xdr:blipFill>
      <xdr:spPr>
        <a:xfrm>
          <a:off x="625475" y="261810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</xdr:row>
      <xdr:rowOff>25401</xdr:rowOff>
    </xdr:from>
    <xdr:to>
      <xdr:col>2</xdr:col>
      <xdr:colOff>631825</xdr:colOff>
      <xdr:row>263</xdr:row>
      <xdr:rowOff>241301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/>
        <a:stretch>
          <a:fillRect/>
        </a:stretch>
      </xdr:blipFill>
      <xdr:spPr>
        <a:xfrm>
          <a:off x="625475" y="273431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</xdr:row>
      <xdr:rowOff>25401</xdr:rowOff>
    </xdr:from>
    <xdr:to>
      <xdr:col>2</xdr:col>
      <xdr:colOff>631825</xdr:colOff>
      <xdr:row>274</xdr:row>
      <xdr:rowOff>241301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/>
        <a:stretch>
          <a:fillRect/>
        </a:stretch>
      </xdr:blipFill>
      <xdr:spPr>
        <a:xfrm>
          <a:off x="625475" y="285051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</xdr:row>
      <xdr:rowOff>25401</xdr:rowOff>
    </xdr:from>
    <xdr:to>
      <xdr:col>2</xdr:col>
      <xdr:colOff>631825</xdr:colOff>
      <xdr:row>285</xdr:row>
      <xdr:rowOff>241301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/>
        <a:stretch>
          <a:fillRect/>
        </a:stretch>
      </xdr:blipFill>
      <xdr:spPr>
        <a:xfrm>
          <a:off x="625475" y="296672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287</xdr:row>
      <xdr:rowOff>25401</xdr:rowOff>
    </xdr:from>
    <xdr:to>
      <xdr:col>2</xdr:col>
      <xdr:colOff>631825</xdr:colOff>
      <xdr:row>296</xdr:row>
      <xdr:rowOff>241301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/>
        <a:stretch>
          <a:fillRect/>
        </a:stretch>
      </xdr:blipFill>
      <xdr:spPr>
        <a:xfrm>
          <a:off x="625475" y="308292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298</xdr:row>
      <xdr:rowOff>25401</xdr:rowOff>
    </xdr:from>
    <xdr:to>
      <xdr:col>2</xdr:col>
      <xdr:colOff>631825</xdr:colOff>
      <xdr:row>307</xdr:row>
      <xdr:rowOff>241301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xmlns="" id="{00000000-0008-0000-0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/>
        <a:stretch>
          <a:fillRect/>
        </a:stretch>
      </xdr:blipFill>
      <xdr:spPr>
        <a:xfrm>
          <a:off x="625475" y="319913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309</xdr:row>
      <xdr:rowOff>25401</xdr:rowOff>
    </xdr:from>
    <xdr:to>
      <xdr:col>2</xdr:col>
      <xdr:colOff>631825</xdr:colOff>
      <xdr:row>318</xdr:row>
      <xdr:rowOff>241301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xmlns="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/>
        <a:stretch>
          <a:fillRect/>
        </a:stretch>
      </xdr:blipFill>
      <xdr:spPr>
        <a:xfrm>
          <a:off x="625475" y="331533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320</xdr:row>
      <xdr:rowOff>25401</xdr:rowOff>
    </xdr:from>
    <xdr:to>
      <xdr:col>2</xdr:col>
      <xdr:colOff>631825</xdr:colOff>
      <xdr:row>329</xdr:row>
      <xdr:rowOff>241301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xmlns="" id="{00000000-0008-0000-00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/>
        <a:stretch>
          <a:fillRect/>
        </a:stretch>
      </xdr:blipFill>
      <xdr:spPr>
        <a:xfrm>
          <a:off x="625475" y="343154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331</xdr:row>
      <xdr:rowOff>25401</xdr:rowOff>
    </xdr:from>
    <xdr:to>
      <xdr:col>2</xdr:col>
      <xdr:colOff>631825</xdr:colOff>
      <xdr:row>340</xdr:row>
      <xdr:rowOff>241301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54774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342</xdr:row>
      <xdr:rowOff>25401</xdr:rowOff>
    </xdr:from>
    <xdr:to>
      <xdr:col>2</xdr:col>
      <xdr:colOff>631825</xdr:colOff>
      <xdr:row>351</xdr:row>
      <xdr:rowOff>241301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66395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353</xdr:row>
      <xdr:rowOff>25401</xdr:rowOff>
    </xdr:from>
    <xdr:to>
      <xdr:col>2</xdr:col>
      <xdr:colOff>631825</xdr:colOff>
      <xdr:row>362</xdr:row>
      <xdr:rowOff>241301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78015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364</xdr:row>
      <xdr:rowOff>25401</xdr:rowOff>
    </xdr:from>
    <xdr:to>
      <xdr:col>2</xdr:col>
      <xdr:colOff>631825</xdr:colOff>
      <xdr:row>373</xdr:row>
      <xdr:rowOff>241301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89636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375</xdr:row>
      <xdr:rowOff>25401</xdr:rowOff>
    </xdr:from>
    <xdr:to>
      <xdr:col>2</xdr:col>
      <xdr:colOff>631825</xdr:colOff>
      <xdr:row>384</xdr:row>
      <xdr:rowOff>241301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401256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386</xdr:row>
      <xdr:rowOff>25401</xdr:rowOff>
    </xdr:from>
    <xdr:to>
      <xdr:col>2</xdr:col>
      <xdr:colOff>631825</xdr:colOff>
      <xdr:row>395</xdr:row>
      <xdr:rowOff>241301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412877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397</xdr:row>
      <xdr:rowOff>25401</xdr:rowOff>
    </xdr:from>
    <xdr:to>
      <xdr:col>2</xdr:col>
      <xdr:colOff>631825</xdr:colOff>
      <xdr:row>406</xdr:row>
      <xdr:rowOff>241301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424497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408</xdr:row>
      <xdr:rowOff>25401</xdr:rowOff>
    </xdr:from>
    <xdr:to>
      <xdr:col>2</xdr:col>
      <xdr:colOff>631825</xdr:colOff>
      <xdr:row>417</xdr:row>
      <xdr:rowOff>241301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436118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419</xdr:row>
      <xdr:rowOff>25401</xdr:rowOff>
    </xdr:from>
    <xdr:to>
      <xdr:col>2</xdr:col>
      <xdr:colOff>631825</xdr:colOff>
      <xdr:row>428</xdr:row>
      <xdr:rowOff>241301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447738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430</xdr:row>
      <xdr:rowOff>25401</xdr:rowOff>
    </xdr:from>
    <xdr:to>
      <xdr:col>2</xdr:col>
      <xdr:colOff>631825</xdr:colOff>
      <xdr:row>439</xdr:row>
      <xdr:rowOff>241301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459359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441</xdr:row>
      <xdr:rowOff>25401</xdr:rowOff>
    </xdr:from>
    <xdr:to>
      <xdr:col>2</xdr:col>
      <xdr:colOff>631825</xdr:colOff>
      <xdr:row>450</xdr:row>
      <xdr:rowOff>241301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470979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452</xdr:row>
      <xdr:rowOff>25401</xdr:rowOff>
    </xdr:from>
    <xdr:to>
      <xdr:col>2</xdr:col>
      <xdr:colOff>631825</xdr:colOff>
      <xdr:row>461</xdr:row>
      <xdr:rowOff>241301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482600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463</xdr:row>
      <xdr:rowOff>25401</xdr:rowOff>
    </xdr:from>
    <xdr:to>
      <xdr:col>2</xdr:col>
      <xdr:colOff>631825</xdr:colOff>
      <xdr:row>472</xdr:row>
      <xdr:rowOff>241301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494220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474</xdr:row>
      <xdr:rowOff>25401</xdr:rowOff>
    </xdr:from>
    <xdr:to>
      <xdr:col>2</xdr:col>
      <xdr:colOff>631825</xdr:colOff>
      <xdr:row>483</xdr:row>
      <xdr:rowOff>241301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505841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485</xdr:row>
      <xdr:rowOff>25401</xdr:rowOff>
    </xdr:from>
    <xdr:to>
      <xdr:col>2</xdr:col>
      <xdr:colOff>631825</xdr:colOff>
      <xdr:row>494</xdr:row>
      <xdr:rowOff>241301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517461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496</xdr:row>
      <xdr:rowOff>25401</xdr:rowOff>
    </xdr:from>
    <xdr:to>
      <xdr:col>2</xdr:col>
      <xdr:colOff>631825</xdr:colOff>
      <xdr:row>505</xdr:row>
      <xdr:rowOff>241301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529082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507</xdr:row>
      <xdr:rowOff>25401</xdr:rowOff>
    </xdr:from>
    <xdr:to>
      <xdr:col>2</xdr:col>
      <xdr:colOff>631825</xdr:colOff>
      <xdr:row>516</xdr:row>
      <xdr:rowOff>241301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540702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518</xdr:row>
      <xdr:rowOff>25401</xdr:rowOff>
    </xdr:from>
    <xdr:to>
      <xdr:col>2</xdr:col>
      <xdr:colOff>631825</xdr:colOff>
      <xdr:row>527</xdr:row>
      <xdr:rowOff>241301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552323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529</xdr:row>
      <xdr:rowOff>25401</xdr:rowOff>
    </xdr:from>
    <xdr:to>
      <xdr:col>2</xdr:col>
      <xdr:colOff>631825</xdr:colOff>
      <xdr:row>538</xdr:row>
      <xdr:rowOff>241301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563943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540</xdr:row>
      <xdr:rowOff>25401</xdr:rowOff>
    </xdr:from>
    <xdr:to>
      <xdr:col>2</xdr:col>
      <xdr:colOff>631825</xdr:colOff>
      <xdr:row>549</xdr:row>
      <xdr:rowOff>241301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575564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551</xdr:row>
      <xdr:rowOff>25401</xdr:rowOff>
    </xdr:from>
    <xdr:to>
      <xdr:col>2</xdr:col>
      <xdr:colOff>631825</xdr:colOff>
      <xdr:row>560</xdr:row>
      <xdr:rowOff>241301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587184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562</xdr:row>
      <xdr:rowOff>25401</xdr:rowOff>
    </xdr:from>
    <xdr:to>
      <xdr:col>2</xdr:col>
      <xdr:colOff>631825</xdr:colOff>
      <xdr:row>571</xdr:row>
      <xdr:rowOff>241301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598805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573</xdr:row>
      <xdr:rowOff>25401</xdr:rowOff>
    </xdr:from>
    <xdr:to>
      <xdr:col>2</xdr:col>
      <xdr:colOff>631825</xdr:colOff>
      <xdr:row>582</xdr:row>
      <xdr:rowOff>241301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610425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584</xdr:row>
      <xdr:rowOff>25401</xdr:rowOff>
    </xdr:from>
    <xdr:to>
      <xdr:col>2</xdr:col>
      <xdr:colOff>631825</xdr:colOff>
      <xdr:row>593</xdr:row>
      <xdr:rowOff>241301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622046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595</xdr:row>
      <xdr:rowOff>25401</xdr:rowOff>
    </xdr:from>
    <xdr:to>
      <xdr:col>2</xdr:col>
      <xdr:colOff>631825</xdr:colOff>
      <xdr:row>604</xdr:row>
      <xdr:rowOff>241301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633666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606</xdr:row>
      <xdr:rowOff>25401</xdr:rowOff>
    </xdr:from>
    <xdr:to>
      <xdr:col>2</xdr:col>
      <xdr:colOff>631825</xdr:colOff>
      <xdr:row>615</xdr:row>
      <xdr:rowOff>241301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645287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617</xdr:row>
      <xdr:rowOff>25401</xdr:rowOff>
    </xdr:from>
    <xdr:to>
      <xdr:col>2</xdr:col>
      <xdr:colOff>631825</xdr:colOff>
      <xdr:row>626</xdr:row>
      <xdr:rowOff>241301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656907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628</xdr:row>
      <xdr:rowOff>25401</xdr:rowOff>
    </xdr:from>
    <xdr:to>
      <xdr:col>2</xdr:col>
      <xdr:colOff>631825</xdr:colOff>
      <xdr:row>637</xdr:row>
      <xdr:rowOff>241301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668528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639</xdr:row>
      <xdr:rowOff>25401</xdr:rowOff>
    </xdr:from>
    <xdr:to>
      <xdr:col>2</xdr:col>
      <xdr:colOff>631825</xdr:colOff>
      <xdr:row>648</xdr:row>
      <xdr:rowOff>241301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680148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650</xdr:row>
      <xdr:rowOff>25401</xdr:rowOff>
    </xdr:from>
    <xdr:to>
      <xdr:col>2</xdr:col>
      <xdr:colOff>631825</xdr:colOff>
      <xdr:row>659</xdr:row>
      <xdr:rowOff>241301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691769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661</xdr:row>
      <xdr:rowOff>25401</xdr:rowOff>
    </xdr:from>
    <xdr:to>
      <xdr:col>2</xdr:col>
      <xdr:colOff>631825</xdr:colOff>
      <xdr:row>670</xdr:row>
      <xdr:rowOff>241301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xmlns="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703389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672</xdr:row>
      <xdr:rowOff>25401</xdr:rowOff>
    </xdr:from>
    <xdr:to>
      <xdr:col>2</xdr:col>
      <xdr:colOff>631825</xdr:colOff>
      <xdr:row>681</xdr:row>
      <xdr:rowOff>241301</xdr:rowOff>
    </xdr:to>
    <xdr:pic>
      <xdr:nvPicPr>
        <xdr:cNvPr id="64" name="그림 63">
          <a:extLst>
            <a:ext uri="{FF2B5EF4-FFF2-40B4-BE49-F238E27FC236}">
              <a16:creationId xmlns:a16="http://schemas.microsoft.com/office/drawing/2014/main" xmlns="" id="{00000000-0008-0000-0000-00004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715010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683</xdr:row>
      <xdr:rowOff>25401</xdr:rowOff>
    </xdr:from>
    <xdr:to>
      <xdr:col>2</xdr:col>
      <xdr:colOff>631825</xdr:colOff>
      <xdr:row>692</xdr:row>
      <xdr:rowOff>241301</xdr:rowOff>
    </xdr:to>
    <xdr:pic>
      <xdr:nvPicPr>
        <xdr:cNvPr id="100" name="그림 99">
          <a:extLst>
            <a:ext uri="{FF2B5EF4-FFF2-40B4-BE49-F238E27FC236}">
              <a16:creationId xmlns:a16="http://schemas.microsoft.com/office/drawing/2014/main" xmlns="" id="{00000000-0008-0000-0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726630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694</xdr:row>
      <xdr:rowOff>25401</xdr:rowOff>
    </xdr:from>
    <xdr:to>
      <xdr:col>2</xdr:col>
      <xdr:colOff>631825</xdr:colOff>
      <xdr:row>703</xdr:row>
      <xdr:rowOff>241301</xdr:rowOff>
    </xdr:to>
    <xdr:pic>
      <xdr:nvPicPr>
        <xdr:cNvPr id="101" name="그림 100">
          <a:extLst>
            <a:ext uri="{FF2B5EF4-FFF2-40B4-BE49-F238E27FC236}">
              <a16:creationId xmlns:a16="http://schemas.microsoft.com/office/drawing/2014/main" xmlns="" id="{00000000-0008-0000-00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738251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705</xdr:row>
      <xdr:rowOff>25401</xdr:rowOff>
    </xdr:from>
    <xdr:to>
      <xdr:col>2</xdr:col>
      <xdr:colOff>631825</xdr:colOff>
      <xdr:row>714</xdr:row>
      <xdr:rowOff>241301</xdr:rowOff>
    </xdr:to>
    <xdr:pic>
      <xdr:nvPicPr>
        <xdr:cNvPr id="102" name="그림 101">
          <a:extLst>
            <a:ext uri="{FF2B5EF4-FFF2-40B4-BE49-F238E27FC236}">
              <a16:creationId xmlns:a16="http://schemas.microsoft.com/office/drawing/2014/main" xmlns="" id="{00000000-0008-0000-0000-00006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749871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716</xdr:row>
      <xdr:rowOff>25401</xdr:rowOff>
    </xdr:from>
    <xdr:to>
      <xdr:col>2</xdr:col>
      <xdr:colOff>631825</xdr:colOff>
      <xdr:row>725</xdr:row>
      <xdr:rowOff>241301</xdr:rowOff>
    </xdr:to>
    <xdr:pic>
      <xdr:nvPicPr>
        <xdr:cNvPr id="103" name="그림 102">
          <a:extLst>
            <a:ext uri="{FF2B5EF4-FFF2-40B4-BE49-F238E27FC236}">
              <a16:creationId xmlns:a16="http://schemas.microsoft.com/office/drawing/2014/main" xmlns="" id="{00000000-0008-0000-0000-00006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761492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727</xdr:row>
      <xdr:rowOff>25401</xdr:rowOff>
    </xdr:from>
    <xdr:to>
      <xdr:col>2</xdr:col>
      <xdr:colOff>631825</xdr:colOff>
      <xdr:row>736</xdr:row>
      <xdr:rowOff>241301</xdr:rowOff>
    </xdr:to>
    <xdr:pic>
      <xdr:nvPicPr>
        <xdr:cNvPr id="104" name="그림 103">
          <a:extLst>
            <a:ext uri="{FF2B5EF4-FFF2-40B4-BE49-F238E27FC236}">
              <a16:creationId xmlns:a16="http://schemas.microsoft.com/office/drawing/2014/main" xmlns="" id="{00000000-0008-0000-0000-00006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773112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738</xdr:row>
      <xdr:rowOff>25401</xdr:rowOff>
    </xdr:from>
    <xdr:to>
      <xdr:col>2</xdr:col>
      <xdr:colOff>631825</xdr:colOff>
      <xdr:row>747</xdr:row>
      <xdr:rowOff>241301</xdr:rowOff>
    </xdr:to>
    <xdr:pic>
      <xdr:nvPicPr>
        <xdr:cNvPr id="105" name="그림 104">
          <a:extLst>
            <a:ext uri="{FF2B5EF4-FFF2-40B4-BE49-F238E27FC236}">
              <a16:creationId xmlns:a16="http://schemas.microsoft.com/office/drawing/2014/main" xmlns="" id="{00000000-0008-0000-0000-00006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784733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749</xdr:row>
      <xdr:rowOff>25401</xdr:rowOff>
    </xdr:from>
    <xdr:to>
      <xdr:col>2</xdr:col>
      <xdr:colOff>631825</xdr:colOff>
      <xdr:row>758</xdr:row>
      <xdr:rowOff>241301</xdr:rowOff>
    </xdr:to>
    <xdr:pic>
      <xdr:nvPicPr>
        <xdr:cNvPr id="106" name="그림 105">
          <a:extLst>
            <a:ext uri="{FF2B5EF4-FFF2-40B4-BE49-F238E27FC236}">
              <a16:creationId xmlns:a16="http://schemas.microsoft.com/office/drawing/2014/main" xmlns="" id="{00000000-0008-0000-0000-00006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796353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760</xdr:row>
      <xdr:rowOff>25401</xdr:rowOff>
    </xdr:from>
    <xdr:to>
      <xdr:col>2</xdr:col>
      <xdr:colOff>631825</xdr:colOff>
      <xdr:row>769</xdr:row>
      <xdr:rowOff>241301</xdr:rowOff>
    </xdr:to>
    <xdr:pic>
      <xdr:nvPicPr>
        <xdr:cNvPr id="107" name="그림 106">
          <a:extLst>
            <a:ext uri="{FF2B5EF4-FFF2-40B4-BE49-F238E27FC236}">
              <a16:creationId xmlns:a16="http://schemas.microsoft.com/office/drawing/2014/main" xmlns="" id="{00000000-0008-0000-0000-00006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807974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771</xdr:row>
      <xdr:rowOff>25401</xdr:rowOff>
    </xdr:from>
    <xdr:to>
      <xdr:col>2</xdr:col>
      <xdr:colOff>631825</xdr:colOff>
      <xdr:row>780</xdr:row>
      <xdr:rowOff>241301</xdr:rowOff>
    </xdr:to>
    <xdr:pic>
      <xdr:nvPicPr>
        <xdr:cNvPr id="108" name="그림 107">
          <a:extLst>
            <a:ext uri="{FF2B5EF4-FFF2-40B4-BE49-F238E27FC236}">
              <a16:creationId xmlns:a16="http://schemas.microsoft.com/office/drawing/2014/main" xmlns="" id="{00000000-0008-0000-0000-00006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819594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782</xdr:row>
      <xdr:rowOff>25401</xdr:rowOff>
    </xdr:from>
    <xdr:to>
      <xdr:col>2</xdr:col>
      <xdr:colOff>631825</xdr:colOff>
      <xdr:row>791</xdr:row>
      <xdr:rowOff>241301</xdr:rowOff>
    </xdr:to>
    <xdr:pic>
      <xdr:nvPicPr>
        <xdr:cNvPr id="109" name="그림 108">
          <a:extLst>
            <a:ext uri="{FF2B5EF4-FFF2-40B4-BE49-F238E27FC236}">
              <a16:creationId xmlns:a16="http://schemas.microsoft.com/office/drawing/2014/main" xmlns="" id="{00000000-0008-0000-0000-00006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831215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793</xdr:row>
      <xdr:rowOff>25401</xdr:rowOff>
    </xdr:from>
    <xdr:to>
      <xdr:col>2</xdr:col>
      <xdr:colOff>631825</xdr:colOff>
      <xdr:row>802</xdr:row>
      <xdr:rowOff>241301</xdr:rowOff>
    </xdr:to>
    <xdr:pic>
      <xdr:nvPicPr>
        <xdr:cNvPr id="110" name="그림 109">
          <a:extLst>
            <a:ext uri="{FF2B5EF4-FFF2-40B4-BE49-F238E27FC236}">
              <a16:creationId xmlns:a16="http://schemas.microsoft.com/office/drawing/2014/main" xmlns="" id="{00000000-0008-0000-0000-00006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842835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804</xdr:row>
      <xdr:rowOff>25401</xdr:rowOff>
    </xdr:from>
    <xdr:to>
      <xdr:col>2</xdr:col>
      <xdr:colOff>631825</xdr:colOff>
      <xdr:row>813</xdr:row>
      <xdr:rowOff>241301</xdr:rowOff>
    </xdr:to>
    <xdr:pic>
      <xdr:nvPicPr>
        <xdr:cNvPr id="111" name="그림 110">
          <a:extLst>
            <a:ext uri="{FF2B5EF4-FFF2-40B4-BE49-F238E27FC236}">
              <a16:creationId xmlns:a16="http://schemas.microsoft.com/office/drawing/2014/main" xmlns="" id="{00000000-0008-0000-0000-00006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854456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815</xdr:row>
      <xdr:rowOff>25401</xdr:rowOff>
    </xdr:from>
    <xdr:to>
      <xdr:col>2</xdr:col>
      <xdr:colOff>631825</xdr:colOff>
      <xdr:row>824</xdr:row>
      <xdr:rowOff>241301</xdr:rowOff>
    </xdr:to>
    <xdr:pic>
      <xdr:nvPicPr>
        <xdr:cNvPr id="112" name="그림 111">
          <a:extLst>
            <a:ext uri="{FF2B5EF4-FFF2-40B4-BE49-F238E27FC236}">
              <a16:creationId xmlns:a16="http://schemas.microsoft.com/office/drawing/2014/main" xmlns="" id="{00000000-0008-0000-0000-00007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866076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826</xdr:row>
      <xdr:rowOff>25401</xdr:rowOff>
    </xdr:from>
    <xdr:to>
      <xdr:col>2</xdr:col>
      <xdr:colOff>631825</xdr:colOff>
      <xdr:row>835</xdr:row>
      <xdr:rowOff>241301</xdr:rowOff>
    </xdr:to>
    <xdr:pic>
      <xdr:nvPicPr>
        <xdr:cNvPr id="113" name="그림 112">
          <a:extLst>
            <a:ext uri="{FF2B5EF4-FFF2-40B4-BE49-F238E27FC236}">
              <a16:creationId xmlns:a16="http://schemas.microsoft.com/office/drawing/2014/main" xmlns="" id="{00000000-0008-0000-0000-00007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877697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837</xdr:row>
      <xdr:rowOff>25401</xdr:rowOff>
    </xdr:from>
    <xdr:to>
      <xdr:col>2</xdr:col>
      <xdr:colOff>631825</xdr:colOff>
      <xdr:row>846</xdr:row>
      <xdr:rowOff>241301</xdr:rowOff>
    </xdr:to>
    <xdr:pic>
      <xdr:nvPicPr>
        <xdr:cNvPr id="114" name="그림 113">
          <a:extLst>
            <a:ext uri="{FF2B5EF4-FFF2-40B4-BE49-F238E27FC236}">
              <a16:creationId xmlns:a16="http://schemas.microsoft.com/office/drawing/2014/main" xmlns="" id="{00000000-0008-0000-0000-00007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889317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848</xdr:row>
      <xdr:rowOff>25401</xdr:rowOff>
    </xdr:from>
    <xdr:to>
      <xdr:col>2</xdr:col>
      <xdr:colOff>631825</xdr:colOff>
      <xdr:row>857</xdr:row>
      <xdr:rowOff>241301</xdr:rowOff>
    </xdr:to>
    <xdr:pic>
      <xdr:nvPicPr>
        <xdr:cNvPr id="115" name="그림 114">
          <a:extLst>
            <a:ext uri="{FF2B5EF4-FFF2-40B4-BE49-F238E27FC236}">
              <a16:creationId xmlns:a16="http://schemas.microsoft.com/office/drawing/2014/main" xmlns="" id="{00000000-0008-0000-0000-00007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900938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859</xdr:row>
      <xdr:rowOff>25401</xdr:rowOff>
    </xdr:from>
    <xdr:to>
      <xdr:col>2</xdr:col>
      <xdr:colOff>631825</xdr:colOff>
      <xdr:row>868</xdr:row>
      <xdr:rowOff>241301</xdr:rowOff>
    </xdr:to>
    <xdr:pic>
      <xdr:nvPicPr>
        <xdr:cNvPr id="116" name="그림 115">
          <a:extLst>
            <a:ext uri="{FF2B5EF4-FFF2-40B4-BE49-F238E27FC236}">
              <a16:creationId xmlns:a16="http://schemas.microsoft.com/office/drawing/2014/main" xmlns="" id="{00000000-0008-0000-0000-00007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912558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870</xdr:row>
      <xdr:rowOff>25401</xdr:rowOff>
    </xdr:from>
    <xdr:to>
      <xdr:col>2</xdr:col>
      <xdr:colOff>631825</xdr:colOff>
      <xdr:row>879</xdr:row>
      <xdr:rowOff>241301</xdr:rowOff>
    </xdr:to>
    <xdr:pic>
      <xdr:nvPicPr>
        <xdr:cNvPr id="117" name="그림 116">
          <a:extLst>
            <a:ext uri="{FF2B5EF4-FFF2-40B4-BE49-F238E27FC236}">
              <a16:creationId xmlns:a16="http://schemas.microsoft.com/office/drawing/2014/main" xmlns="" id="{00000000-0008-0000-0000-00007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924179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881</xdr:row>
      <xdr:rowOff>25401</xdr:rowOff>
    </xdr:from>
    <xdr:to>
      <xdr:col>2</xdr:col>
      <xdr:colOff>631825</xdr:colOff>
      <xdr:row>890</xdr:row>
      <xdr:rowOff>241301</xdr:rowOff>
    </xdr:to>
    <xdr:pic>
      <xdr:nvPicPr>
        <xdr:cNvPr id="118" name="그림 117">
          <a:extLst>
            <a:ext uri="{FF2B5EF4-FFF2-40B4-BE49-F238E27FC236}">
              <a16:creationId xmlns:a16="http://schemas.microsoft.com/office/drawing/2014/main" xmlns="" id="{00000000-0008-0000-0000-00007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935799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892</xdr:row>
      <xdr:rowOff>25401</xdr:rowOff>
    </xdr:from>
    <xdr:to>
      <xdr:col>2</xdr:col>
      <xdr:colOff>631825</xdr:colOff>
      <xdr:row>901</xdr:row>
      <xdr:rowOff>241301</xdr:rowOff>
    </xdr:to>
    <xdr:pic>
      <xdr:nvPicPr>
        <xdr:cNvPr id="119" name="그림 118">
          <a:extLst>
            <a:ext uri="{FF2B5EF4-FFF2-40B4-BE49-F238E27FC236}">
              <a16:creationId xmlns:a16="http://schemas.microsoft.com/office/drawing/2014/main" xmlns="" id="{00000000-0008-0000-0000-00007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947420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903</xdr:row>
      <xdr:rowOff>25401</xdr:rowOff>
    </xdr:from>
    <xdr:to>
      <xdr:col>2</xdr:col>
      <xdr:colOff>631825</xdr:colOff>
      <xdr:row>912</xdr:row>
      <xdr:rowOff>241301</xdr:rowOff>
    </xdr:to>
    <xdr:pic>
      <xdr:nvPicPr>
        <xdr:cNvPr id="120" name="그림 119">
          <a:extLst>
            <a:ext uri="{FF2B5EF4-FFF2-40B4-BE49-F238E27FC236}">
              <a16:creationId xmlns:a16="http://schemas.microsoft.com/office/drawing/2014/main" xmlns="" id="{00000000-0008-0000-0000-00007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959040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914</xdr:row>
      <xdr:rowOff>25401</xdr:rowOff>
    </xdr:from>
    <xdr:to>
      <xdr:col>2</xdr:col>
      <xdr:colOff>631825</xdr:colOff>
      <xdr:row>923</xdr:row>
      <xdr:rowOff>241301</xdr:rowOff>
    </xdr:to>
    <xdr:pic>
      <xdr:nvPicPr>
        <xdr:cNvPr id="121" name="그림 120">
          <a:extLst>
            <a:ext uri="{FF2B5EF4-FFF2-40B4-BE49-F238E27FC236}">
              <a16:creationId xmlns:a16="http://schemas.microsoft.com/office/drawing/2014/main" xmlns="" id="{00000000-0008-0000-0000-00007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970661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925</xdr:row>
      <xdr:rowOff>25401</xdr:rowOff>
    </xdr:from>
    <xdr:to>
      <xdr:col>2</xdr:col>
      <xdr:colOff>631825</xdr:colOff>
      <xdr:row>934</xdr:row>
      <xdr:rowOff>241301</xdr:rowOff>
    </xdr:to>
    <xdr:pic>
      <xdr:nvPicPr>
        <xdr:cNvPr id="122" name="그림 121">
          <a:extLst>
            <a:ext uri="{FF2B5EF4-FFF2-40B4-BE49-F238E27FC236}">
              <a16:creationId xmlns:a16="http://schemas.microsoft.com/office/drawing/2014/main" xmlns="" id="{00000000-0008-0000-0000-00007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982281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936</xdr:row>
      <xdr:rowOff>25401</xdr:rowOff>
    </xdr:from>
    <xdr:to>
      <xdr:col>2</xdr:col>
      <xdr:colOff>631825</xdr:colOff>
      <xdr:row>945</xdr:row>
      <xdr:rowOff>241301</xdr:rowOff>
    </xdr:to>
    <xdr:pic>
      <xdr:nvPicPr>
        <xdr:cNvPr id="123" name="그림 122">
          <a:extLst>
            <a:ext uri="{FF2B5EF4-FFF2-40B4-BE49-F238E27FC236}">
              <a16:creationId xmlns:a16="http://schemas.microsoft.com/office/drawing/2014/main" xmlns="" id="{00000000-0008-0000-0000-00007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993902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947</xdr:row>
      <xdr:rowOff>25401</xdr:rowOff>
    </xdr:from>
    <xdr:to>
      <xdr:col>2</xdr:col>
      <xdr:colOff>631825</xdr:colOff>
      <xdr:row>956</xdr:row>
      <xdr:rowOff>241301</xdr:rowOff>
    </xdr:to>
    <xdr:pic>
      <xdr:nvPicPr>
        <xdr:cNvPr id="124" name="그림 123">
          <a:extLst>
            <a:ext uri="{FF2B5EF4-FFF2-40B4-BE49-F238E27FC236}">
              <a16:creationId xmlns:a16="http://schemas.microsoft.com/office/drawing/2014/main" xmlns="" id="{00000000-0008-0000-0000-00007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005522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958</xdr:row>
      <xdr:rowOff>25401</xdr:rowOff>
    </xdr:from>
    <xdr:to>
      <xdr:col>2</xdr:col>
      <xdr:colOff>631825</xdr:colOff>
      <xdr:row>967</xdr:row>
      <xdr:rowOff>241301</xdr:rowOff>
    </xdr:to>
    <xdr:pic>
      <xdr:nvPicPr>
        <xdr:cNvPr id="125" name="그림 124">
          <a:extLst>
            <a:ext uri="{FF2B5EF4-FFF2-40B4-BE49-F238E27FC236}">
              <a16:creationId xmlns:a16="http://schemas.microsoft.com/office/drawing/2014/main" xmlns="" id="{00000000-0008-0000-0000-00007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 r:link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017143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969</xdr:row>
      <xdr:rowOff>25401</xdr:rowOff>
    </xdr:from>
    <xdr:to>
      <xdr:col>2</xdr:col>
      <xdr:colOff>631825</xdr:colOff>
      <xdr:row>978</xdr:row>
      <xdr:rowOff>241301</xdr:rowOff>
    </xdr:to>
    <xdr:pic>
      <xdr:nvPicPr>
        <xdr:cNvPr id="126" name="그림 125">
          <a:extLst>
            <a:ext uri="{FF2B5EF4-FFF2-40B4-BE49-F238E27FC236}">
              <a16:creationId xmlns:a16="http://schemas.microsoft.com/office/drawing/2014/main" xmlns="" id="{00000000-0008-0000-0000-00007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 r:link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028763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980</xdr:row>
      <xdr:rowOff>25401</xdr:rowOff>
    </xdr:from>
    <xdr:to>
      <xdr:col>2</xdr:col>
      <xdr:colOff>631825</xdr:colOff>
      <xdr:row>989</xdr:row>
      <xdr:rowOff>241301</xdr:rowOff>
    </xdr:to>
    <xdr:pic>
      <xdr:nvPicPr>
        <xdr:cNvPr id="127" name="그림 126">
          <a:extLst>
            <a:ext uri="{FF2B5EF4-FFF2-40B4-BE49-F238E27FC236}">
              <a16:creationId xmlns:a16="http://schemas.microsoft.com/office/drawing/2014/main" xmlns="" id="{00000000-0008-0000-0000-00007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 r:link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040384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991</xdr:row>
      <xdr:rowOff>25401</xdr:rowOff>
    </xdr:from>
    <xdr:to>
      <xdr:col>2</xdr:col>
      <xdr:colOff>631825</xdr:colOff>
      <xdr:row>1000</xdr:row>
      <xdr:rowOff>241301</xdr:rowOff>
    </xdr:to>
    <xdr:pic>
      <xdr:nvPicPr>
        <xdr:cNvPr id="128" name="그림 127">
          <a:extLst>
            <a:ext uri="{FF2B5EF4-FFF2-40B4-BE49-F238E27FC236}">
              <a16:creationId xmlns:a16="http://schemas.microsoft.com/office/drawing/2014/main" xmlns="" id="{00000000-0008-0000-0000-00008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 r:link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052004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1002</xdr:row>
      <xdr:rowOff>25401</xdr:rowOff>
    </xdr:from>
    <xdr:to>
      <xdr:col>2</xdr:col>
      <xdr:colOff>631825</xdr:colOff>
      <xdr:row>1011</xdr:row>
      <xdr:rowOff>241301</xdr:rowOff>
    </xdr:to>
    <xdr:pic>
      <xdr:nvPicPr>
        <xdr:cNvPr id="129" name="그림 128">
          <a:extLst>
            <a:ext uri="{FF2B5EF4-FFF2-40B4-BE49-F238E27FC236}">
              <a16:creationId xmlns:a16="http://schemas.microsoft.com/office/drawing/2014/main" xmlns="" id="{00000000-0008-0000-0000-00008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 r:link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063625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1013</xdr:row>
      <xdr:rowOff>25401</xdr:rowOff>
    </xdr:from>
    <xdr:to>
      <xdr:col>2</xdr:col>
      <xdr:colOff>631825</xdr:colOff>
      <xdr:row>1022</xdr:row>
      <xdr:rowOff>241301</xdr:rowOff>
    </xdr:to>
    <xdr:pic>
      <xdr:nvPicPr>
        <xdr:cNvPr id="130" name="그림 129">
          <a:extLst>
            <a:ext uri="{FF2B5EF4-FFF2-40B4-BE49-F238E27FC236}">
              <a16:creationId xmlns:a16="http://schemas.microsoft.com/office/drawing/2014/main" xmlns="" id="{00000000-0008-0000-0000-00008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 r:link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075245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1024</xdr:row>
      <xdr:rowOff>25401</xdr:rowOff>
    </xdr:from>
    <xdr:to>
      <xdr:col>2</xdr:col>
      <xdr:colOff>631825</xdr:colOff>
      <xdr:row>1033</xdr:row>
      <xdr:rowOff>241301</xdr:rowOff>
    </xdr:to>
    <xdr:pic>
      <xdr:nvPicPr>
        <xdr:cNvPr id="131" name="그림 130">
          <a:extLst>
            <a:ext uri="{FF2B5EF4-FFF2-40B4-BE49-F238E27FC236}">
              <a16:creationId xmlns:a16="http://schemas.microsoft.com/office/drawing/2014/main" xmlns="" id="{00000000-0008-0000-00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 r:link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086866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1035</xdr:row>
      <xdr:rowOff>25401</xdr:rowOff>
    </xdr:from>
    <xdr:to>
      <xdr:col>2</xdr:col>
      <xdr:colOff>631825</xdr:colOff>
      <xdr:row>1044</xdr:row>
      <xdr:rowOff>241301</xdr:rowOff>
    </xdr:to>
    <xdr:pic>
      <xdr:nvPicPr>
        <xdr:cNvPr id="65" name="그림 64">
          <a:extLst>
            <a:ext uri="{FF2B5EF4-FFF2-40B4-BE49-F238E27FC236}">
              <a16:creationId xmlns:a16="http://schemas.microsoft.com/office/drawing/2014/main" xmlns="" id="{00000000-0008-0000-00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 r:link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098486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1046</xdr:row>
      <xdr:rowOff>25401</xdr:rowOff>
    </xdr:from>
    <xdr:to>
      <xdr:col>2</xdr:col>
      <xdr:colOff>631825</xdr:colOff>
      <xdr:row>1055</xdr:row>
      <xdr:rowOff>241301</xdr:rowOff>
    </xdr:to>
    <xdr:pic>
      <xdr:nvPicPr>
        <xdr:cNvPr id="66" name="그림 65">
          <a:extLst>
            <a:ext uri="{FF2B5EF4-FFF2-40B4-BE49-F238E27FC236}">
              <a16:creationId xmlns:a16="http://schemas.microsoft.com/office/drawing/2014/main" xmlns="" id="{00000000-0008-0000-0000-00004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 r:link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110107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1057</xdr:row>
      <xdr:rowOff>25401</xdr:rowOff>
    </xdr:from>
    <xdr:to>
      <xdr:col>2</xdr:col>
      <xdr:colOff>631825</xdr:colOff>
      <xdr:row>1066</xdr:row>
      <xdr:rowOff>241301</xdr:rowOff>
    </xdr:to>
    <xdr:pic>
      <xdr:nvPicPr>
        <xdr:cNvPr id="67" name="그림 66">
          <a:extLst>
            <a:ext uri="{FF2B5EF4-FFF2-40B4-BE49-F238E27FC236}">
              <a16:creationId xmlns:a16="http://schemas.microsoft.com/office/drawing/2014/main" xmlns="" id="{00000000-0008-0000-0000-00004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 r:link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121727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1068</xdr:row>
      <xdr:rowOff>25401</xdr:rowOff>
    </xdr:from>
    <xdr:to>
      <xdr:col>2</xdr:col>
      <xdr:colOff>631825</xdr:colOff>
      <xdr:row>1077</xdr:row>
      <xdr:rowOff>241301</xdr:rowOff>
    </xdr:to>
    <xdr:pic>
      <xdr:nvPicPr>
        <xdr:cNvPr id="68" name="그림 67">
          <a:extLst>
            <a:ext uri="{FF2B5EF4-FFF2-40B4-BE49-F238E27FC236}">
              <a16:creationId xmlns:a16="http://schemas.microsoft.com/office/drawing/2014/main" xmlns="" id="{00000000-0008-0000-0000-00004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 r:link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133348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1079</xdr:row>
      <xdr:rowOff>25401</xdr:rowOff>
    </xdr:from>
    <xdr:to>
      <xdr:col>2</xdr:col>
      <xdr:colOff>631825</xdr:colOff>
      <xdr:row>1088</xdr:row>
      <xdr:rowOff>241301</xdr:rowOff>
    </xdr:to>
    <xdr:pic>
      <xdr:nvPicPr>
        <xdr:cNvPr id="69" name="그림 68">
          <a:extLst>
            <a:ext uri="{FF2B5EF4-FFF2-40B4-BE49-F238E27FC236}">
              <a16:creationId xmlns:a16="http://schemas.microsoft.com/office/drawing/2014/main" xmlns="" id="{00000000-0008-0000-0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 r:link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144968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1090</xdr:row>
      <xdr:rowOff>25401</xdr:rowOff>
    </xdr:from>
    <xdr:to>
      <xdr:col>2</xdr:col>
      <xdr:colOff>631825</xdr:colOff>
      <xdr:row>1099</xdr:row>
      <xdr:rowOff>241301</xdr:rowOff>
    </xdr:to>
    <xdr:pic>
      <xdr:nvPicPr>
        <xdr:cNvPr id="70" name="그림 69">
          <a:extLst>
            <a:ext uri="{FF2B5EF4-FFF2-40B4-BE49-F238E27FC236}">
              <a16:creationId xmlns:a16="http://schemas.microsoft.com/office/drawing/2014/main" xmlns="" id="{00000000-0008-0000-0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 r:link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156589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1101</xdr:row>
      <xdr:rowOff>25401</xdr:rowOff>
    </xdr:from>
    <xdr:to>
      <xdr:col>2</xdr:col>
      <xdr:colOff>631825</xdr:colOff>
      <xdr:row>1110</xdr:row>
      <xdr:rowOff>241301</xdr:rowOff>
    </xdr:to>
    <xdr:pic>
      <xdr:nvPicPr>
        <xdr:cNvPr id="71" name="그림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 r:link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168209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1112</xdr:row>
      <xdr:rowOff>25401</xdr:rowOff>
    </xdr:from>
    <xdr:to>
      <xdr:col>2</xdr:col>
      <xdr:colOff>631825</xdr:colOff>
      <xdr:row>1121</xdr:row>
      <xdr:rowOff>241301</xdr:rowOff>
    </xdr:to>
    <xdr:pic>
      <xdr:nvPicPr>
        <xdr:cNvPr id="72" name="그림 71">
          <a:extLst>
            <a:ext uri="{FF2B5EF4-FFF2-40B4-BE49-F238E27FC236}">
              <a16:creationId xmlns:a16="http://schemas.microsoft.com/office/drawing/2014/main" xmlns="" id="{00000000-0008-0000-00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 r:link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179830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1123</xdr:row>
      <xdr:rowOff>25401</xdr:rowOff>
    </xdr:from>
    <xdr:to>
      <xdr:col>2</xdr:col>
      <xdr:colOff>631825</xdr:colOff>
      <xdr:row>1132</xdr:row>
      <xdr:rowOff>241301</xdr:rowOff>
    </xdr:to>
    <xdr:pic>
      <xdr:nvPicPr>
        <xdr:cNvPr id="73" name="그림 72">
          <a:extLst>
            <a:ext uri="{FF2B5EF4-FFF2-40B4-BE49-F238E27FC236}">
              <a16:creationId xmlns:a16="http://schemas.microsoft.com/office/drawing/2014/main" xmlns="" id="{00000000-0008-0000-0000-00004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 r:link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191450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1134</xdr:row>
      <xdr:rowOff>25401</xdr:rowOff>
    </xdr:from>
    <xdr:to>
      <xdr:col>2</xdr:col>
      <xdr:colOff>631825</xdr:colOff>
      <xdr:row>1143</xdr:row>
      <xdr:rowOff>241301</xdr:rowOff>
    </xdr:to>
    <xdr:pic>
      <xdr:nvPicPr>
        <xdr:cNvPr id="74" name="그림 73">
          <a:extLst>
            <a:ext uri="{FF2B5EF4-FFF2-40B4-BE49-F238E27FC236}">
              <a16:creationId xmlns:a16="http://schemas.microsoft.com/office/drawing/2014/main" xmlns="" id="{00000000-0008-0000-0000-00004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 r:link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203071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1145</xdr:row>
      <xdr:rowOff>25401</xdr:rowOff>
    </xdr:from>
    <xdr:to>
      <xdr:col>2</xdr:col>
      <xdr:colOff>631825</xdr:colOff>
      <xdr:row>1154</xdr:row>
      <xdr:rowOff>241301</xdr:rowOff>
    </xdr:to>
    <xdr:pic>
      <xdr:nvPicPr>
        <xdr:cNvPr id="75" name="그림 74">
          <a:extLst>
            <a:ext uri="{FF2B5EF4-FFF2-40B4-BE49-F238E27FC236}">
              <a16:creationId xmlns:a16="http://schemas.microsoft.com/office/drawing/2014/main" xmlns="" id="{00000000-0008-0000-0000-00004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 r:link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214691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1156</xdr:row>
      <xdr:rowOff>25401</xdr:rowOff>
    </xdr:from>
    <xdr:to>
      <xdr:col>2</xdr:col>
      <xdr:colOff>631825</xdr:colOff>
      <xdr:row>1165</xdr:row>
      <xdr:rowOff>241301</xdr:rowOff>
    </xdr:to>
    <xdr:pic>
      <xdr:nvPicPr>
        <xdr:cNvPr id="76" name="그림 75">
          <a:extLst>
            <a:ext uri="{FF2B5EF4-FFF2-40B4-BE49-F238E27FC236}">
              <a16:creationId xmlns:a16="http://schemas.microsoft.com/office/drawing/2014/main" xmlns="" id="{00000000-0008-0000-0000-00004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 r:link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226312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1167</xdr:row>
      <xdr:rowOff>25401</xdr:rowOff>
    </xdr:from>
    <xdr:to>
      <xdr:col>2</xdr:col>
      <xdr:colOff>631825</xdr:colOff>
      <xdr:row>1176</xdr:row>
      <xdr:rowOff>241301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xmlns="" id="{00000000-0008-0000-0000-00004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 r:link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237932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1178</xdr:row>
      <xdr:rowOff>25401</xdr:rowOff>
    </xdr:from>
    <xdr:to>
      <xdr:col>2</xdr:col>
      <xdr:colOff>631825</xdr:colOff>
      <xdr:row>1187</xdr:row>
      <xdr:rowOff>241301</xdr:rowOff>
    </xdr:to>
    <xdr:pic>
      <xdr:nvPicPr>
        <xdr:cNvPr id="78" name="그림 77">
          <a:extLst>
            <a:ext uri="{FF2B5EF4-FFF2-40B4-BE49-F238E27FC236}">
              <a16:creationId xmlns:a16="http://schemas.microsoft.com/office/drawing/2014/main" xmlns="" id="{00000000-0008-0000-0000-00004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 r:link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249553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1189</xdr:row>
      <xdr:rowOff>25401</xdr:rowOff>
    </xdr:from>
    <xdr:to>
      <xdr:col>2</xdr:col>
      <xdr:colOff>631825</xdr:colOff>
      <xdr:row>1198</xdr:row>
      <xdr:rowOff>241301</xdr:rowOff>
    </xdr:to>
    <xdr:pic>
      <xdr:nvPicPr>
        <xdr:cNvPr id="79" name="그림 78">
          <a:extLst>
            <a:ext uri="{FF2B5EF4-FFF2-40B4-BE49-F238E27FC236}">
              <a16:creationId xmlns:a16="http://schemas.microsoft.com/office/drawing/2014/main" xmlns="" id="{00000000-0008-0000-0000-00004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 r:link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261173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1200</xdr:row>
      <xdr:rowOff>25401</xdr:rowOff>
    </xdr:from>
    <xdr:to>
      <xdr:col>2</xdr:col>
      <xdr:colOff>631825</xdr:colOff>
      <xdr:row>1209</xdr:row>
      <xdr:rowOff>241301</xdr:rowOff>
    </xdr:to>
    <xdr:pic>
      <xdr:nvPicPr>
        <xdr:cNvPr id="80" name="그림 79">
          <a:extLst>
            <a:ext uri="{FF2B5EF4-FFF2-40B4-BE49-F238E27FC236}">
              <a16:creationId xmlns:a16="http://schemas.microsoft.com/office/drawing/2014/main" xmlns="" id="{00000000-0008-0000-0000-00005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 r:link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272794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1211</xdr:row>
      <xdr:rowOff>25401</xdr:rowOff>
    </xdr:from>
    <xdr:to>
      <xdr:col>2</xdr:col>
      <xdr:colOff>631825</xdr:colOff>
      <xdr:row>1220</xdr:row>
      <xdr:rowOff>241301</xdr:rowOff>
    </xdr:to>
    <xdr:pic>
      <xdr:nvPicPr>
        <xdr:cNvPr id="81" name="그림 80">
          <a:extLst>
            <a:ext uri="{FF2B5EF4-FFF2-40B4-BE49-F238E27FC236}">
              <a16:creationId xmlns:a16="http://schemas.microsoft.com/office/drawing/2014/main" xmlns="" id="{00000000-0008-0000-0000-00005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 r:link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284414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1222</xdr:row>
      <xdr:rowOff>25401</xdr:rowOff>
    </xdr:from>
    <xdr:to>
      <xdr:col>2</xdr:col>
      <xdr:colOff>631825</xdr:colOff>
      <xdr:row>1231</xdr:row>
      <xdr:rowOff>241301</xdr:rowOff>
    </xdr:to>
    <xdr:pic>
      <xdr:nvPicPr>
        <xdr:cNvPr id="82" name="그림 81">
          <a:extLst>
            <a:ext uri="{FF2B5EF4-FFF2-40B4-BE49-F238E27FC236}">
              <a16:creationId xmlns:a16="http://schemas.microsoft.com/office/drawing/2014/main" xmlns="" id="{00000000-0008-0000-0000-00005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 r:link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296035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1233</xdr:row>
      <xdr:rowOff>25401</xdr:rowOff>
    </xdr:from>
    <xdr:to>
      <xdr:col>2</xdr:col>
      <xdr:colOff>631825</xdr:colOff>
      <xdr:row>1242</xdr:row>
      <xdr:rowOff>241301</xdr:rowOff>
    </xdr:to>
    <xdr:pic>
      <xdr:nvPicPr>
        <xdr:cNvPr id="83" name="그림 82">
          <a:extLst>
            <a:ext uri="{FF2B5EF4-FFF2-40B4-BE49-F238E27FC236}">
              <a16:creationId xmlns:a16="http://schemas.microsoft.com/office/drawing/2014/main" xmlns="" id="{00000000-0008-0000-0000-00005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 r:link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307655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1244</xdr:row>
      <xdr:rowOff>25401</xdr:rowOff>
    </xdr:from>
    <xdr:to>
      <xdr:col>2</xdr:col>
      <xdr:colOff>631825</xdr:colOff>
      <xdr:row>1253</xdr:row>
      <xdr:rowOff>241301</xdr:rowOff>
    </xdr:to>
    <xdr:pic>
      <xdr:nvPicPr>
        <xdr:cNvPr id="84" name="그림 83">
          <a:extLst>
            <a:ext uri="{FF2B5EF4-FFF2-40B4-BE49-F238E27FC236}">
              <a16:creationId xmlns:a16="http://schemas.microsoft.com/office/drawing/2014/main" xmlns="" id="{00000000-0008-0000-0000-00005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 r:link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319276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1255</xdr:row>
      <xdr:rowOff>25401</xdr:rowOff>
    </xdr:from>
    <xdr:to>
      <xdr:col>2</xdr:col>
      <xdr:colOff>631825</xdr:colOff>
      <xdr:row>1264</xdr:row>
      <xdr:rowOff>241301</xdr:rowOff>
    </xdr:to>
    <xdr:pic>
      <xdr:nvPicPr>
        <xdr:cNvPr id="85" name="그림 84">
          <a:extLst>
            <a:ext uri="{FF2B5EF4-FFF2-40B4-BE49-F238E27FC236}">
              <a16:creationId xmlns:a16="http://schemas.microsoft.com/office/drawing/2014/main" xmlns="" id="{00000000-0008-0000-0000-00005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9" r:link="rId2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330896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1266</xdr:row>
      <xdr:rowOff>25401</xdr:rowOff>
    </xdr:from>
    <xdr:to>
      <xdr:col>2</xdr:col>
      <xdr:colOff>631825</xdr:colOff>
      <xdr:row>1275</xdr:row>
      <xdr:rowOff>241301</xdr:rowOff>
    </xdr:to>
    <xdr:pic>
      <xdr:nvPicPr>
        <xdr:cNvPr id="86" name="그림 85">
          <a:extLst>
            <a:ext uri="{FF2B5EF4-FFF2-40B4-BE49-F238E27FC236}">
              <a16:creationId xmlns:a16="http://schemas.microsoft.com/office/drawing/2014/main" xmlns="" id="{00000000-0008-0000-0000-00005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1" r:link="rId2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342517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1277</xdr:row>
      <xdr:rowOff>25401</xdr:rowOff>
    </xdr:from>
    <xdr:to>
      <xdr:col>2</xdr:col>
      <xdr:colOff>631825</xdr:colOff>
      <xdr:row>1286</xdr:row>
      <xdr:rowOff>241301</xdr:rowOff>
    </xdr:to>
    <xdr:pic>
      <xdr:nvPicPr>
        <xdr:cNvPr id="87" name="그림 86">
          <a:extLst>
            <a:ext uri="{FF2B5EF4-FFF2-40B4-BE49-F238E27FC236}">
              <a16:creationId xmlns:a16="http://schemas.microsoft.com/office/drawing/2014/main" xmlns="" id="{00000000-0008-0000-0000-00005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3" r:link="rId2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354137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1288</xdr:row>
      <xdr:rowOff>25401</xdr:rowOff>
    </xdr:from>
    <xdr:to>
      <xdr:col>2</xdr:col>
      <xdr:colOff>631825</xdr:colOff>
      <xdr:row>1297</xdr:row>
      <xdr:rowOff>241301</xdr:rowOff>
    </xdr:to>
    <xdr:pic>
      <xdr:nvPicPr>
        <xdr:cNvPr id="88" name="그림 87">
          <a:extLst>
            <a:ext uri="{FF2B5EF4-FFF2-40B4-BE49-F238E27FC236}">
              <a16:creationId xmlns:a16="http://schemas.microsoft.com/office/drawing/2014/main" xmlns="" id="{00000000-0008-0000-0000-00005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5" r:link="rId2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365758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1299</xdr:row>
      <xdr:rowOff>25401</xdr:rowOff>
    </xdr:from>
    <xdr:to>
      <xdr:col>2</xdr:col>
      <xdr:colOff>631825</xdr:colOff>
      <xdr:row>1308</xdr:row>
      <xdr:rowOff>241301</xdr:rowOff>
    </xdr:to>
    <xdr:pic>
      <xdr:nvPicPr>
        <xdr:cNvPr id="89" name="그림 88">
          <a:extLst>
            <a:ext uri="{FF2B5EF4-FFF2-40B4-BE49-F238E27FC236}">
              <a16:creationId xmlns:a16="http://schemas.microsoft.com/office/drawing/2014/main" xmlns="" id="{00000000-0008-0000-0000-00005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 r:link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377378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1310</xdr:row>
      <xdr:rowOff>25401</xdr:rowOff>
    </xdr:from>
    <xdr:to>
      <xdr:col>2</xdr:col>
      <xdr:colOff>631825</xdr:colOff>
      <xdr:row>1319</xdr:row>
      <xdr:rowOff>241301</xdr:rowOff>
    </xdr:to>
    <xdr:pic>
      <xdr:nvPicPr>
        <xdr:cNvPr id="90" name="그림 89">
          <a:extLst>
            <a:ext uri="{FF2B5EF4-FFF2-40B4-BE49-F238E27FC236}">
              <a16:creationId xmlns:a16="http://schemas.microsoft.com/office/drawing/2014/main" xmlns="" id="{00000000-0008-0000-0000-00005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9" r:link="rId2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388999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1321</xdr:row>
      <xdr:rowOff>25401</xdr:rowOff>
    </xdr:from>
    <xdr:to>
      <xdr:col>2</xdr:col>
      <xdr:colOff>631825</xdr:colOff>
      <xdr:row>1330</xdr:row>
      <xdr:rowOff>241301</xdr:rowOff>
    </xdr:to>
    <xdr:pic>
      <xdr:nvPicPr>
        <xdr:cNvPr id="91" name="그림 90">
          <a:extLst>
            <a:ext uri="{FF2B5EF4-FFF2-40B4-BE49-F238E27FC236}">
              <a16:creationId xmlns:a16="http://schemas.microsoft.com/office/drawing/2014/main" xmlns="" id="{00000000-0008-0000-0000-00005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1" r:link="rId2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400619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1332</xdr:row>
      <xdr:rowOff>25401</xdr:rowOff>
    </xdr:from>
    <xdr:to>
      <xdr:col>2</xdr:col>
      <xdr:colOff>631825</xdr:colOff>
      <xdr:row>1341</xdr:row>
      <xdr:rowOff>241301</xdr:rowOff>
    </xdr:to>
    <xdr:pic>
      <xdr:nvPicPr>
        <xdr:cNvPr id="92" name="그림 91">
          <a:extLst>
            <a:ext uri="{FF2B5EF4-FFF2-40B4-BE49-F238E27FC236}">
              <a16:creationId xmlns:a16="http://schemas.microsoft.com/office/drawing/2014/main" xmlns="" id="{00000000-0008-0000-0000-00005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3" r:link="rId2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412240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1343</xdr:row>
      <xdr:rowOff>25401</xdr:rowOff>
    </xdr:from>
    <xdr:to>
      <xdr:col>2</xdr:col>
      <xdr:colOff>631825</xdr:colOff>
      <xdr:row>1352</xdr:row>
      <xdr:rowOff>241301</xdr:rowOff>
    </xdr:to>
    <xdr:pic>
      <xdr:nvPicPr>
        <xdr:cNvPr id="93" name="그림 92">
          <a:extLst>
            <a:ext uri="{FF2B5EF4-FFF2-40B4-BE49-F238E27FC236}">
              <a16:creationId xmlns:a16="http://schemas.microsoft.com/office/drawing/2014/main" xmlns="" id="{00000000-0008-0000-0000-00005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5" r:link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423860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1354</xdr:row>
      <xdr:rowOff>25401</xdr:rowOff>
    </xdr:from>
    <xdr:to>
      <xdr:col>2</xdr:col>
      <xdr:colOff>631825</xdr:colOff>
      <xdr:row>1363</xdr:row>
      <xdr:rowOff>241301</xdr:rowOff>
    </xdr:to>
    <xdr:pic>
      <xdr:nvPicPr>
        <xdr:cNvPr id="94" name="그림 93">
          <a:extLst>
            <a:ext uri="{FF2B5EF4-FFF2-40B4-BE49-F238E27FC236}">
              <a16:creationId xmlns:a16="http://schemas.microsoft.com/office/drawing/2014/main" xmlns="" id="{00000000-0008-0000-0000-00005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7" r:link="rId2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435481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1365</xdr:row>
      <xdr:rowOff>25401</xdr:rowOff>
    </xdr:from>
    <xdr:to>
      <xdr:col>2</xdr:col>
      <xdr:colOff>631825</xdr:colOff>
      <xdr:row>1374</xdr:row>
      <xdr:rowOff>241301</xdr:rowOff>
    </xdr:to>
    <xdr:pic>
      <xdr:nvPicPr>
        <xdr:cNvPr id="95" name="그림 94">
          <a:extLst>
            <a:ext uri="{FF2B5EF4-FFF2-40B4-BE49-F238E27FC236}">
              <a16:creationId xmlns:a16="http://schemas.microsoft.com/office/drawing/2014/main" xmlns="" id="{00000000-0008-0000-0000-00005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9" r:link="rId2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447101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1376</xdr:row>
      <xdr:rowOff>25401</xdr:rowOff>
    </xdr:from>
    <xdr:to>
      <xdr:col>2</xdr:col>
      <xdr:colOff>631825</xdr:colOff>
      <xdr:row>1385</xdr:row>
      <xdr:rowOff>241301</xdr:rowOff>
    </xdr:to>
    <xdr:pic>
      <xdr:nvPicPr>
        <xdr:cNvPr id="96" name="그림 95">
          <a:extLst>
            <a:ext uri="{FF2B5EF4-FFF2-40B4-BE49-F238E27FC236}">
              <a16:creationId xmlns:a16="http://schemas.microsoft.com/office/drawing/2014/main" xmlns="" id="{00000000-0008-0000-0000-00006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1" r:link="rId2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458722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1387</xdr:row>
      <xdr:rowOff>25401</xdr:rowOff>
    </xdr:from>
    <xdr:to>
      <xdr:col>2</xdr:col>
      <xdr:colOff>631825</xdr:colOff>
      <xdr:row>1396</xdr:row>
      <xdr:rowOff>241301</xdr:rowOff>
    </xdr:to>
    <xdr:pic>
      <xdr:nvPicPr>
        <xdr:cNvPr id="97" name="그림 96">
          <a:extLst>
            <a:ext uri="{FF2B5EF4-FFF2-40B4-BE49-F238E27FC236}">
              <a16:creationId xmlns:a16="http://schemas.microsoft.com/office/drawing/2014/main" xmlns="" id="{00000000-0008-0000-0000-00006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 r:link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470342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1398</xdr:row>
      <xdr:rowOff>25401</xdr:rowOff>
    </xdr:from>
    <xdr:to>
      <xdr:col>2</xdr:col>
      <xdr:colOff>631825</xdr:colOff>
      <xdr:row>1407</xdr:row>
      <xdr:rowOff>241301</xdr:rowOff>
    </xdr:to>
    <xdr:pic>
      <xdr:nvPicPr>
        <xdr:cNvPr id="98" name="그림 97">
          <a:extLst>
            <a:ext uri="{FF2B5EF4-FFF2-40B4-BE49-F238E27FC236}">
              <a16:creationId xmlns:a16="http://schemas.microsoft.com/office/drawing/2014/main" xmlns="" id="{00000000-0008-0000-0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5" r:link="rId2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481963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1409</xdr:row>
      <xdr:rowOff>25401</xdr:rowOff>
    </xdr:from>
    <xdr:to>
      <xdr:col>2</xdr:col>
      <xdr:colOff>631825</xdr:colOff>
      <xdr:row>1418</xdr:row>
      <xdr:rowOff>241301</xdr:rowOff>
    </xdr:to>
    <xdr:pic>
      <xdr:nvPicPr>
        <xdr:cNvPr id="99" name="그림 98">
          <a:extLst>
            <a:ext uri="{FF2B5EF4-FFF2-40B4-BE49-F238E27FC236}">
              <a16:creationId xmlns:a16="http://schemas.microsoft.com/office/drawing/2014/main" xmlns="" id="{00000000-0008-0000-0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7" r:link="rId2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493583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1420</xdr:row>
      <xdr:rowOff>25401</xdr:rowOff>
    </xdr:from>
    <xdr:to>
      <xdr:col>2</xdr:col>
      <xdr:colOff>631825</xdr:colOff>
      <xdr:row>1429</xdr:row>
      <xdr:rowOff>241301</xdr:rowOff>
    </xdr:to>
    <xdr:pic>
      <xdr:nvPicPr>
        <xdr:cNvPr id="132" name="그림 131">
          <a:extLst>
            <a:ext uri="{FF2B5EF4-FFF2-40B4-BE49-F238E27FC236}">
              <a16:creationId xmlns:a16="http://schemas.microsoft.com/office/drawing/2014/main" xmlns="" id="{00000000-0008-0000-0000-00008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9" r:link="rId2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505204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1431</xdr:row>
      <xdr:rowOff>25401</xdr:rowOff>
    </xdr:from>
    <xdr:to>
      <xdr:col>2</xdr:col>
      <xdr:colOff>631825</xdr:colOff>
      <xdr:row>1440</xdr:row>
      <xdr:rowOff>241301</xdr:rowOff>
    </xdr:to>
    <xdr:pic>
      <xdr:nvPicPr>
        <xdr:cNvPr id="133" name="그림 132">
          <a:extLst>
            <a:ext uri="{FF2B5EF4-FFF2-40B4-BE49-F238E27FC236}">
              <a16:creationId xmlns:a16="http://schemas.microsoft.com/office/drawing/2014/main" xmlns="" id="{00000000-0008-0000-0000-00008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1" r:link="rId2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516824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1442</xdr:row>
      <xdr:rowOff>25401</xdr:rowOff>
    </xdr:from>
    <xdr:to>
      <xdr:col>2</xdr:col>
      <xdr:colOff>631825</xdr:colOff>
      <xdr:row>1451</xdr:row>
      <xdr:rowOff>241301</xdr:rowOff>
    </xdr:to>
    <xdr:pic>
      <xdr:nvPicPr>
        <xdr:cNvPr id="134" name="그림 133">
          <a:extLst>
            <a:ext uri="{FF2B5EF4-FFF2-40B4-BE49-F238E27FC236}">
              <a16:creationId xmlns:a16="http://schemas.microsoft.com/office/drawing/2014/main" xmlns="" id="{00000000-0008-0000-0000-00008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 r:link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528445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1453</xdr:row>
      <xdr:rowOff>25401</xdr:rowOff>
    </xdr:from>
    <xdr:to>
      <xdr:col>2</xdr:col>
      <xdr:colOff>631825</xdr:colOff>
      <xdr:row>1462</xdr:row>
      <xdr:rowOff>241301</xdr:rowOff>
    </xdr:to>
    <xdr:pic>
      <xdr:nvPicPr>
        <xdr:cNvPr id="135" name="그림 134">
          <a:extLst>
            <a:ext uri="{FF2B5EF4-FFF2-40B4-BE49-F238E27FC236}">
              <a16:creationId xmlns:a16="http://schemas.microsoft.com/office/drawing/2014/main" xmlns="" id="{00000000-0008-0000-0000-00008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5" r:link="rId2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540065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1464</xdr:row>
      <xdr:rowOff>25401</xdr:rowOff>
    </xdr:from>
    <xdr:to>
      <xdr:col>2</xdr:col>
      <xdr:colOff>631825</xdr:colOff>
      <xdr:row>1473</xdr:row>
      <xdr:rowOff>241301</xdr:rowOff>
    </xdr:to>
    <xdr:pic>
      <xdr:nvPicPr>
        <xdr:cNvPr id="136" name="그림 135">
          <a:extLst>
            <a:ext uri="{FF2B5EF4-FFF2-40B4-BE49-F238E27FC236}">
              <a16:creationId xmlns:a16="http://schemas.microsoft.com/office/drawing/2014/main" xmlns="" id="{00000000-0008-0000-0000-00008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 r:link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551686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1475</xdr:row>
      <xdr:rowOff>25401</xdr:rowOff>
    </xdr:from>
    <xdr:to>
      <xdr:col>2</xdr:col>
      <xdr:colOff>631825</xdr:colOff>
      <xdr:row>1484</xdr:row>
      <xdr:rowOff>241301</xdr:rowOff>
    </xdr:to>
    <xdr:pic>
      <xdr:nvPicPr>
        <xdr:cNvPr id="137" name="그림 136">
          <a:extLst>
            <a:ext uri="{FF2B5EF4-FFF2-40B4-BE49-F238E27FC236}">
              <a16:creationId xmlns:a16="http://schemas.microsoft.com/office/drawing/2014/main" xmlns="" id="{00000000-0008-0000-0000-00008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9" r:link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563306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1486</xdr:row>
      <xdr:rowOff>25401</xdr:rowOff>
    </xdr:from>
    <xdr:to>
      <xdr:col>2</xdr:col>
      <xdr:colOff>631825</xdr:colOff>
      <xdr:row>1495</xdr:row>
      <xdr:rowOff>241301</xdr:rowOff>
    </xdr:to>
    <xdr:pic>
      <xdr:nvPicPr>
        <xdr:cNvPr id="138" name="그림 137">
          <a:extLst>
            <a:ext uri="{FF2B5EF4-FFF2-40B4-BE49-F238E27FC236}">
              <a16:creationId xmlns:a16="http://schemas.microsoft.com/office/drawing/2014/main" xmlns="" id="{00000000-0008-0000-0000-00008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1" r:link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574927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1497</xdr:row>
      <xdr:rowOff>25401</xdr:rowOff>
    </xdr:from>
    <xdr:to>
      <xdr:col>2</xdr:col>
      <xdr:colOff>631825</xdr:colOff>
      <xdr:row>1506</xdr:row>
      <xdr:rowOff>241301</xdr:rowOff>
    </xdr:to>
    <xdr:pic>
      <xdr:nvPicPr>
        <xdr:cNvPr id="139" name="그림 138">
          <a:extLst>
            <a:ext uri="{FF2B5EF4-FFF2-40B4-BE49-F238E27FC236}">
              <a16:creationId xmlns:a16="http://schemas.microsoft.com/office/drawing/2014/main" xmlns="" id="{00000000-0008-0000-0000-00008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3" r:link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586547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1508</xdr:row>
      <xdr:rowOff>25401</xdr:rowOff>
    </xdr:from>
    <xdr:to>
      <xdr:col>2</xdr:col>
      <xdr:colOff>631825</xdr:colOff>
      <xdr:row>1517</xdr:row>
      <xdr:rowOff>241301</xdr:rowOff>
    </xdr:to>
    <xdr:pic>
      <xdr:nvPicPr>
        <xdr:cNvPr id="140" name="그림 139">
          <a:extLst>
            <a:ext uri="{FF2B5EF4-FFF2-40B4-BE49-F238E27FC236}">
              <a16:creationId xmlns:a16="http://schemas.microsoft.com/office/drawing/2014/main" xmlns="" id="{00000000-0008-0000-0000-00008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5" r:link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598168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1519</xdr:row>
      <xdr:rowOff>25401</xdr:rowOff>
    </xdr:from>
    <xdr:to>
      <xdr:col>2</xdr:col>
      <xdr:colOff>631825</xdr:colOff>
      <xdr:row>1528</xdr:row>
      <xdr:rowOff>241301</xdr:rowOff>
    </xdr:to>
    <xdr:pic>
      <xdr:nvPicPr>
        <xdr:cNvPr id="141" name="그림 140">
          <a:extLst>
            <a:ext uri="{FF2B5EF4-FFF2-40B4-BE49-F238E27FC236}">
              <a16:creationId xmlns:a16="http://schemas.microsoft.com/office/drawing/2014/main" xmlns="" id="{00000000-0008-0000-0000-00008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7" r:link="rId2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1609788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1530</xdr:row>
      <xdr:rowOff>25401</xdr:rowOff>
    </xdr:from>
    <xdr:to>
      <xdr:col>2</xdr:col>
      <xdr:colOff>631825</xdr:colOff>
      <xdr:row>1539</xdr:row>
      <xdr:rowOff>241301</xdr:rowOff>
    </xdr:to>
    <xdr:pic>
      <xdr:nvPicPr>
        <xdr:cNvPr id="143" name="그림 142">
          <a:extLst>
            <a:ext uri="{FF2B5EF4-FFF2-40B4-BE49-F238E27FC236}">
              <a16:creationId xmlns:a16="http://schemas.microsoft.com/office/drawing/2014/main" xmlns="" id="{969564FE-0689-C147-1D94-DE539B13E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9" r:link="rId280"/>
        <a:stretch>
          <a:fillRect/>
        </a:stretch>
      </xdr:blipFill>
      <xdr:spPr>
        <a:xfrm>
          <a:off x="625475" y="1621409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1541</xdr:row>
      <xdr:rowOff>25401</xdr:rowOff>
    </xdr:from>
    <xdr:to>
      <xdr:col>2</xdr:col>
      <xdr:colOff>631825</xdr:colOff>
      <xdr:row>1550</xdr:row>
      <xdr:rowOff>241301</xdr:rowOff>
    </xdr:to>
    <xdr:pic>
      <xdr:nvPicPr>
        <xdr:cNvPr id="145" name="그림 144">
          <a:extLst>
            <a:ext uri="{FF2B5EF4-FFF2-40B4-BE49-F238E27FC236}">
              <a16:creationId xmlns:a16="http://schemas.microsoft.com/office/drawing/2014/main" xmlns="" id="{873C98F2-64DA-A389-518F-210FEFE1D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1" r:link="rId282"/>
        <a:stretch>
          <a:fillRect/>
        </a:stretch>
      </xdr:blipFill>
      <xdr:spPr>
        <a:xfrm>
          <a:off x="625475" y="1633029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1552</xdr:row>
      <xdr:rowOff>25401</xdr:rowOff>
    </xdr:from>
    <xdr:to>
      <xdr:col>2</xdr:col>
      <xdr:colOff>631825</xdr:colOff>
      <xdr:row>1561</xdr:row>
      <xdr:rowOff>241301</xdr:rowOff>
    </xdr:to>
    <xdr:pic>
      <xdr:nvPicPr>
        <xdr:cNvPr id="147" name="그림 146">
          <a:extLst>
            <a:ext uri="{FF2B5EF4-FFF2-40B4-BE49-F238E27FC236}">
              <a16:creationId xmlns:a16="http://schemas.microsoft.com/office/drawing/2014/main" xmlns="" id="{F03ADA22-1A48-6F8E-23D9-84C57BDF82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3" r:link="rId284"/>
        <a:stretch>
          <a:fillRect/>
        </a:stretch>
      </xdr:blipFill>
      <xdr:spPr>
        <a:xfrm>
          <a:off x="625475" y="1644650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1563</xdr:row>
      <xdr:rowOff>25401</xdr:rowOff>
    </xdr:from>
    <xdr:to>
      <xdr:col>2</xdr:col>
      <xdr:colOff>631825</xdr:colOff>
      <xdr:row>1572</xdr:row>
      <xdr:rowOff>241301</xdr:rowOff>
    </xdr:to>
    <xdr:pic>
      <xdr:nvPicPr>
        <xdr:cNvPr id="149" name="그림 148">
          <a:extLst>
            <a:ext uri="{FF2B5EF4-FFF2-40B4-BE49-F238E27FC236}">
              <a16:creationId xmlns:a16="http://schemas.microsoft.com/office/drawing/2014/main" xmlns="" id="{F8F63C4C-691D-B031-980D-C8D3C9A4F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5" r:link="rId286"/>
        <a:stretch>
          <a:fillRect/>
        </a:stretch>
      </xdr:blipFill>
      <xdr:spPr>
        <a:xfrm>
          <a:off x="625475" y="1656270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1574</xdr:row>
      <xdr:rowOff>25401</xdr:rowOff>
    </xdr:from>
    <xdr:to>
      <xdr:col>2</xdr:col>
      <xdr:colOff>631825</xdr:colOff>
      <xdr:row>1583</xdr:row>
      <xdr:rowOff>241301</xdr:rowOff>
    </xdr:to>
    <xdr:pic>
      <xdr:nvPicPr>
        <xdr:cNvPr id="151" name="그림 150">
          <a:extLst>
            <a:ext uri="{FF2B5EF4-FFF2-40B4-BE49-F238E27FC236}">
              <a16:creationId xmlns:a16="http://schemas.microsoft.com/office/drawing/2014/main" xmlns="" id="{DA237BED-1F03-4478-0DE7-880422B76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 r:link="rId288"/>
        <a:stretch>
          <a:fillRect/>
        </a:stretch>
      </xdr:blipFill>
      <xdr:spPr>
        <a:xfrm>
          <a:off x="625475" y="1667891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1585</xdr:row>
      <xdr:rowOff>25401</xdr:rowOff>
    </xdr:from>
    <xdr:to>
      <xdr:col>2</xdr:col>
      <xdr:colOff>631825</xdr:colOff>
      <xdr:row>1594</xdr:row>
      <xdr:rowOff>241301</xdr:rowOff>
    </xdr:to>
    <xdr:pic>
      <xdr:nvPicPr>
        <xdr:cNvPr id="153" name="그림 152">
          <a:extLst>
            <a:ext uri="{FF2B5EF4-FFF2-40B4-BE49-F238E27FC236}">
              <a16:creationId xmlns:a16="http://schemas.microsoft.com/office/drawing/2014/main" xmlns="" id="{3B440CA2-A255-31D1-2727-A7E042BE9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9" r:link="rId290"/>
        <a:stretch>
          <a:fillRect/>
        </a:stretch>
      </xdr:blipFill>
      <xdr:spPr>
        <a:xfrm>
          <a:off x="625475" y="1679511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1596</xdr:row>
      <xdr:rowOff>25401</xdr:rowOff>
    </xdr:from>
    <xdr:to>
      <xdr:col>2</xdr:col>
      <xdr:colOff>631825</xdr:colOff>
      <xdr:row>1605</xdr:row>
      <xdr:rowOff>241301</xdr:rowOff>
    </xdr:to>
    <xdr:pic>
      <xdr:nvPicPr>
        <xdr:cNvPr id="155" name="그림 154">
          <a:extLst>
            <a:ext uri="{FF2B5EF4-FFF2-40B4-BE49-F238E27FC236}">
              <a16:creationId xmlns:a16="http://schemas.microsoft.com/office/drawing/2014/main" xmlns="" id="{ACB7B372-BFA6-BEA8-EAAA-822479218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 r:link="rId292"/>
        <a:stretch>
          <a:fillRect/>
        </a:stretch>
      </xdr:blipFill>
      <xdr:spPr>
        <a:xfrm>
          <a:off x="625475" y="1691132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1607</xdr:row>
      <xdr:rowOff>25401</xdr:rowOff>
    </xdr:from>
    <xdr:to>
      <xdr:col>2</xdr:col>
      <xdr:colOff>631825</xdr:colOff>
      <xdr:row>1616</xdr:row>
      <xdr:rowOff>241301</xdr:rowOff>
    </xdr:to>
    <xdr:pic>
      <xdr:nvPicPr>
        <xdr:cNvPr id="157" name="그림 156">
          <a:extLst>
            <a:ext uri="{FF2B5EF4-FFF2-40B4-BE49-F238E27FC236}">
              <a16:creationId xmlns:a16="http://schemas.microsoft.com/office/drawing/2014/main" xmlns="" id="{F64B565F-FFB1-1559-2A9B-A9CDBB6DE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3" r:link="rId294"/>
        <a:stretch>
          <a:fillRect/>
        </a:stretch>
      </xdr:blipFill>
      <xdr:spPr>
        <a:xfrm>
          <a:off x="625475" y="1702752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1618</xdr:row>
      <xdr:rowOff>25401</xdr:rowOff>
    </xdr:from>
    <xdr:to>
      <xdr:col>2</xdr:col>
      <xdr:colOff>631825</xdr:colOff>
      <xdr:row>1627</xdr:row>
      <xdr:rowOff>241301</xdr:rowOff>
    </xdr:to>
    <xdr:pic>
      <xdr:nvPicPr>
        <xdr:cNvPr id="159" name="그림 158">
          <a:extLst>
            <a:ext uri="{FF2B5EF4-FFF2-40B4-BE49-F238E27FC236}">
              <a16:creationId xmlns:a16="http://schemas.microsoft.com/office/drawing/2014/main" xmlns="" id="{C371ED33-AC0B-38C5-69D8-576C3A205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5" r:link="rId296"/>
        <a:stretch>
          <a:fillRect/>
        </a:stretch>
      </xdr:blipFill>
      <xdr:spPr>
        <a:xfrm>
          <a:off x="625475" y="1714373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1629</xdr:row>
      <xdr:rowOff>25401</xdr:rowOff>
    </xdr:from>
    <xdr:to>
      <xdr:col>2</xdr:col>
      <xdr:colOff>631825</xdr:colOff>
      <xdr:row>1638</xdr:row>
      <xdr:rowOff>241301</xdr:rowOff>
    </xdr:to>
    <xdr:pic>
      <xdr:nvPicPr>
        <xdr:cNvPr id="161" name="그림 160">
          <a:extLst>
            <a:ext uri="{FF2B5EF4-FFF2-40B4-BE49-F238E27FC236}">
              <a16:creationId xmlns:a16="http://schemas.microsoft.com/office/drawing/2014/main" xmlns="" id="{6FC7B113-34E9-BDB4-45C4-6FECA7600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7" r:link="rId298"/>
        <a:stretch>
          <a:fillRect/>
        </a:stretch>
      </xdr:blipFill>
      <xdr:spPr>
        <a:xfrm>
          <a:off x="625475" y="1725993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1640</xdr:row>
      <xdr:rowOff>25401</xdr:rowOff>
    </xdr:from>
    <xdr:to>
      <xdr:col>2</xdr:col>
      <xdr:colOff>631825</xdr:colOff>
      <xdr:row>1649</xdr:row>
      <xdr:rowOff>241301</xdr:rowOff>
    </xdr:to>
    <xdr:pic>
      <xdr:nvPicPr>
        <xdr:cNvPr id="163" name="그림 162">
          <a:extLst>
            <a:ext uri="{FF2B5EF4-FFF2-40B4-BE49-F238E27FC236}">
              <a16:creationId xmlns:a16="http://schemas.microsoft.com/office/drawing/2014/main" xmlns="" id="{C8190665-755A-FE15-CBFC-10299581F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9" r:link="rId300"/>
        <a:stretch>
          <a:fillRect/>
        </a:stretch>
      </xdr:blipFill>
      <xdr:spPr>
        <a:xfrm>
          <a:off x="625475" y="1737614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1651</xdr:row>
      <xdr:rowOff>25401</xdr:rowOff>
    </xdr:from>
    <xdr:to>
      <xdr:col>2</xdr:col>
      <xdr:colOff>631825</xdr:colOff>
      <xdr:row>1660</xdr:row>
      <xdr:rowOff>241301</xdr:rowOff>
    </xdr:to>
    <xdr:pic>
      <xdr:nvPicPr>
        <xdr:cNvPr id="165" name="그림 164">
          <a:extLst>
            <a:ext uri="{FF2B5EF4-FFF2-40B4-BE49-F238E27FC236}">
              <a16:creationId xmlns:a16="http://schemas.microsoft.com/office/drawing/2014/main" xmlns="" id="{7403A8C6-D6B7-B56C-263D-6B62A3EE7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1" r:link="rId302"/>
        <a:stretch>
          <a:fillRect/>
        </a:stretch>
      </xdr:blipFill>
      <xdr:spPr>
        <a:xfrm>
          <a:off x="625475" y="1749234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1662</xdr:row>
      <xdr:rowOff>25401</xdr:rowOff>
    </xdr:from>
    <xdr:to>
      <xdr:col>2</xdr:col>
      <xdr:colOff>631825</xdr:colOff>
      <xdr:row>1671</xdr:row>
      <xdr:rowOff>241301</xdr:rowOff>
    </xdr:to>
    <xdr:pic>
      <xdr:nvPicPr>
        <xdr:cNvPr id="167" name="그림 166">
          <a:extLst>
            <a:ext uri="{FF2B5EF4-FFF2-40B4-BE49-F238E27FC236}">
              <a16:creationId xmlns:a16="http://schemas.microsoft.com/office/drawing/2014/main" xmlns="" id="{E00691A7-0848-784C-FB26-13139AFB0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3" r:link="rId304"/>
        <a:stretch>
          <a:fillRect/>
        </a:stretch>
      </xdr:blipFill>
      <xdr:spPr>
        <a:xfrm>
          <a:off x="625475" y="1760855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1673</xdr:row>
      <xdr:rowOff>25400</xdr:rowOff>
    </xdr:from>
    <xdr:to>
      <xdr:col>2</xdr:col>
      <xdr:colOff>631825</xdr:colOff>
      <xdr:row>1686</xdr:row>
      <xdr:rowOff>22411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xmlns="" id="{29F74668-351E-8E18-0039-718388C58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5" r:link="rId306"/>
        <a:stretch>
          <a:fillRect/>
        </a:stretch>
      </xdr:blipFill>
      <xdr:spPr>
        <a:xfrm>
          <a:off x="630518" y="182871782"/>
          <a:ext cx="1267572" cy="134171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1687</xdr:row>
      <xdr:rowOff>25401</xdr:rowOff>
    </xdr:from>
    <xdr:to>
      <xdr:col>2</xdr:col>
      <xdr:colOff>631825</xdr:colOff>
      <xdr:row>1696</xdr:row>
      <xdr:rowOff>241301</xdr:rowOff>
    </xdr:to>
    <xdr:pic>
      <xdr:nvPicPr>
        <xdr:cNvPr id="171" name="그림 170">
          <a:extLst>
            <a:ext uri="{FF2B5EF4-FFF2-40B4-BE49-F238E27FC236}">
              <a16:creationId xmlns:a16="http://schemas.microsoft.com/office/drawing/2014/main" xmlns="" id="{B16D9A01-7A5B-55FB-AFE9-A5C20CED5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7" r:link="rId308"/>
        <a:stretch>
          <a:fillRect/>
        </a:stretch>
      </xdr:blipFill>
      <xdr:spPr>
        <a:xfrm>
          <a:off x="625475" y="1784096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1698</xdr:row>
      <xdr:rowOff>25401</xdr:rowOff>
    </xdr:from>
    <xdr:to>
      <xdr:col>2</xdr:col>
      <xdr:colOff>631825</xdr:colOff>
      <xdr:row>1707</xdr:row>
      <xdr:rowOff>241301</xdr:rowOff>
    </xdr:to>
    <xdr:pic>
      <xdr:nvPicPr>
        <xdr:cNvPr id="173" name="그림 172">
          <a:extLst>
            <a:ext uri="{FF2B5EF4-FFF2-40B4-BE49-F238E27FC236}">
              <a16:creationId xmlns:a16="http://schemas.microsoft.com/office/drawing/2014/main" xmlns="" id="{E2061732-9E00-360E-A88B-4172509C0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9" r:link="rId310"/>
        <a:stretch>
          <a:fillRect/>
        </a:stretch>
      </xdr:blipFill>
      <xdr:spPr>
        <a:xfrm>
          <a:off x="625475" y="1795716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1709</xdr:row>
      <xdr:rowOff>25401</xdr:rowOff>
    </xdr:from>
    <xdr:to>
      <xdr:col>2</xdr:col>
      <xdr:colOff>631825</xdr:colOff>
      <xdr:row>1718</xdr:row>
      <xdr:rowOff>241301</xdr:rowOff>
    </xdr:to>
    <xdr:pic>
      <xdr:nvPicPr>
        <xdr:cNvPr id="175" name="그림 174">
          <a:extLst>
            <a:ext uri="{FF2B5EF4-FFF2-40B4-BE49-F238E27FC236}">
              <a16:creationId xmlns:a16="http://schemas.microsoft.com/office/drawing/2014/main" xmlns="" id="{25634802-BAA1-1F71-BE7A-BE9968544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1" r:link="rId312"/>
        <a:stretch>
          <a:fillRect/>
        </a:stretch>
      </xdr:blipFill>
      <xdr:spPr>
        <a:xfrm>
          <a:off x="625475" y="1807337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1720</xdr:row>
      <xdr:rowOff>25401</xdr:rowOff>
    </xdr:from>
    <xdr:to>
      <xdr:col>2</xdr:col>
      <xdr:colOff>631825</xdr:colOff>
      <xdr:row>1729</xdr:row>
      <xdr:rowOff>241301</xdr:rowOff>
    </xdr:to>
    <xdr:pic>
      <xdr:nvPicPr>
        <xdr:cNvPr id="177" name="그림 176">
          <a:extLst>
            <a:ext uri="{FF2B5EF4-FFF2-40B4-BE49-F238E27FC236}">
              <a16:creationId xmlns:a16="http://schemas.microsoft.com/office/drawing/2014/main" xmlns="" id="{1F9DC98E-55F8-B784-1867-8718EB298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3" r:link="rId314"/>
        <a:stretch>
          <a:fillRect/>
        </a:stretch>
      </xdr:blipFill>
      <xdr:spPr>
        <a:xfrm>
          <a:off x="625475" y="1818957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1731</xdr:row>
      <xdr:rowOff>25401</xdr:rowOff>
    </xdr:from>
    <xdr:to>
      <xdr:col>2</xdr:col>
      <xdr:colOff>631825</xdr:colOff>
      <xdr:row>1740</xdr:row>
      <xdr:rowOff>241302</xdr:rowOff>
    </xdr:to>
    <xdr:pic>
      <xdr:nvPicPr>
        <xdr:cNvPr id="179" name="그림 178">
          <a:extLst>
            <a:ext uri="{FF2B5EF4-FFF2-40B4-BE49-F238E27FC236}">
              <a16:creationId xmlns:a16="http://schemas.microsoft.com/office/drawing/2014/main" xmlns="" id="{D8E352D0-17C8-37DB-C8C2-40481B072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5" r:link="rId316"/>
        <a:stretch>
          <a:fillRect/>
        </a:stretch>
      </xdr:blipFill>
      <xdr:spPr>
        <a:xfrm>
          <a:off x="625475" y="1830578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1742</xdr:row>
      <xdr:rowOff>25401</xdr:rowOff>
    </xdr:from>
    <xdr:to>
      <xdr:col>2</xdr:col>
      <xdr:colOff>631825</xdr:colOff>
      <xdr:row>1751</xdr:row>
      <xdr:rowOff>241300</xdr:rowOff>
    </xdr:to>
    <xdr:pic>
      <xdr:nvPicPr>
        <xdr:cNvPr id="181" name="그림 180">
          <a:extLst>
            <a:ext uri="{FF2B5EF4-FFF2-40B4-BE49-F238E27FC236}">
              <a16:creationId xmlns:a16="http://schemas.microsoft.com/office/drawing/2014/main" xmlns="" id="{EDFB4988-DF6C-A89F-CA1A-226D82447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7" r:link="rId318"/>
        <a:stretch>
          <a:fillRect/>
        </a:stretch>
      </xdr:blipFill>
      <xdr:spPr>
        <a:xfrm>
          <a:off x="625475" y="1842198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1760</xdr:row>
      <xdr:rowOff>25401</xdr:rowOff>
    </xdr:from>
    <xdr:to>
      <xdr:col>2</xdr:col>
      <xdr:colOff>631825</xdr:colOff>
      <xdr:row>1769</xdr:row>
      <xdr:rowOff>241301</xdr:rowOff>
    </xdr:to>
    <xdr:pic>
      <xdr:nvPicPr>
        <xdr:cNvPr id="183" name="그림 182">
          <a:extLst>
            <a:ext uri="{FF2B5EF4-FFF2-40B4-BE49-F238E27FC236}">
              <a16:creationId xmlns:a16="http://schemas.microsoft.com/office/drawing/2014/main" xmlns="" id="{3142AB24-5EF1-01A7-3562-C61D3A764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9" r:link="rId320"/>
        <a:stretch>
          <a:fillRect/>
        </a:stretch>
      </xdr:blipFill>
      <xdr:spPr>
        <a:xfrm>
          <a:off x="625475" y="1853819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1771</xdr:row>
      <xdr:rowOff>25401</xdr:rowOff>
    </xdr:from>
    <xdr:to>
      <xdr:col>2</xdr:col>
      <xdr:colOff>631825</xdr:colOff>
      <xdr:row>1780</xdr:row>
      <xdr:rowOff>241301</xdr:rowOff>
    </xdr:to>
    <xdr:pic>
      <xdr:nvPicPr>
        <xdr:cNvPr id="185" name="그림 184">
          <a:extLst>
            <a:ext uri="{FF2B5EF4-FFF2-40B4-BE49-F238E27FC236}">
              <a16:creationId xmlns:a16="http://schemas.microsoft.com/office/drawing/2014/main" xmlns="" id="{BA022B85-EFB2-F2F9-83E4-1BFA70426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1" r:link="rId322"/>
        <a:stretch>
          <a:fillRect/>
        </a:stretch>
      </xdr:blipFill>
      <xdr:spPr>
        <a:xfrm>
          <a:off x="625475" y="1868011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1782</xdr:row>
      <xdr:rowOff>25401</xdr:rowOff>
    </xdr:from>
    <xdr:to>
      <xdr:col>2</xdr:col>
      <xdr:colOff>631825</xdr:colOff>
      <xdr:row>1791</xdr:row>
      <xdr:rowOff>241301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xmlns="" id="{A54780EC-56F6-1B64-B353-5B75D7028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3" r:link="rId324"/>
        <a:stretch>
          <a:fillRect/>
        </a:stretch>
      </xdr:blipFill>
      <xdr:spPr>
        <a:xfrm>
          <a:off x="625475" y="1879631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1793</xdr:row>
      <xdr:rowOff>25401</xdr:rowOff>
    </xdr:from>
    <xdr:to>
      <xdr:col>2</xdr:col>
      <xdr:colOff>631825</xdr:colOff>
      <xdr:row>1802</xdr:row>
      <xdr:rowOff>241301</xdr:rowOff>
    </xdr:to>
    <xdr:pic>
      <xdr:nvPicPr>
        <xdr:cNvPr id="189" name="그림 188">
          <a:extLst>
            <a:ext uri="{FF2B5EF4-FFF2-40B4-BE49-F238E27FC236}">
              <a16:creationId xmlns:a16="http://schemas.microsoft.com/office/drawing/2014/main" xmlns="" id="{A2C115A3-C348-2518-B33F-8539812E4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5" r:link="rId326"/>
        <a:stretch>
          <a:fillRect/>
        </a:stretch>
      </xdr:blipFill>
      <xdr:spPr>
        <a:xfrm>
          <a:off x="625475" y="1891252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1804</xdr:row>
      <xdr:rowOff>25401</xdr:rowOff>
    </xdr:from>
    <xdr:to>
      <xdr:col>2</xdr:col>
      <xdr:colOff>631825</xdr:colOff>
      <xdr:row>1813</xdr:row>
      <xdr:rowOff>241301</xdr:rowOff>
    </xdr:to>
    <xdr:pic>
      <xdr:nvPicPr>
        <xdr:cNvPr id="191" name="그림 190">
          <a:extLst>
            <a:ext uri="{FF2B5EF4-FFF2-40B4-BE49-F238E27FC236}">
              <a16:creationId xmlns:a16="http://schemas.microsoft.com/office/drawing/2014/main" xmlns="" id="{BC9B3D8C-0481-A275-8A24-98E1CED6B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7" r:link="rId328"/>
        <a:stretch>
          <a:fillRect/>
        </a:stretch>
      </xdr:blipFill>
      <xdr:spPr>
        <a:xfrm>
          <a:off x="625475" y="1902872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1815</xdr:row>
      <xdr:rowOff>25401</xdr:rowOff>
    </xdr:from>
    <xdr:to>
      <xdr:col>2</xdr:col>
      <xdr:colOff>631825</xdr:colOff>
      <xdr:row>1824</xdr:row>
      <xdr:rowOff>241301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xmlns="" id="{BD06EA97-2AE1-09DC-5E2A-4A9AFB4040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9" r:link="rId330"/>
        <a:stretch>
          <a:fillRect/>
        </a:stretch>
      </xdr:blipFill>
      <xdr:spPr>
        <a:xfrm>
          <a:off x="625475" y="1914493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1826</xdr:row>
      <xdr:rowOff>25401</xdr:rowOff>
    </xdr:from>
    <xdr:to>
      <xdr:col>2</xdr:col>
      <xdr:colOff>631825</xdr:colOff>
      <xdr:row>1835</xdr:row>
      <xdr:rowOff>241301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xmlns="" id="{01771CF7-59EC-C5D9-BA97-DDBFCC413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1" r:link="rId332"/>
        <a:stretch>
          <a:fillRect/>
        </a:stretch>
      </xdr:blipFill>
      <xdr:spPr>
        <a:xfrm>
          <a:off x="625475" y="1926113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1837</xdr:row>
      <xdr:rowOff>25401</xdr:rowOff>
    </xdr:from>
    <xdr:to>
      <xdr:col>2</xdr:col>
      <xdr:colOff>631825</xdr:colOff>
      <xdr:row>1846</xdr:row>
      <xdr:rowOff>241301</xdr:rowOff>
    </xdr:to>
    <xdr:pic>
      <xdr:nvPicPr>
        <xdr:cNvPr id="197" name="그림 196">
          <a:extLst>
            <a:ext uri="{FF2B5EF4-FFF2-40B4-BE49-F238E27FC236}">
              <a16:creationId xmlns:a16="http://schemas.microsoft.com/office/drawing/2014/main" xmlns="" id="{DC1372D4-A995-A5AD-07EC-E7BE800DD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3" r:link="rId334"/>
        <a:stretch>
          <a:fillRect/>
        </a:stretch>
      </xdr:blipFill>
      <xdr:spPr>
        <a:xfrm>
          <a:off x="625475" y="1937734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1848</xdr:row>
      <xdr:rowOff>25401</xdr:rowOff>
    </xdr:from>
    <xdr:to>
      <xdr:col>2</xdr:col>
      <xdr:colOff>631825</xdr:colOff>
      <xdr:row>1857</xdr:row>
      <xdr:rowOff>241301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xmlns="" id="{40988CAA-98FA-2C31-17EF-5086231A9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5" r:link="rId336"/>
        <a:stretch>
          <a:fillRect/>
        </a:stretch>
      </xdr:blipFill>
      <xdr:spPr>
        <a:xfrm>
          <a:off x="625475" y="1949354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1859</xdr:row>
      <xdr:rowOff>25401</xdr:rowOff>
    </xdr:from>
    <xdr:to>
      <xdr:col>2</xdr:col>
      <xdr:colOff>631825</xdr:colOff>
      <xdr:row>1868</xdr:row>
      <xdr:rowOff>241301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xmlns="" id="{D752B37E-3DD6-DC53-5258-D6C6416AC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7" r:link="rId338"/>
        <a:stretch>
          <a:fillRect/>
        </a:stretch>
      </xdr:blipFill>
      <xdr:spPr>
        <a:xfrm>
          <a:off x="625475" y="1960975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1870</xdr:row>
      <xdr:rowOff>25401</xdr:rowOff>
    </xdr:from>
    <xdr:to>
      <xdr:col>2</xdr:col>
      <xdr:colOff>631825</xdr:colOff>
      <xdr:row>1879</xdr:row>
      <xdr:rowOff>241300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xmlns="" id="{90DFE517-14BB-0CC4-071E-A2EEAA4C8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9" r:link="rId340"/>
        <a:stretch>
          <a:fillRect/>
        </a:stretch>
      </xdr:blipFill>
      <xdr:spPr>
        <a:xfrm>
          <a:off x="625475" y="1972595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1881</xdr:row>
      <xdr:rowOff>25401</xdr:rowOff>
    </xdr:from>
    <xdr:to>
      <xdr:col>2</xdr:col>
      <xdr:colOff>631825</xdr:colOff>
      <xdr:row>1890</xdr:row>
      <xdr:rowOff>241301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xmlns="" id="{25A3F991-AD39-6A79-5401-7E25C58A9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1" r:link="rId342"/>
        <a:stretch>
          <a:fillRect/>
        </a:stretch>
      </xdr:blipFill>
      <xdr:spPr>
        <a:xfrm>
          <a:off x="625475" y="1984216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1892</xdr:row>
      <xdr:rowOff>25401</xdr:rowOff>
    </xdr:from>
    <xdr:to>
      <xdr:col>2</xdr:col>
      <xdr:colOff>631825</xdr:colOff>
      <xdr:row>1901</xdr:row>
      <xdr:rowOff>241301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xmlns="" id="{CEAAB571-92C3-A917-147E-25AD0E8D7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3" r:link="rId344"/>
        <a:stretch>
          <a:fillRect/>
        </a:stretch>
      </xdr:blipFill>
      <xdr:spPr>
        <a:xfrm>
          <a:off x="625475" y="1995836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1903</xdr:row>
      <xdr:rowOff>25401</xdr:rowOff>
    </xdr:from>
    <xdr:to>
      <xdr:col>2</xdr:col>
      <xdr:colOff>631825</xdr:colOff>
      <xdr:row>1912</xdr:row>
      <xdr:rowOff>241301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xmlns="" id="{0B550A43-9EF9-84E4-A94B-73CDE71DB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5" r:link="rId346"/>
        <a:stretch>
          <a:fillRect/>
        </a:stretch>
      </xdr:blipFill>
      <xdr:spPr>
        <a:xfrm>
          <a:off x="625475" y="2007457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1914</xdr:row>
      <xdr:rowOff>25401</xdr:rowOff>
    </xdr:from>
    <xdr:to>
      <xdr:col>2</xdr:col>
      <xdr:colOff>631825</xdr:colOff>
      <xdr:row>1923</xdr:row>
      <xdr:rowOff>241301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xmlns="" id="{56C7D06A-2EF0-34E8-AAAC-1B1D5DCCFB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7" r:link="rId348"/>
        <a:stretch>
          <a:fillRect/>
        </a:stretch>
      </xdr:blipFill>
      <xdr:spPr>
        <a:xfrm>
          <a:off x="625475" y="2019077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1925</xdr:row>
      <xdr:rowOff>25401</xdr:rowOff>
    </xdr:from>
    <xdr:to>
      <xdr:col>2</xdr:col>
      <xdr:colOff>631825</xdr:colOff>
      <xdr:row>1934</xdr:row>
      <xdr:rowOff>241301</xdr:rowOff>
    </xdr:to>
    <xdr:pic>
      <xdr:nvPicPr>
        <xdr:cNvPr id="213" name="그림 212">
          <a:extLst>
            <a:ext uri="{FF2B5EF4-FFF2-40B4-BE49-F238E27FC236}">
              <a16:creationId xmlns:a16="http://schemas.microsoft.com/office/drawing/2014/main" xmlns="" id="{951320A4-3838-4CFD-7CA0-FFA1EBAE2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9" r:link="rId350"/>
        <a:stretch>
          <a:fillRect/>
        </a:stretch>
      </xdr:blipFill>
      <xdr:spPr>
        <a:xfrm>
          <a:off x="625475" y="2030698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1936</xdr:row>
      <xdr:rowOff>25401</xdr:rowOff>
    </xdr:from>
    <xdr:to>
      <xdr:col>2</xdr:col>
      <xdr:colOff>631825</xdr:colOff>
      <xdr:row>1945</xdr:row>
      <xdr:rowOff>241302</xdr:rowOff>
    </xdr:to>
    <xdr:pic>
      <xdr:nvPicPr>
        <xdr:cNvPr id="144" name="그림 143">
          <a:extLst>
            <a:ext uri="{FF2B5EF4-FFF2-40B4-BE49-F238E27FC236}">
              <a16:creationId xmlns:a16="http://schemas.microsoft.com/office/drawing/2014/main" xmlns="" id="{8C9F36F5-09C7-F9AF-8A12-D6E722243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1" r:link="rId352"/>
        <a:stretch>
          <a:fillRect/>
        </a:stretch>
      </xdr:blipFill>
      <xdr:spPr>
        <a:xfrm>
          <a:off x="625475" y="2042318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1947</xdr:row>
      <xdr:rowOff>25401</xdr:rowOff>
    </xdr:from>
    <xdr:to>
      <xdr:col>2</xdr:col>
      <xdr:colOff>631825</xdr:colOff>
      <xdr:row>1956</xdr:row>
      <xdr:rowOff>241301</xdr:rowOff>
    </xdr:to>
    <xdr:pic>
      <xdr:nvPicPr>
        <xdr:cNvPr id="148" name="그림 147">
          <a:extLst>
            <a:ext uri="{FF2B5EF4-FFF2-40B4-BE49-F238E27FC236}">
              <a16:creationId xmlns:a16="http://schemas.microsoft.com/office/drawing/2014/main" xmlns="" id="{4626F571-FE34-432E-C974-C915C562A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3" r:link="rId354"/>
        <a:stretch>
          <a:fillRect/>
        </a:stretch>
      </xdr:blipFill>
      <xdr:spPr>
        <a:xfrm>
          <a:off x="625475" y="2053939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1958</xdr:row>
      <xdr:rowOff>25401</xdr:rowOff>
    </xdr:from>
    <xdr:to>
      <xdr:col>2</xdr:col>
      <xdr:colOff>631825</xdr:colOff>
      <xdr:row>1967</xdr:row>
      <xdr:rowOff>241301</xdr:rowOff>
    </xdr:to>
    <xdr:pic>
      <xdr:nvPicPr>
        <xdr:cNvPr id="152" name="그림 151">
          <a:extLst>
            <a:ext uri="{FF2B5EF4-FFF2-40B4-BE49-F238E27FC236}">
              <a16:creationId xmlns:a16="http://schemas.microsoft.com/office/drawing/2014/main" xmlns="" id="{89BBBB5E-E79C-AD95-4E48-AB9C3AE4B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5" r:link="rId356"/>
        <a:stretch>
          <a:fillRect/>
        </a:stretch>
      </xdr:blipFill>
      <xdr:spPr>
        <a:xfrm>
          <a:off x="625475" y="2065559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1969</xdr:row>
      <xdr:rowOff>25401</xdr:rowOff>
    </xdr:from>
    <xdr:to>
      <xdr:col>2</xdr:col>
      <xdr:colOff>631825</xdr:colOff>
      <xdr:row>1978</xdr:row>
      <xdr:rowOff>241301</xdr:rowOff>
    </xdr:to>
    <xdr:pic>
      <xdr:nvPicPr>
        <xdr:cNvPr id="156" name="그림 155">
          <a:extLst>
            <a:ext uri="{FF2B5EF4-FFF2-40B4-BE49-F238E27FC236}">
              <a16:creationId xmlns:a16="http://schemas.microsoft.com/office/drawing/2014/main" xmlns="" id="{E570F903-99C3-DC11-CDC0-27C13636F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7" r:link="rId358"/>
        <a:stretch>
          <a:fillRect/>
        </a:stretch>
      </xdr:blipFill>
      <xdr:spPr>
        <a:xfrm>
          <a:off x="625475" y="2077180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1980</xdr:row>
      <xdr:rowOff>25401</xdr:rowOff>
    </xdr:from>
    <xdr:to>
      <xdr:col>2</xdr:col>
      <xdr:colOff>631825</xdr:colOff>
      <xdr:row>1989</xdr:row>
      <xdr:rowOff>241301</xdr:rowOff>
    </xdr:to>
    <xdr:pic>
      <xdr:nvPicPr>
        <xdr:cNvPr id="160" name="그림 159">
          <a:extLst>
            <a:ext uri="{FF2B5EF4-FFF2-40B4-BE49-F238E27FC236}">
              <a16:creationId xmlns:a16="http://schemas.microsoft.com/office/drawing/2014/main" xmlns="" id="{5A8C1F2D-A8B7-3CBD-5F5D-87F4D243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9" r:link="rId360"/>
        <a:stretch>
          <a:fillRect/>
        </a:stretch>
      </xdr:blipFill>
      <xdr:spPr>
        <a:xfrm>
          <a:off x="625475" y="2088800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1991</xdr:row>
      <xdr:rowOff>25401</xdr:rowOff>
    </xdr:from>
    <xdr:to>
      <xdr:col>2</xdr:col>
      <xdr:colOff>631825</xdr:colOff>
      <xdr:row>2000</xdr:row>
      <xdr:rowOff>241301</xdr:rowOff>
    </xdr:to>
    <xdr:pic>
      <xdr:nvPicPr>
        <xdr:cNvPr id="164" name="그림 163">
          <a:extLst>
            <a:ext uri="{FF2B5EF4-FFF2-40B4-BE49-F238E27FC236}">
              <a16:creationId xmlns:a16="http://schemas.microsoft.com/office/drawing/2014/main" xmlns="" id="{55859304-DA5D-6A72-D4BE-652CE79CC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1" r:link="rId362"/>
        <a:stretch>
          <a:fillRect/>
        </a:stretch>
      </xdr:blipFill>
      <xdr:spPr>
        <a:xfrm>
          <a:off x="625475" y="2100421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2002</xdr:row>
      <xdr:rowOff>25401</xdr:rowOff>
    </xdr:from>
    <xdr:to>
      <xdr:col>2</xdr:col>
      <xdr:colOff>631825</xdr:colOff>
      <xdr:row>2011</xdr:row>
      <xdr:rowOff>241301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xmlns="" id="{DFC08F43-A5C7-9183-3190-8E2205C54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3" r:link="rId364"/>
        <a:stretch>
          <a:fillRect/>
        </a:stretch>
      </xdr:blipFill>
      <xdr:spPr>
        <a:xfrm>
          <a:off x="625475" y="2112041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2013</xdr:row>
      <xdr:rowOff>25401</xdr:rowOff>
    </xdr:from>
    <xdr:to>
      <xdr:col>2</xdr:col>
      <xdr:colOff>631825</xdr:colOff>
      <xdr:row>2022</xdr:row>
      <xdr:rowOff>241301</xdr:rowOff>
    </xdr:to>
    <xdr:pic>
      <xdr:nvPicPr>
        <xdr:cNvPr id="172" name="그림 171">
          <a:extLst>
            <a:ext uri="{FF2B5EF4-FFF2-40B4-BE49-F238E27FC236}">
              <a16:creationId xmlns:a16="http://schemas.microsoft.com/office/drawing/2014/main" xmlns="" id="{F31723F1-0D2A-875F-A1CB-486FCC401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5" r:link="rId366"/>
        <a:stretch>
          <a:fillRect/>
        </a:stretch>
      </xdr:blipFill>
      <xdr:spPr>
        <a:xfrm>
          <a:off x="625475" y="2123662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2024</xdr:row>
      <xdr:rowOff>25401</xdr:rowOff>
    </xdr:from>
    <xdr:to>
      <xdr:col>2</xdr:col>
      <xdr:colOff>631825</xdr:colOff>
      <xdr:row>2033</xdr:row>
      <xdr:rowOff>241301</xdr:rowOff>
    </xdr:to>
    <xdr:pic>
      <xdr:nvPicPr>
        <xdr:cNvPr id="176" name="그림 175">
          <a:extLst>
            <a:ext uri="{FF2B5EF4-FFF2-40B4-BE49-F238E27FC236}">
              <a16:creationId xmlns:a16="http://schemas.microsoft.com/office/drawing/2014/main" xmlns="" id="{85D9BA4C-6190-65ED-5B54-FADB3D110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7" r:link="rId368"/>
        <a:stretch>
          <a:fillRect/>
        </a:stretch>
      </xdr:blipFill>
      <xdr:spPr>
        <a:xfrm>
          <a:off x="625475" y="2135282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2035</xdr:row>
      <xdr:rowOff>25401</xdr:rowOff>
    </xdr:from>
    <xdr:to>
      <xdr:col>2</xdr:col>
      <xdr:colOff>631825</xdr:colOff>
      <xdr:row>2044</xdr:row>
      <xdr:rowOff>241301</xdr:rowOff>
    </xdr:to>
    <xdr:pic>
      <xdr:nvPicPr>
        <xdr:cNvPr id="180" name="그림 179">
          <a:extLst>
            <a:ext uri="{FF2B5EF4-FFF2-40B4-BE49-F238E27FC236}">
              <a16:creationId xmlns:a16="http://schemas.microsoft.com/office/drawing/2014/main" xmlns="" id="{F46D6F5A-F1E5-29D5-7D7C-1572B8D3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9" r:link="rId370"/>
        <a:stretch>
          <a:fillRect/>
        </a:stretch>
      </xdr:blipFill>
      <xdr:spPr>
        <a:xfrm>
          <a:off x="625475" y="2146903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2046</xdr:row>
      <xdr:rowOff>25401</xdr:rowOff>
    </xdr:from>
    <xdr:to>
      <xdr:col>2</xdr:col>
      <xdr:colOff>631825</xdr:colOff>
      <xdr:row>2055</xdr:row>
      <xdr:rowOff>241301</xdr:rowOff>
    </xdr:to>
    <xdr:pic>
      <xdr:nvPicPr>
        <xdr:cNvPr id="184" name="그림 183">
          <a:extLst>
            <a:ext uri="{FF2B5EF4-FFF2-40B4-BE49-F238E27FC236}">
              <a16:creationId xmlns:a16="http://schemas.microsoft.com/office/drawing/2014/main" xmlns="" id="{6FF87E29-099A-5A2B-4206-D86F1C16C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1" r:link="rId372"/>
        <a:stretch>
          <a:fillRect/>
        </a:stretch>
      </xdr:blipFill>
      <xdr:spPr>
        <a:xfrm>
          <a:off x="625475" y="2158523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2057</xdr:row>
      <xdr:rowOff>25401</xdr:rowOff>
    </xdr:from>
    <xdr:to>
      <xdr:col>2</xdr:col>
      <xdr:colOff>631825</xdr:colOff>
      <xdr:row>2066</xdr:row>
      <xdr:rowOff>241300</xdr:rowOff>
    </xdr:to>
    <xdr:pic>
      <xdr:nvPicPr>
        <xdr:cNvPr id="188" name="그림 187">
          <a:extLst>
            <a:ext uri="{FF2B5EF4-FFF2-40B4-BE49-F238E27FC236}">
              <a16:creationId xmlns:a16="http://schemas.microsoft.com/office/drawing/2014/main" xmlns="" id="{C5B155D1-4A85-60EC-1BCB-7E4BA934E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3" r:link="rId374"/>
        <a:stretch>
          <a:fillRect/>
        </a:stretch>
      </xdr:blipFill>
      <xdr:spPr>
        <a:xfrm>
          <a:off x="625475" y="2170144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2068</xdr:row>
      <xdr:rowOff>25401</xdr:rowOff>
    </xdr:from>
    <xdr:to>
      <xdr:col>2</xdr:col>
      <xdr:colOff>631825</xdr:colOff>
      <xdr:row>2077</xdr:row>
      <xdr:rowOff>241301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xmlns="" id="{2720E236-9315-B1D3-2857-4AAC4DED7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5" r:link="rId376"/>
        <a:stretch>
          <a:fillRect/>
        </a:stretch>
      </xdr:blipFill>
      <xdr:spPr>
        <a:xfrm>
          <a:off x="625475" y="2181764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2079</xdr:row>
      <xdr:rowOff>25401</xdr:rowOff>
    </xdr:from>
    <xdr:to>
      <xdr:col>2</xdr:col>
      <xdr:colOff>631825</xdr:colOff>
      <xdr:row>2088</xdr:row>
      <xdr:rowOff>241301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xmlns="" id="{F174E972-62B7-3A43-165E-BFBF40596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7" r:link="rId378"/>
        <a:stretch>
          <a:fillRect/>
        </a:stretch>
      </xdr:blipFill>
      <xdr:spPr>
        <a:xfrm>
          <a:off x="625475" y="2193385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2090</xdr:row>
      <xdr:rowOff>25401</xdr:rowOff>
    </xdr:from>
    <xdr:to>
      <xdr:col>2</xdr:col>
      <xdr:colOff>631825</xdr:colOff>
      <xdr:row>2099</xdr:row>
      <xdr:rowOff>241301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xmlns="" id="{0736CF73-E7C0-9EDB-7A50-7188F4001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9" r:link="rId380"/>
        <a:stretch>
          <a:fillRect/>
        </a:stretch>
      </xdr:blipFill>
      <xdr:spPr>
        <a:xfrm>
          <a:off x="625475" y="2205005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2101</xdr:row>
      <xdr:rowOff>25401</xdr:rowOff>
    </xdr:from>
    <xdr:to>
      <xdr:col>2</xdr:col>
      <xdr:colOff>631825</xdr:colOff>
      <xdr:row>2110</xdr:row>
      <xdr:rowOff>241301</xdr:rowOff>
    </xdr:to>
    <xdr:pic>
      <xdr:nvPicPr>
        <xdr:cNvPr id="204" name="그림 203">
          <a:extLst>
            <a:ext uri="{FF2B5EF4-FFF2-40B4-BE49-F238E27FC236}">
              <a16:creationId xmlns:a16="http://schemas.microsoft.com/office/drawing/2014/main" xmlns="" id="{26EDF982-1A49-D192-5449-746C61A23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1" r:link="rId382"/>
        <a:stretch>
          <a:fillRect/>
        </a:stretch>
      </xdr:blipFill>
      <xdr:spPr>
        <a:xfrm>
          <a:off x="625475" y="2216626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2112</xdr:row>
      <xdr:rowOff>25401</xdr:rowOff>
    </xdr:from>
    <xdr:to>
      <xdr:col>2</xdr:col>
      <xdr:colOff>631825</xdr:colOff>
      <xdr:row>2121</xdr:row>
      <xdr:rowOff>241301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xmlns="" id="{4315DBF3-D03F-71C3-13C2-E1E09C55F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3" r:link="rId384"/>
        <a:stretch>
          <a:fillRect/>
        </a:stretch>
      </xdr:blipFill>
      <xdr:spPr>
        <a:xfrm>
          <a:off x="625475" y="2228246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2123</xdr:row>
      <xdr:rowOff>25401</xdr:rowOff>
    </xdr:from>
    <xdr:to>
      <xdr:col>2</xdr:col>
      <xdr:colOff>631825</xdr:colOff>
      <xdr:row>2132</xdr:row>
      <xdr:rowOff>241302</xdr:rowOff>
    </xdr:to>
    <xdr:pic>
      <xdr:nvPicPr>
        <xdr:cNvPr id="212" name="그림 211">
          <a:extLst>
            <a:ext uri="{FF2B5EF4-FFF2-40B4-BE49-F238E27FC236}">
              <a16:creationId xmlns:a16="http://schemas.microsoft.com/office/drawing/2014/main" xmlns="" id="{0F701392-D1BB-7304-3705-065290652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5" r:link="rId386"/>
        <a:stretch>
          <a:fillRect/>
        </a:stretch>
      </xdr:blipFill>
      <xdr:spPr>
        <a:xfrm>
          <a:off x="625475" y="2239867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2134</xdr:row>
      <xdr:rowOff>25401</xdr:rowOff>
    </xdr:from>
    <xdr:to>
      <xdr:col>2</xdr:col>
      <xdr:colOff>631825</xdr:colOff>
      <xdr:row>2143</xdr:row>
      <xdr:rowOff>241301</xdr:rowOff>
    </xdr:to>
    <xdr:pic>
      <xdr:nvPicPr>
        <xdr:cNvPr id="215" name="그림 214">
          <a:extLst>
            <a:ext uri="{FF2B5EF4-FFF2-40B4-BE49-F238E27FC236}">
              <a16:creationId xmlns:a16="http://schemas.microsoft.com/office/drawing/2014/main" xmlns="" id="{E2665FF9-DB6D-5718-D98D-3C0FEB02B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7" r:link="rId388"/>
        <a:stretch>
          <a:fillRect/>
        </a:stretch>
      </xdr:blipFill>
      <xdr:spPr>
        <a:xfrm>
          <a:off x="625475" y="2251487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2145</xdr:row>
      <xdr:rowOff>25401</xdr:rowOff>
    </xdr:from>
    <xdr:to>
      <xdr:col>2</xdr:col>
      <xdr:colOff>631825</xdr:colOff>
      <xdr:row>2154</xdr:row>
      <xdr:rowOff>241301</xdr:rowOff>
    </xdr:to>
    <xdr:pic>
      <xdr:nvPicPr>
        <xdr:cNvPr id="217" name="그림 216">
          <a:extLst>
            <a:ext uri="{FF2B5EF4-FFF2-40B4-BE49-F238E27FC236}">
              <a16:creationId xmlns:a16="http://schemas.microsoft.com/office/drawing/2014/main" xmlns="" id="{D1CD563B-7596-F413-C6FE-94679FB9E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9" r:link="rId390"/>
        <a:stretch>
          <a:fillRect/>
        </a:stretch>
      </xdr:blipFill>
      <xdr:spPr>
        <a:xfrm>
          <a:off x="625475" y="2263108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2156</xdr:row>
      <xdr:rowOff>25401</xdr:rowOff>
    </xdr:from>
    <xdr:to>
      <xdr:col>2</xdr:col>
      <xdr:colOff>631825</xdr:colOff>
      <xdr:row>2165</xdr:row>
      <xdr:rowOff>241301</xdr:rowOff>
    </xdr:to>
    <xdr:pic>
      <xdr:nvPicPr>
        <xdr:cNvPr id="219" name="그림 218">
          <a:extLst>
            <a:ext uri="{FF2B5EF4-FFF2-40B4-BE49-F238E27FC236}">
              <a16:creationId xmlns:a16="http://schemas.microsoft.com/office/drawing/2014/main" xmlns="" id="{BBA48506-E87F-82A9-C4DC-2435B9D4E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1" r:link="rId392"/>
        <a:stretch>
          <a:fillRect/>
        </a:stretch>
      </xdr:blipFill>
      <xdr:spPr>
        <a:xfrm>
          <a:off x="625475" y="2274728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2167</xdr:row>
      <xdr:rowOff>25401</xdr:rowOff>
    </xdr:from>
    <xdr:to>
      <xdr:col>2</xdr:col>
      <xdr:colOff>631825</xdr:colOff>
      <xdr:row>2176</xdr:row>
      <xdr:rowOff>241301</xdr:rowOff>
    </xdr:to>
    <xdr:pic>
      <xdr:nvPicPr>
        <xdr:cNvPr id="221" name="그림 220">
          <a:extLst>
            <a:ext uri="{FF2B5EF4-FFF2-40B4-BE49-F238E27FC236}">
              <a16:creationId xmlns:a16="http://schemas.microsoft.com/office/drawing/2014/main" xmlns="" id="{96221C74-5952-3168-0972-11D8DA919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3" r:link="rId394"/>
        <a:stretch>
          <a:fillRect/>
        </a:stretch>
      </xdr:blipFill>
      <xdr:spPr>
        <a:xfrm>
          <a:off x="625475" y="2286349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2178</xdr:row>
      <xdr:rowOff>25401</xdr:rowOff>
    </xdr:from>
    <xdr:to>
      <xdr:col>2</xdr:col>
      <xdr:colOff>631825</xdr:colOff>
      <xdr:row>2187</xdr:row>
      <xdr:rowOff>241301</xdr:rowOff>
    </xdr:to>
    <xdr:pic>
      <xdr:nvPicPr>
        <xdr:cNvPr id="223" name="그림 222">
          <a:extLst>
            <a:ext uri="{FF2B5EF4-FFF2-40B4-BE49-F238E27FC236}">
              <a16:creationId xmlns:a16="http://schemas.microsoft.com/office/drawing/2014/main" xmlns="" id="{B245740C-96DC-3333-B350-1E666EB26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5" r:link="rId396"/>
        <a:stretch>
          <a:fillRect/>
        </a:stretch>
      </xdr:blipFill>
      <xdr:spPr>
        <a:xfrm>
          <a:off x="625475" y="2297969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2189</xdr:row>
      <xdr:rowOff>25401</xdr:rowOff>
    </xdr:from>
    <xdr:to>
      <xdr:col>2</xdr:col>
      <xdr:colOff>631825</xdr:colOff>
      <xdr:row>2198</xdr:row>
      <xdr:rowOff>241301</xdr:rowOff>
    </xdr:to>
    <xdr:pic>
      <xdr:nvPicPr>
        <xdr:cNvPr id="225" name="그림 224">
          <a:extLst>
            <a:ext uri="{FF2B5EF4-FFF2-40B4-BE49-F238E27FC236}">
              <a16:creationId xmlns:a16="http://schemas.microsoft.com/office/drawing/2014/main" xmlns="" id="{3B65B12C-1245-9049-11D3-89FCCF1FF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7" r:link="rId398"/>
        <a:stretch>
          <a:fillRect/>
        </a:stretch>
      </xdr:blipFill>
      <xdr:spPr>
        <a:xfrm>
          <a:off x="625475" y="2309590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2200</xdr:row>
      <xdr:rowOff>25401</xdr:rowOff>
    </xdr:from>
    <xdr:to>
      <xdr:col>2</xdr:col>
      <xdr:colOff>631825</xdr:colOff>
      <xdr:row>2209</xdr:row>
      <xdr:rowOff>241301</xdr:rowOff>
    </xdr:to>
    <xdr:pic>
      <xdr:nvPicPr>
        <xdr:cNvPr id="227" name="그림 226">
          <a:extLst>
            <a:ext uri="{FF2B5EF4-FFF2-40B4-BE49-F238E27FC236}">
              <a16:creationId xmlns:a16="http://schemas.microsoft.com/office/drawing/2014/main" xmlns="" id="{97DAA9A1-C48A-C20C-C083-51599329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9" r:link="rId400"/>
        <a:stretch>
          <a:fillRect/>
        </a:stretch>
      </xdr:blipFill>
      <xdr:spPr>
        <a:xfrm>
          <a:off x="625475" y="2321210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2211</xdr:row>
      <xdr:rowOff>25401</xdr:rowOff>
    </xdr:from>
    <xdr:to>
      <xdr:col>2</xdr:col>
      <xdr:colOff>631825</xdr:colOff>
      <xdr:row>2220</xdr:row>
      <xdr:rowOff>241301</xdr:rowOff>
    </xdr:to>
    <xdr:pic>
      <xdr:nvPicPr>
        <xdr:cNvPr id="229" name="그림 228">
          <a:extLst>
            <a:ext uri="{FF2B5EF4-FFF2-40B4-BE49-F238E27FC236}">
              <a16:creationId xmlns:a16="http://schemas.microsoft.com/office/drawing/2014/main" xmlns="" id="{0EAADF92-D44A-EB93-A646-3AE245F08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1" r:link="rId402"/>
        <a:stretch>
          <a:fillRect/>
        </a:stretch>
      </xdr:blipFill>
      <xdr:spPr>
        <a:xfrm>
          <a:off x="625475" y="2332831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2222</xdr:row>
      <xdr:rowOff>25401</xdr:rowOff>
    </xdr:from>
    <xdr:to>
      <xdr:col>2</xdr:col>
      <xdr:colOff>631825</xdr:colOff>
      <xdr:row>2231</xdr:row>
      <xdr:rowOff>241301</xdr:rowOff>
    </xdr:to>
    <xdr:pic>
      <xdr:nvPicPr>
        <xdr:cNvPr id="231" name="그림 230">
          <a:extLst>
            <a:ext uri="{FF2B5EF4-FFF2-40B4-BE49-F238E27FC236}">
              <a16:creationId xmlns:a16="http://schemas.microsoft.com/office/drawing/2014/main" xmlns="" id="{F45E2831-77F7-846C-F605-9E5D735E8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3" r:link="rId404"/>
        <a:stretch>
          <a:fillRect/>
        </a:stretch>
      </xdr:blipFill>
      <xdr:spPr>
        <a:xfrm>
          <a:off x="625475" y="2344451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2233</xdr:row>
      <xdr:rowOff>25401</xdr:rowOff>
    </xdr:from>
    <xdr:to>
      <xdr:col>2</xdr:col>
      <xdr:colOff>631825</xdr:colOff>
      <xdr:row>2242</xdr:row>
      <xdr:rowOff>241301</xdr:rowOff>
    </xdr:to>
    <xdr:pic>
      <xdr:nvPicPr>
        <xdr:cNvPr id="146" name="그림 145">
          <a:extLst>
            <a:ext uri="{FF2B5EF4-FFF2-40B4-BE49-F238E27FC236}">
              <a16:creationId xmlns:a16="http://schemas.microsoft.com/office/drawing/2014/main" xmlns="" id="{A0C2120E-7554-4D93-5B13-B8365FF5B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5" r:link="rId406"/>
        <a:stretch>
          <a:fillRect/>
        </a:stretch>
      </xdr:blipFill>
      <xdr:spPr>
        <a:xfrm>
          <a:off x="625475" y="2356072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2244</xdr:row>
      <xdr:rowOff>25401</xdr:rowOff>
    </xdr:from>
    <xdr:to>
      <xdr:col>2</xdr:col>
      <xdr:colOff>631825</xdr:colOff>
      <xdr:row>2253</xdr:row>
      <xdr:rowOff>241300</xdr:rowOff>
    </xdr:to>
    <xdr:pic>
      <xdr:nvPicPr>
        <xdr:cNvPr id="154" name="그림 153">
          <a:extLst>
            <a:ext uri="{FF2B5EF4-FFF2-40B4-BE49-F238E27FC236}">
              <a16:creationId xmlns:a16="http://schemas.microsoft.com/office/drawing/2014/main" xmlns="" id="{8B0AE3CE-A1A9-F41D-1A31-F18CBF92F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7" r:link="rId408"/>
        <a:stretch>
          <a:fillRect/>
        </a:stretch>
      </xdr:blipFill>
      <xdr:spPr>
        <a:xfrm>
          <a:off x="625475" y="2367692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2255</xdr:row>
      <xdr:rowOff>25401</xdr:rowOff>
    </xdr:from>
    <xdr:to>
      <xdr:col>2</xdr:col>
      <xdr:colOff>631825</xdr:colOff>
      <xdr:row>2264</xdr:row>
      <xdr:rowOff>241301</xdr:rowOff>
    </xdr:to>
    <xdr:pic>
      <xdr:nvPicPr>
        <xdr:cNvPr id="162" name="그림 161">
          <a:extLst>
            <a:ext uri="{FF2B5EF4-FFF2-40B4-BE49-F238E27FC236}">
              <a16:creationId xmlns:a16="http://schemas.microsoft.com/office/drawing/2014/main" xmlns="" id="{FB29D0DD-2B18-ACF7-F759-0E608DFE2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9" r:link="rId410"/>
        <a:stretch>
          <a:fillRect/>
        </a:stretch>
      </xdr:blipFill>
      <xdr:spPr>
        <a:xfrm>
          <a:off x="625475" y="2379313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2266</xdr:row>
      <xdr:rowOff>25401</xdr:rowOff>
    </xdr:from>
    <xdr:to>
      <xdr:col>2</xdr:col>
      <xdr:colOff>631825</xdr:colOff>
      <xdr:row>2275</xdr:row>
      <xdr:rowOff>241301</xdr:rowOff>
    </xdr:to>
    <xdr:pic>
      <xdr:nvPicPr>
        <xdr:cNvPr id="170" name="그림 169">
          <a:extLst>
            <a:ext uri="{FF2B5EF4-FFF2-40B4-BE49-F238E27FC236}">
              <a16:creationId xmlns:a16="http://schemas.microsoft.com/office/drawing/2014/main" xmlns="" id="{FDC63DAF-E76E-7C7C-A168-BC5E7649B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1" r:link="rId412"/>
        <a:stretch>
          <a:fillRect/>
        </a:stretch>
      </xdr:blipFill>
      <xdr:spPr>
        <a:xfrm>
          <a:off x="625475" y="2390933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2277</xdr:row>
      <xdr:rowOff>25401</xdr:rowOff>
    </xdr:from>
    <xdr:to>
      <xdr:col>2</xdr:col>
      <xdr:colOff>631825</xdr:colOff>
      <xdr:row>2286</xdr:row>
      <xdr:rowOff>241301</xdr:rowOff>
    </xdr:to>
    <xdr:pic>
      <xdr:nvPicPr>
        <xdr:cNvPr id="178" name="그림 177">
          <a:extLst>
            <a:ext uri="{FF2B5EF4-FFF2-40B4-BE49-F238E27FC236}">
              <a16:creationId xmlns:a16="http://schemas.microsoft.com/office/drawing/2014/main" xmlns="" id="{18A22E7C-1E41-841B-54B2-989D05936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3" r:link="rId414"/>
        <a:stretch>
          <a:fillRect/>
        </a:stretch>
      </xdr:blipFill>
      <xdr:spPr>
        <a:xfrm>
          <a:off x="625475" y="2402554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2288</xdr:row>
      <xdr:rowOff>25401</xdr:rowOff>
    </xdr:from>
    <xdr:to>
      <xdr:col>2</xdr:col>
      <xdr:colOff>631825</xdr:colOff>
      <xdr:row>2297</xdr:row>
      <xdr:rowOff>241301</xdr:rowOff>
    </xdr:to>
    <xdr:pic>
      <xdr:nvPicPr>
        <xdr:cNvPr id="150" name="그림 149">
          <a:extLst>
            <a:ext uri="{FF2B5EF4-FFF2-40B4-BE49-F238E27FC236}">
              <a16:creationId xmlns:a16="http://schemas.microsoft.com/office/drawing/2014/main" xmlns="" id="{AE1E275C-F7FD-4EB1-E060-49C20BC6D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5" r:link="rId416"/>
        <a:stretch>
          <a:fillRect/>
        </a:stretch>
      </xdr:blipFill>
      <xdr:spPr>
        <a:xfrm>
          <a:off x="625475" y="2414174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2299</xdr:row>
      <xdr:rowOff>25401</xdr:rowOff>
    </xdr:from>
    <xdr:to>
      <xdr:col>2</xdr:col>
      <xdr:colOff>631825</xdr:colOff>
      <xdr:row>2308</xdr:row>
      <xdr:rowOff>241301</xdr:rowOff>
    </xdr:to>
    <xdr:pic>
      <xdr:nvPicPr>
        <xdr:cNvPr id="166" name="그림 165">
          <a:extLst>
            <a:ext uri="{FF2B5EF4-FFF2-40B4-BE49-F238E27FC236}">
              <a16:creationId xmlns:a16="http://schemas.microsoft.com/office/drawing/2014/main" xmlns="" id="{D1F77ED1-01D5-7830-0D59-31FECD959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7" r:link="rId418"/>
        <a:stretch>
          <a:fillRect/>
        </a:stretch>
      </xdr:blipFill>
      <xdr:spPr>
        <a:xfrm>
          <a:off x="625475" y="2425795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2310</xdr:row>
      <xdr:rowOff>25401</xdr:rowOff>
    </xdr:from>
    <xdr:to>
      <xdr:col>2</xdr:col>
      <xdr:colOff>631825</xdr:colOff>
      <xdr:row>2319</xdr:row>
      <xdr:rowOff>241302</xdr:rowOff>
    </xdr:to>
    <xdr:pic>
      <xdr:nvPicPr>
        <xdr:cNvPr id="182" name="그림 181">
          <a:extLst>
            <a:ext uri="{FF2B5EF4-FFF2-40B4-BE49-F238E27FC236}">
              <a16:creationId xmlns:a16="http://schemas.microsoft.com/office/drawing/2014/main" xmlns="" id="{33122D84-EA98-B33F-22CC-7610F7A63B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9" r:link="rId420"/>
        <a:stretch>
          <a:fillRect/>
        </a:stretch>
      </xdr:blipFill>
      <xdr:spPr>
        <a:xfrm>
          <a:off x="625475" y="2437415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2321</xdr:row>
      <xdr:rowOff>25401</xdr:rowOff>
    </xdr:from>
    <xdr:to>
      <xdr:col>2</xdr:col>
      <xdr:colOff>631825</xdr:colOff>
      <xdr:row>2330</xdr:row>
      <xdr:rowOff>241301</xdr:rowOff>
    </xdr:to>
    <xdr:pic>
      <xdr:nvPicPr>
        <xdr:cNvPr id="190" name="그림 189">
          <a:extLst>
            <a:ext uri="{FF2B5EF4-FFF2-40B4-BE49-F238E27FC236}">
              <a16:creationId xmlns:a16="http://schemas.microsoft.com/office/drawing/2014/main" xmlns="" id="{9AA6CFDA-D04D-A55E-551D-A10F5CB27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1" r:link="rId422"/>
        <a:stretch>
          <a:fillRect/>
        </a:stretch>
      </xdr:blipFill>
      <xdr:spPr>
        <a:xfrm>
          <a:off x="625475" y="24490362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2332</xdr:row>
      <xdr:rowOff>25401</xdr:rowOff>
    </xdr:from>
    <xdr:to>
      <xdr:col>2</xdr:col>
      <xdr:colOff>631825</xdr:colOff>
      <xdr:row>2341</xdr:row>
      <xdr:rowOff>241301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xmlns="" id="{0FD8CB89-698F-2185-4A1A-4DB24711E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3" r:link="rId424"/>
        <a:stretch>
          <a:fillRect/>
        </a:stretch>
      </xdr:blipFill>
      <xdr:spPr>
        <a:xfrm>
          <a:off x="625475" y="246065676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2343</xdr:row>
      <xdr:rowOff>25400</xdr:rowOff>
    </xdr:from>
    <xdr:to>
      <xdr:col>2</xdr:col>
      <xdr:colOff>631825</xdr:colOff>
      <xdr:row>2355</xdr:row>
      <xdr:rowOff>246528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xmlns="" id="{A76DC926-685C-A6BF-FBAD-65FE4E74A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5" r:link="rId426"/>
        <a:stretch>
          <a:fillRect/>
        </a:stretch>
      </xdr:blipFill>
      <xdr:spPr>
        <a:xfrm>
          <a:off x="630518" y="255082488"/>
          <a:ext cx="1267572" cy="1296893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2357</xdr:row>
      <xdr:rowOff>25401</xdr:rowOff>
    </xdr:from>
    <xdr:to>
      <xdr:col>2</xdr:col>
      <xdr:colOff>631825</xdr:colOff>
      <xdr:row>2366</xdr:row>
      <xdr:rowOff>241301</xdr:rowOff>
    </xdr:to>
    <xdr:pic>
      <xdr:nvPicPr>
        <xdr:cNvPr id="214" name="그림 213">
          <a:extLst>
            <a:ext uri="{FF2B5EF4-FFF2-40B4-BE49-F238E27FC236}">
              <a16:creationId xmlns:a16="http://schemas.microsoft.com/office/drawing/2014/main" xmlns="" id="{8F172BE3-D60C-D825-5C02-B01E03413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7" r:link="rId428"/>
        <a:stretch>
          <a:fillRect/>
        </a:stretch>
      </xdr:blipFill>
      <xdr:spPr>
        <a:xfrm>
          <a:off x="625475" y="2486469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2368</xdr:row>
      <xdr:rowOff>25401</xdr:rowOff>
    </xdr:from>
    <xdr:to>
      <xdr:col>2</xdr:col>
      <xdr:colOff>631825</xdr:colOff>
      <xdr:row>2377</xdr:row>
      <xdr:rowOff>241301</xdr:rowOff>
    </xdr:to>
    <xdr:pic>
      <xdr:nvPicPr>
        <xdr:cNvPr id="218" name="그림 217">
          <a:extLst>
            <a:ext uri="{FF2B5EF4-FFF2-40B4-BE49-F238E27FC236}">
              <a16:creationId xmlns:a16="http://schemas.microsoft.com/office/drawing/2014/main" xmlns="" id="{BF06D2C8-45AE-4B0F-7DE6-9FEE88592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9" r:link="rId430"/>
        <a:stretch>
          <a:fillRect/>
        </a:stretch>
      </xdr:blipFill>
      <xdr:spPr>
        <a:xfrm>
          <a:off x="625475" y="2498090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2379</xdr:row>
      <xdr:rowOff>25401</xdr:rowOff>
    </xdr:from>
    <xdr:to>
      <xdr:col>2</xdr:col>
      <xdr:colOff>631825</xdr:colOff>
      <xdr:row>2388</xdr:row>
      <xdr:rowOff>241301</xdr:rowOff>
    </xdr:to>
    <xdr:pic>
      <xdr:nvPicPr>
        <xdr:cNvPr id="222" name="그림 221">
          <a:extLst>
            <a:ext uri="{FF2B5EF4-FFF2-40B4-BE49-F238E27FC236}">
              <a16:creationId xmlns:a16="http://schemas.microsoft.com/office/drawing/2014/main" xmlns="" id="{2188C726-EA27-4AD6-B4B7-814A0825A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1" r:link="rId432"/>
        <a:stretch>
          <a:fillRect/>
        </a:stretch>
      </xdr:blipFill>
      <xdr:spPr>
        <a:xfrm>
          <a:off x="625475" y="2509710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2390</xdr:row>
      <xdr:rowOff>25401</xdr:rowOff>
    </xdr:from>
    <xdr:to>
      <xdr:col>2</xdr:col>
      <xdr:colOff>631825</xdr:colOff>
      <xdr:row>2399</xdr:row>
      <xdr:rowOff>241301</xdr:rowOff>
    </xdr:to>
    <xdr:pic>
      <xdr:nvPicPr>
        <xdr:cNvPr id="158" name="그림 157">
          <a:extLst>
            <a:ext uri="{FF2B5EF4-FFF2-40B4-BE49-F238E27FC236}">
              <a16:creationId xmlns:a16="http://schemas.microsoft.com/office/drawing/2014/main" xmlns="" id="{869EF728-057C-E1F4-DAD8-4DE7B970D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3" r:link="rId434"/>
        <a:stretch>
          <a:fillRect/>
        </a:stretch>
      </xdr:blipFill>
      <xdr:spPr>
        <a:xfrm>
          <a:off x="625475" y="2521331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2401</xdr:row>
      <xdr:rowOff>25401</xdr:rowOff>
    </xdr:from>
    <xdr:to>
      <xdr:col>2</xdr:col>
      <xdr:colOff>631825</xdr:colOff>
      <xdr:row>2410</xdr:row>
      <xdr:rowOff>241301</xdr:rowOff>
    </xdr:to>
    <xdr:pic>
      <xdr:nvPicPr>
        <xdr:cNvPr id="186" name="그림 185">
          <a:extLst>
            <a:ext uri="{FF2B5EF4-FFF2-40B4-BE49-F238E27FC236}">
              <a16:creationId xmlns:a16="http://schemas.microsoft.com/office/drawing/2014/main" xmlns="" id="{824E97C7-1B13-86B2-F719-DE5B88474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5" r:link="rId436"/>
        <a:stretch>
          <a:fillRect/>
        </a:stretch>
      </xdr:blipFill>
      <xdr:spPr>
        <a:xfrm>
          <a:off x="625475" y="2532951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2419</xdr:row>
      <xdr:rowOff>25401</xdr:rowOff>
    </xdr:from>
    <xdr:to>
      <xdr:col>2</xdr:col>
      <xdr:colOff>631825</xdr:colOff>
      <xdr:row>2428</xdr:row>
      <xdr:rowOff>241301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xmlns="" id="{954C61EC-EE5A-F553-227D-B2E303DB1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7" r:link="rId438"/>
        <a:stretch>
          <a:fillRect/>
        </a:stretch>
      </xdr:blipFill>
      <xdr:spPr>
        <a:xfrm>
          <a:off x="625475" y="2544572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2430</xdr:row>
      <xdr:rowOff>25401</xdr:rowOff>
    </xdr:from>
    <xdr:to>
      <xdr:col>2</xdr:col>
      <xdr:colOff>631825</xdr:colOff>
      <xdr:row>2439</xdr:row>
      <xdr:rowOff>241301</xdr:rowOff>
    </xdr:to>
    <xdr:pic>
      <xdr:nvPicPr>
        <xdr:cNvPr id="216" name="그림 215">
          <a:extLst>
            <a:ext uri="{FF2B5EF4-FFF2-40B4-BE49-F238E27FC236}">
              <a16:creationId xmlns:a16="http://schemas.microsoft.com/office/drawing/2014/main" xmlns="" id="{22388683-3795-F0BE-79B3-D787E86CB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9" r:link="rId440"/>
        <a:stretch>
          <a:fillRect/>
        </a:stretch>
      </xdr:blipFill>
      <xdr:spPr>
        <a:xfrm>
          <a:off x="625475" y="2556192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2441</xdr:row>
      <xdr:rowOff>25401</xdr:rowOff>
    </xdr:from>
    <xdr:to>
      <xdr:col>2</xdr:col>
      <xdr:colOff>631825</xdr:colOff>
      <xdr:row>2450</xdr:row>
      <xdr:rowOff>241301</xdr:rowOff>
    </xdr:to>
    <xdr:pic>
      <xdr:nvPicPr>
        <xdr:cNvPr id="224" name="그림 223">
          <a:extLst>
            <a:ext uri="{FF2B5EF4-FFF2-40B4-BE49-F238E27FC236}">
              <a16:creationId xmlns:a16="http://schemas.microsoft.com/office/drawing/2014/main" xmlns="" id="{06740ECA-A066-98BC-5E9A-4D000FEE4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1" r:link="rId442"/>
        <a:stretch>
          <a:fillRect/>
        </a:stretch>
      </xdr:blipFill>
      <xdr:spPr>
        <a:xfrm>
          <a:off x="625475" y="2567813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2452</xdr:row>
      <xdr:rowOff>25401</xdr:rowOff>
    </xdr:from>
    <xdr:to>
      <xdr:col>2</xdr:col>
      <xdr:colOff>631825</xdr:colOff>
      <xdr:row>2461</xdr:row>
      <xdr:rowOff>241301</xdr:rowOff>
    </xdr:to>
    <xdr:pic>
      <xdr:nvPicPr>
        <xdr:cNvPr id="228" name="그림 227">
          <a:extLst>
            <a:ext uri="{FF2B5EF4-FFF2-40B4-BE49-F238E27FC236}">
              <a16:creationId xmlns:a16="http://schemas.microsoft.com/office/drawing/2014/main" xmlns="" id="{A6A117E7-0BA0-1C55-69DF-68B4BEEB8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3" r:link="rId444"/>
        <a:stretch>
          <a:fillRect/>
        </a:stretch>
      </xdr:blipFill>
      <xdr:spPr>
        <a:xfrm>
          <a:off x="625475" y="2579433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2463</xdr:row>
      <xdr:rowOff>25401</xdr:rowOff>
    </xdr:from>
    <xdr:to>
      <xdr:col>2</xdr:col>
      <xdr:colOff>631825</xdr:colOff>
      <xdr:row>2472</xdr:row>
      <xdr:rowOff>241300</xdr:rowOff>
    </xdr:to>
    <xdr:pic>
      <xdr:nvPicPr>
        <xdr:cNvPr id="232" name="그림 231">
          <a:extLst>
            <a:ext uri="{FF2B5EF4-FFF2-40B4-BE49-F238E27FC236}">
              <a16:creationId xmlns:a16="http://schemas.microsoft.com/office/drawing/2014/main" xmlns="" id="{64C93B49-4E58-BF91-E78E-560DE4B01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5" r:link="rId446"/>
        <a:stretch>
          <a:fillRect/>
        </a:stretch>
      </xdr:blipFill>
      <xdr:spPr>
        <a:xfrm>
          <a:off x="625475" y="2591054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2474</xdr:row>
      <xdr:rowOff>25401</xdr:rowOff>
    </xdr:from>
    <xdr:to>
      <xdr:col>2</xdr:col>
      <xdr:colOff>631825</xdr:colOff>
      <xdr:row>2483</xdr:row>
      <xdr:rowOff>241301</xdr:rowOff>
    </xdr:to>
    <xdr:pic>
      <xdr:nvPicPr>
        <xdr:cNvPr id="234" name="그림 233">
          <a:extLst>
            <a:ext uri="{FF2B5EF4-FFF2-40B4-BE49-F238E27FC236}">
              <a16:creationId xmlns:a16="http://schemas.microsoft.com/office/drawing/2014/main" xmlns="" id="{2AF163F2-D865-5B12-2423-E498AA26A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7" r:link="rId448"/>
        <a:stretch>
          <a:fillRect/>
        </a:stretch>
      </xdr:blipFill>
      <xdr:spPr>
        <a:xfrm>
          <a:off x="625475" y="2602674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2485</xdr:row>
      <xdr:rowOff>25401</xdr:rowOff>
    </xdr:from>
    <xdr:to>
      <xdr:col>2</xdr:col>
      <xdr:colOff>631825</xdr:colOff>
      <xdr:row>2494</xdr:row>
      <xdr:rowOff>241301</xdr:rowOff>
    </xdr:to>
    <xdr:pic>
      <xdr:nvPicPr>
        <xdr:cNvPr id="236" name="그림 235">
          <a:extLst>
            <a:ext uri="{FF2B5EF4-FFF2-40B4-BE49-F238E27FC236}">
              <a16:creationId xmlns:a16="http://schemas.microsoft.com/office/drawing/2014/main" xmlns="" id="{91FB7ED1-1DBA-850E-CAD0-C8E9646DA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9" r:link="rId450"/>
        <a:stretch>
          <a:fillRect/>
        </a:stretch>
      </xdr:blipFill>
      <xdr:spPr>
        <a:xfrm>
          <a:off x="625475" y="2614295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2496</xdr:row>
      <xdr:rowOff>25401</xdr:rowOff>
    </xdr:from>
    <xdr:to>
      <xdr:col>2</xdr:col>
      <xdr:colOff>631825</xdr:colOff>
      <xdr:row>2505</xdr:row>
      <xdr:rowOff>241301</xdr:rowOff>
    </xdr:to>
    <xdr:pic>
      <xdr:nvPicPr>
        <xdr:cNvPr id="238" name="그림 237">
          <a:extLst>
            <a:ext uri="{FF2B5EF4-FFF2-40B4-BE49-F238E27FC236}">
              <a16:creationId xmlns:a16="http://schemas.microsoft.com/office/drawing/2014/main" xmlns="" id="{8A95EACD-0B09-5817-3D7E-849203C8F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1" r:link="rId452"/>
        <a:stretch>
          <a:fillRect/>
        </a:stretch>
      </xdr:blipFill>
      <xdr:spPr>
        <a:xfrm>
          <a:off x="625475" y="2625915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2507</xdr:row>
      <xdr:rowOff>25401</xdr:rowOff>
    </xdr:from>
    <xdr:to>
      <xdr:col>2</xdr:col>
      <xdr:colOff>631825</xdr:colOff>
      <xdr:row>2516</xdr:row>
      <xdr:rowOff>241301</xdr:rowOff>
    </xdr:to>
    <xdr:pic>
      <xdr:nvPicPr>
        <xdr:cNvPr id="240" name="그림 239">
          <a:extLst>
            <a:ext uri="{FF2B5EF4-FFF2-40B4-BE49-F238E27FC236}">
              <a16:creationId xmlns:a16="http://schemas.microsoft.com/office/drawing/2014/main" xmlns="" id="{E243D57C-B35B-8542-5EF6-F42031D36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3" r:link="rId454"/>
        <a:stretch>
          <a:fillRect/>
        </a:stretch>
      </xdr:blipFill>
      <xdr:spPr>
        <a:xfrm>
          <a:off x="625475" y="2637536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2518</xdr:row>
      <xdr:rowOff>25401</xdr:rowOff>
    </xdr:from>
    <xdr:to>
      <xdr:col>2</xdr:col>
      <xdr:colOff>631825</xdr:colOff>
      <xdr:row>2527</xdr:row>
      <xdr:rowOff>241300</xdr:rowOff>
    </xdr:to>
    <xdr:pic>
      <xdr:nvPicPr>
        <xdr:cNvPr id="242" name="그림 241">
          <a:extLst>
            <a:ext uri="{FF2B5EF4-FFF2-40B4-BE49-F238E27FC236}">
              <a16:creationId xmlns:a16="http://schemas.microsoft.com/office/drawing/2014/main" xmlns="" id="{146499A1-EAE9-88BC-69B9-E1D95F2918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5" r:link="rId456"/>
        <a:stretch>
          <a:fillRect/>
        </a:stretch>
      </xdr:blipFill>
      <xdr:spPr>
        <a:xfrm>
          <a:off x="625475" y="26491565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2529</xdr:row>
      <xdr:rowOff>25401</xdr:rowOff>
    </xdr:from>
    <xdr:to>
      <xdr:col>2</xdr:col>
      <xdr:colOff>631825</xdr:colOff>
      <xdr:row>2538</xdr:row>
      <xdr:rowOff>241302</xdr:rowOff>
    </xdr:to>
    <xdr:pic>
      <xdr:nvPicPr>
        <xdr:cNvPr id="244" name="그림 243">
          <a:extLst>
            <a:ext uri="{FF2B5EF4-FFF2-40B4-BE49-F238E27FC236}">
              <a16:creationId xmlns:a16="http://schemas.microsoft.com/office/drawing/2014/main" xmlns="" id="{F605BDCA-33D2-05CA-7D01-201EBDE50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7" r:link="rId458"/>
        <a:stretch>
          <a:fillRect/>
        </a:stretch>
      </xdr:blipFill>
      <xdr:spPr>
        <a:xfrm>
          <a:off x="625475" y="266077701"/>
          <a:ext cx="1263650" cy="987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2540</xdr:row>
      <xdr:rowOff>25401</xdr:rowOff>
    </xdr:from>
    <xdr:to>
      <xdr:col>2</xdr:col>
      <xdr:colOff>631825</xdr:colOff>
      <xdr:row>2549</xdr:row>
      <xdr:rowOff>241301</xdr:rowOff>
    </xdr:to>
    <xdr:pic>
      <xdr:nvPicPr>
        <xdr:cNvPr id="246" name="그림 245">
          <a:extLst>
            <a:ext uri="{FF2B5EF4-FFF2-40B4-BE49-F238E27FC236}">
              <a16:creationId xmlns:a16="http://schemas.microsoft.com/office/drawing/2014/main" xmlns="" id="{FC3C7033-0C20-3CF9-1F9A-090368541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9" r:link="rId460"/>
        <a:stretch>
          <a:fillRect/>
        </a:stretch>
      </xdr:blipFill>
      <xdr:spPr>
        <a:xfrm>
          <a:off x="625475" y="267239751"/>
          <a:ext cx="1263650" cy="987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631"/>
  <sheetViews>
    <sheetView view="pageBreakPreview" zoomScale="85" zoomScaleNormal="85" zoomScaleSheetLayoutView="85" workbookViewId="0">
      <pane ySplit="1" topLeftCell="A2496" activePane="bottomLeft" state="frozen"/>
      <selection activeCell="F23" sqref="F23"/>
      <selection pane="bottomLeft" sqref="A1:L1"/>
    </sheetView>
  </sheetViews>
  <sheetFormatPr defaultRowHeight="16.5" x14ac:dyDescent="0.3"/>
  <cols>
    <col min="1" max="1" width="7.875" bestFit="1" customWidth="1"/>
    <col min="2" max="2" width="8.625" customWidth="1"/>
    <col min="3" max="3" width="8.625" style="110" customWidth="1"/>
    <col min="4" max="4" width="8.625" customWidth="1"/>
    <col min="5" max="5" width="14.25" style="13" bestFit="1" customWidth="1"/>
    <col min="6" max="6" width="8.625" customWidth="1"/>
    <col min="7" max="12" width="8.625" style="15" customWidth="1"/>
    <col min="13" max="13" width="1" customWidth="1"/>
    <col min="14" max="14" width="9.375" style="34" bestFit="1" customWidth="1"/>
    <col min="15" max="15" width="6.625" customWidth="1"/>
    <col min="16" max="16" width="1.375" customWidth="1"/>
    <col min="17" max="17" width="8.625" customWidth="1"/>
    <col min="18" max="18" width="6.25" customWidth="1"/>
    <col min="19" max="19" width="0.875" customWidth="1"/>
    <col min="20" max="20" width="8.625" bestFit="1" customWidth="1"/>
    <col min="21" max="22" width="5.5" style="17" customWidth="1"/>
    <col min="23" max="23" width="5.375" customWidth="1"/>
    <col min="24" max="24" width="6.25" customWidth="1"/>
    <col min="26" max="26" width="10.5" customWidth="1"/>
    <col min="27" max="27" width="9.125" customWidth="1"/>
  </cols>
  <sheetData>
    <row r="1" spans="1:26" ht="46.5" customHeight="1" thickBot="1" x14ac:dyDescent="0.35">
      <c r="A1" s="189" t="s">
        <v>180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55"/>
      <c r="N1" s="52" t="s">
        <v>45</v>
      </c>
      <c r="O1" s="54">
        <f>SUM(R:R,X:X)-SUMIF(Q:Q,"*덕트*",R:R)-SUMIF(Q:Q,"*오픈*",R:R)-SUMIF(Q:Q,"*차열재*",R:R)-SUMIF(Q:Q,"*댐퍼*",R:R)</f>
        <v>1668.3000000000011</v>
      </c>
      <c r="P1" s="53"/>
      <c r="Q1" s="52" t="s">
        <v>41</v>
      </c>
      <c r="R1" s="52" t="s">
        <v>42</v>
      </c>
      <c r="T1" s="56"/>
      <c r="U1" s="56"/>
      <c r="V1" s="56"/>
      <c r="W1" s="56"/>
      <c r="X1" s="56"/>
      <c r="Z1" s="57" t="s">
        <v>78</v>
      </c>
    </row>
    <row r="2" spans="1:26" ht="6.95" customHeight="1" x14ac:dyDescent="0.3">
      <c r="A2" s="154">
        <v>801</v>
      </c>
      <c r="B2" s="155"/>
      <c r="C2" s="156"/>
      <c r="D2" s="161" t="s">
        <v>39</v>
      </c>
      <c r="E2" s="162" t="s">
        <v>186</v>
      </c>
      <c r="F2" s="163" t="s">
        <v>40</v>
      </c>
      <c r="G2" s="164">
        <v>50</v>
      </c>
      <c r="H2" s="165">
        <v>0.5</v>
      </c>
      <c r="I2" s="164"/>
      <c r="J2" s="165"/>
      <c r="K2" s="164"/>
      <c r="L2" s="165"/>
      <c r="M2" s="6"/>
      <c r="N2" s="32"/>
      <c r="Q2" s="10" t="str">
        <f>+CONCATENATE(E2,G2)</f>
        <v>금속관벽체50</v>
      </c>
      <c r="R2" s="10">
        <f>+H2</f>
        <v>0.5</v>
      </c>
      <c r="S2" s="11"/>
      <c r="T2" s="10" t="str">
        <f>+E2</f>
        <v>금속관벽체</v>
      </c>
      <c r="U2" s="19" t="str">
        <f>IFERROR(LEFT(G2,FIND("*",G2)-1),"-")</f>
        <v>-</v>
      </c>
      <c r="V2" s="19" t="str">
        <f>IFERROR(RIGHT(G2,LEN(G2)-FIND("*",G2)),"-")</f>
        <v>-</v>
      </c>
      <c r="W2" s="20" t="str">
        <f>IFERROR((U2+V2)*2/1000,"-")</f>
        <v>-</v>
      </c>
      <c r="X2" s="20" t="str">
        <f>IFERROR(W2*H2,"-")</f>
        <v>-</v>
      </c>
      <c r="Z2" s="85">
        <v>45172</v>
      </c>
    </row>
    <row r="3" spans="1:26" ht="6.95" customHeight="1" x14ac:dyDescent="0.3">
      <c r="A3" s="154"/>
      <c r="B3" s="157"/>
      <c r="C3" s="158"/>
      <c r="D3" s="161"/>
      <c r="E3" s="162"/>
      <c r="F3" s="163"/>
      <c r="G3" s="164"/>
      <c r="H3" s="165"/>
      <c r="I3" s="164"/>
      <c r="J3" s="165"/>
      <c r="K3" s="164"/>
      <c r="L3" s="165"/>
      <c r="M3" s="6"/>
      <c r="N3" s="32"/>
      <c r="Q3" s="10" t="str">
        <f>+CONCATENATE(E2,I2)</f>
        <v>금속관벽체</v>
      </c>
      <c r="R3" s="10">
        <f>+J2</f>
        <v>0</v>
      </c>
      <c r="S3" s="11"/>
      <c r="T3" s="10" t="str">
        <f>+E2</f>
        <v>금속관벽체</v>
      </c>
      <c r="U3" s="19" t="str">
        <f>IFERROR(LEFT(I2,FIND("*",I2)-1),"-")</f>
        <v>-</v>
      </c>
      <c r="V3" s="19" t="str">
        <f>IFERROR(RIGHT(I2,LEN(I2)-FIND("*",I2)),"-")</f>
        <v>-</v>
      </c>
      <c r="W3" s="20" t="str">
        <f t="shared" ref="W3:W10" si="0">IFERROR((U3+V3)*2/1000,"-")</f>
        <v>-</v>
      </c>
      <c r="X3" s="20" t="str">
        <f>IFERROR(W3*J2,"-")</f>
        <v>-</v>
      </c>
      <c r="Z3" s="85">
        <v>45172</v>
      </c>
    </row>
    <row r="4" spans="1:26" ht="6.95" customHeight="1" x14ac:dyDescent="0.3">
      <c r="A4" s="154"/>
      <c r="B4" s="157"/>
      <c r="C4" s="158"/>
      <c r="D4" s="161"/>
      <c r="E4" s="162"/>
      <c r="F4" s="163"/>
      <c r="G4" s="164"/>
      <c r="H4" s="165"/>
      <c r="I4" s="164"/>
      <c r="J4" s="165"/>
      <c r="K4" s="164"/>
      <c r="L4" s="165"/>
      <c r="M4" s="6"/>
      <c r="N4" s="32"/>
      <c r="Q4" s="10" t="str">
        <f>+CONCATENATE(E2,K2)</f>
        <v>금속관벽체</v>
      </c>
      <c r="R4" s="10">
        <f>+L2</f>
        <v>0</v>
      </c>
      <c r="S4" s="11"/>
      <c r="T4" s="10" t="str">
        <f>+E2</f>
        <v>금속관벽체</v>
      </c>
      <c r="U4" s="19" t="str">
        <f>IFERROR(LEFT(K2,FIND("*",K2)-1),"-")</f>
        <v>-</v>
      </c>
      <c r="V4" s="19" t="str">
        <f>IFERROR(RIGHT(K2,LEN(K2)-FIND("*",K2)),"-")</f>
        <v>-</v>
      </c>
      <c r="W4" s="20" t="str">
        <f t="shared" si="0"/>
        <v>-</v>
      </c>
      <c r="X4" s="20" t="str">
        <f>IFERROR(W4*L2,"-")</f>
        <v>-</v>
      </c>
      <c r="Z4" s="85">
        <v>45172</v>
      </c>
    </row>
    <row r="5" spans="1:26" ht="6.95" customHeight="1" x14ac:dyDescent="0.3">
      <c r="A5" s="8"/>
      <c r="B5" s="157"/>
      <c r="C5" s="158"/>
      <c r="D5" s="161" t="s">
        <v>39</v>
      </c>
      <c r="E5" s="162"/>
      <c r="F5" s="163" t="s">
        <v>40</v>
      </c>
      <c r="G5" s="164"/>
      <c r="H5" s="165"/>
      <c r="I5" s="164"/>
      <c r="J5" s="165"/>
      <c r="K5" s="164"/>
      <c r="L5" s="165"/>
      <c r="M5" s="6"/>
      <c r="N5" s="32"/>
      <c r="Q5" s="10" t="str">
        <f>+CONCATENATE(E5,G5)</f>
        <v/>
      </c>
      <c r="R5" s="10">
        <f>+H5</f>
        <v>0</v>
      </c>
      <c r="S5" s="11"/>
      <c r="T5" s="10">
        <f>+E5</f>
        <v>0</v>
      </c>
      <c r="U5" s="19" t="str">
        <f t="shared" ref="U5:U8" si="1">IFERROR(LEFT(G5,FIND("*",G5)-1),"-")</f>
        <v>-</v>
      </c>
      <c r="V5" s="19" t="str">
        <f t="shared" ref="V5:V8" si="2">IFERROR(RIGHT(G5,LEN(G5)-FIND("*",G5)),"-")</f>
        <v>-</v>
      </c>
      <c r="W5" s="20" t="str">
        <f t="shared" si="0"/>
        <v>-</v>
      </c>
      <c r="X5" s="20" t="str">
        <f>IFERROR(W5*H5,"-")</f>
        <v>-</v>
      </c>
      <c r="Z5" s="85">
        <v>45172</v>
      </c>
    </row>
    <row r="6" spans="1:26" ht="6.95" customHeight="1" x14ac:dyDescent="0.3">
      <c r="A6" s="5"/>
      <c r="B6" s="157"/>
      <c r="C6" s="158"/>
      <c r="D6" s="161"/>
      <c r="E6" s="162"/>
      <c r="F6" s="163"/>
      <c r="G6" s="164"/>
      <c r="H6" s="165"/>
      <c r="I6" s="164"/>
      <c r="J6" s="165"/>
      <c r="K6" s="164"/>
      <c r="L6" s="165"/>
      <c r="M6" s="6"/>
      <c r="N6" s="32"/>
      <c r="Q6" s="10" t="str">
        <f>+CONCATENATE(E5,I5)</f>
        <v/>
      </c>
      <c r="R6" s="10">
        <f>+J5</f>
        <v>0</v>
      </c>
      <c r="S6" s="11"/>
      <c r="T6" s="10">
        <f>+E5</f>
        <v>0</v>
      </c>
      <c r="U6" s="19" t="str">
        <f>IFERROR(LEFT(I5,FIND("*",I5)-1),"-")</f>
        <v>-</v>
      </c>
      <c r="V6" s="19" t="str">
        <f>IFERROR(RIGHT(I5,LEN(I5)-FIND("*",I5)),"-")</f>
        <v>-</v>
      </c>
      <c r="W6" s="20" t="str">
        <f t="shared" si="0"/>
        <v>-</v>
      </c>
      <c r="X6" s="20" t="str">
        <f>IFERROR(W6*J5,"-")</f>
        <v>-</v>
      </c>
      <c r="Z6" s="85">
        <v>45172</v>
      </c>
    </row>
    <row r="7" spans="1:26" ht="6.95" customHeight="1" x14ac:dyDescent="0.3">
      <c r="A7" s="5"/>
      <c r="B7" s="157"/>
      <c r="C7" s="158"/>
      <c r="D7" s="161"/>
      <c r="E7" s="162"/>
      <c r="F7" s="163"/>
      <c r="G7" s="164"/>
      <c r="H7" s="165"/>
      <c r="I7" s="164"/>
      <c r="J7" s="165"/>
      <c r="K7" s="164"/>
      <c r="L7" s="165"/>
      <c r="M7" s="6"/>
      <c r="N7" s="32"/>
      <c r="Q7" s="10" t="str">
        <f>+CONCATENATE(E5,K5)</f>
        <v/>
      </c>
      <c r="R7" s="10">
        <f>+L5</f>
        <v>0</v>
      </c>
      <c r="S7" s="11"/>
      <c r="T7" s="10">
        <f>+E5</f>
        <v>0</v>
      </c>
      <c r="U7" s="19" t="str">
        <f>IFERROR(LEFT(K5,FIND("*",K5)-1),"-")</f>
        <v>-</v>
      </c>
      <c r="V7" s="19" t="str">
        <f>IFERROR(RIGHT(K5,LEN(K5)-FIND("*",K5)),"-")</f>
        <v>-</v>
      </c>
      <c r="W7" s="20" t="str">
        <f t="shared" si="0"/>
        <v>-</v>
      </c>
      <c r="X7" s="20" t="str">
        <f>IFERROR(W7*L5,"-")</f>
        <v>-</v>
      </c>
      <c r="Z7" s="85">
        <v>45172</v>
      </c>
    </row>
    <row r="8" spans="1:26" ht="6.95" customHeight="1" x14ac:dyDescent="0.3">
      <c r="A8" s="8"/>
      <c r="B8" s="157"/>
      <c r="C8" s="158"/>
      <c r="D8" s="161" t="s">
        <v>39</v>
      </c>
      <c r="E8" s="162"/>
      <c r="F8" s="163" t="s">
        <v>40</v>
      </c>
      <c r="G8" s="164"/>
      <c r="H8" s="165"/>
      <c r="I8" s="164"/>
      <c r="J8" s="165"/>
      <c r="K8" s="164"/>
      <c r="L8" s="165"/>
      <c r="M8" s="6"/>
      <c r="N8" s="32"/>
      <c r="Q8" s="10" t="str">
        <f>+CONCATENATE(E8,G8)</f>
        <v/>
      </c>
      <c r="R8" s="10">
        <f>+H8</f>
        <v>0</v>
      </c>
      <c r="S8" s="11"/>
      <c r="T8" s="10">
        <f>+E8</f>
        <v>0</v>
      </c>
      <c r="U8" s="19" t="str">
        <f t="shared" si="1"/>
        <v>-</v>
      </c>
      <c r="V8" s="19" t="str">
        <f t="shared" si="2"/>
        <v>-</v>
      </c>
      <c r="W8" s="20" t="str">
        <f t="shared" si="0"/>
        <v>-</v>
      </c>
      <c r="X8" s="20" t="str">
        <f>IFERROR(W8*H8,"-")</f>
        <v>-</v>
      </c>
      <c r="Z8" s="85">
        <v>45172</v>
      </c>
    </row>
    <row r="9" spans="1:26" ht="6.95" customHeight="1" x14ac:dyDescent="0.3">
      <c r="A9" s="5"/>
      <c r="B9" s="157"/>
      <c r="C9" s="158"/>
      <c r="D9" s="161"/>
      <c r="E9" s="162"/>
      <c r="F9" s="163"/>
      <c r="G9" s="164"/>
      <c r="H9" s="165"/>
      <c r="I9" s="164"/>
      <c r="J9" s="165"/>
      <c r="K9" s="164"/>
      <c r="L9" s="165"/>
      <c r="M9" s="6"/>
      <c r="N9" s="32"/>
      <c r="Q9" s="10" t="str">
        <f>+CONCATENATE(E8,I8)</f>
        <v/>
      </c>
      <c r="R9" s="10">
        <f>+J8</f>
        <v>0</v>
      </c>
      <c r="S9" s="11"/>
      <c r="T9" s="10">
        <f>+E8</f>
        <v>0</v>
      </c>
      <c r="U9" s="19" t="str">
        <f>IFERROR(LEFT(I8,FIND("*",I8)-1),"-")</f>
        <v>-</v>
      </c>
      <c r="V9" s="19" t="str">
        <f>IFERROR(RIGHT(I8,LEN(I8)-FIND("*",I8)),"-")</f>
        <v>-</v>
      </c>
      <c r="W9" s="20" t="str">
        <f t="shared" si="0"/>
        <v>-</v>
      </c>
      <c r="X9" s="20" t="str">
        <f t="shared" ref="X9" si="3">IFERROR(W9*J8,"-")</f>
        <v>-</v>
      </c>
      <c r="Z9" s="85">
        <v>45172</v>
      </c>
    </row>
    <row r="10" spans="1:26" ht="6.95" customHeight="1" x14ac:dyDescent="0.3">
      <c r="A10" s="5"/>
      <c r="B10" s="157"/>
      <c r="C10" s="158"/>
      <c r="D10" s="161"/>
      <c r="E10" s="162"/>
      <c r="F10" s="163"/>
      <c r="G10" s="164"/>
      <c r="H10" s="165"/>
      <c r="I10" s="164"/>
      <c r="J10" s="165"/>
      <c r="K10" s="164"/>
      <c r="L10" s="165"/>
      <c r="M10" s="6"/>
      <c r="N10" s="32"/>
      <c r="Q10" s="10" t="str">
        <f>+CONCATENATE(E8,K8)</f>
        <v/>
      </c>
      <c r="R10" s="10">
        <f>+L8</f>
        <v>0</v>
      </c>
      <c r="S10" s="11"/>
      <c r="T10" s="10">
        <f>+E8</f>
        <v>0</v>
      </c>
      <c r="U10" s="19" t="str">
        <f>IFERROR(LEFT(K8,FIND("*",K8)-1),"-")</f>
        <v>-</v>
      </c>
      <c r="V10" s="19" t="str">
        <f>IFERROR(RIGHT(K8,LEN(K8)-FIND("*",K8)),"-")</f>
        <v>-</v>
      </c>
      <c r="W10" s="20" t="str">
        <f t="shared" si="0"/>
        <v>-</v>
      </c>
      <c r="X10" s="20" t="str">
        <f>IFERROR(W10*L8,"-")</f>
        <v>-</v>
      </c>
      <c r="Z10" s="85">
        <v>45172</v>
      </c>
    </row>
    <row r="11" spans="1:26" ht="21" customHeight="1" thickBot="1" x14ac:dyDescent="0.35">
      <c r="A11" s="5"/>
      <c r="B11" s="159"/>
      <c r="C11" s="160"/>
      <c r="D11" s="166" t="s">
        <v>43</v>
      </c>
      <c r="E11" s="167"/>
      <c r="F11" s="167"/>
      <c r="G11" s="168" t="s">
        <v>185</v>
      </c>
      <c r="H11" s="168"/>
      <c r="I11" s="168"/>
      <c r="J11" s="168"/>
      <c r="K11" s="168"/>
      <c r="L11" s="168"/>
      <c r="M11" s="7"/>
      <c r="N11" s="33"/>
      <c r="Z11" s="85">
        <v>45172</v>
      </c>
    </row>
    <row r="12" spans="1:26" ht="9.9499999999999993" customHeight="1" thickBot="1" x14ac:dyDescent="0.35">
      <c r="B12" s="9"/>
      <c r="C12" s="109">
        <v>801</v>
      </c>
      <c r="D12" s="51"/>
      <c r="E12" s="12"/>
      <c r="F12" s="51"/>
      <c r="G12" s="14"/>
      <c r="H12" s="14"/>
      <c r="I12" s="14"/>
      <c r="J12" s="14"/>
      <c r="K12" s="14"/>
      <c r="L12" s="14"/>
      <c r="M12" s="9"/>
      <c r="N12" s="32"/>
      <c r="U12" s="18"/>
      <c r="V12" s="18"/>
      <c r="Z12" s="85">
        <v>45172</v>
      </c>
    </row>
    <row r="13" spans="1:26" ht="6.95" customHeight="1" x14ac:dyDescent="0.3">
      <c r="A13" s="154">
        <f>+A2+1</f>
        <v>802</v>
      </c>
      <c r="B13" s="155"/>
      <c r="C13" s="156"/>
      <c r="D13" s="161" t="s">
        <v>39</v>
      </c>
      <c r="E13" s="162" t="s">
        <v>186</v>
      </c>
      <c r="F13" s="163" t="s">
        <v>40</v>
      </c>
      <c r="G13" s="164">
        <v>50</v>
      </c>
      <c r="H13" s="165">
        <v>1</v>
      </c>
      <c r="I13" s="164"/>
      <c r="J13" s="165"/>
      <c r="K13" s="164"/>
      <c r="L13" s="165"/>
      <c r="M13" s="6"/>
      <c r="N13" s="32"/>
      <c r="Q13" s="10" t="str">
        <f>+CONCATENATE(E13,G13)</f>
        <v>금속관벽체50</v>
      </c>
      <c r="R13" s="10">
        <f>+H13</f>
        <v>1</v>
      </c>
      <c r="S13" s="11"/>
      <c r="T13" s="10" t="str">
        <f>+E13</f>
        <v>금속관벽체</v>
      </c>
      <c r="U13" s="19" t="str">
        <f>IFERROR(LEFT(G13,FIND("*",G13)-1),"-")</f>
        <v>-</v>
      </c>
      <c r="V13" s="19" t="str">
        <f>IFERROR(RIGHT(G13,LEN(G13)-FIND("*",G13)),"-")</f>
        <v>-</v>
      </c>
      <c r="W13" s="20" t="str">
        <f>IFERROR((U13+V13)*2/1000,"-")</f>
        <v>-</v>
      </c>
      <c r="X13" s="20" t="str">
        <f>IFERROR(W13*H13,"-")</f>
        <v>-</v>
      </c>
      <c r="Z13" s="85">
        <v>45172</v>
      </c>
    </row>
    <row r="14" spans="1:26" ht="6.95" customHeight="1" x14ac:dyDescent="0.3">
      <c r="A14" s="154"/>
      <c r="B14" s="157"/>
      <c r="C14" s="158"/>
      <c r="D14" s="161"/>
      <c r="E14" s="162"/>
      <c r="F14" s="163"/>
      <c r="G14" s="164"/>
      <c r="H14" s="165"/>
      <c r="I14" s="164"/>
      <c r="J14" s="165"/>
      <c r="K14" s="164"/>
      <c r="L14" s="165"/>
      <c r="M14" s="6"/>
      <c r="N14" s="32"/>
      <c r="Q14" s="10" t="str">
        <f>+CONCATENATE(E13,I13)</f>
        <v>금속관벽체</v>
      </c>
      <c r="R14" s="10">
        <f>+J13</f>
        <v>0</v>
      </c>
      <c r="S14" s="11"/>
      <c r="T14" s="10" t="str">
        <f>+E13</f>
        <v>금속관벽체</v>
      </c>
      <c r="U14" s="19" t="str">
        <f>IFERROR(LEFT(I13,FIND("*",I13)-1),"-")</f>
        <v>-</v>
      </c>
      <c r="V14" s="19" t="str">
        <f>IFERROR(RIGHT(I13,LEN(I13)-FIND("*",I13)),"-")</f>
        <v>-</v>
      </c>
      <c r="W14" s="20" t="str">
        <f t="shared" ref="W14:W21" si="4">IFERROR((U14+V14)*2/1000,"-")</f>
        <v>-</v>
      </c>
      <c r="X14" s="20" t="str">
        <f>IFERROR(W14*J13,"-")</f>
        <v>-</v>
      </c>
      <c r="Z14" s="85">
        <v>45172</v>
      </c>
    </row>
    <row r="15" spans="1:26" ht="6.95" customHeight="1" x14ac:dyDescent="0.3">
      <c r="A15" s="154"/>
      <c r="B15" s="157"/>
      <c r="C15" s="158"/>
      <c r="D15" s="161"/>
      <c r="E15" s="162"/>
      <c r="F15" s="163"/>
      <c r="G15" s="164"/>
      <c r="H15" s="165"/>
      <c r="I15" s="164"/>
      <c r="J15" s="165"/>
      <c r="K15" s="164"/>
      <c r="L15" s="165"/>
      <c r="M15" s="6"/>
      <c r="N15" s="32"/>
      <c r="Q15" s="10" t="str">
        <f>+CONCATENATE(E13,K13)</f>
        <v>금속관벽체</v>
      </c>
      <c r="R15" s="10">
        <f>+L13</f>
        <v>0</v>
      </c>
      <c r="S15" s="11"/>
      <c r="T15" s="10" t="str">
        <f>+E13</f>
        <v>금속관벽체</v>
      </c>
      <c r="U15" s="19" t="str">
        <f>IFERROR(LEFT(K13,FIND("*",K13)-1),"-")</f>
        <v>-</v>
      </c>
      <c r="V15" s="19" t="str">
        <f>IFERROR(RIGHT(K13,LEN(K13)-FIND("*",K13)),"-")</f>
        <v>-</v>
      </c>
      <c r="W15" s="20" t="str">
        <f t="shared" si="4"/>
        <v>-</v>
      </c>
      <c r="X15" s="20" t="str">
        <f>IFERROR(W15*L13,"-")</f>
        <v>-</v>
      </c>
      <c r="Z15" s="85">
        <v>45172</v>
      </c>
    </row>
    <row r="16" spans="1:26" ht="6.95" customHeight="1" x14ac:dyDescent="0.3">
      <c r="A16" s="8"/>
      <c r="B16" s="157"/>
      <c r="C16" s="158"/>
      <c r="D16" s="161" t="s">
        <v>39</v>
      </c>
      <c r="E16" s="162"/>
      <c r="F16" s="163" t="s">
        <v>40</v>
      </c>
      <c r="G16" s="164"/>
      <c r="H16" s="165"/>
      <c r="I16" s="164"/>
      <c r="J16" s="165"/>
      <c r="K16" s="164"/>
      <c r="L16" s="165"/>
      <c r="M16" s="6"/>
      <c r="N16" s="32"/>
      <c r="Q16" s="10" t="str">
        <f>+CONCATENATE(E16,G16)</f>
        <v/>
      </c>
      <c r="R16" s="10">
        <f>+H16</f>
        <v>0</v>
      </c>
      <c r="S16" s="11"/>
      <c r="T16" s="10">
        <f>+E16</f>
        <v>0</v>
      </c>
      <c r="U16" s="19" t="str">
        <f t="shared" ref="U16" si="5">IFERROR(LEFT(G16,FIND("*",G16)-1),"-")</f>
        <v>-</v>
      </c>
      <c r="V16" s="19" t="str">
        <f t="shared" ref="V16" si="6">IFERROR(RIGHT(G16,LEN(G16)-FIND("*",G16)),"-")</f>
        <v>-</v>
      </c>
      <c r="W16" s="20" t="str">
        <f t="shared" si="4"/>
        <v>-</v>
      </c>
      <c r="X16" s="20" t="str">
        <f>IFERROR(W16*H16,"-")</f>
        <v>-</v>
      </c>
      <c r="Z16" s="85">
        <v>45172</v>
      </c>
    </row>
    <row r="17" spans="1:26" ht="6.95" customHeight="1" x14ac:dyDescent="0.3">
      <c r="A17" s="5"/>
      <c r="B17" s="157"/>
      <c r="C17" s="158"/>
      <c r="D17" s="161"/>
      <c r="E17" s="162"/>
      <c r="F17" s="163"/>
      <c r="G17" s="164"/>
      <c r="H17" s="165"/>
      <c r="I17" s="164"/>
      <c r="J17" s="165"/>
      <c r="K17" s="164"/>
      <c r="L17" s="165"/>
      <c r="M17" s="6"/>
      <c r="N17" s="32"/>
      <c r="Q17" s="10" t="str">
        <f>+CONCATENATE(E16,I16)</f>
        <v/>
      </c>
      <c r="R17" s="10">
        <f>+J16</f>
        <v>0</v>
      </c>
      <c r="S17" s="11"/>
      <c r="T17" s="10">
        <f>+E16</f>
        <v>0</v>
      </c>
      <c r="U17" s="19" t="str">
        <f>IFERROR(LEFT(I16,FIND("*",I16)-1),"-")</f>
        <v>-</v>
      </c>
      <c r="V17" s="19" t="str">
        <f>IFERROR(RIGHT(I16,LEN(I16)-FIND("*",I16)),"-")</f>
        <v>-</v>
      </c>
      <c r="W17" s="20" t="str">
        <f t="shared" si="4"/>
        <v>-</v>
      </c>
      <c r="X17" s="20" t="str">
        <f>IFERROR(W17*J16,"-")</f>
        <v>-</v>
      </c>
      <c r="Z17" s="85">
        <v>45172</v>
      </c>
    </row>
    <row r="18" spans="1:26" ht="6.95" customHeight="1" x14ac:dyDescent="0.3">
      <c r="A18" s="5"/>
      <c r="B18" s="157"/>
      <c r="C18" s="158"/>
      <c r="D18" s="161"/>
      <c r="E18" s="162"/>
      <c r="F18" s="163"/>
      <c r="G18" s="164"/>
      <c r="H18" s="165"/>
      <c r="I18" s="164"/>
      <c r="J18" s="165"/>
      <c r="K18" s="164"/>
      <c r="L18" s="165"/>
      <c r="M18" s="6"/>
      <c r="N18" s="32"/>
      <c r="Q18" s="10" t="str">
        <f>+CONCATENATE(E16,K16)</f>
        <v/>
      </c>
      <c r="R18" s="10">
        <f>+L16</f>
        <v>0</v>
      </c>
      <c r="S18" s="11"/>
      <c r="T18" s="10">
        <f>+E16</f>
        <v>0</v>
      </c>
      <c r="U18" s="19" t="str">
        <f>IFERROR(LEFT(K16,FIND("*",K16)-1),"-")</f>
        <v>-</v>
      </c>
      <c r="V18" s="19" t="str">
        <f>IFERROR(RIGHT(K16,LEN(K16)-FIND("*",K16)),"-")</f>
        <v>-</v>
      </c>
      <c r="W18" s="20" t="str">
        <f t="shared" si="4"/>
        <v>-</v>
      </c>
      <c r="X18" s="20" t="str">
        <f>IFERROR(W18*L16,"-")</f>
        <v>-</v>
      </c>
      <c r="Z18" s="85">
        <v>45172</v>
      </c>
    </row>
    <row r="19" spans="1:26" ht="6.95" customHeight="1" x14ac:dyDescent="0.3">
      <c r="A19" s="8"/>
      <c r="B19" s="157"/>
      <c r="C19" s="158"/>
      <c r="D19" s="161" t="s">
        <v>39</v>
      </c>
      <c r="E19" s="162"/>
      <c r="F19" s="163" t="s">
        <v>40</v>
      </c>
      <c r="G19" s="164"/>
      <c r="H19" s="165"/>
      <c r="I19" s="164"/>
      <c r="J19" s="165"/>
      <c r="K19" s="164"/>
      <c r="L19" s="165"/>
      <c r="M19" s="6"/>
      <c r="N19" s="32"/>
      <c r="Q19" s="10" t="str">
        <f>+CONCATENATE(E19,G19)</f>
        <v/>
      </c>
      <c r="R19" s="10">
        <f>+H19</f>
        <v>0</v>
      </c>
      <c r="S19" s="11"/>
      <c r="T19" s="10">
        <f>+E19</f>
        <v>0</v>
      </c>
      <c r="U19" s="19" t="str">
        <f t="shared" ref="U19" si="7">IFERROR(LEFT(G19,FIND("*",G19)-1),"-")</f>
        <v>-</v>
      </c>
      <c r="V19" s="19" t="str">
        <f t="shared" ref="V19" si="8">IFERROR(RIGHT(G19,LEN(G19)-FIND("*",G19)),"-")</f>
        <v>-</v>
      </c>
      <c r="W19" s="20" t="str">
        <f t="shared" si="4"/>
        <v>-</v>
      </c>
      <c r="X19" s="20" t="str">
        <f>IFERROR(W19*H19,"-")</f>
        <v>-</v>
      </c>
      <c r="Z19" s="85">
        <v>45172</v>
      </c>
    </row>
    <row r="20" spans="1:26" ht="6.95" customHeight="1" x14ac:dyDescent="0.3">
      <c r="A20" s="5"/>
      <c r="B20" s="157"/>
      <c r="C20" s="158"/>
      <c r="D20" s="161"/>
      <c r="E20" s="162"/>
      <c r="F20" s="163"/>
      <c r="G20" s="164"/>
      <c r="H20" s="165"/>
      <c r="I20" s="164"/>
      <c r="J20" s="165"/>
      <c r="K20" s="164"/>
      <c r="L20" s="165"/>
      <c r="M20" s="6"/>
      <c r="N20" s="32"/>
      <c r="Q20" s="10" t="str">
        <f>+CONCATENATE(E19,I19)</f>
        <v/>
      </c>
      <c r="R20" s="10">
        <f>+J19</f>
        <v>0</v>
      </c>
      <c r="S20" s="11"/>
      <c r="T20" s="10">
        <f>+E19</f>
        <v>0</v>
      </c>
      <c r="U20" s="19" t="str">
        <f>IFERROR(LEFT(I19,FIND("*",I19)-1),"-")</f>
        <v>-</v>
      </c>
      <c r="V20" s="19" t="str">
        <f>IFERROR(RIGHT(I19,LEN(I19)-FIND("*",I19)),"-")</f>
        <v>-</v>
      </c>
      <c r="W20" s="20" t="str">
        <f t="shared" si="4"/>
        <v>-</v>
      </c>
      <c r="X20" s="20" t="str">
        <f t="shared" ref="X20" si="9">IFERROR(W20*J19,"-")</f>
        <v>-</v>
      </c>
      <c r="Z20" s="85">
        <v>45172</v>
      </c>
    </row>
    <row r="21" spans="1:26" ht="6.95" customHeight="1" x14ac:dyDescent="0.3">
      <c r="A21" s="5"/>
      <c r="B21" s="157"/>
      <c r="C21" s="158"/>
      <c r="D21" s="161"/>
      <c r="E21" s="162"/>
      <c r="F21" s="163"/>
      <c r="G21" s="164"/>
      <c r="H21" s="165"/>
      <c r="I21" s="164"/>
      <c r="J21" s="165"/>
      <c r="K21" s="164"/>
      <c r="L21" s="165"/>
      <c r="M21" s="6"/>
      <c r="N21" s="32"/>
      <c r="Q21" s="10" t="str">
        <f>+CONCATENATE(E19,K19)</f>
        <v/>
      </c>
      <c r="R21" s="10">
        <f>+L19</f>
        <v>0</v>
      </c>
      <c r="S21" s="11"/>
      <c r="T21" s="10">
        <f>+E19</f>
        <v>0</v>
      </c>
      <c r="U21" s="19" t="str">
        <f>IFERROR(LEFT(K19,FIND("*",K19)-1),"-")</f>
        <v>-</v>
      </c>
      <c r="V21" s="19" t="str">
        <f>IFERROR(RIGHT(K19,LEN(K19)-FIND("*",K19)),"-")</f>
        <v>-</v>
      </c>
      <c r="W21" s="20" t="str">
        <f t="shared" si="4"/>
        <v>-</v>
      </c>
      <c r="X21" s="20" t="str">
        <f>IFERROR(W21*L19,"-")</f>
        <v>-</v>
      </c>
      <c r="Z21" s="85">
        <v>45172</v>
      </c>
    </row>
    <row r="22" spans="1:26" ht="21" customHeight="1" thickBot="1" x14ac:dyDescent="0.35">
      <c r="A22" s="5"/>
      <c r="B22" s="159"/>
      <c r="C22" s="160"/>
      <c r="D22" s="166" t="s">
        <v>43</v>
      </c>
      <c r="E22" s="167"/>
      <c r="F22" s="167"/>
      <c r="G22" s="168" t="s">
        <v>185</v>
      </c>
      <c r="H22" s="168"/>
      <c r="I22" s="168"/>
      <c r="J22" s="168"/>
      <c r="K22" s="168"/>
      <c r="L22" s="168"/>
      <c r="M22" s="7"/>
      <c r="N22" s="33"/>
      <c r="Z22" s="85">
        <v>45172</v>
      </c>
    </row>
    <row r="23" spans="1:26" ht="9.9499999999999993" customHeight="1" thickBot="1" x14ac:dyDescent="0.35">
      <c r="B23" s="9"/>
      <c r="C23" s="109">
        <v>802</v>
      </c>
      <c r="D23" s="51"/>
      <c r="E23" s="12"/>
      <c r="F23" s="51"/>
      <c r="G23" s="14"/>
      <c r="H23" s="14"/>
      <c r="I23" s="14"/>
      <c r="J23" s="14"/>
      <c r="K23" s="14"/>
      <c r="L23" s="14"/>
      <c r="M23" s="9"/>
      <c r="N23" s="32"/>
      <c r="U23" s="18"/>
      <c r="V23" s="18"/>
      <c r="Z23" s="85">
        <v>45172</v>
      </c>
    </row>
    <row r="24" spans="1:26" ht="6.95" customHeight="1" x14ac:dyDescent="0.3">
      <c r="A24" s="154">
        <f>+A13+1</f>
        <v>803</v>
      </c>
      <c r="B24" s="155"/>
      <c r="C24" s="156"/>
      <c r="D24" s="161" t="s">
        <v>39</v>
      </c>
      <c r="E24" s="162" t="s">
        <v>186</v>
      </c>
      <c r="F24" s="163" t="s">
        <v>40</v>
      </c>
      <c r="G24" s="164">
        <v>100</v>
      </c>
      <c r="H24" s="165">
        <v>0.5</v>
      </c>
      <c r="I24" s="164"/>
      <c r="J24" s="165"/>
      <c r="K24" s="164"/>
      <c r="L24" s="165"/>
      <c r="M24" s="6"/>
      <c r="N24" s="32"/>
      <c r="Q24" s="10" t="str">
        <f>+CONCATENATE(E24,G24)</f>
        <v>금속관벽체100</v>
      </c>
      <c r="R24" s="10">
        <f>+H24</f>
        <v>0.5</v>
      </c>
      <c r="S24" s="11"/>
      <c r="T24" s="10" t="str">
        <f>+E24</f>
        <v>금속관벽체</v>
      </c>
      <c r="U24" s="19" t="str">
        <f>IFERROR(LEFT(G24,FIND("*",G24)-1),"-")</f>
        <v>-</v>
      </c>
      <c r="V24" s="19" t="str">
        <f>IFERROR(RIGHT(G24,LEN(G24)-FIND("*",G24)),"-")</f>
        <v>-</v>
      </c>
      <c r="W24" s="20" t="str">
        <f>IFERROR((U24+V24)*2/1000,"-")</f>
        <v>-</v>
      </c>
      <c r="X24" s="20" t="str">
        <f>IFERROR(W24*H24,"-")</f>
        <v>-</v>
      </c>
      <c r="Z24" s="85">
        <v>45172</v>
      </c>
    </row>
    <row r="25" spans="1:26" ht="6.95" customHeight="1" x14ac:dyDescent="0.3">
      <c r="A25" s="154"/>
      <c r="B25" s="157"/>
      <c r="C25" s="158"/>
      <c r="D25" s="161"/>
      <c r="E25" s="162"/>
      <c r="F25" s="163"/>
      <c r="G25" s="164"/>
      <c r="H25" s="165"/>
      <c r="I25" s="164"/>
      <c r="J25" s="165"/>
      <c r="K25" s="164"/>
      <c r="L25" s="165"/>
      <c r="M25" s="6"/>
      <c r="N25" s="32"/>
      <c r="Q25" s="10" t="str">
        <f>+CONCATENATE(E24,I24)</f>
        <v>금속관벽체</v>
      </c>
      <c r="R25" s="10">
        <f>+J24</f>
        <v>0</v>
      </c>
      <c r="S25" s="11"/>
      <c r="T25" s="10" t="str">
        <f>+E24</f>
        <v>금속관벽체</v>
      </c>
      <c r="U25" s="19" t="str">
        <f>IFERROR(LEFT(I24,FIND("*",I24)-1),"-")</f>
        <v>-</v>
      </c>
      <c r="V25" s="19" t="str">
        <f>IFERROR(RIGHT(I24,LEN(I24)-FIND("*",I24)),"-")</f>
        <v>-</v>
      </c>
      <c r="W25" s="20" t="str">
        <f t="shared" ref="W25:W32" si="10">IFERROR((U25+V25)*2/1000,"-")</f>
        <v>-</v>
      </c>
      <c r="X25" s="20" t="str">
        <f>IFERROR(W25*J24,"-")</f>
        <v>-</v>
      </c>
      <c r="Z25" s="85">
        <v>45172</v>
      </c>
    </row>
    <row r="26" spans="1:26" ht="6.95" customHeight="1" x14ac:dyDescent="0.3">
      <c r="A26" s="154"/>
      <c r="B26" s="157"/>
      <c r="C26" s="158"/>
      <c r="D26" s="161"/>
      <c r="E26" s="162"/>
      <c r="F26" s="163"/>
      <c r="G26" s="164"/>
      <c r="H26" s="165"/>
      <c r="I26" s="164"/>
      <c r="J26" s="165"/>
      <c r="K26" s="164"/>
      <c r="L26" s="165"/>
      <c r="M26" s="6"/>
      <c r="N26" s="32"/>
      <c r="Q26" s="10" t="str">
        <f>+CONCATENATE(E24,K24)</f>
        <v>금속관벽체</v>
      </c>
      <c r="R26" s="10">
        <f>+L24</f>
        <v>0</v>
      </c>
      <c r="S26" s="11"/>
      <c r="T26" s="10" t="str">
        <f>+E24</f>
        <v>금속관벽체</v>
      </c>
      <c r="U26" s="19" t="str">
        <f>IFERROR(LEFT(K24,FIND("*",K24)-1),"-")</f>
        <v>-</v>
      </c>
      <c r="V26" s="19" t="str">
        <f>IFERROR(RIGHT(K24,LEN(K24)-FIND("*",K24)),"-")</f>
        <v>-</v>
      </c>
      <c r="W26" s="20" t="str">
        <f t="shared" si="10"/>
        <v>-</v>
      </c>
      <c r="X26" s="20" t="str">
        <f>IFERROR(W26*L24,"-")</f>
        <v>-</v>
      </c>
      <c r="Z26" s="85">
        <v>45172</v>
      </c>
    </row>
    <row r="27" spans="1:26" ht="6.95" customHeight="1" x14ac:dyDescent="0.3">
      <c r="A27" s="8"/>
      <c r="B27" s="157"/>
      <c r="C27" s="158"/>
      <c r="D27" s="161" t="s">
        <v>39</v>
      </c>
      <c r="E27" s="162"/>
      <c r="F27" s="163" t="s">
        <v>40</v>
      </c>
      <c r="G27" s="164"/>
      <c r="H27" s="165"/>
      <c r="I27" s="164"/>
      <c r="J27" s="165"/>
      <c r="K27" s="164"/>
      <c r="L27" s="165"/>
      <c r="M27" s="6"/>
      <c r="N27" s="32"/>
      <c r="Q27" s="10" t="str">
        <f>+CONCATENATE(E27,G27)</f>
        <v/>
      </c>
      <c r="R27" s="10">
        <f>+H27</f>
        <v>0</v>
      </c>
      <c r="S27" s="11"/>
      <c r="T27" s="10">
        <f>+E27</f>
        <v>0</v>
      </c>
      <c r="U27" s="19" t="str">
        <f t="shared" ref="U27" si="11">IFERROR(LEFT(G27,FIND("*",G27)-1),"-")</f>
        <v>-</v>
      </c>
      <c r="V27" s="19" t="str">
        <f t="shared" ref="V27" si="12">IFERROR(RIGHT(G27,LEN(G27)-FIND("*",G27)),"-")</f>
        <v>-</v>
      </c>
      <c r="W27" s="20" t="str">
        <f t="shared" si="10"/>
        <v>-</v>
      </c>
      <c r="X27" s="20" t="str">
        <f>IFERROR(W27*H27,"-")</f>
        <v>-</v>
      </c>
      <c r="Z27" s="85">
        <v>45172</v>
      </c>
    </row>
    <row r="28" spans="1:26" ht="6.95" customHeight="1" x14ac:dyDescent="0.3">
      <c r="A28" s="5"/>
      <c r="B28" s="157"/>
      <c r="C28" s="158"/>
      <c r="D28" s="161"/>
      <c r="E28" s="162"/>
      <c r="F28" s="163"/>
      <c r="G28" s="164"/>
      <c r="H28" s="165"/>
      <c r="I28" s="164"/>
      <c r="J28" s="165"/>
      <c r="K28" s="164"/>
      <c r="L28" s="165"/>
      <c r="M28" s="6"/>
      <c r="N28" s="32"/>
      <c r="Q28" s="10" t="str">
        <f>+CONCATENATE(E27,I27)</f>
        <v/>
      </c>
      <c r="R28" s="10">
        <f>+J27</f>
        <v>0</v>
      </c>
      <c r="S28" s="11"/>
      <c r="T28" s="10">
        <f>+E27</f>
        <v>0</v>
      </c>
      <c r="U28" s="19" t="str">
        <f>IFERROR(LEFT(I27,FIND("*",I27)-1),"-")</f>
        <v>-</v>
      </c>
      <c r="V28" s="19" t="str">
        <f>IFERROR(RIGHT(I27,LEN(I27)-FIND("*",I27)),"-")</f>
        <v>-</v>
      </c>
      <c r="W28" s="20" t="str">
        <f t="shared" si="10"/>
        <v>-</v>
      </c>
      <c r="X28" s="20" t="str">
        <f>IFERROR(W28*J27,"-")</f>
        <v>-</v>
      </c>
      <c r="Z28" s="85">
        <v>45172</v>
      </c>
    </row>
    <row r="29" spans="1:26" ht="6.95" customHeight="1" x14ac:dyDescent="0.3">
      <c r="A29" s="5"/>
      <c r="B29" s="157"/>
      <c r="C29" s="158"/>
      <c r="D29" s="161"/>
      <c r="E29" s="162"/>
      <c r="F29" s="163"/>
      <c r="G29" s="164"/>
      <c r="H29" s="165"/>
      <c r="I29" s="164"/>
      <c r="J29" s="165"/>
      <c r="K29" s="164"/>
      <c r="L29" s="165"/>
      <c r="M29" s="6"/>
      <c r="N29" s="32"/>
      <c r="Q29" s="10" t="str">
        <f>+CONCATENATE(E27,K27)</f>
        <v/>
      </c>
      <c r="R29" s="10">
        <f>+L27</f>
        <v>0</v>
      </c>
      <c r="S29" s="11"/>
      <c r="T29" s="10">
        <f>+E27</f>
        <v>0</v>
      </c>
      <c r="U29" s="19" t="str">
        <f>IFERROR(LEFT(K27,FIND("*",K27)-1),"-")</f>
        <v>-</v>
      </c>
      <c r="V29" s="19" t="str">
        <f>IFERROR(RIGHT(K27,LEN(K27)-FIND("*",K27)),"-")</f>
        <v>-</v>
      </c>
      <c r="W29" s="20" t="str">
        <f t="shared" si="10"/>
        <v>-</v>
      </c>
      <c r="X29" s="20" t="str">
        <f>IFERROR(W29*L27,"-")</f>
        <v>-</v>
      </c>
      <c r="Z29" s="85">
        <v>45172</v>
      </c>
    </row>
    <row r="30" spans="1:26" ht="6.95" customHeight="1" x14ac:dyDescent="0.3">
      <c r="A30" s="8"/>
      <c r="B30" s="157"/>
      <c r="C30" s="158"/>
      <c r="D30" s="161" t="s">
        <v>39</v>
      </c>
      <c r="E30" s="162"/>
      <c r="F30" s="163" t="s">
        <v>40</v>
      </c>
      <c r="G30" s="164"/>
      <c r="H30" s="165"/>
      <c r="I30" s="164"/>
      <c r="J30" s="165"/>
      <c r="K30" s="164"/>
      <c r="L30" s="165"/>
      <c r="M30" s="6"/>
      <c r="N30" s="32"/>
      <c r="Q30" s="10" t="str">
        <f>+CONCATENATE(E30,G30)</f>
        <v/>
      </c>
      <c r="R30" s="10">
        <f>+H30</f>
        <v>0</v>
      </c>
      <c r="S30" s="11"/>
      <c r="T30" s="10">
        <f>+E30</f>
        <v>0</v>
      </c>
      <c r="U30" s="19" t="str">
        <f t="shared" ref="U30" si="13">IFERROR(LEFT(G30,FIND("*",G30)-1),"-")</f>
        <v>-</v>
      </c>
      <c r="V30" s="19" t="str">
        <f t="shared" ref="V30" si="14">IFERROR(RIGHT(G30,LEN(G30)-FIND("*",G30)),"-")</f>
        <v>-</v>
      </c>
      <c r="W30" s="20" t="str">
        <f t="shared" si="10"/>
        <v>-</v>
      </c>
      <c r="X30" s="20" t="str">
        <f>IFERROR(W30*H30,"-")</f>
        <v>-</v>
      </c>
      <c r="Z30" s="85">
        <v>45172</v>
      </c>
    </row>
    <row r="31" spans="1:26" ht="6.95" customHeight="1" x14ac:dyDescent="0.3">
      <c r="A31" s="5"/>
      <c r="B31" s="157"/>
      <c r="C31" s="158"/>
      <c r="D31" s="161"/>
      <c r="E31" s="162"/>
      <c r="F31" s="163"/>
      <c r="G31" s="164"/>
      <c r="H31" s="165"/>
      <c r="I31" s="164"/>
      <c r="J31" s="165"/>
      <c r="K31" s="164"/>
      <c r="L31" s="165"/>
      <c r="M31" s="6"/>
      <c r="N31" s="32"/>
      <c r="Q31" s="10" t="str">
        <f>+CONCATENATE(E30,I30)</f>
        <v/>
      </c>
      <c r="R31" s="10">
        <f>+J30</f>
        <v>0</v>
      </c>
      <c r="S31" s="11"/>
      <c r="T31" s="10">
        <f>+E30</f>
        <v>0</v>
      </c>
      <c r="U31" s="19" t="str">
        <f>IFERROR(LEFT(I30,FIND("*",I30)-1),"-")</f>
        <v>-</v>
      </c>
      <c r="V31" s="19" t="str">
        <f>IFERROR(RIGHT(I30,LEN(I30)-FIND("*",I30)),"-")</f>
        <v>-</v>
      </c>
      <c r="W31" s="20" t="str">
        <f t="shared" si="10"/>
        <v>-</v>
      </c>
      <c r="X31" s="20" t="str">
        <f t="shared" ref="X31" si="15">IFERROR(W31*J30,"-")</f>
        <v>-</v>
      </c>
      <c r="Z31" s="85">
        <v>45172</v>
      </c>
    </row>
    <row r="32" spans="1:26" ht="6.95" customHeight="1" x14ac:dyDescent="0.3">
      <c r="A32" s="5"/>
      <c r="B32" s="157"/>
      <c r="C32" s="158"/>
      <c r="D32" s="161"/>
      <c r="E32" s="162"/>
      <c r="F32" s="163"/>
      <c r="G32" s="164"/>
      <c r="H32" s="165"/>
      <c r="I32" s="164"/>
      <c r="J32" s="165"/>
      <c r="K32" s="164"/>
      <c r="L32" s="165"/>
      <c r="M32" s="6"/>
      <c r="N32" s="32"/>
      <c r="Q32" s="10" t="str">
        <f>+CONCATENATE(E30,K30)</f>
        <v/>
      </c>
      <c r="R32" s="10">
        <f>+L30</f>
        <v>0</v>
      </c>
      <c r="S32" s="11"/>
      <c r="T32" s="10">
        <f>+E30</f>
        <v>0</v>
      </c>
      <c r="U32" s="19" t="str">
        <f>IFERROR(LEFT(K30,FIND("*",K30)-1),"-")</f>
        <v>-</v>
      </c>
      <c r="V32" s="19" t="str">
        <f>IFERROR(RIGHT(K30,LEN(K30)-FIND("*",K30)),"-")</f>
        <v>-</v>
      </c>
      <c r="W32" s="20" t="str">
        <f t="shared" si="10"/>
        <v>-</v>
      </c>
      <c r="X32" s="20" t="str">
        <f>IFERROR(W32*L30,"-")</f>
        <v>-</v>
      </c>
      <c r="Z32" s="85">
        <v>45172</v>
      </c>
    </row>
    <row r="33" spans="1:26" ht="21" customHeight="1" thickBot="1" x14ac:dyDescent="0.35">
      <c r="A33" s="5"/>
      <c r="B33" s="159"/>
      <c r="C33" s="160"/>
      <c r="D33" s="166" t="s">
        <v>43</v>
      </c>
      <c r="E33" s="167"/>
      <c r="F33" s="167"/>
      <c r="G33" s="168" t="s">
        <v>185</v>
      </c>
      <c r="H33" s="168"/>
      <c r="I33" s="168"/>
      <c r="J33" s="168"/>
      <c r="K33" s="168"/>
      <c r="L33" s="168"/>
      <c r="M33" s="7"/>
      <c r="N33" s="33"/>
      <c r="Z33" s="85">
        <v>45172</v>
      </c>
    </row>
    <row r="34" spans="1:26" ht="9.9499999999999993" customHeight="1" thickBot="1" x14ac:dyDescent="0.35">
      <c r="B34" s="9"/>
      <c r="C34" s="109">
        <v>803</v>
      </c>
      <c r="D34" s="51"/>
      <c r="E34" s="12"/>
      <c r="F34" s="51"/>
      <c r="G34" s="14"/>
      <c r="H34" s="14"/>
      <c r="I34" s="14"/>
      <c r="J34" s="14"/>
      <c r="K34" s="14"/>
      <c r="L34" s="14"/>
      <c r="M34" s="9"/>
      <c r="N34" s="32"/>
      <c r="U34" s="18"/>
      <c r="V34" s="18"/>
      <c r="Z34" s="85">
        <v>45172</v>
      </c>
    </row>
    <row r="35" spans="1:26" ht="6.95" customHeight="1" x14ac:dyDescent="0.3">
      <c r="A35" s="154">
        <f>+A24+1</f>
        <v>804</v>
      </c>
      <c r="B35" s="155"/>
      <c r="C35" s="156"/>
      <c r="D35" s="161" t="s">
        <v>39</v>
      </c>
      <c r="E35" s="162" t="s">
        <v>111</v>
      </c>
      <c r="F35" s="163" t="s">
        <v>40</v>
      </c>
      <c r="G35" s="164" t="s">
        <v>187</v>
      </c>
      <c r="H35" s="165">
        <v>0.5</v>
      </c>
      <c r="I35" s="164"/>
      <c r="J35" s="165"/>
      <c r="K35" s="164"/>
      <c r="L35" s="165"/>
      <c r="M35" s="6"/>
      <c r="N35" s="32"/>
      <c r="Q35" s="10" t="str">
        <f>+CONCATENATE(E35,G35)</f>
        <v>보온덕트벽체1500*900</v>
      </c>
      <c r="R35" s="10">
        <f>+H35</f>
        <v>0.5</v>
      </c>
      <c r="S35" s="11"/>
      <c r="T35" s="10" t="str">
        <f>+E35</f>
        <v>보온덕트벽체</v>
      </c>
      <c r="U35" s="19" t="str">
        <f>IFERROR(LEFT(G35,FIND("*",G35)-1),"-")</f>
        <v>1500</v>
      </c>
      <c r="V35" s="19" t="str">
        <f>IFERROR(RIGHT(G35,LEN(G35)-FIND("*",G35)),"-")</f>
        <v>900</v>
      </c>
      <c r="W35" s="20">
        <f>IFERROR((U35+V35)*2/1000,"-")</f>
        <v>4.8</v>
      </c>
      <c r="X35" s="20">
        <f>IFERROR(W35*H35,"-")</f>
        <v>2.4</v>
      </c>
      <c r="Z35" s="85">
        <v>45172</v>
      </c>
    </row>
    <row r="36" spans="1:26" ht="6.95" customHeight="1" x14ac:dyDescent="0.3">
      <c r="A36" s="154"/>
      <c r="B36" s="157"/>
      <c r="C36" s="158"/>
      <c r="D36" s="161"/>
      <c r="E36" s="162"/>
      <c r="F36" s="163"/>
      <c r="G36" s="164"/>
      <c r="H36" s="165"/>
      <c r="I36" s="164"/>
      <c r="J36" s="165"/>
      <c r="K36" s="164"/>
      <c r="L36" s="165"/>
      <c r="M36" s="6"/>
      <c r="N36" s="32"/>
      <c r="Q36" s="10" t="str">
        <f>+CONCATENATE(E35,I35)</f>
        <v>보온덕트벽체</v>
      </c>
      <c r="R36" s="10">
        <f>+J35</f>
        <v>0</v>
      </c>
      <c r="S36" s="11"/>
      <c r="T36" s="10" t="str">
        <f>+E35</f>
        <v>보온덕트벽체</v>
      </c>
      <c r="U36" s="19" t="str">
        <f>IFERROR(LEFT(I35,FIND("*",I35)-1),"-")</f>
        <v>-</v>
      </c>
      <c r="V36" s="19" t="str">
        <f>IFERROR(RIGHT(I35,LEN(I35)-FIND("*",I35)),"-")</f>
        <v>-</v>
      </c>
      <c r="W36" s="20" t="str">
        <f t="shared" ref="W36:W43" si="16">IFERROR((U36+V36)*2/1000,"-")</f>
        <v>-</v>
      </c>
      <c r="X36" s="20" t="str">
        <f>IFERROR(W36*J35,"-")</f>
        <v>-</v>
      </c>
      <c r="Z36" s="85">
        <v>45172</v>
      </c>
    </row>
    <row r="37" spans="1:26" ht="6.95" customHeight="1" x14ac:dyDescent="0.3">
      <c r="A37" s="154"/>
      <c r="B37" s="157"/>
      <c r="C37" s="158"/>
      <c r="D37" s="161"/>
      <c r="E37" s="162"/>
      <c r="F37" s="163"/>
      <c r="G37" s="164"/>
      <c r="H37" s="165"/>
      <c r="I37" s="164"/>
      <c r="J37" s="165"/>
      <c r="K37" s="164"/>
      <c r="L37" s="165"/>
      <c r="M37" s="6"/>
      <c r="N37" s="32"/>
      <c r="Q37" s="10" t="str">
        <f>+CONCATENATE(E35,K35)</f>
        <v>보온덕트벽체</v>
      </c>
      <c r="R37" s="10">
        <f>+L35</f>
        <v>0</v>
      </c>
      <c r="S37" s="11"/>
      <c r="T37" s="10" t="str">
        <f>+E35</f>
        <v>보온덕트벽체</v>
      </c>
      <c r="U37" s="19" t="str">
        <f>IFERROR(LEFT(K35,FIND("*",K35)-1),"-")</f>
        <v>-</v>
      </c>
      <c r="V37" s="19" t="str">
        <f>IFERROR(RIGHT(K35,LEN(K35)-FIND("*",K35)),"-")</f>
        <v>-</v>
      </c>
      <c r="W37" s="20" t="str">
        <f t="shared" si="16"/>
        <v>-</v>
      </c>
      <c r="X37" s="20" t="str">
        <f>IFERROR(W37*L35,"-")</f>
        <v>-</v>
      </c>
      <c r="Z37" s="85">
        <v>45172</v>
      </c>
    </row>
    <row r="38" spans="1:26" ht="6.95" customHeight="1" x14ac:dyDescent="0.3">
      <c r="A38" s="8"/>
      <c r="B38" s="157"/>
      <c r="C38" s="158"/>
      <c r="D38" s="161" t="s">
        <v>39</v>
      </c>
      <c r="E38" s="162" t="s">
        <v>188</v>
      </c>
      <c r="F38" s="163" t="s">
        <v>40</v>
      </c>
      <c r="G38" s="164" t="s">
        <v>187</v>
      </c>
      <c r="H38" s="165">
        <v>1</v>
      </c>
      <c r="I38" s="164" t="s">
        <v>189</v>
      </c>
      <c r="J38" s="165">
        <v>0.5</v>
      </c>
      <c r="K38" s="164"/>
      <c r="L38" s="165"/>
      <c r="M38" s="6"/>
      <c r="N38" s="32"/>
      <c r="Q38" s="10" t="str">
        <f>+CONCATENATE(E38,G38)</f>
        <v>차열재마감1500*900</v>
      </c>
      <c r="R38" s="10">
        <f>+H38</f>
        <v>1</v>
      </c>
      <c r="S38" s="11"/>
      <c r="T38" s="10" t="str">
        <f>+E38</f>
        <v>차열재마감</v>
      </c>
      <c r="U38" s="19" t="str">
        <f t="shared" ref="U38" si="17">IFERROR(LEFT(G38,FIND("*",G38)-1),"-")</f>
        <v>1500</v>
      </c>
      <c r="V38" s="19" t="str">
        <f t="shared" ref="V38" si="18">IFERROR(RIGHT(G38,LEN(G38)-FIND("*",G38)),"-")</f>
        <v>900</v>
      </c>
      <c r="W38" s="20">
        <f t="shared" si="16"/>
        <v>4.8</v>
      </c>
      <c r="X38" s="20">
        <f>IFERROR(W38*H38,"-")</f>
        <v>4.8</v>
      </c>
      <c r="Z38" s="85">
        <v>45172</v>
      </c>
    </row>
    <row r="39" spans="1:26" ht="6.95" customHeight="1" x14ac:dyDescent="0.3">
      <c r="A39" s="5"/>
      <c r="B39" s="157"/>
      <c r="C39" s="158"/>
      <c r="D39" s="161"/>
      <c r="E39" s="162"/>
      <c r="F39" s="163"/>
      <c r="G39" s="164"/>
      <c r="H39" s="165"/>
      <c r="I39" s="164"/>
      <c r="J39" s="165"/>
      <c r="K39" s="164"/>
      <c r="L39" s="165"/>
      <c r="M39" s="6"/>
      <c r="N39" s="32"/>
      <c r="Q39" s="10" t="str">
        <f>+CONCATENATE(E38,I38)</f>
        <v>차열재마감1300*900</v>
      </c>
      <c r="R39" s="10">
        <f>+J38</f>
        <v>0.5</v>
      </c>
      <c r="S39" s="11"/>
      <c r="T39" s="10" t="str">
        <f>+E38</f>
        <v>차열재마감</v>
      </c>
      <c r="U39" s="19" t="str">
        <f>IFERROR(LEFT(I38,FIND("*",I38)-1),"-")</f>
        <v>1300</v>
      </c>
      <c r="V39" s="19" t="str">
        <f>IFERROR(RIGHT(I38,LEN(I38)-FIND("*",I38)),"-")</f>
        <v>900</v>
      </c>
      <c r="W39" s="20">
        <f t="shared" si="16"/>
        <v>4.4000000000000004</v>
      </c>
      <c r="X39" s="20">
        <f>IFERROR(W39*J38,"-")</f>
        <v>2.2000000000000002</v>
      </c>
      <c r="Z39" s="85">
        <v>45172</v>
      </c>
    </row>
    <row r="40" spans="1:26" ht="6.95" customHeight="1" x14ac:dyDescent="0.3">
      <c r="A40" s="5"/>
      <c r="B40" s="157"/>
      <c r="C40" s="158"/>
      <c r="D40" s="161"/>
      <c r="E40" s="162"/>
      <c r="F40" s="163"/>
      <c r="G40" s="164"/>
      <c r="H40" s="165"/>
      <c r="I40" s="164"/>
      <c r="J40" s="165"/>
      <c r="K40" s="164"/>
      <c r="L40" s="165"/>
      <c r="M40" s="6"/>
      <c r="N40" s="32"/>
      <c r="Q40" s="10" t="str">
        <f>+CONCATENATE(E38,K38)</f>
        <v>차열재마감</v>
      </c>
      <c r="R40" s="10">
        <f>+L38</f>
        <v>0</v>
      </c>
      <c r="S40" s="11"/>
      <c r="T40" s="10" t="str">
        <f>+E38</f>
        <v>차열재마감</v>
      </c>
      <c r="U40" s="19" t="str">
        <f>IFERROR(LEFT(K38,FIND("*",K38)-1),"-")</f>
        <v>-</v>
      </c>
      <c r="V40" s="19" t="str">
        <f>IFERROR(RIGHT(K38,LEN(K38)-FIND("*",K38)),"-")</f>
        <v>-</v>
      </c>
      <c r="W40" s="20" t="str">
        <f t="shared" si="16"/>
        <v>-</v>
      </c>
      <c r="X40" s="20" t="str">
        <f>IFERROR(W40*L38,"-")</f>
        <v>-</v>
      </c>
      <c r="Z40" s="85">
        <v>45172</v>
      </c>
    </row>
    <row r="41" spans="1:26" ht="6.95" customHeight="1" x14ac:dyDescent="0.3">
      <c r="A41" s="8"/>
      <c r="B41" s="157"/>
      <c r="C41" s="158"/>
      <c r="D41" s="161" t="s">
        <v>39</v>
      </c>
      <c r="E41" s="162" t="s">
        <v>115</v>
      </c>
      <c r="F41" s="163" t="s">
        <v>40</v>
      </c>
      <c r="G41" s="164" t="s">
        <v>189</v>
      </c>
      <c r="H41" s="165">
        <v>0.5</v>
      </c>
      <c r="I41" s="164"/>
      <c r="J41" s="165"/>
      <c r="K41" s="164"/>
      <c r="L41" s="165"/>
      <c r="M41" s="6"/>
      <c r="N41" s="32"/>
      <c r="Q41" s="10" t="str">
        <f>+CONCATENATE(E41,G41)</f>
        <v>무보온덕트벽체1300*900</v>
      </c>
      <c r="R41" s="10">
        <f>+H41</f>
        <v>0.5</v>
      </c>
      <c r="S41" s="11"/>
      <c r="T41" s="10" t="str">
        <f>+E41</f>
        <v>무보온덕트벽체</v>
      </c>
      <c r="U41" s="19" t="str">
        <f t="shared" ref="U41" si="19">IFERROR(LEFT(G41,FIND("*",G41)-1),"-")</f>
        <v>1300</v>
      </c>
      <c r="V41" s="19" t="str">
        <f t="shared" ref="V41" si="20">IFERROR(RIGHT(G41,LEN(G41)-FIND("*",G41)),"-")</f>
        <v>900</v>
      </c>
      <c r="W41" s="20">
        <f t="shared" si="16"/>
        <v>4.4000000000000004</v>
      </c>
      <c r="X41" s="20">
        <f>IFERROR(W41*H41,"-")</f>
        <v>2.2000000000000002</v>
      </c>
      <c r="Z41" s="85">
        <v>45172</v>
      </c>
    </row>
    <row r="42" spans="1:26" ht="6.95" customHeight="1" x14ac:dyDescent="0.3">
      <c r="A42" s="5"/>
      <c r="B42" s="157"/>
      <c r="C42" s="158"/>
      <c r="D42" s="161"/>
      <c r="E42" s="162"/>
      <c r="F42" s="163"/>
      <c r="G42" s="164"/>
      <c r="H42" s="165"/>
      <c r="I42" s="164"/>
      <c r="J42" s="165"/>
      <c r="K42" s="164"/>
      <c r="L42" s="165"/>
      <c r="M42" s="6"/>
      <c r="N42" s="32"/>
      <c r="Q42" s="10" t="str">
        <f>+CONCATENATE(E41,I41)</f>
        <v>무보온덕트벽체</v>
      </c>
      <c r="R42" s="10">
        <f>+J41</f>
        <v>0</v>
      </c>
      <c r="S42" s="11"/>
      <c r="T42" s="10" t="str">
        <f>+E41</f>
        <v>무보온덕트벽체</v>
      </c>
      <c r="U42" s="19" t="str">
        <f>IFERROR(LEFT(I41,FIND("*",I41)-1),"-")</f>
        <v>-</v>
      </c>
      <c r="V42" s="19" t="str">
        <f>IFERROR(RIGHT(I41,LEN(I41)-FIND("*",I41)),"-")</f>
        <v>-</v>
      </c>
      <c r="W42" s="20" t="str">
        <f t="shared" si="16"/>
        <v>-</v>
      </c>
      <c r="X42" s="20" t="str">
        <f t="shared" ref="X42" si="21">IFERROR(W42*J41,"-")</f>
        <v>-</v>
      </c>
      <c r="Z42" s="85">
        <v>45172</v>
      </c>
    </row>
    <row r="43" spans="1:26" ht="6.95" customHeight="1" x14ac:dyDescent="0.3">
      <c r="A43" s="5"/>
      <c r="B43" s="157"/>
      <c r="C43" s="158"/>
      <c r="D43" s="161"/>
      <c r="E43" s="162"/>
      <c r="F43" s="163"/>
      <c r="G43" s="164"/>
      <c r="H43" s="165"/>
      <c r="I43" s="164"/>
      <c r="J43" s="165"/>
      <c r="K43" s="164"/>
      <c r="L43" s="165"/>
      <c r="M43" s="6"/>
      <c r="N43" s="32"/>
      <c r="Q43" s="10" t="str">
        <f>+CONCATENATE(E41,K41)</f>
        <v>무보온덕트벽체</v>
      </c>
      <c r="R43" s="10">
        <f>+L41</f>
        <v>0</v>
      </c>
      <c r="S43" s="11"/>
      <c r="T43" s="10" t="str">
        <f>+E41</f>
        <v>무보온덕트벽체</v>
      </c>
      <c r="U43" s="19" t="str">
        <f>IFERROR(LEFT(K41,FIND("*",K41)-1),"-")</f>
        <v>-</v>
      </c>
      <c r="V43" s="19" t="str">
        <f>IFERROR(RIGHT(K41,LEN(K41)-FIND("*",K41)),"-")</f>
        <v>-</v>
      </c>
      <c r="W43" s="20" t="str">
        <f t="shared" si="16"/>
        <v>-</v>
      </c>
      <c r="X43" s="20" t="str">
        <f>IFERROR(W43*L41,"-")</f>
        <v>-</v>
      </c>
      <c r="Z43" s="85">
        <v>45172</v>
      </c>
    </row>
    <row r="44" spans="1:26" ht="21" customHeight="1" thickBot="1" x14ac:dyDescent="0.35">
      <c r="A44" s="5"/>
      <c r="B44" s="159"/>
      <c r="C44" s="160"/>
      <c r="D44" s="166" t="s">
        <v>43</v>
      </c>
      <c r="E44" s="167"/>
      <c r="F44" s="167"/>
      <c r="G44" s="168" t="s">
        <v>185</v>
      </c>
      <c r="H44" s="168"/>
      <c r="I44" s="168"/>
      <c r="J44" s="168"/>
      <c r="K44" s="168"/>
      <c r="L44" s="168"/>
      <c r="M44" s="7"/>
      <c r="N44" s="32"/>
      <c r="Z44" s="85">
        <v>45172</v>
      </c>
    </row>
    <row r="45" spans="1:26" ht="9.9499999999999993" customHeight="1" thickBot="1" x14ac:dyDescent="0.35">
      <c r="B45" s="9"/>
      <c r="C45" s="109">
        <v>804</v>
      </c>
      <c r="D45" s="51"/>
      <c r="E45" s="12"/>
      <c r="F45" s="51"/>
      <c r="G45" s="14"/>
      <c r="H45" s="14"/>
      <c r="I45" s="14"/>
      <c r="J45" s="14"/>
      <c r="K45" s="14"/>
      <c r="L45" s="14"/>
      <c r="M45" s="9"/>
      <c r="N45" s="32"/>
      <c r="U45" s="18"/>
      <c r="V45" s="18"/>
      <c r="Z45" s="85">
        <v>45172</v>
      </c>
    </row>
    <row r="46" spans="1:26" ht="6.95" customHeight="1" x14ac:dyDescent="0.3">
      <c r="A46" s="154">
        <f>+A35+1</f>
        <v>805</v>
      </c>
      <c r="B46" s="155"/>
      <c r="C46" s="156"/>
      <c r="D46" s="161" t="s">
        <v>39</v>
      </c>
      <c r="E46" s="162" t="s">
        <v>111</v>
      </c>
      <c r="F46" s="163" t="s">
        <v>40</v>
      </c>
      <c r="G46" s="164" t="s">
        <v>190</v>
      </c>
      <c r="H46" s="165">
        <v>0.5</v>
      </c>
      <c r="I46" s="164"/>
      <c r="J46" s="165"/>
      <c r="K46" s="164"/>
      <c r="L46" s="165"/>
      <c r="M46" s="6"/>
      <c r="N46" s="32"/>
      <c r="Q46" s="10" t="str">
        <f>+CONCATENATE(E46,G46)</f>
        <v>보온덕트벽체1400*600</v>
      </c>
      <c r="R46" s="10">
        <f>+H46</f>
        <v>0.5</v>
      </c>
      <c r="S46" s="11"/>
      <c r="T46" s="10" t="str">
        <f>+E46</f>
        <v>보온덕트벽체</v>
      </c>
      <c r="U46" s="19" t="str">
        <f>IFERROR(LEFT(G46,FIND("*",G46)-1),"-")</f>
        <v>1400</v>
      </c>
      <c r="V46" s="19" t="str">
        <f>IFERROR(RIGHT(G46,LEN(G46)-FIND("*",G46)),"-")</f>
        <v>600</v>
      </c>
      <c r="W46" s="20">
        <f>IFERROR((U46+V46)*2/1000,"-")</f>
        <v>4</v>
      </c>
      <c r="X46" s="20">
        <f>IFERROR(W46*H46,"-")</f>
        <v>2</v>
      </c>
      <c r="Z46" s="85">
        <v>45172</v>
      </c>
    </row>
    <row r="47" spans="1:26" ht="6.95" customHeight="1" x14ac:dyDescent="0.3">
      <c r="A47" s="154"/>
      <c r="B47" s="157"/>
      <c r="C47" s="158"/>
      <c r="D47" s="161"/>
      <c r="E47" s="162"/>
      <c r="F47" s="163"/>
      <c r="G47" s="164"/>
      <c r="H47" s="165"/>
      <c r="I47" s="164"/>
      <c r="J47" s="165"/>
      <c r="K47" s="164"/>
      <c r="L47" s="165"/>
      <c r="M47" s="6"/>
      <c r="N47" s="32"/>
      <c r="Q47" s="10" t="str">
        <f>+CONCATENATE(E46,I46)</f>
        <v>보온덕트벽체</v>
      </c>
      <c r="R47" s="10">
        <f>+J46</f>
        <v>0</v>
      </c>
      <c r="S47" s="11"/>
      <c r="T47" s="10" t="str">
        <f>+E46</f>
        <v>보온덕트벽체</v>
      </c>
      <c r="U47" s="19" t="str">
        <f>IFERROR(LEFT(I46,FIND("*",I46)-1),"-")</f>
        <v>-</v>
      </c>
      <c r="V47" s="19" t="str">
        <f>IFERROR(RIGHT(I46,LEN(I46)-FIND("*",I46)),"-")</f>
        <v>-</v>
      </c>
      <c r="W47" s="20" t="str">
        <f t="shared" ref="W47:W54" si="22">IFERROR((U47+V47)*2/1000,"-")</f>
        <v>-</v>
      </c>
      <c r="X47" s="20" t="str">
        <f>IFERROR(W47*J46,"-")</f>
        <v>-</v>
      </c>
      <c r="Z47" s="85">
        <v>45172</v>
      </c>
    </row>
    <row r="48" spans="1:26" ht="6.95" customHeight="1" x14ac:dyDescent="0.3">
      <c r="A48" s="154"/>
      <c r="B48" s="157"/>
      <c r="C48" s="158"/>
      <c r="D48" s="161"/>
      <c r="E48" s="162"/>
      <c r="F48" s="163"/>
      <c r="G48" s="164"/>
      <c r="H48" s="165"/>
      <c r="I48" s="164"/>
      <c r="J48" s="165"/>
      <c r="K48" s="164"/>
      <c r="L48" s="165"/>
      <c r="M48" s="6"/>
      <c r="N48" s="32"/>
      <c r="Q48" s="10" t="str">
        <f>+CONCATENATE(E46,K46)</f>
        <v>보온덕트벽체</v>
      </c>
      <c r="R48" s="10">
        <f>+L46</f>
        <v>0</v>
      </c>
      <c r="S48" s="11"/>
      <c r="T48" s="10" t="str">
        <f>+E46</f>
        <v>보온덕트벽체</v>
      </c>
      <c r="U48" s="19" t="str">
        <f>IFERROR(LEFT(K46,FIND("*",K46)-1),"-")</f>
        <v>-</v>
      </c>
      <c r="V48" s="19" t="str">
        <f>IFERROR(RIGHT(K46,LEN(K46)-FIND("*",K46)),"-")</f>
        <v>-</v>
      </c>
      <c r="W48" s="20" t="str">
        <f t="shared" si="22"/>
        <v>-</v>
      </c>
      <c r="X48" s="20" t="str">
        <f>IFERROR(W48*L46,"-")</f>
        <v>-</v>
      </c>
      <c r="Z48" s="85">
        <v>45172</v>
      </c>
    </row>
    <row r="49" spans="1:26" ht="6.95" customHeight="1" x14ac:dyDescent="0.3">
      <c r="A49" s="8"/>
      <c r="B49" s="157"/>
      <c r="C49" s="158"/>
      <c r="D49" s="161" t="s">
        <v>39</v>
      </c>
      <c r="E49" s="162" t="s">
        <v>188</v>
      </c>
      <c r="F49" s="163" t="s">
        <v>40</v>
      </c>
      <c r="G49" s="164" t="s">
        <v>190</v>
      </c>
      <c r="H49" s="165">
        <v>1</v>
      </c>
      <c r="I49" s="164"/>
      <c r="J49" s="165"/>
      <c r="K49" s="164"/>
      <c r="L49" s="165"/>
      <c r="M49" s="6"/>
      <c r="N49" s="32"/>
      <c r="Q49" s="10" t="str">
        <f>+CONCATENATE(E49,G49)</f>
        <v>차열재마감1400*600</v>
      </c>
      <c r="R49" s="10">
        <f>+H49</f>
        <v>1</v>
      </c>
      <c r="S49" s="11"/>
      <c r="T49" s="10" t="str">
        <f>+E49</f>
        <v>차열재마감</v>
      </c>
      <c r="U49" s="19" t="str">
        <f t="shared" ref="U49" si="23">IFERROR(LEFT(G49,FIND("*",G49)-1),"-")</f>
        <v>1400</v>
      </c>
      <c r="V49" s="19" t="str">
        <f t="shared" ref="V49" si="24">IFERROR(RIGHT(G49,LEN(G49)-FIND("*",G49)),"-")</f>
        <v>600</v>
      </c>
      <c r="W49" s="20">
        <f t="shared" si="22"/>
        <v>4</v>
      </c>
      <c r="X49" s="20">
        <f>IFERROR(W49*H49,"-")</f>
        <v>4</v>
      </c>
      <c r="Z49" s="85">
        <v>45172</v>
      </c>
    </row>
    <row r="50" spans="1:26" ht="6.95" customHeight="1" x14ac:dyDescent="0.3">
      <c r="A50" s="5"/>
      <c r="B50" s="157"/>
      <c r="C50" s="158"/>
      <c r="D50" s="161"/>
      <c r="E50" s="162"/>
      <c r="F50" s="163"/>
      <c r="G50" s="164"/>
      <c r="H50" s="165"/>
      <c r="I50" s="164"/>
      <c r="J50" s="165"/>
      <c r="K50" s="164"/>
      <c r="L50" s="165"/>
      <c r="M50" s="6"/>
      <c r="N50" s="32"/>
      <c r="Q50" s="10" t="str">
        <f>+CONCATENATE(E49,I49)</f>
        <v>차열재마감</v>
      </c>
      <c r="R50" s="10">
        <f>+J49</f>
        <v>0</v>
      </c>
      <c r="S50" s="11"/>
      <c r="T50" s="10" t="str">
        <f>+E49</f>
        <v>차열재마감</v>
      </c>
      <c r="U50" s="19" t="str">
        <f>IFERROR(LEFT(I49,FIND("*",I49)-1),"-")</f>
        <v>-</v>
      </c>
      <c r="V50" s="19" t="str">
        <f>IFERROR(RIGHT(I49,LEN(I49)-FIND("*",I49)),"-")</f>
        <v>-</v>
      </c>
      <c r="W50" s="20" t="str">
        <f t="shared" si="22"/>
        <v>-</v>
      </c>
      <c r="X50" s="20" t="str">
        <f>IFERROR(W50*J49,"-")</f>
        <v>-</v>
      </c>
      <c r="Z50" s="85">
        <v>45172</v>
      </c>
    </row>
    <row r="51" spans="1:26" ht="6.95" customHeight="1" x14ac:dyDescent="0.3">
      <c r="A51" s="5"/>
      <c r="B51" s="157"/>
      <c r="C51" s="158"/>
      <c r="D51" s="161"/>
      <c r="E51" s="162"/>
      <c r="F51" s="163"/>
      <c r="G51" s="164"/>
      <c r="H51" s="165"/>
      <c r="I51" s="164"/>
      <c r="J51" s="165"/>
      <c r="K51" s="164"/>
      <c r="L51" s="165"/>
      <c r="M51" s="6"/>
      <c r="N51" s="32"/>
      <c r="Q51" s="10" t="str">
        <f>+CONCATENATE(E49,K49)</f>
        <v>차열재마감</v>
      </c>
      <c r="R51" s="10">
        <f>+L49</f>
        <v>0</v>
      </c>
      <c r="S51" s="11"/>
      <c r="T51" s="10" t="str">
        <f>+E49</f>
        <v>차열재마감</v>
      </c>
      <c r="U51" s="19" t="str">
        <f>IFERROR(LEFT(K49,FIND("*",K49)-1),"-")</f>
        <v>-</v>
      </c>
      <c r="V51" s="19" t="str">
        <f>IFERROR(RIGHT(K49,LEN(K49)-FIND("*",K49)),"-")</f>
        <v>-</v>
      </c>
      <c r="W51" s="20" t="str">
        <f t="shared" si="22"/>
        <v>-</v>
      </c>
      <c r="X51" s="20" t="str">
        <f>IFERROR(W51*L49,"-")</f>
        <v>-</v>
      </c>
      <c r="Z51" s="85">
        <v>45172</v>
      </c>
    </row>
    <row r="52" spans="1:26" ht="6.95" customHeight="1" x14ac:dyDescent="0.3">
      <c r="A52" s="8"/>
      <c r="B52" s="157"/>
      <c r="C52" s="158"/>
      <c r="D52" s="161" t="s">
        <v>39</v>
      </c>
      <c r="E52" s="162"/>
      <c r="F52" s="163" t="s">
        <v>40</v>
      </c>
      <c r="G52" s="164"/>
      <c r="H52" s="165"/>
      <c r="I52" s="164"/>
      <c r="J52" s="165"/>
      <c r="K52" s="164"/>
      <c r="L52" s="165"/>
      <c r="M52" s="6"/>
      <c r="N52" s="32"/>
      <c r="Q52" s="10" t="str">
        <f>+CONCATENATE(E52,G52)</f>
        <v/>
      </c>
      <c r="R52" s="10">
        <f>+H52</f>
        <v>0</v>
      </c>
      <c r="S52" s="11"/>
      <c r="T52" s="10">
        <f>+E52</f>
        <v>0</v>
      </c>
      <c r="U52" s="19" t="str">
        <f t="shared" ref="U52" si="25">IFERROR(LEFT(G52,FIND("*",G52)-1),"-")</f>
        <v>-</v>
      </c>
      <c r="V52" s="19" t="str">
        <f t="shared" ref="V52" si="26">IFERROR(RIGHT(G52,LEN(G52)-FIND("*",G52)),"-")</f>
        <v>-</v>
      </c>
      <c r="W52" s="20" t="str">
        <f t="shared" si="22"/>
        <v>-</v>
      </c>
      <c r="X52" s="20" t="str">
        <f>IFERROR(W52*H52,"-")</f>
        <v>-</v>
      </c>
      <c r="Z52" s="85">
        <v>45172</v>
      </c>
    </row>
    <row r="53" spans="1:26" ht="6.95" customHeight="1" x14ac:dyDescent="0.3">
      <c r="A53" s="5"/>
      <c r="B53" s="157"/>
      <c r="C53" s="158"/>
      <c r="D53" s="161"/>
      <c r="E53" s="162"/>
      <c r="F53" s="163"/>
      <c r="G53" s="164"/>
      <c r="H53" s="165"/>
      <c r="I53" s="164"/>
      <c r="J53" s="165"/>
      <c r="K53" s="164"/>
      <c r="L53" s="165"/>
      <c r="M53" s="6"/>
      <c r="N53" s="32"/>
      <c r="Q53" s="10" t="str">
        <f>+CONCATENATE(E52,I52)</f>
        <v/>
      </c>
      <c r="R53" s="10">
        <f>+J52</f>
        <v>0</v>
      </c>
      <c r="S53" s="11"/>
      <c r="T53" s="10">
        <f>+E52</f>
        <v>0</v>
      </c>
      <c r="U53" s="19" t="str">
        <f>IFERROR(LEFT(I52,FIND("*",I52)-1),"-")</f>
        <v>-</v>
      </c>
      <c r="V53" s="19" t="str">
        <f>IFERROR(RIGHT(I52,LEN(I52)-FIND("*",I52)),"-")</f>
        <v>-</v>
      </c>
      <c r="W53" s="20" t="str">
        <f t="shared" si="22"/>
        <v>-</v>
      </c>
      <c r="X53" s="20" t="str">
        <f t="shared" ref="X53" si="27">IFERROR(W53*J52,"-")</f>
        <v>-</v>
      </c>
      <c r="Z53" s="85">
        <v>45172</v>
      </c>
    </row>
    <row r="54" spans="1:26" ht="6.95" customHeight="1" x14ac:dyDescent="0.3">
      <c r="A54" s="5"/>
      <c r="B54" s="157"/>
      <c r="C54" s="158"/>
      <c r="D54" s="161"/>
      <c r="E54" s="162"/>
      <c r="F54" s="163"/>
      <c r="G54" s="164"/>
      <c r="H54" s="165"/>
      <c r="I54" s="164"/>
      <c r="J54" s="165"/>
      <c r="K54" s="164"/>
      <c r="L54" s="165"/>
      <c r="M54" s="6"/>
      <c r="N54" s="32"/>
      <c r="Q54" s="10" t="str">
        <f>+CONCATENATE(E52,K52)</f>
        <v/>
      </c>
      <c r="R54" s="10">
        <f>+L52</f>
        <v>0</v>
      </c>
      <c r="S54" s="11"/>
      <c r="T54" s="10">
        <f>+E52</f>
        <v>0</v>
      </c>
      <c r="U54" s="19" t="str">
        <f>IFERROR(LEFT(K52,FIND("*",K52)-1),"-")</f>
        <v>-</v>
      </c>
      <c r="V54" s="19" t="str">
        <f>IFERROR(RIGHT(K52,LEN(K52)-FIND("*",K52)),"-")</f>
        <v>-</v>
      </c>
      <c r="W54" s="20" t="str">
        <f t="shared" si="22"/>
        <v>-</v>
      </c>
      <c r="X54" s="20" t="str">
        <f>IFERROR(W54*L52,"-")</f>
        <v>-</v>
      </c>
      <c r="Z54" s="85">
        <v>45172</v>
      </c>
    </row>
    <row r="55" spans="1:26" ht="21" customHeight="1" thickBot="1" x14ac:dyDescent="0.35">
      <c r="A55" s="5"/>
      <c r="B55" s="159"/>
      <c r="C55" s="160"/>
      <c r="D55" s="166" t="s">
        <v>43</v>
      </c>
      <c r="E55" s="167"/>
      <c r="F55" s="167"/>
      <c r="G55" s="168" t="s">
        <v>185</v>
      </c>
      <c r="H55" s="168"/>
      <c r="I55" s="168"/>
      <c r="J55" s="168"/>
      <c r="K55" s="168"/>
      <c r="L55" s="168"/>
      <c r="M55" s="7"/>
      <c r="N55" s="32"/>
      <c r="Z55" s="85">
        <v>45172</v>
      </c>
    </row>
    <row r="56" spans="1:26" ht="9.9499999999999993" customHeight="1" thickBot="1" x14ac:dyDescent="0.35">
      <c r="B56" s="9"/>
      <c r="C56" s="109">
        <v>805</v>
      </c>
      <c r="D56" s="51"/>
      <c r="E56" s="12"/>
      <c r="F56" s="51"/>
      <c r="G56" s="14"/>
      <c r="H56" s="14"/>
      <c r="I56" s="14"/>
      <c r="J56" s="14"/>
      <c r="K56" s="14"/>
      <c r="L56" s="14"/>
      <c r="M56" s="9"/>
      <c r="N56" s="32"/>
      <c r="U56" s="18"/>
      <c r="V56" s="18"/>
      <c r="Z56" s="85">
        <v>45172</v>
      </c>
    </row>
    <row r="57" spans="1:26" ht="6.95" customHeight="1" x14ac:dyDescent="0.3">
      <c r="A57" s="154">
        <f>+A46+1</f>
        <v>806</v>
      </c>
      <c r="B57" s="155"/>
      <c r="C57" s="156"/>
      <c r="D57" s="161" t="s">
        <v>39</v>
      </c>
      <c r="E57" s="162" t="s">
        <v>111</v>
      </c>
      <c r="F57" s="163" t="s">
        <v>40</v>
      </c>
      <c r="G57" s="164" t="s">
        <v>191</v>
      </c>
      <c r="H57" s="165">
        <v>2</v>
      </c>
      <c r="I57" s="164" t="s">
        <v>192</v>
      </c>
      <c r="J57" s="165">
        <v>1</v>
      </c>
      <c r="K57" s="164"/>
      <c r="L57" s="165"/>
      <c r="M57" s="6"/>
      <c r="N57" s="32"/>
      <c r="Q57" s="10" t="str">
        <f>+CONCATENATE(E57,G57)</f>
        <v>보온덕트벽체800*400</v>
      </c>
      <c r="R57" s="10">
        <f>+H57</f>
        <v>2</v>
      </c>
      <c r="S57" s="11"/>
      <c r="T57" s="10" t="str">
        <f>+E57</f>
        <v>보온덕트벽체</v>
      </c>
      <c r="U57" s="19" t="str">
        <f>IFERROR(LEFT(G57,FIND("*",G57)-1),"-")</f>
        <v>800</v>
      </c>
      <c r="V57" s="19" t="str">
        <f>IFERROR(RIGHT(G57,LEN(G57)-FIND("*",G57)),"-")</f>
        <v>400</v>
      </c>
      <c r="W57" s="20">
        <f>IFERROR((U57+V57)*2/1000,"-")</f>
        <v>2.4</v>
      </c>
      <c r="X57" s="20">
        <f>IFERROR(W57*H57,"-")</f>
        <v>4.8</v>
      </c>
      <c r="Z57" s="85">
        <v>45172</v>
      </c>
    </row>
    <row r="58" spans="1:26" ht="6.95" customHeight="1" x14ac:dyDescent="0.3">
      <c r="A58" s="154"/>
      <c r="B58" s="157"/>
      <c r="C58" s="158"/>
      <c r="D58" s="161"/>
      <c r="E58" s="162"/>
      <c r="F58" s="163"/>
      <c r="G58" s="164"/>
      <c r="H58" s="165"/>
      <c r="I58" s="164"/>
      <c r="J58" s="165"/>
      <c r="K58" s="164"/>
      <c r="L58" s="165"/>
      <c r="M58" s="6"/>
      <c r="N58" s="32"/>
      <c r="Q58" s="10" t="str">
        <f>+CONCATENATE(E57,I57)</f>
        <v>보온덕트벽체1400*400</v>
      </c>
      <c r="R58" s="10">
        <f>+J57</f>
        <v>1</v>
      </c>
      <c r="S58" s="11"/>
      <c r="T58" s="10" t="str">
        <f>+E57</f>
        <v>보온덕트벽체</v>
      </c>
      <c r="U58" s="19" t="str">
        <f>IFERROR(LEFT(I57,FIND("*",I57)-1),"-")</f>
        <v>1400</v>
      </c>
      <c r="V58" s="19" t="str">
        <f>IFERROR(RIGHT(I57,LEN(I57)-FIND("*",I57)),"-")</f>
        <v>400</v>
      </c>
      <c r="W58" s="20">
        <f t="shared" ref="W58:W65" si="28">IFERROR((U58+V58)*2/1000,"-")</f>
        <v>3.6</v>
      </c>
      <c r="X58" s="20">
        <f>IFERROR(W58*J57,"-")</f>
        <v>3.6</v>
      </c>
      <c r="Z58" s="85">
        <v>45172</v>
      </c>
    </row>
    <row r="59" spans="1:26" ht="6.95" customHeight="1" x14ac:dyDescent="0.3">
      <c r="A59" s="154"/>
      <c r="B59" s="157"/>
      <c r="C59" s="158"/>
      <c r="D59" s="161"/>
      <c r="E59" s="162"/>
      <c r="F59" s="163"/>
      <c r="G59" s="164"/>
      <c r="H59" s="165"/>
      <c r="I59" s="164"/>
      <c r="J59" s="165"/>
      <c r="K59" s="164"/>
      <c r="L59" s="165"/>
      <c r="M59" s="6"/>
      <c r="N59" s="32"/>
      <c r="Q59" s="10" t="str">
        <f>+CONCATENATE(E57,K57)</f>
        <v>보온덕트벽체</v>
      </c>
      <c r="R59" s="10">
        <f>+L57</f>
        <v>0</v>
      </c>
      <c r="S59" s="11"/>
      <c r="T59" s="10" t="str">
        <f>+E57</f>
        <v>보온덕트벽체</v>
      </c>
      <c r="U59" s="19" t="str">
        <f>IFERROR(LEFT(K57,FIND("*",K57)-1),"-")</f>
        <v>-</v>
      </c>
      <c r="V59" s="19" t="str">
        <f>IFERROR(RIGHT(K57,LEN(K57)-FIND("*",K57)),"-")</f>
        <v>-</v>
      </c>
      <c r="W59" s="20" t="str">
        <f t="shared" si="28"/>
        <v>-</v>
      </c>
      <c r="X59" s="20" t="str">
        <f>IFERROR(W59*L57,"-")</f>
        <v>-</v>
      </c>
      <c r="Z59" s="85">
        <v>45172</v>
      </c>
    </row>
    <row r="60" spans="1:26" ht="6.95" customHeight="1" x14ac:dyDescent="0.3">
      <c r="A60" s="8"/>
      <c r="B60" s="157"/>
      <c r="C60" s="158"/>
      <c r="D60" s="161" t="s">
        <v>39</v>
      </c>
      <c r="E60" s="162" t="s">
        <v>188</v>
      </c>
      <c r="F60" s="163" t="s">
        <v>40</v>
      </c>
      <c r="G60" s="164" t="s">
        <v>191</v>
      </c>
      <c r="H60" s="165">
        <v>4</v>
      </c>
      <c r="I60" s="164" t="s">
        <v>192</v>
      </c>
      <c r="J60" s="165">
        <v>2</v>
      </c>
      <c r="K60" s="164"/>
      <c r="L60" s="165"/>
      <c r="M60" s="6"/>
      <c r="N60" s="32"/>
      <c r="Q60" s="10" t="str">
        <f>+CONCATENATE(E60,G60)</f>
        <v>차열재마감800*400</v>
      </c>
      <c r="R60" s="10">
        <f>+H60</f>
        <v>4</v>
      </c>
      <c r="S60" s="11"/>
      <c r="T60" s="10" t="str">
        <f>+E60</f>
        <v>차열재마감</v>
      </c>
      <c r="U60" s="19" t="str">
        <f t="shared" ref="U60" si="29">IFERROR(LEFT(G60,FIND("*",G60)-1),"-")</f>
        <v>800</v>
      </c>
      <c r="V60" s="19" t="str">
        <f t="shared" ref="V60" si="30">IFERROR(RIGHT(G60,LEN(G60)-FIND("*",G60)),"-")</f>
        <v>400</v>
      </c>
      <c r="W60" s="20">
        <f t="shared" si="28"/>
        <v>2.4</v>
      </c>
      <c r="X60" s="20">
        <f>IFERROR(W60*H60,"-")</f>
        <v>9.6</v>
      </c>
      <c r="Z60" s="85">
        <v>45172</v>
      </c>
    </row>
    <row r="61" spans="1:26" ht="6.95" customHeight="1" x14ac:dyDescent="0.3">
      <c r="A61" s="5"/>
      <c r="B61" s="157"/>
      <c r="C61" s="158"/>
      <c r="D61" s="161"/>
      <c r="E61" s="162"/>
      <c r="F61" s="163"/>
      <c r="G61" s="164"/>
      <c r="H61" s="165"/>
      <c r="I61" s="164"/>
      <c r="J61" s="165"/>
      <c r="K61" s="164"/>
      <c r="L61" s="165"/>
      <c r="M61" s="6"/>
      <c r="N61" s="32"/>
      <c r="Q61" s="10" t="str">
        <f>+CONCATENATE(E60,I60)</f>
        <v>차열재마감1400*400</v>
      </c>
      <c r="R61" s="10">
        <f>+J60</f>
        <v>2</v>
      </c>
      <c r="S61" s="11"/>
      <c r="T61" s="10" t="str">
        <f>+E60</f>
        <v>차열재마감</v>
      </c>
      <c r="U61" s="19" t="str">
        <f>IFERROR(LEFT(I60,FIND("*",I60)-1),"-")</f>
        <v>1400</v>
      </c>
      <c r="V61" s="19" t="str">
        <f>IFERROR(RIGHT(I60,LEN(I60)-FIND("*",I60)),"-")</f>
        <v>400</v>
      </c>
      <c r="W61" s="20">
        <f t="shared" si="28"/>
        <v>3.6</v>
      </c>
      <c r="X61" s="20">
        <f>IFERROR(W61*J60,"-")</f>
        <v>7.2</v>
      </c>
      <c r="Z61" s="85">
        <v>45172</v>
      </c>
    </row>
    <row r="62" spans="1:26" ht="6.95" customHeight="1" x14ac:dyDescent="0.3">
      <c r="A62" s="5"/>
      <c r="B62" s="157"/>
      <c r="C62" s="158"/>
      <c r="D62" s="161"/>
      <c r="E62" s="162"/>
      <c r="F62" s="163"/>
      <c r="G62" s="164"/>
      <c r="H62" s="165"/>
      <c r="I62" s="164"/>
      <c r="J62" s="165"/>
      <c r="K62" s="164"/>
      <c r="L62" s="165"/>
      <c r="M62" s="6"/>
      <c r="N62" s="32"/>
      <c r="Q62" s="10" t="str">
        <f>+CONCATENATE(E60,K60)</f>
        <v>차열재마감</v>
      </c>
      <c r="R62" s="10">
        <f>+L60</f>
        <v>0</v>
      </c>
      <c r="S62" s="11"/>
      <c r="T62" s="10" t="str">
        <f>+E60</f>
        <v>차열재마감</v>
      </c>
      <c r="U62" s="19" t="str">
        <f>IFERROR(LEFT(K60,FIND("*",K60)-1),"-")</f>
        <v>-</v>
      </c>
      <c r="V62" s="19" t="str">
        <f>IFERROR(RIGHT(K60,LEN(K60)-FIND("*",K60)),"-")</f>
        <v>-</v>
      </c>
      <c r="W62" s="20" t="str">
        <f t="shared" si="28"/>
        <v>-</v>
      </c>
      <c r="X62" s="20" t="str">
        <f>IFERROR(W62*L60,"-")</f>
        <v>-</v>
      </c>
      <c r="Z62" s="85">
        <v>45172</v>
      </c>
    </row>
    <row r="63" spans="1:26" ht="6.95" customHeight="1" x14ac:dyDescent="0.3">
      <c r="A63" s="8"/>
      <c r="B63" s="157"/>
      <c r="C63" s="158"/>
      <c r="D63" s="161" t="s">
        <v>39</v>
      </c>
      <c r="E63" s="162"/>
      <c r="F63" s="163" t="s">
        <v>40</v>
      </c>
      <c r="G63" s="164"/>
      <c r="H63" s="165"/>
      <c r="I63" s="164"/>
      <c r="J63" s="165"/>
      <c r="K63" s="164"/>
      <c r="L63" s="165"/>
      <c r="M63" s="6"/>
      <c r="N63" s="32"/>
      <c r="Q63" s="10" t="str">
        <f>+CONCATENATE(E63,G63)</f>
        <v/>
      </c>
      <c r="R63" s="10">
        <f>+H63</f>
        <v>0</v>
      </c>
      <c r="S63" s="11"/>
      <c r="T63" s="10">
        <f>+E63</f>
        <v>0</v>
      </c>
      <c r="U63" s="19" t="str">
        <f t="shared" ref="U63" si="31">IFERROR(LEFT(G63,FIND("*",G63)-1),"-")</f>
        <v>-</v>
      </c>
      <c r="V63" s="19" t="str">
        <f t="shared" ref="V63" si="32">IFERROR(RIGHT(G63,LEN(G63)-FIND("*",G63)),"-")</f>
        <v>-</v>
      </c>
      <c r="W63" s="20" t="str">
        <f t="shared" si="28"/>
        <v>-</v>
      </c>
      <c r="X63" s="20" t="str">
        <f>IFERROR(W63*H63,"-")</f>
        <v>-</v>
      </c>
      <c r="Z63" s="85">
        <v>45172</v>
      </c>
    </row>
    <row r="64" spans="1:26" ht="6.95" customHeight="1" x14ac:dyDescent="0.3">
      <c r="A64" s="5"/>
      <c r="B64" s="157"/>
      <c r="C64" s="158"/>
      <c r="D64" s="161"/>
      <c r="E64" s="162"/>
      <c r="F64" s="163"/>
      <c r="G64" s="164"/>
      <c r="H64" s="165"/>
      <c r="I64" s="164"/>
      <c r="J64" s="165"/>
      <c r="K64" s="164"/>
      <c r="L64" s="165"/>
      <c r="M64" s="6"/>
      <c r="N64" s="32"/>
      <c r="Q64" s="10" t="str">
        <f>+CONCATENATE(E63,I63)</f>
        <v/>
      </c>
      <c r="R64" s="10">
        <f>+J63</f>
        <v>0</v>
      </c>
      <c r="S64" s="11"/>
      <c r="T64" s="10">
        <f>+E63</f>
        <v>0</v>
      </c>
      <c r="U64" s="19" t="str">
        <f>IFERROR(LEFT(I63,FIND("*",I63)-1),"-")</f>
        <v>-</v>
      </c>
      <c r="V64" s="19" t="str">
        <f>IFERROR(RIGHT(I63,LEN(I63)-FIND("*",I63)),"-")</f>
        <v>-</v>
      </c>
      <c r="W64" s="20" t="str">
        <f t="shared" si="28"/>
        <v>-</v>
      </c>
      <c r="X64" s="20" t="str">
        <f t="shared" ref="X64" si="33">IFERROR(W64*J63,"-")</f>
        <v>-</v>
      </c>
      <c r="Z64" s="85">
        <v>45172</v>
      </c>
    </row>
    <row r="65" spans="1:26" ht="6.95" customHeight="1" x14ac:dyDescent="0.3">
      <c r="A65" s="5"/>
      <c r="B65" s="157"/>
      <c r="C65" s="158"/>
      <c r="D65" s="161"/>
      <c r="E65" s="162"/>
      <c r="F65" s="163"/>
      <c r="G65" s="164"/>
      <c r="H65" s="165"/>
      <c r="I65" s="164"/>
      <c r="J65" s="165"/>
      <c r="K65" s="164"/>
      <c r="L65" s="165"/>
      <c r="M65" s="6"/>
      <c r="N65" s="32"/>
      <c r="Q65" s="10" t="str">
        <f>+CONCATENATE(E63,K63)</f>
        <v/>
      </c>
      <c r="R65" s="10">
        <f>+L63</f>
        <v>0</v>
      </c>
      <c r="S65" s="11"/>
      <c r="T65" s="10">
        <f>+E63</f>
        <v>0</v>
      </c>
      <c r="U65" s="19" t="str">
        <f>IFERROR(LEFT(K63,FIND("*",K63)-1),"-")</f>
        <v>-</v>
      </c>
      <c r="V65" s="19" t="str">
        <f>IFERROR(RIGHT(K63,LEN(K63)-FIND("*",K63)),"-")</f>
        <v>-</v>
      </c>
      <c r="W65" s="20" t="str">
        <f t="shared" si="28"/>
        <v>-</v>
      </c>
      <c r="X65" s="20" t="str">
        <f>IFERROR(W65*L63,"-")</f>
        <v>-</v>
      </c>
      <c r="Z65" s="85">
        <v>45172</v>
      </c>
    </row>
    <row r="66" spans="1:26" ht="21" customHeight="1" thickBot="1" x14ac:dyDescent="0.35">
      <c r="A66" s="5"/>
      <c r="B66" s="159"/>
      <c r="C66" s="160"/>
      <c r="D66" s="166" t="s">
        <v>43</v>
      </c>
      <c r="E66" s="167"/>
      <c r="F66" s="167"/>
      <c r="G66" s="168" t="s">
        <v>185</v>
      </c>
      <c r="H66" s="168"/>
      <c r="I66" s="168"/>
      <c r="J66" s="168"/>
      <c r="K66" s="168"/>
      <c r="L66" s="168"/>
      <c r="M66" s="7"/>
      <c r="N66" s="33"/>
      <c r="Z66" s="85">
        <v>45172</v>
      </c>
    </row>
    <row r="67" spans="1:26" ht="9.9499999999999993" customHeight="1" thickBot="1" x14ac:dyDescent="0.35">
      <c r="B67" s="9"/>
      <c r="C67" s="109">
        <v>806</v>
      </c>
      <c r="D67" s="51"/>
      <c r="E67" s="12"/>
      <c r="F67" s="51"/>
      <c r="G67" s="14"/>
      <c r="H67" s="14"/>
      <c r="I67" s="14"/>
      <c r="J67" s="14"/>
      <c r="K67" s="14"/>
      <c r="L67" s="14"/>
      <c r="M67" s="9"/>
      <c r="N67" s="32"/>
      <c r="U67" s="18"/>
      <c r="V67" s="18"/>
      <c r="Z67" s="85">
        <v>45172</v>
      </c>
    </row>
    <row r="68" spans="1:26" ht="6.95" customHeight="1" x14ac:dyDescent="0.3">
      <c r="A68" s="154">
        <f>+A57+1</f>
        <v>807</v>
      </c>
      <c r="B68" s="155"/>
      <c r="C68" s="156"/>
      <c r="D68" s="161" t="s">
        <v>39</v>
      </c>
      <c r="E68" s="162" t="s">
        <v>111</v>
      </c>
      <c r="F68" s="163" t="s">
        <v>40</v>
      </c>
      <c r="G68" s="164" t="s">
        <v>193</v>
      </c>
      <c r="H68" s="165">
        <v>1</v>
      </c>
      <c r="I68" s="164"/>
      <c r="J68" s="165"/>
      <c r="K68" s="164"/>
      <c r="L68" s="165"/>
      <c r="M68" s="6"/>
      <c r="N68" s="32"/>
      <c r="Q68" s="10" t="str">
        <f>+CONCATENATE(E68,G68)</f>
        <v>보온덕트벽체1500*500</v>
      </c>
      <c r="R68" s="10">
        <f>+H68</f>
        <v>1</v>
      </c>
      <c r="S68" s="11"/>
      <c r="T68" s="10" t="str">
        <f>+E68</f>
        <v>보온덕트벽체</v>
      </c>
      <c r="U68" s="19" t="str">
        <f>IFERROR(LEFT(G68,FIND("*",G68)-1),"-")</f>
        <v>1500</v>
      </c>
      <c r="V68" s="19" t="str">
        <f>IFERROR(RIGHT(G68,LEN(G68)-FIND("*",G68)),"-")</f>
        <v>500</v>
      </c>
      <c r="W68" s="20">
        <f>IFERROR((U68+V68)*2/1000,"-")</f>
        <v>4</v>
      </c>
      <c r="X68" s="20">
        <f>IFERROR(W68*H68,"-")</f>
        <v>4</v>
      </c>
      <c r="Z68" s="85">
        <v>45172</v>
      </c>
    </row>
    <row r="69" spans="1:26" ht="6.95" customHeight="1" x14ac:dyDescent="0.3">
      <c r="A69" s="154"/>
      <c r="B69" s="157"/>
      <c r="C69" s="158"/>
      <c r="D69" s="161"/>
      <c r="E69" s="162"/>
      <c r="F69" s="163"/>
      <c r="G69" s="164"/>
      <c r="H69" s="165"/>
      <c r="I69" s="164"/>
      <c r="J69" s="165"/>
      <c r="K69" s="164"/>
      <c r="L69" s="165"/>
      <c r="M69" s="6"/>
      <c r="N69" s="32"/>
      <c r="Q69" s="10" t="str">
        <f>+CONCATENATE(E68,I68)</f>
        <v>보온덕트벽체</v>
      </c>
      <c r="R69" s="10">
        <f>+J68</f>
        <v>0</v>
      </c>
      <c r="S69" s="11"/>
      <c r="T69" s="10" t="str">
        <f>+E68</f>
        <v>보온덕트벽체</v>
      </c>
      <c r="U69" s="19" t="str">
        <f>IFERROR(LEFT(I68,FIND("*",I68)-1),"-")</f>
        <v>-</v>
      </c>
      <c r="V69" s="19" t="str">
        <f>IFERROR(RIGHT(I68,LEN(I68)-FIND("*",I68)),"-")</f>
        <v>-</v>
      </c>
      <c r="W69" s="20" t="str">
        <f t="shared" ref="W69:W76" si="34">IFERROR((U69+V69)*2/1000,"-")</f>
        <v>-</v>
      </c>
      <c r="X69" s="20" t="str">
        <f>IFERROR(W69*J68,"-")</f>
        <v>-</v>
      </c>
      <c r="Z69" s="85">
        <v>45172</v>
      </c>
    </row>
    <row r="70" spans="1:26" ht="6.95" customHeight="1" x14ac:dyDescent="0.3">
      <c r="A70" s="154"/>
      <c r="B70" s="157"/>
      <c r="C70" s="158"/>
      <c r="D70" s="161"/>
      <c r="E70" s="162"/>
      <c r="F70" s="163"/>
      <c r="G70" s="164"/>
      <c r="H70" s="165"/>
      <c r="I70" s="164"/>
      <c r="J70" s="165"/>
      <c r="K70" s="164"/>
      <c r="L70" s="165"/>
      <c r="M70" s="6"/>
      <c r="N70" s="32"/>
      <c r="Q70" s="10" t="str">
        <f>+CONCATENATE(E68,K68)</f>
        <v>보온덕트벽체</v>
      </c>
      <c r="R70" s="10">
        <f>+L68</f>
        <v>0</v>
      </c>
      <c r="S70" s="11"/>
      <c r="T70" s="10" t="str">
        <f>+E68</f>
        <v>보온덕트벽체</v>
      </c>
      <c r="U70" s="19" t="str">
        <f>IFERROR(LEFT(K68,FIND("*",K68)-1),"-")</f>
        <v>-</v>
      </c>
      <c r="V70" s="19" t="str">
        <f>IFERROR(RIGHT(K68,LEN(K68)-FIND("*",K68)),"-")</f>
        <v>-</v>
      </c>
      <c r="W70" s="20" t="str">
        <f t="shared" si="34"/>
        <v>-</v>
      </c>
      <c r="X70" s="20" t="str">
        <f>IFERROR(W70*L68,"-")</f>
        <v>-</v>
      </c>
      <c r="Z70" s="85">
        <v>45172</v>
      </c>
    </row>
    <row r="71" spans="1:26" ht="6.95" customHeight="1" x14ac:dyDescent="0.3">
      <c r="A71" s="8"/>
      <c r="B71" s="157"/>
      <c r="C71" s="158"/>
      <c r="D71" s="161" t="s">
        <v>39</v>
      </c>
      <c r="E71" s="162" t="s">
        <v>188</v>
      </c>
      <c r="F71" s="163" t="s">
        <v>40</v>
      </c>
      <c r="G71" s="164" t="s">
        <v>193</v>
      </c>
      <c r="H71" s="165">
        <v>2</v>
      </c>
      <c r="I71" s="164"/>
      <c r="J71" s="165"/>
      <c r="K71" s="164"/>
      <c r="L71" s="165"/>
      <c r="M71" s="6"/>
      <c r="N71" s="32"/>
      <c r="Q71" s="10" t="str">
        <f>+CONCATENATE(E71,G71)</f>
        <v>차열재마감1500*500</v>
      </c>
      <c r="R71" s="10">
        <f>+H71</f>
        <v>2</v>
      </c>
      <c r="S71" s="11"/>
      <c r="T71" s="10" t="str">
        <f>+E71</f>
        <v>차열재마감</v>
      </c>
      <c r="U71" s="19" t="str">
        <f t="shared" ref="U71" si="35">IFERROR(LEFT(G71,FIND("*",G71)-1),"-")</f>
        <v>1500</v>
      </c>
      <c r="V71" s="19" t="str">
        <f t="shared" ref="V71" si="36">IFERROR(RIGHT(G71,LEN(G71)-FIND("*",G71)),"-")</f>
        <v>500</v>
      </c>
      <c r="W71" s="20">
        <f t="shared" si="34"/>
        <v>4</v>
      </c>
      <c r="X71" s="20">
        <f>IFERROR(W71*H71,"-")</f>
        <v>8</v>
      </c>
      <c r="Z71" s="85">
        <v>45172</v>
      </c>
    </row>
    <row r="72" spans="1:26" ht="6.95" customHeight="1" x14ac:dyDescent="0.3">
      <c r="A72" s="5"/>
      <c r="B72" s="157"/>
      <c r="C72" s="158"/>
      <c r="D72" s="161"/>
      <c r="E72" s="162"/>
      <c r="F72" s="163"/>
      <c r="G72" s="164"/>
      <c r="H72" s="165"/>
      <c r="I72" s="164"/>
      <c r="J72" s="165"/>
      <c r="K72" s="164"/>
      <c r="L72" s="165"/>
      <c r="M72" s="6"/>
      <c r="N72" s="32"/>
      <c r="Q72" s="10" t="str">
        <f>+CONCATENATE(E71,I71)</f>
        <v>차열재마감</v>
      </c>
      <c r="R72" s="10">
        <f>+J71</f>
        <v>0</v>
      </c>
      <c r="S72" s="11"/>
      <c r="T72" s="10" t="str">
        <f>+E71</f>
        <v>차열재마감</v>
      </c>
      <c r="U72" s="19" t="str">
        <f>IFERROR(LEFT(I71,FIND("*",I71)-1),"-")</f>
        <v>-</v>
      </c>
      <c r="V72" s="19" t="str">
        <f>IFERROR(RIGHT(I71,LEN(I71)-FIND("*",I71)),"-")</f>
        <v>-</v>
      </c>
      <c r="W72" s="20" t="str">
        <f t="shared" si="34"/>
        <v>-</v>
      </c>
      <c r="X72" s="20" t="str">
        <f>IFERROR(W72*J71,"-")</f>
        <v>-</v>
      </c>
      <c r="Z72" s="85">
        <v>45172</v>
      </c>
    </row>
    <row r="73" spans="1:26" ht="6.95" customHeight="1" x14ac:dyDescent="0.3">
      <c r="A73" s="5"/>
      <c r="B73" s="157"/>
      <c r="C73" s="158"/>
      <c r="D73" s="161"/>
      <c r="E73" s="162"/>
      <c r="F73" s="163"/>
      <c r="G73" s="164"/>
      <c r="H73" s="165"/>
      <c r="I73" s="164"/>
      <c r="J73" s="165"/>
      <c r="K73" s="164"/>
      <c r="L73" s="165"/>
      <c r="M73" s="6"/>
      <c r="N73" s="32"/>
      <c r="Q73" s="10" t="str">
        <f>+CONCATENATE(E71,K71)</f>
        <v>차열재마감</v>
      </c>
      <c r="R73" s="10">
        <f>+L71</f>
        <v>0</v>
      </c>
      <c r="S73" s="11"/>
      <c r="T73" s="10" t="str">
        <f>+E71</f>
        <v>차열재마감</v>
      </c>
      <c r="U73" s="19" t="str">
        <f>IFERROR(LEFT(K71,FIND("*",K71)-1),"-")</f>
        <v>-</v>
      </c>
      <c r="V73" s="19" t="str">
        <f>IFERROR(RIGHT(K71,LEN(K71)-FIND("*",K71)),"-")</f>
        <v>-</v>
      </c>
      <c r="W73" s="20" t="str">
        <f t="shared" si="34"/>
        <v>-</v>
      </c>
      <c r="X73" s="20" t="str">
        <f>IFERROR(W73*L71,"-")</f>
        <v>-</v>
      </c>
      <c r="Z73" s="85">
        <v>45172</v>
      </c>
    </row>
    <row r="74" spans="1:26" ht="6.95" customHeight="1" x14ac:dyDescent="0.3">
      <c r="A74" s="8"/>
      <c r="B74" s="157"/>
      <c r="C74" s="158"/>
      <c r="D74" s="161" t="s">
        <v>39</v>
      </c>
      <c r="E74" s="162" t="s">
        <v>186</v>
      </c>
      <c r="F74" s="163" t="s">
        <v>40</v>
      </c>
      <c r="G74" s="164">
        <v>150</v>
      </c>
      <c r="H74" s="165">
        <v>1</v>
      </c>
      <c r="I74" s="164"/>
      <c r="J74" s="165"/>
      <c r="K74" s="164"/>
      <c r="L74" s="165"/>
      <c r="M74" s="6"/>
      <c r="N74" s="32"/>
      <c r="Q74" s="10" t="str">
        <f>+CONCATENATE(E74,G74)</f>
        <v>금속관벽체150</v>
      </c>
      <c r="R74" s="10">
        <f>+H74</f>
        <v>1</v>
      </c>
      <c r="S74" s="11"/>
      <c r="T74" s="10" t="str">
        <f>+E74</f>
        <v>금속관벽체</v>
      </c>
      <c r="U74" s="19" t="str">
        <f t="shared" ref="U74" si="37">IFERROR(LEFT(G74,FIND("*",G74)-1),"-")</f>
        <v>-</v>
      </c>
      <c r="V74" s="19" t="str">
        <f t="shared" ref="V74" si="38">IFERROR(RIGHT(G74,LEN(G74)-FIND("*",G74)),"-")</f>
        <v>-</v>
      </c>
      <c r="W74" s="20" t="str">
        <f t="shared" si="34"/>
        <v>-</v>
      </c>
      <c r="X74" s="20" t="str">
        <f>IFERROR(W74*H74,"-")</f>
        <v>-</v>
      </c>
      <c r="Z74" s="85">
        <v>45172</v>
      </c>
    </row>
    <row r="75" spans="1:26" ht="6.95" customHeight="1" x14ac:dyDescent="0.3">
      <c r="A75" s="5"/>
      <c r="B75" s="157"/>
      <c r="C75" s="158"/>
      <c r="D75" s="161"/>
      <c r="E75" s="162"/>
      <c r="F75" s="163"/>
      <c r="G75" s="164"/>
      <c r="H75" s="165"/>
      <c r="I75" s="164"/>
      <c r="J75" s="165"/>
      <c r="K75" s="164"/>
      <c r="L75" s="165"/>
      <c r="M75" s="6"/>
      <c r="N75" s="32"/>
      <c r="Q75" s="10" t="str">
        <f>+CONCATENATE(E74,I74)</f>
        <v>금속관벽체</v>
      </c>
      <c r="R75" s="10">
        <f>+J74</f>
        <v>0</v>
      </c>
      <c r="S75" s="11"/>
      <c r="T75" s="10" t="str">
        <f>+E74</f>
        <v>금속관벽체</v>
      </c>
      <c r="U75" s="19" t="str">
        <f>IFERROR(LEFT(I74,FIND("*",I74)-1),"-")</f>
        <v>-</v>
      </c>
      <c r="V75" s="19" t="str">
        <f>IFERROR(RIGHT(I74,LEN(I74)-FIND("*",I74)),"-")</f>
        <v>-</v>
      </c>
      <c r="W75" s="20" t="str">
        <f t="shared" si="34"/>
        <v>-</v>
      </c>
      <c r="X75" s="20" t="str">
        <f t="shared" ref="X75" si="39">IFERROR(W75*J74,"-")</f>
        <v>-</v>
      </c>
      <c r="Z75" s="85">
        <v>45172</v>
      </c>
    </row>
    <row r="76" spans="1:26" ht="6.95" customHeight="1" x14ac:dyDescent="0.3">
      <c r="A76" s="5"/>
      <c r="B76" s="157"/>
      <c r="C76" s="158"/>
      <c r="D76" s="161"/>
      <c r="E76" s="162"/>
      <c r="F76" s="163"/>
      <c r="G76" s="164"/>
      <c r="H76" s="165"/>
      <c r="I76" s="164"/>
      <c r="J76" s="165"/>
      <c r="K76" s="164"/>
      <c r="L76" s="165"/>
      <c r="M76" s="6"/>
      <c r="N76" s="32"/>
      <c r="Q76" s="10" t="str">
        <f>+CONCATENATE(E74,K74)</f>
        <v>금속관벽체</v>
      </c>
      <c r="R76" s="10">
        <f>+L74</f>
        <v>0</v>
      </c>
      <c r="S76" s="11"/>
      <c r="T76" s="10" t="str">
        <f>+E74</f>
        <v>금속관벽체</v>
      </c>
      <c r="U76" s="19" t="str">
        <f>IFERROR(LEFT(K74,FIND("*",K74)-1),"-")</f>
        <v>-</v>
      </c>
      <c r="V76" s="19" t="str">
        <f>IFERROR(RIGHT(K74,LEN(K74)-FIND("*",K74)),"-")</f>
        <v>-</v>
      </c>
      <c r="W76" s="20" t="str">
        <f t="shared" si="34"/>
        <v>-</v>
      </c>
      <c r="X76" s="20" t="str">
        <f>IFERROR(W76*L74,"-")</f>
        <v>-</v>
      </c>
      <c r="Z76" s="85">
        <v>45172</v>
      </c>
    </row>
    <row r="77" spans="1:26" ht="21" customHeight="1" thickBot="1" x14ac:dyDescent="0.35">
      <c r="A77" s="5"/>
      <c r="B77" s="159"/>
      <c r="C77" s="160"/>
      <c r="D77" s="166" t="s">
        <v>43</v>
      </c>
      <c r="E77" s="167"/>
      <c r="F77" s="167"/>
      <c r="G77" s="168" t="s">
        <v>185</v>
      </c>
      <c r="H77" s="168"/>
      <c r="I77" s="168"/>
      <c r="J77" s="168"/>
      <c r="K77" s="168"/>
      <c r="L77" s="168"/>
      <c r="M77" s="7"/>
      <c r="N77" s="33"/>
      <c r="Z77" s="85">
        <v>45172</v>
      </c>
    </row>
    <row r="78" spans="1:26" ht="9.9499999999999993" customHeight="1" thickBot="1" x14ac:dyDescent="0.35">
      <c r="B78" s="9"/>
      <c r="C78" s="109">
        <v>807</v>
      </c>
      <c r="D78" s="51"/>
      <c r="E78" s="12"/>
      <c r="F78" s="51"/>
      <c r="G78" s="14"/>
      <c r="H78" s="14"/>
      <c r="I78" s="14"/>
      <c r="J78" s="14"/>
      <c r="K78" s="14"/>
      <c r="L78" s="14"/>
      <c r="M78" s="9"/>
      <c r="N78" s="32"/>
      <c r="U78" s="18"/>
      <c r="V78" s="18"/>
      <c r="Z78" s="85">
        <v>45172</v>
      </c>
    </row>
    <row r="79" spans="1:26" ht="6.95" customHeight="1" x14ac:dyDescent="0.3">
      <c r="A79" s="154">
        <f>+A68+1</f>
        <v>808</v>
      </c>
      <c r="B79" s="155"/>
      <c r="C79" s="156"/>
      <c r="D79" s="161" t="s">
        <v>39</v>
      </c>
      <c r="E79" s="162" t="s">
        <v>115</v>
      </c>
      <c r="F79" s="163" t="s">
        <v>40</v>
      </c>
      <c r="G79" s="164" t="s">
        <v>194</v>
      </c>
      <c r="H79" s="165">
        <v>1</v>
      </c>
      <c r="I79" s="164"/>
      <c r="J79" s="165"/>
      <c r="K79" s="164"/>
      <c r="L79" s="165"/>
      <c r="M79" s="6"/>
      <c r="N79" s="32"/>
      <c r="Q79" s="10" t="str">
        <f>+CONCATENATE(E79,G79)</f>
        <v>무보온덕트벽체1600*500</v>
      </c>
      <c r="R79" s="10">
        <f>+H79</f>
        <v>1</v>
      </c>
      <c r="S79" s="11"/>
      <c r="T79" s="10" t="str">
        <f>+E79</f>
        <v>무보온덕트벽체</v>
      </c>
      <c r="U79" s="19" t="str">
        <f>IFERROR(LEFT(G79,FIND("*",G79)-1),"-")</f>
        <v>1600</v>
      </c>
      <c r="V79" s="19" t="str">
        <f>IFERROR(RIGHT(G79,LEN(G79)-FIND("*",G79)),"-")</f>
        <v>500</v>
      </c>
      <c r="W79" s="20">
        <f>IFERROR((U79+V79)*2/1000,"-")</f>
        <v>4.2</v>
      </c>
      <c r="X79" s="20">
        <f>IFERROR(W79*H79,"-")</f>
        <v>4.2</v>
      </c>
      <c r="Z79" s="85">
        <v>45172</v>
      </c>
    </row>
    <row r="80" spans="1:26" ht="6.95" customHeight="1" x14ac:dyDescent="0.3">
      <c r="A80" s="154"/>
      <c r="B80" s="157"/>
      <c r="C80" s="158"/>
      <c r="D80" s="161"/>
      <c r="E80" s="162"/>
      <c r="F80" s="163"/>
      <c r="G80" s="164"/>
      <c r="H80" s="165"/>
      <c r="I80" s="164"/>
      <c r="J80" s="165"/>
      <c r="K80" s="164"/>
      <c r="L80" s="165"/>
      <c r="M80" s="6"/>
      <c r="N80" s="32"/>
      <c r="Q80" s="10" t="str">
        <f>+CONCATENATE(E79,I79)</f>
        <v>무보온덕트벽체</v>
      </c>
      <c r="R80" s="10">
        <f>+J79</f>
        <v>0</v>
      </c>
      <c r="S80" s="11"/>
      <c r="T80" s="10" t="str">
        <f>+E79</f>
        <v>무보온덕트벽체</v>
      </c>
      <c r="U80" s="19" t="str">
        <f>IFERROR(LEFT(I79,FIND("*",I79)-1),"-")</f>
        <v>-</v>
      </c>
      <c r="V80" s="19" t="str">
        <f>IFERROR(RIGHT(I79,LEN(I79)-FIND("*",I79)),"-")</f>
        <v>-</v>
      </c>
      <c r="W80" s="20" t="str">
        <f t="shared" ref="W80:W87" si="40">IFERROR((U80+V80)*2/1000,"-")</f>
        <v>-</v>
      </c>
      <c r="X80" s="20" t="str">
        <f>IFERROR(W80*J79,"-")</f>
        <v>-</v>
      </c>
      <c r="Z80" s="85">
        <v>45172</v>
      </c>
    </row>
    <row r="81" spans="1:26" ht="6.95" customHeight="1" x14ac:dyDescent="0.3">
      <c r="A81" s="154"/>
      <c r="B81" s="157"/>
      <c r="C81" s="158"/>
      <c r="D81" s="161"/>
      <c r="E81" s="162"/>
      <c r="F81" s="163"/>
      <c r="G81" s="164"/>
      <c r="H81" s="165"/>
      <c r="I81" s="164"/>
      <c r="J81" s="165"/>
      <c r="K81" s="164"/>
      <c r="L81" s="165"/>
      <c r="M81" s="6"/>
      <c r="N81" s="32"/>
      <c r="Q81" s="10" t="str">
        <f>+CONCATENATE(E79,K79)</f>
        <v>무보온덕트벽체</v>
      </c>
      <c r="R81" s="10">
        <f>+L79</f>
        <v>0</v>
      </c>
      <c r="S81" s="11"/>
      <c r="T81" s="10" t="str">
        <f>+E79</f>
        <v>무보온덕트벽체</v>
      </c>
      <c r="U81" s="19" t="str">
        <f>IFERROR(LEFT(K79,FIND("*",K79)-1),"-")</f>
        <v>-</v>
      </c>
      <c r="V81" s="19" t="str">
        <f>IFERROR(RIGHT(K79,LEN(K79)-FIND("*",K79)),"-")</f>
        <v>-</v>
      </c>
      <c r="W81" s="20" t="str">
        <f t="shared" si="40"/>
        <v>-</v>
      </c>
      <c r="X81" s="20" t="str">
        <f>IFERROR(W81*L79,"-")</f>
        <v>-</v>
      </c>
      <c r="Z81" s="85">
        <v>45172</v>
      </c>
    </row>
    <row r="82" spans="1:26" ht="6.95" customHeight="1" x14ac:dyDescent="0.3">
      <c r="A82" s="8"/>
      <c r="B82" s="157"/>
      <c r="C82" s="158"/>
      <c r="D82" s="161" t="s">
        <v>39</v>
      </c>
      <c r="E82" s="162" t="s">
        <v>188</v>
      </c>
      <c r="F82" s="163" t="s">
        <v>40</v>
      </c>
      <c r="G82" s="164" t="s">
        <v>194</v>
      </c>
      <c r="H82" s="165">
        <v>1</v>
      </c>
      <c r="I82" s="164"/>
      <c r="J82" s="165"/>
      <c r="K82" s="164"/>
      <c r="L82" s="165"/>
      <c r="M82" s="6"/>
      <c r="N82" s="32"/>
      <c r="Q82" s="10" t="str">
        <f>+CONCATENATE(E82,G82)</f>
        <v>차열재마감1600*500</v>
      </c>
      <c r="R82" s="10">
        <f>+H82</f>
        <v>1</v>
      </c>
      <c r="S82" s="11"/>
      <c r="T82" s="10" t="str">
        <f>+E82</f>
        <v>차열재마감</v>
      </c>
      <c r="U82" s="19" t="str">
        <f t="shared" ref="U82" si="41">IFERROR(LEFT(G82,FIND("*",G82)-1),"-")</f>
        <v>1600</v>
      </c>
      <c r="V82" s="19" t="str">
        <f t="shared" ref="V82" si="42">IFERROR(RIGHT(G82,LEN(G82)-FIND("*",G82)),"-")</f>
        <v>500</v>
      </c>
      <c r="W82" s="20">
        <f t="shared" si="40"/>
        <v>4.2</v>
      </c>
      <c r="X82" s="20">
        <f>IFERROR(W82*H82,"-")</f>
        <v>4.2</v>
      </c>
      <c r="Z82" s="85">
        <v>45172</v>
      </c>
    </row>
    <row r="83" spans="1:26" ht="6.95" customHeight="1" x14ac:dyDescent="0.3">
      <c r="A83" s="5"/>
      <c r="B83" s="157"/>
      <c r="C83" s="158"/>
      <c r="D83" s="161"/>
      <c r="E83" s="162"/>
      <c r="F83" s="163"/>
      <c r="G83" s="164"/>
      <c r="H83" s="165"/>
      <c r="I83" s="164"/>
      <c r="J83" s="165"/>
      <c r="K83" s="164"/>
      <c r="L83" s="165"/>
      <c r="M83" s="6"/>
      <c r="N83" s="32"/>
      <c r="Q83" s="10" t="str">
        <f>+CONCATENATE(E82,I82)</f>
        <v>차열재마감</v>
      </c>
      <c r="R83" s="10">
        <f>+J82</f>
        <v>0</v>
      </c>
      <c r="S83" s="11"/>
      <c r="T83" s="10" t="str">
        <f>+E82</f>
        <v>차열재마감</v>
      </c>
      <c r="U83" s="19" t="str">
        <f>IFERROR(LEFT(I82,FIND("*",I82)-1),"-")</f>
        <v>-</v>
      </c>
      <c r="V83" s="19" t="str">
        <f>IFERROR(RIGHT(I82,LEN(I82)-FIND("*",I82)),"-")</f>
        <v>-</v>
      </c>
      <c r="W83" s="20" t="str">
        <f t="shared" si="40"/>
        <v>-</v>
      </c>
      <c r="X83" s="20" t="str">
        <f>IFERROR(W83*J82,"-")</f>
        <v>-</v>
      </c>
      <c r="Z83" s="85">
        <v>45172</v>
      </c>
    </row>
    <row r="84" spans="1:26" ht="6.95" customHeight="1" x14ac:dyDescent="0.3">
      <c r="A84" s="5"/>
      <c r="B84" s="157"/>
      <c r="C84" s="158"/>
      <c r="D84" s="161"/>
      <c r="E84" s="162"/>
      <c r="F84" s="163"/>
      <c r="G84" s="164"/>
      <c r="H84" s="165"/>
      <c r="I84" s="164"/>
      <c r="J84" s="165"/>
      <c r="K84" s="164"/>
      <c r="L84" s="165"/>
      <c r="M84" s="6"/>
      <c r="N84" s="32"/>
      <c r="Q84" s="10" t="str">
        <f>+CONCATENATE(E82,K82)</f>
        <v>차열재마감</v>
      </c>
      <c r="R84" s="10">
        <f>+L82</f>
        <v>0</v>
      </c>
      <c r="S84" s="11"/>
      <c r="T84" s="10" t="str">
        <f>+E82</f>
        <v>차열재마감</v>
      </c>
      <c r="U84" s="19" t="str">
        <f>IFERROR(LEFT(K82,FIND("*",K82)-1),"-")</f>
        <v>-</v>
      </c>
      <c r="V84" s="19" t="str">
        <f>IFERROR(RIGHT(K82,LEN(K82)-FIND("*",K82)),"-")</f>
        <v>-</v>
      </c>
      <c r="W84" s="20" t="str">
        <f t="shared" si="40"/>
        <v>-</v>
      </c>
      <c r="X84" s="20" t="str">
        <f>IFERROR(W84*L82,"-")</f>
        <v>-</v>
      </c>
      <c r="Z84" s="85">
        <v>45172</v>
      </c>
    </row>
    <row r="85" spans="1:26" ht="6.95" customHeight="1" x14ac:dyDescent="0.3">
      <c r="A85" s="8"/>
      <c r="B85" s="157"/>
      <c r="C85" s="158"/>
      <c r="D85" s="161" t="s">
        <v>39</v>
      </c>
      <c r="E85" s="162" t="s">
        <v>186</v>
      </c>
      <c r="F85" s="163" t="s">
        <v>40</v>
      </c>
      <c r="G85" s="164">
        <v>100</v>
      </c>
      <c r="H85" s="165">
        <v>2</v>
      </c>
      <c r="I85" s="164">
        <v>150</v>
      </c>
      <c r="J85" s="165">
        <v>1</v>
      </c>
      <c r="K85" s="164"/>
      <c r="L85" s="165"/>
      <c r="M85" s="6"/>
      <c r="N85" s="32"/>
      <c r="Q85" s="10" t="str">
        <f>+CONCATENATE(E85,G85)</f>
        <v>금속관벽체100</v>
      </c>
      <c r="R85" s="10">
        <f>+H85</f>
        <v>2</v>
      </c>
      <c r="S85" s="11"/>
      <c r="T85" s="10" t="str">
        <f>+E85</f>
        <v>금속관벽체</v>
      </c>
      <c r="U85" s="19" t="str">
        <f t="shared" ref="U85" si="43">IFERROR(LEFT(G85,FIND("*",G85)-1),"-")</f>
        <v>-</v>
      </c>
      <c r="V85" s="19" t="str">
        <f t="shared" ref="V85" si="44">IFERROR(RIGHT(G85,LEN(G85)-FIND("*",G85)),"-")</f>
        <v>-</v>
      </c>
      <c r="W85" s="20" t="str">
        <f t="shared" si="40"/>
        <v>-</v>
      </c>
      <c r="X85" s="20" t="str">
        <f>IFERROR(W85*H85,"-")</f>
        <v>-</v>
      </c>
      <c r="Z85" s="85">
        <v>45172</v>
      </c>
    </row>
    <row r="86" spans="1:26" ht="6.95" customHeight="1" x14ac:dyDescent="0.3">
      <c r="A86" s="5"/>
      <c r="B86" s="157"/>
      <c r="C86" s="158"/>
      <c r="D86" s="161"/>
      <c r="E86" s="162"/>
      <c r="F86" s="163"/>
      <c r="G86" s="164"/>
      <c r="H86" s="165"/>
      <c r="I86" s="164"/>
      <c r="J86" s="165"/>
      <c r="K86" s="164"/>
      <c r="L86" s="165"/>
      <c r="M86" s="6"/>
      <c r="N86" s="32"/>
      <c r="Q86" s="10" t="str">
        <f>+CONCATENATE(E85,I85)</f>
        <v>금속관벽체150</v>
      </c>
      <c r="R86" s="10">
        <f>+J85</f>
        <v>1</v>
      </c>
      <c r="S86" s="11"/>
      <c r="T86" s="10" t="str">
        <f>+E85</f>
        <v>금속관벽체</v>
      </c>
      <c r="U86" s="19" t="str">
        <f>IFERROR(LEFT(I85,FIND("*",I85)-1),"-")</f>
        <v>-</v>
      </c>
      <c r="V86" s="19" t="str">
        <f>IFERROR(RIGHT(I85,LEN(I85)-FIND("*",I85)),"-")</f>
        <v>-</v>
      </c>
      <c r="W86" s="20" t="str">
        <f t="shared" si="40"/>
        <v>-</v>
      </c>
      <c r="X86" s="20" t="str">
        <f t="shared" ref="X86" si="45">IFERROR(W86*J85,"-")</f>
        <v>-</v>
      </c>
      <c r="Z86" s="85">
        <v>45172</v>
      </c>
    </row>
    <row r="87" spans="1:26" ht="6.95" customHeight="1" x14ac:dyDescent="0.3">
      <c r="A87" s="5"/>
      <c r="B87" s="157"/>
      <c r="C87" s="158"/>
      <c r="D87" s="161"/>
      <c r="E87" s="162"/>
      <c r="F87" s="163"/>
      <c r="G87" s="164"/>
      <c r="H87" s="165"/>
      <c r="I87" s="164"/>
      <c r="J87" s="165"/>
      <c r="K87" s="164"/>
      <c r="L87" s="165"/>
      <c r="M87" s="6"/>
      <c r="N87" s="32"/>
      <c r="Q87" s="10" t="str">
        <f>+CONCATENATE(E85,K85)</f>
        <v>금속관벽체</v>
      </c>
      <c r="R87" s="10">
        <f>+L85</f>
        <v>0</v>
      </c>
      <c r="S87" s="11"/>
      <c r="T87" s="10" t="str">
        <f>+E85</f>
        <v>금속관벽체</v>
      </c>
      <c r="U87" s="19" t="str">
        <f>IFERROR(LEFT(K85,FIND("*",K85)-1),"-")</f>
        <v>-</v>
      </c>
      <c r="V87" s="19" t="str">
        <f>IFERROR(RIGHT(K85,LEN(K85)-FIND("*",K85)),"-")</f>
        <v>-</v>
      </c>
      <c r="W87" s="20" t="str">
        <f t="shared" si="40"/>
        <v>-</v>
      </c>
      <c r="X87" s="20" t="str">
        <f>IFERROR(W87*L85,"-")</f>
        <v>-</v>
      </c>
      <c r="Z87" s="85">
        <v>45172</v>
      </c>
    </row>
    <row r="88" spans="1:26" ht="21" customHeight="1" thickBot="1" x14ac:dyDescent="0.35">
      <c r="A88" s="5"/>
      <c r="B88" s="159"/>
      <c r="C88" s="160"/>
      <c r="D88" s="166" t="s">
        <v>43</v>
      </c>
      <c r="E88" s="167"/>
      <c r="F88" s="167"/>
      <c r="G88" s="168" t="s">
        <v>184</v>
      </c>
      <c r="H88" s="168"/>
      <c r="I88" s="168"/>
      <c r="J88" s="168"/>
      <c r="K88" s="168"/>
      <c r="L88" s="168"/>
      <c r="M88" s="7"/>
      <c r="N88" s="32"/>
      <c r="Z88" s="85">
        <v>45172</v>
      </c>
    </row>
    <row r="89" spans="1:26" ht="9.9499999999999993" customHeight="1" thickBot="1" x14ac:dyDescent="0.35">
      <c r="B89" s="9"/>
      <c r="C89" s="109">
        <v>808</v>
      </c>
      <c r="D89" s="51"/>
      <c r="E89" s="12"/>
      <c r="F89" s="51"/>
      <c r="G89" s="14"/>
      <c r="H89" s="14"/>
      <c r="I89" s="14"/>
      <c r="J89" s="14"/>
      <c r="K89" s="14"/>
      <c r="L89" s="14"/>
      <c r="M89" s="9"/>
      <c r="N89" s="32"/>
      <c r="U89" s="18"/>
      <c r="V89" s="18"/>
      <c r="Z89" s="85">
        <v>45172</v>
      </c>
    </row>
    <row r="90" spans="1:26" ht="6.95" customHeight="1" x14ac:dyDescent="0.3">
      <c r="A90" s="154">
        <f>+A79+1</f>
        <v>809</v>
      </c>
      <c r="B90" s="155"/>
      <c r="C90" s="156"/>
      <c r="D90" s="161" t="s">
        <v>39</v>
      </c>
      <c r="E90" s="162" t="s">
        <v>115</v>
      </c>
      <c r="F90" s="163" t="s">
        <v>40</v>
      </c>
      <c r="G90" s="164" t="s">
        <v>199</v>
      </c>
      <c r="H90" s="165">
        <v>1</v>
      </c>
      <c r="I90" s="164" t="s">
        <v>195</v>
      </c>
      <c r="J90" s="165">
        <v>1</v>
      </c>
      <c r="K90" s="164"/>
      <c r="L90" s="165"/>
      <c r="M90" s="6"/>
      <c r="N90" s="32"/>
      <c r="Q90" s="10" t="str">
        <f>+CONCATENATE(E90,G90)</f>
        <v>무보온덕트벽체2100*400</v>
      </c>
      <c r="R90" s="10">
        <f>+H90</f>
        <v>1</v>
      </c>
      <c r="S90" s="11"/>
      <c r="T90" s="10" t="str">
        <f>+E90</f>
        <v>무보온덕트벽체</v>
      </c>
      <c r="U90" s="19" t="str">
        <f>IFERROR(LEFT(G90,FIND("*",G90)-1),"-")</f>
        <v>2100</v>
      </c>
      <c r="V90" s="19" t="str">
        <f>IFERROR(RIGHT(G90,LEN(G90)-FIND("*",G90)),"-")</f>
        <v>400</v>
      </c>
      <c r="W90" s="20">
        <f>IFERROR((U90+V90)*2/1000,"-")</f>
        <v>5</v>
      </c>
      <c r="X90" s="20">
        <f>IFERROR(W90*H90,"-")</f>
        <v>5</v>
      </c>
      <c r="Z90" s="85">
        <v>45172</v>
      </c>
    </row>
    <row r="91" spans="1:26" ht="6.95" customHeight="1" x14ac:dyDescent="0.3">
      <c r="A91" s="154"/>
      <c r="B91" s="157"/>
      <c r="C91" s="158"/>
      <c r="D91" s="161"/>
      <c r="E91" s="162"/>
      <c r="F91" s="163"/>
      <c r="G91" s="164"/>
      <c r="H91" s="165"/>
      <c r="I91" s="164"/>
      <c r="J91" s="165"/>
      <c r="K91" s="164"/>
      <c r="L91" s="165"/>
      <c r="M91" s="6"/>
      <c r="N91" s="32"/>
      <c r="Q91" s="10" t="str">
        <f>+CONCATENATE(E90,I90)</f>
        <v>무보온덕트벽체600*400</v>
      </c>
      <c r="R91" s="10">
        <f>+J90</f>
        <v>1</v>
      </c>
      <c r="S91" s="11"/>
      <c r="T91" s="10" t="str">
        <f>+E90</f>
        <v>무보온덕트벽체</v>
      </c>
      <c r="U91" s="19" t="str">
        <f>IFERROR(LEFT(I90,FIND("*",I90)-1),"-")</f>
        <v>600</v>
      </c>
      <c r="V91" s="19" t="str">
        <f>IFERROR(RIGHT(I90,LEN(I90)-FIND("*",I90)),"-")</f>
        <v>400</v>
      </c>
      <c r="W91" s="20">
        <f t="shared" ref="W91:W98" si="46">IFERROR((U91+V91)*2/1000,"-")</f>
        <v>2</v>
      </c>
      <c r="X91" s="20">
        <f>IFERROR(W91*J90,"-")</f>
        <v>2</v>
      </c>
      <c r="Z91" s="85">
        <v>45172</v>
      </c>
    </row>
    <row r="92" spans="1:26" ht="6.95" customHeight="1" x14ac:dyDescent="0.3">
      <c r="A92" s="154"/>
      <c r="B92" s="157"/>
      <c r="C92" s="158"/>
      <c r="D92" s="161"/>
      <c r="E92" s="162"/>
      <c r="F92" s="163"/>
      <c r="G92" s="164"/>
      <c r="H92" s="165"/>
      <c r="I92" s="164"/>
      <c r="J92" s="165"/>
      <c r="K92" s="164"/>
      <c r="L92" s="165"/>
      <c r="M92" s="6"/>
      <c r="N92" s="32"/>
      <c r="Q92" s="10" t="str">
        <f>+CONCATENATE(E90,K90)</f>
        <v>무보온덕트벽체</v>
      </c>
      <c r="R92" s="10">
        <f>+L90</f>
        <v>0</v>
      </c>
      <c r="S92" s="11"/>
      <c r="T92" s="10" t="str">
        <f>+E90</f>
        <v>무보온덕트벽체</v>
      </c>
      <c r="U92" s="19" t="str">
        <f>IFERROR(LEFT(K90,FIND("*",K90)-1),"-")</f>
        <v>-</v>
      </c>
      <c r="V92" s="19" t="str">
        <f>IFERROR(RIGHT(K90,LEN(K90)-FIND("*",K90)),"-")</f>
        <v>-</v>
      </c>
      <c r="W92" s="20" t="str">
        <f t="shared" si="46"/>
        <v>-</v>
      </c>
      <c r="X92" s="20" t="str">
        <f>IFERROR(W92*L90,"-")</f>
        <v>-</v>
      </c>
      <c r="Z92" s="85">
        <v>45172</v>
      </c>
    </row>
    <row r="93" spans="1:26" ht="6.95" customHeight="1" x14ac:dyDescent="0.3">
      <c r="A93" s="8"/>
      <c r="B93" s="157"/>
      <c r="C93" s="158"/>
      <c r="D93" s="161" t="s">
        <v>39</v>
      </c>
      <c r="E93" s="162" t="s">
        <v>188</v>
      </c>
      <c r="F93" s="163" t="s">
        <v>40</v>
      </c>
      <c r="G93" s="164" t="s">
        <v>199</v>
      </c>
      <c r="H93" s="165">
        <v>1</v>
      </c>
      <c r="I93" s="164" t="s">
        <v>195</v>
      </c>
      <c r="J93" s="165">
        <v>1</v>
      </c>
      <c r="K93" s="164"/>
      <c r="L93" s="165"/>
      <c r="M93" s="6"/>
      <c r="N93" s="32"/>
      <c r="Q93" s="10" t="str">
        <f>+CONCATENATE(E93,G93)</f>
        <v>차열재마감2100*400</v>
      </c>
      <c r="R93" s="10">
        <f>+H93</f>
        <v>1</v>
      </c>
      <c r="S93" s="11"/>
      <c r="T93" s="10" t="str">
        <f>+E93</f>
        <v>차열재마감</v>
      </c>
      <c r="U93" s="19" t="str">
        <f t="shared" ref="U93" si="47">IFERROR(LEFT(G93,FIND("*",G93)-1),"-")</f>
        <v>2100</v>
      </c>
      <c r="V93" s="19" t="str">
        <f t="shared" ref="V93" si="48">IFERROR(RIGHT(G93,LEN(G93)-FIND("*",G93)),"-")</f>
        <v>400</v>
      </c>
      <c r="W93" s="20">
        <f t="shared" si="46"/>
        <v>5</v>
      </c>
      <c r="X93" s="20">
        <f>IFERROR(W93*H93,"-")</f>
        <v>5</v>
      </c>
      <c r="Z93" s="85">
        <v>45172</v>
      </c>
    </row>
    <row r="94" spans="1:26" ht="6.95" customHeight="1" x14ac:dyDescent="0.3">
      <c r="A94" s="5"/>
      <c r="B94" s="157"/>
      <c r="C94" s="158"/>
      <c r="D94" s="161"/>
      <c r="E94" s="162"/>
      <c r="F94" s="163"/>
      <c r="G94" s="164"/>
      <c r="H94" s="165"/>
      <c r="I94" s="164"/>
      <c r="J94" s="165"/>
      <c r="K94" s="164"/>
      <c r="L94" s="165"/>
      <c r="M94" s="6"/>
      <c r="N94" s="32"/>
      <c r="Q94" s="10" t="str">
        <f>+CONCATENATE(E93,I93)</f>
        <v>차열재마감600*400</v>
      </c>
      <c r="R94" s="10">
        <f>+J93</f>
        <v>1</v>
      </c>
      <c r="S94" s="11"/>
      <c r="T94" s="10" t="str">
        <f>+E93</f>
        <v>차열재마감</v>
      </c>
      <c r="U94" s="19" t="str">
        <f>IFERROR(LEFT(I93,FIND("*",I93)-1),"-")</f>
        <v>600</v>
      </c>
      <c r="V94" s="19" t="str">
        <f>IFERROR(RIGHT(I93,LEN(I93)-FIND("*",I93)),"-")</f>
        <v>400</v>
      </c>
      <c r="W94" s="20">
        <f t="shared" si="46"/>
        <v>2</v>
      </c>
      <c r="X94" s="20">
        <f>IFERROR(W94*J93,"-")</f>
        <v>2</v>
      </c>
      <c r="Z94" s="85">
        <v>45172</v>
      </c>
    </row>
    <row r="95" spans="1:26" ht="6.95" customHeight="1" x14ac:dyDescent="0.3">
      <c r="A95" s="5"/>
      <c r="B95" s="157"/>
      <c r="C95" s="158"/>
      <c r="D95" s="161"/>
      <c r="E95" s="162"/>
      <c r="F95" s="163"/>
      <c r="G95" s="164"/>
      <c r="H95" s="165"/>
      <c r="I95" s="164"/>
      <c r="J95" s="165"/>
      <c r="K95" s="164"/>
      <c r="L95" s="165"/>
      <c r="M95" s="6"/>
      <c r="N95" s="32"/>
      <c r="Q95" s="10" t="str">
        <f>+CONCATENATE(E93,K93)</f>
        <v>차열재마감</v>
      </c>
      <c r="R95" s="10">
        <f>+L93</f>
        <v>0</v>
      </c>
      <c r="S95" s="11"/>
      <c r="T95" s="10" t="str">
        <f>+E93</f>
        <v>차열재마감</v>
      </c>
      <c r="U95" s="19" t="str">
        <f>IFERROR(LEFT(K93,FIND("*",K93)-1),"-")</f>
        <v>-</v>
      </c>
      <c r="V95" s="19" t="str">
        <f>IFERROR(RIGHT(K93,LEN(K93)-FIND("*",K93)),"-")</f>
        <v>-</v>
      </c>
      <c r="W95" s="20" t="str">
        <f t="shared" si="46"/>
        <v>-</v>
      </c>
      <c r="X95" s="20" t="str">
        <f>IFERROR(W95*L93,"-")</f>
        <v>-</v>
      </c>
      <c r="Z95" s="85">
        <v>45172</v>
      </c>
    </row>
    <row r="96" spans="1:26" ht="6.95" customHeight="1" x14ac:dyDescent="0.3">
      <c r="A96" s="8"/>
      <c r="B96" s="157"/>
      <c r="C96" s="158"/>
      <c r="D96" s="161" t="s">
        <v>39</v>
      </c>
      <c r="E96" s="162"/>
      <c r="F96" s="163" t="s">
        <v>40</v>
      </c>
      <c r="G96" s="164"/>
      <c r="H96" s="165"/>
      <c r="I96" s="164"/>
      <c r="J96" s="165"/>
      <c r="K96" s="164"/>
      <c r="L96" s="165"/>
      <c r="M96" s="6"/>
      <c r="N96" s="32"/>
      <c r="Q96" s="10" t="str">
        <f>+CONCATENATE(E96,G96)</f>
        <v/>
      </c>
      <c r="R96" s="10">
        <f>+H96</f>
        <v>0</v>
      </c>
      <c r="S96" s="11"/>
      <c r="T96" s="10">
        <f>+E96</f>
        <v>0</v>
      </c>
      <c r="U96" s="19" t="str">
        <f t="shared" ref="U96" si="49">IFERROR(LEFT(G96,FIND("*",G96)-1),"-")</f>
        <v>-</v>
      </c>
      <c r="V96" s="19" t="str">
        <f t="shared" ref="V96" si="50">IFERROR(RIGHT(G96,LEN(G96)-FIND("*",G96)),"-")</f>
        <v>-</v>
      </c>
      <c r="W96" s="20" t="str">
        <f t="shared" si="46"/>
        <v>-</v>
      </c>
      <c r="X96" s="20" t="str">
        <f>IFERROR(W96*H96,"-")</f>
        <v>-</v>
      </c>
      <c r="Z96" s="85">
        <v>45172</v>
      </c>
    </row>
    <row r="97" spans="1:26" ht="6.95" customHeight="1" x14ac:dyDescent="0.3">
      <c r="A97" s="5"/>
      <c r="B97" s="157"/>
      <c r="C97" s="158"/>
      <c r="D97" s="161"/>
      <c r="E97" s="162"/>
      <c r="F97" s="163"/>
      <c r="G97" s="164"/>
      <c r="H97" s="165"/>
      <c r="I97" s="164"/>
      <c r="J97" s="165"/>
      <c r="K97" s="164"/>
      <c r="L97" s="165"/>
      <c r="M97" s="6"/>
      <c r="N97" s="32"/>
      <c r="Q97" s="10" t="str">
        <f>+CONCATENATE(E96,I96)</f>
        <v/>
      </c>
      <c r="R97" s="10">
        <f>+J96</f>
        <v>0</v>
      </c>
      <c r="S97" s="11"/>
      <c r="T97" s="10">
        <f>+E96</f>
        <v>0</v>
      </c>
      <c r="U97" s="19" t="str">
        <f>IFERROR(LEFT(I96,FIND("*",I96)-1),"-")</f>
        <v>-</v>
      </c>
      <c r="V97" s="19" t="str">
        <f>IFERROR(RIGHT(I96,LEN(I96)-FIND("*",I96)),"-")</f>
        <v>-</v>
      </c>
      <c r="W97" s="20" t="str">
        <f t="shared" si="46"/>
        <v>-</v>
      </c>
      <c r="X97" s="20" t="str">
        <f t="shared" ref="X97" si="51">IFERROR(W97*J96,"-")</f>
        <v>-</v>
      </c>
      <c r="Z97" s="85">
        <v>45172</v>
      </c>
    </row>
    <row r="98" spans="1:26" ht="6.95" customHeight="1" x14ac:dyDescent="0.3">
      <c r="A98" s="5"/>
      <c r="B98" s="157"/>
      <c r="C98" s="158"/>
      <c r="D98" s="161"/>
      <c r="E98" s="162"/>
      <c r="F98" s="163"/>
      <c r="G98" s="164"/>
      <c r="H98" s="165"/>
      <c r="I98" s="164"/>
      <c r="J98" s="165"/>
      <c r="K98" s="164"/>
      <c r="L98" s="165"/>
      <c r="M98" s="6"/>
      <c r="N98" s="32"/>
      <c r="Q98" s="10" t="str">
        <f>+CONCATENATE(E96,K96)</f>
        <v/>
      </c>
      <c r="R98" s="10">
        <f>+L96</f>
        <v>0</v>
      </c>
      <c r="S98" s="11"/>
      <c r="T98" s="10">
        <f>+E96</f>
        <v>0</v>
      </c>
      <c r="U98" s="19" t="str">
        <f>IFERROR(LEFT(K96,FIND("*",K96)-1),"-")</f>
        <v>-</v>
      </c>
      <c r="V98" s="19" t="str">
        <f>IFERROR(RIGHT(K96,LEN(K96)-FIND("*",K96)),"-")</f>
        <v>-</v>
      </c>
      <c r="W98" s="20" t="str">
        <f t="shared" si="46"/>
        <v>-</v>
      </c>
      <c r="X98" s="20" t="str">
        <f>IFERROR(W98*L96,"-")</f>
        <v>-</v>
      </c>
      <c r="Z98" s="85">
        <v>45172</v>
      </c>
    </row>
    <row r="99" spans="1:26" ht="21" customHeight="1" thickBot="1" x14ac:dyDescent="0.35">
      <c r="A99" s="5"/>
      <c r="B99" s="159"/>
      <c r="C99" s="160"/>
      <c r="D99" s="166" t="s">
        <v>43</v>
      </c>
      <c r="E99" s="167"/>
      <c r="F99" s="167"/>
      <c r="G99" s="168" t="s">
        <v>184</v>
      </c>
      <c r="H99" s="168"/>
      <c r="I99" s="168"/>
      <c r="J99" s="168"/>
      <c r="K99" s="168"/>
      <c r="L99" s="168"/>
      <c r="M99" s="7"/>
      <c r="N99" s="33"/>
      <c r="Z99" s="85">
        <v>45172</v>
      </c>
    </row>
    <row r="100" spans="1:26" ht="9.9499999999999993" customHeight="1" thickBot="1" x14ac:dyDescent="0.35">
      <c r="B100" s="9"/>
      <c r="C100" s="109">
        <v>809</v>
      </c>
      <c r="D100" s="51"/>
      <c r="E100" s="12"/>
      <c r="F100" s="51"/>
      <c r="G100" s="14"/>
      <c r="H100" s="14"/>
      <c r="I100" s="14"/>
      <c r="J100" s="14"/>
      <c r="K100" s="14"/>
      <c r="L100" s="14"/>
      <c r="M100" s="9"/>
      <c r="N100" s="32"/>
      <c r="U100" s="18"/>
      <c r="V100" s="18"/>
      <c r="Z100" s="85">
        <v>45172</v>
      </c>
    </row>
    <row r="101" spans="1:26" ht="6.95" customHeight="1" x14ac:dyDescent="0.3">
      <c r="A101" s="154">
        <f>+A90+1</f>
        <v>810</v>
      </c>
      <c r="B101" s="155"/>
      <c r="C101" s="156"/>
      <c r="D101" s="161" t="s">
        <v>39</v>
      </c>
      <c r="E101" s="162" t="s">
        <v>111</v>
      </c>
      <c r="F101" s="163" t="s">
        <v>40</v>
      </c>
      <c r="G101" s="164" t="s">
        <v>196</v>
      </c>
      <c r="H101" s="165">
        <v>0.5</v>
      </c>
      <c r="I101" s="164"/>
      <c r="J101" s="165"/>
      <c r="K101" s="164"/>
      <c r="L101" s="165"/>
      <c r="M101" s="6"/>
      <c r="N101" s="32"/>
      <c r="Q101" s="10" t="str">
        <f>+CONCATENATE(E101,G101)</f>
        <v>보온덕트벽체800*600</v>
      </c>
      <c r="R101" s="10">
        <f>+H101</f>
        <v>0.5</v>
      </c>
      <c r="S101" s="11"/>
      <c r="T101" s="10" t="str">
        <f>+E101</f>
        <v>보온덕트벽체</v>
      </c>
      <c r="U101" s="19" t="str">
        <f>IFERROR(LEFT(G101,FIND("*",G101)-1),"-")</f>
        <v>800</v>
      </c>
      <c r="V101" s="19" t="str">
        <f>IFERROR(RIGHT(G101,LEN(G101)-FIND("*",G101)),"-")</f>
        <v>600</v>
      </c>
      <c r="W101" s="20">
        <f>IFERROR((U101+V101)*2/1000,"-")</f>
        <v>2.8</v>
      </c>
      <c r="X101" s="20">
        <f>IFERROR(W101*H101,"-")</f>
        <v>1.4</v>
      </c>
      <c r="Z101" s="85">
        <v>45172</v>
      </c>
    </row>
    <row r="102" spans="1:26" ht="6.95" customHeight="1" x14ac:dyDescent="0.3">
      <c r="A102" s="154"/>
      <c r="B102" s="157"/>
      <c r="C102" s="158"/>
      <c r="D102" s="161"/>
      <c r="E102" s="162"/>
      <c r="F102" s="163"/>
      <c r="G102" s="164"/>
      <c r="H102" s="165"/>
      <c r="I102" s="164"/>
      <c r="J102" s="165"/>
      <c r="K102" s="164"/>
      <c r="L102" s="165"/>
      <c r="M102" s="6"/>
      <c r="N102" s="32"/>
      <c r="Q102" s="10" t="str">
        <f>+CONCATENATE(E101,I101)</f>
        <v>보온덕트벽체</v>
      </c>
      <c r="R102" s="10">
        <f>+J101</f>
        <v>0</v>
      </c>
      <c r="S102" s="11"/>
      <c r="T102" s="10" t="str">
        <f>+E101</f>
        <v>보온덕트벽체</v>
      </c>
      <c r="U102" s="19" t="str">
        <f>IFERROR(LEFT(I101,FIND("*",I101)-1),"-")</f>
        <v>-</v>
      </c>
      <c r="V102" s="19" t="str">
        <f>IFERROR(RIGHT(I101,LEN(I101)-FIND("*",I101)),"-")</f>
        <v>-</v>
      </c>
      <c r="W102" s="20" t="str">
        <f t="shared" ref="W102:W109" si="52">IFERROR((U102+V102)*2/1000,"-")</f>
        <v>-</v>
      </c>
      <c r="X102" s="20" t="str">
        <f>IFERROR(W102*J101,"-")</f>
        <v>-</v>
      </c>
      <c r="Z102" s="85">
        <v>45172</v>
      </c>
    </row>
    <row r="103" spans="1:26" ht="6.95" customHeight="1" x14ac:dyDescent="0.3">
      <c r="A103" s="154"/>
      <c r="B103" s="157"/>
      <c r="C103" s="158"/>
      <c r="D103" s="161"/>
      <c r="E103" s="162"/>
      <c r="F103" s="163"/>
      <c r="G103" s="164"/>
      <c r="H103" s="165"/>
      <c r="I103" s="164"/>
      <c r="J103" s="165"/>
      <c r="K103" s="164"/>
      <c r="L103" s="165"/>
      <c r="M103" s="6"/>
      <c r="N103" s="32"/>
      <c r="Q103" s="10" t="str">
        <f>+CONCATENATE(E101,K101)</f>
        <v>보온덕트벽체</v>
      </c>
      <c r="R103" s="10">
        <f>+L101</f>
        <v>0</v>
      </c>
      <c r="S103" s="11"/>
      <c r="T103" s="10" t="str">
        <f>+E101</f>
        <v>보온덕트벽체</v>
      </c>
      <c r="U103" s="19" t="str">
        <f>IFERROR(LEFT(K101,FIND("*",K101)-1),"-")</f>
        <v>-</v>
      </c>
      <c r="V103" s="19" t="str">
        <f>IFERROR(RIGHT(K101,LEN(K101)-FIND("*",K101)),"-")</f>
        <v>-</v>
      </c>
      <c r="W103" s="20" t="str">
        <f t="shared" si="52"/>
        <v>-</v>
      </c>
      <c r="X103" s="20" t="str">
        <f>IFERROR(W103*L101,"-")</f>
        <v>-</v>
      </c>
      <c r="Z103" s="85">
        <v>45172</v>
      </c>
    </row>
    <row r="104" spans="1:26" ht="6.95" customHeight="1" x14ac:dyDescent="0.3">
      <c r="A104" s="8"/>
      <c r="B104" s="157"/>
      <c r="C104" s="158"/>
      <c r="D104" s="161" t="s">
        <v>39</v>
      </c>
      <c r="E104" s="162" t="s">
        <v>188</v>
      </c>
      <c r="F104" s="163" t="s">
        <v>40</v>
      </c>
      <c r="G104" s="164" t="s">
        <v>196</v>
      </c>
      <c r="H104" s="165">
        <v>1</v>
      </c>
      <c r="I104" s="164"/>
      <c r="J104" s="165"/>
      <c r="K104" s="164"/>
      <c r="L104" s="165"/>
      <c r="M104" s="6"/>
      <c r="N104" s="32"/>
      <c r="Q104" s="10" t="str">
        <f>+CONCATENATE(E104,G104)</f>
        <v>차열재마감800*600</v>
      </c>
      <c r="R104" s="10">
        <f>+H104</f>
        <v>1</v>
      </c>
      <c r="S104" s="11"/>
      <c r="T104" s="10" t="str">
        <f>+E104</f>
        <v>차열재마감</v>
      </c>
      <c r="U104" s="19" t="str">
        <f t="shared" ref="U104" si="53">IFERROR(LEFT(G104,FIND("*",G104)-1),"-")</f>
        <v>800</v>
      </c>
      <c r="V104" s="19" t="str">
        <f t="shared" ref="V104" si="54">IFERROR(RIGHT(G104,LEN(G104)-FIND("*",G104)),"-")</f>
        <v>600</v>
      </c>
      <c r="W104" s="20">
        <f t="shared" si="52"/>
        <v>2.8</v>
      </c>
      <c r="X104" s="20">
        <f>IFERROR(W104*H104,"-")</f>
        <v>2.8</v>
      </c>
      <c r="Z104" s="85">
        <v>45172</v>
      </c>
    </row>
    <row r="105" spans="1:26" ht="6.95" customHeight="1" x14ac:dyDescent="0.3">
      <c r="A105" s="5"/>
      <c r="B105" s="157"/>
      <c r="C105" s="158"/>
      <c r="D105" s="161"/>
      <c r="E105" s="162"/>
      <c r="F105" s="163"/>
      <c r="G105" s="164"/>
      <c r="H105" s="165"/>
      <c r="I105" s="164"/>
      <c r="J105" s="165"/>
      <c r="K105" s="164"/>
      <c r="L105" s="165"/>
      <c r="M105" s="6"/>
      <c r="N105" s="32"/>
      <c r="Q105" s="10" t="str">
        <f>+CONCATENATE(E104,I104)</f>
        <v>차열재마감</v>
      </c>
      <c r="R105" s="10">
        <f>+J104</f>
        <v>0</v>
      </c>
      <c r="S105" s="11"/>
      <c r="T105" s="10" t="str">
        <f>+E104</f>
        <v>차열재마감</v>
      </c>
      <c r="U105" s="19" t="str">
        <f>IFERROR(LEFT(I104,FIND("*",I104)-1),"-")</f>
        <v>-</v>
      </c>
      <c r="V105" s="19" t="str">
        <f>IFERROR(RIGHT(I104,LEN(I104)-FIND("*",I104)),"-")</f>
        <v>-</v>
      </c>
      <c r="W105" s="20" t="str">
        <f t="shared" si="52"/>
        <v>-</v>
      </c>
      <c r="X105" s="20" t="str">
        <f>IFERROR(W105*J104,"-")</f>
        <v>-</v>
      </c>
      <c r="Z105" s="85">
        <v>45172</v>
      </c>
    </row>
    <row r="106" spans="1:26" ht="6.95" customHeight="1" x14ac:dyDescent="0.3">
      <c r="A106" s="5"/>
      <c r="B106" s="157"/>
      <c r="C106" s="158"/>
      <c r="D106" s="161"/>
      <c r="E106" s="162"/>
      <c r="F106" s="163"/>
      <c r="G106" s="164"/>
      <c r="H106" s="165"/>
      <c r="I106" s="164"/>
      <c r="J106" s="165"/>
      <c r="K106" s="164"/>
      <c r="L106" s="165"/>
      <c r="M106" s="6"/>
      <c r="N106" s="32"/>
      <c r="Q106" s="10" t="str">
        <f>+CONCATENATE(E104,K104)</f>
        <v>차열재마감</v>
      </c>
      <c r="R106" s="10">
        <f>+L104</f>
        <v>0</v>
      </c>
      <c r="S106" s="11"/>
      <c r="T106" s="10" t="str">
        <f>+E104</f>
        <v>차열재마감</v>
      </c>
      <c r="U106" s="19" t="str">
        <f>IFERROR(LEFT(K104,FIND("*",K104)-1),"-")</f>
        <v>-</v>
      </c>
      <c r="V106" s="19" t="str">
        <f>IFERROR(RIGHT(K104,LEN(K104)-FIND("*",K104)),"-")</f>
        <v>-</v>
      </c>
      <c r="W106" s="20" t="str">
        <f t="shared" si="52"/>
        <v>-</v>
      </c>
      <c r="X106" s="20" t="str">
        <f>IFERROR(W106*L104,"-")</f>
        <v>-</v>
      </c>
      <c r="Z106" s="85">
        <v>45172</v>
      </c>
    </row>
    <row r="107" spans="1:26" ht="6.95" customHeight="1" x14ac:dyDescent="0.3">
      <c r="A107" s="8"/>
      <c r="B107" s="157"/>
      <c r="C107" s="158"/>
      <c r="D107" s="161" t="s">
        <v>39</v>
      </c>
      <c r="E107" s="162"/>
      <c r="F107" s="163" t="s">
        <v>40</v>
      </c>
      <c r="G107" s="164"/>
      <c r="H107" s="165"/>
      <c r="I107" s="164"/>
      <c r="J107" s="165"/>
      <c r="K107" s="164"/>
      <c r="L107" s="165"/>
      <c r="M107" s="6"/>
      <c r="N107" s="32"/>
      <c r="Q107" s="10" t="str">
        <f>+CONCATENATE(E107,G107)</f>
        <v/>
      </c>
      <c r="R107" s="10">
        <f>+H107</f>
        <v>0</v>
      </c>
      <c r="S107" s="11"/>
      <c r="T107" s="10">
        <f>+E107</f>
        <v>0</v>
      </c>
      <c r="U107" s="19" t="str">
        <f t="shared" ref="U107" si="55">IFERROR(LEFT(G107,FIND("*",G107)-1),"-")</f>
        <v>-</v>
      </c>
      <c r="V107" s="19" t="str">
        <f t="shared" ref="V107" si="56">IFERROR(RIGHT(G107,LEN(G107)-FIND("*",G107)),"-")</f>
        <v>-</v>
      </c>
      <c r="W107" s="20" t="str">
        <f t="shared" si="52"/>
        <v>-</v>
      </c>
      <c r="X107" s="20" t="str">
        <f>IFERROR(W107*H107,"-")</f>
        <v>-</v>
      </c>
      <c r="Z107" s="85">
        <v>45172</v>
      </c>
    </row>
    <row r="108" spans="1:26" ht="6.95" customHeight="1" x14ac:dyDescent="0.3">
      <c r="A108" s="5"/>
      <c r="B108" s="157"/>
      <c r="C108" s="158"/>
      <c r="D108" s="161"/>
      <c r="E108" s="162"/>
      <c r="F108" s="163"/>
      <c r="G108" s="164"/>
      <c r="H108" s="165"/>
      <c r="I108" s="164"/>
      <c r="J108" s="165"/>
      <c r="K108" s="164"/>
      <c r="L108" s="165"/>
      <c r="M108" s="6"/>
      <c r="N108" s="32"/>
      <c r="Q108" s="10" t="str">
        <f>+CONCATENATE(E107,I107)</f>
        <v/>
      </c>
      <c r="R108" s="10">
        <f>+J107</f>
        <v>0</v>
      </c>
      <c r="S108" s="11"/>
      <c r="T108" s="10">
        <f>+E107</f>
        <v>0</v>
      </c>
      <c r="U108" s="19" t="str">
        <f>IFERROR(LEFT(I107,FIND("*",I107)-1),"-")</f>
        <v>-</v>
      </c>
      <c r="V108" s="19" t="str">
        <f>IFERROR(RIGHT(I107,LEN(I107)-FIND("*",I107)),"-")</f>
        <v>-</v>
      </c>
      <c r="W108" s="20" t="str">
        <f t="shared" si="52"/>
        <v>-</v>
      </c>
      <c r="X108" s="20" t="str">
        <f t="shared" ref="X108" si="57">IFERROR(W108*J107,"-")</f>
        <v>-</v>
      </c>
      <c r="Z108" s="85">
        <v>45172</v>
      </c>
    </row>
    <row r="109" spans="1:26" ht="6.95" customHeight="1" x14ac:dyDescent="0.3">
      <c r="A109" s="5"/>
      <c r="B109" s="157"/>
      <c r="C109" s="158"/>
      <c r="D109" s="161"/>
      <c r="E109" s="162"/>
      <c r="F109" s="163"/>
      <c r="G109" s="164"/>
      <c r="H109" s="165"/>
      <c r="I109" s="164"/>
      <c r="J109" s="165"/>
      <c r="K109" s="164"/>
      <c r="L109" s="165"/>
      <c r="M109" s="6"/>
      <c r="N109" s="32"/>
      <c r="Q109" s="10" t="str">
        <f>+CONCATENATE(E107,K107)</f>
        <v/>
      </c>
      <c r="R109" s="10">
        <f>+L107</f>
        <v>0</v>
      </c>
      <c r="S109" s="11"/>
      <c r="T109" s="10">
        <f>+E107</f>
        <v>0</v>
      </c>
      <c r="U109" s="19" t="str">
        <f>IFERROR(LEFT(K107,FIND("*",K107)-1),"-")</f>
        <v>-</v>
      </c>
      <c r="V109" s="19" t="str">
        <f>IFERROR(RIGHT(K107,LEN(K107)-FIND("*",K107)),"-")</f>
        <v>-</v>
      </c>
      <c r="W109" s="20" t="str">
        <f t="shared" si="52"/>
        <v>-</v>
      </c>
      <c r="X109" s="20" t="str">
        <f>IFERROR(W109*L107,"-")</f>
        <v>-</v>
      </c>
      <c r="Z109" s="85">
        <v>45172</v>
      </c>
    </row>
    <row r="110" spans="1:26" ht="21" customHeight="1" thickBot="1" x14ac:dyDescent="0.35">
      <c r="A110" s="5"/>
      <c r="B110" s="159"/>
      <c r="C110" s="160"/>
      <c r="D110" s="166" t="s">
        <v>43</v>
      </c>
      <c r="E110" s="167"/>
      <c r="F110" s="167"/>
      <c r="G110" s="168" t="s">
        <v>184</v>
      </c>
      <c r="H110" s="168"/>
      <c r="I110" s="168"/>
      <c r="J110" s="168"/>
      <c r="K110" s="168"/>
      <c r="L110" s="168"/>
      <c r="M110" s="7"/>
      <c r="N110" s="32"/>
      <c r="Z110" s="85">
        <v>45172</v>
      </c>
    </row>
    <row r="111" spans="1:26" ht="9.9499999999999993" customHeight="1" thickBot="1" x14ac:dyDescent="0.35">
      <c r="B111" s="9"/>
      <c r="C111" s="109">
        <v>810</v>
      </c>
      <c r="D111" s="51"/>
      <c r="E111" s="12"/>
      <c r="F111" s="51"/>
      <c r="G111" s="14"/>
      <c r="H111" s="14"/>
      <c r="I111" s="14"/>
      <c r="J111" s="14"/>
      <c r="K111" s="14"/>
      <c r="L111" s="14"/>
      <c r="M111" s="9"/>
      <c r="N111" s="32"/>
      <c r="U111" s="18"/>
      <c r="V111" s="18"/>
      <c r="Z111" s="85">
        <v>45172</v>
      </c>
    </row>
    <row r="112" spans="1:26" ht="6.95" customHeight="1" x14ac:dyDescent="0.3">
      <c r="A112" s="154">
        <f>+A101+1</f>
        <v>811</v>
      </c>
      <c r="B112" s="155"/>
      <c r="C112" s="156"/>
      <c r="D112" s="161" t="s">
        <v>39</v>
      </c>
      <c r="E112" s="162" t="s">
        <v>111</v>
      </c>
      <c r="F112" s="163" t="s">
        <v>40</v>
      </c>
      <c r="G112" s="164" t="s">
        <v>197</v>
      </c>
      <c r="H112" s="165">
        <v>0.5</v>
      </c>
      <c r="I112" s="164"/>
      <c r="J112" s="165"/>
      <c r="K112" s="164"/>
      <c r="L112" s="165"/>
      <c r="M112" s="6"/>
      <c r="N112" s="32"/>
      <c r="Q112" s="10" t="str">
        <f>+CONCATENATE(E112,G112)</f>
        <v>보온덕트벽체2000*600</v>
      </c>
      <c r="R112" s="10">
        <f>+H112</f>
        <v>0.5</v>
      </c>
      <c r="S112" s="11"/>
      <c r="T112" s="10" t="str">
        <f>+E112</f>
        <v>보온덕트벽체</v>
      </c>
      <c r="U112" s="19" t="str">
        <f>IFERROR(LEFT(G112,FIND("*",G112)-1),"-")</f>
        <v>2000</v>
      </c>
      <c r="V112" s="19" t="str">
        <f>IFERROR(RIGHT(G112,LEN(G112)-FIND("*",G112)),"-")</f>
        <v>600</v>
      </c>
      <c r="W112" s="20">
        <f>IFERROR((U112+V112)*2/1000,"-")</f>
        <v>5.2</v>
      </c>
      <c r="X112" s="20">
        <f>IFERROR(W112*H112,"-")</f>
        <v>2.6</v>
      </c>
      <c r="Z112" s="85">
        <v>45172</v>
      </c>
    </row>
    <row r="113" spans="1:26" ht="6.95" customHeight="1" x14ac:dyDescent="0.3">
      <c r="A113" s="154"/>
      <c r="B113" s="157"/>
      <c r="C113" s="158"/>
      <c r="D113" s="161"/>
      <c r="E113" s="162"/>
      <c r="F113" s="163"/>
      <c r="G113" s="164"/>
      <c r="H113" s="165"/>
      <c r="I113" s="164"/>
      <c r="J113" s="165"/>
      <c r="K113" s="164"/>
      <c r="L113" s="165"/>
      <c r="M113" s="6"/>
      <c r="N113" s="32"/>
      <c r="Q113" s="10" t="str">
        <f>+CONCATENATE(E112,I112)</f>
        <v>보온덕트벽체</v>
      </c>
      <c r="R113" s="10">
        <f>+J112</f>
        <v>0</v>
      </c>
      <c r="S113" s="11"/>
      <c r="T113" s="10" t="str">
        <f>+E112</f>
        <v>보온덕트벽체</v>
      </c>
      <c r="U113" s="19" t="str">
        <f>IFERROR(LEFT(I112,FIND("*",I112)-1),"-")</f>
        <v>-</v>
      </c>
      <c r="V113" s="19" t="str">
        <f>IFERROR(RIGHT(I112,LEN(I112)-FIND("*",I112)),"-")</f>
        <v>-</v>
      </c>
      <c r="W113" s="20" t="str">
        <f t="shared" ref="W113:W120" si="58">IFERROR((U113+V113)*2/1000,"-")</f>
        <v>-</v>
      </c>
      <c r="X113" s="20" t="str">
        <f>IFERROR(W113*J112,"-")</f>
        <v>-</v>
      </c>
      <c r="Z113" s="85">
        <v>45172</v>
      </c>
    </row>
    <row r="114" spans="1:26" ht="6.95" customHeight="1" x14ac:dyDescent="0.3">
      <c r="A114" s="154"/>
      <c r="B114" s="157"/>
      <c r="C114" s="158"/>
      <c r="D114" s="161"/>
      <c r="E114" s="162"/>
      <c r="F114" s="163"/>
      <c r="G114" s="164"/>
      <c r="H114" s="165"/>
      <c r="I114" s="164"/>
      <c r="J114" s="165"/>
      <c r="K114" s="164"/>
      <c r="L114" s="165"/>
      <c r="M114" s="6"/>
      <c r="N114" s="32"/>
      <c r="Q114" s="10" t="str">
        <f>+CONCATENATE(E112,K112)</f>
        <v>보온덕트벽체</v>
      </c>
      <c r="R114" s="10">
        <f>+L112</f>
        <v>0</v>
      </c>
      <c r="S114" s="11"/>
      <c r="T114" s="10" t="str">
        <f>+E112</f>
        <v>보온덕트벽체</v>
      </c>
      <c r="U114" s="19" t="str">
        <f>IFERROR(LEFT(K112,FIND("*",K112)-1),"-")</f>
        <v>-</v>
      </c>
      <c r="V114" s="19" t="str">
        <f>IFERROR(RIGHT(K112,LEN(K112)-FIND("*",K112)),"-")</f>
        <v>-</v>
      </c>
      <c r="W114" s="20" t="str">
        <f t="shared" si="58"/>
        <v>-</v>
      </c>
      <c r="X114" s="20" t="str">
        <f>IFERROR(W114*L112,"-")</f>
        <v>-</v>
      </c>
      <c r="Z114" s="85">
        <v>45172</v>
      </c>
    </row>
    <row r="115" spans="1:26" ht="6.95" customHeight="1" x14ac:dyDescent="0.3">
      <c r="A115" s="8"/>
      <c r="B115" s="157"/>
      <c r="C115" s="158"/>
      <c r="D115" s="161" t="s">
        <v>39</v>
      </c>
      <c r="E115" s="162" t="s">
        <v>188</v>
      </c>
      <c r="F115" s="163" t="s">
        <v>40</v>
      </c>
      <c r="G115" s="164" t="s">
        <v>197</v>
      </c>
      <c r="H115" s="165">
        <v>1</v>
      </c>
      <c r="I115" s="164" t="s">
        <v>198</v>
      </c>
      <c r="J115" s="165">
        <v>1</v>
      </c>
      <c r="K115" s="164"/>
      <c r="L115" s="165"/>
      <c r="M115" s="6"/>
      <c r="N115" s="32"/>
      <c r="Q115" s="10" t="str">
        <f>+CONCATENATE(E115,G115)</f>
        <v>차열재마감2000*600</v>
      </c>
      <c r="R115" s="10">
        <f>+H115</f>
        <v>1</v>
      </c>
      <c r="S115" s="11"/>
      <c r="T115" s="10" t="str">
        <f>+E115</f>
        <v>차열재마감</v>
      </c>
      <c r="U115" s="19" t="str">
        <f t="shared" ref="U115" si="59">IFERROR(LEFT(G115,FIND("*",G115)-1),"-")</f>
        <v>2000</v>
      </c>
      <c r="V115" s="19" t="str">
        <f t="shared" ref="V115" si="60">IFERROR(RIGHT(G115,LEN(G115)-FIND("*",G115)),"-")</f>
        <v>600</v>
      </c>
      <c r="W115" s="20">
        <f t="shared" si="58"/>
        <v>5.2</v>
      </c>
      <c r="X115" s="20">
        <f>IFERROR(W115*H115,"-")</f>
        <v>5.2</v>
      </c>
      <c r="Z115" s="85">
        <v>45172</v>
      </c>
    </row>
    <row r="116" spans="1:26" ht="6.95" customHeight="1" x14ac:dyDescent="0.3">
      <c r="A116" s="5"/>
      <c r="B116" s="157"/>
      <c r="C116" s="158"/>
      <c r="D116" s="161"/>
      <c r="E116" s="162"/>
      <c r="F116" s="163"/>
      <c r="G116" s="164"/>
      <c r="H116" s="165"/>
      <c r="I116" s="164"/>
      <c r="J116" s="165"/>
      <c r="K116" s="164"/>
      <c r="L116" s="165"/>
      <c r="M116" s="6"/>
      <c r="N116" s="32"/>
      <c r="Q116" s="10" t="str">
        <f>+CONCATENATE(E115,I115)</f>
        <v>차열재마감1700*500</v>
      </c>
      <c r="R116" s="10">
        <f>+J115</f>
        <v>1</v>
      </c>
      <c r="S116" s="11"/>
      <c r="T116" s="10" t="str">
        <f>+E115</f>
        <v>차열재마감</v>
      </c>
      <c r="U116" s="19" t="str">
        <f>IFERROR(LEFT(I115,FIND("*",I115)-1),"-")</f>
        <v>1700</v>
      </c>
      <c r="V116" s="19" t="str">
        <f>IFERROR(RIGHT(I115,LEN(I115)-FIND("*",I115)),"-")</f>
        <v>500</v>
      </c>
      <c r="W116" s="20">
        <f t="shared" si="58"/>
        <v>4.4000000000000004</v>
      </c>
      <c r="X116" s="20">
        <f>IFERROR(W116*J115,"-")</f>
        <v>4.4000000000000004</v>
      </c>
      <c r="Z116" s="85">
        <v>45172</v>
      </c>
    </row>
    <row r="117" spans="1:26" ht="6.95" customHeight="1" x14ac:dyDescent="0.3">
      <c r="A117" s="5"/>
      <c r="B117" s="157"/>
      <c r="C117" s="158"/>
      <c r="D117" s="161"/>
      <c r="E117" s="162"/>
      <c r="F117" s="163"/>
      <c r="G117" s="164"/>
      <c r="H117" s="165"/>
      <c r="I117" s="164"/>
      <c r="J117" s="165"/>
      <c r="K117" s="164"/>
      <c r="L117" s="165"/>
      <c r="M117" s="6"/>
      <c r="N117" s="32"/>
      <c r="Q117" s="10" t="str">
        <f>+CONCATENATE(E115,K115)</f>
        <v>차열재마감</v>
      </c>
      <c r="R117" s="10">
        <f>+L115</f>
        <v>0</v>
      </c>
      <c r="S117" s="11"/>
      <c r="T117" s="10" t="str">
        <f>+E115</f>
        <v>차열재마감</v>
      </c>
      <c r="U117" s="19" t="str">
        <f>IFERROR(LEFT(K115,FIND("*",K115)-1),"-")</f>
        <v>-</v>
      </c>
      <c r="V117" s="19" t="str">
        <f>IFERROR(RIGHT(K115,LEN(K115)-FIND("*",K115)),"-")</f>
        <v>-</v>
      </c>
      <c r="W117" s="20" t="str">
        <f t="shared" si="58"/>
        <v>-</v>
      </c>
      <c r="X117" s="20" t="str">
        <f>IFERROR(W117*L115,"-")</f>
        <v>-</v>
      </c>
      <c r="Z117" s="85">
        <v>45172</v>
      </c>
    </row>
    <row r="118" spans="1:26" ht="6.95" customHeight="1" x14ac:dyDescent="0.3">
      <c r="A118" s="8"/>
      <c r="B118" s="157"/>
      <c r="C118" s="158"/>
      <c r="D118" s="161" t="s">
        <v>39</v>
      </c>
      <c r="E118" s="162" t="s">
        <v>115</v>
      </c>
      <c r="F118" s="163" t="s">
        <v>40</v>
      </c>
      <c r="G118" s="164" t="s">
        <v>198</v>
      </c>
      <c r="H118" s="165">
        <v>1</v>
      </c>
      <c r="I118" s="164"/>
      <c r="J118" s="165"/>
      <c r="K118" s="164"/>
      <c r="L118" s="165"/>
      <c r="M118" s="6"/>
      <c r="N118" s="32"/>
      <c r="Q118" s="10" t="str">
        <f>+CONCATENATE(E118,G118)</f>
        <v>무보온덕트벽체1700*500</v>
      </c>
      <c r="R118" s="10">
        <f>+H118</f>
        <v>1</v>
      </c>
      <c r="S118" s="11"/>
      <c r="T118" s="10" t="str">
        <f>+E118</f>
        <v>무보온덕트벽체</v>
      </c>
      <c r="U118" s="19" t="str">
        <f t="shared" ref="U118" si="61">IFERROR(LEFT(G118,FIND("*",G118)-1),"-")</f>
        <v>1700</v>
      </c>
      <c r="V118" s="19" t="str">
        <f t="shared" ref="V118" si="62">IFERROR(RIGHT(G118,LEN(G118)-FIND("*",G118)),"-")</f>
        <v>500</v>
      </c>
      <c r="W118" s="20">
        <f t="shared" si="58"/>
        <v>4.4000000000000004</v>
      </c>
      <c r="X118" s="20">
        <f>IFERROR(W118*H118,"-")</f>
        <v>4.4000000000000004</v>
      </c>
      <c r="Z118" s="85">
        <v>45172</v>
      </c>
    </row>
    <row r="119" spans="1:26" ht="6.95" customHeight="1" x14ac:dyDescent="0.3">
      <c r="A119" s="5"/>
      <c r="B119" s="157"/>
      <c r="C119" s="158"/>
      <c r="D119" s="161"/>
      <c r="E119" s="162"/>
      <c r="F119" s="163"/>
      <c r="G119" s="164"/>
      <c r="H119" s="165"/>
      <c r="I119" s="164"/>
      <c r="J119" s="165"/>
      <c r="K119" s="164"/>
      <c r="L119" s="165"/>
      <c r="M119" s="6"/>
      <c r="N119" s="32"/>
      <c r="Q119" s="10" t="str">
        <f>+CONCATENATE(E118,I118)</f>
        <v>무보온덕트벽체</v>
      </c>
      <c r="R119" s="10">
        <f>+J118</f>
        <v>0</v>
      </c>
      <c r="S119" s="11"/>
      <c r="T119" s="10" t="str">
        <f>+E118</f>
        <v>무보온덕트벽체</v>
      </c>
      <c r="U119" s="19" t="str">
        <f>IFERROR(LEFT(I118,FIND("*",I118)-1),"-")</f>
        <v>-</v>
      </c>
      <c r="V119" s="19" t="str">
        <f>IFERROR(RIGHT(I118,LEN(I118)-FIND("*",I118)),"-")</f>
        <v>-</v>
      </c>
      <c r="W119" s="20" t="str">
        <f t="shared" si="58"/>
        <v>-</v>
      </c>
      <c r="X119" s="20" t="str">
        <f t="shared" ref="X119" si="63">IFERROR(W119*J118,"-")</f>
        <v>-</v>
      </c>
      <c r="Z119" s="85">
        <v>45172</v>
      </c>
    </row>
    <row r="120" spans="1:26" ht="6.95" customHeight="1" x14ac:dyDescent="0.3">
      <c r="A120" s="5"/>
      <c r="B120" s="157"/>
      <c r="C120" s="158"/>
      <c r="D120" s="161"/>
      <c r="E120" s="162"/>
      <c r="F120" s="163"/>
      <c r="G120" s="164"/>
      <c r="H120" s="165"/>
      <c r="I120" s="164"/>
      <c r="J120" s="165"/>
      <c r="K120" s="164"/>
      <c r="L120" s="165"/>
      <c r="M120" s="6"/>
      <c r="N120" s="32"/>
      <c r="Q120" s="10" t="str">
        <f>+CONCATENATE(E118,K118)</f>
        <v>무보온덕트벽체</v>
      </c>
      <c r="R120" s="10">
        <f>+L118</f>
        <v>0</v>
      </c>
      <c r="S120" s="11"/>
      <c r="T120" s="10" t="str">
        <f>+E118</f>
        <v>무보온덕트벽체</v>
      </c>
      <c r="U120" s="19" t="str">
        <f>IFERROR(LEFT(K118,FIND("*",K118)-1),"-")</f>
        <v>-</v>
      </c>
      <c r="V120" s="19" t="str">
        <f>IFERROR(RIGHT(K118,LEN(K118)-FIND("*",K118)),"-")</f>
        <v>-</v>
      </c>
      <c r="W120" s="20" t="str">
        <f t="shared" si="58"/>
        <v>-</v>
      </c>
      <c r="X120" s="20" t="str">
        <f>IFERROR(W120*L118,"-")</f>
        <v>-</v>
      </c>
      <c r="Z120" s="85">
        <v>45172</v>
      </c>
    </row>
    <row r="121" spans="1:26" ht="21" customHeight="1" thickBot="1" x14ac:dyDescent="0.35">
      <c r="A121" s="5"/>
      <c r="B121" s="159"/>
      <c r="C121" s="160"/>
      <c r="D121" s="166" t="s">
        <v>43</v>
      </c>
      <c r="E121" s="167"/>
      <c r="F121" s="167"/>
      <c r="G121" s="168" t="s">
        <v>184</v>
      </c>
      <c r="H121" s="168"/>
      <c r="I121" s="168"/>
      <c r="J121" s="168"/>
      <c r="K121" s="168"/>
      <c r="L121" s="168"/>
      <c r="M121" s="7"/>
      <c r="N121" s="32"/>
      <c r="Z121" s="85">
        <v>45172</v>
      </c>
    </row>
    <row r="122" spans="1:26" ht="9.9499999999999993" customHeight="1" thickBot="1" x14ac:dyDescent="0.35">
      <c r="B122" s="9"/>
      <c r="C122" s="109">
        <v>811</v>
      </c>
      <c r="D122" s="51"/>
      <c r="E122" s="12"/>
      <c r="F122" s="51"/>
      <c r="G122" s="14"/>
      <c r="H122" s="14"/>
      <c r="I122" s="14"/>
      <c r="J122" s="14"/>
      <c r="K122" s="14"/>
      <c r="L122" s="14"/>
      <c r="M122" s="9"/>
      <c r="N122" s="32"/>
      <c r="U122" s="18"/>
      <c r="V122" s="18"/>
      <c r="Z122" s="85">
        <v>45172</v>
      </c>
    </row>
    <row r="123" spans="1:26" ht="6.95" customHeight="1" x14ac:dyDescent="0.3">
      <c r="A123" s="154">
        <f>+A112+1</f>
        <v>812</v>
      </c>
      <c r="B123" s="155"/>
      <c r="C123" s="156"/>
      <c r="D123" s="161" t="s">
        <v>39</v>
      </c>
      <c r="E123" s="162" t="s">
        <v>115</v>
      </c>
      <c r="F123" s="163" t="s">
        <v>40</v>
      </c>
      <c r="G123" s="164" t="s">
        <v>192</v>
      </c>
      <c r="H123" s="165">
        <v>0.5</v>
      </c>
      <c r="I123" s="164"/>
      <c r="J123" s="165"/>
      <c r="K123" s="164"/>
      <c r="L123" s="165"/>
      <c r="M123" s="6"/>
      <c r="N123" s="32"/>
      <c r="Q123" s="10" t="str">
        <f>+CONCATENATE(E123,G123)</f>
        <v>무보온덕트벽체1400*400</v>
      </c>
      <c r="R123" s="10">
        <f>+H123</f>
        <v>0.5</v>
      </c>
      <c r="S123" s="11"/>
      <c r="T123" s="10" t="str">
        <f>+E123</f>
        <v>무보온덕트벽체</v>
      </c>
      <c r="U123" s="19" t="str">
        <f>IFERROR(LEFT(G123,FIND("*",G123)-1),"-")</f>
        <v>1400</v>
      </c>
      <c r="V123" s="19" t="str">
        <f>IFERROR(RIGHT(G123,LEN(G123)-FIND("*",G123)),"-")</f>
        <v>400</v>
      </c>
      <c r="W123" s="20">
        <f>IFERROR((U123+V123)*2/1000,"-")</f>
        <v>3.6</v>
      </c>
      <c r="X123" s="20">
        <f>IFERROR(W123*H123,"-")</f>
        <v>1.8</v>
      </c>
      <c r="Z123" s="85">
        <v>45172</v>
      </c>
    </row>
    <row r="124" spans="1:26" ht="6.95" customHeight="1" x14ac:dyDescent="0.3">
      <c r="A124" s="154"/>
      <c r="B124" s="157"/>
      <c r="C124" s="158"/>
      <c r="D124" s="161"/>
      <c r="E124" s="162"/>
      <c r="F124" s="163"/>
      <c r="G124" s="164"/>
      <c r="H124" s="165"/>
      <c r="I124" s="164"/>
      <c r="J124" s="165"/>
      <c r="K124" s="164"/>
      <c r="L124" s="165"/>
      <c r="M124" s="6"/>
      <c r="N124" s="32"/>
      <c r="Q124" s="10" t="str">
        <f>+CONCATENATE(E123,I123)</f>
        <v>무보온덕트벽체</v>
      </c>
      <c r="R124" s="10">
        <f>+J123</f>
        <v>0</v>
      </c>
      <c r="S124" s="11"/>
      <c r="T124" s="10" t="str">
        <f>+E123</f>
        <v>무보온덕트벽체</v>
      </c>
      <c r="U124" s="19" t="str">
        <f>IFERROR(LEFT(I123,FIND("*",I123)-1),"-")</f>
        <v>-</v>
      </c>
      <c r="V124" s="19" t="str">
        <f>IFERROR(RIGHT(I123,LEN(I123)-FIND("*",I123)),"-")</f>
        <v>-</v>
      </c>
      <c r="W124" s="20" t="str">
        <f t="shared" ref="W124:W131" si="64">IFERROR((U124+V124)*2/1000,"-")</f>
        <v>-</v>
      </c>
      <c r="X124" s="20" t="str">
        <f>IFERROR(W124*J123,"-")</f>
        <v>-</v>
      </c>
      <c r="Z124" s="85">
        <v>45172</v>
      </c>
    </row>
    <row r="125" spans="1:26" ht="6.95" customHeight="1" x14ac:dyDescent="0.3">
      <c r="A125" s="154"/>
      <c r="B125" s="157"/>
      <c r="C125" s="158"/>
      <c r="D125" s="161"/>
      <c r="E125" s="162"/>
      <c r="F125" s="163"/>
      <c r="G125" s="164"/>
      <c r="H125" s="165"/>
      <c r="I125" s="164"/>
      <c r="J125" s="165"/>
      <c r="K125" s="164"/>
      <c r="L125" s="165"/>
      <c r="M125" s="6"/>
      <c r="N125" s="32"/>
      <c r="Q125" s="10" t="str">
        <f>+CONCATENATE(E123,K123)</f>
        <v>무보온덕트벽체</v>
      </c>
      <c r="R125" s="10">
        <f>+L123</f>
        <v>0</v>
      </c>
      <c r="S125" s="11"/>
      <c r="T125" s="10" t="str">
        <f>+E123</f>
        <v>무보온덕트벽체</v>
      </c>
      <c r="U125" s="19" t="str">
        <f>IFERROR(LEFT(K123,FIND("*",K123)-1),"-")</f>
        <v>-</v>
      </c>
      <c r="V125" s="19" t="str">
        <f>IFERROR(RIGHT(K123,LEN(K123)-FIND("*",K123)),"-")</f>
        <v>-</v>
      </c>
      <c r="W125" s="20" t="str">
        <f t="shared" si="64"/>
        <v>-</v>
      </c>
      <c r="X125" s="20" t="str">
        <f>IFERROR(W125*L123,"-")</f>
        <v>-</v>
      </c>
      <c r="Z125" s="85">
        <v>45172</v>
      </c>
    </row>
    <row r="126" spans="1:26" ht="6.95" customHeight="1" x14ac:dyDescent="0.3">
      <c r="A126" s="8"/>
      <c r="B126" s="157"/>
      <c r="C126" s="158"/>
      <c r="D126" s="161" t="s">
        <v>39</v>
      </c>
      <c r="E126" s="162" t="s">
        <v>188</v>
      </c>
      <c r="F126" s="163" t="s">
        <v>40</v>
      </c>
      <c r="G126" s="164" t="s">
        <v>192</v>
      </c>
      <c r="H126" s="165">
        <v>0.5</v>
      </c>
      <c r="I126" s="164"/>
      <c r="J126" s="165"/>
      <c r="K126" s="164"/>
      <c r="L126" s="165"/>
      <c r="M126" s="6"/>
      <c r="N126" s="32"/>
      <c r="Q126" s="10" t="str">
        <f>+CONCATENATE(E126,G126)</f>
        <v>차열재마감1400*400</v>
      </c>
      <c r="R126" s="10">
        <f>+H126</f>
        <v>0.5</v>
      </c>
      <c r="S126" s="11"/>
      <c r="T126" s="10" t="str">
        <f>+E126</f>
        <v>차열재마감</v>
      </c>
      <c r="U126" s="19" t="str">
        <f t="shared" ref="U126" si="65">IFERROR(LEFT(G126,FIND("*",G126)-1),"-")</f>
        <v>1400</v>
      </c>
      <c r="V126" s="19" t="str">
        <f t="shared" ref="V126" si="66">IFERROR(RIGHT(G126,LEN(G126)-FIND("*",G126)),"-")</f>
        <v>400</v>
      </c>
      <c r="W126" s="20">
        <f t="shared" si="64"/>
        <v>3.6</v>
      </c>
      <c r="X126" s="20">
        <f>IFERROR(W126*H126,"-")</f>
        <v>1.8</v>
      </c>
      <c r="Z126" s="85">
        <v>45172</v>
      </c>
    </row>
    <row r="127" spans="1:26" ht="6.95" customHeight="1" x14ac:dyDescent="0.3">
      <c r="A127" s="5"/>
      <c r="B127" s="157"/>
      <c r="C127" s="158"/>
      <c r="D127" s="161"/>
      <c r="E127" s="162"/>
      <c r="F127" s="163"/>
      <c r="G127" s="164"/>
      <c r="H127" s="165"/>
      <c r="I127" s="164"/>
      <c r="J127" s="165"/>
      <c r="K127" s="164"/>
      <c r="L127" s="165"/>
      <c r="M127" s="6"/>
      <c r="N127" s="32"/>
      <c r="Q127" s="10" t="str">
        <f>+CONCATENATE(E126,I126)</f>
        <v>차열재마감</v>
      </c>
      <c r="R127" s="10">
        <f>+J126</f>
        <v>0</v>
      </c>
      <c r="S127" s="11"/>
      <c r="T127" s="10" t="str">
        <f>+E126</f>
        <v>차열재마감</v>
      </c>
      <c r="U127" s="19" t="str">
        <f>IFERROR(LEFT(I126,FIND("*",I126)-1),"-")</f>
        <v>-</v>
      </c>
      <c r="V127" s="19" t="str">
        <f>IFERROR(RIGHT(I126,LEN(I126)-FIND("*",I126)),"-")</f>
        <v>-</v>
      </c>
      <c r="W127" s="20" t="str">
        <f t="shared" si="64"/>
        <v>-</v>
      </c>
      <c r="X127" s="20" t="str">
        <f>IFERROR(W127*J126,"-")</f>
        <v>-</v>
      </c>
      <c r="Z127" s="85">
        <v>45172</v>
      </c>
    </row>
    <row r="128" spans="1:26" ht="6.95" customHeight="1" x14ac:dyDescent="0.3">
      <c r="A128" s="5"/>
      <c r="B128" s="157"/>
      <c r="C128" s="158"/>
      <c r="D128" s="161"/>
      <c r="E128" s="162"/>
      <c r="F128" s="163"/>
      <c r="G128" s="164"/>
      <c r="H128" s="165"/>
      <c r="I128" s="164"/>
      <c r="J128" s="165"/>
      <c r="K128" s="164"/>
      <c r="L128" s="165"/>
      <c r="M128" s="6"/>
      <c r="N128" s="32"/>
      <c r="Q128" s="10" t="str">
        <f>+CONCATENATE(E126,K126)</f>
        <v>차열재마감</v>
      </c>
      <c r="R128" s="10">
        <f>+L126</f>
        <v>0</v>
      </c>
      <c r="S128" s="11"/>
      <c r="T128" s="10" t="str">
        <f>+E126</f>
        <v>차열재마감</v>
      </c>
      <c r="U128" s="19" t="str">
        <f>IFERROR(LEFT(K126,FIND("*",K126)-1),"-")</f>
        <v>-</v>
      </c>
      <c r="V128" s="19" t="str">
        <f>IFERROR(RIGHT(K126,LEN(K126)-FIND("*",K126)),"-")</f>
        <v>-</v>
      </c>
      <c r="W128" s="20" t="str">
        <f t="shared" si="64"/>
        <v>-</v>
      </c>
      <c r="X128" s="20" t="str">
        <f>IFERROR(W128*L126,"-")</f>
        <v>-</v>
      </c>
      <c r="Z128" s="85">
        <v>45172</v>
      </c>
    </row>
    <row r="129" spans="1:26" ht="6.95" customHeight="1" x14ac:dyDescent="0.3">
      <c r="A129" s="8"/>
      <c r="B129" s="157"/>
      <c r="C129" s="158"/>
      <c r="D129" s="161" t="s">
        <v>39</v>
      </c>
      <c r="E129" s="162"/>
      <c r="F129" s="163" t="s">
        <v>40</v>
      </c>
      <c r="G129" s="164"/>
      <c r="H129" s="165"/>
      <c r="I129" s="164"/>
      <c r="J129" s="165"/>
      <c r="K129" s="164"/>
      <c r="L129" s="165"/>
      <c r="M129" s="6"/>
      <c r="N129" s="32"/>
      <c r="Q129" s="10" t="str">
        <f>+CONCATENATE(E129,G129)</f>
        <v/>
      </c>
      <c r="R129" s="10">
        <f>+H129</f>
        <v>0</v>
      </c>
      <c r="S129" s="11"/>
      <c r="T129" s="10">
        <f>+E129</f>
        <v>0</v>
      </c>
      <c r="U129" s="19" t="str">
        <f t="shared" ref="U129" si="67">IFERROR(LEFT(G129,FIND("*",G129)-1),"-")</f>
        <v>-</v>
      </c>
      <c r="V129" s="19" t="str">
        <f t="shared" ref="V129" si="68">IFERROR(RIGHT(G129,LEN(G129)-FIND("*",G129)),"-")</f>
        <v>-</v>
      </c>
      <c r="W129" s="20" t="str">
        <f t="shared" si="64"/>
        <v>-</v>
      </c>
      <c r="X129" s="20" t="str">
        <f>IFERROR(W129*H129,"-")</f>
        <v>-</v>
      </c>
      <c r="Z129" s="85">
        <v>45172</v>
      </c>
    </row>
    <row r="130" spans="1:26" ht="6.95" customHeight="1" x14ac:dyDescent="0.3">
      <c r="A130" s="5"/>
      <c r="B130" s="157"/>
      <c r="C130" s="158"/>
      <c r="D130" s="161"/>
      <c r="E130" s="162"/>
      <c r="F130" s="163"/>
      <c r="G130" s="164"/>
      <c r="H130" s="165"/>
      <c r="I130" s="164"/>
      <c r="J130" s="165"/>
      <c r="K130" s="164"/>
      <c r="L130" s="165"/>
      <c r="M130" s="6"/>
      <c r="N130" s="32"/>
      <c r="Q130" s="10" t="str">
        <f>+CONCATENATE(E129,I129)</f>
        <v/>
      </c>
      <c r="R130" s="10">
        <f>+J129</f>
        <v>0</v>
      </c>
      <c r="S130" s="11"/>
      <c r="T130" s="10">
        <f>+E129</f>
        <v>0</v>
      </c>
      <c r="U130" s="19" t="str">
        <f>IFERROR(LEFT(I129,FIND("*",I129)-1),"-")</f>
        <v>-</v>
      </c>
      <c r="V130" s="19" t="str">
        <f>IFERROR(RIGHT(I129,LEN(I129)-FIND("*",I129)),"-")</f>
        <v>-</v>
      </c>
      <c r="W130" s="20" t="str">
        <f t="shared" si="64"/>
        <v>-</v>
      </c>
      <c r="X130" s="20" t="str">
        <f t="shared" ref="X130" si="69">IFERROR(W130*J129,"-")</f>
        <v>-</v>
      </c>
      <c r="Z130" s="85">
        <v>45172</v>
      </c>
    </row>
    <row r="131" spans="1:26" ht="6.95" customHeight="1" x14ac:dyDescent="0.3">
      <c r="A131" s="5"/>
      <c r="B131" s="157"/>
      <c r="C131" s="158"/>
      <c r="D131" s="161"/>
      <c r="E131" s="162"/>
      <c r="F131" s="163"/>
      <c r="G131" s="164"/>
      <c r="H131" s="165"/>
      <c r="I131" s="164"/>
      <c r="J131" s="165"/>
      <c r="K131" s="164"/>
      <c r="L131" s="165"/>
      <c r="M131" s="6"/>
      <c r="N131" s="32"/>
      <c r="Q131" s="10" t="str">
        <f>+CONCATENATE(E129,K129)</f>
        <v/>
      </c>
      <c r="R131" s="10">
        <f>+L129</f>
        <v>0</v>
      </c>
      <c r="S131" s="11"/>
      <c r="T131" s="10">
        <f>+E129</f>
        <v>0</v>
      </c>
      <c r="U131" s="19" t="str">
        <f>IFERROR(LEFT(K129,FIND("*",K129)-1),"-")</f>
        <v>-</v>
      </c>
      <c r="V131" s="19" t="str">
        <f>IFERROR(RIGHT(K129,LEN(K129)-FIND("*",K129)),"-")</f>
        <v>-</v>
      </c>
      <c r="W131" s="20" t="str">
        <f t="shared" si="64"/>
        <v>-</v>
      </c>
      <c r="X131" s="20" t="str">
        <f>IFERROR(W131*L129,"-")</f>
        <v>-</v>
      </c>
      <c r="Z131" s="85">
        <v>45172</v>
      </c>
    </row>
    <row r="132" spans="1:26" ht="21" customHeight="1" thickBot="1" x14ac:dyDescent="0.35">
      <c r="A132" s="5"/>
      <c r="B132" s="159"/>
      <c r="C132" s="160"/>
      <c r="D132" s="166" t="s">
        <v>43</v>
      </c>
      <c r="E132" s="167"/>
      <c r="F132" s="167"/>
      <c r="G132" s="168" t="s">
        <v>184</v>
      </c>
      <c r="H132" s="168"/>
      <c r="I132" s="168"/>
      <c r="J132" s="168"/>
      <c r="K132" s="168"/>
      <c r="L132" s="168"/>
      <c r="M132" s="7"/>
      <c r="N132" s="33">
        <v>45172</v>
      </c>
      <c r="Z132" s="85">
        <v>45172</v>
      </c>
    </row>
    <row r="133" spans="1:26" ht="9.9499999999999993" customHeight="1" thickBot="1" x14ac:dyDescent="0.35">
      <c r="B133" s="9"/>
      <c r="C133" s="109">
        <v>812</v>
      </c>
      <c r="D133" s="51"/>
      <c r="E133" s="12"/>
      <c r="F133" s="51"/>
      <c r="G133" s="14"/>
      <c r="H133" s="14"/>
      <c r="I133" s="14"/>
      <c r="J133" s="14"/>
      <c r="K133" s="14"/>
      <c r="L133" s="14"/>
      <c r="M133" s="9"/>
      <c r="N133" s="32"/>
      <c r="U133" s="18"/>
      <c r="V133" s="18"/>
      <c r="Z133" s="85">
        <v>45173</v>
      </c>
    </row>
    <row r="134" spans="1:26" ht="6.95" customHeight="1" x14ac:dyDescent="0.3">
      <c r="A134" s="154">
        <f>+A123+1</f>
        <v>813</v>
      </c>
      <c r="B134" s="155"/>
      <c r="C134" s="156"/>
      <c r="D134" s="161" t="s">
        <v>39</v>
      </c>
      <c r="E134" s="162" t="s">
        <v>115</v>
      </c>
      <c r="F134" s="163" t="s">
        <v>40</v>
      </c>
      <c r="G134" s="164" t="s">
        <v>200</v>
      </c>
      <c r="H134" s="165">
        <v>0.5</v>
      </c>
      <c r="I134" s="164"/>
      <c r="J134" s="165"/>
      <c r="K134" s="164"/>
      <c r="L134" s="165"/>
      <c r="M134" s="6"/>
      <c r="N134" s="32"/>
      <c r="Q134" s="10" t="str">
        <f>+CONCATENATE(E134,G134)</f>
        <v>무보온덕트벽체1300*400</v>
      </c>
      <c r="R134" s="10">
        <f>+H134</f>
        <v>0.5</v>
      </c>
      <c r="S134" s="11"/>
      <c r="T134" s="10" t="str">
        <f>+E134</f>
        <v>무보온덕트벽체</v>
      </c>
      <c r="U134" s="19" t="str">
        <f>IFERROR(LEFT(G134,FIND("*",G134)-1),"-")</f>
        <v>1300</v>
      </c>
      <c r="V134" s="19" t="str">
        <f>IFERROR(RIGHT(G134,LEN(G134)-FIND("*",G134)),"-")</f>
        <v>400</v>
      </c>
      <c r="W134" s="20">
        <f>IFERROR((U134+V134)*2/1000,"-")</f>
        <v>3.4</v>
      </c>
      <c r="X134" s="20">
        <f>IFERROR(W134*H134,"-")</f>
        <v>1.7</v>
      </c>
      <c r="Z134" s="85">
        <v>45173</v>
      </c>
    </row>
    <row r="135" spans="1:26" ht="6.95" customHeight="1" x14ac:dyDescent="0.3">
      <c r="A135" s="154"/>
      <c r="B135" s="157"/>
      <c r="C135" s="158"/>
      <c r="D135" s="161"/>
      <c r="E135" s="162"/>
      <c r="F135" s="163"/>
      <c r="G135" s="164"/>
      <c r="H135" s="165"/>
      <c r="I135" s="164"/>
      <c r="J135" s="165"/>
      <c r="K135" s="164"/>
      <c r="L135" s="165"/>
      <c r="M135" s="6"/>
      <c r="N135" s="32"/>
      <c r="Q135" s="10" t="str">
        <f>+CONCATENATE(E134,I134)</f>
        <v>무보온덕트벽체</v>
      </c>
      <c r="R135" s="10">
        <f>+J134</f>
        <v>0</v>
      </c>
      <c r="S135" s="11"/>
      <c r="T135" s="10" t="str">
        <f>+E134</f>
        <v>무보온덕트벽체</v>
      </c>
      <c r="U135" s="19" t="str">
        <f>IFERROR(LEFT(I134,FIND("*",I134)-1),"-")</f>
        <v>-</v>
      </c>
      <c r="V135" s="19" t="str">
        <f>IFERROR(RIGHT(I134,LEN(I134)-FIND("*",I134)),"-")</f>
        <v>-</v>
      </c>
      <c r="W135" s="20" t="str">
        <f t="shared" ref="W135:W142" si="70">IFERROR((U135+V135)*2/1000,"-")</f>
        <v>-</v>
      </c>
      <c r="X135" s="20" t="str">
        <f>IFERROR(W135*J134,"-")</f>
        <v>-</v>
      </c>
      <c r="Z135" s="85">
        <v>45173</v>
      </c>
    </row>
    <row r="136" spans="1:26" ht="6.95" customHeight="1" x14ac:dyDescent="0.3">
      <c r="A136" s="154"/>
      <c r="B136" s="157"/>
      <c r="C136" s="158"/>
      <c r="D136" s="161"/>
      <c r="E136" s="162"/>
      <c r="F136" s="163"/>
      <c r="G136" s="164"/>
      <c r="H136" s="165"/>
      <c r="I136" s="164"/>
      <c r="J136" s="165"/>
      <c r="K136" s="164"/>
      <c r="L136" s="165"/>
      <c r="M136" s="6"/>
      <c r="N136" s="32"/>
      <c r="Q136" s="10" t="str">
        <f>+CONCATENATE(E134,K134)</f>
        <v>무보온덕트벽체</v>
      </c>
      <c r="R136" s="10">
        <f>+L134</f>
        <v>0</v>
      </c>
      <c r="S136" s="11"/>
      <c r="T136" s="10" t="str">
        <f>+E134</f>
        <v>무보온덕트벽체</v>
      </c>
      <c r="U136" s="19" t="str">
        <f>IFERROR(LEFT(K134,FIND("*",K134)-1),"-")</f>
        <v>-</v>
      </c>
      <c r="V136" s="19" t="str">
        <f>IFERROR(RIGHT(K134,LEN(K134)-FIND("*",K134)),"-")</f>
        <v>-</v>
      </c>
      <c r="W136" s="20" t="str">
        <f t="shared" si="70"/>
        <v>-</v>
      </c>
      <c r="X136" s="20" t="str">
        <f>IFERROR(W136*L134,"-")</f>
        <v>-</v>
      </c>
      <c r="Z136" s="85">
        <v>45173</v>
      </c>
    </row>
    <row r="137" spans="1:26" ht="6.95" customHeight="1" x14ac:dyDescent="0.3">
      <c r="A137" s="8"/>
      <c r="B137" s="157"/>
      <c r="C137" s="158"/>
      <c r="D137" s="161" t="s">
        <v>39</v>
      </c>
      <c r="E137" s="162" t="s">
        <v>188</v>
      </c>
      <c r="F137" s="163" t="s">
        <v>40</v>
      </c>
      <c r="G137" s="164" t="s">
        <v>200</v>
      </c>
      <c r="H137" s="165">
        <v>0.5</v>
      </c>
      <c r="I137" s="164"/>
      <c r="J137" s="165"/>
      <c r="K137" s="164"/>
      <c r="L137" s="165"/>
      <c r="M137" s="6"/>
      <c r="N137" s="32"/>
      <c r="Q137" s="10" t="str">
        <f>+CONCATENATE(E137,G137)</f>
        <v>차열재마감1300*400</v>
      </c>
      <c r="R137" s="10">
        <f>+H137</f>
        <v>0.5</v>
      </c>
      <c r="S137" s="11"/>
      <c r="T137" s="10" t="str">
        <f>+E137</f>
        <v>차열재마감</v>
      </c>
      <c r="U137" s="19" t="str">
        <f t="shared" ref="U137" si="71">IFERROR(LEFT(G137,FIND("*",G137)-1),"-")</f>
        <v>1300</v>
      </c>
      <c r="V137" s="19" t="str">
        <f t="shared" ref="V137" si="72">IFERROR(RIGHT(G137,LEN(G137)-FIND("*",G137)),"-")</f>
        <v>400</v>
      </c>
      <c r="W137" s="20">
        <f t="shared" si="70"/>
        <v>3.4</v>
      </c>
      <c r="X137" s="20">
        <f>IFERROR(W137*H137,"-")</f>
        <v>1.7</v>
      </c>
      <c r="Z137" s="85">
        <v>45173</v>
      </c>
    </row>
    <row r="138" spans="1:26" ht="6.95" customHeight="1" x14ac:dyDescent="0.3">
      <c r="A138" s="5"/>
      <c r="B138" s="157"/>
      <c r="C138" s="158"/>
      <c r="D138" s="161"/>
      <c r="E138" s="162"/>
      <c r="F138" s="163"/>
      <c r="G138" s="164"/>
      <c r="H138" s="165"/>
      <c r="I138" s="164"/>
      <c r="J138" s="165"/>
      <c r="K138" s="164"/>
      <c r="L138" s="165"/>
      <c r="M138" s="6"/>
      <c r="N138" s="32"/>
      <c r="Q138" s="10" t="str">
        <f>+CONCATENATE(E137,I137)</f>
        <v>차열재마감</v>
      </c>
      <c r="R138" s="10">
        <f>+J137</f>
        <v>0</v>
      </c>
      <c r="S138" s="11"/>
      <c r="T138" s="10" t="str">
        <f>+E137</f>
        <v>차열재마감</v>
      </c>
      <c r="U138" s="19" t="str">
        <f>IFERROR(LEFT(I137,FIND("*",I137)-1),"-")</f>
        <v>-</v>
      </c>
      <c r="V138" s="19" t="str">
        <f>IFERROR(RIGHT(I137,LEN(I137)-FIND("*",I137)),"-")</f>
        <v>-</v>
      </c>
      <c r="W138" s="20" t="str">
        <f t="shared" si="70"/>
        <v>-</v>
      </c>
      <c r="X138" s="20" t="str">
        <f>IFERROR(W138*J137,"-")</f>
        <v>-</v>
      </c>
      <c r="Z138" s="85">
        <v>45173</v>
      </c>
    </row>
    <row r="139" spans="1:26" ht="6.95" customHeight="1" x14ac:dyDescent="0.3">
      <c r="A139" s="5"/>
      <c r="B139" s="157"/>
      <c r="C139" s="158"/>
      <c r="D139" s="161"/>
      <c r="E139" s="162"/>
      <c r="F139" s="163"/>
      <c r="G139" s="164"/>
      <c r="H139" s="165"/>
      <c r="I139" s="164"/>
      <c r="J139" s="165"/>
      <c r="K139" s="164"/>
      <c r="L139" s="165"/>
      <c r="M139" s="6"/>
      <c r="N139" s="32"/>
      <c r="Q139" s="10" t="str">
        <f>+CONCATENATE(E137,K137)</f>
        <v>차열재마감</v>
      </c>
      <c r="R139" s="10">
        <f>+L137</f>
        <v>0</v>
      </c>
      <c r="S139" s="11"/>
      <c r="T139" s="10" t="str">
        <f>+E137</f>
        <v>차열재마감</v>
      </c>
      <c r="U139" s="19" t="str">
        <f>IFERROR(LEFT(K137,FIND("*",K137)-1),"-")</f>
        <v>-</v>
      </c>
      <c r="V139" s="19" t="str">
        <f>IFERROR(RIGHT(K137,LEN(K137)-FIND("*",K137)),"-")</f>
        <v>-</v>
      </c>
      <c r="W139" s="20" t="str">
        <f t="shared" si="70"/>
        <v>-</v>
      </c>
      <c r="X139" s="20" t="str">
        <f>IFERROR(W139*L137,"-")</f>
        <v>-</v>
      </c>
      <c r="Z139" s="85">
        <v>45173</v>
      </c>
    </row>
    <row r="140" spans="1:26" ht="6.95" customHeight="1" x14ac:dyDescent="0.3">
      <c r="A140" s="8"/>
      <c r="B140" s="157"/>
      <c r="C140" s="158"/>
      <c r="D140" s="161" t="s">
        <v>39</v>
      </c>
      <c r="E140" s="162"/>
      <c r="F140" s="163" t="s">
        <v>40</v>
      </c>
      <c r="G140" s="164"/>
      <c r="H140" s="165"/>
      <c r="I140" s="164"/>
      <c r="J140" s="165"/>
      <c r="K140" s="164"/>
      <c r="L140" s="165"/>
      <c r="M140" s="6"/>
      <c r="N140" s="32"/>
      <c r="Q140" s="10" t="str">
        <f>+CONCATENATE(E140,G140)</f>
        <v/>
      </c>
      <c r="R140" s="10">
        <f>+H140</f>
        <v>0</v>
      </c>
      <c r="S140" s="11"/>
      <c r="T140" s="10">
        <f>+E140</f>
        <v>0</v>
      </c>
      <c r="U140" s="19" t="str">
        <f t="shared" ref="U140" si="73">IFERROR(LEFT(G140,FIND("*",G140)-1),"-")</f>
        <v>-</v>
      </c>
      <c r="V140" s="19" t="str">
        <f t="shared" ref="V140" si="74">IFERROR(RIGHT(G140,LEN(G140)-FIND("*",G140)),"-")</f>
        <v>-</v>
      </c>
      <c r="W140" s="20" t="str">
        <f t="shared" si="70"/>
        <v>-</v>
      </c>
      <c r="X140" s="20" t="str">
        <f>IFERROR(W140*H140,"-")</f>
        <v>-</v>
      </c>
      <c r="Z140" s="85">
        <v>45173</v>
      </c>
    </row>
    <row r="141" spans="1:26" ht="6.95" customHeight="1" x14ac:dyDescent="0.3">
      <c r="A141" s="5"/>
      <c r="B141" s="157"/>
      <c r="C141" s="158"/>
      <c r="D141" s="161"/>
      <c r="E141" s="162"/>
      <c r="F141" s="163"/>
      <c r="G141" s="164"/>
      <c r="H141" s="165"/>
      <c r="I141" s="164"/>
      <c r="J141" s="165"/>
      <c r="K141" s="164"/>
      <c r="L141" s="165"/>
      <c r="M141" s="6"/>
      <c r="N141" s="32"/>
      <c r="Q141" s="10" t="str">
        <f>+CONCATENATE(E140,I140)</f>
        <v/>
      </c>
      <c r="R141" s="10">
        <f>+J140</f>
        <v>0</v>
      </c>
      <c r="S141" s="11"/>
      <c r="T141" s="10">
        <f>+E140</f>
        <v>0</v>
      </c>
      <c r="U141" s="19" t="str">
        <f>IFERROR(LEFT(I140,FIND("*",I140)-1),"-")</f>
        <v>-</v>
      </c>
      <c r="V141" s="19" t="str">
        <f>IFERROR(RIGHT(I140,LEN(I140)-FIND("*",I140)),"-")</f>
        <v>-</v>
      </c>
      <c r="W141" s="20" t="str">
        <f t="shared" si="70"/>
        <v>-</v>
      </c>
      <c r="X141" s="20" t="str">
        <f t="shared" ref="X141" si="75">IFERROR(W141*J140,"-")</f>
        <v>-</v>
      </c>
      <c r="Z141" s="85">
        <v>45173</v>
      </c>
    </row>
    <row r="142" spans="1:26" ht="6.95" customHeight="1" x14ac:dyDescent="0.3">
      <c r="A142" s="5"/>
      <c r="B142" s="157"/>
      <c r="C142" s="158"/>
      <c r="D142" s="161"/>
      <c r="E142" s="162"/>
      <c r="F142" s="163"/>
      <c r="G142" s="164"/>
      <c r="H142" s="165"/>
      <c r="I142" s="164"/>
      <c r="J142" s="165"/>
      <c r="K142" s="164"/>
      <c r="L142" s="165"/>
      <c r="M142" s="6"/>
      <c r="N142" s="32"/>
      <c r="Q142" s="10" t="str">
        <f>+CONCATENATE(E140,K140)</f>
        <v/>
      </c>
      <c r="R142" s="10">
        <f>+L140</f>
        <v>0</v>
      </c>
      <c r="S142" s="11"/>
      <c r="T142" s="10">
        <f>+E140</f>
        <v>0</v>
      </c>
      <c r="U142" s="19" t="str">
        <f>IFERROR(LEFT(K140,FIND("*",K140)-1),"-")</f>
        <v>-</v>
      </c>
      <c r="V142" s="19" t="str">
        <f>IFERROR(RIGHT(K140,LEN(K140)-FIND("*",K140)),"-")</f>
        <v>-</v>
      </c>
      <c r="W142" s="20" t="str">
        <f t="shared" si="70"/>
        <v>-</v>
      </c>
      <c r="X142" s="20" t="str">
        <f>IFERROR(W142*L140,"-")</f>
        <v>-</v>
      </c>
      <c r="Z142" s="85">
        <v>45173</v>
      </c>
    </row>
    <row r="143" spans="1:26" ht="21" customHeight="1" thickBot="1" x14ac:dyDescent="0.35">
      <c r="A143" s="5"/>
      <c r="B143" s="159"/>
      <c r="C143" s="160"/>
      <c r="D143" s="166" t="s">
        <v>43</v>
      </c>
      <c r="E143" s="167"/>
      <c r="F143" s="167"/>
      <c r="G143" s="168" t="s">
        <v>184</v>
      </c>
      <c r="H143" s="168"/>
      <c r="I143" s="168"/>
      <c r="J143" s="168"/>
      <c r="K143" s="168"/>
      <c r="L143" s="168"/>
      <c r="M143" s="7"/>
      <c r="N143" s="32"/>
      <c r="Z143" s="85">
        <v>45173</v>
      </c>
    </row>
    <row r="144" spans="1:26" ht="9.9499999999999993" customHeight="1" thickBot="1" x14ac:dyDescent="0.35">
      <c r="B144" s="9"/>
      <c r="C144" s="109">
        <v>813</v>
      </c>
      <c r="D144" s="51"/>
      <c r="E144" s="12"/>
      <c r="F144" s="51"/>
      <c r="G144" s="14"/>
      <c r="H144" s="14"/>
      <c r="I144" s="14"/>
      <c r="J144" s="14"/>
      <c r="K144" s="14"/>
      <c r="L144" s="14"/>
      <c r="M144" s="9"/>
      <c r="N144" s="32"/>
      <c r="U144" s="18"/>
      <c r="V144" s="18"/>
      <c r="Z144" s="85">
        <v>45173</v>
      </c>
    </row>
    <row r="145" spans="1:26" ht="6.95" customHeight="1" x14ac:dyDescent="0.3">
      <c r="A145" s="154">
        <f>+A134+1</f>
        <v>814</v>
      </c>
      <c r="B145" s="155"/>
      <c r="C145" s="156"/>
      <c r="D145" s="161" t="s">
        <v>39</v>
      </c>
      <c r="E145" s="162" t="s">
        <v>111</v>
      </c>
      <c r="F145" s="163" t="s">
        <v>40</v>
      </c>
      <c r="G145" s="164" t="s">
        <v>201</v>
      </c>
      <c r="H145" s="165">
        <v>0.5</v>
      </c>
      <c r="I145" s="164"/>
      <c r="J145" s="165"/>
      <c r="K145" s="164"/>
      <c r="L145" s="165"/>
      <c r="M145" s="6"/>
      <c r="N145" s="32"/>
      <c r="Q145" s="10" t="str">
        <f>+CONCATENATE(E145,G145)</f>
        <v>보온덕트벽체1200*500</v>
      </c>
      <c r="R145" s="10">
        <f>+H145</f>
        <v>0.5</v>
      </c>
      <c r="S145" s="11"/>
      <c r="T145" s="10" t="str">
        <f>+E145</f>
        <v>보온덕트벽체</v>
      </c>
      <c r="U145" s="19" t="str">
        <f>IFERROR(LEFT(G145,FIND("*",G145)-1),"-")</f>
        <v>1200</v>
      </c>
      <c r="V145" s="19" t="str">
        <f>IFERROR(RIGHT(G145,LEN(G145)-FIND("*",G145)),"-")</f>
        <v>500</v>
      </c>
      <c r="W145" s="20">
        <f>IFERROR((U145+V145)*2/1000,"-")</f>
        <v>3.4</v>
      </c>
      <c r="X145" s="20">
        <f>IFERROR(W145*H145,"-")</f>
        <v>1.7</v>
      </c>
      <c r="Z145" s="85">
        <v>45173</v>
      </c>
    </row>
    <row r="146" spans="1:26" ht="6.95" customHeight="1" x14ac:dyDescent="0.3">
      <c r="A146" s="154"/>
      <c r="B146" s="157"/>
      <c r="C146" s="158"/>
      <c r="D146" s="161"/>
      <c r="E146" s="162"/>
      <c r="F146" s="163"/>
      <c r="G146" s="164"/>
      <c r="H146" s="165"/>
      <c r="I146" s="164"/>
      <c r="J146" s="165"/>
      <c r="K146" s="164"/>
      <c r="L146" s="165"/>
      <c r="M146" s="6"/>
      <c r="N146" s="32"/>
      <c r="Q146" s="10" t="str">
        <f>+CONCATENATE(E145,I145)</f>
        <v>보온덕트벽체</v>
      </c>
      <c r="R146" s="10">
        <f>+J145</f>
        <v>0</v>
      </c>
      <c r="S146" s="11"/>
      <c r="T146" s="10" t="str">
        <f>+E145</f>
        <v>보온덕트벽체</v>
      </c>
      <c r="U146" s="19" t="str">
        <f>IFERROR(LEFT(I145,FIND("*",I145)-1),"-")</f>
        <v>-</v>
      </c>
      <c r="V146" s="19" t="str">
        <f>IFERROR(RIGHT(I145,LEN(I145)-FIND("*",I145)),"-")</f>
        <v>-</v>
      </c>
      <c r="W146" s="20" t="str">
        <f t="shared" ref="W146:W153" si="76">IFERROR((U146+V146)*2/1000,"-")</f>
        <v>-</v>
      </c>
      <c r="X146" s="20" t="str">
        <f>IFERROR(W146*J145,"-")</f>
        <v>-</v>
      </c>
      <c r="Z146" s="85">
        <v>45173</v>
      </c>
    </row>
    <row r="147" spans="1:26" ht="6.95" customHeight="1" x14ac:dyDescent="0.3">
      <c r="A147" s="154"/>
      <c r="B147" s="157"/>
      <c r="C147" s="158"/>
      <c r="D147" s="161"/>
      <c r="E147" s="162"/>
      <c r="F147" s="163"/>
      <c r="G147" s="164"/>
      <c r="H147" s="165"/>
      <c r="I147" s="164"/>
      <c r="J147" s="165"/>
      <c r="K147" s="164"/>
      <c r="L147" s="165"/>
      <c r="M147" s="6"/>
      <c r="N147" s="32"/>
      <c r="Q147" s="10" t="str">
        <f>+CONCATENATE(E145,K145)</f>
        <v>보온덕트벽체</v>
      </c>
      <c r="R147" s="10">
        <f>+L145</f>
        <v>0</v>
      </c>
      <c r="S147" s="11"/>
      <c r="T147" s="10" t="str">
        <f>+E145</f>
        <v>보온덕트벽체</v>
      </c>
      <c r="U147" s="19" t="str">
        <f>IFERROR(LEFT(K145,FIND("*",K145)-1),"-")</f>
        <v>-</v>
      </c>
      <c r="V147" s="19" t="str">
        <f>IFERROR(RIGHT(K145,LEN(K145)-FIND("*",K145)),"-")</f>
        <v>-</v>
      </c>
      <c r="W147" s="20" t="str">
        <f t="shared" si="76"/>
        <v>-</v>
      </c>
      <c r="X147" s="20" t="str">
        <f>IFERROR(W147*L145,"-")</f>
        <v>-</v>
      </c>
      <c r="Z147" s="85">
        <v>45173</v>
      </c>
    </row>
    <row r="148" spans="1:26" ht="6.95" customHeight="1" x14ac:dyDescent="0.3">
      <c r="A148" s="8"/>
      <c r="B148" s="157"/>
      <c r="C148" s="158"/>
      <c r="D148" s="161" t="s">
        <v>39</v>
      </c>
      <c r="E148" s="162" t="s">
        <v>188</v>
      </c>
      <c r="F148" s="163" t="s">
        <v>40</v>
      </c>
      <c r="G148" s="164" t="s">
        <v>201</v>
      </c>
      <c r="H148" s="165">
        <v>1</v>
      </c>
      <c r="I148" s="164"/>
      <c r="J148" s="165"/>
      <c r="K148" s="164"/>
      <c r="L148" s="165"/>
      <c r="M148" s="6"/>
      <c r="N148" s="32"/>
      <c r="Q148" s="10" t="str">
        <f>+CONCATENATE(E148,G148)</f>
        <v>차열재마감1200*500</v>
      </c>
      <c r="R148" s="10">
        <f>+H148</f>
        <v>1</v>
      </c>
      <c r="S148" s="11"/>
      <c r="T148" s="10" t="str">
        <f>+E148</f>
        <v>차열재마감</v>
      </c>
      <c r="U148" s="19" t="str">
        <f t="shared" ref="U148" si="77">IFERROR(LEFT(G148,FIND("*",G148)-1),"-")</f>
        <v>1200</v>
      </c>
      <c r="V148" s="19" t="str">
        <f t="shared" ref="V148" si="78">IFERROR(RIGHT(G148,LEN(G148)-FIND("*",G148)),"-")</f>
        <v>500</v>
      </c>
      <c r="W148" s="20">
        <f t="shared" si="76"/>
        <v>3.4</v>
      </c>
      <c r="X148" s="20">
        <f>IFERROR(W148*H148,"-")</f>
        <v>3.4</v>
      </c>
      <c r="Z148" s="85">
        <v>45173</v>
      </c>
    </row>
    <row r="149" spans="1:26" ht="6.95" customHeight="1" x14ac:dyDescent="0.3">
      <c r="A149" s="5"/>
      <c r="B149" s="157"/>
      <c r="C149" s="158"/>
      <c r="D149" s="161"/>
      <c r="E149" s="162"/>
      <c r="F149" s="163"/>
      <c r="G149" s="164"/>
      <c r="H149" s="165"/>
      <c r="I149" s="164"/>
      <c r="J149" s="165"/>
      <c r="K149" s="164"/>
      <c r="L149" s="165"/>
      <c r="M149" s="6"/>
      <c r="N149" s="32"/>
      <c r="Q149" s="10" t="str">
        <f>+CONCATENATE(E148,I148)</f>
        <v>차열재마감</v>
      </c>
      <c r="R149" s="10">
        <f>+J148</f>
        <v>0</v>
      </c>
      <c r="S149" s="11"/>
      <c r="T149" s="10" t="str">
        <f>+E148</f>
        <v>차열재마감</v>
      </c>
      <c r="U149" s="19" t="str">
        <f>IFERROR(LEFT(I148,FIND("*",I148)-1),"-")</f>
        <v>-</v>
      </c>
      <c r="V149" s="19" t="str">
        <f>IFERROR(RIGHT(I148,LEN(I148)-FIND("*",I148)),"-")</f>
        <v>-</v>
      </c>
      <c r="W149" s="20" t="str">
        <f t="shared" si="76"/>
        <v>-</v>
      </c>
      <c r="X149" s="20" t="str">
        <f>IFERROR(W149*J148,"-")</f>
        <v>-</v>
      </c>
      <c r="Z149" s="85">
        <v>45173</v>
      </c>
    </row>
    <row r="150" spans="1:26" ht="6.95" customHeight="1" x14ac:dyDescent="0.3">
      <c r="A150" s="5"/>
      <c r="B150" s="157"/>
      <c r="C150" s="158"/>
      <c r="D150" s="161"/>
      <c r="E150" s="162"/>
      <c r="F150" s="163"/>
      <c r="G150" s="164"/>
      <c r="H150" s="165"/>
      <c r="I150" s="164"/>
      <c r="J150" s="165"/>
      <c r="K150" s="164"/>
      <c r="L150" s="165"/>
      <c r="M150" s="6"/>
      <c r="N150" s="32"/>
      <c r="Q150" s="10" t="str">
        <f>+CONCATENATE(E148,K148)</f>
        <v>차열재마감</v>
      </c>
      <c r="R150" s="10">
        <f>+L148</f>
        <v>0</v>
      </c>
      <c r="S150" s="11"/>
      <c r="T150" s="10" t="str">
        <f>+E148</f>
        <v>차열재마감</v>
      </c>
      <c r="U150" s="19" t="str">
        <f>IFERROR(LEFT(K148,FIND("*",K148)-1),"-")</f>
        <v>-</v>
      </c>
      <c r="V150" s="19" t="str">
        <f>IFERROR(RIGHT(K148,LEN(K148)-FIND("*",K148)),"-")</f>
        <v>-</v>
      </c>
      <c r="W150" s="20" t="str">
        <f t="shared" si="76"/>
        <v>-</v>
      </c>
      <c r="X150" s="20" t="str">
        <f>IFERROR(W150*L148,"-")</f>
        <v>-</v>
      </c>
      <c r="Z150" s="85">
        <v>45173</v>
      </c>
    </row>
    <row r="151" spans="1:26" ht="6.95" customHeight="1" x14ac:dyDescent="0.3">
      <c r="A151" s="8"/>
      <c r="B151" s="157"/>
      <c r="C151" s="158"/>
      <c r="D151" s="161" t="s">
        <v>39</v>
      </c>
      <c r="E151" s="162"/>
      <c r="F151" s="163" t="s">
        <v>40</v>
      </c>
      <c r="G151" s="164"/>
      <c r="H151" s="165"/>
      <c r="I151" s="164"/>
      <c r="J151" s="165"/>
      <c r="K151" s="164"/>
      <c r="L151" s="165"/>
      <c r="M151" s="6"/>
      <c r="N151" s="32"/>
      <c r="Q151" s="10" t="str">
        <f>+CONCATENATE(E151,G151)</f>
        <v/>
      </c>
      <c r="R151" s="10">
        <f>+H151</f>
        <v>0</v>
      </c>
      <c r="S151" s="11"/>
      <c r="T151" s="10">
        <f>+E151</f>
        <v>0</v>
      </c>
      <c r="U151" s="19" t="str">
        <f t="shared" ref="U151" si="79">IFERROR(LEFT(G151,FIND("*",G151)-1),"-")</f>
        <v>-</v>
      </c>
      <c r="V151" s="19" t="str">
        <f t="shared" ref="V151" si="80">IFERROR(RIGHT(G151,LEN(G151)-FIND("*",G151)),"-")</f>
        <v>-</v>
      </c>
      <c r="W151" s="20" t="str">
        <f t="shared" si="76"/>
        <v>-</v>
      </c>
      <c r="X151" s="20" t="str">
        <f>IFERROR(W151*H151,"-")</f>
        <v>-</v>
      </c>
      <c r="Z151" s="85">
        <v>45173</v>
      </c>
    </row>
    <row r="152" spans="1:26" ht="6.95" customHeight="1" x14ac:dyDescent="0.3">
      <c r="A152" s="5"/>
      <c r="B152" s="157"/>
      <c r="C152" s="158"/>
      <c r="D152" s="161"/>
      <c r="E152" s="162"/>
      <c r="F152" s="163"/>
      <c r="G152" s="164"/>
      <c r="H152" s="165"/>
      <c r="I152" s="164"/>
      <c r="J152" s="165"/>
      <c r="K152" s="164"/>
      <c r="L152" s="165"/>
      <c r="M152" s="6"/>
      <c r="N152" s="32"/>
      <c r="Q152" s="10" t="str">
        <f>+CONCATENATE(E151,I151)</f>
        <v/>
      </c>
      <c r="R152" s="10">
        <f>+J151</f>
        <v>0</v>
      </c>
      <c r="S152" s="11"/>
      <c r="T152" s="10">
        <f>+E151</f>
        <v>0</v>
      </c>
      <c r="U152" s="19" t="str">
        <f>IFERROR(LEFT(I151,FIND("*",I151)-1),"-")</f>
        <v>-</v>
      </c>
      <c r="V152" s="19" t="str">
        <f>IFERROR(RIGHT(I151,LEN(I151)-FIND("*",I151)),"-")</f>
        <v>-</v>
      </c>
      <c r="W152" s="20" t="str">
        <f t="shared" si="76"/>
        <v>-</v>
      </c>
      <c r="X152" s="20" t="str">
        <f t="shared" ref="X152" si="81">IFERROR(W152*J151,"-")</f>
        <v>-</v>
      </c>
      <c r="Z152" s="85">
        <v>45173</v>
      </c>
    </row>
    <row r="153" spans="1:26" ht="6.95" customHeight="1" x14ac:dyDescent="0.3">
      <c r="A153" s="5"/>
      <c r="B153" s="157"/>
      <c r="C153" s="158"/>
      <c r="D153" s="161"/>
      <c r="E153" s="162"/>
      <c r="F153" s="163"/>
      <c r="G153" s="164"/>
      <c r="H153" s="165"/>
      <c r="I153" s="164"/>
      <c r="J153" s="165"/>
      <c r="K153" s="164"/>
      <c r="L153" s="165"/>
      <c r="M153" s="6"/>
      <c r="N153" s="32"/>
      <c r="Q153" s="10" t="str">
        <f>+CONCATENATE(E151,K151)</f>
        <v/>
      </c>
      <c r="R153" s="10">
        <f>+L151</f>
        <v>0</v>
      </c>
      <c r="S153" s="11"/>
      <c r="T153" s="10">
        <f>+E151</f>
        <v>0</v>
      </c>
      <c r="U153" s="19" t="str">
        <f>IFERROR(LEFT(K151,FIND("*",K151)-1),"-")</f>
        <v>-</v>
      </c>
      <c r="V153" s="19" t="str">
        <f>IFERROR(RIGHT(K151,LEN(K151)-FIND("*",K151)),"-")</f>
        <v>-</v>
      </c>
      <c r="W153" s="20" t="str">
        <f t="shared" si="76"/>
        <v>-</v>
      </c>
      <c r="X153" s="20" t="str">
        <f>IFERROR(W153*L151,"-")</f>
        <v>-</v>
      </c>
      <c r="Z153" s="85">
        <v>45173</v>
      </c>
    </row>
    <row r="154" spans="1:26" ht="21" customHeight="1" thickBot="1" x14ac:dyDescent="0.35">
      <c r="A154" s="5"/>
      <c r="B154" s="159"/>
      <c r="C154" s="160"/>
      <c r="D154" s="166" t="s">
        <v>43</v>
      </c>
      <c r="E154" s="167"/>
      <c r="F154" s="167"/>
      <c r="G154" s="168" t="s">
        <v>184</v>
      </c>
      <c r="H154" s="168"/>
      <c r="I154" s="168"/>
      <c r="J154" s="168"/>
      <c r="K154" s="168"/>
      <c r="L154" s="168"/>
      <c r="M154" s="7"/>
      <c r="N154" s="32"/>
      <c r="Z154" s="85">
        <v>45173</v>
      </c>
    </row>
    <row r="155" spans="1:26" ht="9.9499999999999993" customHeight="1" thickBot="1" x14ac:dyDescent="0.35">
      <c r="B155" s="9"/>
      <c r="C155" s="109">
        <v>814</v>
      </c>
      <c r="D155" s="51"/>
      <c r="E155" s="12"/>
      <c r="F155" s="51"/>
      <c r="G155" s="14"/>
      <c r="H155" s="14"/>
      <c r="I155" s="14"/>
      <c r="J155" s="14"/>
      <c r="K155" s="14"/>
      <c r="L155" s="14"/>
      <c r="M155" s="9"/>
      <c r="N155" s="32"/>
      <c r="U155" s="18"/>
      <c r="V155" s="18"/>
      <c r="Z155" s="85">
        <v>45173</v>
      </c>
    </row>
    <row r="156" spans="1:26" ht="6.95" customHeight="1" x14ac:dyDescent="0.3">
      <c r="A156" s="154">
        <f>+A145+1</f>
        <v>815</v>
      </c>
      <c r="B156" s="155"/>
      <c r="C156" s="156"/>
      <c r="D156" s="161" t="s">
        <v>39</v>
      </c>
      <c r="E156" s="162" t="s">
        <v>115</v>
      </c>
      <c r="F156" s="163" t="s">
        <v>40</v>
      </c>
      <c r="G156" s="164" t="s">
        <v>200</v>
      </c>
      <c r="H156" s="165">
        <v>0.5</v>
      </c>
      <c r="I156" s="164"/>
      <c r="J156" s="165"/>
      <c r="K156" s="164"/>
      <c r="L156" s="165"/>
      <c r="M156" s="6"/>
      <c r="N156" s="32"/>
      <c r="Q156" s="10" t="str">
        <f>+CONCATENATE(E156,G156)</f>
        <v>무보온덕트벽체1300*400</v>
      </c>
      <c r="R156" s="10">
        <f>+H156</f>
        <v>0.5</v>
      </c>
      <c r="S156" s="11"/>
      <c r="T156" s="10" t="str">
        <f>+E156</f>
        <v>무보온덕트벽체</v>
      </c>
      <c r="U156" s="19" t="str">
        <f>IFERROR(LEFT(G156,FIND("*",G156)-1),"-")</f>
        <v>1300</v>
      </c>
      <c r="V156" s="19" t="str">
        <f>IFERROR(RIGHT(G156,LEN(G156)-FIND("*",G156)),"-")</f>
        <v>400</v>
      </c>
      <c r="W156" s="20">
        <f>IFERROR((U156+V156)*2/1000,"-")</f>
        <v>3.4</v>
      </c>
      <c r="X156" s="20">
        <f>IFERROR(W156*H156,"-")</f>
        <v>1.7</v>
      </c>
      <c r="Z156" s="85">
        <v>45173</v>
      </c>
    </row>
    <row r="157" spans="1:26" ht="6.95" customHeight="1" x14ac:dyDescent="0.3">
      <c r="A157" s="154"/>
      <c r="B157" s="157"/>
      <c r="C157" s="158"/>
      <c r="D157" s="161"/>
      <c r="E157" s="162"/>
      <c r="F157" s="163"/>
      <c r="G157" s="164"/>
      <c r="H157" s="165"/>
      <c r="I157" s="164"/>
      <c r="J157" s="165"/>
      <c r="K157" s="164"/>
      <c r="L157" s="165"/>
      <c r="M157" s="6"/>
      <c r="N157" s="32"/>
      <c r="Q157" s="10" t="str">
        <f>+CONCATENATE(E156,I156)</f>
        <v>무보온덕트벽체</v>
      </c>
      <c r="R157" s="10">
        <f>+J156</f>
        <v>0</v>
      </c>
      <c r="S157" s="11"/>
      <c r="T157" s="10" t="str">
        <f>+E156</f>
        <v>무보온덕트벽체</v>
      </c>
      <c r="U157" s="19" t="str">
        <f>IFERROR(LEFT(I156,FIND("*",I156)-1),"-")</f>
        <v>-</v>
      </c>
      <c r="V157" s="19" t="str">
        <f>IFERROR(RIGHT(I156,LEN(I156)-FIND("*",I156)),"-")</f>
        <v>-</v>
      </c>
      <c r="W157" s="20" t="str">
        <f t="shared" ref="W157:W164" si="82">IFERROR((U157+V157)*2/1000,"-")</f>
        <v>-</v>
      </c>
      <c r="X157" s="20" t="str">
        <f>IFERROR(W157*J156,"-")</f>
        <v>-</v>
      </c>
      <c r="Z157" s="85">
        <v>45173</v>
      </c>
    </row>
    <row r="158" spans="1:26" ht="6.95" customHeight="1" x14ac:dyDescent="0.3">
      <c r="A158" s="154"/>
      <c r="B158" s="157"/>
      <c r="C158" s="158"/>
      <c r="D158" s="161"/>
      <c r="E158" s="162"/>
      <c r="F158" s="163"/>
      <c r="G158" s="164"/>
      <c r="H158" s="165"/>
      <c r="I158" s="164"/>
      <c r="J158" s="165"/>
      <c r="K158" s="164"/>
      <c r="L158" s="165"/>
      <c r="M158" s="6"/>
      <c r="N158" s="32"/>
      <c r="Q158" s="10" t="str">
        <f>+CONCATENATE(E156,K156)</f>
        <v>무보온덕트벽체</v>
      </c>
      <c r="R158" s="10">
        <f>+L156</f>
        <v>0</v>
      </c>
      <c r="S158" s="11"/>
      <c r="T158" s="10" t="str">
        <f>+E156</f>
        <v>무보온덕트벽체</v>
      </c>
      <c r="U158" s="19" t="str">
        <f>IFERROR(LEFT(K156,FIND("*",K156)-1),"-")</f>
        <v>-</v>
      </c>
      <c r="V158" s="19" t="str">
        <f>IFERROR(RIGHT(K156,LEN(K156)-FIND("*",K156)),"-")</f>
        <v>-</v>
      </c>
      <c r="W158" s="20" t="str">
        <f t="shared" si="82"/>
        <v>-</v>
      </c>
      <c r="X158" s="20" t="str">
        <f>IFERROR(W158*L156,"-")</f>
        <v>-</v>
      </c>
      <c r="Z158" s="85">
        <v>45173</v>
      </c>
    </row>
    <row r="159" spans="1:26" ht="6.95" customHeight="1" x14ac:dyDescent="0.3">
      <c r="A159" s="8"/>
      <c r="B159" s="157"/>
      <c r="C159" s="158"/>
      <c r="D159" s="161" t="s">
        <v>39</v>
      </c>
      <c r="E159" s="162" t="s">
        <v>188</v>
      </c>
      <c r="F159" s="163" t="s">
        <v>40</v>
      </c>
      <c r="G159" s="164" t="s">
        <v>200</v>
      </c>
      <c r="H159" s="165">
        <v>0.5</v>
      </c>
      <c r="I159" s="164"/>
      <c r="J159" s="165"/>
      <c r="K159" s="164"/>
      <c r="L159" s="165"/>
      <c r="M159" s="6"/>
      <c r="N159" s="32"/>
      <c r="Q159" s="10" t="str">
        <f>+CONCATENATE(E159,G159)</f>
        <v>차열재마감1300*400</v>
      </c>
      <c r="R159" s="10">
        <f>+H159</f>
        <v>0.5</v>
      </c>
      <c r="S159" s="11"/>
      <c r="T159" s="10" t="str">
        <f>+E159</f>
        <v>차열재마감</v>
      </c>
      <c r="U159" s="19" t="str">
        <f t="shared" ref="U159" si="83">IFERROR(LEFT(G159,FIND("*",G159)-1),"-")</f>
        <v>1300</v>
      </c>
      <c r="V159" s="19" t="str">
        <f t="shared" ref="V159" si="84">IFERROR(RIGHT(G159,LEN(G159)-FIND("*",G159)),"-")</f>
        <v>400</v>
      </c>
      <c r="W159" s="20">
        <f t="shared" si="82"/>
        <v>3.4</v>
      </c>
      <c r="X159" s="20">
        <f>IFERROR(W159*H159,"-")</f>
        <v>1.7</v>
      </c>
      <c r="Z159" s="85">
        <v>45173</v>
      </c>
    </row>
    <row r="160" spans="1:26" ht="6.95" customHeight="1" x14ac:dyDescent="0.3">
      <c r="A160" s="5"/>
      <c r="B160" s="157"/>
      <c r="C160" s="158"/>
      <c r="D160" s="161"/>
      <c r="E160" s="162"/>
      <c r="F160" s="163"/>
      <c r="G160" s="164"/>
      <c r="H160" s="165"/>
      <c r="I160" s="164"/>
      <c r="J160" s="165"/>
      <c r="K160" s="164"/>
      <c r="L160" s="165"/>
      <c r="M160" s="6"/>
      <c r="N160" s="32"/>
      <c r="Q160" s="10" t="str">
        <f>+CONCATENATE(E159,I159)</f>
        <v>차열재마감</v>
      </c>
      <c r="R160" s="10">
        <f>+J159</f>
        <v>0</v>
      </c>
      <c r="S160" s="11"/>
      <c r="T160" s="10" t="str">
        <f>+E159</f>
        <v>차열재마감</v>
      </c>
      <c r="U160" s="19" t="str">
        <f>IFERROR(LEFT(I159,FIND("*",I159)-1),"-")</f>
        <v>-</v>
      </c>
      <c r="V160" s="19" t="str">
        <f>IFERROR(RIGHT(I159,LEN(I159)-FIND("*",I159)),"-")</f>
        <v>-</v>
      </c>
      <c r="W160" s="20" t="str">
        <f t="shared" si="82"/>
        <v>-</v>
      </c>
      <c r="X160" s="20" t="str">
        <f>IFERROR(W160*J159,"-")</f>
        <v>-</v>
      </c>
      <c r="Z160" s="85">
        <v>45173</v>
      </c>
    </row>
    <row r="161" spans="1:26" ht="6.95" customHeight="1" x14ac:dyDescent="0.3">
      <c r="A161" s="5"/>
      <c r="B161" s="157"/>
      <c r="C161" s="158"/>
      <c r="D161" s="161"/>
      <c r="E161" s="162"/>
      <c r="F161" s="163"/>
      <c r="G161" s="164"/>
      <c r="H161" s="165"/>
      <c r="I161" s="164"/>
      <c r="J161" s="165"/>
      <c r="K161" s="164"/>
      <c r="L161" s="165"/>
      <c r="M161" s="6"/>
      <c r="N161" s="32"/>
      <c r="Q161" s="10" t="str">
        <f>+CONCATENATE(E159,K159)</f>
        <v>차열재마감</v>
      </c>
      <c r="R161" s="10">
        <f>+L159</f>
        <v>0</v>
      </c>
      <c r="S161" s="11"/>
      <c r="T161" s="10" t="str">
        <f>+E159</f>
        <v>차열재마감</v>
      </c>
      <c r="U161" s="19" t="str">
        <f>IFERROR(LEFT(K159,FIND("*",K159)-1),"-")</f>
        <v>-</v>
      </c>
      <c r="V161" s="19" t="str">
        <f>IFERROR(RIGHT(K159,LEN(K159)-FIND("*",K159)),"-")</f>
        <v>-</v>
      </c>
      <c r="W161" s="20" t="str">
        <f t="shared" si="82"/>
        <v>-</v>
      </c>
      <c r="X161" s="20" t="str">
        <f>IFERROR(W161*L159,"-")</f>
        <v>-</v>
      </c>
      <c r="Z161" s="85">
        <v>45173</v>
      </c>
    </row>
    <row r="162" spans="1:26" ht="6.95" customHeight="1" x14ac:dyDescent="0.3">
      <c r="A162" s="8"/>
      <c r="B162" s="157"/>
      <c r="C162" s="158"/>
      <c r="D162" s="161" t="s">
        <v>39</v>
      </c>
      <c r="E162" s="162"/>
      <c r="F162" s="163" t="s">
        <v>40</v>
      </c>
      <c r="G162" s="164"/>
      <c r="H162" s="165"/>
      <c r="I162" s="164"/>
      <c r="J162" s="165"/>
      <c r="K162" s="164"/>
      <c r="L162" s="165"/>
      <c r="M162" s="6"/>
      <c r="N162" s="32"/>
      <c r="Q162" s="10" t="str">
        <f>+CONCATENATE(E162,G162)</f>
        <v/>
      </c>
      <c r="R162" s="10">
        <f>+H162</f>
        <v>0</v>
      </c>
      <c r="S162" s="11"/>
      <c r="T162" s="10">
        <f>+E162</f>
        <v>0</v>
      </c>
      <c r="U162" s="19" t="str">
        <f t="shared" ref="U162" si="85">IFERROR(LEFT(G162,FIND("*",G162)-1),"-")</f>
        <v>-</v>
      </c>
      <c r="V162" s="19" t="str">
        <f t="shared" ref="V162" si="86">IFERROR(RIGHT(G162,LEN(G162)-FIND("*",G162)),"-")</f>
        <v>-</v>
      </c>
      <c r="W162" s="20" t="str">
        <f t="shared" si="82"/>
        <v>-</v>
      </c>
      <c r="X162" s="20" t="str">
        <f>IFERROR(W162*H162,"-")</f>
        <v>-</v>
      </c>
      <c r="Z162" s="85">
        <v>45173</v>
      </c>
    </row>
    <row r="163" spans="1:26" ht="6.95" customHeight="1" x14ac:dyDescent="0.3">
      <c r="A163" s="5"/>
      <c r="B163" s="157"/>
      <c r="C163" s="158"/>
      <c r="D163" s="161"/>
      <c r="E163" s="162"/>
      <c r="F163" s="163"/>
      <c r="G163" s="164"/>
      <c r="H163" s="165"/>
      <c r="I163" s="164"/>
      <c r="J163" s="165"/>
      <c r="K163" s="164"/>
      <c r="L163" s="165"/>
      <c r="M163" s="6"/>
      <c r="N163" s="32"/>
      <c r="Q163" s="10" t="str">
        <f>+CONCATENATE(E162,I162)</f>
        <v/>
      </c>
      <c r="R163" s="10">
        <f>+J162</f>
        <v>0</v>
      </c>
      <c r="S163" s="11"/>
      <c r="T163" s="10">
        <f>+E162</f>
        <v>0</v>
      </c>
      <c r="U163" s="19" t="str">
        <f>IFERROR(LEFT(I162,FIND("*",I162)-1),"-")</f>
        <v>-</v>
      </c>
      <c r="V163" s="19" t="str">
        <f>IFERROR(RIGHT(I162,LEN(I162)-FIND("*",I162)),"-")</f>
        <v>-</v>
      </c>
      <c r="W163" s="20" t="str">
        <f t="shared" si="82"/>
        <v>-</v>
      </c>
      <c r="X163" s="20" t="str">
        <f t="shared" ref="X163" si="87">IFERROR(W163*J162,"-")</f>
        <v>-</v>
      </c>
      <c r="Z163" s="85">
        <v>45173</v>
      </c>
    </row>
    <row r="164" spans="1:26" ht="6.95" customHeight="1" x14ac:dyDescent="0.3">
      <c r="A164" s="5"/>
      <c r="B164" s="157"/>
      <c r="C164" s="158"/>
      <c r="D164" s="161"/>
      <c r="E164" s="162"/>
      <c r="F164" s="163"/>
      <c r="G164" s="164"/>
      <c r="H164" s="165"/>
      <c r="I164" s="164"/>
      <c r="J164" s="165"/>
      <c r="K164" s="164"/>
      <c r="L164" s="165"/>
      <c r="M164" s="6"/>
      <c r="N164" s="32"/>
      <c r="Q164" s="10" t="str">
        <f>+CONCATENATE(E162,K162)</f>
        <v/>
      </c>
      <c r="R164" s="10">
        <f>+L162</f>
        <v>0</v>
      </c>
      <c r="S164" s="11"/>
      <c r="T164" s="10">
        <f>+E162</f>
        <v>0</v>
      </c>
      <c r="U164" s="19" t="str">
        <f>IFERROR(LEFT(K162,FIND("*",K162)-1),"-")</f>
        <v>-</v>
      </c>
      <c r="V164" s="19" t="str">
        <f>IFERROR(RIGHT(K162,LEN(K162)-FIND("*",K162)),"-")</f>
        <v>-</v>
      </c>
      <c r="W164" s="20" t="str">
        <f t="shared" si="82"/>
        <v>-</v>
      </c>
      <c r="X164" s="20" t="str">
        <f>IFERROR(W164*L162,"-")</f>
        <v>-</v>
      </c>
      <c r="Z164" s="85">
        <v>45173</v>
      </c>
    </row>
    <row r="165" spans="1:26" ht="21" customHeight="1" thickBot="1" x14ac:dyDescent="0.35">
      <c r="A165" s="5"/>
      <c r="B165" s="159"/>
      <c r="C165" s="160"/>
      <c r="D165" s="166" t="s">
        <v>43</v>
      </c>
      <c r="E165" s="167"/>
      <c r="F165" s="167"/>
      <c r="G165" s="168" t="s">
        <v>184</v>
      </c>
      <c r="H165" s="168"/>
      <c r="I165" s="168"/>
      <c r="J165" s="168"/>
      <c r="K165" s="168"/>
      <c r="L165" s="168"/>
      <c r="M165" s="7"/>
      <c r="N165" s="32"/>
      <c r="Z165" s="85">
        <v>45173</v>
      </c>
    </row>
    <row r="166" spans="1:26" ht="9.9499999999999993" customHeight="1" thickBot="1" x14ac:dyDescent="0.35">
      <c r="B166" s="9"/>
      <c r="C166" s="109">
        <v>815</v>
      </c>
      <c r="D166" s="51"/>
      <c r="E166" s="12"/>
      <c r="F166" s="51"/>
      <c r="G166" s="14"/>
      <c r="H166" s="14"/>
      <c r="I166" s="14"/>
      <c r="J166" s="14"/>
      <c r="K166" s="14"/>
      <c r="L166" s="14"/>
      <c r="M166" s="9"/>
      <c r="N166" s="32"/>
      <c r="U166" s="18"/>
      <c r="V166" s="18"/>
      <c r="Z166" s="85">
        <v>45173</v>
      </c>
    </row>
    <row r="167" spans="1:26" ht="6.95" customHeight="1" x14ac:dyDescent="0.3">
      <c r="A167" s="154">
        <f>+A156+1</f>
        <v>816</v>
      </c>
      <c r="B167" s="155"/>
      <c r="C167" s="156"/>
      <c r="D167" s="161" t="s">
        <v>39</v>
      </c>
      <c r="E167" s="162" t="s">
        <v>186</v>
      </c>
      <c r="F167" s="163" t="s">
        <v>40</v>
      </c>
      <c r="G167" s="164">
        <v>150</v>
      </c>
      <c r="H167" s="165">
        <v>1</v>
      </c>
      <c r="I167" s="164">
        <v>50</v>
      </c>
      <c r="J167" s="165">
        <v>1</v>
      </c>
      <c r="K167" s="164"/>
      <c r="L167" s="165"/>
      <c r="M167" s="6"/>
      <c r="N167" s="32"/>
      <c r="Q167" s="10" t="str">
        <f>+CONCATENATE(E167,G167)</f>
        <v>금속관벽체150</v>
      </c>
      <c r="R167" s="10">
        <f>+H167</f>
        <v>1</v>
      </c>
      <c r="S167" s="11"/>
      <c r="T167" s="10" t="str">
        <f>+E167</f>
        <v>금속관벽체</v>
      </c>
      <c r="U167" s="19" t="str">
        <f>IFERROR(LEFT(G167,FIND("*",G167)-1),"-")</f>
        <v>-</v>
      </c>
      <c r="V167" s="19" t="str">
        <f>IFERROR(RIGHT(G167,LEN(G167)-FIND("*",G167)),"-")</f>
        <v>-</v>
      </c>
      <c r="W167" s="20" t="str">
        <f>IFERROR((U167+V167)*2/1000,"-")</f>
        <v>-</v>
      </c>
      <c r="X167" s="20" t="str">
        <f>IFERROR(W167*H167,"-")</f>
        <v>-</v>
      </c>
      <c r="Z167" s="85">
        <v>45173</v>
      </c>
    </row>
    <row r="168" spans="1:26" ht="6.95" customHeight="1" x14ac:dyDescent="0.3">
      <c r="A168" s="154"/>
      <c r="B168" s="157"/>
      <c r="C168" s="158"/>
      <c r="D168" s="161"/>
      <c r="E168" s="162"/>
      <c r="F168" s="163"/>
      <c r="G168" s="164"/>
      <c r="H168" s="165"/>
      <c r="I168" s="164"/>
      <c r="J168" s="165"/>
      <c r="K168" s="164"/>
      <c r="L168" s="165"/>
      <c r="M168" s="6"/>
      <c r="N168" s="32"/>
      <c r="Q168" s="10" t="str">
        <f>+CONCATENATE(E167,I167)</f>
        <v>금속관벽체50</v>
      </c>
      <c r="R168" s="10">
        <f>+J167</f>
        <v>1</v>
      </c>
      <c r="S168" s="11"/>
      <c r="T168" s="10" t="str">
        <f>+E167</f>
        <v>금속관벽체</v>
      </c>
      <c r="U168" s="19" t="str">
        <f>IFERROR(LEFT(I167,FIND("*",I167)-1),"-")</f>
        <v>-</v>
      </c>
      <c r="V168" s="19" t="str">
        <f>IFERROR(RIGHT(I167,LEN(I167)-FIND("*",I167)),"-")</f>
        <v>-</v>
      </c>
      <c r="W168" s="20" t="str">
        <f t="shared" ref="W168:W175" si="88">IFERROR((U168+V168)*2/1000,"-")</f>
        <v>-</v>
      </c>
      <c r="X168" s="20" t="str">
        <f>IFERROR(W168*J167,"-")</f>
        <v>-</v>
      </c>
      <c r="Z168" s="85">
        <v>45173</v>
      </c>
    </row>
    <row r="169" spans="1:26" ht="6.95" customHeight="1" x14ac:dyDescent="0.3">
      <c r="A169" s="154"/>
      <c r="B169" s="157"/>
      <c r="C169" s="158"/>
      <c r="D169" s="161"/>
      <c r="E169" s="162"/>
      <c r="F169" s="163"/>
      <c r="G169" s="164"/>
      <c r="H169" s="165"/>
      <c r="I169" s="164"/>
      <c r="J169" s="165"/>
      <c r="K169" s="164"/>
      <c r="L169" s="165"/>
      <c r="M169" s="6"/>
      <c r="N169" s="32"/>
      <c r="Q169" s="10" t="str">
        <f>+CONCATENATE(E167,K167)</f>
        <v>금속관벽체</v>
      </c>
      <c r="R169" s="10">
        <f>+L167</f>
        <v>0</v>
      </c>
      <c r="S169" s="11"/>
      <c r="T169" s="10" t="str">
        <f>+E167</f>
        <v>금속관벽체</v>
      </c>
      <c r="U169" s="19" t="str">
        <f>IFERROR(LEFT(K167,FIND("*",K167)-1),"-")</f>
        <v>-</v>
      </c>
      <c r="V169" s="19" t="str">
        <f>IFERROR(RIGHT(K167,LEN(K167)-FIND("*",K167)),"-")</f>
        <v>-</v>
      </c>
      <c r="W169" s="20" t="str">
        <f t="shared" si="88"/>
        <v>-</v>
      </c>
      <c r="X169" s="20" t="str">
        <f>IFERROR(W169*L167,"-")</f>
        <v>-</v>
      </c>
      <c r="Z169" s="85">
        <v>45173</v>
      </c>
    </row>
    <row r="170" spans="1:26" ht="6.95" customHeight="1" x14ac:dyDescent="0.3">
      <c r="A170" s="8"/>
      <c r="B170" s="157"/>
      <c r="C170" s="158"/>
      <c r="D170" s="161" t="s">
        <v>39</v>
      </c>
      <c r="E170" s="162"/>
      <c r="F170" s="163" t="s">
        <v>40</v>
      </c>
      <c r="G170" s="164"/>
      <c r="H170" s="165"/>
      <c r="I170" s="164"/>
      <c r="J170" s="165"/>
      <c r="K170" s="164"/>
      <c r="L170" s="165"/>
      <c r="M170" s="6"/>
      <c r="N170" s="32"/>
      <c r="Q170" s="10" t="str">
        <f>+CONCATENATE(E170,G170)</f>
        <v/>
      </c>
      <c r="R170" s="10">
        <f>+H170</f>
        <v>0</v>
      </c>
      <c r="S170" s="11"/>
      <c r="T170" s="10">
        <f>+E170</f>
        <v>0</v>
      </c>
      <c r="U170" s="19" t="str">
        <f t="shared" ref="U170" si="89">IFERROR(LEFT(G170,FIND("*",G170)-1),"-")</f>
        <v>-</v>
      </c>
      <c r="V170" s="19" t="str">
        <f t="shared" ref="V170" si="90">IFERROR(RIGHT(G170,LEN(G170)-FIND("*",G170)),"-")</f>
        <v>-</v>
      </c>
      <c r="W170" s="20" t="str">
        <f t="shared" si="88"/>
        <v>-</v>
      </c>
      <c r="X170" s="20" t="str">
        <f>IFERROR(W170*H170,"-")</f>
        <v>-</v>
      </c>
      <c r="Z170" s="85">
        <v>45173</v>
      </c>
    </row>
    <row r="171" spans="1:26" ht="6.95" customHeight="1" x14ac:dyDescent="0.3">
      <c r="A171" s="5"/>
      <c r="B171" s="157"/>
      <c r="C171" s="158"/>
      <c r="D171" s="161"/>
      <c r="E171" s="162"/>
      <c r="F171" s="163"/>
      <c r="G171" s="164"/>
      <c r="H171" s="165"/>
      <c r="I171" s="164"/>
      <c r="J171" s="165"/>
      <c r="K171" s="164"/>
      <c r="L171" s="165"/>
      <c r="M171" s="6"/>
      <c r="N171" s="32"/>
      <c r="Q171" s="10" t="str">
        <f>+CONCATENATE(E170,I170)</f>
        <v/>
      </c>
      <c r="R171" s="10">
        <f>+J170</f>
        <v>0</v>
      </c>
      <c r="S171" s="11"/>
      <c r="T171" s="10">
        <f>+E170</f>
        <v>0</v>
      </c>
      <c r="U171" s="19" t="str">
        <f>IFERROR(LEFT(I170,FIND("*",I170)-1),"-")</f>
        <v>-</v>
      </c>
      <c r="V171" s="19" t="str">
        <f>IFERROR(RIGHT(I170,LEN(I170)-FIND("*",I170)),"-")</f>
        <v>-</v>
      </c>
      <c r="W171" s="20" t="str">
        <f t="shared" si="88"/>
        <v>-</v>
      </c>
      <c r="X171" s="20" t="str">
        <f>IFERROR(W171*J170,"-")</f>
        <v>-</v>
      </c>
      <c r="Z171" s="85">
        <v>45173</v>
      </c>
    </row>
    <row r="172" spans="1:26" ht="6.95" customHeight="1" x14ac:dyDescent="0.3">
      <c r="A172" s="5"/>
      <c r="B172" s="157"/>
      <c r="C172" s="158"/>
      <c r="D172" s="161"/>
      <c r="E172" s="162"/>
      <c r="F172" s="163"/>
      <c r="G172" s="164"/>
      <c r="H172" s="165"/>
      <c r="I172" s="164"/>
      <c r="J172" s="165"/>
      <c r="K172" s="164"/>
      <c r="L172" s="165"/>
      <c r="M172" s="6"/>
      <c r="N172" s="32"/>
      <c r="Q172" s="10" t="str">
        <f>+CONCATENATE(E170,K170)</f>
        <v/>
      </c>
      <c r="R172" s="10">
        <f>+L170</f>
        <v>0</v>
      </c>
      <c r="S172" s="11"/>
      <c r="T172" s="10">
        <f>+E170</f>
        <v>0</v>
      </c>
      <c r="U172" s="19" t="str">
        <f>IFERROR(LEFT(K170,FIND("*",K170)-1),"-")</f>
        <v>-</v>
      </c>
      <c r="V172" s="19" t="str">
        <f>IFERROR(RIGHT(K170,LEN(K170)-FIND("*",K170)),"-")</f>
        <v>-</v>
      </c>
      <c r="W172" s="20" t="str">
        <f t="shared" si="88"/>
        <v>-</v>
      </c>
      <c r="X172" s="20" t="str">
        <f>IFERROR(W172*L170,"-")</f>
        <v>-</v>
      </c>
      <c r="Z172" s="85">
        <v>45173</v>
      </c>
    </row>
    <row r="173" spans="1:26" ht="6.95" customHeight="1" x14ac:dyDescent="0.3">
      <c r="A173" s="8"/>
      <c r="B173" s="157"/>
      <c r="C173" s="158"/>
      <c r="D173" s="161" t="s">
        <v>39</v>
      </c>
      <c r="E173" s="162"/>
      <c r="F173" s="163" t="s">
        <v>40</v>
      </c>
      <c r="G173" s="164"/>
      <c r="H173" s="165"/>
      <c r="I173" s="164"/>
      <c r="J173" s="165"/>
      <c r="K173" s="164"/>
      <c r="L173" s="165"/>
      <c r="M173" s="6"/>
      <c r="N173" s="32"/>
      <c r="Q173" s="10" t="str">
        <f>+CONCATENATE(E173,G173)</f>
        <v/>
      </c>
      <c r="R173" s="10">
        <f>+H173</f>
        <v>0</v>
      </c>
      <c r="S173" s="11"/>
      <c r="T173" s="10">
        <f>+E173</f>
        <v>0</v>
      </c>
      <c r="U173" s="19" t="str">
        <f t="shared" ref="U173" si="91">IFERROR(LEFT(G173,FIND("*",G173)-1),"-")</f>
        <v>-</v>
      </c>
      <c r="V173" s="19" t="str">
        <f t="shared" ref="V173" si="92">IFERROR(RIGHT(G173,LEN(G173)-FIND("*",G173)),"-")</f>
        <v>-</v>
      </c>
      <c r="W173" s="20" t="str">
        <f t="shared" si="88"/>
        <v>-</v>
      </c>
      <c r="X173" s="20" t="str">
        <f>IFERROR(W173*H173,"-")</f>
        <v>-</v>
      </c>
      <c r="Z173" s="85">
        <v>45173</v>
      </c>
    </row>
    <row r="174" spans="1:26" ht="6.95" customHeight="1" x14ac:dyDescent="0.3">
      <c r="A174" s="5"/>
      <c r="B174" s="157"/>
      <c r="C174" s="158"/>
      <c r="D174" s="161"/>
      <c r="E174" s="162"/>
      <c r="F174" s="163"/>
      <c r="G174" s="164"/>
      <c r="H174" s="165"/>
      <c r="I174" s="164"/>
      <c r="J174" s="165"/>
      <c r="K174" s="164"/>
      <c r="L174" s="165"/>
      <c r="M174" s="6"/>
      <c r="N174" s="32"/>
      <c r="Q174" s="10" t="str">
        <f>+CONCATENATE(E173,I173)</f>
        <v/>
      </c>
      <c r="R174" s="10">
        <f>+J173</f>
        <v>0</v>
      </c>
      <c r="S174" s="11"/>
      <c r="T174" s="10">
        <f>+E173</f>
        <v>0</v>
      </c>
      <c r="U174" s="19" t="str">
        <f>IFERROR(LEFT(I173,FIND("*",I173)-1),"-")</f>
        <v>-</v>
      </c>
      <c r="V174" s="19" t="str">
        <f>IFERROR(RIGHT(I173,LEN(I173)-FIND("*",I173)),"-")</f>
        <v>-</v>
      </c>
      <c r="W174" s="20" t="str">
        <f t="shared" si="88"/>
        <v>-</v>
      </c>
      <c r="X174" s="20" t="str">
        <f t="shared" ref="X174" si="93">IFERROR(W174*J173,"-")</f>
        <v>-</v>
      </c>
      <c r="Z174" s="85">
        <v>45173</v>
      </c>
    </row>
    <row r="175" spans="1:26" ht="6.95" customHeight="1" x14ac:dyDescent="0.3">
      <c r="A175" s="5"/>
      <c r="B175" s="157"/>
      <c r="C175" s="158"/>
      <c r="D175" s="161"/>
      <c r="E175" s="162"/>
      <c r="F175" s="163"/>
      <c r="G175" s="164"/>
      <c r="H175" s="165"/>
      <c r="I175" s="164"/>
      <c r="J175" s="165"/>
      <c r="K175" s="164"/>
      <c r="L175" s="165"/>
      <c r="M175" s="6"/>
      <c r="N175" s="32"/>
      <c r="Q175" s="10" t="str">
        <f>+CONCATENATE(E173,K173)</f>
        <v/>
      </c>
      <c r="R175" s="10">
        <f>+L173</f>
        <v>0</v>
      </c>
      <c r="S175" s="11"/>
      <c r="T175" s="10">
        <f>+E173</f>
        <v>0</v>
      </c>
      <c r="U175" s="19" t="str">
        <f>IFERROR(LEFT(K173,FIND("*",K173)-1),"-")</f>
        <v>-</v>
      </c>
      <c r="V175" s="19" t="str">
        <f>IFERROR(RIGHT(K173,LEN(K173)-FIND("*",K173)),"-")</f>
        <v>-</v>
      </c>
      <c r="W175" s="20" t="str">
        <f t="shared" si="88"/>
        <v>-</v>
      </c>
      <c r="X175" s="20" t="str">
        <f>IFERROR(W175*L173,"-")</f>
        <v>-</v>
      </c>
      <c r="Z175" s="85">
        <v>45173</v>
      </c>
    </row>
    <row r="176" spans="1:26" ht="21" customHeight="1" thickBot="1" x14ac:dyDescent="0.35">
      <c r="A176" s="5"/>
      <c r="B176" s="159"/>
      <c r="C176" s="160"/>
      <c r="D176" s="166" t="s">
        <v>43</v>
      </c>
      <c r="E176" s="167"/>
      <c r="F176" s="167"/>
      <c r="G176" s="168" t="s">
        <v>184</v>
      </c>
      <c r="H176" s="168"/>
      <c r="I176" s="168"/>
      <c r="J176" s="168"/>
      <c r="K176" s="168"/>
      <c r="L176" s="168"/>
      <c r="M176" s="7"/>
      <c r="N176" s="32"/>
      <c r="Z176" s="85">
        <v>45173</v>
      </c>
    </row>
    <row r="177" spans="1:26" ht="9.9499999999999993" customHeight="1" thickBot="1" x14ac:dyDescent="0.35">
      <c r="B177" s="9"/>
      <c r="C177" s="109">
        <v>816</v>
      </c>
      <c r="D177" s="51"/>
      <c r="E177" s="12"/>
      <c r="F177" s="51"/>
      <c r="G177" s="14"/>
      <c r="H177" s="14"/>
      <c r="I177" s="14"/>
      <c r="J177" s="14"/>
      <c r="K177" s="14"/>
      <c r="L177" s="14"/>
      <c r="M177" s="9"/>
      <c r="N177" s="32"/>
      <c r="U177" s="18"/>
      <c r="V177" s="18"/>
      <c r="Z177" s="85">
        <v>45173</v>
      </c>
    </row>
    <row r="178" spans="1:26" ht="6.95" customHeight="1" x14ac:dyDescent="0.3">
      <c r="A178" s="154">
        <f>+A167+1</f>
        <v>817</v>
      </c>
      <c r="B178" s="155"/>
      <c r="C178" s="156"/>
      <c r="D178" s="161" t="s">
        <v>39</v>
      </c>
      <c r="E178" s="162" t="s">
        <v>111</v>
      </c>
      <c r="F178" s="163" t="s">
        <v>40</v>
      </c>
      <c r="G178" s="164" t="s">
        <v>194</v>
      </c>
      <c r="H178" s="165">
        <v>1</v>
      </c>
      <c r="I178" s="164"/>
      <c r="J178" s="165"/>
      <c r="K178" s="164"/>
      <c r="L178" s="165"/>
      <c r="M178" s="6"/>
      <c r="N178" s="32"/>
      <c r="Q178" s="10" t="str">
        <f>+CONCATENATE(E178,G178)</f>
        <v>보온덕트벽체1600*500</v>
      </c>
      <c r="R178" s="10">
        <f>+H178</f>
        <v>1</v>
      </c>
      <c r="S178" s="11"/>
      <c r="T178" s="10" t="str">
        <f>+E178</f>
        <v>보온덕트벽체</v>
      </c>
      <c r="U178" s="19" t="str">
        <f>IFERROR(LEFT(G178,FIND("*",G178)-1),"-")</f>
        <v>1600</v>
      </c>
      <c r="V178" s="19" t="str">
        <f>IFERROR(RIGHT(G178,LEN(G178)-FIND("*",G178)),"-")</f>
        <v>500</v>
      </c>
      <c r="W178" s="20">
        <f>IFERROR((U178+V178)*2/1000,"-")</f>
        <v>4.2</v>
      </c>
      <c r="X178" s="20">
        <f>IFERROR(W178*H178,"-")</f>
        <v>4.2</v>
      </c>
      <c r="Z178" s="85">
        <v>45173</v>
      </c>
    </row>
    <row r="179" spans="1:26" ht="6.95" customHeight="1" x14ac:dyDescent="0.3">
      <c r="A179" s="154"/>
      <c r="B179" s="157"/>
      <c r="C179" s="158"/>
      <c r="D179" s="161"/>
      <c r="E179" s="162"/>
      <c r="F179" s="163"/>
      <c r="G179" s="164"/>
      <c r="H179" s="165"/>
      <c r="I179" s="164"/>
      <c r="J179" s="165"/>
      <c r="K179" s="164"/>
      <c r="L179" s="165"/>
      <c r="M179" s="6"/>
      <c r="N179" s="32"/>
      <c r="Q179" s="10" t="str">
        <f>+CONCATENATE(E178,I178)</f>
        <v>보온덕트벽체</v>
      </c>
      <c r="R179" s="10">
        <f>+J178</f>
        <v>0</v>
      </c>
      <c r="S179" s="11"/>
      <c r="T179" s="10" t="str">
        <f>+E178</f>
        <v>보온덕트벽체</v>
      </c>
      <c r="U179" s="19" t="str">
        <f>IFERROR(LEFT(I178,FIND("*",I178)-1),"-")</f>
        <v>-</v>
      </c>
      <c r="V179" s="19" t="str">
        <f>IFERROR(RIGHT(I178,LEN(I178)-FIND("*",I178)),"-")</f>
        <v>-</v>
      </c>
      <c r="W179" s="20" t="str">
        <f t="shared" ref="W179:W186" si="94">IFERROR((U179+V179)*2/1000,"-")</f>
        <v>-</v>
      </c>
      <c r="X179" s="20" t="str">
        <f>IFERROR(W179*J178,"-")</f>
        <v>-</v>
      </c>
      <c r="Z179" s="85">
        <v>45173</v>
      </c>
    </row>
    <row r="180" spans="1:26" ht="6.95" customHeight="1" x14ac:dyDescent="0.3">
      <c r="A180" s="154"/>
      <c r="B180" s="157"/>
      <c r="C180" s="158"/>
      <c r="D180" s="161"/>
      <c r="E180" s="162"/>
      <c r="F180" s="163"/>
      <c r="G180" s="164"/>
      <c r="H180" s="165"/>
      <c r="I180" s="164"/>
      <c r="J180" s="165"/>
      <c r="K180" s="164"/>
      <c r="L180" s="165"/>
      <c r="M180" s="6"/>
      <c r="N180" s="32"/>
      <c r="Q180" s="10" t="str">
        <f>+CONCATENATE(E178,K178)</f>
        <v>보온덕트벽체</v>
      </c>
      <c r="R180" s="10">
        <f>+L178</f>
        <v>0</v>
      </c>
      <c r="S180" s="11"/>
      <c r="T180" s="10" t="str">
        <f>+E178</f>
        <v>보온덕트벽체</v>
      </c>
      <c r="U180" s="19" t="str">
        <f>IFERROR(LEFT(K178,FIND("*",K178)-1),"-")</f>
        <v>-</v>
      </c>
      <c r="V180" s="19" t="str">
        <f>IFERROR(RIGHT(K178,LEN(K178)-FIND("*",K178)),"-")</f>
        <v>-</v>
      </c>
      <c r="W180" s="20" t="str">
        <f t="shared" si="94"/>
        <v>-</v>
      </c>
      <c r="X180" s="20" t="str">
        <f>IFERROR(W180*L178,"-")</f>
        <v>-</v>
      </c>
      <c r="Z180" s="85">
        <v>45173</v>
      </c>
    </row>
    <row r="181" spans="1:26" ht="6.95" customHeight="1" x14ac:dyDescent="0.3">
      <c r="A181" s="8"/>
      <c r="B181" s="157"/>
      <c r="C181" s="158"/>
      <c r="D181" s="161" t="s">
        <v>39</v>
      </c>
      <c r="E181" s="162" t="s">
        <v>188</v>
      </c>
      <c r="F181" s="163" t="s">
        <v>40</v>
      </c>
      <c r="G181" s="164" t="s">
        <v>194</v>
      </c>
      <c r="H181" s="165">
        <v>2</v>
      </c>
      <c r="I181" s="164"/>
      <c r="J181" s="165"/>
      <c r="K181" s="164"/>
      <c r="L181" s="165"/>
      <c r="M181" s="6"/>
      <c r="N181" s="32"/>
      <c r="Q181" s="10" t="str">
        <f>+CONCATENATE(E181,G181)</f>
        <v>차열재마감1600*500</v>
      </c>
      <c r="R181" s="10">
        <f>+H181</f>
        <v>2</v>
      </c>
      <c r="S181" s="11"/>
      <c r="T181" s="10" t="str">
        <f>+E181</f>
        <v>차열재마감</v>
      </c>
      <c r="U181" s="19" t="str">
        <f t="shared" ref="U181" si="95">IFERROR(LEFT(G181,FIND("*",G181)-1),"-")</f>
        <v>1600</v>
      </c>
      <c r="V181" s="19" t="str">
        <f t="shared" ref="V181" si="96">IFERROR(RIGHT(G181,LEN(G181)-FIND("*",G181)),"-")</f>
        <v>500</v>
      </c>
      <c r="W181" s="20">
        <f t="shared" si="94"/>
        <v>4.2</v>
      </c>
      <c r="X181" s="20">
        <f>IFERROR(W181*H181,"-")</f>
        <v>8.4</v>
      </c>
      <c r="Z181" s="85">
        <v>45173</v>
      </c>
    </row>
    <row r="182" spans="1:26" ht="6.95" customHeight="1" x14ac:dyDescent="0.3">
      <c r="A182" s="5"/>
      <c r="B182" s="157"/>
      <c r="C182" s="158"/>
      <c r="D182" s="161"/>
      <c r="E182" s="162"/>
      <c r="F182" s="163"/>
      <c r="G182" s="164"/>
      <c r="H182" s="165"/>
      <c r="I182" s="164"/>
      <c r="J182" s="165"/>
      <c r="K182" s="164"/>
      <c r="L182" s="165"/>
      <c r="M182" s="6"/>
      <c r="N182" s="32"/>
      <c r="Q182" s="10" t="str">
        <f>+CONCATENATE(E181,I181)</f>
        <v>차열재마감</v>
      </c>
      <c r="R182" s="10">
        <f>+J181</f>
        <v>0</v>
      </c>
      <c r="S182" s="11"/>
      <c r="T182" s="10" t="str">
        <f>+E181</f>
        <v>차열재마감</v>
      </c>
      <c r="U182" s="19" t="str">
        <f>IFERROR(LEFT(I181,FIND("*",I181)-1),"-")</f>
        <v>-</v>
      </c>
      <c r="V182" s="19" t="str">
        <f>IFERROR(RIGHT(I181,LEN(I181)-FIND("*",I181)),"-")</f>
        <v>-</v>
      </c>
      <c r="W182" s="20" t="str">
        <f t="shared" si="94"/>
        <v>-</v>
      </c>
      <c r="X182" s="20" t="str">
        <f>IFERROR(W182*J181,"-")</f>
        <v>-</v>
      </c>
      <c r="Z182" s="85">
        <v>45173</v>
      </c>
    </row>
    <row r="183" spans="1:26" ht="6.95" customHeight="1" x14ac:dyDescent="0.3">
      <c r="A183" s="5"/>
      <c r="B183" s="157"/>
      <c r="C183" s="158"/>
      <c r="D183" s="161"/>
      <c r="E183" s="162"/>
      <c r="F183" s="163"/>
      <c r="G183" s="164"/>
      <c r="H183" s="165"/>
      <c r="I183" s="164"/>
      <c r="J183" s="165"/>
      <c r="K183" s="164"/>
      <c r="L183" s="165"/>
      <c r="M183" s="6"/>
      <c r="N183" s="32"/>
      <c r="Q183" s="10" t="str">
        <f>+CONCATENATE(E181,K181)</f>
        <v>차열재마감</v>
      </c>
      <c r="R183" s="10">
        <f>+L181</f>
        <v>0</v>
      </c>
      <c r="S183" s="11"/>
      <c r="T183" s="10" t="str">
        <f>+E181</f>
        <v>차열재마감</v>
      </c>
      <c r="U183" s="19" t="str">
        <f>IFERROR(LEFT(K181,FIND("*",K181)-1),"-")</f>
        <v>-</v>
      </c>
      <c r="V183" s="19" t="str">
        <f>IFERROR(RIGHT(K181,LEN(K181)-FIND("*",K181)),"-")</f>
        <v>-</v>
      </c>
      <c r="W183" s="20" t="str">
        <f t="shared" si="94"/>
        <v>-</v>
      </c>
      <c r="X183" s="20" t="str">
        <f>IFERROR(W183*L181,"-")</f>
        <v>-</v>
      </c>
      <c r="Z183" s="85">
        <v>45173</v>
      </c>
    </row>
    <row r="184" spans="1:26" ht="6.95" customHeight="1" x14ac:dyDescent="0.3">
      <c r="A184" s="8"/>
      <c r="B184" s="157"/>
      <c r="C184" s="158"/>
      <c r="D184" s="161" t="s">
        <v>39</v>
      </c>
      <c r="E184" s="162"/>
      <c r="F184" s="163" t="s">
        <v>40</v>
      </c>
      <c r="G184" s="164"/>
      <c r="H184" s="165"/>
      <c r="I184" s="164"/>
      <c r="J184" s="165"/>
      <c r="K184" s="164"/>
      <c r="L184" s="165"/>
      <c r="M184" s="6"/>
      <c r="N184" s="32"/>
      <c r="Q184" s="10" t="str">
        <f>+CONCATENATE(E184,G184)</f>
        <v/>
      </c>
      <c r="R184" s="10">
        <f>+H184</f>
        <v>0</v>
      </c>
      <c r="S184" s="11"/>
      <c r="T184" s="10">
        <f>+E184</f>
        <v>0</v>
      </c>
      <c r="U184" s="19" t="str">
        <f t="shared" ref="U184" si="97">IFERROR(LEFT(G184,FIND("*",G184)-1),"-")</f>
        <v>-</v>
      </c>
      <c r="V184" s="19" t="str">
        <f t="shared" ref="V184" si="98">IFERROR(RIGHT(G184,LEN(G184)-FIND("*",G184)),"-")</f>
        <v>-</v>
      </c>
      <c r="W184" s="20" t="str">
        <f t="shared" si="94"/>
        <v>-</v>
      </c>
      <c r="X184" s="20" t="str">
        <f>IFERROR(W184*H184,"-")</f>
        <v>-</v>
      </c>
      <c r="Z184" s="85">
        <v>45173</v>
      </c>
    </row>
    <row r="185" spans="1:26" ht="6.95" customHeight="1" x14ac:dyDescent="0.3">
      <c r="A185" s="5"/>
      <c r="B185" s="157"/>
      <c r="C185" s="158"/>
      <c r="D185" s="161"/>
      <c r="E185" s="162"/>
      <c r="F185" s="163"/>
      <c r="G185" s="164"/>
      <c r="H185" s="165"/>
      <c r="I185" s="164"/>
      <c r="J185" s="165"/>
      <c r="K185" s="164"/>
      <c r="L185" s="165"/>
      <c r="M185" s="6"/>
      <c r="N185" s="32"/>
      <c r="Q185" s="10" t="str">
        <f>+CONCATENATE(E184,I184)</f>
        <v/>
      </c>
      <c r="R185" s="10">
        <f>+J184</f>
        <v>0</v>
      </c>
      <c r="S185" s="11"/>
      <c r="T185" s="10">
        <f>+E184</f>
        <v>0</v>
      </c>
      <c r="U185" s="19" t="str">
        <f>IFERROR(LEFT(I184,FIND("*",I184)-1),"-")</f>
        <v>-</v>
      </c>
      <c r="V185" s="19" t="str">
        <f>IFERROR(RIGHT(I184,LEN(I184)-FIND("*",I184)),"-")</f>
        <v>-</v>
      </c>
      <c r="W185" s="20" t="str">
        <f t="shared" si="94"/>
        <v>-</v>
      </c>
      <c r="X185" s="20" t="str">
        <f t="shared" ref="X185" si="99">IFERROR(W185*J184,"-")</f>
        <v>-</v>
      </c>
      <c r="Z185" s="85">
        <v>45173</v>
      </c>
    </row>
    <row r="186" spans="1:26" ht="6.95" customHeight="1" x14ac:dyDescent="0.3">
      <c r="A186" s="5"/>
      <c r="B186" s="157"/>
      <c r="C186" s="158"/>
      <c r="D186" s="161"/>
      <c r="E186" s="162"/>
      <c r="F186" s="163"/>
      <c r="G186" s="164"/>
      <c r="H186" s="165"/>
      <c r="I186" s="164"/>
      <c r="J186" s="165"/>
      <c r="K186" s="164"/>
      <c r="L186" s="165"/>
      <c r="M186" s="6"/>
      <c r="N186" s="32"/>
      <c r="Q186" s="10" t="str">
        <f>+CONCATENATE(E184,K184)</f>
        <v/>
      </c>
      <c r="R186" s="10">
        <f>+L184</f>
        <v>0</v>
      </c>
      <c r="S186" s="11"/>
      <c r="T186" s="10">
        <f>+E184</f>
        <v>0</v>
      </c>
      <c r="U186" s="19" t="str">
        <f>IFERROR(LEFT(K184,FIND("*",K184)-1),"-")</f>
        <v>-</v>
      </c>
      <c r="V186" s="19" t="str">
        <f>IFERROR(RIGHT(K184,LEN(K184)-FIND("*",K184)),"-")</f>
        <v>-</v>
      </c>
      <c r="W186" s="20" t="str">
        <f t="shared" si="94"/>
        <v>-</v>
      </c>
      <c r="X186" s="20" t="str">
        <f>IFERROR(W186*L184,"-")</f>
        <v>-</v>
      </c>
      <c r="Z186" s="85">
        <v>45173</v>
      </c>
    </row>
    <row r="187" spans="1:26" ht="21" customHeight="1" thickBot="1" x14ac:dyDescent="0.35">
      <c r="A187" s="5"/>
      <c r="B187" s="159"/>
      <c r="C187" s="160"/>
      <c r="D187" s="166" t="s">
        <v>43</v>
      </c>
      <c r="E187" s="167"/>
      <c r="F187" s="167"/>
      <c r="G187" s="168" t="s">
        <v>184</v>
      </c>
      <c r="H187" s="168"/>
      <c r="I187" s="168"/>
      <c r="J187" s="168"/>
      <c r="K187" s="168"/>
      <c r="L187" s="168"/>
      <c r="M187" s="7"/>
      <c r="N187" s="32"/>
      <c r="Z187" s="85">
        <v>45173</v>
      </c>
    </row>
    <row r="188" spans="1:26" ht="9.9499999999999993" customHeight="1" thickBot="1" x14ac:dyDescent="0.35">
      <c r="B188" s="9"/>
      <c r="C188" s="109">
        <v>817</v>
      </c>
      <c r="D188" s="51"/>
      <c r="E188" s="12"/>
      <c r="F188" s="51"/>
      <c r="G188" s="14"/>
      <c r="H188" s="14"/>
      <c r="I188" s="14"/>
      <c r="J188" s="14"/>
      <c r="K188" s="14"/>
      <c r="L188" s="14"/>
      <c r="M188" s="9"/>
      <c r="N188" s="32"/>
      <c r="U188" s="18"/>
      <c r="V188" s="18"/>
      <c r="Z188" s="85">
        <v>45173</v>
      </c>
    </row>
    <row r="189" spans="1:26" ht="6.95" customHeight="1" x14ac:dyDescent="0.3">
      <c r="A189" s="154">
        <f>+A178+1</f>
        <v>818</v>
      </c>
      <c r="B189" s="155"/>
      <c r="C189" s="156"/>
      <c r="D189" s="161" t="s">
        <v>39</v>
      </c>
      <c r="E189" s="162" t="s">
        <v>115</v>
      </c>
      <c r="F189" s="163" t="s">
        <v>40</v>
      </c>
      <c r="G189" s="164" t="s">
        <v>200</v>
      </c>
      <c r="H189" s="165">
        <v>0.5</v>
      </c>
      <c r="I189" s="164"/>
      <c r="J189" s="165"/>
      <c r="K189" s="164"/>
      <c r="L189" s="165"/>
      <c r="M189" s="6"/>
      <c r="N189" s="32"/>
      <c r="Q189" s="10" t="str">
        <f>+CONCATENATE(E189,G189)</f>
        <v>무보온덕트벽체1300*400</v>
      </c>
      <c r="R189" s="10">
        <f>+H189</f>
        <v>0.5</v>
      </c>
      <c r="S189" s="11"/>
      <c r="T189" s="10" t="str">
        <f>+E189</f>
        <v>무보온덕트벽체</v>
      </c>
      <c r="U189" s="19" t="str">
        <f>IFERROR(LEFT(G189,FIND("*",G189)-1),"-")</f>
        <v>1300</v>
      </c>
      <c r="V189" s="19" t="str">
        <f>IFERROR(RIGHT(G189,LEN(G189)-FIND("*",G189)),"-")</f>
        <v>400</v>
      </c>
      <c r="W189" s="20">
        <f>IFERROR((U189+V189)*2/1000,"-")</f>
        <v>3.4</v>
      </c>
      <c r="X189" s="20">
        <f>IFERROR(W189*H189,"-")</f>
        <v>1.7</v>
      </c>
      <c r="Z189" s="85">
        <v>45173</v>
      </c>
    </row>
    <row r="190" spans="1:26" ht="6.95" customHeight="1" x14ac:dyDescent="0.3">
      <c r="A190" s="154"/>
      <c r="B190" s="157"/>
      <c r="C190" s="158"/>
      <c r="D190" s="161"/>
      <c r="E190" s="162"/>
      <c r="F190" s="163"/>
      <c r="G190" s="164"/>
      <c r="H190" s="165"/>
      <c r="I190" s="164"/>
      <c r="J190" s="165"/>
      <c r="K190" s="164"/>
      <c r="L190" s="165"/>
      <c r="M190" s="6"/>
      <c r="N190" s="32"/>
      <c r="Q190" s="10" t="str">
        <f>+CONCATENATE(E189,I189)</f>
        <v>무보온덕트벽체</v>
      </c>
      <c r="R190" s="10">
        <f>+J189</f>
        <v>0</v>
      </c>
      <c r="S190" s="11"/>
      <c r="T190" s="10" t="str">
        <f>+E189</f>
        <v>무보온덕트벽체</v>
      </c>
      <c r="U190" s="19" t="str">
        <f>IFERROR(LEFT(I189,FIND("*",I189)-1),"-")</f>
        <v>-</v>
      </c>
      <c r="V190" s="19" t="str">
        <f>IFERROR(RIGHT(I189,LEN(I189)-FIND("*",I189)),"-")</f>
        <v>-</v>
      </c>
      <c r="W190" s="20" t="str">
        <f t="shared" ref="W190:W197" si="100">IFERROR((U190+V190)*2/1000,"-")</f>
        <v>-</v>
      </c>
      <c r="X190" s="20" t="str">
        <f>IFERROR(W190*J189,"-")</f>
        <v>-</v>
      </c>
      <c r="Z190" s="85">
        <v>45173</v>
      </c>
    </row>
    <row r="191" spans="1:26" ht="6.95" customHeight="1" x14ac:dyDescent="0.3">
      <c r="A191" s="154"/>
      <c r="B191" s="157"/>
      <c r="C191" s="158"/>
      <c r="D191" s="161"/>
      <c r="E191" s="162"/>
      <c r="F191" s="163"/>
      <c r="G191" s="164"/>
      <c r="H191" s="165"/>
      <c r="I191" s="164"/>
      <c r="J191" s="165"/>
      <c r="K191" s="164"/>
      <c r="L191" s="165"/>
      <c r="M191" s="6"/>
      <c r="N191" s="32"/>
      <c r="Q191" s="10" t="str">
        <f>+CONCATENATE(E189,K189)</f>
        <v>무보온덕트벽체</v>
      </c>
      <c r="R191" s="10">
        <f>+L189</f>
        <v>0</v>
      </c>
      <c r="S191" s="11"/>
      <c r="T191" s="10" t="str">
        <f>+E189</f>
        <v>무보온덕트벽체</v>
      </c>
      <c r="U191" s="19" t="str">
        <f>IFERROR(LEFT(K189,FIND("*",K189)-1),"-")</f>
        <v>-</v>
      </c>
      <c r="V191" s="19" t="str">
        <f>IFERROR(RIGHT(K189,LEN(K189)-FIND("*",K189)),"-")</f>
        <v>-</v>
      </c>
      <c r="W191" s="20" t="str">
        <f t="shared" si="100"/>
        <v>-</v>
      </c>
      <c r="X191" s="20" t="str">
        <f>IFERROR(W191*L189,"-")</f>
        <v>-</v>
      </c>
      <c r="Z191" s="85">
        <v>45173</v>
      </c>
    </row>
    <row r="192" spans="1:26" ht="6.95" customHeight="1" x14ac:dyDescent="0.3">
      <c r="A192" s="8"/>
      <c r="B192" s="157"/>
      <c r="C192" s="158"/>
      <c r="D192" s="161" t="s">
        <v>39</v>
      </c>
      <c r="E192" s="162" t="s">
        <v>188</v>
      </c>
      <c r="F192" s="163" t="s">
        <v>40</v>
      </c>
      <c r="G192" s="164" t="s">
        <v>200</v>
      </c>
      <c r="H192" s="165">
        <v>0.5</v>
      </c>
      <c r="I192" s="164"/>
      <c r="J192" s="165"/>
      <c r="K192" s="164"/>
      <c r="L192" s="165"/>
      <c r="M192" s="6"/>
      <c r="N192" s="32"/>
      <c r="Q192" s="10" t="str">
        <f>+CONCATENATE(E192,G192)</f>
        <v>차열재마감1300*400</v>
      </c>
      <c r="R192" s="10">
        <f>+H192</f>
        <v>0.5</v>
      </c>
      <c r="S192" s="11"/>
      <c r="T192" s="10" t="str">
        <f>+E192</f>
        <v>차열재마감</v>
      </c>
      <c r="U192" s="19" t="str">
        <f t="shared" ref="U192" si="101">IFERROR(LEFT(G192,FIND("*",G192)-1),"-")</f>
        <v>1300</v>
      </c>
      <c r="V192" s="19" t="str">
        <f t="shared" ref="V192" si="102">IFERROR(RIGHT(G192,LEN(G192)-FIND("*",G192)),"-")</f>
        <v>400</v>
      </c>
      <c r="W192" s="20">
        <f t="shared" si="100"/>
        <v>3.4</v>
      </c>
      <c r="X192" s="20">
        <f>IFERROR(W192*H192,"-")</f>
        <v>1.7</v>
      </c>
      <c r="Z192" s="85">
        <v>45173</v>
      </c>
    </row>
    <row r="193" spans="1:26" ht="6.95" customHeight="1" x14ac:dyDescent="0.3">
      <c r="A193" s="5"/>
      <c r="B193" s="157"/>
      <c r="C193" s="158"/>
      <c r="D193" s="161"/>
      <c r="E193" s="162"/>
      <c r="F193" s="163"/>
      <c r="G193" s="164"/>
      <c r="H193" s="165"/>
      <c r="I193" s="164"/>
      <c r="J193" s="165"/>
      <c r="K193" s="164"/>
      <c r="L193" s="165"/>
      <c r="M193" s="6"/>
      <c r="N193" s="32"/>
      <c r="Q193" s="10" t="str">
        <f>+CONCATENATE(E192,I192)</f>
        <v>차열재마감</v>
      </c>
      <c r="R193" s="10">
        <f>+J192</f>
        <v>0</v>
      </c>
      <c r="S193" s="11"/>
      <c r="T193" s="10" t="str">
        <f>+E192</f>
        <v>차열재마감</v>
      </c>
      <c r="U193" s="19" t="str">
        <f>IFERROR(LEFT(I192,FIND("*",I192)-1),"-")</f>
        <v>-</v>
      </c>
      <c r="V193" s="19" t="str">
        <f>IFERROR(RIGHT(I192,LEN(I192)-FIND("*",I192)),"-")</f>
        <v>-</v>
      </c>
      <c r="W193" s="20" t="str">
        <f t="shared" si="100"/>
        <v>-</v>
      </c>
      <c r="X193" s="20" t="str">
        <f>IFERROR(W193*J192,"-")</f>
        <v>-</v>
      </c>
      <c r="Z193" s="85">
        <v>45173</v>
      </c>
    </row>
    <row r="194" spans="1:26" ht="6.95" customHeight="1" x14ac:dyDescent="0.3">
      <c r="A194" s="5"/>
      <c r="B194" s="157"/>
      <c r="C194" s="158"/>
      <c r="D194" s="161"/>
      <c r="E194" s="162"/>
      <c r="F194" s="163"/>
      <c r="G194" s="164"/>
      <c r="H194" s="165"/>
      <c r="I194" s="164"/>
      <c r="J194" s="165"/>
      <c r="K194" s="164"/>
      <c r="L194" s="165"/>
      <c r="M194" s="6"/>
      <c r="N194" s="32"/>
      <c r="Q194" s="10" t="str">
        <f>+CONCATENATE(E192,K192)</f>
        <v>차열재마감</v>
      </c>
      <c r="R194" s="10">
        <f>+L192</f>
        <v>0</v>
      </c>
      <c r="S194" s="11"/>
      <c r="T194" s="10" t="str">
        <f>+E192</f>
        <v>차열재마감</v>
      </c>
      <c r="U194" s="19" t="str">
        <f>IFERROR(LEFT(K192,FIND("*",K192)-1),"-")</f>
        <v>-</v>
      </c>
      <c r="V194" s="19" t="str">
        <f>IFERROR(RIGHT(K192,LEN(K192)-FIND("*",K192)),"-")</f>
        <v>-</v>
      </c>
      <c r="W194" s="20" t="str">
        <f t="shared" si="100"/>
        <v>-</v>
      </c>
      <c r="X194" s="20" t="str">
        <f>IFERROR(W194*L192,"-")</f>
        <v>-</v>
      </c>
      <c r="Z194" s="85">
        <v>45173</v>
      </c>
    </row>
    <row r="195" spans="1:26" ht="6.95" customHeight="1" x14ac:dyDescent="0.3">
      <c r="A195" s="8"/>
      <c r="B195" s="157"/>
      <c r="C195" s="158"/>
      <c r="D195" s="161" t="s">
        <v>39</v>
      </c>
      <c r="E195" s="162"/>
      <c r="F195" s="163" t="s">
        <v>40</v>
      </c>
      <c r="G195" s="164"/>
      <c r="H195" s="165"/>
      <c r="I195" s="164"/>
      <c r="J195" s="165"/>
      <c r="K195" s="164"/>
      <c r="L195" s="165"/>
      <c r="M195" s="6"/>
      <c r="N195" s="32"/>
      <c r="Q195" s="10" t="str">
        <f>+CONCATENATE(E195,G195)</f>
        <v/>
      </c>
      <c r="R195" s="10">
        <f>+H195</f>
        <v>0</v>
      </c>
      <c r="S195" s="11"/>
      <c r="T195" s="10">
        <f>+E195</f>
        <v>0</v>
      </c>
      <c r="U195" s="19" t="str">
        <f t="shared" ref="U195" si="103">IFERROR(LEFT(G195,FIND("*",G195)-1),"-")</f>
        <v>-</v>
      </c>
      <c r="V195" s="19" t="str">
        <f t="shared" ref="V195" si="104">IFERROR(RIGHT(G195,LEN(G195)-FIND("*",G195)),"-")</f>
        <v>-</v>
      </c>
      <c r="W195" s="20" t="str">
        <f t="shared" si="100"/>
        <v>-</v>
      </c>
      <c r="X195" s="20" t="str">
        <f>IFERROR(W195*H195,"-")</f>
        <v>-</v>
      </c>
      <c r="Z195" s="85">
        <v>45173</v>
      </c>
    </row>
    <row r="196" spans="1:26" ht="6.95" customHeight="1" x14ac:dyDescent="0.3">
      <c r="A196" s="5"/>
      <c r="B196" s="157"/>
      <c r="C196" s="158"/>
      <c r="D196" s="161"/>
      <c r="E196" s="162"/>
      <c r="F196" s="163"/>
      <c r="G196" s="164"/>
      <c r="H196" s="165"/>
      <c r="I196" s="164"/>
      <c r="J196" s="165"/>
      <c r="K196" s="164"/>
      <c r="L196" s="165"/>
      <c r="M196" s="6"/>
      <c r="N196" s="32"/>
      <c r="Q196" s="10" t="str">
        <f>+CONCATENATE(E195,I195)</f>
        <v/>
      </c>
      <c r="R196" s="10">
        <f>+J195</f>
        <v>0</v>
      </c>
      <c r="S196" s="11"/>
      <c r="T196" s="10">
        <f>+E195</f>
        <v>0</v>
      </c>
      <c r="U196" s="19" t="str">
        <f>IFERROR(LEFT(I195,FIND("*",I195)-1),"-")</f>
        <v>-</v>
      </c>
      <c r="V196" s="19" t="str">
        <f>IFERROR(RIGHT(I195,LEN(I195)-FIND("*",I195)),"-")</f>
        <v>-</v>
      </c>
      <c r="W196" s="20" t="str">
        <f t="shared" si="100"/>
        <v>-</v>
      </c>
      <c r="X196" s="20" t="str">
        <f t="shared" ref="X196" si="105">IFERROR(W196*J195,"-")</f>
        <v>-</v>
      </c>
      <c r="Z196" s="85">
        <v>45173</v>
      </c>
    </row>
    <row r="197" spans="1:26" ht="6.95" customHeight="1" x14ac:dyDescent="0.3">
      <c r="A197" s="5"/>
      <c r="B197" s="157"/>
      <c r="C197" s="158"/>
      <c r="D197" s="161"/>
      <c r="E197" s="162"/>
      <c r="F197" s="163"/>
      <c r="G197" s="164"/>
      <c r="H197" s="165"/>
      <c r="I197" s="164"/>
      <c r="J197" s="165"/>
      <c r="K197" s="164"/>
      <c r="L197" s="165"/>
      <c r="M197" s="6"/>
      <c r="N197" s="32"/>
      <c r="Q197" s="10" t="str">
        <f>+CONCATENATE(E195,K195)</f>
        <v/>
      </c>
      <c r="R197" s="10">
        <f>+L195</f>
        <v>0</v>
      </c>
      <c r="S197" s="11"/>
      <c r="T197" s="10">
        <f>+E195</f>
        <v>0</v>
      </c>
      <c r="U197" s="19" t="str">
        <f>IFERROR(LEFT(K195,FIND("*",K195)-1),"-")</f>
        <v>-</v>
      </c>
      <c r="V197" s="19" t="str">
        <f>IFERROR(RIGHT(K195,LEN(K195)-FIND("*",K195)),"-")</f>
        <v>-</v>
      </c>
      <c r="W197" s="20" t="str">
        <f t="shared" si="100"/>
        <v>-</v>
      </c>
      <c r="X197" s="20" t="str">
        <f>IFERROR(W197*L195,"-")</f>
        <v>-</v>
      </c>
      <c r="Z197" s="85">
        <v>45173</v>
      </c>
    </row>
    <row r="198" spans="1:26" ht="21" customHeight="1" thickBot="1" x14ac:dyDescent="0.35">
      <c r="A198" s="5"/>
      <c r="B198" s="159"/>
      <c r="C198" s="160"/>
      <c r="D198" s="166" t="s">
        <v>43</v>
      </c>
      <c r="E198" s="167"/>
      <c r="F198" s="167"/>
      <c r="G198" s="168" t="s">
        <v>184</v>
      </c>
      <c r="H198" s="168"/>
      <c r="I198" s="168"/>
      <c r="J198" s="168"/>
      <c r="K198" s="168"/>
      <c r="L198" s="168"/>
      <c r="M198" s="7"/>
      <c r="N198" s="32"/>
      <c r="Z198" s="85">
        <v>45173</v>
      </c>
    </row>
    <row r="199" spans="1:26" ht="9.9499999999999993" customHeight="1" thickBot="1" x14ac:dyDescent="0.35">
      <c r="B199" s="9"/>
      <c r="C199" s="109">
        <v>818</v>
      </c>
      <c r="D199" s="51"/>
      <c r="E199" s="12"/>
      <c r="F199" s="51"/>
      <c r="G199" s="14"/>
      <c r="H199" s="14"/>
      <c r="I199" s="14"/>
      <c r="J199" s="14"/>
      <c r="K199" s="14"/>
      <c r="L199" s="14"/>
      <c r="M199" s="9"/>
      <c r="N199" s="32"/>
      <c r="U199" s="18"/>
      <c r="V199" s="18"/>
      <c r="Z199" s="85">
        <v>45173</v>
      </c>
    </row>
    <row r="200" spans="1:26" ht="6.95" customHeight="1" x14ac:dyDescent="0.3">
      <c r="A200" s="154">
        <f>+A189+1</f>
        <v>819</v>
      </c>
      <c r="B200" s="155"/>
      <c r="C200" s="156"/>
      <c r="D200" s="161" t="s">
        <v>39</v>
      </c>
      <c r="E200" s="162" t="s">
        <v>111</v>
      </c>
      <c r="F200" s="163" t="s">
        <v>40</v>
      </c>
      <c r="G200" s="164" t="s">
        <v>194</v>
      </c>
      <c r="H200" s="165">
        <v>0.5</v>
      </c>
      <c r="I200" s="164"/>
      <c r="J200" s="165"/>
      <c r="K200" s="164"/>
      <c r="L200" s="165"/>
      <c r="M200" s="6"/>
      <c r="N200" s="32"/>
      <c r="Q200" s="10" t="str">
        <f>+CONCATENATE(E200,G200)</f>
        <v>보온덕트벽체1600*500</v>
      </c>
      <c r="R200" s="10">
        <f>+H200</f>
        <v>0.5</v>
      </c>
      <c r="S200" s="11"/>
      <c r="T200" s="10" t="str">
        <f>+E200</f>
        <v>보온덕트벽체</v>
      </c>
      <c r="U200" s="19" t="str">
        <f>IFERROR(LEFT(G200,FIND("*",G200)-1),"-")</f>
        <v>1600</v>
      </c>
      <c r="V200" s="19" t="str">
        <f>IFERROR(RIGHT(G200,LEN(G200)-FIND("*",G200)),"-")</f>
        <v>500</v>
      </c>
      <c r="W200" s="20">
        <f>IFERROR((U200+V200)*2/1000,"-")</f>
        <v>4.2</v>
      </c>
      <c r="X200" s="20">
        <f>IFERROR(W200*H200,"-")</f>
        <v>2.1</v>
      </c>
      <c r="Z200" s="85">
        <v>45173</v>
      </c>
    </row>
    <row r="201" spans="1:26" ht="6.95" customHeight="1" x14ac:dyDescent="0.3">
      <c r="A201" s="154"/>
      <c r="B201" s="157"/>
      <c r="C201" s="158"/>
      <c r="D201" s="161"/>
      <c r="E201" s="162"/>
      <c r="F201" s="163"/>
      <c r="G201" s="164"/>
      <c r="H201" s="165"/>
      <c r="I201" s="164"/>
      <c r="J201" s="165"/>
      <c r="K201" s="164"/>
      <c r="L201" s="165"/>
      <c r="M201" s="6"/>
      <c r="N201" s="32"/>
      <c r="Q201" s="10" t="str">
        <f>+CONCATENATE(E200,I200)</f>
        <v>보온덕트벽체</v>
      </c>
      <c r="R201" s="10">
        <f>+J200</f>
        <v>0</v>
      </c>
      <c r="S201" s="11"/>
      <c r="T201" s="10" t="str">
        <f>+E200</f>
        <v>보온덕트벽체</v>
      </c>
      <c r="U201" s="19" t="str">
        <f>IFERROR(LEFT(I200,FIND("*",I200)-1),"-")</f>
        <v>-</v>
      </c>
      <c r="V201" s="19" t="str">
        <f>IFERROR(RIGHT(I200,LEN(I200)-FIND("*",I200)),"-")</f>
        <v>-</v>
      </c>
      <c r="W201" s="20" t="str">
        <f t="shared" ref="W201:W208" si="106">IFERROR((U201+V201)*2/1000,"-")</f>
        <v>-</v>
      </c>
      <c r="X201" s="20" t="str">
        <f>IFERROR(W201*J200,"-")</f>
        <v>-</v>
      </c>
      <c r="Z201" s="85">
        <v>45173</v>
      </c>
    </row>
    <row r="202" spans="1:26" ht="6.95" customHeight="1" x14ac:dyDescent="0.3">
      <c r="A202" s="154"/>
      <c r="B202" s="157"/>
      <c r="C202" s="158"/>
      <c r="D202" s="161"/>
      <c r="E202" s="162"/>
      <c r="F202" s="163"/>
      <c r="G202" s="164"/>
      <c r="H202" s="165"/>
      <c r="I202" s="164"/>
      <c r="J202" s="165"/>
      <c r="K202" s="164"/>
      <c r="L202" s="165"/>
      <c r="M202" s="6"/>
      <c r="N202" s="32"/>
      <c r="Q202" s="10" t="str">
        <f>+CONCATENATE(E200,K200)</f>
        <v>보온덕트벽체</v>
      </c>
      <c r="R202" s="10">
        <f>+L200</f>
        <v>0</v>
      </c>
      <c r="S202" s="11"/>
      <c r="T202" s="10" t="str">
        <f>+E200</f>
        <v>보온덕트벽체</v>
      </c>
      <c r="U202" s="19" t="str">
        <f>IFERROR(LEFT(K200,FIND("*",K200)-1),"-")</f>
        <v>-</v>
      </c>
      <c r="V202" s="19" t="str">
        <f>IFERROR(RIGHT(K200,LEN(K200)-FIND("*",K200)),"-")</f>
        <v>-</v>
      </c>
      <c r="W202" s="20" t="str">
        <f t="shared" si="106"/>
        <v>-</v>
      </c>
      <c r="X202" s="20" t="str">
        <f>IFERROR(W202*L200,"-")</f>
        <v>-</v>
      </c>
      <c r="Z202" s="85">
        <v>45173</v>
      </c>
    </row>
    <row r="203" spans="1:26" ht="6.95" customHeight="1" x14ac:dyDescent="0.3">
      <c r="A203" s="8"/>
      <c r="B203" s="157"/>
      <c r="C203" s="158"/>
      <c r="D203" s="161" t="s">
        <v>39</v>
      </c>
      <c r="E203" s="162" t="s">
        <v>188</v>
      </c>
      <c r="F203" s="163" t="s">
        <v>40</v>
      </c>
      <c r="G203" s="164" t="s">
        <v>194</v>
      </c>
      <c r="H203" s="165">
        <v>1</v>
      </c>
      <c r="I203" s="164" t="s">
        <v>197</v>
      </c>
      <c r="J203" s="165">
        <v>0.5</v>
      </c>
      <c r="K203" s="164"/>
      <c r="L203" s="165"/>
      <c r="M203" s="6"/>
      <c r="N203" s="32"/>
      <c r="Q203" s="10" t="str">
        <f>+CONCATENATE(E203,G203)</f>
        <v>차열재마감1600*500</v>
      </c>
      <c r="R203" s="10">
        <f>+H203</f>
        <v>1</v>
      </c>
      <c r="S203" s="11"/>
      <c r="T203" s="10" t="str">
        <f>+E203</f>
        <v>차열재마감</v>
      </c>
      <c r="U203" s="19" t="str">
        <f t="shared" ref="U203" si="107">IFERROR(LEFT(G203,FIND("*",G203)-1),"-")</f>
        <v>1600</v>
      </c>
      <c r="V203" s="19" t="str">
        <f t="shared" ref="V203" si="108">IFERROR(RIGHT(G203,LEN(G203)-FIND("*",G203)),"-")</f>
        <v>500</v>
      </c>
      <c r="W203" s="20">
        <f t="shared" si="106"/>
        <v>4.2</v>
      </c>
      <c r="X203" s="20">
        <f>IFERROR(W203*H203,"-")</f>
        <v>4.2</v>
      </c>
      <c r="Z203" s="85">
        <v>45173</v>
      </c>
    </row>
    <row r="204" spans="1:26" ht="6.95" customHeight="1" x14ac:dyDescent="0.3">
      <c r="A204" s="5"/>
      <c r="B204" s="157"/>
      <c r="C204" s="158"/>
      <c r="D204" s="161"/>
      <c r="E204" s="162"/>
      <c r="F204" s="163"/>
      <c r="G204" s="164"/>
      <c r="H204" s="165"/>
      <c r="I204" s="164"/>
      <c r="J204" s="165"/>
      <c r="K204" s="164"/>
      <c r="L204" s="165"/>
      <c r="M204" s="6"/>
      <c r="N204" s="32"/>
      <c r="Q204" s="10" t="str">
        <f>+CONCATENATE(E203,I203)</f>
        <v>차열재마감2000*600</v>
      </c>
      <c r="R204" s="10">
        <f>+J203</f>
        <v>0.5</v>
      </c>
      <c r="S204" s="11"/>
      <c r="T204" s="10" t="str">
        <f>+E203</f>
        <v>차열재마감</v>
      </c>
      <c r="U204" s="19" t="str">
        <f>IFERROR(LEFT(I203,FIND("*",I203)-1),"-")</f>
        <v>2000</v>
      </c>
      <c r="V204" s="19" t="str">
        <f>IFERROR(RIGHT(I203,LEN(I203)-FIND("*",I203)),"-")</f>
        <v>600</v>
      </c>
      <c r="W204" s="20">
        <f t="shared" si="106"/>
        <v>5.2</v>
      </c>
      <c r="X204" s="20">
        <f>IFERROR(W204*J203,"-")</f>
        <v>2.6</v>
      </c>
      <c r="Z204" s="85">
        <v>45173</v>
      </c>
    </row>
    <row r="205" spans="1:26" ht="6.95" customHeight="1" x14ac:dyDescent="0.3">
      <c r="A205" s="5"/>
      <c r="B205" s="157"/>
      <c r="C205" s="158"/>
      <c r="D205" s="161"/>
      <c r="E205" s="162"/>
      <c r="F205" s="163"/>
      <c r="G205" s="164"/>
      <c r="H205" s="165"/>
      <c r="I205" s="164"/>
      <c r="J205" s="165"/>
      <c r="K205" s="164"/>
      <c r="L205" s="165"/>
      <c r="M205" s="6"/>
      <c r="N205" s="32"/>
      <c r="Q205" s="10" t="str">
        <f>+CONCATENATE(E203,K203)</f>
        <v>차열재마감</v>
      </c>
      <c r="R205" s="10">
        <f>+L203</f>
        <v>0</v>
      </c>
      <c r="S205" s="11"/>
      <c r="T205" s="10" t="str">
        <f>+E203</f>
        <v>차열재마감</v>
      </c>
      <c r="U205" s="19" t="str">
        <f>IFERROR(LEFT(K203,FIND("*",K203)-1),"-")</f>
        <v>-</v>
      </c>
      <c r="V205" s="19" t="str">
        <f>IFERROR(RIGHT(K203,LEN(K203)-FIND("*",K203)),"-")</f>
        <v>-</v>
      </c>
      <c r="W205" s="20" t="str">
        <f t="shared" si="106"/>
        <v>-</v>
      </c>
      <c r="X205" s="20" t="str">
        <f>IFERROR(W205*L203,"-")</f>
        <v>-</v>
      </c>
      <c r="Z205" s="85">
        <v>45173</v>
      </c>
    </row>
    <row r="206" spans="1:26" ht="6.95" customHeight="1" x14ac:dyDescent="0.3">
      <c r="A206" s="8"/>
      <c r="B206" s="157"/>
      <c r="C206" s="158"/>
      <c r="D206" s="161" t="s">
        <v>39</v>
      </c>
      <c r="E206" s="162" t="s">
        <v>115</v>
      </c>
      <c r="F206" s="163" t="s">
        <v>40</v>
      </c>
      <c r="G206" s="164" t="s">
        <v>197</v>
      </c>
      <c r="H206" s="165">
        <v>0.5</v>
      </c>
      <c r="I206" s="164"/>
      <c r="J206" s="165"/>
      <c r="K206" s="164"/>
      <c r="L206" s="165"/>
      <c r="M206" s="6"/>
      <c r="N206" s="32"/>
      <c r="Q206" s="10" t="str">
        <f>+CONCATENATE(E206,G206)</f>
        <v>무보온덕트벽체2000*600</v>
      </c>
      <c r="R206" s="10">
        <f>+H206</f>
        <v>0.5</v>
      </c>
      <c r="S206" s="11"/>
      <c r="T206" s="10" t="str">
        <f>+E206</f>
        <v>무보온덕트벽체</v>
      </c>
      <c r="U206" s="19" t="str">
        <f t="shared" ref="U206" si="109">IFERROR(LEFT(G206,FIND("*",G206)-1),"-")</f>
        <v>2000</v>
      </c>
      <c r="V206" s="19" t="str">
        <f t="shared" ref="V206" si="110">IFERROR(RIGHT(G206,LEN(G206)-FIND("*",G206)),"-")</f>
        <v>600</v>
      </c>
      <c r="W206" s="20">
        <f t="shared" si="106"/>
        <v>5.2</v>
      </c>
      <c r="X206" s="20">
        <f>IFERROR(W206*H206,"-")</f>
        <v>2.6</v>
      </c>
      <c r="Z206" s="85">
        <v>45173</v>
      </c>
    </row>
    <row r="207" spans="1:26" ht="6.95" customHeight="1" x14ac:dyDescent="0.3">
      <c r="A207" s="5"/>
      <c r="B207" s="157"/>
      <c r="C207" s="158"/>
      <c r="D207" s="161"/>
      <c r="E207" s="162"/>
      <c r="F207" s="163"/>
      <c r="G207" s="164"/>
      <c r="H207" s="165"/>
      <c r="I207" s="164"/>
      <c r="J207" s="165"/>
      <c r="K207" s="164"/>
      <c r="L207" s="165"/>
      <c r="M207" s="6"/>
      <c r="N207" s="32"/>
      <c r="Q207" s="10" t="str">
        <f>+CONCATENATE(E206,I206)</f>
        <v>무보온덕트벽체</v>
      </c>
      <c r="R207" s="10">
        <f>+J206</f>
        <v>0</v>
      </c>
      <c r="S207" s="11"/>
      <c r="T207" s="10" t="str">
        <f>+E206</f>
        <v>무보온덕트벽체</v>
      </c>
      <c r="U207" s="19" t="str">
        <f>IFERROR(LEFT(I206,FIND("*",I206)-1),"-")</f>
        <v>-</v>
      </c>
      <c r="V207" s="19" t="str">
        <f>IFERROR(RIGHT(I206,LEN(I206)-FIND("*",I206)),"-")</f>
        <v>-</v>
      </c>
      <c r="W207" s="20" t="str">
        <f t="shared" si="106"/>
        <v>-</v>
      </c>
      <c r="X207" s="20" t="str">
        <f t="shared" ref="X207" si="111">IFERROR(W207*J206,"-")</f>
        <v>-</v>
      </c>
      <c r="Z207" s="85">
        <v>45173</v>
      </c>
    </row>
    <row r="208" spans="1:26" ht="6.95" customHeight="1" x14ac:dyDescent="0.3">
      <c r="A208" s="5"/>
      <c r="B208" s="157"/>
      <c r="C208" s="158"/>
      <c r="D208" s="161"/>
      <c r="E208" s="162"/>
      <c r="F208" s="163"/>
      <c r="G208" s="164"/>
      <c r="H208" s="165"/>
      <c r="I208" s="164"/>
      <c r="J208" s="165"/>
      <c r="K208" s="164"/>
      <c r="L208" s="165"/>
      <c r="M208" s="6"/>
      <c r="N208" s="32"/>
      <c r="Q208" s="10" t="str">
        <f>+CONCATENATE(E206,K206)</f>
        <v>무보온덕트벽체</v>
      </c>
      <c r="R208" s="10">
        <f>+L206</f>
        <v>0</v>
      </c>
      <c r="S208" s="11"/>
      <c r="T208" s="10" t="str">
        <f>+E206</f>
        <v>무보온덕트벽체</v>
      </c>
      <c r="U208" s="19" t="str">
        <f>IFERROR(LEFT(K206,FIND("*",K206)-1),"-")</f>
        <v>-</v>
      </c>
      <c r="V208" s="19" t="str">
        <f>IFERROR(RIGHT(K206,LEN(K206)-FIND("*",K206)),"-")</f>
        <v>-</v>
      </c>
      <c r="W208" s="20" t="str">
        <f t="shared" si="106"/>
        <v>-</v>
      </c>
      <c r="X208" s="20" t="str">
        <f>IFERROR(W208*L206,"-")</f>
        <v>-</v>
      </c>
      <c r="Z208" s="85">
        <v>45173</v>
      </c>
    </row>
    <row r="209" spans="1:26" ht="21" customHeight="1" thickBot="1" x14ac:dyDescent="0.35">
      <c r="A209" s="5"/>
      <c r="B209" s="159"/>
      <c r="C209" s="160"/>
      <c r="D209" s="166" t="s">
        <v>43</v>
      </c>
      <c r="E209" s="167"/>
      <c r="F209" s="167"/>
      <c r="G209" s="168" t="s">
        <v>184</v>
      </c>
      <c r="H209" s="168"/>
      <c r="I209" s="168"/>
      <c r="J209" s="168"/>
      <c r="K209" s="168"/>
      <c r="L209" s="168"/>
      <c r="M209" s="7"/>
      <c r="N209" s="33">
        <v>45173</v>
      </c>
      <c r="Z209" s="85">
        <v>45173</v>
      </c>
    </row>
    <row r="210" spans="1:26" ht="9.9499999999999993" customHeight="1" thickBot="1" x14ac:dyDescent="0.35">
      <c r="B210" s="9"/>
      <c r="C210" s="109">
        <v>819</v>
      </c>
      <c r="D210" s="51"/>
      <c r="E210" s="12"/>
      <c r="F210" s="51"/>
      <c r="G210" s="14"/>
      <c r="H210" s="14"/>
      <c r="I210" s="14"/>
      <c r="J210" s="14"/>
      <c r="K210" s="14"/>
      <c r="L210" s="14"/>
      <c r="M210" s="9"/>
      <c r="N210" s="32"/>
      <c r="U210" s="18"/>
      <c r="V210" s="18"/>
      <c r="Z210" s="85">
        <v>45174</v>
      </c>
    </row>
    <row r="211" spans="1:26" ht="6.95" customHeight="1" x14ac:dyDescent="0.3">
      <c r="A211" s="154">
        <f>+A200+1</f>
        <v>820</v>
      </c>
      <c r="B211" s="155"/>
      <c r="C211" s="156"/>
      <c r="D211" s="161" t="s">
        <v>39</v>
      </c>
      <c r="E211" s="162" t="s">
        <v>186</v>
      </c>
      <c r="F211" s="163" t="s">
        <v>40</v>
      </c>
      <c r="G211" s="164">
        <v>50</v>
      </c>
      <c r="H211" s="165">
        <v>1</v>
      </c>
      <c r="I211" s="164"/>
      <c r="J211" s="165"/>
      <c r="K211" s="164"/>
      <c r="L211" s="165"/>
      <c r="M211" s="6"/>
      <c r="N211" s="32"/>
      <c r="Q211" s="10" t="str">
        <f>+CONCATENATE(E211,G211)</f>
        <v>금속관벽체50</v>
      </c>
      <c r="R211" s="10">
        <f>+H211</f>
        <v>1</v>
      </c>
      <c r="S211" s="11"/>
      <c r="T211" s="10" t="str">
        <f>+E211</f>
        <v>금속관벽체</v>
      </c>
      <c r="U211" s="19" t="str">
        <f>IFERROR(LEFT(G211,FIND("*",G211)-1),"-")</f>
        <v>-</v>
      </c>
      <c r="V211" s="19" t="str">
        <f>IFERROR(RIGHT(G211,LEN(G211)-FIND("*",G211)),"-")</f>
        <v>-</v>
      </c>
      <c r="W211" s="20" t="str">
        <f>IFERROR((U211+V211)*2/1000,"-")</f>
        <v>-</v>
      </c>
      <c r="X211" s="20" t="str">
        <f>IFERROR(W211*H211,"-")</f>
        <v>-</v>
      </c>
      <c r="Z211" s="85">
        <v>45174</v>
      </c>
    </row>
    <row r="212" spans="1:26" ht="6.95" customHeight="1" x14ac:dyDescent="0.3">
      <c r="A212" s="154"/>
      <c r="B212" s="157"/>
      <c r="C212" s="158"/>
      <c r="D212" s="161"/>
      <c r="E212" s="162"/>
      <c r="F212" s="163"/>
      <c r="G212" s="164"/>
      <c r="H212" s="165"/>
      <c r="I212" s="164"/>
      <c r="J212" s="165"/>
      <c r="K212" s="164"/>
      <c r="L212" s="165"/>
      <c r="M212" s="6"/>
      <c r="N212" s="32"/>
      <c r="Q212" s="10" t="str">
        <f>+CONCATENATE(E211,I211)</f>
        <v>금속관벽체</v>
      </c>
      <c r="R212" s="10">
        <f>+J211</f>
        <v>0</v>
      </c>
      <c r="S212" s="11"/>
      <c r="T212" s="10" t="str">
        <f>+E211</f>
        <v>금속관벽체</v>
      </c>
      <c r="U212" s="19" t="str">
        <f>IFERROR(LEFT(I211,FIND("*",I211)-1),"-")</f>
        <v>-</v>
      </c>
      <c r="V212" s="19" t="str">
        <f>IFERROR(RIGHT(I211,LEN(I211)-FIND("*",I211)),"-")</f>
        <v>-</v>
      </c>
      <c r="W212" s="20" t="str">
        <f t="shared" ref="W212:W219" si="112">IFERROR((U212+V212)*2/1000,"-")</f>
        <v>-</v>
      </c>
      <c r="X212" s="20" t="str">
        <f>IFERROR(W212*J211,"-")</f>
        <v>-</v>
      </c>
      <c r="Z212" s="85">
        <v>45174</v>
      </c>
    </row>
    <row r="213" spans="1:26" ht="6.95" customHeight="1" x14ac:dyDescent="0.3">
      <c r="A213" s="154"/>
      <c r="B213" s="157"/>
      <c r="C213" s="158"/>
      <c r="D213" s="161"/>
      <c r="E213" s="162"/>
      <c r="F213" s="163"/>
      <c r="G213" s="164"/>
      <c r="H213" s="165"/>
      <c r="I213" s="164"/>
      <c r="J213" s="165"/>
      <c r="K213" s="164"/>
      <c r="L213" s="165"/>
      <c r="M213" s="6"/>
      <c r="N213" s="32"/>
      <c r="Q213" s="10" t="str">
        <f>+CONCATENATE(E211,K211)</f>
        <v>금속관벽체</v>
      </c>
      <c r="R213" s="10">
        <f>+L211</f>
        <v>0</v>
      </c>
      <c r="S213" s="11"/>
      <c r="T213" s="10" t="str">
        <f>+E211</f>
        <v>금속관벽체</v>
      </c>
      <c r="U213" s="19" t="str">
        <f>IFERROR(LEFT(K211,FIND("*",K211)-1),"-")</f>
        <v>-</v>
      </c>
      <c r="V213" s="19" t="str">
        <f>IFERROR(RIGHT(K211,LEN(K211)-FIND("*",K211)),"-")</f>
        <v>-</v>
      </c>
      <c r="W213" s="20" t="str">
        <f t="shared" si="112"/>
        <v>-</v>
      </c>
      <c r="X213" s="20" t="str">
        <f>IFERROR(W213*L211,"-")</f>
        <v>-</v>
      </c>
      <c r="Z213" s="85">
        <v>45174</v>
      </c>
    </row>
    <row r="214" spans="1:26" ht="6.95" customHeight="1" x14ac:dyDescent="0.3">
      <c r="A214" s="8"/>
      <c r="B214" s="157"/>
      <c r="C214" s="158"/>
      <c r="D214" s="161" t="s">
        <v>39</v>
      </c>
      <c r="E214" s="162"/>
      <c r="F214" s="163" t="s">
        <v>40</v>
      </c>
      <c r="G214" s="164"/>
      <c r="H214" s="165"/>
      <c r="I214" s="164"/>
      <c r="J214" s="165"/>
      <c r="K214" s="164"/>
      <c r="L214" s="165"/>
      <c r="M214" s="6"/>
      <c r="N214" s="32"/>
      <c r="Q214" s="10" t="str">
        <f>+CONCATENATE(E214,G214)</f>
        <v/>
      </c>
      <c r="R214" s="10">
        <f>+H214</f>
        <v>0</v>
      </c>
      <c r="S214" s="11"/>
      <c r="T214" s="10">
        <f>+E214</f>
        <v>0</v>
      </c>
      <c r="U214" s="19" t="str">
        <f t="shared" ref="U214" si="113">IFERROR(LEFT(G214,FIND("*",G214)-1),"-")</f>
        <v>-</v>
      </c>
      <c r="V214" s="19" t="str">
        <f t="shared" ref="V214" si="114">IFERROR(RIGHT(G214,LEN(G214)-FIND("*",G214)),"-")</f>
        <v>-</v>
      </c>
      <c r="W214" s="20" t="str">
        <f t="shared" si="112"/>
        <v>-</v>
      </c>
      <c r="X214" s="20" t="str">
        <f>IFERROR(W214*H214,"-")</f>
        <v>-</v>
      </c>
      <c r="Z214" s="85">
        <v>45174</v>
      </c>
    </row>
    <row r="215" spans="1:26" ht="6.95" customHeight="1" x14ac:dyDescent="0.3">
      <c r="A215" s="5"/>
      <c r="B215" s="157"/>
      <c r="C215" s="158"/>
      <c r="D215" s="161"/>
      <c r="E215" s="162"/>
      <c r="F215" s="163"/>
      <c r="G215" s="164"/>
      <c r="H215" s="165"/>
      <c r="I215" s="164"/>
      <c r="J215" s="165"/>
      <c r="K215" s="164"/>
      <c r="L215" s="165"/>
      <c r="M215" s="6"/>
      <c r="N215" s="32"/>
      <c r="Q215" s="10" t="str">
        <f>+CONCATENATE(E214,I214)</f>
        <v/>
      </c>
      <c r="R215" s="10">
        <f>+J214</f>
        <v>0</v>
      </c>
      <c r="S215" s="11"/>
      <c r="T215" s="10">
        <f>+E214</f>
        <v>0</v>
      </c>
      <c r="U215" s="19" t="str">
        <f>IFERROR(LEFT(I214,FIND("*",I214)-1),"-")</f>
        <v>-</v>
      </c>
      <c r="V215" s="19" t="str">
        <f>IFERROR(RIGHT(I214,LEN(I214)-FIND("*",I214)),"-")</f>
        <v>-</v>
      </c>
      <c r="W215" s="20" t="str">
        <f t="shared" si="112"/>
        <v>-</v>
      </c>
      <c r="X215" s="20" t="str">
        <f>IFERROR(W215*J214,"-")</f>
        <v>-</v>
      </c>
      <c r="Z215" s="85">
        <v>45174</v>
      </c>
    </row>
    <row r="216" spans="1:26" ht="6.95" customHeight="1" x14ac:dyDescent="0.3">
      <c r="A216" s="5"/>
      <c r="B216" s="157"/>
      <c r="C216" s="158"/>
      <c r="D216" s="161"/>
      <c r="E216" s="162"/>
      <c r="F216" s="163"/>
      <c r="G216" s="164"/>
      <c r="H216" s="165"/>
      <c r="I216" s="164"/>
      <c r="J216" s="165"/>
      <c r="K216" s="164"/>
      <c r="L216" s="165"/>
      <c r="M216" s="6"/>
      <c r="N216" s="32"/>
      <c r="Q216" s="10" t="str">
        <f>+CONCATENATE(E214,K214)</f>
        <v/>
      </c>
      <c r="R216" s="10">
        <f>+L214</f>
        <v>0</v>
      </c>
      <c r="S216" s="11"/>
      <c r="T216" s="10">
        <f>+E214</f>
        <v>0</v>
      </c>
      <c r="U216" s="19" t="str">
        <f>IFERROR(LEFT(K214,FIND("*",K214)-1),"-")</f>
        <v>-</v>
      </c>
      <c r="V216" s="19" t="str">
        <f>IFERROR(RIGHT(K214,LEN(K214)-FIND("*",K214)),"-")</f>
        <v>-</v>
      </c>
      <c r="W216" s="20" t="str">
        <f t="shared" si="112"/>
        <v>-</v>
      </c>
      <c r="X216" s="20" t="str">
        <f>IFERROR(W216*L214,"-")</f>
        <v>-</v>
      </c>
      <c r="Z216" s="85">
        <v>45174</v>
      </c>
    </row>
    <row r="217" spans="1:26" ht="6.95" customHeight="1" x14ac:dyDescent="0.3">
      <c r="A217" s="8"/>
      <c r="B217" s="157"/>
      <c r="C217" s="158"/>
      <c r="D217" s="161" t="s">
        <v>39</v>
      </c>
      <c r="E217" s="162"/>
      <c r="F217" s="163" t="s">
        <v>40</v>
      </c>
      <c r="G217" s="164"/>
      <c r="H217" s="165"/>
      <c r="I217" s="164"/>
      <c r="J217" s="165"/>
      <c r="K217" s="164"/>
      <c r="L217" s="165"/>
      <c r="M217" s="6"/>
      <c r="N217" s="32"/>
      <c r="Q217" s="10" t="str">
        <f>+CONCATENATE(E217,G217)</f>
        <v/>
      </c>
      <c r="R217" s="10">
        <f>+H217</f>
        <v>0</v>
      </c>
      <c r="S217" s="11"/>
      <c r="T217" s="10">
        <f>+E217</f>
        <v>0</v>
      </c>
      <c r="U217" s="19" t="str">
        <f t="shared" ref="U217" si="115">IFERROR(LEFT(G217,FIND("*",G217)-1),"-")</f>
        <v>-</v>
      </c>
      <c r="V217" s="19" t="str">
        <f t="shared" ref="V217" si="116">IFERROR(RIGHT(G217,LEN(G217)-FIND("*",G217)),"-")</f>
        <v>-</v>
      </c>
      <c r="W217" s="20" t="str">
        <f t="shared" si="112"/>
        <v>-</v>
      </c>
      <c r="X217" s="20" t="str">
        <f>IFERROR(W217*H217,"-")</f>
        <v>-</v>
      </c>
      <c r="Z217" s="85">
        <v>45174</v>
      </c>
    </row>
    <row r="218" spans="1:26" ht="6.95" customHeight="1" x14ac:dyDescent="0.3">
      <c r="A218" s="5"/>
      <c r="B218" s="157"/>
      <c r="C218" s="158"/>
      <c r="D218" s="161"/>
      <c r="E218" s="162"/>
      <c r="F218" s="163"/>
      <c r="G218" s="164"/>
      <c r="H218" s="165"/>
      <c r="I218" s="164"/>
      <c r="J218" s="165"/>
      <c r="K218" s="164"/>
      <c r="L218" s="165"/>
      <c r="M218" s="6"/>
      <c r="N218" s="32"/>
      <c r="Q218" s="10" t="str">
        <f>+CONCATENATE(E217,I217)</f>
        <v/>
      </c>
      <c r="R218" s="10">
        <f>+J217</f>
        <v>0</v>
      </c>
      <c r="S218" s="11"/>
      <c r="T218" s="10">
        <f>+E217</f>
        <v>0</v>
      </c>
      <c r="U218" s="19" t="str">
        <f>IFERROR(LEFT(I217,FIND("*",I217)-1),"-")</f>
        <v>-</v>
      </c>
      <c r="V218" s="19" t="str">
        <f>IFERROR(RIGHT(I217,LEN(I217)-FIND("*",I217)),"-")</f>
        <v>-</v>
      </c>
      <c r="W218" s="20" t="str">
        <f t="shared" si="112"/>
        <v>-</v>
      </c>
      <c r="X218" s="20" t="str">
        <f t="shared" ref="X218" si="117">IFERROR(W218*J217,"-")</f>
        <v>-</v>
      </c>
      <c r="Z218" s="85">
        <v>45174</v>
      </c>
    </row>
    <row r="219" spans="1:26" ht="6.95" customHeight="1" x14ac:dyDescent="0.3">
      <c r="A219" s="5"/>
      <c r="B219" s="157"/>
      <c r="C219" s="158"/>
      <c r="D219" s="161"/>
      <c r="E219" s="162"/>
      <c r="F219" s="163"/>
      <c r="G219" s="164"/>
      <c r="H219" s="165"/>
      <c r="I219" s="164"/>
      <c r="J219" s="165"/>
      <c r="K219" s="164"/>
      <c r="L219" s="165"/>
      <c r="M219" s="6"/>
      <c r="N219" s="32"/>
      <c r="Q219" s="10" t="str">
        <f>+CONCATENATE(E217,K217)</f>
        <v/>
      </c>
      <c r="R219" s="10">
        <f>+L217</f>
        <v>0</v>
      </c>
      <c r="S219" s="11"/>
      <c r="T219" s="10">
        <f>+E217</f>
        <v>0</v>
      </c>
      <c r="U219" s="19" t="str">
        <f>IFERROR(LEFT(K217,FIND("*",K217)-1),"-")</f>
        <v>-</v>
      </c>
      <c r="V219" s="19" t="str">
        <f>IFERROR(RIGHT(K217,LEN(K217)-FIND("*",K217)),"-")</f>
        <v>-</v>
      </c>
      <c r="W219" s="20" t="str">
        <f t="shared" si="112"/>
        <v>-</v>
      </c>
      <c r="X219" s="20" t="str">
        <f>IFERROR(W219*L217,"-")</f>
        <v>-</v>
      </c>
      <c r="Z219" s="85">
        <v>45174</v>
      </c>
    </row>
    <row r="220" spans="1:26" ht="21" customHeight="1" thickBot="1" x14ac:dyDescent="0.35">
      <c r="A220" s="5"/>
      <c r="B220" s="159"/>
      <c r="C220" s="160"/>
      <c r="D220" s="166" t="s">
        <v>43</v>
      </c>
      <c r="E220" s="167"/>
      <c r="F220" s="167"/>
      <c r="G220" s="168" t="s">
        <v>185</v>
      </c>
      <c r="H220" s="168"/>
      <c r="I220" s="168"/>
      <c r="J220" s="168"/>
      <c r="K220" s="168"/>
      <c r="L220" s="168"/>
      <c r="M220" s="7"/>
      <c r="N220" s="32"/>
      <c r="Z220" s="85">
        <v>45174</v>
      </c>
    </row>
    <row r="221" spans="1:26" ht="9.9499999999999993" customHeight="1" thickBot="1" x14ac:dyDescent="0.35">
      <c r="B221" s="9"/>
      <c r="C221" s="109">
        <v>820</v>
      </c>
      <c r="D221" s="51"/>
      <c r="E221" s="12"/>
      <c r="F221" s="51"/>
      <c r="G221" s="14"/>
      <c r="H221" s="14"/>
      <c r="I221" s="14"/>
      <c r="J221" s="14"/>
      <c r="K221" s="14"/>
      <c r="L221" s="14"/>
      <c r="M221" s="9"/>
      <c r="N221" s="32"/>
      <c r="U221" s="18"/>
      <c r="V221" s="18"/>
      <c r="Z221" s="85">
        <v>45174</v>
      </c>
    </row>
    <row r="222" spans="1:26" ht="6.95" customHeight="1" x14ac:dyDescent="0.3">
      <c r="A222" s="154">
        <f>+A211+1</f>
        <v>821</v>
      </c>
      <c r="B222" s="155"/>
      <c r="C222" s="156"/>
      <c r="D222" s="161" t="s">
        <v>39</v>
      </c>
      <c r="E222" s="162" t="s">
        <v>186</v>
      </c>
      <c r="F222" s="163" t="s">
        <v>40</v>
      </c>
      <c r="G222" s="164">
        <v>50</v>
      </c>
      <c r="H222" s="165">
        <v>2</v>
      </c>
      <c r="I222" s="164"/>
      <c r="J222" s="165"/>
      <c r="K222" s="164"/>
      <c r="L222" s="165"/>
      <c r="M222" s="6"/>
      <c r="N222" s="32"/>
      <c r="Q222" s="10" t="str">
        <f>+CONCATENATE(E222,G222)</f>
        <v>금속관벽체50</v>
      </c>
      <c r="R222" s="10">
        <f>+H222</f>
        <v>2</v>
      </c>
      <c r="S222" s="11"/>
      <c r="T222" s="10" t="str">
        <f>+E222</f>
        <v>금속관벽체</v>
      </c>
      <c r="U222" s="19" t="str">
        <f>IFERROR(LEFT(G222,FIND("*",G222)-1),"-")</f>
        <v>-</v>
      </c>
      <c r="V222" s="19" t="str">
        <f>IFERROR(RIGHT(G222,LEN(G222)-FIND("*",G222)),"-")</f>
        <v>-</v>
      </c>
      <c r="W222" s="20" t="str">
        <f>IFERROR((U222+V222)*2/1000,"-")</f>
        <v>-</v>
      </c>
      <c r="X222" s="20" t="str">
        <f>IFERROR(W222*H222,"-")</f>
        <v>-</v>
      </c>
      <c r="Z222" s="85">
        <v>45174</v>
      </c>
    </row>
    <row r="223" spans="1:26" ht="6.95" customHeight="1" x14ac:dyDescent="0.3">
      <c r="A223" s="154"/>
      <c r="B223" s="157"/>
      <c r="C223" s="158"/>
      <c r="D223" s="161"/>
      <c r="E223" s="162"/>
      <c r="F223" s="163"/>
      <c r="G223" s="164"/>
      <c r="H223" s="165"/>
      <c r="I223" s="164"/>
      <c r="J223" s="165"/>
      <c r="K223" s="164"/>
      <c r="L223" s="165"/>
      <c r="M223" s="6"/>
      <c r="N223" s="32"/>
      <c r="Q223" s="10" t="str">
        <f>+CONCATENATE(E222,I222)</f>
        <v>금속관벽체</v>
      </c>
      <c r="R223" s="10">
        <f>+J222</f>
        <v>0</v>
      </c>
      <c r="S223" s="11"/>
      <c r="T223" s="10" t="str">
        <f>+E222</f>
        <v>금속관벽체</v>
      </c>
      <c r="U223" s="19" t="str">
        <f>IFERROR(LEFT(I222,FIND("*",I222)-1),"-")</f>
        <v>-</v>
      </c>
      <c r="V223" s="19" t="str">
        <f>IFERROR(RIGHT(I222,LEN(I222)-FIND("*",I222)),"-")</f>
        <v>-</v>
      </c>
      <c r="W223" s="20" t="str">
        <f t="shared" ref="W223:W230" si="118">IFERROR((U223+V223)*2/1000,"-")</f>
        <v>-</v>
      </c>
      <c r="X223" s="20" t="str">
        <f>IFERROR(W223*J222,"-")</f>
        <v>-</v>
      </c>
      <c r="Z223" s="85">
        <v>45174</v>
      </c>
    </row>
    <row r="224" spans="1:26" ht="6.95" customHeight="1" x14ac:dyDescent="0.3">
      <c r="A224" s="154"/>
      <c r="B224" s="157"/>
      <c r="C224" s="158"/>
      <c r="D224" s="161"/>
      <c r="E224" s="162"/>
      <c r="F224" s="163"/>
      <c r="G224" s="164"/>
      <c r="H224" s="165"/>
      <c r="I224" s="164"/>
      <c r="J224" s="165"/>
      <c r="K224" s="164"/>
      <c r="L224" s="165"/>
      <c r="M224" s="6"/>
      <c r="N224" s="32"/>
      <c r="Q224" s="10" t="str">
        <f>+CONCATENATE(E222,K222)</f>
        <v>금속관벽체</v>
      </c>
      <c r="R224" s="10">
        <f>+L222</f>
        <v>0</v>
      </c>
      <c r="S224" s="11"/>
      <c r="T224" s="10" t="str">
        <f>+E222</f>
        <v>금속관벽체</v>
      </c>
      <c r="U224" s="19" t="str">
        <f>IFERROR(LEFT(K222,FIND("*",K222)-1),"-")</f>
        <v>-</v>
      </c>
      <c r="V224" s="19" t="str">
        <f>IFERROR(RIGHT(K222,LEN(K222)-FIND("*",K222)),"-")</f>
        <v>-</v>
      </c>
      <c r="W224" s="20" t="str">
        <f t="shared" si="118"/>
        <v>-</v>
      </c>
      <c r="X224" s="20" t="str">
        <f>IFERROR(W224*L222,"-")</f>
        <v>-</v>
      </c>
      <c r="Z224" s="85">
        <v>45174</v>
      </c>
    </row>
    <row r="225" spans="1:26" ht="6.95" customHeight="1" x14ac:dyDescent="0.3">
      <c r="A225" s="8"/>
      <c r="B225" s="157"/>
      <c r="C225" s="158"/>
      <c r="D225" s="161" t="s">
        <v>39</v>
      </c>
      <c r="E225" s="162"/>
      <c r="F225" s="163" t="s">
        <v>40</v>
      </c>
      <c r="G225" s="164"/>
      <c r="H225" s="165"/>
      <c r="I225" s="164"/>
      <c r="J225" s="165"/>
      <c r="K225" s="164"/>
      <c r="L225" s="165"/>
      <c r="M225" s="6"/>
      <c r="N225" s="32"/>
      <c r="Q225" s="10" t="str">
        <f>+CONCATENATE(E225,G225)</f>
        <v/>
      </c>
      <c r="R225" s="10">
        <f>+H225</f>
        <v>0</v>
      </c>
      <c r="S225" s="11"/>
      <c r="T225" s="10">
        <f>+E225</f>
        <v>0</v>
      </c>
      <c r="U225" s="19" t="str">
        <f t="shared" ref="U225" si="119">IFERROR(LEFT(G225,FIND("*",G225)-1),"-")</f>
        <v>-</v>
      </c>
      <c r="V225" s="19" t="str">
        <f t="shared" ref="V225" si="120">IFERROR(RIGHT(G225,LEN(G225)-FIND("*",G225)),"-")</f>
        <v>-</v>
      </c>
      <c r="W225" s="20" t="str">
        <f t="shared" si="118"/>
        <v>-</v>
      </c>
      <c r="X225" s="20" t="str">
        <f>IFERROR(W225*H225,"-")</f>
        <v>-</v>
      </c>
      <c r="Z225" s="85">
        <v>45174</v>
      </c>
    </row>
    <row r="226" spans="1:26" ht="6.95" customHeight="1" x14ac:dyDescent="0.3">
      <c r="A226" s="5"/>
      <c r="B226" s="157"/>
      <c r="C226" s="158"/>
      <c r="D226" s="161"/>
      <c r="E226" s="162"/>
      <c r="F226" s="163"/>
      <c r="G226" s="164"/>
      <c r="H226" s="165"/>
      <c r="I226" s="164"/>
      <c r="J226" s="165"/>
      <c r="K226" s="164"/>
      <c r="L226" s="165"/>
      <c r="M226" s="6"/>
      <c r="N226" s="32"/>
      <c r="Q226" s="10" t="str">
        <f>+CONCATENATE(E225,I225)</f>
        <v/>
      </c>
      <c r="R226" s="10">
        <f>+J225</f>
        <v>0</v>
      </c>
      <c r="S226" s="11"/>
      <c r="T226" s="10">
        <f>+E225</f>
        <v>0</v>
      </c>
      <c r="U226" s="19" t="str">
        <f>IFERROR(LEFT(I225,FIND("*",I225)-1),"-")</f>
        <v>-</v>
      </c>
      <c r="V226" s="19" t="str">
        <f>IFERROR(RIGHT(I225,LEN(I225)-FIND("*",I225)),"-")</f>
        <v>-</v>
      </c>
      <c r="W226" s="20" t="str">
        <f t="shared" si="118"/>
        <v>-</v>
      </c>
      <c r="X226" s="20" t="str">
        <f>IFERROR(W226*J225,"-")</f>
        <v>-</v>
      </c>
      <c r="Z226" s="85">
        <v>45174</v>
      </c>
    </row>
    <row r="227" spans="1:26" ht="6.95" customHeight="1" x14ac:dyDescent="0.3">
      <c r="A227" s="5"/>
      <c r="B227" s="157"/>
      <c r="C227" s="158"/>
      <c r="D227" s="161"/>
      <c r="E227" s="162"/>
      <c r="F227" s="163"/>
      <c r="G227" s="164"/>
      <c r="H227" s="165"/>
      <c r="I227" s="164"/>
      <c r="J227" s="165"/>
      <c r="K227" s="164"/>
      <c r="L227" s="165"/>
      <c r="M227" s="6"/>
      <c r="N227" s="32"/>
      <c r="Q227" s="10" t="str">
        <f>+CONCATENATE(E225,K225)</f>
        <v/>
      </c>
      <c r="R227" s="10">
        <f>+L225</f>
        <v>0</v>
      </c>
      <c r="S227" s="11"/>
      <c r="T227" s="10">
        <f>+E225</f>
        <v>0</v>
      </c>
      <c r="U227" s="19" t="str">
        <f>IFERROR(LEFT(K225,FIND("*",K225)-1),"-")</f>
        <v>-</v>
      </c>
      <c r="V227" s="19" t="str">
        <f>IFERROR(RIGHT(K225,LEN(K225)-FIND("*",K225)),"-")</f>
        <v>-</v>
      </c>
      <c r="W227" s="20" t="str">
        <f t="shared" si="118"/>
        <v>-</v>
      </c>
      <c r="X227" s="20" t="str">
        <f>IFERROR(W227*L225,"-")</f>
        <v>-</v>
      </c>
      <c r="Z227" s="85">
        <v>45174</v>
      </c>
    </row>
    <row r="228" spans="1:26" ht="6.95" customHeight="1" x14ac:dyDescent="0.3">
      <c r="A228" s="8"/>
      <c r="B228" s="157"/>
      <c r="C228" s="158"/>
      <c r="D228" s="161" t="s">
        <v>39</v>
      </c>
      <c r="E228" s="162"/>
      <c r="F228" s="163" t="s">
        <v>40</v>
      </c>
      <c r="G228" s="164"/>
      <c r="H228" s="165"/>
      <c r="I228" s="164"/>
      <c r="J228" s="165"/>
      <c r="K228" s="164"/>
      <c r="L228" s="165"/>
      <c r="M228" s="6"/>
      <c r="N228" s="32"/>
      <c r="Q228" s="10" t="str">
        <f>+CONCATENATE(E228,G228)</f>
        <v/>
      </c>
      <c r="R228" s="10">
        <f>+H228</f>
        <v>0</v>
      </c>
      <c r="S228" s="11"/>
      <c r="T228" s="10">
        <f>+E228</f>
        <v>0</v>
      </c>
      <c r="U228" s="19" t="str">
        <f t="shared" ref="U228" si="121">IFERROR(LEFT(G228,FIND("*",G228)-1),"-")</f>
        <v>-</v>
      </c>
      <c r="V228" s="19" t="str">
        <f t="shared" ref="V228" si="122">IFERROR(RIGHT(G228,LEN(G228)-FIND("*",G228)),"-")</f>
        <v>-</v>
      </c>
      <c r="W228" s="20" t="str">
        <f t="shared" si="118"/>
        <v>-</v>
      </c>
      <c r="X228" s="20" t="str">
        <f>IFERROR(W228*H228,"-")</f>
        <v>-</v>
      </c>
      <c r="Z228" s="85">
        <v>45174</v>
      </c>
    </row>
    <row r="229" spans="1:26" ht="6.95" customHeight="1" x14ac:dyDescent="0.3">
      <c r="A229" s="5"/>
      <c r="B229" s="157"/>
      <c r="C229" s="158"/>
      <c r="D229" s="161"/>
      <c r="E229" s="162"/>
      <c r="F229" s="163"/>
      <c r="G229" s="164"/>
      <c r="H229" s="165"/>
      <c r="I229" s="164"/>
      <c r="J229" s="165"/>
      <c r="K229" s="164"/>
      <c r="L229" s="165"/>
      <c r="M229" s="6"/>
      <c r="N229" s="32"/>
      <c r="Q229" s="10" t="str">
        <f>+CONCATENATE(E228,I228)</f>
        <v/>
      </c>
      <c r="R229" s="10">
        <f>+J228</f>
        <v>0</v>
      </c>
      <c r="S229" s="11"/>
      <c r="T229" s="10">
        <f>+E228</f>
        <v>0</v>
      </c>
      <c r="U229" s="19" t="str">
        <f>IFERROR(LEFT(I228,FIND("*",I228)-1),"-")</f>
        <v>-</v>
      </c>
      <c r="V229" s="19" t="str">
        <f>IFERROR(RIGHT(I228,LEN(I228)-FIND("*",I228)),"-")</f>
        <v>-</v>
      </c>
      <c r="W229" s="20" t="str">
        <f t="shared" si="118"/>
        <v>-</v>
      </c>
      <c r="X229" s="20" t="str">
        <f t="shared" ref="X229" si="123">IFERROR(W229*J228,"-")</f>
        <v>-</v>
      </c>
      <c r="Z229" s="85">
        <v>45174</v>
      </c>
    </row>
    <row r="230" spans="1:26" ht="6.95" customHeight="1" x14ac:dyDescent="0.3">
      <c r="A230" s="5"/>
      <c r="B230" s="157"/>
      <c r="C230" s="158"/>
      <c r="D230" s="161"/>
      <c r="E230" s="162"/>
      <c r="F230" s="163"/>
      <c r="G230" s="164"/>
      <c r="H230" s="165"/>
      <c r="I230" s="164"/>
      <c r="J230" s="165"/>
      <c r="K230" s="164"/>
      <c r="L230" s="165"/>
      <c r="M230" s="6"/>
      <c r="N230" s="32"/>
      <c r="Q230" s="10" t="str">
        <f>+CONCATENATE(E228,K228)</f>
        <v/>
      </c>
      <c r="R230" s="10">
        <f>+L228</f>
        <v>0</v>
      </c>
      <c r="S230" s="11"/>
      <c r="T230" s="10">
        <f>+E228</f>
        <v>0</v>
      </c>
      <c r="U230" s="19" t="str">
        <f>IFERROR(LEFT(K228,FIND("*",K228)-1),"-")</f>
        <v>-</v>
      </c>
      <c r="V230" s="19" t="str">
        <f>IFERROR(RIGHT(K228,LEN(K228)-FIND("*",K228)),"-")</f>
        <v>-</v>
      </c>
      <c r="W230" s="20" t="str">
        <f t="shared" si="118"/>
        <v>-</v>
      </c>
      <c r="X230" s="20" t="str">
        <f>IFERROR(W230*L228,"-")</f>
        <v>-</v>
      </c>
      <c r="Z230" s="85">
        <v>45174</v>
      </c>
    </row>
    <row r="231" spans="1:26" ht="21" customHeight="1" thickBot="1" x14ac:dyDescent="0.35">
      <c r="A231" s="5"/>
      <c r="B231" s="159"/>
      <c r="C231" s="160"/>
      <c r="D231" s="166" t="s">
        <v>43</v>
      </c>
      <c r="E231" s="167"/>
      <c r="F231" s="167"/>
      <c r="G231" s="168" t="s">
        <v>185</v>
      </c>
      <c r="H231" s="168"/>
      <c r="I231" s="168"/>
      <c r="J231" s="168"/>
      <c r="K231" s="168"/>
      <c r="L231" s="168"/>
      <c r="M231" s="7"/>
      <c r="N231" s="32"/>
      <c r="Z231" s="85">
        <v>45174</v>
      </c>
    </row>
    <row r="232" spans="1:26" ht="9.9499999999999993" customHeight="1" thickBot="1" x14ac:dyDescent="0.35">
      <c r="B232" s="9"/>
      <c r="C232" s="109">
        <v>821</v>
      </c>
      <c r="D232" s="51"/>
      <c r="E232" s="12"/>
      <c r="F232" s="51"/>
      <c r="G232" s="14"/>
      <c r="H232" s="14"/>
      <c r="I232" s="14"/>
      <c r="J232" s="14"/>
      <c r="K232" s="14"/>
      <c r="L232" s="14"/>
      <c r="M232" s="9"/>
      <c r="N232" s="32"/>
      <c r="U232" s="18"/>
      <c r="V232" s="18"/>
      <c r="Z232" s="85">
        <v>45174</v>
      </c>
    </row>
    <row r="233" spans="1:26" ht="6.95" customHeight="1" x14ac:dyDescent="0.3">
      <c r="A233" s="154">
        <f>+A222+1</f>
        <v>822</v>
      </c>
      <c r="B233" s="155"/>
      <c r="C233" s="156"/>
      <c r="D233" s="161" t="s">
        <v>39</v>
      </c>
      <c r="E233" s="162" t="s">
        <v>186</v>
      </c>
      <c r="F233" s="163" t="s">
        <v>40</v>
      </c>
      <c r="G233" s="164">
        <v>50</v>
      </c>
      <c r="H233" s="165">
        <v>0.5</v>
      </c>
      <c r="I233" s="164"/>
      <c r="J233" s="165"/>
      <c r="K233" s="164"/>
      <c r="L233" s="165"/>
      <c r="M233" s="6"/>
      <c r="N233" s="32"/>
      <c r="Q233" s="10" t="str">
        <f>+CONCATENATE(E233,G233)</f>
        <v>금속관벽체50</v>
      </c>
      <c r="R233" s="10">
        <f>+H233</f>
        <v>0.5</v>
      </c>
      <c r="S233" s="11"/>
      <c r="T233" s="10" t="str">
        <f>+E233</f>
        <v>금속관벽체</v>
      </c>
      <c r="U233" s="19" t="str">
        <f>IFERROR(LEFT(G233,FIND("*",G233)-1),"-")</f>
        <v>-</v>
      </c>
      <c r="V233" s="19" t="str">
        <f>IFERROR(RIGHT(G233,LEN(G233)-FIND("*",G233)),"-")</f>
        <v>-</v>
      </c>
      <c r="W233" s="20" t="str">
        <f>IFERROR((U233+V233)*2/1000,"-")</f>
        <v>-</v>
      </c>
      <c r="X233" s="20" t="str">
        <f>IFERROR(W233*H233,"-")</f>
        <v>-</v>
      </c>
      <c r="Z233" s="85">
        <v>45174</v>
      </c>
    </row>
    <row r="234" spans="1:26" ht="6.95" customHeight="1" x14ac:dyDescent="0.3">
      <c r="A234" s="154"/>
      <c r="B234" s="157"/>
      <c r="C234" s="158"/>
      <c r="D234" s="161"/>
      <c r="E234" s="162"/>
      <c r="F234" s="163"/>
      <c r="G234" s="164"/>
      <c r="H234" s="165"/>
      <c r="I234" s="164"/>
      <c r="J234" s="165"/>
      <c r="K234" s="164"/>
      <c r="L234" s="165"/>
      <c r="M234" s="6"/>
      <c r="N234" s="32"/>
      <c r="Q234" s="10" t="str">
        <f>+CONCATENATE(E233,I233)</f>
        <v>금속관벽체</v>
      </c>
      <c r="R234" s="10">
        <f>+J233</f>
        <v>0</v>
      </c>
      <c r="S234" s="11"/>
      <c r="T234" s="10" t="str">
        <f>+E233</f>
        <v>금속관벽체</v>
      </c>
      <c r="U234" s="19" t="str">
        <f>IFERROR(LEFT(I233,FIND("*",I233)-1),"-")</f>
        <v>-</v>
      </c>
      <c r="V234" s="19" t="str">
        <f>IFERROR(RIGHT(I233,LEN(I233)-FIND("*",I233)),"-")</f>
        <v>-</v>
      </c>
      <c r="W234" s="20" t="str">
        <f t="shared" ref="W234:W241" si="124">IFERROR((U234+V234)*2/1000,"-")</f>
        <v>-</v>
      </c>
      <c r="X234" s="20" t="str">
        <f>IFERROR(W234*J233,"-")</f>
        <v>-</v>
      </c>
      <c r="Z234" s="85">
        <v>45174</v>
      </c>
    </row>
    <row r="235" spans="1:26" ht="6.95" customHeight="1" x14ac:dyDescent="0.3">
      <c r="A235" s="154"/>
      <c r="B235" s="157"/>
      <c r="C235" s="158"/>
      <c r="D235" s="161"/>
      <c r="E235" s="162"/>
      <c r="F235" s="163"/>
      <c r="G235" s="164"/>
      <c r="H235" s="165"/>
      <c r="I235" s="164"/>
      <c r="J235" s="165"/>
      <c r="K235" s="164"/>
      <c r="L235" s="165"/>
      <c r="M235" s="6"/>
      <c r="N235" s="32"/>
      <c r="Q235" s="10" t="str">
        <f>+CONCATENATE(E233,K233)</f>
        <v>금속관벽체</v>
      </c>
      <c r="R235" s="10">
        <f>+L233</f>
        <v>0</v>
      </c>
      <c r="S235" s="11"/>
      <c r="T235" s="10" t="str">
        <f>+E233</f>
        <v>금속관벽체</v>
      </c>
      <c r="U235" s="19" t="str">
        <f>IFERROR(LEFT(K233,FIND("*",K233)-1),"-")</f>
        <v>-</v>
      </c>
      <c r="V235" s="19" t="str">
        <f>IFERROR(RIGHT(K233,LEN(K233)-FIND("*",K233)),"-")</f>
        <v>-</v>
      </c>
      <c r="W235" s="20" t="str">
        <f t="shared" si="124"/>
        <v>-</v>
      </c>
      <c r="X235" s="20" t="str">
        <f>IFERROR(W235*L233,"-")</f>
        <v>-</v>
      </c>
      <c r="Z235" s="85">
        <v>45174</v>
      </c>
    </row>
    <row r="236" spans="1:26" ht="6.95" customHeight="1" x14ac:dyDescent="0.3">
      <c r="A236" s="8"/>
      <c r="B236" s="157"/>
      <c r="C236" s="158"/>
      <c r="D236" s="161" t="s">
        <v>39</v>
      </c>
      <c r="E236" s="162"/>
      <c r="F236" s="163" t="s">
        <v>40</v>
      </c>
      <c r="G236" s="164"/>
      <c r="H236" s="165"/>
      <c r="I236" s="164"/>
      <c r="J236" s="165"/>
      <c r="K236" s="164"/>
      <c r="L236" s="165"/>
      <c r="M236" s="6"/>
      <c r="N236" s="32"/>
      <c r="Q236" s="10" t="str">
        <f>+CONCATENATE(E236,G236)</f>
        <v/>
      </c>
      <c r="R236" s="10">
        <f>+H236</f>
        <v>0</v>
      </c>
      <c r="S236" s="11"/>
      <c r="T236" s="10">
        <f>+E236</f>
        <v>0</v>
      </c>
      <c r="U236" s="19" t="str">
        <f t="shared" ref="U236" si="125">IFERROR(LEFT(G236,FIND("*",G236)-1),"-")</f>
        <v>-</v>
      </c>
      <c r="V236" s="19" t="str">
        <f t="shared" ref="V236" si="126">IFERROR(RIGHT(G236,LEN(G236)-FIND("*",G236)),"-")</f>
        <v>-</v>
      </c>
      <c r="W236" s="20" t="str">
        <f t="shared" si="124"/>
        <v>-</v>
      </c>
      <c r="X236" s="20" t="str">
        <f>IFERROR(W236*H236,"-")</f>
        <v>-</v>
      </c>
      <c r="Z236" s="85">
        <v>45174</v>
      </c>
    </row>
    <row r="237" spans="1:26" ht="6.95" customHeight="1" x14ac:dyDescent="0.3">
      <c r="A237" s="5"/>
      <c r="B237" s="157"/>
      <c r="C237" s="158"/>
      <c r="D237" s="161"/>
      <c r="E237" s="162"/>
      <c r="F237" s="163"/>
      <c r="G237" s="164"/>
      <c r="H237" s="165"/>
      <c r="I237" s="164"/>
      <c r="J237" s="165"/>
      <c r="K237" s="164"/>
      <c r="L237" s="165"/>
      <c r="M237" s="6"/>
      <c r="N237" s="32"/>
      <c r="Q237" s="10" t="str">
        <f>+CONCATENATE(E236,I236)</f>
        <v/>
      </c>
      <c r="R237" s="10">
        <f>+J236</f>
        <v>0</v>
      </c>
      <c r="S237" s="11"/>
      <c r="T237" s="10">
        <f>+E236</f>
        <v>0</v>
      </c>
      <c r="U237" s="19" t="str">
        <f>IFERROR(LEFT(I236,FIND("*",I236)-1),"-")</f>
        <v>-</v>
      </c>
      <c r="V237" s="19" t="str">
        <f>IFERROR(RIGHT(I236,LEN(I236)-FIND("*",I236)),"-")</f>
        <v>-</v>
      </c>
      <c r="W237" s="20" t="str">
        <f t="shared" si="124"/>
        <v>-</v>
      </c>
      <c r="X237" s="20" t="str">
        <f>IFERROR(W237*J236,"-")</f>
        <v>-</v>
      </c>
      <c r="Z237" s="85">
        <v>45174</v>
      </c>
    </row>
    <row r="238" spans="1:26" ht="6.95" customHeight="1" x14ac:dyDescent="0.3">
      <c r="A238" s="5"/>
      <c r="B238" s="157"/>
      <c r="C238" s="158"/>
      <c r="D238" s="161"/>
      <c r="E238" s="162"/>
      <c r="F238" s="163"/>
      <c r="G238" s="164"/>
      <c r="H238" s="165"/>
      <c r="I238" s="164"/>
      <c r="J238" s="165"/>
      <c r="K238" s="164"/>
      <c r="L238" s="165"/>
      <c r="M238" s="6"/>
      <c r="N238" s="32"/>
      <c r="Q238" s="10" t="str">
        <f>+CONCATENATE(E236,K236)</f>
        <v/>
      </c>
      <c r="R238" s="10">
        <f>+L236</f>
        <v>0</v>
      </c>
      <c r="S238" s="11"/>
      <c r="T238" s="10">
        <f>+E236</f>
        <v>0</v>
      </c>
      <c r="U238" s="19" t="str">
        <f>IFERROR(LEFT(K236,FIND("*",K236)-1),"-")</f>
        <v>-</v>
      </c>
      <c r="V238" s="19" t="str">
        <f>IFERROR(RIGHT(K236,LEN(K236)-FIND("*",K236)),"-")</f>
        <v>-</v>
      </c>
      <c r="W238" s="20" t="str">
        <f t="shared" si="124"/>
        <v>-</v>
      </c>
      <c r="X238" s="20" t="str">
        <f>IFERROR(W238*L236,"-")</f>
        <v>-</v>
      </c>
      <c r="Z238" s="85">
        <v>45174</v>
      </c>
    </row>
    <row r="239" spans="1:26" ht="6.95" customHeight="1" x14ac:dyDescent="0.3">
      <c r="A239" s="8"/>
      <c r="B239" s="157"/>
      <c r="C239" s="158"/>
      <c r="D239" s="161" t="s">
        <v>39</v>
      </c>
      <c r="E239" s="162"/>
      <c r="F239" s="163" t="s">
        <v>40</v>
      </c>
      <c r="G239" s="164"/>
      <c r="H239" s="165"/>
      <c r="I239" s="164"/>
      <c r="J239" s="165"/>
      <c r="K239" s="164"/>
      <c r="L239" s="165"/>
      <c r="M239" s="6"/>
      <c r="N239" s="32"/>
      <c r="Q239" s="10" t="str">
        <f>+CONCATENATE(E239,G239)</f>
        <v/>
      </c>
      <c r="R239" s="10">
        <f>+H239</f>
        <v>0</v>
      </c>
      <c r="S239" s="11"/>
      <c r="T239" s="10">
        <f>+E239</f>
        <v>0</v>
      </c>
      <c r="U239" s="19" t="str">
        <f t="shared" ref="U239" si="127">IFERROR(LEFT(G239,FIND("*",G239)-1),"-")</f>
        <v>-</v>
      </c>
      <c r="V239" s="19" t="str">
        <f t="shared" ref="V239" si="128">IFERROR(RIGHT(G239,LEN(G239)-FIND("*",G239)),"-")</f>
        <v>-</v>
      </c>
      <c r="W239" s="20" t="str">
        <f t="shared" si="124"/>
        <v>-</v>
      </c>
      <c r="X239" s="20" t="str">
        <f>IFERROR(W239*H239,"-")</f>
        <v>-</v>
      </c>
      <c r="Z239" s="85">
        <v>45174</v>
      </c>
    </row>
    <row r="240" spans="1:26" ht="6.95" customHeight="1" x14ac:dyDescent="0.3">
      <c r="A240" s="5"/>
      <c r="B240" s="157"/>
      <c r="C240" s="158"/>
      <c r="D240" s="161"/>
      <c r="E240" s="162"/>
      <c r="F240" s="163"/>
      <c r="G240" s="164"/>
      <c r="H240" s="165"/>
      <c r="I240" s="164"/>
      <c r="J240" s="165"/>
      <c r="K240" s="164"/>
      <c r="L240" s="165"/>
      <c r="M240" s="6"/>
      <c r="N240" s="32"/>
      <c r="Q240" s="10" t="str">
        <f>+CONCATENATE(E239,I239)</f>
        <v/>
      </c>
      <c r="R240" s="10">
        <f>+J239</f>
        <v>0</v>
      </c>
      <c r="S240" s="11"/>
      <c r="T240" s="10">
        <f>+E239</f>
        <v>0</v>
      </c>
      <c r="U240" s="19" t="str">
        <f>IFERROR(LEFT(I239,FIND("*",I239)-1),"-")</f>
        <v>-</v>
      </c>
      <c r="V240" s="19" t="str">
        <f>IFERROR(RIGHT(I239,LEN(I239)-FIND("*",I239)),"-")</f>
        <v>-</v>
      </c>
      <c r="W240" s="20" t="str">
        <f t="shared" si="124"/>
        <v>-</v>
      </c>
      <c r="X240" s="20" t="str">
        <f t="shared" ref="X240" si="129">IFERROR(W240*J239,"-")</f>
        <v>-</v>
      </c>
      <c r="Z240" s="85">
        <v>45174</v>
      </c>
    </row>
    <row r="241" spans="1:26" ht="6.95" customHeight="1" x14ac:dyDescent="0.3">
      <c r="A241" s="5"/>
      <c r="B241" s="157"/>
      <c r="C241" s="158"/>
      <c r="D241" s="161"/>
      <c r="E241" s="162"/>
      <c r="F241" s="163"/>
      <c r="G241" s="164"/>
      <c r="H241" s="165"/>
      <c r="I241" s="164"/>
      <c r="J241" s="165"/>
      <c r="K241" s="164"/>
      <c r="L241" s="165"/>
      <c r="M241" s="6"/>
      <c r="N241" s="32"/>
      <c r="Q241" s="10" t="str">
        <f>+CONCATENATE(E239,K239)</f>
        <v/>
      </c>
      <c r="R241" s="10">
        <f>+L239</f>
        <v>0</v>
      </c>
      <c r="S241" s="11"/>
      <c r="T241" s="10">
        <f>+E239</f>
        <v>0</v>
      </c>
      <c r="U241" s="19" t="str">
        <f>IFERROR(LEFT(K239,FIND("*",K239)-1),"-")</f>
        <v>-</v>
      </c>
      <c r="V241" s="19" t="str">
        <f>IFERROR(RIGHT(K239,LEN(K239)-FIND("*",K239)),"-")</f>
        <v>-</v>
      </c>
      <c r="W241" s="20" t="str">
        <f t="shared" si="124"/>
        <v>-</v>
      </c>
      <c r="X241" s="20" t="str">
        <f>IFERROR(W241*L239,"-")</f>
        <v>-</v>
      </c>
      <c r="Z241" s="85">
        <v>45174</v>
      </c>
    </row>
    <row r="242" spans="1:26" ht="21" customHeight="1" thickBot="1" x14ac:dyDescent="0.35">
      <c r="A242" s="5"/>
      <c r="B242" s="159"/>
      <c r="C242" s="160"/>
      <c r="D242" s="166" t="s">
        <v>43</v>
      </c>
      <c r="E242" s="167"/>
      <c r="F242" s="167"/>
      <c r="G242" s="168" t="s">
        <v>185</v>
      </c>
      <c r="H242" s="168"/>
      <c r="I242" s="168"/>
      <c r="J242" s="168"/>
      <c r="K242" s="168"/>
      <c r="L242" s="168"/>
      <c r="M242" s="7"/>
      <c r="N242" s="32"/>
      <c r="Z242" s="85">
        <v>45174</v>
      </c>
    </row>
    <row r="243" spans="1:26" ht="9.9499999999999993" customHeight="1" thickBot="1" x14ac:dyDescent="0.35">
      <c r="B243" s="9"/>
      <c r="C243" s="109">
        <v>822</v>
      </c>
      <c r="D243" s="51"/>
      <c r="E243" s="12"/>
      <c r="F243" s="51"/>
      <c r="G243" s="14"/>
      <c r="H243" s="14"/>
      <c r="I243" s="14"/>
      <c r="J243" s="14"/>
      <c r="K243" s="14"/>
      <c r="L243" s="14"/>
      <c r="M243" s="9"/>
      <c r="N243" s="32"/>
      <c r="U243" s="18"/>
      <c r="V243" s="18"/>
      <c r="Z243" s="85">
        <v>45174</v>
      </c>
    </row>
    <row r="244" spans="1:26" ht="6.95" customHeight="1" x14ac:dyDescent="0.3">
      <c r="A244" s="154">
        <f>+A233+1</f>
        <v>823</v>
      </c>
      <c r="B244" s="155"/>
      <c r="C244" s="156"/>
      <c r="D244" s="161" t="s">
        <v>39</v>
      </c>
      <c r="E244" s="162" t="s">
        <v>186</v>
      </c>
      <c r="F244" s="163" t="s">
        <v>40</v>
      </c>
      <c r="G244" s="164">
        <v>150</v>
      </c>
      <c r="H244" s="165">
        <v>0.5</v>
      </c>
      <c r="I244" s="164"/>
      <c r="J244" s="165"/>
      <c r="K244" s="164"/>
      <c r="L244" s="165"/>
      <c r="M244" s="6"/>
      <c r="N244" s="32"/>
      <c r="Q244" s="10" t="str">
        <f>+CONCATENATE(E244,G244)</f>
        <v>금속관벽체150</v>
      </c>
      <c r="R244" s="10">
        <f>+H244</f>
        <v>0.5</v>
      </c>
      <c r="S244" s="11"/>
      <c r="T244" s="10" t="str">
        <f>+E244</f>
        <v>금속관벽체</v>
      </c>
      <c r="U244" s="19" t="str">
        <f>IFERROR(LEFT(G244,FIND("*",G244)-1),"-")</f>
        <v>-</v>
      </c>
      <c r="V244" s="19" t="str">
        <f>IFERROR(RIGHT(G244,LEN(G244)-FIND("*",G244)),"-")</f>
        <v>-</v>
      </c>
      <c r="W244" s="20" t="str">
        <f>IFERROR((U244+V244)*2/1000,"-")</f>
        <v>-</v>
      </c>
      <c r="X244" s="20" t="str">
        <f>IFERROR(W244*H244,"-")</f>
        <v>-</v>
      </c>
      <c r="Z244" s="85">
        <v>45174</v>
      </c>
    </row>
    <row r="245" spans="1:26" ht="6.95" customHeight="1" x14ac:dyDescent="0.3">
      <c r="A245" s="154"/>
      <c r="B245" s="157"/>
      <c r="C245" s="158"/>
      <c r="D245" s="161"/>
      <c r="E245" s="162"/>
      <c r="F245" s="163"/>
      <c r="G245" s="164"/>
      <c r="H245" s="165"/>
      <c r="I245" s="164"/>
      <c r="J245" s="165"/>
      <c r="K245" s="164"/>
      <c r="L245" s="165"/>
      <c r="M245" s="6"/>
      <c r="N245" s="32"/>
      <c r="Q245" s="10" t="str">
        <f>+CONCATENATE(E244,I244)</f>
        <v>금속관벽체</v>
      </c>
      <c r="R245" s="10">
        <f>+J244</f>
        <v>0</v>
      </c>
      <c r="S245" s="11"/>
      <c r="T245" s="10" t="str">
        <f>+E244</f>
        <v>금속관벽체</v>
      </c>
      <c r="U245" s="19" t="str">
        <f>IFERROR(LEFT(I244,FIND("*",I244)-1),"-")</f>
        <v>-</v>
      </c>
      <c r="V245" s="19" t="str">
        <f>IFERROR(RIGHT(I244,LEN(I244)-FIND("*",I244)),"-")</f>
        <v>-</v>
      </c>
      <c r="W245" s="20" t="str">
        <f t="shared" ref="W245:W252" si="130">IFERROR((U245+V245)*2/1000,"-")</f>
        <v>-</v>
      </c>
      <c r="X245" s="20" t="str">
        <f>IFERROR(W245*J244,"-")</f>
        <v>-</v>
      </c>
      <c r="Z245" s="85">
        <v>45174</v>
      </c>
    </row>
    <row r="246" spans="1:26" ht="6.95" customHeight="1" x14ac:dyDescent="0.3">
      <c r="A246" s="154"/>
      <c r="B246" s="157"/>
      <c r="C246" s="158"/>
      <c r="D246" s="161"/>
      <c r="E246" s="162"/>
      <c r="F246" s="163"/>
      <c r="G246" s="164"/>
      <c r="H246" s="165"/>
      <c r="I246" s="164"/>
      <c r="J246" s="165"/>
      <c r="K246" s="164"/>
      <c r="L246" s="165"/>
      <c r="M246" s="6"/>
      <c r="N246" s="32"/>
      <c r="Q246" s="10" t="str">
        <f>+CONCATENATE(E244,K244)</f>
        <v>금속관벽체</v>
      </c>
      <c r="R246" s="10">
        <f>+L244</f>
        <v>0</v>
      </c>
      <c r="S246" s="11"/>
      <c r="T246" s="10" t="str">
        <f>+E244</f>
        <v>금속관벽체</v>
      </c>
      <c r="U246" s="19" t="str">
        <f>IFERROR(LEFT(K244,FIND("*",K244)-1),"-")</f>
        <v>-</v>
      </c>
      <c r="V246" s="19" t="str">
        <f>IFERROR(RIGHT(K244,LEN(K244)-FIND("*",K244)),"-")</f>
        <v>-</v>
      </c>
      <c r="W246" s="20" t="str">
        <f t="shared" si="130"/>
        <v>-</v>
      </c>
      <c r="X246" s="20" t="str">
        <f>IFERROR(W246*L244,"-")</f>
        <v>-</v>
      </c>
      <c r="Z246" s="85">
        <v>45174</v>
      </c>
    </row>
    <row r="247" spans="1:26" ht="6.95" customHeight="1" x14ac:dyDescent="0.3">
      <c r="A247" s="8"/>
      <c r="B247" s="157"/>
      <c r="C247" s="158"/>
      <c r="D247" s="161" t="s">
        <v>39</v>
      </c>
      <c r="E247" s="162"/>
      <c r="F247" s="163" t="s">
        <v>40</v>
      </c>
      <c r="G247" s="164"/>
      <c r="H247" s="165"/>
      <c r="I247" s="164"/>
      <c r="J247" s="165"/>
      <c r="K247" s="164"/>
      <c r="L247" s="165"/>
      <c r="M247" s="6"/>
      <c r="N247" s="32"/>
      <c r="Q247" s="10" t="str">
        <f>+CONCATENATE(E247,G247)</f>
        <v/>
      </c>
      <c r="R247" s="10">
        <f>+H247</f>
        <v>0</v>
      </c>
      <c r="S247" s="11"/>
      <c r="T247" s="10">
        <f>+E247</f>
        <v>0</v>
      </c>
      <c r="U247" s="19" t="str">
        <f t="shared" ref="U247" si="131">IFERROR(LEFT(G247,FIND("*",G247)-1),"-")</f>
        <v>-</v>
      </c>
      <c r="V247" s="19" t="str">
        <f t="shared" ref="V247" si="132">IFERROR(RIGHT(G247,LEN(G247)-FIND("*",G247)),"-")</f>
        <v>-</v>
      </c>
      <c r="W247" s="20" t="str">
        <f t="shared" si="130"/>
        <v>-</v>
      </c>
      <c r="X247" s="20" t="str">
        <f>IFERROR(W247*H247,"-")</f>
        <v>-</v>
      </c>
      <c r="Z247" s="85">
        <v>45174</v>
      </c>
    </row>
    <row r="248" spans="1:26" ht="6.95" customHeight="1" x14ac:dyDescent="0.3">
      <c r="A248" s="5"/>
      <c r="B248" s="157"/>
      <c r="C248" s="158"/>
      <c r="D248" s="161"/>
      <c r="E248" s="162"/>
      <c r="F248" s="163"/>
      <c r="G248" s="164"/>
      <c r="H248" s="165"/>
      <c r="I248" s="164"/>
      <c r="J248" s="165"/>
      <c r="K248" s="164"/>
      <c r="L248" s="165"/>
      <c r="M248" s="6"/>
      <c r="N248" s="32"/>
      <c r="Q248" s="10" t="str">
        <f>+CONCATENATE(E247,I247)</f>
        <v/>
      </c>
      <c r="R248" s="10">
        <f>+J247</f>
        <v>0</v>
      </c>
      <c r="S248" s="11"/>
      <c r="T248" s="10">
        <f>+E247</f>
        <v>0</v>
      </c>
      <c r="U248" s="19" t="str">
        <f>IFERROR(LEFT(I247,FIND("*",I247)-1),"-")</f>
        <v>-</v>
      </c>
      <c r="V248" s="19" t="str">
        <f>IFERROR(RIGHT(I247,LEN(I247)-FIND("*",I247)),"-")</f>
        <v>-</v>
      </c>
      <c r="W248" s="20" t="str">
        <f t="shared" si="130"/>
        <v>-</v>
      </c>
      <c r="X248" s="20" t="str">
        <f>IFERROR(W248*J247,"-")</f>
        <v>-</v>
      </c>
      <c r="Z248" s="85">
        <v>45174</v>
      </c>
    </row>
    <row r="249" spans="1:26" ht="6.95" customHeight="1" x14ac:dyDescent="0.3">
      <c r="A249" s="5"/>
      <c r="B249" s="157"/>
      <c r="C249" s="158"/>
      <c r="D249" s="161"/>
      <c r="E249" s="162"/>
      <c r="F249" s="163"/>
      <c r="G249" s="164"/>
      <c r="H249" s="165"/>
      <c r="I249" s="164"/>
      <c r="J249" s="165"/>
      <c r="K249" s="164"/>
      <c r="L249" s="165"/>
      <c r="M249" s="6"/>
      <c r="N249" s="32"/>
      <c r="Q249" s="10" t="str">
        <f>+CONCATENATE(E247,K247)</f>
        <v/>
      </c>
      <c r="R249" s="10">
        <f>+L247</f>
        <v>0</v>
      </c>
      <c r="S249" s="11"/>
      <c r="T249" s="10">
        <f>+E247</f>
        <v>0</v>
      </c>
      <c r="U249" s="19" t="str">
        <f>IFERROR(LEFT(K247,FIND("*",K247)-1),"-")</f>
        <v>-</v>
      </c>
      <c r="V249" s="19" t="str">
        <f>IFERROR(RIGHT(K247,LEN(K247)-FIND("*",K247)),"-")</f>
        <v>-</v>
      </c>
      <c r="W249" s="20" t="str">
        <f t="shared" si="130"/>
        <v>-</v>
      </c>
      <c r="X249" s="20" t="str">
        <f>IFERROR(W249*L247,"-")</f>
        <v>-</v>
      </c>
      <c r="Z249" s="85">
        <v>45174</v>
      </c>
    </row>
    <row r="250" spans="1:26" ht="6.95" customHeight="1" x14ac:dyDescent="0.3">
      <c r="A250" s="8"/>
      <c r="B250" s="157"/>
      <c r="C250" s="158"/>
      <c r="D250" s="161" t="s">
        <v>39</v>
      </c>
      <c r="E250" s="162"/>
      <c r="F250" s="163" t="s">
        <v>40</v>
      </c>
      <c r="G250" s="164"/>
      <c r="H250" s="165"/>
      <c r="I250" s="164"/>
      <c r="J250" s="165"/>
      <c r="K250" s="164"/>
      <c r="L250" s="165"/>
      <c r="M250" s="6"/>
      <c r="N250" s="32"/>
      <c r="Q250" s="10" t="str">
        <f>+CONCATENATE(E250,G250)</f>
        <v/>
      </c>
      <c r="R250" s="10">
        <f>+H250</f>
        <v>0</v>
      </c>
      <c r="S250" s="11"/>
      <c r="T250" s="10">
        <f>+E250</f>
        <v>0</v>
      </c>
      <c r="U250" s="19" t="str">
        <f t="shared" ref="U250" si="133">IFERROR(LEFT(G250,FIND("*",G250)-1),"-")</f>
        <v>-</v>
      </c>
      <c r="V250" s="19" t="str">
        <f t="shared" ref="V250" si="134">IFERROR(RIGHT(G250,LEN(G250)-FIND("*",G250)),"-")</f>
        <v>-</v>
      </c>
      <c r="W250" s="20" t="str">
        <f t="shared" si="130"/>
        <v>-</v>
      </c>
      <c r="X250" s="20" t="str">
        <f>IFERROR(W250*H250,"-")</f>
        <v>-</v>
      </c>
      <c r="Z250" s="85">
        <v>45174</v>
      </c>
    </row>
    <row r="251" spans="1:26" ht="6.95" customHeight="1" x14ac:dyDescent="0.3">
      <c r="A251" s="5"/>
      <c r="B251" s="157"/>
      <c r="C251" s="158"/>
      <c r="D251" s="161"/>
      <c r="E251" s="162"/>
      <c r="F251" s="163"/>
      <c r="G251" s="164"/>
      <c r="H251" s="165"/>
      <c r="I251" s="164"/>
      <c r="J251" s="165"/>
      <c r="K251" s="164"/>
      <c r="L251" s="165"/>
      <c r="M251" s="6"/>
      <c r="N251" s="32"/>
      <c r="Q251" s="10" t="str">
        <f>+CONCATENATE(E250,I250)</f>
        <v/>
      </c>
      <c r="R251" s="10">
        <f>+J250</f>
        <v>0</v>
      </c>
      <c r="S251" s="11"/>
      <c r="T251" s="10">
        <f>+E250</f>
        <v>0</v>
      </c>
      <c r="U251" s="19" t="str">
        <f>IFERROR(LEFT(I250,FIND("*",I250)-1),"-")</f>
        <v>-</v>
      </c>
      <c r="V251" s="19" t="str">
        <f>IFERROR(RIGHT(I250,LEN(I250)-FIND("*",I250)),"-")</f>
        <v>-</v>
      </c>
      <c r="W251" s="20" t="str">
        <f t="shared" si="130"/>
        <v>-</v>
      </c>
      <c r="X251" s="20" t="str">
        <f t="shared" ref="X251" si="135">IFERROR(W251*J250,"-")</f>
        <v>-</v>
      </c>
      <c r="Z251" s="85">
        <v>45174</v>
      </c>
    </row>
    <row r="252" spans="1:26" ht="6.95" customHeight="1" x14ac:dyDescent="0.3">
      <c r="A252" s="5"/>
      <c r="B252" s="157"/>
      <c r="C252" s="158"/>
      <c r="D252" s="161"/>
      <c r="E252" s="162"/>
      <c r="F252" s="163"/>
      <c r="G252" s="164"/>
      <c r="H252" s="165"/>
      <c r="I252" s="164"/>
      <c r="J252" s="165"/>
      <c r="K252" s="164"/>
      <c r="L252" s="165"/>
      <c r="M252" s="6"/>
      <c r="N252" s="32"/>
      <c r="Q252" s="10" t="str">
        <f>+CONCATENATE(E250,K250)</f>
        <v/>
      </c>
      <c r="R252" s="10">
        <f>+L250</f>
        <v>0</v>
      </c>
      <c r="S252" s="11"/>
      <c r="T252" s="10">
        <f>+E250</f>
        <v>0</v>
      </c>
      <c r="U252" s="19" t="str">
        <f>IFERROR(LEFT(K250,FIND("*",K250)-1),"-")</f>
        <v>-</v>
      </c>
      <c r="V252" s="19" t="str">
        <f>IFERROR(RIGHT(K250,LEN(K250)-FIND("*",K250)),"-")</f>
        <v>-</v>
      </c>
      <c r="W252" s="20" t="str">
        <f t="shared" si="130"/>
        <v>-</v>
      </c>
      <c r="X252" s="20" t="str">
        <f>IFERROR(W252*L250,"-")</f>
        <v>-</v>
      </c>
      <c r="Z252" s="85">
        <v>45174</v>
      </c>
    </row>
    <row r="253" spans="1:26" ht="21" customHeight="1" thickBot="1" x14ac:dyDescent="0.35">
      <c r="A253" s="5"/>
      <c r="B253" s="159"/>
      <c r="C253" s="160"/>
      <c r="D253" s="166" t="s">
        <v>43</v>
      </c>
      <c r="E253" s="167"/>
      <c r="F253" s="167"/>
      <c r="G253" s="168" t="s">
        <v>185</v>
      </c>
      <c r="H253" s="168"/>
      <c r="I253" s="168"/>
      <c r="J253" s="168"/>
      <c r="K253" s="168"/>
      <c r="L253" s="168"/>
      <c r="M253" s="7"/>
      <c r="N253" s="32"/>
      <c r="Z253" s="85">
        <v>45174</v>
      </c>
    </row>
    <row r="254" spans="1:26" ht="9.9499999999999993" customHeight="1" thickBot="1" x14ac:dyDescent="0.35">
      <c r="B254" s="9"/>
      <c r="C254" s="109">
        <v>823</v>
      </c>
      <c r="D254" s="51"/>
      <c r="E254" s="12"/>
      <c r="F254" s="51"/>
      <c r="G254" s="14"/>
      <c r="H254" s="14"/>
      <c r="I254" s="14"/>
      <c r="J254" s="14"/>
      <c r="K254" s="14"/>
      <c r="L254" s="14"/>
      <c r="M254" s="9"/>
      <c r="N254" s="32"/>
      <c r="U254" s="18"/>
      <c r="V254" s="18"/>
      <c r="Z254" s="85">
        <v>45174</v>
      </c>
    </row>
    <row r="255" spans="1:26" ht="6.95" customHeight="1" x14ac:dyDescent="0.3">
      <c r="A255" s="154">
        <f>+A244+1</f>
        <v>824</v>
      </c>
      <c r="B255" s="155"/>
      <c r="C255" s="156"/>
      <c r="D255" s="161" t="s">
        <v>39</v>
      </c>
      <c r="E255" s="162" t="s">
        <v>186</v>
      </c>
      <c r="F255" s="163" t="s">
        <v>40</v>
      </c>
      <c r="G255" s="164">
        <v>50</v>
      </c>
      <c r="H255" s="165">
        <v>2</v>
      </c>
      <c r="I255" s="164"/>
      <c r="J255" s="165"/>
      <c r="K255" s="164"/>
      <c r="L255" s="165"/>
      <c r="M255" s="6"/>
      <c r="N255" s="32"/>
      <c r="Q255" s="10" t="str">
        <f>+CONCATENATE(E255,G255)</f>
        <v>금속관벽체50</v>
      </c>
      <c r="R255" s="10">
        <f>+H255</f>
        <v>2</v>
      </c>
      <c r="S255" s="11"/>
      <c r="T255" s="10" t="str">
        <f>+E255</f>
        <v>금속관벽체</v>
      </c>
      <c r="U255" s="19" t="str">
        <f>IFERROR(LEFT(G255,FIND("*",G255)-1),"-")</f>
        <v>-</v>
      </c>
      <c r="V255" s="19" t="str">
        <f>IFERROR(RIGHT(G255,LEN(G255)-FIND("*",G255)),"-")</f>
        <v>-</v>
      </c>
      <c r="W255" s="20" t="str">
        <f>IFERROR((U255+V255)*2/1000,"-")</f>
        <v>-</v>
      </c>
      <c r="X255" s="20" t="str">
        <f>IFERROR(W255*H255,"-")</f>
        <v>-</v>
      </c>
      <c r="Z255" s="85">
        <v>45174</v>
      </c>
    </row>
    <row r="256" spans="1:26" ht="6.95" customHeight="1" x14ac:dyDescent="0.3">
      <c r="A256" s="154"/>
      <c r="B256" s="157"/>
      <c r="C256" s="158"/>
      <c r="D256" s="161"/>
      <c r="E256" s="162"/>
      <c r="F256" s="163"/>
      <c r="G256" s="164"/>
      <c r="H256" s="165"/>
      <c r="I256" s="164"/>
      <c r="J256" s="165"/>
      <c r="K256" s="164"/>
      <c r="L256" s="165"/>
      <c r="M256" s="6"/>
      <c r="N256" s="32"/>
      <c r="Q256" s="10" t="str">
        <f>+CONCATENATE(E255,I255)</f>
        <v>금속관벽체</v>
      </c>
      <c r="R256" s="10">
        <f>+J255</f>
        <v>0</v>
      </c>
      <c r="S256" s="11"/>
      <c r="T256" s="10" t="str">
        <f>+E255</f>
        <v>금속관벽체</v>
      </c>
      <c r="U256" s="19" t="str">
        <f>IFERROR(LEFT(I255,FIND("*",I255)-1),"-")</f>
        <v>-</v>
      </c>
      <c r="V256" s="19" t="str">
        <f>IFERROR(RIGHT(I255,LEN(I255)-FIND("*",I255)),"-")</f>
        <v>-</v>
      </c>
      <c r="W256" s="20" t="str">
        <f t="shared" ref="W256:W263" si="136">IFERROR((U256+V256)*2/1000,"-")</f>
        <v>-</v>
      </c>
      <c r="X256" s="20" t="str">
        <f>IFERROR(W256*J255,"-")</f>
        <v>-</v>
      </c>
      <c r="Z256" s="85">
        <v>45174</v>
      </c>
    </row>
    <row r="257" spans="1:26" ht="6.95" customHeight="1" x14ac:dyDescent="0.3">
      <c r="A257" s="154"/>
      <c r="B257" s="157"/>
      <c r="C257" s="158"/>
      <c r="D257" s="161"/>
      <c r="E257" s="162"/>
      <c r="F257" s="163"/>
      <c r="G257" s="164"/>
      <c r="H257" s="165"/>
      <c r="I257" s="164"/>
      <c r="J257" s="165"/>
      <c r="K257" s="164"/>
      <c r="L257" s="165"/>
      <c r="M257" s="6"/>
      <c r="N257" s="32"/>
      <c r="Q257" s="10" t="str">
        <f>+CONCATENATE(E255,K255)</f>
        <v>금속관벽체</v>
      </c>
      <c r="R257" s="10">
        <f>+L255</f>
        <v>0</v>
      </c>
      <c r="S257" s="11"/>
      <c r="T257" s="10" t="str">
        <f>+E255</f>
        <v>금속관벽체</v>
      </c>
      <c r="U257" s="19" t="str">
        <f>IFERROR(LEFT(K255,FIND("*",K255)-1),"-")</f>
        <v>-</v>
      </c>
      <c r="V257" s="19" t="str">
        <f>IFERROR(RIGHT(K255,LEN(K255)-FIND("*",K255)),"-")</f>
        <v>-</v>
      </c>
      <c r="W257" s="20" t="str">
        <f t="shared" si="136"/>
        <v>-</v>
      </c>
      <c r="X257" s="20" t="str">
        <f>IFERROR(W257*L255,"-")</f>
        <v>-</v>
      </c>
      <c r="Z257" s="85">
        <v>45174</v>
      </c>
    </row>
    <row r="258" spans="1:26" ht="6.95" customHeight="1" x14ac:dyDescent="0.3">
      <c r="A258" s="8"/>
      <c r="B258" s="157"/>
      <c r="C258" s="158"/>
      <c r="D258" s="161" t="s">
        <v>39</v>
      </c>
      <c r="E258" s="162"/>
      <c r="F258" s="163" t="s">
        <v>40</v>
      </c>
      <c r="G258" s="164"/>
      <c r="H258" s="165"/>
      <c r="I258" s="164"/>
      <c r="J258" s="165"/>
      <c r="K258" s="164"/>
      <c r="L258" s="165"/>
      <c r="M258" s="6"/>
      <c r="N258" s="32"/>
      <c r="Q258" s="10" t="str">
        <f>+CONCATENATE(E258,G258)</f>
        <v/>
      </c>
      <c r="R258" s="10">
        <f>+H258</f>
        <v>0</v>
      </c>
      <c r="S258" s="11"/>
      <c r="T258" s="10">
        <f>+E258</f>
        <v>0</v>
      </c>
      <c r="U258" s="19" t="str">
        <f t="shared" ref="U258" si="137">IFERROR(LEFT(G258,FIND("*",G258)-1),"-")</f>
        <v>-</v>
      </c>
      <c r="V258" s="19" t="str">
        <f t="shared" ref="V258" si="138">IFERROR(RIGHT(G258,LEN(G258)-FIND("*",G258)),"-")</f>
        <v>-</v>
      </c>
      <c r="W258" s="20" t="str">
        <f t="shared" si="136"/>
        <v>-</v>
      </c>
      <c r="X258" s="20" t="str">
        <f>IFERROR(W258*H258,"-")</f>
        <v>-</v>
      </c>
      <c r="Z258" s="85">
        <v>45174</v>
      </c>
    </row>
    <row r="259" spans="1:26" ht="6.95" customHeight="1" x14ac:dyDescent="0.3">
      <c r="A259" s="5"/>
      <c r="B259" s="157"/>
      <c r="C259" s="158"/>
      <c r="D259" s="161"/>
      <c r="E259" s="162"/>
      <c r="F259" s="163"/>
      <c r="G259" s="164"/>
      <c r="H259" s="165"/>
      <c r="I259" s="164"/>
      <c r="J259" s="165"/>
      <c r="K259" s="164"/>
      <c r="L259" s="165"/>
      <c r="M259" s="6"/>
      <c r="N259" s="32"/>
      <c r="Q259" s="10" t="str">
        <f>+CONCATENATE(E258,I258)</f>
        <v/>
      </c>
      <c r="R259" s="10">
        <f>+J258</f>
        <v>0</v>
      </c>
      <c r="S259" s="11"/>
      <c r="T259" s="10">
        <f>+E258</f>
        <v>0</v>
      </c>
      <c r="U259" s="19" t="str">
        <f>IFERROR(LEFT(I258,FIND("*",I258)-1),"-")</f>
        <v>-</v>
      </c>
      <c r="V259" s="19" t="str">
        <f>IFERROR(RIGHT(I258,LEN(I258)-FIND("*",I258)),"-")</f>
        <v>-</v>
      </c>
      <c r="W259" s="20" t="str">
        <f t="shared" si="136"/>
        <v>-</v>
      </c>
      <c r="X259" s="20" t="str">
        <f>IFERROR(W259*J258,"-")</f>
        <v>-</v>
      </c>
      <c r="Z259" s="85">
        <v>45174</v>
      </c>
    </row>
    <row r="260" spans="1:26" ht="6.95" customHeight="1" x14ac:dyDescent="0.3">
      <c r="A260" s="5"/>
      <c r="B260" s="157"/>
      <c r="C260" s="158"/>
      <c r="D260" s="161"/>
      <c r="E260" s="162"/>
      <c r="F260" s="163"/>
      <c r="G260" s="164"/>
      <c r="H260" s="165"/>
      <c r="I260" s="164"/>
      <c r="J260" s="165"/>
      <c r="K260" s="164"/>
      <c r="L260" s="165"/>
      <c r="M260" s="6"/>
      <c r="N260" s="32"/>
      <c r="Q260" s="10" t="str">
        <f>+CONCATENATE(E258,K258)</f>
        <v/>
      </c>
      <c r="R260" s="10">
        <f>+L258</f>
        <v>0</v>
      </c>
      <c r="S260" s="11"/>
      <c r="T260" s="10">
        <f>+E258</f>
        <v>0</v>
      </c>
      <c r="U260" s="19" t="str">
        <f>IFERROR(LEFT(K258,FIND("*",K258)-1),"-")</f>
        <v>-</v>
      </c>
      <c r="V260" s="19" t="str">
        <f>IFERROR(RIGHT(K258,LEN(K258)-FIND("*",K258)),"-")</f>
        <v>-</v>
      </c>
      <c r="W260" s="20" t="str">
        <f t="shared" si="136"/>
        <v>-</v>
      </c>
      <c r="X260" s="20" t="str">
        <f>IFERROR(W260*L258,"-")</f>
        <v>-</v>
      </c>
      <c r="Z260" s="85">
        <v>45174</v>
      </c>
    </row>
    <row r="261" spans="1:26" ht="6.95" customHeight="1" x14ac:dyDescent="0.3">
      <c r="A261" s="8"/>
      <c r="B261" s="157"/>
      <c r="C261" s="158"/>
      <c r="D261" s="161" t="s">
        <v>39</v>
      </c>
      <c r="E261" s="162"/>
      <c r="F261" s="163" t="s">
        <v>40</v>
      </c>
      <c r="G261" s="164"/>
      <c r="H261" s="165"/>
      <c r="I261" s="164"/>
      <c r="J261" s="165"/>
      <c r="K261" s="164"/>
      <c r="L261" s="165"/>
      <c r="M261" s="6"/>
      <c r="N261" s="32"/>
      <c r="Q261" s="10" t="str">
        <f>+CONCATENATE(E261,G261)</f>
        <v/>
      </c>
      <c r="R261" s="10">
        <f>+H261</f>
        <v>0</v>
      </c>
      <c r="S261" s="11"/>
      <c r="T261" s="10">
        <f>+E261</f>
        <v>0</v>
      </c>
      <c r="U261" s="19" t="str">
        <f t="shared" ref="U261" si="139">IFERROR(LEFT(G261,FIND("*",G261)-1),"-")</f>
        <v>-</v>
      </c>
      <c r="V261" s="19" t="str">
        <f t="shared" ref="V261" si="140">IFERROR(RIGHT(G261,LEN(G261)-FIND("*",G261)),"-")</f>
        <v>-</v>
      </c>
      <c r="W261" s="20" t="str">
        <f t="shared" si="136"/>
        <v>-</v>
      </c>
      <c r="X261" s="20" t="str">
        <f>IFERROR(W261*H261,"-")</f>
        <v>-</v>
      </c>
      <c r="Z261" s="85">
        <v>45174</v>
      </c>
    </row>
    <row r="262" spans="1:26" ht="6.95" customHeight="1" x14ac:dyDescent="0.3">
      <c r="A262" s="5"/>
      <c r="B262" s="157"/>
      <c r="C262" s="158"/>
      <c r="D262" s="161"/>
      <c r="E262" s="162"/>
      <c r="F262" s="163"/>
      <c r="G262" s="164"/>
      <c r="H262" s="165"/>
      <c r="I262" s="164"/>
      <c r="J262" s="165"/>
      <c r="K262" s="164"/>
      <c r="L262" s="165"/>
      <c r="M262" s="6"/>
      <c r="N262" s="32"/>
      <c r="Q262" s="10" t="str">
        <f>+CONCATENATE(E261,I261)</f>
        <v/>
      </c>
      <c r="R262" s="10">
        <f>+J261</f>
        <v>0</v>
      </c>
      <c r="S262" s="11"/>
      <c r="T262" s="10">
        <f>+E261</f>
        <v>0</v>
      </c>
      <c r="U262" s="19" t="str">
        <f>IFERROR(LEFT(I261,FIND("*",I261)-1),"-")</f>
        <v>-</v>
      </c>
      <c r="V262" s="19" t="str">
        <f>IFERROR(RIGHT(I261,LEN(I261)-FIND("*",I261)),"-")</f>
        <v>-</v>
      </c>
      <c r="W262" s="20" t="str">
        <f t="shared" si="136"/>
        <v>-</v>
      </c>
      <c r="X262" s="20" t="str">
        <f t="shared" ref="X262" si="141">IFERROR(W262*J261,"-")</f>
        <v>-</v>
      </c>
      <c r="Z262" s="85">
        <v>45174</v>
      </c>
    </row>
    <row r="263" spans="1:26" ht="6.95" customHeight="1" x14ac:dyDescent="0.3">
      <c r="A263" s="5"/>
      <c r="B263" s="157"/>
      <c r="C263" s="158"/>
      <c r="D263" s="161"/>
      <c r="E263" s="162"/>
      <c r="F263" s="163"/>
      <c r="G263" s="164"/>
      <c r="H263" s="165"/>
      <c r="I263" s="164"/>
      <c r="J263" s="165"/>
      <c r="K263" s="164"/>
      <c r="L263" s="165"/>
      <c r="M263" s="6"/>
      <c r="N263" s="32"/>
      <c r="Q263" s="10" t="str">
        <f>+CONCATENATE(E261,K261)</f>
        <v/>
      </c>
      <c r="R263" s="10">
        <f>+L261</f>
        <v>0</v>
      </c>
      <c r="S263" s="11"/>
      <c r="T263" s="10">
        <f>+E261</f>
        <v>0</v>
      </c>
      <c r="U263" s="19" t="str">
        <f>IFERROR(LEFT(K261,FIND("*",K261)-1),"-")</f>
        <v>-</v>
      </c>
      <c r="V263" s="19" t="str">
        <f>IFERROR(RIGHT(K261,LEN(K261)-FIND("*",K261)),"-")</f>
        <v>-</v>
      </c>
      <c r="W263" s="20" t="str">
        <f t="shared" si="136"/>
        <v>-</v>
      </c>
      <c r="X263" s="20" t="str">
        <f>IFERROR(W263*L261,"-")</f>
        <v>-</v>
      </c>
      <c r="Z263" s="85">
        <v>45174</v>
      </c>
    </row>
    <row r="264" spans="1:26" ht="21" customHeight="1" thickBot="1" x14ac:dyDescent="0.35">
      <c r="A264" s="5"/>
      <c r="B264" s="159"/>
      <c r="C264" s="160"/>
      <c r="D264" s="166" t="s">
        <v>43</v>
      </c>
      <c r="E264" s="167"/>
      <c r="F264" s="167"/>
      <c r="G264" s="168" t="s">
        <v>202</v>
      </c>
      <c r="H264" s="168"/>
      <c r="I264" s="168"/>
      <c r="J264" s="168"/>
      <c r="K264" s="168"/>
      <c r="L264" s="168"/>
      <c r="M264" s="7"/>
      <c r="N264" s="32"/>
      <c r="Z264" s="85">
        <v>45174</v>
      </c>
    </row>
    <row r="265" spans="1:26" ht="9.9499999999999993" customHeight="1" thickBot="1" x14ac:dyDescent="0.35">
      <c r="B265" s="9"/>
      <c r="C265" s="109">
        <v>824</v>
      </c>
      <c r="D265" s="51"/>
      <c r="E265" s="12"/>
      <c r="F265" s="51"/>
      <c r="G265" s="14"/>
      <c r="H265" s="14"/>
      <c r="I265" s="14"/>
      <c r="J265" s="14"/>
      <c r="K265" s="14"/>
      <c r="L265" s="14"/>
      <c r="M265" s="9"/>
      <c r="N265" s="32"/>
      <c r="U265" s="18"/>
      <c r="V265" s="18"/>
      <c r="Z265" s="85">
        <v>45174</v>
      </c>
    </row>
    <row r="266" spans="1:26" ht="6.95" customHeight="1" x14ac:dyDescent="0.3">
      <c r="A266" s="154">
        <f>+A255+1</f>
        <v>825</v>
      </c>
      <c r="B266" s="155"/>
      <c r="C266" s="156"/>
      <c r="D266" s="161" t="s">
        <v>39</v>
      </c>
      <c r="E266" s="162" t="s">
        <v>186</v>
      </c>
      <c r="F266" s="163" t="s">
        <v>40</v>
      </c>
      <c r="G266" s="164">
        <v>50</v>
      </c>
      <c r="H266" s="165">
        <v>1</v>
      </c>
      <c r="I266" s="164">
        <v>100</v>
      </c>
      <c r="J266" s="165">
        <v>1</v>
      </c>
      <c r="K266" s="164"/>
      <c r="L266" s="165"/>
      <c r="M266" s="6"/>
      <c r="N266" s="32"/>
      <c r="Q266" s="10" t="str">
        <f>+CONCATENATE(E266,G266)</f>
        <v>금속관벽체50</v>
      </c>
      <c r="R266" s="10">
        <f>+H266</f>
        <v>1</v>
      </c>
      <c r="S266" s="11"/>
      <c r="T266" s="10" t="str">
        <f>+E266</f>
        <v>금속관벽체</v>
      </c>
      <c r="U266" s="19" t="str">
        <f>IFERROR(LEFT(G266,FIND("*",G266)-1),"-")</f>
        <v>-</v>
      </c>
      <c r="V266" s="19" t="str">
        <f>IFERROR(RIGHT(G266,LEN(G266)-FIND("*",G266)),"-")</f>
        <v>-</v>
      </c>
      <c r="W266" s="20" t="str">
        <f>IFERROR((U266+V266)*2/1000,"-")</f>
        <v>-</v>
      </c>
      <c r="X266" s="20" t="str">
        <f>IFERROR(W266*H266,"-")</f>
        <v>-</v>
      </c>
      <c r="Z266" s="85">
        <v>45174</v>
      </c>
    </row>
    <row r="267" spans="1:26" ht="6.95" customHeight="1" x14ac:dyDescent="0.3">
      <c r="A267" s="154"/>
      <c r="B267" s="157"/>
      <c r="C267" s="158"/>
      <c r="D267" s="161"/>
      <c r="E267" s="162"/>
      <c r="F267" s="163"/>
      <c r="G267" s="164"/>
      <c r="H267" s="165"/>
      <c r="I267" s="164"/>
      <c r="J267" s="165"/>
      <c r="K267" s="164"/>
      <c r="L267" s="165"/>
      <c r="M267" s="6"/>
      <c r="N267" s="32"/>
      <c r="Q267" s="10" t="str">
        <f>+CONCATENATE(E266,I266)</f>
        <v>금속관벽체100</v>
      </c>
      <c r="R267" s="10">
        <f>+J266</f>
        <v>1</v>
      </c>
      <c r="S267" s="11"/>
      <c r="T267" s="10" t="str">
        <f>+E266</f>
        <v>금속관벽체</v>
      </c>
      <c r="U267" s="19" t="str">
        <f>IFERROR(LEFT(I266,FIND("*",I266)-1),"-")</f>
        <v>-</v>
      </c>
      <c r="V267" s="19" t="str">
        <f>IFERROR(RIGHT(I266,LEN(I266)-FIND("*",I266)),"-")</f>
        <v>-</v>
      </c>
      <c r="W267" s="20" t="str">
        <f t="shared" ref="W267:W274" si="142">IFERROR((U267+V267)*2/1000,"-")</f>
        <v>-</v>
      </c>
      <c r="X267" s="20" t="str">
        <f>IFERROR(W267*J266,"-")</f>
        <v>-</v>
      </c>
      <c r="Z267" s="85">
        <v>45174</v>
      </c>
    </row>
    <row r="268" spans="1:26" ht="6.95" customHeight="1" x14ac:dyDescent="0.3">
      <c r="A268" s="154"/>
      <c r="B268" s="157"/>
      <c r="C268" s="158"/>
      <c r="D268" s="161"/>
      <c r="E268" s="162"/>
      <c r="F268" s="163"/>
      <c r="G268" s="164"/>
      <c r="H268" s="165"/>
      <c r="I268" s="164"/>
      <c r="J268" s="165"/>
      <c r="K268" s="164"/>
      <c r="L268" s="165"/>
      <c r="M268" s="6"/>
      <c r="N268" s="32"/>
      <c r="Q268" s="10" t="str">
        <f>+CONCATENATE(E266,K266)</f>
        <v>금속관벽체</v>
      </c>
      <c r="R268" s="10">
        <f>+L266</f>
        <v>0</v>
      </c>
      <c r="S268" s="11"/>
      <c r="T268" s="10" t="str">
        <f>+E266</f>
        <v>금속관벽체</v>
      </c>
      <c r="U268" s="19" t="str">
        <f>IFERROR(LEFT(K266,FIND("*",K266)-1),"-")</f>
        <v>-</v>
      </c>
      <c r="V268" s="19" t="str">
        <f>IFERROR(RIGHT(K266,LEN(K266)-FIND("*",K266)),"-")</f>
        <v>-</v>
      </c>
      <c r="W268" s="20" t="str">
        <f t="shared" si="142"/>
        <v>-</v>
      </c>
      <c r="X268" s="20" t="str">
        <f>IFERROR(W268*L266,"-")</f>
        <v>-</v>
      </c>
      <c r="Z268" s="85">
        <v>45174</v>
      </c>
    </row>
    <row r="269" spans="1:26" ht="6.95" customHeight="1" x14ac:dyDescent="0.3">
      <c r="A269" s="8"/>
      <c r="B269" s="157"/>
      <c r="C269" s="158"/>
      <c r="D269" s="161" t="s">
        <v>39</v>
      </c>
      <c r="E269" s="162" t="s">
        <v>111</v>
      </c>
      <c r="F269" s="163" t="s">
        <v>40</v>
      </c>
      <c r="G269" s="164" t="s">
        <v>203</v>
      </c>
      <c r="H269" s="165">
        <v>1</v>
      </c>
      <c r="I269" s="164"/>
      <c r="J269" s="165"/>
      <c r="K269" s="164"/>
      <c r="L269" s="165"/>
      <c r="M269" s="6"/>
      <c r="N269" s="32"/>
      <c r="Q269" s="10" t="str">
        <f>+CONCATENATE(E269,G269)</f>
        <v>보온덕트벽체1600*1000</v>
      </c>
      <c r="R269" s="10">
        <f>+H269</f>
        <v>1</v>
      </c>
      <c r="S269" s="11"/>
      <c r="T269" s="10" t="str">
        <f>+E269</f>
        <v>보온덕트벽체</v>
      </c>
      <c r="U269" s="19" t="str">
        <f t="shared" ref="U269" si="143">IFERROR(LEFT(G269,FIND("*",G269)-1),"-")</f>
        <v>1600</v>
      </c>
      <c r="V269" s="19" t="str">
        <f t="shared" ref="V269" si="144">IFERROR(RIGHT(G269,LEN(G269)-FIND("*",G269)),"-")</f>
        <v>1000</v>
      </c>
      <c r="W269" s="20">
        <f t="shared" si="142"/>
        <v>5.2</v>
      </c>
      <c r="X269" s="20">
        <f>IFERROR(W269*H269,"-")</f>
        <v>5.2</v>
      </c>
      <c r="Z269" s="85">
        <v>45174</v>
      </c>
    </row>
    <row r="270" spans="1:26" ht="6.95" customHeight="1" x14ac:dyDescent="0.3">
      <c r="A270" s="5"/>
      <c r="B270" s="157"/>
      <c r="C270" s="158"/>
      <c r="D270" s="161"/>
      <c r="E270" s="162"/>
      <c r="F270" s="163"/>
      <c r="G270" s="164"/>
      <c r="H270" s="165"/>
      <c r="I270" s="164"/>
      <c r="J270" s="165"/>
      <c r="K270" s="164"/>
      <c r="L270" s="165"/>
      <c r="M270" s="6"/>
      <c r="N270" s="32"/>
      <c r="Q270" s="10" t="str">
        <f>+CONCATENATE(E269,I269)</f>
        <v>보온덕트벽체</v>
      </c>
      <c r="R270" s="10">
        <f>+J269</f>
        <v>0</v>
      </c>
      <c r="S270" s="11"/>
      <c r="T270" s="10" t="str">
        <f>+E269</f>
        <v>보온덕트벽체</v>
      </c>
      <c r="U270" s="19" t="str">
        <f>IFERROR(LEFT(I269,FIND("*",I269)-1),"-")</f>
        <v>-</v>
      </c>
      <c r="V270" s="19" t="str">
        <f>IFERROR(RIGHT(I269,LEN(I269)-FIND("*",I269)),"-")</f>
        <v>-</v>
      </c>
      <c r="W270" s="20" t="str">
        <f t="shared" si="142"/>
        <v>-</v>
      </c>
      <c r="X270" s="20" t="str">
        <f>IFERROR(W270*J269,"-")</f>
        <v>-</v>
      </c>
      <c r="Z270" s="85">
        <v>45174</v>
      </c>
    </row>
    <row r="271" spans="1:26" ht="6.95" customHeight="1" x14ac:dyDescent="0.3">
      <c r="A271" s="5"/>
      <c r="B271" s="157"/>
      <c r="C271" s="158"/>
      <c r="D271" s="161"/>
      <c r="E271" s="162"/>
      <c r="F271" s="163"/>
      <c r="G271" s="164"/>
      <c r="H271" s="165"/>
      <c r="I271" s="164"/>
      <c r="J271" s="165"/>
      <c r="K271" s="164"/>
      <c r="L271" s="165"/>
      <c r="M271" s="6"/>
      <c r="N271" s="32"/>
      <c r="Q271" s="10" t="str">
        <f>+CONCATENATE(E269,K269)</f>
        <v>보온덕트벽체</v>
      </c>
      <c r="R271" s="10">
        <f>+L269</f>
        <v>0</v>
      </c>
      <c r="S271" s="11"/>
      <c r="T271" s="10" t="str">
        <f>+E269</f>
        <v>보온덕트벽체</v>
      </c>
      <c r="U271" s="19" t="str">
        <f>IFERROR(LEFT(K269,FIND("*",K269)-1),"-")</f>
        <v>-</v>
      </c>
      <c r="V271" s="19" t="str">
        <f>IFERROR(RIGHT(K269,LEN(K269)-FIND("*",K269)),"-")</f>
        <v>-</v>
      </c>
      <c r="W271" s="20" t="str">
        <f t="shared" si="142"/>
        <v>-</v>
      </c>
      <c r="X271" s="20" t="str">
        <f>IFERROR(W271*L269,"-")</f>
        <v>-</v>
      </c>
      <c r="Z271" s="85">
        <v>45174</v>
      </c>
    </row>
    <row r="272" spans="1:26" ht="6.95" customHeight="1" x14ac:dyDescent="0.3">
      <c r="A272" s="8"/>
      <c r="B272" s="157"/>
      <c r="C272" s="158"/>
      <c r="D272" s="161" t="s">
        <v>39</v>
      </c>
      <c r="E272" s="162" t="s">
        <v>188</v>
      </c>
      <c r="F272" s="163" t="s">
        <v>40</v>
      </c>
      <c r="G272" s="164" t="s">
        <v>203</v>
      </c>
      <c r="H272" s="165">
        <v>2</v>
      </c>
      <c r="I272" s="164"/>
      <c r="J272" s="165"/>
      <c r="K272" s="164"/>
      <c r="L272" s="165"/>
      <c r="M272" s="6"/>
      <c r="N272" s="32"/>
      <c r="Q272" s="10" t="str">
        <f>+CONCATENATE(E272,G272)</f>
        <v>차열재마감1600*1000</v>
      </c>
      <c r="R272" s="10">
        <f>+H272</f>
        <v>2</v>
      </c>
      <c r="S272" s="11"/>
      <c r="T272" s="10" t="str">
        <f>+E272</f>
        <v>차열재마감</v>
      </c>
      <c r="U272" s="19" t="str">
        <f t="shared" ref="U272" si="145">IFERROR(LEFT(G272,FIND("*",G272)-1),"-")</f>
        <v>1600</v>
      </c>
      <c r="V272" s="19" t="str">
        <f t="shared" ref="V272" si="146">IFERROR(RIGHT(G272,LEN(G272)-FIND("*",G272)),"-")</f>
        <v>1000</v>
      </c>
      <c r="W272" s="20">
        <f t="shared" si="142"/>
        <v>5.2</v>
      </c>
      <c r="X272" s="20">
        <f>IFERROR(W272*H272,"-")</f>
        <v>10.4</v>
      </c>
      <c r="Z272" s="85">
        <v>45174</v>
      </c>
    </row>
    <row r="273" spans="1:26" ht="6.95" customHeight="1" x14ac:dyDescent="0.3">
      <c r="A273" s="5"/>
      <c r="B273" s="157"/>
      <c r="C273" s="158"/>
      <c r="D273" s="161"/>
      <c r="E273" s="162"/>
      <c r="F273" s="163"/>
      <c r="G273" s="164"/>
      <c r="H273" s="165"/>
      <c r="I273" s="164"/>
      <c r="J273" s="165"/>
      <c r="K273" s="164"/>
      <c r="L273" s="165"/>
      <c r="M273" s="6"/>
      <c r="N273" s="32"/>
      <c r="Q273" s="10" t="str">
        <f>+CONCATENATE(E272,I272)</f>
        <v>차열재마감</v>
      </c>
      <c r="R273" s="10">
        <f>+J272</f>
        <v>0</v>
      </c>
      <c r="S273" s="11"/>
      <c r="T273" s="10" t="str">
        <f>+E272</f>
        <v>차열재마감</v>
      </c>
      <c r="U273" s="19" t="str">
        <f>IFERROR(LEFT(I272,FIND("*",I272)-1),"-")</f>
        <v>-</v>
      </c>
      <c r="V273" s="19" t="str">
        <f>IFERROR(RIGHT(I272,LEN(I272)-FIND("*",I272)),"-")</f>
        <v>-</v>
      </c>
      <c r="W273" s="20" t="str">
        <f t="shared" si="142"/>
        <v>-</v>
      </c>
      <c r="X273" s="20" t="str">
        <f t="shared" ref="X273" si="147">IFERROR(W273*J272,"-")</f>
        <v>-</v>
      </c>
      <c r="Z273" s="85">
        <v>45174</v>
      </c>
    </row>
    <row r="274" spans="1:26" ht="6.95" customHeight="1" x14ac:dyDescent="0.3">
      <c r="A274" s="5"/>
      <c r="B274" s="157"/>
      <c r="C274" s="158"/>
      <c r="D274" s="161"/>
      <c r="E274" s="162"/>
      <c r="F274" s="163"/>
      <c r="G274" s="164"/>
      <c r="H274" s="165"/>
      <c r="I274" s="164"/>
      <c r="J274" s="165"/>
      <c r="K274" s="164"/>
      <c r="L274" s="165"/>
      <c r="M274" s="6"/>
      <c r="N274" s="32"/>
      <c r="Q274" s="10" t="str">
        <f>+CONCATENATE(E272,K272)</f>
        <v>차열재마감</v>
      </c>
      <c r="R274" s="10">
        <f>+L272</f>
        <v>0</v>
      </c>
      <c r="S274" s="11"/>
      <c r="T274" s="10" t="str">
        <f>+E272</f>
        <v>차열재마감</v>
      </c>
      <c r="U274" s="19" t="str">
        <f>IFERROR(LEFT(K272,FIND("*",K272)-1),"-")</f>
        <v>-</v>
      </c>
      <c r="V274" s="19" t="str">
        <f>IFERROR(RIGHT(K272,LEN(K272)-FIND("*",K272)),"-")</f>
        <v>-</v>
      </c>
      <c r="W274" s="20" t="str">
        <f t="shared" si="142"/>
        <v>-</v>
      </c>
      <c r="X274" s="20" t="str">
        <f>IFERROR(W274*L272,"-")</f>
        <v>-</v>
      </c>
      <c r="Z274" s="85">
        <v>45174</v>
      </c>
    </row>
    <row r="275" spans="1:26" ht="21" customHeight="1" thickBot="1" x14ac:dyDescent="0.35">
      <c r="A275" s="5"/>
      <c r="B275" s="159"/>
      <c r="C275" s="160"/>
      <c r="D275" s="166" t="s">
        <v>43</v>
      </c>
      <c r="E275" s="167"/>
      <c r="F275" s="167"/>
      <c r="G275" s="168" t="s">
        <v>202</v>
      </c>
      <c r="H275" s="168"/>
      <c r="I275" s="168"/>
      <c r="J275" s="168"/>
      <c r="K275" s="168"/>
      <c r="L275" s="168"/>
      <c r="M275" s="7"/>
      <c r="N275" s="32"/>
      <c r="Z275" s="85">
        <v>45174</v>
      </c>
    </row>
    <row r="276" spans="1:26" ht="9.9499999999999993" customHeight="1" thickBot="1" x14ac:dyDescent="0.35">
      <c r="B276" s="9"/>
      <c r="C276" s="109">
        <v>825</v>
      </c>
      <c r="D276" s="51"/>
      <c r="E276" s="12"/>
      <c r="F276" s="51"/>
      <c r="G276" s="14"/>
      <c r="H276" s="14"/>
      <c r="I276" s="14"/>
      <c r="J276" s="14"/>
      <c r="K276" s="14"/>
      <c r="L276" s="14"/>
      <c r="M276" s="9"/>
      <c r="N276" s="32"/>
      <c r="U276" s="18"/>
      <c r="V276" s="18"/>
      <c r="Z276" s="85">
        <v>45174</v>
      </c>
    </row>
    <row r="277" spans="1:26" ht="6.95" customHeight="1" x14ac:dyDescent="0.3">
      <c r="A277" s="154">
        <f>+A266+1</f>
        <v>826</v>
      </c>
      <c r="B277" s="155"/>
      <c r="C277" s="156"/>
      <c r="D277" s="161" t="s">
        <v>39</v>
      </c>
      <c r="E277" s="162" t="s">
        <v>111</v>
      </c>
      <c r="F277" s="163" t="s">
        <v>40</v>
      </c>
      <c r="G277" s="164" t="s">
        <v>195</v>
      </c>
      <c r="H277" s="165">
        <v>1</v>
      </c>
      <c r="I277" s="164"/>
      <c r="J277" s="165"/>
      <c r="K277" s="164"/>
      <c r="L277" s="165"/>
      <c r="M277" s="6"/>
      <c r="N277" s="32"/>
      <c r="Q277" s="10" t="str">
        <f>+CONCATENATE(E277,G277)</f>
        <v>보온덕트벽체600*400</v>
      </c>
      <c r="R277" s="10">
        <f>+H277</f>
        <v>1</v>
      </c>
      <c r="S277" s="11"/>
      <c r="T277" s="10" t="str">
        <f>+E277</f>
        <v>보온덕트벽체</v>
      </c>
      <c r="U277" s="19" t="str">
        <f>IFERROR(LEFT(G277,FIND("*",G277)-1),"-")</f>
        <v>600</v>
      </c>
      <c r="V277" s="19" t="str">
        <f>IFERROR(RIGHT(G277,LEN(G277)-FIND("*",G277)),"-")</f>
        <v>400</v>
      </c>
      <c r="W277" s="20">
        <f>IFERROR((U277+V277)*2/1000,"-")</f>
        <v>2</v>
      </c>
      <c r="X277" s="20">
        <f>IFERROR(W277*H277,"-")</f>
        <v>2</v>
      </c>
      <c r="Z277" s="85">
        <v>45174</v>
      </c>
    </row>
    <row r="278" spans="1:26" ht="6.95" customHeight="1" x14ac:dyDescent="0.3">
      <c r="A278" s="154"/>
      <c r="B278" s="157"/>
      <c r="C278" s="158"/>
      <c r="D278" s="161"/>
      <c r="E278" s="162"/>
      <c r="F278" s="163"/>
      <c r="G278" s="164"/>
      <c r="H278" s="165"/>
      <c r="I278" s="164"/>
      <c r="J278" s="165"/>
      <c r="K278" s="164"/>
      <c r="L278" s="165"/>
      <c r="M278" s="6"/>
      <c r="N278" s="32"/>
      <c r="Q278" s="10" t="str">
        <f>+CONCATENATE(E277,I277)</f>
        <v>보온덕트벽체</v>
      </c>
      <c r="R278" s="10">
        <f>+J277</f>
        <v>0</v>
      </c>
      <c r="S278" s="11"/>
      <c r="T278" s="10" t="str">
        <f>+E277</f>
        <v>보온덕트벽체</v>
      </c>
      <c r="U278" s="19" t="str">
        <f>IFERROR(LEFT(I277,FIND("*",I277)-1),"-")</f>
        <v>-</v>
      </c>
      <c r="V278" s="19" t="str">
        <f>IFERROR(RIGHT(I277,LEN(I277)-FIND("*",I277)),"-")</f>
        <v>-</v>
      </c>
      <c r="W278" s="20" t="str">
        <f t="shared" ref="W278:W285" si="148">IFERROR((U278+V278)*2/1000,"-")</f>
        <v>-</v>
      </c>
      <c r="X278" s="20" t="str">
        <f>IFERROR(W278*J277,"-")</f>
        <v>-</v>
      </c>
      <c r="Z278" s="85">
        <v>45174</v>
      </c>
    </row>
    <row r="279" spans="1:26" ht="6.95" customHeight="1" x14ac:dyDescent="0.3">
      <c r="A279" s="154"/>
      <c r="B279" s="157"/>
      <c r="C279" s="158"/>
      <c r="D279" s="161"/>
      <c r="E279" s="162"/>
      <c r="F279" s="163"/>
      <c r="G279" s="164"/>
      <c r="H279" s="165"/>
      <c r="I279" s="164"/>
      <c r="J279" s="165"/>
      <c r="K279" s="164"/>
      <c r="L279" s="165"/>
      <c r="M279" s="6"/>
      <c r="N279" s="32"/>
      <c r="Q279" s="10" t="str">
        <f>+CONCATENATE(E277,K277)</f>
        <v>보온덕트벽체</v>
      </c>
      <c r="R279" s="10">
        <f>+L277</f>
        <v>0</v>
      </c>
      <c r="S279" s="11"/>
      <c r="T279" s="10" t="str">
        <f>+E277</f>
        <v>보온덕트벽체</v>
      </c>
      <c r="U279" s="19" t="str">
        <f>IFERROR(LEFT(K277,FIND("*",K277)-1),"-")</f>
        <v>-</v>
      </c>
      <c r="V279" s="19" t="str">
        <f>IFERROR(RIGHT(K277,LEN(K277)-FIND("*",K277)),"-")</f>
        <v>-</v>
      </c>
      <c r="W279" s="20" t="str">
        <f t="shared" si="148"/>
        <v>-</v>
      </c>
      <c r="X279" s="20" t="str">
        <f>IFERROR(W279*L277,"-")</f>
        <v>-</v>
      </c>
      <c r="Z279" s="85">
        <v>45174</v>
      </c>
    </row>
    <row r="280" spans="1:26" ht="6.95" customHeight="1" x14ac:dyDescent="0.3">
      <c r="A280" s="8"/>
      <c r="B280" s="157"/>
      <c r="C280" s="158"/>
      <c r="D280" s="161" t="s">
        <v>39</v>
      </c>
      <c r="E280" s="162" t="s">
        <v>188</v>
      </c>
      <c r="F280" s="163" t="s">
        <v>40</v>
      </c>
      <c r="G280" s="164" t="s">
        <v>195</v>
      </c>
      <c r="H280" s="165">
        <v>2</v>
      </c>
      <c r="I280" s="164"/>
      <c r="J280" s="165"/>
      <c r="K280" s="164"/>
      <c r="L280" s="165"/>
      <c r="M280" s="6"/>
      <c r="N280" s="32"/>
      <c r="Q280" s="10" t="str">
        <f>+CONCATENATE(E280,G280)</f>
        <v>차열재마감600*400</v>
      </c>
      <c r="R280" s="10">
        <f>+H280</f>
        <v>2</v>
      </c>
      <c r="S280" s="11"/>
      <c r="T280" s="10" t="str">
        <f>+E280</f>
        <v>차열재마감</v>
      </c>
      <c r="U280" s="19" t="str">
        <f t="shared" ref="U280" si="149">IFERROR(LEFT(G280,FIND("*",G280)-1),"-")</f>
        <v>600</v>
      </c>
      <c r="V280" s="19" t="str">
        <f t="shared" ref="V280" si="150">IFERROR(RIGHT(G280,LEN(G280)-FIND("*",G280)),"-")</f>
        <v>400</v>
      </c>
      <c r="W280" s="20">
        <f t="shared" si="148"/>
        <v>2</v>
      </c>
      <c r="X280" s="20">
        <f>IFERROR(W280*H280,"-")</f>
        <v>4</v>
      </c>
      <c r="Z280" s="85">
        <v>45174</v>
      </c>
    </row>
    <row r="281" spans="1:26" ht="6.95" customHeight="1" x14ac:dyDescent="0.3">
      <c r="A281" s="5"/>
      <c r="B281" s="157"/>
      <c r="C281" s="158"/>
      <c r="D281" s="161"/>
      <c r="E281" s="162"/>
      <c r="F281" s="163"/>
      <c r="G281" s="164"/>
      <c r="H281" s="165"/>
      <c r="I281" s="164"/>
      <c r="J281" s="165"/>
      <c r="K281" s="164"/>
      <c r="L281" s="165"/>
      <c r="M281" s="6"/>
      <c r="N281" s="32"/>
      <c r="Q281" s="10" t="str">
        <f>+CONCATENATE(E280,I280)</f>
        <v>차열재마감</v>
      </c>
      <c r="R281" s="10">
        <f>+J280</f>
        <v>0</v>
      </c>
      <c r="S281" s="11"/>
      <c r="T281" s="10" t="str">
        <f>+E280</f>
        <v>차열재마감</v>
      </c>
      <c r="U281" s="19" t="str">
        <f>IFERROR(LEFT(I280,FIND("*",I280)-1),"-")</f>
        <v>-</v>
      </c>
      <c r="V281" s="19" t="str">
        <f>IFERROR(RIGHT(I280,LEN(I280)-FIND("*",I280)),"-")</f>
        <v>-</v>
      </c>
      <c r="W281" s="20" t="str">
        <f t="shared" si="148"/>
        <v>-</v>
      </c>
      <c r="X281" s="20" t="str">
        <f>IFERROR(W281*J280,"-")</f>
        <v>-</v>
      </c>
      <c r="Z281" s="85">
        <v>45174</v>
      </c>
    </row>
    <row r="282" spans="1:26" ht="6.95" customHeight="1" x14ac:dyDescent="0.3">
      <c r="A282" s="5"/>
      <c r="B282" s="157"/>
      <c r="C282" s="158"/>
      <c r="D282" s="161"/>
      <c r="E282" s="162"/>
      <c r="F282" s="163"/>
      <c r="G282" s="164"/>
      <c r="H282" s="165"/>
      <c r="I282" s="164"/>
      <c r="J282" s="165"/>
      <c r="K282" s="164"/>
      <c r="L282" s="165"/>
      <c r="M282" s="6"/>
      <c r="N282" s="32"/>
      <c r="Q282" s="10" t="str">
        <f>+CONCATENATE(E280,K280)</f>
        <v>차열재마감</v>
      </c>
      <c r="R282" s="10">
        <f>+L280</f>
        <v>0</v>
      </c>
      <c r="S282" s="11"/>
      <c r="T282" s="10" t="str">
        <f>+E280</f>
        <v>차열재마감</v>
      </c>
      <c r="U282" s="19" t="str">
        <f>IFERROR(LEFT(K280,FIND("*",K280)-1),"-")</f>
        <v>-</v>
      </c>
      <c r="V282" s="19" t="str">
        <f>IFERROR(RIGHT(K280,LEN(K280)-FIND("*",K280)),"-")</f>
        <v>-</v>
      </c>
      <c r="W282" s="20" t="str">
        <f t="shared" si="148"/>
        <v>-</v>
      </c>
      <c r="X282" s="20" t="str">
        <f>IFERROR(W282*L280,"-")</f>
        <v>-</v>
      </c>
      <c r="Z282" s="85">
        <v>45174</v>
      </c>
    </row>
    <row r="283" spans="1:26" ht="6.95" customHeight="1" x14ac:dyDescent="0.3">
      <c r="A283" s="8"/>
      <c r="B283" s="157"/>
      <c r="C283" s="158"/>
      <c r="D283" s="161" t="s">
        <v>39</v>
      </c>
      <c r="E283" s="162" t="s">
        <v>186</v>
      </c>
      <c r="F283" s="163" t="s">
        <v>40</v>
      </c>
      <c r="G283" s="164">
        <v>50</v>
      </c>
      <c r="H283" s="165">
        <v>2</v>
      </c>
      <c r="I283" s="164">
        <v>150</v>
      </c>
      <c r="J283" s="165">
        <v>1</v>
      </c>
      <c r="K283" s="164"/>
      <c r="L283" s="165"/>
      <c r="M283" s="6"/>
      <c r="N283" s="32"/>
      <c r="Q283" s="10" t="str">
        <f>+CONCATENATE(E283,G283)</f>
        <v>금속관벽체50</v>
      </c>
      <c r="R283" s="10">
        <f>+H283</f>
        <v>2</v>
      </c>
      <c r="S283" s="11"/>
      <c r="T283" s="10" t="str">
        <f>+E283</f>
        <v>금속관벽체</v>
      </c>
      <c r="U283" s="19" t="str">
        <f t="shared" ref="U283" si="151">IFERROR(LEFT(G283,FIND("*",G283)-1),"-")</f>
        <v>-</v>
      </c>
      <c r="V283" s="19" t="str">
        <f t="shared" ref="V283" si="152">IFERROR(RIGHT(G283,LEN(G283)-FIND("*",G283)),"-")</f>
        <v>-</v>
      </c>
      <c r="W283" s="20" t="str">
        <f t="shared" si="148"/>
        <v>-</v>
      </c>
      <c r="X283" s="20" t="str">
        <f>IFERROR(W283*H283,"-")</f>
        <v>-</v>
      </c>
      <c r="Z283" s="85">
        <v>45174</v>
      </c>
    </row>
    <row r="284" spans="1:26" ht="6.95" customHeight="1" x14ac:dyDescent="0.3">
      <c r="A284" s="5"/>
      <c r="B284" s="157"/>
      <c r="C284" s="158"/>
      <c r="D284" s="161"/>
      <c r="E284" s="162"/>
      <c r="F284" s="163"/>
      <c r="G284" s="164"/>
      <c r="H284" s="165"/>
      <c r="I284" s="164"/>
      <c r="J284" s="165"/>
      <c r="K284" s="164"/>
      <c r="L284" s="165"/>
      <c r="M284" s="6"/>
      <c r="N284" s="32"/>
      <c r="Q284" s="10" t="str">
        <f>+CONCATENATE(E283,I283)</f>
        <v>금속관벽체150</v>
      </c>
      <c r="R284" s="10">
        <f>+J283</f>
        <v>1</v>
      </c>
      <c r="S284" s="11"/>
      <c r="T284" s="10" t="str">
        <f>+E283</f>
        <v>금속관벽체</v>
      </c>
      <c r="U284" s="19" t="str">
        <f>IFERROR(LEFT(I283,FIND("*",I283)-1),"-")</f>
        <v>-</v>
      </c>
      <c r="V284" s="19" t="str">
        <f>IFERROR(RIGHT(I283,LEN(I283)-FIND("*",I283)),"-")</f>
        <v>-</v>
      </c>
      <c r="W284" s="20" t="str">
        <f t="shared" si="148"/>
        <v>-</v>
      </c>
      <c r="X284" s="20" t="str">
        <f t="shared" ref="X284" si="153">IFERROR(W284*J283,"-")</f>
        <v>-</v>
      </c>
      <c r="Z284" s="85">
        <v>45174</v>
      </c>
    </row>
    <row r="285" spans="1:26" ht="6.95" customHeight="1" x14ac:dyDescent="0.3">
      <c r="A285" s="5"/>
      <c r="B285" s="157"/>
      <c r="C285" s="158"/>
      <c r="D285" s="161"/>
      <c r="E285" s="162"/>
      <c r="F285" s="163"/>
      <c r="G285" s="164"/>
      <c r="H285" s="165"/>
      <c r="I285" s="164"/>
      <c r="J285" s="165"/>
      <c r="K285" s="164"/>
      <c r="L285" s="165"/>
      <c r="M285" s="6"/>
      <c r="N285" s="32"/>
      <c r="Q285" s="10" t="str">
        <f>+CONCATENATE(E283,K283)</f>
        <v>금속관벽체</v>
      </c>
      <c r="R285" s="10">
        <f>+L283</f>
        <v>0</v>
      </c>
      <c r="S285" s="11"/>
      <c r="T285" s="10" t="str">
        <f>+E283</f>
        <v>금속관벽체</v>
      </c>
      <c r="U285" s="19" t="str">
        <f>IFERROR(LEFT(K283,FIND("*",K283)-1),"-")</f>
        <v>-</v>
      </c>
      <c r="V285" s="19" t="str">
        <f>IFERROR(RIGHT(K283,LEN(K283)-FIND("*",K283)),"-")</f>
        <v>-</v>
      </c>
      <c r="W285" s="20" t="str">
        <f t="shared" si="148"/>
        <v>-</v>
      </c>
      <c r="X285" s="20" t="str">
        <f>IFERROR(W285*L283,"-")</f>
        <v>-</v>
      </c>
      <c r="Z285" s="85">
        <v>45174</v>
      </c>
    </row>
    <row r="286" spans="1:26" ht="21" customHeight="1" thickBot="1" x14ac:dyDescent="0.35">
      <c r="A286" s="5"/>
      <c r="B286" s="159"/>
      <c r="C286" s="160"/>
      <c r="D286" s="166" t="s">
        <v>43</v>
      </c>
      <c r="E286" s="167"/>
      <c r="F286" s="167"/>
      <c r="G286" s="168" t="s">
        <v>202</v>
      </c>
      <c r="H286" s="168"/>
      <c r="I286" s="168"/>
      <c r="J286" s="168"/>
      <c r="K286" s="168"/>
      <c r="L286" s="168"/>
      <c r="M286" s="7"/>
      <c r="N286" s="32"/>
      <c r="Z286" s="85">
        <v>45174</v>
      </c>
    </row>
    <row r="287" spans="1:26" ht="9.9499999999999993" customHeight="1" thickBot="1" x14ac:dyDescent="0.35">
      <c r="B287" s="9"/>
      <c r="C287" s="109">
        <v>826</v>
      </c>
      <c r="D287" s="51"/>
      <c r="E287" s="12"/>
      <c r="F287" s="51"/>
      <c r="G287" s="14"/>
      <c r="H287" s="14"/>
      <c r="I287" s="14"/>
      <c r="J287" s="14"/>
      <c r="K287" s="14"/>
      <c r="L287" s="14"/>
      <c r="M287" s="9"/>
      <c r="N287" s="32"/>
      <c r="U287" s="18"/>
      <c r="V287" s="18"/>
      <c r="Z287" s="85">
        <v>45174</v>
      </c>
    </row>
    <row r="288" spans="1:26" ht="6.95" customHeight="1" x14ac:dyDescent="0.3">
      <c r="A288" s="154">
        <f>+A277+1</f>
        <v>827</v>
      </c>
      <c r="B288" s="155"/>
      <c r="C288" s="156"/>
      <c r="D288" s="161" t="s">
        <v>39</v>
      </c>
      <c r="E288" s="162" t="s">
        <v>186</v>
      </c>
      <c r="F288" s="163" t="s">
        <v>40</v>
      </c>
      <c r="G288" s="164">
        <v>50</v>
      </c>
      <c r="H288" s="165">
        <v>1</v>
      </c>
      <c r="I288" s="164"/>
      <c r="J288" s="165"/>
      <c r="K288" s="164"/>
      <c r="L288" s="165"/>
      <c r="M288" s="6"/>
      <c r="N288" s="32"/>
      <c r="Q288" s="10" t="str">
        <f>+CONCATENATE(E288,G288)</f>
        <v>금속관벽체50</v>
      </c>
      <c r="R288" s="10">
        <f>+H288</f>
        <v>1</v>
      </c>
      <c r="S288" s="11"/>
      <c r="T288" s="10" t="str">
        <f>+E288</f>
        <v>금속관벽체</v>
      </c>
      <c r="U288" s="19" t="str">
        <f>IFERROR(LEFT(G288,FIND("*",G288)-1),"-")</f>
        <v>-</v>
      </c>
      <c r="V288" s="19" t="str">
        <f>IFERROR(RIGHT(G288,LEN(G288)-FIND("*",G288)),"-")</f>
        <v>-</v>
      </c>
      <c r="W288" s="20" t="str">
        <f>IFERROR((U288+V288)*2/1000,"-")</f>
        <v>-</v>
      </c>
      <c r="X288" s="20" t="str">
        <f>IFERROR(W288*H288,"-")</f>
        <v>-</v>
      </c>
      <c r="Z288" s="85">
        <v>45174</v>
      </c>
    </row>
    <row r="289" spans="1:26" ht="6.95" customHeight="1" x14ac:dyDescent="0.3">
      <c r="A289" s="154"/>
      <c r="B289" s="157"/>
      <c r="C289" s="158"/>
      <c r="D289" s="161"/>
      <c r="E289" s="162"/>
      <c r="F289" s="163"/>
      <c r="G289" s="164"/>
      <c r="H289" s="165"/>
      <c r="I289" s="164"/>
      <c r="J289" s="165"/>
      <c r="K289" s="164"/>
      <c r="L289" s="165"/>
      <c r="M289" s="6"/>
      <c r="N289" s="32"/>
      <c r="Q289" s="10" t="str">
        <f>+CONCATENATE(E288,I288)</f>
        <v>금속관벽체</v>
      </c>
      <c r="R289" s="10">
        <f>+J288</f>
        <v>0</v>
      </c>
      <c r="S289" s="11"/>
      <c r="T289" s="10" t="str">
        <f>+E288</f>
        <v>금속관벽체</v>
      </c>
      <c r="U289" s="19" t="str">
        <f>IFERROR(LEFT(I288,FIND("*",I288)-1),"-")</f>
        <v>-</v>
      </c>
      <c r="V289" s="19" t="str">
        <f>IFERROR(RIGHT(I288,LEN(I288)-FIND("*",I288)),"-")</f>
        <v>-</v>
      </c>
      <c r="W289" s="20" t="str">
        <f t="shared" ref="W289:W296" si="154">IFERROR((U289+V289)*2/1000,"-")</f>
        <v>-</v>
      </c>
      <c r="X289" s="20" t="str">
        <f>IFERROR(W289*J288,"-")</f>
        <v>-</v>
      </c>
      <c r="Z289" s="85">
        <v>45174</v>
      </c>
    </row>
    <row r="290" spans="1:26" ht="6.95" customHeight="1" x14ac:dyDescent="0.3">
      <c r="A290" s="154"/>
      <c r="B290" s="157"/>
      <c r="C290" s="158"/>
      <c r="D290" s="161"/>
      <c r="E290" s="162"/>
      <c r="F290" s="163"/>
      <c r="G290" s="164"/>
      <c r="H290" s="165"/>
      <c r="I290" s="164"/>
      <c r="J290" s="165"/>
      <c r="K290" s="164"/>
      <c r="L290" s="165"/>
      <c r="M290" s="6"/>
      <c r="N290" s="32"/>
      <c r="Q290" s="10" t="str">
        <f>+CONCATENATE(E288,K288)</f>
        <v>금속관벽체</v>
      </c>
      <c r="R290" s="10">
        <f>+L288</f>
        <v>0</v>
      </c>
      <c r="S290" s="11"/>
      <c r="T290" s="10" t="str">
        <f>+E288</f>
        <v>금속관벽체</v>
      </c>
      <c r="U290" s="19" t="str">
        <f>IFERROR(LEFT(K288,FIND("*",K288)-1),"-")</f>
        <v>-</v>
      </c>
      <c r="V290" s="19" t="str">
        <f>IFERROR(RIGHT(K288,LEN(K288)-FIND("*",K288)),"-")</f>
        <v>-</v>
      </c>
      <c r="W290" s="20" t="str">
        <f t="shared" si="154"/>
        <v>-</v>
      </c>
      <c r="X290" s="20" t="str">
        <f>IFERROR(W290*L288,"-")</f>
        <v>-</v>
      </c>
      <c r="Z290" s="85">
        <v>45174</v>
      </c>
    </row>
    <row r="291" spans="1:26" ht="6.95" customHeight="1" x14ac:dyDescent="0.3">
      <c r="A291" s="8"/>
      <c r="B291" s="157"/>
      <c r="C291" s="158"/>
      <c r="D291" s="161" t="s">
        <v>39</v>
      </c>
      <c r="E291" s="162"/>
      <c r="F291" s="163" t="s">
        <v>40</v>
      </c>
      <c r="G291" s="164"/>
      <c r="H291" s="165"/>
      <c r="I291" s="164"/>
      <c r="J291" s="165"/>
      <c r="K291" s="164"/>
      <c r="L291" s="165"/>
      <c r="M291" s="6"/>
      <c r="N291" s="32"/>
      <c r="Q291" s="10" t="str">
        <f>+CONCATENATE(E291,G291)</f>
        <v/>
      </c>
      <c r="R291" s="10">
        <f>+H291</f>
        <v>0</v>
      </c>
      <c r="S291" s="11"/>
      <c r="T291" s="10">
        <f>+E291</f>
        <v>0</v>
      </c>
      <c r="U291" s="19" t="str">
        <f t="shared" ref="U291" si="155">IFERROR(LEFT(G291,FIND("*",G291)-1),"-")</f>
        <v>-</v>
      </c>
      <c r="V291" s="19" t="str">
        <f t="shared" ref="V291" si="156">IFERROR(RIGHT(G291,LEN(G291)-FIND("*",G291)),"-")</f>
        <v>-</v>
      </c>
      <c r="W291" s="20" t="str">
        <f t="shared" si="154"/>
        <v>-</v>
      </c>
      <c r="X291" s="20" t="str">
        <f>IFERROR(W291*H291,"-")</f>
        <v>-</v>
      </c>
      <c r="Z291" s="85">
        <v>45174</v>
      </c>
    </row>
    <row r="292" spans="1:26" ht="6.95" customHeight="1" x14ac:dyDescent="0.3">
      <c r="A292" s="5"/>
      <c r="B292" s="157"/>
      <c r="C292" s="158"/>
      <c r="D292" s="161"/>
      <c r="E292" s="162"/>
      <c r="F292" s="163"/>
      <c r="G292" s="164"/>
      <c r="H292" s="165"/>
      <c r="I292" s="164"/>
      <c r="J292" s="165"/>
      <c r="K292" s="164"/>
      <c r="L292" s="165"/>
      <c r="M292" s="6"/>
      <c r="N292" s="32"/>
      <c r="Q292" s="10" t="str">
        <f>+CONCATENATE(E291,I291)</f>
        <v/>
      </c>
      <c r="R292" s="10">
        <f>+J291</f>
        <v>0</v>
      </c>
      <c r="S292" s="11"/>
      <c r="T292" s="10">
        <f>+E291</f>
        <v>0</v>
      </c>
      <c r="U292" s="19" t="str">
        <f>IFERROR(LEFT(I291,FIND("*",I291)-1),"-")</f>
        <v>-</v>
      </c>
      <c r="V292" s="19" t="str">
        <f>IFERROR(RIGHT(I291,LEN(I291)-FIND("*",I291)),"-")</f>
        <v>-</v>
      </c>
      <c r="W292" s="20" t="str">
        <f t="shared" si="154"/>
        <v>-</v>
      </c>
      <c r="X292" s="20" t="str">
        <f>IFERROR(W292*J291,"-")</f>
        <v>-</v>
      </c>
      <c r="Z292" s="85">
        <v>45174</v>
      </c>
    </row>
    <row r="293" spans="1:26" ht="6.95" customHeight="1" x14ac:dyDescent="0.3">
      <c r="A293" s="5"/>
      <c r="B293" s="157"/>
      <c r="C293" s="158"/>
      <c r="D293" s="161"/>
      <c r="E293" s="162"/>
      <c r="F293" s="163"/>
      <c r="G293" s="164"/>
      <c r="H293" s="165"/>
      <c r="I293" s="164"/>
      <c r="J293" s="165"/>
      <c r="K293" s="164"/>
      <c r="L293" s="165"/>
      <c r="M293" s="6"/>
      <c r="N293" s="32"/>
      <c r="Q293" s="10" t="str">
        <f>+CONCATENATE(E291,K291)</f>
        <v/>
      </c>
      <c r="R293" s="10">
        <f>+L291</f>
        <v>0</v>
      </c>
      <c r="S293" s="11"/>
      <c r="T293" s="10">
        <f>+E291</f>
        <v>0</v>
      </c>
      <c r="U293" s="19" t="str">
        <f>IFERROR(LEFT(K291,FIND("*",K291)-1),"-")</f>
        <v>-</v>
      </c>
      <c r="V293" s="19" t="str">
        <f>IFERROR(RIGHT(K291,LEN(K291)-FIND("*",K291)),"-")</f>
        <v>-</v>
      </c>
      <c r="W293" s="20" t="str">
        <f t="shared" si="154"/>
        <v>-</v>
      </c>
      <c r="X293" s="20" t="str">
        <f>IFERROR(W293*L291,"-")</f>
        <v>-</v>
      </c>
      <c r="Z293" s="85">
        <v>45174</v>
      </c>
    </row>
    <row r="294" spans="1:26" ht="6.95" customHeight="1" x14ac:dyDescent="0.3">
      <c r="A294" s="8"/>
      <c r="B294" s="157"/>
      <c r="C294" s="158"/>
      <c r="D294" s="161" t="s">
        <v>39</v>
      </c>
      <c r="E294" s="162"/>
      <c r="F294" s="163" t="s">
        <v>40</v>
      </c>
      <c r="G294" s="164"/>
      <c r="H294" s="165"/>
      <c r="I294" s="164"/>
      <c r="J294" s="165"/>
      <c r="K294" s="164"/>
      <c r="L294" s="165"/>
      <c r="M294" s="6"/>
      <c r="N294" s="32"/>
      <c r="Q294" s="10" t="str">
        <f>+CONCATENATE(E294,G294)</f>
        <v/>
      </c>
      <c r="R294" s="10">
        <f>+H294</f>
        <v>0</v>
      </c>
      <c r="S294" s="11"/>
      <c r="T294" s="10">
        <f>+E294</f>
        <v>0</v>
      </c>
      <c r="U294" s="19" t="str">
        <f t="shared" ref="U294" si="157">IFERROR(LEFT(G294,FIND("*",G294)-1),"-")</f>
        <v>-</v>
      </c>
      <c r="V294" s="19" t="str">
        <f t="shared" ref="V294" si="158">IFERROR(RIGHT(G294,LEN(G294)-FIND("*",G294)),"-")</f>
        <v>-</v>
      </c>
      <c r="W294" s="20" t="str">
        <f t="shared" si="154"/>
        <v>-</v>
      </c>
      <c r="X294" s="20" t="str">
        <f>IFERROR(W294*H294,"-")</f>
        <v>-</v>
      </c>
      <c r="Z294" s="85">
        <v>45174</v>
      </c>
    </row>
    <row r="295" spans="1:26" ht="6.95" customHeight="1" x14ac:dyDescent="0.3">
      <c r="A295" s="5"/>
      <c r="B295" s="157"/>
      <c r="C295" s="158"/>
      <c r="D295" s="161"/>
      <c r="E295" s="162"/>
      <c r="F295" s="163"/>
      <c r="G295" s="164"/>
      <c r="H295" s="165"/>
      <c r="I295" s="164"/>
      <c r="J295" s="165"/>
      <c r="K295" s="164"/>
      <c r="L295" s="165"/>
      <c r="M295" s="6"/>
      <c r="N295" s="32"/>
      <c r="Q295" s="10" t="str">
        <f>+CONCATENATE(E294,I294)</f>
        <v/>
      </c>
      <c r="R295" s="10">
        <f>+J294</f>
        <v>0</v>
      </c>
      <c r="S295" s="11"/>
      <c r="T295" s="10">
        <f>+E294</f>
        <v>0</v>
      </c>
      <c r="U295" s="19" t="str">
        <f>IFERROR(LEFT(I294,FIND("*",I294)-1),"-")</f>
        <v>-</v>
      </c>
      <c r="V295" s="19" t="str">
        <f>IFERROR(RIGHT(I294,LEN(I294)-FIND("*",I294)),"-")</f>
        <v>-</v>
      </c>
      <c r="W295" s="20" t="str">
        <f t="shared" si="154"/>
        <v>-</v>
      </c>
      <c r="X295" s="20" t="str">
        <f t="shared" ref="X295" si="159">IFERROR(W295*J294,"-")</f>
        <v>-</v>
      </c>
      <c r="Z295" s="85">
        <v>45174</v>
      </c>
    </row>
    <row r="296" spans="1:26" ht="6.95" customHeight="1" x14ac:dyDescent="0.3">
      <c r="A296" s="5"/>
      <c r="B296" s="157"/>
      <c r="C296" s="158"/>
      <c r="D296" s="161"/>
      <c r="E296" s="162"/>
      <c r="F296" s="163"/>
      <c r="G296" s="164"/>
      <c r="H296" s="165"/>
      <c r="I296" s="164"/>
      <c r="J296" s="165"/>
      <c r="K296" s="164"/>
      <c r="L296" s="165"/>
      <c r="M296" s="6"/>
      <c r="N296" s="32"/>
      <c r="Q296" s="10" t="str">
        <f>+CONCATENATE(E294,K294)</f>
        <v/>
      </c>
      <c r="R296" s="10">
        <f>+L294</f>
        <v>0</v>
      </c>
      <c r="S296" s="11"/>
      <c r="T296" s="10">
        <f>+E294</f>
        <v>0</v>
      </c>
      <c r="U296" s="19" t="str">
        <f>IFERROR(LEFT(K294,FIND("*",K294)-1),"-")</f>
        <v>-</v>
      </c>
      <c r="V296" s="19" t="str">
        <f>IFERROR(RIGHT(K294,LEN(K294)-FIND("*",K294)),"-")</f>
        <v>-</v>
      </c>
      <c r="W296" s="20" t="str">
        <f t="shared" si="154"/>
        <v>-</v>
      </c>
      <c r="X296" s="20" t="str">
        <f>IFERROR(W296*L294,"-")</f>
        <v>-</v>
      </c>
      <c r="Z296" s="85">
        <v>45174</v>
      </c>
    </row>
    <row r="297" spans="1:26" ht="21" customHeight="1" thickBot="1" x14ac:dyDescent="0.35">
      <c r="A297" s="5"/>
      <c r="B297" s="159"/>
      <c r="C297" s="160"/>
      <c r="D297" s="166" t="s">
        <v>43</v>
      </c>
      <c r="E297" s="167"/>
      <c r="F297" s="167"/>
      <c r="G297" s="168" t="s">
        <v>202</v>
      </c>
      <c r="H297" s="168"/>
      <c r="I297" s="168"/>
      <c r="J297" s="168"/>
      <c r="K297" s="168"/>
      <c r="L297" s="168"/>
      <c r="M297" s="7"/>
      <c r="N297" s="32"/>
      <c r="Z297" s="85">
        <v>45174</v>
      </c>
    </row>
    <row r="298" spans="1:26" ht="9.9499999999999993" customHeight="1" thickBot="1" x14ac:dyDescent="0.35">
      <c r="B298" s="9"/>
      <c r="C298" s="109">
        <v>827</v>
      </c>
      <c r="D298" s="51"/>
      <c r="E298" s="12"/>
      <c r="F298" s="51"/>
      <c r="G298" s="14"/>
      <c r="H298" s="14"/>
      <c r="I298" s="14"/>
      <c r="J298" s="14"/>
      <c r="K298" s="14"/>
      <c r="L298" s="14"/>
      <c r="M298" s="9"/>
      <c r="N298" s="32"/>
      <c r="U298" s="18"/>
      <c r="V298" s="18"/>
      <c r="Z298" s="85">
        <v>45174</v>
      </c>
    </row>
    <row r="299" spans="1:26" ht="6.95" customHeight="1" x14ac:dyDescent="0.3">
      <c r="A299" s="154">
        <f>+A288+1</f>
        <v>828</v>
      </c>
      <c r="B299" s="155"/>
      <c r="C299" s="156"/>
      <c r="D299" s="161" t="s">
        <v>39</v>
      </c>
      <c r="E299" s="162" t="s">
        <v>186</v>
      </c>
      <c r="F299" s="163" t="s">
        <v>40</v>
      </c>
      <c r="G299" s="164">
        <v>50</v>
      </c>
      <c r="H299" s="165">
        <v>2</v>
      </c>
      <c r="I299" s="164"/>
      <c r="J299" s="165"/>
      <c r="K299" s="164"/>
      <c r="L299" s="165"/>
      <c r="M299" s="6"/>
      <c r="N299" s="32"/>
      <c r="Q299" s="10" t="str">
        <f>+CONCATENATE(E299,G299)</f>
        <v>금속관벽체50</v>
      </c>
      <c r="R299" s="10">
        <f>+H299</f>
        <v>2</v>
      </c>
      <c r="S299" s="11"/>
      <c r="T299" s="10" t="str">
        <f>+E299</f>
        <v>금속관벽체</v>
      </c>
      <c r="U299" s="19" t="str">
        <f>IFERROR(LEFT(G299,FIND("*",G299)-1),"-")</f>
        <v>-</v>
      </c>
      <c r="V299" s="19" t="str">
        <f>IFERROR(RIGHT(G299,LEN(G299)-FIND("*",G299)),"-")</f>
        <v>-</v>
      </c>
      <c r="W299" s="20" t="str">
        <f>IFERROR((U299+V299)*2/1000,"-")</f>
        <v>-</v>
      </c>
      <c r="X299" s="20" t="str">
        <f>IFERROR(W299*H299,"-")</f>
        <v>-</v>
      </c>
      <c r="Z299" s="85">
        <v>45174</v>
      </c>
    </row>
    <row r="300" spans="1:26" ht="6.95" customHeight="1" x14ac:dyDescent="0.3">
      <c r="A300" s="154"/>
      <c r="B300" s="157"/>
      <c r="C300" s="158"/>
      <c r="D300" s="161"/>
      <c r="E300" s="162"/>
      <c r="F300" s="163"/>
      <c r="G300" s="164"/>
      <c r="H300" s="165"/>
      <c r="I300" s="164"/>
      <c r="J300" s="165"/>
      <c r="K300" s="164"/>
      <c r="L300" s="165"/>
      <c r="M300" s="6"/>
      <c r="N300" s="32"/>
      <c r="Q300" s="10" t="str">
        <f>+CONCATENATE(E299,I299)</f>
        <v>금속관벽체</v>
      </c>
      <c r="R300" s="10">
        <f>+J299</f>
        <v>0</v>
      </c>
      <c r="S300" s="11"/>
      <c r="T300" s="10" t="str">
        <f>+E299</f>
        <v>금속관벽체</v>
      </c>
      <c r="U300" s="19" t="str">
        <f>IFERROR(LEFT(I299,FIND("*",I299)-1),"-")</f>
        <v>-</v>
      </c>
      <c r="V300" s="19" t="str">
        <f>IFERROR(RIGHT(I299,LEN(I299)-FIND("*",I299)),"-")</f>
        <v>-</v>
      </c>
      <c r="W300" s="20" t="str">
        <f t="shared" ref="W300:W307" si="160">IFERROR((U300+V300)*2/1000,"-")</f>
        <v>-</v>
      </c>
      <c r="X300" s="20" t="str">
        <f>IFERROR(W300*J299,"-")</f>
        <v>-</v>
      </c>
      <c r="Z300" s="85">
        <v>45174</v>
      </c>
    </row>
    <row r="301" spans="1:26" ht="6.95" customHeight="1" x14ac:dyDescent="0.3">
      <c r="A301" s="154"/>
      <c r="B301" s="157"/>
      <c r="C301" s="158"/>
      <c r="D301" s="161"/>
      <c r="E301" s="162"/>
      <c r="F301" s="163"/>
      <c r="G301" s="164"/>
      <c r="H301" s="165"/>
      <c r="I301" s="164"/>
      <c r="J301" s="165"/>
      <c r="K301" s="164"/>
      <c r="L301" s="165"/>
      <c r="M301" s="6"/>
      <c r="N301" s="32"/>
      <c r="Q301" s="10" t="str">
        <f>+CONCATENATE(E299,K299)</f>
        <v>금속관벽체</v>
      </c>
      <c r="R301" s="10">
        <f>+L299</f>
        <v>0</v>
      </c>
      <c r="S301" s="11"/>
      <c r="T301" s="10" t="str">
        <f>+E299</f>
        <v>금속관벽체</v>
      </c>
      <c r="U301" s="19" t="str">
        <f>IFERROR(LEFT(K299,FIND("*",K299)-1),"-")</f>
        <v>-</v>
      </c>
      <c r="V301" s="19" t="str">
        <f>IFERROR(RIGHT(K299,LEN(K299)-FIND("*",K299)),"-")</f>
        <v>-</v>
      </c>
      <c r="W301" s="20" t="str">
        <f t="shared" si="160"/>
        <v>-</v>
      </c>
      <c r="X301" s="20" t="str">
        <f>IFERROR(W301*L299,"-")</f>
        <v>-</v>
      </c>
      <c r="Z301" s="85">
        <v>45174</v>
      </c>
    </row>
    <row r="302" spans="1:26" ht="6.95" customHeight="1" x14ac:dyDescent="0.3">
      <c r="A302" s="8"/>
      <c r="B302" s="157"/>
      <c r="C302" s="158"/>
      <c r="D302" s="161" t="s">
        <v>39</v>
      </c>
      <c r="E302" s="162"/>
      <c r="F302" s="163" t="s">
        <v>40</v>
      </c>
      <c r="G302" s="164"/>
      <c r="H302" s="165"/>
      <c r="I302" s="164"/>
      <c r="J302" s="165"/>
      <c r="K302" s="164"/>
      <c r="L302" s="165"/>
      <c r="M302" s="6"/>
      <c r="N302" s="32"/>
      <c r="Q302" s="10" t="str">
        <f>+CONCATENATE(E302,G302)</f>
        <v/>
      </c>
      <c r="R302" s="10">
        <f>+H302</f>
        <v>0</v>
      </c>
      <c r="S302" s="11"/>
      <c r="T302" s="10">
        <f>+E302</f>
        <v>0</v>
      </c>
      <c r="U302" s="19" t="str">
        <f t="shared" ref="U302" si="161">IFERROR(LEFT(G302,FIND("*",G302)-1),"-")</f>
        <v>-</v>
      </c>
      <c r="V302" s="19" t="str">
        <f t="shared" ref="V302" si="162">IFERROR(RIGHT(G302,LEN(G302)-FIND("*",G302)),"-")</f>
        <v>-</v>
      </c>
      <c r="W302" s="20" t="str">
        <f t="shared" si="160"/>
        <v>-</v>
      </c>
      <c r="X302" s="20" t="str">
        <f>IFERROR(W302*H302,"-")</f>
        <v>-</v>
      </c>
      <c r="Z302" s="85">
        <v>45174</v>
      </c>
    </row>
    <row r="303" spans="1:26" ht="6.95" customHeight="1" x14ac:dyDescent="0.3">
      <c r="A303" s="5"/>
      <c r="B303" s="157"/>
      <c r="C303" s="158"/>
      <c r="D303" s="161"/>
      <c r="E303" s="162"/>
      <c r="F303" s="163"/>
      <c r="G303" s="164"/>
      <c r="H303" s="165"/>
      <c r="I303" s="164"/>
      <c r="J303" s="165"/>
      <c r="K303" s="164"/>
      <c r="L303" s="165"/>
      <c r="M303" s="6"/>
      <c r="N303" s="32"/>
      <c r="Q303" s="10" t="str">
        <f>+CONCATENATE(E302,I302)</f>
        <v/>
      </c>
      <c r="R303" s="10">
        <f>+J302</f>
        <v>0</v>
      </c>
      <c r="S303" s="11"/>
      <c r="T303" s="10">
        <f>+E302</f>
        <v>0</v>
      </c>
      <c r="U303" s="19" t="str">
        <f>IFERROR(LEFT(I302,FIND("*",I302)-1),"-")</f>
        <v>-</v>
      </c>
      <c r="V303" s="19" t="str">
        <f>IFERROR(RIGHT(I302,LEN(I302)-FIND("*",I302)),"-")</f>
        <v>-</v>
      </c>
      <c r="W303" s="20" t="str">
        <f t="shared" si="160"/>
        <v>-</v>
      </c>
      <c r="X303" s="20" t="str">
        <f>IFERROR(W303*J302,"-")</f>
        <v>-</v>
      </c>
      <c r="Z303" s="85">
        <v>45174</v>
      </c>
    </row>
    <row r="304" spans="1:26" ht="6.95" customHeight="1" x14ac:dyDescent="0.3">
      <c r="A304" s="5"/>
      <c r="B304" s="157"/>
      <c r="C304" s="158"/>
      <c r="D304" s="161"/>
      <c r="E304" s="162"/>
      <c r="F304" s="163"/>
      <c r="G304" s="164"/>
      <c r="H304" s="165"/>
      <c r="I304" s="164"/>
      <c r="J304" s="165"/>
      <c r="K304" s="164"/>
      <c r="L304" s="165"/>
      <c r="M304" s="6"/>
      <c r="N304" s="32"/>
      <c r="Q304" s="10" t="str">
        <f>+CONCATENATE(E302,K302)</f>
        <v/>
      </c>
      <c r="R304" s="10">
        <f>+L302</f>
        <v>0</v>
      </c>
      <c r="S304" s="11"/>
      <c r="T304" s="10">
        <f>+E302</f>
        <v>0</v>
      </c>
      <c r="U304" s="19" t="str">
        <f>IFERROR(LEFT(K302,FIND("*",K302)-1),"-")</f>
        <v>-</v>
      </c>
      <c r="V304" s="19" t="str">
        <f>IFERROR(RIGHT(K302,LEN(K302)-FIND("*",K302)),"-")</f>
        <v>-</v>
      </c>
      <c r="W304" s="20" t="str">
        <f t="shared" si="160"/>
        <v>-</v>
      </c>
      <c r="X304" s="20" t="str">
        <f>IFERROR(W304*L302,"-")</f>
        <v>-</v>
      </c>
      <c r="Z304" s="85">
        <v>45174</v>
      </c>
    </row>
    <row r="305" spans="1:26" ht="6.95" customHeight="1" x14ac:dyDescent="0.3">
      <c r="A305" s="8"/>
      <c r="B305" s="157"/>
      <c r="C305" s="158"/>
      <c r="D305" s="161" t="s">
        <v>39</v>
      </c>
      <c r="E305" s="162"/>
      <c r="F305" s="163" t="s">
        <v>40</v>
      </c>
      <c r="G305" s="164"/>
      <c r="H305" s="165"/>
      <c r="I305" s="164"/>
      <c r="J305" s="165"/>
      <c r="K305" s="164"/>
      <c r="L305" s="165"/>
      <c r="M305" s="6"/>
      <c r="N305" s="32"/>
      <c r="Q305" s="10" t="str">
        <f>+CONCATENATE(E305,G305)</f>
        <v/>
      </c>
      <c r="R305" s="10">
        <f>+H305</f>
        <v>0</v>
      </c>
      <c r="S305" s="11"/>
      <c r="T305" s="10">
        <f>+E305</f>
        <v>0</v>
      </c>
      <c r="U305" s="19" t="str">
        <f t="shared" ref="U305" si="163">IFERROR(LEFT(G305,FIND("*",G305)-1),"-")</f>
        <v>-</v>
      </c>
      <c r="V305" s="19" t="str">
        <f t="shared" ref="V305" si="164">IFERROR(RIGHT(G305,LEN(G305)-FIND("*",G305)),"-")</f>
        <v>-</v>
      </c>
      <c r="W305" s="20" t="str">
        <f t="shared" si="160"/>
        <v>-</v>
      </c>
      <c r="X305" s="20" t="str">
        <f>IFERROR(W305*H305,"-")</f>
        <v>-</v>
      </c>
      <c r="Z305" s="85">
        <v>45174</v>
      </c>
    </row>
    <row r="306" spans="1:26" ht="6.95" customHeight="1" x14ac:dyDescent="0.3">
      <c r="A306" s="5"/>
      <c r="B306" s="157"/>
      <c r="C306" s="158"/>
      <c r="D306" s="161"/>
      <c r="E306" s="162"/>
      <c r="F306" s="163"/>
      <c r="G306" s="164"/>
      <c r="H306" s="165"/>
      <c r="I306" s="164"/>
      <c r="J306" s="165"/>
      <c r="K306" s="164"/>
      <c r="L306" s="165"/>
      <c r="M306" s="6"/>
      <c r="N306" s="32"/>
      <c r="Q306" s="10" t="str">
        <f>+CONCATENATE(E305,I305)</f>
        <v/>
      </c>
      <c r="R306" s="10">
        <f>+J305</f>
        <v>0</v>
      </c>
      <c r="S306" s="11"/>
      <c r="T306" s="10">
        <f>+E305</f>
        <v>0</v>
      </c>
      <c r="U306" s="19" t="str">
        <f>IFERROR(LEFT(I305,FIND("*",I305)-1),"-")</f>
        <v>-</v>
      </c>
      <c r="V306" s="19" t="str">
        <f>IFERROR(RIGHT(I305,LEN(I305)-FIND("*",I305)),"-")</f>
        <v>-</v>
      </c>
      <c r="W306" s="20" t="str">
        <f t="shared" si="160"/>
        <v>-</v>
      </c>
      <c r="X306" s="20" t="str">
        <f t="shared" ref="X306" si="165">IFERROR(W306*J305,"-")</f>
        <v>-</v>
      </c>
      <c r="Z306" s="85">
        <v>45174</v>
      </c>
    </row>
    <row r="307" spans="1:26" ht="6.95" customHeight="1" x14ac:dyDescent="0.3">
      <c r="A307" s="5"/>
      <c r="B307" s="157"/>
      <c r="C307" s="158"/>
      <c r="D307" s="161"/>
      <c r="E307" s="162"/>
      <c r="F307" s="163"/>
      <c r="G307" s="164"/>
      <c r="H307" s="165"/>
      <c r="I307" s="164"/>
      <c r="J307" s="165"/>
      <c r="K307" s="164"/>
      <c r="L307" s="165"/>
      <c r="M307" s="6"/>
      <c r="N307" s="32"/>
      <c r="Q307" s="10" t="str">
        <f>+CONCATENATE(E305,K305)</f>
        <v/>
      </c>
      <c r="R307" s="10">
        <f>+L305</f>
        <v>0</v>
      </c>
      <c r="S307" s="11"/>
      <c r="T307" s="10">
        <f>+E305</f>
        <v>0</v>
      </c>
      <c r="U307" s="19" t="str">
        <f>IFERROR(LEFT(K305,FIND("*",K305)-1),"-")</f>
        <v>-</v>
      </c>
      <c r="V307" s="19" t="str">
        <f>IFERROR(RIGHT(K305,LEN(K305)-FIND("*",K305)),"-")</f>
        <v>-</v>
      </c>
      <c r="W307" s="20" t="str">
        <f t="shared" si="160"/>
        <v>-</v>
      </c>
      <c r="X307" s="20" t="str">
        <f>IFERROR(W307*L305,"-")</f>
        <v>-</v>
      </c>
      <c r="Z307" s="85">
        <v>45174</v>
      </c>
    </row>
    <row r="308" spans="1:26" ht="21" customHeight="1" thickBot="1" x14ac:dyDescent="0.35">
      <c r="A308" s="5"/>
      <c r="B308" s="159"/>
      <c r="C308" s="160"/>
      <c r="D308" s="166" t="s">
        <v>43</v>
      </c>
      <c r="E308" s="167"/>
      <c r="F308" s="167"/>
      <c r="G308" s="168" t="s">
        <v>202</v>
      </c>
      <c r="H308" s="168"/>
      <c r="I308" s="168"/>
      <c r="J308" s="168"/>
      <c r="K308" s="168"/>
      <c r="L308" s="168"/>
      <c r="M308" s="7"/>
      <c r="N308" s="32"/>
      <c r="Z308" s="85">
        <v>45174</v>
      </c>
    </row>
    <row r="309" spans="1:26" ht="9.9499999999999993" customHeight="1" thickBot="1" x14ac:dyDescent="0.35">
      <c r="B309" s="9"/>
      <c r="C309" s="109">
        <v>828</v>
      </c>
      <c r="D309" s="51"/>
      <c r="E309" s="12"/>
      <c r="F309" s="51"/>
      <c r="G309" s="14"/>
      <c r="H309" s="14"/>
      <c r="I309" s="14"/>
      <c r="J309" s="14"/>
      <c r="K309" s="14"/>
      <c r="L309" s="14"/>
      <c r="M309" s="9"/>
      <c r="N309" s="32"/>
      <c r="U309" s="18"/>
      <c r="V309" s="18"/>
      <c r="Z309" s="85">
        <v>45174</v>
      </c>
    </row>
    <row r="310" spans="1:26" ht="6.95" customHeight="1" x14ac:dyDescent="0.3">
      <c r="A310" s="154">
        <f>+A299+1</f>
        <v>829</v>
      </c>
      <c r="B310" s="155"/>
      <c r="C310" s="156"/>
      <c r="D310" s="161" t="s">
        <v>39</v>
      </c>
      <c r="E310" s="162" t="s">
        <v>186</v>
      </c>
      <c r="F310" s="163" t="s">
        <v>40</v>
      </c>
      <c r="G310" s="164">
        <v>50</v>
      </c>
      <c r="H310" s="165">
        <v>2</v>
      </c>
      <c r="I310" s="164"/>
      <c r="J310" s="165"/>
      <c r="K310" s="164"/>
      <c r="L310" s="165"/>
      <c r="M310" s="6"/>
      <c r="N310" s="32"/>
      <c r="Q310" s="10" t="str">
        <f>+CONCATENATE(E310,G310)</f>
        <v>금속관벽체50</v>
      </c>
      <c r="R310" s="10">
        <f>+H310</f>
        <v>2</v>
      </c>
      <c r="S310" s="11"/>
      <c r="T310" s="10" t="str">
        <f>+E310</f>
        <v>금속관벽체</v>
      </c>
      <c r="U310" s="19" t="str">
        <f>IFERROR(LEFT(G310,FIND("*",G310)-1),"-")</f>
        <v>-</v>
      </c>
      <c r="V310" s="19" t="str">
        <f>IFERROR(RIGHT(G310,LEN(G310)-FIND("*",G310)),"-")</f>
        <v>-</v>
      </c>
      <c r="W310" s="20" t="str">
        <f>IFERROR((U310+V310)*2/1000,"-")</f>
        <v>-</v>
      </c>
      <c r="X310" s="20" t="str">
        <f>IFERROR(W310*H310,"-")</f>
        <v>-</v>
      </c>
      <c r="Z310" s="85">
        <v>45174</v>
      </c>
    </row>
    <row r="311" spans="1:26" ht="6.95" customHeight="1" x14ac:dyDescent="0.3">
      <c r="A311" s="154"/>
      <c r="B311" s="157"/>
      <c r="C311" s="158"/>
      <c r="D311" s="161"/>
      <c r="E311" s="162"/>
      <c r="F311" s="163"/>
      <c r="G311" s="164"/>
      <c r="H311" s="165"/>
      <c r="I311" s="164"/>
      <c r="J311" s="165"/>
      <c r="K311" s="164"/>
      <c r="L311" s="165"/>
      <c r="M311" s="6"/>
      <c r="N311" s="32"/>
      <c r="Q311" s="10" t="str">
        <f>+CONCATENATE(E310,I310)</f>
        <v>금속관벽체</v>
      </c>
      <c r="R311" s="10">
        <f>+J310</f>
        <v>0</v>
      </c>
      <c r="S311" s="11"/>
      <c r="T311" s="10" t="str">
        <f>+E310</f>
        <v>금속관벽체</v>
      </c>
      <c r="U311" s="19" t="str">
        <f>IFERROR(LEFT(I310,FIND("*",I310)-1),"-")</f>
        <v>-</v>
      </c>
      <c r="V311" s="19" t="str">
        <f>IFERROR(RIGHT(I310,LEN(I310)-FIND("*",I310)),"-")</f>
        <v>-</v>
      </c>
      <c r="W311" s="20" t="str">
        <f t="shared" ref="W311:W318" si="166">IFERROR((U311+V311)*2/1000,"-")</f>
        <v>-</v>
      </c>
      <c r="X311" s="20" t="str">
        <f>IFERROR(W311*J310,"-")</f>
        <v>-</v>
      </c>
      <c r="Z311" s="85">
        <v>45174</v>
      </c>
    </row>
    <row r="312" spans="1:26" ht="6.95" customHeight="1" x14ac:dyDescent="0.3">
      <c r="A312" s="154"/>
      <c r="B312" s="157"/>
      <c r="C312" s="158"/>
      <c r="D312" s="161"/>
      <c r="E312" s="162"/>
      <c r="F312" s="163"/>
      <c r="G312" s="164"/>
      <c r="H312" s="165"/>
      <c r="I312" s="164"/>
      <c r="J312" s="165"/>
      <c r="K312" s="164"/>
      <c r="L312" s="165"/>
      <c r="M312" s="6"/>
      <c r="N312" s="32"/>
      <c r="Q312" s="10" t="str">
        <f>+CONCATENATE(E310,K310)</f>
        <v>금속관벽체</v>
      </c>
      <c r="R312" s="10">
        <f>+L310</f>
        <v>0</v>
      </c>
      <c r="S312" s="11"/>
      <c r="T312" s="10" t="str">
        <f>+E310</f>
        <v>금속관벽체</v>
      </c>
      <c r="U312" s="19" t="str">
        <f>IFERROR(LEFT(K310,FIND("*",K310)-1),"-")</f>
        <v>-</v>
      </c>
      <c r="V312" s="19" t="str">
        <f>IFERROR(RIGHT(K310,LEN(K310)-FIND("*",K310)),"-")</f>
        <v>-</v>
      </c>
      <c r="W312" s="20" t="str">
        <f t="shared" si="166"/>
        <v>-</v>
      </c>
      <c r="X312" s="20" t="str">
        <f>IFERROR(W312*L310,"-")</f>
        <v>-</v>
      </c>
      <c r="Z312" s="85">
        <v>45174</v>
      </c>
    </row>
    <row r="313" spans="1:26" ht="6.95" customHeight="1" x14ac:dyDescent="0.3">
      <c r="A313" s="8"/>
      <c r="B313" s="157"/>
      <c r="C313" s="158"/>
      <c r="D313" s="161" t="s">
        <v>39</v>
      </c>
      <c r="E313" s="162"/>
      <c r="F313" s="163" t="s">
        <v>40</v>
      </c>
      <c r="G313" s="164"/>
      <c r="H313" s="165"/>
      <c r="I313" s="164"/>
      <c r="J313" s="165"/>
      <c r="K313" s="164"/>
      <c r="L313" s="165"/>
      <c r="M313" s="6"/>
      <c r="N313" s="32"/>
      <c r="Q313" s="10" t="str">
        <f>+CONCATENATE(E313,G313)</f>
        <v/>
      </c>
      <c r="R313" s="10">
        <f>+H313</f>
        <v>0</v>
      </c>
      <c r="S313" s="11"/>
      <c r="T313" s="10">
        <f>+E313</f>
        <v>0</v>
      </c>
      <c r="U313" s="19" t="str">
        <f t="shared" ref="U313" si="167">IFERROR(LEFT(G313,FIND("*",G313)-1),"-")</f>
        <v>-</v>
      </c>
      <c r="V313" s="19" t="str">
        <f t="shared" ref="V313" si="168">IFERROR(RIGHT(G313,LEN(G313)-FIND("*",G313)),"-")</f>
        <v>-</v>
      </c>
      <c r="W313" s="20" t="str">
        <f t="shared" si="166"/>
        <v>-</v>
      </c>
      <c r="X313" s="20" t="str">
        <f>IFERROR(W313*H313,"-")</f>
        <v>-</v>
      </c>
      <c r="Z313" s="85">
        <v>45174</v>
      </c>
    </row>
    <row r="314" spans="1:26" ht="6.95" customHeight="1" x14ac:dyDescent="0.3">
      <c r="A314" s="5"/>
      <c r="B314" s="157"/>
      <c r="C314" s="158"/>
      <c r="D314" s="161"/>
      <c r="E314" s="162"/>
      <c r="F314" s="163"/>
      <c r="G314" s="164"/>
      <c r="H314" s="165"/>
      <c r="I314" s="164"/>
      <c r="J314" s="165"/>
      <c r="K314" s="164"/>
      <c r="L314" s="165"/>
      <c r="M314" s="6"/>
      <c r="N314" s="32"/>
      <c r="Q314" s="10" t="str">
        <f>+CONCATENATE(E313,I313)</f>
        <v/>
      </c>
      <c r="R314" s="10">
        <f>+J313</f>
        <v>0</v>
      </c>
      <c r="S314" s="11"/>
      <c r="T314" s="10">
        <f>+E313</f>
        <v>0</v>
      </c>
      <c r="U314" s="19" t="str">
        <f>IFERROR(LEFT(I313,FIND("*",I313)-1),"-")</f>
        <v>-</v>
      </c>
      <c r="V314" s="19" t="str">
        <f>IFERROR(RIGHT(I313,LEN(I313)-FIND("*",I313)),"-")</f>
        <v>-</v>
      </c>
      <c r="W314" s="20" t="str">
        <f t="shared" si="166"/>
        <v>-</v>
      </c>
      <c r="X314" s="20" t="str">
        <f>IFERROR(W314*J313,"-")</f>
        <v>-</v>
      </c>
      <c r="Z314" s="85">
        <v>45174</v>
      </c>
    </row>
    <row r="315" spans="1:26" ht="6.95" customHeight="1" x14ac:dyDescent="0.3">
      <c r="A315" s="5"/>
      <c r="B315" s="157"/>
      <c r="C315" s="158"/>
      <c r="D315" s="161"/>
      <c r="E315" s="162"/>
      <c r="F315" s="163"/>
      <c r="G315" s="164"/>
      <c r="H315" s="165"/>
      <c r="I315" s="164"/>
      <c r="J315" s="165"/>
      <c r="K315" s="164"/>
      <c r="L315" s="165"/>
      <c r="M315" s="6"/>
      <c r="N315" s="32"/>
      <c r="Q315" s="10" t="str">
        <f>+CONCATENATE(E313,K313)</f>
        <v/>
      </c>
      <c r="R315" s="10">
        <f>+L313</f>
        <v>0</v>
      </c>
      <c r="S315" s="11"/>
      <c r="T315" s="10">
        <f>+E313</f>
        <v>0</v>
      </c>
      <c r="U315" s="19" t="str">
        <f>IFERROR(LEFT(K313,FIND("*",K313)-1),"-")</f>
        <v>-</v>
      </c>
      <c r="V315" s="19" t="str">
        <f>IFERROR(RIGHT(K313,LEN(K313)-FIND("*",K313)),"-")</f>
        <v>-</v>
      </c>
      <c r="W315" s="20" t="str">
        <f t="shared" si="166"/>
        <v>-</v>
      </c>
      <c r="X315" s="20" t="str">
        <f>IFERROR(W315*L313,"-")</f>
        <v>-</v>
      </c>
      <c r="Z315" s="85">
        <v>45174</v>
      </c>
    </row>
    <row r="316" spans="1:26" ht="6.95" customHeight="1" x14ac:dyDescent="0.3">
      <c r="A316" s="8"/>
      <c r="B316" s="157"/>
      <c r="C316" s="158"/>
      <c r="D316" s="161" t="s">
        <v>39</v>
      </c>
      <c r="E316" s="162"/>
      <c r="F316" s="163" t="s">
        <v>40</v>
      </c>
      <c r="G316" s="164"/>
      <c r="H316" s="165"/>
      <c r="I316" s="164"/>
      <c r="J316" s="165"/>
      <c r="K316" s="164"/>
      <c r="L316" s="165"/>
      <c r="M316" s="6"/>
      <c r="N316" s="32"/>
      <c r="Q316" s="10" t="str">
        <f>+CONCATENATE(E316,G316)</f>
        <v/>
      </c>
      <c r="R316" s="10">
        <f>+H316</f>
        <v>0</v>
      </c>
      <c r="S316" s="11"/>
      <c r="T316" s="10">
        <f>+E316</f>
        <v>0</v>
      </c>
      <c r="U316" s="19" t="str">
        <f t="shared" ref="U316" si="169">IFERROR(LEFT(G316,FIND("*",G316)-1),"-")</f>
        <v>-</v>
      </c>
      <c r="V316" s="19" t="str">
        <f t="shared" ref="V316" si="170">IFERROR(RIGHT(G316,LEN(G316)-FIND("*",G316)),"-")</f>
        <v>-</v>
      </c>
      <c r="W316" s="20" t="str">
        <f t="shared" si="166"/>
        <v>-</v>
      </c>
      <c r="X316" s="20" t="str">
        <f>IFERROR(W316*H316,"-")</f>
        <v>-</v>
      </c>
      <c r="Z316" s="85">
        <v>45174</v>
      </c>
    </row>
    <row r="317" spans="1:26" ht="6.95" customHeight="1" x14ac:dyDescent="0.3">
      <c r="A317" s="5"/>
      <c r="B317" s="157"/>
      <c r="C317" s="158"/>
      <c r="D317" s="161"/>
      <c r="E317" s="162"/>
      <c r="F317" s="163"/>
      <c r="G317" s="164"/>
      <c r="H317" s="165"/>
      <c r="I317" s="164"/>
      <c r="J317" s="165"/>
      <c r="K317" s="164"/>
      <c r="L317" s="165"/>
      <c r="M317" s="6"/>
      <c r="N317" s="32"/>
      <c r="Q317" s="10" t="str">
        <f>+CONCATENATE(E316,I316)</f>
        <v/>
      </c>
      <c r="R317" s="10">
        <f>+J316</f>
        <v>0</v>
      </c>
      <c r="S317" s="11"/>
      <c r="T317" s="10">
        <f>+E316</f>
        <v>0</v>
      </c>
      <c r="U317" s="19" t="str">
        <f>IFERROR(LEFT(I316,FIND("*",I316)-1),"-")</f>
        <v>-</v>
      </c>
      <c r="V317" s="19" t="str">
        <f>IFERROR(RIGHT(I316,LEN(I316)-FIND("*",I316)),"-")</f>
        <v>-</v>
      </c>
      <c r="W317" s="20" t="str">
        <f t="shared" si="166"/>
        <v>-</v>
      </c>
      <c r="X317" s="20" t="str">
        <f t="shared" ref="X317" si="171">IFERROR(W317*J316,"-")</f>
        <v>-</v>
      </c>
      <c r="Z317" s="85">
        <v>45174</v>
      </c>
    </row>
    <row r="318" spans="1:26" ht="6.95" customHeight="1" x14ac:dyDescent="0.3">
      <c r="A318" s="5"/>
      <c r="B318" s="157"/>
      <c r="C318" s="158"/>
      <c r="D318" s="161"/>
      <c r="E318" s="162"/>
      <c r="F318" s="163"/>
      <c r="G318" s="164"/>
      <c r="H318" s="165"/>
      <c r="I318" s="164"/>
      <c r="J318" s="165"/>
      <c r="K318" s="164"/>
      <c r="L318" s="165"/>
      <c r="M318" s="6"/>
      <c r="N318" s="32"/>
      <c r="Q318" s="10" t="str">
        <f>+CONCATENATE(E316,K316)</f>
        <v/>
      </c>
      <c r="R318" s="10">
        <f>+L316</f>
        <v>0</v>
      </c>
      <c r="S318" s="11"/>
      <c r="T318" s="10">
        <f>+E316</f>
        <v>0</v>
      </c>
      <c r="U318" s="19" t="str">
        <f>IFERROR(LEFT(K316,FIND("*",K316)-1),"-")</f>
        <v>-</v>
      </c>
      <c r="V318" s="19" t="str">
        <f>IFERROR(RIGHT(K316,LEN(K316)-FIND("*",K316)),"-")</f>
        <v>-</v>
      </c>
      <c r="W318" s="20" t="str">
        <f t="shared" si="166"/>
        <v>-</v>
      </c>
      <c r="X318" s="20" t="str">
        <f>IFERROR(W318*L316,"-")</f>
        <v>-</v>
      </c>
      <c r="Z318" s="85">
        <v>45174</v>
      </c>
    </row>
    <row r="319" spans="1:26" ht="21" customHeight="1" thickBot="1" x14ac:dyDescent="0.35">
      <c r="A319" s="5"/>
      <c r="B319" s="159"/>
      <c r="C319" s="160"/>
      <c r="D319" s="166" t="s">
        <v>43</v>
      </c>
      <c r="E319" s="167"/>
      <c r="F319" s="167"/>
      <c r="G319" s="168" t="s">
        <v>202</v>
      </c>
      <c r="H319" s="168"/>
      <c r="I319" s="168"/>
      <c r="J319" s="168"/>
      <c r="K319" s="168"/>
      <c r="L319" s="168"/>
      <c r="M319" s="7"/>
      <c r="N319" s="32"/>
      <c r="Z319" s="85">
        <v>45174</v>
      </c>
    </row>
    <row r="320" spans="1:26" ht="9.9499999999999993" customHeight="1" thickBot="1" x14ac:dyDescent="0.35">
      <c r="B320" s="9"/>
      <c r="C320" s="109">
        <v>829</v>
      </c>
      <c r="D320" s="51"/>
      <c r="E320" s="12"/>
      <c r="F320" s="51"/>
      <c r="G320" s="14"/>
      <c r="H320" s="14"/>
      <c r="I320" s="14"/>
      <c r="J320" s="14"/>
      <c r="K320" s="14"/>
      <c r="L320" s="14"/>
      <c r="M320" s="9"/>
      <c r="N320" s="32"/>
      <c r="U320" s="18"/>
      <c r="V320" s="18"/>
      <c r="Z320" s="85">
        <v>45174</v>
      </c>
    </row>
    <row r="321" spans="1:26" ht="6.95" customHeight="1" x14ac:dyDescent="0.3">
      <c r="A321" s="154">
        <f>+A310+1</f>
        <v>830</v>
      </c>
      <c r="B321" s="155"/>
      <c r="C321" s="156"/>
      <c r="D321" s="161" t="s">
        <v>39</v>
      </c>
      <c r="E321" s="162" t="s">
        <v>186</v>
      </c>
      <c r="F321" s="163" t="s">
        <v>40</v>
      </c>
      <c r="G321" s="164">
        <v>50</v>
      </c>
      <c r="H321" s="165">
        <v>2</v>
      </c>
      <c r="I321" s="164">
        <v>100</v>
      </c>
      <c r="J321" s="165">
        <v>1</v>
      </c>
      <c r="K321" s="164"/>
      <c r="L321" s="165"/>
      <c r="M321" s="6"/>
      <c r="N321" s="32"/>
      <c r="Q321" s="10" t="str">
        <f>+CONCATENATE(E321,G321)</f>
        <v>금속관벽체50</v>
      </c>
      <c r="R321" s="10">
        <f>+H321</f>
        <v>2</v>
      </c>
      <c r="S321" s="11"/>
      <c r="T321" s="10" t="str">
        <f>+E321</f>
        <v>금속관벽체</v>
      </c>
      <c r="U321" s="19" t="str">
        <f>IFERROR(LEFT(G321,FIND("*",G321)-1),"-")</f>
        <v>-</v>
      </c>
      <c r="V321" s="19" t="str">
        <f>IFERROR(RIGHT(G321,LEN(G321)-FIND("*",G321)),"-")</f>
        <v>-</v>
      </c>
      <c r="W321" s="20" t="str">
        <f>IFERROR((U321+V321)*2/1000,"-")</f>
        <v>-</v>
      </c>
      <c r="X321" s="20" t="str">
        <f>IFERROR(W321*H321,"-")</f>
        <v>-</v>
      </c>
      <c r="Z321" s="85">
        <v>45174</v>
      </c>
    </row>
    <row r="322" spans="1:26" ht="6.95" customHeight="1" x14ac:dyDescent="0.3">
      <c r="A322" s="154"/>
      <c r="B322" s="157"/>
      <c r="C322" s="158"/>
      <c r="D322" s="161"/>
      <c r="E322" s="162"/>
      <c r="F322" s="163"/>
      <c r="G322" s="164"/>
      <c r="H322" s="165"/>
      <c r="I322" s="164"/>
      <c r="J322" s="165"/>
      <c r="K322" s="164"/>
      <c r="L322" s="165"/>
      <c r="M322" s="6"/>
      <c r="N322" s="32"/>
      <c r="Q322" s="10" t="str">
        <f>+CONCATENATE(E321,I321)</f>
        <v>금속관벽체100</v>
      </c>
      <c r="R322" s="10">
        <f>+J321</f>
        <v>1</v>
      </c>
      <c r="S322" s="11"/>
      <c r="T322" s="10" t="str">
        <f>+E321</f>
        <v>금속관벽체</v>
      </c>
      <c r="U322" s="19" t="str">
        <f>IFERROR(LEFT(I321,FIND("*",I321)-1),"-")</f>
        <v>-</v>
      </c>
      <c r="V322" s="19" t="str">
        <f>IFERROR(RIGHT(I321,LEN(I321)-FIND("*",I321)),"-")</f>
        <v>-</v>
      </c>
      <c r="W322" s="20" t="str">
        <f t="shared" ref="W322:W329" si="172">IFERROR((U322+V322)*2/1000,"-")</f>
        <v>-</v>
      </c>
      <c r="X322" s="20" t="str">
        <f>IFERROR(W322*J321,"-")</f>
        <v>-</v>
      </c>
      <c r="Z322" s="85">
        <v>45174</v>
      </c>
    </row>
    <row r="323" spans="1:26" ht="6.95" customHeight="1" x14ac:dyDescent="0.3">
      <c r="A323" s="154"/>
      <c r="B323" s="157"/>
      <c r="C323" s="158"/>
      <c r="D323" s="161"/>
      <c r="E323" s="162"/>
      <c r="F323" s="163"/>
      <c r="G323" s="164"/>
      <c r="H323" s="165"/>
      <c r="I323" s="164"/>
      <c r="J323" s="165"/>
      <c r="K323" s="164"/>
      <c r="L323" s="165"/>
      <c r="M323" s="6"/>
      <c r="N323" s="32"/>
      <c r="Q323" s="10" t="str">
        <f>+CONCATENATE(E321,K321)</f>
        <v>금속관벽체</v>
      </c>
      <c r="R323" s="10">
        <f>+L321</f>
        <v>0</v>
      </c>
      <c r="S323" s="11"/>
      <c r="T323" s="10" t="str">
        <f>+E321</f>
        <v>금속관벽체</v>
      </c>
      <c r="U323" s="19" t="str">
        <f>IFERROR(LEFT(K321,FIND("*",K321)-1),"-")</f>
        <v>-</v>
      </c>
      <c r="V323" s="19" t="str">
        <f>IFERROR(RIGHT(K321,LEN(K321)-FIND("*",K321)),"-")</f>
        <v>-</v>
      </c>
      <c r="W323" s="20" t="str">
        <f t="shared" si="172"/>
        <v>-</v>
      </c>
      <c r="X323" s="20" t="str">
        <f>IFERROR(W323*L321,"-")</f>
        <v>-</v>
      </c>
      <c r="Z323" s="85">
        <v>45174</v>
      </c>
    </row>
    <row r="324" spans="1:26" ht="6.95" customHeight="1" x14ac:dyDescent="0.3">
      <c r="A324" s="8"/>
      <c r="B324" s="157"/>
      <c r="C324" s="158"/>
      <c r="D324" s="161" t="s">
        <v>39</v>
      </c>
      <c r="E324" s="162"/>
      <c r="F324" s="163" t="s">
        <v>40</v>
      </c>
      <c r="G324" s="164"/>
      <c r="H324" s="165"/>
      <c r="I324" s="164"/>
      <c r="J324" s="165"/>
      <c r="K324" s="164"/>
      <c r="L324" s="165"/>
      <c r="M324" s="6"/>
      <c r="N324" s="32"/>
      <c r="Q324" s="10" t="str">
        <f>+CONCATENATE(E324,G324)</f>
        <v/>
      </c>
      <c r="R324" s="10">
        <f>+H324</f>
        <v>0</v>
      </c>
      <c r="S324" s="11"/>
      <c r="T324" s="10">
        <f>+E324</f>
        <v>0</v>
      </c>
      <c r="U324" s="19" t="str">
        <f t="shared" ref="U324" si="173">IFERROR(LEFT(G324,FIND("*",G324)-1),"-")</f>
        <v>-</v>
      </c>
      <c r="V324" s="19" t="str">
        <f t="shared" ref="V324" si="174">IFERROR(RIGHT(G324,LEN(G324)-FIND("*",G324)),"-")</f>
        <v>-</v>
      </c>
      <c r="W324" s="20" t="str">
        <f t="shared" si="172"/>
        <v>-</v>
      </c>
      <c r="X324" s="20" t="str">
        <f>IFERROR(W324*H324,"-")</f>
        <v>-</v>
      </c>
      <c r="Z324" s="85">
        <v>45174</v>
      </c>
    </row>
    <row r="325" spans="1:26" ht="6.95" customHeight="1" x14ac:dyDescent="0.3">
      <c r="A325" s="5"/>
      <c r="B325" s="157"/>
      <c r="C325" s="158"/>
      <c r="D325" s="161"/>
      <c r="E325" s="162"/>
      <c r="F325" s="163"/>
      <c r="G325" s="164"/>
      <c r="H325" s="165"/>
      <c r="I325" s="164"/>
      <c r="J325" s="165"/>
      <c r="K325" s="164"/>
      <c r="L325" s="165"/>
      <c r="M325" s="6"/>
      <c r="N325" s="32"/>
      <c r="Q325" s="10" t="str">
        <f>+CONCATENATE(E324,I324)</f>
        <v/>
      </c>
      <c r="R325" s="10">
        <f>+J324</f>
        <v>0</v>
      </c>
      <c r="S325" s="11"/>
      <c r="T325" s="10">
        <f>+E324</f>
        <v>0</v>
      </c>
      <c r="U325" s="19" t="str">
        <f>IFERROR(LEFT(I324,FIND("*",I324)-1),"-")</f>
        <v>-</v>
      </c>
      <c r="V325" s="19" t="str">
        <f>IFERROR(RIGHT(I324,LEN(I324)-FIND("*",I324)),"-")</f>
        <v>-</v>
      </c>
      <c r="W325" s="20" t="str">
        <f t="shared" si="172"/>
        <v>-</v>
      </c>
      <c r="X325" s="20" t="str">
        <f>IFERROR(W325*J324,"-")</f>
        <v>-</v>
      </c>
      <c r="Z325" s="85">
        <v>45174</v>
      </c>
    </row>
    <row r="326" spans="1:26" ht="6.95" customHeight="1" x14ac:dyDescent="0.3">
      <c r="A326" s="5"/>
      <c r="B326" s="157"/>
      <c r="C326" s="158"/>
      <c r="D326" s="161"/>
      <c r="E326" s="162"/>
      <c r="F326" s="163"/>
      <c r="G326" s="164"/>
      <c r="H326" s="165"/>
      <c r="I326" s="164"/>
      <c r="J326" s="165"/>
      <c r="K326" s="164"/>
      <c r="L326" s="165"/>
      <c r="M326" s="6"/>
      <c r="N326" s="32"/>
      <c r="Q326" s="10" t="str">
        <f>+CONCATENATE(E324,K324)</f>
        <v/>
      </c>
      <c r="R326" s="10">
        <f>+L324</f>
        <v>0</v>
      </c>
      <c r="S326" s="11"/>
      <c r="T326" s="10">
        <f>+E324</f>
        <v>0</v>
      </c>
      <c r="U326" s="19" t="str">
        <f>IFERROR(LEFT(K324,FIND("*",K324)-1),"-")</f>
        <v>-</v>
      </c>
      <c r="V326" s="19" t="str">
        <f>IFERROR(RIGHT(K324,LEN(K324)-FIND("*",K324)),"-")</f>
        <v>-</v>
      </c>
      <c r="W326" s="20" t="str">
        <f t="shared" si="172"/>
        <v>-</v>
      </c>
      <c r="X326" s="20" t="str">
        <f>IFERROR(W326*L324,"-")</f>
        <v>-</v>
      </c>
      <c r="Z326" s="85">
        <v>45174</v>
      </c>
    </row>
    <row r="327" spans="1:26" ht="6.95" customHeight="1" x14ac:dyDescent="0.3">
      <c r="A327" s="8"/>
      <c r="B327" s="157"/>
      <c r="C327" s="158"/>
      <c r="D327" s="161" t="s">
        <v>39</v>
      </c>
      <c r="E327" s="162"/>
      <c r="F327" s="163" t="s">
        <v>40</v>
      </c>
      <c r="G327" s="164"/>
      <c r="H327" s="165"/>
      <c r="I327" s="164"/>
      <c r="J327" s="165"/>
      <c r="K327" s="164"/>
      <c r="L327" s="165"/>
      <c r="M327" s="6"/>
      <c r="N327" s="32"/>
      <c r="Q327" s="10" t="str">
        <f>+CONCATENATE(E327,G327)</f>
        <v/>
      </c>
      <c r="R327" s="10">
        <f>+H327</f>
        <v>0</v>
      </c>
      <c r="S327" s="11"/>
      <c r="T327" s="10">
        <f>+E327</f>
        <v>0</v>
      </c>
      <c r="U327" s="19" t="str">
        <f t="shared" ref="U327" si="175">IFERROR(LEFT(G327,FIND("*",G327)-1),"-")</f>
        <v>-</v>
      </c>
      <c r="V327" s="19" t="str">
        <f t="shared" ref="V327" si="176">IFERROR(RIGHT(G327,LEN(G327)-FIND("*",G327)),"-")</f>
        <v>-</v>
      </c>
      <c r="W327" s="20" t="str">
        <f t="shared" si="172"/>
        <v>-</v>
      </c>
      <c r="X327" s="20" t="str">
        <f>IFERROR(W327*H327,"-")</f>
        <v>-</v>
      </c>
      <c r="Z327" s="85">
        <v>45174</v>
      </c>
    </row>
    <row r="328" spans="1:26" ht="6.95" customHeight="1" x14ac:dyDescent="0.3">
      <c r="A328" s="5"/>
      <c r="B328" s="157"/>
      <c r="C328" s="158"/>
      <c r="D328" s="161"/>
      <c r="E328" s="162"/>
      <c r="F328" s="163"/>
      <c r="G328" s="164"/>
      <c r="H328" s="165"/>
      <c r="I328" s="164"/>
      <c r="J328" s="165"/>
      <c r="K328" s="164"/>
      <c r="L328" s="165"/>
      <c r="M328" s="6"/>
      <c r="N328" s="32"/>
      <c r="Q328" s="10" t="str">
        <f>+CONCATENATE(E327,I327)</f>
        <v/>
      </c>
      <c r="R328" s="10">
        <f>+J327</f>
        <v>0</v>
      </c>
      <c r="S328" s="11"/>
      <c r="T328" s="10">
        <f>+E327</f>
        <v>0</v>
      </c>
      <c r="U328" s="19" t="str">
        <f>IFERROR(LEFT(I327,FIND("*",I327)-1),"-")</f>
        <v>-</v>
      </c>
      <c r="V328" s="19" t="str">
        <f>IFERROR(RIGHT(I327,LEN(I327)-FIND("*",I327)),"-")</f>
        <v>-</v>
      </c>
      <c r="W328" s="20" t="str">
        <f t="shared" si="172"/>
        <v>-</v>
      </c>
      <c r="X328" s="20" t="str">
        <f t="shared" ref="X328" si="177">IFERROR(W328*J327,"-")</f>
        <v>-</v>
      </c>
      <c r="Z328" s="85">
        <v>45174</v>
      </c>
    </row>
    <row r="329" spans="1:26" ht="6.95" customHeight="1" x14ac:dyDescent="0.3">
      <c r="A329" s="5"/>
      <c r="B329" s="157"/>
      <c r="C329" s="158"/>
      <c r="D329" s="161"/>
      <c r="E329" s="162"/>
      <c r="F329" s="163"/>
      <c r="G329" s="164"/>
      <c r="H329" s="165"/>
      <c r="I329" s="164"/>
      <c r="J329" s="165"/>
      <c r="K329" s="164"/>
      <c r="L329" s="165"/>
      <c r="M329" s="6"/>
      <c r="N329" s="32"/>
      <c r="Q329" s="10" t="str">
        <f>+CONCATENATE(E327,K327)</f>
        <v/>
      </c>
      <c r="R329" s="10">
        <f>+L327</f>
        <v>0</v>
      </c>
      <c r="S329" s="11"/>
      <c r="T329" s="10">
        <f>+E327</f>
        <v>0</v>
      </c>
      <c r="U329" s="19" t="str">
        <f>IFERROR(LEFT(K327,FIND("*",K327)-1),"-")</f>
        <v>-</v>
      </c>
      <c r="V329" s="19" t="str">
        <f>IFERROR(RIGHT(K327,LEN(K327)-FIND("*",K327)),"-")</f>
        <v>-</v>
      </c>
      <c r="W329" s="20" t="str">
        <f t="shared" si="172"/>
        <v>-</v>
      </c>
      <c r="X329" s="20" t="str">
        <f>IFERROR(W329*L327,"-")</f>
        <v>-</v>
      </c>
      <c r="Z329" s="85">
        <v>45174</v>
      </c>
    </row>
    <row r="330" spans="1:26" ht="21" customHeight="1" thickBot="1" x14ac:dyDescent="0.35">
      <c r="A330" s="5"/>
      <c r="B330" s="159"/>
      <c r="C330" s="160"/>
      <c r="D330" s="166" t="s">
        <v>43</v>
      </c>
      <c r="E330" s="167"/>
      <c r="F330" s="167"/>
      <c r="G330" s="168" t="s">
        <v>202</v>
      </c>
      <c r="H330" s="168"/>
      <c r="I330" s="168"/>
      <c r="J330" s="168"/>
      <c r="K330" s="168"/>
      <c r="L330" s="168"/>
      <c r="M330" s="7"/>
      <c r="N330" s="33">
        <v>45174</v>
      </c>
      <c r="Z330" s="85">
        <v>45174</v>
      </c>
    </row>
    <row r="331" spans="1:26" ht="9.9499999999999993" customHeight="1" thickBot="1" x14ac:dyDescent="0.35">
      <c r="B331" s="9"/>
      <c r="C331" s="109">
        <v>830</v>
      </c>
      <c r="D331" s="51"/>
      <c r="E331" s="12"/>
      <c r="F331" s="51"/>
      <c r="G331" s="14"/>
      <c r="H331" s="14"/>
      <c r="I331" s="14"/>
      <c r="J331" s="14"/>
      <c r="K331" s="14"/>
      <c r="L331" s="14"/>
      <c r="M331" s="9"/>
      <c r="N331" s="32"/>
      <c r="U331" s="18"/>
      <c r="V331" s="18"/>
      <c r="Z331" s="33">
        <v>45175</v>
      </c>
    </row>
    <row r="332" spans="1:26" ht="6.95" customHeight="1" x14ac:dyDescent="0.3">
      <c r="A332" s="154">
        <f>+A321+1</f>
        <v>831</v>
      </c>
      <c r="B332" s="155"/>
      <c r="C332" s="156"/>
      <c r="D332" s="161" t="s">
        <v>39</v>
      </c>
      <c r="E332" s="162" t="s">
        <v>186</v>
      </c>
      <c r="F332" s="163" t="s">
        <v>40</v>
      </c>
      <c r="G332" s="164">
        <v>150</v>
      </c>
      <c r="H332" s="165">
        <v>0.5</v>
      </c>
      <c r="I332" s="164"/>
      <c r="J332" s="165"/>
      <c r="K332" s="164"/>
      <c r="L332" s="165"/>
      <c r="M332" s="6"/>
      <c r="N332" s="32"/>
      <c r="Q332" s="10" t="str">
        <f>+CONCATENATE(E332,G332)</f>
        <v>금속관벽체150</v>
      </c>
      <c r="R332" s="10">
        <f>+H332</f>
        <v>0.5</v>
      </c>
      <c r="S332" s="11"/>
      <c r="T332" s="10" t="str">
        <f>+E332</f>
        <v>금속관벽체</v>
      </c>
      <c r="U332" s="19" t="str">
        <f>IFERROR(LEFT(G332,FIND("*",G332)-1),"-")</f>
        <v>-</v>
      </c>
      <c r="V332" s="19" t="str">
        <f>IFERROR(RIGHT(G332,LEN(G332)-FIND("*",G332)),"-")</f>
        <v>-</v>
      </c>
      <c r="W332" s="20" t="str">
        <f>IFERROR((U332+V332)*2/1000,"-")</f>
        <v>-</v>
      </c>
      <c r="X332" s="20" t="str">
        <f>IFERROR(W332*H332,"-")</f>
        <v>-</v>
      </c>
      <c r="Z332" s="33">
        <v>45175</v>
      </c>
    </row>
    <row r="333" spans="1:26" ht="6.95" customHeight="1" x14ac:dyDescent="0.3">
      <c r="A333" s="154"/>
      <c r="B333" s="157"/>
      <c r="C333" s="158"/>
      <c r="D333" s="161"/>
      <c r="E333" s="162"/>
      <c r="F333" s="163"/>
      <c r="G333" s="164"/>
      <c r="H333" s="165"/>
      <c r="I333" s="164"/>
      <c r="J333" s="165"/>
      <c r="K333" s="164"/>
      <c r="L333" s="165"/>
      <c r="M333" s="6"/>
      <c r="N333" s="32"/>
      <c r="Q333" s="10" t="str">
        <f>+CONCATENATE(E332,I332)</f>
        <v>금속관벽체</v>
      </c>
      <c r="R333" s="10">
        <f>+J332</f>
        <v>0</v>
      </c>
      <c r="S333" s="11"/>
      <c r="T333" s="10" t="str">
        <f>+E332</f>
        <v>금속관벽체</v>
      </c>
      <c r="U333" s="19" t="str">
        <f>IFERROR(LEFT(I332,FIND("*",I332)-1),"-")</f>
        <v>-</v>
      </c>
      <c r="V333" s="19" t="str">
        <f>IFERROR(RIGHT(I332,LEN(I332)-FIND("*",I332)),"-")</f>
        <v>-</v>
      </c>
      <c r="W333" s="20" t="str">
        <f t="shared" ref="W333:W340" si="178">IFERROR((U333+V333)*2/1000,"-")</f>
        <v>-</v>
      </c>
      <c r="X333" s="20" t="str">
        <f>IFERROR(W333*J332,"-")</f>
        <v>-</v>
      </c>
      <c r="Z333" s="33">
        <v>45175</v>
      </c>
    </row>
    <row r="334" spans="1:26" ht="6.95" customHeight="1" x14ac:dyDescent="0.3">
      <c r="A334" s="154"/>
      <c r="B334" s="157"/>
      <c r="C334" s="158"/>
      <c r="D334" s="161"/>
      <c r="E334" s="162"/>
      <c r="F334" s="163"/>
      <c r="G334" s="164"/>
      <c r="H334" s="165"/>
      <c r="I334" s="164"/>
      <c r="J334" s="165"/>
      <c r="K334" s="164"/>
      <c r="L334" s="165"/>
      <c r="M334" s="6"/>
      <c r="N334" s="32"/>
      <c r="Q334" s="10" t="str">
        <f>+CONCATENATE(E332,K332)</f>
        <v>금속관벽체</v>
      </c>
      <c r="R334" s="10">
        <f>+L332</f>
        <v>0</v>
      </c>
      <c r="S334" s="11"/>
      <c r="T334" s="10" t="str">
        <f>+E332</f>
        <v>금속관벽체</v>
      </c>
      <c r="U334" s="19" t="str">
        <f>IFERROR(LEFT(K332,FIND("*",K332)-1),"-")</f>
        <v>-</v>
      </c>
      <c r="V334" s="19" t="str">
        <f>IFERROR(RIGHT(K332,LEN(K332)-FIND("*",K332)),"-")</f>
        <v>-</v>
      </c>
      <c r="W334" s="20" t="str">
        <f t="shared" si="178"/>
        <v>-</v>
      </c>
      <c r="X334" s="20" t="str">
        <f>IFERROR(W334*L332,"-")</f>
        <v>-</v>
      </c>
      <c r="Z334" s="33">
        <v>45175</v>
      </c>
    </row>
    <row r="335" spans="1:26" ht="6.95" customHeight="1" x14ac:dyDescent="0.3">
      <c r="A335" s="8"/>
      <c r="B335" s="157"/>
      <c r="C335" s="158"/>
      <c r="D335" s="161" t="s">
        <v>39</v>
      </c>
      <c r="E335" s="162"/>
      <c r="F335" s="163" t="s">
        <v>40</v>
      </c>
      <c r="G335" s="164"/>
      <c r="H335" s="165"/>
      <c r="I335" s="164"/>
      <c r="J335" s="165"/>
      <c r="K335" s="164"/>
      <c r="L335" s="165"/>
      <c r="M335" s="6"/>
      <c r="N335" s="32"/>
      <c r="Q335" s="10" t="str">
        <f>+CONCATENATE(E335,G335)</f>
        <v/>
      </c>
      <c r="R335" s="10">
        <f>+H335</f>
        <v>0</v>
      </c>
      <c r="S335" s="11"/>
      <c r="T335" s="10">
        <f>+E335</f>
        <v>0</v>
      </c>
      <c r="U335" s="19" t="str">
        <f t="shared" ref="U335" si="179">IFERROR(LEFT(G335,FIND("*",G335)-1),"-")</f>
        <v>-</v>
      </c>
      <c r="V335" s="19" t="str">
        <f t="shared" ref="V335" si="180">IFERROR(RIGHT(G335,LEN(G335)-FIND("*",G335)),"-")</f>
        <v>-</v>
      </c>
      <c r="W335" s="20" t="str">
        <f t="shared" si="178"/>
        <v>-</v>
      </c>
      <c r="X335" s="20" t="str">
        <f>IFERROR(W335*H335,"-")</f>
        <v>-</v>
      </c>
      <c r="Z335" s="33">
        <v>45175</v>
      </c>
    </row>
    <row r="336" spans="1:26" ht="6.95" customHeight="1" x14ac:dyDescent="0.3">
      <c r="A336" s="5"/>
      <c r="B336" s="157"/>
      <c r="C336" s="158"/>
      <c r="D336" s="161"/>
      <c r="E336" s="162"/>
      <c r="F336" s="163"/>
      <c r="G336" s="164"/>
      <c r="H336" s="165"/>
      <c r="I336" s="164"/>
      <c r="J336" s="165"/>
      <c r="K336" s="164"/>
      <c r="L336" s="165"/>
      <c r="M336" s="6"/>
      <c r="N336" s="32"/>
      <c r="Q336" s="10" t="str">
        <f>+CONCATENATE(E335,I335)</f>
        <v/>
      </c>
      <c r="R336" s="10">
        <f>+J335</f>
        <v>0</v>
      </c>
      <c r="S336" s="11"/>
      <c r="T336" s="10">
        <f>+E335</f>
        <v>0</v>
      </c>
      <c r="U336" s="19" t="str">
        <f>IFERROR(LEFT(I335,FIND("*",I335)-1),"-")</f>
        <v>-</v>
      </c>
      <c r="V336" s="19" t="str">
        <f>IFERROR(RIGHT(I335,LEN(I335)-FIND("*",I335)),"-")</f>
        <v>-</v>
      </c>
      <c r="W336" s="20" t="str">
        <f t="shared" si="178"/>
        <v>-</v>
      </c>
      <c r="X336" s="20" t="str">
        <f>IFERROR(W336*J335,"-")</f>
        <v>-</v>
      </c>
      <c r="Z336" s="33">
        <v>45175</v>
      </c>
    </row>
    <row r="337" spans="1:26" ht="6.95" customHeight="1" x14ac:dyDescent="0.3">
      <c r="A337" s="5"/>
      <c r="B337" s="157"/>
      <c r="C337" s="158"/>
      <c r="D337" s="161"/>
      <c r="E337" s="162"/>
      <c r="F337" s="163"/>
      <c r="G337" s="164"/>
      <c r="H337" s="165"/>
      <c r="I337" s="164"/>
      <c r="J337" s="165"/>
      <c r="K337" s="164"/>
      <c r="L337" s="165"/>
      <c r="M337" s="6"/>
      <c r="N337" s="32"/>
      <c r="Q337" s="10" t="str">
        <f>+CONCATENATE(E335,K335)</f>
        <v/>
      </c>
      <c r="R337" s="10">
        <f>+L335</f>
        <v>0</v>
      </c>
      <c r="S337" s="11"/>
      <c r="T337" s="10">
        <f>+E335</f>
        <v>0</v>
      </c>
      <c r="U337" s="19" t="str">
        <f>IFERROR(LEFT(K335,FIND("*",K335)-1),"-")</f>
        <v>-</v>
      </c>
      <c r="V337" s="19" t="str">
        <f>IFERROR(RIGHT(K335,LEN(K335)-FIND("*",K335)),"-")</f>
        <v>-</v>
      </c>
      <c r="W337" s="20" t="str">
        <f t="shared" si="178"/>
        <v>-</v>
      </c>
      <c r="X337" s="20" t="str">
        <f>IFERROR(W337*L335,"-")</f>
        <v>-</v>
      </c>
      <c r="Z337" s="33">
        <v>45175</v>
      </c>
    </row>
    <row r="338" spans="1:26" ht="6.95" customHeight="1" x14ac:dyDescent="0.3">
      <c r="A338" s="8"/>
      <c r="B338" s="157"/>
      <c r="C338" s="158"/>
      <c r="D338" s="161" t="s">
        <v>39</v>
      </c>
      <c r="E338" s="162"/>
      <c r="F338" s="163" t="s">
        <v>40</v>
      </c>
      <c r="G338" s="164"/>
      <c r="H338" s="165"/>
      <c r="I338" s="164"/>
      <c r="J338" s="165"/>
      <c r="K338" s="164"/>
      <c r="L338" s="165"/>
      <c r="M338" s="6"/>
      <c r="N338" s="32"/>
      <c r="Q338" s="10" t="str">
        <f>+CONCATENATE(E338,G338)</f>
        <v/>
      </c>
      <c r="R338" s="10">
        <f>+H338</f>
        <v>0</v>
      </c>
      <c r="S338" s="11"/>
      <c r="T338" s="10">
        <f>+E338</f>
        <v>0</v>
      </c>
      <c r="U338" s="19" t="str">
        <f t="shared" ref="U338" si="181">IFERROR(LEFT(G338,FIND("*",G338)-1),"-")</f>
        <v>-</v>
      </c>
      <c r="V338" s="19" t="str">
        <f t="shared" ref="V338" si="182">IFERROR(RIGHT(G338,LEN(G338)-FIND("*",G338)),"-")</f>
        <v>-</v>
      </c>
      <c r="W338" s="20" t="str">
        <f t="shared" si="178"/>
        <v>-</v>
      </c>
      <c r="X338" s="20" t="str">
        <f>IFERROR(W338*H338,"-")</f>
        <v>-</v>
      </c>
      <c r="Z338" s="33">
        <v>45175</v>
      </c>
    </row>
    <row r="339" spans="1:26" ht="6.95" customHeight="1" x14ac:dyDescent="0.3">
      <c r="A339" s="5"/>
      <c r="B339" s="157"/>
      <c r="C339" s="158"/>
      <c r="D339" s="161"/>
      <c r="E339" s="162"/>
      <c r="F339" s="163"/>
      <c r="G339" s="164"/>
      <c r="H339" s="165"/>
      <c r="I339" s="164"/>
      <c r="J339" s="165"/>
      <c r="K339" s="164"/>
      <c r="L339" s="165"/>
      <c r="M339" s="6"/>
      <c r="N339" s="32"/>
      <c r="Q339" s="10" t="str">
        <f>+CONCATENATE(E338,I338)</f>
        <v/>
      </c>
      <c r="R339" s="10">
        <f>+J338</f>
        <v>0</v>
      </c>
      <c r="S339" s="11"/>
      <c r="T339" s="10">
        <f>+E338</f>
        <v>0</v>
      </c>
      <c r="U339" s="19" t="str">
        <f>IFERROR(LEFT(I338,FIND("*",I338)-1),"-")</f>
        <v>-</v>
      </c>
      <c r="V339" s="19" t="str">
        <f>IFERROR(RIGHT(I338,LEN(I338)-FIND("*",I338)),"-")</f>
        <v>-</v>
      </c>
      <c r="W339" s="20" t="str">
        <f t="shared" si="178"/>
        <v>-</v>
      </c>
      <c r="X339" s="20" t="str">
        <f t="shared" ref="X339" si="183">IFERROR(W339*J338,"-")</f>
        <v>-</v>
      </c>
      <c r="Z339" s="33">
        <v>45175</v>
      </c>
    </row>
    <row r="340" spans="1:26" ht="6.95" customHeight="1" x14ac:dyDescent="0.3">
      <c r="A340" s="5"/>
      <c r="B340" s="157"/>
      <c r="C340" s="158"/>
      <c r="D340" s="161"/>
      <c r="E340" s="162"/>
      <c r="F340" s="163"/>
      <c r="G340" s="164"/>
      <c r="H340" s="165"/>
      <c r="I340" s="164"/>
      <c r="J340" s="165"/>
      <c r="K340" s="164"/>
      <c r="L340" s="165"/>
      <c r="M340" s="6"/>
      <c r="N340" s="32"/>
      <c r="Q340" s="10" t="str">
        <f>+CONCATENATE(E338,K338)</f>
        <v/>
      </c>
      <c r="R340" s="10">
        <f>+L338</f>
        <v>0</v>
      </c>
      <c r="S340" s="11"/>
      <c r="T340" s="10">
        <f>+E338</f>
        <v>0</v>
      </c>
      <c r="U340" s="19" t="str">
        <f>IFERROR(LEFT(K338,FIND("*",K338)-1),"-")</f>
        <v>-</v>
      </c>
      <c r="V340" s="19" t="str">
        <f>IFERROR(RIGHT(K338,LEN(K338)-FIND("*",K338)),"-")</f>
        <v>-</v>
      </c>
      <c r="W340" s="20" t="str">
        <f t="shared" si="178"/>
        <v>-</v>
      </c>
      <c r="X340" s="20" t="str">
        <f>IFERROR(W340*L338,"-")</f>
        <v>-</v>
      </c>
      <c r="Z340" s="33">
        <v>45175</v>
      </c>
    </row>
    <row r="341" spans="1:26" ht="21" customHeight="1" thickBot="1" x14ac:dyDescent="0.35">
      <c r="A341" s="5"/>
      <c r="B341" s="159"/>
      <c r="C341" s="160"/>
      <c r="D341" s="166" t="s">
        <v>43</v>
      </c>
      <c r="E341" s="167"/>
      <c r="F341" s="167"/>
      <c r="G341" s="168" t="s">
        <v>204</v>
      </c>
      <c r="H341" s="168"/>
      <c r="I341" s="168"/>
      <c r="J341" s="168"/>
      <c r="K341" s="168"/>
      <c r="L341" s="168"/>
      <c r="M341" s="7"/>
      <c r="N341" s="32"/>
      <c r="Z341" s="33">
        <v>45175</v>
      </c>
    </row>
    <row r="342" spans="1:26" ht="9.9499999999999993" customHeight="1" thickBot="1" x14ac:dyDescent="0.35">
      <c r="B342" s="9"/>
      <c r="C342" s="109">
        <v>831</v>
      </c>
      <c r="D342" s="51"/>
      <c r="E342" s="12"/>
      <c r="F342" s="51"/>
      <c r="G342" s="14"/>
      <c r="H342" s="14"/>
      <c r="I342" s="14"/>
      <c r="J342" s="14"/>
      <c r="K342" s="14"/>
      <c r="L342" s="14"/>
      <c r="M342" s="9"/>
      <c r="N342" s="32"/>
      <c r="U342" s="18"/>
      <c r="V342" s="18"/>
      <c r="Z342" s="33">
        <v>45175</v>
      </c>
    </row>
    <row r="343" spans="1:26" ht="6.95" customHeight="1" x14ac:dyDescent="0.3">
      <c r="A343" s="154">
        <f>+A332+1</f>
        <v>832</v>
      </c>
      <c r="B343" s="155"/>
      <c r="C343" s="156"/>
      <c r="D343" s="161" t="s">
        <v>39</v>
      </c>
      <c r="E343" s="162" t="s">
        <v>186</v>
      </c>
      <c r="F343" s="163" t="s">
        <v>40</v>
      </c>
      <c r="G343" s="164">
        <v>150</v>
      </c>
      <c r="H343" s="165">
        <v>4</v>
      </c>
      <c r="I343" s="164"/>
      <c r="J343" s="165"/>
      <c r="K343" s="164"/>
      <c r="L343" s="165"/>
      <c r="M343" s="6"/>
      <c r="N343" s="32"/>
      <c r="Q343" s="10" t="str">
        <f>+CONCATENATE(E343,G343)</f>
        <v>금속관벽체150</v>
      </c>
      <c r="R343" s="10">
        <f>+H343</f>
        <v>4</v>
      </c>
      <c r="S343" s="11"/>
      <c r="T343" s="10" t="str">
        <f>+E343</f>
        <v>금속관벽체</v>
      </c>
      <c r="U343" s="19" t="str">
        <f>IFERROR(LEFT(G343,FIND("*",G343)-1),"-")</f>
        <v>-</v>
      </c>
      <c r="V343" s="19" t="str">
        <f>IFERROR(RIGHT(G343,LEN(G343)-FIND("*",G343)),"-")</f>
        <v>-</v>
      </c>
      <c r="W343" s="20" t="str">
        <f>IFERROR((U343+V343)*2/1000,"-")</f>
        <v>-</v>
      </c>
      <c r="X343" s="20" t="str">
        <f>IFERROR(W343*H343,"-")</f>
        <v>-</v>
      </c>
      <c r="Z343" s="33">
        <v>45175</v>
      </c>
    </row>
    <row r="344" spans="1:26" ht="6.95" customHeight="1" x14ac:dyDescent="0.3">
      <c r="A344" s="154"/>
      <c r="B344" s="157"/>
      <c r="C344" s="158"/>
      <c r="D344" s="161"/>
      <c r="E344" s="162"/>
      <c r="F344" s="163"/>
      <c r="G344" s="164"/>
      <c r="H344" s="165"/>
      <c r="I344" s="164"/>
      <c r="J344" s="165"/>
      <c r="K344" s="164"/>
      <c r="L344" s="165"/>
      <c r="M344" s="6"/>
      <c r="N344" s="32"/>
      <c r="Q344" s="10" t="str">
        <f>+CONCATENATE(E343,I343)</f>
        <v>금속관벽체</v>
      </c>
      <c r="R344" s="10">
        <f>+J343</f>
        <v>0</v>
      </c>
      <c r="S344" s="11"/>
      <c r="T344" s="10" t="str">
        <f>+E343</f>
        <v>금속관벽체</v>
      </c>
      <c r="U344" s="19" t="str">
        <f>IFERROR(LEFT(I343,FIND("*",I343)-1),"-")</f>
        <v>-</v>
      </c>
      <c r="V344" s="19" t="str">
        <f>IFERROR(RIGHT(I343,LEN(I343)-FIND("*",I343)),"-")</f>
        <v>-</v>
      </c>
      <c r="W344" s="20" t="str">
        <f t="shared" ref="W344:W351" si="184">IFERROR((U344+V344)*2/1000,"-")</f>
        <v>-</v>
      </c>
      <c r="X344" s="20" t="str">
        <f>IFERROR(W344*J343,"-")</f>
        <v>-</v>
      </c>
      <c r="Z344" s="33">
        <v>45175</v>
      </c>
    </row>
    <row r="345" spans="1:26" ht="6.95" customHeight="1" x14ac:dyDescent="0.3">
      <c r="A345" s="154"/>
      <c r="B345" s="157"/>
      <c r="C345" s="158"/>
      <c r="D345" s="161"/>
      <c r="E345" s="162"/>
      <c r="F345" s="163"/>
      <c r="G345" s="164"/>
      <c r="H345" s="165"/>
      <c r="I345" s="164"/>
      <c r="J345" s="165"/>
      <c r="K345" s="164"/>
      <c r="L345" s="165"/>
      <c r="M345" s="6"/>
      <c r="N345" s="32"/>
      <c r="Q345" s="10" t="str">
        <f>+CONCATENATE(E343,K343)</f>
        <v>금속관벽체</v>
      </c>
      <c r="R345" s="10">
        <f>+L343</f>
        <v>0</v>
      </c>
      <c r="S345" s="11"/>
      <c r="T345" s="10" t="str">
        <f>+E343</f>
        <v>금속관벽체</v>
      </c>
      <c r="U345" s="19" t="str">
        <f>IFERROR(LEFT(K343,FIND("*",K343)-1),"-")</f>
        <v>-</v>
      </c>
      <c r="V345" s="19" t="str">
        <f>IFERROR(RIGHT(K343,LEN(K343)-FIND("*",K343)),"-")</f>
        <v>-</v>
      </c>
      <c r="W345" s="20" t="str">
        <f t="shared" si="184"/>
        <v>-</v>
      </c>
      <c r="X345" s="20" t="str">
        <f>IFERROR(W345*L343,"-")</f>
        <v>-</v>
      </c>
      <c r="Z345" s="33">
        <v>45175</v>
      </c>
    </row>
    <row r="346" spans="1:26" ht="6.95" customHeight="1" x14ac:dyDescent="0.3">
      <c r="A346" s="8"/>
      <c r="B346" s="157"/>
      <c r="C346" s="158"/>
      <c r="D346" s="161" t="s">
        <v>39</v>
      </c>
      <c r="E346" s="162"/>
      <c r="F346" s="163" t="s">
        <v>40</v>
      </c>
      <c r="G346" s="164"/>
      <c r="H346" s="165"/>
      <c r="I346" s="164"/>
      <c r="J346" s="165"/>
      <c r="K346" s="164"/>
      <c r="L346" s="165"/>
      <c r="M346" s="6"/>
      <c r="N346" s="32"/>
      <c r="Q346" s="10" t="str">
        <f>+CONCATENATE(E346,G346)</f>
        <v/>
      </c>
      <c r="R346" s="10">
        <f>+H346</f>
        <v>0</v>
      </c>
      <c r="S346" s="11"/>
      <c r="T346" s="10">
        <f>+E346</f>
        <v>0</v>
      </c>
      <c r="U346" s="19" t="str">
        <f t="shared" ref="U346" si="185">IFERROR(LEFT(G346,FIND("*",G346)-1),"-")</f>
        <v>-</v>
      </c>
      <c r="V346" s="19" t="str">
        <f t="shared" ref="V346" si="186">IFERROR(RIGHT(G346,LEN(G346)-FIND("*",G346)),"-")</f>
        <v>-</v>
      </c>
      <c r="W346" s="20" t="str">
        <f t="shared" si="184"/>
        <v>-</v>
      </c>
      <c r="X346" s="20" t="str">
        <f>IFERROR(W346*H346,"-")</f>
        <v>-</v>
      </c>
      <c r="Z346" s="33">
        <v>45175</v>
      </c>
    </row>
    <row r="347" spans="1:26" ht="6.95" customHeight="1" x14ac:dyDescent="0.3">
      <c r="A347" s="5"/>
      <c r="B347" s="157"/>
      <c r="C347" s="158"/>
      <c r="D347" s="161"/>
      <c r="E347" s="162"/>
      <c r="F347" s="163"/>
      <c r="G347" s="164"/>
      <c r="H347" s="165"/>
      <c r="I347" s="164"/>
      <c r="J347" s="165"/>
      <c r="K347" s="164"/>
      <c r="L347" s="165"/>
      <c r="M347" s="6"/>
      <c r="N347" s="32"/>
      <c r="Q347" s="10" t="str">
        <f>+CONCATENATE(E346,I346)</f>
        <v/>
      </c>
      <c r="R347" s="10">
        <f>+J346</f>
        <v>0</v>
      </c>
      <c r="S347" s="11"/>
      <c r="T347" s="10">
        <f>+E346</f>
        <v>0</v>
      </c>
      <c r="U347" s="19" t="str">
        <f>IFERROR(LEFT(I346,FIND("*",I346)-1),"-")</f>
        <v>-</v>
      </c>
      <c r="V347" s="19" t="str">
        <f>IFERROR(RIGHT(I346,LEN(I346)-FIND("*",I346)),"-")</f>
        <v>-</v>
      </c>
      <c r="W347" s="20" t="str">
        <f t="shared" si="184"/>
        <v>-</v>
      </c>
      <c r="X347" s="20" t="str">
        <f>IFERROR(W347*J346,"-")</f>
        <v>-</v>
      </c>
      <c r="Z347" s="33">
        <v>45175</v>
      </c>
    </row>
    <row r="348" spans="1:26" ht="6.95" customHeight="1" x14ac:dyDescent="0.3">
      <c r="A348" s="5"/>
      <c r="B348" s="157"/>
      <c r="C348" s="158"/>
      <c r="D348" s="161"/>
      <c r="E348" s="162"/>
      <c r="F348" s="163"/>
      <c r="G348" s="164"/>
      <c r="H348" s="165"/>
      <c r="I348" s="164"/>
      <c r="J348" s="165"/>
      <c r="K348" s="164"/>
      <c r="L348" s="165"/>
      <c r="M348" s="6"/>
      <c r="N348" s="32"/>
      <c r="Q348" s="10" t="str">
        <f>+CONCATENATE(E346,K346)</f>
        <v/>
      </c>
      <c r="R348" s="10">
        <f>+L346</f>
        <v>0</v>
      </c>
      <c r="S348" s="11"/>
      <c r="T348" s="10">
        <f>+E346</f>
        <v>0</v>
      </c>
      <c r="U348" s="19" t="str">
        <f>IFERROR(LEFT(K346,FIND("*",K346)-1),"-")</f>
        <v>-</v>
      </c>
      <c r="V348" s="19" t="str">
        <f>IFERROR(RIGHT(K346,LEN(K346)-FIND("*",K346)),"-")</f>
        <v>-</v>
      </c>
      <c r="W348" s="20" t="str">
        <f t="shared" si="184"/>
        <v>-</v>
      </c>
      <c r="X348" s="20" t="str">
        <f>IFERROR(W348*L346,"-")</f>
        <v>-</v>
      </c>
      <c r="Z348" s="33">
        <v>45175</v>
      </c>
    </row>
    <row r="349" spans="1:26" ht="6.95" customHeight="1" x14ac:dyDescent="0.3">
      <c r="A349" s="8"/>
      <c r="B349" s="157"/>
      <c r="C349" s="158"/>
      <c r="D349" s="161" t="s">
        <v>39</v>
      </c>
      <c r="E349" s="162"/>
      <c r="F349" s="163" t="s">
        <v>40</v>
      </c>
      <c r="G349" s="164"/>
      <c r="H349" s="165"/>
      <c r="I349" s="164"/>
      <c r="J349" s="165"/>
      <c r="K349" s="164"/>
      <c r="L349" s="165"/>
      <c r="M349" s="6"/>
      <c r="N349" s="32"/>
      <c r="Q349" s="10" t="str">
        <f>+CONCATENATE(E349,G349)</f>
        <v/>
      </c>
      <c r="R349" s="10">
        <f>+H349</f>
        <v>0</v>
      </c>
      <c r="S349" s="11"/>
      <c r="T349" s="10">
        <f>+E349</f>
        <v>0</v>
      </c>
      <c r="U349" s="19" t="str">
        <f t="shared" ref="U349" si="187">IFERROR(LEFT(G349,FIND("*",G349)-1),"-")</f>
        <v>-</v>
      </c>
      <c r="V349" s="19" t="str">
        <f t="shared" ref="V349" si="188">IFERROR(RIGHT(G349,LEN(G349)-FIND("*",G349)),"-")</f>
        <v>-</v>
      </c>
      <c r="W349" s="20" t="str">
        <f t="shared" si="184"/>
        <v>-</v>
      </c>
      <c r="X349" s="20" t="str">
        <f>IFERROR(W349*H349,"-")</f>
        <v>-</v>
      </c>
      <c r="Z349" s="33">
        <v>45175</v>
      </c>
    </row>
    <row r="350" spans="1:26" ht="6.95" customHeight="1" x14ac:dyDescent="0.3">
      <c r="A350" s="5"/>
      <c r="B350" s="157"/>
      <c r="C350" s="158"/>
      <c r="D350" s="161"/>
      <c r="E350" s="162"/>
      <c r="F350" s="163"/>
      <c r="G350" s="164"/>
      <c r="H350" s="165"/>
      <c r="I350" s="164"/>
      <c r="J350" s="165"/>
      <c r="K350" s="164"/>
      <c r="L350" s="165"/>
      <c r="M350" s="6"/>
      <c r="N350" s="32"/>
      <c r="Q350" s="10" t="str">
        <f>+CONCATENATE(E349,I349)</f>
        <v/>
      </c>
      <c r="R350" s="10">
        <f>+J349</f>
        <v>0</v>
      </c>
      <c r="S350" s="11"/>
      <c r="T350" s="10">
        <f>+E349</f>
        <v>0</v>
      </c>
      <c r="U350" s="19" t="str">
        <f>IFERROR(LEFT(I349,FIND("*",I349)-1),"-")</f>
        <v>-</v>
      </c>
      <c r="V350" s="19" t="str">
        <f>IFERROR(RIGHT(I349,LEN(I349)-FIND("*",I349)),"-")</f>
        <v>-</v>
      </c>
      <c r="W350" s="20" t="str">
        <f t="shared" si="184"/>
        <v>-</v>
      </c>
      <c r="X350" s="20" t="str">
        <f t="shared" ref="X350" si="189">IFERROR(W350*J349,"-")</f>
        <v>-</v>
      </c>
      <c r="Z350" s="33">
        <v>45175</v>
      </c>
    </row>
    <row r="351" spans="1:26" ht="6.95" customHeight="1" x14ac:dyDescent="0.3">
      <c r="A351" s="5"/>
      <c r="B351" s="157"/>
      <c r="C351" s="158"/>
      <c r="D351" s="161"/>
      <c r="E351" s="162"/>
      <c r="F351" s="163"/>
      <c r="G351" s="164"/>
      <c r="H351" s="165"/>
      <c r="I351" s="164"/>
      <c r="J351" s="165"/>
      <c r="K351" s="164"/>
      <c r="L351" s="165"/>
      <c r="M351" s="6"/>
      <c r="N351" s="32"/>
      <c r="Q351" s="10" t="str">
        <f>+CONCATENATE(E349,K349)</f>
        <v/>
      </c>
      <c r="R351" s="10">
        <f>+L349</f>
        <v>0</v>
      </c>
      <c r="S351" s="11"/>
      <c r="T351" s="10">
        <f>+E349</f>
        <v>0</v>
      </c>
      <c r="U351" s="19" t="str">
        <f>IFERROR(LEFT(K349,FIND("*",K349)-1),"-")</f>
        <v>-</v>
      </c>
      <c r="V351" s="19" t="str">
        <f>IFERROR(RIGHT(K349,LEN(K349)-FIND("*",K349)),"-")</f>
        <v>-</v>
      </c>
      <c r="W351" s="20" t="str">
        <f t="shared" si="184"/>
        <v>-</v>
      </c>
      <c r="X351" s="20" t="str">
        <f>IFERROR(W351*L349,"-")</f>
        <v>-</v>
      </c>
      <c r="Z351" s="33">
        <v>45175</v>
      </c>
    </row>
    <row r="352" spans="1:26" ht="21" customHeight="1" thickBot="1" x14ac:dyDescent="0.35">
      <c r="A352" s="5"/>
      <c r="B352" s="159"/>
      <c r="C352" s="160"/>
      <c r="D352" s="166" t="s">
        <v>43</v>
      </c>
      <c r="E352" s="167"/>
      <c r="F352" s="167"/>
      <c r="G352" s="168" t="s">
        <v>205</v>
      </c>
      <c r="H352" s="168"/>
      <c r="I352" s="168"/>
      <c r="J352" s="168"/>
      <c r="K352" s="168"/>
      <c r="L352" s="168"/>
      <c r="M352" s="7"/>
      <c r="N352" s="32"/>
      <c r="Z352" s="33">
        <v>45175</v>
      </c>
    </row>
    <row r="353" spans="1:26" ht="9.9499999999999993" customHeight="1" thickBot="1" x14ac:dyDescent="0.35">
      <c r="B353" s="9"/>
      <c r="C353" s="109">
        <v>832</v>
      </c>
      <c r="D353" s="51"/>
      <c r="E353" s="12"/>
      <c r="F353" s="51"/>
      <c r="G353" s="14"/>
      <c r="H353" s="14"/>
      <c r="I353" s="14"/>
      <c r="J353" s="14"/>
      <c r="K353" s="14"/>
      <c r="L353" s="14"/>
      <c r="M353" s="9"/>
      <c r="N353" s="32"/>
      <c r="U353" s="18"/>
      <c r="V353" s="18"/>
      <c r="Z353" s="33">
        <v>45175</v>
      </c>
    </row>
    <row r="354" spans="1:26" ht="6.95" customHeight="1" x14ac:dyDescent="0.3">
      <c r="A354" s="154">
        <f>+A343+1</f>
        <v>833</v>
      </c>
      <c r="B354" s="155"/>
      <c r="C354" s="156"/>
      <c r="D354" s="161" t="s">
        <v>39</v>
      </c>
      <c r="E354" s="162" t="s">
        <v>186</v>
      </c>
      <c r="F354" s="163" t="s">
        <v>40</v>
      </c>
      <c r="G354" s="164">
        <v>150</v>
      </c>
      <c r="H354" s="165">
        <v>4</v>
      </c>
      <c r="I354" s="164"/>
      <c r="J354" s="165"/>
      <c r="K354" s="164"/>
      <c r="L354" s="165"/>
      <c r="M354" s="6"/>
      <c r="N354" s="32"/>
      <c r="Q354" s="10" t="str">
        <f>+CONCATENATE(E354,G354)</f>
        <v>금속관벽체150</v>
      </c>
      <c r="R354" s="10">
        <f>+H354</f>
        <v>4</v>
      </c>
      <c r="S354" s="11"/>
      <c r="T354" s="10" t="str">
        <f>+E354</f>
        <v>금속관벽체</v>
      </c>
      <c r="U354" s="19" t="str">
        <f>IFERROR(LEFT(G354,FIND("*",G354)-1),"-")</f>
        <v>-</v>
      </c>
      <c r="V354" s="19" t="str">
        <f>IFERROR(RIGHT(G354,LEN(G354)-FIND("*",G354)),"-")</f>
        <v>-</v>
      </c>
      <c r="W354" s="20" t="str">
        <f>IFERROR((U354+V354)*2/1000,"-")</f>
        <v>-</v>
      </c>
      <c r="X354" s="20" t="str">
        <f>IFERROR(W354*H354,"-")</f>
        <v>-</v>
      </c>
      <c r="Z354" s="33">
        <v>45175</v>
      </c>
    </row>
    <row r="355" spans="1:26" ht="6.95" customHeight="1" x14ac:dyDescent="0.3">
      <c r="A355" s="154"/>
      <c r="B355" s="157"/>
      <c r="C355" s="158"/>
      <c r="D355" s="161"/>
      <c r="E355" s="162"/>
      <c r="F355" s="163"/>
      <c r="G355" s="164"/>
      <c r="H355" s="165"/>
      <c r="I355" s="164"/>
      <c r="J355" s="165"/>
      <c r="K355" s="164"/>
      <c r="L355" s="165"/>
      <c r="M355" s="6"/>
      <c r="N355" s="32"/>
      <c r="Q355" s="10" t="str">
        <f>+CONCATENATE(E354,I354)</f>
        <v>금속관벽체</v>
      </c>
      <c r="R355" s="10">
        <f>+J354</f>
        <v>0</v>
      </c>
      <c r="S355" s="11"/>
      <c r="T355" s="10" t="str">
        <f>+E354</f>
        <v>금속관벽체</v>
      </c>
      <c r="U355" s="19" t="str">
        <f>IFERROR(LEFT(I354,FIND("*",I354)-1),"-")</f>
        <v>-</v>
      </c>
      <c r="V355" s="19" t="str">
        <f>IFERROR(RIGHT(I354,LEN(I354)-FIND("*",I354)),"-")</f>
        <v>-</v>
      </c>
      <c r="W355" s="20" t="str">
        <f t="shared" ref="W355:W362" si="190">IFERROR((U355+V355)*2/1000,"-")</f>
        <v>-</v>
      </c>
      <c r="X355" s="20" t="str">
        <f>IFERROR(W355*J354,"-")</f>
        <v>-</v>
      </c>
      <c r="Z355" s="33">
        <v>45175</v>
      </c>
    </row>
    <row r="356" spans="1:26" ht="6.95" customHeight="1" x14ac:dyDescent="0.3">
      <c r="A356" s="154"/>
      <c r="B356" s="157"/>
      <c r="C356" s="158"/>
      <c r="D356" s="161"/>
      <c r="E356" s="162"/>
      <c r="F356" s="163"/>
      <c r="G356" s="164"/>
      <c r="H356" s="165"/>
      <c r="I356" s="164"/>
      <c r="J356" s="165"/>
      <c r="K356" s="164"/>
      <c r="L356" s="165"/>
      <c r="M356" s="6"/>
      <c r="N356" s="32"/>
      <c r="Q356" s="10" t="str">
        <f>+CONCATENATE(E354,K354)</f>
        <v>금속관벽체</v>
      </c>
      <c r="R356" s="10">
        <f>+L354</f>
        <v>0</v>
      </c>
      <c r="S356" s="11"/>
      <c r="T356" s="10" t="str">
        <f>+E354</f>
        <v>금속관벽체</v>
      </c>
      <c r="U356" s="19" t="str">
        <f>IFERROR(LEFT(K354,FIND("*",K354)-1),"-")</f>
        <v>-</v>
      </c>
      <c r="V356" s="19" t="str">
        <f>IFERROR(RIGHT(K354,LEN(K354)-FIND("*",K354)),"-")</f>
        <v>-</v>
      </c>
      <c r="W356" s="20" t="str">
        <f t="shared" si="190"/>
        <v>-</v>
      </c>
      <c r="X356" s="20" t="str">
        <f>IFERROR(W356*L354,"-")</f>
        <v>-</v>
      </c>
      <c r="Z356" s="33">
        <v>45175</v>
      </c>
    </row>
    <row r="357" spans="1:26" ht="6.95" customHeight="1" x14ac:dyDescent="0.3">
      <c r="A357" s="8"/>
      <c r="B357" s="157"/>
      <c r="C357" s="158"/>
      <c r="D357" s="161" t="s">
        <v>39</v>
      </c>
      <c r="E357" s="162"/>
      <c r="F357" s="163" t="s">
        <v>40</v>
      </c>
      <c r="G357" s="164"/>
      <c r="H357" s="165"/>
      <c r="I357" s="164"/>
      <c r="J357" s="165"/>
      <c r="K357" s="164"/>
      <c r="L357" s="165"/>
      <c r="M357" s="6"/>
      <c r="N357" s="32"/>
      <c r="Q357" s="10" t="str">
        <f>+CONCATENATE(E357,G357)</f>
        <v/>
      </c>
      <c r="R357" s="10">
        <f>+H357</f>
        <v>0</v>
      </c>
      <c r="S357" s="11"/>
      <c r="T357" s="10">
        <f>+E357</f>
        <v>0</v>
      </c>
      <c r="U357" s="19" t="str">
        <f t="shared" ref="U357" si="191">IFERROR(LEFT(G357,FIND("*",G357)-1),"-")</f>
        <v>-</v>
      </c>
      <c r="V357" s="19" t="str">
        <f t="shared" ref="V357" si="192">IFERROR(RIGHT(G357,LEN(G357)-FIND("*",G357)),"-")</f>
        <v>-</v>
      </c>
      <c r="W357" s="20" t="str">
        <f t="shared" si="190"/>
        <v>-</v>
      </c>
      <c r="X357" s="20" t="str">
        <f>IFERROR(W357*H357,"-")</f>
        <v>-</v>
      </c>
      <c r="Z357" s="33">
        <v>45175</v>
      </c>
    </row>
    <row r="358" spans="1:26" ht="6.95" customHeight="1" x14ac:dyDescent="0.3">
      <c r="A358" s="5"/>
      <c r="B358" s="157"/>
      <c r="C358" s="158"/>
      <c r="D358" s="161"/>
      <c r="E358" s="162"/>
      <c r="F358" s="163"/>
      <c r="G358" s="164"/>
      <c r="H358" s="165"/>
      <c r="I358" s="164"/>
      <c r="J358" s="165"/>
      <c r="K358" s="164"/>
      <c r="L358" s="165"/>
      <c r="M358" s="6"/>
      <c r="N358" s="32"/>
      <c r="Q358" s="10" t="str">
        <f>+CONCATENATE(E357,I357)</f>
        <v/>
      </c>
      <c r="R358" s="10">
        <f>+J357</f>
        <v>0</v>
      </c>
      <c r="S358" s="11"/>
      <c r="T358" s="10">
        <f>+E357</f>
        <v>0</v>
      </c>
      <c r="U358" s="19" t="str">
        <f>IFERROR(LEFT(I357,FIND("*",I357)-1),"-")</f>
        <v>-</v>
      </c>
      <c r="V358" s="19" t="str">
        <f>IFERROR(RIGHT(I357,LEN(I357)-FIND("*",I357)),"-")</f>
        <v>-</v>
      </c>
      <c r="W358" s="20" t="str">
        <f t="shared" si="190"/>
        <v>-</v>
      </c>
      <c r="X358" s="20" t="str">
        <f>IFERROR(W358*J357,"-")</f>
        <v>-</v>
      </c>
      <c r="Z358" s="33">
        <v>45175</v>
      </c>
    </row>
    <row r="359" spans="1:26" ht="6.95" customHeight="1" x14ac:dyDescent="0.3">
      <c r="A359" s="5"/>
      <c r="B359" s="157"/>
      <c r="C359" s="158"/>
      <c r="D359" s="161"/>
      <c r="E359" s="162"/>
      <c r="F359" s="163"/>
      <c r="G359" s="164"/>
      <c r="H359" s="165"/>
      <c r="I359" s="164"/>
      <c r="J359" s="165"/>
      <c r="K359" s="164"/>
      <c r="L359" s="165"/>
      <c r="M359" s="6"/>
      <c r="N359" s="32"/>
      <c r="Q359" s="10" t="str">
        <f>+CONCATENATE(E357,K357)</f>
        <v/>
      </c>
      <c r="R359" s="10">
        <f>+L357</f>
        <v>0</v>
      </c>
      <c r="S359" s="11"/>
      <c r="T359" s="10">
        <f>+E357</f>
        <v>0</v>
      </c>
      <c r="U359" s="19" t="str">
        <f>IFERROR(LEFT(K357,FIND("*",K357)-1),"-")</f>
        <v>-</v>
      </c>
      <c r="V359" s="19" t="str">
        <f>IFERROR(RIGHT(K357,LEN(K357)-FIND("*",K357)),"-")</f>
        <v>-</v>
      </c>
      <c r="W359" s="20" t="str">
        <f t="shared" si="190"/>
        <v>-</v>
      </c>
      <c r="X359" s="20" t="str">
        <f>IFERROR(W359*L357,"-")</f>
        <v>-</v>
      </c>
      <c r="Z359" s="33">
        <v>45175</v>
      </c>
    </row>
    <row r="360" spans="1:26" ht="6.95" customHeight="1" x14ac:dyDescent="0.3">
      <c r="A360" s="8"/>
      <c r="B360" s="157"/>
      <c r="C360" s="158"/>
      <c r="D360" s="161" t="s">
        <v>39</v>
      </c>
      <c r="E360" s="162"/>
      <c r="F360" s="163" t="s">
        <v>40</v>
      </c>
      <c r="G360" s="164"/>
      <c r="H360" s="165"/>
      <c r="I360" s="164"/>
      <c r="J360" s="165"/>
      <c r="K360" s="164"/>
      <c r="L360" s="165"/>
      <c r="M360" s="6"/>
      <c r="N360" s="32"/>
      <c r="Q360" s="10" t="str">
        <f>+CONCATENATE(E360,G360)</f>
        <v/>
      </c>
      <c r="R360" s="10">
        <f>+H360</f>
        <v>0</v>
      </c>
      <c r="S360" s="11"/>
      <c r="T360" s="10">
        <f>+E360</f>
        <v>0</v>
      </c>
      <c r="U360" s="19" t="str">
        <f t="shared" ref="U360" si="193">IFERROR(LEFT(G360,FIND("*",G360)-1),"-")</f>
        <v>-</v>
      </c>
      <c r="V360" s="19" t="str">
        <f t="shared" ref="V360" si="194">IFERROR(RIGHT(G360,LEN(G360)-FIND("*",G360)),"-")</f>
        <v>-</v>
      </c>
      <c r="W360" s="20" t="str">
        <f t="shared" si="190"/>
        <v>-</v>
      </c>
      <c r="X360" s="20" t="str">
        <f>IFERROR(W360*H360,"-")</f>
        <v>-</v>
      </c>
      <c r="Z360" s="33">
        <v>45175</v>
      </c>
    </row>
    <row r="361" spans="1:26" ht="6.95" customHeight="1" x14ac:dyDescent="0.3">
      <c r="A361" s="5"/>
      <c r="B361" s="157"/>
      <c r="C361" s="158"/>
      <c r="D361" s="161"/>
      <c r="E361" s="162"/>
      <c r="F361" s="163"/>
      <c r="G361" s="164"/>
      <c r="H361" s="165"/>
      <c r="I361" s="164"/>
      <c r="J361" s="165"/>
      <c r="K361" s="164"/>
      <c r="L361" s="165"/>
      <c r="M361" s="6"/>
      <c r="N361" s="32"/>
      <c r="Q361" s="10" t="str">
        <f>+CONCATENATE(E360,I360)</f>
        <v/>
      </c>
      <c r="R361" s="10">
        <f>+J360</f>
        <v>0</v>
      </c>
      <c r="S361" s="11"/>
      <c r="T361" s="10">
        <f>+E360</f>
        <v>0</v>
      </c>
      <c r="U361" s="19" t="str">
        <f>IFERROR(LEFT(I360,FIND("*",I360)-1),"-")</f>
        <v>-</v>
      </c>
      <c r="V361" s="19" t="str">
        <f>IFERROR(RIGHT(I360,LEN(I360)-FIND("*",I360)),"-")</f>
        <v>-</v>
      </c>
      <c r="W361" s="20" t="str">
        <f t="shared" si="190"/>
        <v>-</v>
      </c>
      <c r="X361" s="20" t="str">
        <f t="shared" ref="X361" si="195">IFERROR(W361*J360,"-")</f>
        <v>-</v>
      </c>
      <c r="Z361" s="33">
        <v>45175</v>
      </c>
    </row>
    <row r="362" spans="1:26" ht="6.95" customHeight="1" x14ac:dyDescent="0.3">
      <c r="A362" s="5"/>
      <c r="B362" s="157"/>
      <c r="C362" s="158"/>
      <c r="D362" s="161"/>
      <c r="E362" s="162"/>
      <c r="F362" s="163"/>
      <c r="G362" s="164"/>
      <c r="H362" s="165"/>
      <c r="I362" s="164"/>
      <c r="J362" s="165"/>
      <c r="K362" s="164"/>
      <c r="L362" s="165"/>
      <c r="M362" s="6"/>
      <c r="N362" s="32"/>
      <c r="Q362" s="10" t="str">
        <f>+CONCATENATE(E360,K360)</f>
        <v/>
      </c>
      <c r="R362" s="10">
        <f>+L360</f>
        <v>0</v>
      </c>
      <c r="S362" s="11"/>
      <c r="T362" s="10">
        <f>+E360</f>
        <v>0</v>
      </c>
      <c r="U362" s="19" t="str">
        <f>IFERROR(LEFT(K360,FIND("*",K360)-1),"-")</f>
        <v>-</v>
      </c>
      <c r="V362" s="19" t="str">
        <f>IFERROR(RIGHT(K360,LEN(K360)-FIND("*",K360)),"-")</f>
        <v>-</v>
      </c>
      <c r="W362" s="20" t="str">
        <f t="shared" si="190"/>
        <v>-</v>
      </c>
      <c r="X362" s="20" t="str">
        <f>IFERROR(W362*L360,"-")</f>
        <v>-</v>
      </c>
      <c r="Z362" s="33">
        <v>45175</v>
      </c>
    </row>
    <row r="363" spans="1:26" ht="21" customHeight="1" thickBot="1" x14ac:dyDescent="0.35">
      <c r="A363" s="5"/>
      <c r="B363" s="159"/>
      <c r="C363" s="160"/>
      <c r="D363" s="166" t="s">
        <v>43</v>
      </c>
      <c r="E363" s="167"/>
      <c r="F363" s="167"/>
      <c r="G363" s="168" t="s">
        <v>205</v>
      </c>
      <c r="H363" s="168"/>
      <c r="I363" s="168"/>
      <c r="J363" s="168"/>
      <c r="K363" s="168"/>
      <c r="L363" s="168"/>
      <c r="M363" s="7"/>
      <c r="N363" s="32"/>
      <c r="Z363" s="33">
        <v>45175</v>
      </c>
    </row>
    <row r="364" spans="1:26" ht="9.9499999999999993" customHeight="1" thickBot="1" x14ac:dyDescent="0.35">
      <c r="B364" s="9"/>
      <c r="C364" s="109">
        <v>833</v>
      </c>
      <c r="D364" s="51"/>
      <c r="E364" s="12"/>
      <c r="F364" s="51"/>
      <c r="G364" s="14"/>
      <c r="H364" s="14"/>
      <c r="I364" s="14"/>
      <c r="J364" s="14"/>
      <c r="K364" s="14"/>
      <c r="L364" s="14"/>
      <c r="M364" s="9"/>
      <c r="N364" s="32"/>
      <c r="U364" s="18"/>
      <c r="V364" s="18"/>
      <c r="Z364" s="33">
        <v>45175</v>
      </c>
    </row>
    <row r="365" spans="1:26" ht="6.95" customHeight="1" x14ac:dyDescent="0.3">
      <c r="A365" s="154">
        <f>+A354+1</f>
        <v>834</v>
      </c>
      <c r="B365" s="155"/>
      <c r="C365" s="156"/>
      <c r="D365" s="161" t="s">
        <v>39</v>
      </c>
      <c r="E365" s="162" t="s">
        <v>186</v>
      </c>
      <c r="F365" s="163" t="s">
        <v>40</v>
      </c>
      <c r="G365" s="164">
        <v>50</v>
      </c>
      <c r="H365" s="165">
        <v>1</v>
      </c>
      <c r="I365" s="164"/>
      <c r="J365" s="165"/>
      <c r="K365" s="164"/>
      <c r="L365" s="165"/>
      <c r="M365" s="6"/>
      <c r="N365" s="32"/>
      <c r="Q365" s="10" t="str">
        <f>+CONCATENATE(E365,G365)</f>
        <v>금속관벽체50</v>
      </c>
      <c r="R365" s="10">
        <f>+H365</f>
        <v>1</v>
      </c>
      <c r="S365" s="11"/>
      <c r="T365" s="10" t="str">
        <f>+E365</f>
        <v>금속관벽체</v>
      </c>
      <c r="U365" s="19" t="str">
        <f>IFERROR(LEFT(G365,FIND("*",G365)-1),"-")</f>
        <v>-</v>
      </c>
      <c r="V365" s="19" t="str">
        <f>IFERROR(RIGHT(G365,LEN(G365)-FIND("*",G365)),"-")</f>
        <v>-</v>
      </c>
      <c r="W365" s="20" t="str">
        <f>IFERROR((U365+V365)*2/1000,"-")</f>
        <v>-</v>
      </c>
      <c r="X365" s="20" t="str">
        <f>IFERROR(W365*H365,"-")</f>
        <v>-</v>
      </c>
      <c r="Z365" s="33">
        <v>45175</v>
      </c>
    </row>
    <row r="366" spans="1:26" ht="6.95" customHeight="1" x14ac:dyDescent="0.3">
      <c r="A366" s="154"/>
      <c r="B366" s="157"/>
      <c r="C366" s="158"/>
      <c r="D366" s="161"/>
      <c r="E366" s="162"/>
      <c r="F366" s="163"/>
      <c r="G366" s="164"/>
      <c r="H366" s="165"/>
      <c r="I366" s="164"/>
      <c r="J366" s="165"/>
      <c r="K366" s="164"/>
      <c r="L366" s="165"/>
      <c r="M366" s="6"/>
      <c r="N366" s="32"/>
      <c r="Q366" s="10" t="str">
        <f>+CONCATENATE(E365,I365)</f>
        <v>금속관벽체</v>
      </c>
      <c r="R366" s="10">
        <f>+J365</f>
        <v>0</v>
      </c>
      <c r="S366" s="11"/>
      <c r="T366" s="10" t="str">
        <f>+E365</f>
        <v>금속관벽체</v>
      </c>
      <c r="U366" s="19" t="str">
        <f>IFERROR(LEFT(I365,FIND("*",I365)-1),"-")</f>
        <v>-</v>
      </c>
      <c r="V366" s="19" t="str">
        <f>IFERROR(RIGHT(I365,LEN(I365)-FIND("*",I365)),"-")</f>
        <v>-</v>
      </c>
      <c r="W366" s="20" t="str">
        <f t="shared" ref="W366:W373" si="196">IFERROR((U366+V366)*2/1000,"-")</f>
        <v>-</v>
      </c>
      <c r="X366" s="20" t="str">
        <f>IFERROR(W366*J365,"-")</f>
        <v>-</v>
      </c>
      <c r="Z366" s="33">
        <v>45175</v>
      </c>
    </row>
    <row r="367" spans="1:26" ht="6.95" customHeight="1" x14ac:dyDescent="0.3">
      <c r="A367" s="154"/>
      <c r="B367" s="157"/>
      <c r="C367" s="158"/>
      <c r="D367" s="161"/>
      <c r="E367" s="162"/>
      <c r="F367" s="163"/>
      <c r="G367" s="164"/>
      <c r="H367" s="165"/>
      <c r="I367" s="164"/>
      <c r="J367" s="165"/>
      <c r="K367" s="164"/>
      <c r="L367" s="165"/>
      <c r="M367" s="6"/>
      <c r="N367" s="32"/>
      <c r="Q367" s="10" t="str">
        <f>+CONCATENATE(E365,K365)</f>
        <v>금속관벽체</v>
      </c>
      <c r="R367" s="10">
        <f>+L365</f>
        <v>0</v>
      </c>
      <c r="S367" s="11"/>
      <c r="T367" s="10" t="str">
        <f>+E365</f>
        <v>금속관벽체</v>
      </c>
      <c r="U367" s="19" t="str">
        <f>IFERROR(LEFT(K365,FIND("*",K365)-1),"-")</f>
        <v>-</v>
      </c>
      <c r="V367" s="19" t="str">
        <f>IFERROR(RIGHT(K365,LEN(K365)-FIND("*",K365)),"-")</f>
        <v>-</v>
      </c>
      <c r="W367" s="20" t="str">
        <f t="shared" si="196"/>
        <v>-</v>
      </c>
      <c r="X367" s="20" t="str">
        <f>IFERROR(W367*L365,"-")</f>
        <v>-</v>
      </c>
      <c r="Z367" s="33">
        <v>45175</v>
      </c>
    </row>
    <row r="368" spans="1:26" ht="6.95" customHeight="1" x14ac:dyDescent="0.3">
      <c r="A368" s="8"/>
      <c r="B368" s="157"/>
      <c r="C368" s="158"/>
      <c r="D368" s="161" t="s">
        <v>39</v>
      </c>
      <c r="E368" s="162"/>
      <c r="F368" s="163" t="s">
        <v>40</v>
      </c>
      <c r="G368" s="164"/>
      <c r="H368" s="165"/>
      <c r="I368" s="164"/>
      <c r="J368" s="165"/>
      <c r="K368" s="164"/>
      <c r="L368" s="165"/>
      <c r="M368" s="6"/>
      <c r="N368" s="32"/>
      <c r="Q368" s="10" t="str">
        <f>+CONCATENATE(E368,G368)</f>
        <v/>
      </c>
      <c r="R368" s="10">
        <f>+H368</f>
        <v>0</v>
      </c>
      <c r="S368" s="11"/>
      <c r="T368" s="10">
        <f>+E368</f>
        <v>0</v>
      </c>
      <c r="U368" s="19" t="str">
        <f t="shared" ref="U368" si="197">IFERROR(LEFT(G368,FIND("*",G368)-1),"-")</f>
        <v>-</v>
      </c>
      <c r="V368" s="19" t="str">
        <f t="shared" ref="V368" si="198">IFERROR(RIGHT(G368,LEN(G368)-FIND("*",G368)),"-")</f>
        <v>-</v>
      </c>
      <c r="W368" s="20" t="str">
        <f t="shared" si="196"/>
        <v>-</v>
      </c>
      <c r="X368" s="20" t="str">
        <f>IFERROR(W368*H368,"-")</f>
        <v>-</v>
      </c>
      <c r="Z368" s="33">
        <v>45175</v>
      </c>
    </row>
    <row r="369" spans="1:26" ht="6.95" customHeight="1" x14ac:dyDescent="0.3">
      <c r="A369" s="5"/>
      <c r="B369" s="157"/>
      <c r="C369" s="158"/>
      <c r="D369" s="161"/>
      <c r="E369" s="162"/>
      <c r="F369" s="163"/>
      <c r="G369" s="164"/>
      <c r="H369" s="165"/>
      <c r="I369" s="164"/>
      <c r="J369" s="165"/>
      <c r="K369" s="164"/>
      <c r="L369" s="165"/>
      <c r="M369" s="6"/>
      <c r="N369" s="32"/>
      <c r="Q369" s="10" t="str">
        <f>+CONCATENATE(E368,I368)</f>
        <v/>
      </c>
      <c r="R369" s="10">
        <f>+J368</f>
        <v>0</v>
      </c>
      <c r="S369" s="11"/>
      <c r="T369" s="10">
        <f>+E368</f>
        <v>0</v>
      </c>
      <c r="U369" s="19" t="str">
        <f>IFERROR(LEFT(I368,FIND("*",I368)-1),"-")</f>
        <v>-</v>
      </c>
      <c r="V369" s="19" t="str">
        <f>IFERROR(RIGHT(I368,LEN(I368)-FIND("*",I368)),"-")</f>
        <v>-</v>
      </c>
      <c r="W369" s="20" t="str">
        <f t="shared" si="196"/>
        <v>-</v>
      </c>
      <c r="X369" s="20" t="str">
        <f>IFERROR(W369*J368,"-")</f>
        <v>-</v>
      </c>
      <c r="Z369" s="33">
        <v>45175</v>
      </c>
    </row>
    <row r="370" spans="1:26" ht="6.95" customHeight="1" x14ac:dyDescent="0.3">
      <c r="A370" s="5"/>
      <c r="B370" s="157"/>
      <c r="C370" s="158"/>
      <c r="D370" s="161"/>
      <c r="E370" s="162"/>
      <c r="F370" s="163"/>
      <c r="G370" s="164"/>
      <c r="H370" s="165"/>
      <c r="I370" s="164"/>
      <c r="J370" s="165"/>
      <c r="K370" s="164"/>
      <c r="L370" s="165"/>
      <c r="M370" s="6"/>
      <c r="N370" s="32"/>
      <c r="Q370" s="10" t="str">
        <f>+CONCATENATE(E368,K368)</f>
        <v/>
      </c>
      <c r="R370" s="10">
        <f>+L368</f>
        <v>0</v>
      </c>
      <c r="S370" s="11"/>
      <c r="T370" s="10">
        <f>+E368</f>
        <v>0</v>
      </c>
      <c r="U370" s="19" t="str">
        <f>IFERROR(LEFT(K368,FIND("*",K368)-1),"-")</f>
        <v>-</v>
      </c>
      <c r="V370" s="19" t="str">
        <f>IFERROR(RIGHT(K368,LEN(K368)-FIND("*",K368)),"-")</f>
        <v>-</v>
      </c>
      <c r="W370" s="20" t="str">
        <f t="shared" si="196"/>
        <v>-</v>
      </c>
      <c r="X370" s="20" t="str">
        <f>IFERROR(W370*L368,"-")</f>
        <v>-</v>
      </c>
      <c r="Z370" s="33">
        <v>45175</v>
      </c>
    </row>
    <row r="371" spans="1:26" ht="6.95" customHeight="1" x14ac:dyDescent="0.3">
      <c r="A371" s="8"/>
      <c r="B371" s="157"/>
      <c r="C371" s="158"/>
      <c r="D371" s="161" t="s">
        <v>39</v>
      </c>
      <c r="E371" s="162"/>
      <c r="F371" s="163" t="s">
        <v>40</v>
      </c>
      <c r="G371" s="164"/>
      <c r="H371" s="165"/>
      <c r="I371" s="164"/>
      <c r="J371" s="165"/>
      <c r="K371" s="164"/>
      <c r="L371" s="165"/>
      <c r="M371" s="6"/>
      <c r="N371" s="32"/>
      <c r="Q371" s="10" t="str">
        <f>+CONCATENATE(E371,G371)</f>
        <v/>
      </c>
      <c r="R371" s="10">
        <f>+H371</f>
        <v>0</v>
      </c>
      <c r="S371" s="11"/>
      <c r="T371" s="10">
        <f>+E371</f>
        <v>0</v>
      </c>
      <c r="U371" s="19" t="str">
        <f t="shared" ref="U371" si="199">IFERROR(LEFT(G371,FIND("*",G371)-1),"-")</f>
        <v>-</v>
      </c>
      <c r="V371" s="19" t="str">
        <f t="shared" ref="V371" si="200">IFERROR(RIGHT(G371,LEN(G371)-FIND("*",G371)),"-")</f>
        <v>-</v>
      </c>
      <c r="W371" s="20" t="str">
        <f t="shared" si="196"/>
        <v>-</v>
      </c>
      <c r="X371" s="20" t="str">
        <f>IFERROR(W371*H371,"-")</f>
        <v>-</v>
      </c>
      <c r="Z371" s="33">
        <v>45175</v>
      </c>
    </row>
    <row r="372" spans="1:26" ht="6.95" customHeight="1" x14ac:dyDescent="0.3">
      <c r="A372" s="5"/>
      <c r="B372" s="157"/>
      <c r="C372" s="158"/>
      <c r="D372" s="161"/>
      <c r="E372" s="162"/>
      <c r="F372" s="163"/>
      <c r="G372" s="164"/>
      <c r="H372" s="165"/>
      <c r="I372" s="164"/>
      <c r="J372" s="165"/>
      <c r="K372" s="164"/>
      <c r="L372" s="165"/>
      <c r="M372" s="6"/>
      <c r="N372" s="32"/>
      <c r="Q372" s="10" t="str">
        <f>+CONCATENATE(E371,I371)</f>
        <v/>
      </c>
      <c r="R372" s="10">
        <f>+J371</f>
        <v>0</v>
      </c>
      <c r="S372" s="11"/>
      <c r="T372" s="10">
        <f>+E371</f>
        <v>0</v>
      </c>
      <c r="U372" s="19" t="str">
        <f>IFERROR(LEFT(I371,FIND("*",I371)-1),"-")</f>
        <v>-</v>
      </c>
      <c r="V372" s="19" t="str">
        <f>IFERROR(RIGHT(I371,LEN(I371)-FIND("*",I371)),"-")</f>
        <v>-</v>
      </c>
      <c r="W372" s="20" t="str">
        <f t="shared" si="196"/>
        <v>-</v>
      </c>
      <c r="X372" s="20" t="str">
        <f t="shared" ref="X372" si="201">IFERROR(W372*J371,"-")</f>
        <v>-</v>
      </c>
      <c r="Z372" s="33">
        <v>45175</v>
      </c>
    </row>
    <row r="373" spans="1:26" ht="6.95" customHeight="1" x14ac:dyDescent="0.3">
      <c r="A373" s="5"/>
      <c r="B373" s="157"/>
      <c r="C373" s="158"/>
      <c r="D373" s="161"/>
      <c r="E373" s="162"/>
      <c r="F373" s="163"/>
      <c r="G373" s="164"/>
      <c r="H373" s="165"/>
      <c r="I373" s="164"/>
      <c r="J373" s="165"/>
      <c r="K373" s="164"/>
      <c r="L373" s="165"/>
      <c r="M373" s="6"/>
      <c r="N373" s="32"/>
      <c r="Q373" s="10" t="str">
        <f>+CONCATENATE(E371,K371)</f>
        <v/>
      </c>
      <c r="R373" s="10">
        <f>+L371</f>
        <v>0</v>
      </c>
      <c r="S373" s="11"/>
      <c r="T373" s="10">
        <f>+E371</f>
        <v>0</v>
      </c>
      <c r="U373" s="19" t="str">
        <f>IFERROR(LEFT(K371,FIND("*",K371)-1),"-")</f>
        <v>-</v>
      </c>
      <c r="V373" s="19" t="str">
        <f>IFERROR(RIGHT(K371,LEN(K371)-FIND("*",K371)),"-")</f>
        <v>-</v>
      </c>
      <c r="W373" s="20" t="str">
        <f t="shared" si="196"/>
        <v>-</v>
      </c>
      <c r="X373" s="20" t="str">
        <f>IFERROR(W373*L371,"-")</f>
        <v>-</v>
      </c>
      <c r="Z373" s="33">
        <v>45175</v>
      </c>
    </row>
    <row r="374" spans="1:26" ht="21" customHeight="1" thickBot="1" x14ac:dyDescent="0.35">
      <c r="A374" s="5"/>
      <c r="B374" s="159"/>
      <c r="C374" s="160"/>
      <c r="D374" s="166" t="s">
        <v>43</v>
      </c>
      <c r="E374" s="167"/>
      <c r="F374" s="167"/>
      <c r="G374" s="168" t="s">
        <v>205</v>
      </c>
      <c r="H374" s="168"/>
      <c r="I374" s="168"/>
      <c r="J374" s="168"/>
      <c r="K374" s="168"/>
      <c r="L374" s="168"/>
      <c r="M374" s="7"/>
      <c r="N374" s="32"/>
      <c r="Z374" s="33">
        <v>45175</v>
      </c>
    </row>
    <row r="375" spans="1:26" ht="9.9499999999999993" customHeight="1" thickBot="1" x14ac:dyDescent="0.35">
      <c r="B375" s="9"/>
      <c r="C375" s="109">
        <v>834</v>
      </c>
      <c r="D375" s="51"/>
      <c r="E375" s="12"/>
      <c r="F375" s="51"/>
      <c r="G375" s="14"/>
      <c r="H375" s="14"/>
      <c r="I375" s="14"/>
      <c r="J375" s="14"/>
      <c r="K375" s="14"/>
      <c r="L375" s="14"/>
      <c r="M375" s="9"/>
      <c r="N375" s="32"/>
      <c r="U375" s="18"/>
      <c r="V375" s="18"/>
      <c r="Z375" s="33">
        <v>45175</v>
      </c>
    </row>
    <row r="376" spans="1:26" ht="6.95" customHeight="1" x14ac:dyDescent="0.3">
      <c r="A376" s="154">
        <f>+A365+1</f>
        <v>835</v>
      </c>
      <c r="B376" s="155"/>
      <c r="C376" s="156"/>
      <c r="D376" s="161" t="s">
        <v>39</v>
      </c>
      <c r="E376" s="162" t="s">
        <v>186</v>
      </c>
      <c r="F376" s="163" t="s">
        <v>40</v>
      </c>
      <c r="G376" s="164">
        <v>150</v>
      </c>
      <c r="H376" s="165">
        <v>4</v>
      </c>
      <c r="I376" s="164"/>
      <c r="J376" s="165"/>
      <c r="K376" s="164"/>
      <c r="L376" s="165"/>
      <c r="M376" s="6"/>
      <c r="N376" s="32"/>
      <c r="Q376" s="10" t="str">
        <f>+CONCATENATE(E376,G376)</f>
        <v>금속관벽체150</v>
      </c>
      <c r="R376" s="10">
        <f>+H376</f>
        <v>4</v>
      </c>
      <c r="S376" s="11"/>
      <c r="T376" s="10" t="str">
        <f>+E376</f>
        <v>금속관벽체</v>
      </c>
      <c r="U376" s="19" t="str">
        <f>IFERROR(LEFT(G376,FIND("*",G376)-1),"-")</f>
        <v>-</v>
      </c>
      <c r="V376" s="19" t="str">
        <f>IFERROR(RIGHT(G376,LEN(G376)-FIND("*",G376)),"-")</f>
        <v>-</v>
      </c>
      <c r="W376" s="20" t="str">
        <f>IFERROR((U376+V376)*2/1000,"-")</f>
        <v>-</v>
      </c>
      <c r="X376" s="20" t="str">
        <f>IFERROR(W376*H376,"-")</f>
        <v>-</v>
      </c>
      <c r="Z376" s="33">
        <v>45175</v>
      </c>
    </row>
    <row r="377" spans="1:26" ht="6.95" customHeight="1" x14ac:dyDescent="0.3">
      <c r="A377" s="154"/>
      <c r="B377" s="157"/>
      <c r="C377" s="158"/>
      <c r="D377" s="161"/>
      <c r="E377" s="162"/>
      <c r="F377" s="163"/>
      <c r="G377" s="164"/>
      <c r="H377" s="165"/>
      <c r="I377" s="164"/>
      <c r="J377" s="165"/>
      <c r="K377" s="164"/>
      <c r="L377" s="165"/>
      <c r="M377" s="6"/>
      <c r="N377" s="32"/>
      <c r="Q377" s="10" t="str">
        <f>+CONCATENATE(E376,I376)</f>
        <v>금속관벽체</v>
      </c>
      <c r="R377" s="10">
        <f>+J376</f>
        <v>0</v>
      </c>
      <c r="S377" s="11"/>
      <c r="T377" s="10" t="str">
        <f>+E376</f>
        <v>금속관벽체</v>
      </c>
      <c r="U377" s="19" t="str">
        <f>IFERROR(LEFT(I376,FIND("*",I376)-1),"-")</f>
        <v>-</v>
      </c>
      <c r="V377" s="19" t="str">
        <f>IFERROR(RIGHT(I376,LEN(I376)-FIND("*",I376)),"-")</f>
        <v>-</v>
      </c>
      <c r="W377" s="20" t="str">
        <f t="shared" ref="W377:W384" si="202">IFERROR((U377+V377)*2/1000,"-")</f>
        <v>-</v>
      </c>
      <c r="X377" s="20" t="str">
        <f>IFERROR(W377*J376,"-")</f>
        <v>-</v>
      </c>
      <c r="Z377" s="33">
        <v>45175</v>
      </c>
    </row>
    <row r="378" spans="1:26" ht="6.95" customHeight="1" x14ac:dyDescent="0.3">
      <c r="A378" s="154"/>
      <c r="B378" s="157"/>
      <c r="C378" s="158"/>
      <c r="D378" s="161"/>
      <c r="E378" s="162"/>
      <c r="F378" s="163"/>
      <c r="G378" s="164"/>
      <c r="H378" s="165"/>
      <c r="I378" s="164"/>
      <c r="J378" s="165"/>
      <c r="K378" s="164"/>
      <c r="L378" s="165"/>
      <c r="M378" s="6"/>
      <c r="N378" s="32"/>
      <c r="Q378" s="10" t="str">
        <f>+CONCATENATE(E376,K376)</f>
        <v>금속관벽체</v>
      </c>
      <c r="R378" s="10">
        <f>+L376</f>
        <v>0</v>
      </c>
      <c r="S378" s="11"/>
      <c r="T378" s="10" t="str">
        <f>+E376</f>
        <v>금속관벽체</v>
      </c>
      <c r="U378" s="19" t="str">
        <f>IFERROR(LEFT(K376,FIND("*",K376)-1),"-")</f>
        <v>-</v>
      </c>
      <c r="V378" s="19" t="str">
        <f>IFERROR(RIGHT(K376,LEN(K376)-FIND("*",K376)),"-")</f>
        <v>-</v>
      </c>
      <c r="W378" s="20" t="str">
        <f t="shared" si="202"/>
        <v>-</v>
      </c>
      <c r="X378" s="20" t="str">
        <f>IFERROR(W378*L376,"-")</f>
        <v>-</v>
      </c>
      <c r="Z378" s="33">
        <v>45175</v>
      </c>
    </row>
    <row r="379" spans="1:26" ht="6.95" customHeight="1" x14ac:dyDescent="0.3">
      <c r="A379" s="8"/>
      <c r="B379" s="157"/>
      <c r="C379" s="158"/>
      <c r="D379" s="161" t="s">
        <v>39</v>
      </c>
      <c r="E379" s="162"/>
      <c r="F379" s="163" t="s">
        <v>40</v>
      </c>
      <c r="G379" s="164"/>
      <c r="H379" s="165"/>
      <c r="I379" s="164"/>
      <c r="J379" s="165"/>
      <c r="K379" s="164"/>
      <c r="L379" s="165"/>
      <c r="M379" s="6"/>
      <c r="N379" s="32"/>
      <c r="Q379" s="10" t="str">
        <f>+CONCATENATE(E379,G379)</f>
        <v/>
      </c>
      <c r="R379" s="10">
        <f>+H379</f>
        <v>0</v>
      </c>
      <c r="S379" s="11"/>
      <c r="T379" s="10">
        <f>+E379</f>
        <v>0</v>
      </c>
      <c r="U379" s="19" t="str">
        <f t="shared" ref="U379" si="203">IFERROR(LEFT(G379,FIND("*",G379)-1),"-")</f>
        <v>-</v>
      </c>
      <c r="V379" s="19" t="str">
        <f t="shared" ref="V379" si="204">IFERROR(RIGHT(G379,LEN(G379)-FIND("*",G379)),"-")</f>
        <v>-</v>
      </c>
      <c r="W379" s="20" t="str">
        <f t="shared" si="202"/>
        <v>-</v>
      </c>
      <c r="X379" s="20" t="str">
        <f>IFERROR(W379*H379,"-")</f>
        <v>-</v>
      </c>
      <c r="Z379" s="33">
        <v>45175</v>
      </c>
    </row>
    <row r="380" spans="1:26" ht="6.95" customHeight="1" x14ac:dyDescent="0.3">
      <c r="A380" s="5"/>
      <c r="B380" s="157"/>
      <c r="C380" s="158"/>
      <c r="D380" s="161"/>
      <c r="E380" s="162"/>
      <c r="F380" s="163"/>
      <c r="G380" s="164"/>
      <c r="H380" s="165"/>
      <c r="I380" s="164"/>
      <c r="J380" s="165"/>
      <c r="K380" s="164"/>
      <c r="L380" s="165"/>
      <c r="M380" s="6"/>
      <c r="N380" s="32"/>
      <c r="Q380" s="10" t="str">
        <f>+CONCATENATE(E379,I379)</f>
        <v/>
      </c>
      <c r="R380" s="10">
        <f>+J379</f>
        <v>0</v>
      </c>
      <c r="S380" s="11"/>
      <c r="T380" s="10">
        <f>+E379</f>
        <v>0</v>
      </c>
      <c r="U380" s="19" t="str">
        <f>IFERROR(LEFT(I379,FIND("*",I379)-1),"-")</f>
        <v>-</v>
      </c>
      <c r="V380" s="19" t="str">
        <f>IFERROR(RIGHT(I379,LEN(I379)-FIND("*",I379)),"-")</f>
        <v>-</v>
      </c>
      <c r="W380" s="20" t="str">
        <f t="shared" si="202"/>
        <v>-</v>
      </c>
      <c r="X380" s="20" t="str">
        <f>IFERROR(W380*J379,"-")</f>
        <v>-</v>
      </c>
      <c r="Z380" s="33">
        <v>45175</v>
      </c>
    </row>
    <row r="381" spans="1:26" ht="6.95" customHeight="1" x14ac:dyDescent="0.3">
      <c r="A381" s="5"/>
      <c r="B381" s="157"/>
      <c r="C381" s="158"/>
      <c r="D381" s="161"/>
      <c r="E381" s="162"/>
      <c r="F381" s="163"/>
      <c r="G381" s="164"/>
      <c r="H381" s="165"/>
      <c r="I381" s="164"/>
      <c r="J381" s="165"/>
      <c r="K381" s="164"/>
      <c r="L381" s="165"/>
      <c r="M381" s="6"/>
      <c r="N381" s="32"/>
      <c r="Q381" s="10" t="str">
        <f>+CONCATENATE(E379,K379)</f>
        <v/>
      </c>
      <c r="R381" s="10">
        <f>+L379</f>
        <v>0</v>
      </c>
      <c r="S381" s="11"/>
      <c r="T381" s="10">
        <f>+E379</f>
        <v>0</v>
      </c>
      <c r="U381" s="19" t="str">
        <f>IFERROR(LEFT(K379,FIND("*",K379)-1),"-")</f>
        <v>-</v>
      </c>
      <c r="V381" s="19" t="str">
        <f>IFERROR(RIGHT(K379,LEN(K379)-FIND("*",K379)),"-")</f>
        <v>-</v>
      </c>
      <c r="W381" s="20" t="str">
        <f t="shared" si="202"/>
        <v>-</v>
      </c>
      <c r="X381" s="20" t="str">
        <f>IFERROR(W381*L379,"-")</f>
        <v>-</v>
      </c>
      <c r="Z381" s="33">
        <v>45175</v>
      </c>
    </row>
    <row r="382" spans="1:26" ht="6.95" customHeight="1" x14ac:dyDescent="0.3">
      <c r="A382" s="8"/>
      <c r="B382" s="157"/>
      <c r="C382" s="158"/>
      <c r="D382" s="161" t="s">
        <v>39</v>
      </c>
      <c r="E382" s="162"/>
      <c r="F382" s="163" t="s">
        <v>40</v>
      </c>
      <c r="G382" s="164"/>
      <c r="H382" s="165"/>
      <c r="I382" s="164"/>
      <c r="J382" s="165"/>
      <c r="K382" s="164"/>
      <c r="L382" s="165"/>
      <c r="M382" s="6"/>
      <c r="N382" s="32"/>
      <c r="Q382" s="10" t="str">
        <f>+CONCATENATE(E382,G382)</f>
        <v/>
      </c>
      <c r="R382" s="10">
        <f>+H382</f>
        <v>0</v>
      </c>
      <c r="S382" s="11"/>
      <c r="T382" s="10">
        <f>+E382</f>
        <v>0</v>
      </c>
      <c r="U382" s="19" t="str">
        <f t="shared" ref="U382" si="205">IFERROR(LEFT(G382,FIND("*",G382)-1),"-")</f>
        <v>-</v>
      </c>
      <c r="V382" s="19" t="str">
        <f t="shared" ref="V382" si="206">IFERROR(RIGHT(G382,LEN(G382)-FIND("*",G382)),"-")</f>
        <v>-</v>
      </c>
      <c r="W382" s="20" t="str">
        <f t="shared" si="202"/>
        <v>-</v>
      </c>
      <c r="X382" s="20" t="str">
        <f>IFERROR(W382*H382,"-")</f>
        <v>-</v>
      </c>
      <c r="Z382" s="33">
        <v>45175</v>
      </c>
    </row>
    <row r="383" spans="1:26" ht="6.95" customHeight="1" x14ac:dyDescent="0.3">
      <c r="A383" s="5"/>
      <c r="B383" s="157"/>
      <c r="C383" s="158"/>
      <c r="D383" s="161"/>
      <c r="E383" s="162"/>
      <c r="F383" s="163"/>
      <c r="G383" s="164"/>
      <c r="H383" s="165"/>
      <c r="I383" s="164"/>
      <c r="J383" s="165"/>
      <c r="K383" s="164"/>
      <c r="L383" s="165"/>
      <c r="M383" s="6"/>
      <c r="N383" s="32"/>
      <c r="Q383" s="10" t="str">
        <f>+CONCATENATE(E382,I382)</f>
        <v/>
      </c>
      <c r="R383" s="10">
        <f>+J382</f>
        <v>0</v>
      </c>
      <c r="S383" s="11"/>
      <c r="T383" s="10">
        <f>+E382</f>
        <v>0</v>
      </c>
      <c r="U383" s="19" t="str">
        <f>IFERROR(LEFT(I382,FIND("*",I382)-1),"-")</f>
        <v>-</v>
      </c>
      <c r="V383" s="19" t="str">
        <f>IFERROR(RIGHT(I382,LEN(I382)-FIND("*",I382)),"-")</f>
        <v>-</v>
      </c>
      <c r="W383" s="20" t="str">
        <f t="shared" si="202"/>
        <v>-</v>
      </c>
      <c r="X383" s="20" t="str">
        <f t="shared" ref="X383" si="207">IFERROR(W383*J382,"-")</f>
        <v>-</v>
      </c>
      <c r="Z383" s="33">
        <v>45175</v>
      </c>
    </row>
    <row r="384" spans="1:26" ht="6.95" customHeight="1" x14ac:dyDescent="0.3">
      <c r="A384" s="5"/>
      <c r="B384" s="157"/>
      <c r="C384" s="158"/>
      <c r="D384" s="161"/>
      <c r="E384" s="162"/>
      <c r="F384" s="163"/>
      <c r="G384" s="164"/>
      <c r="H384" s="165"/>
      <c r="I384" s="164"/>
      <c r="J384" s="165"/>
      <c r="K384" s="164"/>
      <c r="L384" s="165"/>
      <c r="M384" s="6"/>
      <c r="N384" s="32"/>
      <c r="Q384" s="10" t="str">
        <f>+CONCATENATE(E382,K382)</f>
        <v/>
      </c>
      <c r="R384" s="10">
        <f>+L382</f>
        <v>0</v>
      </c>
      <c r="S384" s="11"/>
      <c r="T384" s="10">
        <f>+E382</f>
        <v>0</v>
      </c>
      <c r="U384" s="19" t="str">
        <f>IFERROR(LEFT(K382,FIND("*",K382)-1),"-")</f>
        <v>-</v>
      </c>
      <c r="V384" s="19" t="str">
        <f>IFERROR(RIGHT(K382,LEN(K382)-FIND("*",K382)),"-")</f>
        <v>-</v>
      </c>
      <c r="W384" s="20" t="str">
        <f t="shared" si="202"/>
        <v>-</v>
      </c>
      <c r="X384" s="20" t="str">
        <f>IFERROR(W384*L382,"-")</f>
        <v>-</v>
      </c>
      <c r="Z384" s="33">
        <v>45175</v>
      </c>
    </row>
    <row r="385" spans="1:26" ht="21" customHeight="1" thickBot="1" x14ac:dyDescent="0.35">
      <c r="A385" s="5"/>
      <c r="B385" s="159"/>
      <c r="C385" s="160"/>
      <c r="D385" s="166" t="s">
        <v>43</v>
      </c>
      <c r="E385" s="167"/>
      <c r="F385" s="167"/>
      <c r="G385" s="168" t="s">
        <v>205</v>
      </c>
      <c r="H385" s="168"/>
      <c r="I385" s="168"/>
      <c r="J385" s="168"/>
      <c r="K385" s="168"/>
      <c r="L385" s="168"/>
      <c r="M385" s="7"/>
      <c r="N385" s="32"/>
      <c r="Z385" s="33">
        <v>45175</v>
      </c>
    </row>
    <row r="386" spans="1:26" ht="9.9499999999999993" customHeight="1" thickBot="1" x14ac:dyDescent="0.35">
      <c r="B386" s="9"/>
      <c r="C386" s="109">
        <v>835</v>
      </c>
      <c r="D386" s="51"/>
      <c r="E386" s="12"/>
      <c r="F386" s="51"/>
      <c r="G386" s="14"/>
      <c r="H386" s="14"/>
      <c r="I386" s="14"/>
      <c r="J386" s="14"/>
      <c r="K386" s="14"/>
      <c r="L386" s="14"/>
      <c r="M386" s="9"/>
      <c r="N386" s="32"/>
      <c r="U386" s="18"/>
      <c r="V386" s="18"/>
      <c r="Z386" s="33">
        <v>45175</v>
      </c>
    </row>
    <row r="387" spans="1:26" ht="6.95" customHeight="1" x14ac:dyDescent="0.3">
      <c r="A387" s="154">
        <f>+A376+1</f>
        <v>836</v>
      </c>
      <c r="B387" s="155"/>
      <c r="C387" s="156"/>
      <c r="D387" s="161" t="s">
        <v>39</v>
      </c>
      <c r="E387" s="162" t="s">
        <v>186</v>
      </c>
      <c r="F387" s="163" t="s">
        <v>40</v>
      </c>
      <c r="G387" s="164">
        <v>150</v>
      </c>
      <c r="H387" s="165">
        <v>4</v>
      </c>
      <c r="I387" s="164"/>
      <c r="J387" s="165"/>
      <c r="K387" s="164"/>
      <c r="L387" s="165"/>
      <c r="M387" s="6"/>
      <c r="N387" s="32"/>
      <c r="Q387" s="10" t="str">
        <f>+CONCATENATE(E387,G387)</f>
        <v>금속관벽체150</v>
      </c>
      <c r="R387" s="10">
        <f>+H387</f>
        <v>4</v>
      </c>
      <c r="S387" s="11"/>
      <c r="T387" s="10" t="str">
        <f>+E387</f>
        <v>금속관벽체</v>
      </c>
      <c r="U387" s="19" t="str">
        <f>IFERROR(LEFT(G387,FIND("*",G387)-1),"-")</f>
        <v>-</v>
      </c>
      <c r="V387" s="19" t="str">
        <f>IFERROR(RIGHT(G387,LEN(G387)-FIND("*",G387)),"-")</f>
        <v>-</v>
      </c>
      <c r="W387" s="20" t="str">
        <f>IFERROR((U387+V387)*2/1000,"-")</f>
        <v>-</v>
      </c>
      <c r="X387" s="20" t="str">
        <f>IFERROR(W387*H387,"-")</f>
        <v>-</v>
      </c>
      <c r="Z387" s="33">
        <v>45175</v>
      </c>
    </row>
    <row r="388" spans="1:26" ht="6.95" customHeight="1" x14ac:dyDescent="0.3">
      <c r="A388" s="154"/>
      <c r="B388" s="157"/>
      <c r="C388" s="158"/>
      <c r="D388" s="161"/>
      <c r="E388" s="162"/>
      <c r="F388" s="163"/>
      <c r="G388" s="164"/>
      <c r="H388" s="165"/>
      <c r="I388" s="164"/>
      <c r="J388" s="165"/>
      <c r="K388" s="164"/>
      <c r="L388" s="165"/>
      <c r="M388" s="6"/>
      <c r="N388" s="32"/>
      <c r="Q388" s="10" t="str">
        <f>+CONCATENATE(E387,I387)</f>
        <v>금속관벽체</v>
      </c>
      <c r="R388" s="10">
        <f>+J387</f>
        <v>0</v>
      </c>
      <c r="S388" s="11"/>
      <c r="T388" s="10" t="str">
        <f>+E387</f>
        <v>금속관벽체</v>
      </c>
      <c r="U388" s="19" t="str">
        <f>IFERROR(LEFT(I387,FIND("*",I387)-1),"-")</f>
        <v>-</v>
      </c>
      <c r="V388" s="19" t="str">
        <f>IFERROR(RIGHT(I387,LEN(I387)-FIND("*",I387)),"-")</f>
        <v>-</v>
      </c>
      <c r="W388" s="20" t="str">
        <f t="shared" ref="W388:W395" si="208">IFERROR((U388+V388)*2/1000,"-")</f>
        <v>-</v>
      </c>
      <c r="X388" s="20" t="str">
        <f>IFERROR(W388*J387,"-")</f>
        <v>-</v>
      </c>
      <c r="Z388" s="33">
        <v>45175</v>
      </c>
    </row>
    <row r="389" spans="1:26" ht="6.95" customHeight="1" x14ac:dyDescent="0.3">
      <c r="A389" s="154"/>
      <c r="B389" s="157"/>
      <c r="C389" s="158"/>
      <c r="D389" s="161"/>
      <c r="E389" s="162"/>
      <c r="F389" s="163"/>
      <c r="G389" s="164"/>
      <c r="H389" s="165"/>
      <c r="I389" s="164"/>
      <c r="J389" s="165"/>
      <c r="K389" s="164"/>
      <c r="L389" s="165"/>
      <c r="M389" s="6"/>
      <c r="N389" s="32"/>
      <c r="Q389" s="10" t="str">
        <f>+CONCATENATE(E387,K387)</f>
        <v>금속관벽체</v>
      </c>
      <c r="R389" s="10">
        <f>+L387</f>
        <v>0</v>
      </c>
      <c r="S389" s="11"/>
      <c r="T389" s="10" t="str">
        <f>+E387</f>
        <v>금속관벽체</v>
      </c>
      <c r="U389" s="19" t="str">
        <f>IFERROR(LEFT(K387,FIND("*",K387)-1),"-")</f>
        <v>-</v>
      </c>
      <c r="V389" s="19" t="str">
        <f>IFERROR(RIGHT(K387,LEN(K387)-FIND("*",K387)),"-")</f>
        <v>-</v>
      </c>
      <c r="W389" s="20" t="str">
        <f t="shared" si="208"/>
        <v>-</v>
      </c>
      <c r="X389" s="20" t="str">
        <f>IFERROR(W389*L387,"-")</f>
        <v>-</v>
      </c>
      <c r="Z389" s="33">
        <v>45175</v>
      </c>
    </row>
    <row r="390" spans="1:26" ht="6.95" customHeight="1" x14ac:dyDescent="0.3">
      <c r="A390" s="8"/>
      <c r="B390" s="157"/>
      <c r="C390" s="158"/>
      <c r="D390" s="161" t="s">
        <v>39</v>
      </c>
      <c r="E390" s="162"/>
      <c r="F390" s="163" t="s">
        <v>40</v>
      </c>
      <c r="G390" s="164"/>
      <c r="H390" s="165"/>
      <c r="I390" s="164"/>
      <c r="J390" s="165"/>
      <c r="K390" s="164"/>
      <c r="L390" s="165"/>
      <c r="M390" s="6"/>
      <c r="N390" s="32"/>
      <c r="Q390" s="10" t="str">
        <f>+CONCATENATE(E390,G390)</f>
        <v/>
      </c>
      <c r="R390" s="10">
        <f>+H390</f>
        <v>0</v>
      </c>
      <c r="S390" s="11"/>
      <c r="T390" s="10">
        <f>+E390</f>
        <v>0</v>
      </c>
      <c r="U390" s="19" t="str">
        <f t="shared" ref="U390" si="209">IFERROR(LEFT(G390,FIND("*",G390)-1),"-")</f>
        <v>-</v>
      </c>
      <c r="V390" s="19" t="str">
        <f t="shared" ref="V390" si="210">IFERROR(RIGHT(G390,LEN(G390)-FIND("*",G390)),"-")</f>
        <v>-</v>
      </c>
      <c r="W390" s="20" t="str">
        <f t="shared" si="208"/>
        <v>-</v>
      </c>
      <c r="X390" s="20" t="str">
        <f>IFERROR(W390*H390,"-")</f>
        <v>-</v>
      </c>
      <c r="Z390" s="33">
        <v>45175</v>
      </c>
    </row>
    <row r="391" spans="1:26" ht="6.95" customHeight="1" x14ac:dyDescent="0.3">
      <c r="A391" s="5"/>
      <c r="B391" s="157"/>
      <c r="C391" s="158"/>
      <c r="D391" s="161"/>
      <c r="E391" s="162"/>
      <c r="F391" s="163"/>
      <c r="G391" s="164"/>
      <c r="H391" s="165"/>
      <c r="I391" s="164"/>
      <c r="J391" s="165"/>
      <c r="K391" s="164"/>
      <c r="L391" s="165"/>
      <c r="M391" s="6"/>
      <c r="N391" s="32"/>
      <c r="Q391" s="10" t="str">
        <f>+CONCATENATE(E390,I390)</f>
        <v/>
      </c>
      <c r="R391" s="10">
        <f>+J390</f>
        <v>0</v>
      </c>
      <c r="S391" s="11"/>
      <c r="T391" s="10">
        <f>+E390</f>
        <v>0</v>
      </c>
      <c r="U391" s="19" t="str">
        <f>IFERROR(LEFT(I390,FIND("*",I390)-1),"-")</f>
        <v>-</v>
      </c>
      <c r="V391" s="19" t="str">
        <f>IFERROR(RIGHT(I390,LEN(I390)-FIND("*",I390)),"-")</f>
        <v>-</v>
      </c>
      <c r="W391" s="20" t="str">
        <f t="shared" si="208"/>
        <v>-</v>
      </c>
      <c r="X391" s="20" t="str">
        <f>IFERROR(W391*J390,"-")</f>
        <v>-</v>
      </c>
      <c r="Z391" s="33">
        <v>45175</v>
      </c>
    </row>
    <row r="392" spans="1:26" ht="6.95" customHeight="1" x14ac:dyDescent="0.3">
      <c r="A392" s="5"/>
      <c r="B392" s="157"/>
      <c r="C392" s="158"/>
      <c r="D392" s="161"/>
      <c r="E392" s="162"/>
      <c r="F392" s="163"/>
      <c r="G392" s="164"/>
      <c r="H392" s="165"/>
      <c r="I392" s="164"/>
      <c r="J392" s="165"/>
      <c r="K392" s="164"/>
      <c r="L392" s="165"/>
      <c r="M392" s="6"/>
      <c r="N392" s="32"/>
      <c r="Q392" s="10" t="str">
        <f>+CONCATENATE(E390,K390)</f>
        <v/>
      </c>
      <c r="R392" s="10">
        <f>+L390</f>
        <v>0</v>
      </c>
      <c r="S392" s="11"/>
      <c r="T392" s="10">
        <f>+E390</f>
        <v>0</v>
      </c>
      <c r="U392" s="19" t="str">
        <f>IFERROR(LEFT(K390,FIND("*",K390)-1),"-")</f>
        <v>-</v>
      </c>
      <c r="V392" s="19" t="str">
        <f>IFERROR(RIGHT(K390,LEN(K390)-FIND("*",K390)),"-")</f>
        <v>-</v>
      </c>
      <c r="W392" s="20" t="str">
        <f t="shared" si="208"/>
        <v>-</v>
      </c>
      <c r="X392" s="20" t="str">
        <f>IFERROR(W392*L390,"-")</f>
        <v>-</v>
      </c>
      <c r="Z392" s="33">
        <v>45175</v>
      </c>
    </row>
    <row r="393" spans="1:26" ht="6.95" customHeight="1" x14ac:dyDescent="0.3">
      <c r="A393" s="8"/>
      <c r="B393" s="157"/>
      <c r="C393" s="158"/>
      <c r="D393" s="161" t="s">
        <v>39</v>
      </c>
      <c r="E393" s="162"/>
      <c r="F393" s="163" t="s">
        <v>40</v>
      </c>
      <c r="G393" s="164"/>
      <c r="H393" s="165"/>
      <c r="I393" s="164"/>
      <c r="J393" s="165"/>
      <c r="K393" s="164"/>
      <c r="L393" s="165"/>
      <c r="M393" s="6"/>
      <c r="N393" s="32"/>
      <c r="Q393" s="10" t="str">
        <f>+CONCATENATE(E393,G393)</f>
        <v/>
      </c>
      <c r="R393" s="10">
        <f>+H393</f>
        <v>0</v>
      </c>
      <c r="S393" s="11"/>
      <c r="T393" s="10">
        <f>+E393</f>
        <v>0</v>
      </c>
      <c r="U393" s="19" t="str">
        <f t="shared" ref="U393" si="211">IFERROR(LEFT(G393,FIND("*",G393)-1),"-")</f>
        <v>-</v>
      </c>
      <c r="V393" s="19" t="str">
        <f t="shared" ref="V393" si="212">IFERROR(RIGHT(G393,LEN(G393)-FIND("*",G393)),"-")</f>
        <v>-</v>
      </c>
      <c r="W393" s="20" t="str">
        <f t="shared" si="208"/>
        <v>-</v>
      </c>
      <c r="X393" s="20" t="str">
        <f>IFERROR(W393*H393,"-")</f>
        <v>-</v>
      </c>
      <c r="Z393" s="33">
        <v>45175</v>
      </c>
    </row>
    <row r="394" spans="1:26" ht="6.95" customHeight="1" x14ac:dyDescent="0.3">
      <c r="A394" s="5"/>
      <c r="B394" s="157"/>
      <c r="C394" s="158"/>
      <c r="D394" s="161"/>
      <c r="E394" s="162"/>
      <c r="F394" s="163"/>
      <c r="G394" s="164"/>
      <c r="H394" s="165"/>
      <c r="I394" s="164"/>
      <c r="J394" s="165"/>
      <c r="K394" s="164"/>
      <c r="L394" s="165"/>
      <c r="M394" s="6"/>
      <c r="N394" s="32"/>
      <c r="Q394" s="10" t="str">
        <f>+CONCATENATE(E393,I393)</f>
        <v/>
      </c>
      <c r="R394" s="10">
        <f>+J393</f>
        <v>0</v>
      </c>
      <c r="S394" s="11"/>
      <c r="T394" s="10">
        <f>+E393</f>
        <v>0</v>
      </c>
      <c r="U394" s="19" t="str">
        <f>IFERROR(LEFT(I393,FIND("*",I393)-1),"-")</f>
        <v>-</v>
      </c>
      <c r="V394" s="19" t="str">
        <f>IFERROR(RIGHT(I393,LEN(I393)-FIND("*",I393)),"-")</f>
        <v>-</v>
      </c>
      <c r="W394" s="20" t="str">
        <f t="shared" si="208"/>
        <v>-</v>
      </c>
      <c r="X394" s="20" t="str">
        <f t="shared" ref="X394" si="213">IFERROR(W394*J393,"-")</f>
        <v>-</v>
      </c>
      <c r="Z394" s="33">
        <v>45175</v>
      </c>
    </row>
    <row r="395" spans="1:26" ht="6.95" customHeight="1" x14ac:dyDescent="0.3">
      <c r="A395" s="5"/>
      <c r="B395" s="157"/>
      <c r="C395" s="158"/>
      <c r="D395" s="161"/>
      <c r="E395" s="162"/>
      <c r="F395" s="163"/>
      <c r="G395" s="164"/>
      <c r="H395" s="165"/>
      <c r="I395" s="164"/>
      <c r="J395" s="165"/>
      <c r="K395" s="164"/>
      <c r="L395" s="165"/>
      <c r="M395" s="6"/>
      <c r="N395" s="32"/>
      <c r="Q395" s="10" t="str">
        <f>+CONCATENATE(E393,K393)</f>
        <v/>
      </c>
      <c r="R395" s="10">
        <f>+L393</f>
        <v>0</v>
      </c>
      <c r="S395" s="11"/>
      <c r="T395" s="10">
        <f>+E393</f>
        <v>0</v>
      </c>
      <c r="U395" s="19" t="str">
        <f>IFERROR(LEFT(K393,FIND("*",K393)-1),"-")</f>
        <v>-</v>
      </c>
      <c r="V395" s="19" t="str">
        <f>IFERROR(RIGHT(K393,LEN(K393)-FIND("*",K393)),"-")</f>
        <v>-</v>
      </c>
      <c r="W395" s="20" t="str">
        <f t="shared" si="208"/>
        <v>-</v>
      </c>
      <c r="X395" s="20" t="str">
        <f>IFERROR(W395*L393,"-")</f>
        <v>-</v>
      </c>
      <c r="Z395" s="33">
        <v>45175</v>
      </c>
    </row>
    <row r="396" spans="1:26" ht="21" customHeight="1" thickBot="1" x14ac:dyDescent="0.35">
      <c r="A396" s="5"/>
      <c r="B396" s="159"/>
      <c r="C396" s="160"/>
      <c r="D396" s="166" t="s">
        <v>43</v>
      </c>
      <c r="E396" s="167"/>
      <c r="F396" s="167"/>
      <c r="G396" s="168" t="s">
        <v>205</v>
      </c>
      <c r="H396" s="168"/>
      <c r="I396" s="168"/>
      <c r="J396" s="168"/>
      <c r="K396" s="168"/>
      <c r="L396" s="168"/>
      <c r="M396" s="7"/>
      <c r="N396" s="32"/>
      <c r="Z396" s="33">
        <v>45175</v>
      </c>
    </row>
    <row r="397" spans="1:26" ht="9.9499999999999993" customHeight="1" thickBot="1" x14ac:dyDescent="0.35">
      <c r="B397" s="9"/>
      <c r="C397" s="109">
        <v>836</v>
      </c>
      <c r="D397" s="51"/>
      <c r="E397" s="12"/>
      <c r="F397" s="51"/>
      <c r="G397" s="14"/>
      <c r="H397" s="14"/>
      <c r="I397" s="14"/>
      <c r="J397" s="14"/>
      <c r="K397" s="14"/>
      <c r="L397" s="14"/>
      <c r="M397" s="9"/>
      <c r="N397" s="32"/>
      <c r="U397" s="18"/>
      <c r="V397" s="18"/>
      <c r="Z397" s="33">
        <v>45175</v>
      </c>
    </row>
    <row r="398" spans="1:26" ht="6.95" customHeight="1" x14ac:dyDescent="0.3">
      <c r="A398" s="154">
        <f>+A387+1</f>
        <v>837</v>
      </c>
      <c r="B398" s="155"/>
      <c r="C398" s="156"/>
      <c r="D398" s="161" t="s">
        <v>39</v>
      </c>
      <c r="E398" s="162" t="s">
        <v>186</v>
      </c>
      <c r="F398" s="163" t="s">
        <v>40</v>
      </c>
      <c r="G398" s="164">
        <v>50</v>
      </c>
      <c r="H398" s="165">
        <v>1</v>
      </c>
      <c r="I398" s="164"/>
      <c r="J398" s="165"/>
      <c r="K398" s="164"/>
      <c r="L398" s="165"/>
      <c r="M398" s="6"/>
      <c r="N398" s="32"/>
      <c r="Q398" s="10" t="str">
        <f>+CONCATENATE(E398,G398)</f>
        <v>금속관벽체50</v>
      </c>
      <c r="R398" s="10">
        <f>+H398</f>
        <v>1</v>
      </c>
      <c r="S398" s="11"/>
      <c r="T398" s="10" t="str">
        <f>+E398</f>
        <v>금속관벽체</v>
      </c>
      <c r="U398" s="19" t="str">
        <f>IFERROR(LEFT(G398,FIND("*",G398)-1),"-")</f>
        <v>-</v>
      </c>
      <c r="V398" s="19" t="str">
        <f>IFERROR(RIGHT(G398,LEN(G398)-FIND("*",G398)),"-")</f>
        <v>-</v>
      </c>
      <c r="W398" s="20" t="str">
        <f>IFERROR((U398+V398)*2/1000,"-")</f>
        <v>-</v>
      </c>
      <c r="X398" s="20" t="str">
        <f>IFERROR(W398*H398,"-")</f>
        <v>-</v>
      </c>
      <c r="Z398" s="33">
        <v>45175</v>
      </c>
    </row>
    <row r="399" spans="1:26" ht="6.95" customHeight="1" x14ac:dyDescent="0.3">
      <c r="A399" s="154"/>
      <c r="B399" s="157"/>
      <c r="C399" s="158"/>
      <c r="D399" s="161"/>
      <c r="E399" s="162"/>
      <c r="F399" s="163"/>
      <c r="G399" s="164"/>
      <c r="H399" s="165"/>
      <c r="I399" s="164"/>
      <c r="J399" s="165"/>
      <c r="K399" s="164"/>
      <c r="L399" s="165"/>
      <c r="M399" s="6"/>
      <c r="N399" s="32"/>
      <c r="Q399" s="10" t="str">
        <f>+CONCATENATE(E398,I398)</f>
        <v>금속관벽체</v>
      </c>
      <c r="R399" s="10">
        <f>+J398</f>
        <v>0</v>
      </c>
      <c r="S399" s="11"/>
      <c r="T399" s="10" t="str">
        <f>+E398</f>
        <v>금속관벽체</v>
      </c>
      <c r="U399" s="19" t="str">
        <f>IFERROR(LEFT(I398,FIND("*",I398)-1),"-")</f>
        <v>-</v>
      </c>
      <c r="V399" s="19" t="str">
        <f>IFERROR(RIGHT(I398,LEN(I398)-FIND("*",I398)),"-")</f>
        <v>-</v>
      </c>
      <c r="W399" s="20" t="str">
        <f t="shared" ref="W399:W406" si="214">IFERROR((U399+V399)*2/1000,"-")</f>
        <v>-</v>
      </c>
      <c r="X399" s="20" t="str">
        <f>IFERROR(W399*J398,"-")</f>
        <v>-</v>
      </c>
      <c r="Z399" s="33">
        <v>45175</v>
      </c>
    </row>
    <row r="400" spans="1:26" ht="6.95" customHeight="1" x14ac:dyDescent="0.3">
      <c r="A400" s="154"/>
      <c r="B400" s="157"/>
      <c r="C400" s="158"/>
      <c r="D400" s="161"/>
      <c r="E400" s="162"/>
      <c r="F400" s="163"/>
      <c r="G400" s="164"/>
      <c r="H400" s="165"/>
      <c r="I400" s="164"/>
      <c r="J400" s="165"/>
      <c r="K400" s="164"/>
      <c r="L400" s="165"/>
      <c r="M400" s="6"/>
      <c r="N400" s="32"/>
      <c r="Q400" s="10" t="str">
        <f>+CONCATENATE(E398,K398)</f>
        <v>금속관벽체</v>
      </c>
      <c r="R400" s="10">
        <f>+L398</f>
        <v>0</v>
      </c>
      <c r="S400" s="11"/>
      <c r="T400" s="10" t="str">
        <f>+E398</f>
        <v>금속관벽체</v>
      </c>
      <c r="U400" s="19" t="str">
        <f>IFERROR(LEFT(K398,FIND("*",K398)-1),"-")</f>
        <v>-</v>
      </c>
      <c r="V400" s="19" t="str">
        <f>IFERROR(RIGHT(K398,LEN(K398)-FIND("*",K398)),"-")</f>
        <v>-</v>
      </c>
      <c r="W400" s="20" t="str">
        <f t="shared" si="214"/>
        <v>-</v>
      </c>
      <c r="X400" s="20" t="str">
        <f>IFERROR(W400*L398,"-")</f>
        <v>-</v>
      </c>
      <c r="Z400" s="33">
        <v>45175</v>
      </c>
    </row>
    <row r="401" spans="1:26" ht="6.95" customHeight="1" x14ac:dyDescent="0.3">
      <c r="A401" s="8"/>
      <c r="B401" s="157"/>
      <c r="C401" s="158"/>
      <c r="D401" s="161" t="s">
        <v>39</v>
      </c>
      <c r="E401" s="162"/>
      <c r="F401" s="163" t="s">
        <v>40</v>
      </c>
      <c r="G401" s="164"/>
      <c r="H401" s="165"/>
      <c r="I401" s="164"/>
      <c r="J401" s="165"/>
      <c r="K401" s="164"/>
      <c r="L401" s="165"/>
      <c r="M401" s="6"/>
      <c r="N401" s="32"/>
      <c r="Q401" s="10" t="str">
        <f>+CONCATENATE(E401,G401)</f>
        <v/>
      </c>
      <c r="R401" s="10">
        <f>+H401</f>
        <v>0</v>
      </c>
      <c r="S401" s="11"/>
      <c r="T401" s="10">
        <f>+E401</f>
        <v>0</v>
      </c>
      <c r="U401" s="19" t="str">
        <f t="shared" ref="U401" si="215">IFERROR(LEFT(G401,FIND("*",G401)-1),"-")</f>
        <v>-</v>
      </c>
      <c r="V401" s="19" t="str">
        <f t="shared" ref="V401" si="216">IFERROR(RIGHT(G401,LEN(G401)-FIND("*",G401)),"-")</f>
        <v>-</v>
      </c>
      <c r="W401" s="20" t="str">
        <f t="shared" si="214"/>
        <v>-</v>
      </c>
      <c r="X401" s="20" t="str">
        <f>IFERROR(W401*H401,"-")</f>
        <v>-</v>
      </c>
      <c r="Z401" s="33">
        <v>45175</v>
      </c>
    </row>
    <row r="402" spans="1:26" ht="6.95" customHeight="1" x14ac:dyDescent="0.3">
      <c r="A402" s="5"/>
      <c r="B402" s="157"/>
      <c r="C402" s="158"/>
      <c r="D402" s="161"/>
      <c r="E402" s="162"/>
      <c r="F402" s="163"/>
      <c r="G402" s="164"/>
      <c r="H402" s="165"/>
      <c r="I402" s="164"/>
      <c r="J402" s="165"/>
      <c r="K402" s="164"/>
      <c r="L402" s="165"/>
      <c r="M402" s="6"/>
      <c r="N402" s="32"/>
      <c r="Q402" s="10" t="str">
        <f>+CONCATENATE(E401,I401)</f>
        <v/>
      </c>
      <c r="R402" s="10">
        <f>+J401</f>
        <v>0</v>
      </c>
      <c r="S402" s="11"/>
      <c r="T402" s="10">
        <f>+E401</f>
        <v>0</v>
      </c>
      <c r="U402" s="19" t="str">
        <f>IFERROR(LEFT(I401,FIND("*",I401)-1),"-")</f>
        <v>-</v>
      </c>
      <c r="V402" s="19" t="str">
        <f>IFERROR(RIGHT(I401,LEN(I401)-FIND("*",I401)),"-")</f>
        <v>-</v>
      </c>
      <c r="W402" s="20" t="str">
        <f t="shared" si="214"/>
        <v>-</v>
      </c>
      <c r="X402" s="20" t="str">
        <f>IFERROR(W402*J401,"-")</f>
        <v>-</v>
      </c>
      <c r="Z402" s="33">
        <v>45175</v>
      </c>
    </row>
    <row r="403" spans="1:26" ht="6.95" customHeight="1" x14ac:dyDescent="0.3">
      <c r="A403" s="5"/>
      <c r="B403" s="157"/>
      <c r="C403" s="158"/>
      <c r="D403" s="161"/>
      <c r="E403" s="162"/>
      <c r="F403" s="163"/>
      <c r="G403" s="164"/>
      <c r="H403" s="165"/>
      <c r="I403" s="164"/>
      <c r="J403" s="165"/>
      <c r="K403" s="164"/>
      <c r="L403" s="165"/>
      <c r="M403" s="6"/>
      <c r="N403" s="32"/>
      <c r="Q403" s="10" t="str">
        <f>+CONCATENATE(E401,K401)</f>
        <v/>
      </c>
      <c r="R403" s="10">
        <f>+L401</f>
        <v>0</v>
      </c>
      <c r="S403" s="11"/>
      <c r="T403" s="10">
        <f>+E401</f>
        <v>0</v>
      </c>
      <c r="U403" s="19" t="str">
        <f>IFERROR(LEFT(K401,FIND("*",K401)-1),"-")</f>
        <v>-</v>
      </c>
      <c r="V403" s="19" t="str">
        <f>IFERROR(RIGHT(K401,LEN(K401)-FIND("*",K401)),"-")</f>
        <v>-</v>
      </c>
      <c r="W403" s="20" t="str">
        <f t="shared" si="214"/>
        <v>-</v>
      </c>
      <c r="X403" s="20" t="str">
        <f>IFERROR(W403*L401,"-")</f>
        <v>-</v>
      </c>
      <c r="Z403" s="33">
        <v>45175</v>
      </c>
    </row>
    <row r="404" spans="1:26" ht="6.95" customHeight="1" x14ac:dyDescent="0.3">
      <c r="A404" s="8"/>
      <c r="B404" s="157"/>
      <c r="C404" s="158"/>
      <c r="D404" s="161" t="s">
        <v>39</v>
      </c>
      <c r="E404" s="162"/>
      <c r="F404" s="163" t="s">
        <v>40</v>
      </c>
      <c r="G404" s="164"/>
      <c r="H404" s="165"/>
      <c r="I404" s="164"/>
      <c r="J404" s="165"/>
      <c r="K404" s="164"/>
      <c r="L404" s="165"/>
      <c r="M404" s="6"/>
      <c r="N404" s="32"/>
      <c r="Q404" s="10" t="str">
        <f>+CONCATENATE(E404,G404)</f>
        <v/>
      </c>
      <c r="R404" s="10">
        <f>+H404</f>
        <v>0</v>
      </c>
      <c r="S404" s="11"/>
      <c r="T404" s="10">
        <f>+E404</f>
        <v>0</v>
      </c>
      <c r="U404" s="19" t="str">
        <f t="shared" ref="U404" si="217">IFERROR(LEFT(G404,FIND("*",G404)-1),"-")</f>
        <v>-</v>
      </c>
      <c r="V404" s="19" t="str">
        <f t="shared" ref="V404" si="218">IFERROR(RIGHT(G404,LEN(G404)-FIND("*",G404)),"-")</f>
        <v>-</v>
      </c>
      <c r="W404" s="20" t="str">
        <f t="shared" si="214"/>
        <v>-</v>
      </c>
      <c r="X404" s="20" t="str">
        <f>IFERROR(W404*H404,"-")</f>
        <v>-</v>
      </c>
      <c r="Z404" s="33">
        <v>45175</v>
      </c>
    </row>
    <row r="405" spans="1:26" ht="6.95" customHeight="1" x14ac:dyDescent="0.3">
      <c r="A405" s="5"/>
      <c r="B405" s="157"/>
      <c r="C405" s="158"/>
      <c r="D405" s="161"/>
      <c r="E405" s="162"/>
      <c r="F405" s="163"/>
      <c r="G405" s="164"/>
      <c r="H405" s="165"/>
      <c r="I405" s="164"/>
      <c r="J405" s="165"/>
      <c r="K405" s="164"/>
      <c r="L405" s="165"/>
      <c r="M405" s="6"/>
      <c r="N405" s="32"/>
      <c r="Q405" s="10" t="str">
        <f>+CONCATENATE(E404,I404)</f>
        <v/>
      </c>
      <c r="R405" s="10">
        <f>+J404</f>
        <v>0</v>
      </c>
      <c r="S405" s="11"/>
      <c r="T405" s="10">
        <f>+E404</f>
        <v>0</v>
      </c>
      <c r="U405" s="19" t="str">
        <f>IFERROR(LEFT(I404,FIND("*",I404)-1),"-")</f>
        <v>-</v>
      </c>
      <c r="V405" s="19" t="str">
        <f>IFERROR(RIGHT(I404,LEN(I404)-FIND("*",I404)),"-")</f>
        <v>-</v>
      </c>
      <c r="W405" s="20" t="str">
        <f t="shared" si="214"/>
        <v>-</v>
      </c>
      <c r="X405" s="20" t="str">
        <f t="shared" ref="X405" si="219">IFERROR(W405*J404,"-")</f>
        <v>-</v>
      </c>
      <c r="Z405" s="33">
        <v>45175</v>
      </c>
    </row>
    <row r="406" spans="1:26" ht="6.95" customHeight="1" x14ac:dyDescent="0.3">
      <c r="A406" s="5"/>
      <c r="B406" s="157"/>
      <c r="C406" s="158"/>
      <c r="D406" s="161"/>
      <c r="E406" s="162"/>
      <c r="F406" s="163"/>
      <c r="G406" s="164"/>
      <c r="H406" s="165"/>
      <c r="I406" s="164"/>
      <c r="J406" s="165"/>
      <c r="K406" s="164"/>
      <c r="L406" s="165"/>
      <c r="M406" s="6"/>
      <c r="N406" s="32"/>
      <c r="Q406" s="10" t="str">
        <f>+CONCATENATE(E404,K404)</f>
        <v/>
      </c>
      <c r="R406" s="10">
        <f>+L404</f>
        <v>0</v>
      </c>
      <c r="S406" s="11"/>
      <c r="T406" s="10">
        <f>+E404</f>
        <v>0</v>
      </c>
      <c r="U406" s="19" t="str">
        <f>IFERROR(LEFT(K404,FIND("*",K404)-1),"-")</f>
        <v>-</v>
      </c>
      <c r="V406" s="19" t="str">
        <f>IFERROR(RIGHT(K404,LEN(K404)-FIND("*",K404)),"-")</f>
        <v>-</v>
      </c>
      <c r="W406" s="20" t="str">
        <f t="shared" si="214"/>
        <v>-</v>
      </c>
      <c r="X406" s="20" t="str">
        <f>IFERROR(W406*L404,"-")</f>
        <v>-</v>
      </c>
      <c r="Z406" s="33">
        <v>45175</v>
      </c>
    </row>
    <row r="407" spans="1:26" ht="21" customHeight="1" thickBot="1" x14ac:dyDescent="0.35">
      <c r="A407" s="5"/>
      <c r="B407" s="159"/>
      <c r="C407" s="160"/>
      <c r="D407" s="166" t="s">
        <v>43</v>
      </c>
      <c r="E407" s="167"/>
      <c r="F407" s="167"/>
      <c r="G407" s="168" t="s">
        <v>205</v>
      </c>
      <c r="H407" s="168"/>
      <c r="I407" s="168"/>
      <c r="J407" s="168"/>
      <c r="K407" s="168"/>
      <c r="L407" s="168"/>
      <c r="M407" s="7"/>
      <c r="N407" s="32"/>
      <c r="Z407" s="33">
        <v>45175</v>
      </c>
    </row>
    <row r="408" spans="1:26" ht="9.9499999999999993" customHeight="1" thickBot="1" x14ac:dyDescent="0.35">
      <c r="B408" s="9"/>
      <c r="C408" s="109">
        <v>837</v>
      </c>
      <c r="D408" s="51"/>
      <c r="E408" s="12"/>
      <c r="F408" s="51"/>
      <c r="G408" s="14"/>
      <c r="H408" s="14"/>
      <c r="I408" s="14"/>
      <c r="J408" s="14"/>
      <c r="K408" s="14"/>
      <c r="L408" s="14"/>
      <c r="M408" s="9"/>
      <c r="N408" s="32"/>
      <c r="U408" s="18"/>
      <c r="V408" s="18"/>
      <c r="Z408" s="33">
        <v>45175</v>
      </c>
    </row>
    <row r="409" spans="1:26" ht="6.95" customHeight="1" x14ac:dyDescent="0.3">
      <c r="A409" s="154">
        <f>+A398+1</f>
        <v>838</v>
      </c>
      <c r="B409" s="155"/>
      <c r="C409" s="156"/>
      <c r="D409" s="161" t="s">
        <v>39</v>
      </c>
      <c r="E409" s="162" t="s">
        <v>209</v>
      </c>
      <c r="F409" s="163" t="s">
        <v>40</v>
      </c>
      <c r="G409" s="164" t="s">
        <v>210</v>
      </c>
      <c r="H409" s="165">
        <v>1</v>
      </c>
      <c r="I409" s="164"/>
      <c r="J409" s="165"/>
      <c r="K409" s="164"/>
      <c r="L409" s="165"/>
      <c r="M409" s="6"/>
      <c r="N409" s="32"/>
      <c r="Q409" s="10" t="str">
        <f>+CONCATENATE(E409,G409)</f>
        <v>보온덕트벽체800*400</v>
      </c>
      <c r="R409" s="10">
        <f>+H409</f>
        <v>1</v>
      </c>
      <c r="S409" s="11"/>
      <c r="T409" s="10" t="str">
        <f>+E409</f>
        <v>보온덕트벽체</v>
      </c>
      <c r="U409" s="19" t="str">
        <f>IFERROR(LEFT(G409,FIND("*",G409)-1),"-")</f>
        <v>800</v>
      </c>
      <c r="V409" s="19" t="str">
        <f>IFERROR(RIGHT(G409,LEN(G409)-FIND("*",G409)),"-")</f>
        <v>400</v>
      </c>
      <c r="W409" s="20">
        <f>IFERROR((U409+V409)*2/1000,"-")</f>
        <v>2.4</v>
      </c>
      <c r="X409" s="20">
        <f>IFERROR(W409*H409,"-")</f>
        <v>2.4</v>
      </c>
      <c r="Z409" s="33">
        <v>45175</v>
      </c>
    </row>
    <row r="410" spans="1:26" ht="6.95" customHeight="1" x14ac:dyDescent="0.3">
      <c r="A410" s="154"/>
      <c r="B410" s="157"/>
      <c r="C410" s="158"/>
      <c r="D410" s="161"/>
      <c r="E410" s="162"/>
      <c r="F410" s="163"/>
      <c r="G410" s="164"/>
      <c r="H410" s="165"/>
      <c r="I410" s="164"/>
      <c r="J410" s="165"/>
      <c r="K410" s="164"/>
      <c r="L410" s="165"/>
      <c r="M410" s="6"/>
      <c r="N410" s="32"/>
      <c r="Q410" s="10" t="str">
        <f>+CONCATENATE(E409,I409)</f>
        <v>보온덕트벽체</v>
      </c>
      <c r="R410" s="10">
        <f>+J409</f>
        <v>0</v>
      </c>
      <c r="S410" s="11"/>
      <c r="T410" s="10" t="str">
        <f>+E409</f>
        <v>보온덕트벽체</v>
      </c>
      <c r="U410" s="19" t="str">
        <f>IFERROR(LEFT(I409,FIND("*",I409)-1),"-")</f>
        <v>-</v>
      </c>
      <c r="V410" s="19" t="str">
        <f>IFERROR(RIGHT(I409,LEN(I409)-FIND("*",I409)),"-")</f>
        <v>-</v>
      </c>
      <c r="W410" s="20" t="str">
        <f t="shared" ref="W410:W417" si="220">IFERROR((U410+V410)*2/1000,"-")</f>
        <v>-</v>
      </c>
      <c r="X410" s="20" t="str">
        <f>IFERROR(W410*J409,"-")</f>
        <v>-</v>
      </c>
      <c r="Z410" s="33">
        <v>45175</v>
      </c>
    </row>
    <row r="411" spans="1:26" ht="6.95" customHeight="1" x14ac:dyDescent="0.3">
      <c r="A411" s="154"/>
      <c r="B411" s="157"/>
      <c r="C411" s="158"/>
      <c r="D411" s="161"/>
      <c r="E411" s="162"/>
      <c r="F411" s="163"/>
      <c r="G411" s="164"/>
      <c r="H411" s="165"/>
      <c r="I411" s="164"/>
      <c r="J411" s="165"/>
      <c r="K411" s="164"/>
      <c r="L411" s="165"/>
      <c r="M411" s="6"/>
      <c r="N411" s="32"/>
      <c r="Q411" s="10" t="str">
        <f>+CONCATENATE(E409,K409)</f>
        <v>보온덕트벽체</v>
      </c>
      <c r="R411" s="10">
        <f>+L409</f>
        <v>0</v>
      </c>
      <c r="S411" s="11"/>
      <c r="T411" s="10" t="str">
        <f>+E409</f>
        <v>보온덕트벽체</v>
      </c>
      <c r="U411" s="19" t="str">
        <f>IFERROR(LEFT(K409,FIND("*",K409)-1),"-")</f>
        <v>-</v>
      </c>
      <c r="V411" s="19" t="str">
        <f>IFERROR(RIGHT(K409,LEN(K409)-FIND("*",K409)),"-")</f>
        <v>-</v>
      </c>
      <c r="W411" s="20" t="str">
        <f t="shared" si="220"/>
        <v>-</v>
      </c>
      <c r="X411" s="20" t="str">
        <f>IFERROR(W411*L409,"-")</f>
        <v>-</v>
      </c>
      <c r="Z411" s="33">
        <v>45175</v>
      </c>
    </row>
    <row r="412" spans="1:26" ht="6.95" customHeight="1" x14ac:dyDescent="0.3">
      <c r="A412" s="8"/>
      <c r="B412" s="157"/>
      <c r="C412" s="158"/>
      <c r="D412" s="161" t="s">
        <v>39</v>
      </c>
      <c r="E412" s="162" t="s">
        <v>216</v>
      </c>
      <c r="F412" s="163" t="s">
        <v>40</v>
      </c>
      <c r="G412" s="164" t="s">
        <v>210</v>
      </c>
      <c r="H412" s="165">
        <v>2</v>
      </c>
      <c r="I412" s="164"/>
      <c r="J412" s="165"/>
      <c r="K412" s="164"/>
      <c r="L412" s="165"/>
      <c r="M412" s="6"/>
      <c r="N412" s="32"/>
      <c r="Q412" s="10" t="str">
        <f>+CONCATENATE(E412,G412)</f>
        <v>차열재마감800*400</v>
      </c>
      <c r="R412" s="10">
        <f>+H412</f>
        <v>2</v>
      </c>
      <c r="S412" s="11"/>
      <c r="T412" s="10" t="str">
        <f>+E412</f>
        <v>차열재마감</v>
      </c>
      <c r="U412" s="19" t="str">
        <f t="shared" ref="U412" si="221">IFERROR(LEFT(G412,FIND("*",G412)-1),"-")</f>
        <v>800</v>
      </c>
      <c r="V412" s="19" t="str">
        <f t="shared" ref="V412" si="222">IFERROR(RIGHT(G412,LEN(G412)-FIND("*",G412)),"-")</f>
        <v>400</v>
      </c>
      <c r="W412" s="20">
        <f t="shared" si="220"/>
        <v>2.4</v>
      </c>
      <c r="X412" s="20">
        <f>IFERROR(W412*H412,"-")</f>
        <v>4.8</v>
      </c>
      <c r="Z412" s="33">
        <v>45175</v>
      </c>
    </row>
    <row r="413" spans="1:26" ht="6.95" customHeight="1" x14ac:dyDescent="0.3">
      <c r="A413" s="5"/>
      <c r="B413" s="157"/>
      <c r="C413" s="158"/>
      <c r="D413" s="161"/>
      <c r="E413" s="162"/>
      <c r="F413" s="163"/>
      <c r="G413" s="164"/>
      <c r="H413" s="165"/>
      <c r="I413" s="164"/>
      <c r="J413" s="165"/>
      <c r="K413" s="164"/>
      <c r="L413" s="165"/>
      <c r="M413" s="6"/>
      <c r="N413" s="32"/>
      <c r="Q413" s="10" t="str">
        <f>+CONCATENATE(E412,I412)</f>
        <v>차열재마감</v>
      </c>
      <c r="R413" s="10">
        <f>+J412</f>
        <v>0</v>
      </c>
      <c r="S413" s="11"/>
      <c r="T413" s="10" t="str">
        <f>+E412</f>
        <v>차열재마감</v>
      </c>
      <c r="U413" s="19" t="str">
        <f>IFERROR(LEFT(I412,FIND("*",I412)-1),"-")</f>
        <v>-</v>
      </c>
      <c r="V413" s="19" t="str">
        <f>IFERROR(RIGHT(I412,LEN(I412)-FIND("*",I412)),"-")</f>
        <v>-</v>
      </c>
      <c r="W413" s="20" t="str">
        <f t="shared" si="220"/>
        <v>-</v>
      </c>
      <c r="X413" s="20" t="str">
        <f>IFERROR(W413*J412,"-")</f>
        <v>-</v>
      </c>
      <c r="Z413" s="33">
        <v>45175</v>
      </c>
    </row>
    <row r="414" spans="1:26" ht="6.95" customHeight="1" x14ac:dyDescent="0.3">
      <c r="A414" s="5"/>
      <c r="B414" s="157"/>
      <c r="C414" s="158"/>
      <c r="D414" s="161"/>
      <c r="E414" s="162"/>
      <c r="F414" s="163"/>
      <c r="G414" s="164"/>
      <c r="H414" s="165"/>
      <c r="I414" s="164"/>
      <c r="J414" s="165"/>
      <c r="K414" s="164"/>
      <c r="L414" s="165"/>
      <c r="M414" s="6"/>
      <c r="N414" s="32"/>
      <c r="Q414" s="10" t="str">
        <f>+CONCATENATE(E412,K412)</f>
        <v>차열재마감</v>
      </c>
      <c r="R414" s="10">
        <f>+L412</f>
        <v>0</v>
      </c>
      <c r="S414" s="11"/>
      <c r="T414" s="10" t="str">
        <f>+E412</f>
        <v>차열재마감</v>
      </c>
      <c r="U414" s="19" t="str">
        <f>IFERROR(LEFT(K412,FIND("*",K412)-1),"-")</f>
        <v>-</v>
      </c>
      <c r="V414" s="19" t="str">
        <f>IFERROR(RIGHT(K412,LEN(K412)-FIND("*",K412)),"-")</f>
        <v>-</v>
      </c>
      <c r="W414" s="20" t="str">
        <f t="shared" si="220"/>
        <v>-</v>
      </c>
      <c r="X414" s="20" t="str">
        <f>IFERROR(W414*L412,"-")</f>
        <v>-</v>
      </c>
      <c r="Z414" s="33">
        <v>45175</v>
      </c>
    </row>
    <row r="415" spans="1:26" ht="6.95" customHeight="1" x14ac:dyDescent="0.3">
      <c r="A415" s="8"/>
      <c r="B415" s="157"/>
      <c r="C415" s="158"/>
      <c r="D415" s="161" t="s">
        <v>39</v>
      </c>
      <c r="E415" s="162"/>
      <c r="F415" s="163" t="s">
        <v>40</v>
      </c>
      <c r="G415" s="164"/>
      <c r="H415" s="165"/>
      <c r="I415" s="164"/>
      <c r="J415" s="165"/>
      <c r="K415" s="164"/>
      <c r="L415" s="165"/>
      <c r="M415" s="6"/>
      <c r="N415" s="32"/>
      <c r="Q415" s="10" t="str">
        <f>+CONCATENATE(E415,G415)</f>
        <v/>
      </c>
      <c r="R415" s="10">
        <f>+H415</f>
        <v>0</v>
      </c>
      <c r="S415" s="11"/>
      <c r="T415" s="10">
        <f>+E415</f>
        <v>0</v>
      </c>
      <c r="U415" s="19" t="str">
        <f t="shared" ref="U415" si="223">IFERROR(LEFT(G415,FIND("*",G415)-1),"-")</f>
        <v>-</v>
      </c>
      <c r="V415" s="19" t="str">
        <f t="shared" ref="V415" si="224">IFERROR(RIGHT(G415,LEN(G415)-FIND("*",G415)),"-")</f>
        <v>-</v>
      </c>
      <c r="W415" s="20" t="str">
        <f t="shared" si="220"/>
        <v>-</v>
      </c>
      <c r="X415" s="20" t="str">
        <f>IFERROR(W415*H415,"-")</f>
        <v>-</v>
      </c>
      <c r="Z415" s="33">
        <v>45175</v>
      </c>
    </row>
    <row r="416" spans="1:26" ht="6.95" customHeight="1" x14ac:dyDescent="0.3">
      <c r="A416" s="5"/>
      <c r="B416" s="157"/>
      <c r="C416" s="158"/>
      <c r="D416" s="161"/>
      <c r="E416" s="162"/>
      <c r="F416" s="163"/>
      <c r="G416" s="164"/>
      <c r="H416" s="165"/>
      <c r="I416" s="164"/>
      <c r="J416" s="165"/>
      <c r="K416" s="164"/>
      <c r="L416" s="165"/>
      <c r="M416" s="6"/>
      <c r="N416" s="32"/>
      <c r="Q416" s="10" t="str">
        <f>+CONCATENATE(E415,I415)</f>
        <v/>
      </c>
      <c r="R416" s="10">
        <f>+J415</f>
        <v>0</v>
      </c>
      <c r="S416" s="11"/>
      <c r="T416" s="10">
        <f>+E415</f>
        <v>0</v>
      </c>
      <c r="U416" s="19" t="str">
        <f>IFERROR(LEFT(I415,FIND("*",I415)-1),"-")</f>
        <v>-</v>
      </c>
      <c r="V416" s="19" t="str">
        <f>IFERROR(RIGHT(I415,LEN(I415)-FIND("*",I415)),"-")</f>
        <v>-</v>
      </c>
      <c r="W416" s="20" t="str">
        <f t="shared" si="220"/>
        <v>-</v>
      </c>
      <c r="X416" s="20" t="str">
        <f t="shared" ref="X416" si="225">IFERROR(W416*J415,"-")</f>
        <v>-</v>
      </c>
      <c r="Z416" s="33">
        <v>45175</v>
      </c>
    </row>
    <row r="417" spans="1:26" ht="6.95" customHeight="1" x14ac:dyDescent="0.3">
      <c r="A417" s="5"/>
      <c r="B417" s="157"/>
      <c r="C417" s="158"/>
      <c r="D417" s="161"/>
      <c r="E417" s="162"/>
      <c r="F417" s="163"/>
      <c r="G417" s="164"/>
      <c r="H417" s="165"/>
      <c r="I417" s="164"/>
      <c r="J417" s="165"/>
      <c r="K417" s="164"/>
      <c r="L417" s="165"/>
      <c r="M417" s="6"/>
      <c r="N417" s="32"/>
      <c r="Q417" s="10" t="str">
        <f>+CONCATENATE(E415,K415)</f>
        <v/>
      </c>
      <c r="R417" s="10">
        <f>+L415</f>
        <v>0</v>
      </c>
      <c r="S417" s="11"/>
      <c r="T417" s="10">
        <f>+E415</f>
        <v>0</v>
      </c>
      <c r="U417" s="19" t="str">
        <f>IFERROR(LEFT(K415,FIND("*",K415)-1),"-")</f>
        <v>-</v>
      </c>
      <c r="V417" s="19" t="str">
        <f>IFERROR(RIGHT(K415,LEN(K415)-FIND("*",K415)),"-")</f>
        <v>-</v>
      </c>
      <c r="W417" s="20" t="str">
        <f t="shared" si="220"/>
        <v>-</v>
      </c>
      <c r="X417" s="20" t="str">
        <f>IFERROR(W417*L415,"-")</f>
        <v>-</v>
      </c>
      <c r="Z417" s="33">
        <v>45175</v>
      </c>
    </row>
    <row r="418" spans="1:26" ht="21" customHeight="1" thickBot="1" x14ac:dyDescent="0.35">
      <c r="A418" s="5"/>
      <c r="B418" s="159"/>
      <c r="C418" s="160"/>
      <c r="D418" s="166" t="s">
        <v>43</v>
      </c>
      <c r="E418" s="167"/>
      <c r="F418" s="167"/>
      <c r="G418" s="168" t="s">
        <v>206</v>
      </c>
      <c r="H418" s="168"/>
      <c r="I418" s="168"/>
      <c r="J418" s="168"/>
      <c r="K418" s="168"/>
      <c r="L418" s="168"/>
      <c r="M418" s="7"/>
      <c r="N418" s="32"/>
      <c r="Z418" s="33">
        <v>45175</v>
      </c>
    </row>
    <row r="419" spans="1:26" ht="9.9499999999999993" customHeight="1" thickBot="1" x14ac:dyDescent="0.35">
      <c r="B419" s="9"/>
      <c r="C419" s="109">
        <v>838</v>
      </c>
      <c r="D419" s="51"/>
      <c r="E419" s="12"/>
      <c r="F419" s="51"/>
      <c r="G419" s="14"/>
      <c r="H419" s="14"/>
      <c r="I419" s="14"/>
      <c r="J419" s="14"/>
      <c r="K419" s="14"/>
      <c r="L419" s="14"/>
      <c r="M419" s="9"/>
      <c r="N419" s="32"/>
      <c r="U419" s="18"/>
      <c r="V419" s="18"/>
      <c r="Z419" s="33">
        <v>45175</v>
      </c>
    </row>
    <row r="420" spans="1:26" ht="6.95" customHeight="1" x14ac:dyDescent="0.3">
      <c r="A420" s="154">
        <f>+A409+1</f>
        <v>839</v>
      </c>
      <c r="B420" s="155"/>
      <c r="C420" s="156"/>
      <c r="D420" s="161" t="s">
        <v>39</v>
      </c>
      <c r="E420" s="162" t="s">
        <v>209</v>
      </c>
      <c r="F420" s="163" t="s">
        <v>40</v>
      </c>
      <c r="G420" s="164" t="s">
        <v>210</v>
      </c>
      <c r="H420" s="165">
        <v>1</v>
      </c>
      <c r="I420" s="164"/>
      <c r="J420" s="165"/>
      <c r="K420" s="164"/>
      <c r="L420" s="165"/>
      <c r="M420" s="6"/>
      <c r="N420" s="32"/>
      <c r="Q420" s="10" t="str">
        <f>+CONCATENATE(E420,G420)</f>
        <v>보온덕트벽체800*400</v>
      </c>
      <c r="R420" s="10">
        <f>+H420</f>
        <v>1</v>
      </c>
      <c r="S420" s="11"/>
      <c r="T420" s="10" t="str">
        <f>+E420</f>
        <v>보온덕트벽체</v>
      </c>
      <c r="U420" s="19" t="str">
        <f>IFERROR(LEFT(G420,FIND("*",G420)-1),"-")</f>
        <v>800</v>
      </c>
      <c r="V420" s="19" t="str">
        <f>IFERROR(RIGHT(G420,LEN(G420)-FIND("*",G420)),"-")</f>
        <v>400</v>
      </c>
      <c r="W420" s="20">
        <f>IFERROR((U420+V420)*2/1000,"-")</f>
        <v>2.4</v>
      </c>
      <c r="X420" s="20">
        <f>IFERROR(W420*H420,"-")</f>
        <v>2.4</v>
      </c>
      <c r="Z420" s="33">
        <v>45175</v>
      </c>
    </row>
    <row r="421" spans="1:26" ht="6.95" customHeight="1" x14ac:dyDescent="0.3">
      <c r="A421" s="154"/>
      <c r="B421" s="157"/>
      <c r="C421" s="158"/>
      <c r="D421" s="161"/>
      <c r="E421" s="162"/>
      <c r="F421" s="163"/>
      <c r="G421" s="164"/>
      <c r="H421" s="165"/>
      <c r="I421" s="164"/>
      <c r="J421" s="165"/>
      <c r="K421" s="164"/>
      <c r="L421" s="165"/>
      <c r="M421" s="6"/>
      <c r="N421" s="32"/>
      <c r="Q421" s="10" t="str">
        <f>+CONCATENATE(E420,I420)</f>
        <v>보온덕트벽체</v>
      </c>
      <c r="R421" s="10">
        <f>+J420</f>
        <v>0</v>
      </c>
      <c r="S421" s="11"/>
      <c r="T421" s="10" t="str">
        <f>+E420</f>
        <v>보온덕트벽체</v>
      </c>
      <c r="U421" s="19" t="str">
        <f>IFERROR(LEFT(I420,FIND("*",I420)-1),"-")</f>
        <v>-</v>
      </c>
      <c r="V421" s="19" t="str">
        <f>IFERROR(RIGHT(I420,LEN(I420)-FIND("*",I420)),"-")</f>
        <v>-</v>
      </c>
      <c r="W421" s="20" t="str">
        <f t="shared" ref="W421:W428" si="226">IFERROR((U421+V421)*2/1000,"-")</f>
        <v>-</v>
      </c>
      <c r="X421" s="20" t="str">
        <f>IFERROR(W421*J420,"-")</f>
        <v>-</v>
      </c>
      <c r="Z421" s="33">
        <v>45175</v>
      </c>
    </row>
    <row r="422" spans="1:26" ht="6.95" customHeight="1" x14ac:dyDescent="0.3">
      <c r="A422" s="154"/>
      <c r="B422" s="157"/>
      <c r="C422" s="158"/>
      <c r="D422" s="161"/>
      <c r="E422" s="162"/>
      <c r="F422" s="163"/>
      <c r="G422" s="164"/>
      <c r="H422" s="165"/>
      <c r="I422" s="164"/>
      <c r="J422" s="165"/>
      <c r="K422" s="164"/>
      <c r="L422" s="165"/>
      <c r="M422" s="6"/>
      <c r="N422" s="32"/>
      <c r="Q422" s="10" t="str">
        <f>+CONCATENATE(E420,K420)</f>
        <v>보온덕트벽체</v>
      </c>
      <c r="R422" s="10">
        <f>+L420</f>
        <v>0</v>
      </c>
      <c r="S422" s="11"/>
      <c r="T422" s="10" t="str">
        <f>+E420</f>
        <v>보온덕트벽체</v>
      </c>
      <c r="U422" s="19" t="str">
        <f>IFERROR(LEFT(K420,FIND("*",K420)-1),"-")</f>
        <v>-</v>
      </c>
      <c r="V422" s="19" t="str">
        <f>IFERROR(RIGHT(K420,LEN(K420)-FIND("*",K420)),"-")</f>
        <v>-</v>
      </c>
      <c r="W422" s="20" t="str">
        <f t="shared" si="226"/>
        <v>-</v>
      </c>
      <c r="X422" s="20" t="str">
        <f>IFERROR(W422*L420,"-")</f>
        <v>-</v>
      </c>
      <c r="Z422" s="33">
        <v>45175</v>
      </c>
    </row>
    <row r="423" spans="1:26" ht="6.95" customHeight="1" x14ac:dyDescent="0.3">
      <c r="A423" s="8"/>
      <c r="B423" s="157"/>
      <c r="C423" s="158"/>
      <c r="D423" s="161" t="s">
        <v>39</v>
      </c>
      <c r="E423" s="162" t="s">
        <v>216</v>
      </c>
      <c r="F423" s="163" t="s">
        <v>40</v>
      </c>
      <c r="G423" s="164" t="s">
        <v>210</v>
      </c>
      <c r="H423" s="165">
        <v>2</v>
      </c>
      <c r="I423" s="164"/>
      <c r="J423" s="165"/>
      <c r="K423" s="164"/>
      <c r="L423" s="165"/>
      <c r="M423" s="6"/>
      <c r="N423" s="32"/>
      <c r="Q423" s="10" t="str">
        <f>+CONCATENATE(E423,G423)</f>
        <v>차열재마감800*400</v>
      </c>
      <c r="R423" s="10">
        <f>+H423</f>
        <v>2</v>
      </c>
      <c r="S423" s="11"/>
      <c r="T423" s="10" t="str">
        <f>+E423</f>
        <v>차열재마감</v>
      </c>
      <c r="U423" s="19" t="str">
        <f t="shared" ref="U423" si="227">IFERROR(LEFT(G423,FIND("*",G423)-1),"-")</f>
        <v>800</v>
      </c>
      <c r="V423" s="19" t="str">
        <f t="shared" ref="V423" si="228">IFERROR(RIGHT(G423,LEN(G423)-FIND("*",G423)),"-")</f>
        <v>400</v>
      </c>
      <c r="W423" s="20">
        <f t="shared" si="226"/>
        <v>2.4</v>
      </c>
      <c r="X423" s="20">
        <f>IFERROR(W423*H423,"-")</f>
        <v>4.8</v>
      </c>
      <c r="Z423" s="33">
        <v>45175</v>
      </c>
    </row>
    <row r="424" spans="1:26" ht="6.95" customHeight="1" x14ac:dyDescent="0.3">
      <c r="A424" s="5"/>
      <c r="B424" s="157"/>
      <c r="C424" s="158"/>
      <c r="D424" s="161"/>
      <c r="E424" s="162"/>
      <c r="F424" s="163"/>
      <c r="G424" s="164"/>
      <c r="H424" s="165"/>
      <c r="I424" s="164"/>
      <c r="J424" s="165"/>
      <c r="K424" s="164"/>
      <c r="L424" s="165"/>
      <c r="M424" s="6"/>
      <c r="N424" s="32"/>
      <c r="Q424" s="10" t="str">
        <f>+CONCATENATE(E423,I423)</f>
        <v>차열재마감</v>
      </c>
      <c r="R424" s="10">
        <f>+J423</f>
        <v>0</v>
      </c>
      <c r="S424" s="11"/>
      <c r="T424" s="10" t="str">
        <f>+E423</f>
        <v>차열재마감</v>
      </c>
      <c r="U424" s="19" t="str">
        <f>IFERROR(LEFT(I423,FIND("*",I423)-1),"-")</f>
        <v>-</v>
      </c>
      <c r="V424" s="19" t="str">
        <f>IFERROR(RIGHT(I423,LEN(I423)-FIND("*",I423)),"-")</f>
        <v>-</v>
      </c>
      <c r="W424" s="20" t="str">
        <f t="shared" si="226"/>
        <v>-</v>
      </c>
      <c r="X424" s="20" t="str">
        <f>IFERROR(W424*J423,"-")</f>
        <v>-</v>
      </c>
      <c r="Z424" s="33">
        <v>45175</v>
      </c>
    </row>
    <row r="425" spans="1:26" ht="6.95" customHeight="1" x14ac:dyDescent="0.3">
      <c r="A425" s="5"/>
      <c r="B425" s="157"/>
      <c r="C425" s="158"/>
      <c r="D425" s="161"/>
      <c r="E425" s="162"/>
      <c r="F425" s="163"/>
      <c r="G425" s="164"/>
      <c r="H425" s="165"/>
      <c r="I425" s="164"/>
      <c r="J425" s="165"/>
      <c r="K425" s="164"/>
      <c r="L425" s="165"/>
      <c r="M425" s="6"/>
      <c r="N425" s="32"/>
      <c r="Q425" s="10" t="str">
        <f>+CONCATENATE(E423,K423)</f>
        <v>차열재마감</v>
      </c>
      <c r="R425" s="10">
        <f>+L423</f>
        <v>0</v>
      </c>
      <c r="S425" s="11"/>
      <c r="T425" s="10" t="str">
        <f>+E423</f>
        <v>차열재마감</v>
      </c>
      <c r="U425" s="19" t="str">
        <f>IFERROR(LEFT(K423,FIND("*",K423)-1),"-")</f>
        <v>-</v>
      </c>
      <c r="V425" s="19" t="str">
        <f>IFERROR(RIGHT(K423,LEN(K423)-FIND("*",K423)),"-")</f>
        <v>-</v>
      </c>
      <c r="W425" s="20" t="str">
        <f t="shared" si="226"/>
        <v>-</v>
      </c>
      <c r="X425" s="20" t="str">
        <f>IFERROR(W425*L423,"-")</f>
        <v>-</v>
      </c>
      <c r="Z425" s="33">
        <v>45175</v>
      </c>
    </row>
    <row r="426" spans="1:26" ht="6.95" customHeight="1" x14ac:dyDescent="0.3">
      <c r="A426" s="8"/>
      <c r="B426" s="157"/>
      <c r="C426" s="158"/>
      <c r="D426" s="161" t="s">
        <v>39</v>
      </c>
      <c r="E426" s="162"/>
      <c r="F426" s="163" t="s">
        <v>40</v>
      </c>
      <c r="G426" s="164"/>
      <c r="H426" s="165"/>
      <c r="I426" s="164"/>
      <c r="J426" s="165"/>
      <c r="K426" s="164"/>
      <c r="L426" s="165"/>
      <c r="M426" s="6"/>
      <c r="N426" s="32"/>
      <c r="Q426" s="10" t="str">
        <f>+CONCATENATE(E426,G426)</f>
        <v/>
      </c>
      <c r="R426" s="10">
        <f>+H426</f>
        <v>0</v>
      </c>
      <c r="S426" s="11"/>
      <c r="T426" s="10">
        <f>+E426</f>
        <v>0</v>
      </c>
      <c r="U426" s="19" t="str">
        <f t="shared" ref="U426" si="229">IFERROR(LEFT(G426,FIND("*",G426)-1),"-")</f>
        <v>-</v>
      </c>
      <c r="V426" s="19" t="str">
        <f t="shared" ref="V426" si="230">IFERROR(RIGHT(G426,LEN(G426)-FIND("*",G426)),"-")</f>
        <v>-</v>
      </c>
      <c r="W426" s="20" t="str">
        <f t="shared" si="226"/>
        <v>-</v>
      </c>
      <c r="X426" s="20" t="str">
        <f>IFERROR(W426*H426,"-")</f>
        <v>-</v>
      </c>
      <c r="Z426" s="33">
        <v>45175</v>
      </c>
    </row>
    <row r="427" spans="1:26" ht="6.95" customHeight="1" x14ac:dyDescent="0.3">
      <c r="A427" s="5"/>
      <c r="B427" s="157"/>
      <c r="C427" s="158"/>
      <c r="D427" s="161"/>
      <c r="E427" s="162"/>
      <c r="F427" s="163"/>
      <c r="G427" s="164"/>
      <c r="H427" s="165"/>
      <c r="I427" s="164"/>
      <c r="J427" s="165"/>
      <c r="K427" s="164"/>
      <c r="L427" s="165"/>
      <c r="M427" s="6"/>
      <c r="N427" s="32"/>
      <c r="Q427" s="10" t="str">
        <f>+CONCATENATE(E426,I426)</f>
        <v/>
      </c>
      <c r="R427" s="10">
        <f>+J426</f>
        <v>0</v>
      </c>
      <c r="S427" s="11"/>
      <c r="T427" s="10">
        <f>+E426</f>
        <v>0</v>
      </c>
      <c r="U427" s="19" t="str">
        <f>IFERROR(LEFT(I426,FIND("*",I426)-1),"-")</f>
        <v>-</v>
      </c>
      <c r="V427" s="19" t="str">
        <f>IFERROR(RIGHT(I426,LEN(I426)-FIND("*",I426)),"-")</f>
        <v>-</v>
      </c>
      <c r="W427" s="20" t="str">
        <f t="shared" si="226"/>
        <v>-</v>
      </c>
      <c r="X427" s="20" t="str">
        <f t="shared" ref="X427" si="231">IFERROR(W427*J426,"-")</f>
        <v>-</v>
      </c>
      <c r="Z427" s="33">
        <v>45175</v>
      </c>
    </row>
    <row r="428" spans="1:26" ht="6.95" customHeight="1" x14ac:dyDescent="0.3">
      <c r="A428" s="5"/>
      <c r="B428" s="157"/>
      <c r="C428" s="158"/>
      <c r="D428" s="161"/>
      <c r="E428" s="162"/>
      <c r="F428" s="163"/>
      <c r="G428" s="164"/>
      <c r="H428" s="165"/>
      <c r="I428" s="164"/>
      <c r="J428" s="165"/>
      <c r="K428" s="164"/>
      <c r="L428" s="165"/>
      <c r="M428" s="6"/>
      <c r="N428" s="32"/>
      <c r="Q428" s="10" t="str">
        <f>+CONCATENATE(E426,K426)</f>
        <v/>
      </c>
      <c r="R428" s="10">
        <f>+L426</f>
        <v>0</v>
      </c>
      <c r="S428" s="11"/>
      <c r="T428" s="10">
        <f>+E426</f>
        <v>0</v>
      </c>
      <c r="U428" s="19" t="str">
        <f>IFERROR(LEFT(K426,FIND("*",K426)-1),"-")</f>
        <v>-</v>
      </c>
      <c r="V428" s="19" t="str">
        <f>IFERROR(RIGHT(K426,LEN(K426)-FIND("*",K426)),"-")</f>
        <v>-</v>
      </c>
      <c r="W428" s="20" t="str">
        <f t="shared" si="226"/>
        <v>-</v>
      </c>
      <c r="X428" s="20" t="str">
        <f>IFERROR(W428*L426,"-")</f>
        <v>-</v>
      </c>
      <c r="Z428" s="33">
        <v>45175</v>
      </c>
    </row>
    <row r="429" spans="1:26" ht="21" customHeight="1" thickBot="1" x14ac:dyDescent="0.35">
      <c r="A429" s="5"/>
      <c r="B429" s="159"/>
      <c r="C429" s="160"/>
      <c r="D429" s="166" t="s">
        <v>43</v>
      </c>
      <c r="E429" s="167"/>
      <c r="F429" s="167"/>
      <c r="G429" s="168" t="s">
        <v>206</v>
      </c>
      <c r="H429" s="168"/>
      <c r="I429" s="168"/>
      <c r="J429" s="168"/>
      <c r="K429" s="168"/>
      <c r="L429" s="168"/>
      <c r="M429" s="7"/>
      <c r="N429" s="32"/>
      <c r="Z429" s="33">
        <v>45175</v>
      </c>
    </row>
    <row r="430" spans="1:26" ht="9.9499999999999993" customHeight="1" thickBot="1" x14ac:dyDescent="0.35">
      <c r="B430" s="9"/>
      <c r="C430" s="109">
        <v>839</v>
      </c>
      <c r="D430" s="51"/>
      <c r="E430" s="12"/>
      <c r="F430" s="51"/>
      <c r="G430" s="14"/>
      <c r="H430" s="14"/>
      <c r="I430" s="14"/>
      <c r="J430" s="14"/>
      <c r="K430" s="14"/>
      <c r="L430" s="14"/>
      <c r="M430" s="9"/>
      <c r="N430" s="32"/>
      <c r="U430" s="18"/>
      <c r="V430" s="18"/>
      <c r="Z430" s="33">
        <v>45175</v>
      </c>
    </row>
    <row r="431" spans="1:26" ht="6.95" customHeight="1" x14ac:dyDescent="0.3">
      <c r="A431" s="154">
        <f>+A420+1</f>
        <v>840</v>
      </c>
      <c r="B431" s="155"/>
      <c r="C431" s="156"/>
      <c r="D431" s="161" t="s">
        <v>39</v>
      </c>
      <c r="E431" s="162" t="s">
        <v>186</v>
      </c>
      <c r="F431" s="163" t="s">
        <v>40</v>
      </c>
      <c r="G431" s="164">
        <v>50</v>
      </c>
      <c r="H431" s="165">
        <v>2</v>
      </c>
      <c r="I431" s="164">
        <v>100</v>
      </c>
      <c r="J431" s="165">
        <v>1</v>
      </c>
      <c r="K431" s="164"/>
      <c r="L431" s="165"/>
      <c r="M431" s="6"/>
      <c r="N431" s="32"/>
      <c r="Q431" s="10" t="str">
        <f>+CONCATENATE(E431,G431)</f>
        <v>금속관벽체50</v>
      </c>
      <c r="R431" s="10">
        <f>+H431</f>
        <v>2</v>
      </c>
      <c r="S431" s="11"/>
      <c r="T431" s="10" t="str">
        <f>+E431</f>
        <v>금속관벽체</v>
      </c>
      <c r="U431" s="19" t="str">
        <f>IFERROR(LEFT(G431,FIND("*",G431)-1),"-")</f>
        <v>-</v>
      </c>
      <c r="V431" s="19" t="str">
        <f>IFERROR(RIGHT(G431,LEN(G431)-FIND("*",G431)),"-")</f>
        <v>-</v>
      </c>
      <c r="W431" s="20" t="str">
        <f>IFERROR((U431+V431)*2/1000,"-")</f>
        <v>-</v>
      </c>
      <c r="X431" s="20" t="str">
        <f>IFERROR(W431*H431,"-")</f>
        <v>-</v>
      </c>
      <c r="Z431" s="33">
        <v>45175</v>
      </c>
    </row>
    <row r="432" spans="1:26" ht="6.95" customHeight="1" x14ac:dyDescent="0.3">
      <c r="A432" s="154"/>
      <c r="B432" s="157"/>
      <c r="C432" s="158"/>
      <c r="D432" s="161"/>
      <c r="E432" s="162"/>
      <c r="F432" s="163"/>
      <c r="G432" s="164"/>
      <c r="H432" s="165"/>
      <c r="I432" s="164"/>
      <c r="J432" s="165"/>
      <c r="K432" s="164"/>
      <c r="L432" s="165"/>
      <c r="M432" s="6"/>
      <c r="N432" s="32"/>
      <c r="Q432" s="10" t="str">
        <f>+CONCATENATE(E431,I431)</f>
        <v>금속관벽체100</v>
      </c>
      <c r="R432" s="10">
        <f>+J431</f>
        <v>1</v>
      </c>
      <c r="S432" s="11"/>
      <c r="T432" s="10" t="str">
        <f>+E431</f>
        <v>금속관벽체</v>
      </c>
      <c r="U432" s="19" t="str">
        <f>IFERROR(LEFT(I431,FIND("*",I431)-1),"-")</f>
        <v>-</v>
      </c>
      <c r="V432" s="19" t="str">
        <f>IFERROR(RIGHT(I431,LEN(I431)-FIND("*",I431)),"-")</f>
        <v>-</v>
      </c>
      <c r="W432" s="20" t="str">
        <f t="shared" ref="W432:W439" si="232">IFERROR((U432+V432)*2/1000,"-")</f>
        <v>-</v>
      </c>
      <c r="X432" s="20" t="str">
        <f>IFERROR(W432*J431,"-")</f>
        <v>-</v>
      </c>
      <c r="Z432" s="33">
        <v>45175</v>
      </c>
    </row>
    <row r="433" spans="1:26" ht="6.95" customHeight="1" x14ac:dyDescent="0.3">
      <c r="A433" s="154"/>
      <c r="B433" s="157"/>
      <c r="C433" s="158"/>
      <c r="D433" s="161"/>
      <c r="E433" s="162"/>
      <c r="F433" s="163"/>
      <c r="G433" s="164"/>
      <c r="H433" s="165"/>
      <c r="I433" s="164"/>
      <c r="J433" s="165"/>
      <c r="K433" s="164"/>
      <c r="L433" s="165"/>
      <c r="M433" s="6"/>
      <c r="N433" s="32"/>
      <c r="Q433" s="10" t="str">
        <f>+CONCATENATE(E431,K431)</f>
        <v>금속관벽체</v>
      </c>
      <c r="R433" s="10">
        <f>+L431</f>
        <v>0</v>
      </c>
      <c r="S433" s="11"/>
      <c r="T433" s="10" t="str">
        <f>+E431</f>
        <v>금속관벽체</v>
      </c>
      <c r="U433" s="19" t="str">
        <f>IFERROR(LEFT(K431,FIND("*",K431)-1),"-")</f>
        <v>-</v>
      </c>
      <c r="V433" s="19" t="str">
        <f>IFERROR(RIGHT(K431,LEN(K431)-FIND("*",K431)),"-")</f>
        <v>-</v>
      </c>
      <c r="W433" s="20" t="str">
        <f t="shared" si="232"/>
        <v>-</v>
      </c>
      <c r="X433" s="20" t="str">
        <f>IFERROR(W433*L431,"-")</f>
        <v>-</v>
      </c>
      <c r="Z433" s="33">
        <v>45175</v>
      </c>
    </row>
    <row r="434" spans="1:26" ht="6.95" customHeight="1" x14ac:dyDescent="0.3">
      <c r="A434" s="8"/>
      <c r="B434" s="157"/>
      <c r="C434" s="158"/>
      <c r="D434" s="161" t="s">
        <v>39</v>
      </c>
      <c r="E434" s="162"/>
      <c r="F434" s="163" t="s">
        <v>40</v>
      </c>
      <c r="G434" s="164"/>
      <c r="H434" s="165"/>
      <c r="I434" s="164"/>
      <c r="J434" s="165"/>
      <c r="K434" s="164"/>
      <c r="L434" s="165"/>
      <c r="M434" s="6"/>
      <c r="N434" s="32"/>
      <c r="Q434" s="10" t="str">
        <f>+CONCATENATE(E434,G434)</f>
        <v/>
      </c>
      <c r="R434" s="10">
        <f>+H434</f>
        <v>0</v>
      </c>
      <c r="S434" s="11"/>
      <c r="T434" s="10">
        <f>+E434</f>
        <v>0</v>
      </c>
      <c r="U434" s="19" t="str">
        <f t="shared" ref="U434" si="233">IFERROR(LEFT(G434,FIND("*",G434)-1),"-")</f>
        <v>-</v>
      </c>
      <c r="V434" s="19" t="str">
        <f t="shared" ref="V434" si="234">IFERROR(RIGHT(G434,LEN(G434)-FIND("*",G434)),"-")</f>
        <v>-</v>
      </c>
      <c r="W434" s="20" t="str">
        <f t="shared" si="232"/>
        <v>-</v>
      </c>
      <c r="X434" s="20" t="str">
        <f>IFERROR(W434*H434,"-")</f>
        <v>-</v>
      </c>
      <c r="Z434" s="33">
        <v>45175</v>
      </c>
    </row>
    <row r="435" spans="1:26" ht="6.95" customHeight="1" x14ac:dyDescent="0.3">
      <c r="A435" s="5"/>
      <c r="B435" s="157"/>
      <c r="C435" s="158"/>
      <c r="D435" s="161"/>
      <c r="E435" s="162"/>
      <c r="F435" s="163"/>
      <c r="G435" s="164"/>
      <c r="H435" s="165"/>
      <c r="I435" s="164"/>
      <c r="J435" s="165"/>
      <c r="K435" s="164"/>
      <c r="L435" s="165"/>
      <c r="M435" s="6"/>
      <c r="N435" s="32"/>
      <c r="Q435" s="10" t="str">
        <f>+CONCATENATE(E434,I434)</f>
        <v/>
      </c>
      <c r="R435" s="10">
        <f>+J434</f>
        <v>0</v>
      </c>
      <c r="S435" s="11"/>
      <c r="T435" s="10">
        <f>+E434</f>
        <v>0</v>
      </c>
      <c r="U435" s="19" t="str">
        <f>IFERROR(LEFT(I434,FIND("*",I434)-1),"-")</f>
        <v>-</v>
      </c>
      <c r="V435" s="19" t="str">
        <f>IFERROR(RIGHT(I434,LEN(I434)-FIND("*",I434)),"-")</f>
        <v>-</v>
      </c>
      <c r="W435" s="20" t="str">
        <f t="shared" si="232"/>
        <v>-</v>
      </c>
      <c r="X435" s="20" t="str">
        <f>IFERROR(W435*J434,"-")</f>
        <v>-</v>
      </c>
      <c r="Z435" s="33">
        <v>45175</v>
      </c>
    </row>
    <row r="436" spans="1:26" ht="6.95" customHeight="1" x14ac:dyDescent="0.3">
      <c r="A436" s="5"/>
      <c r="B436" s="157"/>
      <c r="C436" s="158"/>
      <c r="D436" s="161"/>
      <c r="E436" s="162"/>
      <c r="F436" s="163"/>
      <c r="G436" s="164"/>
      <c r="H436" s="165"/>
      <c r="I436" s="164"/>
      <c r="J436" s="165"/>
      <c r="K436" s="164"/>
      <c r="L436" s="165"/>
      <c r="M436" s="6"/>
      <c r="N436" s="32"/>
      <c r="Q436" s="10" t="str">
        <f>+CONCATENATE(E434,K434)</f>
        <v/>
      </c>
      <c r="R436" s="10">
        <f>+L434</f>
        <v>0</v>
      </c>
      <c r="S436" s="11"/>
      <c r="T436" s="10">
        <f>+E434</f>
        <v>0</v>
      </c>
      <c r="U436" s="19" t="str">
        <f>IFERROR(LEFT(K434,FIND("*",K434)-1),"-")</f>
        <v>-</v>
      </c>
      <c r="V436" s="19" t="str">
        <f>IFERROR(RIGHT(K434,LEN(K434)-FIND("*",K434)),"-")</f>
        <v>-</v>
      </c>
      <c r="W436" s="20" t="str">
        <f t="shared" si="232"/>
        <v>-</v>
      </c>
      <c r="X436" s="20" t="str">
        <f>IFERROR(W436*L434,"-")</f>
        <v>-</v>
      </c>
      <c r="Z436" s="33">
        <v>45175</v>
      </c>
    </row>
    <row r="437" spans="1:26" ht="6.95" customHeight="1" x14ac:dyDescent="0.3">
      <c r="A437" s="8"/>
      <c r="B437" s="157"/>
      <c r="C437" s="158"/>
      <c r="D437" s="161" t="s">
        <v>39</v>
      </c>
      <c r="E437" s="162"/>
      <c r="F437" s="163" t="s">
        <v>40</v>
      </c>
      <c r="G437" s="164"/>
      <c r="H437" s="165"/>
      <c r="I437" s="164"/>
      <c r="J437" s="165"/>
      <c r="K437" s="164"/>
      <c r="L437" s="165"/>
      <c r="M437" s="6"/>
      <c r="N437" s="32"/>
      <c r="Q437" s="10" t="str">
        <f>+CONCATENATE(E437,G437)</f>
        <v/>
      </c>
      <c r="R437" s="10">
        <f>+H437</f>
        <v>0</v>
      </c>
      <c r="S437" s="11"/>
      <c r="T437" s="10">
        <f>+E437</f>
        <v>0</v>
      </c>
      <c r="U437" s="19" t="str">
        <f t="shared" ref="U437" si="235">IFERROR(LEFT(G437,FIND("*",G437)-1),"-")</f>
        <v>-</v>
      </c>
      <c r="V437" s="19" t="str">
        <f t="shared" ref="V437" si="236">IFERROR(RIGHT(G437,LEN(G437)-FIND("*",G437)),"-")</f>
        <v>-</v>
      </c>
      <c r="W437" s="20" t="str">
        <f t="shared" si="232"/>
        <v>-</v>
      </c>
      <c r="X437" s="20" t="str">
        <f>IFERROR(W437*H437,"-")</f>
        <v>-</v>
      </c>
      <c r="Z437" s="33">
        <v>45175</v>
      </c>
    </row>
    <row r="438" spans="1:26" ht="6.95" customHeight="1" x14ac:dyDescent="0.3">
      <c r="A438" s="5"/>
      <c r="B438" s="157"/>
      <c r="C438" s="158"/>
      <c r="D438" s="161"/>
      <c r="E438" s="162"/>
      <c r="F438" s="163"/>
      <c r="G438" s="164"/>
      <c r="H438" s="165"/>
      <c r="I438" s="164"/>
      <c r="J438" s="165"/>
      <c r="K438" s="164"/>
      <c r="L438" s="165"/>
      <c r="M438" s="6"/>
      <c r="N438" s="32"/>
      <c r="Q438" s="10" t="str">
        <f>+CONCATENATE(E437,I437)</f>
        <v/>
      </c>
      <c r="R438" s="10">
        <f>+J437</f>
        <v>0</v>
      </c>
      <c r="S438" s="11"/>
      <c r="T438" s="10">
        <f>+E437</f>
        <v>0</v>
      </c>
      <c r="U438" s="19" t="str">
        <f>IFERROR(LEFT(I437,FIND("*",I437)-1),"-")</f>
        <v>-</v>
      </c>
      <c r="V438" s="19" t="str">
        <f>IFERROR(RIGHT(I437,LEN(I437)-FIND("*",I437)),"-")</f>
        <v>-</v>
      </c>
      <c r="W438" s="20" t="str">
        <f t="shared" si="232"/>
        <v>-</v>
      </c>
      <c r="X438" s="20" t="str">
        <f t="shared" ref="X438" si="237">IFERROR(W438*J437,"-")</f>
        <v>-</v>
      </c>
      <c r="Z438" s="33">
        <v>45175</v>
      </c>
    </row>
    <row r="439" spans="1:26" ht="6.95" customHeight="1" x14ac:dyDescent="0.3">
      <c r="A439" s="5"/>
      <c r="B439" s="157"/>
      <c r="C439" s="158"/>
      <c r="D439" s="161"/>
      <c r="E439" s="162"/>
      <c r="F439" s="163"/>
      <c r="G439" s="164"/>
      <c r="H439" s="165"/>
      <c r="I439" s="164"/>
      <c r="J439" s="165"/>
      <c r="K439" s="164"/>
      <c r="L439" s="165"/>
      <c r="M439" s="6"/>
      <c r="N439" s="32"/>
      <c r="Q439" s="10" t="str">
        <f>+CONCATENATE(E437,K437)</f>
        <v/>
      </c>
      <c r="R439" s="10">
        <f>+L437</f>
        <v>0</v>
      </c>
      <c r="S439" s="11"/>
      <c r="T439" s="10">
        <f>+E437</f>
        <v>0</v>
      </c>
      <c r="U439" s="19" t="str">
        <f>IFERROR(LEFT(K437,FIND("*",K437)-1),"-")</f>
        <v>-</v>
      </c>
      <c r="V439" s="19" t="str">
        <f>IFERROR(RIGHT(K437,LEN(K437)-FIND("*",K437)),"-")</f>
        <v>-</v>
      </c>
      <c r="W439" s="20" t="str">
        <f t="shared" si="232"/>
        <v>-</v>
      </c>
      <c r="X439" s="20" t="str">
        <f>IFERROR(W439*L437,"-")</f>
        <v>-</v>
      </c>
      <c r="Z439" s="33">
        <v>45175</v>
      </c>
    </row>
    <row r="440" spans="1:26" ht="21" customHeight="1" thickBot="1" x14ac:dyDescent="0.35">
      <c r="A440" s="5"/>
      <c r="B440" s="159"/>
      <c r="C440" s="160"/>
      <c r="D440" s="166" t="s">
        <v>43</v>
      </c>
      <c r="E440" s="167"/>
      <c r="F440" s="167"/>
      <c r="G440" s="168" t="s">
        <v>206</v>
      </c>
      <c r="H440" s="168"/>
      <c r="I440" s="168"/>
      <c r="J440" s="168"/>
      <c r="K440" s="168"/>
      <c r="L440" s="168"/>
      <c r="M440" s="7"/>
      <c r="N440" s="32"/>
      <c r="Z440" s="33">
        <v>45175</v>
      </c>
    </row>
    <row r="441" spans="1:26" ht="9.9499999999999993" customHeight="1" thickBot="1" x14ac:dyDescent="0.35">
      <c r="B441" s="9"/>
      <c r="C441" s="109">
        <v>840</v>
      </c>
      <c r="D441" s="51"/>
      <c r="E441" s="12"/>
      <c r="F441" s="51"/>
      <c r="G441" s="14"/>
      <c r="H441" s="14"/>
      <c r="I441" s="14"/>
      <c r="J441" s="14"/>
      <c r="K441" s="14"/>
      <c r="L441" s="14"/>
      <c r="M441" s="9"/>
      <c r="N441" s="32"/>
      <c r="U441" s="18"/>
      <c r="V441" s="18"/>
      <c r="Z441" s="33">
        <v>45175</v>
      </c>
    </row>
    <row r="442" spans="1:26" ht="6.95" customHeight="1" x14ac:dyDescent="0.3">
      <c r="A442" s="154">
        <f>+A431+1</f>
        <v>841</v>
      </c>
      <c r="B442" s="155"/>
      <c r="C442" s="156"/>
      <c r="D442" s="161" t="s">
        <v>39</v>
      </c>
      <c r="E442" s="162" t="s">
        <v>186</v>
      </c>
      <c r="F442" s="163" t="s">
        <v>40</v>
      </c>
      <c r="G442" s="164">
        <v>100</v>
      </c>
      <c r="H442" s="165">
        <v>2</v>
      </c>
      <c r="I442" s="164">
        <v>150</v>
      </c>
      <c r="J442" s="165">
        <v>1</v>
      </c>
      <c r="K442" s="164"/>
      <c r="L442" s="165"/>
      <c r="M442" s="6"/>
      <c r="N442" s="32"/>
      <c r="Q442" s="10" t="str">
        <f>+CONCATENATE(E442,G442)</f>
        <v>금속관벽체100</v>
      </c>
      <c r="R442" s="10">
        <f>+H442</f>
        <v>2</v>
      </c>
      <c r="S442" s="11"/>
      <c r="T442" s="10" t="str">
        <f>+E442</f>
        <v>금속관벽체</v>
      </c>
      <c r="U442" s="19" t="str">
        <f>IFERROR(LEFT(G442,FIND("*",G442)-1),"-")</f>
        <v>-</v>
      </c>
      <c r="V442" s="19" t="str">
        <f>IFERROR(RIGHT(G442,LEN(G442)-FIND("*",G442)),"-")</f>
        <v>-</v>
      </c>
      <c r="W442" s="20" t="str">
        <f>IFERROR((U442+V442)*2/1000,"-")</f>
        <v>-</v>
      </c>
      <c r="X442" s="20" t="str">
        <f>IFERROR(W442*H442,"-")</f>
        <v>-</v>
      </c>
      <c r="Z442" s="33">
        <v>45175</v>
      </c>
    </row>
    <row r="443" spans="1:26" ht="6.95" customHeight="1" x14ac:dyDescent="0.3">
      <c r="A443" s="154"/>
      <c r="B443" s="157"/>
      <c r="C443" s="158"/>
      <c r="D443" s="161"/>
      <c r="E443" s="162"/>
      <c r="F443" s="163"/>
      <c r="G443" s="164"/>
      <c r="H443" s="165"/>
      <c r="I443" s="164"/>
      <c r="J443" s="165"/>
      <c r="K443" s="164"/>
      <c r="L443" s="165"/>
      <c r="M443" s="6"/>
      <c r="N443" s="32"/>
      <c r="Q443" s="10" t="str">
        <f>+CONCATENATE(E442,I442)</f>
        <v>금속관벽체150</v>
      </c>
      <c r="R443" s="10">
        <f>+J442</f>
        <v>1</v>
      </c>
      <c r="S443" s="11"/>
      <c r="T443" s="10" t="str">
        <f>+E442</f>
        <v>금속관벽체</v>
      </c>
      <c r="U443" s="19" t="str">
        <f>IFERROR(LEFT(I442,FIND("*",I442)-1),"-")</f>
        <v>-</v>
      </c>
      <c r="V443" s="19" t="str">
        <f>IFERROR(RIGHT(I442,LEN(I442)-FIND("*",I442)),"-")</f>
        <v>-</v>
      </c>
      <c r="W443" s="20" t="str">
        <f t="shared" ref="W443:W450" si="238">IFERROR((U443+V443)*2/1000,"-")</f>
        <v>-</v>
      </c>
      <c r="X443" s="20" t="str">
        <f>IFERROR(W443*J442,"-")</f>
        <v>-</v>
      </c>
      <c r="Z443" s="33">
        <v>45175</v>
      </c>
    </row>
    <row r="444" spans="1:26" ht="6.95" customHeight="1" x14ac:dyDescent="0.3">
      <c r="A444" s="154"/>
      <c r="B444" s="157"/>
      <c r="C444" s="158"/>
      <c r="D444" s="161"/>
      <c r="E444" s="162"/>
      <c r="F444" s="163"/>
      <c r="G444" s="164"/>
      <c r="H444" s="165"/>
      <c r="I444" s="164"/>
      <c r="J444" s="165"/>
      <c r="K444" s="164"/>
      <c r="L444" s="165"/>
      <c r="M444" s="6"/>
      <c r="N444" s="32"/>
      <c r="Q444" s="10" t="str">
        <f>+CONCATENATE(E442,K442)</f>
        <v>금속관벽체</v>
      </c>
      <c r="R444" s="10">
        <f>+L442</f>
        <v>0</v>
      </c>
      <c r="S444" s="11"/>
      <c r="T444" s="10" t="str">
        <f>+E442</f>
        <v>금속관벽체</v>
      </c>
      <c r="U444" s="19" t="str">
        <f>IFERROR(LEFT(K442,FIND("*",K442)-1),"-")</f>
        <v>-</v>
      </c>
      <c r="V444" s="19" t="str">
        <f>IFERROR(RIGHT(K442,LEN(K442)-FIND("*",K442)),"-")</f>
        <v>-</v>
      </c>
      <c r="W444" s="20" t="str">
        <f t="shared" si="238"/>
        <v>-</v>
      </c>
      <c r="X444" s="20" t="str">
        <f>IFERROR(W444*L442,"-")</f>
        <v>-</v>
      </c>
      <c r="Z444" s="33">
        <v>45175</v>
      </c>
    </row>
    <row r="445" spans="1:26" ht="6.95" customHeight="1" x14ac:dyDescent="0.3">
      <c r="A445" s="8"/>
      <c r="B445" s="157"/>
      <c r="C445" s="158"/>
      <c r="D445" s="161" t="s">
        <v>39</v>
      </c>
      <c r="E445" s="162" t="s">
        <v>211</v>
      </c>
      <c r="F445" s="163" t="s">
        <v>40</v>
      </c>
      <c r="G445" s="164" t="s">
        <v>212</v>
      </c>
      <c r="H445" s="165">
        <v>1</v>
      </c>
      <c r="I445" s="164"/>
      <c r="J445" s="165"/>
      <c r="K445" s="164"/>
      <c r="L445" s="165"/>
      <c r="M445" s="6"/>
      <c r="N445" s="32"/>
      <c r="Q445" s="10" t="str">
        <f>+CONCATENATE(E445,G445)</f>
        <v>오픈구800*300</v>
      </c>
      <c r="R445" s="10">
        <f>+H445</f>
        <v>1</v>
      </c>
      <c r="S445" s="11"/>
      <c r="T445" s="10" t="str">
        <f>+E445</f>
        <v>오픈구</v>
      </c>
      <c r="U445" s="19" t="str">
        <f t="shared" ref="U445" si="239">IFERROR(LEFT(G445,FIND("*",G445)-1),"-")</f>
        <v>800</v>
      </c>
      <c r="V445" s="19" t="str">
        <f t="shared" ref="V445" si="240">IFERROR(RIGHT(G445,LEN(G445)-FIND("*",G445)),"-")</f>
        <v>300</v>
      </c>
      <c r="W445" s="20">
        <f t="shared" si="238"/>
        <v>2.2000000000000002</v>
      </c>
      <c r="X445" s="20">
        <f>IFERROR(W445*H445,"-")</f>
        <v>2.2000000000000002</v>
      </c>
      <c r="Z445" s="33">
        <v>45175</v>
      </c>
    </row>
    <row r="446" spans="1:26" ht="6.95" customHeight="1" x14ac:dyDescent="0.3">
      <c r="A446" s="5"/>
      <c r="B446" s="157"/>
      <c r="C446" s="158"/>
      <c r="D446" s="161"/>
      <c r="E446" s="162"/>
      <c r="F446" s="163"/>
      <c r="G446" s="164"/>
      <c r="H446" s="165"/>
      <c r="I446" s="164"/>
      <c r="J446" s="165"/>
      <c r="K446" s="164"/>
      <c r="L446" s="165"/>
      <c r="M446" s="6"/>
      <c r="N446" s="32"/>
      <c r="Q446" s="10" t="str">
        <f>+CONCATENATE(E445,I445)</f>
        <v>오픈구</v>
      </c>
      <c r="R446" s="10">
        <f>+J445</f>
        <v>0</v>
      </c>
      <c r="S446" s="11"/>
      <c r="T446" s="10" t="str">
        <f>+E445</f>
        <v>오픈구</v>
      </c>
      <c r="U446" s="19" t="str">
        <f>IFERROR(LEFT(I445,FIND("*",I445)-1),"-")</f>
        <v>-</v>
      </c>
      <c r="V446" s="19" t="str">
        <f>IFERROR(RIGHT(I445,LEN(I445)-FIND("*",I445)),"-")</f>
        <v>-</v>
      </c>
      <c r="W446" s="20" t="str">
        <f t="shared" si="238"/>
        <v>-</v>
      </c>
      <c r="X446" s="20" t="str">
        <f>IFERROR(W446*J445,"-")</f>
        <v>-</v>
      </c>
      <c r="Z446" s="33">
        <v>45175</v>
      </c>
    </row>
    <row r="447" spans="1:26" ht="6.95" customHeight="1" x14ac:dyDescent="0.3">
      <c r="A447" s="5"/>
      <c r="B447" s="157"/>
      <c r="C447" s="158"/>
      <c r="D447" s="161"/>
      <c r="E447" s="162"/>
      <c r="F447" s="163"/>
      <c r="G447" s="164"/>
      <c r="H447" s="165"/>
      <c r="I447" s="164"/>
      <c r="J447" s="165"/>
      <c r="K447" s="164"/>
      <c r="L447" s="165"/>
      <c r="M447" s="6"/>
      <c r="N447" s="32"/>
      <c r="Q447" s="10" t="str">
        <f>+CONCATENATE(E445,K445)</f>
        <v>오픈구</v>
      </c>
      <c r="R447" s="10">
        <f>+L445</f>
        <v>0</v>
      </c>
      <c r="S447" s="11"/>
      <c r="T447" s="10" t="str">
        <f>+E445</f>
        <v>오픈구</v>
      </c>
      <c r="U447" s="19" t="str">
        <f>IFERROR(LEFT(K445,FIND("*",K445)-1),"-")</f>
        <v>-</v>
      </c>
      <c r="V447" s="19" t="str">
        <f>IFERROR(RIGHT(K445,LEN(K445)-FIND("*",K445)),"-")</f>
        <v>-</v>
      </c>
      <c r="W447" s="20" t="str">
        <f t="shared" si="238"/>
        <v>-</v>
      </c>
      <c r="X447" s="20" t="str">
        <f>IFERROR(W447*L445,"-")</f>
        <v>-</v>
      </c>
      <c r="Z447" s="33">
        <v>45175</v>
      </c>
    </row>
    <row r="448" spans="1:26" ht="6.95" customHeight="1" x14ac:dyDescent="0.3">
      <c r="A448" s="8"/>
      <c r="B448" s="157"/>
      <c r="C448" s="158"/>
      <c r="D448" s="161" t="s">
        <v>39</v>
      </c>
      <c r="E448" s="162"/>
      <c r="F448" s="163" t="s">
        <v>40</v>
      </c>
      <c r="G448" s="164"/>
      <c r="H448" s="165"/>
      <c r="I448" s="164"/>
      <c r="J448" s="165"/>
      <c r="K448" s="164"/>
      <c r="L448" s="165"/>
      <c r="M448" s="6"/>
      <c r="N448" s="32"/>
      <c r="Q448" s="10" t="str">
        <f>+CONCATENATE(E448,G448)</f>
        <v/>
      </c>
      <c r="R448" s="10">
        <f>+H448</f>
        <v>0</v>
      </c>
      <c r="S448" s="11"/>
      <c r="T448" s="10">
        <f>+E448</f>
        <v>0</v>
      </c>
      <c r="U448" s="19" t="str">
        <f t="shared" ref="U448" si="241">IFERROR(LEFT(G448,FIND("*",G448)-1),"-")</f>
        <v>-</v>
      </c>
      <c r="V448" s="19" t="str">
        <f t="shared" ref="V448" si="242">IFERROR(RIGHT(G448,LEN(G448)-FIND("*",G448)),"-")</f>
        <v>-</v>
      </c>
      <c r="W448" s="20" t="str">
        <f t="shared" si="238"/>
        <v>-</v>
      </c>
      <c r="X448" s="20" t="str">
        <f>IFERROR(W448*H448,"-")</f>
        <v>-</v>
      </c>
      <c r="Z448" s="33">
        <v>45175</v>
      </c>
    </row>
    <row r="449" spans="1:26" ht="6.95" customHeight="1" x14ac:dyDescent="0.3">
      <c r="A449" s="5"/>
      <c r="B449" s="157"/>
      <c r="C449" s="158"/>
      <c r="D449" s="161"/>
      <c r="E449" s="162"/>
      <c r="F449" s="163"/>
      <c r="G449" s="164"/>
      <c r="H449" s="165"/>
      <c r="I449" s="164"/>
      <c r="J449" s="165"/>
      <c r="K449" s="164"/>
      <c r="L449" s="165"/>
      <c r="M449" s="6"/>
      <c r="N449" s="32"/>
      <c r="Q449" s="10" t="str">
        <f>+CONCATENATE(E448,I448)</f>
        <v/>
      </c>
      <c r="R449" s="10">
        <f>+J448</f>
        <v>0</v>
      </c>
      <c r="S449" s="11"/>
      <c r="T449" s="10">
        <f>+E448</f>
        <v>0</v>
      </c>
      <c r="U449" s="19" t="str">
        <f>IFERROR(LEFT(I448,FIND("*",I448)-1),"-")</f>
        <v>-</v>
      </c>
      <c r="V449" s="19" t="str">
        <f>IFERROR(RIGHT(I448,LEN(I448)-FIND("*",I448)),"-")</f>
        <v>-</v>
      </c>
      <c r="W449" s="20" t="str">
        <f t="shared" si="238"/>
        <v>-</v>
      </c>
      <c r="X449" s="20" t="str">
        <f t="shared" ref="X449" si="243">IFERROR(W449*J448,"-")</f>
        <v>-</v>
      </c>
      <c r="Z449" s="33">
        <v>45175</v>
      </c>
    </row>
    <row r="450" spans="1:26" ht="6.95" customHeight="1" x14ac:dyDescent="0.3">
      <c r="A450" s="5"/>
      <c r="B450" s="157"/>
      <c r="C450" s="158"/>
      <c r="D450" s="161"/>
      <c r="E450" s="162"/>
      <c r="F450" s="163"/>
      <c r="G450" s="164"/>
      <c r="H450" s="165"/>
      <c r="I450" s="164"/>
      <c r="J450" s="165"/>
      <c r="K450" s="164"/>
      <c r="L450" s="165"/>
      <c r="M450" s="6"/>
      <c r="N450" s="32"/>
      <c r="Q450" s="10" t="str">
        <f>+CONCATENATE(E448,K448)</f>
        <v/>
      </c>
      <c r="R450" s="10">
        <f>+L448</f>
        <v>0</v>
      </c>
      <c r="S450" s="11"/>
      <c r="T450" s="10">
        <f>+E448</f>
        <v>0</v>
      </c>
      <c r="U450" s="19" t="str">
        <f>IFERROR(LEFT(K448,FIND("*",K448)-1),"-")</f>
        <v>-</v>
      </c>
      <c r="V450" s="19" t="str">
        <f>IFERROR(RIGHT(K448,LEN(K448)-FIND("*",K448)),"-")</f>
        <v>-</v>
      </c>
      <c r="W450" s="20" t="str">
        <f t="shared" si="238"/>
        <v>-</v>
      </c>
      <c r="X450" s="20" t="str">
        <f>IFERROR(W450*L448,"-")</f>
        <v>-</v>
      </c>
      <c r="Z450" s="33">
        <v>45175</v>
      </c>
    </row>
    <row r="451" spans="1:26" ht="21" customHeight="1" thickBot="1" x14ac:dyDescent="0.35">
      <c r="A451" s="5"/>
      <c r="B451" s="159"/>
      <c r="C451" s="160"/>
      <c r="D451" s="166" t="s">
        <v>43</v>
      </c>
      <c r="E451" s="167"/>
      <c r="F451" s="167"/>
      <c r="G451" s="168" t="s">
        <v>206</v>
      </c>
      <c r="H451" s="168"/>
      <c r="I451" s="168"/>
      <c r="J451" s="168"/>
      <c r="K451" s="168"/>
      <c r="L451" s="168"/>
      <c r="M451" s="7"/>
      <c r="N451" s="32"/>
      <c r="Z451" s="33">
        <v>45175</v>
      </c>
    </row>
    <row r="452" spans="1:26" ht="9.9499999999999993" customHeight="1" thickBot="1" x14ac:dyDescent="0.35">
      <c r="B452" s="9"/>
      <c r="C452" s="109">
        <v>841</v>
      </c>
      <c r="D452" s="51"/>
      <c r="E452" s="12"/>
      <c r="F452" s="51"/>
      <c r="G452" s="14"/>
      <c r="H452" s="14"/>
      <c r="I452" s="14"/>
      <c r="J452" s="14"/>
      <c r="K452" s="14"/>
      <c r="L452" s="14"/>
      <c r="M452" s="9"/>
      <c r="N452" s="32"/>
      <c r="U452" s="18"/>
      <c r="V452" s="18"/>
      <c r="Z452" s="33">
        <v>45175</v>
      </c>
    </row>
    <row r="453" spans="1:26" ht="6.95" customHeight="1" x14ac:dyDescent="0.3">
      <c r="A453" s="154">
        <f>+A442+1</f>
        <v>842</v>
      </c>
      <c r="B453" s="155"/>
      <c r="C453" s="156"/>
      <c r="D453" s="161" t="s">
        <v>39</v>
      </c>
      <c r="E453" s="162" t="s">
        <v>186</v>
      </c>
      <c r="F453" s="163" t="s">
        <v>40</v>
      </c>
      <c r="G453" s="164">
        <v>150</v>
      </c>
      <c r="H453" s="165">
        <v>1</v>
      </c>
      <c r="I453" s="164"/>
      <c r="J453" s="165"/>
      <c r="K453" s="164"/>
      <c r="L453" s="165"/>
      <c r="M453" s="6"/>
      <c r="N453" s="32"/>
      <c r="Q453" s="10" t="str">
        <f>+CONCATENATE(E453,G453)</f>
        <v>금속관벽체150</v>
      </c>
      <c r="R453" s="10">
        <f>+H453</f>
        <v>1</v>
      </c>
      <c r="S453" s="11"/>
      <c r="T453" s="10" t="str">
        <f>+E453</f>
        <v>금속관벽체</v>
      </c>
      <c r="U453" s="19" t="str">
        <f>IFERROR(LEFT(G453,FIND("*",G453)-1),"-")</f>
        <v>-</v>
      </c>
      <c r="V453" s="19" t="str">
        <f>IFERROR(RIGHT(G453,LEN(G453)-FIND("*",G453)),"-")</f>
        <v>-</v>
      </c>
      <c r="W453" s="20" t="str">
        <f>IFERROR((U453+V453)*2/1000,"-")</f>
        <v>-</v>
      </c>
      <c r="X453" s="20" t="str">
        <f>IFERROR(W453*H453,"-")</f>
        <v>-</v>
      </c>
      <c r="Z453" s="33">
        <v>45175</v>
      </c>
    </row>
    <row r="454" spans="1:26" ht="6.95" customHeight="1" x14ac:dyDescent="0.3">
      <c r="A454" s="154"/>
      <c r="B454" s="157"/>
      <c r="C454" s="158"/>
      <c r="D454" s="161"/>
      <c r="E454" s="162"/>
      <c r="F454" s="163"/>
      <c r="G454" s="164"/>
      <c r="H454" s="165"/>
      <c r="I454" s="164"/>
      <c r="J454" s="165"/>
      <c r="K454" s="164"/>
      <c r="L454" s="165"/>
      <c r="M454" s="6"/>
      <c r="N454" s="32"/>
      <c r="Q454" s="10" t="str">
        <f>+CONCATENATE(E453,I453)</f>
        <v>금속관벽체</v>
      </c>
      <c r="R454" s="10">
        <f>+J453</f>
        <v>0</v>
      </c>
      <c r="S454" s="11"/>
      <c r="T454" s="10" t="str">
        <f>+E453</f>
        <v>금속관벽체</v>
      </c>
      <c r="U454" s="19" t="str">
        <f>IFERROR(LEFT(I453,FIND("*",I453)-1),"-")</f>
        <v>-</v>
      </c>
      <c r="V454" s="19" t="str">
        <f>IFERROR(RIGHT(I453,LEN(I453)-FIND("*",I453)),"-")</f>
        <v>-</v>
      </c>
      <c r="W454" s="20" t="str">
        <f t="shared" ref="W454:W461" si="244">IFERROR((U454+V454)*2/1000,"-")</f>
        <v>-</v>
      </c>
      <c r="X454" s="20" t="str">
        <f>IFERROR(W454*J453,"-")</f>
        <v>-</v>
      </c>
      <c r="Z454" s="33">
        <v>45175</v>
      </c>
    </row>
    <row r="455" spans="1:26" ht="6.95" customHeight="1" x14ac:dyDescent="0.3">
      <c r="A455" s="154"/>
      <c r="B455" s="157"/>
      <c r="C455" s="158"/>
      <c r="D455" s="161"/>
      <c r="E455" s="162"/>
      <c r="F455" s="163"/>
      <c r="G455" s="164"/>
      <c r="H455" s="165"/>
      <c r="I455" s="164"/>
      <c r="J455" s="165"/>
      <c r="K455" s="164"/>
      <c r="L455" s="165"/>
      <c r="M455" s="6"/>
      <c r="N455" s="32"/>
      <c r="Q455" s="10" t="str">
        <f>+CONCATENATE(E453,K453)</f>
        <v>금속관벽체</v>
      </c>
      <c r="R455" s="10">
        <f>+L453</f>
        <v>0</v>
      </c>
      <c r="S455" s="11"/>
      <c r="T455" s="10" t="str">
        <f>+E453</f>
        <v>금속관벽체</v>
      </c>
      <c r="U455" s="19" t="str">
        <f>IFERROR(LEFT(K453,FIND("*",K453)-1),"-")</f>
        <v>-</v>
      </c>
      <c r="V455" s="19" t="str">
        <f>IFERROR(RIGHT(K453,LEN(K453)-FIND("*",K453)),"-")</f>
        <v>-</v>
      </c>
      <c r="W455" s="20" t="str">
        <f t="shared" si="244"/>
        <v>-</v>
      </c>
      <c r="X455" s="20" t="str">
        <f>IFERROR(W455*L453,"-")</f>
        <v>-</v>
      </c>
      <c r="Z455" s="33">
        <v>45175</v>
      </c>
    </row>
    <row r="456" spans="1:26" ht="6.95" customHeight="1" x14ac:dyDescent="0.3">
      <c r="A456" s="8"/>
      <c r="B456" s="157"/>
      <c r="C456" s="158"/>
      <c r="D456" s="161" t="s">
        <v>39</v>
      </c>
      <c r="E456" s="162"/>
      <c r="F456" s="163" t="s">
        <v>40</v>
      </c>
      <c r="G456" s="164"/>
      <c r="H456" s="165"/>
      <c r="I456" s="164"/>
      <c r="J456" s="165"/>
      <c r="K456" s="164"/>
      <c r="L456" s="165"/>
      <c r="M456" s="6"/>
      <c r="N456" s="32"/>
      <c r="Q456" s="10" t="str">
        <f>+CONCATENATE(E456,G456)</f>
        <v/>
      </c>
      <c r="R456" s="10">
        <f>+H456</f>
        <v>0</v>
      </c>
      <c r="S456" s="11"/>
      <c r="T456" s="10">
        <f>+E456</f>
        <v>0</v>
      </c>
      <c r="U456" s="19" t="str">
        <f t="shared" ref="U456" si="245">IFERROR(LEFT(G456,FIND("*",G456)-1),"-")</f>
        <v>-</v>
      </c>
      <c r="V456" s="19" t="str">
        <f t="shared" ref="V456" si="246">IFERROR(RIGHT(G456,LEN(G456)-FIND("*",G456)),"-")</f>
        <v>-</v>
      </c>
      <c r="W456" s="20" t="str">
        <f t="shared" si="244"/>
        <v>-</v>
      </c>
      <c r="X456" s="20" t="str">
        <f>IFERROR(W456*H456,"-")</f>
        <v>-</v>
      </c>
      <c r="Z456" s="33">
        <v>45175</v>
      </c>
    </row>
    <row r="457" spans="1:26" ht="6.95" customHeight="1" x14ac:dyDescent="0.3">
      <c r="A457" s="5"/>
      <c r="B457" s="157"/>
      <c r="C457" s="158"/>
      <c r="D457" s="161"/>
      <c r="E457" s="162"/>
      <c r="F457" s="163"/>
      <c r="G457" s="164"/>
      <c r="H457" s="165"/>
      <c r="I457" s="164"/>
      <c r="J457" s="165"/>
      <c r="K457" s="164"/>
      <c r="L457" s="165"/>
      <c r="M457" s="6"/>
      <c r="N457" s="32"/>
      <c r="Q457" s="10" t="str">
        <f>+CONCATENATE(E456,I456)</f>
        <v/>
      </c>
      <c r="R457" s="10">
        <f>+J456</f>
        <v>0</v>
      </c>
      <c r="S457" s="11"/>
      <c r="T457" s="10">
        <f>+E456</f>
        <v>0</v>
      </c>
      <c r="U457" s="19" t="str">
        <f>IFERROR(LEFT(I456,FIND("*",I456)-1),"-")</f>
        <v>-</v>
      </c>
      <c r="V457" s="19" t="str">
        <f>IFERROR(RIGHT(I456,LEN(I456)-FIND("*",I456)),"-")</f>
        <v>-</v>
      </c>
      <c r="W457" s="20" t="str">
        <f t="shared" si="244"/>
        <v>-</v>
      </c>
      <c r="X457" s="20" t="str">
        <f>IFERROR(W457*J456,"-")</f>
        <v>-</v>
      </c>
      <c r="Z457" s="33">
        <v>45175</v>
      </c>
    </row>
    <row r="458" spans="1:26" ht="6.95" customHeight="1" x14ac:dyDescent="0.3">
      <c r="A458" s="5"/>
      <c r="B458" s="157"/>
      <c r="C458" s="158"/>
      <c r="D458" s="161"/>
      <c r="E458" s="162"/>
      <c r="F458" s="163"/>
      <c r="G458" s="164"/>
      <c r="H458" s="165"/>
      <c r="I458" s="164"/>
      <c r="J458" s="165"/>
      <c r="K458" s="164"/>
      <c r="L458" s="165"/>
      <c r="M458" s="6"/>
      <c r="N458" s="32"/>
      <c r="Q458" s="10" t="str">
        <f>+CONCATENATE(E456,K456)</f>
        <v/>
      </c>
      <c r="R458" s="10">
        <f>+L456</f>
        <v>0</v>
      </c>
      <c r="S458" s="11"/>
      <c r="T458" s="10">
        <f>+E456</f>
        <v>0</v>
      </c>
      <c r="U458" s="19" t="str">
        <f>IFERROR(LEFT(K456,FIND("*",K456)-1),"-")</f>
        <v>-</v>
      </c>
      <c r="V458" s="19" t="str">
        <f>IFERROR(RIGHT(K456,LEN(K456)-FIND("*",K456)),"-")</f>
        <v>-</v>
      </c>
      <c r="W458" s="20" t="str">
        <f t="shared" si="244"/>
        <v>-</v>
      </c>
      <c r="X458" s="20" t="str">
        <f>IFERROR(W458*L456,"-")</f>
        <v>-</v>
      </c>
      <c r="Z458" s="33">
        <v>45175</v>
      </c>
    </row>
    <row r="459" spans="1:26" ht="6.95" customHeight="1" x14ac:dyDescent="0.3">
      <c r="A459" s="8"/>
      <c r="B459" s="157"/>
      <c r="C459" s="158"/>
      <c r="D459" s="161" t="s">
        <v>39</v>
      </c>
      <c r="E459" s="162"/>
      <c r="F459" s="163" t="s">
        <v>40</v>
      </c>
      <c r="G459" s="164"/>
      <c r="H459" s="165"/>
      <c r="I459" s="164"/>
      <c r="J459" s="165"/>
      <c r="K459" s="164"/>
      <c r="L459" s="165"/>
      <c r="M459" s="6"/>
      <c r="N459" s="32"/>
      <c r="Q459" s="10" t="str">
        <f>+CONCATENATE(E459,G459)</f>
        <v/>
      </c>
      <c r="R459" s="10">
        <f>+H459</f>
        <v>0</v>
      </c>
      <c r="S459" s="11"/>
      <c r="T459" s="10">
        <f>+E459</f>
        <v>0</v>
      </c>
      <c r="U459" s="19" t="str">
        <f t="shared" ref="U459" si="247">IFERROR(LEFT(G459,FIND("*",G459)-1),"-")</f>
        <v>-</v>
      </c>
      <c r="V459" s="19" t="str">
        <f t="shared" ref="V459" si="248">IFERROR(RIGHT(G459,LEN(G459)-FIND("*",G459)),"-")</f>
        <v>-</v>
      </c>
      <c r="W459" s="20" t="str">
        <f t="shared" si="244"/>
        <v>-</v>
      </c>
      <c r="X459" s="20" t="str">
        <f>IFERROR(W459*H459,"-")</f>
        <v>-</v>
      </c>
      <c r="Z459" s="33">
        <v>45175</v>
      </c>
    </row>
    <row r="460" spans="1:26" ht="6.95" customHeight="1" x14ac:dyDescent="0.3">
      <c r="A460" s="5"/>
      <c r="B460" s="157"/>
      <c r="C460" s="158"/>
      <c r="D460" s="161"/>
      <c r="E460" s="162"/>
      <c r="F460" s="163"/>
      <c r="G460" s="164"/>
      <c r="H460" s="165"/>
      <c r="I460" s="164"/>
      <c r="J460" s="165"/>
      <c r="K460" s="164"/>
      <c r="L460" s="165"/>
      <c r="M460" s="6"/>
      <c r="N460" s="32"/>
      <c r="Q460" s="10" t="str">
        <f>+CONCATENATE(E459,I459)</f>
        <v/>
      </c>
      <c r="R460" s="10">
        <f>+J459</f>
        <v>0</v>
      </c>
      <c r="S460" s="11"/>
      <c r="T460" s="10">
        <f>+E459</f>
        <v>0</v>
      </c>
      <c r="U460" s="19" t="str">
        <f>IFERROR(LEFT(I459,FIND("*",I459)-1),"-")</f>
        <v>-</v>
      </c>
      <c r="V460" s="19" t="str">
        <f>IFERROR(RIGHT(I459,LEN(I459)-FIND("*",I459)),"-")</f>
        <v>-</v>
      </c>
      <c r="W460" s="20" t="str">
        <f t="shared" si="244"/>
        <v>-</v>
      </c>
      <c r="X460" s="20" t="str">
        <f t="shared" ref="X460" si="249">IFERROR(W460*J459,"-")</f>
        <v>-</v>
      </c>
      <c r="Z460" s="33">
        <v>45175</v>
      </c>
    </row>
    <row r="461" spans="1:26" ht="6.95" customHeight="1" x14ac:dyDescent="0.3">
      <c r="A461" s="5"/>
      <c r="B461" s="157"/>
      <c r="C461" s="158"/>
      <c r="D461" s="161"/>
      <c r="E461" s="162"/>
      <c r="F461" s="163"/>
      <c r="G461" s="164"/>
      <c r="H461" s="165"/>
      <c r="I461" s="164"/>
      <c r="J461" s="165"/>
      <c r="K461" s="164"/>
      <c r="L461" s="165"/>
      <c r="M461" s="6"/>
      <c r="N461" s="32"/>
      <c r="Q461" s="10" t="str">
        <f>+CONCATENATE(E459,K459)</f>
        <v/>
      </c>
      <c r="R461" s="10">
        <f>+L459</f>
        <v>0</v>
      </c>
      <c r="S461" s="11"/>
      <c r="T461" s="10">
        <f>+E459</f>
        <v>0</v>
      </c>
      <c r="U461" s="19" t="str">
        <f>IFERROR(LEFT(K459,FIND("*",K459)-1),"-")</f>
        <v>-</v>
      </c>
      <c r="V461" s="19" t="str">
        <f>IFERROR(RIGHT(K459,LEN(K459)-FIND("*",K459)),"-")</f>
        <v>-</v>
      </c>
      <c r="W461" s="20" t="str">
        <f t="shared" si="244"/>
        <v>-</v>
      </c>
      <c r="X461" s="20" t="str">
        <f>IFERROR(W461*L459,"-")</f>
        <v>-</v>
      </c>
      <c r="Z461" s="33">
        <v>45175</v>
      </c>
    </row>
    <row r="462" spans="1:26" ht="21" customHeight="1" thickBot="1" x14ac:dyDescent="0.35">
      <c r="A462" s="5"/>
      <c r="B462" s="159"/>
      <c r="C462" s="160"/>
      <c r="D462" s="166" t="s">
        <v>43</v>
      </c>
      <c r="E462" s="167"/>
      <c r="F462" s="167"/>
      <c r="G462" s="168" t="s">
        <v>206</v>
      </c>
      <c r="H462" s="168"/>
      <c r="I462" s="168"/>
      <c r="J462" s="168"/>
      <c r="K462" s="168"/>
      <c r="L462" s="168"/>
      <c r="M462" s="7"/>
      <c r="N462" s="32"/>
      <c r="Z462" s="33">
        <v>45175</v>
      </c>
    </row>
    <row r="463" spans="1:26" ht="9.9499999999999993" customHeight="1" thickBot="1" x14ac:dyDescent="0.35">
      <c r="B463" s="9"/>
      <c r="C463" s="109">
        <v>842</v>
      </c>
      <c r="D463" s="51"/>
      <c r="E463" s="12"/>
      <c r="F463" s="51"/>
      <c r="G463" s="14"/>
      <c r="H463" s="14"/>
      <c r="I463" s="14"/>
      <c r="J463" s="14"/>
      <c r="K463" s="14"/>
      <c r="L463" s="14"/>
      <c r="M463" s="9"/>
      <c r="N463" s="32"/>
      <c r="U463" s="18"/>
      <c r="V463" s="18"/>
      <c r="Z463" s="33">
        <v>45175</v>
      </c>
    </row>
    <row r="464" spans="1:26" ht="6.95" customHeight="1" x14ac:dyDescent="0.3">
      <c r="A464" s="154">
        <f>+A453+1</f>
        <v>843</v>
      </c>
      <c r="B464" s="155"/>
      <c r="C464" s="156"/>
      <c r="D464" s="161" t="s">
        <v>39</v>
      </c>
      <c r="E464" s="162" t="s">
        <v>186</v>
      </c>
      <c r="F464" s="163" t="s">
        <v>40</v>
      </c>
      <c r="G464" s="164">
        <v>150</v>
      </c>
      <c r="H464" s="165">
        <v>1</v>
      </c>
      <c r="I464" s="164">
        <v>100</v>
      </c>
      <c r="J464" s="165">
        <v>1</v>
      </c>
      <c r="K464" s="164"/>
      <c r="L464" s="165"/>
      <c r="M464" s="6"/>
      <c r="N464" s="32"/>
      <c r="Q464" s="10" t="str">
        <f>+CONCATENATE(E464,G464)</f>
        <v>금속관벽체150</v>
      </c>
      <c r="R464" s="10">
        <f>+H464</f>
        <v>1</v>
      </c>
      <c r="S464" s="11"/>
      <c r="T464" s="10" t="str">
        <f>+E464</f>
        <v>금속관벽체</v>
      </c>
      <c r="U464" s="19" t="str">
        <f>IFERROR(LEFT(G464,FIND("*",G464)-1),"-")</f>
        <v>-</v>
      </c>
      <c r="V464" s="19" t="str">
        <f>IFERROR(RIGHT(G464,LEN(G464)-FIND("*",G464)),"-")</f>
        <v>-</v>
      </c>
      <c r="W464" s="20" t="str">
        <f>IFERROR((U464+V464)*2/1000,"-")</f>
        <v>-</v>
      </c>
      <c r="X464" s="20" t="str">
        <f>IFERROR(W464*H464,"-")</f>
        <v>-</v>
      </c>
      <c r="Z464" s="33">
        <v>45175</v>
      </c>
    </row>
    <row r="465" spans="1:26" ht="6.95" customHeight="1" x14ac:dyDescent="0.3">
      <c r="A465" s="154"/>
      <c r="B465" s="157"/>
      <c r="C465" s="158"/>
      <c r="D465" s="161"/>
      <c r="E465" s="162"/>
      <c r="F465" s="163"/>
      <c r="G465" s="164"/>
      <c r="H465" s="165"/>
      <c r="I465" s="164"/>
      <c r="J465" s="165"/>
      <c r="K465" s="164"/>
      <c r="L465" s="165"/>
      <c r="M465" s="6"/>
      <c r="N465" s="32"/>
      <c r="Q465" s="10" t="str">
        <f>+CONCATENATE(E464,I464)</f>
        <v>금속관벽체100</v>
      </c>
      <c r="R465" s="10">
        <f>+J464</f>
        <v>1</v>
      </c>
      <c r="S465" s="11"/>
      <c r="T465" s="10" t="str">
        <f>+E464</f>
        <v>금속관벽체</v>
      </c>
      <c r="U465" s="19" t="str">
        <f>IFERROR(LEFT(I464,FIND("*",I464)-1),"-")</f>
        <v>-</v>
      </c>
      <c r="V465" s="19" t="str">
        <f>IFERROR(RIGHT(I464,LEN(I464)-FIND("*",I464)),"-")</f>
        <v>-</v>
      </c>
      <c r="W465" s="20" t="str">
        <f t="shared" ref="W465:W472" si="250">IFERROR((U465+V465)*2/1000,"-")</f>
        <v>-</v>
      </c>
      <c r="X465" s="20" t="str">
        <f>IFERROR(W465*J464,"-")</f>
        <v>-</v>
      </c>
      <c r="Z465" s="33">
        <v>45175</v>
      </c>
    </row>
    <row r="466" spans="1:26" ht="6.95" customHeight="1" x14ac:dyDescent="0.3">
      <c r="A466" s="154"/>
      <c r="B466" s="157"/>
      <c r="C466" s="158"/>
      <c r="D466" s="161"/>
      <c r="E466" s="162"/>
      <c r="F466" s="163"/>
      <c r="G466" s="164"/>
      <c r="H466" s="165"/>
      <c r="I466" s="164"/>
      <c r="J466" s="165"/>
      <c r="K466" s="164"/>
      <c r="L466" s="165"/>
      <c r="M466" s="6"/>
      <c r="N466" s="32"/>
      <c r="Q466" s="10" t="str">
        <f>+CONCATENATE(E464,K464)</f>
        <v>금속관벽체</v>
      </c>
      <c r="R466" s="10">
        <f>+L464</f>
        <v>0</v>
      </c>
      <c r="S466" s="11"/>
      <c r="T466" s="10" t="str">
        <f>+E464</f>
        <v>금속관벽체</v>
      </c>
      <c r="U466" s="19" t="str">
        <f>IFERROR(LEFT(K464,FIND("*",K464)-1),"-")</f>
        <v>-</v>
      </c>
      <c r="V466" s="19" t="str">
        <f>IFERROR(RIGHT(K464,LEN(K464)-FIND("*",K464)),"-")</f>
        <v>-</v>
      </c>
      <c r="W466" s="20" t="str">
        <f t="shared" si="250"/>
        <v>-</v>
      </c>
      <c r="X466" s="20" t="str">
        <f>IFERROR(W466*L464,"-")</f>
        <v>-</v>
      </c>
      <c r="Z466" s="33">
        <v>45175</v>
      </c>
    </row>
    <row r="467" spans="1:26" ht="6.95" customHeight="1" x14ac:dyDescent="0.3">
      <c r="A467" s="8"/>
      <c r="B467" s="157"/>
      <c r="C467" s="158"/>
      <c r="D467" s="161" t="s">
        <v>39</v>
      </c>
      <c r="E467" s="162"/>
      <c r="F467" s="163" t="s">
        <v>40</v>
      </c>
      <c r="G467" s="164"/>
      <c r="H467" s="165"/>
      <c r="I467" s="164"/>
      <c r="J467" s="165"/>
      <c r="K467" s="164"/>
      <c r="L467" s="165"/>
      <c r="M467" s="6"/>
      <c r="N467" s="32"/>
      <c r="Q467" s="10" t="str">
        <f>+CONCATENATE(E467,G467)</f>
        <v/>
      </c>
      <c r="R467" s="10">
        <f>+H467</f>
        <v>0</v>
      </c>
      <c r="S467" s="11"/>
      <c r="T467" s="10">
        <f>+E467</f>
        <v>0</v>
      </c>
      <c r="U467" s="19" t="str">
        <f t="shared" ref="U467" si="251">IFERROR(LEFT(G467,FIND("*",G467)-1),"-")</f>
        <v>-</v>
      </c>
      <c r="V467" s="19" t="str">
        <f t="shared" ref="V467" si="252">IFERROR(RIGHT(G467,LEN(G467)-FIND("*",G467)),"-")</f>
        <v>-</v>
      </c>
      <c r="W467" s="20" t="str">
        <f t="shared" si="250"/>
        <v>-</v>
      </c>
      <c r="X467" s="20" t="str">
        <f>IFERROR(W467*H467,"-")</f>
        <v>-</v>
      </c>
      <c r="Z467" s="33">
        <v>45175</v>
      </c>
    </row>
    <row r="468" spans="1:26" ht="6.95" customHeight="1" x14ac:dyDescent="0.3">
      <c r="A468" s="5"/>
      <c r="B468" s="157"/>
      <c r="C468" s="158"/>
      <c r="D468" s="161"/>
      <c r="E468" s="162"/>
      <c r="F468" s="163"/>
      <c r="G468" s="164"/>
      <c r="H468" s="165"/>
      <c r="I468" s="164"/>
      <c r="J468" s="165"/>
      <c r="K468" s="164"/>
      <c r="L468" s="165"/>
      <c r="M468" s="6"/>
      <c r="N468" s="32"/>
      <c r="Q468" s="10" t="str">
        <f>+CONCATENATE(E467,I467)</f>
        <v/>
      </c>
      <c r="R468" s="10">
        <f>+J467</f>
        <v>0</v>
      </c>
      <c r="S468" s="11"/>
      <c r="T468" s="10">
        <f>+E467</f>
        <v>0</v>
      </c>
      <c r="U468" s="19" t="str">
        <f>IFERROR(LEFT(I467,FIND("*",I467)-1),"-")</f>
        <v>-</v>
      </c>
      <c r="V468" s="19" t="str">
        <f>IFERROR(RIGHT(I467,LEN(I467)-FIND("*",I467)),"-")</f>
        <v>-</v>
      </c>
      <c r="W468" s="20" t="str">
        <f t="shared" si="250"/>
        <v>-</v>
      </c>
      <c r="X468" s="20" t="str">
        <f>IFERROR(W468*J467,"-")</f>
        <v>-</v>
      </c>
      <c r="Z468" s="33">
        <v>45175</v>
      </c>
    </row>
    <row r="469" spans="1:26" ht="6.95" customHeight="1" x14ac:dyDescent="0.3">
      <c r="A469" s="5"/>
      <c r="B469" s="157"/>
      <c r="C469" s="158"/>
      <c r="D469" s="161"/>
      <c r="E469" s="162"/>
      <c r="F469" s="163"/>
      <c r="G469" s="164"/>
      <c r="H469" s="165"/>
      <c r="I469" s="164"/>
      <c r="J469" s="165"/>
      <c r="K469" s="164"/>
      <c r="L469" s="165"/>
      <c r="M469" s="6"/>
      <c r="N469" s="32"/>
      <c r="Q469" s="10" t="str">
        <f>+CONCATENATE(E467,K467)</f>
        <v/>
      </c>
      <c r="R469" s="10">
        <f>+L467</f>
        <v>0</v>
      </c>
      <c r="S469" s="11"/>
      <c r="T469" s="10">
        <f>+E467</f>
        <v>0</v>
      </c>
      <c r="U469" s="19" t="str">
        <f>IFERROR(LEFT(K467,FIND("*",K467)-1),"-")</f>
        <v>-</v>
      </c>
      <c r="V469" s="19" t="str">
        <f>IFERROR(RIGHT(K467,LEN(K467)-FIND("*",K467)),"-")</f>
        <v>-</v>
      </c>
      <c r="W469" s="20" t="str">
        <f t="shared" si="250"/>
        <v>-</v>
      </c>
      <c r="X469" s="20" t="str">
        <f>IFERROR(W469*L467,"-")</f>
        <v>-</v>
      </c>
      <c r="Z469" s="33">
        <v>45175</v>
      </c>
    </row>
    <row r="470" spans="1:26" ht="6.95" customHeight="1" x14ac:dyDescent="0.3">
      <c r="A470" s="8"/>
      <c r="B470" s="157"/>
      <c r="C470" s="158"/>
      <c r="D470" s="161" t="s">
        <v>39</v>
      </c>
      <c r="E470" s="162"/>
      <c r="F470" s="163" t="s">
        <v>40</v>
      </c>
      <c r="G470" s="164"/>
      <c r="H470" s="165"/>
      <c r="I470" s="164"/>
      <c r="J470" s="165"/>
      <c r="K470" s="164"/>
      <c r="L470" s="165"/>
      <c r="M470" s="6"/>
      <c r="N470" s="32"/>
      <c r="Q470" s="10" t="str">
        <f>+CONCATENATE(E470,G470)</f>
        <v/>
      </c>
      <c r="R470" s="10">
        <f>+H470</f>
        <v>0</v>
      </c>
      <c r="S470" s="11"/>
      <c r="T470" s="10">
        <f>+E470</f>
        <v>0</v>
      </c>
      <c r="U470" s="19" t="str">
        <f t="shared" ref="U470" si="253">IFERROR(LEFT(G470,FIND("*",G470)-1),"-")</f>
        <v>-</v>
      </c>
      <c r="V470" s="19" t="str">
        <f t="shared" ref="V470" si="254">IFERROR(RIGHT(G470,LEN(G470)-FIND("*",G470)),"-")</f>
        <v>-</v>
      </c>
      <c r="W470" s="20" t="str">
        <f t="shared" si="250"/>
        <v>-</v>
      </c>
      <c r="X470" s="20" t="str">
        <f>IFERROR(W470*H470,"-")</f>
        <v>-</v>
      </c>
      <c r="Z470" s="33">
        <v>45175</v>
      </c>
    </row>
    <row r="471" spans="1:26" ht="6.95" customHeight="1" x14ac:dyDescent="0.3">
      <c r="A471" s="5"/>
      <c r="B471" s="157"/>
      <c r="C471" s="158"/>
      <c r="D471" s="161"/>
      <c r="E471" s="162"/>
      <c r="F471" s="163"/>
      <c r="G471" s="164"/>
      <c r="H471" s="165"/>
      <c r="I471" s="164"/>
      <c r="J471" s="165"/>
      <c r="K471" s="164"/>
      <c r="L471" s="165"/>
      <c r="M471" s="6"/>
      <c r="N471" s="32"/>
      <c r="Q471" s="10" t="str">
        <f>+CONCATENATE(E470,I470)</f>
        <v/>
      </c>
      <c r="R471" s="10">
        <f>+J470</f>
        <v>0</v>
      </c>
      <c r="S471" s="11"/>
      <c r="T471" s="10">
        <f>+E470</f>
        <v>0</v>
      </c>
      <c r="U471" s="19" t="str">
        <f>IFERROR(LEFT(I470,FIND("*",I470)-1),"-")</f>
        <v>-</v>
      </c>
      <c r="V471" s="19" t="str">
        <f>IFERROR(RIGHT(I470,LEN(I470)-FIND("*",I470)),"-")</f>
        <v>-</v>
      </c>
      <c r="W471" s="20" t="str">
        <f t="shared" si="250"/>
        <v>-</v>
      </c>
      <c r="X471" s="20" t="str">
        <f t="shared" ref="X471" si="255">IFERROR(W471*J470,"-")</f>
        <v>-</v>
      </c>
      <c r="Z471" s="33">
        <v>45175</v>
      </c>
    </row>
    <row r="472" spans="1:26" ht="6.95" customHeight="1" x14ac:dyDescent="0.3">
      <c r="A472" s="5"/>
      <c r="B472" s="157"/>
      <c r="C472" s="158"/>
      <c r="D472" s="161"/>
      <c r="E472" s="162"/>
      <c r="F472" s="163"/>
      <c r="G472" s="164"/>
      <c r="H472" s="165"/>
      <c r="I472" s="164"/>
      <c r="J472" s="165"/>
      <c r="K472" s="164"/>
      <c r="L472" s="165"/>
      <c r="M472" s="6"/>
      <c r="N472" s="32"/>
      <c r="Q472" s="10" t="str">
        <f>+CONCATENATE(E470,K470)</f>
        <v/>
      </c>
      <c r="R472" s="10">
        <f>+L470</f>
        <v>0</v>
      </c>
      <c r="S472" s="11"/>
      <c r="T472" s="10">
        <f>+E470</f>
        <v>0</v>
      </c>
      <c r="U472" s="19" t="str">
        <f>IFERROR(LEFT(K470,FIND("*",K470)-1),"-")</f>
        <v>-</v>
      </c>
      <c r="V472" s="19" t="str">
        <f>IFERROR(RIGHT(K470,LEN(K470)-FIND("*",K470)),"-")</f>
        <v>-</v>
      </c>
      <c r="W472" s="20" t="str">
        <f t="shared" si="250"/>
        <v>-</v>
      </c>
      <c r="X472" s="20" t="str">
        <f>IFERROR(W472*L470,"-")</f>
        <v>-</v>
      </c>
      <c r="Z472" s="33">
        <v>45175</v>
      </c>
    </row>
    <row r="473" spans="1:26" ht="21" customHeight="1" thickBot="1" x14ac:dyDescent="0.35">
      <c r="A473" s="5"/>
      <c r="B473" s="159"/>
      <c r="C473" s="160"/>
      <c r="D473" s="166" t="s">
        <v>43</v>
      </c>
      <c r="E473" s="167"/>
      <c r="F473" s="167"/>
      <c r="G473" s="168" t="s">
        <v>206</v>
      </c>
      <c r="H473" s="168"/>
      <c r="I473" s="168"/>
      <c r="J473" s="168"/>
      <c r="K473" s="168"/>
      <c r="L473" s="168"/>
      <c r="M473" s="7"/>
      <c r="N473" s="32"/>
      <c r="Z473" s="33">
        <v>45175</v>
      </c>
    </row>
    <row r="474" spans="1:26" ht="9.9499999999999993" customHeight="1" thickBot="1" x14ac:dyDescent="0.35">
      <c r="B474" s="9"/>
      <c r="C474" s="109">
        <v>843</v>
      </c>
      <c r="D474" s="51"/>
      <c r="E474" s="12"/>
      <c r="F474" s="51"/>
      <c r="G474" s="14"/>
      <c r="H474" s="14"/>
      <c r="I474" s="14"/>
      <c r="J474" s="14"/>
      <c r="K474" s="14"/>
      <c r="L474" s="14"/>
      <c r="M474" s="9"/>
      <c r="N474" s="32"/>
      <c r="U474" s="18"/>
      <c r="V474" s="18"/>
      <c r="Z474" s="33">
        <v>45175</v>
      </c>
    </row>
    <row r="475" spans="1:26" ht="6.95" customHeight="1" x14ac:dyDescent="0.3">
      <c r="A475" s="154">
        <f>+A464+1</f>
        <v>844</v>
      </c>
      <c r="B475" s="155"/>
      <c r="C475" s="156"/>
      <c r="D475" s="161" t="s">
        <v>39</v>
      </c>
      <c r="E475" s="162" t="s">
        <v>186</v>
      </c>
      <c r="F475" s="163" t="s">
        <v>40</v>
      </c>
      <c r="G475" s="164">
        <v>150</v>
      </c>
      <c r="H475" s="165">
        <v>1</v>
      </c>
      <c r="I475" s="164">
        <v>100</v>
      </c>
      <c r="J475" s="165">
        <v>1</v>
      </c>
      <c r="K475" s="164"/>
      <c r="L475" s="165"/>
      <c r="M475" s="6"/>
      <c r="N475" s="32"/>
      <c r="Q475" s="10" t="str">
        <f>+CONCATENATE(E475,G475)</f>
        <v>금속관벽체150</v>
      </c>
      <c r="R475" s="10">
        <f>+H475</f>
        <v>1</v>
      </c>
      <c r="S475" s="11"/>
      <c r="T475" s="10" t="str">
        <f>+E475</f>
        <v>금속관벽체</v>
      </c>
      <c r="U475" s="19" t="str">
        <f>IFERROR(LEFT(G475,FIND("*",G475)-1),"-")</f>
        <v>-</v>
      </c>
      <c r="V475" s="19" t="str">
        <f>IFERROR(RIGHT(G475,LEN(G475)-FIND("*",G475)),"-")</f>
        <v>-</v>
      </c>
      <c r="W475" s="20" t="str">
        <f>IFERROR((U475+V475)*2/1000,"-")</f>
        <v>-</v>
      </c>
      <c r="X475" s="20" t="str">
        <f>IFERROR(W475*H475,"-")</f>
        <v>-</v>
      </c>
      <c r="Z475" s="33">
        <v>45175</v>
      </c>
    </row>
    <row r="476" spans="1:26" ht="6.95" customHeight="1" x14ac:dyDescent="0.3">
      <c r="A476" s="154"/>
      <c r="B476" s="157"/>
      <c r="C476" s="158"/>
      <c r="D476" s="161"/>
      <c r="E476" s="162"/>
      <c r="F476" s="163"/>
      <c r="G476" s="164"/>
      <c r="H476" s="165"/>
      <c r="I476" s="164"/>
      <c r="J476" s="165"/>
      <c r="K476" s="164"/>
      <c r="L476" s="165"/>
      <c r="M476" s="6"/>
      <c r="N476" s="32"/>
      <c r="Q476" s="10" t="str">
        <f>+CONCATENATE(E475,I475)</f>
        <v>금속관벽체100</v>
      </c>
      <c r="R476" s="10">
        <f>+J475</f>
        <v>1</v>
      </c>
      <c r="S476" s="11"/>
      <c r="T476" s="10" t="str">
        <f>+E475</f>
        <v>금속관벽체</v>
      </c>
      <c r="U476" s="19" t="str">
        <f>IFERROR(LEFT(I475,FIND("*",I475)-1),"-")</f>
        <v>-</v>
      </c>
      <c r="V476" s="19" t="str">
        <f>IFERROR(RIGHT(I475,LEN(I475)-FIND("*",I475)),"-")</f>
        <v>-</v>
      </c>
      <c r="W476" s="20" t="str">
        <f t="shared" ref="W476:W483" si="256">IFERROR((U476+V476)*2/1000,"-")</f>
        <v>-</v>
      </c>
      <c r="X476" s="20" t="str">
        <f>IFERROR(W476*J475,"-")</f>
        <v>-</v>
      </c>
      <c r="Z476" s="33">
        <v>45175</v>
      </c>
    </row>
    <row r="477" spans="1:26" ht="6.95" customHeight="1" x14ac:dyDescent="0.3">
      <c r="A477" s="154"/>
      <c r="B477" s="157"/>
      <c r="C477" s="158"/>
      <c r="D477" s="161"/>
      <c r="E477" s="162"/>
      <c r="F477" s="163"/>
      <c r="G477" s="164"/>
      <c r="H477" s="165"/>
      <c r="I477" s="164"/>
      <c r="J477" s="165"/>
      <c r="K477" s="164"/>
      <c r="L477" s="165"/>
      <c r="M477" s="6"/>
      <c r="N477" s="32"/>
      <c r="Q477" s="10" t="str">
        <f>+CONCATENATE(E475,K475)</f>
        <v>금속관벽체</v>
      </c>
      <c r="R477" s="10">
        <f>+L475</f>
        <v>0</v>
      </c>
      <c r="S477" s="11"/>
      <c r="T477" s="10" t="str">
        <f>+E475</f>
        <v>금속관벽체</v>
      </c>
      <c r="U477" s="19" t="str">
        <f>IFERROR(LEFT(K475,FIND("*",K475)-1),"-")</f>
        <v>-</v>
      </c>
      <c r="V477" s="19" t="str">
        <f>IFERROR(RIGHT(K475,LEN(K475)-FIND("*",K475)),"-")</f>
        <v>-</v>
      </c>
      <c r="W477" s="20" t="str">
        <f t="shared" si="256"/>
        <v>-</v>
      </c>
      <c r="X477" s="20" t="str">
        <f>IFERROR(W477*L475,"-")</f>
        <v>-</v>
      </c>
      <c r="Z477" s="33">
        <v>45175</v>
      </c>
    </row>
    <row r="478" spans="1:26" ht="6.95" customHeight="1" x14ac:dyDescent="0.3">
      <c r="A478" s="8"/>
      <c r="B478" s="157"/>
      <c r="C478" s="158"/>
      <c r="D478" s="161" t="s">
        <v>39</v>
      </c>
      <c r="E478" s="162"/>
      <c r="F478" s="163" t="s">
        <v>40</v>
      </c>
      <c r="G478" s="164"/>
      <c r="H478" s="165"/>
      <c r="I478" s="164"/>
      <c r="J478" s="165"/>
      <c r="K478" s="164"/>
      <c r="L478" s="165"/>
      <c r="M478" s="6"/>
      <c r="N478" s="32"/>
      <c r="Q478" s="10" t="str">
        <f>+CONCATENATE(E478,G478)</f>
        <v/>
      </c>
      <c r="R478" s="10">
        <f>+H478</f>
        <v>0</v>
      </c>
      <c r="S478" s="11"/>
      <c r="T478" s="10">
        <f>+E478</f>
        <v>0</v>
      </c>
      <c r="U478" s="19" t="str">
        <f t="shared" ref="U478" si="257">IFERROR(LEFT(G478,FIND("*",G478)-1),"-")</f>
        <v>-</v>
      </c>
      <c r="V478" s="19" t="str">
        <f t="shared" ref="V478" si="258">IFERROR(RIGHT(G478,LEN(G478)-FIND("*",G478)),"-")</f>
        <v>-</v>
      </c>
      <c r="W478" s="20" t="str">
        <f t="shared" si="256"/>
        <v>-</v>
      </c>
      <c r="X478" s="20" t="str">
        <f>IFERROR(W478*H478,"-")</f>
        <v>-</v>
      </c>
      <c r="Z478" s="33">
        <v>45175</v>
      </c>
    </row>
    <row r="479" spans="1:26" ht="6.95" customHeight="1" x14ac:dyDescent="0.3">
      <c r="A479" s="5"/>
      <c r="B479" s="157"/>
      <c r="C479" s="158"/>
      <c r="D479" s="161"/>
      <c r="E479" s="162"/>
      <c r="F479" s="163"/>
      <c r="G479" s="164"/>
      <c r="H479" s="165"/>
      <c r="I479" s="164"/>
      <c r="J479" s="165"/>
      <c r="K479" s="164"/>
      <c r="L479" s="165"/>
      <c r="M479" s="6"/>
      <c r="N479" s="32"/>
      <c r="Q479" s="10" t="str">
        <f>+CONCATENATE(E478,I478)</f>
        <v/>
      </c>
      <c r="R479" s="10">
        <f>+J478</f>
        <v>0</v>
      </c>
      <c r="S479" s="11"/>
      <c r="T479" s="10">
        <f>+E478</f>
        <v>0</v>
      </c>
      <c r="U479" s="19" t="str">
        <f>IFERROR(LEFT(I478,FIND("*",I478)-1),"-")</f>
        <v>-</v>
      </c>
      <c r="V479" s="19" t="str">
        <f>IFERROR(RIGHT(I478,LEN(I478)-FIND("*",I478)),"-")</f>
        <v>-</v>
      </c>
      <c r="W479" s="20" t="str">
        <f t="shared" si="256"/>
        <v>-</v>
      </c>
      <c r="X479" s="20" t="str">
        <f>IFERROR(W479*J478,"-")</f>
        <v>-</v>
      </c>
      <c r="Z479" s="33">
        <v>45175</v>
      </c>
    </row>
    <row r="480" spans="1:26" ht="6.95" customHeight="1" x14ac:dyDescent="0.3">
      <c r="A480" s="5"/>
      <c r="B480" s="157"/>
      <c r="C480" s="158"/>
      <c r="D480" s="161"/>
      <c r="E480" s="162"/>
      <c r="F480" s="163"/>
      <c r="G480" s="164"/>
      <c r="H480" s="165"/>
      <c r="I480" s="164"/>
      <c r="J480" s="165"/>
      <c r="K480" s="164"/>
      <c r="L480" s="165"/>
      <c r="M480" s="6"/>
      <c r="N480" s="32"/>
      <c r="Q480" s="10" t="str">
        <f>+CONCATENATE(E478,K478)</f>
        <v/>
      </c>
      <c r="R480" s="10">
        <f>+L478</f>
        <v>0</v>
      </c>
      <c r="S480" s="11"/>
      <c r="T480" s="10">
        <f>+E478</f>
        <v>0</v>
      </c>
      <c r="U480" s="19" t="str">
        <f>IFERROR(LEFT(K478,FIND("*",K478)-1),"-")</f>
        <v>-</v>
      </c>
      <c r="V480" s="19" t="str">
        <f>IFERROR(RIGHT(K478,LEN(K478)-FIND("*",K478)),"-")</f>
        <v>-</v>
      </c>
      <c r="W480" s="20" t="str">
        <f t="shared" si="256"/>
        <v>-</v>
      </c>
      <c r="X480" s="20" t="str">
        <f>IFERROR(W480*L478,"-")</f>
        <v>-</v>
      </c>
      <c r="Z480" s="33">
        <v>45175</v>
      </c>
    </row>
    <row r="481" spans="1:26" ht="6.95" customHeight="1" x14ac:dyDescent="0.3">
      <c r="A481" s="8"/>
      <c r="B481" s="157"/>
      <c r="C481" s="158"/>
      <c r="D481" s="161" t="s">
        <v>39</v>
      </c>
      <c r="E481" s="162"/>
      <c r="F481" s="163" t="s">
        <v>40</v>
      </c>
      <c r="G481" s="164"/>
      <c r="H481" s="165"/>
      <c r="I481" s="164"/>
      <c r="J481" s="165"/>
      <c r="K481" s="164"/>
      <c r="L481" s="165"/>
      <c r="M481" s="6"/>
      <c r="N481" s="32"/>
      <c r="Q481" s="10" t="str">
        <f>+CONCATENATE(E481,G481)</f>
        <v/>
      </c>
      <c r="R481" s="10">
        <f>+H481</f>
        <v>0</v>
      </c>
      <c r="S481" s="11"/>
      <c r="T481" s="10">
        <f>+E481</f>
        <v>0</v>
      </c>
      <c r="U481" s="19" t="str">
        <f t="shared" ref="U481" si="259">IFERROR(LEFT(G481,FIND("*",G481)-1),"-")</f>
        <v>-</v>
      </c>
      <c r="V481" s="19" t="str">
        <f t="shared" ref="V481" si="260">IFERROR(RIGHT(G481,LEN(G481)-FIND("*",G481)),"-")</f>
        <v>-</v>
      </c>
      <c r="W481" s="20" t="str">
        <f t="shared" si="256"/>
        <v>-</v>
      </c>
      <c r="X481" s="20" t="str">
        <f>IFERROR(W481*H481,"-")</f>
        <v>-</v>
      </c>
      <c r="Z481" s="33">
        <v>45175</v>
      </c>
    </row>
    <row r="482" spans="1:26" ht="6.95" customHeight="1" x14ac:dyDescent="0.3">
      <c r="A482" s="5"/>
      <c r="B482" s="157"/>
      <c r="C482" s="158"/>
      <c r="D482" s="161"/>
      <c r="E482" s="162"/>
      <c r="F482" s="163"/>
      <c r="G482" s="164"/>
      <c r="H482" s="165"/>
      <c r="I482" s="164"/>
      <c r="J482" s="165"/>
      <c r="K482" s="164"/>
      <c r="L482" s="165"/>
      <c r="M482" s="6"/>
      <c r="N482" s="32"/>
      <c r="Q482" s="10" t="str">
        <f>+CONCATENATE(E481,I481)</f>
        <v/>
      </c>
      <c r="R482" s="10">
        <f>+J481</f>
        <v>0</v>
      </c>
      <c r="S482" s="11"/>
      <c r="T482" s="10">
        <f>+E481</f>
        <v>0</v>
      </c>
      <c r="U482" s="19" t="str">
        <f>IFERROR(LEFT(I481,FIND("*",I481)-1),"-")</f>
        <v>-</v>
      </c>
      <c r="V482" s="19" t="str">
        <f>IFERROR(RIGHT(I481,LEN(I481)-FIND("*",I481)),"-")</f>
        <v>-</v>
      </c>
      <c r="W482" s="20" t="str">
        <f t="shared" si="256"/>
        <v>-</v>
      </c>
      <c r="X482" s="20" t="str">
        <f t="shared" ref="X482" si="261">IFERROR(W482*J481,"-")</f>
        <v>-</v>
      </c>
      <c r="Z482" s="33">
        <v>45175</v>
      </c>
    </row>
    <row r="483" spans="1:26" ht="6.95" customHeight="1" x14ac:dyDescent="0.3">
      <c r="A483" s="5"/>
      <c r="B483" s="157"/>
      <c r="C483" s="158"/>
      <c r="D483" s="161"/>
      <c r="E483" s="162"/>
      <c r="F483" s="163"/>
      <c r="G483" s="164"/>
      <c r="H483" s="165"/>
      <c r="I483" s="164"/>
      <c r="J483" s="165"/>
      <c r="K483" s="164"/>
      <c r="L483" s="165"/>
      <c r="M483" s="6"/>
      <c r="N483" s="32"/>
      <c r="Q483" s="10" t="str">
        <f>+CONCATENATE(E481,K481)</f>
        <v/>
      </c>
      <c r="R483" s="10">
        <f>+L481</f>
        <v>0</v>
      </c>
      <c r="S483" s="11"/>
      <c r="T483" s="10">
        <f>+E481</f>
        <v>0</v>
      </c>
      <c r="U483" s="19" t="str">
        <f>IFERROR(LEFT(K481,FIND("*",K481)-1),"-")</f>
        <v>-</v>
      </c>
      <c r="V483" s="19" t="str">
        <f>IFERROR(RIGHT(K481,LEN(K481)-FIND("*",K481)),"-")</f>
        <v>-</v>
      </c>
      <c r="W483" s="20" t="str">
        <f t="shared" si="256"/>
        <v>-</v>
      </c>
      <c r="X483" s="20" t="str">
        <f>IFERROR(W483*L481,"-")</f>
        <v>-</v>
      </c>
      <c r="Z483" s="33">
        <v>45175</v>
      </c>
    </row>
    <row r="484" spans="1:26" ht="21" customHeight="1" thickBot="1" x14ac:dyDescent="0.35">
      <c r="A484" s="5"/>
      <c r="B484" s="159"/>
      <c r="C484" s="160"/>
      <c r="D484" s="166" t="s">
        <v>43</v>
      </c>
      <c r="E484" s="167"/>
      <c r="F484" s="167"/>
      <c r="G484" s="168" t="s">
        <v>206</v>
      </c>
      <c r="H484" s="168"/>
      <c r="I484" s="168"/>
      <c r="J484" s="168"/>
      <c r="K484" s="168"/>
      <c r="L484" s="168"/>
      <c r="M484" s="7"/>
      <c r="N484" s="32"/>
      <c r="Z484" s="33">
        <v>45175</v>
      </c>
    </row>
    <row r="485" spans="1:26" ht="9.9499999999999993" customHeight="1" thickBot="1" x14ac:dyDescent="0.35">
      <c r="B485" s="9"/>
      <c r="C485" s="109">
        <v>844</v>
      </c>
      <c r="D485" s="51"/>
      <c r="E485" s="12"/>
      <c r="F485" s="51"/>
      <c r="G485" s="14"/>
      <c r="H485" s="14"/>
      <c r="I485" s="14"/>
      <c r="J485" s="14"/>
      <c r="K485" s="14"/>
      <c r="L485" s="14"/>
      <c r="M485" s="9"/>
      <c r="N485" s="32"/>
      <c r="U485" s="18"/>
      <c r="V485" s="18"/>
      <c r="Z485" s="33">
        <v>45175</v>
      </c>
    </row>
    <row r="486" spans="1:26" ht="6.95" customHeight="1" x14ac:dyDescent="0.3">
      <c r="A486" s="154">
        <f>+A475+1</f>
        <v>845</v>
      </c>
      <c r="B486" s="155"/>
      <c r="C486" s="156"/>
      <c r="D486" s="161" t="s">
        <v>39</v>
      </c>
      <c r="E486" s="162" t="s">
        <v>213</v>
      </c>
      <c r="F486" s="163" t="s">
        <v>40</v>
      </c>
      <c r="G486" s="164" t="s">
        <v>214</v>
      </c>
      <c r="H486" s="165">
        <v>0.5</v>
      </c>
      <c r="I486" s="164"/>
      <c r="J486" s="165"/>
      <c r="K486" s="164"/>
      <c r="L486" s="165"/>
      <c r="M486" s="6"/>
      <c r="N486" s="32"/>
      <c r="Q486" s="10" t="str">
        <f>+CONCATENATE(E486,G486)</f>
        <v>보온덕트벽체1800*1400</v>
      </c>
      <c r="R486" s="10">
        <f>+H486</f>
        <v>0.5</v>
      </c>
      <c r="S486" s="11"/>
      <c r="T486" s="10" t="str">
        <f>+E486</f>
        <v>보온덕트벽체</v>
      </c>
      <c r="U486" s="19" t="str">
        <f>IFERROR(LEFT(G486,FIND("*",G486)-1),"-")</f>
        <v>1800</v>
      </c>
      <c r="V486" s="19" t="str">
        <f>IFERROR(RIGHT(G486,LEN(G486)-FIND("*",G486)),"-")</f>
        <v>1400</v>
      </c>
      <c r="W486" s="20">
        <f>IFERROR((U486+V486)*2/1000,"-")</f>
        <v>6.4</v>
      </c>
      <c r="X486" s="20">
        <f>IFERROR(W486*H486,"-")</f>
        <v>3.2</v>
      </c>
      <c r="Z486" s="33">
        <v>45175</v>
      </c>
    </row>
    <row r="487" spans="1:26" ht="6.95" customHeight="1" x14ac:dyDescent="0.3">
      <c r="A487" s="154"/>
      <c r="B487" s="157"/>
      <c r="C487" s="158"/>
      <c r="D487" s="161"/>
      <c r="E487" s="162"/>
      <c r="F487" s="163"/>
      <c r="G487" s="164"/>
      <c r="H487" s="165"/>
      <c r="I487" s="164"/>
      <c r="J487" s="165"/>
      <c r="K487" s="164"/>
      <c r="L487" s="165"/>
      <c r="M487" s="6"/>
      <c r="N487" s="32"/>
      <c r="Q487" s="10" t="str">
        <f>+CONCATENATE(E486,I486)</f>
        <v>보온덕트벽체</v>
      </c>
      <c r="R487" s="10">
        <f>+J486</f>
        <v>0</v>
      </c>
      <c r="S487" s="11"/>
      <c r="T487" s="10" t="str">
        <f>+E486</f>
        <v>보온덕트벽체</v>
      </c>
      <c r="U487" s="19" t="str">
        <f>IFERROR(LEFT(I486,FIND("*",I486)-1),"-")</f>
        <v>-</v>
      </c>
      <c r="V487" s="19" t="str">
        <f>IFERROR(RIGHT(I486,LEN(I486)-FIND("*",I486)),"-")</f>
        <v>-</v>
      </c>
      <c r="W487" s="20" t="str">
        <f t="shared" ref="W487:W494" si="262">IFERROR((U487+V487)*2/1000,"-")</f>
        <v>-</v>
      </c>
      <c r="X487" s="20" t="str">
        <f>IFERROR(W487*J486,"-")</f>
        <v>-</v>
      </c>
      <c r="Z487" s="33">
        <v>45175</v>
      </c>
    </row>
    <row r="488" spans="1:26" ht="6.95" customHeight="1" x14ac:dyDescent="0.3">
      <c r="A488" s="154"/>
      <c r="B488" s="157"/>
      <c r="C488" s="158"/>
      <c r="D488" s="161"/>
      <c r="E488" s="162"/>
      <c r="F488" s="163"/>
      <c r="G488" s="164"/>
      <c r="H488" s="165"/>
      <c r="I488" s="164"/>
      <c r="J488" s="165"/>
      <c r="K488" s="164"/>
      <c r="L488" s="165"/>
      <c r="M488" s="6"/>
      <c r="N488" s="32"/>
      <c r="Q488" s="10" t="str">
        <f>+CONCATENATE(E486,K486)</f>
        <v>보온덕트벽체</v>
      </c>
      <c r="R488" s="10">
        <f>+L486</f>
        <v>0</v>
      </c>
      <c r="S488" s="11"/>
      <c r="T488" s="10" t="str">
        <f>+E486</f>
        <v>보온덕트벽체</v>
      </c>
      <c r="U488" s="19" t="str">
        <f>IFERROR(LEFT(K486,FIND("*",K486)-1),"-")</f>
        <v>-</v>
      </c>
      <c r="V488" s="19" t="str">
        <f>IFERROR(RIGHT(K486,LEN(K486)-FIND("*",K486)),"-")</f>
        <v>-</v>
      </c>
      <c r="W488" s="20" t="str">
        <f t="shared" si="262"/>
        <v>-</v>
      </c>
      <c r="X488" s="20" t="str">
        <f>IFERROR(W488*L486,"-")</f>
        <v>-</v>
      </c>
      <c r="Z488" s="33">
        <v>45175</v>
      </c>
    </row>
    <row r="489" spans="1:26" ht="6.95" customHeight="1" x14ac:dyDescent="0.3">
      <c r="A489" s="8"/>
      <c r="B489" s="157"/>
      <c r="C489" s="158"/>
      <c r="D489" s="161" t="s">
        <v>39</v>
      </c>
      <c r="E489" s="162" t="s">
        <v>215</v>
      </c>
      <c r="F489" s="163" t="s">
        <v>40</v>
      </c>
      <c r="G489" s="164" t="s">
        <v>214</v>
      </c>
      <c r="H489" s="165">
        <v>1</v>
      </c>
      <c r="I489" s="164"/>
      <c r="J489" s="165"/>
      <c r="K489" s="164"/>
      <c r="L489" s="165"/>
      <c r="M489" s="6"/>
      <c r="N489" s="32"/>
      <c r="Q489" s="10" t="str">
        <f>+CONCATENATE(E489,G489)</f>
        <v>차열재마감1800*1400</v>
      </c>
      <c r="R489" s="10">
        <f>+H489</f>
        <v>1</v>
      </c>
      <c r="S489" s="11"/>
      <c r="T489" s="10" t="str">
        <f>+E489</f>
        <v>차열재마감</v>
      </c>
      <c r="U489" s="19" t="str">
        <f t="shared" ref="U489" si="263">IFERROR(LEFT(G489,FIND("*",G489)-1),"-")</f>
        <v>1800</v>
      </c>
      <c r="V489" s="19" t="str">
        <f t="shared" ref="V489" si="264">IFERROR(RIGHT(G489,LEN(G489)-FIND("*",G489)),"-")</f>
        <v>1400</v>
      </c>
      <c r="W489" s="20">
        <f t="shared" si="262"/>
        <v>6.4</v>
      </c>
      <c r="X489" s="20">
        <f>IFERROR(W489*H489,"-")</f>
        <v>6.4</v>
      </c>
      <c r="Z489" s="33">
        <v>45175</v>
      </c>
    </row>
    <row r="490" spans="1:26" ht="6.95" customHeight="1" x14ac:dyDescent="0.3">
      <c r="A490" s="5"/>
      <c r="B490" s="157"/>
      <c r="C490" s="158"/>
      <c r="D490" s="161"/>
      <c r="E490" s="162"/>
      <c r="F490" s="163"/>
      <c r="G490" s="164"/>
      <c r="H490" s="165"/>
      <c r="I490" s="164"/>
      <c r="J490" s="165"/>
      <c r="K490" s="164"/>
      <c r="L490" s="165"/>
      <c r="M490" s="6"/>
      <c r="N490" s="32"/>
      <c r="Q490" s="10" t="str">
        <f>+CONCATENATE(E489,I489)</f>
        <v>차열재마감</v>
      </c>
      <c r="R490" s="10">
        <f>+J489</f>
        <v>0</v>
      </c>
      <c r="S490" s="11"/>
      <c r="T490" s="10" t="str">
        <f>+E489</f>
        <v>차열재마감</v>
      </c>
      <c r="U490" s="19" t="str">
        <f>IFERROR(LEFT(I489,FIND("*",I489)-1),"-")</f>
        <v>-</v>
      </c>
      <c r="V490" s="19" t="str">
        <f>IFERROR(RIGHT(I489,LEN(I489)-FIND("*",I489)),"-")</f>
        <v>-</v>
      </c>
      <c r="W490" s="20" t="str">
        <f t="shared" si="262"/>
        <v>-</v>
      </c>
      <c r="X490" s="20" t="str">
        <f>IFERROR(W490*J489,"-")</f>
        <v>-</v>
      </c>
      <c r="Z490" s="33">
        <v>45175</v>
      </c>
    </row>
    <row r="491" spans="1:26" ht="6.95" customHeight="1" x14ac:dyDescent="0.3">
      <c r="A491" s="5"/>
      <c r="B491" s="157"/>
      <c r="C491" s="158"/>
      <c r="D491" s="161"/>
      <c r="E491" s="162"/>
      <c r="F491" s="163"/>
      <c r="G491" s="164"/>
      <c r="H491" s="165"/>
      <c r="I491" s="164"/>
      <c r="J491" s="165"/>
      <c r="K491" s="164"/>
      <c r="L491" s="165"/>
      <c r="M491" s="6"/>
      <c r="N491" s="32"/>
      <c r="Q491" s="10" t="str">
        <f>+CONCATENATE(E489,K489)</f>
        <v>차열재마감</v>
      </c>
      <c r="R491" s="10">
        <f>+L489</f>
        <v>0</v>
      </c>
      <c r="S491" s="11"/>
      <c r="T491" s="10" t="str">
        <f>+E489</f>
        <v>차열재마감</v>
      </c>
      <c r="U491" s="19" t="str">
        <f>IFERROR(LEFT(K489,FIND("*",K489)-1),"-")</f>
        <v>-</v>
      </c>
      <c r="V491" s="19" t="str">
        <f>IFERROR(RIGHT(K489,LEN(K489)-FIND("*",K489)),"-")</f>
        <v>-</v>
      </c>
      <c r="W491" s="20" t="str">
        <f t="shared" si="262"/>
        <v>-</v>
      </c>
      <c r="X491" s="20" t="str">
        <f>IFERROR(W491*L489,"-")</f>
        <v>-</v>
      </c>
      <c r="Z491" s="33">
        <v>45175</v>
      </c>
    </row>
    <row r="492" spans="1:26" ht="6.95" customHeight="1" x14ac:dyDescent="0.3">
      <c r="A492" s="8"/>
      <c r="B492" s="157"/>
      <c r="C492" s="158"/>
      <c r="D492" s="161" t="s">
        <v>39</v>
      </c>
      <c r="E492" s="162"/>
      <c r="F492" s="163" t="s">
        <v>40</v>
      </c>
      <c r="G492" s="164"/>
      <c r="H492" s="165"/>
      <c r="I492" s="164"/>
      <c r="J492" s="165"/>
      <c r="K492" s="164"/>
      <c r="L492" s="165"/>
      <c r="M492" s="6"/>
      <c r="N492" s="32"/>
      <c r="Q492" s="10" t="str">
        <f>+CONCATENATE(E492,G492)</f>
        <v/>
      </c>
      <c r="R492" s="10">
        <f>+H492</f>
        <v>0</v>
      </c>
      <c r="S492" s="11"/>
      <c r="T492" s="10">
        <f>+E492</f>
        <v>0</v>
      </c>
      <c r="U492" s="19" t="str">
        <f t="shared" ref="U492" si="265">IFERROR(LEFT(G492,FIND("*",G492)-1),"-")</f>
        <v>-</v>
      </c>
      <c r="V492" s="19" t="str">
        <f t="shared" ref="V492" si="266">IFERROR(RIGHT(G492,LEN(G492)-FIND("*",G492)),"-")</f>
        <v>-</v>
      </c>
      <c r="W492" s="20" t="str">
        <f t="shared" si="262"/>
        <v>-</v>
      </c>
      <c r="X492" s="20" t="str">
        <f>IFERROR(W492*H492,"-")</f>
        <v>-</v>
      </c>
      <c r="Z492" s="33">
        <v>45175</v>
      </c>
    </row>
    <row r="493" spans="1:26" ht="6.95" customHeight="1" x14ac:dyDescent="0.3">
      <c r="A493" s="5"/>
      <c r="B493" s="157"/>
      <c r="C493" s="158"/>
      <c r="D493" s="161"/>
      <c r="E493" s="162"/>
      <c r="F493" s="163"/>
      <c r="G493" s="164"/>
      <c r="H493" s="165"/>
      <c r="I493" s="164"/>
      <c r="J493" s="165"/>
      <c r="K493" s="164"/>
      <c r="L493" s="165"/>
      <c r="M493" s="6"/>
      <c r="N493" s="32"/>
      <c r="Q493" s="10" t="str">
        <f>+CONCATENATE(E492,I492)</f>
        <v/>
      </c>
      <c r="R493" s="10">
        <f>+J492</f>
        <v>0</v>
      </c>
      <c r="S493" s="11"/>
      <c r="T493" s="10">
        <f>+E492</f>
        <v>0</v>
      </c>
      <c r="U493" s="19" t="str">
        <f>IFERROR(LEFT(I492,FIND("*",I492)-1),"-")</f>
        <v>-</v>
      </c>
      <c r="V493" s="19" t="str">
        <f>IFERROR(RIGHT(I492,LEN(I492)-FIND("*",I492)),"-")</f>
        <v>-</v>
      </c>
      <c r="W493" s="20" t="str">
        <f t="shared" si="262"/>
        <v>-</v>
      </c>
      <c r="X493" s="20" t="str">
        <f t="shared" ref="X493" si="267">IFERROR(W493*J492,"-")</f>
        <v>-</v>
      </c>
      <c r="Z493" s="33">
        <v>45175</v>
      </c>
    </row>
    <row r="494" spans="1:26" ht="6.95" customHeight="1" x14ac:dyDescent="0.3">
      <c r="A494" s="5"/>
      <c r="B494" s="157"/>
      <c r="C494" s="158"/>
      <c r="D494" s="161"/>
      <c r="E494" s="162"/>
      <c r="F494" s="163"/>
      <c r="G494" s="164"/>
      <c r="H494" s="165"/>
      <c r="I494" s="164"/>
      <c r="J494" s="165"/>
      <c r="K494" s="164"/>
      <c r="L494" s="165"/>
      <c r="M494" s="6"/>
      <c r="N494" s="32"/>
      <c r="Q494" s="10" t="str">
        <f>+CONCATENATE(E492,K492)</f>
        <v/>
      </c>
      <c r="R494" s="10">
        <f>+L492</f>
        <v>0</v>
      </c>
      <c r="S494" s="11"/>
      <c r="T494" s="10">
        <f>+E492</f>
        <v>0</v>
      </c>
      <c r="U494" s="19" t="str">
        <f>IFERROR(LEFT(K492,FIND("*",K492)-1),"-")</f>
        <v>-</v>
      </c>
      <c r="V494" s="19" t="str">
        <f>IFERROR(RIGHT(K492,LEN(K492)-FIND("*",K492)),"-")</f>
        <v>-</v>
      </c>
      <c r="W494" s="20" t="str">
        <f t="shared" si="262"/>
        <v>-</v>
      </c>
      <c r="X494" s="20" t="str">
        <f>IFERROR(W494*L492,"-")</f>
        <v>-</v>
      </c>
      <c r="Z494" s="33">
        <v>45175</v>
      </c>
    </row>
    <row r="495" spans="1:26" ht="21" customHeight="1" thickBot="1" x14ac:dyDescent="0.35">
      <c r="A495" s="5"/>
      <c r="B495" s="159"/>
      <c r="C495" s="160"/>
      <c r="D495" s="166" t="s">
        <v>43</v>
      </c>
      <c r="E495" s="167"/>
      <c r="F495" s="167"/>
      <c r="G495" s="168" t="s">
        <v>207</v>
      </c>
      <c r="H495" s="168"/>
      <c r="I495" s="168"/>
      <c r="J495" s="168"/>
      <c r="K495" s="168"/>
      <c r="L495" s="168"/>
      <c r="M495" s="7"/>
      <c r="N495" s="32"/>
      <c r="Z495" s="33">
        <v>45175</v>
      </c>
    </row>
    <row r="496" spans="1:26" ht="9.9499999999999993" customHeight="1" thickBot="1" x14ac:dyDescent="0.35">
      <c r="B496" s="9"/>
      <c r="C496" s="109">
        <v>845</v>
      </c>
      <c r="D496" s="51"/>
      <c r="E496" s="12"/>
      <c r="F496" s="51"/>
      <c r="G496" s="14"/>
      <c r="H496" s="14"/>
      <c r="I496" s="14"/>
      <c r="J496" s="14"/>
      <c r="K496" s="14"/>
      <c r="L496" s="14"/>
      <c r="M496" s="9"/>
      <c r="N496" s="32"/>
      <c r="U496" s="18"/>
      <c r="V496" s="18"/>
      <c r="Z496" s="33">
        <v>45175</v>
      </c>
    </row>
    <row r="497" spans="1:26" ht="6.95" customHeight="1" x14ac:dyDescent="0.3">
      <c r="A497" s="154">
        <f>+A486+1</f>
        <v>846</v>
      </c>
      <c r="B497" s="155"/>
      <c r="C497" s="156"/>
      <c r="D497" s="161" t="s">
        <v>39</v>
      </c>
      <c r="E497" s="162" t="s">
        <v>213</v>
      </c>
      <c r="F497" s="163" t="s">
        <v>40</v>
      </c>
      <c r="G497" s="164" t="s">
        <v>217</v>
      </c>
      <c r="H497" s="165">
        <v>0.5</v>
      </c>
      <c r="I497" s="164"/>
      <c r="J497" s="165"/>
      <c r="K497" s="164"/>
      <c r="L497" s="165"/>
      <c r="M497" s="6"/>
      <c r="N497" s="32"/>
      <c r="Q497" s="10" t="str">
        <f>+CONCATENATE(E497,G497)</f>
        <v>보온덕트벽체1600*500</v>
      </c>
      <c r="R497" s="10">
        <f>+H497</f>
        <v>0.5</v>
      </c>
      <c r="S497" s="11"/>
      <c r="T497" s="10" t="str">
        <f>+E497</f>
        <v>보온덕트벽체</v>
      </c>
      <c r="U497" s="19" t="str">
        <f>IFERROR(LEFT(G497,FIND("*",G497)-1),"-")</f>
        <v>1600</v>
      </c>
      <c r="V497" s="19" t="str">
        <f>IFERROR(RIGHT(G497,LEN(G497)-FIND("*",G497)),"-")</f>
        <v>500</v>
      </c>
      <c r="W497" s="20">
        <f>IFERROR((U497+V497)*2/1000,"-")</f>
        <v>4.2</v>
      </c>
      <c r="X497" s="20">
        <f>IFERROR(W497*H497,"-")</f>
        <v>2.1</v>
      </c>
      <c r="Z497" s="33">
        <v>45175</v>
      </c>
    </row>
    <row r="498" spans="1:26" ht="6.95" customHeight="1" x14ac:dyDescent="0.3">
      <c r="A498" s="154"/>
      <c r="B498" s="157"/>
      <c r="C498" s="158"/>
      <c r="D498" s="161"/>
      <c r="E498" s="162"/>
      <c r="F498" s="163"/>
      <c r="G498" s="164"/>
      <c r="H498" s="165"/>
      <c r="I498" s="164"/>
      <c r="J498" s="165"/>
      <c r="K498" s="164"/>
      <c r="L498" s="165"/>
      <c r="M498" s="6"/>
      <c r="N498" s="32"/>
      <c r="Q498" s="10" t="str">
        <f>+CONCATENATE(E497,I497)</f>
        <v>보온덕트벽체</v>
      </c>
      <c r="R498" s="10">
        <f>+J497</f>
        <v>0</v>
      </c>
      <c r="S498" s="11"/>
      <c r="T498" s="10" t="str">
        <f>+E497</f>
        <v>보온덕트벽체</v>
      </c>
      <c r="U498" s="19" t="str">
        <f>IFERROR(LEFT(I497,FIND("*",I497)-1),"-")</f>
        <v>-</v>
      </c>
      <c r="V498" s="19" t="str">
        <f>IFERROR(RIGHT(I497,LEN(I497)-FIND("*",I497)),"-")</f>
        <v>-</v>
      </c>
      <c r="W498" s="20" t="str">
        <f t="shared" ref="W498:W505" si="268">IFERROR((U498+V498)*2/1000,"-")</f>
        <v>-</v>
      </c>
      <c r="X498" s="20" t="str">
        <f>IFERROR(W498*J497,"-")</f>
        <v>-</v>
      </c>
      <c r="Z498" s="33">
        <v>45175</v>
      </c>
    </row>
    <row r="499" spans="1:26" ht="6.95" customHeight="1" x14ac:dyDescent="0.3">
      <c r="A499" s="154"/>
      <c r="B499" s="157"/>
      <c r="C499" s="158"/>
      <c r="D499" s="161"/>
      <c r="E499" s="162"/>
      <c r="F499" s="163"/>
      <c r="G499" s="164"/>
      <c r="H499" s="165"/>
      <c r="I499" s="164"/>
      <c r="J499" s="165"/>
      <c r="K499" s="164"/>
      <c r="L499" s="165"/>
      <c r="M499" s="6"/>
      <c r="N499" s="32"/>
      <c r="Q499" s="10" t="str">
        <f>+CONCATENATE(E497,K497)</f>
        <v>보온덕트벽체</v>
      </c>
      <c r="R499" s="10">
        <f>+L497</f>
        <v>0</v>
      </c>
      <c r="S499" s="11"/>
      <c r="T499" s="10" t="str">
        <f>+E497</f>
        <v>보온덕트벽체</v>
      </c>
      <c r="U499" s="19" t="str">
        <f>IFERROR(LEFT(K497,FIND("*",K497)-1),"-")</f>
        <v>-</v>
      </c>
      <c r="V499" s="19" t="str">
        <f>IFERROR(RIGHT(K497,LEN(K497)-FIND("*",K497)),"-")</f>
        <v>-</v>
      </c>
      <c r="W499" s="20" t="str">
        <f t="shared" si="268"/>
        <v>-</v>
      </c>
      <c r="X499" s="20" t="str">
        <f>IFERROR(W499*L497,"-")</f>
        <v>-</v>
      </c>
      <c r="Z499" s="33">
        <v>45175</v>
      </c>
    </row>
    <row r="500" spans="1:26" ht="6.95" customHeight="1" x14ac:dyDescent="0.3">
      <c r="A500" s="8"/>
      <c r="B500" s="157"/>
      <c r="C500" s="158"/>
      <c r="D500" s="161" t="s">
        <v>39</v>
      </c>
      <c r="E500" s="162" t="s">
        <v>215</v>
      </c>
      <c r="F500" s="163" t="s">
        <v>40</v>
      </c>
      <c r="G500" s="164" t="s">
        <v>217</v>
      </c>
      <c r="H500" s="165">
        <v>1</v>
      </c>
      <c r="I500" s="164"/>
      <c r="J500" s="165"/>
      <c r="K500" s="164"/>
      <c r="L500" s="165"/>
      <c r="M500" s="6"/>
      <c r="N500" s="32"/>
      <c r="Q500" s="10" t="str">
        <f>+CONCATENATE(E500,G500)</f>
        <v>차열재마감1600*500</v>
      </c>
      <c r="R500" s="10">
        <f>+H500</f>
        <v>1</v>
      </c>
      <c r="S500" s="11"/>
      <c r="T500" s="10" t="str">
        <f>+E500</f>
        <v>차열재마감</v>
      </c>
      <c r="U500" s="19" t="str">
        <f t="shared" ref="U500" si="269">IFERROR(LEFT(G500,FIND("*",G500)-1),"-")</f>
        <v>1600</v>
      </c>
      <c r="V500" s="19" t="str">
        <f t="shared" ref="V500" si="270">IFERROR(RIGHT(G500,LEN(G500)-FIND("*",G500)),"-")</f>
        <v>500</v>
      </c>
      <c r="W500" s="20">
        <f t="shared" si="268"/>
        <v>4.2</v>
      </c>
      <c r="X500" s="20">
        <f>IFERROR(W500*H500,"-")</f>
        <v>4.2</v>
      </c>
      <c r="Z500" s="33">
        <v>45175</v>
      </c>
    </row>
    <row r="501" spans="1:26" ht="6.95" customHeight="1" x14ac:dyDescent="0.3">
      <c r="A501" s="5"/>
      <c r="B501" s="157"/>
      <c r="C501" s="158"/>
      <c r="D501" s="161"/>
      <c r="E501" s="162"/>
      <c r="F501" s="163"/>
      <c r="G501" s="164"/>
      <c r="H501" s="165"/>
      <c r="I501" s="164"/>
      <c r="J501" s="165"/>
      <c r="K501" s="164"/>
      <c r="L501" s="165"/>
      <c r="M501" s="6"/>
      <c r="N501" s="32"/>
      <c r="Q501" s="10" t="str">
        <f>+CONCATENATE(E500,I500)</f>
        <v>차열재마감</v>
      </c>
      <c r="R501" s="10">
        <f>+J500</f>
        <v>0</v>
      </c>
      <c r="S501" s="11"/>
      <c r="T501" s="10" t="str">
        <f>+E500</f>
        <v>차열재마감</v>
      </c>
      <c r="U501" s="19" t="str">
        <f>IFERROR(LEFT(I500,FIND("*",I500)-1),"-")</f>
        <v>-</v>
      </c>
      <c r="V501" s="19" t="str">
        <f>IFERROR(RIGHT(I500,LEN(I500)-FIND("*",I500)),"-")</f>
        <v>-</v>
      </c>
      <c r="W501" s="20" t="str">
        <f t="shared" si="268"/>
        <v>-</v>
      </c>
      <c r="X501" s="20" t="str">
        <f>IFERROR(W501*J500,"-")</f>
        <v>-</v>
      </c>
      <c r="Z501" s="33">
        <v>45175</v>
      </c>
    </row>
    <row r="502" spans="1:26" ht="6.95" customHeight="1" x14ac:dyDescent="0.3">
      <c r="A502" s="5"/>
      <c r="B502" s="157"/>
      <c r="C502" s="158"/>
      <c r="D502" s="161"/>
      <c r="E502" s="162"/>
      <c r="F502" s="163"/>
      <c r="G502" s="164"/>
      <c r="H502" s="165"/>
      <c r="I502" s="164"/>
      <c r="J502" s="165"/>
      <c r="K502" s="164"/>
      <c r="L502" s="165"/>
      <c r="M502" s="6"/>
      <c r="N502" s="32"/>
      <c r="Q502" s="10" t="str">
        <f>+CONCATENATE(E500,K500)</f>
        <v>차열재마감</v>
      </c>
      <c r="R502" s="10">
        <f>+L500</f>
        <v>0</v>
      </c>
      <c r="S502" s="11"/>
      <c r="T502" s="10" t="str">
        <f>+E500</f>
        <v>차열재마감</v>
      </c>
      <c r="U502" s="19" t="str">
        <f>IFERROR(LEFT(K500,FIND("*",K500)-1),"-")</f>
        <v>-</v>
      </c>
      <c r="V502" s="19" t="str">
        <f>IFERROR(RIGHT(K500,LEN(K500)-FIND("*",K500)),"-")</f>
        <v>-</v>
      </c>
      <c r="W502" s="20" t="str">
        <f t="shared" si="268"/>
        <v>-</v>
      </c>
      <c r="X502" s="20" t="str">
        <f>IFERROR(W502*L500,"-")</f>
        <v>-</v>
      </c>
      <c r="Z502" s="33">
        <v>45175</v>
      </c>
    </row>
    <row r="503" spans="1:26" ht="6.95" customHeight="1" x14ac:dyDescent="0.3">
      <c r="A503" s="8"/>
      <c r="B503" s="157"/>
      <c r="C503" s="158"/>
      <c r="D503" s="161" t="s">
        <v>39</v>
      </c>
      <c r="E503" s="162"/>
      <c r="F503" s="163" t="s">
        <v>40</v>
      </c>
      <c r="G503" s="164"/>
      <c r="H503" s="165"/>
      <c r="I503" s="164"/>
      <c r="J503" s="165"/>
      <c r="K503" s="164"/>
      <c r="L503" s="165"/>
      <c r="M503" s="6"/>
      <c r="N503" s="32"/>
      <c r="Q503" s="10" t="str">
        <f>+CONCATENATE(E503,G503)</f>
        <v/>
      </c>
      <c r="R503" s="10">
        <f>+H503</f>
        <v>0</v>
      </c>
      <c r="S503" s="11"/>
      <c r="T503" s="10">
        <f>+E503</f>
        <v>0</v>
      </c>
      <c r="U503" s="19" t="str">
        <f t="shared" ref="U503" si="271">IFERROR(LEFT(G503,FIND("*",G503)-1),"-")</f>
        <v>-</v>
      </c>
      <c r="V503" s="19" t="str">
        <f t="shared" ref="V503" si="272">IFERROR(RIGHT(G503,LEN(G503)-FIND("*",G503)),"-")</f>
        <v>-</v>
      </c>
      <c r="W503" s="20" t="str">
        <f t="shared" si="268"/>
        <v>-</v>
      </c>
      <c r="X503" s="20" t="str">
        <f>IFERROR(W503*H503,"-")</f>
        <v>-</v>
      </c>
      <c r="Z503" s="33">
        <v>45175</v>
      </c>
    </row>
    <row r="504" spans="1:26" ht="6.95" customHeight="1" x14ac:dyDescent="0.3">
      <c r="A504" s="5"/>
      <c r="B504" s="157"/>
      <c r="C504" s="158"/>
      <c r="D504" s="161"/>
      <c r="E504" s="162"/>
      <c r="F504" s="163"/>
      <c r="G504" s="164"/>
      <c r="H504" s="165"/>
      <c r="I504" s="164"/>
      <c r="J504" s="165"/>
      <c r="K504" s="164"/>
      <c r="L504" s="165"/>
      <c r="M504" s="6"/>
      <c r="N504" s="32"/>
      <c r="Q504" s="10" t="str">
        <f>+CONCATENATE(E503,I503)</f>
        <v/>
      </c>
      <c r="R504" s="10">
        <f>+J503</f>
        <v>0</v>
      </c>
      <c r="S504" s="11"/>
      <c r="T504" s="10">
        <f>+E503</f>
        <v>0</v>
      </c>
      <c r="U504" s="19" t="str">
        <f>IFERROR(LEFT(I503,FIND("*",I503)-1),"-")</f>
        <v>-</v>
      </c>
      <c r="V504" s="19" t="str">
        <f>IFERROR(RIGHT(I503,LEN(I503)-FIND("*",I503)),"-")</f>
        <v>-</v>
      </c>
      <c r="W504" s="20" t="str">
        <f t="shared" si="268"/>
        <v>-</v>
      </c>
      <c r="X504" s="20" t="str">
        <f t="shared" ref="X504" si="273">IFERROR(W504*J503,"-")</f>
        <v>-</v>
      </c>
      <c r="Z504" s="33">
        <v>45175</v>
      </c>
    </row>
    <row r="505" spans="1:26" ht="6.95" customHeight="1" x14ac:dyDescent="0.3">
      <c r="A505" s="5"/>
      <c r="B505" s="157"/>
      <c r="C505" s="158"/>
      <c r="D505" s="161"/>
      <c r="E505" s="162"/>
      <c r="F505" s="163"/>
      <c r="G505" s="164"/>
      <c r="H505" s="165"/>
      <c r="I505" s="164"/>
      <c r="J505" s="165"/>
      <c r="K505" s="164"/>
      <c r="L505" s="165"/>
      <c r="M505" s="6"/>
      <c r="N505" s="32"/>
      <c r="Q505" s="10" t="str">
        <f>+CONCATENATE(E503,K503)</f>
        <v/>
      </c>
      <c r="R505" s="10">
        <f>+L503</f>
        <v>0</v>
      </c>
      <c r="S505" s="11"/>
      <c r="T505" s="10">
        <f>+E503</f>
        <v>0</v>
      </c>
      <c r="U505" s="19" t="str">
        <f>IFERROR(LEFT(K503,FIND("*",K503)-1),"-")</f>
        <v>-</v>
      </c>
      <c r="V505" s="19" t="str">
        <f>IFERROR(RIGHT(K503,LEN(K503)-FIND("*",K503)),"-")</f>
        <v>-</v>
      </c>
      <c r="W505" s="20" t="str">
        <f t="shared" si="268"/>
        <v>-</v>
      </c>
      <c r="X505" s="20" t="str">
        <f>IFERROR(W505*L503,"-")</f>
        <v>-</v>
      </c>
      <c r="Z505" s="33">
        <v>45175</v>
      </c>
    </row>
    <row r="506" spans="1:26" ht="21" customHeight="1" thickBot="1" x14ac:dyDescent="0.35">
      <c r="A506" s="5"/>
      <c r="B506" s="159"/>
      <c r="C506" s="160"/>
      <c r="D506" s="166" t="s">
        <v>43</v>
      </c>
      <c r="E506" s="167"/>
      <c r="F506" s="167"/>
      <c r="G506" s="168" t="s">
        <v>207</v>
      </c>
      <c r="H506" s="168"/>
      <c r="I506" s="168"/>
      <c r="J506" s="168"/>
      <c r="K506" s="168"/>
      <c r="L506" s="168"/>
      <c r="M506" s="7"/>
      <c r="N506" s="32"/>
      <c r="Z506" s="33">
        <v>45175</v>
      </c>
    </row>
    <row r="507" spans="1:26" ht="9.9499999999999993" customHeight="1" thickBot="1" x14ac:dyDescent="0.35">
      <c r="B507" s="9"/>
      <c r="C507" s="109">
        <v>846</v>
      </c>
      <c r="D507" s="51"/>
      <c r="E507" s="12"/>
      <c r="F507" s="51"/>
      <c r="G507" s="14"/>
      <c r="H507" s="14"/>
      <c r="I507" s="14"/>
      <c r="J507" s="14"/>
      <c r="K507" s="14"/>
      <c r="L507" s="14"/>
      <c r="M507" s="9"/>
      <c r="N507" s="32"/>
      <c r="U507" s="18"/>
      <c r="V507" s="18"/>
      <c r="Z507" s="33">
        <v>45175</v>
      </c>
    </row>
    <row r="508" spans="1:26" ht="6.95" customHeight="1" x14ac:dyDescent="0.3">
      <c r="A508" s="154">
        <f>+A497+1</f>
        <v>847</v>
      </c>
      <c r="B508" s="155"/>
      <c r="C508" s="156"/>
      <c r="D508" s="161" t="s">
        <v>39</v>
      </c>
      <c r="E508" s="162" t="s">
        <v>186</v>
      </c>
      <c r="F508" s="163" t="s">
        <v>40</v>
      </c>
      <c r="G508" s="164">
        <v>50</v>
      </c>
      <c r="H508" s="165">
        <v>1</v>
      </c>
      <c r="I508" s="164"/>
      <c r="J508" s="165"/>
      <c r="K508" s="164"/>
      <c r="L508" s="165"/>
      <c r="M508" s="6"/>
      <c r="N508" s="32"/>
      <c r="Q508" s="10" t="str">
        <f>+CONCATENATE(E508,G508)</f>
        <v>금속관벽체50</v>
      </c>
      <c r="R508" s="10">
        <f>+H508</f>
        <v>1</v>
      </c>
      <c r="S508" s="11"/>
      <c r="T508" s="10" t="str">
        <f>+E508</f>
        <v>금속관벽체</v>
      </c>
      <c r="U508" s="19" t="str">
        <f>IFERROR(LEFT(G508,FIND("*",G508)-1),"-")</f>
        <v>-</v>
      </c>
      <c r="V508" s="19" t="str">
        <f>IFERROR(RIGHT(G508,LEN(G508)-FIND("*",G508)),"-")</f>
        <v>-</v>
      </c>
      <c r="W508" s="20" t="str">
        <f>IFERROR((U508+V508)*2/1000,"-")</f>
        <v>-</v>
      </c>
      <c r="X508" s="20" t="str">
        <f>IFERROR(W508*H508,"-")</f>
        <v>-</v>
      </c>
      <c r="Z508" s="33">
        <v>45175</v>
      </c>
    </row>
    <row r="509" spans="1:26" ht="6.95" customHeight="1" x14ac:dyDescent="0.3">
      <c r="A509" s="154"/>
      <c r="B509" s="157"/>
      <c r="C509" s="158"/>
      <c r="D509" s="161"/>
      <c r="E509" s="162"/>
      <c r="F509" s="163"/>
      <c r="G509" s="164"/>
      <c r="H509" s="165"/>
      <c r="I509" s="164"/>
      <c r="J509" s="165"/>
      <c r="K509" s="164"/>
      <c r="L509" s="165"/>
      <c r="M509" s="6"/>
      <c r="N509" s="32"/>
      <c r="Q509" s="10" t="str">
        <f>+CONCATENATE(E508,I508)</f>
        <v>금속관벽체</v>
      </c>
      <c r="R509" s="10">
        <f>+J508</f>
        <v>0</v>
      </c>
      <c r="S509" s="11"/>
      <c r="T509" s="10" t="str">
        <f>+E508</f>
        <v>금속관벽체</v>
      </c>
      <c r="U509" s="19" t="str">
        <f>IFERROR(LEFT(I508,FIND("*",I508)-1),"-")</f>
        <v>-</v>
      </c>
      <c r="V509" s="19" t="str">
        <f>IFERROR(RIGHT(I508,LEN(I508)-FIND("*",I508)),"-")</f>
        <v>-</v>
      </c>
      <c r="W509" s="20" t="str">
        <f t="shared" ref="W509:W516" si="274">IFERROR((U509+V509)*2/1000,"-")</f>
        <v>-</v>
      </c>
      <c r="X509" s="20" t="str">
        <f>IFERROR(W509*J508,"-")</f>
        <v>-</v>
      </c>
      <c r="Z509" s="33">
        <v>45175</v>
      </c>
    </row>
    <row r="510" spans="1:26" ht="6.95" customHeight="1" x14ac:dyDescent="0.3">
      <c r="A510" s="154"/>
      <c r="B510" s="157"/>
      <c r="C510" s="158"/>
      <c r="D510" s="161"/>
      <c r="E510" s="162"/>
      <c r="F510" s="163"/>
      <c r="G510" s="164"/>
      <c r="H510" s="165"/>
      <c r="I510" s="164"/>
      <c r="J510" s="165"/>
      <c r="K510" s="164"/>
      <c r="L510" s="165"/>
      <c r="M510" s="6"/>
      <c r="N510" s="32"/>
      <c r="Q510" s="10" t="str">
        <f>+CONCATENATE(E508,K508)</f>
        <v>금속관벽체</v>
      </c>
      <c r="R510" s="10">
        <f>+L508</f>
        <v>0</v>
      </c>
      <c r="S510" s="11"/>
      <c r="T510" s="10" t="str">
        <f>+E508</f>
        <v>금속관벽체</v>
      </c>
      <c r="U510" s="19" t="str">
        <f>IFERROR(LEFT(K508,FIND("*",K508)-1),"-")</f>
        <v>-</v>
      </c>
      <c r="V510" s="19" t="str">
        <f>IFERROR(RIGHT(K508,LEN(K508)-FIND("*",K508)),"-")</f>
        <v>-</v>
      </c>
      <c r="W510" s="20" t="str">
        <f t="shared" si="274"/>
        <v>-</v>
      </c>
      <c r="X510" s="20" t="str">
        <f>IFERROR(W510*L508,"-")</f>
        <v>-</v>
      </c>
      <c r="Z510" s="33">
        <v>45175</v>
      </c>
    </row>
    <row r="511" spans="1:26" ht="6.95" customHeight="1" x14ac:dyDescent="0.3">
      <c r="A511" s="8"/>
      <c r="B511" s="157"/>
      <c r="C511" s="158"/>
      <c r="D511" s="161" t="s">
        <v>39</v>
      </c>
      <c r="E511" s="162"/>
      <c r="F511" s="163" t="s">
        <v>40</v>
      </c>
      <c r="G511" s="164"/>
      <c r="H511" s="165"/>
      <c r="I511" s="164"/>
      <c r="J511" s="165"/>
      <c r="K511" s="164"/>
      <c r="L511" s="165"/>
      <c r="M511" s="6"/>
      <c r="N511" s="32"/>
      <c r="Q511" s="10" t="str">
        <f>+CONCATENATE(E511,G511)</f>
        <v/>
      </c>
      <c r="R511" s="10">
        <f>+H511</f>
        <v>0</v>
      </c>
      <c r="S511" s="11"/>
      <c r="T511" s="10">
        <f>+E511</f>
        <v>0</v>
      </c>
      <c r="U511" s="19" t="str">
        <f t="shared" ref="U511" si="275">IFERROR(LEFT(G511,FIND("*",G511)-1),"-")</f>
        <v>-</v>
      </c>
      <c r="V511" s="19" t="str">
        <f t="shared" ref="V511" si="276">IFERROR(RIGHT(G511,LEN(G511)-FIND("*",G511)),"-")</f>
        <v>-</v>
      </c>
      <c r="W511" s="20" t="str">
        <f t="shared" si="274"/>
        <v>-</v>
      </c>
      <c r="X511" s="20" t="str">
        <f>IFERROR(W511*H511,"-")</f>
        <v>-</v>
      </c>
      <c r="Z511" s="33">
        <v>45175</v>
      </c>
    </row>
    <row r="512" spans="1:26" ht="6.95" customHeight="1" x14ac:dyDescent="0.3">
      <c r="A512" s="5"/>
      <c r="B512" s="157"/>
      <c r="C512" s="158"/>
      <c r="D512" s="161"/>
      <c r="E512" s="162"/>
      <c r="F512" s="163"/>
      <c r="G512" s="164"/>
      <c r="H512" s="165"/>
      <c r="I512" s="164"/>
      <c r="J512" s="165"/>
      <c r="K512" s="164"/>
      <c r="L512" s="165"/>
      <c r="M512" s="6"/>
      <c r="N512" s="32"/>
      <c r="Q512" s="10" t="str">
        <f>+CONCATENATE(E511,I511)</f>
        <v/>
      </c>
      <c r="R512" s="10">
        <f>+J511</f>
        <v>0</v>
      </c>
      <c r="S512" s="11"/>
      <c r="T512" s="10">
        <f>+E511</f>
        <v>0</v>
      </c>
      <c r="U512" s="19" t="str">
        <f>IFERROR(LEFT(I511,FIND("*",I511)-1),"-")</f>
        <v>-</v>
      </c>
      <c r="V512" s="19" t="str">
        <f>IFERROR(RIGHT(I511,LEN(I511)-FIND("*",I511)),"-")</f>
        <v>-</v>
      </c>
      <c r="W512" s="20" t="str">
        <f t="shared" si="274"/>
        <v>-</v>
      </c>
      <c r="X512" s="20" t="str">
        <f>IFERROR(W512*J511,"-")</f>
        <v>-</v>
      </c>
      <c r="Z512" s="33">
        <v>45175</v>
      </c>
    </row>
    <row r="513" spans="1:26" ht="6.95" customHeight="1" x14ac:dyDescent="0.3">
      <c r="A513" s="5"/>
      <c r="B513" s="157"/>
      <c r="C513" s="158"/>
      <c r="D513" s="161"/>
      <c r="E513" s="162"/>
      <c r="F513" s="163"/>
      <c r="G513" s="164"/>
      <c r="H513" s="165"/>
      <c r="I513" s="164"/>
      <c r="J513" s="165"/>
      <c r="K513" s="164"/>
      <c r="L513" s="165"/>
      <c r="M513" s="6"/>
      <c r="N513" s="32"/>
      <c r="Q513" s="10" t="str">
        <f>+CONCATENATE(E511,K511)</f>
        <v/>
      </c>
      <c r="R513" s="10">
        <f>+L511</f>
        <v>0</v>
      </c>
      <c r="S513" s="11"/>
      <c r="T513" s="10">
        <f>+E511</f>
        <v>0</v>
      </c>
      <c r="U513" s="19" t="str">
        <f>IFERROR(LEFT(K511,FIND("*",K511)-1),"-")</f>
        <v>-</v>
      </c>
      <c r="V513" s="19" t="str">
        <f>IFERROR(RIGHT(K511,LEN(K511)-FIND("*",K511)),"-")</f>
        <v>-</v>
      </c>
      <c r="W513" s="20" t="str">
        <f t="shared" si="274"/>
        <v>-</v>
      </c>
      <c r="X513" s="20" t="str">
        <f>IFERROR(W513*L511,"-")</f>
        <v>-</v>
      </c>
      <c r="Z513" s="33">
        <v>45175</v>
      </c>
    </row>
    <row r="514" spans="1:26" ht="6.95" customHeight="1" x14ac:dyDescent="0.3">
      <c r="A514" s="8"/>
      <c r="B514" s="157"/>
      <c r="C514" s="158"/>
      <c r="D514" s="161" t="s">
        <v>39</v>
      </c>
      <c r="E514" s="162"/>
      <c r="F514" s="163" t="s">
        <v>40</v>
      </c>
      <c r="G514" s="164"/>
      <c r="H514" s="165"/>
      <c r="I514" s="164"/>
      <c r="J514" s="165"/>
      <c r="K514" s="164"/>
      <c r="L514" s="165"/>
      <c r="M514" s="6"/>
      <c r="N514" s="32"/>
      <c r="Q514" s="10" t="str">
        <f>+CONCATENATE(E514,G514)</f>
        <v/>
      </c>
      <c r="R514" s="10">
        <f>+H514</f>
        <v>0</v>
      </c>
      <c r="S514" s="11"/>
      <c r="T514" s="10">
        <f>+E514</f>
        <v>0</v>
      </c>
      <c r="U514" s="19" t="str">
        <f t="shared" ref="U514" si="277">IFERROR(LEFT(G514,FIND("*",G514)-1),"-")</f>
        <v>-</v>
      </c>
      <c r="V514" s="19" t="str">
        <f t="shared" ref="V514" si="278">IFERROR(RIGHT(G514,LEN(G514)-FIND("*",G514)),"-")</f>
        <v>-</v>
      </c>
      <c r="W514" s="20" t="str">
        <f t="shared" si="274"/>
        <v>-</v>
      </c>
      <c r="X514" s="20" t="str">
        <f>IFERROR(W514*H514,"-")</f>
        <v>-</v>
      </c>
      <c r="Z514" s="33">
        <v>45175</v>
      </c>
    </row>
    <row r="515" spans="1:26" ht="6.95" customHeight="1" x14ac:dyDescent="0.3">
      <c r="A515" s="5"/>
      <c r="B515" s="157"/>
      <c r="C515" s="158"/>
      <c r="D515" s="161"/>
      <c r="E515" s="162"/>
      <c r="F515" s="163"/>
      <c r="G515" s="164"/>
      <c r="H515" s="165"/>
      <c r="I515" s="164"/>
      <c r="J515" s="165"/>
      <c r="K515" s="164"/>
      <c r="L515" s="165"/>
      <c r="M515" s="6"/>
      <c r="N515" s="32"/>
      <c r="Q515" s="10" t="str">
        <f>+CONCATENATE(E514,I514)</f>
        <v/>
      </c>
      <c r="R515" s="10">
        <f>+J514</f>
        <v>0</v>
      </c>
      <c r="S515" s="11"/>
      <c r="T515" s="10">
        <f>+E514</f>
        <v>0</v>
      </c>
      <c r="U515" s="19" t="str">
        <f>IFERROR(LEFT(I514,FIND("*",I514)-1),"-")</f>
        <v>-</v>
      </c>
      <c r="V515" s="19" t="str">
        <f>IFERROR(RIGHT(I514,LEN(I514)-FIND("*",I514)),"-")</f>
        <v>-</v>
      </c>
      <c r="W515" s="20" t="str">
        <f t="shared" si="274"/>
        <v>-</v>
      </c>
      <c r="X515" s="20" t="str">
        <f t="shared" ref="X515" si="279">IFERROR(W515*J514,"-")</f>
        <v>-</v>
      </c>
      <c r="Z515" s="33">
        <v>45175</v>
      </c>
    </row>
    <row r="516" spans="1:26" ht="6.95" customHeight="1" x14ac:dyDescent="0.3">
      <c r="A516" s="5"/>
      <c r="B516" s="157"/>
      <c r="C516" s="158"/>
      <c r="D516" s="161"/>
      <c r="E516" s="162"/>
      <c r="F516" s="163"/>
      <c r="G516" s="164"/>
      <c r="H516" s="165"/>
      <c r="I516" s="164"/>
      <c r="J516" s="165"/>
      <c r="K516" s="164"/>
      <c r="L516" s="165"/>
      <c r="M516" s="6"/>
      <c r="N516" s="32"/>
      <c r="Q516" s="10" t="str">
        <f>+CONCATENATE(E514,K514)</f>
        <v/>
      </c>
      <c r="R516" s="10">
        <f>+L514</f>
        <v>0</v>
      </c>
      <c r="S516" s="11"/>
      <c r="T516" s="10">
        <f>+E514</f>
        <v>0</v>
      </c>
      <c r="U516" s="19" t="str">
        <f>IFERROR(LEFT(K514,FIND("*",K514)-1),"-")</f>
        <v>-</v>
      </c>
      <c r="V516" s="19" t="str">
        <f>IFERROR(RIGHT(K514,LEN(K514)-FIND("*",K514)),"-")</f>
        <v>-</v>
      </c>
      <c r="W516" s="20" t="str">
        <f t="shared" si="274"/>
        <v>-</v>
      </c>
      <c r="X516" s="20" t="str">
        <f>IFERROR(W516*L514,"-")</f>
        <v>-</v>
      </c>
      <c r="Z516" s="33">
        <v>45175</v>
      </c>
    </row>
    <row r="517" spans="1:26" ht="21" customHeight="1" thickBot="1" x14ac:dyDescent="0.35">
      <c r="A517" s="5"/>
      <c r="B517" s="159"/>
      <c r="C517" s="160"/>
      <c r="D517" s="166" t="s">
        <v>43</v>
      </c>
      <c r="E517" s="167"/>
      <c r="F517" s="167"/>
      <c r="G517" s="168" t="s">
        <v>208</v>
      </c>
      <c r="H517" s="168"/>
      <c r="I517" s="168"/>
      <c r="J517" s="168"/>
      <c r="K517" s="168"/>
      <c r="L517" s="168"/>
      <c r="M517" s="7"/>
      <c r="N517" s="32"/>
      <c r="Z517" s="33">
        <v>45175</v>
      </c>
    </row>
    <row r="518" spans="1:26" ht="9.9499999999999993" customHeight="1" thickBot="1" x14ac:dyDescent="0.35">
      <c r="B518" s="9"/>
      <c r="C518" s="109">
        <v>847</v>
      </c>
      <c r="D518" s="51"/>
      <c r="E518" s="12"/>
      <c r="F518" s="51"/>
      <c r="G518" s="14"/>
      <c r="H518" s="14"/>
      <c r="I518" s="14"/>
      <c r="J518" s="14"/>
      <c r="K518" s="14"/>
      <c r="L518" s="14"/>
      <c r="M518" s="9"/>
      <c r="N518" s="32"/>
      <c r="U518" s="18"/>
      <c r="V518" s="18"/>
      <c r="Z518" s="33">
        <v>45175</v>
      </c>
    </row>
    <row r="519" spans="1:26" ht="6.95" customHeight="1" x14ac:dyDescent="0.3">
      <c r="A519" s="154">
        <f>+A508+1</f>
        <v>848</v>
      </c>
      <c r="B519" s="155"/>
      <c r="C519" s="156"/>
      <c r="D519" s="161" t="s">
        <v>39</v>
      </c>
      <c r="E519" s="162" t="s">
        <v>213</v>
      </c>
      <c r="F519" s="163" t="s">
        <v>40</v>
      </c>
      <c r="G519" s="164" t="s">
        <v>218</v>
      </c>
      <c r="H519" s="165">
        <v>1</v>
      </c>
      <c r="I519" s="164"/>
      <c r="J519" s="165"/>
      <c r="K519" s="164"/>
      <c r="L519" s="165"/>
      <c r="M519" s="6"/>
      <c r="N519" s="32"/>
      <c r="Q519" s="10" t="str">
        <f>+CONCATENATE(E519,G519)</f>
        <v>보온덕트벽체600*400</v>
      </c>
      <c r="R519" s="10">
        <f>+H519</f>
        <v>1</v>
      </c>
      <c r="S519" s="11"/>
      <c r="T519" s="10" t="str">
        <f>+E519</f>
        <v>보온덕트벽체</v>
      </c>
      <c r="U519" s="19" t="str">
        <f>IFERROR(LEFT(G519,FIND("*",G519)-1),"-")</f>
        <v>600</v>
      </c>
      <c r="V519" s="19" t="str">
        <f>IFERROR(RIGHT(G519,LEN(G519)-FIND("*",G519)),"-")</f>
        <v>400</v>
      </c>
      <c r="W519" s="20">
        <f>IFERROR((U519+V519)*2/1000,"-")</f>
        <v>2</v>
      </c>
      <c r="X519" s="20">
        <f>IFERROR(W519*H519,"-")</f>
        <v>2</v>
      </c>
      <c r="Z519" s="33">
        <v>45175</v>
      </c>
    </row>
    <row r="520" spans="1:26" ht="6.95" customHeight="1" x14ac:dyDescent="0.3">
      <c r="A520" s="154"/>
      <c r="B520" s="157"/>
      <c r="C520" s="158"/>
      <c r="D520" s="161"/>
      <c r="E520" s="162"/>
      <c r="F520" s="163"/>
      <c r="G520" s="164"/>
      <c r="H520" s="165"/>
      <c r="I520" s="164"/>
      <c r="J520" s="165"/>
      <c r="K520" s="164"/>
      <c r="L520" s="165"/>
      <c r="M520" s="6"/>
      <c r="N520" s="32"/>
      <c r="Q520" s="10" t="str">
        <f>+CONCATENATE(E519,I519)</f>
        <v>보온덕트벽체</v>
      </c>
      <c r="R520" s="10">
        <f>+J519</f>
        <v>0</v>
      </c>
      <c r="S520" s="11"/>
      <c r="T520" s="10" t="str">
        <f>+E519</f>
        <v>보온덕트벽체</v>
      </c>
      <c r="U520" s="19" t="str">
        <f>IFERROR(LEFT(I519,FIND("*",I519)-1),"-")</f>
        <v>-</v>
      </c>
      <c r="V520" s="19" t="str">
        <f>IFERROR(RIGHT(I519,LEN(I519)-FIND("*",I519)),"-")</f>
        <v>-</v>
      </c>
      <c r="W520" s="20" t="str">
        <f t="shared" ref="W520:W527" si="280">IFERROR((U520+V520)*2/1000,"-")</f>
        <v>-</v>
      </c>
      <c r="X520" s="20" t="str">
        <f>IFERROR(W520*J519,"-")</f>
        <v>-</v>
      </c>
      <c r="Z520" s="33">
        <v>45175</v>
      </c>
    </row>
    <row r="521" spans="1:26" ht="6.95" customHeight="1" x14ac:dyDescent="0.3">
      <c r="A521" s="154"/>
      <c r="B521" s="157"/>
      <c r="C521" s="158"/>
      <c r="D521" s="161"/>
      <c r="E521" s="162"/>
      <c r="F521" s="163"/>
      <c r="G521" s="164"/>
      <c r="H521" s="165"/>
      <c r="I521" s="164"/>
      <c r="J521" s="165"/>
      <c r="K521" s="164"/>
      <c r="L521" s="165"/>
      <c r="M521" s="6"/>
      <c r="N521" s="32"/>
      <c r="Q521" s="10" t="str">
        <f>+CONCATENATE(E519,K519)</f>
        <v>보온덕트벽체</v>
      </c>
      <c r="R521" s="10">
        <f>+L519</f>
        <v>0</v>
      </c>
      <c r="S521" s="11"/>
      <c r="T521" s="10" t="str">
        <f>+E519</f>
        <v>보온덕트벽체</v>
      </c>
      <c r="U521" s="19" t="str">
        <f>IFERROR(LEFT(K519,FIND("*",K519)-1),"-")</f>
        <v>-</v>
      </c>
      <c r="V521" s="19" t="str">
        <f>IFERROR(RIGHT(K519,LEN(K519)-FIND("*",K519)),"-")</f>
        <v>-</v>
      </c>
      <c r="W521" s="20" t="str">
        <f t="shared" si="280"/>
        <v>-</v>
      </c>
      <c r="X521" s="20" t="str">
        <f>IFERROR(W521*L519,"-")</f>
        <v>-</v>
      </c>
      <c r="Z521" s="33">
        <v>45175</v>
      </c>
    </row>
    <row r="522" spans="1:26" ht="6.95" customHeight="1" x14ac:dyDescent="0.3">
      <c r="A522" s="8"/>
      <c r="B522" s="157"/>
      <c r="C522" s="158"/>
      <c r="D522" s="161" t="s">
        <v>39</v>
      </c>
      <c r="E522" s="162" t="s">
        <v>215</v>
      </c>
      <c r="F522" s="163" t="s">
        <v>40</v>
      </c>
      <c r="G522" s="164" t="s">
        <v>219</v>
      </c>
      <c r="H522" s="165">
        <v>2</v>
      </c>
      <c r="I522" s="164"/>
      <c r="J522" s="165"/>
      <c r="K522" s="164"/>
      <c r="L522" s="165"/>
      <c r="M522" s="6"/>
      <c r="N522" s="32"/>
      <c r="Q522" s="10" t="str">
        <f>+CONCATENATE(E522,G522)</f>
        <v>차열재마감600*400</v>
      </c>
      <c r="R522" s="10">
        <f>+H522</f>
        <v>2</v>
      </c>
      <c r="S522" s="11"/>
      <c r="T522" s="10" t="str">
        <f>+E522</f>
        <v>차열재마감</v>
      </c>
      <c r="U522" s="19" t="str">
        <f t="shared" ref="U522" si="281">IFERROR(LEFT(G522,FIND("*",G522)-1),"-")</f>
        <v>600</v>
      </c>
      <c r="V522" s="19" t="str">
        <f t="shared" ref="V522" si="282">IFERROR(RIGHT(G522,LEN(G522)-FIND("*",G522)),"-")</f>
        <v>400</v>
      </c>
      <c r="W522" s="20">
        <f t="shared" si="280"/>
        <v>2</v>
      </c>
      <c r="X522" s="20">
        <f>IFERROR(W522*H522,"-")</f>
        <v>4</v>
      </c>
      <c r="Z522" s="33">
        <v>45175</v>
      </c>
    </row>
    <row r="523" spans="1:26" ht="6.95" customHeight="1" x14ac:dyDescent="0.3">
      <c r="A523" s="5"/>
      <c r="B523" s="157"/>
      <c r="C523" s="158"/>
      <c r="D523" s="161"/>
      <c r="E523" s="162"/>
      <c r="F523" s="163"/>
      <c r="G523" s="164"/>
      <c r="H523" s="165"/>
      <c r="I523" s="164"/>
      <c r="J523" s="165"/>
      <c r="K523" s="164"/>
      <c r="L523" s="165"/>
      <c r="M523" s="6"/>
      <c r="N523" s="32"/>
      <c r="Q523" s="10" t="str">
        <f>+CONCATENATE(E522,I522)</f>
        <v>차열재마감</v>
      </c>
      <c r="R523" s="10">
        <f>+J522</f>
        <v>0</v>
      </c>
      <c r="S523" s="11"/>
      <c r="T523" s="10" t="str">
        <f>+E522</f>
        <v>차열재마감</v>
      </c>
      <c r="U523" s="19" t="str">
        <f>IFERROR(LEFT(I522,FIND("*",I522)-1),"-")</f>
        <v>-</v>
      </c>
      <c r="V523" s="19" t="str">
        <f>IFERROR(RIGHT(I522,LEN(I522)-FIND("*",I522)),"-")</f>
        <v>-</v>
      </c>
      <c r="W523" s="20" t="str">
        <f t="shared" si="280"/>
        <v>-</v>
      </c>
      <c r="X523" s="20" t="str">
        <f>IFERROR(W523*J522,"-")</f>
        <v>-</v>
      </c>
      <c r="Z523" s="33">
        <v>45175</v>
      </c>
    </row>
    <row r="524" spans="1:26" ht="6.95" customHeight="1" x14ac:dyDescent="0.3">
      <c r="A524" s="5"/>
      <c r="B524" s="157"/>
      <c r="C524" s="158"/>
      <c r="D524" s="161"/>
      <c r="E524" s="162"/>
      <c r="F524" s="163"/>
      <c r="G524" s="164"/>
      <c r="H524" s="165"/>
      <c r="I524" s="164"/>
      <c r="J524" s="165"/>
      <c r="K524" s="164"/>
      <c r="L524" s="165"/>
      <c r="M524" s="6"/>
      <c r="N524" s="32"/>
      <c r="Q524" s="10" t="str">
        <f>+CONCATENATE(E522,K522)</f>
        <v>차열재마감</v>
      </c>
      <c r="R524" s="10">
        <f>+L522</f>
        <v>0</v>
      </c>
      <c r="S524" s="11"/>
      <c r="T524" s="10" t="str">
        <f>+E522</f>
        <v>차열재마감</v>
      </c>
      <c r="U524" s="19" t="str">
        <f>IFERROR(LEFT(K522,FIND("*",K522)-1),"-")</f>
        <v>-</v>
      </c>
      <c r="V524" s="19" t="str">
        <f>IFERROR(RIGHT(K522,LEN(K522)-FIND("*",K522)),"-")</f>
        <v>-</v>
      </c>
      <c r="W524" s="20" t="str">
        <f t="shared" si="280"/>
        <v>-</v>
      </c>
      <c r="X524" s="20" t="str">
        <f>IFERROR(W524*L522,"-")</f>
        <v>-</v>
      </c>
      <c r="Z524" s="33">
        <v>45175</v>
      </c>
    </row>
    <row r="525" spans="1:26" ht="6.95" customHeight="1" x14ac:dyDescent="0.3">
      <c r="A525" s="8"/>
      <c r="B525" s="157"/>
      <c r="C525" s="158"/>
      <c r="D525" s="161" t="s">
        <v>39</v>
      </c>
      <c r="E525" s="162" t="s">
        <v>220</v>
      </c>
      <c r="F525" s="163" t="s">
        <v>40</v>
      </c>
      <c r="G525" s="164">
        <v>50</v>
      </c>
      <c r="H525" s="165">
        <v>1</v>
      </c>
      <c r="I525" s="164"/>
      <c r="J525" s="165"/>
      <c r="K525" s="164"/>
      <c r="L525" s="165"/>
      <c r="M525" s="6"/>
      <c r="N525" s="32"/>
      <c r="Q525" s="10" t="str">
        <f>+CONCATENATE(E525,G525)</f>
        <v>금속관벽체50</v>
      </c>
      <c r="R525" s="10">
        <f>+H525</f>
        <v>1</v>
      </c>
      <c r="S525" s="11"/>
      <c r="T525" s="10" t="str">
        <f>+E525</f>
        <v>금속관벽체</v>
      </c>
      <c r="U525" s="19" t="str">
        <f t="shared" ref="U525" si="283">IFERROR(LEFT(G525,FIND("*",G525)-1),"-")</f>
        <v>-</v>
      </c>
      <c r="V525" s="19" t="str">
        <f t="shared" ref="V525" si="284">IFERROR(RIGHT(G525,LEN(G525)-FIND("*",G525)),"-")</f>
        <v>-</v>
      </c>
      <c r="W525" s="20" t="str">
        <f t="shared" si="280"/>
        <v>-</v>
      </c>
      <c r="X525" s="20" t="str">
        <f>IFERROR(W525*H525,"-")</f>
        <v>-</v>
      </c>
      <c r="Z525" s="33">
        <v>45175</v>
      </c>
    </row>
    <row r="526" spans="1:26" ht="6.95" customHeight="1" x14ac:dyDescent="0.3">
      <c r="A526" s="5"/>
      <c r="B526" s="157"/>
      <c r="C526" s="158"/>
      <c r="D526" s="161"/>
      <c r="E526" s="162"/>
      <c r="F526" s="163"/>
      <c r="G526" s="164"/>
      <c r="H526" s="165"/>
      <c r="I526" s="164"/>
      <c r="J526" s="165"/>
      <c r="K526" s="164"/>
      <c r="L526" s="165"/>
      <c r="M526" s="6"/>
      <c r="N526" s="32"/>
      <c r="Q526" s="10" t="str">
        <f>+CONCATENATE(E525,I525)</f>
        <v>금속관벽체</v>
      </c>
      <c r="R526" s="10">
        <f>+J525</f>
        <v>0</v>
      </c>
      <c r="S526" s="11"/>
      <c r="T526" s="10" t="str">
        <f>+E525</f>
        <v>금속관벽체</v>
      </c>
      <c r="U526" s="19" t="str">
        <f>IFERROR(LEFT(I525,FIND("*",I525)-1),"-")</f>
        <v>-</v>
      </c>
      <c r="V526" s="19" t="str">
        <f>IFERROR(RIGHT(I525,LEN(I525)-FIND("*",I525)),"-")</f>
        <v>-</v>
      </c>
      <c r="W526" s="20" t="str">
        <f t="shared" si="280"/>
        <v>-</v>
      </c>
      <c r="X526" s="20" t="str">
        <f t="shared" ref="X526" si="285">IFERROR(W526*J525,"-")</f>
        <v>-</v>
      </c>
      <c r="Z526" s="33">
        <v>45175</v>
      </c>
    </row>
    <row r="527" spans="1:26" ht="6.95" customHeight="1" x14ac:dyDescent="0.3">
      <c r="A527" s="5"/>
      <c r="B527" s="157"/>
      <c r="C527" s="158"/>
      <c r="D527" s="161"/>
      <c r="E527" s="162"/>
      <c r="F527" s="163"/>
      <c r="G527" s="164"/>
      <c r="H527" s="165"/>
      <c r="I527" s="164"/>
      <c r="J527" s="165"/>
      <c r="K527" s="164"/>
      <c r="L527" s="165"/>
      <c r="M527" s="6"/>
      <c r="N527" s="32"/>
      <c r="Q527" s="10" t="str">
        <f>+CONCATENATE(E525,K525)</f>
        <v>금속관벽체</v>
      </c>
      <c r="R527" s="10">
        <f>+L525</f>
        <v>0</v>
      </c>
      <c r="S527" s="11"/>
      <c r="T527" s="10" t="str">
        <f>+E525</f>
        <v>금속관벽체</v>
      </c>
      <c r="U527" s="19" t="str">
        <f>IFERROR(LEFT(K525,FIND("*",K525)-1),"-")</f>
        <v>-</v>
      </c>
      <c r="V527" s="19" t="str">
        <f>IFERROR(RIGHT(K525,LEN(K525)-FIND("*",K525)),"-")</f>
        <v>-</v>
      </c>
      <c r="W527" s="20" t="str">
        <f t="shared" si="280"/>
        <v>-</v>
      </c>
      <c r="X527" s="20" t="str">
        <f>IFERROR(W527*L525,"-")</f>
        <v>-</v>
      </c>
      <c r="Z527" s="33">
        <v>45175</v>
      </c>
    </row>
    <row r="528" spans="1:26" ht="21" customHeight="1" thickBot="1" x14ac:dyDescent="0.35">
      <c r="A528" s="5"/>
      <c r="B528" s="159"/>
      <c r="C528" s="160"/>
      <c r="D528" s="166" t="s">
        <v>43</v>
      </c>
      <c r="E528" s="167"/>
      <c r="F528" s="167"/>
      <c r="G528" s="168" t="s">
        <v>208</v>
      </c>
      <c r="H528" s="168"/>
      <c r="I528" s="168"/>
      <c r="J528" s="168"/>
      <c r="K528" s="168"/>
      <c r="L528" s="168"/>
      <c r="M528" s="7"/>
      <c r="N528" s="32"/>
      <c r="Z528" s="33">
        <v>45175</v>
      </c>
    </row>
    <row r="529" spans="1:26" ht="9.9499999999999993" customHeight="1" thickBot="1" x14ac:dyDescent="0.35">
      <c r="B529" s="9"/>
      <c r="C529" s="109">
        <v>848</v>
      </c>
      <c r="D529" s="51"/>
      <c r="E529" s="12"/>
      <c r="F529" s="51"/>
      <c r="G529" s="14"/>
      <c r="H529" s="14"/>
      <c r="I529" s="14"/>
      <c r="J529" s="14"/>
      <c r="K529" s="14"/>
      <c r="L529" s="14"/>
      <c r="M529" s="9"/>
      <c r="N529" s="32"/>
      <c r="U529" s="18"/>
      <c r="V529" s="18"/>
      <c r="Z529" s="33">
        <v>45175</v>
      </c>
    </row>
    <row r="530" spans="1:26" ht="6.95" customHeight="1" x14ac:dyDescent="0.3">
      <c r="A530" s="154">
        <f>+A519+1</f>
        <v>849</v>
      </c>
      <c r="B530" s="155"/>
      <c r="C530" s="156"/>
      <c r="D530" s="161" t="s">
        <v>39</v>
      </c>
      <c r="E530" s="162" t="s">
        <v>220</v>
      </c>
      <c r="F530" s="163" t="s">
        <v>40</v>
      </c>
      <c r="G530" s="164">
        <v>50</v>
      </c>
      <c r="H530" s="165">
        <v>1</v>
      </c>
      <c r="I530" s="164"/>
      <c r="J530" s="165"/>
      <c r="K530" s="164"/>
      <c r="L530" s="165"/>
      <c r="M530" s="6"/>
      <c r="N530" s="32"/>
      <c r="Q530" s="10" t="str">
        <f>+CONCATENATE(E530,G530)</f>
        <v>금속관벽체50</v>
      </c>
      <c r="R530" s="10">
        <f>+H530</f>
        <v>1</v>
      </c>
      <c r="S530" s="11"/>
      <c r="T530" s="10" t="str">
        <f>+E530</f>
        <v>금속관벽체</v>
      </c>
      <c r="U530" s="19" t="str">
        <f>IFERROR(LEFT(G530,FIND("*",G530)-1),"-")</f>
        <v>-</v>
      </c>
      <c r="V530" s="19" t="str">
        <f>IFERROR(RIGHT(G530,LEN(G530)-FIND("*",G530)),"-")</f>
        <v>-</v>
      </c>
      <c r="W530" s="20" t="str">
        <f>IFERROR((U530+V530)*2/1000,"-")</f>
        <v>-</v>
      </c>
      <c r="X530" s="20" t="str">
        <f>IFERROR(W530*H530,"-")</f>
        <v>-</v>
      </c>
      <c r="Z530" s="33">
        <v>45175</v>
      </c>
    </row>
    <row r="531" spans="1:26" ht="6.95" customHeight="1" x14ac:dyDescent="0.3">
      <c r="A531" s="154"/>
      <c r="B531" s="157"/>
      <c r="C531" s="158"/>
      <c r="D531" s="161"/>
      <c r="E531" s="162"/>
      <c r="F531" s="163"/>
      <c r="G531" s="164"/>
      <c r="H531" s="165"/>
      <c r="I531" s="164"/>
      <c r="J531" s="165"/>
      <c r="K531" s="164"/>
      <c r="L531" s="165"/>
      <c r="M531" s="6"/>
      <c r="N531" s="32"/>
      <c r="Q531" s="10" t="str">
        <f>+CONCATENATE(E530,I530)</f>
        <v>금속관벽체</v>
      </c>
      <c r="R531" s="10">
        <f>+J530</f>
        <v>0</v>
      </c>
      <c r="S531" s="11"/>
      <c r="T531" s="10" t="str">
        <f>+E530</f>
        <v>금속관벽체</v>
      </c>
      <c r="U531" s="19" t="str">
        <f>IFERROR(LEFT(I530,FIND("*",I530)-1),"-")</f>
        <v>-</v>
      </c>
      <c r="V531" s="19" t="str">
        <f>IFERROR(RIGHT(I530,LEN(I530)-FIND("*",I530)),"-")</f>
        <v>-</v>
      </c>
      <c r="W531" s="20" t="str">
        <f t="shared" ref="W531:W538" si="286">IFERROR((U531+V531)*2/1000,"-")</f>
        <v>-</v>
      </c>
      <c r="X531" s="20" t="str">
        <f>IFERROR(W531*J530,"-")</f>
        <v>-</v>
      </c>
      <c r="Z531" s="33">
        <v>45175</v>
      </c>
    </row>
    <row r="532" spans="1:26" ht="6.95" customHeight="1" x14ac:dyDescent="0.3">
      <c r="A532" s="154"/>
      <c r="B532" s="157"/>
      <c r="C532" s="158"/>
      <c r="D532" s="161"/>
      <c r="E532" s="162"/>
      <c r="F532" s="163"/>
      <c r="G532" s="164"/>
      <c r="H532" s="165"/>
      <c r="I532" s="164"/>
      <c r="J532" s="165"/>
      <c r="K532" s="164"/>
      <c r="L532" s="165"/>
      <c r="M532" s="6"/>
      <c r="N532" s="32"/>
      <c r="Q532" s="10" t="str">
        <f>+CONCATENATE(E530,K530)</f>
        <v>금속관벽체</v>
      </c>
      <c r="R532" s="10">
        <f>+L530</f>
        <v>0</v>
      </c>
      <c r="S532" s="11"/>
      <c r="T532" s="10" t="str">
        <f>+E530</f>
        <v>금속관벽체</v>
      </c>
      <c r="U532" s="19" t="str">
        <f>IFERROR(LEFT(K530,FIND("*",K530)-1),"-")</f>
        <v>-</v>
      </c>
      <c r="V532" s="19" t="str">
        <f>IFERROR(RIGHT(K530,LEN(K530)-FIND("*",K530)),"-")</f>
        <v>-</v>
      </c>
      <c r="W532" s="20" t="str">
        <f t="shared" si="286"/>
        <v>-</v>
      </c>
      <c r="X532" s="20" t="str">
        <f>IFERROR(W532*L530,"-")</f>
        <v>-</v>
      </c>
      <c r="Z532" s="33">
        <v>45175</v>
      </c>
    </row>
    <row r="533" spans="1:26" ht="6.95" customHeight="1" x14ac:dyDescent="0.3">
      <c r="A533" s="8"/>
      <c r="B533" s="157"/>
      <c r="C533" s="158"/>
      <c r="D533" s="161" t="s">
        <v>39</v>
      </c>
      <c r="E533" s="162"/>
      <c r="F533" s="163" t="s">
        <v>40</v>
      </c>
      <c r="G533" s="164"/>
      <c r="H533" s="165"/>
      <c r="I533" s="164"/>
      <c r="J533" s="165"/>
      <c r="K533" s="164"/>
      <c r="L533" s="165"/>
      <c r="M533" s="6"/>
      <c r="N533" s="32"/>
      <c r="Q533" s="10" t="str">
        <f>+CONCATENATE(E533,G533)</f>
        <v/>
      </c>
      <c r="R533" s="10">
        <f>+H533</f>
        <v>0</v>
      </c>
      <c r="S533" s="11"/>
      <c r="T533" s="10">
        <f>+E533</f>
        <v>0</v>
      </c>
      <c r="U533" s="19" t="str">
        <f t="shared" ref="U533" si="287">IFERROR(LEFT(G533,FIND("*",G533)-1),"-")</f>
        <v>-</v>
      </c>
      <c r="V533" s="19" t="str">
        <f t="shared" ref="V533" si="288">IFERROR(RIGHT(G533,LEN(G533)-FIND("*",G533)),"-")</f>
        <v>-</v>
      </c>
      <c r="W533" s="20" t="str">
        <f t="shared" si="286"/>
        <v>-</v>
      </c>
      <c r="X533" s="20" t="str">
        <f>IFERROR(W533*H533,"-")</f>
        <v>-</v>
      </c>
      <c r="Z533" s="33">
        <v>45175</v>
      </c>
    </row>
    <row r="534" spans="1:26" ht="6.95" customHeight="1" x14ac:dyDescent="0.3">
      <c r="A534" s="5"/>
      <c r="B534" s="157"/>
      <c r="C534" s="158"/>
      <c r="D534" s="161"/>
      <c r="E534" s="162"/>
      <c r="F534" s="163"/>
      <c r="G534" s="164"/>
      <c r="H534" s="165"/>
      <c r="I534" s="164"/>
      <c r="J534" s="165"/>
      <c r="K534" s="164"/>
      <c r="L534" s="165"/>
      <c r="M534" s="6"/>
      <c r="N534" s="32"/>
      <c r="Q534" s="10" t="str">
        <f>+CONCATENATE(E533,I533)</f>
        <v/>
      </c>
      <c r="R534" s="10">
        <f>+J533</f>
        <v>0</v>
      </c>
      <c r="S534" s="11"/>
      <c r="T534" s="10">
        <f>+E533</f>
        <v>0</v>
      </c>
      <c r="U534" s="19" t="str">
        <f>IFERROR(LEFT(I533,FIND("*",I533)-1),"-")</f>
        <v>-</v>
      </c>
      <c r="V534" s="19" t="str">
        <f>IFERROR(RIGHT(I533,LEN(I533)-FIND("*",I533)),"-")</f>
        <v>-</v>
      </c>
      <c r="W534" s="20" t="str">
        <f t="shared" si="286"/>
        <v>-</v>
      </c>
      <c r="X534" s="20" t="str">
        <f>IFERROR(W534*J533,"-")</f>
        <v>-</v>
      </c>
      <c r="Z534" s="33">
        <v>45175</v>
      </c>
    </row>
    <row r="535" spans="1:26" ht="6.95" customHeight="1" x14ac:dyDescent="0.3">
      <c r="A535" s="5"/>
      <c r="B535" s="157"/>
      <c r="C535" s="158"/>
      <c r="D535" s="161"/>
      <c r="E535" s="162"/>
      <c r="F535" s="163"/>
      <c r="G535" s="164"/>
      <c r="H535" s="165"/>
      <c r="I535" s="164"/>
      <c r="J535" s="165"/>
      <c r="K535" s="164"/>
      <c r="L535" s="165"/>
      <c r="M535" s="6"/>
      <c r="N535" s="32"/>
      <c r="Q535" s="10" t="str">
        <f>+CONCATENATE(E533,K533)</f>
        <v/>
      </c>
      <c r="R535" s="10">
        <f>+L533</f>
        <v>0</v>
      </c>
      <c r="S535" s="11"/>
      <c r="T535" s="10">
        <f>+E533</f>
        <v>0</v>
      </c>
      <c r="U535" s="19" t="str">
        <f>IFERROR(LEFT(K533,FIND("*",K533)-1),"-")</f>
        <v>-</v>
      </c>
      <c r="V535" s="19" t="str">
        <f>IFERROR(RIGHT(K533,LEN(K533)-FIND("*",K533)),"-")</f>
        <v>-</v>
      </c>
      <c r="W535" s="20" t="str">
        <f t="shared" si="286"/>
        <v>-</v>
      </c>
      <c r="X535" s="20" t="str">
        <f>IFERROR(W535*L533,"-")</f>
        <v>-</v>
      </c>
      <c r="Z535" s="33">
        <v>45175</v>
      </c>
    </row>
    <row r="536" spans="1:26" ht="6.95" customHeight="1" x14ac:dyDescent="0.3">
      <c r="A536" s="8"/>
      <c r="B536" s="157"/>
      <c r="C536" s="158"/>
      <c r="D536" s="161" t="s">
        <v>39</v>
      </c>
      <c r="E536" s="162"/>
      <c r="F536" s="163" t="s">
        <v>40</v>
      </c>
      <c r="G536" s="164"/>
      <c r="H536" s="165"/>
      <c r="I536" s="164"/>
      <c r="J536" s="165"/>
      <c r="K536" s="164"/>
      <c r="L536" s="165"/>
      <c r="M536" s="6"/>
      <c r="N536" s="32"/>
      <c r="Q536" s="10" t="str">
        <f>+CONCATENATE(E536,G536)</f>
        <v/>
      </c>
      <c r="R536" s="10">
        <f>+H536</f>
        <v>0</v>
      </c>
      <c r="S536" s="11"/>
      <c r="T536" s="10">
        <f>+E536</f>
        <v>0</v>
      </c>
      <c r="U536" s="19" t="str">
        <f t="shared" ref="U536" si="289">IFERROR(LEFT(G536,FIND("*",G536)-1),"-")</f>
        <v>-</v>
      </c>
      <c r="V536" s="19" t="str">
        <f t="shared" ref="V536" si="290">IFERROR(RIGHT(G536,LEN(G536)-FIND("*",G536)),"-")</f>
        <v>-</v>
      </c>
      <c r="W536" s="20" t="str">
        <f t="shared" si="286"/>
        <v>-</v>
      </c>
      <c r="X536" s="20" t="str">
        <f>IFERROR(W536*H536,"-")</f>
        <v>-</v>
      </c>
      <c r="Z536" s="33">
        <v>45175</v>
      </c>
    </row>
    <row r="537" spans="1:26" ht="6.95" customHeight="1" x14ac:dyDescent="0.3">
      <c r="A537" s="5"/>
      <c r="B537" s="157"/>
      <c r="C537" s="158"/>
      <c r="D537" s="161"/>
      <c r="E537" s="162"/>
      <c r="F537" s="163"/>
      <c r="G537" s="164"/>
      <c r="H537" s="165"/>
      <c r="I537" s="164"/>
      <c r="J537" s="165"/>
      <c r="K537" s="164"/>
      <c r="L537" s="165"/>
      <c r="M537" s="6"/>
      <c r="N537" s="32"/>
      <c r="Q537" s="10" t="str">
        <f>+CONCATENATE(E536,I536)</f>
        <v/>
      </c>
      <c r="R537" s="10">
        <f>+J536</f>
        <v>0</v>
      </c>
      <c r="S537" s="11"/>
      <c r="T537" s="10">
        <f>+E536</f>
        <v>0</v>
      </c>
      <c r="U537" s="19" t="str">
        <f>IFERROR(LEFT(I536,FIND("*",I536)-1),"-")</f>
        <v>-</v>
      </c>
      <c r="V537" s="19" t="str">
        <f>IFERROR(RIGHT(I536,LEN(I536)-FIND("*",I536)),"-")</f>
        <v>-</v>
      </c>
      <c r="W537" s="20" t="str">
        <f t="shared" si="286"/>
        <v>-</v>
      </c>
      <c r="X537" s="20" t="str">
        <f t="shared" ref="X537" si="291">IFERROR(W537*J536,"-")</f>
        <v>-</v>
      </c>
      <c r="Z537" s="33">
        <v>45175</v>
      </c>
    </row>
    <row r="538" spans="1:26" ht="6.95" customHeight="1" x14ac:dyDescent="0.3">
      <c r="A538" s="5"/>
      <c r="B538" s="157"/>
      <c r="C538" s="158"/>
      <c r="D538" s="161"/>
      <c r="E538" s="162"/>
      <c r="F538" s="163"/>
      <c r="G538" s="164"/>
      <c r="H538" s="165"/>
      <c r="I538" s="164"/>
      <c r="J538" s="165"/>
      <c r="K538" s="164"/>
      <c r="L538" s="165"/>
      <c r="M538" s="6"/>
      <c r="N538" s="32"/>
      <c r="Q538" s="10" t="str">
        <f>+CONCATENATE(E536,K536)</f>
        <v/>
      </c>
      <c r="R538" s="10">
        <f>+L536</f>
        <v>0</v>
      </c>
      <c r="S538" s="11"/>
      <c r="T538" s="10">
        <f>+E536</f>
        <v>0</v>
      </c>
      <c r="U538" s="19" t="str">
        <f>IFERROR(LEFT(K536,FIND("*",K536)-1),"-")</f>
        <v>-</v>
      </c>
      <c r="V538" s="19" t="str">
        <f>IFERROR(RIGHT(K536,LEN(K536)-FIND("*",K536)),"-")</f>
        <v>-</v>
      </c>
      <c r="W538" s="20" t="str">
        <f t="shared" si="286"/>
        <v>-</v>
      </c>
      <c r="X538" s="20" t="str">
        <f>IFERROR(W538*L536,"-")</f>
        <v>-</v>
      </c>
      <c r="Z538" s="33">
        <v>45175</v>
      </c>
    </row>
    <row r="539" spans="1:26" ht="21" customHeight="1" thickBot="1" x14ac:dyDescent="0.35">
      <c r="A539" s="5"/>
      <c r="B539" s="159"/>
      <c r="C539" s="160"/>
      <c r="D539" s="166" t="s">
        <v>43</v>
      </c>
      <c r="E539" s="167"/>
      <c r="F539" s="167"/>
      <c r="G539" s="168" t="s">
        <v>208</v>
      </c>
      <c r="H539" s="168"/>
      <c r="I539" s="168"/>
      <c r="J539" s="168"/>
      <c r="K539" s="168"/>
      <c r="L539" s="168"/>
      <c r="M539" s="7"/>
      <c r="N539" s="33">
        <v>45175</v>
      </c>
      <c r="Z539" s="33">
        <v>45175</v>
      </c>
    </row>
    <row r="540" spans="1:26" ht="9.9499999999999993" customHeight="1" thickBot="1" x14ac:dyDescent="0.35">
      <c r="B540" s="9"/>
      <c r="C540" s="109">
        <v>849</v>
      </c>
      <c r="D540" s="51"/>
      <c r="E540" s="12"/>
      <c r="F540" s="51"/>
      <c r="G540" s="14"/>
      <c r="H540" s="14"/>
      <c r="I540" s="14"/>
      <c r="J540" s="14"/>
      <c r="K540" s="14"/>
      <c r="L540" s="14"/>
      <c r="M540" s="9"/>
      <c r="N540" s="32"/>
      <c r="U540" s="18"/>
      <c r="V540" s="18"/>
      <c r="Z540" s="33">
        <v>45179</v>
      </c>
    </row>
    <row r="541" spans="1:26" ht="6.95" customHeight="1" x14ac:dyDescent="0.3">
      <c r="A541" s="154">
        <f>+A530+1</f>
        <v>850</v>
      </c>
      <c r="B541" s="155"/>
      <c r="C541" s="156"/>
      <c r="D541" s="161" t="s">
        <v>39</v>
      </c>
      <c r="E541" s="162" t="s">
        <v>246</v>
      </c>
      <c r="F541" s="163" t="s">
        <v>40</v>
      </c>
      <c r="G541" s="164" t="s">
        <v>247</v>
      </c>
      <c r="H541" s="165">
        <v>1</v>
      </c>
      <c r="I541" s="164"/>
      <c r="J541" s="165"/>
      <c r="K541" s="164"/>
      <c r="L541" s="165"/>
      <c r="M541" s="6"/>
      <c r="N541" s="32"/>
      <c r="Q541" s="10" t="str">
        <f>+CONCATENATE(E541,G541)</f>
        <v>무보온덕트벽체1500*800</v>
      </c>
      <c r="R541" s="10">
        <f>+H541</f>
        <v>1</v>
      </c>
      <c r="S541" s="11"/>
      <c r="T541" s="10" t="str">
        <f>+E541</f>
        <v>무보온덕트벽체</v>
      </c>
      <c r="U541" s="19" t="str">
        <f>IFERROR(LEFT(G541,FIND("*",G541)-1),"-")</f>
        <v>1500</v>
      </c>
      <c r="V541" s="19" t="str">
        <f>IFERROR(RIGHT(G541,LEN(G541)-FIND("*",G541)),"-")</f>
        <v>800</v>
      </c>
      <c r="W541" s="20">
        <f>IFERROR((U541+V541)*2/1000,"-")</f>
        <v>4.5999999999999996</v>
      </c>
      <c r="X541" s="20">
        <f>IFERROR(W541*H541,"-")</f>
        <v>4.5999999999999996</v>
      </c>
      <c r="Z541" s="33">
        <v>45179</v>
      </c>
    </row>
    <row r="542" spans="1:26" ht="6.95" customHeight="1" x14ac:dyDescent="0.3">
      <c r="A542" s="154"/>
      <c r="B542" s="157"/>
      <c r="C542" s="158"/>
      <c r="D542" s="161"/>
      <c r="E542" s="162"/>
      <c r="F542" s="163"/>
      <c r="G542" s="164"/>
      <c r="H542" s="165"/>
      <c r="I542" s="164"/>
      <c r="J542" s="165"/>
      <c r="K542" s="164"/>
      <c r="L542" s="165"/>
      <c r="M542" s="6"/>
      <c r="N542" s="32"/>
      <c r="Q542" s="10" t="str">
        <f>+CONCATENATE(E541,I541)</f>
        <v>무보온덕트벽체</v>
      </c>
      <c r="R542" s="10">
        <f>+J541</f>
        <v>0</v>
      </c>
      <c r="S542" s="11"/>
      <c r="T542" s="10" t="str">
        <f>+E541</f>
        <v>무보온덕트벽체</v>
      </c>
      <c r="U542" s="19" t="str">
        <f>IFERROR(LEFT(I541,FIND("*",I541)-1),"-")</f>
        <v>-</v>
      </c>
      <c r="V542" s="19" t="str">
        <f>IFERROR(RIGHT(I541,LEN(I541)-FIND("*",I541)),"-")</f>
        <v>-</v>
      </c>
      <c r="W542" s="20" t="str">
        <f t="shared" ref="W542:W549" si="292">IFERROR((U542+V542)*2/1000,"-")</f>
        <v>-</v>
      </c>
      <c r="X542" s="20" t="str">
        <f>IFERROR(W542*J541,"-")</f>
        <v>-</v>
      </c>
      <c r="Z542" s="33">
        <v>45179</v>
      </c>
    </row>
    <row r="543" spans="1:26" ht="6.95" customHeight="1" x14ac:dyDescent="0.3">
      <c r="A543" s="154"/>
      <c r="B543" s="157"/>
      <c r="C543" s="158"/>
      <c r="D543" s="161"/>
      <c r="E543" s="162"/>
      <c r="F543" s="163"/>
      <c r="G543" s="164"/>
      <c r="H543" s="165"/>
      <c r="I543" s="164"/>
      <c r="J543" s="165"/>
      <c r="K543" s="164"/>
      <c r="L543" s="165"/>
      <c r="M543" s="6"/>
      <c r="N543" s="32"/>
      <c r="Q543" s="10" t="str">
        <f>+CONCATENATE(E541,K541)</f>
        <v>무보온덕트벽체</v>
      </c>
      <c r="R543" s="10">
        <f>+L541</f>
        <v>0</v>
      </c>
      <c r="S543" s="11"/>
      <c r="T543" s="10" t="str">
        <f>+E541</f>
        <v>무보온덕트벽체</v>
      </c>
      <c r="U543" s="19" t="str">
        <f>IFERROR(LEFT(K541,FIND("*",K541)-1),"-")</f>
        <v>-</v>
      </c>
      <c r="V543" s="19" t="str">
        <f>IFERROR(RIGHT(K541,LEN(K541)-FIND("*",K541)),"-")</f>
        <v>-</v>
      </c>
      <c r="W543" s="20" t="str">
        <f t="shared" si="292"/>
        <v>-</v>
      </c>
      <c r="X543" s="20" t="str">
        <f>IFERROR(W543*L541,"-")</f>
        <v>-</v>
      </c>
      <c r="Z543" s="33">
        <v>45179</v>
      </c>
    </row>
    <row r="544" spans="1:26" ht="6.95" customHeight="1" x14ac:dyDescent="0.3">
      <c r="A544" s="8"/>
      <c r="B544" s="157"/>
      <c r="C544" s="158"/>
      <c r="D544" s="161" t="s">
        <v>39</v>
      </c>
      <c r="E544" s="162" t="s">
        <v>66</v>
      </c>
      <c r="F544" s="163" t="s">
        <v>40</v>
      </c>
      <c r="G544" s="164" t="s">
        <v>247</v>
      </c>
      <c r="H544" s="165">
        <v>1</v>
      </c>
      <c r="I544" s="164"/>
      <c r="J544" s="165"/>
      <c r="K544" s="164"/>
      <c r="L544" s="165"/>
      <c r="M544" s="6"/>
      <c r="N544" s="32"/>
      <c r="Q544" s="10" t="str">
        <f>+CONCATENATE(E544,G544)</f>
        <v>차열재마감1500*800</v>
      </c>
      <c r="R544" s="10">
        <f>+H544</f>
        <v>1</v>
      </c>
      <c r="S544" s="11"/>
      <c r="T544" s="10" t="str">
        <f>+E544</f>
        <v>차열재마감</v>
      </c>
      <c r="U544" s="19" t="str">
        <f t="shared" ref="U544" si="293">IFERROR(LEFT(G544,FIND("*",G544)-1),"-")</f>
        <v>1500</v>
      </c>
      <c r="V544" s="19" t="str">
        <f t="shared" ref="V544" si="294">IFERROR(RIGHT(G544,LEN(G544)-FIND("*",G544)),"-")</f>
        <v>800</v>
      </c>
      <c r="W544" s="20">
        <f t="shared" si="292"/>
        <v>4.5999999999999996</v>
      </c>
      <c r="X544" s="20">
        <f>IFERROR(W544*H544,"-")</f>
        <v>4.5999999999999996</v>
      </c>
      <c r="Z544" s="33">
        <v>45179</v>
      </c>
    </row>
    <row r="545" spans="1:26" ht="6.95" customHeight="1" x14ac:dyDescent="0.3">
      <c r="A545" s="5"/>
      <c r="B545" s="157"/>
      <c r="C545" s="158"/>
      <c r="D545" s="161"/>
      <c r="E545" s="162"/>
      <c r="F545" s="163"/>
      <c r="G545" s="164"/>
      <c r="H545" s="165"/>
      <c r="I545" s="164"/>
      <c r="J545" s="165"/>
      <c r="K545" s="164"/>
      <c r="L545" s="165"/>
      <c r="M545" s="6"/>
      <c r="N545" s="32"/>
      <c r="Q545" s="10" t="str">
        <f>+CONCATENATE(E544,I544)</f>
        <v>차열재마감</v>
      </c>
      <c r="R545" s="10">
        <f>+J544</f>
        <v>0</v>
      </c>
      <c r="S545" s="11"/>
      <c r="T545" s="10" t="str">
        <f>+E544</f>
        <v>차열재마감</v>
      </c>
      <c r="U545" s="19" t="str">
        <f>IFERROR(LEFT(I544,FIND("*",I544)-1),"-")</f>
        <v>-</v>
      </c>
      <c r="V545" s="19" t="str">
        <f>IFERROR(RIGHT(I544,LEN(I544)-FIND("*",I544)),"-")</f>
        <v>-</v>
      </c>
      <c r="W545" s="20" t="str">
        <f t="shared" si="292"/>
        <v>-</v>
      </c>
      <c r="X545" s="20" t="str">
        <f>IFERROR(W545*J544,"-")</f>
        <v>-</v>
      </c>
      <c r="Z545" s="33">
        <v>45179</v>
      </c>
    </row>
    <row r="546" spans="1:26" ht="6.95" customHeight="1" x14ac:dyDescent="0.3">
      <c r="A546" s="5"/>
      <c r="B546" s="157"/>
      <c r="C546" s="158"/>
      <c r="D546" s="161"/>
      <c r="E546" s="162"/>
      <c r="F546" s="163"/>
      <c r="G546" s="164"/>
      <c r="H546" s="165"/>
      <c r="I546" s="164"/>
      <c r="J546" s="165"/>
      <c r="K546" s="164"/>
      <c r="L546" s="165"/>
      <c r="M546" s="6"/>
      <c r="N546" s="32"/>
      <c r="Q546" s="10" t="str">
        <f>+CONCATENATE(E544,K544)</f>
        <v>차열재마감</v>
      </c>
      <c r="R546" s="10">
        <f>+L544</f>
        <v>0</v>
      </c>
      <c r="S546" s="11"/>
      <c r="T546" s="10" t="str">
        <f>+E544</f>
        <v>차열재마감</v>
      </c>
      <c r="U546" s="19" t="str">
        <f>IFERROR(LEFT(K544,FIND("*",K544)-1),"-")</f>
        <v>-</v>
      </c>
      <c r="V546" s="19" t="str">
        <f>IFERROR(RIGHT(K544,LEN(K544)-FIND("*",K544)),"-")</f>
        <v>-</v>
      </c>
      <c r="W546" s="20" t="str">
        <f t="shared" si="292"/>
        <v>-</v>
      </c>
      <c r="X546" s="20" t="str">
        <f>IFERROR(W546*L544,"-")</f>
        <v>-</v>
      </c>
      <c r="Z546" s="33">
        <v>45179</v>
      </c>
    </row>
    <row r="547" spans="1:26" ht="6.95" customHeight="1" x14ac:dyDescent="0.3">
      <c r="A547" s="8"/>
      <c r="B547" s="157"/>
      <c r="C547" s="158"/>
      <c r="D547" s="161" t="s">
        <v>39</v>
      </c>
      <c r="E547" s="162"/>
      <c r="F547" s="163" t="s">
        <v>40</v>
      </c>
      <c r="G547" s="164"/>
      <c r="H547" s="165"/>
      <c r="I547" s="164"/>
      <c r="J547" s="165"/>
      <c r="K547" s="164"/>
      <c r="L547" s="165"/>
      <c r="M547" s="6"/>
      <c r="N547" s="32"/>
      <c r="Q547" s="10" t="str">
        <f>+CONCATENATE(E547,G547)</f>
        <v/>
      </c>
      <c r="R547" s="10">
        <f>+H547</f>
        <v>0</v>
      </c>
      <c r="S547" s="11"/>
      <c r="T547" s="10">
        <f>+E547</f>
        <v>0</v>
      </c>
      <c r="U547" s="19" t="str">
        <f t="shared" ref="U547" si="295">IFERROR(LEFT(G547,FIND("*",G547)-1),"-")</f>
        <v>-</v>
      </c>
      <c r="V547" s="19" t="str">
        <f t="shared" ref="V547" si="296">IFERROR(RIGHT(G547,LEN(G547)-FIND("*",G547)),"-")</f>
        <v>-</v>
      </c>
      <c r="W547" s="20" t="str">
        <f t="shared" si="292"/>
        <v>-</v>
      </c>
      <c r="X547" s="20" t="str">
        <f>IFERROR(W547*H547,"-")</f>
        <v>-</v>
      </c>
      <c r="Z547" s="33">
        <v>45179</v>
      </c>
    </row>
    <row r="548" spans="1:26" ht="6.95" customHeight="1" x14ac:dyDescent="0.3">
      <c r="A548" s="5"/>
      <c r="B548" s="157"/>
      <c r="C548" s="158"/>
      <c r="D548" s="161"/>
      <c r="E548" s="162"/>
      <c r="F548" s="163"/>
      <c r="G548" s="164"/>
      <c r="H548" s="165"/>
      <c r="I548" s="164"/>
      <c r="J548" s="165"/>
      <c r="K548" s="164"/>
      <c r="L548" s="165"/>
      <c r="M548" s="6"/>
      <c r="N548" s="32"/>
      <c r="Q548" s="10" t="str">
        <f>+CONCATENATE(E547,I547)</f>
        <v/>
      </c>
      <c r="R548" s="10">
        <f>+J547</f>
        <v>0</v>
      </c>
      <c r="S548" s="11"/>
      <c r="T548" s="10">
        <f>+E547</f>
        <v>0</v>
      </c>
      <c r="U548" s="19" t="str">
        <f>IFERROR(LEFT(I547,FIND("*",I547)-1),"-")</f>
        <v>-</v>
      </c>
      <c r="V548" s="19" t="str">
        <f>IFERROR(RIGHT(I547,LEN(I547)-FIND("*",I547)),"-")</f>
        <v>-</v>
      </c>
      <c r="W548" s="20" t="str">
        <f t="shared" si="292"/>
        <v>-</v>
      </c>
      <c r="X548" s="20" t="str">
        <f t="shared" ref="X548" si="297">IFERROR(W548*J547,"-")</f>
        <v>-</v>
      </c>
      <c r="Z548" s="33">
        <v>45179</v>
      </c>
    </row>
    <row r="549" spans="1:26" ht="6.95" customHeight="1" x14ac:dyDescent="0.3">
      <c r="A549" s="5"/>
      <c r="B549" s="157"/>
      <c r="C549" s="158"/>
      <c r="D549" s="161"/>
      <c r="E549" s="162"/>
      <c r="F549" s="163"/>
      <c r="G549" s="164"/>
      <c r="H549" s="165"/>
      <c r="I549" s="164"/>
      <c r="J549" s="165"/>
      <c r="K549" s="164"/>
      <c r="L549" s="165"/>
      <c r="M549" s="6"/>
      <c r="N549" s="32"/>
      <c r="Q549" s="10" t="str">
        <f>+CONCATENATE(E547,K547)</f>
        <v/>
      </c>
      <c r="R549" s="10">
        <f>+L547</f>
        <v>0</v>
      </c>
      <c r="S549" s="11"/>
      <c r="T549" s="10">
        <f>+E547</f>
        <v>0</v>
      </c>
      <c r="U549" s="19" t="str">
        <f>IFERROR(LEFT(K547,FIND("*",K547)-1),"-")</f>
        <v>-</v>
      </c>
      <c r="V549" s="19" t="str">
        <f>IFERROR(RIGHT(K547,LEN(K547)-FIND("*",K547)),"-")</f>
        <v>-</v>
      </c>
      <c r="W549" s="20" t="str">
        <f t="shared" si="292"/>
        <v>-</v>
      </c>
      <c r="X549" s="20" t="str">
        <f>IFERROR(W549*L547,"-")</f>
        <v>-</v>
      </c>
      <c r="Z549" s="33">
        <v>45179</v>
      </c>
    </row>
    <row r="550" spans="1:26" ht="21" customHeight="1" thickBot="1" x14ac:dyDescent="0.35">
      <c r="A550" s="5"/>
      <c r="B550" s="159"/>
      <c r="C550" s="160"/>
      <c r="D550" s="166" t="s">
        <v>43</v>
      </c>
      <c r="E550" s="167"/>
      <c r="F550" s="167"/>
      <c r="G550" s="168" t="s">
        <v>237</v>
      </c>
      <c r="H550" s="168"/>
      <c r="I550" s="168"/>
      <c r="J550" s="168"/>
      <c r="K550" s="168"/>
      <c r="L550" s="168"/>
      <c r="M550" s="7"/>
      <c r="N550" s="32"/>
      <c r="Z550" s="33">
        <v>45179</v>
      </c>
    </row>
    <row r="551" spans="1:26" ht="9.9499999999999993" customHeight="1" thickBot="1" x14ac:dyDescent="0.35">
      <c r="B551" s="9"/>
      <c r="C551" s="109">
        <v>850</v>
      </c>
      <c r="D551" s="51"/>
      <c r="E551" s="12"/>
      <c r="F551" s="51"/>
      <c r="G551" s="14"/>
      <c r="H551" s="14"/>
      <c r="I551" s="14"/>
      <c r="J551" s="14"/>
      <c r="K551" s="14"/>
      <c r="L551" s="14"/>
      <c r="M551" s="9"/>
      <c r="N551" s="32"/>
      <c r="U551" s="18"/>
      <c r="V551" s="18"/>
      <c r="Z551" s="33">
        <v>45179</v>
      </c>
    </row>
    <row r="552" spans="1:26" ht="6.95" customHeight="1" x14ac:dyDescent="0.3">
      <c r="A552" s="154">
        <f>+A541+1</f>
        <v>851</v>
      </c>
      <c r="B552" s="155"/>
      <c r="C552" s="156"/>
      <c r="D552" s="161" t="s">
        <v>39</v>
      </c>
      <c r="E552" s="162" t="s">
        <v>222</v>
      </c>
      <c r="F552" s="163" t="s">
        <v>40</v>
      </c>
      <c r="G552" s="164" t="s">
        <v>248</v>
      </c>
      <c r="H552" s="165">
        <v>1</v>
      </c>
      <c r="I552" s="164"/>
      <c r="J552" s="165"/>
      <c r="K552" s="164"/>
      <c r="L552" s="165"/>
      <c r="M552" s="6"/>
      <c r="N552" s="32"/>
      <c r="Q552" s="10" t="str">
        <f>+CONCATENATE(E552,G552)</f>
        <v>보온덕트벽체1600*500</v>
      </c>
      <c r="R552" s="10">
        <f>+H552</f>
        <v>1</v>
      </c>
      <c r="S552" s="11"/>
      <c r="T552" s="10" t="str">
        <f>+E552</f>
        <v>보온덕트벽체</v>
      </c>
      <c r="U552" s="19" t="str">
        <f>IFERROR(LEFT(G552,FIND("*",G552)-1),"-")</f>
        <v>1600</v>
      </c>
      <c r="V552" s="19" t="str">
        <f>IFERROR(RIGHT(G552,LEN(G552)-FIND("*",G552)),"-")</f>
        <v>500</v>
      </c>
      <c r="W552" s="20">
        <f>IFERROR((U552+V552)*2/1000,"-")</f>
        <v>4.2</v>
      </c>
      <c r="X552" s="20">
        <f>IFERROR(W552*H552,"-")</f>
        <v>4.2</v>
      </c>
      <c r="Z552" s="33">
        <v>45179</v>
      </c>
    </row>
    <row r="553" spans="1:26" ht="6.95" customHeight="1" x14ac:dyDescent="0.3">
      <c r="A553" s="154"/>
      <c r="B553" s="157"/>
      <c r="C553" s="158"/>
      <c r="D553" s="161"/>
      <c r="E553" s="162"/>
      <c r="F553" s="163"/>
      <c r="G553" s="164"/>
      <c r="H553" s="165"/>
      <c r="I553" s="164"/>
      <c r="J553" s="165"/>
      <c r="K553" s="164"/>
      <c r="L553" s="165"/>
      <c r="M553" s="6"/>
      <c r="N553" s="32"/>
      <c r="Q553" s="10" t="str">
        <f>+CONCATENATE(E552,I552)</f>
        <v>보온덕트벽체</v>
      </c>
      <c r="R553" s="10">
        <f>+J552</f>
        <v>0</v>
      </c>
      <c r="S553" s="11"/>
      <c r="T553" s="10" t="str">
        <f>+E552</f>
        <v>보온덕트벽체</v>
      </c>
      <c r="U553" s="19" t="str">
        <f>IFERROR(LEFT(I552,FIND("*",I552)-1),"-")</f>
        <v>-</v>
      </c>
      <c r="V553" s="19" t="str">
        <f>IFERROR(RIGHT(I552,LEN(I552)-FIND("*",I552)),"-")</f>
        <v>-</v>
      </c>
      <c r="W553" s="20" t="str">
        <f t="shared" ref="W553:W560" si="298">IFERROR((U553+V553)*2/1000,"-")</f>
        <v>-</v>
      </c>
      <c r="X553" s="20" t="str">
        <f>IFERROR(W553*J552,"-")</f>
        <v>-</v>
      </c>
      <c r="Z553" s="33">
        <v>45179</v>
      </c>
    </row>
    <row r="554" spans="1:26" ht="6.95" customHeight="1" x14ac:dyDescent="0.3">
      <c r="A554" s="154"/>
      <c r="B554" s="157"/>
      <c r="C554" s="158"/>
      <c r="D554" s="161"/>
      <c r="E554" s="162"/>
      <c r="F554" s="163"/>
      <c r="G554" s="164"/>
      <c r="H554" s="165"/>
      <c r="I554" s="164"/>
      <c r="J554" s="165"/>
      <c r="K554" s="164"/>
      <c r="L554" s="165"/>
      <c r="M554" s="6"/>
      <c r="N554" s="32"/>
      <c r="Q554" s="10" t="str">
        <f>+CONCATENATE(E552,K552)</f>
        <v>보온덕트벽체</v>
      </c>
      <c r="R554" s="10">
        <f>+L552</f>
        <v>0</v>
      </c>
      <c r="S554" s="11"/>
      <c r="T554" s="10" t="str">
        <f>+E552</f>
        <v>보온덕트벽체</v>
      </c>
      <c r="U554" s="19" t="str">
        <f>IFERROR(LEFT(K552,FIND("*",K552)-1),"-")</f>
        <v>-</v>
      </c>
      <c r="V554" s="19" t="str">
        <f>IFERROR(RIGHT(K552,LEN(K552)-FIND("*",K552)),"-")</f>
        <v>-</v>
      </c>
      <c r="W554" s="20" t="str">
        <f t="shared" si="298"/>
        <v>-</v>
      </c>
      <c r="X554" s="20" t="str">
        <f>IFERROR(W554*L552,"-")</f>
        <v>-</v>
      </c>
      <c r="Z554" s="33">
        <v>45179</v>
      </c>
    </row>
    <row r="555" spans="1:26" ht="6.95" customHeight="1" x14ac:dyDescent="0.3">
      <c r="A555" s="8"/>
      <c r="B555" s="157"/>
      <c r="C555" s="158"/>
      <c r="D555" s="161" t="s">
        <v>39</v>
      </c>
      <c r="E555" s="162" t="s">
        <v>66</v>
      </c>
      <c r="F555" s="163" t="s">
        <v>40</v>
      </c>
      <c r="G555" s="164" t="s">
        <v>248</v>
      </c>
      <c r="H555" s="165">
        <v>2</v>
      </c>
      <c r="I555" s="164"/>
      <c r="J555" s="165"/>
      <c r="K555" s="164"/>
      <c r="L555" s="165"/>
      <c r="M555" s="6"/>
      <c r="N555" s="32"/>
      <c r="Q555" s="10" t="str">
        <f>+CONCATENATE(E555,G555)</f>
        <v>차열재마감1600*500</v>
      </c>
      <c r="R555" s="10">
        <f>+H555</f>
        <v>2</v>
      </c>
      <c r="S555" s="11"/>
      <c r="T555" s="10" t="str">
        <f>+E555</f>
        <v>차열재마감</v>
      </c>
      <c r="U555" s="19" t="str">
        <f t="shared" ref="U555" si="299">IFERROR(LEFT(G555,FIND("*",G555)-1),"-")</f>
        <v>1600</v>
      </c>
      <c r="V555" s="19" t="str">
        <f t="shared" ref="V555" si="300">IFERROR(RIGHT(G555,LEN(G555)-FIND("*",G555)),"-")</f>
        <v>500</v>
      </c>
      <c r="W555" s="20">
        <f t="shared" si="298"/>
        <v>4.2</v>
      </c>
      <c r="X555" s="20">
        <f>IFERROR(W555*H555,"-")</f>
        <v>8.4</v>
      </c>
      <c r="Z555" s="33">
        <v>45179</v>
      </c>
    </row>
    <row r="556" spans="1:26" ht="6.95" customHeight="1" x14ac:dyDescent="0.3">
      <c r="A556" s="5"/>
      <c r="B556" s="157"/>
      <c r="C556" s="158"/>
      <c r="D556" s="161"/>
      <c r="E556" s="162"/>
      <c r="F556" s="163"/>
      <c r="G556" s="164"/>
      <c r="H556" s="165"/>
      <c r="I556" s="164"/>
      <c r="J556" s="165"/>
      <c r="K556" s="164"/>
      <c r="L556" s="165"/>
      <c r="M556" s="6"/>
      <c r="N556" s="32"/>
      <c r="Q556" s="10" t="str">
        <f>+CONCATENATE(E555,I555)</f>
        <v>차열재마감</v>
      </c>
      <c r="R556" s="10">
        <f>+J555</f>
        <v>0</v>
      </c>
      <c r="S556" s="11"/>
      <c r="T556" s="10" t="str">
        <f>+E555</f>
        <v>차열재마감</v>
      </c>
      <c r="U556" s="19" t="str">
        <f>IFERROR(LEFT(I555,FIND("*",I555)-1),"-")</f>
        <v>-</v>
      </c>
      <c r="V556" s="19" t="str">
        <f>IFERROR(RIGHT(I555,LEN(I555)-FIND("*",I555)),"-")</f>
        <v>-</v>
      </c>
      <c r="W556" s="20" t="str">
        <f t="shared" si="298"/>
        <v>-</v>
      </c>
      <c r="X556" s="20" t="str">
        <f>IFERROR(W556*J555,"-")</f>
        <v>-</v>
      </c>
      <c r="Z556" s="33">
        <v>45179</v>
      </c>
    </row>
    <row r="557" spans="1:26" ht="6.95" customHeight="1" x14ac:dyDescent="0.3">
      <c r="A557" s="5"/>
      <c r="B557" s="157"/>
      <c r="C557" s="158"/>
      <c r="D557" s="161"/>
      <c r="E557" s="162"/>
      <c r="F557" s="163"/>
      <c r="G557" s="164"/>
      <c r="H557" s="165"/>
      <c r="I557" s="164"/>
      <c r="J557" s="165"/>
      <c r="K557" s="164"/>
      <c r="L557" s="165"/>
      <c r="M557" s="6"/>
      <c r="N557" s="32"/>
      <c r="Q557" s="10" t="str">
        <f>+CONCATENATE(E555,K555)</f>
        <v>차열재마감</v>
      </c>
      <c r="R557" s="10">
        <f>+L555</f>
        <v>0</v>
      </c>
      <c r="S557" s="11"/>
      <c r="T557" s="10" t="str">
        <f>+E555</f>
        <v>차열재마감</v>
      </c>
      <c r="U557" s="19" t="str">
        <f>IFERROR(LEFT(K555,FIND("*",K555)-1),"-")</f>
        <v>-</v>
      </c>
      <c r="V557" s="19" t="str">
        <f>IFERROR(RIGHT(K555,LEN(K555)-FIND("*",K555)),"-")</f>
        <v>-</v>
      </c>
      <c r="W557" s="20" t="str">
        <f t="shared" si="298"/>
        <v>-</v>
      </c>
      <c r="X557" s="20" t="str">
        <f>IFERROR(W557*L555,"-")</f>
        <v>-</v>
      </c>
      <c r="Z557" s="33">
        <v>45179</v>
      </c>
    </row>
    <row r="558" spans="1:26" ht="6.95" customHeight="1" x14ac:dyDescent="0.3">
      <c r="A558" s="8"/>
      <c r="B558" s="157"/>
      <c r="C558" s="158"/>
      <c r="D558" s="161" t="s">
        <v>39</v>
      </c>
      <c r="E558" s="162"/>
      <c r="F558" s="163" t="s">
        <v>40</v>
      </c>
      <c r="G558" s="164"/>
      <c r="H558" s="165"/>
      <c r="I558" s="164"/>
      <c r="J558" s="165"/>
      <c r="K558" s="164"/>
      <c r="L558" s="165"/>
      <c r="M558" s="6"/>
      <c r="N558" s="32"/>
      <c r="Q558" s="10" t="str">
        <f>+CONCATENATE(E558,G558)</f>
        <v/>
      </c>
      <c r="R558" s="10">
        <f>+H558</f>
        <v>0</v>
      </c>
      <c r="S558" s="11"/>
      <c r="T558" s="10">
        <f>+E558</f>
        <v>0</v>
      </c>
      <c r="U558" s="19" t="str">
        <f t="shared" ref="U558" si="301">IFERROR(LEFT(G558,FIND("*",G558)-1),"-")</f>
        <v>-</v>
      </c>
      <c r="V558" s="19" t="str">
        <f t="shared" ref="V558" si="302">IFERROR(RIGHT(G558,LEN(G558)-FIND("*",G558)),"-")</f>
        <v>-</v>
      </c>
      <c r="W558" s="20" t="str">
        <f t="shared" si="298"/>
        <v>-</v>
      </c>
      <c r="X558" s="20" t="str">
        <f>IFERROR(W558*H558,"-")</f>
        <v>-</v>
      </c>
      <c r="Z558" s="33">
        <v>45179</v>
      </c>
    </row>
    <row r="559" spans="1:26" ht="6.95" customHeight="1" x14ac:dyDescent="0.3">
      <c r="A559" s="5"/>
      <c r="B559" s="157"/>
      <c r="C559" s="158"/>
      <c r="D559" s="161"/>
      <c r="E559" s="162"/>
      <c r="F559" s="163"/>
      <c r="G559" s="164"/>
      <c r="H559" s="165"/>
      <c r="I559" s="164"/>
      <c r="J559" s="165"/>
      <c r="K559" s="164"/>
      <c r="L559" s="165"/>
      <c r="M559" s="6"/>
      <c r="N559" s="32"/>
      <c r="Q559" s="10" t="str">
        <f>+CONCATENATE(E558,I558)</f>
        <v/>
      </c>
      <c r="R559" s="10">
        <f>+J558</f>
        <v>0</v>
      </c>
      <c r="S559" s="11"/>
      <c r="T559" s="10">
        <f>+E558</f>
        <v>0</v>
      </c>
      <c r="U559" s="19" t="str">
        <f>IFERROR(LEFT(I558,FIND("*",I558)-1),"-")</f>
        <v>-</v>
      </c>
      <c r="V559" s="19" t="str">
        <f>IFERROR(RIGHT(I558,LEN(I558)-FIND("*",I558)),"-")</f>
        <v>-</v>
      </c>
      <c r="W559" s="20" t="str">
        <f t="shared" si="298"/>
        <v>-</v>
      </c>
      <c r="X559" s="20" t="str">
        <f t="shared" ref="X559" si="303">IFERROR(W559*J558,"-")</f>
        <v>-</v>
      </c>
      <c r="Z559" s="33">
        <v>45179</v>
      </c>
    </row>
    <row r="560" spans="1:26" ht="6.95" customHeight="1" x14ac:dyDescent="0.3">
      <c r="A560" s="5"/>
      <c r="B560" s="157"/>
      <c r="C560" s="158"/>
      <c r="D560" s="161"/>
      <c r="E560" s="162"/>
      <c r="F560" s="163"/>
      <c r="G560" s="164"/>
      <c r="H560" s="165"/>
      <c r="I560" s="164"/>
      <c r="J560" s="165"/>
      <c r="K560" s="164"/>
      <c r="L560" s="165"/>
      <c r="M560" s="6"/>
      <c r="N560" s="32"/>
      <c r="Q560" s="10" t="str">
        <f>+CONCATENATE(E558,K558)</f>
        <v/>
      </c>
      <c r="R560" s="10">
        <f>+L558</f>
        <v>0</v>
      </c>
      <c r="S560" s="11"/>
      <c r="T560" s="10">
        <f>+E558</f>
        <v>0</v>
      </c>
      <c r="U560" s="19" t="str">
        <f>IFERROR(LEFT(K558,FIND("*",K558)-1),"-")</f>
        <v>-</v>
      </c>
      <c r="V560" s="19" t="str">
        <f>IFERROR(RIGHT(K558,LEN(K558)-FIND("*",K558)),"-")</f>
        <v>-</v>
      </c>
      <c r="W560" s="20" t="str">
        <f t="shared" si="298"/>
        <v>-</v>
      </c>
      <c r="X560" s="20" t="str">
        <f>IFERROR(W560*L558,"-")</f>
        <v>-</v>
      </c>
      <c r="Z560" s="33">
        <v>45179</v>
      </c>
    </row>
    <row r="561" spans="1:26" ht="21" customHeight="1" thickBot="1" x14ac:dyDescent="0.35">
      <c r="A561" s="5"/>
      <c r="B561" s="159"/>
      <c r="C561" s="160"/>
      <c r="D561" s="166" t="s">
        <v>43</v>
      </c>
      <c r="E561" s="167"/>
      <c r="F561" s="167"/>
      <c r="G561" s="168" t="s">
        <v>237</v>
      </c>
      <c r="H561" s="168"/>
      <c r="I561" s="168"/>
      <c r="J561" s="168"/>
      <c r="K561" s="168"/>
      <c r="L561" s="168"/>
      <c r="M561" s="7"/>
      <c r="N561" s="32"/>
      <c r="Z561" s="33">
        <v>45179</v>
      </c>
    </row>
    <row r="562" spans="1:26" ht="9.9499999999999993" customHeight="1" thickBot="1" x14ac:dyDescent="0.35">
      <c r="B562" s="9"/>
      <c r="C562" s="109">
        <v>851</v>
      </c>
      <c r="D562" s="51"/>
      <c r="E562" s="12"/>
      <c r="F562" s="51"/>
      <c r="G562" s="14"/>
      <c r="H562" s="14"/>
      <c r="I562" s="14"/>
      <c r="J562" s="14"/>
      <c r="K562" s="14"/>
      <c r="L562" s="14"/>
      <c r="M562" s="9"/>
      <c r="N562" s="32"/>
      <c r="U562" s="18"/>
      <c r="V562" s="18"/>
      <c r="Z562" s="33">
        <v>45179</v>
      </c>
    </row>
    <row r="563" spans="1:26" ht="6.95" customHeight="1" x14ac:dyDescent="0.3">
      <c r="A563" s="154">
        <f>+A552+1</f>
        <v>852</v>
      </c>
      <c r="B563" s="155"/>
      <c r="C563" s="156"/>
      <c r="D563" s="161" t="s">
        <v>39</v>
      </c>
      <c r="E563" s="162" t="s">
        <v>222</v>
      </c>
      <c r="F563" s="163" t="s">
        <v>40</v>
      </c>
      <c r="G563" s="164" t="s">
        <v>248</v>
      </c>
      <c r="H563" s="165">
        <v>1</v>
      </c>
      <c r="I563" s="164"/>
      <c r="J563" s="165"/>
      <c r="K563" s="164"/>
      <c r="L563" s="165"/>
      <c r="M563" s="6"/>
      <c r="N563" s="32"/>
      <c r="Q563" s="10" t="str">
        <f>+CONCATENATE(E563,G563)</f>
        <v>보온덕트벽체1600*500</v>
      </c>
      <c r="R563" s="10">
        <f>+H563</f>
        <v>1</v>
      </c>
      <c r="S563" s="11"/>
      <c r="T563" s="10" t="str">
        <f>+E563</f>
        <v>보온덕트벽체</v>
      </c>
      <c r="U563" s="19" t="str">
        <f>IFERROR(LEFT(G563,FIND("*",G563)-1),"-")</f>
        <v>1600</v>
      </c>
      <c r="V563" s="19" t="str">
        <f>IFERROR(RIGHT(G563,LEN(G563)-FIND("*",G563)),"-")</f>
        <v>500</v>
      </c>
      <c r="W563" s="20">
        <f>IFERROR((U563+V563)*2/1000,"-")</f>
        <v>4.2</v>
      </c>
      <c r="X563" s="20">
        <f>IFERROR(W563*H563,"-")</f>
        <v>4.2</v>
      </c>
      <c r="Z563" s="33">
        <v>45179</v>
      </c>
    </row>
    <row r="564" spans="1:26" ht="6.95" customHeight="1" x14ac:dyDescent="0.3">
      <c r="A564" s="154"/>
      <c r="B564" s="157"/>
      <c r="C564" s="158"/>
      <c r="D564" s="161"/>
      <c r="E564" s="162"/>
      <c r="F564" s="163"/>
      <c r="G564" s="164"/>
      <c r="H564" s="165"/>
      <c r="I564" s="164"/>
      <c r="J564" s="165"/>
      <c r="K564" s="164"/>
      <c r="L564" s="165"/>
      <c r="M564" s="6"/>
      <c r="N564" s="32"/>
      <c r="Q564" s="10" t="str">
        <f>+CONCATENATE(E563,I563)</f>
        <v>보온덕트벽체</v>
      </c>
      <c r="R564" s="10">
        <f>+J563</f>
        <v>0</v>
      </c>
      <c r="S564" s="11"/>
      <c r="T564" s="10" t="str">
        <f>+E563</f>
        <v>보온덕트벽체</v>
      </c>
      <c r="U564" s="19" t="str">
        <f>IFERROR(LEFT(I563,FIND("*",I563)-1),"-")</f>
        <v>-</v>
      </c>
      <c r="V564" s="19" t="str">
        <f>IFERROR(RIGHT(I563,LEN(I563)-FIND("*",I563)),"-")</f>
        <v>-</v>
      </c>
      <c r="W564" s="20" t="str">
        <f t="shared" ref="W564:W571" si="304">IFERROR((U564+V564)*2/1000,"-")</f>
        <v>-</v>
      </c>
      <c r="X564" s="20" t="str">
        <f>IFERROR(W564*J563,"-")</f>
        <v>-</v>
      </c>
      <c r="Z564" s="33">
        <v>45179</v>
      </c>
    </row>
    <row r="565" spans="1:26" ht="6.95" customHeight="1" x14ac:dyDescent="0.3">
      <c r="A565" s="154"/>
      <c r="B565" s="157"/>
      <c r="C565" s="158"/>
      <c r="D565" s="161"/>
      <c r="E565" s="162"/>
      <c r="F565" s="163"/>
      <c r="G565" s="164"/>
      <c r="H565" s="165"/>
      <c r="I565" s="164"/>
      <c r="J565" s="165"/>
      <c r="K565" s="164"/>
      <c r="L565" s="165"/>
      <c r="M565" s="6"/>
      <c r="N565" s="32"/>
      <c r="Q565" s="10" t="str">
        <f>+CONCATENATE(E563,K563)</f>
        <v>보온덕트벽체</v>
      </c>
      <c r="R565" s="10">
        <f>+L563</f>
        <v>0</v>
      </c>
      <c r="S565" s="11"/>
      <c r="T565" s="10" t="str">
        <f>+E563</f>
        <v>보온덕트벽체</v>
      </c>
      <c r="U565" s="19" t="str">
        <f>IFERROR(LEFT(K563,FIND("*",K563)-1),"-")</f>
        <v>-</v>
      </c>
      <c r="V565" s="19" t="str">
        <f>IFERROR(RIGHT(K563,LEN(K563)-FIND("*",K563)),"-")</f>
        <v>-</v>
      </c>
      <c r="W565" s="20" t="str">
        <f t="shared" si="304"/>
        <v>-</v>
      </c>
      <c r="X565" s="20" t="str">
        <f>IFERROR(W565*L563,"-")</f>
        <v>-</v>
      </c>
      <c r="Z565" s="33">
        <v>45179</v>
      </c>
    </row>
    <row r="566" spans="1:26" ht="6.95" customHeight="1" x14ac:dyDescent="0.3">
      <c r="A566" s="8"/>
      <c r="B566" s="157"/>
      <c r="C566" s="158"/>
      <c r="D566" s="161" t="s">
        <v>39</v>
      </c>
      <c r="E566" s="162" t="s">
        <v>66</v>
      </c>
      <c r="F566" s="163" t="s">
        <v>40</v>
      </c>
      <c r="G566" s="164" t="s">
        <v>248</v>
      </c>
      <c r="H566" s="165">
        <v>2</v>
      </c>
      <c r="I566" s="164"/>
      <c r="J566" s="165"/>
      <c r="K566" s="164"/>
      <c r="L566" s="165"/>
      <c r="M566" s="6"/>
      <c r="N566" s="32"/>
      <c r="Q566" s="10" t="str">
        <f>+CONCATENATE(E566,G566)</f>
        <v>차열재마감1600*500</v>
      </c>
      <c r="R566" s="10">
        <f>+H566</f>
        <v>2</v>
      </c>
      <c r="S566" s="11"/>
      <c r="T566" s="10" t="str">
        <f>+E566</f>
        <v>차열재마감</v>
      </c>
      <c r="U566" s="19" t="str">
        <f t="shared" ref="U566" si="305">IFERROR(LEFT(G566,FIND("*",G566)-1),"-")</f>
        <v>1600</v>
      </c>
      <c r="V566" s="19" t="str">
        <f t="shared" ref="V566" si="306">IFERROR(RIGHT(G566,LEN(G566)-FIND("*",G566)),"-")</f>
        <v>500</v>
      </c>
      <c r="W566" s="20">
        <f t="shared" si="304"/>
        <v>4.2</v>
      </c>
      <c r="X566" s="20">
        <f>IFERROR(W566*H566,"-")</f>
        <v>8.4</v>
      </c>
      <c r="Z566" s="33">
        <v>45179</v>
      </c>
    </row>
    <row r="567" spans="1:26" ht="6.95" customHeight="1" x14ac:dyDescent="0.3">
      <c r="A567" s="5"/>
      <c r="B567" s="157"/>
      <c r="C567" s="158"/>
      <c r="D567" s="161"/>
      <c r="E567" s="162"/>
      <c r="F567" s="163"/>
      <c r="G567" s="164"/>
      <c r="H567" s="165"/>
      <c r="I567" s="164"/>
      <c r="J567" s="165"/>
      <c r="K567" s="164"/>
      <c r="L567" s="165"/>
      <c r="M567" s="6"/>
      <c r="N567" s="32"/>
      <c r="Q567" s="10" t="str">
        <f>+CONCATENATE(E566,I566)</f>
        <v>차열재마감</v>
      </c>
      <c r="R567" s="10">
        <f>+J566</f>
        <v>0</v>
      </c>
      <c r="S567" s="11"/>
      <c r="T567" s="10" t="str">
        <f>+E566</f>
        <v>차열재마감</v>
      </c>
      <c r="U567" s="19" t="str">
        <f>IFERROR(LEFT(I566,FIND("*",I566)-1),"-")</f>
        <v>-</v>
      </c>
      <c r="V567" s="19" t="str">
        <f>IFERROR(RIGHT(I566,LEN(I566)-FIND("*",I566)),"-")</f>
        <v>-</v>
      </c>
      <c r="W567" s="20" t="str">
        <f t="shared" si="304"/>
        <v>-</v>
      </c>
      <c r="X567" s="20" t="str">
        <f>IFERROR(W567*J566,"-")</f>
        <v>-</v>
      </c>
      <c r="Z567" s="33">
        <v>45179</v>
      </c>
    </row>
    <row r="568" spans="1:26" ht="6.95" customHeight="1" x14ac:dyDescent="0.3">
      <c r="A568" s="5"/>
      <c r="B568" s="157"/>
      <c r="C568" s="158"/>
      <c r="D568" s="161"/>
      <c r="E568" s="162"/>
      <c r="F568" s="163"/>
      <c r="G568" s="164"/>
      <c r="H568" s="165"/>
      <c r="I568" s="164"/>
      <c r="J568" s="165"/>
      <c r="K568" s="164"/>
      <c r="L568" s="165"/>
      <c r="M568" s="6"/>
      <c r="N568" s="32"/>
      <c r="Q568" s="10" t="str">
        <f>+CONCATENATE(E566,K566)</f>
        <v>차열재마감</v>
      </c>
      <c r="R568" s="10">
        <f>+L566</f>
        <v>0</v>
      </c>
      <c r="S568" s="11"/>
      <c r="T568" s="10" t="str">
        <f>+E566</f>
        <v>차열재마감</v>
      </c>
      <c r="U568" s="19" t="str">
        <f>IFERROR(LEFT(K566,FIND("*",K566)-1),"-")</f>
        <v>-</v>
      </c>
      <c r="V568" s="19" t="str">
        <f>IFERROR(RIGHT(K566,LEN(K566)-FIND("*",K566)),"-")</f>
        <v>-</v>
      </c>
      <c r="W568" s="20" t="str">
        <f t="shared" si="304"/>
        <v>-</v>
      </c>
      <c r="X568" s="20" t="str">
        <f>IFERROR(W568*L566,"-")</f>
        <v>-</v>
      </c>
      <c r="Z568" s="33">
        <v>45179</v>
      </c>
    </row>
    <row r="569" spans="1:26" ht="6.95" customHeight="1" x14ac:dyDescent="0.3">
      <c r="A569" s="8"/>
      <c r="B569" s="157"/>
      <c r="C569" s="158"/>
      <c r="D569" s="161" t="s">
        <v>39</v>
      </c>
      <c r="E569" s="162"/>
      <c r="F569" s="163" t="s">
        <v>40</v>
      </c>
      <c r="G569" s="164"/>
      <c r="H569" s="165"/>
      <c r="I569" s="164"/>
      <c r="J569" s="165"/>
      <c r="K569" s="164"/>
      <c r="L569" s="165"/>
      <c r="M569" s="6"/>
      <c r="N569" s="32"/>
      <c r="Q569" s="10" t="str">
        <f>+CONCATENATE(E569,G569)</f>
        <v/>
      </c>
      <c r="R569" s="10">
        <f>+H569</f>
        <v>0</v>
      </c>
      <c r="S569" s="11"/>
      <c r="T569" s="10">
        <f>+E569</f>
        <v>0</v>
      </c>
      <c r="U569" s="19" t="str">
        <f t="shared" ref="U569" si="307">IFERROR(LEFT(G569,FIND("*",G569)-1),"-")</f>
        <v>-</v>
      </c>
      <c r="V569" s="19" t="str">
        <f t="shared" ref="V569" si="308">IFERROR(RIGHT(G569,LEN(G569)-FIND("*",G569)),"-")</f>
        <v>-</v>
      </c>
      <c r="W569" s="20" t="str">
        <f t="shared" si="304"/>
        <v>-</v>
      </c>
      <c r="X569" s="20" t="str">
        <f>IFERROR(W569*H569,"-")</f>
        <v>-</v>
      </c>
      <c r="Z569" s="33">
        <v>45179</v>
      </c>
    </row>
    <row r="570" spans="1:26" ht="6.95" customHeight="1" x14ac:dyDescent="0.3">
      <c r="A570" s="5"/>
      <c r="B570" s="157"/>
      <c r="C570" s="158"/>
      <c r="D570" s="161"/>
      <c r="E570" s="162"/>
      <c r="F570" s="163"/>
      <c r="G570" s="164"/>
      <c r="H570" s="165"/>
      <c r="I570" s="164"/>
      <c r="J570" s="165"/>
      <c r="K570" s="164"/>
      <c r="L570" s="165"/>
      <c r="M570" s="6"/>
      <c r="N570" s="32"/>
      <c r="Q570" s="10" t="str">
        <f>+CONCATENATE(E569,I569)</f>
        <v/>
      </c>
      <c r="R570" s="10">
        <f>+J569</f>
        <v>0</v>
      </c>
      <c r="S570" s="11"/>
      <c r="T570" s="10">
        <f>+E569</f>
        <v>0</v>
      </c>
      <c r="U570" s="19" t="str">
        <f>IFERROR(LEFT(I569,FIND("*",I569)-1),"-")</f>
        <v>-</v>
      </c>
      <c r="V570" s="19" t="str">
        <f>IFERROR(RIGHT(I569,LEN(I569)-FIND("*",I569)),"-")</f>
        <v>-</v>
      </c>
      <c r="W570" s="20" t="str">
        <f t="shared" si="304"/>
        <v>-</v>
      </c>
      <c r="X570" s="20" t="str">
        <f t="shared" ref="X570" si="309">IFERROR(W570*J569,"-")</f>
        <v>-</v>
      </c>
      <c r="Z570" s="33">
        <v>45179</v>
      </c>
    </row>
    <row r="571" spans="1:26" ht="6.95" customHeight="1" x14ac:dyDescent="0.3">
      <c r="A571" s="5"/>
      <c r="B571" s="157"/>
      <c r="C571" s="158"/>
      <c r="D571" s="161"/>
      <c r="E571" s="162"/>
      <c r="F571" s="163"/>
      <c r="G571" s="164"/>
      <c r="H571" s="165"/>
      <c r="I571" s="164"/>
      <c r="J571" s="165"/>
      <c r="K571" s="164"/>
      <c r="L571" s="165"/>
      <c r="M571" s="6"/>
      <c r="N571" s="32"/>
      <c r="Q571" s="10" t="str">
        <f>+CONCATENATE(E569,K569)</f>
        <v/>
      </c>
      <c r="R571" s="10">
        <f>+L569</f>
        <v>0</v>
      </c>
      <c r="S571" s="11"/>
      <c r="T571" s="10">
        <f>+E569</f>
        <v>0</v>
      </c>
      <c r="U571" s="19" t="str">
        <f>IFERROR(LEFT(K569,FIND("*",K569)-1),"-")</f>
        <v>-</v>
      </c>
      <c r="V571" s="19" t="str">
        <f>IFERROR(RIGHT(K569,LEN(K569)-FIND("*",K569)),"-")</f>
        <v>-</v>
      </c>
      <c r="W571" s="20" t="str">
        <f t="shared" si="304"/>
        <v>-</v>
      </c>
      <c r="X571" s="20" t="str">
        <f>IFERROR(W571*L569,"-")</f>
        <v>-</v>
      </c>
      <c r="Z571" s="33">
        <v>45179</v>
      </c>
    </row>
    <row r="572" spans="1:26" ht="21" customHeight="1" thickBot="1" x14ac:dyDescent="0.35">
      <c r="A572" s="5"/>
      <c r="B572" s="159"/>
      <c r="C572" s="160"/>
      <c r="D572" s="166" t="s">
        <v>43</v>
      </c>
      <c r="E572" s="167"/>
      <c r="F572" s="167"/>
      <c r="G572" s="168" t="s">
        <v>237</v>
      </c>
      <c r="H572" s="168"/>
      <c r="I572" s="168"/>
      <c r="J572" s="168"/>
      <c r="K572" s="168"/>
      <c r="L572" s="168"/>
      <c r="M572" s="7"/>
      <c r="N572" s="32"/>
      <c r="Z572" s="33">
        <v>45179</v>
      </c>
    </row>
    <row r="573" spans="1:26" ht="9.9499999999999993" customHeight="1" thickBot="1" x14ac:dyDescent="0.35">
      <c r="B573" s="9"/>
      <c r="C573" s="109">
        <v>852</v>
      </c>
      <c r="D573" s="51"/>
      <c r="E573" s="12"/>
      <c r="F573" s="51"/>
      <c r="G573" s="14"/>
      <c r="H573" s="14"/>
      <c r="I573" s="14"/>
      <c r="J573" s="14"/>
      <c r="K573" s="14"/>
      <c r="L573" s="14"/>
      <c r="M573" s="9"/>
      <c r="N573" s="32"/>
      <c r="U573" s="18"/>
      <c r="V573" s="18"/>
      <c r="Z573" s="33">
        <v>45179</v>
      </c>
    </row>
    <row r="574" spans="1:26" ht="6.95" customHeight="1" x14ac:dyDescent="0.3">
      <c r="A574" s="154">
        <f>+A563+1</f>
        <v>853</v>
      </c>
      <c r="B574" s="155"/>
      <c r="C574" s="156"/>
      <c r="D574" s="161" t="s">
        <v>39</v>
      </c>
      <c r="E574" s="162" t="s">
        <v>222</v>
      </c>
      <c r="F574" s="163" t="s">
        <v>40</v>
      </c>
      <c r="G574" s="164" t="s">
        <v>248</v>
      </c>
      <c r="H574" s="165">
        <v>1</v>
      </c>
      <c r="I574" s="164"/>
      <c r="J574" s="165"/>
      <c r="K574" s="164"/>
      <c r="L574" s="165"/>
      <c r="M574" s="6"/>
      <c r="N574" s="32"/>
      <c r="Q574" s="10" t="str">
        <f>+CONCATENATE(E574,G574)</f>
        <v>보온덕트벽체1600*500</v>
      </c>
      <c r="R574" s="10">
        <f>+H574</f>
        <v>1</v>
      </c>
      <c r="S574" s="11"/>
      <c r="T574" s="10" t="str">
        <f>+E574</f>
        <v>보온덕트벽체</v>
      </c>
      <c r="U574" s="19" t="str">
        <f>IFERROR(LEFT(G574,FIND("*",G574)-1),"-")</f>
        <v>1600</v>
      </c>
      <c r="V574" s="19" t="str">
        <f>IFERROR(RIGHT(G574,LEN(G574)-FIND("*",G574)),"-")</f>
        <v>500</v>
      </c>
      <c r="W574" s="20">
        <f>IFERROR((U574+V574)*2/1000,"-")</f>
        <v>4.2</v>
      </c>
      <c r="X574" s="20">
        <f>IFERROR(W574*H574,"-")</f>
        <v>4.2</v>
      </c>
      <c r="Z574" s="33">
        <v>45179</v>
      </c>
    </row>
    <row r="575" spans="1:26" ht="6.95" customHeight="1" x14ac:dyDescent="0.3">
      <c r="A575" s="154"/>
      <c r="B575" s="157"/>
      <c r="C575" s="158"/>
      <c r="D575" s="161"/>
      <c r="E575" s="162"/>
      <c r="F575" s="163"/>
      <c r="G575" s="164"/>
      <c r="H575" s="165"/>
      <c r="I575" s="164"/>
      <c r="J575" s="165"/>
      <c r="K575" s="164"/>
      <c r="L575" s="165"/>
      <c r="M575" s="6"/>
      <c r="N575" s="32"/>
      <c r="Q575" s="10" t="str">
        <f>+CONCATENATE(E574,I574)</f>
        <v>보온덕트벽체</v>
      </c>
      <c r="R575" s="10">
        <f>+J574</f>
        <v>0</v>
      </c>
      <c r="S575" s="11"/>
      <c r="T575" s="10" t="str">
        <f>+E574</f>
        <v>보온덕트벽체</v>
      </c>
      <c r="U575" s="19" t="str">
        <f>IFERROR(LEFT(I574,FIND("*",I574)-1),"-")</f>
        <v>-</v>
      </c>
      <c r="V575" s="19" t="str">
        <f>IFERROR(RIGHT(I574,LEN(I574)-FIND("*",I574)),"-")</f>
        <v>-</v>
      </c>
      <c r="W575" s="20" t="str">
        <f t="shared" ref="W575:W582" si="310">IFERROR((U575+V575)*2/1000,"-")</f>
        <v>-</v>
      </c>
      <c r="X575" s="20" t="str">
        <f>IFERROR(W575*J574,"-")</f>
        <v>-</v>
      </c>
      <c r="Z575" s="33">
        <v>45179</v>
      </c>
    </row>
    <row r="576" spans="1:26" ht="6.95" customHeight="1" x14ac:dyDescent="0.3">
      <c r="A576" s="154"/>
      <c r="B576" s="157"/>
      <c r="C576" s="158"/>
      <c r="D576" s="161"/>
      <c r="E576" s="162"/>
      <c r="F576" s="163"/>
      <c r="G576" s="164"/>
      <c r="H576" s="165"/>
      <c r="I576" s="164"/>
      <c r="J576" s="165"/>
      <c r="K576" s="164"/>
      <c r="L576" s="165"/>
      <c r="M576" s="6"/>
      <c r="N576" s="32"/>
      <c r="Q576" s="10" t="str">
        <f>+CONCATENATE(E574,K574)</f>
        <v>보온덕트벽체</v>
      </c>
      <c r="R576" s="10">
        <f>+L574</f>
        <v>0</v>
      </c>
      <c r="S576" s="11"/>
      <c r="T576" s="10" t="str">
        <f>+E574</f>
        <v>보온덕트벽체</v>
      </c>
      <c r="U576" s="19" t="str">
        <f>IFERROR(LEFT(K574,FIND("*",K574)-1),"-")</f>
        <v>-</v>
      </c>
      <c r="V576" s="19" t="str">
        <f>IFERROR(RIGHT(K574,LEN(K574)-FIND("*",K574)),"-")</f>
        <v>-</v>
      </c>
      <c r="W576" s="20" t="str">
        <f t="shared" si="310"/>
        <v>-</v>
      </c>
      <c r="X576" s="20" t="str">
        <f>IFERROR(W576*L574,"-")</f>
        <v>-</v>
      </c>
      <c r="Z576" s="33">
        <v>45179</v>
      </c>
    </row>
    <row r="577" spans="1:26" ht="6.95" customHeight="1" x14ac:dyDescent="0.3">
      <c r="A577" s="8"/>
      <c r="B577" s="157"/>
      <c r="C577" s="158"/>
      <c r="D577" s="161" t="s">
        <v>39</v>
      </c>
      <c r="E577" s="162" t="s">
        <v>66</v>
      </c>
      <c r="F577" s="163" t="s">
        <v>40</v>
      </c>
      <c r="G577" s="164" t="s">
        <v>248</v>
      </c>
      <c r="H577" s="165">
        <v>2</v>
      </c>
      <c r="I577" s="164"/>
      <c r="J577" s="165"/>
      <c r="K577" s="164"/>
      <c r="L577" s="165"/>
      <c r="M577" s="6"/>
      <c r="N577" s="32"/>
      <c r="Q577" s="10" t="str">
        <f>+CONCATENATE(E577,G577)</f>
        <v>차열재마감1600*500</v>
      </c>
      <c r="R577" s="10">
        <f>+H577</f>
        <v>2</v>
      </c>
      <c r="S577" s="11"/>
      <c r="T577" s="10" t="str">
        <f>+E577</f>
        <v>차열재마감</v>
      </c>
      <c r="U577" s="19" t="str">
        <f t="shared" ref="U577" si="311">IFERROR(LEFT(G577,FIND("*",G577)-1),"-")</f>
        <v>1600</v>
      </c>
      <c r="V577" s="19" t="str">
        <f t="shared" ref="V577" si="312">IFERROR(RIGHT(G577,LEN(G577)-FIND("*",G577)),"-")</f>
        <v>500</v>
      </c>
      <c r="W577" s="20">
        <f t="shared" si="310"/>
        <v>4.2</v>
      </c>
      <c r="X577" s="20">
        <f>IFERROR(W577*H577,"-")</f>
        <v>8.4</v>
      </c>
      <c r="Z577" s="33">
        <v>45179</v>
      </c>
    </row>
    <row r="578" spans="1:26" ht="6.95" customHeight="1" x14ac:dyDescent="0.3">
      <c r="A578" s="5"/>
      <c r="B578" s="157"/>
      <c r="C578" s="158"/>
      <c r="D578" s="161"/>
      <c r="E578" s="162"/>
      <c r="F578" s="163"/>
      <c r="G578" s="164"/>
      <c r="H578" s="165"/>
      <c r="I578" s="164"/>
      <c r="J578" s="165"/>
      <c r="K578" s="164"/>
      <c r="L578" s="165"/>
      <c r="M578" s="6"/>
      <c r="N578" s="32"/>
      <c r="Q578" s="10" t="str">
        <f>+CONCATENATE(E577,I577)</f>
        <v>차열재마감</v>
      </c>
      <c r="R578" s="10">
        <f>+J577</f>
        <v>0</v>
      </c>
      <c r="S578" s="11"/>
      <c r="T578" s="10" t="str">
        <f>+E577</f>
        <v>차열재마감</v>
      </c>
      <c r="U578" s="19" t="str">
        <f>IFERROR(LEFT(I577,FIND("*",I577)-1),"-")</f>
        <v>-</v>
      </c>
      <c r="V578" s="19" t="str">
        <f>IFERROR(RIGHT(I577,LEN(I577)-FIND("*",I577)),"-")</f>
        <v>-</v>
      </c>
      <c r="W578" s="20" t="str">
        <f t="shared" si="310"/>
        <v>-</v>
      </c>
      <c r="X578" s="20" t="str">
        <f>IFERROR(W578*J577,"-")</f>
        <v>-</v>
      </c>
      <c r="Z578" s="33">
        <v>45179</v>
      </c>
    </row>
    <row r="579" spans="1:26" ht="6.95" customHeight="1" x14ac:dyDescent="0.3">
      <c r="A579" s="5"/>
      <c r="B579" s="157"/>
      <c r="C579" s="158"/>
      <c r="D579" s="161"/>
      <c r="E579" s="162"/>
      <c r="F579" s="163"/>
      <c r="G579" s="164"/>
      <c r="H579" s="165"/>
      <c r="I579" s="164"/>
      <c r="J579" s="165"/>
      <c r="K579" s="164"/>
      <c r="L579" s="165"/>
      <c r="M579" s="6"/>
      <c r="N579" s="32"/>
      <c r="Q579" s="10" t="str">
        <f>+CONCATENATE(E577,K577)</f>
        <v>차열재마감</v>
      </c>
      <c r="R579" s="10">
        <f>+L577</f>
        <v>0</v>
      </c>
      <c r="S579" s="11"/>
      <c r="T579" s="10" t="str">
        <f>+E577</f>
        <v>차열재마감</v>
      </c>
      <c r="U579" s="19" t="str">
        <f>IFERROR(LEFT(K577,FIND("*",K577)-1),"-")</f>
        <v>-</v>
      </c>
      <c r="V579" s="19" t="str">
        <f>IFERROR(RIGHT(K577,LEN(K577)-FIND("*",K577)),"-")</f>
        <v>-</v>
      </c>
      <c r="W579" s="20" t="str">
        <f t="shared" si="310"/>
        <v>-</v>
      </c>
      <c r="X579" s="20" t="str">
        <f>IFERROR(W579*L577,"-")</f>
        <v>-</v>
      </c>
      <c r="Z579" s="33">
        <v>45179</v>
      </c>
    </row>
    <row r="580" spans="1:26" ht="6.95" customHeight="1" x14ac:dyDescent="0.3">
      <c r="A580" s="8"/>
      <c r="B580" s="157"/>
      <c r="C580" s="158"/>
      <c r="D580" s="161" t="s">
        <v>39</v>
      </c>
      <c r="E580" s="162"/>
      <c r="F580" s="163" t="s">
        <v>40</v>
      </c>
      <c r="G580" s="164"/>
      <c r="H580" s="165"/>
      <c r="I580" s="164"/>
      <c r="J580" s="165"/>
      <c r="K580" s="164"/>
      <c r="L580" s="165"/>
      <c r="M580" s="6"/>
      <c r="N580" s="32"/>
      <c r="Q580" s="10" t="str">
        <f>+CONCATENATE(E580,G580)</f>
        <v/>
      </c>
      <c r="R580" s="10">
        <f>+H580</f>
        <v>0</v>
      </c>
      <c r="S580" s="11"/>
      <c r="T580" s="10">
        <f>+E580</f>
        <v>0</v>
      </c>
      <c r="U580" s="19" t="str">
        <f t="shared" ref="U580" si="313">IFERROR(LEFT(G580,FIND("*",G580)-1),"-")</f>
        <v>-</v>
      </c>
      <c r="V580" s="19" t="str">
        <f t="shared" ref="V580" si="314">IFERROR(RIGHT(G580,LEN(G580)-FIND("*",G580)),"-")</f>
        <v>-</v>
      </c>
      <c r="W580" s="20" t="str">
        <f t="shared" si="310"/>
        <v>-</v>
      </c>
      <c r="X580" s="20" t="str">
        <f>IFERROR(W580*H580,"-")</f>
        <v>-</v>
      </c>
      <c r="Z580" s="33">
        <v>45179</v>
      </c>
    </row>
    <row r="581" spans="1:26" ht="6.95" customHeight="1" x14ac:dyDescent="0.3">
      <c r="A581" s="5"/>
      <c r="B581" s="157"/>
      <c r="C581" s="158"/>
      <c r="D581" s="161"/>
      <c r="E581" s="162"/>
      <c r="F581" s="163"/>
      <c r="G581" s="164"/>
      <c r="H581" s="165"/>
      <c r="I581" s="164"/>
      <c r="J581" s="165"/>
      <c r="K581" s="164"/>
      <c r="L581" s="165"/>
      <c r="M581" s="6"/>
      <c r="N581" s="32"/>
      <c r="Q581" s="10" t="str">
        <f>+CONCATENATE(E580,I580)</f>
        <v/>
      </c>
      <c r="R581" s="10">
        <f>+J580</f>
        <v>0</v>
      </c>
      <c r="S581" s="11"/>
      <c r="T581" s="10">
        <f>+E580</f>
        <v>0</v>
      </c>
      <c r="U581" s="19" t="str">
        <f>IFERROR(LEFT(I580,FIND("*",I580)-1),"-")</f>
        <v>-</v>
      </c>
      <c r="V581" s="19" t="str">
        <f>IFERROR(RIGHT(I580,LEN(I580)-FIND("*",I580)),"-")</f>
        <v>-</v>
      </c>
      <c r="W581" s="20" t="str">
        <f t="shared" si="310"/>
        <v>-</v>
      </c>
      <c r="X581" s="20" t="str">
        <f t="shared" ref="X581" si="315">IFERROR(W581*J580,"-")</f>
        <v>-</v>
      </c>
      <c r="Z581" s="33">
        <v>45179</v>
      </c>
    </row>
    <row r="582" spans="1:26" ht="6.95" customHeight="1" x14ac:dyDescent="0.3">
      <c r="A582" s="5"/>
      <c r="B582" s="157"/>
      <c r="C582" s="158"/>
      <c r="D582" s="161"/>
      <c r="E582" s="162"/>
      <c r="F582" s="163"/>
      <c r="G582" s="164"/>
      <c r="H582" s="165"/>
      <c r="I582" s="164"/>
      <c r="J582" s="165"/>
      <c r="K582" s="164"/>
      <c r="L582" s="165"/>
      <c r="M582" s="6"/>
      <c r="N582" s="32"/>
      <c r="Q582" s="10" t="str">
        <f>+CONCATENATE(E580,K580)</f>
        <v/>
      </c>
      <c r="R582" s="10">
        <f>+L580</f>
        <v>0</v>
      </c>
      <c r="S582" s="11"/>
      <c r="T582" s="10">
        <f>+E580</f>
        <v>0</v>
      </c>
      <c r="U582" s="19" t="str">
        <f>IFERROR(LEFT(K580,FIND("*",K580)-1),"-")</f>
        <v>-</v>
      </c>
      <c r="V582" s="19" t="str">
        <f>IFERROR(RIGHT(K580,LEN(K580)-FIND("*",K580)),"-")</f>
        <v>-</v>
      </c>
      <c r="W582" s="20" t="str">
        <f t="shared" si="310"/>
        <v>-</v>
      </c>
      <c r="X582" s="20" t="str">
        <f>IFERROR(W582*L580,"-")</f>
        <v>-</v>
      </c>
      <c r="Z582" s="33">
        <v>45179</v>
      </c>
    </row>
    <row r="583" spans="1:26" ht="21" customHeight="1" thickBot="1" x14ac:dyDescent="0.35">
      <c r="A583" s="5"/>
      <c r="B583" s="159"/>
      <c r="C583" s="160"/>
      <c r="D583" s="166" t="s">
        <v>43</v>
      </c>
      <c r="E583" s="167"/>
      <c r="F583" s="167"/>
      <c r="G583" s="168" t="s">
        <v>237</v>
      </c>
      <c r="H583" s="168"/>
      <c r="I583" s="168"/>
      <c r="J583" s="168"/>
      <c r="K583" s="168"/>
      <c r="L583" s="168"/>
      <c r="M583" s="7"/>
      <c r="N583" s="32"/>
      <c r="Z583" s="33">
        <v>45179</v>
      </c>
    </row>
    <row r="584" spans="1:26" ht="9.9499999999999993" customHeight="1" thickBot="1" x14ac:dyDescent="0.35">
      <c r="B584" s="9"/>
      <c r="C584" s="109">
        <v>853</v>
      </c>
      <c r="D584" s="51"/>
      <c r="E584" s="12"/>
      <c r="F584" s="51"/>
      <c r="G584" s="14"/>
      <c r="H584" s="14"/>
      <c r="I584" s="14"/>
      <c r="J584" s="14"/>
      <c r="K584" s="14"/>
      <c r="L584" s="14"/>
      <c r="M584" s="9"/>
      <c r="N584" s="32"/>
      <c r="U584" s="18"/>
      <c r="V584" s="18"/>
      <c r="Z584" s="33">
        <v>45179</v>
      </c>
    </row>
    <row r="585" spans="1:26" ht="6.95" customHeight="1" x14ac:dyDescent="0.3">
      <c r="A585" s="154">
        <f>+A574+1</f>
        <v>854</v>
      </c>
      <c r="B585" s="155"/>
      <c r="C585" s="156"/>
      <c r="D585" s="161" t="s">
        <v>39</v>
      </c>
      <c r="E585" s="162" t="s">
        <v>222</v>
      </c>
      <c r="F585" s="163" t="s">
        <v>40</v>
      </c>
      <c r="G585" s="164" t="s">
        <v>248</v>
      </c>
      <c r="H585" s="165">
        <v>1</v>
      </c>
      <c r="I585" s="164"/>
      <c r="J585" s="165"/>
      <c r="K585" s="164"/>
      <c r="L585" s="165"/>
      <c r="M585" s="6"/>
      <c r="N585" s="32"/>
      <c r="Q585" s="10" t="str">
        <f>+CONCATENATE(E585,G585)</f>
        <v>보온덕트벽체1600*500</v>
      </c>
      <c r="R585" s="10">
        <f>+H585</f>
        <v>1</v>
      </c>
      <c r="S585" s="11"/>
      <c r="T585" s="10" t="str">
        <f>+E585</f>
        <v>보온덕트벽체</v>
      </c>
      <c r="U585" s="19" t="str">
        <f>IFERROR(LEFT(G585,FIND("*",G585)-1),"-")</f>
        <v>1600</v>
      </c>
      <c r="V585" s="19" t="str">
        <f>IFERROR(RIGHT(G585,LEN(G585)-FIND("*",G585)),"-")</f>
        <v>500</v>
      </c>
      <c r="W585" s="20">
        <f>IFERROR((U585+V585)*2/1000,"-")</f>
        <v>4.2</v>
      </c>
      <c r="X585" s="20">
        <f>IFERROR(W585*H585,"-")</f>
        <v>4.2</v>
      </c>
      <c r="Z585" s="33">
        <v>45179</v>
      </c>
    </row>
    <row r="586" spans="1:26" ht="6.95" customHeight="1" x14ac:dyDescent="0.3">
      <c r="A586" s="154"/>
      <c r="B586" s="157"/>
      <c r="C586" s="158"/>
      <c r="D586" s="161"/>
      <c r="E586" s="162"/>
      <c r="F586" s="163"/>
      <c r="G586" s="164"/>
      <c r="H586" s="165"/>
      <c r="I586" s="164"/>
      <c r="J586" s="165"/>
      <c r="K586" s="164"/>
      <c r="L586" s="165"/>
      <c r="M586" s="6"/>
      <c r="N586" s="32"/>
      <c r="Q586" s="10" t="str">
        <f>+CONCATENATE(E585,I585)</f>
        <v>보온덕트벽체</v>
      </c>
      <c r="R586" s="10">
        <f>+J585</f>
        <v>0</v>
      </c>
      <c r="S586" s="11"/>
      <c r="T586" s="10" t="str">
        <f>+E585</f>
        <v>보온덕트벽체</v>
      </c>
      <c r="U586" s="19" t="str">
        <f>IFERROR(LEFT(I585,FIND("*",I585)-1),"-")</f>
        <v>-</v>
      </c>
      <c r="V586" s="19" t="str">
        <f>IFERROR(RIGHT(I585,LEN(I585)-FIND("*",I585)),"-")</f>
        <v>-</v>
      </c>
      <c r="W586" s="20" t="str">
        <f t="shared" ref="W586:W593" si="316">IFERROR((U586+V586)*2/1000,"-")</f>
        <v>-</v>
      </c>
      <c r="X586" s="20" t="str">
        <f>IFERROR(W586*J585,"-")</f>
        <v>-</v>
      </c>
      <c r="Z586" s="33">
        <v>45179</v>
      </c>
    </row>
    <row r="587" spans="1:26" ht="6.95" customHeight="1" x14ac:dyDescent="0.3">
      <c r="A587" s="154"/>
      <c r="B587" s="157"/>
      <c r="C587" s="158"/>
      <c r="D587" s="161"/>
      <c r="E587" s="162"/>
      <c r="F587" s="163"/>
      <c r="G587" s="164"/>
      <c r="H587" s="165"/>
      <c r="I587" s="164"/>
      <c r="J587" s="165"/>
      <c r="K587" s="164"/>
      <c r="L587" s="165"/>
      <c r="M587" s="6"/>
      <c r="N587" s="32"/>
      <c r="Q587" s="10" t="str">
        <f>+CONCATENATE(E585,K585)</f>
        <v>보온덕트벽체</v>
      </c>
      <c r="R587" s="10">
        <f>+L585</f>
        <v>0</v>
      </c>
      <c r="S587" s="11"/>
      <c r="T587" s="10" t="str">
        <f>+E585</f>
        <v>보온덕트벽체</v>
      </c>
      <c r="U587" s="19" t="str">
        <f>IFERROR(LEFT(K585,FIND("*",K585)-1),"-")</f>
        <v>-</v>
      </c>
      <c r="V587" s="19" t="str">
        <f>IFERROR(RIGHT(K585,LEN(K585)-FIND("*",K585)),"-")</f>
        <v>-</v>
      </c>
      <c r="W587" s="20" t="str">
        <f t="shared" si="316"/>
        <v>-</v>
      </c>
      <c r="X587" s="20" t="str">
        <f>IFERROR(W587*L585,"-")</f>
        <v>-</v>
      </c>
      <c r="Z587" s="33">
        <v>45179</v>
      </c>
    </row>
    <row r="588" spans="1:26" ht="6.95" customHeight="1" x14ac:dyDescent="0.3">
      <c r="A588" s="8"/>
      <c r="B588" s="157"/>
      <c r="C588" s="158"/>
      <c r="D588" s="161" t="s">
        <v>39</v>
      </c>
      <c r="E588" s="162" t="s">
        <v>66</v>
      </c>
      <c r="F588" s="163" t="s">
        <v>40</v>
      </c>
      <c r="G588" s="164" t="s">
        <v>248</v>
      </c>
      <c r="H588" s="165">
        <v>2</v>
      </c>
      <c r="I588" s="164"/>
      <c r="J588" s="165"/>
      <c r="K588" s="164"/>
      <c r="L588" s="165"/>
      <c r="M588" s="6"/>
      <c r="N588" s="32"/>
      <c r="Q588" s="10" t="str">
        <f>+CONCATENATE(E588,G588)</f>
        <v>차열재마감1600*500</v>
      </c>
      <c r="R588" s="10">
        <f>+H588</f>
        <v>2</v>
      </c>
      <c r="S588" s="11"/>
      <c r="T588" s="10" t="str">
        <f>+E588</f>
        <v>차열재마감</v>
      </c>
      <c r="U588" s="19" t="str">
        <f t="shared" ref="U588" si="317">IFERROR(LEFT(G588,FIND("*",G588)-1),"-")</f>
        <v>1600</v>
      </c>
      <c r="V588" s="19" t="str">
        <f t="shared" ref="V588" si="318">IFERROR(RIGHT(G588,LEN(G588)-FIND("*",G588)),"-")</f>
        <v>500</v>
      </c>
      <c r="W588" s="20">
        <f t="shared" si="316"/>
        <v>4.2</v>
      </c>
      <c r="X588" s="20">
        <f>IFERROR(W588*H588,"-")</f>
        <v>8.4</v>
      </c>
      <c r="Z588" s="33">
        <v>45179</v>
      </c>
    </row>
    <row r="589" spans="1:26" ht="6.95" customHeight="1" x14ac:dyDescent="0.3">
      <c r="A589" s="5"/>
      <c r="B589" s="157"/>
      <c r="C589" s="158"/>
      <c r="D589" s="161"/>
      <c r="E589" s="162"/>
      <c r="F589" s="163"/>
      <c r="G589" s="164"/>
      <c r="H589" s="165"/>
      <c r="I589" s="164"/>
      <c r="J589" s="165"/>
      <c r="K589" s="164"/>
      <c r="L589" s="165"/>
      <c r="M589" s="6"/>
      <c r="N589" s="32"/>
      <c r="Q589" s="10" t="str">
        <f>+CONCATENATE(E588,I588)</f>
        <v>차열재마감</v>
      </c>
      <c r="R589" s="10">
        <f>+J588</f>
        <v>0</v>
      </c>
      <c r="S589" s="11"/>
      <c r="T589" s="10" t="str">
        <f>+E588</f>
        <v>차열재마감</v>
      </c>
      <c r="U589" s="19" t="str">
        <f>IFERROR(LEFT(I588,FIND("*",I588)-1),"-")</f>
        <v>-</v>
      </c>
      <c r="V589" s="19" t="str">
        <f>IFERROR(RIGHT(I588,LEN(I588)-FIND("*",I588)),"-")</f>
        <v>-</v>
      </c>
      <c r="W589" s="20" t="str">
        <f t="shared" si="316"/>
        <v>-</v>
      </c>
      <c r="X589" s="20" t="str">
        <f>IFERROR(W589*J588,"-")</f>
        <v>-</v>
      </c>
      <c r="Z589" s="33">
        <v>45179</v>
      </c>
    </row>
    <row r="590" spans="1:26" ht="6.95" customHeight="1" x14ac:dyDescent="0.3">
      <c r="A590" s="5"/>
      <c r="B590" s="157"/>
      <c r="C590" s="158"/>
      <c r="D590" s="161"/>
      <c r="E590" s="162"/>
      <c r="F590" s="163"/>
      <c r="G590" s="164"/>
      <c r="H590" s="165"/>
      <c r="I590" s="164"/>
      <c r="J590" s="165"/>
      <c r="K590" s="164"/>
      <c r="L590" s="165"/>
      <c r="M590" s="6"/>
      <c r="N590" s="32"/>
      <c r="Q590" s="10" t="str">
        <f>+CONCATENATE(E588,K588)</f>
        <v>차열재마감</v>
      </c>
      <c r="R590" s="10">
        <f>+L588</f>
        <v>0</v>
      </c>
      <c r="S590" s="11"/>
      <c r="T590" s="10" t="str">
        <f>+E588</f>
        <v>차열재마감</v>
      </c>
      <c r="U590" s="19" t="str">
        <f>IFERROR(LEFT(K588,FIND("*",K588)-1),"-")</f>
        <v>-</v>
      </c>
      <c r="V590" s="19" t="str">
        <f>IFERROR(RIGHT(K588,LEN(K588)-FIND("*",K588)),"-")</f>
        <v>-</v>
      </c>
      <c r="W590" s="20" t="str">
        <f t="shared" si="316"/>
        <v>-</v>
      </c>
      <c r="X590" s="20" t="str">
        <f>IFERROR(W590*L588,"-")</f>
        <v>-</v>
      </c>
      <c r="Z590" s="33">
        <v>45179</v>
      </c>
    </row>
    <row r="591" spans="1:26" ht="6.95" customHeight="1" x14ac:dyDescent="0.3">
      <c r="A591" s="8"/>
      <c r="B591" s="157"/>
      <c r="C591" s="158"/>
      <c r="D591" s="161" t="s">
        <v>39</v>
      </c>
      <c r="E591" s="162"/>
      <c r="F591" s="163" t="s">
        <v>40</v>
      </c>
      <c r="G591" s="164"/>
      <c r="H591" s="165"/>
      <c r="I591" s="164"/>
      <c r="J591" s="165"/>
      <c r="K591" s="164"/>
      <c r="L591" s="165"/>
      <c r="M591" s="6"/>
      <c r="N591" s="32"/>
      <c r="Q591" s="10" t="str">
        <f>+CONCATENATE(E591,G591)</f>
        <v/>
      </c>
      <c r="R591" s="10">
        <f>+H591</f>
        <v>0</v>
      </c>
      <c r="S591" s="11"/>
      <c r="T591" s="10">
        <f>+E591</f>
        <v>0</v>
      </c>
      <c r="U591" s="19" t="str">
        <f t="shared" ref="U591" si="319">IFERROR(LEFT(G591,FIND("*",G591)-1),"-")</f>
        <v>-</v>
      </c>
      <c r="V591" s="19" t="str">
        <f t="shared" ref="V591" si="320">IFERROR(RIGHT(G591,LEN(G591)-FIND("*",G591)),"-")</f>
        <v>-</v>
      </c>
      <c r="W591" s="20" t="str">
        <f t="shared" si="316"/>
        <v>-</v>
      </c>
      <c r="X591" s="20" t="str">
        <f>IFERROR(W591*H591,"-")</f>
        <v>-</v>
      </c>
      <c r="Z591" s="33">
        <v>45179</v>
      </c>
    </row>
    <row r="592" spans="1:26" ht="6.95" customHeight="1" x14ac:dyDescent="0.3">
      <c r="A592" s="5"/>
      <c r="B592" s="157"/>
      <c r="C592" s="158"/>
      <c r="D592" s="161"/>
      <c r="E592" s="162"/>
      <c r="F592" s="163"/>
      <c r="G592" s="164"/>
      <c r="H592" s="165"/>
      <c r="I592" s="164"/>
      <c r="J592" s="165"/>
      <c r="K592" s="164"/>
      <c r="L592" s="165"/>
      <c r="M592" s="6"/>
      <c r="N592" s="32"/>
      <c r="Q592" s="10" t="str">
        <f>+CONCATENATE(E591,I591)</f>
        <v/>
      </c>
      <c r="R592" s="10">
        <f>+J591</f>
        <v>0</v>
      </c>
      <c r="S592" s="11"/>
      <c r="T592" s="10">
        <f>+E591</f>
        <v>0</v>
      </c>
      <c r="U592" s="19" t="str">
        <f>IFERROR(LEFT(I591,FIND("*",I591)-1),"-")</f>
        <v>-</v>
      </c>
      <c r="V592" s="19" t="str">
        <f>IFERROR(RIGHT(I591,LEN(I591)-FIND("*",I591)),"-")</f>
        <v>-</v>
      </c>
      <c r="W592" s="20" t="str">
        <f t="shared" si="316"/>
        <v>-</v>
      </c>
      <c r="X592" s="20" t="str">
        <f t="shared" ref="X592" si="321">IFERROR(W592*J591,"-")</f>
        <v>-</v>
      </c>
      <c r="Z592" s="33">
        <v>45179</v>
      </c>
    </row>
    <row r="593" spans="1:26" ht="6.95" customHeight="1" x14ac:dyDescent="0.3">
      <c r="A593" s="5"/>
      <c r="B593" s="157"/>
      <c r="C593" s="158"/>
      <c r="D593" s="161"/>
      <c r="E593" s="162"/>
      <c r="F593" s="163"/>
      <c r="G593" s="164"/>
      <c r="H593" s="165"/>
      <c r="I593" s="164"/>
      <c r="J593" s="165"/>
      <c r="K593" s="164"/>
      <c r="L593" s="165"/>
      <c r="M593" s="6"/>
      <c r="N593" s="32"/>
      <c r="Q593" s="10" t="str">
        <f>+CONCATENATE(E591,K591)</f>
        <v/>
      </c>
      <c r="R593" s="10">
        <f>+L591</f>
        <v>0</v>
      </c>
      <c r="S593" s="11"/>
      <c r="T593" s="10">
        <f>+E591</f>
        <v>0</v>
      </c>
      <c r="U593" s="19" t="str">
        <f>IFERROR(LEFT(K591,FIND("*",K591)-1),"-")</f>
        <v>-</v>
      </c>
      <c r="V593" s="19" t="str">
        <f>IFERROR(RIGHT(K591,LEN(K591)-FIND("*",K591)),"-")</f>
        <v>-</v>
      </c>
      <c r="W593" s="20" t="str">
        <f t="shared" si="316"/>
        <v>-</v>
      </c>
      <c r="X593" s="20" t="str">
        <f>IFERROR(W593*L591,"-")</f>
        <v>-</v>
      </c>
      <c r="Z593" s="33">
        <v>45179</v>
      </c>
    </row>
    <row r="594" spans="1:26" ht="21" customHeight="1" thickBot="1" x14ac:dyDescent="0.35">
      <c r="A594" s="5"/>
      <c r="B594" s="159"/>
      <c r="C594" s="160"/>
      <c r="D594" s="166" t="s">
        <v>43</v>
      </c>
      <c r="E594" s="167"/>
      <c r="F594" s="167"/>
      <c r="G594" s="168" t="s">
        <v>237</v>
      </c>
      <c r="H594" s="168"/>
      <c r="I594" s="168"/>
      <c r="J594" s="168"/>
      <c r="K594" s="168"/>
      <c r="L594" s="168"/>
      <c r="M594" s="7"/>
      <c r="N594" s="32"/>
      <c r="Z594" s="33">
        <v>45179</v>
      </c>
    </row>
    <row r="595" spans="1:26" ht="9.9499999999999993" customHeight="1" thickBot="1" x14ac:dyDescent="0.35">
      <c r="B595" s="9"/>
      <c r="C595" s="109">
        <v>854</v>
      </c>
      <c r="D595" s="51"/>
      <c r="E595" s="12"/>
      <c r="F595" s="51"/>
      <c r="G595" s="14"/>
      <c r="H595" s="14"/>
      <c r="I595" s="14"/>
      <c r="J595" s="14"/>
      <c r="K595" s="14"/>
      <c r="L595" s="14"/>
      <c r="M595" s="9"/>
      <c r="N595" s="32"/>
      <c r="U595" s="18"/>
      <c r="V595" s="18"/>
      <c r="Z595" s="33">
        <v>45179</v>
      </c>
    </row>
    <row r="596" spans="1:26" ht="6.95" customHeight="1" x14ac:dyDescent="0.3">
      <c r="A596" s="154">
        <f>+A585+1</f>
        <v>855</v>
      </c>
      <c r="B596" s="155"/>
      <c r="C596" s="156"/>
      <c r="D596" s="161" t="s">
        <v>39</v>
      </c>
      <c r="E596" s="162" t="s">
        <v>226</v>
      </c>
      <c r="F596" s="163" t="s">
        <v>40</v>
      </c>
      <c r="G596" s="164" t="s">
        <v>249</v>
      </c>
      <c r="H596" s="165">
        <v>1</v>
      </c>
      <c r="I596" s="164"/>
      <c r="J596" s="165"/>
      <c r="K596" s="164"/>
      <c r="L596" s="165"/>
      <c r="M596" s="6"/>
      <c r="N596" s="32"/>
      <c r="Q596" s="10" t="str">
        <f>+CONCATENATE(E596,G596)</f>
        <v>무보온덕트벽체2100*600</v>
      </c>
      <c r="R596" s="10">
        <f>+H596</f>
        <v>1</v>
      </c>
      <c r="S596" s="11"/>
      <c r="T596" s="10" t="str">
        <f>+E596</f>
        <v>무보온덕트벽체</v>
      </c>
      <c r="U596" s="19" t="str">
        <f>IFERROR(LEFT(G596,FIND("*",G596)-1),"-")</f>
        <v>2100</v>
      </c>
      <c r="V596" s="19" t="str">
        <f>IFERROR(RIGHT(G596,LEN(G596)-FIND("*",G596)),"-")</f>
        <v>600</v>
      </c>
      <c r="W596" s="20">
        <f>IFERROR((U596+V596)*2/1000,"-")</f>
        <v>5.4</v>
      </c>
      <c r="X596" s="20">
        <f>IFERROR(W596*H596,"-")</f>
        <v>5.4</v>
      </c>
      <c r="Z596" s="33">
        <v>45179</v>
      </c>
    </row>
    <row r="597" spans="1:26" ht="6.95" customHeight="1" x14ac:dyDescent="0.3">
      <c r="A597" s="154"/>
      <c r="B597" s="157"/>
      <c r="C597" s="158"/>
      <c r="D597" s="161"/>
      <c r="E597" s="162"/>
      <c r="F597" s="163"/>
      <c r="G597" s="164"/>
      <c r="H597" s="165"/>
      <c r="I597" s="164"/>
      <c r="J597" s="165"/>
      <c r="K597" s="164"/>
      <c r="L597" s="165"/>
      <c r="M597" s="6"/>
      <c r="N597" s="32"/>
      <c r="Q597" s="10" t="str">
        <f>+CONCATENATE(E596,I596)</f>
        <v>무보온덕트벽체</v>
      </c>
      <c r="R597" s="10">
        <f>+J596</f>
        <v>0</v>
      </c>
      <c r="S597" s="11"/>
      <c r="T597" s="10" t="str">
        <f>+E596</f>
        <v>무보온덕트벽체</v>
      </c>
      <c r="U597" s="19" t="str">
        <f>IFERROR(LEFT(I596,FIND("*",I596)-1),"-")</f>
        <v>-</v>
      </c>
      <c r="V597" s="19" t="str">
        <f>IFERROR(RIGHT(I596,LEN(I596)-FIND("*",I596)),"-")</f>
        <v>-</v>
      </c>
      <c r="W597" s="20" t="str">
        <f t="shared" ref="W597:W604" si="322">IFERROR((U597+V597)*2/1000,"-")</f>
        <v>-</v>
      </c>
      <c r="X597" s="20" t="str">
        <f>IFERROR(W597*J596,"-")</f>
        <v>-</v>
      </c>
      <c r="Z597" s="33">
        <v>45179</v>
      </c>
    </row>
    <row r="598" spans="1:26" ht="6.95" customHeight="1" x14ac:dyDescent="0.3">
      <c r="A598" s="154"/>
      <c r="B598" s="157"/>
      <c r="C598" s="158"/>
      <c r="D598" s="161"/>
      <c r="E598" s="162"/>
      <c r="F598" s="163"/>
      <c r="G598" s="164"/>
      <c r="H598" s="165"/>
      <c r="I598" s="164"/>
      <c r="J598" s="165"/>
      <c r="K598" s="164"/>
      <c r="L598" s="165"/>
      <c r="M598" s="6"/>
      <c r="N598" s="32"/>
      <c r="Q598" s="10" t="str">
        <f>+CONCATENATE(E596,K596)</f>
        <v>무보온덕트벽체</v>
      </c>
      <c r="R598" s="10">
        <f>+L596</f>
        <v>0</v>
      </c>
      <c r="S598" s="11"/>
      <c r="T598" s="10" t="str">
        <f>+E596</f>
        <v>무보온덕트벽체</v>
      </c>
      <c r="U598" s="19" t="str">
        <f>IFERROR(LEFT(K596,FIND("*",K596)-1),"-")</f>
        <v>-</v>
      </c>
      <c r="V598" s="19" t="str">
        <f>IFERROR(RIGHT(K596,LEN(K596)-FIND("*",K596)),"-")</f>
        <v>-</v>
      </c>
      <c r="W598" s="20" t="str">
        <f t="shared" si="322"/>
        <v>-</v>
      </c>
      <c r="X598" s="20" t="str">
        <f>IFERROR(W598*L596,"-")</f>
        <v>-</v>
      </c>
      <c r="Z598" s="33">
        <v>45179</v>
      </c>
    </row>
    <row r="599" spans="1:26" ht="6.95" customHeight="1" x14ac:dyDescent="0.3">
      <c r="A599" s="8"/>
      <c r="B599" s="157"/>
      <c r="C599" s="158"/>
      <c r="D599" s="161" t="s">
        <v>39</v>
      </c>
      <c r="E599" s="162" t="s">
        <v>66</v>
      </c>
      <c r="F599" s="163" t="s">
        <v>40</v>
      </c>
      <c r="G599" s="164" t="s">
        <v>249</v>
      </c>
      <c r="H599" s="165">
        <v>1</v>
      </c>
      <c r="I599" s="164"/>
      <c r="J599" s="165"/>
      <c r="K599" s="164"/>
      <c r="L599" s="165"/>
      <c r="M599" s="6"/>
      <c r="N599" s="32"/>
      <c r="Q599" s="10" t="str">
        <f>+CONCATENATE(E599,G599)</f>
        <v>차열재마감2100*600</v>
      </c>
      <c r="R599" s="10">
        <f>+H599</f>
        <v>1</v>
      </c>
      <c r="S599" s="11"/>
      <c r="T599" s="10" t="str">
        <f>+E599</f>
        <v>차열재마감</v>
      </c>
      <c r="U599" s="19" t="str">
        <f t="shared" ref="U599" si="323">IFERROR(LEFT(G599,FIND("*",G599)-1),"-")</f>
        <v>2100</v>
      </c>
      <c r="V599" s="19" t="str">
        <f t="shared" ref="V599" si="324">IFERROR(RIGHT(G599,LEN(G599)-FIND("*",G599)),"-")</f>
        <v>600</v>
      </c>
      <c r="W599" s="20">
        <f t="shared" si="322"/>
        <v>5.4</v>
      </c>
      <c r="X599" s="20">
        <f>IFERROR(W599*H599,"-")</f>
        <v>5.4</v>
      </c>
      <c r="Z599" s="33">
        <v>45179</v>
      </c>
    </row>
    <row r="600" spans="1:26" ht="6.95" customHeight="1" x14ac:dyDescent="0.3">
      <c r="A600" s="5"/>
      <c r="B600" s="157"/>
      <c r="C600" s="158"/>
      <c r="D600" s="161"/>
      <c r="E600" s="162"/>
      <c r="F600" s="163"/>
      <c r="G600" s="164"/>
      <c r="H600" s="165"/>
      <c r="I600" s="164"/>
      <c r="J600" s="165"/>
      <c r="K600" s="164"/>
      <c r="L600" s="165"/>
      <c r="M600" s="6"/>
      <c r="N600" s="32"/>
      <c r="Q600" s="10" t="str">
        <f>+CONCATENATE(E599,I599)</f>
        <v>차열재마감</v>
      </c>
      <c r="R600" s="10">
        <f>+J599</f>
        <v>0</v>
      </c>
      <c r="S600" s="11"/>
      <c r="T600" s="10" t="str">
        <f>+E599</f>
        <v>차열재마감</v>
      </c>
      <c r="U600" s="19" t="str">
        <f>IFERROR(LEFT(I599,FIND("*",I599)-1),"-")</f>
        <v>-</v>
      </c>
      <c r="V600" s="19" t="str">
        <f>IFERROR(RIGHT(I599,LEN(I599)-FIND("*",I599)),"-")</f>
        <v>-</v>
      </c>
      <c r="W600" s="20" t="str">
        <f t="shared" si="322"/>
        <v>-</v>
      </c>
      <c r="X600" s="20" t="str">
        <f>IFERROR(W600*J599,"-")</f>
        <v>-</v>
      </c>
      <c r="Z600" s="33">
        <v>45179</v>
      </c>
    </row>
    <row r="601" spans="1:26" ht="6.95" customHeight="1" x14ac:dyDescent="0.3">
      <c r="A601" s="5"/>
      <c r="B601" s="157"/>
      <c r="C601" s="158"/>
      <c r="D601" s="161"/>
      <c r="E601" s="162"/>
      <c r="F601" s="163"/>
      <c r="G601" s="164"/>
      <c r="H601" s="165"/>
      <c r="I601" s="164"/>
      <c r="J601" s="165"/>
      <c r="K601" s="164"/>
      <c r="L601" s="165"/>
      <c r="M601" s="6"/>
      <c r="N601" s="32"/>
      <c r="Q601" s="10" t="str">
        <f>+CONCATENATE(E599,K599)</f>
        <v>차열재마감</v>
      </c>
      <c r="R601" s="10">
        <f>+L599</f>
        <v>0</v>
      </c>
      <c r="S601" s="11"/>
      <c r="T601" s="10" t="str">
        <f>+E599</f>
        <v>차열재마감</v>
      </c>
      <c r="U601" s="19" t="str">
        <f>IFERROR(LEFT(K599,FIND("*",K599)-1),"-")</f>
        <v>-</v>
      </c>
      <c r="V601" s="19" t="str">
        <f>IFERROR(RIGHT(K599,LEN(K599)-FIND("*",K599)),"-")</f>
        <v>-</v>
      </c>
      <c r="W601" s="20" t="str">
        <f t="shared" si="322"/>
        <v>-</v>
      </c>
      <c r="X601" s="20" t="str">
        <f>IFERROR(W601*L599,"-")</f>
        <v>-</v>
      </c>
      <c r="Z601" s="33">
        <v>45179</v>
      </c>
    </row>
    <row r="602" spans="1:26" ht="6.95" customHeight="1" x14ac:dyDescent="0.3">
      <c r="A602" s="8"/>
      <c r="B602" s="157"/>
      <c r="C602" s="158"/>
      <c r="D602" s="161" t="s">
        <v>39</v>
      </c>
      <c r="E602" s="162"/>
      <c r="F602" s="163" t="s">
        <v>40</v>
      </c>
      <c r="G602" s="164"/>
      <c r="H602" s="165"/>
      <c r="I602" s="164"/>
      <c r="J602" s="165"/>
      <c r="K602" s="164"/>
      <c r="L602" s="165"/>
      <c r="M602" s="6"/>
      <c r="N602" s="32"/>
      <c r="Q602" s="10" t="str">
        <f>+CONCATENATE(E602,G602)</f>
        <v/>
      </c>
      <c r="R602" s="10">
        <f>+H602</f>
        <v>0</v>
      </c>
      <c r="S602" s="11"/>
      <c r="T602" s="10">
        <f>+E602</f>
        <v>0</v>
      </c>
      <c r="U602" s="19" t="str">
        <f t="shared" ref="U602" si="325">IFERROR(LEFT(G602,FIND("*",G602)-1),"-")</f>
        <v>-</v>
      </c>
      <c r="V602" s="19" t="str">
        <f t="shared" ref="V602" si="326">IFERROR(RIGHT(G602,LEN(G602)-FIND("*",G602)),"-")</f>
        <v>-</v>
      </c>
      <c r="W602" s="20" t="str">
        <f t="shared" si="322"/>
        <v>-</v>
      </c>
      <c r="X602" s="20" t="str">
        <f>IFERROR(W602*H602,"-")</f>
        <v>-</v>
      </c>
      <c r="Z602" s="33">
        <v>45179</v>
      </c>
    </row>
    <row r="603" spans="1:26" ht="6.95" customHeight="1" x14ac:dyDescent="0.3">
      <c r="A603" s="5"/>
      <c r="B603" s="157"/>
      <c r="C603" s="158"/>
      <c r="D603" s="161"/>
      <c r="E603" s="162"/>
      <c r="F603" s="163"/>
      <c r="G603" s="164"/>
      <c r="H603" s="165"/>
      <c r="I603" s="164"/>
      <c r="J603" s="165"/>
      <c r="K603" s="164"/>
      <c r="L603" s="165"/>
      <c r="M603" s="6"/>
      <c r="N603" s="32"/>
      <c r="Q603" s="10" t="str">
        <f>+CONCATENATE(E602,I602)</f>
        <v/>
      </c>
      <c r="R603" s="10">
        <f>+J602</f>
        <v>0</v>
      </c>
      <c r="S603" s="11"/>
      <c r="T603" s="10">
        <f>+E602</f>
        <v>0</v>
      </c>
      <c r="U603" s="19" t="str">
        <f>IFERROR(LEFT(I602,FIND("*",I602)-1),"-")</f>
        <v>-</v>
      </c>
      <c r="V603" s="19" t="str">
        <f>IFERROR(RIGHT(I602,LEN(I602)-FIND("*",I602)),"-")</f>
        <v>-</v>
      </c>
      <c r="W603" s="20" t="str">
        <f t="shared" si="322"/>
        <v>-</v>
      </c>
      <c r="X603" s="20" t="str">
        <f t="shared" ref="X603" si="327">IFERROR(W603*J602,"-")</f>
        <v>-</v>
      </c>
      <c r="Z603" s="33">
        <v>45179</v>
      </c>
    </row>
    <row r="604" spans="1:26" ht="6.95" customHeight="1" x14ac:dyDescent="0.3">
      <c r="A604" s="5"/>
      <c r="B604" s="157"/>
      <c r="C604" s="158"/>
      <c r="D604" s="161"/>
      <c r="E604" s="162"/>
      <c r="F604" s="163"/>
      <c r="G604" s="164"/>
      <c r="H604" s="165"/>
      <c r="I604" s="164"/>
      <c r="J604" s="165"/>
      <c r="K604" s="164"/>
      <c r="L604" s="165"/>
      <c r="M604" s="6"/>
      <c r="N604" s="32"/>
      <c r="Q604" s="10" t="str">
        <f>+CONCATENATE(E602,K602)</f>
        <v/>
      </c>
      <c r="R604" s="10">
        <f>+L602</f>
        <v>0</v>
      </c>
      <c r="S604" s="11"/>
      <c r="T604" s="10">
        <f>+E602</f>
        <v>0</v>
      </c>
      <c r="U604" s="19" t="str">
        <f>IFERROR(LEFT(K602,FIND("*",K602)-1),"-")</f>
        <v>-</v>
      </c>
      <c r="V604" s="19" t="str">
        <f>IFERROR(RIGHT(K602,LEN(K602)-FIND("*",K602)),"-")</f>
        <v>-</v>
      </c>
      <c r="W604" s="20" t="str">
        <f t="shared" si="322"/>
        <v>-</v>
      </c>
      <c r="X604" s="20" t="str">
        <f>IFERROR(W604*L602,"-")</f>
        <v>-</v>
      </c>
      <c r="Z604" s="33">
        <v>45179</v>
      </c>
    </row>
    <row r="605" spans="1:26" ht="21" customHeight="1" thickBot="1" x14ac:dyDescent="0.35">
      <c r="A605" s="5"/>
      <c r="B605" s="159"/>
      <c r="C605" s="160"/>
      <c r="D605" s="166" t="s">
        <v>43</v>
      </c>
      <c r="E605" s="167"/>
      <c r="F605" s="167"/>
      <c r="G605" s="168" t="s">
        <v>237</v>
      </c>
      <c r="H605" s="168"/>
      <c r="I605" s="168"/>
      <c r="J605" s="168"/>
      <c r="K605" s="168"/>
      <c r="L605" s="168"/>
      <c r="M605" s="7"/>
      <c r="N605" s="32"/>
      <c r="Z605" s="33">
        <v>45179</v>
      </c>
    </row>
    <row r="606" spans="1:26" ht="9.9499999999999993" customHeight="1" thickBot="1" x14ac:dyDescent="0.35">
      <c r="B606" s="9"/>
      <c r="C606" s="109">
        <v>855</v>
      </c>
      <c r="D606" s="51"/>
      <c r="E606" s="12"/>
      <c r="F606" s="51"/>
      <c r="G606" s="14"/>
      <c r="H606" s="14"/>
      <c r="I606" s="14"/>
      <c r="J606" s="14"/>
      <c r="K606" s="14"/>
      <c r="L606" s="14"/>
      <c r="M606" s="9"/>
      <c r="N606" s="32"/>
      <c r="U606" s="18"/>
      <c r="V606" s="18"/>
      <c r="Z606" s="33">
        <v>45179</v>
      </c>
    </row>
    <row r="607" spans="1:26" ht="6.95" customHeight="1" x14ac:dyDescent="0.3">
      <c r="A607" s="154">
        <f>+A596+1</f>
        <v>856</v>
      </c>
      <c r="B607" s="155"/>
      <c r="C607" s="156"/>
      <c r="D607" s="161" t="s">
        <v>39</v>
      </c>
      <c r="E607" s="162" t="s">
        <v>226</v>
      </c>
      <c r="F607" s="163" t="s">
        <v>40</v>
      </c>
      <c r="G607" s="164" t="s">
        <v>247</v>
      </c>
      <c r="H607" s="165">
        <v>0.5</v>
      </c>
      <c r="I607" s="164"/>
      <c r="J607" s="165"/>
      <c r="K607" s="164"/>
      <c r="L607" s="165"/>
      <c r="M607" s="6"/>
      <c r="N607" s="32"/>
      <c r="Q607" s="10" t="str">
        <f>+CONCATENATE(E607,G607)</f>
        <v>무보온덕트벽체1500*800</v>
      </c>
      <c r="R607" s="10">
        <f>+H607</f>
        <v>0.5</v>
      </c>
      <c r="S607" s="11"/>
      <c r="T607" s="10" t="str">
        <f>+E607</f>
        <v>무보온덕트벽체</v>
      </c>
      <c r="U607" s="19" t="str">
        <f>IFERROR(LEFT(G607,FIND("*",G607)-1),"-")</f>
        <v>1500</v>
      </c>
      <c r="V607" s="19" t="str">
        <f>IFERROR(RIGHT(G607,LEN(G607)-FIND("*",G607)),"-")</f>
        <v>800</v>
      </c>
      <c r="W607" s="20">
        <f>IFERROR((U607+V607)*2/1000,"-")</f>
        <v>4.5999999999999996</v>
      </c>
      <c r="X607" s="20">
        <f>IFERROR(W607*H607,"-")</f>
        <v>2.2999999999999998</v>
      </c>
      <c r="Z607" s="33">
        <v>45179</v>
      </c>
    </row>
    <row r="608" spans="1:26" ht="6.95" customHeight="1" x14ac:dyDescent="0.3">
      <c r="A608" s="154"/>
      <c r="B608" s="157"/>
      <c r="C608" s="158"/>
      <c r="D608" s="161"/>
      <c r="E608" s="162"/>
      <c r="F608" s="163"/>
      <c r="G608" s="164"/>
      <c r="H608" s="165"/>
      <c r="I608" s="164"/>
      <c r="J608" s="165"/>
      <c r="K608" s="164"/>
      <c r="L608" s="165"/>
      <c r="M608" s="6"/>
      <c r="N608" s="32"/>
      <c r="Q608" s="10" t="str">
        <f>+CONCATENATE(E607,I607)</f>
        <v>무보온덕트벽체</v>
      </c>
      <c r="R608" s="10">
        <f>+J607</f>
        <v>0</v>
      </c>
      <c r="S608" s="11"/>
      <c r="T608" s="10" t="str">
        <f>+E607</f>
        <v>무보온덕트벽체</v>
      </c>
      <c r="U608" s="19" t="str">
        <f>IFERROR(LEFT(I607,FIND("*",I607)-1),"-")</f>
        <v>-</v>
      </c>
      <c r="V608" s="19" t="str">
        <f>IFERROR(RIGHT(I607,LEN(I607)-FIND("*",I607)),"-")</f>
        <v>-</v>
      </c>
      <c r="W608" s="20" t="str">
        <f t="shared" ref="W608:W615" si="328">IFERROR((U608+V608)*2/1000,"-")</f>
        <v>-</v>
      </c>
      <c r="X608" s="20" t="str">
        <f>IFERROR(W608*J607,"-")</f>
        <v>-</v>
      </c>
      <c r="Z608" s="33">
        <v>45179</v>
      </c>
    </row>
    <row r="609" spans="1:26" ht="6.95" customHeight="1" x14ac:dyDescent="0.3">
      <c r="A609" s="154"/>
      <c r="B609" s="157"/>
      <c r="C609" s="158"/>
      <c r="D609" s="161"/>
      <c r="E609" s="162"/>
      <c r="F609" s="163"/>
      <c r="G609" s="164"/>
      <c r="H609" s="165"/>
      <c r="I609" s="164"/>
      <c r="J609" s="165"/>
      <c r="K609" s="164"/>
      <c r="L609" s="165"/>
      <c r="M609" s="6"/>
      <c r="N609" s="32"/>
      <c r="Q609" s="10" t="str">
        <f>+CONCATENATE(E607,K607)</f>
        <v>무보온덕트벽체</v>
      </c>
      <c r="R609" s="10">
        <f>+L607</f>
        <v>0</v>
      </c>
      <c r="S609" s="11"/>
      <c r="T609" s="10" t="str">
        <f>+E607</f>
        <v>무보온덕트벽체</v>
      </c>
      <c r="U609" s="19" t="str">
        <f>IFERROR(LEFT(K607,FIND("*",K607)-1),"-")</f>
        <v>-</v>
      </c>
      <c r="V609" s="19" t="str">
        <f>IFERROR(RIGHT(K607,LEN(K607)-FIND("*",K607)),"-")</f>
        <v>-</v>
      </c>
      <c r="W609" s="20" t="str">
        <f t="shared" si="328"/>
        <v>-</v>
      </c>
      <c r="X609" s="20" t="str">
        <f>IFERROR(W609*L607,"-")</f>
        <v>-</v>
      </c>
      <c r="Z609" s="33">
        <v>45179</v>
      </c>
    </row>
    <row r="610" spans="1:26" ht="6.95" customHeight="1" x14ac:dyDescent="0.3">
      <c r="A610" s="8"/>
      <c r="B610" s="157"/>
      <c r="C610" s="158"/>
      <c r="D610" s="161" t="s">
        <v>39</v>
      </c>
      <c r="E610" s="162" t="s">
        <v>66</v>
      </c>
      <c r="F610" s="163" t="s">
        <v>40</v>
      </c>
      <c r="G610" s="164" t="s">
        <v>247</v>
      </c>
      <c r="H610" s="165">
        <v>0.5</v>
      </c>
      <c r="I610" s="164"/>
      <c r="J610" s="165"/>
      <c r="K610" s="164"/>
      <c r="L610" s="165"/>
      <c r="M610" s="6"/>
      <c r="N610" s="32"/>
      <c r="Q610" s="10" t="str">
        <f>+CONCATENATE(E610,G610)</f>
        <v>차열재마감1500*800</v>
      </c>
      <c r="R610" s="10">
        <f>+H610</f>
        <v>0.5</v>
      </c>
      <c r="S610" s="11"/>
      <c r="T610" s="10" t="str">
        <f>+E610</f>
        <v>차열재마감</v>
      </c>
      <c r="U610" s="19" t="str">
        <f t="shared" ref="U610" si="329">IFERROR(LEFT(G610,FIND("*",G610)-1),"-")</f>
        <v>1500</v>
      </c>
      <c r="V610" s="19" t="str">
        <f t="shared" ref="V610" si="330">IFERROR(RIGHT(G610,LEN(G610)-FIND("*",G610)),"-")</f>
        <v>800</v>
      </c>
      <c r="W610" s="20">
        <f t="shared" si="328"/>
        <v>4.5999999999999996</v>
      </c>
      <c r="X610" s="20">
        <f>IFERROR(W610*H610,"-")</f>
        <v>2.2999999999999998</v>
      </c>
      <c r="Z610" s="33">
        <v>45179</v>
      </c>
    </row>
    <row r="611" spans="1:26" ht="6.95" customHeight="1" x14ac:dyDescent="0.3">
      <c r="A611" s="5"/>
      <c r="B611" s="157"/>
      <c r="C611" s="158"/>
      <c r="D611" s="161"/>
      <c r="E611" s="162"/>
      <c r="F611" s="163"/>
      <c r="G611" s="164"/>
      <c r="H611" s="165"/>
      <c r="I611" s="164"/>
      <c r="J611" s="165"/>
      <c r="K611" s="164"/>
      <c r="L611" s="165"/>
      <c r="M611" s="6"/>
      <c r="N611" s="32"/>
      <c r="Q611" s="10" t="str">
        <f>+CONCATENATE(E610,I610)</f>
        <v>차열재마감</v>
      </c>
      <c r="R611" s="10">
        <f>+J610</f>
        <v>0</v>
      </c>
      <c r="S611" s="11"/>
      <c r="T611" s="10" t="str">
        <f>+E610</f>
        <v>차열재마감</v>
      </c>
      <c r="U611" s="19" t="str">
        <f>IFERROR(LEFT(I610,FIND("*",I610)-1),"-")</f>
        <v>-</v>
      </c>
      <c r="V611" s="19" t="str">
        <f>IFERROR(RIGHT(I610,LEN(I610)-FIND("*",I610)),"-")</f>
        <v>-</v>
      </c>
      <c r="W611" s="20" t="str">
        <f t="shared" si="328"/>
        <v>-</v>
      </c>
      <c r="X611" s="20" t="str">
        <f>IFERROR(W611*J610,"-")</f>
        <v>-</v>
      </c>
      <c r="Z611" s="33">
        <v>45179</v>
      </c>
    </row>
    <row r="612" spans="1:26" ht="6.95" customHeight="1" x14ac:dyDescent="0.3">
      <c r="A612" s="5"/>
      <c r="B612" s="157"/>
      <c r="C612" s="158"/>
      <c r="D612" s="161"/>
      <c r="E612" s="162"/>
      <c r="F612" s="163"/>
      <c r="G612" s="164"/>
      <c r="H612" s="165"/>
      <c r="I612" s="164"/>
      <c r="J612" s="165"/>
      <c r="K612" s="164"/>
      <c r="L612" s="165"/>
      <c r="M612" s="6"/>
      <c r="N612" s="32"/>
      <c r="Q612" s="10" t="str">
        <f>+CONCATENATE(E610,K610)</f>
        <v>차열재마감</v>
      </c>
      <c r="R612" s="10">
        <f>+L610</f>
        <v>0</v>
      </c>
      <c r="S612" s="11"/>
      <c r="T612" s="10" t="str">
        <f>+E610</f>
        <v>차열재마감</v>
      </c>
      <c r="U612" s="19" t="str">
        <f>IFERROR(LEFT(K610,FIND("*",K610)-1),"-")</f>
        <v>-</v>
      </c>
      <c r="V612" s="19" t="str">
        <f>IFERROR(RIGHT(K610,LEN(K610)-FIND("*",K610)),"-")</f>
        <v>-</v>
      </c>
      <c r="W612" s="20" t="str">
        <f t="shared" si="328"/>
        <v>-</v>
      </c>
      <c r="X612" s="20" t="str">
        <f>IFERROR(W612*L610,"-")</f>
        <v>-</v>
      </c>
      <c r="Z612" s="33">
        <v>45179</v>
      </c>
    </row>
    <row r="613" spans="1:26" ht="6.95" customHeight="1" x14ac:dyDescent="0.3">
      <c r="A613" s="8"/>
      <c r="B613" s="157"/>
      <c r="C613" s="158"/>
      <c r="D613" s="161" t="s">
        <v>39</v>
      </c>
      <c r="E613" s="162"/>
      <c r="F613" s="163" t="s">
        <v>40</v>
      </c>
      <c r="G613" s="164"/>
      <c r="H613" s="165"/>
      <c r="I613" s="164"/>
      <c r="J613" s="165"/>
      <c r="K613" s="164"/>
      <c r="L613" s="165"/>
      <c r="M613" s="6"/>
      <c r="N613" s="32"/>
      <c r="Q613" s="10" t="str">
        <f>+CONCATENATE(E613,G613)</f>
        <v/>
      </c>
      <c r="R613" s="10">
        <f>+H613</f>
        <v>0</v>
      </c>
      <c r="S613" s="11"/>
      <c r="T613" s="10">
        <f>+E613</f>
        <v>0</v>
      </c>
      <c r="U613" s="19" t="str">
        <f t="shared" ref="U613" si="331">IFERROR(LEFT(G613,FIND("*",G613)-1),"-")</f>
        <v>-</v>
      </c>
      <c r="V613" s="19" t="str">
        <f t="shared" ref="V613" si="332">IFERROR(RIGHT(G613,LEN(G613)-FIND("*",G613)),"-")</f>
        <v>-</v>
      </c>
      <c r="W613" s="20" t="str">
        <f t="shared" si="328"/>
        <v>-</v>
      </c>
      <c r="X613" s="20" t="str">
        <f>IFERROR(W613*H613,"-")</f>
        <v>-</v>
      </c>
      <c r="Z613" s="33">
        <v>45179</v>
      </c>
    </row>
    <row r="614" spans="1:26" ht="6.95" customHeight="1" x14ac:dyDescent="0.3">
      <c r="A614" s="5"/>
      <c r="B614" s="157"/>
      <c r="C614" s="158"/>
      <c r="D614" s="161"/>
      <c r="E614" s="162"/>
      <c r="F614" s="163"/>
      <c r="G614" s="164"/>
      <c r="H614" s="165"/>
      <c r="I614" s="164"/>
      <c r="J614" s="165"/>
      <c r="K614" s="164"/>
      <c r="L614" s="165"/>
      <c r="M614" s="6"/>
      <c r="N614" s="32"/>
      <c r="Q614" s="10" t="str">
        <f>+CONCATENATE(E613,I613)</f>
        <v/>
      </c>
      <c r="R614" s="10">
        <f>+J613</f>
        <v>0</v>
      </c>
      <c r="S614" s="11"/>
      <c r="T614" s="10">
        <f>+E613</f>
        <v>0</v>
      </c>
      <c r="U614" s="19" t="str">
        <f>IFERROR(LEFT(I613,FIND("*",I613)-1),"-")</f>
        <v>-</v>
      </c>
      <c r="V614" s="19" t="str">
        <f>IFERROR(RIGHT(I613,LEN(I613)-FIND("*",I613)),"-")</f>
        <v>-</v>
      </c>
      <c r="W614" s="20" t="str">
        <f t="shared" si="328"/>
        <v>-</v>
      </c>
      <c r="X614" s="20" t="str">
        <f t="shared" ref="X614" si="333">IFERROR(W614*J613,"-")</f>
        <v>-</v>
      </c>
      <c r="Z614" s="33">
        <v>45179</v>
      </c>
    </row>
    <row r="615" spans="1:26" ht="6.95" customHeight="1" x14ac:dyDescent="0.3">
      <c r="A615" s="5"/>
      <c r="B615" s="157"/>
      <c r="C615" s="158"/>
      <c r="D615" s="161"/>
      <c r="E615" s="162"/>
      <c r="F615" s="163"/>
      <c r="G615" s="164"/>
      <c r="H615" s="165"/>
      <c r="I615" s="164"/>
      <c r="J615" s="165"/>
      <c r="K615" s="164"/>
      <c r="L615" s="165"/>
      <c r="M615" s="6"/>
      <c r="N615" s="32"/>
      <c r="Q615" s="10" t="str">
        <f>+CONCATENATE(E613,K613)</f>
        <v/>
      </c>
      <c r="R615" s="10">
        <f>+L613</f>
        <v>0</v>
      </c>
      <c r="S615" s="11"/>
      <c r="T615" s="10">
        <f>+E613</f>
        <v>0</v>
      </c>
      <c r="U615" s="19" t="str">
        <f>IFERROR(LEFT(K613,FIND("*",K613)-1),"-")</f>
        <v>-</v>
      </c>
      <c r="V615" s="19" t="str">
        <f>IFERROR(RIGHT(K613,LEN(K613)-FIND("*",K613)),"-")</f>
        <v>-</v>
      </c>
      <c r="W615" s="20" t="str">
        <f t="shared" si="328"/>
        <v>-</v>
      </c>
      <c r="X615" s="20" t="str">
        <f>IFERROR(W615*L613,"-")</f>
        <v>-</v>
      </c>
      <c r="Z615" s="33">
        <v>45179</v>
      </c>
    </row>
    <row r="616" spans="1:26" ht="21" customHeight="1" thickBot="1" x14ac:dyDescent="0.35">
      <c r="A616" s="5"/>
      <c r="B616" s="159"/>
      <c r="C616" s="160"/>
      <c r="D616" s="166" t="s">
        <v>43</v>
      </c>
      <c r="E616" s="167"/>
      <c r="F616" s="167"/>
      <c r="G616" s="168" t="s">
        <v>237</v>
      </c>
      <c r="H616" s="168"/>
      <c r="I616" s="168"/>
      <c r="J616" s="168"/>
      <c r="K616" s="168"/>
      <c r="L616" s="168"/>
      <c r="M616" s="7"/>
      <c r="N616" s="32"/>
      <c r="Z616" s="33">
        <v>45179</v>
      </c>
    </row>
    <row r="617" spans="1:26" ht="9.9499999999999993" customHeight="1" thickBot="1" x14ac:dyDescent="0.35">
      <c r="B617" s="9"/>
      <c r="C617" s="109">
        <v>856</v>
      </c>
      <c r="D617" s="51"/>
      <c r="E617" s="12"/>
      <c r="F617" s="51"/>
      <c r="G617" s="14"/>
      <c r="H617" s="14"/>
      <c r="I617" s="14"/>
      <c r="J617" s="14"/>
      <c r="K617" s="14"/>
      <c r="L617" s="14"/>
      <c r="M617" s="9"/>
      <c r="N617" s="32"/>
      <c r="U617" s="18"/>
      <c r="V617" s="18"/>
      <c r="Z617" s="33">
        <v>45179</v>
      </c>
    </row>
    <row r="618" spans="1:26" ht="6.95" customHeight="1" x14ac:dyDescent="0.3">
      <c r="A618" s="154">
        <f>+A607+1</f>
        <v>857</v>
      </c>
      <c r="B618" s="155"/>
      <c r="C618" s="156"/>
      <c r="D618" s="161" t="s">
        <v>39</v>
      </c>
      <c r="E618" s="162" t="s">
        <v>222</v>
      </c>
      <c r="F618" s="163" t="s">
        <v>40</v>
      </c>
      <c r="G618" s="164" t="s">
        <v>250</v>
      </c>
      <c r="H618" s="165">
        <v>1</v>
      </c>
      <c r="I618" s="164"/>
      <c r="J618" s="165"/>
      <c r="K618" s="164"/>
      <c r="L618" s="165"/>
      <c r="M618" s="6"/>
      <c r="N618" s="32"/>
      <c r="Q618" s="10" t="str">
        <f>+CONCATENATE(E618,G618)</f>
        <v>보온덕트벽체2000*800</v>
      </c>
      <c r="R618" s="10">
        <f>+H618</f>
        <v>1</v>
      </c>
      <c r="S618" s="11"/>
      <c r="T618" s="10" t="str">
        <f>+E618</f>
        <v>보온덕트벽체</v>
      </c>
      <c r="U618" s="19" t="str">
        <f>IFERROR(LEFT(G618,FIND("*",G618)-1),"-")</f>
        <v>2000</v>
      </c>
      <c r="V618" s="19" t="str">
        <f>IFERROR(RIGHT(G618,LEN(G618)-FIND("*",G618)),"-")</f>
        <v>800</v>
      </c>
      <c r="W618" s="20">
        <f>IFERROR((U618+V618)*2/1000,"-")</f>
        <v>5.6</v>
      </c>
      <c r="X618" s="20">
        <f>IFERROR(W618*H618,"-")</f>
        <v>5.6</v>
      </c>
      <c r="Z618" s="33">
        <v>45179</v>
      </c>
    </row>
    <row r="619" spans="1:26" ht="6.95" customHeight="1" x14ac:dyDescent="0.3">
      <c r="A619" s="154"/>
      <c r="B619" s="157"/>
      <c r="C619" s="158"/>
      <c r="D619" s="161"/>
      <c r="E619" s="162"/>
      <c r="F619" s="163"/>
      <c r="G619" s="164"/>
      <c r="H619" s="165"/>
      <c r="I619" s="164"/>
      <c r="J619" s="165"/>
      <c r="K619" s="164"/>
      <c r="L619" s="165"/>
      <c r="M619" s="6"/>
      <c r="N619" s="32"/>
      <c r="Q619" s="10" t="str">
        <f>+CONCATENATE(E618,I618)</f>
        <v>보온덕트벽체</v>
      </c>
      <c r="R619" s="10">
        <f>+J618</f>
        <v>0</v>
      </c>
      <c r="S619" s="11"/>
      <c r="T619" s="10" t="str">
        <f>+E618</f>
        <v>보온덕트벽체</v>
      </c>
      <c r="U619" s="19" t="str">
        <f>IFERROR(LEFT(I618,FIND("*",I618)-1),"-")</f>
        <v>-</v>
      </c>
      <c r="V619" s="19" t="str">
        <f>IFERROR(RIGHT(I618,LEN(I618)-FIND("*",I618)),"-")</f>
        <v>-</v>
      </c>
      <c r="W619" s="20" t="str">
        <f t="shared" ref="W619:W626" si="334">IFERROR((U619+V619)*2/1000,"-")</f>
        <v>-</v>
      </c>
      <c r="X619" s="20" t="str">
        <f>IFERROR(W619*J618,"-")</f>
        <v>-</v>
      </c>
      <c r="Z619" s="33">
        <v>45179</v>
      </c>
    </row>
    <row r="620" spans="1:26" ht="6.95" customHeight="1" x14ac:dyDescent="0.3">
      <c r="A620" s="154"/>
      <c r="B620" s="157"/>
      <c r="C620" s="158"/>
      <c r="D620" s="161"/>
      <c r="E620" s="162"/>
      <c r="F620" s="163"/>
      <c r="G620" s="164"/>
      <c r="H620" s="165"/>
      <c r="I620" s="164"/>
      <c r="J620" s="165"/>
      <c r="K620" s="164"/>
      <c r="L620" s="165"/>
      <c r="M620" s="6"/>
      <c r="N620" s="32"/>
      <c r="Q620" s="10" t="str">
        <f>+CONCATENATE(E618,K618)</f>
        <v>보온덕트벽체</v>
      </c>
      <c r="R620" s="10">
        <f>+L618</f>
        <v>0</v>
      </c>
      <c r="S620" s="11"/>
      <c r="T620" s="10" t="str">
        <f>+E618</f>
        <v>보온덕트벽체</v>
      </c>
      <c r="U620" s="19" t="str">
        <f>IFERROR(LEFT(K618,FIND("*",K618)-1),"-")</f>
        <v>-</v>
      </c>
      <c r="V620" s="19" t="str">
        <f>IFERROR(RIGHT(K618,LEN(K618)-FIND("*",K618)),"-")</f>
        <v>-</v>
      </c>
      <c r="W620" s="20" t="str">
        <f t="shared" si="334"/>
        <v>-</v>
      </c>
      <c r="X620" s="20" t="str">
        <f>IFERROR(W620*L618,"-")</f>
        <v>-</v>
      </c>
      <c r="Z620" s="33">
        <v>45179</v>
      </c>
    </row>
    <row r="621" spans="1:26" ht="6.95" customHeight="1" x14ac:dyDescent="0.3">
      <c r="A621" s="8"/>
      <c r="B621" s="157"/>
      <c r="C621" s="158"/>
      <c r="D621" s="161" t="s">
        <v>39</v>
      </c>
      <c r="E621" s="162" t="s">
        <v>66</v>
      </c>
      <c r="F621" s="163" t="s">
        <v>40</v>
      </c>
      <c r="G621" s="164" t="s">
        <v>251</v>
      </c>
      <c r="H621" s="165">
        <v>2</v>
      </c>
      <c r="I621" s="164"/>
      <c r="J621" s="165"/>
      <c r="K621" s="164"/>
      <c r="L621" s="165"/>
      <c r="M621" s="6"/>
      <c r="N621" s="32"/>
      <c r="Q621" s="10" t="str">
        <f>+CONCATENATE(E621,G621)</f>
        <v>차열재마감2000*800</v>
      </c>
      <c r="R621" s="10">
        <f>+H621</f>
        <v>2</v>
      </c>
      <c r="S621" s="11"/>
      <c r="T621" s="10" t="str">
        <f>+E621</f>
        <v>차열재마감</v>
      </c>
      <c r="U621" s="19" t="str">
        <f t="shared" ref="U621" si="335">IFERROR(LEFT(G621,FIND("*",G621)-1),"-")</f>
        <v>2000</v>
      </c>
      <c r="V621" s="19" t="str">
        <f t="shared" ref="V621" si="336">IFERROR(RIGHT(G621,LEN(G621)-FIND("*",G621)),"-")</f>
        <v>800</v>
      </c>
      <c r="W621" s="20">
        <f t="shared" si="334"/>
        <v>5.6</v>
      </c>
      <c r="X621" s="20">
        <f>IFERROR(W621*H621,"-")</f>
        <v>11.2</v>
      </c>
      <c r="Z621" s="33">
        <v>45179</v>
      </c>
    </row>
    <row r="622" spans="1:26" ht="6.95" customHeight="1" x14ac:dyDescent="0.3">
      <c r="A622" s="5"/>
      <c r="B622" s="157"/>
      <c r="C622" s="158"/>
      <c r="D622" s="161"/>
      <c r="E622" s="162"/>
      <c r="F622" s="163"/>
      <c r="G622" s="164"/>
      <c r="H622" s="165"/>
      <c r="I622" s="164"/>
      <c r="J622" s="165"/>
      <c r="K622" s="164"/>
      <c r="L622" s="165"/>
      <c r="M622" s="6"/>
      <c r="N622" s="32"/>
      <c r="Q622" s="10" t="str">
        <f>+CONCATENATE(E621,I621)</f>
        <v>차열재마감</v>
      </c>
      <c r="R622" s="10">
        <f>+J621</f>
        <v>0</v>
      </c>
      <c r="S622" s="11"/>
      <c r="T622" s="10" t="str">
        <f>+E621</f>
        <v>차열재마감</v>
      </c>
      <c r="U622" s="19" t="str">
        <f>IFERROR(LEFT(I621,FIND("*",I621)-1),"-")</f>
        <v>-</v>
      </c>
      <c r="V622" s="19" t="str">
        <f>IFERROR(RIGHT(I621,LEN(I621)-FIND("*",I621)),"-")</f>
        <v>-</v>
      </c>
      <c r="W622" s="20" t="str">
        <f t="shared" si="334"/>
        <v>-</v>
      </c>
      <c r="X622" s="20" t="str">
        <f>IFERROR(W622*J621,"-")</f>
        <v>-</v>
      </c>
      <c r="Z622" s="33">
        <v>45179</v>
      </c>
    </row>
    <row r="623" spans="1:26" ht="6.95" customHeight="1" x14ac:dyDescent="0.3">
      <c r="A623" s="5"/>
      <c r="B623" s="157"/>
      <c r="C623" s="158"/>
      <c r="D623" s="161"/>
      <c r="E623" s="162"/>
      <c r="F623" s="163"/>
      <c r="G623" s="164"/>
      <c r="H623" s="165"/>
      <c r="I623" s="164"/>
      <c r="J623" s="165"/>
      <c r="K623" s="164"/>
      <c r="L623" s="165"/>
      <c r="M623" s="6"/>
      <c r="N623" s="32"/>
      <c r="Q623" s="10" t="str">
        <f>+CONCATENATE(E621,K621)</f>
        <v>차열재마감</v>
      </c>
      <c r="R623" s="10">
        <f>+L621</f>
        <v>0</v>
      </c>
      <c r="S623" s="11"/>
      <c r="T623" s="10" t="str">
        <f>+E621</f>
        <v>차열재마감</v>
      </c>
      <c r="U623" s="19" t="str">
        <f>IFERROR(LEFT(K621,FIND("*",K621)-1),"-")</f>
        <v>-</v>
      </c>
      <c r="V623" s="19" t="str">
        <f>IFERROR(RIGHT(K621,LEN(K621)-FIND("*",K621)),"-")</f>
        <v>-</v>
      </c>
      <c r="W623" s="20" t="str">
        <f t="shared" si="334"/>
        <v>-</v>
      </c>
      <c r="X623" s="20" t="str">
        <f>IFERROR(W623*L621,"-")</f>
        <v>-</v>
      </c>
      <c r="Z623" s="33">
        <v>45179</v>
      </c>
    </row>
    <row r="624" spans="1:26" ht="6.95" customHeight="1" x14ac:dyDescent="0.3">
      <c r="A624" s="8"/>
      <c r="B624" s="157"/>
      <c r="C624" s="158"/>
      <c r="D624" s="161" t="s">
        <v>39</v>
      </c>
      <c r="E624" s="162"/>
      <c r="F624" s="163" t="s">
        <v>40</v>
      </c>
      <c r="G624" s="164"/>
      <c r="H624" s="165"/>
      <c r="I624" s="164"/>
      <c r="J624" s="165"/>
      <c r="K624" s="164"/>
      <c r="L624" s="165"/>
      <c r="M624" s="6"/>
      <c r="N624" s="32"/>
      <c r="Q624" s="10" t="str">
        <f>+CONCATENATE(E624,G624)</f>
        <v/>
      </c>
      <c r="R624" s="10">
        <f>+H624</f>
        <v>0</v>
      </c>
      <c r="S624" s="11"/>
      <c r="T624" s="10">
        <f>+E624</f>
        <v>0</v>
      </c>
      <c r="U624" s="19" t="str">
        <f t="shared" ref="U624" si="337">IFERROR(LEFT(G624,FIND("*",G624)-1),"-")</f>
        <v>-</v>
      </c>
      <c r="V624" s="19" t="str">
        <f t="shared" ref="V624" si="338">IFERROR(RIGHT(G624,LEN(G624)-FIND("*",G624)),"-")</f>
        <v>-</v>
      </c>
      <c r="W624" s="20" t="str">
        <f t="shared" si="334"/>
        <v>-</v>
      </c>
      <c r="X624" s="20" t="str">
        <f>IFERROR(W624*H624,"-")</f>
        <v>-</v>
      </c>
      <c r="Z624" s="33">
        <v>45179</v>
      </c>
    </row>
    <row r="625" spans="1:26" ht="6.95" customHeight="1" x14ac:dyDescent="0.3">
      <c r="A625" s="5"/>
      <c r="B625" s="157"/>
      <c r="C625" s="158"/>
      <c r="D625" s="161"/>
      <c r="E625" s="162"/>
      <c r="F625" s="163"/>
      <c r="G625" s="164"/>
      <c r="H625" s="165"/>
      <c r="I625" s="164"/>
      <c r="J625" s="165"/>
      <c r="K625" s="164"/>
      <c r="L625" s="165"/>
      <c r="M625" s="6"/>
      <c r="N625" s="32"/>
      <c r="Q625" s="10" t="str">
        <f>+CONCATENATE(E624,I624)</f>
        <v/>
      </c>
      <c r="R625" s="10">
        <f>+J624</f>
        <v>0</v>
      </c>
      <c r="S625" s="11"/>
      <c r="T625" s="10">
        <f>+E624</f>
        <v>0</v>
      </c>
      <c r="U625" s="19" t="str">
        <f>IFERROR(LEFT(I624,FIND("*",I624)-1),"-")</f>
        <v>-</v>
      </c>
      <c r="V625" s="19" t="str">
        <f>IFERROR(RIGHT(I624,LEN(I624)-FIND("*",I624)),"-")</f>
        <v>-</v>
      </c>
      <c r="W625" s="20" t="str">
        <f t="shared" si="334"/>
        <v>-</v>
      </c>
      <c r="X625" s="20" t="str">
        <f t="shared" ref="X625" si="339">IFERROR(W625*J624,"-")</f>
        <v>-</v>
      </c>
      <c r="Z625" s="33">
        <v>45179</v>
      </c>
    </row>
    <row r="626" spans="1:26" ht="6.95" customHeight="1" x14ac:dyDescent="0.3">
      <c r="A626" s="5"/>
      <c r="B626" s="157"/>
      <c r="C626" s="158"/>
      <c r="D626" s="161"/>
      <c r="E626" s="162"/>
      <c r="F626" s="163"/>
      <c r="G626" s="164"/>
      <c r="H626" s="165"/>
      <c r="I626" s="164"/>
      <c r="J626" s="165"/>
      <c r="K626" s="164"/>
      <c r="L626" s="165"/>
      <c r="M626" s="6"/>
      <c r="N626" s="32"/>
      <c r="Q626" s="10" t="str">
        <f>+CONCATENATE(E624,K624)</f>
        <v/>
      </c>
      <c r="R626" s="10">
        <f>+L624</f>
        <v>0</v>
      </c>
      <c r="S626" s="11"/>
      <c r="T626" s="10">
        <f>+E624</f>
        <v>0</v>
      </c>
      <c r="U626" s="19" t="str">
        <f>IFERROR(LEFT(K624,FIND("*",K624)-1),"-")</f>
        <v>-</v>
      </c>
      <c r="V626" s="19" t="str">
        <f>IFERROR(RIGHT(K624,LEN(K624)-FIND("*",K624)),"-")</f>
        <v>-</v>
      </c>
      <c r="W626" s="20" t="str">
        <f t="shared" si="334"/>
        <v>-</v>
      </c>
      <c r="X626" s="20" t="str">
        <f>IFERROR(W626*L624,"-")</f>
        <v>-</v>
      </c>
      <c r="Z626" s="33">
        <v>45179</v>
      </c>
    </row>
    <row r="627" spans="1:26" ht="21" customHeight="1" thickBot="1" x14ac:dyDescent="0.35">
      <c r="A627" s="5"/>
      <c r="B627" s="159"/>
      <c r="C627" s="160"/>
      <c r="D627" s="166" t="s">
        <v>43</v>
      </c>
      <c r="E627" s="167"/>
      <c r="F627" s="167"/>
      <c r="G627" s="168" t="s">
        <v>237</v>
      </c>
      <c r="H627" s="168"/>
      <c r="I627" s="168"/>
      <c r="J627" s="168"/>
      <c r="K627" s="168"/>
      <c r="L627" s="168"/>
      <c r="M627" s="7"/>
      <c r="N627" s="32"/>
      <c r="Z627" s="33">
        <v>45179</v>
      </c>
    </row>
    <row r="628" spans="1:26" ht="9.9499999999999993" customHeight="1" thickBot="1" x14ac:dyDescent="0.35">
      <c r="B628" s="9"/>
      <c r="C628" s="109">
        <v>857</v>
      </c>
      <c r="D628" s="51"/>
      <c r="E628" s="12"/>
      <c r="F628" s="51"/>
      <c r="G628" s="14"/>
      <c r="H628" s="14"/>
      <c r="I628" s="14"/>
      <c r="J628" s="14"/>
      <c r="K628" s="14"/>
      <c r="L628" s="14"/>
      <c r="M628" s="9"/>
      <c r="N628" s="32"/>
      <c r="U628" s="18"/>
      <c r="V628" s="18"/>
      <c r="Z628" s="33">
        <v>45179</v>
      </c>
    </row>
    <row r="629" spans="1:26" ht="6.95" customHeight="1" x14ac:dyDescent="0.3">
      <c r="A629" s="154">
        <f>+A618+1</f>
        <v>858</v>
      </c>
      <c r="B629" s="155"/>
      <c r="C629" s="156"/>
      <c r="D629" s="161" t="s">
        <v>39</v>
      </c>
      <c r="E629" s="162" t="s">
        <v>222</v>
      </c>
      <c r="F629" s="163" t="s">
        <v>40</v>
      </c>
      <c r="G629" s="164" t="s">
        <v>252</v>
      </c>
      <c r="H629" s="165">
        <v>0.5</v>
      </c>
      <c r="I629" s="164"/>
      <c r="J629" s="165"/>
      <c r="K629" s="164"/>
      <c r="L629" s="165"/>
      <c r="M629" s="6"/>
      <c r="N629" s="32"/>
      <c r="Q629" s="10" t="str">
        <f>+CONCATENATE(E629,G629)</f>
        <v>보온덕트벽체1800*1400</v>
      </c>
      <c r="R629" s="10">
        <f>+H629</f>
        <v>0.5</v>
      </c>
      <c r="S629" s="11"/>
      <c r="T629" s="10" t="str">
        <f>+E629</f>
        <v>보온덕트벽체</v>
      </c>
      <c r="U629" s="19" t="str">
        <f>IFERROR(LEFT(G629,FIND("*",G629)-1),"-")</f>
        <v>1800</v>
      </c>
      <c r="V629" s="19" t="str">
        <f>IFERROR(RIGHT(G629,LEN(G629)-FIND("*",G629)),"-")</f>
        <v>1400</v>
      </c>
      <c r="W629" s="20">
        <f>IFERROR((U629+V629)*2/1000,"-")</f>
        <v>6.4</v>
      </c>
      <c r="X629" s="20">
        <f>IFERROR(W629*H629,"-")</f>
        <v>3.2</v>
      </c>
      <c r="Z629" s="33">
        <v>45179</v>
      </c>
    </row>
    <row r="630" spans="1:26" ht="6.95" customHeight="1" x14ac:dyDescent="0.3">
      <c r="A630" s="154"/>
      <c r="B630" s="157"/>
      <c r="C630" s="158"/>
      <c r="D630" s="161"/>
      <c r="E630" s="162"/>
      <c r="F630" s="163"/>
      <c r="G630" s="164"/>
      <c r="H630" s="165"/>
      <c r="I630" s="164"/>
      <c r="J630" s="165"/>
      <c r="K630" s="164"/>
      <c r="L630" s="165"/>
      <c r="M630" s="6"/>
      <c r="N630" s="32"/>
      <c r="Q630" s="10" t="str">
        <f>+CONCATENATE(E629,I629)</f>
        <v>보온덕트벽체</v>
      </c>
      <c r="R630" s="10">
        <f>+J629</f>
        <v>0</v>
      </c>
      <c r="S630" s="11"/>
      <c r="T630" s="10" t="str">
        <f>+E629</f>
        <v>보온덕트벽체</v>
      </c>
      <c r="U630" s="19" t="str">
        <f>IFERROR(LEFT(I629,FIND("*",I629)-1),"-")</f>
        <v>-</v>
      </c>
      <c r="V630" s="19" t="str">
        <f>IFERROR(RIGHT(I629,LEN(I629)-FIND("*",I629)),"-")</f>
        <v>-</v>
      </c>
      <c r="W630" s="20" t="str">
        <f t="shared" ref="W630:W637" si="340">IFERROR((U630+V630)*2/1000,"-")</f>
        <v>-</v>
      </c>
      <c r="X630" s="20" t="str">
        <f>IFERROR(W630*J629,"-")</f>
        <v>-</v>
      </c>
      <c r="Z630" s="33">
        <v>45179</v>
      </c>
    </row>
    <row r="631" spans="1:26" ht="6.95" customHeight="1" x14ac:dyDescent="0.3">
      <c r="A631" s="154"/>
      <c r="B631" s="157"/>
      <c r="C631" s="158"/>
      <c r="D631" s="161"/>
      <c r="E631" s="162"/>
      <c r="F631" s="163"/>
      <c r="G631" s="164"/>
      <c r="H631" s="165"/>
      <c r="I631" s="164"/>
      <c r="J631" s="165"/>
      <c r="K631" s="164"/>
      <c r="L631" s="165"/>
      <c r="M631" s="6"/>
      <c r="N631" s="32"/>
      <c r="Q631" s="10" t="str">
        <f>+CONCATENATE(E629,K629)</f>
        <v>보온덕트벽체</v>
      </c>
      <c r="R631" s="10">
        <f>+L629</f>
        <v>0</v>
      </c>
      <c r="S631" s="11"/>
      <c r="T631" s="10" t="str">
        <f>+E629</f>
        <v>보온덕트벽체</v>
      </c>
      <c r="U631" s="19" t="str">
        <f>IFERROR(LEFT(K629,FIND("*",K629)-1),"-")</f>
        <v>-</v>
      </c>
      <c r="V631" s="19" t="str">
        <f>IFERROR(RIGHT(K629,LEN(K629)-FIND("*",K629)),"-")</f>
        <v>-</v>
      </c>
      <c r="W631" s="20" t="str">
        <f t="shared" si="340"/>
        <v>-</v>
      </c>
      <c r="X631" s="20" t="str">
        <f>IFERROR(W631*L629,"-")</f>
        <v>-</v>
      </c>
      <c r="Z631" s="33">
        <v>45179</v>
      </c>
    </row>
    <row r="632" spans="1:26" ht="6.95" customHeight="1" x14ac:dyDescent="0.3">
      <c r="A632" s="8"/>
      <c r="B632" s="157"/>
      <c r="C632" s="158"/>
      <c r="D632" s="161" t="s">
        <v>39</v>
      </c>
      <c r="E632" s="162" t="s">
        <v>66</v>
      </c>
      <c r="F632" s="163" t="s">
        <v>40</v>
      </c>
      <c r="G632" s="164" t="s">
        <v>253</v>
      </c>
      <c r="H632" s="165">
        <v>1</v>
      </c>
      <c r="I632" s="164"/>
      <c r="J632" s="165"/>
      <c r="K632" s="164"/>
      <c r="L632" s="165"/>
      <c r="M632" s="6"/>
      <c r="N632" s="32"/>
      <c r="Q632" s="10" t="str">
        <f>+CONCATENATE(E632,G632)</f>
        <v>차열재마감1800*1400</v>
      </c>
      <c r="R632" s="10">
        <f>+H632</f>
        <v>1</v>
      </c>
      <c r="S632" s="11"/>
      <c r="T632" s="10" t="str">
        <f>+E632</f>
        <v>차열재마감</v>
      </c>
      <c r="U632" s="19" t="str">
        <f t="shared" ref="U632" si="341">IFERROR(LEFT(G632,FIND("*",G632)-1),"-")</f>
        <v>1800</v>
      </c>
      <c r="V632" s="19" t="str">
        <f t="shared" ref="V632" si="342">IFERROR(RIGHT(G632,LEN(G632)-FIND("*",G632)),"-")</f>
        <v>1400</v>
      </c>
      <c r="W632" s="20">
        <f t="shared" si="340"/>
        <v>6.4</v>
      </c>
      <c r="X632" s="20">
        <f>IFERROR(W632*H632,"-")</f>
        <v>6.4</v>
      </c>
      <c r="Z632" s="33">
        <v>45179</v>
      </c>
    </row>
    <row r="633" spans="1:26" ht="6.95" customHeight="1" x14ac:dyDescent="0.3">
      <c r="A633" s="5"/>
      <c r="B633" s="157"/>
      <c r="C633" s="158"/>
      <c r="D633" s="161"/>
      <c r="E633" s="162"/>
      <c r="F633" s="163"/>
      <c r="G633" s="164"/>
      <c r="H633" s="165"/>
      <c r="I633" s="164"/>
      <c r="J633" s="165"/>
      <c r="K633" s="164"/>
      <c r="L633" s="165"/>
      <c r="M633" s="6"/>
      <c r="N633" s="32"/>
      <c r="Q633" s="10" t="str">
        <f>+CONCATENATE(E632,I632)</f>
        <v>차열재마감</v>
      </c>
      <c r="R633" s="10">
        <f>+J632</f>
        <v>0</v>
      </c>
      <c r="S633" s="11"/>
      <c r="T633" s="10" t="str">
        <f>+E632</f>
        <v>차열재마감</v>
      </c>
      <c r="U633" s="19" t="str">
        <f>IFERROR(LEFT(I632,FIND("*",I632)-1),"-")</f>
        <v>-</v>
      </c>
      <c r="V633" s="19" t="str">
        <f>IFERROR(RIGHT(I632,LEN(I632)-FIND("*",I632)),"-")</f>
        <v>-</v>
      </c>
      <c r="W633" s="20" t="str">
        <f t="shared" si="340"/>
        <v>-</v>
      </c>
      <c r="X633" s="20" t="str">
        <f>IFERROR(W633*J632,"-")</f>
        <v>-</v>
      </c>
      <c r="Z633" s="33">
        <v>45179</v>
      </c>
    </row>
    <row r="634" spans="1:26" ht="6.95" customHeight="1" x14ac:dyDescent="0.3">
      <c r="A634" s="5"/>
      <c r="B634" s="157"/>
      <c r="C634" s="158"/>
      <c r="D634" s="161"/>
      <c r="E634" s="162"/>
      <c r="F634" s="163"/>
      <c r="G634" s="164"/>
      <c r="H634" s="165"/>
      <c r="I634" s="164"/>
      <c r="J634" s="165"/>
      <c r="K634" s="164"/>
      <c r="L634" s="165"/>
      <c r="M634" s="6"/>
      <c r="N634" s="32"/>
      <c r="Q634" s="10" t="str">
        <f>+CONCATENATE(E632,K632)</f>
        <v>차열재마감</v>
      </c>
      <c r="R634" s="10">
        <f>+L632</f>
        <v>0</v>
      </c>
      <c r="S634" s="11"/>
      <c r="T634" s="10" t="str">
        <f>+E632</f>
        <v>차열재마감</v>
      </c>
      <c r="U634" s="19" t="str">
        <f>IFERROR(LEFT(K632,FIND("*",K632)-1),"-")</f>
        <v>-</v>
      </c>
      <c r="V634" s="19" t="str">
        <f>IFERROR(RIGHT(K632,LEN(K632)-FIND("*",K632)),"-")</f>
        <v>-</v>
      </c>
      <c r="W634" s="20" t="str">
        <f t="shared" si="340"/>
        <v>-</v>
      </c>
      <c r="X634" s="20" t="str">
        <f>IFERROR(W634*L632,"-")</f>
        <v>-</v>
      </c>
      <c r="Z634" s="33">
        <v>45179</v>
      </c>
    </row>
    <row r="635" spans="1:26" ht="6.95" customHeight="1" x14ac:dyDescent="0.3">
      <c r="A635" s="8"/>
      <c r="B635" s="157"/>
      <c r="C635" s="158"/>
      <c r="D635" s="161" t="s">
        <v>39</v>
      </c>
      <c r="E635" s="162"/>
      <c r="F635" s="163" t="s">
        <v>40</v>
      </c>
      <c r="G635" s="164"/>
      <c r="H635" s="165"/>
      <c r="I635" s="164"/>
      <c r="J635" s="165"/>
      <c r="K635" s="164"/>
      <c r="L635" s="165"/>
      <c r="M635" s="6"/>
      <c r="N635" s="32"/>
      <c r="Q635" s="10" t="str">
        <f>+CONCATENATE(E635,G635)</f>
        <v/>
      </c>
      <c r="R635" s="10">
        <f>+H635</f>
        <v>0</v>
      </c>
      <c r="S635" s="11"/>
      <c r="T635" s="10">
        <f>+E635</f>
        <v>0</v>
      </c>
      <c r="U635" s="19" t="str">
        <f t="shared" ref="U635" si="343">IFERROR(LEFT(G635,FIND("*",G635)-1),"-")</f>
        <v>-</v>
      </c>
      <c r="V635" s="19" t="str">
        <f t="shared" ref="V635" si="344">IFERROR(RIGHT(G635,LEN(G635)-FIND("*",G635)),"-")</f>
        <v>-</v>
      </c>
      <c r="W635" s="20" t="str">
        <f t="shared" si="340"/>
        <v>-</v>
      </c>
      <c r="X635" s="20" t="str">
        <f>IFERROR(W635*H635,"-")</f>
        <v>-</v>
      </c>
      <c r="Z635" s="33">
        <v>45179</v>
      </c>
    </row>
    <row r="636" spans="1:26" ht="6.95" customHeight="1" x14ac:dyDescent="0.3">
      <c r="A636" s="5"/>
      <c r="B636" s="157"/>
      <c r="C636" s="158"/>
      <c r="D636" s="161"/>
      <c r="E636" s="162"/>
      <c r="F636" s="163"/>
      <c r="G636" s="164"/>
      <c r="H636" s="165"/>
      <c r="I636" s="164"/>
      <c r="J636" s="165"/>
      <c r="K636" s="164"/>
      <c r="L636" s="165"/>
      <c r="M636" s="6"/>
      <c r="N636" s="32"/>
      <c r="Q636" s="10" t="str">
        <f>+CONCATENATE(E635,I635)</f>
        <v/>
      </c>
      <c r="R636" s="10">
        <f>+J635</f>
        <v>0</v>
      </c>
      <c r="S636" s="11"/>
      <c r="T636" s="10">
        <f>+E635</f>
        <v>0</v>
      </c>
      <c r="U636" s="19" t="str">
        <f>IFERROR(LEFT(I635,FIND("*",I635)-1),"-")</f>
        <v>-</v>
      </c>
      <c r="V636" s="19" t="str">
        <f>IFERROR(RIGHT(I635,LEN(I635)-FIND("*",I635)),"-")</f>
        <v>-</v>
      </c>
      <c r="W636" s="20" t="str">
        <f t="shared" si="340"/>
        <v>-</v>
      </c>
      <c r="X636" s="20" t="str">
        <f t="shared" ref="X636" si="345">IFERROR(W636*J635,"-")</f>
        <v>-</v>
      </c>
      <c r="Z636" s="33">
        <v>45179</v>
      </c>
    </row>
    <row r="637" spans="1:26" ht="6.95" customHeight="1" x14ac:dyDescent="0.3">
      <c r="A637" s="5"/>
      <c r="B637" s="157"/>
      <c r="C637" s="158"/>
      <c r="D637" s="161"/>
      <c r="E637" s="162"/>
      <c r="F637" s="163"/>
      <c r="G637" s="164"/>
      <c r="H637" s="165"/>
      <c r="I637" s="164"/>
      <c r="J637" s="165"/>
      <c r="K637" s="164"/>
      <c r="L637" s="165"/>
      <c r="M637" s="6"/>
      <c r="N637" s="32"/>
      <c r="Q637" s="10" t="str">
        <f>+CONCATENATE(E635,K635)</f>
        <v/>
      </c>
      <c r="R637" s="10">
        <f>+L635</f>
        <v>0</v>
      </c>
      <c r="S637" s="11"/>
      <c r="T637" s="10">
        <f>+E635</f>
        <v>0</v>
      </c>
      <c r="U637" s="19" t="str">
        <f>IFERROR(LEFT(K635,FIND("*",K635)-1),"-")</f>
        <v>-</v>
      </c>
      <c r="V637" s="19" t="str">
        <f>IFERROR(RIGHT(K635,LEN(K635)-FIND("*",K635)),"-")</f>
        <v>-</v>
      </c>
      <c r="W637" s="20" t="str">
        <f t="shared" si="340"/>
        <v>-</v>
      </c>
      <c r="X637" s="20" t="str">
        <f>IFERROR(W637*L635,"-")</f>
        <v>-</v>
      </c>
      <c r="Z637" s="33">
        <v>45179</v>
      </c>
    </row>
    <row r="638" spans="1:26" ht="21" customHeight="1" thickBot="1" x14ac:dyDescent="0.35">
      <c r="A638" s="5"/>
      <c r="B638" s="159"/>
      <c r="C638" s="160"/>
      <c r="D638" s="166" t="s">
        <v>43</v>
      </c>
      <c r="E638" s="167"/>
      <c r="F638" s="167"/>
      <c r="G638" s="168" t="s">
        <v>237</v>
      </c>
      <c r="H638" s="168"/>
      <c r="I638" s="168"/>
      <c r="J638" s="168"/>
      <c r="K638" s="168"/>
      <c r="L638" s="168"/>
      <c r="M638" s="7"/>
      <c r="N638" s="32"/>
      <c r="Z638" s="33">
        <v>45179</v>
      </c>
    </row>
    <row r="639" spans="1:26" ht="9.9499999999999993" customHeight="1" thickBot="1" x14ac:dyDescent="0.35">
      <c r="B639" s="9"/>
      <c r="C639" s="109">
        <v>858</v>
      </c>
      <c r="D639" s="51"/>
      <c r="E639" s="12"/>
      <c r="F639" s="51"/>
      <c r="G639" s="14"/>
      <c r="H639" s="14"/>
      <c r="I639" s="14"/>
      <c r="J639" s="14"/>
      <c r="K639" s="14"/>
      <c r="L639" s="14"/>
      <c r="M639" s="9"/>
      <c r="N639" s="32"/>
      <c r="U639" s="18"/>
      <c r="V639" s="18"/>
      <c r="Z639" s="33">
        <v>45179</v>
      </c>
    </row>
    <row r="640" spans="1:26" ht="6.95" customHeight="1" x14ac:dyDescent="0.3">
      <c r="A640" s="154">
        <f>+A629+1</f>
        <v>859</v>
      </c>
      <c r="B640" s="155"/>
      <c r="C640" s="156"/>
      <c r="D640" s="161" t="s">
        <v>39</v>
      </c>
      <c r="E640" s="162" t="s">
        <v>222</v>
      </c>
      <c r="F640" s="163" t="s">
        <v>40</v>
      </c>
      <c r="G640" s="164" t="s">
        <v>248</v>
      </c>
      <c r="H640" s="165">
        <v>0.5</v>
      </c>
      <c r="I640" s="164"/>
      <c r="J640" s="165"/>
      <c r="K640" s="164"/>
      <c r="L640" s="165"/>
      <c r="M640" s="6"/>
      <c r="N640" s="32"/>
      <c r="Q640" s="10" t="str">
        <f>+CONCATENATE(E640,G640)</f>
        <v>보온덕트벽체1600*500</v>
      </c>
      <c r="R640" s="10">
        <f>+H640</f>
        <v>0.5</v>
      </c>
      <c r="S640" s="11"/>
      <c r="T640" s="10" t="str">
        <f>+E640</f>
        <v>보온덕트벽체</v>
      </c>
      <c r="U640" s="19" t="str">
        <f>IFERROR(LEFT(G640,FIND("*",G640)-1),"-")</f>
        <v>1600</v>
      </c>
      <c r="V640" s="19" t="str">
        <f>IFERROR(RIGHT(G640,LEN(G640)-FIND("*",G640)),"-")</f>
        <v>500</v>
      </c>
      <c r="W640" s="20">
        <f>IFERROR((U640+V640)*2/1000,"-")</f>
        <v>4.2</v>
      </c>
      <c r="X640" s="20">
        <f>IFERROR(W640*H640,"-")</f>
        <v>2.1</v>
      </c>
      <c r="Z640" s="33">
        <v>45179</v>
      </c>
    </row>
    <row r="641" spans="1:26" ht="6.95" customHeight="1" x14ac:dyDescent="0.3">
      <c r="A641" s="154"/>
      <c r="B641" s="157"/>
      <c r="C641" s="158"/>
      <c r="D641" s="161"/>
      <c r="E641" s="162"/>
      <c r="F641" s="163"/>
      <c r="G641" s="164"/>
      <c r="H641" s="165"/>
      <c r="I641" s="164"/>
      <c r="J641" s="165"/>
      <c r="K641" s="164"/>
      <c r="L641" s="165"/>
      <c r="M641" s="6"/>
      <c r="N641" s="32"/>
      <c r="Q641" s="10" t="str">
        <f>+CONCATENATE(E640,I640)</f>
        <v>보온덕트벽체</v>
      </c>
      <c r="R641" s="10">
        <f>+J640</f>
        <v>0</v>
      </c>
      <c r="S641" s="11"/>
      <c r="T641" s="10" t="str">
        <f>+E640</f>
        <v>보온덕트벽체</v>
      </c>
      <c r="U641" s="19" t="str">
        <f>IFERROR(LEFT(I640,FIND("*",I640)-1),"-")</f>
        <v>-</v>
      </c>
      <c r="V641" s="19" t="str">
        <f>IFERROR(RIGHT(I640,LEN(I640)-FIND("*",I640)),"-")</f>
        <v>-</v>
      </c>
      <c r="W641" s="20" t="str">
        <f t="shared" ref="W641:W648" si="346">IFERROR((U641+V641)*2/1000,"-")</f>
        <v>-</v>
      </c>
      <c r="X641" s="20" t="str">
        <f>IFERROR(W641*J640,"-")</f>
        <v>-</v>
      </c>
      <c r="Z641" s="33">
        <v>45179</v>
      </c>
    </row>
    <row r="642" spans="1:26" ht="6.95" customHeight="1" x14ac:dyDescent="0.3">
      <c r="A642" s="154"/>
      <c r="B642" s="157"/>
      <c r="C642" s="158"/>
      <c r="D642" s="161"/>
      <c r="E642" s="162"/>
      <c r="F642" s="163"/>
      <c r="G642" s="164"/>
      <c r="H642" s="165"/>
      <c r="I642" s="164"/>
      <c r="J642" s="165"/>
      <c r="K642" s="164"/>
      <c r="L642" s="165"/>
      <c r="M642" s="6"/>
      <c r="N642" s="32"/>
      <c r="Q642" s="10" t="str">
        <f>+CONCATENATE(E640,K640)</f>
        <v>보온덕트벽체</v>
      </c>
      <c r="R642" s="10">
        <f>+L640</f>
        <v>0</v>
      </c>
      <c r="S642" s="11"/>
      <c r="T642" s="10" t="str">
        <f>+E640</f>
        <v>보온덕트벽체</v>
      </c>
      <c r="U642" s="19" t="str">
        <f>IFERROR(LEFT(K640,FIND("*",K640)-1),"-")</f>
        <v>-</v>
      </c>
      <c r="V642" s="19" t="str">
        <f>IFERROR(RIGHT(K640,LEN(K640)-FIND("*",K640)),"-")</f>
        <v>-</v>
      </c>
      <c r="W642" s="20" t="str">
        <f t="shared" si="346"/>
        <v>-</v>
      </c>
      <c r="X642" s="20" t="str">
        <f>IFERROR(W642*L640,"-")</f>
        <v>-</v>
      </c>
      <c r="Z642" s="33">
        <v>45179</v>
      </c>
    </row>
    <row r="643" spans="1:26" ht="6.95" customHeight="1" x14ac:dyDescent="0.3">
      <c r="A643" s="8"/>
      <c r="B643" s="157"/>
      <c r="C643" s="158"/>
      <c r="D643" s="161" t="s">
        <v>39</v>
      </c>
      <c r="E643" s="162" t="s">
        <v>66</v>
      </c>
      <c r="F643" s="163" t="s">
        <v>40</v>
      </c>
      <c r="G643" s="164" t="s">
        <v>248</v>
      </c>
      <c r="H643" s="165">
        <v>1</v>
      </c>
      <c r="I643" s="164"/>
      <c r="J643" s="165"/>
      <c r="K643" s="164"/>
      <c r="L643" s="165"/>
      <c r="M643" s="6"/>
      <c r="N643" s="32"/>
      <c r="Q643" s="10" t="str">
        <f>+CONCATENATE(E643,G643)</f>
        <v>차열재마감1600*500</v>
      </c>
      <c r="R643" s="10">
        <f>+H643</f>
        <v>1</v>
      </c>
      <c r="S643" s="11"/>
      <c r="T643" s="10" t="str">
        <f>+E643</f>
        <v>차열재마감</v>
      </c>
      <c r="U643" s="19" t="str">
        <f t="shared" ref="U643" si="347">IFERROR(LEFT(G643,FIND("*",G643)-1),"-")</f>
        <v>1600</v>
      </c>
      <c r="V643" s="19" t="str">
        <f t="shared" ref="V643" si="348">IFERROR(RIGHT(G643,LEN(G643)-FIND("*",G643)),"-")</f>
        <v>500</v>
      </c>
      <c r="W643" s="20">
        <f t="shared" si="346"/>
        <v>4.2</v>
      </c>
      <c r="X643" s="20">
        <f>IFERROR(W643*H643,"-")</f>
        <v>4.2</v>
      </c>
      <c r="Z643" s="33">
        <v>45179</v>
      </c>
    </row>
    <row r="644" spans="1:26" ht="6.95" customHeight="1" x14ac:dyDescent="0.3">
      <c r="A644" s="5"/>
      <c r="B644" s="157"/>
      <c r="C644" s="158"/>
      <c r="D644" s="161"/>
      <c r="E644" s="162"/>
      <c r="F644" s="163"/>
      <c r="G644" s="164"/>
      <c r="H644" s="165"/>
      <c r="I644" s="164"/>
      <c r="J644" s="165"/>
      <c r="K644" s="164"/>
      <c r="L644" s="165"/>
      <c r="M644" s="6"/>
      <c r="N644" s="32"/>
      <c r="Q644" s="10" t="str">
        <f>+CONCATENATE(E643,I643)</f>
        <v>차열재마감</v>
      </c>
      <c r="R644" s="10">
        <f>+J643</f>
        <v>0</v>
      </c>
      <c r="S644" s="11"/>
      <c r="T644" s="10" t="str">
        <f>+E643</f>
        <v>차열재마감</v>
      </c>
      <c r="U644" s="19" t="str">
        <f>IFERROR(LEFT(I643,FIND("*",I643)-1),"-")</f>
        <v>-</v>
      </c>
      <c r="V644" s="19" t="str">
        <f>IFERROR(RIGHT(I643,LEN(I643)-FIND("*",I643)),"-")</f>
        <v>-</v>
      </c>
      <c r="W644" s="20" t="str">
        <f t="shared" si="346"/>
        <v>-</v>
      </c>
      <c r="X644" s="20" t="str">
        <f>IFERROR(W644*J643,"-")</f>
        <v>-</v>
      </c>
      <c r="Z644" s="33">
        <v>45179</v>
      </c>
    </row>
    <row r="645" spans="1:26" ht="6.95" customHeight="1" x14ac:dyDescent="0.3">
      <c r="A645" s="5"/>
      <c r="B645" s="157"/>
      <c r="C645" s="158"/>
      <c r="D645" s="161"/>
      <c r="E645" s="162"/>
      <c r="F645" s="163"/>
      <c r="G645" s="164"/>
      <c r="H645" s="165"/>
      <c r="I645" s="164"/>
      <c r="J645" s="165"/>
      <c r="K645" s="164"/>
      <c r="L645" s="165"/>
      <c r="M645" s="6"/>
      <c r="N645" s="32"/>
      <c r="Q645" s="10" t="str">
        <f>+CONCATENATE(E643,K643)</f>
        <v>차열재마감</v>
      </c>
      <c r="R645" s="10">
        <f>+L643</f>
        <v>0</v>
      </c>
      <c r="S645" s="11"/>
      <c r="T645" s="10" t="str">
        <f>+E643</f>
        <v>차열재마감</v>
      </c>
      <c r="U645" s="19" t="str">
        <f>IFERROR(LEFT(K643,FIND("*",K643)-1),"-")</f>
        <v>-</v>
      </c>
      <c r="V645" s="19" t="str">
        <f>IFERROR(RIGHT(K643,LEN(K643)-FIND("*",K643)),"-")</f>
        <v>-</v>
      </c>
      <c r="W645" s="20" t="str">
        <f t="shared" si="346"/>
        <v>-</v>
      </c>
      <c r="X645" s="20" t="str">
        <f>IFERROR(W645*L643,"-")</f>
        <v>-</v>
      </c>
      <c r="Z645" s="33">
        <v>45179</v>
      </c>
    </row>
    <row r="646" spans="1:26" ht="6.95" customHeight="1" x14ac:dyDescent="0.3">
      <c r="A646" s="8"/>
      <c r="B646" s="157"/>
      <c r="C646" s="158"/>
      <c r="D646" s="161" t="s">
        <v>39</v>
      </c>
      <c r="E646" s="162"/>
      <c r="F646" s="163" t="s">
        <v>40</v>
      </c>
      <c r="G646" s="164"/>
      <c r="H646" s="165"/>
      <c r="I646" s="164"/>
      <c r="J646" s="165"/>
      <c r="K646" s="164"/>
      <c r="L646" s="165"/>
      <c r="M646" s="6"/>
      <c r="N646" s="32"/>
      <c r="Q646" s="10" t="str">
        <f>+CONCATENATE(E646,G646)</f>
        <v/>
      </c>
      <c r="R646" s="10">
        <f>+H646</f>
        <v>0</v>
      </c>
      <c r="S646" s="11"/>
      <c r="T646" s="10">
        <f>+E646</f>
        <v>0</v>
      </c>
      <c r="U646" s="19" t="str">
        <f t="shared" ref="U646" si="349">IFERROR(LEFT(G646,FIND("*",G646)-1),"-")</f>
        <v>-</v>
      </c>
      <c r="V646" s="19" t="str">
        <f t="shared" ref="V646" si="350">IFERROR(RIGHT(G646,LEN(G646)-FIND("*",G646)),"-")</f>
        <v>-</v>
      </c>
      <c r="W646" s="20" t="str">
        <f t="shared" si="346"/>
        <v>-</v>
      </c>
      <c r="X646" s="20" t="str">
        <f>IFERROR(W646*H646,"-")</f>
        <v>-</v>
      </c>
      <c r="Z646" s="33">
        <v>45179</v>
      </c>
    </row>
    <row r="647" spans="1:26" ht="6.95" customHeight="1" x14ac:dyDescent="0.3">
      <c r="A647" s="5"/>
      <c r="B647" s="157"/>
      <c r="C647" s="158"/>
      <c r="D647" s="161"/>
      <c r="E647" s="162"/>
      <c r="F647" s="163"/>
      <c r="G647" s="164"/>
      <c r="H647" s="165"/>
      <c r="I647" s="164"/>
      <c r="J647" s="165"/>
      <c r="K647" s="164"/>
      <c r="L647" s="165"/>
      <c r="M647" s="6"/>
      <c r="N647" s="32"/>
      <c r="Q647" s="10" t="str">
        <f>+CONCATENATE(E646,I646)</f>
        <v/>
      </c>
      <c r="R647" s="10">
        <f>+J646</f>
        <v>0</v>
      </c>
      <c r="S647" s="11"/>
      <c r="T647" s="10">
        <f>+E646</f>
        <v>0</v>
      </c>
      <c r="U647" s="19" t="str">
        <f>IFERROR(LEFT(I646,FIND("*",I646)-1),"-")</f>
        <v>-</v>
      </c>
      <c r="V647" s="19" t="str">
        <f>IFERROR(RIGHT(I646,LEN(I646)-FIND("*",I646)),"-")</f>
        <v>-</v>
      </c>
      <c r="W647" s="20" t="str">
        <f t="shared" si="346"/>
        <v>-</v>
      </c>
      <c r="X647" s="20" t="str">
        <f t="shared" ref="X647" si="351">IFERROR(W647*J646,"-")</f>
        <v>-</v>
      </c>
      <c r="Z647" s="33">
        <v>45179</v>
      </c>
    </row>
    <row r="648" spans="1:26" ht="6.95" customHeight="1" x14ac:dyDescent="0.3">
      <c r="A648" s="5"/>
      <c r="B648" s="157"/>
      <c r="C648" s="158"/>
      <c r="D648" s="161"/>
      <c r="E648" s="162"/>
      <c r="F648" s="163"/>
      <c r="G648" s="164"/>
      <c r="H648" s="165"/>
      <c r="I648" s="164"/>
      <c r="J648" s="165"/>
      <c r="K648" s="164"/>
      <c r="L648" s="165"/>
      <c r="M648" s="6"/>
      <c r="N648" s="32"/>
      <c r="Q648" s="10" t="str">
        <f>+CONCATENATE(E646,K646)</f>
        <v/>
      </c>
      <c r="R648" s="10">
        <f>+L646</f>
        <v>0</v>
      </c>
      <c r="S648" s="11"/>
      <c r="T648" s="10">
        <f>+E646</f>
        <v>0</v>
      </c>
      <c r="U648" s="19" t="str">
        <f>IFERROR(LEFT(K646,FIND("*",K646)-1),"-")</f>
        <v>-</v>
      </c>
      <c r="V648" s="19" t="str">
        <f>IFERROR(RIGHT(K646,LEN(K646)-FIND("*",K646)),"-")</f>
        <v>-</v>
      </c>
      <c r="W648" s="20" t="str">
        <f t="shared" si="346"/>
        <v>-</v>
      </c>
      <c r="X648" s="20" t="str">
        <f>IFERROR(W648*L646,"-")</f>
        <v>-</v>
      </c>
      <c r="Z648" s="33">
        <v>45179</v>
      </c>
    </row>
    <row r="649" spans="1:26" ht="21" customHeight="1" thickBot="1" x14ac:dyDescent="0.35">
      <c r="A649" s="5"/>
      <c r="B649" s="159"/>
      <c r="C649" s="160"/>
      <c r="D649" s="166" t="s">
        <v>43</v>
      </c>
      <c r="E649" s="167"/>
      <c r="F649" s="167"/>
      <c r="G649" s="168" t="s">
        <v>238</v>
      </c>
      <c r="H649" s="168"/>
      <c r="I649" s="168"/>
      <c r="J649" s="168"/>
      <c r="K649" s="168"/>
      <c r="L649" s="168"/>
      <c r="M649" s="7"/>
      <c r="N649" s="32"/>
      <c r="Z649" s="33">
        <v>45179</v>
      </c>
    </row>
    <row r="650" spans="1:26" ht="9.9499999999999993" customHeight="1" thickBot="1" x14ac:dyDescent="0.35">
      <c r="B650" s="9"/>
      <c r="C650" s="109">
        <v>859</v>
      </c>
      <c r="D650" s="51"/>
      <c r="E650" s="12"/>
      <c r="F650" s="51"/>
      <c r="G650" s="14"/>
      <c r="H650" s="14"/>
      <c r="I650" s="14"/>
      <c r="J650" s="14"/>
      <c r="K650" s="14"/>
      <c r="L650" s="14"/>
      <c r="M650" s="9"/>
      <c r="N650" s="32"/>
      <c r="U650" s="18"/>
      <c r="V650" s="18"/>
      <c r="Z650" s="33">
        <v>45179</v>
      </c>
    </row>
    <row r="651" spans="1:26" ht="6.95" customHeight="1" x14ac:dyDescent="0.3">
      <c r="A651" s="154">
        <f>+A640+1</f>
        <v>860</v>
      </c>
      <c r="B651" s="155"/>
      <c r="C651" s="156"/>
      <c r="D651" s="161" t="s">
        <v>39</v>
      </c>
      <c r="E651" s="162" t="s">
        <v>222</v>
      </c>
      <c r="F651" s="163" t="s">
        <v>40</v>
      </c>
      <c r="G651" s="164" t="s">
        <v>254</v>
      </c>
      <c r="H651" s="165">
        <v>1</v>
      </c>
      <c r="I651" s="164"/>
      <c r="J651" s="165"/>
      <c r="K651" s="164"/>
      <c r="L651" s="165"/>
      <c r="M651" s="6"/>
      <c r="N651" s="32"/>
      <c r="Q651" s="10" t="str">
        <f>+CONCATENATE(E651,G651)</f>
        <v>보온덕트벽체700*400</v>
      </c>
      <c r="R651" s="10">
        <f>+H651</f>
        <v>1</v>
      </c>
      <c r="S651" s="11"/>
      <c r="T651" s="10" t="str">
        <f>+E651</f>
        <v>보온덕트벽체</v>
      </c>
      <c r="U651" s="19" t="str">
        <f>IFERROR(LEFT(G651,FIND("*",G651)-1),"-")</f>
        <v>700</v>
      </c>
      <c r="V651" s="19" t="str">
        <f>IFERROR(RIGHT(G651,LEN(G651)-FIND("*",G651)),"-")</f>
        <v>400</v>
      </c>
      <c r="W651" s="20">
        <f>IFERROR((U651+V651)*2/1000,"-")</f>
        <v>2.2000000000000002</v>
      </c>
      <c r="X651" s="20">
        <f>IFERROR(W651*H651,"-")</f>
        <v>2.2000000000000002</v>
      </c>
      <c r="Z651" s="33">
        <v>45179</v>
      </c>
    </row>
    <row r="652" spans="1:26" ht="6.95" customHeight="1" x14ac:dyDescent="0.3">
      <c r="A652" s="154"/>
      <c r="B652" s="157"/>
      <c r="C652" s="158"/>
      <c r="D652" s="161"/>
      <c r="E652" s="162"/>
      <c r="F652" s="163"/>
      <c r="G652" s="164"/>
      <c r="H652" s="165"/>
      <c r="I652" s="164"/>
      <c r="J652" s="165"/>
      <c r="K652" s="164"/>
      <c r="L652" s="165"/>
      <c r="M652" s="6"/>
      <c r="N652" s="32"/>
      <c r="Q652" s="10" t="str">
        <f>+CONCATENATE(E651,I651)</f>
        <v>보온덕트벽체</v>
      </c>
      <c r="R652" s="10">
        <f>+J651</f>
        <v>0</v>
      </c>
      <c r="S652" s="11"/>
      <c r="T652" s="10" t="str">
        <f>+E651</f>
        <v>보온덕트벽체</v>
      </c>
      <c r="U652" s="19" t="str">
        <f>IFERROR(LEFT(I651,FIND("*",I651)-1),"-")</f>
        <v>-</v>
      </c>
      <c r="V652" s="19" t="str">
        <f>IFERROR(RIGHT(I651,LEN(I651)-FIND("*",I651)),"-")</f>
        <v>-</v>
      </c>
      <c r="W652" s="20" t="str">
        <f t="shared" ref="W652:W659" si="352">IFERROR((U652+V652)*2/1000,"-")</f>
        <v>-</v>
      </c>
      <c r="X652" s="20" t="str">
        <f>IFERROR(W652*J651,"-")</f>
        <v>-</v>
      </c>
      <c r="Z652" s="33">
        <v>45179</v>
      </c>
    </row>
    <row r="653" spans="1:26" ht="6.95" customHeight="1" x14ac:dyDescent="0.3">
      <c r="A653" s="154"/>
      <c r="B653" s="157"/>
      <c r="C653" s="158"/>
      <c r="D653" s="161"/>
      <c r="E653" s="162"/>
      <c r="F653" s="163"/>
      <c r="G653" s="164"/>
      <c r="H653" s="165"/>
      <c r="I653" s="164"/>
      <c r="J653" s="165"/>
      <c r="K653" s="164"/>
      <c r="L653" s="165"/>
      <c r="M653" s="6"/>
      <c r="N653" s="32"/>
      <c r="Q653" s="10" t="str">
        <f>+CONCATENATE(E651,K651)</f>
        <v>보온덕트벽체</v>
      </c>
      <c r="R653" s="10">
        <f>+L651</f>
        <v>0</v>
      </c>
      <c r="S653" s="11"/>
      <c r="T653" s="10" t="str">
        <f>+E651</f>
        <v>보온덕트벽체</v>
      </c>
      <c r="U653" s="19" t="str">
        <f>IFERROR(LEFT(K651,FIND("*",K651)-1),"-")</f>
        <v>-</v>
      </c>
      <c r="V653" s="19" t="str">
        <f>IFERROR(RIGHT(K651,LEN(K651)-FIND("*",K651)),"-")</f>
        <v>-</v>
      </c>
      <c r="W653" s="20" t="str">
        <f t="shared" si="352"/>
        <v>-</v>
      </c>
      <c r="X653" s="20" t="str">
        <f>IFERROR(W653*L651,"-")</f>
        <v>-</v>
      </c>
      <c r="Z653" s="33">
        <v>45179</v>
      </c>
    </row>
    <row r="654" spans="1:26" ht="6.95" customHeight="1" x14ac:dyDescent="0.3">
      <c r="A654" s="8"/>
      <c r="B654" s="157"/>
      <c r="C654" s="158"/>
      <c r="D654" s="161" t="s">
        <v>39</v>
      </c>
      <c r="E654" s="162" t="s">
        <v>66</v>
      </c>
      <c r="F654" s="163" t="s">
        <v>40</v>
      </c>
      <c r="G654" s="164" t="s">
        <v>254</v>
      </c>
      <c r="H654" s="165">
        <v>2</v>
      </c>
      <c r="I654" s="164"/>
      <c r="J654" s="165"/>
      <c r="K654" s="164"/>
      <c r="L654" s="165"/>
      <c r="M654" s="6"/>
      <c r="N654" s="32"/>
      <c r="Q654" s="10" t="str">
        <f>+CONCATENATE(E654,G654)</f>
        <v>차열재마감700*400</v>
      </c>
      <c r="R654" s="10">
        <f>+H654</f>
        <v>2</v>
      </c>
      <c r="S654" s="11"/>
      <c r="T654" s="10" t="str">
        <f>+E654</f>
        <v>차열재마감</v>
      </c>
      <c r="U654" s="19" t="str">
        <f t="shared" ref="U654" si="353">IFERROR(LEFT(G654,FIND("*",G654)-1),"-")</f>
        <v>700</v>
      </c>
      <c r="V654" s="19" t="str">
        <f t="shared" ref="V654" si="354">IFERROR(RIGHT(G654,LEN(G654)-FIND("*",G654)),"-")</f>
        <v>400</v>
      </c>
      <c r="W654" s="20">
        <f t="shared" si="352"/>
        <v>2.2000000000000002</v>
      </c>
      <c r="X654" s="20">
        <f>IFERROR(W654*H654,"-")</f>
        <v>4.4000000000000004</v>
      </c>
      <c r="Z654" s="33">
        <v>45179</v>
      </c>
    </row>
    <row r="655" spans="1:26" ht="6.95" customHeight="1" x14ac:dyDescent="0.3">
      <c r="A655" s="5"/>
      <c r="B655" s="157"/>
      <c r="C655" s="158"/>
      <c r="D655" s="161"/>
      <c r="E655" s="162"/>
      <c r="F655" s="163"/>
      <c r="G655" s="164"/>
      <c r="H655" s="165"/>
      <c r="I655" s="164"/>
      <c r="J655" s="165"/>
      <c r="K655" s="164"/>
      <c r="L655" s="165"/>
      <c r="M655" s="6"/>
      <c r="N655" s="32"/>
      <c r="Q655" s="10" t="str">
        <f>+CONCATENATE(E654,I654)</f>
        <v>차열재마감</v>
      </c>
      <c r="R655" s="10">
        <f>+J654</f>
        <v>0</v>
      </c>
      <c r="S655" s="11"/>
      <c r="T655" s="10" t="str">
        <f>+E654</f>
        <v>차열재마감</v>
      </c>
      <c r="U655" s="19" t="str">
        <f>IFERROR(LEFT(I654,FIND("*",I654)-1),"-")</f>
        <v>-</v>
      </c>
      <c r="V655" s="19" t="str">
        <f>IFERROR(RIGHT(I654,LEN(I654)-FIND("*",I654)),"-")</f>
        <v>-</v>
      </c>
      <c r="W655" s="20" t="str">
        <f t="shared" si="352"/>
        <v>-</v>
      </c>
      <c r="X655" s="20" t="str">
        <f>IFERROR(W655*J654,"-")</f>
        <v>-</v>
      </c>
      <c r="Z655" s="33">
        <v>45179</v>
      </c>
    </row>
    <row r="656" spans="1:26" ht="6.95" customHeight="1" x14ac:dyDescent="0.3">
      <c r="A656" s="5"/>
      <c r="B656" s="157"/>
      <c r="C656" s="158"/>
      <c r="D656" s="161"/>
      <c r="E656" s="162"/>
      <c r="F656" s="163"/>
      <c r="G656" s="164"/>
      <c r="H656" s="165"/>
      <c r="I656" s="164"/>
      <c r="J656" s="165"/>
      <c r="K656" s="164"/>
      <c r="L656" s="165"/>
      <c r="M656" s="6"/>
      <c r="N656" s="32"/>
      <c r="Q656" s="10" t="str">
        <f>+CONCATENATE(E654,K654)</f>
        <v>차열재마감</v>
      </c>
      <c r="R656" s="10">
        <f>+L654</f>
        <v>0</v>
      </c>
      <c r="S656" s="11"/>
      <c r="T656" s="10" t="str">
        <f>+E654</f>
        <v>차열재마감</v>
      </c>
      <c r="U656" s="19" t="str">
        <f>IFERROR(LEFT(K654,FIND("*",K654)-1),"-")</f>
        <v>-</v>
      </c>
      <c r="V656" s="19" t="str">
        <f>IFERROR(RIGHT(K654,LEN(K654)-FIND("*",K654)),"-")</f>
        <v>-</v>
      </c>
      <c r="W656" s="20" t="str">
        <f t="shared" si="352"/>
        <v>-</v>
      </c>
      <c r="X656" s="20" t="str">
        <f>IFERROR(W656*L654,"-")</f>
        <v>-</v>
      </c>
      <c r="Z656" s="33">
        <v>45179</v>
      </c>
    </row>
    <row r="657" spans="1:26" ht="6.95" customHeight="1" x14ac:dyDescent="0.3">
      <c r="A657" s="8"/>
      <c r="B657" s="157"/>
      <c r="C657" s="158"/>
      <c r="D657" s="161" t="s">
        <v>39</v>
      </c>
      <c r="E657" s="162"/>
      <c r="F657" s="163" t="s">
        <v>40</v>
      </c>
      <c r="G657" s="164"/>
      <c r="H657" s="165"/>
      <c r="I657" s="164"/>
      <c r="J657" s="165"/>
      <c r="K657" s="164"/>
      <c r="L657" s="165"/>
      <c r="M657" s="6"/>
      <c r="N657" s="32"/>
      <c r="Q657" s="10" t="str">
        <f>+CONCATENATE(E657,G657)</f>
        <v/>
      </c>
      <c r="R657" s="10">
        <f>+H657</f>
        <v>0</v>
      </c>
      <c r="S657" s="11"/>
      <c r="T657" s="10">
        <f>+E657</f>
        <v>0</v>
      </c>
      <c r="U657" s="19" t="str">
        <f t="shared" ref="U657" si="355">IFERROR(LEFT(G657,FIND("*",G657)-1),"-")</f>
        <v>-</v>
      </c>
      <c r="V657" s="19" t="str">
        <f t="shared" ref="V657" si="356">IFERROR(RIGHT(G657,LEN(G657)-FIND("*",G657)),"-")</f>
        <v>-</v>
      </c>
      <c r="W657" s="20" t="str">
        <f t="shared" si="352"/>
        <v>-</v>
      </c>
      <c r="X657" s="20" t="str">
        <f>IFERROR(W657*H657,"-")</f>
        <v>-</v>
      </c>
      <c r="Z657" s="33">
        <v>45179</v>
      </c>
    </row>
    <row r="658" spans="1:26" ht="6.95" customHeight="1" x14ac:dyDescent="0.3">
      <c r="A658" s="5"/>
      <c r="B658" s="157"/>
      <c r="C658" s="158"/>
      <c r="D658" s="161"/>
      <c r="E658" s="162"/>
      <c r="F658" s="163"/>
      <c r="G658" s="164"/>
      <c r="H658" s="165"/>
      <c r="I658" s="164"/>
      <c r="J658" s="165"/>
      <c r="K658" s="164"/>
      <c r="L658" s="165"/>
      <c r="M658" s="6"/>
      <c r="N658" s="32"/>
      <c r="Q658" s="10" t="str">
        <f>+CONCATENATE(E657,I657)</f>
        <v/>
      </c>
      <c r="R658" s="10">
        <f>+J657</f>
        <v>0</v>
      </c>
      <c r="S658" s="11"/>
      <c r="T658" s="10">
        <f>+E657</f>
        <v>0</v>
      </c>
      <c r="U658" s="19" t="str">
        <f>IFERROR(LEFT(I657,FIND("*",I657)-1),"-")</f>
        <v>-</v>
      </c>
      <c r="V658" s="19" t="str">
        <f>IFERROR(RIGHT(I657,LEN(I657)-FIND("*",I657)),"-")</f>
        <v>-</v>
      </c>
      <c r="W658" s="20" t="str">
        <f t="shared" si="352"/>
        <v>-</v>
      </c>
      <c r="X658" s="20" t="str">
        <f t="shared" ref="X658" si="357">IFERROR(W658*J657,"-")</f>
        <v>-</v>
      </c>
      <c r="Z658" s="33">
        <v>45179</v>
      </c>
    </row>
    <row r="659" spans="1:26" ht="6.95" customHeight="1" x14ac:dyDescent="0.3">
      <c r="A659" s="5"/>
      <c r="B659" s="157"/>
      <c r="C659" s="158"/>
      <c r="D659" s="161"/>
      <c r="E659" s="162"/>
      <c r="F659" s="163"/>
      <c r="G659" s="164"/>
      <c r="H659" s="165"/>
      <c r="I659" s="164"/>
      <c r="J659" s="165"/>
      <c r="K659" s="164"/>
      <c r="L659" s="165"/>
      <c r="M659" s="6"/>
      <c r="N659" s="32"/>
      <c r="Q659" s="10" t="str">
        <f>+CONCATENATE(E657,K657)</f>
        <v/>
      </c>
      <c r="R659" s="10">
        <f>+L657</f>
        <v>0</v>
      </c>
      <c r="S659" s="11"/>
      <c r="T659" s="10">
        <f>+E657</f>
        <v>0</v>
      </c>
      <c r="U659" s="19" t="str">
        <f>IFERROR(LEFT(K657,FIND("*",K657)-1),"-")</f>
        <v>-</v>
      </c>
      <c r="V659" s="19" t="str">
        <f>IFERROR(RIGHT(K657,LEN(K657)-FIND("*",K657)),"-")</f>
        <v>-</v>
      </c>
      <c r="W659" s="20" t="str">
        <f t="shared" si="352"/>
        <v>-</v>
      </c>
      <c r="X659" s="20" t="str">
        <f>IFERROR(W659*L657,"-")</f>
        <v>-</v>
      </c>
      <c r="Z659" s="33">
        <v>45179</v>
      </c>
    </row>
    <row r="660" spans="1:26" ht="21" customHeight="1" thickBot="1" x14ac:dyDescent="0.35">
      <c r="A660" s="5"/>
      <c r="B660" s="159"/>
      <c r="C660" s="160"/>
      <c r="D660" s="166" t="s">
        <v>43</v>
      </c>
      <c r="E660" s="167"/>
      <c r="F660" s="167"/>
      <c r="G660" s="168" t="s">
        <v>238</v>
      </c>
      <c r="H660" s="168"/>
      <c r="I660" s="168"/>
      <c r="J660" s="168"/>
      <c r="K660" s="168"/>
      <c r="L660" s="168"/>
      <c r="M660" s="7"/>
      <c r="N660" s="32"/>
      <c r="Z660" s="33">
        <v>45179</v>
      </c>
    </row>
    <row r="661" spans="1:26" ht="9.9499999999999993" customHeight="1" thickBot="1" x14ac:dyDescent="0.35">
      <c r="B661" s="9"/>
      <c r="C661" s="109">
        <v>860</v>
      </c>
      <c r="D661" s="51"/>
      <c r="E661" s="12"/>
      <c r="F661" s="51"/>
      <c r="G661" s="14"/>
      <c r="H661" s="14"/>
      <c r="I661" s="14"/>
      <c r="J661" s="14"/>
      <c r="K661" s="14"/>
      <c r="L661" s="14"/>
      <c r="M661" s="9"/>
      <c r="N661" s="32"/>
      <c r="U661" s="18"/>
      <c r="V661" s="18"/>
      <c r="Z661" s="33">
        <v>45179</v>
      </c>
    </row>
    <row r="662" spans="1:26" ht="6.95" customHeight="1" x14ac:dyDescent="0.3">
      <c r="A662" s="154">
        <f>+A651+1</f>
        <v>861</v>
      </c>
      <c r="B662" s="155"/>
      <c r="C662" s="156"/>
      <c r="D662" s="161" t="s">
        <v>39</v>
      </c>
      <c r="E662" s="162" t="s">
        <v>222</v>
      </c>
      <c r="F662" s="163" t="s">
        <v>40</v>
      </c>
      <c r="G662" s="164" t="s">
        <v>255</v>
      </c>
      <c r="H662" s="165">
        <v>0.5</v>
      </c>
      <c r="I662" s="164"/>
      <c r="J662" s="165"/>
      <c r="K662" s="164"/>
      <c r="L662" s="165"/>
      <c r="M662" s="6"/>
      <c r="N662" s="32"/>
      <c r="Q662" s="10" t="str">
        <f>+CONCATENATE(E662,G662)</f>
        <v>보온덕트벽체2000*700</v>
      </c>
      <c r="R662" s="10">
        <f>+H662</f>
        <v>0.5</v>
      </c>
      <c r="S662" s="11"/>
      <c r="T662" s="10" t="str">
        <f>+E662</f>
        <v>보온덕트벽체</v>
      </c>
      <c r="U662" s="19" t="str">
        <f>IFERROR(LEFT(G662,FIND("*",G662)-1),"-")</f>
        <v>2000</v>
      </c>
      <c r="V662" s="19" t="str">
        <f>IFERROR(RIGHT(G662,LEN(G662)-FIND("*",G662)),"-")</f>
        <v>700</v>
      </c>
      <c r="W662" s="20">
        <f>IFERROR((U662+V662)*2/1000,"-")</f>
        <v>5.4</v>
      </c>
      <c r="X662" s="20">
        <f>IFERROR(W662*H662,"-")</f>
        <v>2.7</v>
      </c>
      <c r="Z662" s="33">
        <v>45179</v>
      </c>
    </row>
    <row r="663" spans="1:26" ht="6.95" customHeight="1" x14ac:dyDescent="0.3">
      <c r="A663" s="154"/>
      <c r="B663" s="157"/>
      <c r="C663" s="158"/>
      <c r="D663" s="161"/>
      <c r="E663" s="162"/>
      <c r="F663" s="163"/>
      <c r="G663" s="164"/>
      <c r="H663" s="165"/>
      <c r="I663" s="164"/>
      <c r="J663" s="165"/>
      <c r="K663" s="164"/>
      <c r="L663" s="165"/>
      <c r="M663" s="6"/>
      <c r="N663" s="32"/>
      <c r="Q663" s="10" t="str">
        <f>+CONCATENATE(E662,I662)</f>
        <v>보온덕트벽체</v>
      </c>
      <c r="R663" s="10">
        <f>+J662</f>
        <v>0</v>
      </c>
      <c r="S663" s="11"/>
      <c r="T663" s="10" t="str">
        <f>+E662</f>
        <v>보온덕트벽체</v>
      </c>
      <c r="U663" s="19" t="str">
        <f>IFERROR(LEFT(I662,FIND("*",I662)-1),"-")</f>
        <v>-</v>
      </c>
      <c r="V663" s="19" t="str">
        <f>IFERROR(RIGHT(I662,LEN(I662)-FIND("*",I662)),"-")</f>
        <v>-</v>
      </c>
      <c r="W663" s="20" t="str">
        <f t="shared" ref="W663:W670" si="358">IFERROR((U663+V663)*2/1000,"-")</f>
        <v>-</v>
      </c>
      <c r="X663" s="20" t="str">
        <f>IFERROR(W663*J662,"-")</f>
        <v>-</v>
      </c>
      <c r="Z663" s="33">
        <v>45179</v>
      </c>
    </row>
    <row r="664" spans="1:26" ht="6.95" customHeight="1" x14ac:dyDescent="0.3">
      <c r="A664" s="154"/>
      <c r="B664" s="157"/>
      <c r="C664" s="158"/>
      <c r="D664" s="161"/>
      <c r="E664" s="162"/>
      <c r="F664" s="163"/>
      <c r="G664" s="164"/>
      <c r="H664" s="165"/>
      <c r="I664" s="164"/>
      <c r="J664" s="165"/>
      <c r="K664" s="164"/>
      <c r="L664" s="165"/>
      <c r="M664" s="6"/>
      <c r="N664" s="32"/>
      <c r="Q664" s="10" t="str">
        <f>+CONCATENATE(E662,K662)</f>
        <v>보온덕트벽체</v>
      </c>
      <c r="R664" s="10">
        <f>+L662</f>
        <v>0</v>
      </c>
      <c r="S664" s="11"/>
      <c r="T664" s="10" t="str">
        <f>+E662</f>
        <v>보온덕트벽체</v>
      </c>
      <c r="U664" s="19" t="str">
        <f>IFERROR(LEFT(K662,FIND("*",K662)-1),"-")</f>
        <v>-</v>
      </c>
      <c r="V664" s="19" t="str">
        <f>IFERROR(RIGHT(K662,LEN(K662)-FIND("*",K662)),"-")</f>
        <v>-</v>
      </c>
      <c r="W664" s="20" t="str">
        <f t="shared" si="358"/>
        <v>-</v>
      </c>
      <c r="X664" s="20" t="str">
        <f>IFERROR(W664*L662,"-")</f>
        <v>-</v>
      </c>
      <c r="Z664" s="33">
        <v>45179</v>
      </c>
    </row>
    <row r="665" spans="1:26" ht="6.95" customHeight="1" x14ac:dyDescent="0.3">
      <c r="A665" s="8"/>
      <c r="B665" s="157"/>
      <c r="C665" s="158"/>
      <c r="D665" s="161" t="s">
        <v>39</v>
      </c>
      <c r="E665" s="162" t="s">
        <v>66</v>
      </c>
      <c r="F665" s="163" t="s">
        <v>40</v>
      </c>
      <c r="G665" s="164" t="s">
        <v>255</v>
      </c>
      <c r="H665" s="165">
        <v>1</v>
      </c>
      <c r="I665" s="164"/>
      <c r="J665" s="165"/>
      <c r="K665" s="164"/>
      <c r="L665" s="165"/>
      <c r="M665" s="6"/>
      <c r="N665" s="32"/>
      <c r="Q665" s="10" t="str">
        <f>+CONCATENATE(E665,G665)</f>
        <v>차열재마감2000*700</v>
      </c>
      <c r="R665" s="10">
        <f>+H665</f>
        <v>1</v>
      </c>
      <c r="S665" s="11"/>
      <c r="T665" s="10" t="str">
        <f>+E665</f>
        <v>차열재마감</v>
      </c>
      <c r="U665" s="19" t="str">
        <f t="shared" ref="U665" si="359">IFERROR(LEFT(G665,FIND("*",G665)-1),"-")</f>
        <v>2000</v>
      </c>
      <c r="V665" s="19" t="str">
        <f t="shared" ref="V665" si="360">IFERROR(RIGHT(G665,LEN(G665)-FIND("*",G665)),"-")</f>
        <v>700</v>
      </c>
      <c r="W665" s="20">
        <f t="shared" si="358"/>
        <v>5.4</v>
      </c>
      <c r="X665" s="20">
        <f>IFERROR(W665*H665,"-")</f>
        <v>5.4</v>
      </c>
      <c r="Z665" s="33">
        <v>45179</v>
      </c>
    </row>
    <row r="666" spans="1:26" ht="6.95" customHeight="1" x14ac:dyDescent="0.3">
      <c r="A666" s="5"/>
      <c r="B666" s="157"/>
      <c r="C666" s="158"/>
      <c r="D666" s="161"/>
      <c r="E666" s="162"/>
      <c r="F666" s="163"/>
      <c r="G666" s="164"/>
      <c r="H666" s="165"/>
      <c r="I666" s="164"/>
      <c r="J666" s="165"/>
      <c r="K666" s="164"/>
      <c r="L666" s="165"/>
      <c r="M666" s="6"/>
      <c r="N666" s="32"/>
      <c r="Q666" s="10" t="str">
        <f>+CONCATENATE(E665,I665)</f>
        <v>차열재마감</v>
      </c>
      <c r="R666" s="10">
        <f>+J665</f>
        <v>0</v>
      </c>
      <c r="S666" s="11"/>
      <c r="T666" s="10" t="str">
        <f>+E665</f>
        <v>차열재마감</v>
      </c>
      <c r="U666" s="19" t="str">
        <f>IFERROR(LEFT(I665,FIND("*",I665)-1),"-")</f>
        <v>-</v>
      </c>
      <c r="V666" s="19" t="str">
        <f>IFERROR(RIGHT(I665,LEN(I665)-FIND("*",I665)),"-")</f>
        <v>-</v>
      </c>
      <c r="W666" s="20" t="str">
        <f t="shared" si="358"/>
        <v>-</v>
      </c>
      <c r="X666" s="20" t="str">
        <f>IFERROR(W666*J665,"-")</f>
        <v>-</v>
      </c>
      <c r="Z666" s="33">
        <v>45179</v>
      </c>
    </row>
    <row r="667" spans="1:26" ht="6.95" customHeight="1" x14ac:dyDescent="0.3">
      <c r="A667" s="5"/>
      <c r="B667" s="157"/>
      <c r="C667" s="158"/>
      <c r="D667" s="161"/>
      <c r="E667" s="162"/>
      <c r="F667" s="163"/>
      <c r="G667" s="164"/>
      <c r="H667" s="165"/>
      <c r="I667" s="164"/>
      <c r="J667" s="165"/>
      <c r="K667" s="164"/>
      <c r="L667" s="165"/>
      <c r="M667" s="6"/>
      <c r="N667" s="32"/>
      <c r="Q667" s="10" t="str">
        <f>+CONCATENATE(E665,K665)</f>
        <v>차열재마감</v>
      </c>
      <c r="R667" s="10">
        <f>+L665</f>
        <v>0</v>
      </c>
      <c r="S667" s="11"/>
      <c r="T667" s="10" t="str">
        <f>+E665</f>
        <v>차열재마감</v>
      </c>
      <c r="U667" s="19" t="str">
        <f>IFERROR(LEFT(K665,FIND("*",K665)-1),"-")</f>
        <v>-</v>
      </c>
      <c r="V667" s="19" t="str">
        <f>IFERROR(RIGHT(K665,LEN(K665)-FIND("*",K665)),"-")</f>
        <v>-</v>
      </c>
      <c r="W667" s="20" t="str">
        <f t="shared" si="358"/>
        <v>-</v>
      </c>
      <c r="X667" s="20" t="str">
        <f>IFERROR(W667*L665,"-")</f>
        <v>-</v>
      </c>
      <c r="Z667" s="33">
        <v>45179</v>
      </c>
    </row>
    <row r="668" spans="1:26" ht="6.95" customHeight="1" x14ac:dyDescent="0.3">
      <c r="A668" s="8"/>
      <c r="B668" s="157"/>
      <c r="C668" s="158"/>
      <c r="D668" s="161" t="s">
        <v>39</v>
      </c>
      <c r="E668" s="162"/>
      <c r="F668" s="163" t="s">
        <v>40</v>
      </c>
      <c r="G668" s="164"/>
      <c r="H668" s="165"/>
      <c r="I668" s="164"/>
      <c r="J668" s="165"/>
      <c r="K668" s="164"/>
      <c r="L668" s="165"/>
      <c r="M668" s="6"/>
      <c r="N668" s="32"/>
      <c r="Q668" s="10" t="str">
        <f>+CONCATENATE(E668,G668)</f>
        <v/>
      </c>
      <c r="R668" s="10">
        <f>+H668</f>
        <v>0</v>
      </c>
      <c r="S668" s="11"/>
      <c r="T668" s="10">
        <f>+E668</f>
        <v>0</v>
      </c>
      <c r="U668" s="19" t="str">
        <f t="shared" ref="U668" si="361">IFERROR(LEFT(G668,FIND("*",G668)-1),"-")</f>
        <v>-</v>
      </c>
      <c r="V668" s="19" t="str">
        <f t="shared" ref="V668" si="362">IFERROR(RIGHT(G668,LEN(G668)-FIND("*",G668)),"-")</f>
        <v>-</v>
      </c>
      <c r="W668" s="20" t="str">
        <f t="shared" si="358"/>
        <v>-</v>
      </c>
      <c r="X668" s="20" t="str">
        <f>IFERROR(W668*H668,"-")</f>
        <v>-</v>
      </c>
      <c r="Z668" s="33">
        <v>45179</v>
      </c>
    </row>
    <row r="669" spans="1:26" ht="6.95" customHeight="1" x14ac:dyDescent="0.3">
      <c r="A669" s="5"/>
      <c r="B669" s="157"/>
      <c r="C669" s="158"/>
      <c r="D669" s="161"/>
      <c r="E669" s="162"/>
      <c r="F669" s="163"/>
      <c r="G669" s="164"/>
      <c r="H669" s="165"/>
      <c r="I669" s="164"/>
      <c r="J669" s="165"/>
      <c r="K669" s="164"/>
      <c r="L669" s="165"/>
      <c r="M669" s="6"/>
      <c r="N669" s="32"/>
      <c r="Q669" s="10" t="str">
        <f>+CONCATENATE(E668,I668)</f>
        <v/>
      </c>
      <c r="R669" s="10">
        <f>+J668</f>
        <v>0</v>
      </c>
      <c r="S669" s="11"/>
      <c r="T669" s="10">
        <f>+E668</f>
        <v>0</v>
      </c>
      <c r="U669" s="19" t="str">
        <f>IFERROR(LEFT(I668,FIND("*",I668)-1),"-")</f>
        <v>-</v>
      </c>
      <c r="V669" s="19" t="str">
        <f>IFERROR(RIGHT(I668,LEN(I668)-FIND("*",I668)),"-")</f>
        <v>-</v>
      </c>
      <c r="W669" s="20" t="str">
        <f t="shared" si="358"/>
        <v>-</v>
      </c>
      <c r="X669" s="20" t="str">
        <f t="shared" ref="X669" si="363">IFERROR(W669*J668,"-")</f>
        <v>-</v>
      </c>
      <c r="Z669" s="33">
        <v>45179</v>
      </c>
    </row>
    <row r="670" spans="1:26" ht="6.95" customHeight="1" x14ac:dyDescent="0.3">
      <c r="A670" s="5"/>
      <c r="B670" s="157"/>
      <c r="C670" s="158"/>
      <c r="D670" s="161"/>
      <c r="E670" s="162"/>
      <c r="F670" s="163"/>
      <c r="G670" s="164"/>
      <c r="H670" s="165"/>
      <c r="I670" s="164"/>
      <c r="J670" s="165"/>
      <c r="K670" s="164"/>
      <c r="L670" s="165"/>
      <c r="M670" s="6"/>
      <c r="N670" s="32"/>
      <c r="Q670" s="10" t="str">
        <f>+CONCATENATE(E668,K668)</f>
        <v/>
      </c>
      <c r="R670" s="10">
        <f>+L668</f>
        <v>0</v>
      </c>
      <c r="S670" s="11"/>
      <c r="T670" s="10">
        <f>+E668</f>
        <v>0</v>
      </c>
      <c r="U670" s="19" t="str">
        <f>IFERROR(LEFT(K668,FIND("*",K668)-1),"-")</f>
        <v>-</v>
      </c>
      <c r="V670" s="19" t="str">
        <f>IFERROR(RIGHT(K668,LEN(K668)-FIND("*",K668)),"-")</f>
        <v>-</v>
      </c>
      <c r="W670" s="20" t="str">
        <f t="shared" si="358"/>
        <v>-</v>
      </c>
      <c r="X670" s="20" t="str">
        <f>IFERROR(W670*L668,"-")</f>
        <v>-</v>
      </c>
      <c r="Z670" s="33">
        <v>45179</v>
      </c>
    </row>
    <row r="671" spans="1:26" ht="21" customHeight="1" thickBot="1" x14ac:dyDescent="0.35">
      <c r="A671" s="5"/>
      <c r="B671" s="159"/>
      <c r="C671" s="160"/>
      <c r="D671" s="166" t="s">
        <v>43</v>
      </c>
      <c r="E671" s="167"/>
      <c r="F671" s="167"/>
      <c r="G671" s="168" t="s">
        <v>238</v>
      </c>
      <c r="H671" s="168"/>
      <c r="I671" s="168"/>
      <c r="J671" s="168"/>
      <c r="K671" s="168"/>
      <c r="L671" s="168"/>
      <c r="M671" s="7"/>
      <c r="N671" s="32"/>
      <c r="Z671" s="33">
        <v>45179</v>
      </c>
    </row>
    <row r="672" spans="1:26" ht="9.9499999999999993" customHeight="1" thickBot="1" x14ac:dyDescent="0.35">
      <c r="B672" s="9"/>
      <c r="C672" s="109">
        <v>861</v>
      </c>
      <c r="D672" s="51"/>
      <c r="E672" s="12"/>
      <c r="F672" s="51"/>
      <c r="G672" s="14"/>
      <c r="H672" s="14"/>
      <c r="I672" s="14"/>
      <c r="J672" s="14"/>
      <c r="K672" s="14"/>
      <c r="L672" s="14"/>
      <c r="M672" s="9"/>
      <c r="N672" s="32"/>
      <c r="U672" s="18"/>
      <c r="V672" s="18"/>
      <c r="Z672" s="33">
        <v>45179</v>
      </c>
    </row>
    <row r="673" spans="1:26" ht="6.95" customHeight="1" x14ac:dyDescent="0.3">
      <c r="A673" s="154">
        <f>+A662+1</f>
        <v>862</v>
      </c>
      <c r="B673" s="155"/>
      <c r="C673" s="156"/>
      <c r="D673" s="161" t="s">
        <v>39</v>
      </c>
      <c r="E673" s="162" t="s">
        <v>222</v>
      </c>
      <c r="F673" s="163" t="s">
        <v>40</v>
      </c>
      <c r="G673" s="164" t="s">
        <v>255</v>
      </c>
      <c r="H673" s="165">
        <v>1</v>
      </c>
      <c r="I673" s="164"/>
      <c r="J673" s="165"/>
      <c r="K673" s="164"/>
      <c r="L673" s="165"/>
      <c r="M673" s="6"/>
      <c r="N673" s="32"/>
      <c r="Q673" s="10" t="str">
        <f>+CONCATENATE(E673,G673)</f>
        <v>보온덕트벽체2000*700</v>
      </c>
      <c r="R673" s="10">
        <f>+H673</f>
        <v>1</v>
      </c>
      <c r="S673" s="11"/>
      <c r="T673" s="10" t="str">
        <f>+E673</f>
        <v>보온덕트벽체</v>
      </c>
      <c r="U673" s="19" t="str">
        <f>IFERROR(LEFT(G673,FIND("*",G673)-1),"-")</f>
        <v>2000</v>
      </c>
      <c r="V673" s="19" t="str">
        <f>IFERROR(RIGHT(G673,LEN(G673)-FIND("*",G673)),"-")</f>
        <v>700</v>
      </c>
      <c r="W673" s="20">
        <f>IFERROR((U673+V673)*2/1000,"-")</f>
        <v>5.4</v>
      </c>
      <c r="X673" s="20">
        <f>IFERROR(W673*H673,"-")</f>
        <v>5.4</v>
      </c>
      <c r="Z673" s="33">
        <v>45179</v>
      </c>
    </row>
    <row r="674" spans="1:26" ht="6.95" customHeight="1" x14ac:dyDescent="0.3">
      <c r="A674" s="154"/>
      <c r="B674" s="157"/>
      <c r="C674" s="158"/>
      <c r="D674" s="161"/>
      <c r="E674" s="162"/>
      <c r="F674" s="163"/>
      <c r="G674" s="164"/>
      <c r="H674" s="165"/>
      <c r="I674" s="164"/>
      <c r="J674" s="165"/>
      <c r="K674" s="164"/>
      <c r="L674" s="165"/>
      <c r="M674" s="6"/>
      <c r="N674" s="32"/>
      <c r="Q674" s="10" t="str">
        <f>+CONCATENATE(E673,I673)</f>
        <v>보온덕트벽체</v>
      </c>
      <c r="R674" s="10">
        <f>+J673</f>
        <v>0</v>
      </c>
      <c r="S674" s="11"/>
      <c r="T674" s="10" t="str">
        <f>+E673</f>
        <v>보온덕트벽체</v>
      </c>
      <c r="U674" s="19" t="str">
        <f>IFERROR(LEFT(I673,FIND("*",I673)-1),"-")</f>
        <v>-</v>
      </c>
      <c r="V674" s="19" t="str">
        <f>IFERROR(RIGHT(I673,LEN(I673)-FIND("*",I673)),"-")</f>
        <v>-</v>
      </c>
      <c r="W674" s="20" t="str">
        <f t="shared" ref="W674:W681" si="364">IFERROR((U674+V674)*2/1000,"-")</f>
        <v>-</v>
      </c>
      <c r="X674" s="20" t="str">
        <f>IFERROR(W674*J673,"-")</f>
        <v>-</v>
      </c>
      <c r="Z674" s="33">
        <v>45179</v>
      </c>
    </row>
    <row r="675" spans="1:26" ht="6.95" customHeight="1" x14ac:dyDescent="0.3">
      <c r="A675" s="154"/>
      <c r="B675" s="157"/>
      <c r="C675" s="158"/>
      <c r="D675" s="161"/>
      <c r="E675" s="162"/>
      <c r="F675" s="163"/>
      <c r="G675" s="164"/>
      <c r="H675" s="165"/>
      <c r="I675" s="164"/>
      <c r="J675" s="165"/>
      <c r="K675" s="164"/>
      <c r="L675" s="165"/>
      <c r="M675" s="6"/>
      <c r="N675" s="32"/>
      <c r="Q675" s="10" t="str">
        <f>+CONCATENATE(E673,K673)</f>
        <v>보온덕트벽체</v>
      </c>
      <c r="R675" s="10">
        <f>+L673</f>
        <v>0</v>
      </c>
      <c r="S675" s="11"/>
      <c r="T675" s="10" t="str">
        <f>+E673</f>
        <v>보온덕트벽체</v>
      </c>
      <c r="U675" s="19" t="str">
        <f>IFERROR(LEFT(K673,FIND("*",K673)-1),"-")</f>
        <v>-</v>
      </c>
      <c r="V675" s="19" t="str">
        <f>IFERROR(RIGHT(K673,LEN(K673)-FIND("*",K673)),"-")</f>
        <v>-</v>
      </c>
      <c r="W675" s="20" t="str">
        <f t="shared" si="364"/>
        <v>-</v>
      </c>
      <c r="X675" s="20" t="str">
        <f>IFERROR(W675*L673,"-")</f>
        <v>-</v>
      </c>
      <c r="Z675" s="33">
        <v>45179</v>
      </c>
    </row>
    <row r="676" spans="1:26" ht="6.95" customHeight="1" x14ac:dyDescent="0.3">
      <c r="A676" s="8"/>
      <c r="B676" s="157"/>
      <c r="C676" s="158"/>
      <c r="D676" s="161" t="s">
        <v>39</v>
      </c>
      <c r="E676" s="162" t="s">
        <v>66</v>
      </c>
      <c r="F676" s="163" t="s">
        <v>40</v>
      </c>
      <c r="G676" s="164" t="s">
        <v>255</v>
      </c>
      <c r="H676" s="165">
        <v>2</v>
      </c>
      <c r="I676" s="164"/>
      <c r="J676" s="165"/>
      <c r="K676" s="164"/>
      <c r="L676" s="165"/>
      <c r="M676" s="6"/>
      <c r="N676" s="32"/>
      <c r="Q676" s="10" t="str">
        <f>+CONCATENATE(E676,G676)</f>
        <v>차열재마감2000*700</v>
      </c>
      <c r="R676" s="10">
        <f>+H676</f>
        <v>2</v>
      </c>
      <c r="S676" s="11"/>
      <c r="T676" s="10" t="str">
        <f>+E676</f>
        <v>차열재마감</v>
      </c>
      <c r="U676" s="19" t="str">
        <f t="shared" ref="U676" si="365">IFERROR(LEFT(G676,FIND("*",G676)-1),"-")</f>
        <v>2000</v>
      </c>
      <c r="V676" s="19" t="str">
        <f t="shared" ref="V676" si="366">IFERROR(RIGHT(G676,LEN(G676)-FIND("*",G676)),"-")</f>
        <v>700</v>
      </c>
      <c r="W676" s="20">
        <f t="shared" si="364"/>
        <v>5.4</v>
      </c>
      <c r="X676" s="20">
        <f>IFERROR(W676*H676,"-")</f>
        <v>10.8</v>
      </c>
      <c r="Z676" s="33">
        <v>45179</v>
      </c>
    </row>
    <row r="677" spans="1:26" ht="6.95" customHeight="1" x14ac:dyDescent="0.3">
      <c r="A677" s="5"/>
      <c r="B677" s="157"/>
      <c r="C677" s="158"/>
      <c r="D677" s="161"/>
      <c r="E677" s="162"/>
      <c r="F677" s="163"/>
      <c r="G677" s="164"/>
      <c r="H677" s="165"/>
      <c r="I677" s="164"/>
      <c r="J677" s="165"/>
      <c r="K677" s="164"/>
      <c r="L677" s="165"/>
      <c r="M677" s="6"/>
      <c r="N677" s="32"/>
      <c r="Q677" s="10" t="str">
        <f>+CONCATENATE(E676,I676)</f>
        <v>차열재마감</v>
      </c>
      <c r="R677" s="10">
        <f>+J676</f>
        <v>0</v>
      </c>
      <c r="S677" s="11"/>
      <c r="T677" s="10" t="str">
        <f>+E676</f>
        <v>차열재마감</v>
      </c>
      <c r="U677" s="19" t="str">
        <f>IFERROR(LEFT(I676,FIND("*",I676)-1),"-")</f>
        <v>-</v>
      </c>
      <c r="V677" s="19" t="str">
        <f>IFERROR(RIGHT(I676,LEN(I676)-FIND("*",I676)),"-")</f>
        <v>-</v>
      </c>
      <c r="W677" s="20" t="str">
        <f t="shared" si="364"/>
        <v>-</v>
      </c>
      <c r="X677" s="20" t="str">
        <f>IFERROR(W677*J676,"-")</f>
        <v>-</v>
      </c>
      <c r="Z677" s="33">
        <v>45179</v>
      </c>
    </row>
    <row r="678" spans="1:26" ht="6.95" customHeight="1" x14ac:dyDescent="0.3">
      <c r="A678" s="5"/>
      <c r="B678" s="157"/>
      <c r="C678" s="158"/>
      <c r="D678" s="161"/>
      <c r="E678" s="162"/>
      <c r="F678" s="163"/>
      <c r="G678" s="164"/>
      <c r="H678" s="165"/>
      <c r="I678" s="164"/>
      <c r="J678" s="165"/>
      <c r="K678" s="164"/>
      <c r="L678" s="165"/>
      <c r="M678" s="6"/>
      <c r="N678" s="32"/>
      <c r="Q678" s="10" t="str">
        <f>+CONCATENATE(E676,K676)</f>
        <v>차열재마감</v>
      </c>
      <c r="R678" s="10">
        <f>+L676</f>
        <v>0</v>
      </c>
      <c r="S678" s="11"/>
      <c r="T678" s="10" t="str">
        <f>+E676</f>
        <v>차열재마감</v>
      </c>
      <c r="U678" s="19" t="str">
        <f>IFERROR(LEFT(K676,FIND("*",K676)-1),"-")</f>
        <v>-</v>
      </c>
      <c r="V678" s="19" t="str">
        <f>IFERROR(RIGHT(K676,LEN(K676)-FIND("*",K676)),"-")</f>
        <v>-</v>
      </c>
      <c r="W678" s="20" t="str">
        <f t="shared" si="364"/>
        <v>-</v>
      </c>
      <c r="X678" s="20" t="str">
        <f>IFERROR(W678*L676,"-")</f>
        <v>-</v>
      </c>
      <c r="Z678" s="33">
        <v>45179</v>
      </c>
    </row>
    <row r="679" spans="1:26" ht="6.95" customHeight="1" x14ac:dyDescent="0.3">
      <c r="A679" s="8"/>
      <c r="B679" s="157"/>
      <c r="C679" s="158"/>
      <c r="D679" s="161" t="s">
        <v>39</v>
      </c>
      <c r="E679" s="162"/>
      <c r="F679" s="163" t="s">
        <v>40</v>
      </c>
      <c r="G679" s="164"/>
      <c r="H679" s="165"/>
      <c r="I679" s="164"/>
      <c r="J679" s="165"/>
      <c r="K679" s="164"/>
      <c r="L679" s="165"/>
      <c r="M679" s="6"/>
      <c r="N679" s="32"/>
      <c r="Q679" s="10" t="str">
        <f>+CONCATENATE(E679,G679)</f>
        <v/>
      </c>
      <c r="R679" s="10">
        <f>+H679</f>
        <v>0</v>
      </c>
      <c r="S679" s="11"/>
      <c r="T679" s="10">
        <f>+E679</f>
        <v>0</v>
      </c>
      <c r="U679" s="19" t="str">
        <f t="shared" ref="U679" si="367">IFERROR(LEFT(G679,FIND("*",G679)-1),"-")</f>
        <v>-</v>
      </c>
      <c r="V679" s="19" t="str">
        <f t="shared" ref="V679" si="368">IFERROR(RIGHT(G679,LEN(G679)-FIND("*",G679)),"-")</f>
        <v>-</v>
      </c>
      <c r="W679" s="20" t="str">
        <f t="shared" si="364"/>
        <v>-</v>
      </c>
      <c r="X679" s="20" t="str">
        <f>IFERROR(W679*H679,"-")</f>
        <v>-</v>
      </c>
      <c r="Z679" s="33">
        <v>45179</v>
      </c>
    </row>
    <row r="680" spans="1:26" ht="6.95" customHeight="1" x14ac:dyDescent="0.3">
      <c r="A680" s="5"/>
      <c r="B680" s="157"/>
      <c r="C680" s="158"/>
      <c r="D680" s="161"/>
      <c r="E680" s="162"/>
      <c r="F680" s="163"/>
      <c r="G680" s="164"/>
      <c r="H680" s="165"/>
      <c r="I680" s="164"/>
      <c r="J680" s="165"/>
      <c r="K680" s="164"/>
      <c r="L680" s="165"/>
      <c r="M680" s="6"/>
      <c r="N680" s="32"/>
      <c r="Q680" s="10" t="str">
        <f>+CONCATENATE(E679,I679)</f>
        <v/>
      </c>
      <c r="R680" s="10">
        <f>+J679</f>
        <v>0</v>
      </c>
      <c r="S680" s="11"/>
      <c r="T680" s="10">
        <f>+E679</f>
        <v>0</v>
      </c>
      <c r="U680" s="19" t="str">
        <f>IFERROR(LEFT(I679,FIND("*",I679)-1),"-")</f>
        <v>-</v>
      </c>
      <c r="V680" s="19" t="str">
        <f>IFERROR(RIGHT(I679,LEN(I679)-FIND("*",I679)),"-")</f>
        <v>-</v>
      </c>
      <c r="W680" s="20" t="str">
        <f t="shared" si="364"/>
        <v>-</v>
      </c>
      <c r="X680" s="20" t="str">
        <f t="shared" ref="X680" si="369">IFERROR(W680*J679,"-")</f>
        <v>-</v>
      </c>
      <c r="Z680" s="33">
        <v>45179</v>
      </c>
    </row>
    <row r="681" spans="1:26" ht="6.95" customHeight="1" x14ac:dyDescent="0.3">
      <c r="A681" s="5"/>
      <c r="B681" s="157"/>
      <c r="C681" s="158"/>
      <c r="D681" s="161"/>
      <c r="E681" s="162"/>
      <c r="F681" s="163"/>
      <c r="G681" s="164"/>
      <c r="H681" s="165"/>
      <c r="I681" s="164"/>
      <c r="J681" s="165"/>
      <c r="K681" s="164"/>
      <c r="L681" s="165"/>
      <c r="M681" s="6"/>
      <c r="N681" s="32"/>
      <c r="Q681" s="10" t="str">
        <f>+CONCATENATE(E679,K679)</f>
        <v/>
      </c>
      <c r="R681" s="10">
        <f>+L679</f>
        <v>0</v>
      </c>
      <c r="S681" s="11"/>
      <c r="T681" s="10">
        <f>+E679</f>
        <v>0</v>
      </c>
      <c r="U681" s="19" t="str">
        <f>IFERROR(LEFT(K679,FIND("*",K679)-1),"-")</f>
        <v>-</v>
      </c>
      <c r="V681" s="19" t="str">
        <f>IFERROR(RIGHT(K679,LEN(K679)-FIND("*",K679)),"-")</f>
        <v>-</v>
      </c>
      <c r="W681" s="20" t="str">
        <f t="shared" si="364"/>
        <v>-</v>
      </c>
      <c r="X681" s="20" t="str">
        <f>IFERROR(W681*L679,"-")</f>
        <v>-</v>
      </c>
      <c r="Z681" s="33">
        <v>45179</v>
      </c>
    </row>
    <row r="682" spans="1:26" ht="21" customHeight="1" thickBot="1" x14ac:dyDescent="0.35">
      <c r="A682" s="5"/>
      <c r="B682" s="159"/>
      <c r="C682" s="160"/>
      <c r="D682" s="166" t="s">
        <v>43</v>
      </c>
      <c r="E682" s="167"/>
      <c r="F682" s="167"/>
      <c r="G682" s="168" t="s">
        <v>238</v>
      </c>
      <c r="H682" s="168"/>
      <c r="I682" s="168"/>
      <c r="J682" s="168"/>
      <c r="K682" s="168"/>
      <c r="L682" s="168"/>
      <c r="M682" s="7"/>
      <c r="N682" s="33">
        <v>45179</v>
      </c>
      <c r="Z682" s="33">
        <v>45179</v>
      </c>
    </row>
    <row r="683" spans="1:26" ht="9.9499999999999993" customHeight="1" thickBot="1" x14ac:dyDescent="0.35">
      <c r="B683" s="9"/>
      <c r="C683" s="109">
        <v>862</v>
      </c>
      <c r="D683" s="51"/>
      <c r="E683" s="12"/>
      <c r="F683" s="51"/>
      <c r="G683" s="14"/>
      <c r="H683" s="14"/>
      <c r="I683" s="14"/>
      <c r="J683" s="14"/>
      <c r="K683" s="14"/>
      <c r="L683" s="14"/>
      <c r="M683" s="9"/>
      <c r="N683" s="32"/>
      <c r="U683" s="18"/>
      <c r="V683" s="18"/>
      <c r="Z683" s="33">
        <v>45180</v>
      </c>
    </row>
    <row r="684" spans="1:26" ht="6.95" customHeight="1" x14ac:dyDescent="0.3">
      <c r="A684" s="154">
        <f>+A673+1</f>
        <v>863</v>
      </c>
      <c r="B684" s="155"/>
      <c r="C684" s="156"/>
      <c r="D684" s="161" t="s">
        <v>39</v>
      </c>
      <c r="E684" s="162" t="s">
        <v>226</v>
      </c>
      <c r="F684" s="163" t="s">
        <v>40</v>
      </c>
      <c r="G684" s="164" t="s">
        <v>256</v>
      </c>
      <c r="H684" s="165">
        <v>0.5</v>
      </c>
      <c r="I684" s="164"/>
      <c r="J684" s="165"/>
      <c r="K684" s="164"/>
      <c r="L684" s="165"/>
      <c r="M684" s="6"/>
      <c r="N684" s="32"/>
      <c r="Q684" s="10" t="str">
        <f>+CONCATENATE(E684,G684)</f>
        <v>무보온덕트벽체1500*800</v>
      </c>
      <c r="R684" s="10">
        <f>+H684</f>
        <v>0.5</v>
      </c>
      <c r="S684" s="11"/>
      <c r="T684" s="10" t="str">
        <f>+E684</f>
        <v>무보온덕트벽체</v>
      </c>
      <c r="U684" s="19" t="str">
        <f>IFERROR(LEFT(G684,FIND("*",G684)-1),"-")</f>
        <v>1500</v>
      </c>
      <c r="V684" s="19" t="str">
        <f>IFERROR(RIGHT(G684,LEN(G684)-FIND("*",G684)),"-")</f>
        <v>800</v>
      </c>
      <c r="W684" s="20">
        <f>IFERROR((U684+V684)*2/1000,"-")</f>
        <v>4.5999999999999996</v>
      </c>
      <c r="X684" s="20">
        <f>IFERROR(W684*H684,"-")</f>
        <v>2.2999999999999998</v>
      </c>
      <c r="Z684" s="33">
        <v>45180</v>
      </c>
    </row>
    <row r="685" spans="1:26" ht="6.95" customHeight="1" x14ac:dyDescent="0.3">
      <c r="A685" s="154"/>
      <c r="B685" s="157"/>
      <c r="C685" s="158"/>
      <c r="D685" s="161"/>
      <c r="E685" s="162"/>
      <c r="F685" s="163"/>
      <c r="G685" s="164"/>
      <c r="H685" s="165"/>
      <c r="I685" s="164"/>
      <c r="J685" s="165"/>
      <c r="K685" s="164"/>
      <c r="L685" s="165"/>
      <c r="M685" s="6"/>
      <c r="N685" s="32"/>
      <c r="Q685" s="10" t="str">
        <f>+CONCATENATE(E684,I684)</f>
        <v>무보온덕트벽체</v>
      </c>
      <c r="R685" s="10">
        <f>+J684</f>
        <v>0</v>
      </c>
      <c r="S685" s="11"/>
      <c r="T685" s="10" t="str">
        <f>+E684</f>
        <v>무보온덕트벽체</v>
      </c>
      <c r="U685" s="19" t="str">
        <f>IFERROR(LEFT(I684,FIND("*",I684)-1),"-")</f>
        <v>-</v>
      </c>
      <c r="V685" s="19" t="str">
        <f>IFERROR(RIGHT(I684,LEN(I684)-FIND("*",I684)),"-")</f>
        <v>-</v>
      </c>
      <c r="W685" s="20" t="str">
        <f t="shared" ref="W685:W692" si="370">IFERROR((U685+V685)*2/1000,"-")</f>
        <v>-</v>
      </c>
      <c r="X685" s="20" t="str">
        <f>IFERROR(W685*J684,"-")</f>
        <v>-</v>
      </c>
      <c r="Z685" s="33">
        <v>45180</v>
      </c>
    </row>
    <row r="686" spans="1:26" ht="6.95" customHeight="1" x14ac:dyDescent="0.3">
      <c r="A686" s="154"/>
      <c r="B686" s="157"/>
      <c r="C686" s="158"/>
      <c r="D686" s="161"/>
      <c r="E686" s="162"/>
      <c r="F686" s="163"/>
      <c r="G686" s="164"/>
      <c r="H686" s="165"/>
      <c r="I686" s="164"/>
      <c r="J686" s="165"/>
      <c r="K686" s="164"/>
      <c r="L686" s="165"/>
      <c r="M686" s="6"/>
      <c r="N686" s="32"/>
      <c r="Q686" s="10" t="str">
        <f>+CONCATENATE(E684,K684)</f>
        <v>무보온덕트벽체</v>
      </c>
      <c r="R686" s="10">
        <f>+L684</f>
        <v>0</v>
      </c>
      <c r="S686" s="11"/>
      <c r="T686" s="10" t="str">
        <f>+E684</f>
        <v>무보온덕트벽체</v>
      </c>
      <c r="U686" s="19" t="str">
        <f>IFERROR(LEFT(K684,FIND("*",K684)-1),"-")</f>
        <v>-</v>
      </c>
      <c r="V686" s="19" t="str">
        <f>IFERROR(RIGHT(K684,LEN(K684)-FIND("*",K684)),"-")</f>
        <v>-</v>
      </c>
      <c r="W686" s="20" t="str">
        <f t="shared" si="370"/>
        <v>-</v>
      </c>
      <c r="X686" s="20" t="str">
        <f>IFERROR(W686*L684,"-")</f>
        <v>-</v>
      </c>
      <c r="Z686" s="33">
        <v>45180</v>
      </c>
    </row>
    <row r="687" spans="1:26" ht="6.95" customHeight="1" x14ac:dyDescent="0.3">
      <c r="A687" s="8"/>
      <c r="B687" s="157"/>
      <c r="C687" s="158"/>
      <c r="D687" s="161" t="s">
        <v>39</v>
      </c>
      <c r="E687" s="162" t="s">
        <v>66</v>
      </c>
      <c r="F687" s="163" t="s">
        <v>40</v>
      </c>
      <c r="G687" s="164" t="s">
        <v>256</v>
      </c>
      <c r="H687" s="165">
        <v>0.5</v>
      </c>
      <c r="I687" s="164"/>
      <c r="J687" s="165"/>
      <c r="K687" s="164"/>
      <c r="L687" s="165"/>
      <c r="M687" s="6"/>
      <c r="N687" s="32"/>
      <c r="Q687" s="10" t="str">
        <f>+CONCATENATE(E687,G687)</f>
        <v>차열재마감1500*800</v>
      </c>
      <c r="R687" s="10">
        <f>+H687</f>
        <v>0.5</v>
      </c>
      <c r="S687" s="11"/>
      <c r="T687" s="10" t="str">
        <f>+E687</f>
        <v>차열재마감</v>
      </c>
      <c r="U687" s="19" t="str">
        <f t="shared" ref="U687" si="371">IFERROR(LEFT(G687,FIND("*",G687)-1),"-")</f>
        <v>1500</v>
      </c>
      <c r="V687" s="19" t="str">
        <f t="shared" ref="V687" si="372">IFERROR(RIGHT(G687,LEN(G687)-FIND("*",G687)),"-")</f>
        <v>800</v>
      </c>
      <c r="W687" s="20">
        <f t="shared" si="370"/>
        <v>4.5999999999999996</v>
      </c>
      <c r="X687" s="20">
        <f>IFERROR(W687*H687,"-")</f>
        <v>2.2999999999999998</v>
      </c>
      <c r="Z687" s="33">
        <v>45180</v>
      </c>
    </row>
    <row r="688" spans="1:26" ht="6.95" customHeight="1" x14ac:dyDescent="0.3">
      <c r="A688" s="5"/>
      <c r="B688" s="157"/>
      <c r="C688" s="158"/>
      <c r="D688" s="161"/>
      <c r="E688" s="162"/>
      <c r="F688" s="163"/>
      <c r="G688" s="164"/>
      <c r="H688" s="165"/>
      <c r="I688" s="164"/>
      <c r="J688" s="165"/>
      <c r="K688" s="164"/>
      <c r="L688" s="165"/>
      <c r="M688" s="6"/>
      <c r="N688" s="32"/>
      <c r="Q688" s="10" t="str">
        <f>+CONCATENATE(E687,I687)</f>
        <v>차열재마감</v>
      </c>
      <c r="R688" s="10">
        <f>+J687</f>
        <v>0</v>
      </c>
      <c r="S688" s="11"/>
      <c r="T688" s="10" t="str">
        <f>+E687</f>
        <v>차열재마감</v>
      </c>
      <c r="U688" s="19" t="str">
        <f>IFERROR(LEFT(I687,FIND("*",I687)-1),"-")</f>
        <v>-</v>
      </c>
      <c r="V688" s="19" t="str">
        <f>IFERROR(RIGHT(I687,LEN(I687)-FIND("*",I687)),"-")</f>
        <v>-</v>
      </c>
      <c r="W688" s="20" t="str">
        <f t="shared" si="370"/>
        <v>-</v>
      </c>
      <c r="X688" s="20" t="str">
        <f>IFERROR(W688*J687,"-")</f>
        <v>-</v>
      </c>
      <c r="Z688" s="33">
        <v>45180</v>
      </c>
    </row>
    <row r="689" spans="1:26" ht="6.95" customHeight="1" x14ac:dyDescent="0.3">
      <c r="A689" s="5"/>
      <c r="B689" s="157"/>
      <c r="C689" s="158"/>
      <c r="D689" s="161"/>
      <c r="E689" s="162"/>
      <c r="F689" s="163"/>
      <c r="G689" s="164"/>
      <c r="H689" s="165"/>
      <c r="I689" s="164"/>
      <c r="J689" s="165"/>
      <c r="K689" s="164"/>
      <c r="L689" s="165"/>
      <c r="M689" s="6"/>
      <c r="N689" s="32"/>
      <c r="Q689" s="10" t="str">
        <f>+CONCATENATE(E687,K687)</f>
        <v>차열재마감</v>
      </c>
      <c r="R689" s="10">
        <f>+L687</f>
        <v>0</v>
      </c>
      <c r="S689" s="11"/>
      <c r="T689" s="10" t="str">
        <f>+E687</f>
        <v>차열재마감</v>
      </c>
      <c r="U689" s="19" t="str">
        <f>IFERROR(LEFT(K687,FIND("*",K687)-1),"-")</f>
        <v>-</v>
      </c>
      <c r="V689" s="19" t="str">
        <f>IFERROR(RIGHT(K687,LEN(K687)-FIND("*",K687)),"-")</f>
        <v>-</v>
      </c>
      <c r="W689" s="20" t="str">
        <f t="shared" si="370"/>
        <v>-</v>
      </c>
      <c r="X689" s="20" t="str">
        <f>IFERROR(W689*L687,"-")</f>
        <v>-</v>
      </c>
      <c r="Z689" s="33">
        <v>45180</v>
      </c>
    </row>
    <row r="690" spans="1:26" ht="6.95" customHeight="1" x14ac:dyDescent="0.3">
      <c r="A690" s="8"/>
      <c r="B690" s="157"/>
      <c r="C690" s="158"/>
      <c r="D690" s="161" t="s">
        <v>39</v>
      </c>
      <c r="E690" s="162"/>
      <c r="F690" s="163" t="s">
        <v>40</v>
      </c>
      <c r="G690" s="164"/>
      <c r="H690" s="165"/>
      <c r="I690" s="164"/>
      <c r="J690" s="165"/>
      <c r="K690" s="164"/>
      <c r="L690" s="165"/>
      <c r="M690" s="6"/>
      <c r="N690" s="32"/>
      <c r="Q690" s="10" t="str">
        <f>+CONCATENATE(E690,G690)</f>
        <v/>
      </c>
      <c r="R690" s="10">
        <f>+H690</f>
        <v>0</v>
      </c>
      <c r="S690" s="11"/>
      <c r="T690" s="10">
        <f>+E690</f>
        <v>0</v>
      </c>
      <c r="U690" s="19" t="str">
        <f t="shared" ref="U690" si="373">IFERROR(LEFT(G690,FIND("*",G690)-1),"-")</f>
        <v>-</v>
      </c>
      <c r="V690" s="19" t="str">
        <f t="shared" ref="V690" si="374">IFERROR(RIGHT(G690,LEN(G690)-FIND("*",G690)),"-")</f>
        <v>-</v>
      </c>
      <c r="W690" s="20" t="str">
        <f t="shared" si="370"/>
        <v>-</v>
      </c>
      <c r="X690" s="20" t="str">
        <f>IFERROR(W690*H690,"-")</f>
        <v>-</v>
      </c>
      <c r="Z690" s="33">
        <v>45180</v>
      </c>
    </row>
    <row r="691" spans="1:26" ht="6.95" customHeight="1" x14ac:dyDescent="0.3">
      <c r="A691" s="5"/>
      <c r="B691" s="157"/>
      <c r="C691" s="158"/>
      <c r="D691" s="161"/>
      <c r="E691" s="162"/>
      <c r="F691" s="163"/>
      <c r="G691" s="164"/>
      <c r="H691" s="165"/>
      <c r="I691" s="164"/>
      <c r="J691" s="165"/>
      <c r="K691" s="164"/>
      <c r="L691" s="165"/>
      <c r="M691" s="6"/>
      <c r="N691" s="32"/>
      <c r="Q691" s="10" t="str">
        <f>+CONCATENATE(E690,I690)</f>
        <v/>
      </c>
      <c r="R691" s="10">
        <f>+J690</f>
        <v>0</v>
      </c>
      <c r="S691" s="11"/>
      <c r="T691" s="10">
        <f>+E690</f>
        <v>0</v>
      </c>
      <c r="U691" s="19" t="str">
        <f>IFERROR(LEFT(I690,FIND("*",I690)-1),"-")</f>
        <v>-</v>
      </c>
      <c r="V691" s="19" t="str">
        <f>IFERROR(RIGHT(I690,LEN(I690)-FIND("*",I690)),"-")</f>
        <v>-</v>
      </c>
      <c r="W691" s="20" t="str">
        <f t="shared" si="370"/>
        <v>-</v>
      </c>
      <c r="X691" s="20" t="str">
        <f t="shared" ref="X691" si="375">IFERROR(W691*J690,"-")</f>
        <v>-</v>
      </c>
      <c r="Z691" s="33">
        <v>45180</v>
      </c>
    </row>
    <row r="692" spans="1:26" ht="6.95" customHeight="1" x14ac:dyDescent="0.3">
      <c r="A692" s="5"/>
      <c r="B692" s="157"/>
      <c r="C692" s="158"/>
      <c r="D692" s="161"/>
      <c r="E692" s="162"/>
      <c r="F692" s="163"/>
      <c r="G692" s="164"/>
      <c r="H692" s="165"/>
      <c r="I692" s="164"/>
      <c r="J692" s="165"/>
      <c r="K692" s="164"/>
      <c r="L692" s="165"/>
      <c r="M692" s="6"/>
      <c r="N692" s="32"/>
      <c r="Q692" s="10" t="str">
        <f>+CONCATENATE(E690,K690)</f>
        <v/>
      </c>
      <c r="R692" s="10">
        <f>+L690</f>
        <v>0</v>
      </c>
      <c r="S692" s="11"/>
      <c r="T692" s="10">
        <f>+E690</f>
        <v>0</v>
      </c>
      <c r="U692" s="19" t="str">
        <f>IFERROR(LEFT(K690,FIND("*",K690)-1),"-")</f>
        <v>-</v>
      </c>
      <c r="V692" s="19" t="str">
        <f>IFERROR(RIGHT(K690,LEN(K690)-FIND("*",K690)),"-")</f>
        <v>-</v>
      </c>
      <c r="W692" s="20" t="str">
        <f t="shared" si="370"/>
        <v>-</v>
      </c>
      <c r="X692" s="20" t="str">
        <f>IFERROR(W692*L690,"-")</f>
        <v>-</v>
      </c>
      <c r="Z692" s="33">
        <v>45180</v>
      </c>
    </row>
    <row r="693" spans="1:26" ht="21" customHeight="1" thickBot="1" x14ac:dyDescent="0.35">
      <c r="A693" s="5"/>
      <c r="B693" s="159"/>
      <c r="C693" s="160"/>
      <c r="D693" s="166" t="s">
        <v>43</v>
      </c>
      <c r="E693" s="167"/>
      <c r="F693" s="167"/>
      <c r="G693" s="168" t="s">
        <v>236</v>
      </c>
      <c r="H693" s="168"/>
      <c r="I693" s="168"/>
      <c r="J693" s="168"/>
      <c r="K693" s="168"/>
      <c r="L693" s="168"/>
      <c r="M693" s="7"/>
      <c r="N693" s="32"/>
      <c r="Z693" s="33">
        <v>45180</v>
      </c>
    </row>
    <row r="694" spans="1:26" ht="9.9499999999999993" customHeight="1" thickBot="1" x14ac:dyDescent="0.35">
      <c r="B694" s="9"/>
      <c r="C694" s="109">
        <v>863</v>
      </c>
      <c r="D694" s="51"/>
      <c r="E694" s="12"/>
      <c r="F694" s="51"/>
      <c r="G694" s="14"/>
      <c r="H694" s="14"/>
      <c r="I694" s="14"/>
      <c r="J694" s="14"/>
      <c r="K694" s="14"/>
      <c r="L694" s="14"/>
      <c r="M694" s="9"/>
      <c r="N694" s="32"/>
      <c r="U694" s="18"/>
      <c r="V694" s="18"/>
      <c r="Z694" s="33">
        <v>45180</v>
      </c>
    </row>
    <row r="695" spans="1:26" ht="6.95" customHeight="1" x14ac:dyDescent="0.3">
      <c r="A695" s="154">
        <f>+A684+1</f>
        <v>864</v>
      </c>
      <c r="B695" s="155"/>
      <c r="C695" s="156"/>
      <c r="D695" s="161" t="s">
        <v>39</v>
      </c>
      <c r="E695" s="162" t="s">
        <v>222</v>
      </c>
      <c r="F695" s="163" t="s">
        <v>40</v>
      </c>
      <c r="G695" s="164" t="s">
        <v>257</v>
      </c>
      <c r="H695" s="165">
        <v>0.5</v>
      </c>
      <c r="I695" s="164"/>
      <c r="J695" s="165"/>
      <c r="K695" s="164"/>
      <c r="L695" s="165"/>
      <c r="M695" s="6"/>
      <c r="N695" s="32"/>
      <c r="Q695" s="10" t="str">
        <f>+CONCATENATE(E695,G695)</f>
        <v>보온덕트벽체1600*500</v>
      </c>
      <c r="R695" s="10">
        <f>+H695</f>
        <v>0.5</v>
      </c>
      <c r="S695" s="11"/>
      <c r="T695" s="10" t="str">
        <f>+E695</f>
        <v>보온덕트벽체</v>
      </c>
      <c r="U695" s="19" t="str">
        <f>IFERROR(LEFT(G695,FIND("*",G695)-1),"-")</f>
        <v>1600</v>
      </c>
      <c r="V695" s="19" t="str">
        <f>IFERROR(RIGHT(G695,LEN(G695)-FIND("*",G695)),"-")</f>
        <v>500</v>
      </c>
      <c r="W695" s="20">
        <f>IFERROR((U695+V695)*2/1000,"-")</f>
        <v>4.2</v>
      </c>
      <c r="X695" s="20">
        <f>IFERROR(W695*H695,"-")</f>
        <v>2.1</v>
      </c>
      <c r="Z695" s="33">
        <v>45180</v>
      </c>
    </row>
    <row r="696" spans="1:26" ht="6.95" customHeight="1" x14ac:dyDescent="0.3">
      <c r="A696" s="154"/>
      <c r="B696" s="157"/>
      <c r="C696" s="158"/>
      <c r="D696" s="161"/>
      <c r="E696" s="162"/>
      <c r="F696" s="163"/>
      <c r="G696" s="164"/>
      <c r="H696" s="165"/>
      <c r="I696" s="164"/>
      <c r="J696" s="165"/>
      <c r="K696" s="164"/>
      <c r="L696" s="165"/>
      <c r="M696" s="6"/>
      <c r="N696" s="32"/>
      <c r="Q696" s="10" t="str">
        <f>+CONCATENATE(E695,I695)</f>
        <v>보온덕트벽체</v>
      </c>
      <c r="R696" s="10">
        <f>+J695</f>
        <v>0</v>
      </c>
      <c r="S696" s="11"/>
      <c r="T696" s="10" t="str">
        <f>+E695</f>
        <v>보온덕트벽체</v>
      </c>
      <c r="U696" s="19" t="str">
        <f>IFERROR(LEFT(I695,FIND("*",I695)-1),"-")</f>
        <v>-</v>
      </c>
      <c r="V696" s="19" t="str">
        <f>IFERROR(RIGHT(I695,LEN(I695)-FIND("*",I695)),"-")</f>
        <v>-</v>
      </c>
      <c r="W696" s="20" t="str">
        <f t="shared" ref="W696:W703" si="376">IFERROR((U696+V696)*2/1000,"-")</f>
        <v>-</v>
      </c>
      <c r="X696" s="20" t="str">
        <f>IFERROR(W696*J695,"-")</f>
        <v>-</v>
      </c>
      <c r="Z696" s="33">
        <v>45180</v>
      </c>
    </row>
    <row r="697" spans="1:26" ht="6.95" customHeight="1" x14ac:dyDescent="0.3">
      <c r="A697" s="154"/>
      <c r="B697" s="157"/>
      <c r="C697" s="158"/>
      <c r="D697" s="161"/>
      <c r="E697" s="162"/>
      <c r="F697" s="163"/>
      <c r="G697" s="164"/>
      <c r="H697" s="165"/>
      <c r="I697" s="164"/>
      <c r="J697" s="165"/>
      <c r="K697" s="164"/>
      <c r="L697" s="165"/>
      <c r="M697" s="6"/>
      <c r="N697" s="32"/>
      <c r="Q697" s="10" t="str">
        <f>+CONCATENATE(E695,K695)</f>
        <v>보온덕트벽체</v>
      </c>
      <c r="R697" s="10">
        <f>+L695</f>
        <v>0</v>
      </c>
      <c r="S697" s="11"/>
      <c r="T697" s="10" t="str">
        <f>+E695</f>
        <v>보온덕트벽체</v>
      </c>
      <c r="U697" s="19" t="str">
        <f>IFERROR(LEFT(K695,FIND("*",K695)-1),"-")</f>
        <v>-</v>
      </c>
      <c r="V697" s="19" t="str">
        <f>IFERROR(RIGHT(K695,LEN(K695)-FIND("*",K695)),"-")</f>
        <v>-</v>
      </c>
      <c r="W697" s="20" t="str">
        <f t="shared" si="376"/>
        <v>-</v>
      </c>
      <c r="X697" s="20" t="str">
        <f>IFERROR(W697*L695,"-")</f>
        <v>-</v>
      </c>
      <c r="Z697" s="33">
        <v>45180</v>
      </c>
    </row>
    <row r="698" spans="1:26" ht="6.95" customHeight="1" x14ac:dyDescent="0.3">
      <c r="A698" s="8"/>
      <c r="B698" s="157"/>
      <c r="C698" s="158"/>
      <c r="D698" s="161" t="s">
        <v>39</v>
      </c>
      <c r="E698" s="162" t="s">
        <v>66</v>
      </c>
      <c r="F698" s="163" t="s">
        <v>40</v>
      </c>
      <c r="G698" s="164" t="s">
        <v>248</v>
      </c>
      <c r="H698" s="165">
        <v>1</v>
      </c>
      <c r="I698" s="164"/>
      <c r="J698" s="165"/>
      <c r="K698" s="164"/>
      <c r="L698" s="165"/>
      <c r="M698" s="6"/>
      <c r="N698" s="32"/>
      <c r="Q698" s="10" t="str">
        <f>+CONCATENATE(E698,G698)</f>
        <v>차열재마감1600*500</v>
      </c>
      <c r="R698" s="10">
        <f>+H698</f>
        <v>1</v>
      </c>
      <c r="S698" s="11"/>
      <c r="T698" s="10" t="str">
        <f>+E698</f>
        <v>차열재마감</v>
      </c>
      <c r="U698" s="19" t="str">
        <f t="shared" ref="U698" si="377">IFERROR(LEFT(G698,FIND("*",G698)-1),"-")</f>
        <v>1600</v>
      </c>
      <c r="V698" s="19" t="str">
        <f t="shared" ref="V698" si="378">IFERROR(RIGHT(G698,LEN(G698)-FIND("*",G698)),"-")</f>
        <v>500</v>
      </c>
      <c r="W698" s="20">
        <f t="shared" si="376"/>
        <v>4.2</v>
      </c>
      <c r="X698" s="20">
        <f>IFERROR(W698*H698,"-")</f>
        <v>4.2</v>
      </c>
      <c r="Z698" s="33">
        <v>45180</v>
      </c>
    </row>
    <row r="699" spans="1:26" ht="6.95" customHeight="1" x14ac:dyDescent="0.3">
      <c r="A699" s="5"/>
      <c r="B699" s="157"/>
      <c r="C699" s="158"/>
      <c r="D699" s="161"/>
      <c r="E699" s="162"/>
      <c r="F699" s="163"/>
      <c r="G699" s="164"/>
      <c r="H699" s="165"/>
      <c r="I699" s="164"/>
      <c r="J699" s="165"/>
      <c r="K699" s="164"/>
      <c r="L699" s="165"/>
      <c r="M699" s="6"/>
      <c r="N699" s="32"/>
      <c r="Q699" s="10" t="str">
        <f>+CONCATENATE(E698,I698)</f>
        <v>차열재마감</v>
      </c>
      <c r="R699" s="10">
        <f>+J698</f>
        <v>0</v>
      </c>
      <c r="S699" s="11"/>
      <c r="T699" s="10" t="str">
        <f>+E698</f>
        <v>차열재마감</v>
      </c>
      <c r="U699" s="19" t="str">
        <f>IFERROR(LEFT(I698,FIND("*",I698)-1),"-")</f>
        <v>-</v>
      </c>
      <c r="V699" s="19" t="str">
        <f>IFERROR(RIGHT(I698,LEN(I698)-FIND("*",I698)),"-")</f>
        <v>-</v>
      </c>
      <c r="W699" s="20" t="str">
        <f t="shared" si="376"/>
        <v>-</v>
      </c>
      <c r="X699" s="20" t="str">
        <f>IFERROR(W699*J698,"-")</f>
        <v>-</v>
      </c>
      <c r="Z699" s="33">
        <v>45180</v>
      </c>
    </row>
    <row r="700" spans="1:26" ht="6.95" customHeight="1" x14ac:dyDescent="0.3">
      <c r="A700" s="5"/>
      <c r="B700" s="157"/>
      <c r="C700" s="158"/>
      <c r="D700" s="161"/>
      <c r="E700" s="162"/>
      <c r="F700" s="163"/>
      <c r="G700" s="164"/>
      <c r="H700" s="165"/>
      <c r="I700" s="164"/>
      <c r="J700" s="165"/>
      <c r="K700" s="164"/>
      <c r="L700" s="165"/>
      <c r="M700" s="6"/>
      <c r="N700" s="32"/>
      <c r="Q700" s="10" t="str">
        <f>+CONCATENATE(E698,K698)</f>
        <v>차열재마감</v>
      </c>
      <c r="R700" s="10">
        <f>+L698</f>
        <v>0</v>
      </c>
      <c r="S700" s="11"/>
      <c r="T700" s="10" t="str">
        <f>+E698</f>
        <v>차열재마감</v>
      </c>
      <c r="U700" s="19" t="str">
        <f>IFERROR(LEFT(K698,FIND("*",K698)-1),"-")</f>
        <v>-</v>
      </c>
      <c r="V700" s="19" t="str">
        <f>IFERROR(RIGHT(K698,LEN(K698)-FIND("*",K698)),"-")</f>
        <v>-</v>
      </c>
      <c r="W700" s="20" t="str">
        <f t="shared" si="376"/>
        <v>-</v>
      </c>
      <c r="X700" s="20" t="str">
        <f>IFERROR(W700*L698,"-")</f>
        <v>-</v>
      </c>
      <c r="Z700" s="33">
        <v>45180</v>
      </c>
    </row>
    <row r="701" spans="1:26" ht="6.95" customHeight="1" x14ac:dyDescent="0.3">
      <c r="A701" s="8"/>
      <c r="B701" s="157"/>
      <c r="C701" s="158"/>
      <c r="D701" s="161" t="s">
        <v>39</v>
      </c>
      <c r="E701" s="162" t="s">
        <v>258</v>
      </c>
      <c r="F701" s="163" t="s">
        <v>40</v>
      </c>
      <c r="G701" s="164">
        <v>100</v>
      </c>
      <c r="H701" s="165">
        <v>1</v>
      </c>
      <c r="I701" s="164">
        <v>50</v>
      </c>
      <c r="J701" s="165">
        <v>1</v>
      </c>
      <c r="K701" s="164"/>
      <c r="L701" s="165"/>
      <c r="M701" s="6"/>
      <c r="N701" s="32"/>
      <c r="Q701" s="10" t="str">
        <f>+CONCATENATE(E701,G701)</f>
        <v>금속관벽체100</v>
      </c>
      <c r="R701" s="10">
        <f>+H701</f>
        <v>1</v>
      </c>
      <c r="S701" s="11"/>
      <c r="T701" s="10" t="str">
        <f>+E701</f>
        <v>금속관벽체</v>
      </c>
      <c r="U701" s="19" t="str">
        <f t="shared" ref="U701" si="379">IFERROR(LEFT(G701,FIND("*",G701)-1),"-")</f>
        <v>-</v>
      </c>
      <c r="V701" s="19" t="str">
        <f t="shared" ref="V701" si="380">IFERROR(RIGHT(G701,LEN(G701)-FIND("*",G701)),"-")</f>
        <v>-</v>
      </c>
      <c r="W701" s="20" t="str">
        <f t="shared" si="376"/>
        <v>-</v>
      </c>
      <c r="X701" s="20" t="str">
        <f>IFERROR(W701*H701,"-")</f>
        <v>-</v>
      </c>
      <c r="Z701" s="33">
        <v>45180</v>
      </c>
    </row>
    <row r="702" spans="1:26" ht="6.95" customHeight="1" x14ac:dyDescent="0.3">
      <c r="A702" s="5"/>
      <c r="B702" s="157"/>
      <c r="C702" s="158"/>
      <c r="D702" s="161"/>
      <c r="E702" s="162"/>
      <c r="F702" s="163"/>
      <c r="G702" s="164"/>
      <c r="H702" s="165"/>
      <c r="I702" s="164"/>
      <c r="J702" s="165"/>
      <c r="K702" s="164"/>
      <c r="L702" s="165"/>
      <c r="M702" s="6"/>
      <c r="N702" s="32"/>
      <c r="Q702" s="10" t="str">
        <f>+CONCATENATE(E701,I701)</f>
        <v>금속관벽체50</v>
      </c>
      <c r="R702" s="10">
        <f>+J701</f>
        <v>1</v>
      </c>
      <c r="S702" s="11"/>
      <c r="T702" s="10" t="str">
        <f>+E701</f>
        <v>금속관벽체</v>
      </c>
      <c r="U702" s="19" t="str">
        <f>IFERROR(LEFT(I701,FIND("*",I701)-1),"-")</f>
        <v>-</v>
      </c>
      <c r="V702" s="19" t="str">
        <f>IFERROR(RIGHT(I701,LEN(I701)-FIND("*",I701)),"-")</f>
        <v>-</v>
      </c>
      <c r="W702" s="20" t="str">
        <f t="shared" si="376"/>
        <v>-</v>
      </c>
      <c r="X702" s="20" t="str">
        <f t="shared" ref="X702" si="381">IFERROR(W702*J701,"-")</f>
        <v>-</v>
      </c>
      <c r="Z702" s="33">
        <v>45180</v>
      </c>
    </row>
    <row r="703" spans="1:26" ht="6.95" customHeight="1" x14ac:dyDescent="0.3">
      <c r="A703" s="5"/>
      <c r="B703" s="157"/>
      <c r="C703" s="158"/>
      <c r="D703" s="161"/>
      <c r="E703" s="162"/>
      <c r="F703" s="163"/>
      <c r="G703" s="164"/>
      <c r="H703" s="165"/>
      <c r="I703" s="164"/>
      <c r="J703" s="165"/>
      <c r="K703" s="164"/>
      <c r="L703" s="165"/>
      <c r="M703" s="6"/>
      <c r="N703" s="32"/>
      <c r="Q703" s="10" t="str">
        <f>+CONCATENATE(E701,K701)</f>
        <v>금속관벽체</v>
      </c>
      <c r="R703" s="10">
        <f>+L701</f>
        <v>0</v>
      </c>
      <c r="S703" s="11"/>
      <c r="T703" s="10" t="str">
        <f>+E701</f>
        <v>금속관벽체</v>
      </c>
      <c r="U703" s="19" t="str">
        <f>IFERROR(LEFT(K701,FIND("*",K701)-1),"-")</f>
        <v>-</v>
      </c>
      <c r="V703" s="19" t="str">
        <f>IFERROR(RIGHT(K701,LEN(K701)-FIND("*",K701)),"-")</f>
        <v>-</v>
      </c>
      <c r="W703" s="20" t="str">
        <f t="shared" si="376"/>
        <v>-</v>
      </c>
      <c r="X703" s="20" t="str">
        <f>IFERROR(W703*L701,"-")</f>
        <v>-</v>
      </c>
      <c r="Z703" s="33">
        <v>45180</v>
      </c>
    </row>
    <row r="704" spans="1:26" ht="21" customHeight="1" thickBot="1" x14ac:dyDescent="0.35">
      <c r="A704" s="5"/>
      <c r="B704" s="159"/>
      <c r="C704" s="160"/>
      <c r="D704" s="166" t="s">
        <v>43</v>
      </c>
      <c r="E704" s="167"/>
      <c r="F704" s="167"/>
      <c r="G704" s="168" t="s">
        <v>236</v>
      </c>
      <c r="H704" s="168"/>
      <c r="I704" s="168"/>
      <c r="J704" s="168"/>
      <c r="K704" s="168"/>
      <c r="L704" s="168"/>
      <c r="M704" s="7"/>
      <c r="N704" s="32"/>
      <c r="Z704" s="33">
        <v>45180</v>
      </c>
    </row>
    <row r="705" spans="1:26" ht="9.9499999999999993" customHeight="1" thickBot="1" x14ac:dyDescent="0.35">
      <c r="B705" s="9"/>
      <c r="C705" s="109">
        <v>864</v>
      </c>
      <c r="D705" s="51"/>
      <c r="E705" s="12"/>
      <c r="F705" s="51"/>
      <c r="G705" s="14"/>
      <c r="H705" s="14"/>
      <c r="I705" s="14"/>
      <c r="J705" s="14"/>
      <c r="K705" s="14"/>
      <c r="L705" s="14"/>
      <c r="M705" s="9"/>
      <c r="N705" s="32"/>
      <c r="U705" s="18"/>
      <c r="V705" s="18"/>
      <c r="Z705" s="33">
        <v>45180</v>
      </c>
    </row>
    <row r="706" spans="1:26" ht="6.95" customHeight="1" x14ac:dyDescent="0.3">
      <c r="A706" s="154">
        <f>+A695+1</f>
        <v>865</v>
      </c>
      <c r="B706" s="155"/>
      <c r="C706" s="156"/>
      <c r="D706" s="161" t="s">
        <v>39</v>
      </c>
      <c r="E706" s="162" t="s">
        <v>258</v>
      </c>
      <c r="F706" s="163" t="s">
        <v>40</v>
      </c>
      <c r="G706" s="164">
        <v>50</v>
      </c>
      <c r="H706" s="165">
        <v>1</v>
      </c>
      <c r="I706" s="164"/>
      <c r="J706" s="165"/>
      <c r="K706" s="164"/>
      <c r="L706" s="165"/>
      <c r="M706" s="6"/>
      <c r="N706" s="32"/>
      <c r="Q706" s="10" t="str">
        <f>+CONCATENATE(E706,G706)</f>
        <v>금속관벽체50</v>
      </c>
      <c r="R706" s="10">
        <f>+H706</f>
        <v>1</v>
      </c>
      <c r="S706" s="11"/>
      <c r="T706" s="10" t="str">
        <f>+E706</f>
        <v>금속관벽체</v>
      </c>
      <c r="U706" s="19" t="str">
        <f>IFERROR(LEFT(G706,FIND("*",G706)-1),"-")</f>
        <v>-</v>
      </c>
      <c r="V706" s="19" t="str">
        <f>IFERROR(RIGHT(G706,LEN(G706)-FIND("*",G706)),"-")</f>
        <v>-</v>
      </c>
      <c r="W706" s="20" t="str">
        <f>IFERROR((U706+V706)*2/1000,"-")</f>
        <v>-</v>
      </c>
      <c r="X706" s="20" t="str">
        <f>IFERROR(W706*H706,"-")</f>
        <v>-</v>
      </c>
      <c r="Z706" s="33">
        <v>45180</v>
      </c>
    </row>
    <row r="707" spans="1:26" ht="6.95" customHeight="1" x14ac:dyDescent="0.3">
      <c r="A707" s="154"/>
      <c r="B707" s="157"/>
      <c r="C707" s="158"/>
      <c r="D707" s="161"/>
      <c r="E707" s="162"/>
      <c r="F707" s="163"/>
      <c r="G707" s="164"/>
      <c r="H707" s="165"/>
      <c r="I707" s="164"/>
      <c r="J707" s="165"/>
      <c r="K707" s="164"/>
      <c r="L707" s="165"/>
      <c r="M707" s="6"/>
      <c r="N707" s="32"/>
      <c r="Q707" s="10" t="str">
        <f>+CONCATENATE(E706,I706)</f>
        <v>금속관벽체</v>
      </c>
      <c r="R707" s="10">
        <f>+J706</f>
        <v>0</v>
      </c>
      <c r="S707" s="11"/>
      <c r="T707" s="10" t="str">
        <f>+E706</f>
        <v>금속관벽체</v>
      </c>
      <c r="U707" s="19" t="str">
        <f>IFERROR(LEFT(I706,FIND("*",I706)-1),"-")</f>
        <v>-</v>
      </c>
      <c r="V707" s="19" t="str">
        <f>IFERROR(RIGHT(I706,LEN(I706)-FIND("*",I706)),"-")</f>
        <v>-</v>
      </c>
      <c r="W707" s="20" t="str">
        <f t="shared" ref="W707:W714" si="382">IFERROR((U707+V707)*2/1000,"-")</f>
        <v>-</v>
      </c>
      <c r="X707" s="20" t="str">
        <f>IFERROR(W707*J706,"-")</f>
        <v>-</v>
      </c>
      <c r="Z707" s="33">
        <v>45180</v>
      </c>
    </row>
    <row r="708" spans="1:26" ht="6.95" customHeight="1" x14ac:dyDescent="0.3">
      <c r="A708" s="154"/>
      <c r="B708" s="157"/>
      <c r="C708" s="158"/>
      <c r="D708" s="161"/>
      <c r="E708" s="162"/>
      <c r="F708" s="163"/>
      <c r="G708" s="164"/>
      <c r="H708" s="165"/>
      <c r="I708" s="164"/>
      <c r="J708" s="165"/>
      <c r="K708" s="164"/>
      <c r="L708" s="165"/>
      <c r="M708" s="6"/>
      <c r="N708" s="32"/>
      <c r="Q708" s="10" t="str">
        <f>+CONCATENATE(E706,K706)</f>
        <v>금속관벽체</v>
      </c>
      <c r="R708" s="10">
        <f>+L706</f>
        <v>0</v>
      </c>
      <c r="S708" s="11"/>
      <c r="T708" s="10" t="str">
        <f>+E706</f>
        <v>금속관벽체</v>
      </c>
      <c r="U708" s="19" t="str">
        <f>IFERROR(LEFT(K706,FIND("*",K706)-1),"-")</f>
        <v>-</v>
      </c>
      <c r="V708" s="19" t="str">
        <f>IFERROR(RIGHT(K706,LEN(K706)-FIND("*",K706)),"-")</f>
        <v>-</v>
      </c>
      <c r="W708" s="20" t="str">
        <f t="shared" si="382"/>
        <v>-</v>
      </c>
      <c r="X708" s="20" t="str">
        <f>IFERROR(W708*L706,"-")</f>
        <v>-</v>
      </c>
      <c r="Z708" s="33">
        <v>45180</v>
      </c>
    </row>
    <row r="709" spans="1:26" ht="6.95" customHeight="1" x14ac:dyDescent="0.3">
      <c r="A709" s="8"/>
      <c r="B709" s="157"/>
      <c r="C709" s="158"/>
      <c r="D709" s="161" t="s">
        <v>39</v>
      </c>
      <c r="E709" s="162"/>
      <c r="F709" s="163" t="s">
        <v>40</v>
      </c>
      <c r="G709" s="164"/>
      <c r="H709" s="165"/>
      <c r="I709" s="164"/>
      <c r="J709" s="165"/>
      <c r="K709" s="164"/>
      <c r="L709" s="165"/>
      <c r="M709" s="6"/>
      <c r="N709" s="32"/>
      <c r="Q709" s="10" t="str">
        <f>+CONCATENATE(E709,G709)</f>
        <v/>
      </c>
      <c r="R709" s="10">
        <f>+H709</f>
        <v>0</v>
      </c>
      <c r="S709" s="11"/>
      <c r="T709" s="10">
        <f>+E709</f>
        <v>0</v>
      </c>
      <c r="U709" s="19" t="str">
        <f t="shared" ref="U709" si="383">IFERROR(LEFT(G709,FIND("*",G709)-1),"-")</f>
        <v>-</v>
      </c>
      <c r="V709" s="19" t="str">
        <f t="shared" ref="V709" si="384">IFERROR(RIGHT(G709,LEN(G709)-FIND("*",G709)),"-")</f>
        <v>-</v>
      </c>
      <c r="W709" s="20" t="str">
        <f t="shared" si="382"/>
        <v>-</v>
      </c>
      <c r="X709" s="20" t="str">
        <f>IFERROR(W709*H709,"-")</f>
        <v>-</v>
      </c>
      <c r="Z709" s="33">
        <v>45180</v>
      </c>
    </row>
    <row r="710" spans="1:26" ht="6.95" customHeight="1" x14ac:dyDescent="0.3">
      <c r="A710" s="5"/>
      <c r="B710" s="157"/>
      <c r="C710" s="158"/>
      <c r="D710" s="161"/>
      <c r="E710" s="162"/>
      <c r="F710" s="163"/>
      <c r="G710" s="164"/>
      <c r="H710" s="165"/>
      <c r="I710" s="164"/>
      <c r="J710" s="165"/>
      <c r="K710" s="164"/>
      <c r="L710" s="165"/>
      <c r="M710" s="6"/>
      <c r="N710" s="32"/>
      <c r="Q710" s="10" t="str">
        <f>+CONCATENATE(E709,I709)</f>
        <v/>
      </c>
      <c r="R710" s="10">
        <f>+J709</f>
        <v>0</v>
      </c>
      <c r="S710" s="11"/>
      <c r="T710" s="10">
        <f>+E709</f>
        <v>0</v>
      </c>
      <c r="U710" s="19" t="str">
        <f>IFERROR(LEFT(I709,FIND("*",I709)-1),"-")</f>
        <v>-</v>
      </c>
      <c r="V710" s="19" t="str">
        <f>IFERROR(RIGHT(I709,LEN(I709)-FIND("*",I709)),"-")</f>
        <v>-</v>
      </c>
      <c r="W710" s="20" t="str">
        <f t="shared" si="382"/>
        <v>-</v>
      </c>
      <c r="X710" s="20" t="str">
        <f>IFERROR(W710*J709,"-")</f>
        <v>-</v>
      </c>
      <c r="Z710" s="33">
        <v>45180</v>
      </c>
    </row>
    <row r="711" spans="1:26" ht="6.95" customHeight="1" x14ac:dyDescent="0.3">
      <c r="A711" s="5"/>
      <c r="B711" s="157"/>
      <c r="C711" s="158"/>
      <c r="D711" s="161"/>
      <c r="E711" s="162"/>
      <c r="F711" s="163"/>
      <c r="G711" s="164"/>
      <c r="H711" s="165"/>
      <c r="I711" s="164"/>
      <c r="J711" s="165"/>
      <c r="K711" s="164"/>
      <c r="L711" s="165"/>
      <c r="M711" s="6"/>
      <c r="N711" s="32"/>
      <c r="Q711" s="10" t="str">
        <f>+CONCATENATE(E709,K709)</f>
        <v/>
      </c>
      <c r="R711" s="10">
        <f>+L709</f>
        <v>0</v>
      </c>
      <c r="S711" s="11"/>
      <c r="T711" s="10">
        <f>+E709</f>
        <v>0</v>
      </c>
      <c r="U711" s="19" t="str">
        <f>IFERROR(LEFT(K709,FIND("*",K709)-1),"-")</f>
        <v>-</v>
      </c>
      <c r="V711" s="19" t="str">
        <f>IFERROR(RIGHT(K709,LEN(K709)-FIND("*",K709)),"-")</f>
        <v>-</v>
      </c>
      <c r="W711" s="20" t="str">
        <f t="shared" si="382"/>
        <v>-</v>
      </c>
      <c r="X711" s="20" t="str">
        <f>IFERROR(W711*L709,"-")</f>
        <v>-</v>
      </c>
      <c r="Z711" s="33">
        <v>45180</v>
      </c>
    </row>
    <row r="712" spans="1:26" ht="6.95" customHeight="1" x14ac:dyDescent="0.3">
      <c r="A712" s="8"/>
      <c r="B712" s="157"/>
      <c r="C712" s="158"/>
      <c r="D712" s="161" t="s">
        <v>39</v>
      </c>
      <c r="E712" s="162"/>
      <c r="F712" s="163" t="s">
        <v>40</v>
      </c>
      <c r="G712" s="164"/>
      <c r="H712" s="165"/>
      <c r="I712" s="164"/>
      <c r="J712" s="165"/>
      <c r="K712" s="164"/>
      <c r="L712" s="165"/>
      <c r="M712" s="6"/>
      <c r="N712" s="32"/>
      <c r="Q712" s="10" t="str">
        <f>+CONCATENATE(E712,G712)</f>
        <v/>
      </c>
      <c r="R712" s="10">
        <f>+H712</f>
        <v>0</v>
      </c>
      <c r="S712" s="11"/>
      <c r="T712" s="10">
        <f>+E712</f>
        <v>0</v>
      </c>
      <c r="U712" s="19" t="str">
        <f t="shared" ref="U712" si="385">IFERROR(LEFT(G712,FIND("*",G712)-1),"-")</f>
        <v>-</v>
      </c>
      <c r="V712" s="19" t="str">
        <f t="shared" ref="V712" si="386">IFERROR(RIGHT(G712,LEN(G712)-FIND("*",G712)),"-")</f>
        <v>-</v>
      </c>
      <c r="W712" s="20" t="str">
        <f t="shared" si="382"/>
        <v>-</v>
      </c>
      <c r="X712" s="20" t="str">
        <f>IFERROR(W712*H712,"-")</f>
        <v>-</v>
      </c>
      <c r="Z712" s="33">
        <v>45180</v>
      </c>
    </row>
    <row r="713" spans="1:26" ht="6.95" customHeight="1" x14ac:dyDescent="0.3">
      <c r="A713" s="5"/>
      <c r="B713" s="157"/>
      <c r="C713" s="158"/>
      <c r="D713" s="161"/>
      <c r="E713" s="162"/>
      <c r="F713" s="163"/>
      <c r="G713" s="164"/>
      <c r="H713" s="165"/>
      <c r="I713" s="164"/>
      <c r="J713" s="165"/>
      <c r="K713" s="164"/>
      <c r="L713" s="165"/>
      <c r="M713" s="6"/>
      <c r="N713" s="32"/>
      <c r="Q713" s="10" t="str">
        <f>+CONCATENATE(E712,I712)</f>
        <v/>
      </c>
      <c r="R713" s="10">
        <f>+J712</f>
        <v>0</v>
      </c>
      <c r="S713" s="11"/>
      <c r="T713" s="10">
        <f>+E712</f>
        <v>0</v>
      </c>
      <c r="U713" s="19" t="str">
        <f>IFERROR(LEFT(I712,FIND("*",I712)-1),"-")</f>
        <v>-</v>
      </c>
      <c r="V713" s="19" t="str">
        <f>IFERROR(RIGHT(I712,LEN(I712)-FIND("*",I712)),"-")</f>
        <v>-</v>
      </c>
      <c r="W713" s="20" t="str">
        <f t="shared" si="382"/>
        <v>-</v>
      </c>
      <c r="X713" s="20" t="str">
        <f t="shared" ref="X713" si="387">IFERROR(W713*J712,"-")</f>
        <v>-</v>
      </c>
      <c r="Z713" s="33">
        <v>45180</v>
      </c>
    </row>
    <row r="714" spans="1:26" ht="6.95" customHeight="1" x14ac:dyDescent="0.3">
      <c r="A714" s="5"/>
      <c r="B714" s="157"/>
      <c r="C714" s="158"/>
      <c r="D714" s="161"/>
      <c r="E714" s="162"/>
      <c r="F714" s="163"/>
      <c r="G714" s="164"/>
      <c r="H714" s="165"/>
      <c r="I714" s="164"/>
      <c r="J714" s="165"/>
      <c r="K714" s="164"/>
      <c r="L714" s="165"/>
      <c r="M714" s="6"/>
      <c r="N714" s="32"/>
      <c r="Q714" s="10" t="str">
        <f>+CONCATENATE(E712,K712)</f>
        <v/>
      </c>
      <c r="R714" s="10">
        <f>+L712</f>
        <v>0</v>
      </c>
      <c r="S714" s="11"/>
      <c r="T714" s="10">
        <f>+E712</f>
        <v>0</v>
      </c>
      <c r="U714" s="19" t="str">
        <f>IFERROR(LEFT(K712,FIND("*",K712)-1),"-")</f>
        <v>-</v>
      </c>
      <c r="V714" s="19" t="str">
        <f>IFERROR(RIGHT(K712,LEN(K712)-FIND("*",K712)),"-")</f>
        <v>-</v>
      </c>
      <c r="W714" s="20" t="str">
        <f t="shared" si="382"/>
        <v>-</v>
      </c>
      <c r="X714" s="20" t="str">
        <f>IFERROR(W714*L712,"-")</f>
        <v>-</v>
      </c>
      <c r="Z714" s="33">
        <v>45180</v>
      </c>
    </row>
    <row r="715" spans="1:26" ht="21" customHeight="1" thickBot="1" x14ac:dyDescent="0.35">
      <c r="A715" s="5"/>
      <c r="B715" s="159"/>
      <c r="C715" s="160"/>
      <c r="D715" s="166" t="s">
        <v>43</v>
      </c>
      <c r="E715" s="167"/>
      <c r="F715" s="167"/>
      <c r="G715" s="168" t="s">
        <v>236</v>
      </c>
      <c r="H715" s="168"/>
      <c r="I715" s="168"/>
      <c r="J715" s="168"/>
      <c r="K715" s="168"/>
      <c r="L715" s="168"/>
      <c r="M715" s="7"/>
      <c r="N715" s="33"/>
      <c r="Z715" s="33">
        <v>45180</v>
      </c>
    </row>
    <row r="716" spans="1:26" ht="9.9499999999999993" customHeight="1" thickBot="1" x14ac:dyDescent="0.35">
      <c r="B716" s="9"/>
      <c r="C716" s="109">
        <v>865</v>
      </c>
      <c r="D716" s="51"/>
      <c r="E716" s="12"/>
      <c r="F716" s="51"/>
      <c r="G716" s="14"/>
      <c r="H716" s="14"/>
      <c r="I716" s="14"/>
      <c r="J716" s="14"/>
      <c r="K716" s="14"/>
      <c r="L716" s="14"/>
      <c r="M716" s="9"/>
      <c r="N716" s="32"/>
      <c r="U716" s="18"/>
      <c r="V716" s="18"/>
      <c r="Z716" s="33">
        <v>45180</v>
      </c>
    </row>
    <row r="717" spans="1:26" ht="6.95" customHeight="1" x14ac:dyDescent="0.3">
      <c r="A717" s="154">
        <f>+A706+1</f>
        <v>866</v>
      </c>
      <c r="B717" s="155"/>
      <c r="C717" s="156"/>
      <c r="D717" s="161" t="s">
        <v>39</v>
      </c>
      <c r="E717" s="162" t="s">
        <v>222</v>
      </c>
      <c r="F717" s="163" t="s">
        <v>40</v>
      </c>
      <c r="G717" s="164" t="s">
        <v>257</v>
      </c>
      <c r="H717" s="165">
        <v>0.5</v>
      </c>
      <c r="I717" s="164"/>
      <c r="J717" s="165"/>
      <c r="K717" s="164"/>
      <c r="L717" s="165"/>
      <c r="M717" s="6"/>
      <c r="N717" s="32"/>
      <c r="Q717" s="10" t="str">
        <f>+CONCATENATE(E717,G717)</f>
        <v>보온덕트벽체1600*500</v>
      </c>
      <c r="R717" s="10">
        <f>+H717</f>
        <v>0.5</v>
      </c>
      <c r="S717" s="11"/>
      <c r="T717" s="10" t="str">
        <f>+E717</f>
        <v>보온덕트벽체</v>
      </c>
      <c r="U717" s="19" t="str">
        <f>IFERROR(LEFT(G717,FIND("*",G717)-1),"-")</f>
        <v>1600</v>
      </c>
      <c r="V717" s="19" t="str">
        <f>IFERROR(RIGHT(G717,LEN(G717)-FIND("*",G717)),"-")</f>
        <v>500</v>
      </c>
      <c r="W717" s="20">
        <f>IFERROR((U717+V717)*2/1000,"-")</f>
        <v>4.2</v>
      </c>
      <c r="X717" s="20">
        <f>IFERROR(W717*H717,"-")</f>
        <v>2.1</v>
      </c>
      <c r="Z717" s="33">
        <v>45180</v>
      </c>
    </row>
    <row r="718" spans="1:26" ht="6.95" customHeight="1" x14ac:dyDescent="0.3">
      <c r="A718" s="154"/>
      <c r="B718" s="157"/>
      <c r="C718" s="158"/>
      <c r="D718" s="161"/>
      <c r="E718" s="162"/>
      <c r="F718" s="163"/>
      <c r="G718" s="164"/>
      <c r="H718" s="165"/>
      <c r="I718" s="164"/>
      <c r="J718" s="165"/>
      <c r="K718" s="164"/>
      <c r="L718" s="165"/>
      <c r="M718" s="6"/>
      <c r="N718" s="32"/>
      <c r="Q718" s="10" t="str">
        <f>+CONCATENATE(E717,I717)</f>
        <v>보온덕트벽체</v>
      </c>
      <c r="R718" s="10">
        <f>+J717</f>
        <v>0</v>
      </c>
      <c r="S718" s="11"/>
      <c r="T718" s="10" t="str">
        <f>+E717</f>
        <v>보온덕트벽체</v>
      </c>
      <c r="U718" s="19" t="str">
        <f>IFERROR(LEFT(I717,FIND("*",I717)-1),"-")</f>
        <v>-</v>
      </c>
      <c r="V718" s="19" t="str">
        <f>IFERROR(RIGHT(I717,LEN(I717)-FIND("*",I717)),"-")</f>
        <v>-</v>
      </c>
      <c r="W718" s="20" t="str">
        <f t="shared" ref="W718:W725" si="388">IFERROR((U718+V718)*2/1000,"-")</f>
        <v>-</v>
      </c>
      <c r="X718" s="20" t="str">
        <f>IFERROR(W718*J717,"-")</f>
        <v>-</v>
      </c>
      <c r="Z718" s="33">
        <v>45180</v>
      </c>
    </row>
    <row r="719" spans="1:26" ht="6.95" customHeight="1" x14ac:dyDescent="0.3">
      <c r="A719" s="154"/>
      <c r="B719" s="157"/>
      <c r="C719" s="158"/>
      <c r="D719" s="161"/>
      <c r="E719" s="162"/>
      <c r="F719" s="163"/>
      <c r="G719" s="164"/>
      <c r="H719" s="165"/>
      <c r="I719" s="164"/>
      <c r="J719" s="165"/>
      <c r="K719" s="164"/>
      <c r="L719" s="165"/>
      <c r="M719" s="6"/>
      <c r="N719" s="32"/>
      <c r="Q719" s="10" t="str">
        <f>+CONCATENATE(E717,K717)</f>
        <v>보온덕트벽체</v>
      </c>
      <c r="R719" s="10">
        <f>+L717</f>
        <v>0</v>
      </c>
      <c r="S719" s="11"/>
      <c r="T719" s="10" t="str">
        <f>+E717</f>
        <v>보온덕트벽체</v>
      </c>
      <c r="U719" s="19" t="str">
        <f>IFERROR(LEFT(K717,FIND("*",K717)-1),"-")</f>
        <v>-</v>
      </c>
      <c r="V719" s="19" t="str">
        <f>IFERROR(RIGHT(K717,LEN(K717)-FIND("*",K717)),"-")</f>
        <v>-</v>
      </c>
      <c r="W719" s="20" t="str">
        <f t="shared" si="388"/>
        <v>-</v>
      </c>
      <c r="X719" s="20" t="str">
        <f>IFERROR(W719*L717,"-")</f>
        <v>-</v>
      </c>
      <c r="Z719" s="33">
        <v>45180</v>
      </c>
    </row>
    <row r="720" spans="1:26" ht="6.95" customHeight="1" x14ac:dyDescent="0.3">
      <c r="A720" s="8"/>
      <c r="B720" s="157"/>
      <c r="C720" s="158"/>
      <c r="D720" s="161" t="s">
        <v>39</v>
      </c>
      <c r="E720" s="162" t="s">
        <v>66</v>
      </c>
      <c r="F720" s="163" t="s">
        <v>40</v>
      </c>
      <c r="G720" s="164" t="s">
        <v>248</v>
      </c>
      <c r="H720" s="165">
        <v>1</v>
      </c>
      <c r="I720" s="164"/>
      <c r="J720" s="165"/>
      <c r="K720" s="164"/>
      <c r="L720" s="165"/>
      <c r="M720" s="6"/>
      <c r="N720" s="32"/>
      <c r="Q720" s="10" t="str">
        <f>+CONCATENATE(E720,G720)</f>
        <v>차열재마감1600*500</v>
      </c>
      <c r="R720" s="10">
        <f>+H720</f>
        <v>1</v>
      </c>
      <c r="S720" s="11"/>
      <c r="T720" s="10" t="str">
        <f>+E720</f>
        <v>차열재마감</v>
      </c>
      <c r="U720" s="19" t="str">
        <f t="shared" ref="U720" si="389">IFERROR(LEFT(G720,FIND("*",G720)-1),"-")</f>
        <v>1600</v>
      </c>
      <c r="V720" s="19" t="str">
        <f t="shared" ref="V720" si="390">IFERROR(RIGHT(G720,LEN(G720)-FIND("*",G720)),"-")</f>
        <v>500</v>
      </c>
      <c r="W720" s="20">
        <f t="shared" si="388"/>
        <v>4.2</v>
      </c>
      <c r="X720" s="20">
        <f>IFERROR(W720*H720,"-")</f>
        <v>4.2</v>
      </c>
      <c r="Z720" s="33">
        <v>45180</v>
      </c>
    </row>
    <row r="721" spans="1:26" ht="6.95" customHeight="1" x14ac:dyDescent="0.3">
      <c r="A721" s="5"/>
      <c r="B721" s="157"/>
      <c r="C721" s="158"/>
      <c r="D721" s="161"/>
      <c r="E721" s="162"/>
      <c r="F721" s="163"/>
      <c r="G721" s="164"/>
      <c r="H721" s="165"/>
      <c r="I721" s="164"/>
      <c r="J721" s="165"/>
      <c r="K721" s="164"/>
      <c r="L721" s="165"/>
      <c r="M721" s="6"/>
      <c r="N721" s="32"/>
      <c r="Q721" s="10" t="str">
        <f>+CONCATENATE(E720,I720)</f>
        <v>차열재마감</v>
      </c>
      <c r="R721" s="10">
        <f>+J720</f>
        <v>0</v>
      </c>
      <c r="S721" s="11"/>
      <c r="T721" s="10" t="str">
        <f>+E720</f>
        <v>차열재마감</v>
      </c>
      <c r="U721" s="19" t="str">
        <f>IFERROR(LEFT(I720,FIND("*",I720)-1),"-")</f>
        <v>-</v>
      </c>
      <c r="V721" s="19" t="str">
        <f>IFERROR(RIGHT(I720,LEN(I720)-FIND("*",I720)),"-")</f>
        <v>-</v>
      </c>
      <c r="W721" s="20" t="str">
        <f t="shared" si="388"/>
        <v>-</v>
      </c>
      <c r="X721" s="20" t="str">
        <f>IFERROR(W721*J720,"-")</f>
        <v>-</v>
      </c>
      <c r="Z721" s="33">
        <v>45180</v>
      </c>
    </row>
    <row r="722" spans="1:26" ht="6.95" customHeight="1" x14ac:dyDescent="0.3">
      <c r="A722" s="5"/>
      <c r="B722" s="157"/>
      <c r="C722" s="158"/>
      <c r="D722" s="161"/>
      <c r="E722" s="162"/>
      <c r="F722" s="163"/>
      <c r="G722" s="164"/>
      <c r="H722" s="165"/>
      <c r="I722" s="164"/>
      <c r="J722" s="165"/>
      <c r="K722" s="164"/>
      <c r="L722" s="165"/>
      <c r="M722" s="6"/>
      <c r="N722" s="32"/>
      <c r="Q722" s="10" t="str">
        <f>+CONCATENATE(E720,K720)</f>
        <v>차열재마감</v>
      </c>
      <c r="R722" s="10">
        <f>+L720</f>
        <v>0</v>
      </c>
      <c r="S722" s="11"/>
      <c r="T722" s="10" t="str">
        <f>+E720</f>
        <v>차열재마감</v>
      </c>
      <c r="U722" s="19" t="str">
        <f>IFERROR(LEFT(K720,FIND("*",K720)-1),"-")</f>
        <v>-</v>
      </c>
      <c r="V722" s="19" t="str">
        <f>IFERROR(RIGHT(K720,LEN(K720)-FIND("*",K720)),"-")</f>
        <v>-</v>
      </c>
      <c r="W722" s="20" t="str">
        <f t="shared" si="388"/>
        <v>-</v>
      </c>
      <c r="X722" s="20" t="str">
        <f>IFERROR(W722*L720,"-")</f>
        <v>-</v>
      </c>
      <c r="Z722" s="33">
        <v>45180</v>
      </c>
    </row>
    <row r="723" spans="1:26" ht="6.95" customHeight="1" x14ac:dyDescent="0.3">
      <c r="A723" s="8"/>
      <c r="B723" s="157"/>
      <c r="C723" s="158"/>
      <c r="D723" s="161" t="s">
        <v>39</v>
      </c>
      <c r="E723" s="162"/>
      <c r="F723" s="163" t="s">
        <v>40</v>
      </c>
      <c r="G723" s="164"/>
      <c r="H723" s="165"/>
      <c r="I723" s="164"/>
      <c r="J723" s="165"/>
      <c r="K723" s="164"/>
      <c r="L723" s="165"/>
      <c r="M723" s="6"/>
      <c r="N723" s="32"/>
      <c r="Q723" s="10" t="str">
        <f>+CONCATENATE(E723,G723)</f>
        <v/>
      </c>
      <c r="R723" s="10">
        <f>+H723</f>
        <v>0</v>
      </c>
      <c r="S723" s="11"/>
      <c r="T723" s="10">
        <f>+E723</f>
        <v>0</v>
      </c>
      <c r="U723" s="19" t="str">
        <f t="shared" ref="U723" si="391">IFERROR(LEFT(G723,FIND("*",G723)-1),"-")</f>
        <v>-</v>
      </c>
      <c r="V723" s="19" t="str">
        <f t="shared" ref="V723" si="392">IFERROR(RIGHT(G723,LEN(G723)-FIND("*",G723)),"-")</f>
        <v>-</v>
      </c>
      <c r="W723" s="20" t="str">
        <f t="shared" si="388"/>
        <v>-</v>
      </c>
      <c r="X723" s="20" t="str">
        <f>IFERROR(W723*H723,"-")</f>
        <v>-</v>
      </c>
      <c r="Z723" s="33">
        <v>45180</v>
      </c>
    </row>
    <row r="724" spans="1:26" ht="6.95" customHeight="1" x14ac:dyDescent="0.3">
      <c r="A724" s="5"/>
      <c r="B724" s="157"/>
      <c r="C724" s="158"/>
      <c r="D724" s="161"/>
      <c r="E724" s="162"/>
      <c r="F724" s="163"/>
      <c r="G724" s="164"/>
      <c r="H724" s="165"/>
      <c r="I724" s="164"/>
      <c r="J724" s="165"/>
      <c r="K724" s="164"/>
      <c r="L724" s="165"/>
      <c r="M724" s="6"/>
      <c r="N724" s="32"/>
      <c r="Q724" s="10" t="str">
        <f>+CONCATENATE(E723,I723)</f>
        <v/>
      </c>
      <c r="R724" s="10">
        <f>+J723</f>
        <v>0</v>
      </c>
      <c r="S724" s="11"/>
      <c r="T724" s="10">
        <f>+E723</f>
        <v>0</v>
      </c>
      <c r="U724" s="19" t="str">
        <f>IFERROR(LEFT(I723,FIND("*",I723)-1),"-")</f>
        <v>-</v>
      </c>
      <c r="V724" s="19" t="str">
        <f>IFERROR(RIGHT(I723,LEN(I723)-FIND("*",I723)),"-")</f>
        <v>-</v>
      </c>
      <c r="W724" s="20" t="str">
        <f t="shared" si="388"/>
        <v>-</v>
      </c>
      <c r="X724" s="20" t="str">
        <f t="shared" ref="X724" si="393">IFERROR(W724*J723,"-")</f>
        <v>-</v>
      </c>
      <c r="Z724" s="33">
        <v>45180</v>
      </c>
    </row>
    <row r="725" spans="1:26" ht="6.95" customHeight="1" x14ac:dyDescent="0.3">
      <c r="A725" s="5"/>
      <c r="B725" s="157"/>
      <c r="C725" s="158"/>
      <c r="D725" s="161"/>
      <c r="E725" s="162"/>
      <c r="F725" s="163"/>
      <c r="G725" s="164"/>
      <c r="H725" s="165"/>
      <c r="I725" s="164"/>
      <c r="J725" s="165"/>
      <c r="K725" s="164"/>
      <c r="L725" s="165"/>
      <c r="M725" s="6"/>
      <c r="N725" s="32"/>
      <c r="Q725" s="10" t="str">
        <f>+CONCATENATE(E723,K723)</f>
        <v/>
      </c>
      <c r="R725" s="10">
        <f>+L723</f>
        <v>0</v>
      </c>
      <c r="S725" s="11"/>
      <c r="T725" s="10">
        <f>+E723</f>
        <v>0</v>
      </c>
      <c r="U725" s="19" t="str">
        <f>IFERROR(LEFT(K723,FIND("*",K723)-1),"-")</f>
        <v>-</v>
      </c>
      <c r="V725" s="19" t="str">
        <f>IFERROR(RIGHT(K723,LEN(K723)-FIND("*",K723)),"-")</f>
        <v>-</v>
      </c>
      <c r="W725" s="20" t="str">
        <f t="shared" si="388"/>
        <v>-</v>
      </c>
      <c r="X725" s="20" t="str">
        <f>IFERROR(W725*L723,"-")</f>
        <v>-</v>
      </c>
      <c r="Z725" s="33">
        <v>45180</v>
      </c>
    </row>
    <row r="726" spans="1:26" ht="21" customHeight="1" thickBot="1" x14ac:dyDescent="0.35">
      <c r="A726" s="5"/>
      <c r="B726" s="159"/>
      <c r="C726" s="160"/>
      <c r="D726" s="166" t="s">
        <v>43</v>
      </c>
      <c r="E726" s="167"/>
      <c r="F726" s="167"/>
      <c r="G726" s="168" t="s">
        <v>236</v>
      </c>
      <c r="H726" s="168"/>
      <c r="I726" s="168"/>
      <c r="J726" s="168"/>
      <c r="K726" s="168"/>
      <c r="L726" s="168"/>
      <c r="M726" s="7"/>
      <c r="N726" s="32"/>
      <c r="Z726" s="33">
        <v>45180</v>
      </c>
    </row>
    <row r="727" spans="1:26" ht="9.9499999999999993" customHeight="1" thickBot="1" x14ac:dyDescent="0.35">
      <c r="B727" s="9"/>
      <c r="C727" s="109" t="s">
        <v>239</v>
      </c>
      <c r="D727" s="51"/>
      <c r="E727" s="12"/>
      <c r="F727" s="51"/>
      <c r="G727" s="14"/>
      <c r="H727" s="14"/>
      <c r="I727" s="14"/>
      <c r="J727" s="14"/>
      <c r="K727" s="14"/>
      <c r="L727" s="14"/>
      <c r="M727" s="9"/>
      <c r="N727" s="32"/>
      <c r="U727" s="18"/>
      <c r="V727" s="18"/>
      <c r="Z727" s="33">
        <v>45180</v>
      </c>
    </row>
    <row r="728" spans="1:26" ht="6.95" customHeight="1" x14ac:dyDescent="0.3">
      <c r="A728" s="154">
        <f>+A717+1</f>
        <v>867</v>
      </c>
      <c r="B728" s="155"/>
      <c r="C728" s="156"/>
      <c r="D728" s="161" t="s">
        <v>39</v>
      </c>
      <c r="E728" s="162" t="s">
        <v>226</v>
      </c>
      <c r="F728" s="163" t="s">
        <v>40</v>
      </c>
      <c r="G728" s="164" t="s">
        <v>259</v>
      </c>
      <c r="H728" s="165">
        <v>0.5</v>
      </c>
      <c r="I728" s="164"/>
      <c r="J728" s="165"/>
      <c r="K728" s="164"/>
      <c r="L728" s="165"/>
      <c r="M728" s="6"/>
      <c r="N728" s="32"/>
      <c r="Q728" s="10" t="str">
        <f>+CONCATENATE(E728,G728)</f>
        <v>무보온덕트벽체1800*500</v>
      </c>
      <c r="R728" s="10">
        <f>+H728</f>
        <v>0.5</v>
      </c>
      <c r="S728" s="11"/>
      <c r="T728" s="10" t="str">
        <f>+E728</f>
        <v>무보온덕트벽체</v>
      </c>
      <c r="U728" s="19" t="str">
        <f>IFERROR(LEFT(G728,FIND("*",G728)-1),"-")</f>
        <v>1800</v>
      </c>
      <c r="V728" s="19" t="str">
        <f>IFERROR(RIGHT(G728,LEN(G728)-FIND("*",G728)),"-")</f>
        <v>500</v>
      </c>
      <c r="W728" s="20">
        <f>IFERROR((U728+V728)*2/1000,"-")</f>
        <v>4.5999999999999996</v>
      </c>
      <c r="X728" s="20">
        <f>IFERROR(W728*H728,"-")</f>
        <v>2.2999999999999998</v>
      </c>
      <c r="Z728" s="33">
        <v>45180</v>
      </c>
    </row>
    <row r="729" spans="1:26" ht="6.95" customHeight="1" x14ac:dyDescent="0.3">
      <c r="A729" s="154"/>
      <c r="B729" s="157"/>
      <c r="C729" s="158"/>
      <c r="D729" s="161"/>
      <c r="E729" s="162"/>
      <c r="F729" s="163"/>
      <c r="G729" s="164"/>
      <c r="H729" s="165"/>
      <c r="I729" s="164"/>
      <c r="J729" s="165"/>
      <c r="K729" s="164"/>
      <c r="L729" s="165"/>
      <c r="M729" s="6"/>
      <c r="N729" s="32"/>
      <c r="Q729" s="10" t="str">
        <f>+CONCATENATE(E728,I728)</f>
        <v>무보온덕트벽체</v>
      </c>
      <c r="R729" s="10">
        <f>+J728</f>
        <v>0</v>
      </c>
      <c r="S729" s="11"/>
      <c r="T729" s="10" t="str">
        <f>+E728</f>
        <v>무보온덕트벽체</v>
      </c>
      <c r="U729" s="19" t="str">
        <f>IFERROR(LEFT(I728,FIND("*",I728)-1),"-")</f>
        <v>-</v>
      </c>
      <c r="V729" s="19" t="str">
        <f>IFERROR(RIGHT(I728,LEN(I728)-FIND("*",I728)),"-")</f>
        <v>-</v>
      </c>
      <c r="W729" s="20" t="str">
        <f t="shared" ref="W729:W736" si="394">IFERROR((U729+V729)*2/1000,"-")</f>
        <v>-</v>
      </c>
      <c r="X729" s="20" t="str">
        <f>IFERROR(W729*J728,"-")</f>
        <v>-</v>
      </c>
      <c r="Z729" s="33">
        <v>45180</v>
      </c>
    </row>
    <row r="730" spans="1:26" ht="6.95" customHeight="1" x14ac:dyDescent="0.3">
      <c r="A730" s="154"/>
      <c r="B730" s="157"/>
      <c r="C730" s="158"/>
      <c r="D730" s="161"/>
      <c r="E730" s="162"/>
      <c r="F730" s="163"/>
      <c r="G730" s="164"/>
      <c r="H730" s="165"/>
      <c r="I730" s="164"/>
      <c r="J730" s="165"/>
      <c r="K730" s="164"/>
      <c r="L730" s="165"/>
      <c r="M730" s="6"/>
      <c r="N730" s="32"/>
      <c r="Q730" s="10" t="str">
        <f>+CONCATENATE(E728,K728)</f>
        <v>무보온덕트벽체</v>
      </c>
      <c r="R730" s="10">
        <f>+L728</f>
        <v>0</v>
      </c>
      <c r="S730" s="11"/>
      <c r="T730" s="10" t="str">
        <f>+E728</f>
        <v>무보온덕트벽체</v>
      </c>
      <c r="U730" s="19" t="str">
        <f>IFERROR(LEFT(K728,FIND("*",K728)-1),"-")</f>
        <v>-</v>
      </c>
      <c r="V730" s="19" t="str">
        <f>IFERROR(RIGHT(K728,LEN(K728)-FIND("*",K728)),"-")</f>
        <v>-</v>
      </c>
      <c r="W730" s="20" t="str">
        <f t="shared" si="394"/>
        <v>-</v>
      </c>
      <c r="X730" s="20" t="str">
        <f>IFERROR(W730*L728,"-")</f>
        <v>-</v>
      </c>
      <c r="Z730" s="33">
        <v>45180</v>
      </c>
    </row>
    <row r="731" spans="1:26" ht="6.95" customHeight="1" x14ac:dyDescent="0.3">
      <c r="A731" s="8"/>
      <c r="B731" s="157"/>
      <c r="C731" s="158"/>
      <c r="D731" s="161" t="s">
        <v>39</v>
      </c>
      <c r="E731" s="162" t="s">
        <v>66</v>
      </c>
      <c r="F731" s="163" t="s">
        <v>40</v>
      </c>
      <c r="G731" s="164" t="s">
        <v>259</v>
      </c>
      <c r="H731" s="165">
        <v>0.5</v>
      </c>
      <c r="I731" s="164"/>
      <c r="J731" s="165"/>
      <c r="K731" s="164"/>
      <c r="L731" s="165"/>
      <c r="M731" s="6"/>
      <c r="N731" s="32"/>
      <c r="Q731" s="10" t="str">
        <f>+CONCATENATE(E731,G731)</f>
        <v>차열재마감1800*500</v>
      </c>
      <c r="R731" s="10">
        <f>+H731</f>
        <v>0.5</v>
      </c>
      <c r="S731" s="11"/>
      <c r="T731" s="10" t="str">
        <f>+E731</f>
        <v>차열재마감</v>
      </c>
      <c r="U731" s="19" t="str">
        <f t="shared" ref="U731" si="395">IFERROR(LEFT(G731,FIND("*",G731)-1),"-")</f>
        <v>1800</v>
      </c>
      <c r="V731" s="19" t="str">
        <f t="shared" ref="V731" si="396">IFERROR(RIGHT(G731,LEN(G731)-FIND("*",G731)),"-")</f>
        <v>500</v>
      </c>
      <c r="W731" s="20">
        <f t="shared" si="394"/>
        <v>4.5999999999999996</v>
      </c>
      <c r="X731" s="20">
        <f>IFERROR(W731*H731,"-")</f>
        <v>2.2999999999999998</v>
      </c>
      <c r="Z731" s="33">
        <v>45180</v>
      </c>
    </row>
    <row r="732" spans="1:26" ht="6.95" customHeight="1" x14ac:dyDescent="0.3">
      <c r="A732" s="5"/>
      <c r="B732" s="157"/>
      <c r="C732" s="158"/>
      <c r="D732" s="161"/>
      <c r="E732" s="162"/>
      <c r="F732" s="163"/>
      <c r="G732" s="164"/>
      <c r="H732" s="165"/>
      <c r="I732" s="164"/>
      <c r="J732" s="165"/>
      <c r="K732" s="164"/>
      <c r="L732" s="165"/>
      <c r="M732" s="6"/>
      <c r="N732" s="32"/>
      <c r="Q732" s="10" t="str">
        <f>+CONCATENATE(E731,I731)</f>
        <v>차열재마감</v>
      </c>
      <c r="R732" s="10">
        <f>+J731</f>
        <v>0</v>
      </c>
      <c r="S732" s="11"/>
      <c r="T732" s="10" t="str">
        <f>+E731</f>
        <v>차열재마감</v>
      </c>
      <c r="U732" s="19" t="str">
        <f>IFERROR(LEFT(I731,FIND("*",I731)-1),"-")</f>
        <v>-</v>
      </c>
      <c r="V732" s="19" t="str">
        <f>IFERROR(RIGHT(I731,LEN(I731)-FIND("*",I731)),"-")</f>
        <v>-</v>
      </c>
      <c r="W732" s="20" t="str">
        <f t="shared" si="394"/>
        <v>-</v>
      </c>
      <c r="X732" s="20" t="str">
        <f>IFERROR(W732*J731,"-")</f>
        <v>-</v>
      </c>
      <c r="Z732" s="33">
        <v>45180</v>
      </c>
    </row>
    <row r="733" spans="1:26" ht="6.95" customHeight="1" x14ac:dyDescent="0.3">
      <c r="A733" s="5"/>
      <c r="B733" s="157"/>
      <c r="C733" s="158"/>
      <c r="D733" s="161"/>
      <c r="E733" s="162"/>
      <c r="F733" s="163"/>
      <c r="G733" s="164"/>
      <c r="H733" s="165"/>
      <c r="I733" s="164"/>
      <c r="J733" s="165"/>
      <c r="K733" s="164"/>
      <c r="L733" s="165"/>
      <c r="M733" s="6"/>
      <c r="N733" s="32"/>
      <c r="Q733" s="10" t="str">
        <f>+CONCATENATE(E731,K731)</f>
        <v>차열재마감</v>
      </c>
      <c r="R733" s="10">
        <f>+L731</f>
        <v>0</v>
      </c>
      <c r="S733" s="11"/>
      <c r="T733" s="10" t="str">
        <f>+E731</f>
        <v>차열재마감</v>
      </c>
      <c r="U733" s="19" t="str">
        <f>IFERROR(LEFT(K731,FIND("*",K731)-1),"-")</f>
        <v>-</v>
      </c>
      <c r="V733" s="19" t="str">
        <f>IFERROR(RIGHT(K731,LEN(K731)-FIND("*",K731)),"-")</f>
        <v>-</v>
      </c>
      <c r="W733" s="20" t="str">
        <f t="shared" si="394"/>
        <v>-</v>
      </c>
      <c r="X733" s="20" t="str">
        <f>IFERROR(W733*L731,"-")</f>
        <v>-</v>
      </c>
      <c r="Z733" s="33">
        <v>45180</v>
      </c>
    </row>
    <row r="734" spans="1:26" ht="6.95" customHeight="1" x14ac:dyDescent="0.3">
      <c r="A734" s="8"/>
      <c r="B734" s="157"/>
      <c r="C734" s="158"/>
      <c r="D734" s="161" t="s">
        <v>39</v>
      </c>
      <c r="E734" s="162"/>
      <c r="F734" s="163" t="s">
        <v>40</v>
      </c>
      <c r="G734" s="164"/>
      <c r="H734" s="165"/>
      <c r="I734" s="164"/>
      <c r="J734" s="165"/>
      <c r="K734" s="164"/>
      <c r="L734" s="165"/>
      <c r="M734" s="6"/>
      <c r="N734" s="32"/>
      <c r="Q734" s="10" t="str">
        <f>+CONCATENATE(E734,G734)</f>
        <v/>
      </c>
      <c r="R734" s="10">
        <f>+H734</f>
        <v>0</v>
      </c>
      <c r="S734" s="11"/>
      <c r="T734" s="10">
        <f>+E734</f>
        <v>0</v>
      </c>
      <c r="U734" s="19" t="str">
        <f t="shared" ref="U734" si="397">IFERROR(LEFT(G734,FIND("*",G734)-1),"-")</f>
        <v>-</v>
      </c>
      <c r="V734" s="19" t="str">
        <f t="shared" ref="V734" si="398">IFERROR(RIGHT(G734,LEN(G734)-FIND("*",G734)),"-")</f>
        <v>-</v>
      </c>
      <c r="W734" s="20" t="str">
        <f t="shared" si="394"/>
        <v>-</v>
      </c>
      <c r="X734" s="20" t="str">
        <f>IFERROR(W734*H734,"-")</f>
        <v>-</v>
      </c>
      <c r="Z734" s="33">
        <v>45180</v>
      </c>
    </row>
    <row r="735" spans="1:26" ht="6.95" customHeight="1" x14ac:dyDescent="0.3">
      <c r="A735" s="5"/>
      <c r="B735" s="157"/>
      <c r="C735" s="158"/>
      <c r="D735" s="161"/>
      <c r="E735" s="162"/>
      <c r="F735" s="163"/>
      <c r="G735" s="164"/>
      <c r="H735" s="165"/>
      <c r="I735" s="164"/>
      <c r="J735" s="165"/>
      <c r="K735" s="164"/>
      <c r="L735" s="165"/>
      <c r="M735" s="6"/>
      <c r="N735" s="32"/>
      <c r="Q735" s="10" t="str">
        <f>+CONCATENATE(E734,I734)</f>
        <v/>
      </c>
      <c r="R735" s="10">
        <f>+J734</f>
        <v>0</v>
      </c>
      <c r="S735" s="11"/>
      <c r="T735" s="10">
        <f>+E734</f>
        <v>0</v>
      </c>
      <c r="U735" s="19" t="str">
        <f>IFERROR(LEFT(I734,FIND("*",I734)-1),"-")</f>
        <v>-</v>
      </c>
      <c r="V735" s="19" t="str">
        <f>IFERROR(RIGHT(I734,LEN(I734)-FIND("*",I734)),"-")</f>
        <v>-</v>
      </c>
      <c r="W735" s="20" t="str">
        <f t="shared" si="394"/>
        <v>-</v>
      </c>
      <c r="X735" s="20" t="str">
        <f t="shared" ref="X735" si="399">IFERROR(W735*J734,"-")</f>
        <v>-</v>
      </c>
      <c r="Z735" s="33">
        <v>45180</v>
      </c>
    </row>
    <row r="736" spans="1:26" ht="6.95" customHeight="1" x14ac:dyDescent="0.3">
      <c r="A736" s="5"/>
      <c r="B736" s="157"/>
      <c r="C736" s="158"/>
      <c r="D736" s="161"/>
      <c r="E736" s="162"/>
      <c r="F736" s="163"/>
      <c r="G736" s="164"/>
      <c r="H736" s="165"/>
      <c r="I736" s="164"/>
      <c r="J736" s="165"/>
      <c r="K736" s="164"/>
      <c r="L736" s="165"/>
      <c r="M736" s="6"/>
      <c r="N736" s="32"/>
      <c r="Q736" s="10" t="str">
        <f>+CONCATENATE(E734,K734)</f>
        <v/>
      </c>
      <c r="R736" s="10">
        <f>+L734</f>
        <v>0</v>
      </c>
      <c r="S736" s="11"/>
      <c r="T736" s="10">
        <f>+E734</f>
        <v>0</v>
      </c>
      <c r="U736" s="19" t="str">
        <f>IFERROR(LEFT(K734,FIND("*",K734)-1),"-")</f>
        <v>-</v>
      </c>
      <c r="V736" s="19" t="str">
        <f>IFERROR(RIGHT(K734,LEN(K734)-FIND("*",K734)),"-")</f>
        <v>-</v>
      </c>
      <c r="W736" s="20" t="str">
        <f t="shared" si="394"/>
        <v>-</v>
      </c>
      <c r="X736" s="20" t="str">
        <f>IFERROR(W736*L734,"-")</f>
        <v>-</v>
      </c>
      <c r="Z736" s="33">
        <v>45180</v>
      </c>
    </row>
    <row r="737" spans="1:26" ht="21" customHeight="1" thickBot="1" x14ac:dyDescent="0.35">
      <c r="A737" s="5"/>
      <c r="B737" s="159"/>
      <c r="C737" s="160"/>
      <c r="D737" s="166" t="s">
        <v>43</v>
      </c>
      <c r="E737" s="167"/>
      <c r="F737" s="167"/>
      <c r="G737" s="168" t="s">
        <v>236</v>
      </c>
      <c r="H737" s="168"/>
      <c r="I737" s="168"/>
      <c r="J737" s="168"/>
      <c r="K737" s="168"/>
      <c r="L737" s="168"/>
      <c r="M737" s="7"/>
      <c r="N737" s="32"/>
      <c r="Z737" s="33">
        <v>45180</v>
      </c>
    </row>
    <row r="738" spans="1:26" ht="9.9499999999999993" customHeight="1" thickBot="1" x14ac:dyDescent="0.35">
      <c r="B738" s="9"/>
      <c r="C738" s="109">
        <v>867</v>
      </c>
      <c r="D738" s="51"/>
      <c r="E738" s="12"/>
      <c r="F738" s="51"/>
      <c r="G738" s="14"/>
      <c r="H738" s="14"/>
      <c r="I738" s="14"/>
      <c r="J738" s="14"/>
      <c r="K738" s="14"/>
      <c r="L738" s="14"/>
      <c r="M738" s="9"/>
      <c r="N738" s="32"/>
      <c r="U738" s="18"/>
      <c r="V738" s="18"/>
      <c r="Z738" s="33">
        <v>45180</v>
      </c>
    </row>
    <row r="739" spans="1:26" ht="6.95" customHeight="1" x14ac:dyDescent="0.3">
      <c r="A739" s="154">
        <f>+A728+1</f>
        <v>868</v>
      </c>
      <c r="B739" s="155"/>
      <c r="C739" s="156"/>
      <c r="D739" s="161" t="s">
        <v>39</v>
      </c>
      <c r="E739" s="162" t="s">
        <v>222</v>
      </c>
      <c r="F739" s="163" t="s">
        <v>40</v>
      </c>
      <c r="G739" s="164" t="s">
        <v>260</v>
      </c>
      <c r="H739" s="165">
        <v>1</v>
      </c>
      <c r="I739" s="164"/>
      <c r="J739" s="165"/>
      <c r="K739" s="164"/>
      <c r="L739" s="165"/>
      <c r="M739" s="6"/>
      <c r="N739" s="32"/>
      <c r="Q739" s="10" t="str">
        <f>+CONCATENATE(E739,G739)</f>
        <v>보온덕트벽체800*400</v>
      </c>
      <c r="R739" s="10">
        <f>+H739</f>
        <v>1</v>
      </c>
      <c r="S739" s="11"/>
      <c r="T739" s="10" t="str">
        <f>+E739</f>
        <v>보온덕트벽체</v>
      </c>
      <c r="U739" s="19" t="str">
        <f>IFERROR(LEFT(G739,FIND("*",G739)-1),"-")</f>
        <v>800</v>
      </c>
      <c r="V739" s="19" t="str">
        <f>IFERROR(RIGHT(G739,LEN(G739)-FIND("*",G739)),"-")</f>
        <v>400</v>
      </c>
      <c r="W739" s="20">
        <f>IFERROR((U739+V739)*2/1000,"-")</f>
        <v>2.4</v>
      </c>
      <c r="X739" s="20">
        <f>IFERROR(W739*H739,"-")</f>
        <v>2.4</v>
      </c>
      <c r="Z739" s="33">
        <v>45180</v>
      </c>
    </row>
    <row r="740" spans="1:26" ht="6.95" customHeight="1" x14ac:dyDescent="0.3">
      <c r="A740" s="154"/>
      <c r="B740" s="157"/>
      <c r="C740" s="158"/>
      <c r="D740" s="161"/>
      <c r="E740" s="162"/>
      <c r="F740" s="163"/>
      <c r="G740" s="164"/>
      <c r="H740" s="165"/>
      <c r="I740" s="164"/>
      <c r="J740" s="165"/>
      <c r="K740" s="164"/>
      <c r="L740" s="165"/>
      <c r="M740" s="6"/>
      <c r="N740" s="32"/>
      <c r="Q740" s="10" t="str">
        <f>+CONCATENATE(E739,I739)</f>
        <v>보온덕트벽체</v>
      </c>
      <c r="R740" s="10">
        <f>+J739</f>
        <v>0</v>
      </c>
      <c r="S740" s="11"/>
      <c r="T740" s="10" t="str">
        <f>+E739</f>
        <v>보온덕트벽체</v>
      </c>
      <c r="U740" s="19" t="str">
        <f>IFERROR(LEFT(I739,FIND("*",I739)-1),"-")</f>
        <v>-</v>
      </c>
      <c r="V740" s="19" t="str">
        <f>IFERROR(RIGHT(I739,LEN(I739)-FIND("*",I739)),"-")</f>
        <v>-</v>
      </c>
      <c r="W740" s="20" t="str">
        <f t="shared" ref="W740:W747" si="400">IFERROR((U740+V740)*2/1000,"-")</f>
        <v>-</v>
      </c>
      <c r="X740" s="20" t="str">
        <f>IFERROR(W740*J739,"-")</f>
        <v>-</v>
      </c>
      <c r="Z740" s="33">
        <v>45180</v>
      </c>
    </row>
    <row r="741" spans="1:26" ht="6.95" customHeight="1" x14ac:dyDescent="0.3">
      <c r="A741" s="154"/>
      <c r="B741" s="157"/>
      <c r="C741" s="158"/>
      <c r="D741" s="161"/>
      <c r="E741" s="162"/>
      <c r="F741" s="163"/>
      <c r="G741" s="164"/>
      <c r="H741" s="165"/>
      <c r="I741" s="164"/>
      <c r="J741" s="165"/>
      <c r="K741" s="164"/>
      <c r="L741" s="165"/>
      <c r="M741" s="6"/>
      <c r="N741" s="32"/>
      <c r="Q741" s="10" t="str">
        <f>+CONCATENATE(E739,K739)</f>
        <v>보온덕트벽체</v>
      </c>
      <c r="R741" s="10">
        <f>+L739</f>
        <v>0</v>
      </c>
      <c r="S741" s="11"/>
      <c r="T741" s="10" t="str">
        <f>+E739</f>
        <v>보온덕트벽체</v>
      </c>
      <c r="U741" s="19" t="str">
        <f>IFERROR(LEFT(K739,FIND("*",K739)-1),"-")</f>
        <v>-</v>
      </c>
      <c r="V741" s="19" t="str">
        <f>IFERROR(RIGHT(K739,LEN(K739)-FIND("*",K739)),"-")</f>
        <v>-</v>
      </c>
      <c r="W741" s="20" t="str">
        <f t="shared" si="400"/>
        <v>-</v>
      </c>
      <c r="X741" s="20" t="str">
        <f>IFERROR(W741*L739,"-")</f>
        <v>-</v>
      </c>
      <c r="Z741" s="33">
        <v>45180</v>
      </c>
    </row>
    <row r="742" spans="1:26" ht="6.95" customHeight="1" x14ac:dyDescent="0.3">
      <c r="A742" s="8"/>
      <c r="B742" s="157"/>
      <c r="C742" s="158"/>
      <c r="D742" s="161" t="s">
        <v>39</v>
      </c>
      <c r="E742" s="162" t="s">
        <v>66</v>
      </c>
      <c r="F742" s="163" t="s">
        <v>40</v>
      </c>
      <c r="G742" s="164" t="s">
        <v>230</v>
      </c>
      <c r="H742" s="165">
        <v>2</v>
      </c>
      <c r="I742" s="164"/>
      <c r="J742" s="165"/>
      <c r="K742" s="164"/>
      <c r="L742" s="165"/>
      <c r="M742" s="6"/>
      <c r="N742" s="32"/>
      <c r="Q742" s="10" t="str">
        <f>+CONCATENATE(E742,G742)</f>
        <v>차열재마감800*400</v>
      </c>
      <c r="R742" s="10">
        <f>+H742</f>
        <v>2</v>
      </c>
      <c r="S742" s="11"/>
      <c r="T742" s="10" t="str">
        <f>+E742</f>
        <v>차열재마감</v>
      </c>
      <c r="U742" s="19" t="str">
        <f t="shared" ref="U742" si="401">IFERROR(LEFT(G742,FIND("*",G742)-1),"-")</f>
        <v>800</v>
      </c>
      <c r="V742" s="19" t="str">
        <f t="shared" ref="V742" si="402">IFERROR(RIGHT(G742,LEN(G742)-FIND("*",G742)),"-")</f>
        <v>400</v>
      </c>
      <c r="W742" s="20">
        <f t="shared" si="400"/>
        <v>2.4</v>
      </c>
      <c r="X742" s="20">
        <f>IFERROR(W742*H742,"-")</f>
        <v>4.8</v>
      </c>
      <c r="Z742" s="33">
        <v>45180</v>
      </c>
    </row>
    <row r="743" spans="1:26" ht="6.95" customHeight="1" x14ac:dyDescent="0.3">
      <c r="A743" s="5"/>
      <c r="B743" s="157"/>
      <c r="C743" s="158"/>
      <c r="D743" s="161"/>
      <c r="E743" s="162"/>
      <c r="F743" s="163"/>
      <c r="G743" s="164"/>
      <c r="H743" s="165"/>
      <c r="I743" s="164"/>
      <c r="J743" s="165"/>
      <c r="K743" s="164"/>
      <c r="L743" s="165"/>
      <c r="M743" s="6"/>
      <c r="N743" s="32"/>
      <c r="Q743" s="10" t="str">
        <f>+CONCATENATE(E742,I742)</f>
        <v>차열재마감</v>
      </c>
      <c r="R743" s="10">
        <f>+J742</f>
        <v>0</v>
      </c>
      <c r="S743" s="11"/>
      <c r="T743" s="10" t="str">
        <f>+E742</f>
        <v>차열재마감</v>
      </c>
      <c r="U743" s="19" t="str">
        <f>IFERROR(LEFT(I742,FIND("*",I742)-1),"-")</f>
        <v>-</v>
      </c>
      <c r="V743" s="19" t="str">
        <f>IFERROR(RIGHT(I742,LEN(I742)-FIND("*",I742)),"-")</f>
        <v>-</v>
      </c>
      <c r="W743" s="20" t="str">
        <f t="shared" si="400"/>
        <v>-</v>
      </c>
      <c r="X743" s="20" t="str">
        <f>IFERROR(W743*J742,"-")</f>
        <v>-</v>
      </c>
      <c r="Z743" s="33">
        <v>45180</v>
      </c>
    </row>
    <row r="744" spans="1:26" ht="6.95" customHeight="1" x14ac:dyDescent="0.3">
      <c r="A744" s="5"/>
      <c r="B744" s="157"/>
      <c r="C744" s="158"/>
      <c r="D744" s="161"/>
      <c r="E744" s="162"/>
      <c r="F744" s="163"/>
      <c r="G744" s="164"/>
      <c r="H744" s="165"/>
      <c r="I744" s="164"/>
      <c r="J744" s="165"/>
      <c r="K744" s="164"/>
      <c r="L744" s="165"/>
      <c r="M744" s="6"/>
      <c r="N744" s="32"/>
      <c r="Q744" s="10" t="str">
        <f>+CONCATENATE(E742,K742)</f>
        <v>차열재마감</v>
      </c>
      <c r="R744" s="10">
        <f>+L742</f>
        <v>0</v>
      </c>
      <c r="S744" s="11"/>
      <c r="T744" s="10" t="str">
        <f>+E742</f>
        <v>차열재마감</v>
      </c>
      <c r="U744" s="19" t="str">
        <f>IFERROR(LEFT(K742,FIND("*",K742)-1),"-")</f>
        <v>-</v>
      </c>
      <c r="V744" s="19" t="str">
        <f>IFERROR(RIGHT(K742,LEN(K742)-FIND("*",K742)),"-")</f>
        <v>-</v>
      </c>
      <c r="W744" s="20" t="str">
        <f t="shared" si="400"/>
        <v>-</v>
      </c>
      <c r="X744" s="20" t="str">
        <f>IFERROR(W744*L742,"-")</f>
        <v>-</v>
      </c>
      <c r="Z744" s="33">
        <v>45180</v>
      </c>
    </row>
    <row r="745" spans="1:26" ht="6.95" customHeight="1" x14ac:dyDescent="0.3">
      <c r="A745" s="8"/>
      <c r="B745" s="157"/>
      <c r="C745" s="158"/>
      <c r="D745" s="161" t="s">
        <v>39</v>
      </c>
      <c r="E745" s="162"/>
      <c r="F745" s="163" t="s">
        <v>40</v>
      </c>
      <c r="G745" s="164"/>
      <c r="H745" s="165"/>
      <c r="I745" s="164"/>
      <c r="J745" s="165"/>
      <c r="K745" s="164"/>
      <c r="L745" s="165"/>
      <c r="M745" s="6"/>
      <c r="N745" s="32"/>
      <c r="Q745" s="10" t="str">
        <f>+CONCATENATE(E745,G745)</f>
        <v/>
      </c>
      <c r="R745" s="10">
        <f>+H745</f>
        <v>0</v>
      </c>
      <c r="S745" s="11"/>
      <c r="T745" s="10">
        <f>+E745</f>
        <v>0</v>
      </c>
      <c r="U745" s="19" t="str">
        <f t="shared" ref="U745" si="403">IFERROR(LEFT(G745,FIND("*",G745)-1),"-")</f>
        <v>-</v>
      </c>
      <c r="V745" s="19" t="str">
        <f t="shared" ref="V745" si="404">IFERROR(RIGHT(G745,LEN(G745)-FIND("*",G745)),"-")</f>
        <v>-</v>
      </c>
      <c r="W745" s="20" t="str">
        <f t="shared" si="400"/>
        <v>-</v>
      </c>
      <c r="X745" s="20" t="str">
        <f>IFERROR(W745*H745,"-")</f>
        <v>-</v>
      </c>
      <c r="Z745" s="33">
        <v>45180</v>
      </c>
    </row>
    <row r="746" spans="1:26" ht="6.95" customHeight="1" x14ac:dyDescent="0.3">
      <c r="A746" s="5"/>
      <c r="B746" s="157"/>
      <c r="C746" s="158"/>
      <c r="D746" s="161"/>
      <c r="E746" s="162"/>
      <c r="F746" s="163"/>
      <c r="G746" s="164"/>
      <c r="H746" s="165"/>
      <c r="I746" s="164"/>
      <c r="J746" s="165"/>
      <c r="K746" s="164"/>
      <c r="L746" s="165"/>
      <c r="M746" s="6"/>
      <c r="N746" s="32"/>
      <c r="Q746" s="10" t="str">
        <f>+CONCATENATE(E745,I745)</f>
        <v/>
      </c>
      <c r="R746" s="10">
        <f>+J745</f>
        <v>0</v>
      </c>
      <c r="S746" s="11"/>
      <c r="T746" s="10">
        <f>+E745</f>
        <v>0</v>
      </c>
      <c r="U746" s="19" t="str">
        <f>IFERROR(LEFT(I745,FIND("*",I745)-1),"-")</f>
        <v>-</v>
      </c>
      <c r="V746" s="19" t="str">
        <f>IFERROR(RIGHT(I745,LEN(I745)-FIND("*",I745)),"-")</f>
        <v>-</v>
      </c>
      <c r="W746" s="20" t="str">
        <f t="shared" si="400"/>
        <v>-</v>
      </c>
      <c r="X746" s="20" t="str">
        <f t="shared" ref="X746" si="405">IFERROR(W746*J745,"-")</f>
        <v>-</v>
      </c>
      <c r="Z746" s="33">
        <v>45180</v>
      </c>
    </row>
    <row r="747" spans="1:26" ht="6.95" customHeight="1" x14ac:dyDescent="0.3">
      <c r="A747" s="5"/>
      <c r="B747" s="157"/>
      <c r="C747" s="158"/>
      <c r="D747" s="161"/>
      <c r="E747" s="162"/>
      <c r="F747" s="163"/>
      <c r="G747" s="164"/>
      <c r="H747" s="165"/>
      <c r="I747" s="164"/>
      <c r="J747" s="165"/>
      <c r="K747" s="164"/>
      <c r="L747" s="165"/>
      <c r="M747" s="6"/>
      <c r="N747" s="32"/>
      <c r="Q747" s="10" t="str">
        <f>+CONCATENATE(E745,K745)</f>
        <v/>
      </c>
      <c r="R747" s="10">
        <f>+L745</f>
        <v>0</v>
      </c>
      <c r="S747" s="11"/>
      <c r="T747" s="10">
        <f>+E745</f>
        <v>0</v>
      </c>
      <c r="U747" s="19" t="str">
        <f>IFERROR(LEFT(K745,FIND("*",K745)-1),"-")</f>
        <v>-</v>
      </c>
      <c r="V747" s="19" t="str">
        <f>IFERROR(RIGHT(K745,LEN(K745)-FIND("*",K745)),"-")</f>
        <v>-</v>
      </c>
      <c r="W747" s="20" t="str">
        <f t="shared" si="400"/>
        <v>-</v>
      </c>
      <c r="X747" s="20" t="str">
        <f>IFERROR(W747*L745,"-")</f>
        <v>-</v>
      </c>
      <c r="Z747" s="33">
        <v>45180</v>
      </c>
    </row>
    <row r="748" spans="1:26" ht="21" customHeight="1" thickBot="1" x14ac:dyDescent="0.35">
      <c r="A748" s="5"/>
      <c r="B748" s="159"/>
      <c r="C748" s="160"/>
      <c r="D748" s="166" t="s">
        <v>43</v>
      </c>
      <c r="E748" s="167"/>
      <c r="F748" s="167"/>
      <c r="G748" s="168" t="s">
        <v>245</v>
      </c>
      <c r="H748" s="168"/>
      <c r="I748" s="168"/>
      <c r="J748" s="168"/>
      <c r="K748" s="168"/>
      <c r="L748" s="168"/>
      <c r="M748" s="7"/>
      <c r="N748" s="32"/>
      <c r="Z748" s="33">
        <v>45180</v>
      </c>
    </row>
    <row r="749" spans="1:26" ht="9.9499999999999993" customHeight="1" thickBot="1" x14ac:dyDescent="0.35">
      <c r="B749" s="9"/>
      <c r="C749" s="109">
        <v>868</v>
      </c>
      <c r="D749" s="51"/>
      <c r="E749" s="12"/>
      <c r="F749" s="51"/>
      <c r="G749" s="14"/>
      <c r="H749" s="14"/>
      <c r="I749" s="14"/>
      <c r="J749" s="14"/>
      <c r="K749" s="14"/>
      <c r="L749" s="14"/>
      <c r="M749" s="9"/>
      <c r="N749" s="32"/>
      <c r="U749" s="18"/>
      <c r="V749" s="18"/>
      <c r="Z749" s="33">
        <v>45180</v>
      </c>
    </row>
    <row r="750" spans="1:26" ht="6.95" customHeight="1" x14ac:dyDescent="0.3">
      <c r="A750" s="154">
        <f>+A739+1</f>
        <v>869</v>
      </c>
      <c r="B750" s="155"/>
      <c r="C750" s="156"/>
      <c r="D750" s="161" t="s">
        <v>39</v>
      </c>
      <c r="E750" s="162" t="s">
        <v>226</v>
      </c>
      <c r="F750" s="163" t="s">
        <v>40</v>
      </c>
      <c r="G750" s="164" t="s">
        <v>261</v>
      </c>
      <c r="H750" s="165">
        <v>0.5</v>
      </c>
      <c r="I750" s="164"/>
      <c r="J750" s="165"/>
      <c r="K750" s="164"/>
      <c r="L750" s="165"/>
      <c r="M750" s="6"/>
      <c r="N750" s="32"/>
      <c r="Q750" s="10" t="str">
        <f>+CONCATENATE(E750,G750)</f>
        <v>무보온덕트벽체2400*600</v>
      </c>
      <c r="R750" s="10">
        <f>+H750</f>
        <v>0.5</v>
      </c>
      <c r="S750" s="11"/>
      <c r="T750" s="10" t="str">
        <f>+E750</f>
        <v>무보온덕트벽체</v>
      </c>
      <c r="U750" s="19" t="str">
        <f>IFERROR(LEFT(G750,FIND("*",G750)-1),"-")</f>
        <v>2400</v>
      </c>
      <c r="V750" s="19" t="str">
        <f>IFERROR(RIGHT(G750,LEN(G750)-FIND("*",G750)),"-")</f>
        <v>600</v>
      </c>
      <c r="W750" s="20">
        <f>IFERROR((U750+V750)*2/1000,"-")</f>
        <v>6</v>
      </c>
      <c r="X750" s="20">
        <f>IFERROR(W750*H750,"-")</f>
        <v>3</v>
      </c>
      <c r="Z750" s="33">
        <v>45180</v>
      </c>
    </row>
    <row r="751" spans="1:26" ht="6.95" customHeight="1" x14ac:dyDescent="0.3">
      <c r="A751" s="154"/>
      <c r="B751" s="157"/>
      <c r="C751" s="158"/>
      <c r="D751" s="161"/>
      <c r="E751" s="162"/>
      <c r="F751" s="163"/>
      <c r="G751" s="164"/>
      <c r="H751" s="165"/>
      <c r="I751" s="164"/>
      <c r="J751" s="165"/>
      <c r="K751" s="164"/>
      <c r="L751" s="165"/>
      <c r="M751" s="6"/>
      <c r="N751" s="32"/>
      <c r="Q751" s="10" t="str">
        <f>+CONCATENATE(E750,I750)</f>
        <v>무보온덕트벽체</v>
      </c>
      <c r="R751" s="10">
        <f>+J750</f>
        <v>0</v>
      </c>
      <c r="S751" s="11"/>
      <c r="T751" s="10" t="str">
        <f>+E750</f>
        <v>무보온덕트벽체</v>
      </c>
      <c r="U751" s="19" t="str">
        <f>IFERROR(LEFT(I750,FIND("*",I750)-1),"-")</f>
        <v>-</v>
      </c>
      <c r="V751" s="19" t="str">
        <f>IFERROR(RIGHT(I750,LEN(I750)-FIND("*",I750)),"-")</f>
        <v>-</v>
      </c>
      <c r="W751" s="20" t="str">
        <f t="shared" ref="W751:W758" si="406">IFERROR((U751+V751)*2/1000,"-")</f>
        <v>-</v>
      </c>
      <c r="X751" s="20" t="str">
        <f>IFERROR(W751*J750,"-")</f>
        <v>-</v>
      </c>
      <c r="Z751" s="33">
        <v>45180</v>
      </c>
    </row>
    <row r="752" spans="1:26" ht="6.95" customHeight="1" x14ac:dyDescent="0.3">
      <c r="A752" s="154"/>
      <c r="B752" s="157"/>
      <c r="C752" s="158"/>
      <c r="D752" s="161"/>
      <c r="E752" s="162"/>
      <c r="F752" s="163"/>
      <c r="G752" s="164"/>
      <c r="H752" s="165"/>
      <c r="I752" s="164"/>
      <c r="J752" s="165"/>
      <c r="K752" s="164"/>
      <c r="L752" s="165"/>
      <c r="M752" s="6"/>
      <c r="N752" s="32"/>
      <c r="Q752" s="10" t="str">
        <f>+CONCATENATE(E750,K750)</f>
        <v>무보온덕트벽체</v>
      </c>
      <c r="R752" s="10">
        <f>+L750</f>
        <v>0</v>
      </c>
      <c r="S752" s="11"/>
      <c r="T752" s="10" t="str">
        <f>+E750</f>
        <v>무보온덕트벽체</v>
      </c>
      <c r="U752" s="19" t="str">
        <f>IFERROR(LEFT(K750,FIND("*",K750)-1),"-")</f>
        <v>-</v>
      </c>
      <c r="V752" s="19" t="str">
        <f>IFERROR(RIGHT(K750,LEN(K750)-FIND("*",K750)),"-")</f>
        <v>-</v>
      </c>
      <c r="W752" s="20" t="str">
        <f t="shared" si="406"/>
        <v>-</v>
      </c>
      <c r="X752" s="20" t="str">
        <f>IFERROR(W752*L750,"-")</f>
        <v>-</v>
      </c>
      <c r="Z752" s="33">
        <v>45180</v>
      </c>
    </row>
    <row r="753" spans="1:26" ht="6.95" customHeight="1" x14ac:dyDescent="0.3">
      <c r="A753" s="8"/>
      <c r="B753" s="157"/>
      <c r="C753" s="158"/>
      <c r="D753" s="161" t="s">
        <v>39</v>
      </c>
      <c r="E753" s="162" t="s">
        <v>66</v>
      </c>
      <c r="F753" s="163" t="s">
        <v>40</v>
      </c>
      <c r="G753" s="164" t="s">
        <v>262</v>
      </c>
      <c r="H753" s="165">
        <v>0.5</v>
      </c>
      <c r="I753" s="164"/>
      <c r="J753" s="165"/>
      <c r="K753" s="164"/>
      <c r="L753" s="165"/>
      <c r="M753" s="6"/>
      <c r="N753" s="32"/>
      <c r="Q753" s="10" t="str">
        <f>+CONCATENATE(E753,G753)</f>
        <v>차열재마감2400*600</v>
      </c>
      <c r="R753" s="10">
        <f>+H753</f>
        <v>0.5</v>
      </c>
      <c r="S753" s="11"/>
      <c r="T753" s="10" t="str">
        <f>+E753</f>
        <v>차열재마감</v>
      </c>
      <c r="U753" s="19" t="str">
        <f t="shared" ref="U753" si="407">IFERROR(LEFT(G753,FIND("*",G753)-1),"-")</f>
        <v>2400</v>
      </c>
      <c r="V753" s="19" t="str">
        <f t="shared" ref="V753" si="408">IFERROR(RIGHT(G753,LEN(G753)-FIND("*",G753)),"-")</f>
        <v>600</v>
      </c>
      <c r="W753" s="20">
        <f t="shared" si="406"/>
        <v>6</v>
      </c>
      <c r="X753" s="20">
        <f>IFERROR(W753*H753,"-")</f>
        <v>3</v>
      </c>
      <c r="Z753" s="33">
        <v>45180</v>
      </c>
    </row>
    <row r="754" spans="1:26" ht="6.95" customHeight="1" x14ac:dyDescent="0.3">
      <c r="A754" s="5"/>
      <c r="B754" s="157"/>
      <c r="C754" s="158"/>
      <c r="D754" s="161"/>
      <c r="E754" s="162"/>
      <c r="F754" s="163"/>
      <c r="G754" s="164"/>
      <c r="H754" s="165"/>
      <c r="I754" s="164"/>
      <c r="J754" s="165"/>
      <c r="K754" s="164"/>
      <c r="L754" s="165"/>
      <c r="M754" s="6"/>
      <c r="N754" s="32"/>
      <c r="Q754" s="10" t="str">
        <f>+CONCATENATE(E753,I753)</f>
        <v>차열재마감</v>
      </c>
      <c r="R754" s="10">
        <f>+J753</f>
        <v>0</v>
      </c>
      <c r="S754" s="11"/>
      <c r="T754" s="10" t="str">
        <f>+E753</f>
        <v>차열재마감</v>
      </c>
      <c r="U754" s="19" t="str">
        <f>IFERROR(LEFT(I753,FIND("*",I753)-1),"-")</f>
        <v>-</v>
      </c>
      <c r="V754" s="19" t="str">
        <f>IFERROR(RIGHT(I753,LEN(I753)-FIND("*",I753)),"-")</f>
        <v>-</v>
      </c>
      <c r="W754" s="20" t="str">
        <f t="shared" si="406"/>
        <v>-</v>
      </c>
      <c r="X754" s="20" t="str">
        <f>IFERROR(W754*J753,"-")</f>
        <v>-</v>
      </c>
      <c r="Z754" s="33">
        <v>45180</v>
      </c>
    </row>
    <row r="755" spans="1:26" ht="6.95" customHeight="1" x14ac:dyDescent="0.3">
      <c r="A755" s="5"/>
      <c r="B755" s="157"/>
      <c r="C755" s="158"/>
      <c r="D755" s="161"/>
      <c r="E755" s="162"/>
      <c r="F755" s="163"/>
      <c r="G755" s="164"/>
      <c r="H755" s="165"/>
      <c r="I755" s="164"/>
      <c r="J755" s="165"/>
      <c r="K755" s="164"/>
      <c r="L755" s="165"/>
      <c r="M755" s="6"/>
      <c r="N755" s="32"/>
      <c r="Q755" s="10" t="str">
        <f>+CONCATENATE(E753,K753)</f>
        <v>차열재마감</v>
      </c>
      <c r="R755" s="10">
        <f>+L753</f>
        <v>0</v>
      </c>
      <c r="S755" s="11"/>
      <c r="T755" s="10" t="str">
        <f>+E753</f>
        <v>차열재마감</v>
      </c>
      <c r="U755" s="19" t="str">
        <f>IFERROR(LEFT(K753,FIND("*",K753)-1),"-")</f>
        <v>-</v>
      </c>
      <c r="V755" s="19" t="str">
        <f>IFERROR(RIGHT(K753,LEN(K753)-FIND("*",K753)),"-")</f>
        <v>-</v>
      </c>
      <c r="W755" s="20" t="str">
        <f t="shared" si="406"/>
        <v>-</v>
      </c>
      <c r="X755" s="20" t="str">
        <f>IFERROR(W755*L753,"-")</f>
        <v>-</v>
      </c>
      <c r="Z755" s="33">
        <v>45180</v>
      </c>
    </row>
    <row r="756" spans="1:26" ht="6.95" customHeight="1" x14ac:dyDescent="0.3">
      <c r="A756" s="8"/>
      <c r="B756" s="157"/>
      <c r="C756" s="158"/>
      <c r="D756" s="161" t="s">
        <v>39</v>
      </c>
      <c r="E756" s="162"/>
      <c r="F756" s="163" t="s">
        <v>40</v>
      </c>
      <c r="G756" s="164"/>
      <c r="H756" s="165"/>
      <c r="I756" s="164"/>
      <c r="J756" s="165"/>
      <c r="K756" s="164"/>
      <c r="L756" s="165"/>
      <c r="M756" s="6"/>
      <c r="N756" s="32"/>
      <c r="Q756" s="10" t="str">
        <f>+CONCATENATE(E756,G756)</f>
        <v/>
      </c>
      <c r="R756" s="10">
        <f>+H756</f>
        <v>0</v>
      </c>
      <c r="S756" s="11"/>
      <c r="T756" s="10">
        <f>+E756</f>
        <v>0</v>
      </c>
      <c r="U756" s="19" t="str">
        <f t="shared" ref="U756" si="409">IFERROR(LEFT(G756,FIND("*",G756)-1),"-")</f>
        <v>-</v>
      </c>
      <c r="V756" s="19" t="str">
        <f t="shared" ref="V756" si="410">IFERROR(RIGHT(G756,LEN(G756)-FIND("*",G756)),"-")</f>
        <v>-</v>
      </c>
      <c r="W756" s="20" t="str">
        <f t="shared" si="406"/>
        <v>-</v>
      </c>
      <c r="X756" s="20" t="str">
        <f>IFERROR(W756*H756,"-")</f>
        <v>-</v>
      </c>
      <c r="Z756" s="33">
        <v>45180</v>
      </c>
    </row>
    <row r="757" spans="1:26" ht="6.95" customHeight="1" x14ac:dyDescent="0.3">
      <c r="A757" s="5"/>
      <c r="B757" s="157"/>
      <c r="C757" s="158"/>
      <c r="D757" s="161"/>
      <c r="E757" s="162"/>
      <c r="F757" s="163"/>
      <c r="G757" s="164"/>
      <c r="H757" s="165"/>
      <c r="I757" s="164"/>
      <c r="J757" s="165"/>
      <c r="K757" s="164"/>
      <c r="L757" s="165"/>
      <c r="M757" s="6"/>
      <c r="N757" s="32"/>
      <c r="Q757" s="10" t="str">
        <f>+CONCATENATE(E756,I756)</f>
        <v/>
      </c>
      <c r="R757" s="10">
        <f>+J756</f>
        <v>0</v>
      </c>
      <c r="S757" s="11"/>
      <c r="T757" s="10">
        <f>+E756</f>
        <v>0</v>
      </c>
      <c r="U757" s="19" t="str">
        <f>IFERROR(LEFT(I756,FIND("*",I756)-1),"-")</f>
        <v>-</v>
      </c>
      <c r="V757" s="19" t="str">
        <f>IFERROR(RIGHT(I756,LEN(I756)-FIND("*",I756)),"-")</f>
        <v>-</v>
      </c>
      <c r="W757" s="20" t="str">
        <f t="shared" si="406"/>
        <v>-</v>
      </c>
      <c r="X757" s="20" t="str">
        <f t="shared" ref="X757" si="411">IFERROR(W757*J756,"-")</f>
        <v>-</v>
      </c>
      <c r="Z757" s="33">
        <v>45180</v>
      </c>
    </row>
    <row r="758" spans="1:26" ht="6.95" customHeight="1" x14ac:dyDescent="0.3">
      <c r="A758" s="5"/>
      <c r="B758" s="157"/>
      <c r="C758" s="158"/>
      <c r="D758" s="161"/>
      <c r="E758" s="162"/>
      <c r="F758" s="163"/>
      <c r="G758" s="164"/>
      <c r="H758" s="165"/>
      <c r="I758" s="164"/>
      <c r="J758" s="165"/>
      <c r="K758" s="164"/>
      <c r="L758" s="165"/>
      <c r="M758" s="6"/>
      <c r="N758" s="32"/>
      <c r="Q758" s="10" t="str">
        <f>+CONCATENATE(E756,K756)</f>
        <v/>
      </c>
      <c r="R758" s="10">
        <f>+L756</f>
        <v>0</v>
      </c>
      <c r="S758" s="11"/>
      <c r="T758" s="10">
        <f>+E756</f>
        <v>0</v>
      </c>
      <c r="U758" s="19" t="str">
        <f>IFERROR(LEFT(K756,FIND("*",K756)-1),"-")</f>
        <v>-</v>
      </c>
      <c r="V758" s="19" t="str">
        <f>IFERROR(RIGHT(K756,LEN(K756)-FIND("*",K756)),"-")</f>
        <v>-</v>
      </c>
      <c r="W758" s="20" t="str">
        <f t="shared" si="406"/>
        <v>-</v>
      </c>
      <c r="X758" s="20" t="str">
        <f>IFERROR(W758*L756,"-")</f>
        <v>-</v>
      </c>
      <c r="Z758" s="33">
        <v>45180</v>
      </c>
    </row>
    <row r="759" spans="1:26" ht="21" customHeight="1" thickBot="1" x14ac:dyDescent="0.35">
      <c r="A759" s="5"/>
      <c r="B759" s="159"/>
      <c r="C759" s="160"/>
      <c r="D759" s="166" t="s">
        <v>43</v>
      </c>
      <c r="E759" s="167"/>
      <c r="F759" s="167"/>
      <c r="G759" s="168" t="s">
        <v>245</v>
      </c>
      <c r="H759" s="168"/>
      <c r="I759" s="168"/>
      <c r="J759" s="168"/>
      <c r="K759" s="168"/>
      <c r="L759" s="168"/>
      <c r="M759" s="7"/>
      <c r="N759" s="32"/>
      <c r="Z759" s="33">
        <v>45180</v>
      </c>
    </row>
    <row r="760" spans="1:26" ht="9.9499999999999993" customHeight="1" thickBot="1" x14ac:dyDescent="0.35">
      <c r="B760" s="9"/>
      <c r="C760" s="109">
        <v>869</v>
      </c>
      <c r="D760" s="51"/>
      <c r="E760" s="12"/>
      <c r="F760" s="51"/>
      <c r="G760" s="14"/>
      <c r="H760" s="14"/>
      <c r="I760" s="14"/>
      <c r="J760" s="14"/>
      <c r="K760" s="14"/>
      <c r="L760" s="14"/>
      <c r="M760" s="9"/>
      <c r="N760" s="32"/>
      <c r="U760" s="18"/>
      <c r="V760" s="18"/>
      <c r="Z760" s="33">
        <v>45180</v>
      </c>
    </row>
    <row r="761" spans="1:26" ht="6.95" customHeight="1" x14ac:dyDescent="0.3">
      <c r="A761" s="154">
        <f>+A750+1</f>
        <v>870</v>
      </c>
      <c r="B761" s="155"/>
      <c r="C761" s="156"/>
      <c r="D761" s="161" t="s">
        <v>39</v>
      </c>
      <c r="E761" s="162" t="s">
        <v>226</v>
      </c>
      <c r="F761" s="163" t="s">
        <v>40</v>
      </c>
      <c r="G761" s="164" t="s">
        <v>261</v>
      </c>
      <c r="H761" s="165">
        <v>0.5</v>
      </c>
      <c r="I761" s="164"/>
      <c r="J761" s="165"/>
      <c r="K761" s="164"/>
      <c r="L761" s="165"/>
      <c r="M761" s="6"/>
      <c r="N761" s="32"/>
      <c r="Q761" s="10" t="str">
        <f>+CONCATENATE(E761,G761)</f>
        <v>무보온덕트벽체2400*600</v>
      </c>
      <c r="R761" s="10">
        <f>+H761</f>
        <v>0.5</v>
      </c>
      <c r="S761" s="11"/>
      <c r="T761" s="10" t="str">
        <f>+E761</f>
        <v>무보온덕트벽체</v>
      </c>
      <c r="U761" s="19" t="str">
        <f>IFERROR(LEFT(G761,FIND("*",G761)-1),"-")</f>
        <v>2400</v>
      </c>
      <c r="V761" s="19" t="str">
        <f>IFERROR(RIGHT(G761,LEN(G761)-FIND("*",G761)),"-")</f>
        <v>600</v>
      </c>
      <c r="W761" s="20">
        <f>IFERROR((U761+V761)*2/1000,"-")</f>
        <v>6</v>
      </c>
      <c r="X761" s="20">
        <f>IFERROR(W761*H761,"-")</f>
        <v>3</v>
      </c>
      <c r="Z761" s="33">
        <v>45180</v>
      </c>
    </row>
    <row r="762" spans="1:26" ht="6.95" customHeight="1" x14ac:dyDescent="0.3">
      <c r="A762" s="154"/>
      <c r="B762" s="157"/>
      <c r="C762" s="158"/>
      <c r="D762" s="161"/>
      <c r="E762" s="162"/>
      <c r="F762" s="163"/>
      <c r="G762" s="164"/>
      <c r="H762" s="165"/>
      <c r="I762" s="164"/>
      <c r="J762" s="165"/>
      <c r="K762" s="164"/>
      <c r="L762" s="165"/>
      <c r="M762" s="6"/>
      <c r="N762" s="32"/>
      <c r="Q762" s="10" t="str">
        <f>+CONCATENATE(E761,I761)</f>
        <v>무보온덕트벽체</v>
      </c>
      <c r="R762" s="10">
        <f>+J761</f>
        <v>0</v>
      </c>
      <c r="S762" s="11"/>
      <c r="T762" s="10" t="str">
        <f>+E761</f>
        <v>무보온덕트벽체</v>
      </c>
      <c r="U762" s="19" t="str">
        <f>IFERROR(LEFT(I761,FIND("*",I761)-1),"-")</f>
        <v>-</v>
      </c>
      <c r="V762" s="19" t="str">
        <f>IFERROR(RIGHT(I761,LEN(I761)-FIND("*",I761)),"-")</f>
        <v>-</v>
      </c>
      <c r="W762" s="20" t="str">
        <f t="shared" ref="W762:W769" si="412">IFERROR((U762+V762)*2/1000,"-")</f>
        <v>-</v>
      </c>
      <c r="X762" s="20" t="str">
        <f>IFERROR(W762*J761,"-")</f>
        <v>-</v>
      </c>
      <c r="Z762" s="33">
        <v>45180</v>
      </c>
    </row>
    <row r="763" spans="1:26" ht="6.95" customHeight="1" x14ac:dyDescent="0.3">
      <c r="A763" s="154"/>
      <c r="B763" s="157"/>
      <c r="C763" s="158"/>
      <c r="D763" s="161"/>
      <c r="E763" s="162"/>
      <c r="F763" s="163"/>
      <c r="G763" s="164"/>
      <c r="H763" s="165"/>
      <c r="I763" s="164"/>
      <c r="J763" s="165"/>
      <c r="K763" s="164"/>
      <c r="L763" s="165"/>
      <c r="M763" s="6"/>
      <c r="N763" s="32"/>
      <c r="Q763" s="10" t="str">
        <f>+CONCATENATE(E761,K761)</f>
        <v>무보온덕트벽체</v>
      </c>
      <c r="R763" s="10">
        <f>+L761</f>
        <v>0</v>
      </c>
      <c r="S763" s="11"/>
      <c r="T763" s="10" t="str">
        <f>+E761</f>
        <v>무보온덕트벽체</v>
      </c>
      <c r="U763" s="19" t="str">
        <f>IFERROR(LEFT(K761,FIND("*",K761)-1),"-")</f>
        <v>-</v>
      </c>
      <c r="V763" s="19" t="str">
        <f>IFERROR(RIGHT(K761,LEN(K761)-FIND("*",K761)),"-")</f>
        <v>-</v>
      </c>
      <c r="W763" s="20" t="str">
        <f t="shared" si="412"/>
        <v>-</v>
      </c>
      <c r="X763" s="20" t="str">
        <f>IFERROR(W763*L761,"-")</f>
        <v>-</v>
      </c>
      <c r="Z763" s="33">
        <v>45180</v>
      </c>
    </row>
    <row r="764" spans="1:26" ht="6.95" customHeight="1" x14ac:dyDescent="0.3">
      <c r="A764" s="8"/>
      <c r="B764" s="157"/>
      <c r="C764" s="158"/>
      <c r="D764" s="161" t="s">
        <v>39</v>
      </c>
      <c r="E764" s="162" t="s">
        <v>66</v>
      </c>
      <c r="F764" s="163" t="s">
        <v>40</v>
      </c>
      <c r="G764" s="164" t="s">
        <v>262</v>
      </c>
      <c r="H764" s="165">
        <v>0.5</v>
      </c>
      <c r="I764" s="164"/>
      <c r="J764" s="165"/>
      <c r="K764" s="164"/>
      <c r="L764" s="165"/>
      <c r="M764" s="6"/>
      <c r="N764" s="32"/>
      <c r="Q764" s="10" t="str">
        <f>+CONCATENATE(E764,G764)</f>
        <v>차열재마감2400*600</v>
      </c>
      <c r="R764" s="10">
        <f>+H764</f>
        <v>0.5</v>
      </c>
      <c r="S764" s="11"/>
      <c r="T764" s="10" t="str">
        <f>+E764</f>
        <v>차열재마감</v>
      </c>
      <c r="U764" s="19" t="str">
        <f t="shared" ref="U764" si="413">IFERROR(LEFT(G764,FIND("*",G764)-1),"-")</f>
        <v>2400</v>
      </c>
      <c r="V764" s="19" t="str">
        <f t="shared" ref="V764" si="414">IFERROR(RIGHT(G764,LEN(G764)-FIND("*",G764)),"-")</f>
        <v>600</v>
      </c>
      <c r="W764" s="20">
        <f t="shared" si="412"/>
        <v>6</v>
      </c>
      <c r="X764" s="20">
        <f>IFERROR(W764*H764,"-")</f>
        <v>3</v>
      </c>
      <c r="Z764" s="33">
        <v>45180</v>
      </c>
    </row>
    <row r="765" spans="1:26" ht="6.95" customHeight="1" x14ac:dyDescent="0.3">
      <c r="A765" s="5"/>
      <c r="B765" s="157"/>
      <c r="C765" s="158"/>
      <c r="D765" s="161"/>
      <c r="E765" s="162"/>
      <c r="F765" s="163"/>
      <c r="G765" s="164"/>
      <c r="H765" s="165"/>
      <c r="I765" s="164"/>
      <c r="J765" s="165"/>
      <c r="K765" s="164"/>
      <c r="L765" s="165"/>
      <c r="M765" s="6"/>
      <c r="N765" s="32"/>
      <c r="Q765" s="10" t="str">
        <f>+CONCATENATE(E764,I764)</f>
        <v>차열재마감</v>
      </c>
      <c r="R765" s="10">
        <f>+J764</f>
        <v>0</v>
      </c>
      <c r="S765" s="11"/>
      <c r="T765" s="10" t="str">
        <f>+E764</f>
        <v>차열재마감</v>
      </c>
      <c r="U765" s="19" t="str">
        <f>IFERROR(LEFT(I764,FIND("*",I764)-1),"-")</f>
        <v>-</v>
      </c>
      <c r="V765" s="19" t="str">
        <f>IFERROR(RIGHT(I764,LEN(I764)-FIND("*",I764)),"-")</f>
        <v>-</v>
      </c>
      <c r="W765" s="20" t="str">
        <f t="shared" si="412"/>
        <v>-</v>
      </c>
      <c r="X765" s="20" t="str">
        <f>IFERROR(W765*J764,"-")</f>
        <v>-</v>
      </c>
      <c r="Z765" s="33">
        <v>45180</v>
      </c>
    </row>
    <row r="766" spans="1:26" ht="6.95" customHeight="1" x14ac:dyDescent="0.3">
      <c r="A766" s="5"/>
      <c r="B766" s="157"/>
      <c r="C766" s="158"/>
      <c r="D766" s="161"/>
      <c r="E766" s="162"/>
      <c r="F766" s="163"/>
      <c r="G766" s="164"/>
      <c r="H766" s="165"/>
      <c r="I766" s="164"/>
      <c r="J766" s="165"/>
      <c r="K766" s="164"/>
      <c r="L766" s="165"/>
      <c r="M766" s="6"/>
      <c r="N766" s="32"/>
      <c r="Q766" s="10" t="str">
        <f>+CONCATENATE(E764,K764)</f>
        <v>차열재마감</v>
      </c>
      <c r="R766" s="10">
        <f>+L764</f>
        <v>0</v>
      </c>
      <c r="S766" s="11"/>
      <c r="T766" s="10" t="str">
        <f>+E764</f>
        <v>차열재마감</v>
      </c>
      <c r="U766" s="19" t="str">
        <f>IFERROR(LEFT(K764,FIND("*",K764)-1),"-")</f>
        <v>-</v>
      </c>
      <c r="V766" s="19" t="str">
        <f>IFERROR(RIGHT(K764,LEN(K764)-FIND("*",K764)),"-")</f>
        <v>-</v>
      </c>
      <c r="W766" s="20" t="str">
        <f t="shared" si="412"/>
        <v>-</v>
      </c>
      <c r="X766" s="20" t="str">
        <f>IFERROR(W766*L764,"-")</f>
        <v>-</v>
      </c>
      <c r="Z766" s="33">
        <v>45180</v>
      </c>
    </row>
    <row r="767" spans="1:26" ht="6.95" customHeight="1" x14ac:dyDescent="0.3">
      <c r="A767" s="8"/>
      <c r="B767" s="157"/>
      <c r="C767" s="158"/>
      <c r="D767" s="161" t="s">
        <v>39</v>
      </c>
      <c r="E767" s="162"/>
      <c r="F767" s="163" t="s">
        <v>40</v>
      </c>
      <c r="G767" s="164"/>
      <c r="H767" s="165"/>
      <c r="I767" s="164"/>
      <c r="J767" s="165"/>
      <c r="K767" s="164"/>
      <c r="L767" s="165"/>
      <c r="M767" s="6"/>
      <c r="N767" s="32"/>
      <c r="Q767" s="10" t="str">
        <f>+CONCATENATE(E767,G767)</f>
        <v/>
      </c>
      <c r="R767" s="10">
        <f>+H767</f>
        <v>0</v>
      </c>
      <c r="S767" s="11"/>
      <c r="T767" s="10">
        <f>+E767</f>
        <v>0</v>
      </c>
      <c r="U767" s="19" t="str">
        <f t="shared" ref="U767" si="415">IFERROR(LEFT(G767,FIND("*",G767)-1),"-")</f>
        <v>-</v>
      </c>
      <c r="V767" s="19" t="str">
        <f t="shared" ref="V767" si="416">IFERROR(RIGHT(G767,LEN(G767)-FIND("*",G767)),"-")</f>
        <v>-</v>
      </c>
      <c r="W767" s="20" t="str">
        <f t="shared" si="412"/>
        <v>-</v>
      </c>
      <c r="X767" s="20" t="str">
        <f>IFERROR(W767*H767,"-")</f>
        <v>-</v>
      </c>
      <c r="Z767" s="33">
        <v>45180</v>
      </c>
    </row>
    <row r="768" spans="1:26" ht="6.95" customHeight="1" x14ac:dyDescent="0.3">
      <c r="A768" s="5"/>
      <c r="B768" s="157"/>
      <c r="C768" s="158"/>
      <c r="D768" s="161"/>
      <c r="E768" s="162"/>
      <c r="F768" s="163"/>
      <c r="G768" s="164"/>
      <c r="H768" s="165"/>
      <c r="I768" s="164"/>
      <c r="J768" s="165"/>
      <c r="K768" s="164"/>
      <c r="L768" s="165"/>
      <c r="M768" s="6"/>
      <c r="N768" s="32"/>
      <c r="Q768" s="10" t="str">
        <f>+CONCATENATE(E767,I767)</f>
        <v/>
      </c>
      <c r="R768" s="10">
        <f>+J767</f>
        <v>0</v>
      </c>
      <c r="S768" s="11"/>
      <c r="T768" s="10">
        <f>+E767</f>
        <v>0</v>
      </c>
      <c r="U768" s="19" t="str">
        <f>IFERROR(LEFT(I767,FIND("*",I767)-1),"-")</f>
        <v>-</v>
      </c>
      <c r="V768" s="19" t="str">
        <f>IFERROR(RIGHT(I767,LEN(I767)-FIND("*",I767)),"-")</f>
        <v>-</v>
      </c>
      <c r="W768" s="20" t="str">
        <f t="shared" si="412"/>
        <v>-</v>
      </c>
      <c r="X768" s="20" t="str">
        <f t="shared" ref="X768" si="417">IFERROR(W768*J767,"-")</f>
        <v>-</v>
      </c>
      <c r="Z768" s="33">
        <v>45180</v>
      </c>
    </row>
    <row r="769" spans="1:26" ht="6.95" customHeight="1" x14ac:dyDescent="0.3">
      <c r="A769" s="5"/>
      <c r="B769" s="157"/>
      <c r="C769" s="158"/>
      <c r="D769" s="161"/>
      <c r="E769" s="162"/>
      <c r="F769" s="163"/>
      <c r="G769" s="164"/>
      <c r="H769" s="165"/>
      <c r="I769" s="164"/>
      <c r="J769" s="165"/>
      <c r="K769" s="164"/>
      <c r="L769" s="165"/>
      <c r="M769" s="6"/>
      <c r="N769" s="32"/>
      <c r="Q769" s="10" t="str">
        <f>+CONCATENATE(E767,K767)</f>
        <v/>
      </c>
      <c r="R769" s="10">
        <f>+L767</f>
        <v>0</v>
      </c>
      <c r="S769" s="11"/>
      <c r="T769" s="10">
        <f>+E767</f>
        <v>0</v>
      </c>
      <c r="U769" s="19" t="str">
        <f>IFERROR(LEFT(K767,FIND("*",K767)-1),"-")</f>
        <v>-</v>
      </c>
      <c r="V769" s="19" t="str">
        <f>IFERROR(RIGHT(K767,LEN(K767)-FIND("*",K767)),"-")</f>
        <v>-</v>
      </c>
      <c r="W769" s="20" t="str">
        <f t="shared" si="412"/>
        <v>-</v>
      </c>
      <c r="X769" s="20" t="str">
        <f>IFERROR(W769*L767,"-")</f>
        <v>-</v>
      </c>
      <c r="Z769" s="33">
        <v>45180</v>
      </c>
    </row>
    <row r="770" spans="1:26" ht="21" customHeight="1" thickBot="1" x14ac:dyDescent="0.35">
      <c r="A770" s="5"/>
      <c r="B770" s="159"/>
      <c r="C770" s="160"/>
      <c r="D770" s="166" t="s">
        <v>43</v>
      </c>
      <c r="E770" s="167"/>
      <c r="F770" s="167"/>
      <c r="G770" s="168" t="s">
        <v>245</v>
      </c>
      <c r="H770" s="168"/>
      <c r="I770" s="168"/>
      <c r="J770" s="168"/>
      <c r="K770" s="168"/>
      <c r="L770" s="168"/>
      <c r="M770" s="7"/>
      <c r="N770" s="32"/>
      <c r="Z770" s="33">
        <v>45180</v>
      </c>
    </row>
    <row r="771" spans="1:26" ht="9.9499999999999993" customHeight="1" thickBot="1" x14ac:dyDescent="0.35">
      <c r="B771" s="9"/>
      <c r="C771" s="109">
        <v>870</v>
      </c>
      <c r="D771" s="51"/>
      <c r="E771" s="12"/>
      <c r="F771" s="51"/>
      <c r="G771" s="14"/>
      <c r="H771" s="14"/>
      <c r="I771" s="14"/>
      <c r="J771" s="14"/>
      <c r="K771" s="14"/>
      <c r="L771" s="14"/>
      <c r="M771" s="9"/>
      <c r="N771" s="32"/>
      <c r="U771" s="18"/>
      <c r="V771" s="18"/>
      <c r="Z771" s="33">
        <v>45180</v>
      </c>
    </row>
    <row r="772" spans="1:26" ht="6.95" customHeight="1" x14ac:dyDescent="0.3">
      <c r="A772" s="154">
        <f>+A761+1</f>
        <v>871</v>
      </c>
      <c r="B772" s="155"/>
      <c r="C772" s="156"/>
      <c r="D772" s="161" t="s">
        <v>39</v>
      </c>
      <c r="E772" s="162" t="s">
        <v>222</v>
      </c>
      <c r="F772" s="163" t="s">
        <v>40</v>
      </c>
      <c r="G772" s="164" t="s">
        <v>257</v>
      </c>
      <c r="H772" s="165">
        <v>0.5</v>
      </c>
      <c r="I772" s="164"/>
      <c r="J772" s="165"/>
      <c r="K772" s="164"/>
      <c r="L772" s="165"/>
      <c r="M772" s="6"/>
      <c r="N772" s="32"/>
      <c r="Q772" s="10" t="str">
        <f>+CONCATENATE(E772,G772)</f>
        <v>보온덕트벽체1600*500</v>
      </c>
      <c r="R772" s="10">
        <f>+H772</f>
        <v>0.5</v>
      </c>
      <c r="S772" s="11"/>
      <c r="T772" s="10" t="str">
        <f>+E772</f>
        <v>보온덕트벽체</v>
      </c>
      <c r="U772" s="19" t="str">
        <f>IFERROR(LEFT(G772,FIND("*",G772)-1),"-")</f>
        <v>1600</v>
      </c>
      <c r="V772" s="19" t="str">
        <f>IFERROR(RIGHT(G772,LEN(G772)-FIND("*",G772)),"-")</f>
        <v>500</v>
      </c>
      <c r="W772" s="20">
        <f>IFERROR((U772+V772)*2/1000,"-")</f>
        <v>4.2</v>
      </c>
      <c r="X772" s="20">
        <f>IFERROR(W772*H772,"-")</f>
        <v>2.1</v>
      </c>
      <c r="Z772" s="33">
        <v>45180</v>
      </c>
    </row>
    <row r="773" spans="1:26" ht="6.95" customHeight="1" x14ac:dyDescent="0.3">
      <c r="A773" s="154"/>
      <c r="B773" s="157"/>
      <c r="C773" s="158"/>
      <c r="D773" s="161"/>
      <c r="E773" s="162"/>
      <c r="F773" s="163"/>
      <c r="G773" s="164"/>
      <c r="H773" s="165"/>
      <c r="I773" s="164"/>
      <c r="J773" s="165"/>
      <c r="K773" s="164"/>
      <c r="L773" s="165"/>
      <c r="M773" s="6"/>
      <c r="N773" s="32"/>
      <c r="Q773" s="10" t="str">
        <f>+CONCATENATE(E772,I772)</f>
        <v>보온덕트벽체</v>
      </c>
      <c r="R773" s="10">
        <f>+J772</f>
        <v>0</v>
      </c>
      <c r="S773" s="11"/>
      <c r="T773" s="10" t="str">
        <f>+E772</f>
        <v>보온덕트벽체</v>
      </c>
      <c r="U773" s="19" t="str">
        <f>IFERROR(LEFT(I772,FIND("*",I772)-1),"-")</f>
        <v>-</v>
      </c>
      <c r="V773" s="19" t="str">
        <f>IFERROR(RIGHT(I772,LEN(I772)-FIND("*",I772)),"-")</f>
        <v>-</v>
      </c>
      <c r="W773" s="20" t="str">
        <f t="shared" ref="W773:W780" si="418">IFERROR((U773+V773)*2/1000,"-")</f>
        <v>-</v>
      </c>
      <c r="X773" s="20" t="str">
        <f>IFERROR(W773*J772,"-")</f>
        <v>-</v>
      </c>
      <c r="Z773" s="33">
        <v>45180</v>
      </c>
    </row>
    <row r="774" spans="1:26" ht="6.95" customHeight="1" x14ac:dyDescent="0.3">
      <c r="A774" s="154"/>
      <c r="B774" s="157"/>
      <c r="C774" s="158"/>
      <c r="D774" s="161"/>
      <c r="E774" s="162"/>
      <c r="F774" s="163"/>
      <c r="G774" s="164"/>
      <c r="H774" s="165"/>
      <c r="I774" s="164"/>
      <c r="J774" s="165"/>
      <c r="K774" s="164"/>
      <c r="L774" s="165"/>
      <c r="M774" s="6"/>
      <c r="N774" s="32"/>
      <c r="Q774" s="10" t="str">
        <f>+CONCATENATE(E772,K772)</f>
        <v>보온덕트벽체</v>
      </c>
      <c r="R774" s="10">
        <f>+L772</f>
        <v>0</v>
      </c>
      <c r="S774" s="11"/>
      <c r="T774" s="10" t="str">
        <f>+E772</f>
        <v>보온덕트벽체</v>
      </c>
      <c r="U774" s="19" t="str">
        <f>IFERROR(LEFT(K772,FIND("*",K772)-1),"-")</f>
        <v>-</v>
      </c>
      <c r="V774" s="19" t="str">
        <f>IFERROR(RIGHT(K772,LEN(K772)-FIND("*",K772)),"-")</f>
        <v>-</v>
      </c>
      <c r="W774" s="20" t="str">
        <f t="shared" si="418"/>
        <v>-</v>
      </c>
      <c r="X774" s="20" t="str">
        <f>IFERROR(W774*L772,"-")</f>
        <v>-</v>
      </c>
      <c r="Z774" s="33">
        <v>45180</v>
      </c>
    </row>
    <row r="775" spans="1:26" ht="6.95" customHeight="1" x14ac:dyDescent="0.3">
      <c r="A775" s="8"/>
      <c r="B775" s="157"/>
      <c r="C775" s="158"/>
      <c r="D775" s="161" t="s">
        <v>39</v>
      </c>
      <c r="E775" s="162" t="s">
        <v>66</v>
      </c>
      <c r="F775" s="163" t="s">
        <v>40</v>
      </c>
      <c r="G775" s="164" t="s">
        <v>248</v>
      </c>
      <c r="H775" s="165">
        <v>1</v>
      </c>
      <c r="I775" s="164"/>
      <c r="J775" s="165"/>
      <c r="K775" s="164"/>
      <c r="L775" s="165"/>
      <c r="M775" s="6"/>
      <c r="N775" s="32"/>
      <c r="Q775" s="10" t="str">
        <f>+CONCATENATE(E775,G775)</f>
        <v>차열재마감1600*500</v>
      </c>
      <c r="R775" s="10">
        <f>+H775</f>
        <v>1</v>
      </c>
      <c r="S775" s="11"/>
      <c r="T775" s="10" t="str">
        <f>+E775</f>
        <v>차열재마감</v>
      </c>
      <c r="U775" s="19" t="str">
        <f t="shared" ref="U775" si="419">IFERROR(LEFT(G775,FIND("*",G775)-1),"-")</f>
        <v>1600</v>
      </c>
      <c r="V775" s="19" t="str">
        <f t="shared" ref="V775" si="420">IFERROR(RIGHT(G775,LEN(G775)-FIND("*",G775)),"-")</f>
        <v>500</v>
      </c>
      <c r="W775" s="20">
        <f t="shared" si="418"/>
        <v>4.2</v>
      </c>
      <c r="X775" s="20">
        <f>IFERROR(W775*H775,"-")</f>
        <v>4.2</v>
      </c>
      <c r="Z775" s="33">
        <v>45180</v>
      </c>
    </row>
    <row r="776" spans="1:26" ht="6.95" customHeight="1" x14ac:dyDescent="0.3">
      <c r="A776" s="5"/>
      <c r="B776" s="157"/>
      <c r="C776" s="158"/>
      <c r="D776" s="161"/>
      <c r="E776" s="162"/>
      <c r="F776" s="163"/>
      <c r="G776" s="164"/>
      <c r="H776" s="165"/>
      <c r="I776" s="164"/>
      <c r="J776" s="165"/>
      <c r="K776" s="164"/>
      <c r="L776" s="165"/>
      <c r="M776" s="6"/>
      <c r="N776" s="32"/>
      <c r="Q776" s="10" t="str">
        <f>+CONCATENATE(E775,I775)</f>
        <v>차열재마감</v>
      </c>
      <c r="R776" s="10">
        <f>+J775</f>
        <v>0</v>
      </c>
      <c r="S776" s="11"/>
      <c r="T776" s="10" t="str">
        <f>+E775</f>
        <v>차열재마감</v>
      </c>
      <c r="U776" s="19" t="str">
        <f>IFERROR(LEFT(I775,FIND("*",I775)-1),"-")</f>
        <v>-</v>
      </c>
      <c r="V776" s="19" t="str">
        <f>IFERROR(RIGHT(I775,LEN(I775)-FIND("*",I775)),"-")</f>
        <v>-</v>
      </c>
      <c r="W776" s="20" t="str">
        <f t="shared" si="418"/>
        <v>-</v>
      </c>
      <c r="X776" s="20" t="str">
        <f>IFERROR(W776*J775,"-")</f>
        <v>-</v>
      </c>
      <c r="Z776" s="33">
        <v>45180</v>
      </c>
    </row>
    <row r="777" spans="1:26" ht="6.95" customHeight="1" x14ac:dyDescent="0.3">
      <c r="A777" s="5"/>
      <c r="B777" s="157"/>
      <c r="C777" s="158"/>
      <c r="D777" s="161"/>
      <c r="E777" s="162"/>
      <c r="F777" s="163"/>
      <c r="G777" s="164"/>
      <c r="H777" s="165"/>
      <c r="I777" s="164"/>
      <c r="J777" s="165"/>
      <c r="K777" s="164"/>
      <c r="L777" s="165"/>
      <c r="M777" s="6"/>
      <c r="N777" s="32"/>
      <c r="Q777" s="10" t="str">
        <f>+CONCATENATE(E775,K775)</f>
        <v>차열재마감</v>
      </c>
      <c r="R777" s="10">
        <f>+L775</f>
        <v>0</v>
      </c>
      <c r="S777" s="11"/>
      <c r="T777" s="10" t="str">
        <f>+E775</f>
        <v>차열재마감</v>
      </c>
      <c r="U777" s="19" t="str">
        <f>IFERROR(LEFT(K775,FIND("*",K775)-1),"-")</f>
        <v>-</v>
      </c>
      <c r="V777" s="19" t="str">
        <f>IFERROR(RIGHT(K775,LEN(K775)-FIND("*",K775)),"-")</f>
        <v>-</v>
      </c>
      <c r="W777" s="20" t="str">
        <f t="shared" si="418"/>
        <v>-</v>
      </c>
      <c r="X777" s="20" t="str">
        <f>IFERROR(W777*L775,"-")</f>
        <v>-</v>
      </c>
      <c r="Z777" s="33">
        <v>45180</v>
      </c>
    </row>
    <row r="778" spans="1:26" ht="6.95" customHeight="1" x14ac:dyDescent="0.3">
      <c r="A778" s="8"/>
      <c r="B778" s="157"/>
      <c r="C778" s="158"/>
      <c r="D778" s="161" t="s">
        <v>39</v>
      </c>
      <c r="E778" s="162"/>
      <c r="F778" s="163" t="s">
        <v>40</v>
      </c>
      <c r="G778" s="164"/>
      <c r="H778" s="165"/>
      <c r="I778" s="164"/>
      <c r="J778" s="165"/>
      <c r="K778" s="164"/>
      <c r="L778" s="165"/>
      <c r="M778" s="6"/>
      <c r="N778" s="32"/>
      <c r="Q778" s="10" t="str">
        <f>+CONCATENATE(E778,G778)</f>
        <v/>
      </c>
      <c r="R778" s="10">
        <f>+H778</f>
        <v>0</v>
      </c>
      <c r="S778" s="11"/>
      <c r="T778" s="10">
        <f>+E778</f>
        <v>0</v>
      </c>
      <c r="U778" s="19" t="str">
        <f t="shared" ref="U778" si="421">IFERROR(LEFT(G778,FIND("*",G778)-1),"-")</f>
        <v>-</v>
      </c>
      <c r="V778" s="19" t="str">
        <f t="shared" ref="V778" si="422">IFERROR(RIGHT(G778,LEN(G778)-FIND("*",G778)),"-")</f>
        <v>-</v>
      </c>
      <c r="W778" s="20" t="str">
        <f t="shared" si="418"/>
        <v>-</v>
      </c>
      <c r="X778" s="20" t="str">
        <f>IFERROR(W778*H778,"-")</f>
        <v>-</v>
      </c>
      <c r="Z778" s="33">
        <v>45180</v>
      </c>
    </row>
    <row r="779" spans="1:26" ht="6.95" customHeight="1" x14ac:dyDescent="0.3">
      <c r="A779" s="5"/>
      <c r="B779" s="157"/>
      <c r="C779" s="158"/>
      <c r="D779" s="161"/>
      <c r="E779" s="162"/>
      <c r="F779" s="163"/>
      <c r="G779" s="164"/>
      <c r="H779" s="165"/>
      <c r="I779" s="164"/>
      <c r="J779" s="165"/>
      <c r="K779" s="164"/>
      <c r="L779" s="165"/>
      <c r="M779" s="6"/>
      <c r="N779" s="32"/>
      <c r="Q779" s="10" t="str">
        <f>+CONCATENATE(E778,I778)</f>
        <v/>
      </c>
      <c r="R779" s="10">
        <f>+J778</f>
        <v>0</v>
      </c>
      <c r="S779" s="11"/>
      <c r="T779" s="10">
        <f>+E778</f>
        <v>0</v>
      </c>
      <c r="U779" s="19" t="str">
        <f>IFERROR(LEFT(I778,FIND("*",I778)-1),"-")</f>
        <v>-</v>
      </c>
      <c r="V779" s="19" t="str">
        <f>IFERROR(RIGHT(I778,LEN(I778)-FIND("*",I778)),"-")</f>
        <v>-</v>
      </c>
      <c r="W779" s="20" t="str">
        <f t="shared" si="418"/>
        <v>-</v>
      </c>
      <c r="X779" s="20" t="str">
        <f t="shared" ref="X779" si="423">IFERROR(W779*J778,"-")</f>
        <v>-</v>
      </c>
      <c r="Z779" s="33">
        <v>45180</v>
      </c>
    </row>
    <row r="780" spans="1:26" ht="6.95" customHeight="1" x14ac:dyDescent="0.3">
      <c r="A780" s="5"/>
      <c r="B780" s="157"/>
      <c r="C780" s="158"/>
      <c r="D780" s="161"/>
      <c r="E780" s="162"/>
      <c r="F780" s="163"/>
      <c r="G780" s="164"/>
      <c r="H780" s="165"/>
      <c r="I780" s="164"/>
      <c r="J780" s="165"/>
      <c r="K780" s="164"/>
      <c r="L780" s="165"/>
      <c r="M780" s="6"/>
      <c r="N780" s="32"/>
      <c r="Q780" s="10" t="str">
        <f>+CONCATENATE(E778,K778)</f>
        <v/>
      </c>
      <c r="R780" s="10">
        <f>+L778</f>
        <v>0</v>
      </c>
      <c r="S780" s="11"/>
      <c r="T780" s="10">
        <f>+E778</f>
        <v>0</v>
      </c>
      <c r="U780" s="19" t="str">
        <f>IFERROR(LEFT(K778,FIND("*",K778)-1),"-")</f>
        <v>-</v>
      </c>
      <c r="V780" s="19" t="str">
        <f>IFERROR(RIGHT(K778,LEN(K778)-FIND("*",K778)),"-")</f>
        <v>-</v>
      </c>
      <c r="W780" s="20" t="str">
        <f t="shared" si="418"/>
        <v>-</v>
      </c>
      <c r="X780" s="20" t="str">
        <f>IFERROR(W780*L778,"-")</f>
        <v>-</v>
      </c>
      <c r="Z780" s="33">
        <v>45180</v>
      </c>
    </row>
    <row r="781" spans="1:26" ht="21" customHeight="1" thickBot="1" x14ac:dyDescent="0.35">
      <c r="A781" s="5"/>
      <c r="B781" s="159"/>
      <c r="C781" s="160"/>
      <c r="D781" s="166" t="s">
        <v>43</v>
      </c>
      <c r="E781" s="167"/>
      <c r="F781" s="167"/>
      <c r="G781" s="168" t="s">
        <v>245</v>
      </c>
      <c r="H781" s="168"/>
      <c r="I781" s="168"/>
      <c r="J781" s="168"/>
      <c r="K781" s="168"/>
      <c r="L781" s="168"/>
      <c r="M781" s="7"/>
      <c r="N781" s="32"/>
      <c r="Z781" s="33">
        <v>45180</v>
      </c>
    </row>
    <row r="782" spans="1:26" ht="9.9499999999999993" customHeight="1" thickBot="1" x14ac:dyDescent="0.35">
      <c r="B782" s="9"/>
      <c r="C782" s="109" t="s">
        <v>240</v>
      </c>
      <c r="D782" s="51"/>
      <c r="E782" s="12"/>
      <c r="F782" s="51"/>
      <c r="G782" s="14"/>
      <c r="H782" s="14"/>
      <c r="I782" s="14"/>
      <c r="J782" s="14"/>
      <c r="K782" s="14"/>
      <c r="L782" s="14"/>
      <c r="M782" s="9"/>
      <c r="N782" s="32"/>
      <c r="U782" s="18"/>
      <c r="V782" s="18"/>
      <c r="Z782" s="33">
        <v>45180</v>
      </c>
    </row>
    <row r="783" spans="1:26" ht="6.95" customHeight="1" x14ac:dyDescent="0.3">
      <c r="A783" s="154">
        <f>+A772+1</f>
        <v>872</v>
      </c>
      <c r="B783" s="155"/>
      <c r="C783" s="156"/>
      <c r="D783" s="161" t="s">
        <v>39</v>
      </c>
      <c r="E783" s="162" t="s">
        <v>258</v>
      </c>
      <c r="F783" s="163" t="s">
        <v>40</v>
      </c>
      <c r="G783" s="164">
        <v>150</v>
      </c>
      <c r="H783" s="165">
        <v>1</v>
      </c>
      <c r="I783" s="164">
        <v>50</v>
      </c>
      <c r="J783" s="165">
        <v>2</v>
      </c>
      <c r="K783" s="164"/>
      <c r="L783" s="165"/>
      <c r="M783" s="6"/>
      <c r="N783" s="32"/>
      <c r="Q783" s="10" t="str">
        <f>+CONCATENATE(E783,G783)</f>
        <v>금속관벽체150</v>
      </c>
      <c r="R783" s="10">
        <f>+H783</f>
        <v>1</v>
      </c>
      <c r="S783" s="11"/>
      <c r="T783" s="10" t="str">
        <f>+E783</f>
        <v>금속관벽체</v>
      </c>
      <c r="U783" s="19" t="str">
        <f>IFERROR(LEFT(G783,FIND("*",G783)-1),"-")</f>
        <v>-</v>
      </c>
      <c r="V783" s="19" t="str">
        <f>IFERROR(RIGHT(G783,LEN(G783)-FIND("*",G783)),"-")</f>
        <v>-</v>
      </c>
      <c r="W783" s="20" t="str">
        <f>IFERROR((U783+V783)*2/1000,"-")</f>
        <v>-</v>
      </c>
      <c r="X783" s="20" t="str">
        <f>IFERROR(W783*H783,"-")</f>
        <v>-</v>
      </c>
      <c r="Z783" s="33">
        <v>45180</v>
      </c>
    </row>
    <row r="784" spans="1:26" ht="6.95" customHeight="1" x14ac:dyDescent="0.3">
      <c r="A784" s="154"/>
      <c r="B784" s="157"/>
      <c r="C784" s="158"/>
      <c r="D784" s="161"/>
      <c r="E784" s="162"/>
      <c r="F784" s="163"/>
      <c r="G784" s="164"/>
      <c r="H784" s="165"/>
      <c r="I784" s="164"/>
      <c r="J784" s="165"/>
      <c r="K784" s="164"/>
      <c r="L784" s="165"/>
      <c r="M784" s="6"/>
      <c r="N784" s="32"/>
      <c r="Q784" s="10" t="str">
        <f>+CONCATENATE(E783,I783)</f>
        <v>금속관벽체50</v>
      </c>
      <c r="R784" s="10">
        <f>+J783</f>
        <v>2</v>
      </c>
      <c r="S784" s="11"/>
      <c r="T784" s="10" t="str">
        <f>+E783</f>
        <v>금속관벽체</v>
      </c>
      <c r="U784" s="19" t="str">
        <f>IFERROR(LEFT(I783,FIND("*",I783)-1),"-")</f>
        <v>-</v>
      </c>
      <c r="V784" s="19" t="str">
        <f>IFERROR(RIGHT(I783,LEN(I783)-FIND("*",I783)),"-")</f>
        <v>-</v>
      </c>
      <c r="W784" s="20" t="str">
        <f t="shared" ref="W784:W791" si="424">IFERROR((U784+V784)*2/1000,"-")</f>
        <v>-</v>
      </c>
      <c r="X784" s="20" t="str">
        <f>IFERROR(W784*J783,"-")</f>
        <v>-</v>
      </c>
      <c r="Z784" s="33">
        <v>45180</v>
      </c>
    </row>
    <row r="785" spans="1:26" ht="6.95" customHeight="1" x14ac:dyDescent="0.3">
      <c r="A785" s="154"/>
      <c r="B785" s="157"/>
      <c r="C785" s="158"/>
      <c r="D785" s="161"/>
      <c r="E785" s="162"/>
      <c r="F785" s="163"/>
      <c r="G785" s="164"/>
      <c r="H785" s="165"/>
      <c r="I785" s="164"/>
      <c r="J785" s="165"/>
      <c r="K785" s="164"/>
      <c r="L785" s="165"/>
      <c r="M785" s="6"/>
      <c r="N785" s="32"/>
      <c r="Q785" s="10" t="str">
        <f>+CONCATENATE(E783,K783)</f>
        <v>금속관벽체</v>
      </c>
      <c r="R785" s="10">
        <f>+L783</f>
        <v>0</v>
      </c>
      <c r="S785" s="11"/>
      <c r="T785" s="10" t="str">
        <f>+E783</f>
        <v>금속관벽체</v>
      </c>
      <c r="U785" s="19" t="str">
        <f>IFERROR(LEFT(K783,FIND("*",K783)-1),"-")</f>
        <v>-</v>
      </c>
      <c r="V785" s="19" t="str">
        <f>IFERROR(RIGHT(K783,LEN(K783)-FIND("*",K783)),"-")</f>
        <v>-</v>
      </c>
      <c r="W785" s="20" t="str">
        <f t="shared" si="424"/>
        <v>-</v>
      </c>
      <c r="X785" s="20" t="str">
        <f>IFERROR(W785*L783,"-")</f>
        <v>-</v>
      </c>
      <c r="Z785" s="33">
        <v>45180</v>
      </c>
    </row>
    <row r="786" spans="1:26" ht="6.95" customHeight="1" x14ac:dyDescent="0.3">
      <c r="A786" s="8"/>
      <c r="B786" s="157"/>
      <c r="C786" s="158"/>
      <c r="D786" s="161" t="s">
        <v>39</v>
      </c>
      <c r="E786" s="162"/>
      <c r="F786" s="163" t="s">
        <v>40</v>
      </c>
      <c r="G786" s="164"/>
      <c r="H786" s="165"/>
      <c r="I786" s="164"/>
      <c r="J786" s="165"/>
      <c r="K786" s="164"/>
      <c r="L786" s="165"/>
      <c r="M786" s="6"/>
      <c r="N786" s="32"/>
      <c r="Q786" s="10" t="str">
        <f>+CONCATENATE(E786,G786)</f>
        <v/>
      </c>
      <c r="R786" s="10">
        <f>+H786</f>
        <v>0</v>
      </c>
      <c r="S786" s="11"/>
      <c r="T786" s="10">
        <f>+E786</f>
        <v>0</v>
      </c>
      <c r="U786" s="19" t="str">
        <f t="shared" ref="U786" si="425">IFERROR(LEFT(G786,FIND("*",G786)-1),"-")</f>
        <v>-</v>
      </c>
      <c r="V786" s="19" t="str">
        <f t="shared" ref="V786" si="426">IFERROR(RIGHT(G786,LEN(G786)-FIND("*",G786)),"-")</f>
        <v>-</v>
      </c>
      <c r="W786" s="20" t="str">
        <f t="shared" si="424"/>
        <v>-</v>
      </c>
      <c r="X786" s="20" t="str">
        <f>IFERROR(W786*H786,"-")</f>
        <v>-</v>
      </c>
      <c r="Z786" s="33">
        <v>45180</v>
      </c>
    </row>
    <row r="787" spans="1:26" ht="6.95" customHeight="1" x14ac:dyDescent="0.3">
      <c r="A787" s="5"/>
      <c r="B787" s="157"/>
      <c r="C787" s="158"/>
      <c r="D787" s="161"/>
      <c r="E787" s="162"/>
      <c r="F787" s="163"/>
      <c r="G787" s="164"/>
      <c r="H787" s="165"/>
      <c r="I787" s="164"/>
      <c r="J787" s="165"/>
      <c r="K787" s="164"/>
      <c r="L787" s="165"/>
      <c r="M787" s="6"/>
      <c r="N787" s="32"/>
      <c r="Q787" s="10" t="str">
        <f>+CONCATENATE(E786,I786)</f>
        <v/>
      </c>
      <c r="R787" s="10">
        <f>+J786</f>
        <v>0</v>
      </c>
      <c r="S787" s="11"/>
      <c r="T787" s="10">
        <f>+E786</f>
        <v>0</v>
      </c>
      <c r="U787" s="19" t="str">
        <f>IFERROR(LEFT(I786,FIND("*",I786)-1),"-")</f>
        <v>-</v>
      </c>
      <c r="V787" s="19" t="str">
        <f>IFERROR(RIGHT(I786,LEN(I786)-FIND("*",I786)),"-")</f>
        <v>-</v>
      </c>
      <c r="W787" s="20" t="str">
        <f t="shared" si="424"/>
        <v>-</v>
      </c>
      <c r="X787" s="20" t="str">
        <f>IFERROR(W787*J786,"-")</f>
        <v>-</v>
      </c>
      <c r="Z787" s="33">
        <v>45180</v>
      </c>
    </row>
    <row r="788" spans="1:26" ht="6.95" customHeight="1" x14ac:dyDescent="0.3">
      <c r="A788" s="5"/>
      <c r="B788" s="157"/>
      <c r="C788" s="158"/>
      <c r="D788" s="161"/>
      <c r="E788" s="162"/>
      <c r="F788" s="163"/>
      <c r="G788" s="164"/>
      <c r="H788" s="165"/>
      <c r="I788" s="164"/>
      <c r="J788" s="165"/>
      <c r="K788" s="164"/>
      <c r="L788" s="165"/>
      <c r="M788" s="6"/>
      <c r="N788" s="32"/>
      <c r="Q788" s="10" t="str">
        <f>+CONCATENATE(E786,K786)</f>
        <v/>
      </c>
      <c r="R788" s="10">
        <f>+L786</f>
        <v>0</v>
      </c>
      <c r="S788" s="11"/>
      <c r="T788" s="10">
        <f>+E786</f>
        <v>0</v>
      </c>
      <c r="U788" s="19" t="str">
        <f>IFERROR(LEFT(K786,FIND("*",K786)-1),"-")</f>
        <v>-</v>
      </c>
      <c r="V788" s="19" t="str">
        <f>IFERROR(RIGHT(K786,LEN(K786)-FIND("*",K786)),"-")</f>
        <v>-</v>
      </c>
      <c r="W788" s="20" t="str">
        <f t="shared" si="424"/>
        <v>-</v>
      </c>
      <c r="X788" s="20" t="str">
        <f>IFERROR(W788*L786,"-")</f>
        <v>-</v>
      </c>
      <c r="Z788" s="33">
        <v>45180</v>
      </c>
    </row>
    <row r="789" spans="1:26" ht="6.95" customHeight="1" x14ac:dyDescent="0.3">
      <c r="A789" s="8"/>
      <c r="B789" s="157"/>
      <c r="C789" s="158"/>
      <c r="D789" s="161" t="s">
        <v>39</v>
      </c>
      <c r="E789" s="162"/>
      <c r="F789" s="163" t="s">
        <v>40</v>
      </c>
      <c r="G789" s="164"/>
      <c r="H789" s="165"/>
      <c r="I789" s="164"/>
      <c r="J789" s="165"/>
      <c r="K789" s="164"/>
      <c r="L789" s="165"/>
      <c r="M789" s="6"/>
      <c r="N789" s="32"/>
      <c r="Q789" s="10" t="str">
        <f>+CONCATENATE(E789,G789)</f>
        <v/>
      </c>
      <c r="R789" s="10">
        <f>+H789</f>
        <v>0</v>
      </c>
      <c r="S789" s="11"/>
      <c r="T789" s="10">
        <f>+E789</f>
        <v>0</v>
      </c>
      <c r="U789" s="19" t="str">
        <f t="shared" ref="U789" si="427">IFERROR(LEFT(G789,FIND("*",G789)-1),"-")</f>
        <v>-</v>
      </c>
      <c r="V789" s="19" t="str">
        <f t="shared" ref="V789" si="428">IFERROR(RIGHT(G789,LEN(G789)-FIND("*",G789)),"-")</f>
        <v>-</v>
      </c>
      <c r="W789" s="20" t="str">
        <f t="shared" si="424"/>
        <v>-</v>
      </c>
      <c r="X789" s="20" t="str">
        <f>IFERROR(W789*H789,"-")</f>
        <v>-</v>
      </c>
      <c r="Z789" s="33">
        <v>45180</v>
      </c>
    </row>
    <row r="790" spans="1:26" ht="6.95" customHeight="1" x14ac:dyDescent="0.3">
      <c r="A790" s="5"/>
      <c r="B790" s="157"/>
      <c r="C790" s="158"/>
      <c r="D790" s="161"/>
      <c r="E790" s="162"/>
      <c r="F790" s="163"/>
      <c r="G790" s="164"/>
      <c r="H790" s="165"/>
      <c r="I790" s="164"/>
      <c r="J790" s="165"/>
      <c r="K790" s="164"/>
      <c r="L790" s="165"/>
      <c r="M790" s="6"/>
      <c r="N790" s="32"/>
      <c r="Q790" s="10" t="str">
        <f>+CONCATENATE(E789,I789)</f>
        <v/>
      </c>
      <c r="R790" s="10">
        <f>+J789</f>
        <v>0</v>
      </c>
      <c r="S790" s="11"/>
      <c r="T790" s="10">
        <f>+E789</f>
        <v>0</v>
      </c>
      <c r="U790" s="19" t="str">
        <f>IFERROR(LEFT(I789,FIND("*",I789)-1),"-")</f>
        <v>-</v>
      </c>
      <c r="V790" s="19" t="str">
        <f>IFERROR(RIGHT(I789,LEN(I789)-FIND("*",I789)),"-")</f>
        <v>-</v>
      </c>
      <c r="W790" s="20" t="str">
        <f t="shared" si="424"/>
        <v>-</v>
      </c>
      <c r="X790" s="20" t="str">
        <f t="shared" ref="X790" si="429">IFERROR(W790*J789,"-")</f>
        <v>-</v>
      </c>
      <c r="Z790" s="33">
        <v>45180</v>
      </c>
    </row>
    <row r="791" spans="1:26" ht="6.95" customHeight="1" x14ac:dyDescent="0.3">
      <c r="A791" s="5"/>
      <c r="B791" s="157"/>
      <c r="C791" s="158"/>
      <c r="D791" s="161"/>
      <c r="E791" s="162"/>
      <c r="F791" s="163"/>
      <c r="G791" s="164"/>
      <c r="H791" s="165"/>
      <c r="I791" s="164"/>
      <c r="J791" s="165"/>
      <c r="K791" s="164"/>
      <c r="L791" s="165"/>
      <c r="M791" s="6"/>
      <c r="N791" s="32"/>
      <c r="Q791" s="10" t="str">
        <f>+CONCATENATE(E789,K789)</f>
        <v/>
      </c>
      <c r="R791" s="10">
        <f>+L789</f>
        <v>0</v>
      </c>
      <c r="S791" s="11"/>
      <c r="T791" s="10">
        <f>+E789</f>
        <v>0</v>
      </c>
      <c r="U791" s="19" t="str">
        <f>IFERROR(LEFT(K789,FIND("*",K789)-1),"-")</f>
        <v>-</v>
      </c>
      <c r="V791" s="19" t="str">
        <f>IFERROR(RIGHT(K789,LEN(K789)-FIND("*",K789)),"-")</f>
        <v>-</v>
      </c>
      <c r="W791" s="20" t="str">
        <f t="shared" si="424"/>
        <v>-</v>
      </c>
      <c r="X791" s="20" t="str">
        <f>IFERROR(W791*L789,"-")</f>
        <v>-</v>
      </c>
      <c r="Z791" s="33">
        <v>45180</v>
      </c>
    </row>
    <row r="792" spans="1:26" ht="21" customHeight="1" thickBot="1" x14ac:dyDescent="0.35">
      <c r="A792" s="5"/>
      <c r="B792" s="159"/>
      <c r="C792" s="160"/>
      <c r="D792" s="166" t="s">
        <v>43</v>
      </c>
      <c r="E792" s="167"/>
      <c r="F792" s="167"/>
      <c r="G792" s="168" t="s">
        <v>238</v>
      </c>
      <c r="H792" s="168"/>
      <c r="I792" s="168"/>
      <c r="J792" s="168"/>
      <c r="K792" s="168"/>
      <c r="L792" s="168"/>
      <c r="M792" s="7"/>
      <c r="N792" s="32"/>
      <c r="Z792" s="33">
        <v>45180</v>
      </c>
    </row>
    <row r="793" spans="1:26" ht="9.9499999999999993" customHeight="1" thickBot="1" x14ac:dyDescent="0.35">
      <c r="B793" s="9"/>
      <c r="C793" s="109">
        <v>872</v>
      </c>
      <c r="D793" s="51"/>
      <c r="E793" s="12"/>
      <c r="F793" s="51"/>
      <c r="G793" s="14"/>
      <c r="H793" s="14"/>
      <c r="I793" s="14"/>
      <c r="J793" s="14"/>
      <c r="K793" s="14"/>
      <c r="L793" s="14"/>
      <c r="M793" s="9"/>
      <c r="N793" s="32"/>
      <c r="U793" s="18"/>
      <c r="V793" s="18"/>
      <c r="Z793" s="33">
        <v>45180</v>
      </c>
    </row>
    <row r="794" spans="1:26" ht="6.95" customHeight="1" x14ac:dyDescent="0.3">
      <c r="A794" s="154">
        <f>+A783+1</f>
        <v>873</v>
      </c>
      <c r="B794" s="155"/>
      <c r="C794" s="156"/>
      <c r="D794" s="161" t="s">
        <v>39</v>
      </c>
      <c r="E794" s="162" t="s">
        <v>226</v>
      </c>
      <c r="F794" s="163" t="s">
        <v>40</v>
      </c>
      <c r="G794" s="164" t="s">
        <v>263</v>
      </c>
      <c r="H794" s="165">
        <v>0.5</v>
      </c>
      <c r="I794" s="164"/>
      <c r="J794" s="165"/>
      <c r="K794" s="164"/>
      <c r="L794" s="165"/>
      <c r="M794" s="6"/>
      <c r="N794" s="32"/>
      <c r="Q794" s="10" t="str">
        <f>+CONCATENATE(E794,G794)</f>
        <v>무보온덕트벽체1200*500</v>
      </c>
      <c r="R794" s="10">
        <f>+H794</f>
        <v>0.5</v>
      </c>
      <c r="S794" s="11"/>
      <c r="T794" s="10" t="str">
        <f>+E794</f>
        <v>무보온덕트벽체</v>
      </c>
      <c r="U794" s="19" t="str">
        <f>IFERROR(LEFT(G794,FIND("*",G794)-1),"-")</f>
        <v>1200</v>
      </c>
      <c r="V794" s="19" t="str">
        <f>IFERROR(RIGHT(G794,LEN(G794)-FIND("*",G794)),"-")</f>
        <v>500</v>
      </c>
      <c r="W794" s="20">
        <f>IFERROR((U794+V794)*2/1000,"-")</f>
        <v>3.4</v>
      </c>
      <c r="X794" s="20">
        <f>IFERROR(W794*H794,"-")</f>
        <v>1.7</v>
      </c>
      <c r="Z794" s="33">
        <v>45180</v>
      </c>
    </row>
    <row r="795" spans="1:26" ht="6.95" customHeight="1" x14ac:dyDescent="0.3">
      <c r="A795" s="154"/>
      <c r="B795" s="157"/>
      <c r="C795" s="158"/>
      <c r="D795" s="161"/>
      <c r="E795" s="162"/>
      <c r="F795" s="163"/>
      <c r="G795" s="164"/>
      <c r="H795" s="165"/>
      <c r="I795" s="164"/>
      <c r="J795" s="165"/>
      <c r="K795" s="164"/>
      <c r="L795" s="165"/>
      <c r="M795" s="6"/>
      <c r="N795" s="32"/>
      <c r="Q795" s="10" t="str">
        <f>+CONCATENATE(E794,I794)</f>
        <v>무보온덕트벽체</v>
      </c>
      <c r="R795" s="10">
        <f>+J794</f>
        <v>0</v>
      </c>
      <c r="S795" s="11"/>
      <c r="T795" s="10" t="str">
        <f>+E794</f>
        <v>무보온덕트벽체</v>
      </c>
      <c r="U795" s="19" t="str">
        <f>IFERROR(LEFT(I794,FIND("*",I794)-1),"-")</f>
        <v>-</v>
      </c>
      <c r="V795" s="19" t="str">
        <f>IFERROR(RIGHT(I794,LEN(I794)-FIND("*",I794)),"-")</f>
        <v>-</v>
      </c>
      <c r="W795" s="20" t="str">
        <f t="shared" ref="W795:W802" si="430">IFERROR((U795+V795)*2/1000,"-")</f>
        <v>-</v>
      </c>
      <c r="X795" s="20" t="str">
        <f>IFERROR(W795*J794,"-")</f>
        <v>-</v>
      </c>
      <c r="Z795" s="33">
        <v>45180</v>
      </c>
    </row>
    <row r="796" spans="1:26" ht="6.95" customHeight="1" x14ac:dyDescent="0.3">
      <c r="A796" s="154"/>
      <c r="B796" s="157"/>
      <c r="C796" s="158"/>
      <c r="D796" s="161"/>
      <c r="E796" s="162"/>
      <c r="F796" s="163"/>
      <c r="G796" s="164"/>
      <c r="H796" s="165"/>
      <c r="I796" s="164"/>
      <c r="J796" s="165"/>
      <c r="K796" s="164"/>
      <c r="L796" s="165"/>
      <c r="M796" s="6"/>
      <c r="N796" s="32"/>
      <c r="Q796" s="10" t="str">
        <f>+CONCATENATE(E794,K794)</f>
        <v>무보온덕트벽체</v>
      </c>
      <c r="R796" s="10">
        <f>+L794</f>
        <v>0</v>
      </c>
      <c r="S796" s="11"/>
      <c r="T796" s="10" t="str">
        <f>+E794</f>
        <v>무보온덕트벽체</v>
      </c>
      <c r="U796" s="19" t="str">
        <f>IFERROR(LEFT(K794,FIND("*",K794)-1),"-")</f>
        <v>-</v>
      </c>
      <c r="V796" s="19" t="str">
        <f>IFERROR(RIGHT(K794,LEN(K794)-FIND("*",K794)),"-")</f>
        <v>-</v>
      </c>
      <c r="W796" s="20" t="str">
        <f t="shared" si="430"/>
        <v>-</v>
      </c>
      <c r="X796" s="20" t="str">
        <f>IFERROR(W796*L794,"-")</f>
        <v>-</v>
      </c>
      <c r="Z796" s="33">
        <v>45180</v>
      </c>
    </row>
    <row r="797" spans="1:26" ht="6.95" customHeight="1" x14ac:dyDescent="0.3">
      <c r="A797" s="8"/>
      <c r="B797" s="157"/>
      <c r="C797" s="158"/>
      <c r="D797" s="161" t="s">
        <v>39</v>
      </c>
      <c r="E797" s="162" t="s">
        <v>66</v>
      </c>
      <c r="F797" s="163" t="s">
        <v>40</v>
      </c>
      <c r="G797" s="164" t="s">
        <v>263</v>
      </c>
      <c r="H797" s="165">
        <v>0.5</v>
      </c>
      <c r="I797" s="164"/>
      <c r="J797" s="165"/>
      <c r="K797" s="164"/>
      <c r="L797" s="165"/>
      <c r="M797" s="6"/>
      <c r="N797" s="32"/>
      <c r="Q797" s="10" t="str">
        <f>+CONCATENATE(E797,G797)</f>
        <v>차열재마감1200*500</v>
      </c>
      <c r="R797" s="10">
        <f>+H797</f>
        <v>0.5</v>
      </c>
      <c r="S797" s="11"/>
      <c r="T797" s="10" t="str">
        <f>+E797</f>
        <v>차열재마감</v>
      </c>
      <c r="U797" s="19" t="str">
        <f t="shared" ref="U797" si="431">IFERROR(LEFT(G797,FIND("*",G797)-1),"-")</f>
        <v>1200</v>
      </c>
      <c r="V797" s="19" t="str">
        <f t="shared" ref="V797" si="432">IFERROR(RIGHT(G797,LEN(G797)-FIND("*",G797)),"-")</f>
        <v>500</v>
      </c>
      <c r="W797" s="20">
        <f t="shared" si="430"/>
        <v>3.4</v>
      </c>
      <c r="X797" s="20">
        <f>IFERROR(W797*H797,"-")</f>
        <v>1.7</v>
      </c>
      <c r="Z797" s="33">
        <v>45180</v>
      </c>
    </row>
    <row r="798" spans="1:26" ht="6.95" customHeight="1" x14ac:dyDescent="0.3">
      <c r="A798" s="5"/>
      <c r="B798" s="157"/>
      <c r="C798" s="158"/>
      <c r="D798" s="161"/>
      <c r="E798" s="162"/>
      <c r="F798" s="163"/>
      <c r="G798" s="164"/>
      <c r="H798" s="165"/>
      <c r="I798" s="164"/>
      <c r="J798" s="165"/>
      <c r="K798" s="164"/>
      <c r="L798" s="165"/>
      <c r="M798" s="6"/>
      <c r="N798" s="32"/>
      <c r="Q798" s="10" t="str">
        <f>+CONCATENATE(E797,I797)</f>
        <v>차열재마감</v>
      </c>
      <c r="R798" s="10">
        <f>+J797</f>
        <v>0</v>
      </c>
      <c r="S798" s="11"/>
      <c r="T798" s="10" t="str">
        <f>+E797</f>
        <v>차열재마감</v>
      </c>
      <c r="U798" s="19" t="str">
        <f>IFERROR(LEFT(I797,FIND("*",I797)-1),"-")</f>
        <v>-</v>
      </c>
      <c r="V798" s="19" t="str">
        <f>IFERROR(RIGHT(I797,LEN(I797)-FIND("*",I797)),"-")</f>
        <v>-</v>
      </c>
      <c r="W798" s="20" t="str">
        <f t="shared" si="430"/>
        <v>-</v>
      </c>
      <c r="X798" s="20" t="str">
        <f>IFERROR(W798*J797,"-")</f>
        <v>-</v>
      </c>
      <c r="Z798" s="33">
        <v>45180</v>
      </c>
    </row>
    <row r="799" spans="1:26" ht="6.95" customHeight="1" x14ac:dyDescent="0.3">
      <c r="A799" s="5"/>
      <c r="B799" s="157"/>
      <c r="C799" s="158"/>
      <c r="D799" s="161"/>
      <c r="E799" s="162"/>
      <c r="F799" s="163"/>
      <c r="G799" s="164"/>
      <c r="H799" s="165"/>
      <c r="I799" s="164"/>
      <c r="J799" s="165"/>
      <c r="K799" s="164"/>
      <c r="L799" s="165"/>
      <c r="M799" s="6"/>
      <c r="N799" s="32"/>
      <c r="Q799" s="10" t="str">
        <f>+CONCATENATE(E797,K797)</f>
        <v>차열재마감</v>
      </c>
      <c r="R799" s="10">
        <f>+L797</f>
        <v>0</v>
      </c>
      <c r="S799" s="11"/>
      <c r="T799" s="10" t="str">
        <f>+E797</f>
        <v>차열재마감</v>
      </c>
      <c r="U799" s="19" t="str">
        <f>IFERROR(LEFT(K797,FIND("*",K797)-1),"-")</f>
        <v>-</v>
      </c>
      <c r="V799" s="19" t="str">
        <f>IFERROR(RIGHT(K797,LEN(K797)-FIND("*",K797)),"-")</f>
        <v>-</v>
      </c>
      <c r="W799" s="20" t="str">
        <f t="shared" si="430"/>
        <v>-</v>
      </c>
      <c r="X799" s="20" t="str">
        <f>IFERROR(W799*L797,"-")</f>
        <v>-</v>
      </c>
      <c r="Z799" s="33">
        <v>45180</v>
      </c>
    </row>
    <row r="800" spans="1:26" ht="6.95" customHeight="1" x14ac:dyDescent="0.3">
      <c r="A800" s="8"/>
      <c r="B800" s="157"/>
      <c r="C800" s="158"/>
      <c r="D800" s="161" t="s">
        <v>39</v>
      </c>
      <c r="E800" s="162"/>
      <c r="F800" s="163" t="s">
        <v>40</v>
      </c>
      <c r="G800" s="164"/>
      <c r="H800" s="165"/>
      <c r="I800" s="164"/>
      <c r="J800" s="165"/>
      <c r="K800" s="164"/>
      <c r="L800" s="165"/>
      <c r="M800" s="6"/>
      <c r="N800" s="32"/>
      <c r="Q800" s="10" t="str">
        <f>+CONCATENATE(E800,G800)</f>
        <v/>
      </c>
      <c r="R800" s="10">
        <f>+H800</f>
        <v>0</v>
      </c>
      <c r="S800" s="11"/>
      <c r="T800" s="10">
        <f>+E800</f>
        <v>0</v>
      </c>
      <c r="U800" s="19" t="str">
        <f t="shared" ref="U800" si="433">IFERROR(LEFT(G800,FIND("*",G800)-1),"-")</f>
        <v>-</v>
      </c>
      <c r="V800" s="19" t="str">
        <f t="shared" ref="V800" si="434">IFERROR(RIGHT(G800,LEN(G800)-FIND("*",G800)),"-")</f>
        <v>-</v>
      </c>
      <c r="W800" s="20" t="str">
        <f t="shared" si="430"/>
        <v>-</v>
      </c>
      <c r="X800" s="20" t="str">
        <f>IFERROR(W800*H800,"-")</f>
        <v>-</v>
      </c>
      <c r="Z800" s="33">
        <v>45180</v>
      </c>
    </row>
    <row r="801" spans="1:26" ht="6.95" customHeight="1" x14ac:dyDescent="0.3">
      <c r="A801" s="5"/>
      <c r="B801" s="157"/>
      <c r="C801" s="158"/>
      <c r="D801" s="161"/>
      <c r="E801" s="162"/>
      <c r="F801" s="163"/>
      <c r="G801" s="164"/>
      <c r="H801" s="165"/>
      <c r="I801" s="164"/>
      <c r="J801" s="165"/>
      <c r="K801" s="164"/>
      <c r="L801" s="165"/>
      <c r="M801" s="6"/>
      <c r="N801" s="32"/>
      <c r="Q801" s="10" t="str">
        <f>+CONCATENATE(E800,I800)</f>
        <v/>
      </c>
      <c r="R801" s="10">
        <f>+J800</f>
        <v>0</v>
      </c>
      <c r="S801" s="11"/>
      <c r="T801" s="10">
        <f>+E800</f>
        <v>0</v>
      </c>
      <c r="U801" s="19" t="str">
        <f>IFERROR(LEFT(I800,FIND("*",I800)-1),"-")</f>
        <v>-</v>
      </c>
      <c r="V801" s="19" t="str">
        <f>IFERROR(RIGHT(I800,LEN(I800)-FIND("*",I800)),"-")</f>
        <v>-</v>
      </c>
      <c r="W801" s="20" t="str">
        <f t="shared" si="430"/>
        <v>-</v>
      </c>
      <c r="X801" s="20" t="str">
        <f t="shared" ref="X801" si="435">IFERROR(W801*J800,"-")</f>
        <v>-</v>
      </c>
      <c r="Z801" s="33">
        <v>45180</v>
      </c>
    </row>
    <row r="802" spans="1:26" ht="6.95" customHeight="1" x14ac:dyDescent="0.3">
      <c r="A802" s="5"/>
      <c r="B802" s="157"/>
      <c r="C802" s="158"/>
      <c r="D802" s="161"/>
      <c r="E802" s="162"/>
      <c r="F802" s="163"/>
      <c r="G802" s="164"/>
      <c r="H802" s="165"/>
      <c r="I802" s="164"/>
      <c r="J802" s="165"/>
      <c r="K802" s="164"/>
      <c r="L802" s="165"/>
      <c r="M802" s="6"/>
      <c r="N802" s="32"/>
      <c r="Q802" s="10" t="str">
        <f>+CONCATENATE(E800,K800)</f>
        <v/>
      </c>
      <c r="R802" s="10">
        <f>+L800</f>
        <v>0</v>
      </c>
      <c r="S802" s="11"/>
      <c r="T802" s="10">
        <f>+E800</f>
        <v>0</v>
      </c>
      <c r="U802" s="19" t="str">
        <f>IFERROR(LEFT(K800,FIND("*",K800)-1),"-")</f>
        <v>-</v>
      </c>
      <c r="V802" s="19" t="str">
        <f>IFERROR(RIGHT(K800,LEN(K800)-FIND("*",K800)),"-")</f>
        <v>-</v>
      </c>
      <c r="W802" s="20" t="str">
        <f t="shared" si="430"/>
        <v>-</v>
      </c>
      <c r="X802" s="20" t="str">
        <f>IFERROR(W802*L800,"-")</f>
        <v>-</v>
      </c>
      <c r="Z802" s="33">
        <v>45180</v>
      </c>
    </row>
    <row r="803" spans="1:26" ht="21" customHeight="1" thickBot="1" x14ac:dyDescent="0.35">
      <c r="A803" s="5"/>
      <c r="B803" s="159"/>
      <c r="C803" s="160"/>
      <c r="D803" s="166" t="s">
        <v>43</v>
      </c>
      <c r="E803" s="167"/>
      <c r="F803" s="167"/>
      <c r="G803" s="168" t="s">
        <v>238</v>
      </c>
      <c r="H803" s="168"/>
      <c r="I803" s="168"/>
      <c r="J803" s="168"/>
      <c r="K803" s="168"/>
      <c r="L803" s="168"/>
      <c r="M803" s="7"/>
      <c r="N803" s="32"/>
      <c r="Z803" s="33">
        <v>45180</v>
      </c>
    </row>
    <row r="804" spans="1:26" ht="9.9499999999999993" customHeight="1" thickBot="1" x14ac:dyDescent="0.35">
      <c r="B804" s="9"/>
      <c r="C804" s="109">
        <v>873</v>
      </c>
      <c r="D804" s="51"/>
      <c r="E804" s="12"/>
      <c r="F804" s="51"/>
      <c r="G804" s="14"/>
      <c r="H804" s="14"/>
      <c r="I804" s="14"/>
      <c r="J804" s="14"/>
      <c r="K804" s="14"/>
      <c r="L804" s="14"/>
      <c r="M804" s="9"/>
      <c r="N804" s="32"/>
      <c r="U804" s="18"/>
      <c r="V804" s="18"/>
      <c r="Z804" s="33">
        <v>45180</v>
      </c>
    </row>
    <row r="805" spans="1:26" ht="6.95" customHeight="1" x14ac:dyDescent="0.3">
      <c r="A805" s="154">
        <f>+A794+1</f>
        <v>874</v>
      </c>
      <c r="B805" s="155"/>
      <c r="C805" s="156"/>
      <c r="D805" s="161" t="s">
        <v>39</v>
      </c>
      <c r="E805" s="162" t="s">
        <v>226</v>
      </c>
      <c r="F805" s="163" t="s">
        <v>40</v>
      </c>
      <c r="G805" s="164" t="s">
        <v>263</v>
      </c>
      <c r="H805" s="165">
        <v>0.5</v>
      </c>
      <c r="I805" s="164"/>
      <c r="J805" s="165"/>
      <c r="K805" s="164"/>
      <c r="L805" s="165"/>
      <c r="M805" s="6"/>
      <c r="N805" s="32"/>
      <c r="Q805" s="10" t="str">
        <f>+CONCATENATE(E805,G805)</f>
        <v>무보온덕트벽체1200*500</v>
      </c>
      <c r="R805" s="10">
        <f>+H805</f>
        <v>0.5</v>
      </c>
      <c r="S805" s="11"/>
      <c r="T805" s="10" t="str">
        <f>+E805</f>
        <v>무보온덕트벽체</v>
      </c>
      <c r="U805" s="19" t="str">
        <f>IFERROR(LEFT(G805,FIND("*",G805)-1),"-")</f>
        <v>1200</v>
      </c>
      <c r="V805" s="19" t="str">
        <f>IFERROR(RIGHT(G805,LEN(G805)-FIND("*",G805)),"-")</f>
        <v>500</v>
      </c>
      <c r="W805" s="20">
        <f>IFERROR((U805+V805)*2/1000,"-")</f>
        <v>3.4</v>
      </c>
      <c r="X805" s="20">
        <f>IFERROR(W805*H805,"-")</f>
        <v>1.7</v>
      </c>
      <c r="Z805" s="33">
        <v>45180</v>
      </c>
    </row>
    <row r="806" spans="1:26" ht="6.95" customHeight="1" x14ac:dyDescent="0.3">
      <c r="A806" s="154"/>
      <c r="B806" s="157"/>
      <c r="C806" s="158"/>
      <c r="D806" s="161"/>
      <c r="E806" s="162"/>
      <c r="F806" s="163"/>
      <c r="G806" s="164"/>
      <c r="H806" s="165"/>
      <c r="I806" s="164"/>
      <c r="J806" s="165"/>
      <c r="K806" s="164"/>
      <c r="L806" s="165"/>
      <c r="M806" s="6"/>
      <c r="N806" s="32"/>
      <c r="Q806" s="10" t="str">
        <f>+CONCATENATE(E805,I805)</f>
        <v>무보온덕트벽체</v>
      </c>
      <c r="R806" s="10">
        <f>+J805</f>
        <v>0</v>
      </c>
      <c r="S806" s="11"/>
      <c r="T806" s="10" t="str">
        <f>+E805</f>
        <v>무보온덕트벽체</v>
      </c>
      <c r="U806" s="19" t="str">
        <f>IFERROR(LEFT(I805,FIND("*",I805)-1),"-")</f>
        <v>-</v>
      </c>
      <c r="V806" s="19" t="str">
        <f>IFERROR(RIGHT(I805,LEN(I805)-FIND("*",I805)),"-")</f>
        <v>-</v>
      </c>
      <c r="W806" s="20" t="str">
        <f t="shared" ref="W806:W813" si="436">IFERROR((U806+V806)*2/1000,"-")</f>
        <v>-</v>
      </c>
      <c r="X806" s="20" t="str">
        <f>IFERROR(W806*J805,"-")</f>
        <v>-</v>
      </c>
      <c r="Z806" s="33">
        <v>45180</v>
      </c>
    </row>
    <row r="807" spans="1:26" ht="6.95" customHeight="1" x14ac:dyDescent="0.3">
      <c r="A807" s="154"/>
      <c r="B807" s="157"/>
      <c r="C807" s="158"/>
      <c r="D807" s="161"/>
      <c r="E807" s="162"/>
      <c r="F807" s="163"/>
      <c r="G807" s="164"/>
      <c r="H807" s="165"/>
      <c r="I807" s="164"/>
      <c r="J807" s="165"/>
      <c r="K807" s="164"/>
      <c r="L807" s="165"/>
      <c r="M807" s="6"/>
      <c r="N807" s="32"/>
      <c r="Q807" s="10" t="str">
        <f>+CONCATENATE(E805,K805)</f>
        <v>무보온덕트벽체</v>
      </c>
      <c r="R807" s="10">
        <f>+L805</f>
        <v>0</v>
      </c>
      <c r="S807" s="11"/>
      <c r="T807" s="10" t="str">
        <f>+E805</f>
        <v>무보온덕트벽체</v>
      </c>
      <c r="U807" s="19" t="str">
        <f>IFERROR(LEFT(K805,FIND("*",K805)-1),"-")</f>
        <v>-</v>
      </c>
      <c r="V807" s="19" t="str">
        <f>IFERROR(RIGHT(K805,LEN(K805)-FIND("*",K805)),"-")</f>
        <v>-</v>
      </c>
      <c r="W807" s="20" t="str">
        <f t="shared" si="436"/>
        <v>-</v>
      </c>
      <c r="X807" s="20" t="str">
        <f>IFERROR(W807*L805,"-")</f>
        <v>-</v>
      </c>
      <c r="Z807" s="33">
        <v>45180</v>
      </c>
    </row>
    <row r="808" spans="1:26" ht="6.95" customHeight="1" x14ac:dyDescent="0.3">
      <c r="A808" s="8"/>
      <c r="B808" s="157"/>
      <c r="C808" s="158"/>
      <c r="D808" s="161" t="s">
        <v>39</v>
      </c>
      <c r="E808" s="162" t="s">
        <v>66</v>
      </c>
      <c r="F808" s="163" t="s">
        <v>40</v>
      </c>
      <c r="G808" s="164" t="s">
        <v>263</v>
      </c>
      <c r="H808" s="165">
        <v>0.5</v>
      </c>
      <c r="I808" s="164"/>
      <c r="J808" s="165"/>
      <c r="K808" s="164"/>
      <c r="L808" s="165"/>
      <c r="M808" s="6"/>
      <c r="N808" s="32"/>
      <c r="Q808" s="10" t="str">
        <f>+CONCATENATE(E808,G808)</f>
        <v>차열재마감1200*500</v>
      </c>
      <c r="R808" s="10">
        <f>+H808</f>
        <v>0.5</v>
      </c>
      <c r="S808" s="11"/>
      <c r="T808" s="10" t="str">
        <f>+E808</f>
        <v>차열재마감</v>
      </c>
      <c r="U808" s="19" t="str">
        <f t="shared" ref="U808" si="437">IFERROR(LEFT(G808,FIND("*",G808)-1),"-")</f>
        <v>1200</v>
      </c>
      <c r="V808" s="19" t="str">
        <f t="shared" ref="V808" si="438">IFERROR(RIGHT(G808,LEN(G808)-FIND("*",G808)),"-")</f>
        <v>500</v>
      </c>
      <c r="W808" s="20">
        <f t="shared" si="436"/>
        <v>3.4</v>
      </c>
      <c r="X808" s="20">
        <f>IFERROR(W808*H808,"-")</f>
        <v>1.7</v>
      </c>
      <c r="Z808" s="33">
        <v>45180</v>
      </c>
    </row>
    <row r="809" spans="1:26" ht="6.95" customHeight="1" x14ac:dyDescent="0.3">
      <c r="A809" s="5"/>
      <c r="B809" s="157"/>
      <c r="C809" s="158"/>
      <c r="D809" s="161"/>
      <c r="E809" s="162"/>
      <c r="F809" s="163"/>
      <c r="G809" s="164"/>
      <c r="H809" s="165"/>
      <c r="I809" s="164"/>
      <c r="J809" s="165"/>
      <c r="K809" s="164"/>
      <c r="L809" s="165"/>
      <c r="M809" s="6"/>
      <c r="N809" s="32"/>
      <c r="Q809" s="10" t="str">
        <f>+CONCATENATE(E808,I808)</f>
        <v>차열재마감</v>
      </c>
      <c r="R809" s="10">
        <f>+J808</f>
        <v>0</v>
      </c>
      <c r="S809" s="11"/>
      <c r="T809" s="10" t="str">
        <f>+E808</f>
        <v>차열재마감</v>
      </c>
      <c r="U809" s="19" t="str">
        <f>IFERROR(LEFT(I808,FIND("*",I808)-1),"-")</f>
        <v>-</v>
      </c>
      <c r="V809" s="19" t="str">
        <f>IFERROR(RIGHT(I808,LEN(I808)-FIND("*",I808)),"-")</f>
        <v>-</v>
      </c>
      <c r="W809" s="20" t="str">
        <f t="shared" si="436"/>
        <v>-</v>
      </c>
      <c r="X809" s="20" t="str">
        <f>IFERROR(W809*J808,"-")</f>
        <v>-</v>
      </c>
      <c r="Z809" s="33">
        <v>45180</v>
      </c>
    </row>
    <row r="810" spans="1:26" ht="6.95" customHeight="1" x14ac:dyDescent="0.3">
      <c r="A810" s="5"/>
      <c r="B810" s="157"/>
      <c r="C810" s="158"/>
      <c r="D810" s="161"/>
      <c r="E810" s="162"/>
      <c r="F810" s="163"/>
      <c r="G810" s="164"/>
      <c r="H810" s="165"/>
      <c r="I810" s="164"/>
      <c r="J810" s="165"/>
      <c r="K810" s="164"/>
      <c r="L810" s="165"/>
      <c r="M810" s="6"/>
      <c r="N810" s="32"/>
      <c r="Q810" s="10" t="str">
        <f>+CONCATENATE(E808,K808)</f>
        <v>차열재마감</v>
      </c>
      <c r="R810" s="10">
        <f>+L808</f>
        <v>0</v>
      </c>
      <c r="S810" s="11"/>
      <c r="T810" s="10" t="str">
        <f>+E808</f>
        <v>차열재마감</v>
      </c>
      <c r="U810" s="19" t="str">
        <f>IFERROR(LEFT(K808,FIND("*",K808)-1),"-")</f>
        <v>-</v>
      </c>
      <c r="V810" s="19" t="str">
        <f>IFERROR(RIGHT(K808,LEN(K808)-FIND("*",K808)),"-")</f>
        <v>-</v>
      </c>
      <c r="W810" s="20" t="str">
        <f t="shared" si="436"/>
        <v>-</v>
      </c>
      <c r="X810" s="20" t="str">
        <f>IFERROR(W810*L808,"-")</f>
        <v>-</v>
      </c>
      <c r="Z810" s="33">
        <v>45180</v>
      </c>
    </row>
    <row r="811" spans="1:26" ht="6.95" customHeight="1" x14ac:dyDescent="0.3">
      <c r="A811" s="8"/>
      <c r="B811" s="157"/>
      <c r="C811" s="158"/>
      <c r="D811" s="161" t="s">
        <v>39</v>
      </c>
      <c r="E811" s="162"/>
      <c r="F811" s="163" t="s">
        <v>40</v>
      </c>
      <c r="G811" s="164"/>
      <c r="H811" s="165"/>
      <c r="I811" s="164"/>
      <c r="J811" s="165"/>
      <c r="K811" s="164"/>
      <c r="L811" s="165"/>
      <c r="M811" s="6"/>
      <c r="N811" s="32"/>
      <c r="Q811" s="10" t="str">
        <f>+CONCATENATE(E811,G811)</f>
        <v/>
      </c>
      <c r="R811" s="10">
        <f>+H811</f>
        <v>0</v>
      </c>
      <c r="S811" s="11"/>
      <c r="T811" s="10">
        <f>+E811</f>
        <v>0</v>
      </c>
      <c r="U811" s="19" t="str">
        <f t="shared" ref="U811" si="439">IFERROR(LEFT(G811,FIND("*",G811)-1),"-")</f>
        <v>-</v>
      </c>
      <c r="V811" s="19" t="str">
        <f t="shared" ref="V811" si="440">IFERROR(RIGHT(G811,LEN(G811)-FIND("*",G811)),"-")</f>
        <v>-</v>
      </c>
      <c r="W811" s="20" t="str">
        <f t="shared" si="436"/>
        <v>-</v>
      </c>
      <c r="X811" s="20" t="str">
        <f>IFERROR(W811*H811,"-")</f>
        <v>-</v>
      </c>
      <c r="Z811" s="33">
        <v>45180</v>
      </c>
    </row>
    <row r="812" spans="1:26" ht="6.95" customHeight="1" x14ac:dyDescent="0.3">
      <c r="A812" s="5"/>
      <c r="B812" s="157"/>
      <c r="C812" s="158"/>
      <c r="D812" s="161"/>
      <c r="E812" s="162"/>
      <c r="F812" s="163"/>
      <c r="G812" s="164"/>
      <c r="H812" s="165"/>
      <c r="I812" s="164"/>
      <c r="J812" s="165"/>
      <c r="K812" s="164"/>
      <c r="L812" s="165"/>
      <c r="M812" s="6"/>
      <c r="N812" s="32"/>
      <c r="Q812" s="10" t="str">
        <f>+CONCATENATE(E811,I811)</f>
        <v/>
      </c>
      <c r="R812" s="10">
        <f>+J811</f>
        <v>0</v>
      </c>
      <c r="S812" s="11"/>
      <c r="T812" s="10">
        <f>+E811</f>
        <v>0</v>
      </c>
      <c r="U812" s="19" t="str">
        <f>IFERROR(LEFT(I811,FIND("*",I811)-1),"-")</f>
        <v>-</v>
      </c>
      <c r="V812" s="19" t="str">
        <f>IFERROR(RIGHT(I811,LEN(I811)-FIND("*",I811)),"-")</f>
        <v>-</v>
      </c>
      <c r="W812" s="20" t="str">
        <f t="shared" si="436"/>
        <v>-</v>
      </c>
      <c r="X812" s="20" t="str">
        <f t="shared" ref="X812" si="441">IFERROR(W812*J811,"-")</f>
        <v>-</v>
      </c>
      <c r="Z812" s="33">
        <v>45180</v>
      </c>
    </row>
    <row r="813" spans="1:26" ht="6.95" customHeight="1" x14ac:dyDescent="0.3">
      <c r="A813" s="5"/>
      <c r="B813" s="157"/>
      <c r="C813" s="158"/>
      <c r="D813" s="161"/>
      <c r="E813" s="162"/>
      <c r="F813" s="163"/>
      <c r="G813" s="164"/>
      <c r="H813" s="165"/>
      <c r="I813" s="164"/>
      <c r="J813" s="165"/>
      <c r="K813" s="164"/>
      <c r="L813" s="165"/>
      <c r="M813" s="6"/>
      <c r="N813" s="32"/>
      <c r="Q813" s="10" t="str">
        <f>+CONCATENATE(E811,K811)</f>
        <v/>
      </c>
      <c r="R813" s="10">
        <f>+L811</f>
        <v>0</v>
      </c>
      <c r="S813" s="11"/>
      <c r="T813" s="10">
        <f>+E811</f>
        <v>0</v>
      </c>
      <c r="U813" s="19" t="str">
        <f>IFERROR(LEFT(K811,FIND("*",K811)-1),"-")</f>
        <v>-</v>
      </c>
      <c r="V813" s="19" t="str">
        <f>IFERROR(RIGHT(K811,LEN(K811)-FIND("*",K811)),"-")</f>
        <v>-</v>
      </c>
      <c r="W813" s="20" t="str">
        <f t="shared" si="436"/>
        <v>-</v>
      </c>
      <c r="X813" s="20" t="str">
        <f>IFERROR(W813*L811,"-")</f>
        <v>-</v>
      </c>
      <c r="Z813" s="33">
        <v>45180</v>
      </c>
    </row>
    <row r="814" spans="1:26" ht="21" customHeight="1" thickBot="1" x14ac:dyDescent="0.35">
      <c r="A814" s="5"/>
      <c r="B814" s="159"/>
      <c r="C814" s="160"/>
      <c r="D814" s="166" t="s">
        <v>43</v>
      </c>
      <c r="E814" s="167"/>
      <c r="F814" s="167"/>
      <c r="G814" s="168" t="s">
        <v>238</v>
      </c>
      <c r="H814" s="168"/>
      <c r="I814" s="168"/>
      <c r="J814" s="168"/>
      <c r="K814" s="168"/>
      <c r="L814" s="168"/>
      <c r="M814" s="7"/>
      <c r="N814" s="32"/>
      <c r="Z814" s="33">
        <v>45180</v>
      </c>
    </row>
    <row r="815" spans="1:26" ht="9.9499999999999993" customHeight="1" thickBot="1" x14ac:dyDescent="0.35">
      <c r="B815" s="9"/>
      <c r="C815" s="109" t="s">
        <v>241</v>
      </c>
      <c r="D815" s="51"/>
      <c r="E815" s="12"/>
      <c r="F815" s="51"/>
      <c r="G815" s="14"/>
      <c r="H815" s="14"/>
      <c r="I815" s="14"/>
      <c r="J815" s="14"/>
      <c r="K815" s="14"/>
      <c r="L815" s="14"/>
      <c r="M815" s="9"/>
      <c r="N815" s="32"/>
      <c r="U815" s="18"/>
      <c r="V815" s="18"/>
      <c r="Z815" s="33">
        <v>45180</v>
      </c>
    </row>
    <row r="816" spans="1:26" ht="6.95" customHeight="1" x14ac:dyDescent="0.3">
      <c r="A816" s="154">
        <f>+A805+1</f>
        <v>875</v>
      </c>
      <c r="B816" s="155"/>
      <c r="C816" s="156"/>
      <c r="D816" s="161" t="s">
        <v>39</v>
      </c>
      <c r="E816" s="162" t="s">
        <v>226</v>
      </c>
      <c r="F816" s="163" t="s">
        <v>40</v>
      </c>
      <c r="G816" s="164" t="s">
        <v>223</v>
      </c>
      <c r="H816" s="165">
        <v>0.5</v>
      </c>
      <c r="I816" s="164"/>
      <c r="J816" s="165"/>
      <c r="K816" s="164"/>
      <c r="L816" s="165"/>
      <c r="M816" s="6"/>
      <c r="N816" s="32"/>
      <c r="Q816" s="10" t="str">
        <f>+CONCATENATE(E816,G816)</f>
        <v>무보온덕트벽체1900*600</v>
      </c>
      <c r="R816" s="10">
        <f>+H816</f>
        <v>0.5</v>
      </c>
      <c r="S816" s="11"/>
      <c r="T816" s="10" t="str">
        <f>+E816</f>
        <v>무보온덕트벽체</v>
      </c>
      <c r="U816" s="19" t="str">
        <f>IFERROR(LEFT(G816,FIND("*",G816)-1),"-")</f>
        <v>1900</v>
      </c>
      <c r="V816" s="19" t="str">
        <f>IFERROR(RIGHT(G816,LEN(G816)-FIND("*",G816)),"-")</f>
        <v>600</v>
      </c>
      <c r="W816" s="20">
        <f>IFERROR((U816+V816)*2/1000,"-")</f>
        <v>5</v>
      </c>
      <c r="X816" s="20">
        <f>IFERROR(W816*H816,"-")</f>
        <v>2.5</v>
      </c>
      <c r="Z816" s="33">
        <v>45180</v>
      </c>
    </row>
    <row r="817" spans="1:26" ht="6.95" customHeight="1" x14ac:dyDescent="0.3">
      <c r="A817" s="154"/>
      <c r="B817" s="157"/>
      <c r="C817" s="158"/>
      <c r="D817" s="161"/>
      <c r="E817" s="162"/>
      <c r="F817" s="163"/>
      <c r="G817" s="164"/>
      <c r="H817" s="165"/>
      <c r="I817" s="164"/>
      <c r="J817" s="165"/>
      <c r="K817" s="164"/>
      <c r="L817" s="165"/>
      <c r="M817" s="6"/>
      <c r="N817" s="32"/>
      <c r="Q817" s="10" t="str">
        <f>+CONCATENATE(E816,I816)</f>
        <v>무보온덕트벽체</v>
      </c>
      <c r="R817" s="10">
        <f>+J816</f>
        <v>0</v>
      </c>
      <c r="S817" s="11"/>
      <c r="T817" s="10" t="str">
        <f>+E816</f>
        <v>무보온덕트벽체</v>
      </c>
      <c r="U817" s="19" t="str">
        <f>IFERROR(LEFT(I816,FIND("*",I816)-1),"-")</f>
        <v>-</v>
      </c>
      <c r="V817" s="19" t="str">
        <f>IFERROR(RIGHT(I816,LEN(I816)-FIND("*",I816)),"-")</f>
        <v>-</v>
      </c>
      <c r="W817" s="20" t="str">
        <f t="shared" ref="W817:W824" si="442">IFERROR((U817+V817)*2/1000,"-")</f>
        <v>-</v>
      </c>
      <c r="X817" s="20" t="str">
        <f>IFERROR(W817*J816,"-")</f>
        <v>-</v>
      </c>
      <c r="Z817" s="33">
        <v>45180</v>
      </c>
    </row>
    <row r="818" spans="1:26" ht="6.95" customHeight="1" x14ac:dyDescent="0.3">
      <c r="A818" s="154"/>
      <c r="B818" s="157"/>
      <c r="C818" s="158"/>
      <c r="D818" s="161"/>
      <c r="E818" s="162"/>
      <c r="F818" s="163"/>
      <c r="G818" s="164"/>
      <c r="H818" s="165"/>
      <c r="I818" s="164"/>
      <c r="J818" s="165"/>
      <c r="K818" s="164"/>
      <c r="L818" s="165"/>
      <c r="M818" s="6"/>
      <c r="N818" s="32"/>
      <c r="Q818" s="10" t="str">
        <f>+CONCATENATE(E816,K816)</f>
        <v>무보온덕트벽체</v>
      </c>
      <c r="R818" s="10">
        <f>+L816</f>
        <v>0</v>
      </c>
      <c r="S818" s="11"/>
      <c r="T818" s="10" t="str">
        <f>+E816</f>
        <v>무보온덕트벽체</v>
      </c>
      <c r="U818" s="19" t="str">
        <f>IFERROR(LEFT(K816,FIND("*",K816)-1),"-")</f>
        <v>-</v>
      </c>
      <c r="V818" s="19" t="str">
        <f>IFERROR(RIGHT(K816,LEN(K816)-FIND("*",K816)),"-")</f>
        <v>-</v>
      </c>
      <c r="W818" s="20" t="str">
        <f t="shared" si="442"/>
        <v>-</v>
      </c>
      <c r="X818" s="20" t="str">
        <f>IFERROR(W818*L816,"-")</f>
        <v>-</v>
      </c>
      <c r="Z818" s="33">
        <v>45180</v>
      </c>
    </row>
    <row r="819" spans="1:26" ht="6.95" customHeight="1" x14ac:dyDescent="0.3">
      <c r="A819" s="8"/>
      <c r="B819" s="157"/>
      <c r="C819" s="158"/>
      <c r="D819" s="161" t="s">
        <v>39</v>
      </c>
      <c r="E819" s="162" t="s">
        <v>66</v>
      </c>
      <c r="F819" s="163" t="s">
        <v>40</v>
      </c>
      <c r="G819" s="164" t="s">
        <v>225</v>
      </c>
      <c r="H819" s="165">
        <v>0.5</v>
      </c>
      <c r="I819" s="164"/>
      <c r="J819" s="165"/>
      <c r="K819" s="164"/>
      <c r="L819" s="165"/>
      <c r="M819" s="6"/>
      <c r="N819" s="32"/>
      <c r="Q819" s="10" t="str">
        <f>+CONCATENATE(E819,G819)</f>
        <v>차열재마감1900*600</v>
      </c>
      <c r="R819" s="10">
        <f>+H819</f>
        <v>0.5</v>
      </c>
      <c r="S819" s="11"/>
      <c r="T819" s="10" t="str">
        <f>+E819</f>
        <v>차열재마감</v>
      </c>
      <c r="U819" s="19" t="str">
        <f t="shared" ref="U819" si="443">IFERROR(LEFT(G819,FIND("*",G819)-1),"-")</f>
        <v>1900</v>
      </c>
      <c r="V819" s="19" t="str">
        <f t="shared" ref="V819" si="444">IFERROR(RIGHT(G819,LEN(G819)-FIND("*",G819)),"-")</f>
        <v>600</v>
      </c>
      <c r="W819" s="20">
        <f t="shared" si="442"/>
        <v>5</v>
      </c>
      <c r="X819" s="20">
        <f>IFERROR(W819*H819,"-")</f>
        <v>2.5</v>
      </c>
      <c r="Z819" s="33">
        <v>45180</v>
      </c>
    </row>
    <row r="820" spans="1:26" ht="6.95" customHeight="1" x14ac:dyDescent="0.3">
      <c r="A820" s="5"/>
      <c r="B820" s="157"/>
      <c r="C820" s="158"/>
      <c r="D820" s="161"/>
      <c r="E820" s="162"/>
      <c r="F820" s="163"/>
      <c r="G820" s="164"/>
      <c r="H820" s="165"/>
      <c r="I820" s="164"/>
      <c r="J820" s="165"/>
      <c r="K820" s="164"/>
      <c r="L820" s="165"/>
      <c r="M820" s="6"/>
      <c r="N820" s="32"/>
      <c r="Q820" s="10" t="str">
        <f>+CONCATENATE(E819,I819)</f>
        <v>차열재마감</v>
      </c>
      <c r="R820" s="10">
        <f>+J819</f>
        <v>0</v>
      </c>
      <c r="S820" s="11"/>
      <c r="T820" s="10" t="str">
        <f>+E819</f>
        <v>차열재마감</v>
      </c>
      <c r="U820" s="19" t="str">
        <f>IFERROR(LEFT(I819,FIND("*",I819)-1),"-")</f>
        <v>-</v>
      </c>
      <c r="V820" s="19" t="str">
        <f>IFERROR(RIGHT(I819,LEN(I819)-FIND("*",I819)),"-")</f>
        <v>-</v>
      </c>
      <c r="W820" s="20" t="str">
        <f t="shared" si="442"/>
        <v>-</v>
      </c>
      <c r="X820" s="20" t="str">
        <f>IFERROR(W820*J819,"-")</f>
        <v>-</v>
      </c>
      <c r="Z820" s="33">
        <v>45180</v>
      </c>
    </row>
    <row r="821" spans="1:26" ht="6.95" customHeight="1" x14ac:dyDescent="0.3">
      <c r="A821" s="5"/>
      <c r="B821" s="157"/>
      <c r="C821" s="158"/>
      <c r="D821" s="161"/>
      <c r="E821" s="162"/>
      <c r="F821" s="163"/>
      <c r="G821" s="164"/>
      <c r="H821" s="165"/>
      <c r="I821" s="164"/>
      <c r="J821" s="165"/>
      <c r="K821" s="164"/>
      <c r="L821" s="165"/>
      <c r="M821" s="6"/>
      <c r="N821" s="32"/>
      <c r="Q821" s="10" t="str">
        <f>+CONCATENATE(E819,K819)</f>
        <v>차열재마감</v>
      </c>
      <c r="R821" s="10">
        <f>+L819</f>
        <v>0</v>
      </c>
      <c r="S821" s="11"/>
      <c r="T821" s="10" t="str">
        <f>+E819</f>
        <v>차열재마감</v>
      </c>
      <c r="U821" s="19" t="str">
        <f>IFERROR(LEFT(K819,FIND("*",K819)-1),"-")</f>
        <v>-</v>
      </c>
      <c r="V821" s="19" t="str">
        <f>IFERROR(RIGHT(K819,LEN(K819)-FIND("*",K819)),"-")</f>
        <v>-</v>
      </c>
      <c r="W821" s="20" t="str">
        <f t="shared" si="442"/>
        <v>-</v>
      </c>
      <c r="X821" s="20" t="str">
        <f>IFERROR(W821*L819,"-")</f>
        <v>-</v>
      </c>
      <c r="Z821" s="33">
        <v>45180</v>
      </c>
    </row>
    <row r="822" spans="1:26" ht="6.95" customHeight="1" x14ac:dyDescent="0.3">
      <c r="A822" s="8"/>
      <c r="B822" s="157"/>
      <c r="C822" s="158"/>
      <c r="D822" s="161" t="s">
        <v>39</v>
      </c>
      <c r="E822" s="162"/>
      <c r="F822" s="163" t="s">
        <v>40</v>
      </c>
      <c r="G822" s="164"/>
      <c r="H822" s="165"/>
      <c r="I822" s="164"/>
      <c r="J822" s="165"/>
      <c r="K822" s="164"/>
      <c r="L822" s="165"/>
      <c r="M822" s="6"/>
      <c r="N822" s="32"/>
      <c r="Q822" s="10" t="str">
        <f>+CONCATENATE(E822,G822)</f>
        <v/>
      </c>
      <c r="R822" s="10">
        <f>+H822</f>
        <v>0</v>
      </c>
      <c r="S822" s="11"/>
      <c r="T822" s="10">
        <f>+E822</f>
        <v>0</v>
      </c>
      <c r="U822" s="19" t="str">
        <f t="shared" ref="U822" si="445">IFERROR(LEFT(G822,FIND("*",G822)-1),"-")</f>
        <v>-</v>
      </c>
      <c r="V822" s="19" t="str">
        <f t="shared" ref="V822" si="446">IFERROR(RIGHT(G822,LEN(G822)-FIND("*",G822)),"-")</f>
        <v>-</v>
      </c>
      <c r="W822" s="20" t="str">
        <f t="shared" si="442"/>
        <v>-</v>
      </c>
      <c r="X822" s="20" t="str">
        <f>IFERROR(W822*H822,"-")</f>
        <v>-</v>
      </c>
      <c r="Z822" s="33">
        <v>45180</v>
      </c>
    </row>
    <row r="823" spans="1:26" ht="6.95" customHeight="1" x14ac:dyDescent="0.3">
      <c r="A823" s="5"/>
      <c r="B823" s="157"/>
      <c r="C823" s="158"/>
      <c r="D823" s="161"/>
      <c r="E823" s="162"/>
      <c r="F823" s="163"/>
      <c r="G823" s="164"/>
      <c r="H823" s="165"/>
      <c r="I823" s="164"/>
      <c r="J823" s="165"/>
      <c r="K823" s="164"/>
      <c r="L823" s="165"/>
      <c r="M823" s="6"/>
      <c r="N823" s="32"/>
      <c r="Q823" s="10" t="str">
        <f>+CONCATENATE(E822,I822)</f>
        <v/>
      </c>
      <c r="R823" s="10">
        <f>+J822</f>
        <v>0</v>
      </c>
      <c r="S823" s="11"/>
      <c r="T823" s="10">
        <f>+E822</f>
        <v>0</v>
      </c>
      <c r="U823" s="19" t="str">
        <f>IFERROR(LEFT(I822,FIND("*",I822)-1),"-")</f>
        <v>-</v>
      </c>
      <c r="V823" s="19" t="str">
        <f>IFERROR(RIGHT(I822,LEN(I822)-FIND("*",I822)),"-")</f>
        <v>-</v>
      </c>
      <c r="W823" s="20" t="str">
        <f t="shared" si="442"/>
        <v>-</v>
      </c>
      <c r="X823" s="20" t="str">
        <f t="shared" ref="X823" si="447">IFERROR(W823*J822,"-")</f>
        <v>-</v>
      </c>
      <c r="Z823" s="33">
        <v>45180</v>
      </c>
    </row>
    <row r="824" spans="1:26" ht="6.95" customHeight="1" x14ac:dyDescent="0.3">
      <c r="A824" s="5"/>
      <c r="B824" s="157"/>
      <c r="C824" s="158"/>
      <c r="D824" s="161"/>
      <c r="E824" s="162"/>
      <c r="F824" s="163"/>
      <c r="G824" s="164"/>
      <c r="H824" s="165"/>
      <c r="I824" s="164"/>
      <c r="J824" s="165"/>
      <c r="K824" s="164"/>
      <c r="L824" s="165"/>
      <c r="M824" s="6"/>
      <c r="N824" s="32"/>
      <c r="Q824" s="10" t="str">
        <f>+CONCATENATE(E822,K822)</f>
        <v/>
      </c>
      <c r="R824" s="10">
        <f>+L822</f>
        <v>0</v>
      </c>
      <c r="S824" s="11"/>
      <c r="T824" s="10">
        <f>+E822</f>
        <v>0</v>
      </c>
      <c r="U824" s="19" t="str">
        <f>IFERROR(LEFT(K822,FIND("*",K822)-1),"-")</f>
        <v>-</v>
      </c>
      <c r="V824" s="19" t="str">
        <f>IFERROR(RIGHT(K822,LEN(K822)-FIND("*",K822)),"-")</f>
        <v>-</v>
      </c>
      <c r="W824" s="20" t="str">
        <f t="shared" si="442"/>
        <v>-</v>
      </c>
      <c r="X824" s="20" t="str">
        <f>IFERROR(W824*L822,"-")</f>
        <v>-</v>
      </c>
      <c r="Z824" s="33">
        <v>45180</v>
      </c>
    </row>
    <row r="825" spans="1:26" ht="21" customHeight="1" thickBot="1" x14ac:dyDescent="0.35">
      <c r="A825" s="5"/>
      <c r="B825" s="159"/>
      <c r="C825" s="160"/>
      <c r="D825" s="166" t="s">
        <v>43</v>
      </c>
      <c r="E825" s="167"/>
      <c r="F825" s="167"/>
      <c r="G825" s="168" t="s">
        <v>238</v>
      </c>
      <c r="H825" s="168"/>
      <c r="I825" s="168"/>
      <c r="J825" s="168"/>
      <c r="K825" s="168"/>
      <c r="L825" s="168"/>
      <c r="M825" s="7"/>
      <c r="N825" s="32"/>
      <c r="Z825" s="33">
        <v>45180</v>
      </c>
    </row>
    <row r="826" spans="1:26" ht="9.9499999999999993" customHeight="1" thickBot="1" x14ac:dyDescent="0.35">
      <c r="B826" s="9"/>
      <c r="C826" s="109">
        <v>875</v>
      </c>
      <c r="D826" s="51"/>
      <c r="E826" s="12"/>
      <c r="F826" s="51"/>
      <c r="G826" s="14"/>
      <c r="H826" s="14"/>
      <c r="I826" s="14"/>
      <c r="J826" s="14"/>
      <c r="K826" s="14"/>
      <c r="L826" s="14"/>
      <c r="M826" s="9"/>
      <c r="N826" s="32"/>
      <c r="U826" s="18"/>
      <c r="V826" s="18"/>
      <c r="Z826" s="33">
        <v>45180</v>
      </c>
    </row>
    <row r="827" spans="1:26" ht="6.95" customHeight="1" x14ac:dyDescent="0.3">
      <c r="A827" s="154">
        <f>+A816+1</f>
        <v>876</v>
      </c>
      <c r="B827" s="155"/>
      <c r="C827" s="156"/>
      <c r="D827" s="161" t="s">
        <v>39</v>
      </c>
      <c r="E827" s="162" t="s">
        <v>226</v>
      </c>
      <c r="F827" s="163" t="s">
        <v>40</v>
      </c>
      <c r="G827" s="164" t="s">
        <v>223</v>
      </c>
      <c r="H827" s="165">
        <v>1</v>
      </c>
      <c r="I827" s="164"/>
      <c r="J827" s="165"/>
      <c r="K827" s="164"/>
      <c r="L827" s="165"/>
      <c r="M827" s="6"/>
      <c r="N827" s="32"/>
      <c r="Q827" s="10" t="str">
        <f>+CONCATENATE(E827,G827)</f>
        <v>무보온덕트벽체1900*600</v>
      </c>
      <c r="R827" s="10">
        <f>+H827</f>
        <v>1</v>
      </c>
      <c r="S827" s="11"/>
      <c r="T827" s="10" t="str">
        <f>+E827</f>
        <v>무보온덕트벽체</v>
      </c>
      <c r="U827" s="19" t="str">
        <f>IFERROR(LEFT(G827,FIND("*",G827)-1),"-")</f>
        <v>1900</v>
      </c>
      <c r="V827" s="19" t="str">
        <f>IFERROR(RIGHT(G827,LEN(G827)-FIND("*",G827)),"-")</f>
        <v>600</v>
      </c>
      <c r="W827" s="20">
        <f>IFERROR((U827+V827)*2/1000,"-")</f>
        <v>5</v>
      </c>
      <c r="X827" s="20">
        <f>IFERROR(W827*H827,"-")</f>
        <v>5</v>
      </c>
      <c r="Z827" s="33">
        <v>45180</v>
      </c>
    </row>
    <row r="828" spans="1:26" ht="6.95" customHeight="1" x14ac:dyDescent="0.3">
      <c r="A828" s="154"/>
      <c r="B828" s="157"/>
      <c r="C828" s="158"/>
      <c r="D828" s="161"/>
      <c r="E828" s="162"/>
      <c r="F828" s="163"/>
      <c r="G828" s="164"/>
      <c r="H828" s="165"/>
      <c r="I828" s="164"/>
      <c r="J828" s="165"/>
      <c r="K828" s="164"/>
      <c r="L828" s="165"/>
      <c r="M828" s="6"/>
      <c r="N828" s="32"/>
      <c r="Q828" s="10" t="str">
        <f>+CONCATENATE(E827,I827)</f>
        <v>무보온덕트벽체</v>
      </c>
      <c r="R828" s="10">
        <f>+J827</f>
        <v>0</v>
      </c>
      <c r="S828" s="11"/>
      <c r="T828" s="10" t="str">
        <f>+E827</f>
        <v>무보온덕트벽체</v>
      </c>
      <c r="U828" s="19" t="str">
        <f>IFERROR(LEFT(I827,FIND("*",I827)-1),"-")</f>
        <v>-</v>
      </c>
      <c r="V828" s="19" t="str">
        <f>IFERROR(RIGHT(I827,LEN(I827)-FIND("*",I827)),"-")</f>
        <v>-</v>
      </c>
      <c r="W828" s="20" t="str">
        <f t="shared" ref="W828:W835" si="448">IFERROR((U828+V828)*2/1000,"-")</f>
        <v>-</v>
      </c>
      <c r="X828" s="20" t="str">
        <f>IFERROR(W828*J827,"-")</f>
        <v>-</v>
      </c>
      <c r="Z828" s="33">
        <v>45180</v>
      </c>
    </row>
    <row r="829" spans="1:26" ht="6.95" customHeight="1" x14ac:dyDescent="0.3">
      <c r="A829" s="154"/>
      <c r="B829" s="157"/>
      <c r="C829" s="158"/>
      <c r="D829" s="161"/>
      <c r="E829" s="162"/>
      <c r="F829" s="163"/>
      <c r="G829" s="164"/>
      <c r="H829" s="165"/>
      <c r="I829" s="164"/>
      <c r="J829" s="165"/>
      <c r="K829" s="164"/>
      <c r="L829" s="165"/>
      <c r="M829" s="6"/>
      <c r="N829" s="32"/>
      <c r="Q829" s="10" t="str">
        <f>+CONCATENATE(E827,K827)</f>
        <v>무보온덕트벽체</v>
      </c>
      <c r="R829" s="10">
        <f>+L827</f>
        <v>0</v>
      </c>
      <c r="S829" s="11"/>
      <c r="T829" s="10" t="str">
        <f>+E827</f>
        <v>무보온덕트벽체</v>
      </c>
      <c r="U829" s="19" t="str">
        <f>IFERROR(LEFT(K827,FIND("*",K827)-1),"-")</f>
        <v>-</v>
      </c>
      <c r="V829" s="19" t="str">
        <f>IFERROR(RIGHT(K827,LEN(K827)-FIND("*",K827)),"-")</f>
        <v>-</v>
      </c>
      <c r="W829" s="20" t="str">
        <f t="shared" si="448"/>
        <v>-</v>
      </c>
      <c r="X829" s="20" t="str">
        <f>IFERROR(W829*L827,"-")</f>
        <v>-</v>
      </c>
      <c r="Z829" s="33">
        <v>45180</v>
      </c>
    </row>
    <row r="830" spans="1:26" ht="6.95" customHeight="1" x14ac:dyDescent="0.3">
      <c r="A830" s="8"/>
      <c r="B830" s="157"/>
      <c r="C830" s="158"/>
      <c r="D830" s="161" t="s">
        <v>39</v>
      </c>
      <c r="E830" s="162" t="s">
        <v>66</v>
      </c>
      <c r="F830" s="163" t="s">
        <v>40</v>
      </c>
      <c r="G830" s="164" t="s">
        <v>225</v>
      </c>
      <c r="H830" s="165">
        <v>1</v>
      </c>
      <c r="I830" s="164"/>
      <c r="J830" s="165"/>
      <c r="K830" s="164"/>
      <c r="L830" s="165"/>
      <c r="M830" s="6"/>
      <c r="N830" s="32"/>
      <c r="Q830" s="10" t="str">
        <f>+CONCATENATE(E830,G830)</f>
        <v>차열재마감1900*600</v>
      </c>
      <c r="R830" s="10">
        <f>+H830</f>
        <v>1</v>
      </c>
      <c r="S830" s="11"/>
      <c r="T830" s="10" t="str">
        <f>+E830</f>
        <v>차열재마감</v>
      </c>
      <c r="U830" s="19" t="str">
        <f t="shared" ref="U830" si="449">IFERROR(LEFT(G830,FIND("*",G830)-1),"-")</f>
        <v>1900</v>
      </c>
      <c r="V830" s="19" t="str">
        <f t="shared" ref="V830" si="450">IFERROR(RIGHT(G830,LEN(G830)-FIND("*",G830)),"-")</f>
        <v>600</v>
      </c>
      <c r="W830" s="20">
        <f t="shared" si="448"/>
        <v>5</v>
      </c>
      <c r="X830" s="20">
        <f>IFERROR(W830*H830,"-")</f>
        <v>5</v>
      </c>
      <c r="Z830" s="33">
        <v>45180</v>
      </c>
    </row>
    <row r="831" spans="1:26" ht="6.95" customHeight="1" x14ac:dyDescent="0.3">
      <c r="A831" s="5"/>
      <c r="B831" s="157"/>
      <c r="C831" s="158"/>
      <c r="D831" s="161"/>
      <c r="E831" s="162"/>
      <c r="F831" s="163"/>
      <c r="G831" s="164"/>
      <c r="H831" s="165"/>
      <c r="I831" s="164"/>
      <c r="J831" s="165"/>
      <c r="K831" s="164"/>
      <c r="L831" s="165"/>
      <c r="M831" s="6"/>
      <c r="N831" s="32"/>
      <c r="Q831" s="10" t="str">
        <f>+CONCATENATE(E830,I830)</f>
        <v>차열재마감</v>
      </c>
      <c r="R831" s="10">
        <f>+J830</f>
        <v>0</v>
      </c>
      <c r="S831" s="11"/>
      <c r="T831" s="10" t="str">
        <f>+E830</f>
        <v>차열재마감</v>
      </c>
      <c r="U831" s="19" t="str">
        <f>IFERROR(LEFT(I830,FIND("*",I830)-1),"-")</f>
        <v>-</v>
      </c>
      <c r="V831" s="19" t="str">
        <f>IFERROR(RIGHT(I830,LEN(I830)-FIND("*",I830)),"-")</f>
        <v>-</v>
      </c>
      <c r="W831" s="20" t="str">
        <f t="shared" si="448"/>
        <v>-</v>
      </c>
      <c r="X831" s="20" t="str">
        <f>IFERROR(W831*J830,"-")</f>
        <v>-</v>
      </c>
      <c r="Z831" s="33">
        <v>45180</v>
      </c>
    </row>
    <row r="832" spans="1:26" ht="6.95" customHeight="1" x14ac:dyDescent="0.3">
      <c r="A832" s="5"/>
      <c r="B832" s="157"/>
      <c r="C832" s="158"/>
      <c r="D832" s="161"/>
      <c r="E832" s="162"/>
      <c r="F832" s="163"/>
      <c r="G832" s="164"/>
      <c r="H832" s="165"/>
      <c r="I832" s="164"/>
      <c r="J832" s="165"/>
      <c r="K832" s="164"/>
      <c r="L832" s="165"/>
      <c r="M832" s="6"/>
      <c r="N832" s="32"/>
      <c r="Q832" s="10" t="str">
        <f>+CONCATENATE(E830,K830)</f>
        <v>차열재마감</v>
      </c>
      <c r="R832" s="10">
        <f>+L830</f>
        <v>0</v>
      </c>
      <c r="S832" s="11"/>
      <c r="T832" s="10" t="str">
        <f>+E830</f>
        <v>차열재마감</v>
      </c>
      <c r="U832" s="19" t="str">
        <f>IFERROR(LEFT(K830,FIND("*",K830)-1),"-")</f>
        <v>-</v>
      </c>
      <c r="V832" s="19" t="str">
        <f>IFERROR(RIGHT(K830,LEN(K830)-FIND("*",K830)),"-")</f>
        <v>-</v>
      </c>
      <c r="W832" s="20" t="str">
        <f t="shared" si="448"/>
        <v>-</v>
      </c>
      <c r="X832" s="20" t="str">
        <f>IFERROR(W832*L830,"-")</f>
        <v>-</v>
      </c>
      <c r="Z832" s="33">
        <v>45180</v>
      </c>
    </row>
    <row r="833" spans="1:26" ht="6.95" customHeight="1" x14ac:dyDescent="0.3">
      <c r="A833" s="8"/>
      <c r="B833" s="157"/>
      <c r="C833" s="158"/>
      <c r="D833" s="161" t="s">
        <v>39</v>
      </c>
      <c r="E833" s="162"/>
      <c r="F833" s="163" t="s">
        <v>40</v>
      </c>
      <c r="G833" s="164"/>
      <c r="H833" s="165"/>
      <c r="I833" s="164"/>
      <c r="J833" s="165"/>
      <c r="K833" s="164"/>
      <c r="L833" s="165"/>
      <c r="M833" s="6"/>
      <c r="N833" s="32"/>
      <c r="Q833" s="10" t="str">
        <f>+CONCATENATE(E833,G833)</f>
        <v/>
      </c>
      <c r="R833" s="10">
        <f>+H833</f>
        <v>0</v>
      </c>
      <c r="S833" s="11"/>
      <c r="T833" s="10">
        <f>+E833</f>
        <v>0</v>
      </c>
      <c r="U833" s="19" t="str">
        <f t="shared" ref="U833" si="451">IFERROR(LEFT(G833,FIND("*",G833)-1),"-")</f>
        <v>-</v>
      </c>
      <c r="V833" s="19" t="str">
        <f t="shared" ref="V833" si="452">IFERROR(RIGHT(G833,LEN(G833)-FIND("*",G833)),"-")</f>
        <v>-</v>
      </c>
      <c r="W833" s="20" t="str">
        <f t="shared" si="448"/>
        <v>-</v>
      </c>
      <c r="X833" s="20" t="str">
        <f>IFERROR(W833*H833,"-")</f>
        <v>-</v>
      </c>
      <c r="Z833" s="33">
        <v>45180</v>
      </c>
    </row>
    <row r="834" spans="1:26" ht="6.95" customHeight="1" x14ac:dyDescent="0.3">
      <c r="A834" s="5"/>
      <c r="B834" s="157"/>
      <c r="C834" s="158"/>
      <c r="D834" s="161"/>
      <c r="E834" s="162"/>
      <c r="F834" s="163"/>
      <c r="G834" s="164"/>
      <c r="H834" s="165"/>
      <c r="I834" s="164"/>
      <c r="J834" s="165"/>
      <c r="K834" s="164"/>
      <c r="L834" s="165"/>
      <c r="M834" s="6"/>
      <c r="N834" s="32"/>
      <c r="Q834" s="10" t="str">
        <f>+CONCATENATE(E833,I833)</f>
        <v/>
      </c>
      <c r="R834" s="10">
        <f>+J833</f>
        <v>0</v>
      </c>
      <c r="S834" s="11"/>
      <c r="T834" s="10">
        <f>+E833</f>
        <v>0</v>
      </c>
      <c r="U834" s="19" t="str">
        <f>IFERROR(LEFT(I833,FIND("*",I833)-1),"-")</f>
        <v>-</v>
      </c>
      <c r="V834" s="19" t="str">
        <f>IFERROR(RIGHT(I833,LEN(I833)-FIND("*",I833)),"-")</f>
        <v>-</v>
      </c>
      <c r="W834" s="20" t="str">
        <f t="shared" si="448"/>
        <v>-</v>
      </c>
      <c r="X834" s="20" t="str">
        <f t="shared" ref="X834" si="453">IFERROR(W834*J833,"-")</f>
        <v>-</v>
      </c>
      <c r="Z834" s="33">
        <v>45180</v>
      </c>
    </row>
    <row r="835" spans="1:26" ht="6.95" customHeight="1" x14ac:dyDescent="0.3">
      <c r="A835" s="5"/>
      <c r="B835" s="157"/>
      <c r="C835" s="158"/>
      <c r="D835" s="161"/>
      <c r="E835" s="162"/>
      <c r="F835" s="163"/>
      <c r="G835" s="164"/>
      <c r="H835" s="165"/>
      <c r="I835" s="164"/>
      <c r="J835" s="165"/>
      <c r="K835" s="164"/>
      <c r="L835" s="165"/>
      <c r="M835" s="6"/>
      <c r="N835" s="32"/>
      <c r="Q835" s="10" t="str">
        <f>+CONCATENATE(E833,K833)</f>
        <v/>
      </c>
      <c r="R835" s="10">
        <f>+L833</f>
        <v>0</v>
      </c>
      <c r="S835" s="11"/>
      <c r="T835" s="10">
        <f>+E833</f>
        <v>0</v>
      </c>
      <c r="U835" s="19" t="str">
        <f>IFERROR(LEFT(K833,FIND("*",K833)-1),"-")</f>
        <v>-</v>
      </c>
      <c r="V835" s="19" t="str">
        <f>IFERROR(RIGHT(K833,LEN(K833)-FIND("*",K833)),"-")</f>
        <v>-</v>
      </c>
      <c r="W835" s="20" t="str">
        <f t="shared" si="448"/>
        <v>-</v>
      </c>
      <c r="X835" s="20" t="str">
        <f>IFERROR(W835*L833,"-")</f>
        <v>-</v>
      </c>
      <c r="Z835" s="33">
        <v>45180</v>
      </c>
    </row>
    <row r="836" spans="1:26" ht="21" customHeight="1" thickBot="1" x14ac:dyDescent="0.35">
      <c r="A836" s="5"/>
      <c r="B836" s="159"/>
      <c r="C836" s="160"/>
      <c r="D836" s="166" t="s">
        <v>43</v>
      </c>
      <c r="E836" s="167"/>
      <c r="F836" s="167"/>
      <c r="G836" s="168" t="s">
        <v>238</v>
      </c>
      <c r="H836" s="168"/>
      <c r="I836" s="168"/>
      <c r="J836" s="168"/>
      <c r="K836" s="168"/>
      <c r="L836" s="168"/>
      <c r="M836" s="7"/>
      <c r="N836" s="32"/>
      <c r="Z836" s="33">
        <v>45180</v>
      </c>
    </row>
    <row r="837" spans="1:26" ht="9.9499999999999993" customHeight="1" thickBot="1" x14ac:dyDescent="0.35">
      <c r="B837" s="9"/>
      <c r="C837" s="109">
        <v>876</v>
      </c>
      <c r="D837" s="51"/>
      <c r="E837" s="12"/>
      <c r="F837" s="51"/>
      <c r="G837" s="14"/>
      <c r="H837" s="14"/>
      <c r="I837" s="14"/>
      <c r="J837" s="14"/>
      <c r="K837" s="14"/>
      <c r="L837" s="14"/>
      <c r="M837" s="9"/>
      <c r="N837" s="32"/>
      <c r="U837" s="18"/>
      <c r="V837" s="18"/>
      <c r="Z837" s="33">
        <v>45180</v>
      </c>
    </row>
    <row r="838" spans="1:26" ht="6.95" customHeight="1" x14ac:dyDescent="0.3">
      <c r="A838" s="154">
        <f>+A827+1</f>
        <v>877</v>
      </c>
      <c r="B838" s="155"/>
      <c r="C838" s="156"/>
      <c r="D838" s="161" t="s">
        <v>39</v>
      </c>
      <c r="E838" s="162" t="s">
        <v>226</v>
      </c>
      <c r="F838" s="163" t="s">
        <v>40</v>
      </c>
      <c r="G838" s="164" t="s">
        <v>223</v>
      </c>
      <c r="H838" s="165">
        <v>1</v>
      </c>
      <c r="I838" s="164"/>
      <c r="J838" s="165"/>
      <c r="K838" s="164"/>
      <c r="L838" s="165"/>
      <c r="M838" s="6"/>
      <c r="N838" s="32"/>
      <c r="Q838" s="10" t="str">
        <f>+CONCATENATE(E838,G838)</f>
        <v>무보온덕트벽체1900*600</v>
      </c>
      <c r="R838" s="10">
        <f>+H838</f>
        <v>1</v>
      </c>
      <c r="S838" s="11"/>
      <c r="T838" s="10" t="str">
        <f>+E838</f>
        <v>무보온덕트벽체</v>
      </c>
      <c r="U838" s="19" t="str">
        <f>IFERROR(LEFT(G838,FIND("*",G838)-1),"-")</f>
        <v>1900</v>
      </c>
      <c r="V838" s="19" t="str">
        <f>IFERROR(RIGHT(G838,LEN(G838)-FIND("*",G838)),"-")</f>
        <v>600</v>
      </c>
      <c r="W838" s="20">
        <f>IFERROR((U838+V838)*2/1000,"-")</f>
        <v>5</v>
      </c>
      <c r="X838" s="20">
        <f>IFERROR(W838*H838,"-")</f>
        <v>5</v>
      </c>
      <c r="Z838" s="33">
        <v>45180</v>
      </c>
    </row>
    <row r="839" spans="1:26" ht="6.95" customHeight="1" x14ac:dyDescent="0.3">
      <c r="A839" s="154"/>
      <c r="B839" s="157"/>
      <c r="C839" s="158"/>
      <c r="D839" s="161"/>
      <c r="E839" s="162"/>
      <c r="F839" s="163"/>
      <c r="G839" s="164"/>
      <c r="H839" s="165"/>
      <c r="I839" s="164"/>
      <c r="J839" s="165"/>
      <c r="K839" s="164"/>
      <c r="L839" s="165"/>
      <c r="M839" s="6"/>
      <c r="N839" s="32"/>
      <c r="Q839" s="10" t="str">
        <f>+CONCATENATE(E838,I838)</f>
        <v>무보온덕트벽체</v>
      </c>
      <c r="R839" s="10">
        <f>+J838</f>
        <v>0</v>
      </c>
      <c r="S839" s="11"/>
      <c r="T839" s="10" t="str">
        <f>+E838</f>
        <v>무보온덕트벽체</v>
      </c>
      <c r="U839" s="19" t="str">
        <f>IFERROR(LEFT(I838,FIND("*",I838)-1),"-")</f>
        <v>-</v>
      </c>
      <c r="V839" s="19" t="str">
        <f>IFERROR(RIGHT(I838,LEN(I838)-FIND("*",I838)),"-")</f>
        <v>-</v>
      </c>
      <c r="W839" s="20" t="str">
        <f t="shared" ref="W839:W846" si="454">IFERROR((U839+V839)*2/1000,"-")</f>
        <v>-</v>
      </c>
      <c r="X839" s="20" t="str">
        <f>IFERROR(W839*J838,"-")</f>
        <v>-</v>
      </c>
      <c r="Z839" s="33">
        <v>45180</v>
      </c>
    </row>
    <row r="840" spans="1:26" ht="6.95" customHeight="1" x14ac:dyDescent="0.3">
      <c r="A840" s="154"/>
      <c r="B840" s="157"/>
      <c r="C840" s="158"/>
      <c r="D840" s="161"/>
      <c r="E840" s="162"/>
      <c r="F840" s="163"/>
      <c r="G840" s="164"/>
      <c r="H840" s="165"/>
      <c r="I840" s="164"/>
      <c r="J840" s="165"/>
      <c r="K840" s="164"/>
      <c r="L840" s="165"/>
      <c r="M840" s="6"/>
      <c r="N840" s="32"/>
      <c r="Q840" s="10" t="str">
        <f>+CONCATENATE(E838,K838)</f>
        <v>무보온덕트벽체</v>
      </c>
      <c r="R840" s="10">
        <f>+L838</f>
        <v>0</v>
      </c>
      <c r="S840" s="11"/>
      <c r="T840" s="10" t="str">
        <f>+E838</f>
        <v>무보온덕트벽체</v>
      </c>
      <c r="U840" s="19" t="str">
        <f>IFERROR(LEFT(K838,FIND("*",K838)-1),"-")</f>
        <v>-</v>
      </c>
      <c r="V840" s="19" t="str">
        <f>IFERROR(RIGHT(K838,LEN(K838)-FIND("*",K838)),"-")</f>
        <v>-</v>
      </c>
      <c r="W840" s="20" t="str">
        <f t="shared" si="454"/>
        <v>-</v>
      </c>
      <c r="X840" s="20" t="str">
        <f>IFERROR(W840*L838,"-")</f>
        <v>-</v>
      </c>
      <c r="Z840" s="33">
        <v>45180</v>
      </c>
    </row>
    <row r="841" spans="1:26" ht="6.95" customHeight="1" x14ac:dyDescent="0.3">
      <c r="A841" s="8"/>
      <c r="B841" s="157"/>
      <c r="C841" s="158"/>
      <c r="D841" s="161" t="s">
        <v>39</v>
      </c>
      <c r="E841" s="162" t="s">
        <v>66</v>
      </c>
      <c r="F841" s="163" t="s">
        <v>40</v>
      </c>
      <c r="G841" s="164" t="s">
        <v>225</v>
      </c>
      <c r="H841" s="165">
        <v>1</v>
      </c>
      <c r="I841" s="164"/>
      <c r="J841" s="165"/>
      <c r="K841" s="164"/>
      <c r="L841" s="165"/>
      <c r="M841" s="6"/>
      <c r="N841" s="32"/>
      <c r="Q841" s="10" t="str">
        <f>+CONCATENATE(E841,G841)</f>
        <v>차열재마감1900*600</v>
      </c>
      <c r="R841" s="10">
        <f>+H841</f>
        <v>1</v>
      </c>
      <c r="S841" s="11"/>
      <c r="T841" s="10" t="str">
        <f>+E841</f>
        <v>차열재마감</v>
      </c>
      <c r="U841" s="19" t="str">
        <f t="shared" ref="U841" si="455">IFERROR(LEFT(G841,FIND("*",G841)-1),"-")</f>
        <v>1900</v>
      </c>
      <c r="V841" s="19" t="str">
        <f t="shared" ref="V841" si="456">IFERROR(RIGHT(G841,LEN(G841)-FIND("*",G841)),"-")</f>
        <v>600</v>
      </c>
      <c r="W841" s="20">
        <f t="shared" si="454"/>
        <v>5</v>
      </c>
      <c r="X841" s="20">
        <f>IFERROR(W841*H841,"-")</f>
        <v>5</v>
      </c>
      <c r="Z841" s="33">
        <v>45180</v>
      </c>
    </row>
    <row r="842" spans="1:26" ht="6.95" customHeight="1" x14ac:dyDescent="0.3">
      <c r="A842" s="5"/>
      <c r="B842" s="157"/>
      <c r="C842" s="158"/>
      <c r="D842" s="161"/>
      <c r="E842" s="162"/>
      <c r="F842" s="163"/>
      <c r="G842" s="164"/>
      <c r="H842" s="165"/>
      <c r="I842" s="164"/>
      <c r="J842" s="165"/>
      <c r="K842" s="164"/>
      <c r="L842" s="165"/>
      <c r="M842" s="6"/>
      <c r="N842" s="32"/>
      <c r="Q842" s="10" t="str">
        <f>+CONCATENATE(E841,I841)</f>
        <v>차열재마감</v>
      </c>
      <c r="R842" s="10">
        <f>+J841</f>
        <v>0</v>
      </c>
      <c r="S842" s="11"/>
      <c r="T842" s="10" t="str">
        <f>+E841</f>
        <v>차열재마감</v>
      </c>
      <c r="U842" s="19" t="str">
        <f>IFERROR(LEFT(I841,FIND("*",I841)-1),"-")</f>
        <v>-</v>
      </c>
      <c r="V842" s="19" t="str">
        <f>IFERROR(RIGHT(I841,LEN(I841)-FIND("*",I841)),"-")</f>
        <v>-</v>
      </c>
      <c r="W842" s="20" t="str">
        <f t="shared" si="454"/>
        <v>-</v>
      </c>
      <c r="X842" s="20" t="str">
        <f>IFERROR(W842*J841,"-")</f>
        <v>-</v>
      </c>
      <c r="Z842" s="33">
        <v>45180</v>
      </c>
    </row>
    <row r="843" spans="1:26" ht="6.95" customHeight="1" x14ac:dyDescent="0.3">
      <c r="A843" s="5"/>
      <c r="B843" s="157"/>
      <c r="C843" s="158"/>
      <c r="D843" s="161"/>
      <c r="E843" s="162"/>
      <c r="F843" s="163"/>
      <c r="G843" s="164"/>
      <c r="H843" s="165"/>
      <c r="I843" s="164"/>
      <c r="J843" s="165"/>
      <c r="K843" s="164"/>
      <c r="L843" s="165"/>
      <c r="M843" s="6"/>
      <c r="N843" s="32"/>
      <c r="Q843" s="10" t="str">
        <f>+CONCATENATE(E841,K841)</f>
        <v>차열재마감</v>
      </c>
      <c r="R843" s="10">
        <f>+L841</f>
        <v>0</v>
      </c>
      <c r="S843" s="11"/>
      <c r="T843" s="10" t="str">
        <f>+E841</f>
        <v>차열재마감</v>
      </c>
      <c r="U843" s="19" t="str">
        <f>IFERROR(LEFT(K841,FIND("*",K841)-1),"-")</f>
        <v>-</v>
      </c>
      <c r="V843" s="19" t="str">
        <f>IFERROR(RIGHT(K841,LEN(K841)-FIND("*",K841)),"-")</f>
        <v>-</v>
      </c>
      <c r="W843" s="20" t="str">
        <f t="shared" si="454"/>
        <v>-</v>
      </c>
      <c r="X843" s="20" t="str">
        <f>IFERROR(W843*L841,"-")</f>
        <v>-</v>
      </c>
      <c r="Z843" s="33">
        <v>45180</v>
      </c>
    </row>
    <row r="844" spans="1:26" ht="6.95" customHeight="1" x14ac:dyDescent="0.3">
      <c r="A844" s="8"/>
      <c r="B844" s="157"/>
      <c r="C844" s="158"/>
      <c r="D844" s="161" t="s">
        <v>39</v>
      </c>
      <c r="E844" s="162"/>
      <c r="F844" s="163" t="s">
        <v>40</v>
      </c>
      <c r="G844" s="164"/>
      <c r="H844" s="165"/>
      <c r="I844" s="164"/>
      <c r="J844" s="165"/>
      <c r="K844" s="164"/>
      <c r="L844" s="165"/>
      <c r="M844" s="6"/>
      <c r="N844" s="32"/>
      <c r="Q844" s="10" t="str">
        <f>+CONCATENATE(E844,G844)</f>
        <v/>
      </c>
      <c r="R844" s="10">
        <f>+H844</f>
        <v>0</v>
      </c>
      <c r="S844" s="11"/>
      <c r="T844" s="10">
        <f>+E844</f>
        <v>0</v>
      </c>
      <c r="U844" s="19" t="str">
        <f t="shared" ref="U844" si="457">IFERROR(LEFT(G844,FIND("*",G844)-1),"-")</f>
        <v>-</v>
      </c>
      <c r="V844" s="19" t="str">
        <f t="shared" ref="V844" si="458">IFERROR(RIGHT(G844,LEN(G844)-FIND("*",G844)),"-")</f>
        <v>-</v>
      </c>
      <c r="W844" s="20" t="str">
        <f t="shared" si="454"/>
        <v>-</v>
      </c>
      <c r="X844" s="20" t="str">
        <f>IFERROR(W844*H844,"-")</f>
        <v>-</v>
      </c>
      <c r="Z844" s="33">
        <v>45180</v>
      </c>
    </row>
    <row r="845" spans="1:26" ht="6.95" customHeight="1" x14ac:dyDescent="0.3">
      <c r="A845" s="5"/>
      <c r="B845" s="157"/>
      <c r="C845" s="158"/>
      <c r="D845" s="161"/>
      <c r="E845" s="162"/>
      <c r="F845" s="163"/>
      <c r="G845" s="164"/>
      <c r="H845" s="165"/>
      <c r="I845" s="164"/>
      <c r="J845" s="165"/>
      <c r="K845" s="164"/>
      <c r="L845" s="165"/>
      <c r="M845" s="6"/>
      <c r="N845" s="32"/>
      <c r="Q845" s="10" t="str">
        <f>+CONCATENATE(E844,I844)</f>
        <v/>
      </c>
      <c r="R845" s="10">
        <f>+J844</f>
        <v>0</v>
      </c>
      <c r="S845" s="11"/>
      <c r="T845" s="10">
        <f>+E844</f>
        <v>0</v>
      </c>
      <c r="U845" s="19" t="str">
        <f>IFERROR(LEFT(I844,FIND("*",I844)-1),"-")</f>
        <v>-</v>
      </c>
      <c r="V845" s="19" t="str">
        <f>IFERROR(RIGHT(I844,LEN(I844)-FIND("*",I844)),"-")</f>
        <v>-</v>
      </c>
      <c r="W845" s="20" t="str">
        <f t="shared" si="454"/>
        <v>-</v>
      </c>
      <c r="X845" s="20" t="str">
        <f t="shared" ref="X845" si="459">IFERROR(W845*J844,"-")</f>
        <v>-</v>
      </c>
      <c r="Z845" s="33">
        <v>45180</v>
      </c>
    </row>
    <row r="846" spans="1:26" ht="6.95" customHeight="1" x14ac:dyDescent="0.3">
      <c r="A846" s="5"/>
      <c r="B846" s="157"/>
      <c r="C846" s="158"/>
      <c r="D846" s="161"/>
      <c r="E846" s="162"/>
      <c r="F846" s="163"/>
      <c r="G846" s="164"/>
      <c r="H846" s="165"/>
      <c r="I846" s="164"/>
      <c r="J846" s="165"/>
      <c r="K846" s="164"/>
      <c r="L846" s="165"/>
      <c r="M846" s="6"/>
      <c r="N846" s="32"/>
      <c r="Q846" s="10" t="str">
        <f>+CONCATENATE(E844,K844)</f>
        <v/>
      </c>
      <c r="R846" s="10">
        <f>+L844</f>
        <v>0</v>
      </c>
      <c r="S846" s="11"/>
      <c r="T846" s="10">
        <f>+E844</f>
        <v>0</v>
      </c>
      <c r="U846" s="19" t="str">
        <f>IFERROR(LEFT(K844,FIND("*",K844)-1),"-")</f>
        <v>-</v>
      </c>
      <c r="V846" s="19" t="str">
        <f>IFERROR(RIGHT(K844,LEN(K844)-FIND("*",K844)),"-")</f>
        <v>-</v>
      </c>
      <c r="W846" s="20" t="str">
        <f t="shared" si="454"/>
        <v>-</v>
      </c>
      <c r="X846" s="20" t="str">
        <f>IFERROR(W846*L844,"-")</f>
        <v>-</v>
      </c>
      <c r="Z846" s="33">
        <v>45180</v>
      </c>
    </row>
    <row r="847" spans="1:26" ht="21" customHeight="1" thickBot="1" x14ac:dyDescent="0.35">
      <c r="A847" s="5"/>
      <c r="B847" s="159"/>
      <c r="C847" s="160"/>
      <c r="D847" s="166" t="s">
        <v>43</v>
      </c>
      <c r="E847" s="167"/>
      <c r="F847" s="167"/>
      <c r="G847" s="168" t="s">
        <v>238</v>
      </c>
      <c r="H847" s="168"/>
      <c r="I847" s="168"/>
      <c r="J847" s="168"/>
      <c r="K847" s="168"/>
      <c r="L847" s="168"/>
      <c r="M847" s="7"/>
      <c r="N847" s="32"/>
      <c r="Z847" s="33">
        <v>45180</v>
      </c>
    </row>
    <row r="848" spans="1:26" ht="9.9499999999999993" customHeight="1" thickBot="1" x14ac:dyDescent="0.35">
      <c r="B848" s="9"/>
      <c r="C848" s="109">
        <v>877</v>
      </c>
      <c r="D848" s="51"/>
      <c r="E848" s="12"/>
      <c r="F848" s="51"/>
      <c r="G848" s="14"/>
      <c r="H848" s="14"/>
      <c r="I848" s="14"/>
      <c r="J848" s="14"/>
      <c r="K848" s="14"/>
      <c r="L848" s="14"/>
      <c r="M848" s="9"/>
      <c r="N848" s="32"/>
      <c r="U848" s="18"/>
      <c r="V848" s="18"/>
      <c r="Z848" s="33">
        <v>45180</v>
      </c>
    </row>
    <row r="849" spans="1:26" ht="6.95" customHeight="1" x14ac:dyDescent="0.3">
      <c r="A849" s="154">
        <f>+A838+1</f>
        <v>878</v>
      </c>
      <c r="B849" s="155"/>
      <c r="C849" s="156"/>
      <c r="D849" s="161" t="s">
        <v>39</v>
      </c>
      <c r="E849" s="162" t="s">
        <v>226</v>
      </c>
      <c r="F849" s="163" t="s">
        <v>40</v>
      </c>
      <c r="G849" s="164" t="s">
        <v>223</v>
      </c>
      <c r="H849" s="165">
        <v>0.5</v>
      </c>
      <c r="I849" s="164"/>
      <c r="J849" s="165"/>
      <c r="K849" s="164"/>
      <c r="L849" s="165"/>
      <c r="M849" s="6"/>
      <c r="N849" s="32"/>
      <c r="Q849" s="10" t="str">
        <f>+CONCATENATE(E849,G849)</f>
        <v>무보온덕트벽체1900*600</v>
      </c>
      <c r="R849" s="10">
        <f>+H849</f>
        <v>0.5</v>
      </c>
      <c r="S849" s="11"/>
      <c r="T849" s="10" t="str">
        <f>+E849</f>
        <v>무보온덕트벽체</v>
      </c>
      <c r="U849" s="19" t="str">
        <f>IFERROR(LEFT(G849,FIND("*",G849)-1),"-")</f>
        <v>1900</v>
      </c>
      <c r="V849" s="19" t="str">
        <f>IFERROR(RIGHT(G849,LEN(G849)-FIND("*",G849)),"-")</f>
        <v>600</v>
      </c>
      <c r="W849" s="20">
        <f>IFERROR((U849+V849)*2/1000,"-")</f>
        <v>5</v>
      </c>
      <c r="X849" s="20">
        <f>IFERROR(W849*H849,"-")</f>
        <v>2.5</v>
      </c>
      <c r="Z849" s="33">
        <v>45180</v>
      </c>
    </row>
    <row r="850" spans="1:26" ht="6.95" customHeight="1" x14ac:dyDescent="0.3">
      <c r="A850" s="154"/>
      <c r="B850" s="157"/>
      <c r="C850" s="158"/>
      <c r="D850" s="161"/>
      <c r="E850" s="162"/>
      <c r="F850" s="163"/>
      <c r="G850" s="164"/>
      <c r="H850" s="165"/>
      <c r="I850" s="164"/>
      <c r="J850" s="165"/>
      <c r="K850" s="164"/>
      <c r="L850" s="165"/>
      <c r="M850" s="6"/>
      <c r="N850" s="32"/>
      <c r="Q850" s="10" t="str">
        <f>+CONCATENATE(E849,I849)</f>
        <v>무보온덕트벽체</v>
      </c>
      <c r="R850" s="10">
        <f>+J849</f>
        <v>0</v>
      </c>
      <c r="S850" s="11"/>
      <c r="T850" s="10" t="str">
        <f>+E849</f>
        <v>무보온덕트벽체</v>
      </c>
      <c r="U850" s="19" t="str">
        <f>IFERROR(LEFT(I849,FIND("*",I849)-1),"-")</f>
        <v>-</v>
      </c>
      <c r="V850" s="19" t="str">
        <f>IFERROR(RIGHT(I849,LEN(I849)-FIND("*",I849)),"-")</f>
        <v>-</v>
      </c>
      <c r="W850" s="20" t="str">
        <f t="shared" ref="W850:W857" si="460">IFERROR((U850+V850)*2/1000,"-")</f>
        <v>-</v>
      </c>
      <c r="X850" s="20" t="str">
        <f>IFERROR(W850*J849,"-")</f>
        <v>-</v>
      </c>
      <c r="Z850" s="33">
        <v>45180</v>
      </c>
    </row>
    <row r="851" spans="1:26" ht="6.95" customHeight="1" x14ac:dyDescent="0.3">
      <c r="A851" s="154"/>
      <c r="B851" s="157"/>
      <c r="C851" s="158"/>
      <c r="D851" s="161"/>
      <c r="E851" s="162"/>
      <c r="F851" s="163"/>
      <c r="G851" s="164"/>
      <c r="H851" s="165"/>
      <c r="I851" s="164"/>
      <c r="J851" s="165"/>
      <c r="K851" s="164"/>
      <c r="L851" s="165"/>
      <c r="M851" s="6"/>
      <c r="N851" s="32"/>
      <c r="Q851" s="10" t="str">
        <f>+CONCATENATE(E849,K849)</f>
        <v>무보온덕트벽체</v>
      </c>
      <c r="R851" s="10">
        <f>+L849</f>
        <v>0</v>
      </c>
      <c r="S851" s="11"/>
      <c r="T851" s="10" t="str">
        <f>+E849</f>
        <v>무보온덕트벽체</v>
      </c>
      <c r="U851" s="19" t="str">
        <f>IFERROR(LEFT(K849,FIND("*",K849)-1),"-")</f>
        <v>-</v>
      </c>
      <c r="V851" s="19" t="str">
        <f>IFERROR(RIGHT(K849,LEN(K849)-FIND("*",K849)),"-")</f>
        <v>-</v>
      </c>
      <c r="W851" s="20" t="str">
        <f t="shared" si="460"/>
        <v>-</v>
      </c>
      <c r="X851" s="20" t="str">
        <f>IFERROR(W851*L849,"-")</f>
        <v>-</v>
      </c>
      <c r="Z851" s="33">
        <v>45180</v>
      </c>
    </row>
    <row r="852" spans="1:26" ht="6.95" customHeight="1" x14ac:dyDescent="0.3">
      <c r="A852" s="8"/>
      <c r="B852" s="157"/>
      <c r="C852" s="158"/>
      <c r="D852" s="161" t="s">
        <v>39</v>
      </c>
      <c r="E852" s="162" t="s">
        <v>66</v>
      </c>
      <c r="F852" s="163" t="s">
        <v>40</v>
      </c>
      <c r="G852" s="164" t="s">
        <v>225</v>
      </c>
      <c r="H852" s="165">
        <v>0.5</v>
      </c>
      <c r="I852" s="164"/>
      <c r="J852" s="165"/>
      <c r="K852" s="164"/>
      <c r="L852" s="165"/>
      <c r="M852" s="6"/>
      <c r="N852" s="32"/>
      <c r="Q852" s="10" t="str">
        <f>+CONCATENATE(E852,G852)</f>
        <v>차열재마감1900*600</v>
      </c>
      <c r="R852" s="10">
        <f>+H852</f>
        <v>0.5</v>
      </c>
      <c r="S852" s="11"/>
      <c r="T852" s="10" t="str">
        <f>+E852</f>
        <v>차열재마감</v>
      </c>
      <c r="U852" s="19" t="str">
        <f t="shared" ref="U852" si="461">IFERROR(LEFT(G852,FIND("*",G852)-1),"-")</f>
        <v>1900</v>
      </c>
      <c r="V852" s="19" t="str">
        <f t="shared" ref="V852" si="462">IFERROR(RIGHT(G852,LEN(G852)-FIND("*",G852)),"-")</f>
        <v>600</v>
      </c>
      <c r="W852" s="20">
        <f t="shared" si="460"/>
        <v>5</v>
      </c>
      <c r="X852" s="20">
        <f>IFERROR(W852*H852,"-")</f>
        <v>2.5</v>
      </c>
      <c r="Z852" s="33">
        <v>45180</v>
      </c>
    </row>
    <row r="853" spans="1:26" ht="6.95" customHeight="1" x14ac:dyDescent="0.3">
      <c r="A853" s="5"/>
      <c r="B853" s="157"/>
      <c r="C853" s="158"/>
      <c r="D853" s="161"/>
      <c r="E853" s="162"/>
      <c r="F853" s="163"/>
      <c r="G853" s="164"/>
      <c r="H853" s="165"/>
      <c r="I853" s="164"/>
      <c r="J853" s="165"/>
      <c r="K853" s="164"/>
      <c r="L853" s="165"/>
      <c r="M853" s="6"/>
      <c r="N853" s="32"/>
      <c r="Q853" s="10" t="str">
        <f>+CONCATENATE(E852,I852)</f>
        <v>차열재마감</v>
      </c>
      <c r="R853" s="10">
        <f>+J852</f>
        <v>0</v>
      </c>
      <c r="S853" s="11"/>
      <c r="T853" s="10" t="str">
        <f>+E852</f>
        <v>차열재마감</v>
      </c>
      <c r="U853" s="19" t="str">
        <f>IFERROR(LEFT(I852,FIND("*",I852)-1),"-")</f>
        <v>-</v>
      </c>
      <c r="V853" s="19" t="str">
        <f>IFERROR(RIGHT(I852,LEN(I852)-FIND("*",I852)),"-")</f>
        <v>-</v>
      </c>
      <c r="W853" s="20" t="str">
        <f t="shared" si="460"/>
        <v>-</v>
      </c>
      <c r="X853" s="20" t="str">
        <f>IFERROR(W853*J852,"-")</f>
        <v>-</v>
      </c>
      <c r="Z853" s="33">
        <v>45180</v>
      </c>
    </row>
    <row r="854" spans="1:26" ht="6.95" customHeight="1" x14ac:dyDescent="0.3">
      <c r="A854" s="5"/>
      <c r="B854" s="157"/>
      <c r="C854" s="158"/>
      <c r="D854" s="161"/>
      <c r="E854" s="162"/>
      <c r="F854" s="163"/>
      <c r="G854" s="164"/>
      <c r="H854" s="165"/>
      <c r="I854" s="164"/>
      <c r="J854" s="165"/>
      <c r="K854" s="164"/>
      <c r="L854" s="165"/>
      <c r="M854" s="6"/>
      <c r="N854" s="32"/>
      <c r="Q854" s="10" t="str">
        <f>+CONCATENATE(E852,K852)</f>
        <v>차열재마감</v>
      </c>
      <c r="R854" s="10">
        <f>+L852</f>
        <v>0</v>
      </c>
      <c r="S854" s="11"/>
      <c r="T854" s="10" t="str">
        <f>+E852</f>
        <v>차열재마감</v>
      </c>
      <c r="U854" s="19" t="str">
        <f>IFERROR(LEFT(K852,FIND("*",K852)-1),"-")</f>
        <v>-</v>
      </c>
      <c r="V854" s="19" t="str">
        <f>IFERROR(RIGHT(K852,LEN(K852)-FIND("*",K852)),"-")</f>
        <v>-</v>
      </c>
      <c r="W854" s="20" t="str">
        <f t="shared" si="460"/>
        <v>-</v>
      </c>
      <c r="X854" s="20" t="str">
        <f>IFERROR(W854*L852,"-")</f>
        <v>-</v>
      </c>
      <c r="Z854" s="33">
        <v>45180</v>
      </c>
    </row>
    <row r="855" spans="1:26" ht="6.95" customHeight="1" x14ac:dyDescent="0.3">
      <c r="A855" s="8"/>
      <c r="B855" s="157"/>
      <c r="C855" s="158"/>
      <c r="D855" s="161" t="s">
        <v>39</v>
      </c>
      <c r="E855" s="162"/>
      <c r="F855" s="163" t="s">
        <v>40</v>
      </c>
      <c r="G855" s="164"/>
      <c r="H855" s="165"/>
      <c r="I855" s="164"/>
      <c r="J855" s="165"/>
      <c r="K855" s="164"/>
      <c r="L855" s="165"/>
      <c r="M855" s="6"/>
      <c r="N855" s="32"/>
      <c r="Q855" s="10" t="str">
        <f>+CONCATENATE(E855,G855)</f>
        <v/>
      </c>
      <c r="R855" s="10">
        <f>+H855</f>
        <v>0</v>
      </c>
      <c r="S855" s="11"/>
      <c r="T855" s="10">
        <f>+E855</f>
        <v>0</v>
      </c>
      <c r="U855" s="19" t="str">
        <f t="shared" ref="U855" si="463">IFERROR(LEFT(G855,FIND("*",G855)-1),"-")</f>
        <v>-</v>
      </c>
      <c r="V855" s="19" t="str">
        <f t="shared" ref="V855" si="464">IFERROR(RIGHT(G855,LEN(G855)-FIND("*",G855)),"-")</f>
        <v>-</v>
      </c>
      <c r="W855" s="20" t="str">
        <f t="shared" si="460"/>
        <v>-</v>
      </c>
      <c r="X855" s="20" t="str">
        <f>IFERROR(W855*H855,"-")</f>
        <v>-</v>
      </c>
      <c r="Z855" s="33">
        <v>45180</v>
      </c>
    </row>
    <row r="856" spans="1:26" ht="6.95" customHeight="1" x14ac:dyDescent="0.3">
      <c r="A856" s="5"/>
      <c r="B856" s="157"/>
      <c r="C856" s="158"/>
      <c r="D856" s="161"/>
      <c r="E856" s="162"/>
      <c r="F856" s="163"/>
      <c r="G856" s="164"/>
      <c r="H856" s="165"/>
      <c r="I856" s="164"/>
      <c r="J856" s="165"/>
      <c r="K856" s="164"/>
      <c r="L856" s="165"/>
      <c r="M856" s="6"/>
      <c r="N856" s="32"/>
      <c r="Q856" s="10" t="str">
        <f>+CONCATENATE(E855,I855)</f>
        <v/>
      </c>
      <c r="R856" s="10">
        <f>+J855</f>
        <v>0</v>
      </c>
      <c r="S856" s="11"/>
      <c r="T856" s="10">
        <f>+E855</f>
        <v>0</v>
      </c>
      <c r="U856" s="19" t="str">
        <f>IFERROR(LEFT(I855,FIND("*",I855)-1),"-")</f>
        <v>-</v>
      </c>
      <c r="V856" s="19" t="str">
        <f>IFERROR(RIGHT(I855,LEN(I855)-FIND("*",I855)),"-")</f>
        <v>-</v>
      </c>
      <c r="W856" s="20" t="str">
        <f t="shared" si="460"/>
        <v>-</v>
      </c>
      <c r="X856" s="20" t="str">
        <f t="shared" ref="X856" si="465">IFERROR(W856*J855,"-")</f>
        <v>-</v>
      </c>
      <c r="Z856" s="33">
        <v>45180</v>
      </c>
    </row>
    <row r="857" spans="1:26" ht="6.95" customHeight="1" x14ac:dyDescent="0.3">
      <c r="A857" s="5"/>
      <c r="B857" s="157"/>
      <c r="C857" s="158"/>
      <c r="D857" s="161"/>
      <c r="E857" s="162"/>
      <c r="F857" s="163"/>
      <c r="G857" s="164"/>
      <c r="H857" s="165"/>
      <c r="I857" s="164"/>
      <c r="J857" s="165"/>
      <c r="K857" s="164"/>
      <c r="L857" s="165"/>
      <c r="M857" s="6"/>
      <c r="N857" s="32"/>
      <c r="Q857" s="10" t="str">
        <f>+CONCATENATE(E855,K855)</f>
        <v/>
      </c>
      <c r="R857" s="10">
        <f>+L855</f>
        <v>0</v>
      </c>
      <c r="S857" s="11"/>
      <c r="T857" s="10">
        <f>+E855</f>
        <v>0</v>
      </c>
      <c r="U857" s="19" t="str">
        <f>IFERROR(LEFT(K855,FIND("*",K855)-1),"-")</f>
        <v>-</v>
      </c>
      <c r="V857" s="19" t="str">
        <f>IFERROR(RIGHT(K855,LEN(K855)-FIND("*",K855)),"-")</f>
        <v>-</v>
      </c>
      <c r="W857" s="20" t="str">
        <f t="shared" si="460"/>
        <v>-</v>
      </c>
      <c r="X857" s="20" t="str">
        <f>IFERROR(W857*L855,"-")</f>
        <v>-</v>
      </c>
      <c r="Z857" s="33">
        <v>45180</v>
      </c>
    </row>
    <row r="858" spans="1:26" ht="21" customHeight="1" thickBot="1" x14ac:dyDescent="0.35">
      <c r="A858" s="5"/>
      <c r="B858" s="159"/>
      <c r="C858" s="160"/>
      <c r="D858" s="166" t="s">
        <v>43</v>
      </c>
      <c r="E858" s="167"/>
      <c r="F858" s="167"/>
      <c r="G858" s="168" t="s">
        <v>238</v>
      </c>
      <c r="H858" s="168"/>
      <c r="I858" s="168"/>
      <c r="J858" s="168"/>
      <c r="K858" s="168"/>
      <c r="L858" s="168"/>
      <c r="M858" s="7"/>
      <c r="N858" s="32"/>
      <c r="Z858" s="33">
        <v>45180</v>
      </c>
    </row>
    <row r="859" spans="1:26" ht="9.9499999999999993" customHeight="1" thickBot="1" x14ac:dyDescent="0.35">
      <c r="B859" s="9"/>
      <c r="C859" s="109">
        <v>878</v>
      </c>
      <c r="D859" s="51"/>
      <c r="E859" s="12"/>
      <c r="F859" s="51"/>
      <c r="G859" s="14"/>
      <c r="H859" s="14"/>
      <c r="I859" s="14"/>
      <c r="J859" s="14"/>
      <c r="K859" s="14"/>
      <c r="L859" s="14"/>
      <c r="M859" s="9"/>
      <c r="N859" s="32"/>
      <c r="U859" s="18"/>
      <c r="V859" s="18"/>
      <c r="Z859" s="33">
        <v>45180</v>
      </c>
    </row>
    <row r="860" spans="1:26" ht="6.95" customHeight="1" x14ac:dyDescent="0.3">
      <c r="A860" s="154">
        <f>+A849+1</f>
        <v>879</v>
      </c>
      <c r="B860" s="155"/>
      <c r="C860" s="156"/>
      <c r="D860" s="161" t="s">
        <v>39</v>
      </c>
      <c r="E860" s="162" t="s">
        <v>222</v>
      </c>
      <c r="F860" s="163" t="s">
        <v>40</v>
      </c>
      <c r="G860" s="164" t="s">
        <v>223</v>
      </c>
      <c r="H860" s="165">
        <v>1</v>
      </c>
      <c r="I860" s="164"/>
      <c r="J860" s="165"/>
      <c r="K860" s="164"/>
      <c r="L860" s="165"/>
      <c r="M860" s="6"/>
      <c r="N860" s="32"/>
      <c r="Q860" s="10" t="str">
        <f>+CONCATENATE(E860,G860)</f>
        <v>보온덕트벽체1900*600</v>
      </c>
      <c r="R860" s="10">
        <f>+H860</f>
        <v>1</v>
      </c>
      <c r="S860" s="11"/>
      <c r="T860" s="10" t="str">
        <f>+E860</f>
        <v>보온덕트벽체</v>
      </c>
      <c r="U860" s="19" t="str">
        <f>IFERROR(LEFT(G860,FIND("*",G860)-1),"-")</f>
        <v>1900</v>
      </c>
      <c r="V860" s="19" t="str">
        <f>IFERROR(RIGHT(G860,LEN(G860)-FIND("*",G860)),"-")</f>
        <v>600</v>
      </c>
      <c r="W860" s="20">
        <f>IFERROR((U860+V860)*2/1000,"-")</f>
        <v>5</v>
      </c>
      <c r="X860" s="20">
        <f>IFERROR(W860*H860,"-")</f>
        <v>5</v>
      </c>
      <c r="Z860" s="33">
        <v>45180</v>
      </c>
    </row>
    <row r="861" spans="1:26" ht="6.95" customHeight="1" x14ac:dyDescent="0.3">
      <c r="A861" s="154"/>
      <c r="B861" s="157"/>
      <c r="C861" s="158"/>
      <c r="D861" s="161"/>
      <c r="E861" s="162"/>
      <c r="F861" s="163"/>
      <c r="G861" s="164"/>
      <c r="H861" s="165"/>
      <c r="I861" s="164"/>
      <c r="J861" s="165"/>
      <c r="K861" s="164"/>
      <c r="L861" s="165"/>
      <c r="M861" s="6"/>
      <c r="N861" s="32"/>
      <c r="Q861" s="10" t="str">
        <f>+CONCATENATE(E860,I860)</f>
        <v>보온덕트벽체</v>
      </c>
      <c r="R861" s="10">
        <f>+J860</f>
        <v>0</v>
      </c>
      <c r="S861" s="11"/>
      <c r="T861" s="10" t="str">
        <f>+E860</f>
        <v>보온덕트벽체</v>
      </c>
      <c r="U861" s="19" t="str">
        <f>IFERROR(LEFT(I860,FIND("*",I860)-1),"-")</f>
        <v>-</v>
      </c>
      <c r="V861" s="19" t="str">
        <f>IFERROR(RIGHT(I860,LEN(I860)-FIND("*",I860)),"-")</f>
        <v>-</v>
      </c>
      <c r="W861" s="20" t="str">
        <f t="shared" ref="W861:W868" si="466">IFERROR((U861+V861)*2/1000,"-")</f>
        <v>-</v>
      </c>
      <c r="X861" s="20" t="str">
        <f>IFERROR(W861*J860,"-")</f>
        <v>-</v>
      </c>
      <c r="Z861" s="33">
        <v>45180</v>
      </c>
    </row>
    <row r="862" spans="1:26" ht="6.95" customHeight="1" x14ac:dyDescent="0.3">
      <c r="A862" s="154"/>
      <c r="B862" s="157"/>
      <c r="C862" s="158"/>
      <c r="D862" s="161"/>
      <c r="E862" s="162"/>
      <c r="F862" s="163"/>
      <c r="G862" s="164"/>
      <c r="H862" s="165"/>
      <c r="I862" s="164"/>
      <c r="J862" s="165"/>
      <c r="K862" s="164"/>
      <c r="L862" s="165"/>
      <c r="M862" s="6"/>
      <c r="N862" s="32"/>
      <c r="Q862" s="10" t="str">
        <f>+CONCATENATE(E860,K860)</f>
        <v>보온덕트벽체</v>
      </c>
      <c r="R862" s="10">
        <f>+L860</f>
        <v>0</v>
      </c>
      <c r="S862" s="11"/>
      <c r="T862" s="10" t="str">
        <f>+E860</f>
        <v>보온덕트벽체</v>
      </c>
      <c r="U862" s="19" t="str">
        <f>IFERROR(LEFT(K860,FIND("*",K860)-1),"-")</f>
        <v>-</v>
      </c>
      <c r="V862" s="19" t="str">
        <f>IFERROR(RIGHT(K860,LEN(K860)-FIND("*",K860)),"-")</f>
        <v>-</v>
      </c>
      <c r="W862" s="20" t="str">
        <f t="shared" si="466"/>
        <v>-</v>
      </c>
      <c r="X862" s="20" t="str">
        <f>IFERROR(W862*L860,"-")</f>
        <v>-</v>
      </c>
      <c r="Z862" s="33">
        <v>45180</v>
      </c>
    </row>
    <row r="863" spans="1:26" ht="6.95" customHeight="1" x14ac:dyDescent="0.3">
      <c r="A863" s="8"/>
      <c r="B863" s="157"/>
      <c r="C863" s="158"/>
      <c r="D863" s="161" t="s">
        <v>39</v>
      </c>
      <c r="E863" s="162" t="s">
        <v>66</v>
      </c>
      <c r="F863" s="163" t="s">
        <v>40</v>
      </c>
      <c r="G863" s="164" t="s">
        <v>223</v>
      </c>
      <c r="H863" s="165">
        <v>2</v>
      </c>
      <c r="I863" s="164"/>
      <c r="J863" s="165"/>
      <c r="K863" s="164"/>
      <c r="L863" s="165"/>
      <c r="M863" s="6"/>
      <c r="N863" s="32"/>
      <c r="Q863" s="10" t="str">
        <f>+CONCATENATE(E863,G863)</f>
        <v>차열재마감1900*600</v>
      </c>
      <c r="R863" s="10">
        <f>+H863</f>
        <v>2</v>
      </c>
      <c r="S863" s="11"/>
      <c r="T863" s="10" t="str">
        <f>+E863</f>
        <v>차열재마감</v>
      </c>
      <c r="U863" s="19" t="str">
        <f t="shared" ref="U863" si="467">IFERROR(LEFT(G863,FIND("*",G863)-1),"-")</f>
        <v>1900</v>
      </c>
      <c r="V863" s="19" t="str">
        <f t="shared" ref="V863" si="468">IFERROR(RIGHT(G863,LEN(G863)-FIND("*",G863)),"-")</f>
        <v>600</v>
      </c>
      <c r="W863" s="20">
        <f t="shared" si="466"/>
        <v>5</v>
      </c>
      <c r="X863" s="20">
        <f>IFERROR(W863*H863,"-")</f>
        <v>10</v>
      </c>
      <c r="Z863" s="33">
        <v>45180</v>
      </c>
    </row>
    <row r="864" spans="1:26" ht="6.95" customHeight="1" x14ac:dyDescent="0.3">
      <c r="A864" s="5"/>
      <c r="B864" s="157"/>
      <c r="C864" s="158"/>
      <c r="D864" s="161"/>
      <c r="E864" s="162"/>
      <c r="F864" s="163"/>
      <c r="G864" s="164"/>
      <c r="H864" s="165"/>
      <c r="I864" s="164"/>
      <c r="J864" s="165"/>
      <c r="K864" s="164"/>
      <c r="L864" s="165"/>
      <c r="M864" s="6"/>
      <c r="N864" s="32"/>
      <c r="Q864" s="10" t="str">
        <f>+CONCATENATE(E863,I863)</f>
        <v>차열재마감</v>
      </c>
      <c r="R864" s="10">
        <f>+J863</f>
        <v>0</v>
      </c>
      <c r="S864" s="11"/>
      <c r="T864" s="10" t="str">
        <f>+E863</f>
        <v>차열재마감</v>
      </c>
      <c r="U864" s="19" t="str">
        <f>IFERROR(LEFT(I863,FIND("*",I863)-1),"-")</f>
        <v>-</v>
      </c>
      <c r="V864" s="19" t="str">
        <f>IFERROR(RIGHT(I863,LEN(I863)-FIND("*",I863)),"-")</f>
        <v>-</v>
      </c>
      <c r="W864" s="20" t="str">
        <f t="shared" si="466"/>
        <v>-</v>
      </c>
      <c r="X864" s="20" t="str">
        <f>IFERROR(W864*J863,"-")</f>
        <v>-</v>
      </c>
      <c r="Z864" s="33">
        <v>45180</v>
      </c>
    </row>
    <row r="865" spans="1:26" ht="6.95" customHeight="1" x14ac:dyDescent="0.3">
      <c r="A865" s="5"/>
      <c r="B865" s="157"/>
      <c r="C865" s="158"/>
      <c r="D865" s="161"/>
      <c r="E865" s="162"/>
      <c r="F865" s="163"/>
      <c r="G865" s="164"/>
      <c r="H865" s="165"/>
      <c r="I865" s="164"/>
      <c r="J865" s="165"/>
      <c r="K865" s="164"/>
      <c r="L865" s="165"/>
      <c r="M865" s="6"/>
      <c r="N865" s="32"/>
      <c r="Q865" s="10" t="str">
        <f>+CONCATENATE(E863,K863)</f>
        <v>차열재마감</v>
      </c>
      <c r="R865" s="10">
        <f>+L863</f>
        <v>0</v>
      </c>
      <c r="S865" s="11"/>
      <c r="T865" s="10" t="str">
        <f>+E863</f>
        <v>차열재마감</v>
      </c>
      <c r="U865" s="19" t="str">
        <f>IFERROR(LEFT(K863,FIND("*",K863)-1),"-")</f>
        <v>-</v>
      </c>
      <c r="V865" s="19" t="str">
        <f>IFERROR(RIGHT(K863,LEN(K863)-FIND("*",K863)),"-")</f>
        <v>-</v>
      </c>
      <c r="W865" s="20" t="str">
        <f t="shared" si="466"/>
        <v>-</v>
      </c>
      <c r="X865" s="20" t="str">
        <f>IFERROR(W865*L863,"-")</f>
        <v>-</v>
      </c>
      <c r="Z865" s="33">
        <v>45180</v>
      </c>
    </row>
    <row r="866" spans="1:26" ht="6.95" customHeight="1" x14ac:dyDescent="0.3">
      <c r="A866" s="8"/>
      <c r="B866" s="157"/>
      <c r="C866" s="158"/>
      <c r="D866" s="161" t="s">
        <v>39</v>
      </c>
      <c r="E866" s="162"/>
      <c r="F866" s="163" t="s">
        <v>40</v>
      </c>
      <c r="G866" s="164"/>
      <c r="H866" s="165"/>
      <c r="I866" s="164"/>
      <c r="J866" s="165"/>
      <c r="K866" s="164"/>
      <c r="L866" s="165"/>
      <c r="M866" s="6"/>
      <c r="N866" s="32"/>
      <c r="Q866" s="10" t="str">
        <f>+CONCATENATE(E866,G866)</f>
        <v/>
      </c>
      <c r="R866" s="10">
        <f>+H866</f>
        <v>0</v>
      </c>
      <c r="S866" s="11"/>
      <c r="T866" s="10">
        <f>+E866</f>
        <v>0</v>
      </c>
      <c r="U866" s="19" t="str">
        <f t="shared" ref="U866" si="469">IFERROR(LEFT(G866,FIND("*",G866)-1),"-")</f>
        <v>-</v>
      </c>
      <c r="V866" s="19" t="str">
        <f t="shared" ref="V866" si="470">IFERROR(RIGHT(G866,LEN(G866)-FIND("*",G866)),"-")</f>
        <v>-</v>
      </c>
      <c r="W866" s="20" t="str">
        <f t="shared" si="466"/>
        <v>-</v>
      </c>
      <c r="X866" s="20" t="str">
        <f>IFERROR(W866*H866,"-")</f>
        <v>-</v>
      </c>
      <c r="Z866" s="33">
        <v>45180</v>
      </c>
    </row>
    <row r="867" spans="1:26" ht="6.95" customHeight="1" x14ac:dyDescent="0.3">
      <c r="A867" s="5"/>
      <c r="B867" s="157"/>
      <c r="C867" s="158"/>
      <c r="D867" s="161"/>
      <c r="E867" s="162"/>
      <c r="F867" s="163"/>
      <c r="G867" s="164"/>
      <c r="H867" s="165"/>
      <c r="I867" s="164"/>
      <c r="J867" s="165"/>
      <c r="K867" s="164"/>
      <c r="L867" s="165"/>
      <c r="M867" s="6"/>
      <c r="N867" s="32"/>
      <c r="Q867" s="10" t="str">
        <f>+CONCATENATE(E866,I866)</f>
        <v/>
      </c>
      <c r="R867" s="10">
        <f>+J866</f>
        <v>0</v>
      </c>
      <c r="S867" s="11"/>
      <c r="T867" s="10">
        <f>+E866</f>
        <v>0</v>
      </c>
      <c r="U867" s="19" t="str">
        <f>IFERROR(LEFT(I866,FIND("*",I866)-1),"-")</f>
        <v>-</v>
      </c>
      <c r="V867" s="19" t="str">
        <f>IFERROR(RIGHT(I866,LEN(I866)-FIND("*",I866)),"-")</f>
        <v>-</v>
      </c>
      <c r="W867" s="20" t="str">
        <f t="shared" si="466"/>
        <v>-</v>
      </c>
      <c r="X867" s="20" t="str">
        <f t="shared" ref="X867" si="471">IFERROR(W867*J866,"-")</f>
        <v>-</v>
      </c>
      <c r="Z867" s="33">
        <v>45180</v>
      </c>
    </row>
    <row r="868" spans="1:26" ht="6.95" customHeight="1" x14ac:dyDescent="0.3">
      <c r="A868" s="5"/>
      <c r="B868" s="157"/>
      <c r="C868" s="158"/>
      <c r="D868" s="161"/>
      <c r="E868" s="162"/>
      <c r="F868" s="163"/>
      <c r="G868" s="164"/>
      <c r="H868" s="165"/>
      <c r="I868" s="164"/>
      <c r="J868" s="165"/>
      <c r="K868" s="164"/>
      <c r="L868" s="165"/>
      <c r="M868" s="6"/>
      <c r="N868" s="32"/>
      <c r="Q868" s="10" t="str">
        <f>+CONCATENATE(E866,K866)</f>
        <v/>
      </c>
      <c r="R868" s="10">
        <f>+L866</f>
        <v>0</v>
      </c>
      <c r="S868" s="11"/>
      <c r="T868" s="10">
        <f>+E866</f>
        <v>0</v>
      </c>
      <c r="U868" s="19" t="str">
        <f>IFERROR(LEFT(K866,FIND("*",K866)-1),"-")</f>
        <v>-</v>
      </c>
      <c r="V868" s="19" t="str">
        <f>IFERROR(RIGHT(K866,LEN(K866)-FIND("*",K866)),"-")</f>
        <v>-</v>
      </c>
      <c r="W868" s="20" t="str">
        <f t="shared" si="466"/>
        <v>-</v>
      </c>
      <c r="X868" s="20" t="str">
        <f>IFERROR(W868*L866,"-")</f>
        <v>-</v>
      </c>
      <c r="Z868" s="33">
        <v>45180</v>
      </c>
    </row>
    <row r="869" spans="1:26" ht="21" customHeight="1" thickBot="1" x14ac:dyDescent="0.35">
      <c r="A869" s="5"/>
      <c r="B869" s="159"/>
      <c r="C869" s="160"/>
      <c r="D869" s="166" t="s">
        <v>43</v>
      </c>
      <c r="E869" s="167"/>
      <c r="F869" s="167"/>
      <c r="G869" s="168" t="s">
        <v>238</v>
      </c>
      <c r="H869" s="168"/>
      <c r="I869" s="168"/>
      <c r="J869" s="168"/>
      <c r="K869" s="168"/>
      <c r="L869" s="168"/>
      <c r="M869" s="7"/>
      <c r="N869" s="32"/>
      <c r="Z869" s="33">
        <v>45180</v>
      </c>
    </row>
    <row r="870" spans="1:26" ht="9.9499999999999993" customHeight="1" thickBot="1" x14ac:dyDescent="0.35">
      <c r="B870" s="9"/>
      <c r="C870" s="109">
        <v>879</v>
      </c>
      <c r="D870" s="51"/>
      <c r="E870" s="12"/>
      <c r="F870" s="51"/>
      <c r="G870" s="14"/>
      <c r="H870" s="14"/>
      <c r="I870" s="14"/>
      <c r="J870" s="14"/>
      <c r="K870" s="14"/>
      <c r="L870" s="14"/>
      <c r="M870" s="9"/>
      <c r="N870" s="32"/>
      <c r="U870" s="18"/>
      <c r="V870" s="18"/>
      <c r="Z870" s="33">
        <v>45180</v>
      </c>
    </row>
    <row r="871" spans="1:26" ht="6.95" customHeight="1" x14ac:dyDescent="0.3">
      <c r="A871" s="154">
        <f>+A860+1</f>
        <v>880</v>
      </c>
      <c r="B871" s="155"/>
      <c r="C871" s="156"/>
      <c r="D871" s="161" t="s">
        <v>39</v>
      </c>
      <c r="E871" s="162" t="s">
        <v>226</v>
      </c>
      <c r="F871" s="163" t="s">
        <v>40</v>
      </c>
      <c r="G871" s="164" t="s">
        <v>264</v>
      </c>
      <c r="H871" s="165">
        <v>1</v>
      </c>
      <c r="I871" s="164"/>
      <c r="J871" s="165"/>
      <c r="K871" s="164"/>
      <c r="L871" s="165"/>
      <c r="M871" s="6"/>
      <c r="N871" s="32"/>
      <c r="Q871" s="10" t="str">
        <f>+CONCATENATE(E871,G871)</f>
        <v>무보온덕트벽체1700*700</v>
      </c>
      <c r="R871" s="10">
        <f>+H871</f>
        <v>1</v>
      </c>
      <c r="S871" s="11"/>
      <c r="T871" s="10" t="str">
        <f>+E871</f>
        <v>무보온덕트벽체</v>
      </c>
      <c r="U871" s="19" t="str">
        <f>IFERROR(LEFT(G871,FIND("*",G871)-1),"-")</f>
        <v>1700</v>
      </c>
      <c r="V871" s="19" t="str">
        <f>IFERROR(RIGHT(G871,LEN(G871)-FIND("*",G871)),"-")</f>
        <v>700</v>
      </c>
      <c r="W871" s="20">
        <f>IFERROR((U871+V871)*2/1000,"-")</f>
        <v>4.8</v>
      </c>
      <c r="X871" s="20">
        <f>IFERROR(W871*H871,"-")</f>
        <v>4.8</v>
      </c>
      <c r="Z871" s="33">
        <v>45180</v>
      </c>
    </row>
    <row r="872" spans="1:26" ht="6.95" customHeight="1" x14ac:dyDescent="0.3">
      <c r="A872" s="154"/>
      <c r="B872" s="157"/>
      <c r="C872" s="158"/>
      <c r="D872" s="161"/>
      <c r="E872" s="162"/>
      <c r="F872" s="163"/>
      <c r="G872" s="164"/>
      <c r="H872" s="165"/>
      <c r="I872" s="164"/>
      <c r="J872" s="165"/>
      <c r="K872" s="164"/>
      <c r="L872" s="165"/>
      <c r="M872" s="6"/>
      <c r="N872" s="32"/>
      <c r="Q872" s="10" t="str">
        <f>+CONCATENATE(E871,I871)</f>
        <v>무보온덕트벽체</v>
      </c>
      <c r="R872" s="10">
        <f>+J871</f>
        <v>0</v>
      </c>
      <c r="S872" s="11"/>
      <c r="T872" s="10" t="str">
        <f>+E871</f>
        <v>무보온덕트벽체</v>
      </c>
      <c r="U872" s="19" t="str">
        <f>IFERROR(LEFT(I871,FIND("*",I871)-1),"-")</f>
        <v>-</v>
      </c>
      <c r="V872" s="19" t="str">
        <f>IFERROR(RIGHT(I871,LEN(I871)-FIND("*",I871)),"-")</f>
        <v>-</v>
      </c>
      <c r="W872" s="20" t="str">
        <f t="shared" ref="W872:W879" si="472">IFERROR((U872+V872)*2/1000,"-")</f>
        <v>-</v>
      </c>
      <c r="X872" s="20" t="str">
        <f>IFERROR(W872*J871,"-")</f>
        <v>-</v>
      </c>
      <c r="Z872" s="33">
        <v>45180</v>
      </c>
    </row>
    <row r="873" spans="1:26" ht="6.95" customHeight="1" x14ac:dyDescent="0.3">
      <c r="A873" s="154"/>
      <c r="B873" s="157"/>
      <c r="C873" s="158"/>
      <c r="D873" s="161"/>
      <c r="E873" s="162"/>
      <c r="F873" s="163"/>
      <c r="G873" s="164"/>
      <c r="H873" s="165"/>
      <c r="I873" s="164"/>
      <c r="J873" s="165"/>
      <c r="K873" s="164"/>
      <c r="L873" s="165"/>
      <c r="M873" s="6"/>
      <c r="N873" s="32"/>
      <c r="Q873" s="10" t="str">
        <f>+CONCATENATE(E871,K871)</f>
        <v>무보온덕트벽체</v>
      </c>
      <c r="R873" s="10">
        <f>+L871</f>
        <v>0</v>
      </c>
      <c r="S873" s="11"/>
      <c r="T873" s="10" t="str">
        <f>+E871</f>
        <v>무보온덕트벽체</v>
      </c>
      <c r="U873" s="19" t="str">
        <f>IFERROR(LEFT(K871,FIND("*",K871)-1),"-")</f>
        <v>-</v>
      </c>
      <c r="V873" s="19" t="str">
        <f>IFERROR(RIGHT(K871,LEN(K871)-FIND("*",K871)),"-")</f>
        <v>-</v>
      </c>
      <c r="W873" s="20" t="str">
        <f t="shared" si="472"/>
        <v>-</v>
      </c>
      <c r="X873" s="20" t="str">
        <f>IFERROR(W873*L871,"-")</f>
        <v>-</v>
      </c>
      <c r="Z873" s="33">
        <v>45180</v>
      </c>
    </row>
    <row r="874" spans="1:26" ht="6.95" customHeight="1" x14ac:dyDescent="0.3">
      <c r="A874" s="8"/>
      <c r="B874" s="157"/>
      <c r="C874" s="158"/>
      <c r="D874" s="161" t="s">
        <v>39</v>
      </c>
      <c r="E874" s="162" t="s">
        <v>66</v>
      </c>
      <c r="F874" s="163" t="s">
        <v>40</v>
      </c>
      <c r="G874" s="164" t="s">
        <v>264</v>
      </c>
      <c r="H874" s="165">
        <v>1</v>
      </c>
      <c r="I874" s="164"/>
      <c r="J874" s="165"/>
      <c r="K874" s="164"/>
      <c r="L874" s="165"/>
      <c r="M874" s="6"/>
      <c r="N874" s="32"/>
      <c r="Q874" s="10" t="str">
        <f>+CONCATENATE(E874,G874)</f>
        <v>차열재마감1700*700</v>
      </c>
      <c r="R874" s="10">
        <f>+H874</f>
        <v>1</v>
      </c>
      <c r="S874" s="11"/>
      <c r="T874" s="10" t="str">
        <f>+E874</f>
        <v>차열재마감</v>
      </c>
      <c r="U874" s="19" t="str">
        <f t="shared" ref="U874" si="473">IFERROR(LEFT(G874,FIND("*",G874)-1),"-")</f>
        <v>1700</v>
      </c>
      <c r="V874" s="19" t="str">
        <f t="shared" ref="V874" si="474">IFERROR(RIGHT(G874,LEN(G874)-FIND("*",G874)),"-")</f>
        <v>700</v>
      </c>
      <c r="W874" s="20">
        <f t="shared" si="472"/>
        <v>4.8</v>
      </c>
      <c r="X874" s="20">
        <f>IFERROR(W874*H874,"-")</f>
        <v>4.8</v>
      </c>
      <c r="Z874" s="33">
        <v>45180</v>
      </c>
    </row>
    <row r="875" spans="1:26" ht="6.95" customHeight="1" x14ac:dyDescent="0.3">
      <c r="A875" s="5"/>
      <c r="B875" s="157"/>
      <c r="C875" s="158"/>
      <c r="D875" s="161"/>
      <c r="E875" s="162"/>
      <c r="F875" s="163"/>
      <c r="G875" s="164"/>
      <c r="H875" s="165"/>
      <c r="I875" s="164"/>
      <c r="J875" s="165"/>
      <c r="K875" s="164"/>
      <c r="L875" s="165"/>
      <c r="M875" s="6"/>
      <c r="N875" s="32"/>
      <c r="Q875" s="10" t="str">
        <f>+CONCATENATE(E874,I874)</f>
        <v>차열재마감</v>
      </c>
      <c r="R875" s="10">
        <f>+J874</f>
        <v>0</v>
      </c>
      <c r="S875" s="11"/>
      <c r="T875" s="10" t="str">
        <f>+E874</f>
        <v>차열재마감</v>
      </c>
      <c r="U875" s="19" t="str">
        <f>IFERROR(LEFT(I874,FIND("*",I874)-1),"-")</f>
        <v>-</v>
      </c>
      <c r="V875" s="19" t="str">
        <f>IFERROR(RIGHT(I874,LEN(I874)-FIND("*",I874)),"-")</f>
        <v>-</v>
      </c>
      <c r="W875" s="20" t="str">
        <f t="shared" si="472"/>
        <v>-</v>
      </c>
      <c r="X875" s="20" t="str">
        <f>IFERROR(W875*J874,"-")</f>
        <v>-</v>
      </c>
      <c r="Z875" s="33">
        <v>45180</v>
      </c>
    </row>
    <row r="876" spans="1:26" ht="6.95" customHeight="1" x14ac:dyDescent="0.3">
      <c r="A876" s="5"/>
      <c r="B876" s="157"/>
      <c r="C876" s="158"/>
      <c r="D876" s="161"/>
      <c r="E876" s="162"/>
      <c r="F876" s="163"/>
      <c r="G876" s="164"/>
      <c r="H876" s="165"/>
      <c r="I876" s="164"/>
      <c r="J876" s="165"/>
      <c r="K876" s="164"/>
      <c r="L876" s="165"/>
      <c r="M876" s="6"/>
      <c r="N876" s="32"/>
      <c r="Q876" s="10" t="str">
        <f>+CONCATENATE(E874,K874)</f>
        <v>차열재마감</v>
      </c>
      <c r="R876" s="10">
        <f>+L874</f>
        <v>0</v>
      </c>
      <c r="S876" s="11"/>
      <c r="T876" s="10" t="str">
        <f>+E874</f>
        <v>차열재마감</v>
      </c>
      <c r="U876" s="19" t="str">
        <f>IFERROR(LEFT(K874,FIND("*",K874)-1),"-")</f>
        <v>-</v>
      </c>
      <c r="V876" s="19" t="str">
        <f>IFERROR(RIGHT(K874,LEN(K874)-FIND("*",K874)),"-")</f>
        <v>-</v>
      </c>
      <c r="W876" s="20" t="str">
        <f t="shared" si="472"/>
        <v>-</v>
      </c>
      <c r="X876" s="20" t="str">
        <f>IFERROR(W876*L874,"-")</f>
        <v>-</v>
      </c>
      <c r="Z876" s="33">
        <v>45180</v>
      </c>
    </row>
    <row r="877" spans="1:26" ht="6.95" customHeight="1" x14ac:dyDescent="0.3">
      <c r="A877" s="8"/>
      <c r="B877" s="157"/>
      <c r="C877" s="158"/>
      <c r="D877" s="161" t="s">
        <v>39</v>
      </c>
      <c r="E877" s="162"/>
      <c r="F877" s="163" t="s">
        <v>40</v>
      </c>
      <c r="G877" s="164"/>
      <c r="H877" s="165"/>
      <c r="I877" s="164"/>
      <c r="J877" s="165"/>
      <c r="K877" s="164"/>
      <c r="L877" s="165"/>
      <c r="M877" s="6"/>
      <c r="N877" s="32"/>
      <c r="Q877" s="10" t="str">
        <f>+CONCATENATE(E877,G877)</f>
        <v/>
      </c>
      <c r="R877" s="10">
        <f>+H877</f>
        <v>0</v>
      </c>
      <c r="S877" s="11"/>
      <c r="T877" s="10">
        <f>+E877</f>
        <v>0</v>
      </c>
      <c r="U877" s="19" t="str">
        <f t="shared" ref="U877" si="475">IFERROR(LEFT(G877,FIND("*",G877)-1),"-")</f>
        <v>-</v>
      </c>
      <c r="V877" s="19" t="str">
        <f t="shared" ref="V877" si="476">IFERROR(RIGHT(G877,LEN(G877)-FIND("*",G877)),"-")</f>
        <v>-</v>
      </c>
      <c r="W877" s="20" t="str">
        <f t="shared" si="472"/>
        <v>-</v>
      </c>
      <c r="X877" s="20" t="str">
        <f>IFERROR(W877*H877,"-")</f>
        <v>-</v>
      </c>
      <c r="Z877" s="33">
        <v>45180</v>
      </c>
    </row>
    <row r="878" spans="1:26" ht="6.95" customHeight="1" x14ac:dyDescent="0.3">
      <c r="A878" s="5"/>
      <c r="B878" s="157"/>
      <c r="C878" s="158"/>
      <c r="D878" s="161"/>
      <c r="E878" s="162"/>
      <c r="F878" s="163"/>
      <c r="G878" s="164"/>
      <c r="H878" s="165"/>
      <c r="I878" s="164"/>
      <c r="J878" s="165"/>
      <c r="K878" s="164"/>
      <c r="L878" s="165"/>
      <c r="M878" s="6"/>
      <c r="N878" s="32"/>
      <c r="Q878" s="10" t="str">
        <f>+CONCATENATE(E877,I877)</f>
        <v/>
      </c>
      <c r="R878" s="10">
        <f>+J877</f>
        <v>0</v>
      </c>
      <c r="S878" s="11"/>
      <c r="T878" s="10">
        <f>+E877</f>
        <v>0</v>
      </c>
      <c r="U878" s="19" t="str">
        <f>IFERROR(LEFT(I877,FIND("*",I877)-1),"-")</f>
        <v>-</v>
      </c>
      <c r="V878" s="19" t="str">
        <f>IFERROR(RIGHT(I877,LEN(I877)-FIND("*",I877)),"-")</f>
        <v>-</v>
      </c>
      <c r="W878" s="20" t="str">
        <f t="shared" si="472"/>
        <v>-</v>
      </c>
      <c r="X878" s="20" t="str">
        <f t="shared" ref="X878" si="477">IFERROR(W878*J877,"-")</f>
        <v>-</v>
      </c>
      <c r="Z878" s="33">
        <v>45180</v>
      </c>
    </row>
    <row r="879" spans="1:26" ht="6.95" customHeight="1" x14ac:dyDescent="0.3">
      <c r="A879" s="5"/>
      <c r="B879" s="157"/>
      <c r="C879" s="158"/>
      <c r="D879" s="161"/>
      <c r="E879" s="162"/>
      <c r="F879" s="163"/>
      <c r="G879" s="164"/>
      <c r="H879" s="165"/>
      <c r="I879" s="164"/>
      <c r="J879" s="165"/>
      <c r="K879" s="164"/>
      <c r="L879" s="165"/>
      <c r="M879" s="6"/>
      <c r="N879" s="32"/>
      <c r="Q879" s="10" t="str">
        <f>+CONCATENATE(E877,K877)</f>
        <v/>
      </c>
      <c r="R879" s="10">
        <f>+L877</f>
        <v>0</v>
      </c>
      <c r="S879" s="11"/>
      <c r="T879" s="10">
        <f>+E877</f>
        <v>0</v>
      </c>
      <c r="U879" s="19" t="str">
        <f>IFERROR(LEFT(K877,FIND("*",K877)-1),"-")</f>
        <v>-</v>
      </c>
      <c r="V879" s="19" t="str">
        <f>IFERROR(RIGHT(K877,LEN(K877)-FIND("*",K877)),"-")</f>
        <v>-</v>
      </c>
      <c r="W879" s="20" t="str">
        <f t="shared" si="472"/>
        <v>-</v>
      </c>
      <c r="X879" s="20" t="str">
        <f>IFERROR(W879*L877,"-")</f>
        <v>-</v>
      </c>
      <c r="Z879" s="33">
        <v>45180</v>
      </c>
    </row>
    <row r="880" spans="1:26" ht="21" customHeight="1" thickBot="1" x14ac:dyDescent="0.35">
      <c r="A880" s="5"/>
      <c r="B880" s="159"/>
      <c r="C880" s="160"/>
      <c r="D880" s="166" t="s">
        <v>43</v>
      </c>
      <c r="E880" s="167"/>
      <c r="F880" s="167"/>
      <c r="G880" s="168" t="s">
        <v>238</v>
      </c>
      <c r="H880" s="168"/>
      <c r="I880" s="168"/>
      <c r="J880" s="168"/>
      <c r="K880" s="168"/>
      <c r="L880" s="168"/>
      <c r="M880" s="7"/>
      <c r="N880" s="32"/>
      <c r="Z880" s="33">
        <v>45180</v>
      </c>
    </row>
    <row r="881" spans="1:26" ht="9.9499999999999993" customHeight="1" thickBot="1" x14ac:dyDescent="0.35">
      <c r="B881" s="9"/>
      <c r="C881" s="109" t="s">
        <v>242</v>
      </c>
      <c r="D881" s="51"/>
      <c r="E881" s="12"/>
      <c r="F881" s="51"/>
      <c r="G881" s="14"/>
      <c r="H881" s="14"/>
      <c r="I881" s="14"/>
      <c r="J881" s="14"/>
      <c r="K881" s="14"/>
      <c r="L881" s="14"/>
      <c r="M881" s="9"/>
      <c r="N881" s="32"/>
      <c r="U881" s="18"/>
      <c r="V881" s="18"/>
      <c r="Z881" s="33">
        <v>45180</v>
      </c>
    </row>
    <row r="882" spans="1:26" ht="6.95" customHeight="1" x14ac:dyDescent="0.3">
      <c r="A882" s="154">
        <f>+A871+1</f>
        <v>881</v>
      </c>
      <c r="B882" s="155"/>
      <c r="C882" s="156"/>
      <c r="D882" s="161" t="s">
        <v>39</v>
      </c>
      <c r="E882" s="162" t="s">
        <v>222</v>
      </c>
      <c r="F882" s="163" t="s">
        <v>40</v>
      </c>
      <c r="G882" s="164" t="s">
        <v>230</v>
      </c>
      <c r="H882" s="165">
        <v>1</v>
      </c>
      <c r="I882" s="164"/>
      <c r="J882" s="165"/>
      <c r="K882" s="164"/>
      <c r="L882" s="165"/>
      <c r="M882" s="6"/>
      <c r="N882" s="32"/>
      <c r="Q882" s="10" t="str">
        <f>+CONCATENATE(E882,G882)</f>
        <v>보온덕트벽체800*400</v>
      </c>
      <c r="R882" s="10">
        <f>+H882</f>
        <v>1</v>
      </c>
      <c r="S882" s="11"/>
      <c r="T882" s="10" t="str">
        <f>+E882</f>
        <v>보온덕트벽체</v>
      </c>
      <c r="U882" s="19" t="str">
        <f>IFERROR(LEFT(G882,FIND("*",G882)-1),"-")</f>
        <v>800</v>
      </c>
      <c r="V882" s="19" t="str">
        <f>IFERROR(RIGHT(G882,LEN(G882)-FIND("*",G882)),"-")</f>
        <v>400</v>
      </c>
      <c r="W882" s="20">
        <f>IFERROR((U882+V882)*2/1000,"-")</f>
        <v>2.4</v>
      </c>
      <c r="X882" s="20">
        <f>IFERROR(W882*H882,"-")</f>
        <v>2.4</v>
      </c>
      <c r="Z882" s="33">
        <v>45180</v>
      </c>
    </row>
    <row r="883" spans="1:26" ht="6.95" customHeight="1" x14ac:dyDescent="0.3">
      <c r="A883" s="154"/>
      <c r="B883" s="157"/>
      <c r="C883" s="158"/>
      <c r="D883" s="161"/>
      <c r="E883" s="162"/>
      <c r="F883" s="163"/>
      <c r="G883" s="164"/>
      <c r="H883" s="165"/>
      <c r="I883" s="164"/>
      <c r="J883" s="165"/>
      <c r="K883" s="164"/>
      <c r="L883" s="165"/>
      <c r="M883" s="6"/>
      <c r="N883" s="32"/>
      <c r="Q883" s="10" t="str">
        <f>+CONCATENATE(E882,I882)</f>
        <v>보온덕트벽체</v>
      </c>
      <c r="R883" s="10">
        <f>+J882</f>
        <v>0</v>
      </c>
      <c r="S883" s="11"/>
      <c r="T883" s="10" t="str">
        <f>+E882</f>
        <v>보온덕트벽체</v>
      </c>
      <c r="U883" s="19" t="str">
        <f>IFERROR(LEFT(I882,FIND("*",I882)-1),"-")</f>
        <v>-</v>
      </c>
      <c r="V883" s="19" t="str">
        <f>IFERROR(RIGHT(I882,LEN(I882)-FIND("*",I882)),"-")</f>
        <v>-</v>
      </c>
      <c r="W883" s="20" t="str">
        <f t="shared" ref="W883:W890" si="478">IFERROR((U883+V883)*2/1000,"-")</f>
        <v>-</v>
      </c>
      <c r="X883" s="20" t="str">
        <f>IFERROR(W883*J882,"-")</f>
        <v>-</v>
      </c>
      <c r="Z883" s="33">
        <v>45180</v>
      </c>
    </row>
    <row r="884" spans="1:26" ht="6.95" customHeight="1" x14ac:dyDescent="0.3">
      <c r="A884" s="154"/>
      <c r="B884" s="157"/>
      <c r="C884" s="158"/>
      <c r="D884" s="161"/>
      <c r="E884" s="162"/>
      <c r="F884" s="163"/>
      <c r="G884" s="164"/>
      <c r="H884" s="165"/>
      <c r="I884" s="164"/>
      <c r="J884" s="165"/>
      <c r="K884" s="164"/>
      <c r="L884" s="165"/>
      <c r="M884" s="6"/>
      <c r="N884" s="32"/>
      <c r="Q884" s="10" t="str">
        <f>+CONCATENATE(E882,K882)</f>
        <v>보온덕트벽체</v>
      </c>
      <c r="R884" s="10">
        <f>+L882</f>
        <v>0</v>
      </c>
      <c r="S884" s="11"/>
      <c r="T884" s="10" t="str">
        <f>+E882</f>
        <v>보온덕트벽체</v>
      </c>
      <c r="U884" s="19" t="str">
        <f>IFERROR(LEFT(K882,FIND("*",K882)-1),"-")</f>
        <v>-</v>
      </c>
      <c r="V884" s="19" t="str">
        <f>IFERROR(RIGHT(K882,LEN(K882)-FIND("*",K882)),"-")</f>
        <v>-</v>
      </c>
      <c r="W884" s="20" t="str">
        <f t="shared" si="478"/>
        <v>-</v>
      </c>
      <c r="X884" s="20" t="str">
        <f>IFERROR(W884*L882,"-")</f>
        <v>-</v>
      </c>
      <c r="Z884" s="33">
        <v>45180</v>
      </c>
    </row>
    <row r="885" spans="1:26" ht="6.95" customHeight="1" x14ac:dyDescent="0.3">
      <c r="A885" s="8"/>
      <c r="B885" s="157"/>
      <c r="C885" s="158"/>
      <c r="D885" s="161" t="s">
        <v>39</v>
      </c>
      <c r="E885" s="162" t="s">
        <v>228</v>
      </c>
      <c r="F885" s="163" t="s">
        <v>40</v>
      </c>
      <c r="G885" s="164" t="s">
        <v>230</v>
      </c>
      <c r="H885" s="165">
        <v>2</v>
      </c>
      <c r="I885" s="164"/>
      <c r="J885" s="165"/>
      <c r="K885" s="164"/>
      <c r="L885" s="165"/>
      <c r="M885" s="6"/>
      <c r="N885" s="32"/>
      <c r="Q885" s="10" t="str">
        <f>+CONCATENATE(E885,G885)</f>
        <v>차열재마감800*400</v>
      </c>
      <c r="R885" s="10">
        <f>+H885</f>
        <v>2</v>
      </c>
      <c r="S885" s="11"/>
      <c r="T885" s="10" t="str">
        <f>+E885</f>
        <v>차열재마감</v>
      </c>
      <c r="U885" s="19" t="str">
        <f t="shared" ref="U885" si="479">IFERROR(LEFT(G885,FIND("*",G885)-1),"-")</f>
        <v>800</v>
      </c>
      <c r="V885" s="19" t="str">
        <f t="shared" ref="V885" si="480">IFERROR(RIGHT(G885,LEN(G885)-FIND("*",G885)),"-")</f>
        <v>400</v>
      </c>
      <c r="W885" s="20">
        <f t="shared" si="478"/>
        <v>2.4</v>
      </c>
      <c r="X885" s="20">
        <f>IFERROR(W885*H885,"-")</f>
        <v>4.8</v>
      </c>
      <c r="Z885" s="33">
        <v>45180</v>
      </c>
    </row>
    <row r="886" spans="1:26" ht="6.95" customHeight="1" x14ac:dyDescent="0.3">
      <c r="A886" s="5"/>
      <c r="B886" s="157"/>
      <c r="C886" s="158"/>
      <c r="D886" s="161"/>
      <c r="E886" s="162"/>
      <c r="F886" s="163"/>
      <c r="G886" s="164"/>
      <c r="H886" s="165"/>
      <c r="I886" s="164"/>
      <c r="J886" s="165"/>
      <c r="K886" s="164"/>
      <c r="L886" s="165"/>
      <c r="M886" s="6"/>
      <c r="N886" s="32"/>
      <c r="Q886" s="10" t="str">
        <f>+CONCATENATE(E885,I885)</f>
        <v>차열재마감</v>
      </c>
      <c r="R886" s="10">
        <f>+J885</f>
        <v>0</v>
      </c>
      <c r="S886" s="11"/>
      <c r="T886" s="10" t="str">
        <f>+E885</f>
        <v>차열재마감</v>
      </c>
      <c r="U886" s="19" t="str">
        <f>IFERROR(LEFT(I885,FIND("*",I885)-1),"-")</f>
        <v>-</v>
      </c>
      <c r="V886" s="19" t="str">
        <f>IFERROR(RIGHT(I885,LEN(I885)-FIND("*",I885)),"-")</f>
        <v>-</v>
      </c>
      <c r="W886" s="20" t="str">
        <f t="shared" si="478"/>
        <v>-</v>
      </c>
      <c r="X886" s="20" t="str">
        <f>IFERROR(W886*J885,"-")</f>
        <v>-</v>
      </c>
      <c r="Z886" s="33">
        <v>45180</v>
      </c>
    </row>
    <row r="887" spans="1:26" ht="6.95" customHeight="1" x14ac:dyDescent="0.3">
      <c r="A887" s="5"/>
      <c r="B887" s="157"/>
      <c r="C887" s="158"/>
      <c r="D887" s="161"/>
      <c r="E887" s="162"/>
      <c r="F887" s="163"/>
      <c r="G887" s="164"/>
      <c r="H887" s="165"/>
      <c r="I887" s="164"/>
      <c r="J887" s="165"/>
      <c r="K887" s="164"/>
      <c r="L887" s="165"/>
      <c r="M887" s="6"/>
      <c r="N887" s="32"/>
      <c r="Q887" s="10" t="str">
        <f>+CONCATENATE(E885,K885)</f>
        <v>차열재마감</v>
      </c>
      <c r="R887" s="10">
        <f>+L885</f>
        <v>0</v>
      </c>
      <c r="S887" s="11"/>
      <c r="T887" s="10" t="str">
        <f>+E885</f>
        <v>차열재마감</v>
      </c>
      <c r="U887" s="19" t="str">
        <f>IFERROR(LEFT(K885,FIND("*",K885)-1),"-")</f>
        <v>-</v>
      </c>
      <c r="V887" s="19" t="str">
        <f>IFERROR(RIGHT(K885,LEN(K885)-FIND("*",K885)),"-")</f>
        <v>-</v>
      </c>
      <c r="W887" s="20" t="str">
        <f t="shared" si="478"/>
        <v>-</v>
      </c>
      <c r="X887" s="20" t="str">
        <f>IFERROR(W887*L885,"-")</f>
        <v>-</v>
      </c>
      <c r="Z887" s="33">
        <v>45180</v>
      </c>
    </row>
    <row r="888" spans="1:26" ht="6.95" customHeight="1" x14ac:dyDescent="0.3">
      <c r="A888" s="8"/>
      <c r="B888" s="157"/>
      <c r="C888" s="158"/>
      <c r="D888" s="161" t="s">
        <v>39</v>
      </c>
      <c r="E888" s="162" t="s">
        <v>258</v>
      </c>
      <c r="F888" s="163" t="s">
        <v>40</v>
      </c>
      <c r="G888" s="164">
        <v>50</v>
      </c>
      <c r="H888" s="165">
        <v>3</v>
      </c>
      <c r="I888" s="164"/>
      <c r="J888" s="165"/>
      <c r="K888" s="164"/>
      <c r="L888" s="165"/>
      <c r="M888" s="6"/>
      <c r="N888" s="32"/>
      <c r="Q888" s="10" t="str">
        <f>+CONCATENATE(E888,G888)</f>
        <v>금속관벽체50</v>
      </c>
      <c r="R888" s="10">
        <f>+H888</f>
        <v>3</v>
      </c>
      <c r="S888" s="11"/>
      <c r="T888" s="10" t="str">
        <f>+E888</f>
        <v>금속관벽체</v>
      </c>
      <c r="U888" s="19" t="str">
        <f t="shared" ref="U888" si="481">IFERROR(LEFT(G888,FIND("*",G888)-1),"-")</f>
        <v>-</v>
      </c>
      <c r="V888" s="19" t="str">
        <f t="shared" ref="V888" si="482">IFERROR(RIGHT(G888,LEN(G888)-FIND("*",G888)),"-")</f>
        <v>-</v>
      </c>
      <c r="W888" s="20" t="str">
        <f t="shared" si="478"/>
        <v>-</v>
      </c>
      <c r="X888" s="20" t="str">
        <f>IFERROR(W888*H888,"-")</f>
        <v>-</v>
      </c>
      <c r="Z888" s="33">
        <v>45180</v>
      </c>
    </row>
    <row r="889" spans="1:26" ht="6.95" customHeight="1" x14ac:dyDescent="0.3">
      <c r="A889" s="5"/>
      <c r="B889" s="157"/>
      <c r="C889" s="158"/>
      <c r="D889" s="161"/>
      <c r="E889" s="162"/>
      <c r="F889" s="163"/>
      <c r="G889" s="164"/>
      <c r="H889" s="165"/>
      <c r="I889" s="164"/>
      <c r="J889" s="165"/>
      <c r="K889" s="164"/>
      <c r="L889" s="165"/>
      <c r="M889" s="6"/>
      <c r="N889" s="32"/>
      <c r="Q889" s="10" t="str">
        <f>+CONCATENATE(E888,I888)</f>
        <v>금속관벽체</v>
      </c>
      <c r="R889" s="10">
        <f>+J888</f>
        <v>0</v>
      </c>
      <c r="S889" s="11"/>
      <c r="T889" s="10" t="str">
        <f>+E888</f>
        <v>금속관벽체</v>
      </c>
      <c r="U889" s="19" t="str">
        <f>IFERROR(LEFT(I888,FIND("*",I888)-1),"-")</f>
        <v>-</v>
      </c>
      <c r="V889" s="19" t="str">
        <f>IFERROR(RIGHT(I888,LEN(I888)-FIND("*",I888)),"-")</f>
        <v>-</v>
      </c>
      <c r="W889" s="20" t="str">
        <f t="shared" si="478"/>
        <v>-</v>
      </c>
      <c r="X889" s="20" t="str">
        <f t="shared" ref="X889" si="483">IFERROR(W889*J888,"-")</f>
        <v>-</v>
      </c>
      <c r="Z889" s="33">
        <v>45180</v>
      </c>
    </row>
    <row r="890" spans="1:26" ht="6.95" customHeight="1" x14ac:dyDescent="0.3">
      <c r="A890" s="5"/>
      <c r="B890" s="157"/>
      <c r="C890" s="158"/>
      <c r="D890" s="161"/>
      <c r="E890" s="162"/>
      <c r="F890" s="163"/>
      <c r="G890" s="164"/>
      <c r="H890" s="165"/>
      <c r="I890" s="164"/>
      <c r="J890" s="165"/>
      <c r="K890" s="164"/>
      <c r="L890" s="165"/>
      <c r="M890" s="6"/>
      <c r="N890" s="32"/>
      <c r="Q890" s="10" t="str">
        <f>+CONCATENATE(E888,K888)</f>
        <v>금속관벽체</v>
      </c>
      <c r="R890" s="10">
        <f>+L888</f>
        <v>0</v>
      </c>
      <c r="S890" s="11"/>
      <c r="T890" s="10" t="str">
        <f>+E888</f>
        <v>금속관벽체</v>
      </c>
      <c r="U890" s="19" t="str">
        <f>IFERROR(LEFT(K888,FIND("*",K888)-1),"-")</f>
        <v>-</v>
      </c>
      <c r="V890" s="19" t="str">
        <f>IFERROR(RIGHT(K888,LEN(K888)-FIND("*",K888)),"-")</f>
        <v>-</v>
      </c>
      <c r="W890" s="20" t="str">
        <f t="shared" si="478"/>
        <v>-</v>
      </c>
      <c r="X890" s="20" t="str">
        <f>IFERROR(W890*L888,"-")</f>
        <v>-</v>
      </c>
      <c r="Z890" s="33">
        <v>45180</v>
      </c>
    </row>
    <row r="891" spans="1:26" ht="21" customHeight="1" thickBot="1" x14ac:dyDescent="0.35">
      <c r="A891" s="5"/>
      <c r="B891" s="159"/>
      <c r="C891" s="160"/>
      <c r="D891" s="166" t="s">
        <v>43</v>
      </c>
      <c r="E891" s="167"/>
      <c r="F891" s="167"/>
      <c r="G891" s="168" t="s">
        <v>238</v>
      </c>
      <c r="H891" s="168"/>
      <c r="I891" s="168"/>
      <c r="J891" s="168"/>
      <c r="K891" s="168"/>
      <c r="L891" s="168"/>
      <c r="M891" s="7"/>
      <c r="N891" s="32"/>
      <c r="Z891" s="33">
        <v>45180</v>
      </c>
    </row>
    <row r="892" spans="1:26" ht="9.9499999999999993" customHeight="1" thickBot="1" x14ac:dyDescent="0.35">
      <c r="B892" s="9"/>
      <c r="C892" s="109" t="s">
        <v>243</v>
      </c>
      <c r="D892" s="51"/>
      <c r="E892" s="12"/>
      <c r="F892" s="51"/>
      <c r="G892" s="14"/>
      <c r="H892" s="14"/>
      <c r="I892" s="14"/>
      <c r="J892" s="14"/>
      <c r="K892" s="14"/>
      <c r="L892" s="14"/>
      <c r="M892" s="9"/>
      <c r="N892" s="32"/>
      <c r="U892" s="18"/>
      <c r="V892" s="18"/>
      <c r="Z892" s="33">
        <v>45180</v>
      </c>
    </row>
    <row r="893" spans="1:26" ht="6.95" customHeight="1" x14ac:dyDescent="0.3">
      <c r="A893" s="154">
        <f>+A882+1</f>
        <v>882</v>
      </c>
      <c r="B893" s="155"/>
      <c r="C893" s="156"/>
      <c r="D893" s="161" t="s">
        <v>39</v>
      </c>
      <c r="E893" s="162" t="s">
        <v>258</v>
      </c>
      <c r="F893" s="163" t="s">
        <v>40</v>
      </c>
      <c r="G893" s="164">
        <v>50</v>
      </c>
      <c r="H893" s="165">
        <v>2</v>
      </c>
      <c r="I893" s="164"/>
      <c r="J893" s="165"/>
      <c r="K893" s="164"/>
      <c r="L893" s="165"/>
      <c r="M893" s="6"/>
      <c r="N893" s="32"/>
      <c r="Q893" s="10" t="str">
        <f>+CONCATENATE(E893,G893)</f>
        <v>금속관벽체50</v>
      </c>
      <c r="R893" s="10">
        <f>+H893</f>
        <v>2</v>
      </c>
      <c r="S893" s="11"/>
      <c r="T893" s="10" t="str">
        <f>+E893</f>
        <v>금속관벽체</v>
      </c>
      <c r="U893" s="19" t="str">
        <f>IFERROR(LEFT(G893,FIND("*",G893)-1),"-")</f>
        <v>-</v>
      </c>
      <c r="V893" s="19" t="str">
        <f>IFERROR(RIGHT(G893,LEN(G893)-FIND("*",G893)),"-")</f>
        <v>-</v>
      </c>
      <c r="W893" s="20" t="str">
        <f>IFERROR((U893+V893)*2/1000,"-")</f>
        <v>-</v>
      </c>
      <c r="X893" s="20" t="str">
        <f>IFERROR(W893*H893,"-")</f>
        <v>-</v>
      </c>
      <c r="Z893" s="33">
        <v>45180</v>
      </c>
    </row>
    <row r="894" spans="1:26" ht="6.95" customHeight="1" x14ac:dyDescent="0.3">
      <c r="A894" s="154"/>
      <c r="B894" s="157"/>
      <c r="C894" s="158"/>
      <c r="D894" s="161"/>
      <c r="E894" s="162"/>
      <c r="F894" s="163"/>
      <c r="G894" s="164"/>
      <c r="H894" s="165"/>
      <c r="I894" s="164"/>
      <c r="J894" s="165"/>
      <c r="K894" s="164"/>
      <c r="L894" s="165"/>
      <c r="M894" s="6"/>
      <c r="N894" s="32"/>
      <c r="Q894" s="10" t="str">
        <f>+CONCATENATE(E893,I893)</f>
        <v>금속관벽체</v>
      </c>
      <c r="R894" s="10">
        <f>+J893</f>
        <v>0</v>
      </c>
      <c r="S894" s="11"/>
      <c r="T894" s="10" t="str">
        <f>+E893</f>
        <v>금속관벽체</v>
      </c>
      <c r="U894" s="19" t="str">
        <f>IFERROR(LEFT(I893,FIND("*",I893)-1),"-")</f>
        <v>-</v>
      </c>
      <c r="V894" s="19" t="str">
        <f>IFERROR(RIGHT(I893,LEN(I893)-FIND("*",I893)),"-")</f>
        <v>-</v>
      </c>
      <c r="W894" s="20" t="str">
        <f t="shared" ref="W894:W901" si="484">IFERROR((U894+V894)*2/1000,"-")</f>
        <v>-</v>
      </c>
      <c r="X894" s="20" t="str">
        <f>IFERROR(W894*J893,"-")</f>
        <v>-</v>
      </c>
      <c r="Z894" s="33">
        <v>45180</v>
      </c>
    </row>
    <row r="895" spans="1:26" ht="6.95" customHeight="1" x14ac:dyDescent="0.3">
      <c r="A895" s="154"/>
      <c r="B895" s="157"/>
      <c r="C895" s="158"/>
      <c r="D895" s="161"/>
      <c r="E895" s="162"/>
      <c r="F895" s="163"/>
      <c r="G895" s="164"/>
      <c r="H895" s="165"/>
      <c r="I895" s="164"/>
      <c r="J895" s="165"/>
      <c r="K895" s="164"/>
      <c r="L895" s="165"/>
      <c r="M895" s="6"/>
      <c r="N895" s="32"/>
      <c r="Q895" s="10" t="str">
        <f>+CONCATENATE(E893,K893)</f>
        <v>금속관벽체</v>
      </c>
      <c r="R895" s="10">
        <f>+L893</f>
        <v>0</v>
      </c>
      <c r="S895" s="11"/>
      <c r="T895" s="10" t="str">
        <f>+E893</f>
        <v>금속관벽체</v>
      </c>
      <c r="U895" s="19" t="str">
        <f>IFERROR(LEFT(K893,FIND("*",K893)-1),"-")</f>
        <v>-</v>
      </c>
      <c r="V895" s="19" t="str">
        <f>IFERROR(RIGHT(K893,LEN(K893)-FIND("*",K893)),"-")</f>
        <v>-</v>
      </c>
      <c r="W895" s="20" t="str">
        <f t="shared" si="484"/>
        <v>-</v>
      </c>
      <c r="X895" s="20" t="str">
        <f>IFERROR(W895*L893,"-")</f>
        <v>-</v>
      </c>
      <c r="Z895" s="33">
        <v>45180</v>
      </c>
    </row>
    <row r="896" spans="1:26" ht="6.95" customHeight="1" x14ac:dyDescent="0.3">
      <c r="A896" s="8"/>
      <c r="B896" s="157"/>
      <c r="C896" s="158"/>
      <c r="D896" s="161" t="s">
        <v>39</v>
      </c>
      <c r="E896" s="162"/>
      <c r="F896" s="163" t="s">
        <v>40</v>
      </c>
      <c r="G896" s="164"/>
      <c r="H896" s="165"/>
      <c r="I896" s="164"/>
      <c r="J896" s="165"/>
      <c r="K896" s="164"/>
      <c r="L896" s="165"/>
      <c r="M896" s="6"/>
      <c r="N896" s="32"/>
      <c r="Q896" s="10" t="str">
        <f>+CONCATENATE(E896,G896)</f>
        <v/>
      </c>
      <c r="R896" s="10">
        <f>+H896</f>
        <v>0</v>
      </c>
      <c r="S896" s="11"/>
      <c r="T896" s="10">
        <f>+E896</f>
        <v>0</v>
      </c>
      <c r="U896" s="19" t="str">
        <f t="shared" ref="U896" si="485">IFERROR(LEFT(G896,FIND("*",G896)-1),"-")</f>
        <v>-</v>
      </c>
      <c r="V896" s="19" t="str">
        <f t="shared" ref="V896" si="486">IFERROR(RIGHT(G896,LEN(G896)-FIND("*",G896)),"-")</f>
        <v>-</v>
      </c>
      <c r="W896" s="20" t="str">
        <f t="shared" si="484"/>
        <v>-</v>
      </c>
      <c r="X896" s="20" t="str">
        <f>IFERROR(W896*H896,"-")</f>
        <v>-</v>
      </c>
      <c r="Z896" s="33">
        <v>45180</v>
      </c>
    </row>
    <row r="897" spans="1:26" ht="6.95" customHeight="1" x14ac:dyDescent="0.3">
      <c r="A897" s="5"/>
      <c r="B897" s="157"/>
      <c r="C897" s="158"/>
      <c r="D897" s="161"/>
      <c r="E897" s="162"/>
      <c r="F897" s="163"/>
      <c r="G897" s="164"/>
      <c r="H897" s="165"/>
      <c r="I897" s="164"/>
      <c r="J897" s="165"/>
      <c r="K897" s="164"/>
      <c r="L897" s="165"/>
      <c r="M897" s="6"/>
      <c r="N897" s="32"/>
      <c r="Q897" s="10" t="str">
        <f>+CONCATENATE(E896,I896)</f>
        <v/>
      </c>
      <c r="R897" s="10">
        <f>+J896</f>
        <v>0</v>
      </c>
      <c r="S897" s="11"/>
      <c r="T897" s="10">
        <f>+E896</f>
        <v>0</v>
      </c>
      <c r="U897" s="19" t="str">
        <f>IFERROR(LEFT(I896,FIND("*",I896)-1),"-")</f>
        <v>-</v>
      </c>
      <c r="V897" s="19" t="str">
        <f>IFERROR(RIGHT(I896,LEN(I896)-FIND("*",I896)),"-")</f>
        <v>-</v>
      </c>
      <c r="W897" s="20" t="str">
        <f t="shared" si="484"/>
        <v>-</v>
      </c>
      <c r="X897" s="20" t="str">
        <f>IFERROR(W897*J896,"-")</f>
        <v>-</v>
      </c>
      <c r="Z897" s="33">
        <v>45180</v>
      </c>
    </row>
    <row r="898" spans="1:26" ht="6.95" customHeight="1" x14ac:dyDescent="0.3">
      <c r="A898" s="5"/>
      <c r="B898" s="157"/>
      <c r="C898" s="158"/>
      <c r="D898" s="161"/>
      <c r="E898" s="162"/>
      <c r="F898" s="163"/>
      <c r="G898" s="164"/>
      <c r="H898" s="165"/>
      <c r="I898" s="164"/>
      <c r="J898" s="165"/>
      <c r="K898" s="164"/>
      <c r="L898" s="165"/>
      <c r="M898" s="6"/>
      <c r="N898" s="32"/>
      <c r="Q898" s="10" t="str">
        <f>+CONCATENATE(E896,K896)</f>
        <v/>
      </c>
      <c r="R898" s="10">
        <f>+L896</f>
        <v>0</v>
      </c>
      <c r="S898" s="11"/>
      <c r="T898" s="10">
        <f>+E896</f>
        <v>0</v>
      </c>
      <c r="U898" s="19" t="str">
        <f>IFERROR(LEFT(K896,FIND("*",K896)-1),"-")</f>
        <v>-</v>
      </c>
      <c r="V898" s="19" t="str">
        <f>IFERROR(RIGHT(K896,LEN(K896)-FIND("*",K896)),"-")</f>
        <v>-</v>
      </c>
      <c r="W898" s="20" t="str">
        <f t="shared" si="484"/>
        <v>-</v>
      </c>
      <c r="X898" s="20" t="str">
        <f>IFERROR(W898*L896,"-")</f>
        <v>-</v>
      </c>
      <c r="Z898" s="33">
        <v>45180</v>
      </c>
    </row>
    <row r="899" spans="1:26" ht="6.95" customHeight="1" x14ac:dyDescent="0.3">
      <c r="A899" s="8"/>
      <c r="B899" s="157"/>
      <c r="C899" s="158"/>
      <c r="D899" s="161" t="s">
        <v>39</v>
      </c>
      <c r="E899" s="162"/>
      <c r="F899" s="163" t="s">
        <v>40</v>
      </c>
      <c r="G899" s="164"/>
      <c r="H899" s="165"/>
      <c r="I899" s="164"/>
      <c r="J899" s="165"/>
      <c r="K899" s="164"/>
      <c r="L899" s="165"/>
      <c r="M899" s="6"/>
      <c r="N899" s="32"/>
      <c r="Q899" s="10" t="str">
        <f>+CONCATENATE(E899,G899)</f>
        <v/>
      </c>
      <c r="R899" s="10">
        <f>+H899</f>
        <v>0</v>
      </c>
      <c r="S899" s="11"/>
      <c r="T899" s="10">
        <f>+E899</f>
        <v>0</v>
      </c>
      <c r="U899" s="19" t="str">
        <f t="shared" ref="U899" si="487">IFERROR(LEFT(G899,FIND("*",G899)-1),"-")</f>
        <v>-</v>
      </c>
      <c r="V899" s="19" t="str">
        <f t="shared" ref="V899" si="488">IFERROR(RIGHT(G899,LEN(G899)-FIND("*",G899)),"-")</f>
        <v>-</v>
      </c>
      <c r="W899" s="20" t="str">
        <f t="shared" si="484"/>
        <v>-</v>
      </c>
      <c r="X899" s="20" t="str">
        <f>IFERROR(W899*H899,"-")</f>
        <v>-</v>
      </c>
      <c r="Z899" s="33">
        <v>45180</v>
      </c>
    </row>
    <row r="900" spans="1:26" ht="6.95" customHeight="1" x14ac:dyDescent="0.3">
      <c r="A900" s="5"/>
      <c r="B900" s="157"/>
      <c r="C900" s="158"/>
      <c r="D900" s="161"/>
      <c r="E900" s="162"/>
      <c r="F900" s="163"/>
      <c r="G900" s="164"/>
      <c r="H900" s="165"/>
      <c r="I900" s="164"/>
      <c r="J900" s="165"/>
      <c r="K900" s="164"/>
      <c r="L900" s="165"/>
      <c r="M900" s="6"/>
      <c r="N900" s="32"/>
      <c r="Q900" s="10" t="str">
        <f>+CONCATENATE(E899,I899)</f>
        <v/>
      </c>
      <c r="R900" s="10">
        <f>+J899</f>
        <v>0</v>
      </c>
      <c r="S900" s="11"/>
      <c r="T900" s="10">
        <f>+E899</f>
        <v>0</v>
      </c>
      <c r="U900" s="19" t="str">
        <f>IFERROR(LEFT(I899,FIND("*",I899)-1),"-")</f>
        <v>-</v>
      </c>
      <c r="V900" s="19" t="str">
        <f>IFERROR(RIGHT(I899,LEN(I899)-FIND("*",I899)),"-")</f>
        <v>-</v>
      </c>
      <c r="W900" s="20" t="str">
        <f t="shared" si="484"/>
        <v>-</v>
      </c>
      <c r="X900" s="20" t="str">
        <f t="shared" ref="X900" si="489">IFERROR(W900*J899,"-")</f>
        <v>-</v>
      </c>
      <c r="Z900" s="33">
        <v>45180</v>
      </c>
    </row>
    <row r="901" spans="1:26" ht="6.95" customHeight="1" x14ac:dyDescent="0.3">
      <c r="A901" s="5"/>
      <c r="B901" s="157"/>
      <c r="C901" s="158"/>
      <c r="D901" s="161"/>
      <c r="E901" s="162"/>
      <c r="F901" s="163"/>
      <c r="G901" s="164"/>
      <c r="H901" s="165"/>
      <c r="I901" s="164"/>
      <c r="J901" s="165"/>
      <c r="K901" s="164"/>
      <c r="L901" s="165"/>
      <c r="M901" s="6"/>
      <c r="N901" s="32"/>
      <c r="Q901" s="10" t="str">
        <f>+CONCATENATE(E899,K899)</f>
        <v/>
      </c>
      <c r="R901" s="10">
        <f>+L899</f>
        <v>0</v>
      </c>
      <c r="S901" s="11"/>
      <c r="T901" s="10">
        <f>+E899</f>
        <v>0</v>
      </c>
      <c r="U901" s="19" t="str">
        <f>IFERROR(LEFT(K899,FIND("*",K899)-1),"-")</f>
        <v>-</v>
      </c>
      <c r="V901" s="19" t="str">
        <f>IFERROR(RIGHT(K899,LEN(K899)-FIND("*",K899)),"-")</f>
        <v>-</v>
      </c>
      <c r="W901" s="20" t="str">
        <f t="shared" si="484"/>
        <v>-</v>
      </c>
      <c r="X901" s="20" t="str">
        <f>IFERROR(W901*L899,"-")</f>
        <v>-</v>
      </c>
      <c r="Z901" s="33">
        <v>45180</v>
      </c>
    </row>
    <row r="902" spans="1:26" ht="21" customHeight="1" thickBot="1" x14ac:dyDescent="0.35">
      <c r="A902" s="5"/>
      <c r="B902" s="159"/>
      <c r="C902" s="160"/>
      <c r="D902" s="166" t="s">
        <v>43</v>
      </c>
      <c r="E902" s="167"/>
      <c r="F902" s="167"/>
      <c r="G902" s="168" t="s">
        <v>238</v>
      </c>
      <c r="H902" s="168"/>
      <c r="I902" s="168"/>
      <c r="J902" s="168"/>
      <c r="K902" s="168"/>
      <c r="L902" s="168"/>
      <c r="M902" s="7"/>
      <c r="N902" s="33">
        <v>45180</v>
      </c>
      <c r="Z902" s="33">
        <v>45180</v>
      </c>
    </row>
    <row r="903" spans="1:26" ht="9.9499999999999993" customHeight="1" thickBot="1" x14ac:dyDescent="0.35">
      <c r="B903" s="9"/>
      <c r="C903" s="109" t="s">
        <v>244</v>
      </c>
      <c r="D903" s="51"/>
      <c r="E903" s="12"/>
      <c r="F903" s="51"/>
      <c r="G903" s="14"/>
      <c r="H903" s="14"/>
      <c r="I903" s="14"/>
      <c r="J903" s="14"/>
      <c r="K903" s="14"/>
      <c r="L903" s="14"/>
      <c r="M903" s="9"/>
      <c r="N903" s="32"/>
      <c r="U903" s="18"/>
      <c r="V903" s="18"/>
      <c r="Z903" s="33">
        <v>45181</v>
      </c>
    </row>
    <row r="904" spans="1:26" ht="6.95" customHeight="1" x14ac:dyDescent="0.3">
      <c r="A904" s="154">
        <f>+A893+1</f>
        <v>883</v>
      </c>
      <c r="B904" s="155"/>
      <c r="C904" s="156"/>
      <c r="D904" s="169" t="s">
        <v>39</v>
      </c>
      <c r="E904" s="172" t="s">
        <v>222</v>
      </c>
      <c r="F904" s="175" t="s">
        <v>40</v>
      </c>
      <c r="G904" s="178" t="s">
        <v>223</v>
      </c>
      <c r="H904" s="181">
        <v>0.5</v>
      </c>
      <c r="I904" s="178"/>
      <c r="J904" s="181"/>
      <c r="K904" s="178"/>
      <c r="L904" s="181"/>
      <c r="M904" s="6"/>
      <c r="N904" s="32"/>
      <c r="Q904" s="10" t="str">
        <f>+CONCATENATE(E904,G904)</f>
        <v>보온덕트벽체1900*600</v>
      </c>
      <c r="R904" s="10">
        <f>+H904</f>
        <v>0.5</v>
      </c>
      <c r="S904" s="11"/>
      <c r="T904" s="10" t="str">
        <f>+E904</f>
        <v>보온덕트벽체</v>
      </c>
      <c r="U904" s="19" t="str">
        <f>IFERROR(LEFT(G904,FIND("*",G904)-1),"-")</f>
        <v>1900</v>
      </c>
      <c r="V904" s="19" t="str">
        <f>IFERROR(RIGHT(G904,LEN(G904)-FIND("*",G904)),"-")</f>
        <v>600</v>
      </c>
      <c r="W904" s="20">
        <f>IFERROR((U904+V904)*2/1000,"-")</f>
        <v>5</v>
      </c>
      <c r="X904" s="20">
        <f>IFERROR(W904*H904,"-")</f>
        <v>2.5</v>
      </c>
      <c r="Z904" s="33">
        <v>45181</v>
      </c>
    </row>
    <row r="905" spans="1:26" ht="6.95" customHeight="1" x14ac:dyDescent="0.3">
      <c r="A905" s="154"/>
      <c r="B905" s="157"/>
      <c r="C905" s="158"/>
      <c r="D905" s="170"/>
      <c r="E905" s="173"/>
      <c r="F905" s="176"/>
      <c r="G905" s="179"/>
      <c r="H905" s="182"/>
      <c r="I905" s="179"/>
      <c r="J905" s="182"/>
      <c r="K905" s="179"/>
      <c r="L905" s="182"/>
      <c r="M905" s="6"/>
      <c r="N905" s="32"/>
      <c r="Q905" s="10" t="str">
        <f>+CONCATENATE(E904,I904)</f>
        <v>보온덕트벽체</v>
      </c>
      <c r="R905" s="10">
        <f>+J904</f>
        <v>0</v>
      </c>
      <c r="S905" s="11"/>
      <c r="T905" s="10" t="str">
        <f>+E904</f>
        <v>보온덕트벽체</v>
      </c>
      <c r="U905" s="19" t="str">
        <f>IFERROR(LEFT(I904,FIND("*",I904)-1),"-")</f>
        <v>-</v>
      </c>
      <c r="V905" s="19" t="str">
        <f>IFERROR(RIGHT(I904,LEN(I904)-FIND("*",I904)),"-")</f>
        <v>-</v>
      </c>
      <c r="W905" s="20" t="str">
        <f t="shared" ref="W905:W912" si="490">IFERROR((U905+V905)*2/1000,"-")</f>
        <v>-</v>
      </c>
      <c r="X905" s="20" t="str">
        <f>IFERROR(W905*J904,"-")</f>
        <v>-</v>
      </c>
      <c r="Z905" s="33">
        <v>45181</v>
      </c>
    </row>
    <row r="906" spans="1:26" ht="6.95" customHeight="1" x14ac:dyDescent="0.3">
      <c r="A906" s="154"/>
      <c r="B906" s="157"/>
      <c r="C906" s="158"/>
      <c r="D906" s="171"/>
      <c r="E906" s="174"/>
      <c r="F906" s="177"/>
      <c r="G906" s="180"/>
      <c r="H906" s="183"/>
      <c r="I906" s="180"/>
      <c r="J906" s="183"/>
      <c r="K906" s="180"/>
      <c r="L906" s="183"/>
      <c r="M906" s="6"/>
      <c r="N906" s="32"/>
      <c r="Q906" s="10" t="str">
        <f>+CONCATENATE(E904,K904)</f>
        <v>보온덕트벽체</v>
      </c>
      <c r="R906" s="10">
        <f>+L904</f>
        <v>0</v>
      </c>
      <c r="S906" s="11"/>
      <c r="T906" s="10" t="str">
        <f>+E904</f>
        <v>보온덕트벽체</v>
      </c>
      <c r="U906" s="19" t="str">
        <f>IFERROR(LEFT(K904,FIND("*",K904)-1),"-")</f>
        <v>-</v>
      </c>
      <c r="V906" s="19" t="str">
        <f>IFERROR(RIGHT(K904,LEN(K904)-FIND("*",K904)),"-")</f>
        <v>-</v>
      </c>
      <c r="W906" s="20" t="str">
        <f t="shared" si="490"/>
        <v>-</v>
      </c>
      <c r="X906" s="20" t="str">
        <f>IFERROR(W906*L904,"-")</f>
        <v>-</v>
      </c>
      <c r="Z906" s="33">
        <v>45181</v>
      </c>
    </row>
    <row r="907" spans="1:26" ht="6.95" customHeight="1" x14ac:dyDescent="0.3">
      <c r="A907" s="8"/>
      <c r="B907" s="157"/>
      <c r="C907" s="158"/>
      <c r="D907" s="169" t="s">
        <v>39</v>
      </c>
      <c r="E907" s="172" t="s">
        <v>224</v>
      </c>
      <c r="F907" s="175" t="s">
        <v>40</v>
      </c>
      <c r="G907" s="178" t="s">
        <v>225</v>
      </c>
      <c r="H907" s="181">
        <v>1</v>
      </c>
      <c r="I907" s="178"/>
      <c r="J907" s="181"/>
      <c r="K907" s="178"/>
      <c r="L907" s="181"/>
      <c r="M907" s="6"/>
      <c r="N907" s="32"/>
      <c r="Q907" s="10" t="str">
        <f>+CONCATENATE(E907,G907)</f>
        <v>차열재마감1900*600</v>
      </c>
      <c r="R907" s="10">
        <f>+H907</f>
        <v>1</v>
      </c>
      <c r="S907" s="11"/>
      <c r="T907" s="10" t="str">
        <f>+E907</f>
        <v>차열재마감</v>
      </c>
      <c r="U907" s="19" t="str">
        <f t="shared" ref="U907" si="491">IFERROR(LEFT(G907,FIND("*",G907)-1),"-")</f>
        <v>1900</v>
      </c>
      <c r="V907" s="19" t="str">
        <f t="shared" ref="V907" si="492">IFERROR(RIGHT(G907,LEN(G907)-FIND("*",G907)),"-")</f>
        <v>600</v>
      </c>
      <c r="W907" s="20">
        <f t="shared" si="490"/>
        <v>5</v>
      </c>
      <c r="X907" s="20">
        <f>IFERROR(W907*H907,"-")</f>
        <v>5</v>
      </c>
      <c r="Z907" s="33">
        <v>45181</v>
      </c>
    </row>
    <row r="908" spans="1:26" ht="6.95" customHeight="1" x14ac:dyDescent="0.3">
      <c r="A908" s="5"/>
      <c r="B908" s="157"/>
      <c r="C908" s="158"/>
      <c r="D908" s="170"/>
      <c r="E908" s="173"/>
      <c r="F908" s="176"/>
      <c r="G908" s="179"/>
      <c r="H908" s="182"/>
      <c r="I908" s="179"/>
      <c r="J908" s="182"/>
      <c r="K908" s="179"/>
      <c r="L908" s="182"/>
      <c r="M908" s="6"/>
      <c r="N908" s="32"/>
      <c r="Q908" s="10" t="str">
        <f>+CONCATENATE(E907,I907)</f>
        <v>차열재마감</v>
      </c>
      <c r="R908" s="10">
        <f>+J907</f>
        <v>0</v>
      </c>
      <c r="S908" s="11"/>
      <c r="T908" s="10" t="str">
        <f>+E907</f>
        <v>차열재마감</v>
      </c>
      <c r="U908" s="19" t="str">
        <f>IFERROR(LEFT(I907,FIND("*",I907)-1),"-")</f>
        <v>-</v>
      </c>
      <c r="V908" s="19" t="str">
        <f>IFERROR(RIGHT(I907,LEN(I907)-FIND("*",I907)),"-")</f>
        <v>-</v>
      </c>
      <c r="W908" s="20" t="str">
        <f t="shared" si="490"/>
        <v>-</v>
      </c>
      <c r="X908" s="20" t="str">
        <f>IFERROR(W908*J907,"-")</f>
        <v>-</v>
      </c>
      <c r="Z908" s="33">
        <v>45181</v>
      </c>
    </row>
    <row r="909" spans="1:26" ht="6.95" customHeight="1" x14ac:dyDescent="0.3">
      <c r="A909" s="5"/>
      <c r="B909" s="157"/>
      <c r="C909" s="158"/>
      <c r="D909" s="171"/>
      <c r="E909" s="174"/>
      <c r="F909" s="177"/>
      <c r="G909" s="180"/>
      <c r="H909" s="183"/>
      <c r="I909" s="180"/>
      <c r="J909" s="183"/>
      <c r="K909" s="180"/>
      <c r="L909" s="183"/>
      <c r="M909" s="6"/>
      <c r="N909" s="32"/>
      <c r="Q909" s="10" t="str">
        <f>+CONCATENATE(E907,K907)</f>
        <v>차열재마감</v>
      </c>
      <c r="R909" s="10">
        <f>+L907</f>
        <v>0</v>
      </c>
      <c r="S909" s="11"/>
      <c r="T909" s="10" t="str">
        <f>+E907</f>
        <v>차열재마감</v>
      </c>
      <c r="U909" s="19" t="str">
        <f>IFERROR(LEFT(K907,FIND("*",K907)-1),"-")</f>
        <v>-</v>
      </c>
      <c r="V909" s="19" t="str">
        <f>IFERROR(RIGHT(K907,LEN(K907)-FIND("*",K907)),"-")</f>
        <v>-</v>
      </c>
      <c r="W909" s="20" t="str">
        <f t="shared" si="490"/>
        <v>-</v>
      </c>
      <c r="X909" s="20" t="str">
        <f>IFERROR(W909*L907,"-")</f>
        <v>-</v>
      </c>
      <c r="Z909" s="33">
        <v>45181</v>
      </c>
    </row>
    <row r="910" spans="1:26" ht="6.95" customHeight="1" x14ac:dyDescent="0.3">
      <c r="A910" s="8"/>
      <c r="B910" s="157"/>
      <c r="C910" s="158"/>
      <c r="D910" s="169" t="s">
        <v>39</v>
      </c>
      <c r="E910" s="172"/>
      <c r="F910" s="175" t="s">
        <v>40</v>
      </c>
      <c r="G910" s="178"/>
      <c r="H910" s="181"/>
      <c r="I910" s="178"/>
      <c r="J910" s="181"/>
      <c r="K910" s="178"/>
      <c r="L910" s="181"/>
      <c r="M910" s="6"/>
      <c r="N910" s="32"/>
      <c r="Q910" s="10" t="str">
        <f>+CONCATENATE(E910,G910)</f>
        <v/>
      </c>
      <c r="R910" s="10">
        <f>+H910</f>
        <v>0</v>
      </c>
      <c r="S910" s="11"/>
      <c r="T910" s="10">
        <f>+E910</f>
        <v>0</v>
      </c>
      <c r="U910" s="19" t="str">
        <f t="shared" ref="U910" si="493">IFERROR(LEFT(G910,FIND("*",G910)-1),"-")</f>
        <v>-</v>
      </c>
      <c r="V910" s="19" t="str">
        <f t="shared" ref="V910" si="494">IFERROR(RIGHT(G910,LEN(G910)-FIND("*",G910)),"-")</f>
        <v>-</v>
      </c>
      <c r="W910" s="20" t="str">
        <f t="shared" si="490"/>
        <v>-</v>
      </c>
      <c r="X910" s="20" t="str">
        <f>IFERROR(W910*H910,"-")</f>
        <v>-</v>
      </c>
      <c r="Z910" s="33">
        <v>45181</v>
      </c>
    </row>
    <row r="911" spans="1:26" ht="6.95" customHeight="1" x14ac:dyDescent="0.3">
      <c r="A911" s="5"/>
      <c r="B911" s="157"/>
      <c r="C911" s="158"/>
      <c r="D911" s="170"/>
      <c r="E911" s="173"/>
      <c r="F911" s="176"/>
      <c r="G911" s="179"/>
      <c r="H911" s="182"/>
      <c r="I911" s="179"/>
      <c r="J911" s="182"/>
      <c r="K911" s="179"/>
      <c r="L911" s="182"/>
      <c r="M911" s="6"/>
      <c r="N911" s="32"/>
      <c r="Q911" s="10" t="str">
        <f>+CONCATENATE(E910,I910)</f>
        <v/>
      </c>
      <c r="R911" s="10">
        <f>+J910</f>
        <v>0</v>
      </c>
      <c r="S911" s="11"/>
      <c r="T911" s="10">
        <f>+E910</f>
        <v>0</v>
      </c>
      <c r="U911" s="19" t="str">
        <f>IFERROR(LEFT(I910,FIND("*",I910)-1),"-")</f>
        <v>-</v>
      </c>
      <c r="V911" s="19" t="str">
        <f>IFERROR(RIGHT(I910,LEN(I910)-FIND("*",I910)),"-")</f>
        <v>-</v>
      </c>
      <c r="W911" s="20" t="str">
        <f t="shared" si="490"/>
        <v>-</v>
      </c>
      <c r="X911" s="20" t="str">
        <f t="shared" ref="X911" si="495">IFERROR(W911*J910,"-")</f>
        <v>-</v>
      </c>
      <c r="Z911" s="33">
        <v>45181</v>
      </c>
    </row>
    <row r="912" spans="1:26" ht="6.95" customHeight="1" x14ac:dyDescent="0.3">
      <c r="A912" s="5"/>
      <c r="B912" s="157"/>
      <c r="C912" s="158"/>
      <c r="D912" s="171"/>
      <c r="E912" s="174"/>
      <c r="F912" s="177"/>
      <c r="G912" s="180"/>
      <c r="H912" s="183"/>
      <c r="I912" s="180"/>
      <c r="J912" s="183"/>
      <c r="K912" s="180"/>
      <c r="L912" s="183"/>
      <c r="M912" s="6"/>
      <c r="N912" s="32"/>
      <c r="Q912" s="10" t="str">
        <f>+CONCATENATE(E910,K910)</f>
        <v/>
      </c>
      <c r="R912" s="10">
        <f>+L910</f>
        <v>0</v>
      </c>
      <c r="S912" s="11"/>
      <c r="T912" s="10">
        <f>+E910</f>
        <v>0</v>
      </c>
      <c r="U912" s="19" t="str">
        <f>IFERROR(LEFT(K910,FIND("*",K910)-1),"-")</f>
        <v>-</v>
      </c>
      <c r="V912" s="19" t="str">
        <f>IFERROR(RIGHT(K910,LEN(K910)-FIND("*",K910)),"-")</f>
        <v>-</v>
      </c>
      <c r="W912" s="20" t="str">
        <f t="shared" si="490"/>
        <v>-</v>
      </c>
      <c r="X912" s="20" t="str">
        <f>IFERROR(W912*L910,"-")</f>
        <v>-</v>
      </c>
      <c r="Z912" s="33">
        <v>45181</v>
      </c>
    </row>
    <row r="913" spans="1:26" ht="21" customHeight="1" thickBot="1" x14ac:dyDescent="0.35">
      <c r="A913" s="5"/>
      <c r="B913" s="159"/>
      <c r="C913" s="160"/>
      <c r="D913" s="184" t="s">
        <v>43</v>
      </c>
      <c r="E913" s="185"/>
      <c r="F913" s="186"/>
      <c r="G913" s="187" t="s">
        <v>221</v>
      </c>
      <c r="H913" s="188"/>
      <c r="I913" s="188"/>
      <c r="J913" s="188"/>
      <c r="K913" s="188"/>
      <c r="L913" s="165"/>
      <c r="M913" s="7"/>
      <c r="N913" s="32"/>
      <c r="Z913" s="33">
        <v>45181</v>
      </c>
    </row>
    <row r="914" spans="1:26" ht="9.9499999999999993" customHeight="1" thickBot="1" x14ac:dyDescent="0.35">
      <c r="B914" s="9"/>
      <c r="C914" s="109">
        <v>883</v>
      </c>
      <c r="D914" s="51"/>
      <c r="E914" s="12"/>
      <c r="F914" s="51"/>
      <c r="G914" s="14"/>
      <c r="H914" s="14"/>
      <c r="I914" s="14"/>
      <c r="J914" s="14"/>
      <c r="K914" s="14"/>
      <c r="L914" s="14"/>
      <c r="M914" s="9"/>
      <c r="N914" s="32"/>
      <c r="U914" s="18"/>
      <c r="V914" s="18"/>
      <c r="Z914" s="33">
        <v>45181</v>
      </c>
    </row>
    <row r="915" spans="1:26" ht="6.95" customHeight="1" x14ac:dyDescent="0.3">
      <c r="A915" s="154">
        <f>+A904+1</f>
        <v>884</v>
      </c>
      <c r="B915" s="155"/>
      <c r="C915" s="156"/>
      <c r="D915" s="169" t="s">
        <v>39</v>
      </c>
      <c r="E915" s="172" t="s">
        <v>226</v>
      </c>
      <c r="F915" s="175" t="s">
        <v>40</v>
      </c>
      <c r="G915" s="178" t="s">
        <v>227</v>
      </c>
      <c r="H915" s="181">
        <v>1</v>
      </c>
      <c r="I915" s="178"/>
      <c r="J915" s="181"/>
      <c r="K915" s="178"/>
      <c r="L915" s="181"/>
      <c r="M915" s="6"/>
      <c r="N915" s="32"/>
      <c r="Q915" s="10" t="str">
        <f>+CONCATENATE(E915,G915)</f>
        <v>무보온덕트벽체2000*500</v>
      </c>
      <c r="R915" s="10">
        <f>+H915</f>
        <v>1</v>
      </c>
      <c r="S915" s="11"/>
      <c r="T915" s="10" t="str">
        <f>+E915</f>
        <v>무보온덕트벽체</v>
      </c>
      <c r="U915" s="19" t="str">
        <f>IFERROR(LEFT(G915,FIND("*",G915)-1),"-")</f>
        <v>2000</v>
      </c>
      <c r="V915" s="19" t="str">
        <f>IFERROR(RIGHT(G915,LEN(G915)-FIND("*",G915)),"-")</f>
        <v>500</v>
      </c>
      <c r="W915" s="20">
        <f>IFERROR((U915+V915)*2/1000,"-")</f>
        <v>5</v>
      </c>
      <c r="X915" s="20">
        <f>IFERROR(W915*H915,"-")</f>
        <v>5</v>
      </c>
      <c r="Z915" s="33">
        <v>45181</v>
      </c>
    </row>
    <row r="916" spans="1:26" ht="6.95" customHeight="1" x14ac:dyDescent="0.3">
      <c r="A916" s="154"/>
      <c r="B916" s="157"/>
      <c r="C916" s="158"/>
      <c r="D916" s="170"/>
      <c r="E916" s="173"/>
      <c r="F916" s="176"/>
      <c r="G916" s="179"/>
      <c r="H916" s="182"/>
      <c r="I916" s="179"/>
      <c r="J916" s="182"/>
      <c r="K916" s="179"/>
      <c r="L916" s="182"/>
      <c r="M916" s="6"/>
      <c r="N916" s="32"/>
      <c r="Q916" s="10" t="str">
        <f>+CONCATENATE(E915,I915)</f>
        <v>무보온덕트벽체</v>
      </c>
      <c r="R916" s="10">
        <f>+J915</f>
        <v>0</v>
      </c>
      <c r="S916" s="11"/>
      <c r="T916" s="10" t="str">
        <f>+E915</f>
        <v>무보온덕트벽체</v>
      </c>
      <c r="U916" s="19" t="str">
        <f>IFERROR(LEFT(I915,FIND("*",I915)-1),"-")</f>
        <v>-</v>
      </c>
      <c r="V916" s="19" t="str">
        <f>IFERROR(RIGHT(I915,LEN(I915)-FIND("*",I915)),"-")</f>
        <v>-</v>
      </c>
      <c r="W916" s="20" t="str">
        <f t="shared" ref="W916:W923" si="496">IFERROR((U916+V916)*2/1000,"-")</f>
        <v>-</v>
      </c>
      <c r="X916" s="20" t="str">
        <f>IFERROR(W916*J915,"-")</f>
        <v>-</v>
      </c>
      <c r="Z916" s="33">
        <v>45181</v>
      </c>
    </row>
    <row r="917" spans="1:26" ht="6.95" customHeight="1" x14ac:dyDescent="0.3">
      <c r="A917" s="154"/>
      <c r="B917" s="157"/>
      <c r="C917" s="158"/>
      <c r="D917" s="171"/>
      <c r="E917" s="174"/>
      <c r="F917" s="177"/>
      <c r="G917" s="180"/>
      <c r="H917" s="183"/>
      <c r="I917" s="180"/>
      <c r="J917" s="183"/>
      <c r="K917" s="180"/>
      <c r="L917" s="183"/>
      <c r="M917" s="6"/>
      <c r="N917" s="32"/>
      <c r="Q917" s="10" t="str">
        <f>+CONCATENATE(E915,K915)</f>
        <v>무보온덕트벽체</v>
      </c>
      <c r="R917" s="10">
        <f>+L915</f>
        <v>0</v>
      </c>
      <c r="S917" s="11"/>
      <c r="T917" s="10" t="str">
        <f>+E915</f>
        <v>무보온덕트벽체</v>
      </c>
      <c r="U917" s="19" t="str">
        <f>IFERROR(LEFT(K915,FIND("*",K915)-1),"-")</f>
        <v>-</v>
      </c>
      <c r="V917" s="19" t="str">
        <f>IFERROR(RIGHT(K915,LEN(K915)-FIND("*",K915)),"-")</f>
        <v>-</v>
      </c>
      <c r="W917" s="20" t="str">
        <f t="shared" si="496"/>
        <v>-</v>
      </c>
      <c r="X917" s="20" t="str">
        <f>IFERROR(W917*L915,"-")</f>
        <v>-</v>
      </c>
      <c r="Z917" s="33">
        <v>45181</v>
      </c>
    </row>
    <row r="918" spans="1:26" ht="6.95" customHeight="1" x14ac:dyDescent="0.3">
      <c r="A918" s="8"/>
      <c r="B918" s="157"/>
      <c r="C918" s="158"/>
      <c r="D918" s="169" t="s">
        <v>39</v>
      </c>
      <c r="E918" s="172" t="s">
        <v>228</v>
      </c>
      <c r="F918" s="175" t="s">
        <v>40</v>
      </c>
      <c r="G918" s="178" t="s">
        <v>227</v>
      </c>
      <c r="H918" s="181">
        <v>1</v>
      </c>
      <c r="I918" s="178"/>
      <c r="J918" s="181"/>
      <c r="K918" s="178"/>
      <c r="L918" s="181"/>
      <c r="M918" s="6"/>
      <c r="N918" s="32"/>
      <c r="Q918" s="10" t="str">
        <f>+CONCATENATE(E918,G918)</f>
        <v>차열재마감2000*500</v>
      </c>
      <c r="R918" s="10">
        <f>+H918</f>
        <v>1</v>
      </c>
      <c r="S918" s="11"/>
      <c r="T918" s="10" t="str">
        <f>+E918</f>
        <v>차열재마감</v>
      </c>
      <c r="U918" s="19" t="str">
        <f t="shared" ref="U918" si="497">IFERROR(LEFT(G918,FIND("*",G918)-1),"-")</f>
        <v>2000</v>
      </c>
      <c r="V918" s="19" t="str">
        <f t="shared" ref="V918" si="498">IFERROR(RIGHT(G918,LEN(G918)-FIND("*",G918)),"-")</f>
        <v>500</v>
      </c>
      <c r="W918" s="20">
        <f t="shared" si="496"/>
        <v>5</v>
      </c>
      <c r="X918" s="20">
        <f>IFERROR(W918*H918,"-")</f>
        <v>5</v>
      </c>
      <c r="Z918" s="33">
        <v>45181</v>
      </c>
    </row>
    <row r="919" spans="1:26" ht="6.95" customHeight="1" x14ac:dyDescent="0.3">
      <c r="A919" s="5"/>
      <c r="B919" s="157"/>
      <c r="C919" s="158"/>
      <c r="D919" s="170"/>
      <c r="E919" s="173"/>
      <c r="F919" s="176"/>
      <c r="G919" s="179"/>
      <c r="H919" s="182"/>
      <c r="I919" s="179"/>
      <c r="J919" s="182"/>
      <c r="K919" s="179"/>
      <c r="L919" s="182"/>
      <c r="M919" s="6"/>
      <c r="N919" s="32"/>
      <c r="Q919" s="10" t="str">
        <f>+CONCATENATE(E918,I918)</f>
        <v>차열재마감</v>
      </c>
      <c r="R919" s="10">
        <f>+J918</f>
        <v>0</v>
      </c>
      <c r="S919" s="11"/>
      <c r="T919" s="10" t="str">
        <f>+E918</f>
        <v>차열재마감</v>
      </c>
      <c r="U919" s="19" t="str">
        <f>IFERROR(LEFT(I918,FIND("*",I918)-1),"-")</f>
        <v>-</v>
      </c>
      <c r="V919" s="19" t="str">
        <f>IFERROR(RIGHT(I918,LEN(I918)-FIND("*",I918)),"-")</f>
        <v>-</v>
      </c>
      <c r="W919" s="20" t="str">
        <f t="shared" si="496"/>
        <v>-</v>
      </c>
      <c r="X919" s="20" t="str">
        <f>IFERROR(W919*J918,"-")</f>
        <v>-</v>
      </c>
      <c r="Z919" s="33">
        <v>45181</v>
      </c>
    </row>
    <row r="920" spans="1:26" ht="6.95" customHeight="1" x14ac:dyDescent="0.3">
      <c r="A920" s="5"/>
      <c r="B920" s="157"/>
      <c r="C920" s="158"/>
      <c r="D920" s="171"/>
      <c r="E920" s="174"/>
      <c r="F920" s="177"/>
      <c r="G920" s="180"/>
      <c r="H920" s="183"/>
      <c r="I920" s="180"/>
      <c r="J920" s="183"/>
      <c r="K920" s="180"/>
      <c r="L920" s="183"/>
      <c r="M920" s="6"/>
      <c r="N920" s="32"/>
      <c r="Q920" s="10" t="str">
        <f>+CONCATENATE(E918,K918)</f>
        <v>차열재마감</v>
      </c>
      <c r="R920" s="10">
        <f>+L918</f>
        <v>0</v>
      </c>
      <c r="S920" s="11"/>
      <c r="T920" s="10" t="str">
        <f>+E918</f>
        <v>차열재마감</v>
      </c>
      <c r="U920" s="19" t="str">
        <f>IFERROR(LEFT(K918,FIND("*",K918)-1),"-")</f>
        <v>-</v>
      </c>
      <c r="V920" s="19" t="str">
        <f>IFERROR(RIGHT(K918,LEN(K918)-FIND("*",K918)),"-")</f>
        <v>-</v>
      </c>
      <c r="W920" s="20" t="str">
        <f t="shared" si="496"/>
        <v>-</v>
      </c>
      <c r="X920" s="20" t="str">
        <f>IFERROR(W920*L918,"-")</f>
        <v>-</v>
      </c>
      <c r="Z920" s="33">
        <v>45181</v>
      </c>
    </row>
    <row r="921" spans="1:26" ht="6.95" customHeight="1" x14ac:dyDescent="0.3">
      <c r="A921" s="8"/>
      <c r="B921" s="157"/>
      <c r="C921" s="158"/>
      <c r="D921" s="169" t="s">
        <v>39</v>
      </c>
      <c r="E921" s="172"/>
      <c r="F921" s="175" t="s">
        <v>40</v>
      </c>
      <c r="G921" s="178"/>
      <c r="H921" s="181"/>
      <c r="I921" s="178"/>
      <c r="J921" s="181"/>
      <c r="K921" s="178"/>
      <c r="L921" s="181"/>
      <c r="M921" s="6"/>
      <c r="N921" s="32"/>
      <c r="Q921" s="10" t="str">
        <f>+CONCATENATE(E921,G921)</f>
        <v/>
      </c>
      <c r="R921" s="10">
        <f>+H921</f>
        <v>0</v>
      </c>
      <c r="S921" s="11"/>
      <c r="T921" s="10">
        <f>+E921</f>
        <v>0</v>
      </c>
      <c r="U921" s="19" t="str">
        <f t="shared" ref="U921" si="499">IFERROR(LEFT(G921,FIND("*",G921)-1),"-")</f>
        <v>-</v>
      </c>
      <c r="V921" s="19" t="str">
        <f t="shared" ref="V921" si="500">IFERROR(RIGHT(G921,LEN(G921)-FIND("*",G921)),"-")</f>
        <v>-</v>
      </c>
      <c r="W921" s="20" t="str">
        <f t="shared" si="496"/>
        <v>-</v>
      </c>
      <c r="X921" s="20" t="str">
        <f>IFERROR(W921*H921,"-")</f>
        <v>-</v>
      </c>
      <c r="Z921" s="33">
        <v>45181</v>
      </c>
    </row>
    <row r="922" spans="1:26" ht="6.95" customHeight="1" x14ac:dyDescent="0.3">
      <c r="A922" s="5"/>
      <c r="B922" s="157"/>
      <c r="C922" s="158"/>
      <c r="D922" s="170"/>
      <c r="E922" s="173"/>
      <c r="F922" s="176"/>
      <c r="G922" s="179"/>
      <c r="H922" s="182"/>
      <c r="I922" s="179"/>
      <c r="J922" s="182"/>
      <c r="K922" s="179"/>
      <c r="L922" s="182"/>
      <c r="M922" s="6"/>
      <c r="N922" s="32"/>
      <c r="Q922" s="10" t="str">
        <f>+CONCATENATE(E921,I921)</f>
        <v/>
      </c>
      <c r="R922" s="10">
        <f>+J921</f>
        <v>0</v>
      </c>
      <c r="S922" s="11"/>
      <c r="T922" s="10">
        <f>+E921</f>
        <v>0</v>
      </c>
      <c r="U922" s="19" t="str">
        <f>IFERROR(LEFT(I921,FIND("*",I921)-1),"-")</f>
        <v>-</v>
      </c>
      <c r="V922" s="19" t="str">
        <f>IFERROR(RIGHT(I921,LEN(I921)-FIND("*",I921)),"-")</f>
        <v>-</v>
      </c>
      <c r="W922" s="20" t="str">
        <f t="shared" si="496"/>
        <v>-</v>
      </c>
      <c r="X922" s="20" t="str">
        <f t="shared" ref="X922" si="501">IFERROR(W922*J921,"-")</f>
        <v>-</v>
      </c>
      <c r="Z922" s="33">
        <v>45181</v>
      </c>
    </row>
    <row r="923" spans="1:26" ht="6.95" customHeight="1" x14ac:dyDescent="0.3">
      <c r="A923" s="5"/>
      <c r="B923" s="157"/>
      <c r="C923" s="158"/>
      <c r="D923" s="171"/>
      <c r="E923" s="174"/>
      <c r="F923" s="177"/>
      <c r="G923" s="180"/>
      <c r="H923" s="183"/>
      <c r="I923" s="180"/>
      <c r="J923" s="183"/>
      <c r="K923" s="180"/>
      <c r="L923" s="183"/>
      <c r="M923" s="6"/>
      <c r="N923" s="32"/>
      <c r="Q923" s="10" t="str">
        <f>+CONCATENATE(E921,K921)</f>
        <v/>
      </c>
      <c r="R923" s="10">
        <f>+L921</f>
        <v>0</v>
      </c>
      <c r="S923" s="11"/>
      <c r="T923" s="10">
        <f>+E921</f>
        <v>0</v>
      </c>
      <c r="U923" s="19" t="str">
        <f>IFERROR(LEFT(K921,FIND("*",K921)-1),"-")</f>
        <v>-</v>
      </c>
      <c r="V923" s="19" t="str">
        <f>IFERROR(RIGHT(K921,LEN(K921)-FIND("*",K921)),"-")</f>
        <v>-</v>
      </c>
      <c r="W923" s="20" t="str">
        <f t="shared" si="496"/>
        <v>-</v>
      </c>
      <c r="X923" s="20" t="str">
        <f>IFERROR(W923*L921,"-")</f>
        <v>-</v>
      </c>
      <c r="Z923" s="33">
        <v>45181</v>
      </c>
    </row>
    <row r="924" spans="1:26" ht="21" customHeight="1" thickBot="1" x14ac:dyDescent="0.35">
      <c r="A924" s="5"/>
      <c r="B924" s="159"/>
      <c r="C924" s="160"/>
      <c r="D924" s="184" t="s">
        <v>43</v>
      </c>
      <c r="E924" s="185"/>
      <c r="F924" s="186"/>
      <c r="G924" s="187" t="s">
        <v>221</v>
      </c>
      <c r="H924" s="188"/>
      <c r="I924" s="188"/>
      <c r="J924" s="188"/>
      <c r="K924" s="188"/>
      <c r="L924" s="165"/>
      <c r="M924" s="7"/>
      <c r="N924" s="32"/>
      <c r="Z924" s="33">
        <v>45181</v>
      </c>
    </row>
    <row r="925" spans="1:26" ht="9.9499999999999993" customHeight="1" thickBot="1" x14ac:dyDescent="0.35">
      <c r="B925" s="9"/>
      <c r="C925" s="109">
        <v>884</v>
      </c>
      <c r="D925" s="51"/>
      <c r="E925" s="12"/>
      <c r="F925" s="51"/>
      <c r="G925" s="14"/>
      <c r="H925" s="14"/>
      <c r="I925" s="14"/>
      <c r="J925" s="14"/>
      <c r="K925" s="14"/>
      <c r="L925" s="14"/>
      <c r="M925" s="9"/>
      <c r="N925" s="32"/>
      <c r="U925" s="18"/>
      <c r="V925" s="18"/>
      <c r="Z925" s="33">
        <v>45181</v>
      </c>
    </row>
    <row r="926" spans="1:26" ht="6.95" customHeight="1" x14ac:dyDescent="0.3">
      <c r="A926" s="154">
        <f>+A915+1</f>
        <v>885</v>
      </c>
      <c r="B926" s="155"/>
      <c r="C926" s="156"/>
      <c r="D926" s="169" t="s">
        <v>39</v>
      </c>
      <c r="E926" s="172" t="s">
        <v>226</v>
      </c>
      <c r="F926" s="175" t="s">
        <v>40</v>
      </c>
      <c r="G926" s="178" t="s">
        <v>229</v>
      </c>
      <c r="H926" s="181">
        <v>1</v>
      </c>
      <c r="I926" s="178" t="s">
        <v>229</v>
      </c>
      <c r="J926" s="181">
        <v>1</v>
      </c>
      <c r="K926" s="178"/>
      <c r="L926" s="181"/>
      <c r="M926" s="6"/>
      <c r="N926" s="32"/>
      <c r="Q926" s="10" t="str">
        <f>+CONCATENATE(E926,G926)</f>
        <v>무보온덕트벽체200*200</v>
      </c>
      <c r="R926" s="10">
        <f>+H926</f>
        <v>1</v>
      </c>
      <c r="S926" s="11"/>
      <c r="T926" s="10" t="str">
        <f>+E926</f>
        <v>무보온덕트벽체</v>
      </c>
      <c r="U926" s="19" t="str">
        <f>IFERROR(LEFT(G926,FIND("*",G926)-1),"-")</f>
        <v>200</v>
      </c>
      <c r="V926" s="19" t="str">
        <f>IFERROR(RIGHT(G926,LEN(G926)-FIND("*",G926)),"-")</f>
        <v>200</v>
      </c>
      <c r="W926" s="20">
        <f>IFERROR((U926+V926)*2/1000,"-")</f>
        <v>0.8</v>
      </c>
      <c r="X926" s="20">
        <f>IFERROR(W926*H926,"-")</f>
        <v>0.8</v>
      </c>
      <c r="Z926" s="33">
        <v>45181</v>
      </c>
    </row>
    <row r="927" spans="1:26" ht="6.95" customHeight="1" x14ac:dyDescent="0.3">
      <c r="A927" s="154"/>
      <c r="B927" s="157"/>
      <c r="C927" s="158"/>
      <c r="D927" s="170"/>
      <c r="E927" s="173"/>
      <c r="F927" s="176"/>
      <c r="G927" s="179"/>
      <c r="H927" s="182"/>
      <c r="I927" s="179"/>
      <c r="J927" s="182"/>
      <c r="K927" s="179"/>
      <c r="L927" s="182"/>
      <c r="M927" s="6"/>
      <c r="N927" s="32"/>
      <c r="Q927" s="10" t="str">
        <f>+CONCATENATE(E926,I926)</f>
        <v>무보온덕트벽체200*200</v>
      </c>
      <c r="R927" s="10">
        <f>+J926</f>
        <v>1</v>
      </c>
      <c r="S927" s="11"/>
      <c r="T927" s="10" t="str">
        <f>+E926</f>
        <v>무보온덕트벽체</v>
      </c>
      <c r="U927" s="19" t="str">
        <f>IFERROR(LEFT(I926,FIND("*",I926)-1),"-")</f>
        <v>200</v>
      </c>
      <c r="V927" s="19" t="str">
        <f>IFERROR(RIGHT(I926,LEN(I926)-FIND("*",I926)),"-")</f>
        <v>200</v>
      </c>
      <c r="W927" s="20">
        <f t="shared" ref="W927:W934" si="502">IFERROR((U927+V927)*2/1000,"-")</f>
        <v>0.8</v>
      </c>
      <c r="X927" s="20">
        <f>IFERROR(W927*J926,"-")</f>
        <v>0.8</v>
      </c>
      <c r="Z927" s="33">
        <v>45181</v>
      </c>
    </row>
    <row r="928" spans="1:26" ht="6.95" customHeight="1" x14ac:dyDescent="0.3">
      <c r="A928" s="154"/>
      <c r="B928" s="157"/>
      <c r="C928" s="158"/>
      <c r="D928" s="171"/>
      <c r="E928" s="174"/>
      <c r="F928" s="177"/>
      <c r="G928" s="180"/>
      <c r="H928" s="183"/>
      <c r="I928" s="180"/>
      <c r="J928" s="183"/>
      <c r="K928" s="180"/>
      <c r="L928" s="183"/>
      <c r="M928" s="6"/>
      <c r="N928" s="32"/>
      <c r="Q928" s="10" t="str">
        <f>+CONCATENATE(E926,K926)</f>
        <v>무보온덕트벽체</v>
      </c>
      <c r="R928" s="10">
        <f>+L926</f>
        <v>0</v>
      </c>
      <c r="S928" s="11"/>
      <c r="T928" s="10" t="str">
        <f>+E926</f>
        <v>무보온덕트벽체</v>
      </c>
      <c r="U928" s="19" t="str">
        <f>IFERROR(LEFT(K926,FIND("*",K926)-1),"-")</f>
        <v>-</v>
      </c>
      <c r="V928" s="19" t="str">
        <f>IFERROR(RIGHT(K926,LEN(K926)-FIND("*",K926)),"-")</f>
        <v>-</v>
      </c>
      <c r="W928" s="20" t="str">
        <f t="shared" si="502"/>
        <v>-</v>
      </c>
      <c r="X928" s="20" t="str">
        <f>IFERROR(W928*L926,"-")</f>
        <v>-</v>
      </c>
      <c r="Z928" s="33">
        <v>45181</v>
      </c>
    </row>
    <row r="929" spans="1:26" ht="6.95" customHeight="1" x14ac:dyDescent="0.3">
      <c r="A929" s="8"/>
      <c r="B929" s="157"/>
      <c r="C929" s="158"/>
      <c r="D929" s="169" t="s">
        <v>39</v>
      </c>
      <c r="E929" s="172" t="s">
        <v>228</v>
      </c>
      <c r="F929" s="175" t="s">
        <v>40</v>
      </c>
      <c r="G929" s="178" t="s">
        <v>229</v>
      </c>
      <c r="H929" s="181">
        <v>1</v>
      </c>
      <c r="I929" s="178" t="s">
        <v>229</v>
      </c>
      <c r="J929" s="181">
        <v>1</v>
      </c>
      <c r="K929" s="178"/>
      <c r="L929" s="181"/>
      <c r="M929" s="6"/>
      <c r="N929" s="32"/>
      <c r="Q929" s="10" t="str">
        <f>+CONCATENATE(E929,G929)</f>
        <v>차열재마감200*200</v>
      </c>
      <c r="R929" s="10">
        <f>+H929</f>
        <v>1</v>
      </c>
      <c r="S929" s="11"/>
      <c r="T929" s="10" t="str">
        <f>+E929</f>
        <v>차열재마감</v>
      </c>
      <c r="U929" s="19" t="str">
        <f t="shared" ref="U929" si="503">IFERROR(LEFT(G929,FIND("*",G929)-1),"-")</f>
        <v>200</v>
      </c>
      <c r="V929" s="19" t="str">
        <f t="shared" ref="V929" si="504">IFERROR(RIGHT(G929,LEN(G929)-FIND("*",G929)),"-")</f>
        <v>200</v>
      </c>
      <c r="W929" s="20">
        <f t="shared" si="502"/>
        <v>0.8</v>
      </c>
      <c r="X929" s="20">
        <f>IFERROR(W929*H929,"-")</f>
        <v>0.8</v>
      </c>
      <c r="Z929" s="33">
        <v>45181</v>
      </c>
    </row>
    <row r="930" spans="1:26" ht="6.95" customHeight="1" x14ac:dyDescent="0.3">
      <c r="A930" s="5"/>
      <c r="B930" s="157"/>
      <c r="C930" s="158"/>
      <c r="D930" s="170"/>
      <c r="E930" s="173"/>
      <c r="F930" s="176"/>
      <c r="G930" s="179"/>
      <c r="H930" s="182"/>
      <c r="I930" s="179"/>
      <c r="J930" s="182"/>
      <c r="K930" s="179"/>
      <c r="L930" s="182"/>
      <c r="M930" s="6"/>
      <c r="N930" s="32"/>
      <c r="Q930" s="10" t="str">
        <f>+CONCATENATE(E929,I929)</f>
        <v>차열재마감200*200</v>
      </c>
      <c r="R930" s="10">
        <f>+J929</f>
        <v>1</v>
      </c>
      <c r="S930" s="11"/>
      <c r="T930" s="10" t="str">
        <f>+E929</f>
        <v>차열재마감</v>
      </c>
      <c r="U930" s="19" t="str">
        <f>IFERROR(LEFT(I929,FIND("*",I929)-1),"-")</f>
        <v>200</v>
      </c>
      <c r="V930" s="19" t="str">
        <f>IFERROR(RIGHT(I929,LEN(I929)-FIND("*",I929)),"-")</f>
        <v>200</v>
      </c>
      <c r="W930" s="20">
        <f t="shared" si="502"/>
        <v>0.8</v>
      </c>
      <c r="X930" s="20">
        <f>IFERROR(W930*J929,"-")</f>
        <v>0.8</v>
      </c>
      <c r="Z930" s="33">
        <v>45181</v>
      </c>
    </row>
    <row r="931" spans="1:26" ht="6.95" customHeight="1" x14ac:dyDescent="0.3">
      <c r="A931" s="5"/>
      <c r="B931" s="157"/>
      <c r="C931" s="158"/>
      <c r="D931" s="171"/>
      <c r="E931" s="174"/>
      <c r="F931" s="177"/>
      <c r="G931" s="180"/>
      <c r="H931" s="183"/>
      <c r="I931" s="180"/>
      <c r="J931" s="183"/>
      <c r="K931" s="180"/>
      <c r="L931" s="183"/>
      <c r="M931" s="6"/>
      <c r="N931" s="32"/>
      <c r="Q931" s="10" t="str">
        <f>+CONCATENATE(E929,K929)</f>
        <v>차열재마감</v>
      </c>
      <c r="R931" s="10">
        <f>+L929</f>
        <v>0</v>
      </c>
      <c r="S931" s="11"/>
      <c r="T931" s="10" t="str">
        <f>+E929</f>
        <v>차열재마감</v>
      </c>
      <c r="U931" s="19" t="str">
        <f>IFERROR(LEFT(K929,FIND("*",K929)-1),"-")</f>
        <v>-</v>
      </c>
      <c r="V931" s="19" t="str">
        <f>IFERROR(RIGHT(K929,LEN(K929)-FIND("*",K929)),"-")</f>
        <v>-</v>
      </c>
      <c r="W931" s="20" t="str">
        <f t="shared" si="502"/>
        <v>-</v>
      </c>
      <c r="X931" s="20" t="str">
        <f>IFERROR(W931*L929,"-")</f>
        <v>-</v>
      </c>
      <c r="Z931" s="33">
        <v>45181</v>
      </c>
    </row>
    <row r="932" spans="1:26" ht="6.95" customHeight="1" x14ac:dyDescent="0.3">
      <c r="A932" s="8"/>
      <c r="B932" s="157"/>
      <c r="C932" s="158"/>
      <c r="D932" s="169" t="s">
        <v>39</v>
      </c>
      <c r="E932" s="172"/>
      <c r="F932" s="175" t="s">
        <v>40</v>
      </c>
      <c r="G932" s="178"/>
      <c r="H932" s="181"/>
      <c r="I932" s="178"/>
      <c r="J932" s="181"/>
      <c r="K932" s="178"/>
      <c r="L932" s="181"/>
      <c r="M932" s="6"/>
      <c r="N932" s="32"/>
      <c r="Q932" s="10" t="str">
        <f>+CONCATENATE(E932,G932)</f>
        <v/>
      </c>
      <c r="R932" s="10">
        <f>+H932</f>
        <v>0</v>
      </c>
      <c r="S932" s="11"/>
      <c r="T932" s="10">
        <f>+E932</f>
        <v>0</v>
      </c>
      <c r="U932" s="19" t="str">
        <f t="shared" ref="U932" si="505">IFERROR(LEFT(G932,FIND("*",G932)-1),"-")</f>
        <v>-</v>
      </c>
      <c r="V932" s="19" t="str">
        <f t="shared" ref="V932" si="506">IFERROR(RIGHT(G932,LEN(G932)-FIND("*",G932)),"-")</f>
        <v>-</v>
      </c>
      <c r="W932" s="20" t="str">
        <f t="shared" si="502"/>
        <v>-</v>
      </c>
      <c r="X932" s="20" t="str">
        <f>IFERROR(W932*H932,"-")</f>
        <v>-</v>
      </c>
      <c r="Z932" s="33">
        <v>45181</v>
      </c>
    </row>
    <row r="933" spans="1:26" ht="6.95" customHeight="1" x14ac:dyDescent="0.3">
      <c r="A933" s="5"/>
      <c r="B933" s="157"/>
      <c r="C933" s="158"/>
      <c r="D933" s="170"/>
      <c r="E933" s="173"/>
      <c r="F933" s="176"/>
      <c r="G933" s="179"/>
      <c r="H933" s="182"/>
      <c r="I933" s="179"/>
      <c r="J933" s="182"/>
      <c r="K933" s="179"/>
      <c r="L933" s="182"/>
      <c r="M933" s="6"/>
      <c r="N933" s="32"/>
      <c r="Q933" s="10" t="str">
        <f>+CONCATENATE(E932,I932)</f>
        <v/>
      </c>
      <c r="R933" s="10">
        <f>+J932</f>
        <v>0</v>
      </c>
      <c r="S933" s="11"/>
      <c r="T933" s="10">
        <f>+E932</f>
        <v>0</v>
      </c>
      <c r="U933" s="19" t="str">
        <f>IFERROR(LEFT(I932,FIND("*",I932)-1),"-")</f>
        <v>-</v>
      </c>
      <c r="V933" s="19" t="str">
        <f>IFERROR(RIGHT(I932,LEN(I932)-FIND("*",I932)),"-")</f>
        <v>-</v>
      </c>
      <c r="W933" s="20" t="str">
        <f t="shared" si="502"/>
        <v>-</v>
      </c>
      <c r="X933" s="20" t="str">
        <f t="shared" ref="X933" si="507">IFERROR(W933*J932,"-")</f>
        <v>-</v>
      </c>
      <c r="Z933" s="33">
        <v>45181</v>
      </c>
    </row>
    <row r="934" spans="1:26" ht="6.95" customHeight="1" x14ac:dyDescent="0.3">
      <c r="A934" s="5"/>
      <c r="B934" s="157"/>
      <c r="C934" s="158"/>
      <c r="D934" s="171"/>
      <c r="E934" s="174"/>
      <c r="F934" s="177"/>
      <c r="G934" s="180"/>
      <c r="H934" s="183"/>
      <c r="I934" s="180"/>
      <c r="J934" s="183"/>
      <c r="K934" s="180"/>
      <c r="L934" s="183"/>
      <c r="M934" s="6"/>
      <c r="N934" s="32"/>
      <c r="Q934" s="10" t="str">
        <f>+CONCATENATE(E932,K932)</f>
        <v/>
      </c>
      <c r="R934" s="10">
        <f>+L932</f>
        <v>0</v>
      </c>
      <c r="S934" s="11"/>
      <c r="T934" s="10">
        <f>+E932</f>
        <v>0</v>
      </c>
      <c r="U934" s="19" t="str">
        <f>IFERROR(LEFT(K932,FIND("*",K932)-1),"-")</f>
        <v>-</v>
      </c>
      <c r="V934" s="19" t="str">
        <f>IFERROR(RIGHT(K932,LEN(K932)-FIND("*",K932)),"-")</f>
        <v>-</v>
      </c>
      <c r="W934" s="20" t="str">
        <f t="shared" si="502"/>
        <v>-</v>
      </c>
      <c r="X934" s="20" t="str">
        <f>IFERROR(W934*L932,"-")</f>
        <v>-</v>
      </c>
      <c r="Z934" s="33">
        <v>45181</v>
      </c>
    </row>
    <row r="935" spans="1:26" ht="21" customHeight="1" thickBot="1" x14ac:dyDescent="0.35">
      <c r="A935" s="5"/>
      <c r="B935" s="159"/>
      <c r="C935" s="160"/>
      <c r="D935" s="184" t="s">
        <v>43</v>
      </c>
      <c r="E935" s="185"/>
      <c r="F935" s="186"/>
      <c r="G935" s="187" t="s">
        <v>221</v>
      </c>
      <c r="H935" s="188"/>
      <c r="I935" s="188"/>
      <c r="J935" s="188"/>
      <c r="K935" s="188"/>
      <c r="L935" s="165"/>
      <c r="M935" s="7"/>
      <c r="N935" s="33"/>
      <c r="Z935" s="33">
        <v>45181</v>
      </c>
    </row>
    <row r="936" spans="1:26" ht="9.9499999999999993" customHeight="1" thickBot="1" x14ac:dyDescent="0.35">
      <c r="B936" s="9"/>
      <c r="C936" s="109">
        <v>885</v>
      </c>
      <c r="D936" s="51"/>
      <c r="E936" s="12"/>
      <c r="F936" s="51"/>
      <c r="G936" s="14"/>
      <c r="H936" s="14"/>
      <c r="I936" s="14"/>
      <c r="J936" s="14"/>
      <c r="K936" s="14"/>
      <c r="L936" s="14"/>
      <c r="M936" s="9"/>
      <c r="N936" s="32"/>
      <c r="U936" s="18"/>
      <c r="V936" s="18"/>
      <c r="Z936" s="33">
        <v>45181</v>
      </c>
    </row>
    <row r="937" spans="1:26" ht="6.95" customHeight="1" x14ac:dyDescent="0.3">
      <c r="A937" s="154">
        <f>+A926+1</f>
        <v>886</v>
      </c>
      <c r="B937" s="155"/>
      <c r="C937" s="156"/>
      <c r="D937" s="169" t="s">
        <v>39</v>
      </c>
      <c r="E937" s="172" t="s">
        <v>222</v>
      </c>
      <c r="F937" s="175" t="s">
        <v>40</v>
      </c>
      <c r="G937" s="178" t="s">
        <v>230</v>
      </c>
      <c r="H937" s="181">
        <v>1</v>
      </c>
      <c r="I937" s="178"/>
      <c r="J937" s="181"/>
      <c r="K937" s="178"/>
      <c r="L937" s="181"/>
      <c r="M937" s="6"/>
      <c r="N937" s="32"/>
      <c r="Q937" s="10" t="str">
        <f>+CONCATENATE(E937,G937)</f>
        <v>보온덕트벽체800*400</v>
      </c>
      <c r="R937" s="10">
        <f>+H937</f>
        <v>1</v>
      </c>
      <c r="S937" s="11"/>
      <c r="T937" s="10" t="str">
        <f>+E937</f>
        <v>보온덕트벽체</v>
      </c>
      <c r="U937" s="19" t="str">
        <f>IFERROR(LEFT(G937,FIND("*",G937)-1),"-")</f>
        <v>800</v>
      </c>
      <c r="V937" s="19" t="str">
        <f>IFERROR(RIGHT(G937,LEN(G937)-FIND("*",G937)),"-")</f>
        <v>400</v>
      </c>
      <c r="W937" s="20">
        <f>IFERROR((U937+V937)*2/1000,"-")</f>
        <v>2.4</v>
      </c>
      <c r="X937" s="20">
        <f>IFERROR(W937*H937,"-")</f>
        <v>2.4</v>
      </c>
      <c r="Z937" s="33">
        <v>45181</v>
      </c>
    </row>
    <row r="938" spans="1:26" ht="6.95" customHeight="1" x14ac:dyDescent="0.3">
      <c r="A938" s="154"/>
      <c r="B938" s="157"/>
      <c r="C938" s="158"/>
      <c r="D938" s="170"/>
      <c r="E938" s="173"/>
      <c r="F938" s="176"/>
      <c r="G938" s="179"/>
      <c r="H938" s="182"/>
      <c r="I938" s="179"/>
      <c r="J938" s="182"/>
      <c r="K938" s="179"/>
      <c r="L938" s="182"/>
      <c r="M938" s="6"/>
      <c r="N938" s="32"/>
      <c r="Q938" s="10" t="str">
        <f>+CONCATENATE(E937,I937)</f>
        <v>보온덕트벽체</v>
      </c>
      <c r="R938" s="10">
        <f>+J937</f>
        <v>0</v>
      </c>
      <c r="S938" s="11"/>
      <c r="T938" s="10" t="str">
        <f>+E937</f>
        <v>보온덕트벽체</v>
      </c>
      <c r="U938" s="19" t="str">
        <f>IFERROR(LEFT(I937,FIND("*",I937)-1),"-")</f>
        <v>-</v>
      </c>
      <c r="V938" s="19" t="str">
        <f>IFERROR(RIGHT(I937,LEN(I937)-FIND("*",I937)),"-")</f>
        <v>-</v>
      </c>
      <c r="W938" s="20" t="str">
        <f t="shared" ref="W938:W945" si="508">IFERROR((U938+V938)*2/1000,"-")</f>
        <v>-</v>
      </c>
      <c r="X938" s="20" t="str">
        <f>IFERROR(W938*J937,"-")</f>
        <v>-</v>
      </c>
      <c r="Z938" s="33">
        <v>45181</v>
      </c>
    </row>
    <row r="939" spans="1:26" ht="6.95" customHeight="1" x14ac:dyDescent="0.3">
      <c r="A939" s="154"/>
      <c r="B939" s="157"/>
      <c r="C939" s="158"/>
      <c r="D939" s="171"/>
      <c r="E939" s="174"/>
      <c r="F939" s="177"/>
      <c r="G939" s="180"/>
      <c r="H939" s="183"/>
      <c r="I939" s="180"/>
      <c r="J939" s="183"/>
      <c r="K939" s="180"/>
      <c r="L939" s="183"/>
      <c r="M939" s="6"/>
      <c r="N939" s="32"/>
      <c r="Q939" s="10" t="str">
        <f>+CONCATENATE(E937,K937)</f>
        <v>보온덕트벽체</v>
      </c>
      <c r="R939" s="10">
        <f>+L937</f>
        <v>0</v>
      </c>
      <c r="S939" s="11"/>
      <c r="T939" s="10" t="str">
        <f>+E937</f>
        <v>보온덕트벽체</v>
      </c>
      <c r="U939" s="19" t="str">
        <f>IFERROR(LEFT(K937,FIND("*",K937)-1),"-")</f>
        <v>-</v>
      </c>
      <c r="V939" s="19" t="str">
        <f>IFERROR(RIGHT(K937,LEN(K937)-FIND("*",K937)),"-")</f>
        <v>-</v>
      </c>
      <c r="W939" s="20" t="str">
        <f t="shared" si="508"/>
        <v>-</v>
      </c>
      <c r="X939" s="20" t="str">
        <f>IFERROR(W939*L937,"-")</f>
        <v>-</v>
      </c>
      <c r="Z939" s="33">
        <v>45181</v>
      </c>
    </row>
    <row r="940" spans="1:26" ht="6.95" customHeight="1" x14ac:dyDescent="0.3">
      <c r="A940" s="8"/>
      <c r="B940" s="157"/>
      <c r="C940" s="158"/>
      <c r="D940" s="169" t="s">
        <v>39</v>
      </c>
      <c r="E940" s="172" t="s">
        <v>228</v>
      </c>
      <c r="F940" s="175" t="s">
        <v>40</v>
      </c>
      <c r="G940" s="178" t="s">
        <v>230</v>
      </c>
      <c r="H940" s="181">
        <v>2</v>
      </c>
      <c r="I940" s="178"/>
      <c r="J940" s="181"/>
      <c r="K940" s="178"/>
      <c r="L940" s="181"/>
      <c r="M940" s="6"/>
      <c r="N940" s="32"/>
      <c r="Q940" s="10" t="str">
        <f>+CONCATENATE(E940,G940)</f>
        <v>차열재마감800*400</v>
      </c>
      <c r="R940" s="10">
        <f>+H940</f>
        <v>2</v>
      </c>
      <c r="S940" s="11"/>
      <c r="T940" s="10" t="str">
        <f>+E940</f>
        <v>차열재마감</v>
      </c>
      <c r="U940" s="19" t="str">
        <f t="shared" ref="U940" si="509">IFERROR(LEFT(G940,FIND("*",G940)-1),"-")</f>
        <v>800</v>
      </c>
      <c r="V940" s="19" t="str">
        <f t="shared" ref="V940" si="510">IFERROR(RIGHT(G940,LEN(G940)-FIND("*",G940)),"-")</f>
        <v>400</v>
      </c>
      <c r="W940" s="20">
        <f t="shared" si="508"/>
        <v>2.4</v>
      </c>
      <c r="X940" s="20">
        <f>IFERROR(W940*H940,"-")</f>
        <v>4.8</v>
      </c>
      <c r="Z940" s="33">
        <v>45181</v>
      </c>
    </row>
    <row r="941" spans="1:26" ht="6.95" customHeight="1" x14ac:dyDescent="0.3">
      <c r="A941" s="5"/>
      <c r="B941" s="157"/>
      <c r="C941" s="158"/>
      <c r="D941" s="170"/>
      <c r="E941" s="173"/>
      <c r="F941" s="176"/>
      <c r="G941" s="179"/>
      <c r="H941" s="182"/>
      <c r="I941" s="179"/>
      <c r="J941" s="182"/>
      <c r="K941" s="179"/>
      <c r="L941" s="182"/>
      <c r="M941" s="6"/>
      <c r="N941" s="32"/>
      <c r="Q941" s="10" t="str">
        <f>+CONCATENATE(E940,I940)</f>
        <v>차열재마감</v>
      </c>
      <c r="R941" s="10">
        <f>+J940</f>
        <v>0</v>
      </c>
      <c r="S941" s="11"/>
      <c r="T941" s="10" t="str">
        <f>+E940</f>
        <v>차열재마감</v>
      </c>
      <c r="U941" s="19" t="str">
        <f>IFERROR(LEFT(I940,FIND("*",I940)-1),"-")</f>
        <v>-</v>
      </c>
      <c r="V941" s="19" t="str">
        <f>IFERROR(RIGHT(I940,LEN(I940)-FIND("*",I940)),"-")</f>
        <v>-</v>
      </c>
      <c r="W941" s="20" t="str">
        <f t="shared" si="508"/>
        <v>-</v>
      </c>
      <c r="X941" s="20" t="str">
        <f>IFERROR(W941*J940,"-")</f>
        <v>-</v>
      </c>
      <c r="Z941" s="33">
        <v>45181</v>
      </c>
    </row>
    <row r="942" spans="1:26" ht="6.95" customHeight="1" x14ac:dyDescent="0.3">
      <c r="A942" s="5"/>
      <c r="B942" s="157"/>
      <c r="C942" s="158"/>
      <c r="D942" s="171"/>
      <c r="E942" s="174"/>
      <c r="F942" s="177"/>
      <c r="G942" s="180"/>
      <c r="H942" s="183"/>
      <c r="I942" s="180"/>
      <c r="J942" s="183"/>
      <c r="K942" s="180"/>
      <c r="L942" s="183"/>
      <c r="M942" s="6"/>
      <c r="N942" s="32"/>
      <c r="Q942" s="10" t="str">
        <f>+CONCATENATE(E940,K940)</f>
        <v>차열재마감</v>
      </c>
      <c r="R942" s="10">
        <f>+L940</f>
        <v>0</v>
      </c>
      <c r="S942" s="11"/>
      <c r="T942" s="10" t="str">
        <f>+E940</f>
        <v>차열재마감</v>
      </c>
      <c r="U942" s="19" t="str">
        <f>IFERROR(LEFT(K940,FIND("*",K940)-1),"-")</f>
        <v>-</v>
      </c>
      <c r="V942" s="19" t="str">
        <f>IFERROR(RIGHT(K940,LEN(K940)-FIND("*",K940)),"-")</f>
        <v>-</v>
      </c>
      <c r="W942" s="20" t="str">
        <f t="shared" si="508"/>
        <v>-</v>
      </c>
      <c r="X942" s="20" t="str">
        <f>IFERROR(W942*L940,"-")</f>
        <v>-</v>
      </c>
      <c r="Z942" s="33">
        <v>45181</v>
      </c>
    </row>
    <row r="943" spans="1:26" ht="6.95" customHeight="1" x14ac:dyDescent="0.3">
      <c r="A943" s="8"/>
      <c r="B943" s="157"/>
      <c r="C943" s="158"/>
      <c r="D943" s="169" t="s">
        <v>39</v>
      </c>
      <c r="E943" s="172"/>
      <c r="F943" s="175" t="s">
        <v>40</v>
      </c>
      <c r="G943" s="178"/>
      <c r="H943" s="181"/>
      <c r="I943" s="178"/>
      <c r="J943" s="181"/>
      <c r="K943" s="178"/>
      <c r="L943" s="181"/>
      <c r="M943" s="6"/>
      <c r="N943" s="32"/>
      <c r="Q943" s="10" t="str">
        <f>+CONCATENATE(E943,G943)</f>
        <v/>
      </c>
      <c r="R943" s="10">
        <f>+H943</f>
        <v>0</v>
      </c>
      <c r="S943" s="11"/>
      <c r="T943" s="10">
        <f>+E943</f>
        <v>0</v>
      </c>
      <c r="U943" s="19" t="str">
        <f t="shared" ref="U943" si="511">IFERROR(LEFT(G943,FIND("*",G943)-1),"-")</f>
        <v>-</v>
      </c>
      <c r="V943" s="19" t="str">
        <f t="shared" ref="V943" si="512">IFERROR(RIGHT(G943,LEN(G943)-FIND("*",G943)),"-")</f>
        <v>-</v>
      </c>
      <c r="W943" s="20" t="str">
        <f t="shared" si="508"/>
        <v>-</v>
      </c>
      <c r="X943" s="20" t="str">
        <f>IFERROR(W943*H943,"-")</f>
        <v>-</v>
      </c>
      <c r="Z943" s="33">
        <v>45181</v>
      </c>
    </row>
    <row r="944" spans="1:26" ht="6.95" customHeight="1" x14ac:dyDescent="0.3">
      <c r="A944" s="5"/>
      <c r="B944" s="157"/>
      <c r="C944" s="158"/>
      <c r="D944" s="170"/>
      <c r="E944" s="173"/>
      <c r="F944" s="176"/>
      <c r="G944" s="179"/>
      <c r="H944" s="182"/>
      <c r="I944" s="179"/>
      <c r="J944" s="182"/>
      <c r="K944" s="179"/>
      <c r="L944" s="182"/>
      <c r="M944" s="6"/>
      <c r="N944" s="32"/>
      <c r="Q944" s="10" t="str">
        <f>+CONCATENATE(E943,I943)</f>
        <v/>
      </c>
      <c r="R944" s="10">
        <f>+J943</f>
        <v>0</v>
      </c>
      <c r="S944" s="11"/>
      <c r="T944" s="10">
        <f>+E943</f>
        <v>0</v>
      </c>
      <c r="U944" s="19" t="str">
        <f>IFERROR(LEFT(I943,FIND("*",I943)-1),"-")</f>
        <v>-</v>
      </c>
      <c r="V944" s="19" t="str">
        <f>IFERROR(RIGHT(I943,LEN(I943)-FIND("*",I943)),"-")</f>
        <v>-</v>
      </c>
      <c r="W944" s="20" t="str">
        <f t="shared" si="508"/>
        <v>-</v>
      </c>
      <c r="X944" s="20" t="str">
        <f t="shared" ref="X944" si="513">IFERROR(W944*J943,"-")</f>
        <v>-</v>
      </c>
      <c r="Z944" s="33">
        <v>45181</v>
      </c>
    </row>
    <row r="945" spans="1:26" ht="6.95" customHeight="1" x14ac:dyDescent="0.3">
      <c r="A945" s="5"/>
      <c r="B945" s="157"/>
      <c r="C945" s="158"/>
      <c r="D945" s="171"/>
      <c r="E945" s="174"/>
      <c r="F945" s="177"/>
      <c r="G945" s="180"/>
      <c r="H945" s="183"/>
      <c r="I945" s="180"/>
      <c r="J945" s="183"/>
      <c r="K945" s="180"/>
      <c r="L945" s="183"/>
      <c r="M945" s="6"/>
      <c r="N945" s="32"/>
      <c r="Q945" s="10" t="str">
        <f>+CONCATENATE(E943,K943)</f>
        <v/>
      </c>
      <c r="R945" s="10">
        <f>+L943</f>
        <v>0</v>
      </c>
      <c r="S945" s="11"/>
      <c r="T945" s="10">
        <f>+E943</f>
        <v>0</v>
      </c>
      <c r="U945" s="19" t="str">
        <f>IFERROR(LEFT(K943,FIND("*",K943)-1),"-")</f>
        <v>-</v>
      </c>
      <c r="V945" s="19" t="str">
        <f>IFERROR(RIGHT(K943,LEN(K943)-FIND("*",K943)),"-")</f>
        <v>-</v>
      </c>
      <c r="W945" s="20" t="str">
        <f t="shared" si="508"/>
        <v>-</v>
      </c>
      <c r="X945" s="20" t="str">
        <f>IFERROR(W945*L943,"-")</f>
        <v>-</v>
      </c>
      <c r="Z945" s="33">
        <v>45181</v>
      </c>
    </row>
    <row r="946" spans="1:26" ht="21" customHeight="1" thickBot="1" x14ac:dyDescent="0.35">
      <c r="A946" s="5"/>
      <c r="B946" s="159"/>
      <c r="C946" s="160"/>
      <c r="D946" s="184" t="s">
        <v>43</v>
      </c>
      <c r="E946" s="185"/>
      <c r="F946" s="186"/>
      <c r="G946" s="187" t="s">
        <v>221</v>
      </c>
      <c r="H946" s="188"/>
      <c r="I946" s="188"/>
      <c r="J946" s="188"/>
      <c r="K946" s="188"/>
      <c r="L946" s="165"/>
      <c r="M946" s="7"/>
      <c r="N946" s="32"/>
      <c r="Z946" s="33">
        <v>45181</v>
      </c>
    </row>
    <row r="947" spans="1:26" ht="9.9499999999999993" customHeight="1" thickBot="1" x14ac:dyDescent="0.35">
      <c r="B947" s="9"/>
      <c r="C947" s="109">
        <v>886</v>
      </c>
      <c r="D947" s="51"/>
      <c r="E947" s="12"/>
      <c r="F947" s="51"/>
      <c r="G947" s="14"/>
      <c r="H947" s="14"/>
      <c r="I947" s="14"/>
      <c r="J947" s="14"/>
      <c r="K947" s="14"/>
      <c r="L947" s="14"/>
      <c r="M947" s="9"/>
      <c r="N947" s="32"/>
      <c r="U947" s="18"/>
      <c r="V947" s="18"/>
      <c r="Z947" s="33">
        <v>45181</v>
      </c>
    </row>
    <row r="948" spans="1:26" ht="6.95" customHeight="1" x14ac:dyDescent="0.3">
      <c r="A948" s="154">
        <f>+A937+1</f>
        <v>887</v>
      </c>
      <c r="B948" s="155"/>
      <c r="C948" s="156"/>
      <c r="D948" s="169" t="s">
        <v>39</v>
      </c>
      <c r="E948" s="172" t="s">
        <v>226</v>
      </c>
      <c r="F948" s="175" t="s">
        <v>40</v>
      </c>
      <c r="G948" s="178" t="s">
        <v>231</v>
      </c>
      <c r="H948" s="181">
        <v>1</v>
      </c>
      <c r="I948" s="178"/>
      <c r="J948" s="181"/>
      <c r="K948" s="178"/>
      <c r="L948" s="181"/>
      <c r="M948" s="6"/>
      <c r="N948" s="32"/>
      <c r="Q948" s="10" t="str">
        <f>+CONCATENATE(E948,G948)</f>
        <v>무보온덕트벽체700*300</v>
      </c>
      <c r="R948" s="10">
        <f>+H948</f>
        <v>1</v>
      </c>
      <c r="S948" s="11"/>
      <c r="T948" s="10" t="str">
        <f>+E948</f>
        <v>무보온덕트벽체</v>
      </c>
      <c r="U948" s="19" t="str">
        <f>IFERROR(LEFT(G948,FIND("*",G948)-1),"-")</f>
        <v>700</v>
      </c>
      <c r="V948" s="19" t="str">
        <f>IFERROR(RIGHT(G948,LEN(G948)-FIND("*",G948)),"-")</f>
        <v>300</v>
      </c>
      <c r="W948" s="20">
        <f>IFERROR((U948+V948)*2/1000,"-")</f>
        <v>2</v>
      </c>
      <c r="X948" s="20">
        <f>IFERROR(W948*H948,"-")</f>
        <v>2</v>
      </c>
      <c r="Z948" s="33">
        <v>45181</v>
      </c>
    </row>
    <row r="949" spans="1:26" ht="6.95" customHeight="1" x14ac:dyDescent="0.3">
      <c r="A949" s="154"/>
      <c r="B949" s="157"/>
      <c r="C949" s="158"/>
      <c r="D949" s="170"/>
      <c r="E949" s="173"/>
      <c r="F949" s="176"/>
      <c r="G949" s="179"/>
      <c r="H949" s="182"/>
      <c r="I949" s="179"/>
      <c r="J949" s="182"/>
      <c r="K949" s="179"/>
      <c r="L949" s="182"/>
      <c r="M949" s="6"/>
      <c r="N949" s="32"/>
      <c r="Q949" s="10" t="str">
        <f>+CONCATENATE(E948,I948)</f>
        <v>무보온덕트벽체</v>
      </c>
      <c r="R949" s="10">
        <f>+J948</f>
        <v>0</v>
      </c>
      <c r="S949" s="11"/>
      <c r="T949" s="10" t="str">
        <f>+E948</f>
        <v>무보온덕트벽체</v>
      </c>
      <c r="U949" s="19" t="str">
        <f>IFERROR(LEFT(I948,FIND("*",I948)-1),"-")</f>
        <v>-</v>
      </c>
      <c r="V949" s="19" t="str">
        <f>IFERROR(RIGHT(I948,LEN(I948)-FIND("*",I948)),"-")</f>
        <v>-</v>
      </c>
      <c r="W949" s="20" t="str">
        <f t="shared" ref="W949:W956" si="514">IFERROR((U949+V949)*2/1000,"-")</f>
        <v>-</v>
      </c>
      <c r="X949" s="20" t="str">
        <f>IFERROR(W949*J948,"-")</f>
        <v>-</v>
      </c>
      <c r="Z949" s="33">
        <v>45181</v>
      </c>
    </row>
    <row r="950" spans="1:26" ht="6.95" customHeight="1" x14ac:dyDescent="0.3">
      <c r="A950" s="154"/>
      <c r="B950" s="157"/>
      <c r="C950" s="158"/>
      <c r="D950" s="171"/>
      <c r="E950" s="174"/>
      <c r="F950" s="177"/>
      <c r="G950" s="180"/>
      <c r="H950" s="183"/>
      <c r="I950" s="180"/>
      <c r="J950" s="183"/>
      <c r="K950" s="180"/>
      <c r="L950" s="183"/>
      <c r="M950" s="6"/>
      <c r="N950" s="32"/>
      <c r="Q950" s="10" t="str">
        <f>+CONCATENATE(E948,K948)</f>
        <v>무보온덕트벽체</v>
      </c>
      <c r="R950" s="10">
        <f>+L948</f>
        <v>0</v>
      </c>
      <c r="S950" s="11"/>
      <c r="T950" s="10" t="str">
        <f>+E948</f>
        <v>무보온덕트벽체</v>
      </c>
      <c r="U950" s="19" t="str">
        <f>IFERROR(LEFT(K948,FIND("*",K948)-1),"-")</f>
        <v>-</v>
      </c>
      <c r="V950" s="19" t="str">
        <f>IFERROR(RIGHT(K948,LEN(K948)-FIND("*",K948)),"-")</f>
        <v>-</v>
      </c>
      <c r="W950" s="20" t="str">
        <f t="shared" si="514"/>
        <v>-</v>
      </c>
      <c r="X950" s="20" t="str">
        <f>IFERROR(W950*L948,"-")</f>
        <v>-</v>
      </c>
      <c r="Z950" s="33">
        <v>45181</v>
      </c>
    </row>
    <row r="951" spans="1:26" ht="6.95" customHeight="1" x14ac:dyDescent="0.3">
      <c r="A951" s="8"/>
      <c r="B951" s="157"/>
      <c r="C951" s="158"/>
      <c r="D951" s="169" t="s">
        <v>39</v>
      </c>
      <c r="E951" s="172" t="s">
        <v>228</v>
      </c>
      <c r="F951" s="175" t="s">
        <v>40</v>
      </c>
      <c r="G951" s="178" t="s">
        <v>231</v>
      </c>
      <c r="H951" s="181">
        <v>1</v>
      </c>
      <c r="I951" s="178"/>
      <c r="J951" s="181"/>
      <c r="K951" s="178"/>
      <c r="L951" s="181"/>
      <c r="M951" s="6"/>
      <c r="N951" s="32"/>
      <c r="Q951" s="10" t="str">
        <f>+CONCATENATE(E951,G951)</f>
        <v>차열재마감700*300</v>
      </c>
      <c r="R951" s="10">
        <f>+H951</f>
        <v>1</v>
      </c>
      <c r="S951" s="11"/>
      <c r="T951" s="10" t="str">
        <f>+E951</f>
        <v>차열재마감</v>
      </c>
      <c r="U951" s="19" t="str">
        <f t="shared" ref="U951" si="515">IFERROR(LEFT(G951,FIND("*",G951)-1),"-")</f>
        <v>700</v>
      </c>
      <c r="V951" s="19" t="str">
        <f t="shared" ref="V951" si="516">IFERROR(RIGHT(G951,LEN(G951)-FIND("*",G951)),"-")</f>
        <v>300</v>
      </c>
      <c r="W951" s="20">
        <f t="shared" si="514"/>
        <v>2</v>
      </c>
      <c r="X951" s="20">
        <f>IFERROR(W951*H951,"-")</f>
        <v>2</v>
      </c>
      <c r="Z951" s="33">
        <v>45181</v>
      </c>
    </row>
    <row r="952" spans="1:26" ht="6.95" customHeight="1" x14ac:dyDescent="0.3">
      <c r="A952" s="5"/>
      <c r="B952" s="157"/>
      <c r="C952" s="158"/>
      <c r="D952" s="170"/>
      <c r="E952" s="173"/>
      <c r="F952" s="176"/>
      <c r="G952" s="179"/>
      <c r="H952" s="182"/>
      <c r="I952" s="179"/>
      <c r="J952" s="182"/>
      <c r="K952" s="179"/>
      <c r="L952" s="182"/>
      <c r="M952" s="6"/>
      <c r="N952" s="32"/>
      <c r="Q952" s="10" t="str">
        <f>+CONCATENATE(E951,I951)</f>
        <v>차열재마감</v>
      </c>
      <c r="R952" s="10">
        <f>+J951</f>
        <v>0</v>
      </c>
      <c r="S952" s="11"/>
      <c r="T952" s="10" t="str">
        <f>+E951</f>
        <v>차열재마감</v>
      </c>
      <c r="U952" s="19" t="str">
        <f>IFERROR(LEFT(I951,FIND("*",I951)-1),"-")</f>
        <v>-</v>
      </c>
      <c r="V952" s="19" t="str">
        <f>IFERROR(RIGHT(I951,LEN(I951)-FIND("*",I951)),"-")</f>
        <v>-</v>
      </c>
      <c r="W952" s="20" t="str">
        <f t="shared" si="514"/>
        <v>-</v>
      </c>
      <c r="X952" s="20" t="str">
        <f>IFERROR(W952*J951,"-")</f>
        <v>-</v>
      </c>
      <c r="Z952" s="33">
        <v>45181</v>
      </c>
    </row>
    <row r="953" spans="1:26" ht="6.95" customHeight="1" x14ac:dyDescent="0.3">
      <c r="A953" s="5"/>
      <c r="B953" s="157"/>
      <c r="C953" s="158"/>
      <c r="D953" s="171"/>
      <c r="E953" s="174"/>
      <c r="F953" s="177"/>
      <c r="G953" s="180"/>
      <c r="H953" s="183"/>
      <c r="I953" s="180"/>
      <c r="J953" s="183"/>
      <c r="K953" s="180"/>
      <c r="L953" s="183"/>
      <c r="M953" s="6"/>
      <c r="N953" s="32"/>
      <c r="Q953" s="10" t="str">
        <f>+CONCATENATE(E951,K951)</f>
        <v>차열재마감</v>
      </c>
      <c r="R953" s="10">
        <f>+L951</f>
        <v>0</v>
      </c>
      <c r="S953" s="11"/>
      <c r="T953" s="10" t="str">
        <f>+E951</f>
        <v>차열재마감</v>
      </c>
      <c r="U953" s="19" t="str">
        <f>IFERROR(LEFT(K951,FIND("*",K951)-1),"-")</f>
        <v>-</v>
      </c>
      <c r="V953" s="19" t="str">
        <f>IFERROR(RIGHT(K951,LEN(K951)-FIND("*",K951)),"-")</f>
        <v>-</v>
      </c>
      <c r="W953" s="20" t="str">
        <f t="shared" si="514"/>
        <v>-</v>
      </c>
      <c r="X953" s="20" t="str">
        <f>IFERROR(W953*L951,"-")</f>
        <v>-</v>
      </c>
      <c r="Z953" s="33">
        <v>45181</v>
      </c>
    </row>
    <row r="954" spans="1:26" ht="6.95" customHeight="1" x14ac:dyDescent="0.3">
      <c r="A954" s="8"/>
      <c r="B954" s="157"/>
      <c r="C954" s="158"/>
      <c r="D954" s="169" t="s">
        <v>39</v>
      </c>
      <c r="E954" s="172"/>
      <c r="F954" s="175" t="s">
        <v>40</v>
      </c>
      <c r="G954" s="178"/>
      <c r="H954" s="181"/>
      <c r="I954" s="178"/>
      <c r="J954" s="181"/>
      <c r="K954" s="178"/>
      <c r="L954" s="181"/>
      <c r="M954" s="6"/>
      <c r="N954" s="32"/>
      <c r="Q954" s="10" t="str">
        <f>+CONCATENATE(E954,G954)</f>
        <v/>
      </c>
      <c r="R954" s="10">
        <f>+H954</f>
        <v>0</v>
      </c>
      <c r="S954" s="11"/>
      <c r="T954" s="10">
        <f>+E954</f>
        <v>0</v>
      </c>
      <c r="U954" s="19" t="str">
        <f t="shared" ref="U954" si="517">IFERROR(LEFT(G954,FIND("*",G954)-1),"-")</f>
        <v>-</v>
      </c>
      <c r="V954" s="19" t="str">
        <f t="shared" ref="V954" si="518">IFERROR(RIGHT(G954,LEN(G954)-FIND("*",G954)),"-")</f>
        <v>-</v>
      </c>
      <c r="W954" s="20" t="str">
        <f t="shared" si="514"/>
        <v>-</v>
      </c>
      <c r="X954" s="20" t="str">
        <f>IFERROR(W954*H954,"-")</f>
        <v>-</v>
      </c>
      <c r="Z954" s="33">
        <v>45181</v>
      </c>
    </row>
    <row r="955" spans="1:26" ht="6.95" customHeight="1" x14ac:dyDescent="0.3">
      <c r="A955" s="5"/>
      <c r="B955" s="157"/>
      <c r="C955" s="158"/>
      <c r="D955" s="170"/>
      <c r="E955" s="173"/>
      <c r="F955" s="176"/>
      <c r="G955" s="179"/>
      <c r="H955" s="182"/>
      <c r="I955" s="179"/>
      <c r="J955" s="182"/>
      <c r="K955" s="179"/>
      <c r="L955" s="182"/>
      <c r="M955" s="6"/>
      <c r="N955" s="32"/>
      <c r="Q955" s="10" t="str">
        <f>+CONCATENATE(E954,I954)</f>
        <v/>
      </c>
      <c r="R955" s="10">
        <f>+J954</f>
        <v>0</v>
      </c>
      <c r="S955" s="11"/>
      <c r="T955" s="10">
        <f>+E954</f>
        <v>0</v>
      </c>
      <c r="U955" s="19" t="str">
        <f>IFERROR(LEFT(I954,FIND("*",I954)-1),"-")</f>
        <v>-</v>
      </c>
      <c r="V955" s="19" t="str">
        <f>IFERROR(RIGHT(I954,LEN(I954)-FIND("*",I954)),"-")</f>
        <v>-</v>
      </c>
      <c r="W955" s="20" t="str">
        <f t="shared" si="514"/>
        <v>-</v>
      </c>
      <c r="X955" s="20" t="str">
        <f t="shared" ref="X955" si="519">IFERROR(W955*J954,"-")</f>
        <v>-</v>
      </c>
      <c r="Z955" s="33">
        <v>45181</v>
      </c>
    </row>
    <row r="956" spans="1:26" ht="6.95" customHeight="1" x14ac:dyDescent="0.3">
      <c r="A956" s="5"/>
      <c r="B956" s="157"/>
      <c r="C956" s="158"/>
      <c r="D956" s="171"/>
      <c r="E956" s="174"/>
      <c r="F956" s="177"/>
      <c r="G956" s="180"/>
      <c r="H956" s="183"/>
      <c r="I956" s="180"/>
      <c r="J956" s="183"/>
      <c r="K956" s="180"/>
      <c r="L956" s="183"/>
      <c r="M956" s="6"/>
      <c r="N956" s="32"/>
      <c r="Q956" s="10" t="str">
        <f>+CONCATENATE(E954,K954)</f>
        <v/>
      </c>
      <c r="R956" s="10">
        <f>+L954</f>
        <v>0</v>
      </c>
      <c r="S956" s="11"/>
      <c r="T956" s="10">
        <f>+E954</f>
        <v>0</v>
      </c>
      <c r="U956" s="19" t="str">
        <f>IFERROR(LEFT(K954,FIND("*",K954)-1),"-")</f>
        <v>-</v>
      </c>
      <c r="V956" s="19" t="str">
        <f>IFERROR(RIGHT(K954,LEN(K954)-FIND("*",K954)),"-")</f>
        <v>-</v>
      </c>
      <c r="W956" s="20" t="str">
        <f t="shared" si="514"/>
        <v>-</v>
      </c>
      <c r="X956" s="20" t="str">
        <f>IFERROR(W956*L954,"-")</f>
        <v>-</v>
      </c>
      <c r="Z956" s="33">
        <v>45181</v>
      </c>
    </row>
    <row r="957" spans="1:26" ht="21" customHeight="1" thickBot="1" x14ac:dyDescent="0.35">
      <c r="A957" s="5"/>
      <c r="B957" s="159"/>
      <c r="C957" s="160"/>
      <c r="D957" s="184" t="s">
        <v>43</v>
      </c>
      <c r="E957" s="185"/>
      <c r="F957" s="186"/>
      <c r="G957" s="187" t="s">
        <v>221</v>
      </c>
      <c r="H957" s="188"/>
      <c r="I957" s="188"/>
      <c r="J957" s="188"/>
      <c r="K957" s="188"/>
      <c r="L957" s="165"/>
      <c r="M957" s="7"/>
      <c r="N957" s="32"/>
      <c r="Z957" s="33">
        <v>45181</v>
      </c>
    </row>
    <row r="958" spans="1:26" ht="9.9499999999999993" customHeight="1" thickBot="1" x14ac:dyDescent="0.35">
      <c r="B958" s="9"/>
      <c r="C958" s="109">
        <v>887</v>
      </c>
      <c r="D958" s="51"/>
      <c r="E958" s="12"/>
      <c r="F958" s="51"/>
      <c r="G958" s="14"/>
      <c r="H958" s="14"/>
      <c r="I958" s="14"/>
      <c r="J958" s="14"/>
      <c r="K958" s="14"/>
      <c r="L958" s="14"/>
      <c r="M958" s="9"/>
      <c r="N958" s="32"/>
      <c r="U958" s="18"/>
      <c r="V958" s="18"/>
      <c r="Z958" s="33">
        <v>45181</v>
      </c>
    </row>
    <row r="959" spans="1:26" ht="6.95" customHeight="1" x14ac:dyDescent="0.3">
      <c r="A959" s="154">
        <f>+A948+1</f>
        <v>888</v>
      </c>
      <c r="B959" s="155"/>
      <c r="C959" s="156"/>
      <c r="D959" s="169" t="s">
        <v>39</v>
      </c>
      <c r="E959" s="172" t="s">
        <v>222</v>
      </c>
      <c r="F959" s="175" t="s">
        <v>40</v>
      </c>
      <c r="G959" s="178" t="s">
        <v>232</v>
      </c>
      <c r="H959" s="181">
        <v>1</v>
      </c>
      <c r="I959" s="178"/>
      <c r="J959" s="181"/>
      <c r="K959" s="178"/>
      <c r="L959" s="181"/>
      <c r="M959" s="6"/>
      <c r="N959" s="32"/>
      <c r="Q959" s="10" t="str">
        <f>+CONCATENATE(E959,G959)</f>
        <v>보온덕트벽체800*600</v>
      </c>
      <c r="R959" s="10">
        <f>+H959</f>
        <v>1</v>
      </c>
      <c r="S959" s="11"/>
      <c r="T959" s="10" t="str">
        <f>+E959</f>
        <v>보온덕트벽체</v>
      </c>
      <c r="U959" s="19" t="str">
        <f>IFERROR(LEFT(G959,FIND("*",G959)-1),"-")</f>
        <v>800</v>
      </c>
      <c r="V959" s="19" t="str">
        <f>IFERROR(RIGHT(G959,LEN(G959)-FIND("*",G959)),"-")</f>
        <v>600</v>
      </c>
      <c r="W959" s="20">
        <f>IFERROR((U959+V959)*2/1000,"-")</f>
        <v>2.8</v>
      </c>
      <c r="X959" s="20">
        <f>IFERROR(W959*H959,"-")</f>
        <v>2.8</v>
      </c>
      <c r="Z959" s="33">
        <v>45181</v>
      </c>
    </row>
    <row r="960" spans="1:26" ht="6.95" customHeight="1" x14ac:dyDescent="0.3">
      <c r="A960" s="154"/>
      <c r="B960" s="157"/>
      <c r="C960" s="158"/>
      <c r="D960" s="170"/>
      <c r="E960" s="173"/>
      <c r="F960" s="176"/>
      <c r="G960" s="179"/>
      <c r="H960" s="182"/>
      <c r="I960" s="179"/>
      <c r="J960" s="182"/>
      <c r="K960" s="179"/>
      <c r="L960" s="182"/>
      <c r="M960" s="6"/>
      <c r="N960" s="32"/>
      <c r="Q960" s="10" t="str">
        <f>+CONCATENATE(E959,I959)</f>
        <v>보온덕트벽체</v>
      </c>
      <c r="R960" s="10">
        <f>+J959</f>
        <v>0</v>
      </c>
      <c r="S960" s="11"/>
      <c r="T960" s="10" t="str">
        <f>+E959</f>
        <v>보온덕트벽체</v>
      </c>
      <c r="U960" s="19" t="str">
        <f>IFERROR(LEFT(I959,FIND("*",I959)-1),"-")</f>
        <v>-</v>
      </c>
      <c r="V960" s="19" t="str">
        <f>IFERROR(RIGHT(I959,LEN(I959)-FIND("*",I959)),"-")</f>
        <v>-</v>
      </c>
      <c r="W960" s="20" t="str">
        <f t="shared" ref="W960:W967" si="520">IFERROR((U960+V960)*2/1000,"-")</f>
        <v>-</v>
      </c>
      <c r="X960" s="20" t="str">
        <f>IFERROR(W960*J959,"-")</f>
        <v>-</v>
      </c>
      <c r="Z960" s="33">
        <v>45181</v>
      </c>
    </row>
    <row r="961" spans="1:26" ht="6.95" customHeight="1" x14ac:dyDescent="0.3">
      <c r="A961" s="154"/>
      <c r="B961" s="157"/>
      <c r="C961" s="158"/>
      <c r="D961" s="171"/>
      <c r="E961" s="174"/>
      <c r="F961" s="177"/>
      <c r="G961" s="180"/>
      <c r="H961" s="183"/>
      <c r="I961" s="180"/>
      <c r="J961" s="183"/>
      <c r="K961" s="180"/>
      <c r="L961" s="183"/>
      <c r="M961" s="6"/>
      <c r="N961" s="32"/>
      <c r="Q961" s="10" t="str">
        <f>+CONCATENATE(E959,K959)</f>
        <v>보온덕트벽체</v>
      </c>
      <c r="R961" s="10">
        <f>+L959</f>
        <v>0</v>
      </c>
      <c r="S961" s="11"/>
      <c r="T961" s="10" t="str">
        <f>+E959</f>
        <v>보온덕트벽체</v>
      </c>
      <c r="U961" s="19" t="str">
        <f>IFERROR(LEFT(K959,FIND("*",K959)-1),"-")</f>
        <v>-</v>
      </c>
      <c r="V961" s="19" t="str">
        <f>IFERROR(RIGHT(K959,LEN(K959)-FIND("*",K959)),"-")</f>
        <v>-</v>
      </c>
      <c r="W961" s="20" t="str">
        <f t="shared" si="520"/>
        <v>-</v>
      </c>
      <c r="X961" s="20" t="str">
        <f>IFERROR(W961*L959,"-")</f>
        <v>-</v>
      </c>
      <c r="Z961" s="33">
        <v>45181</v>
      </c>
    </row>
    <row r="962" spans="1:26" ht="6.95" customHeight="1" x14ac:dyDescent="0.3">
      <c r="A962" s="8"/>
      <c r="B962" s="157"/>
      <c r="C962" s="158"/>
      <c r="D962" s="169" t="s">
        <v>39</v>
      </c>
      <c r="E962" s="172" t="s">
        <v>228</v>
      </c>
      <c r="F962" s="175" t="s">
        <v>40</v>
      </c>
      <c r="G962" s="178" t="s">
        <v>232</v>
      </c>
      <c r="H962" s="181">
        <v>2</v>
      </c>
      <c r="I962" s="178"/>
      <c r="J962" s="181"/>
      <c r="K962" s="178"/>
      <c r="L962" s="181"/>
      <c r="M962" s="6"/>
      <c r="N962" s="32"/>
      <c r="Q962" s="10" t="str">
        <f>+CONCATENATE(E962,G962)</f>
        <v>차열재마감800*600</v>
      </c>
      <c r="R962" s="10">
        <f>+H962</f>
        <v>2</v>
      </c>
      <c r="S962" s="11"/>
      <c r="T962" s="10" t="str">
        <f>+E962</f>
        <v>차열재마감</v>
      </c>
      <c r="U962" s="19" t="str">
        <f t="shared" ref="U962" si="521">IFERROR(LEFT(G962,FIND("*",G962)-1),"-")</f>
        <v>800</v>
      </c>
      <c r="V962" s="19" t="str">
        <f t="shared" ref="V962" si="522">IFERROR(RIGHT(G962,LEN(G962)-FIND("*",G962)),"-")</f>
        <v>600</v>
      </c>
      <c r="W962" s="20">
        <f t="shared" si="520"/>
        <v>2.8</v>
      </c>
      <c r="X962" s="20">
        <f>IFERROR(W962*H962,"-")</f>
        <v>5.6</v>
      </c>
      <c r="Z962" s="33">
        <v>45181</v>
      </c>
    </row>
    <row r="963" spans="1:26" ht="6.95" customHeight="1" x14ac:dyDescent="0.3">
      <c r="A963" s="5"/>
      <c r="B963" s="157"/>
      <c r="C963" s="158"/>
      <c r="D963" s="170"/>
      <c r="E963" s="173"/>
      <c r="F963" s="176"/>
      <c r="G963" s="179"/>
      <c r="H963" s="182"/>
      <c r="I963" s="179"/>
      <c r="J963" s="182"/>
      <c r="K963" s="179"/>
      <c r="L963" s="182"/>
      <c r="M963" s="6"/>
      <c r="N963" s="32"/>
      <c r="Q963" s="10" t="str">
        <f>+CONCATENATE(E962,I962)</f>
        <v>차열재마감</v>
      </c>
      <c r="R963" s="10">
        <f>+J962</f>
        <v>0</v>
      </c>
      <c r="S963" s="11"/>
      <c r="T963" s="10" t="str">
        <f>+E962</f>
        <v>차열재마감</v>
      </c>
      <c r="U963" s="19" t="str">
        <f>IFERROR(LEFT(I962,FIND("*",I962)-1),"-")</f>
        <v>-</v>
      </c>
      <c r="V963" s="19" t="str">
        <f>IFERROR(RIGHT(I962,LEN(I962)-FIND("*",I962)),"-")</f>
        <v>-</v>
      </c>
      <c r="W963" s="20" t="str">
        <f t="shared" si="520"/>
        <v>-</v>
      </c>
      <c r="X963" s="20" t="str">
        <f>IFERROR(W963*J962,"-")</f>
        <v>-</v>
      </c>
      <c r="Z963" s="33">
        <v>45181</v>
      </c>
    </row>
    <row r="964" spans="1:26" ht="6.95" customHeight="1" x14ac:dyDescent="0.3">
      <c r="A964" s="5"/>
      <c r="B964" s="157"/>
      <c r="C964" s="158"/>
      <c r="D964" s="171"/>
      <c r="E964" s="174"/>
      <c r="F964" s="177"/>
      <c r="G964" s="180"/>
      <c r="H964" s="183"/>
      <c r="I964" s="180"/>
      <c r="J964" s="183"/>
      <c r="K964" s="180"/>
      <c r="L964" s="183"/>
      <c r="M964" s="6"/>
      <c r="N964" s="32"/>
      <c r="Q964" s="10" t="str">
        <f>+CONCATENATE(E962,K962)</f>
        <v>차열재마감</v>
      </c>
      <c r="R964" s="10">
        <f>+L962</f>
        <v>0</v>
      </c>
      <c r="S964" s="11"/>
      <c r="T964" s="10" t="str">
        <f>+E962</f>
        <v>차열재마감</v>
      </c>
      <c r="U964" s="19" t="str">
        <f>IFERROR(LEFT(K962,FIND("*",K962)-1),"-")</f>
        <v>-</v>
      </c>
      <c r="V964" s="19" t="str">
        <f>IFERROR(RIGHT(K962,LEN(K962)-FIND("*",K962)),"-")</f>
        <v>-</v>
      </c>
      <c r="W964" s="20" t="str">
        <f t="shared" si="520"/>
        <v>-</v>
      </c>
      <c r="X964" s="20" t="str">
        <f>IFERROR(W964*L962,"-")</f>
        <v>-</v>
      </c>
      <c r="Z964" s="33">
        <v>45181</v>
      </c>
    </row>
    <row r="965" spans="1:26" ht="6.95" customHeight="1" x14ac:dyDescent="0.3">
      <c r="A965" s="8"/>
      <c r="B965" s="157"/>
      <c r="C965" s="158"/>
      <c r="D965" s="169" t="s">
        <v>39</v>
      </c>
      <c r="E965" s="172"/>
      <c r="F965" s="175" t="s">
        <v>40</v>
      </c>
      <c r="G965" s="178"/>
      <c r="H965" s="181"/>
      <c r="I965" s="178"/>
      <c r="J965" s="181"/>
      <c r="K965" s="178"/>
      <c r="L965" s="181"/>
      <c r="M965" s="6"/>
      <c r="N965" s="32"/>
      <c r="Q965" s="10" t="str">
        <f>+CONCATENATE(E965,G965)</f>
        <v/>
      </c>
      <c r="R965" s="10">
        <f>+H965</f>
        <v>0</v>
      </c>
      <c r="S965" s="11"/>
      <c r="T965" s="10">
        <f>+E965</f>
        <v>0</v>
      </c>
      <c r="U965" s="19" t="str">
        <f t="shared" ref="U965" si="523">IFERROR(LEFT(G965,FIND("*",G965)-1),"-")</f>
        <v>-</v>
      </c>
      <c r="V965" s="19" t="str">
        <f t="shared" ref="V965" si="524">IFERROR(RIGHT(G965,LEN(G965)-FIND("*",G965)),"-")</f>
        <v>-</v>
      </c>
      <c r="W965" s="20" t="str">
        <f t="shared" si="520"/>
        <v>-</v>
      </c>
      <c r="X965" s="20" t="str">
        <f>IFERROR(W965*H965,"-")</f>
        <v>-</v>
      </c>
      <c r="Z965" s="33">
        <v>45181</v>
      </c>
    </row>
    <row r="966" spans="1:26" ht="6.95" customHeight="1" x14ac:dyDescent="0.3">
      <c r="A966" s="5"/>
      <c r="B966" s="157"/>
      <c r="C966" s="158"/>
      <c r="D966" s="170"/>
      <c r="E966" s="173"/>
      <c r="F966" s="176"/>
      <c r="G966" s="179"/>
      <c r="H966" s="182"/>
      <c r="I966" s="179"/>
      <c r="J966" s="182"/>
      <c r="K966" s="179"/>
      <c r="L966" s="182"/>
      <c r="M966" s="6"/>
      <c r="N966" s="32"/>
      <c r="Q966" s="10" t="str">
        <f>+CONCATENATE(E965,I965)</f>
        <v/>
      </c>
      <c r="R966" s="10">
        <f>+J965</f>
        <v>0</v>
      </c>
      <c r="S966" s="11"/>
      <c r="T966" s="10">
        <f>+E965</f>
        <v>0</v>
      </c>
      <c r="U966" s="19" t="str">
        <f>IFERROR(LEFT(I965,FIND("*",I965)-1),"-")</f>
        <v>-</v>
      </c>
      <c r="V966" s="19" t="str">
        <f>IFERROR(RIGHT(I965,LEN(I965)-FIND("*",I965)),"-")</f>
        <v>-</v>
      </c>
      <c r="W966" s="20" t="str">
        <f t="shared" si="520"/>
        <v>-</v>
      </c>
      <c r="X966" s="20" t="str">
        <f t="shared" ref="X966" si="525">IFERROR(W966*J965,"-")</f>
        <v>-</v>
      </c>
      <c r="Z966" s="33">
        <v>45181</v>
      </c>
    </row>
    <row r="967" spans="1:26" ht="6.95" customHeight="1" x14ac:dyDescent="0.3">
      <c r="A967" s="5"/>
      <c r="B967" s="157"/>
      <c r="C967" s="158"/>
      <c r="D967" s="171"/>
      <c r="E967" s="174"/>
      <c r="F967" s="177"/>
      <c r="G967" s="180"/>
      <c r="H967" s="183"/>
      <c r="I967" s="180"/>
      <c r="J967" s="183"/>
      <c r="K967" s="180"/>
      <c r="L967" s="183"/>
      <c r="M967" s="6"/>
      <c r="N967" s="32"/>
      <c r="Q967" s="10" t="str">
        <f>+CONCATENATE(E965,K965)</f>
        <v/>
      </c>
      <c r="R967" s="10">
        <f>+L965</f>
        <v>0</v>
      </c>
      <c r="S967" s="11"/>
      <c r="T967" s="10">
        <f>+E965</f>
        <v>0</v>
      </c>
      <c r="U967" s="19" t="str">
        <f>IFERROR(LEFT(K965,FIND("*",K965)-1),"-")</f>
        <v>-</v>
      </c>
      <c r="V967" s="19" t="str">
        <f>IFERROR(RIGHT(K965,LEN(K965)-FIND("*",K965)),"-")</f>
        <v>-</v>
      </c>
      <c r="W967" s="20" t="str">
        <f t="shared" si="520"/>
        <v>-</v>
      </c>
      <c r="X967" s="20" t="str">
        <f>IFERROR(W967*L965,"-")</f>
        <v>-</v>
      </c>
      <c r="Z967" s="33">
        <v>45181</v>
      </c>
    </row>
    <row r="968" spans="1:26" ht="21" customHeight="1" thickBot="1" x14ac:dyDescent="0.35">
      <c r="A968" s="5"/>
      <c r="B968" s="159"/>
      <c r="C968" s="160"/>
      <c r="D968" s="184" t="s">
        <v>43</v>
      </c>
      <c r="E968" s="185"/>
      <c r="F968" s="186"/>
      <c r="G968" s="187" t="s">
        <v>221</v>
      </c>
      <c r="H968" s="188"/>
      <c r="I968" s="188"/>
      <c r="J968" s="188"/>
      <c r="K968" s="188"/>
      <c r="L968" s="165"/>
      <c r="M968" s="7"/>
      <c r="N968" s="32"/>
      <c r="Z968" s="33">
        <v>45181</v>
      </c>
    </row>
    <row r="969" spans="1:26" ht="9.9499999999999993" customHeight="1" thickBot="1" x14ac:dyDescent="0.35">
      <c r="B969" s="9"/>
      <c r="C969" s="109">
        <v>888</v>
      </c>
      <c r="D969" s="51"/>
      <c r="E969" s="12"/>
      <c r="F969" s="51"/>
      <c r="G969" s="14"/>
      <c r="H969" s="14"/>
      <c r="I969" s="14"/>
      <c r="J969" s="14"/>
      <c r="K969" s="14"/>
      <c r="L969" s="14"/>
      <c r="M969" s="9"/>
      <c r="N969" s="32"/>
      <c r="U969" s="18"/>
      <c r="V969" s="18"/>
      <c r="Z969" s="33">
        <v>45181</v>
      </c>
    </row>
    <row r="970" spans="1:26" ht="6.95" customHeight="1" x14ac:dyDescent="0.3">
      <c r="A970" s="154">
        <f>+A959+1</f>
        <v>889</v>
      </c>
      <c r="B970" s="155"/>
      <c r="C970" s="156"/>
      <c r="D970" s="169" t="s">
        <v>39</v>
      </c>
      <c r="E970" s="172" t="s">
        <v>222</v>
      </c>
      <c r="F970" s="175" t="s">
        <v>40</v>
      </c>
      <c r="G970" s="178" t="s">
        <v>233</v>
      </c>
      <c r="H970" s="181">
        <v>1</v>
      </c>
      <c r="I970" s="178"/>
      <c r="J970" s="181"/>
      <c r="K970" s="178"/>
      <c r="L970" s="181"/>
      <c r="M970" s="6"/>
      <c r="N970" s="32"/>
      <c r="Q970" s="10" t="str">
        <f>+CONCATENATE(E970,G970)</f>
        <v>보온덕트벽체2000*600</v>
      </c>
      <c r="R970" s="10">
        <f>+H970</f>
        <v>1</v>
      </c>
      <c r="S970" s="11"/>
      <c r="T970" s="10" t="str">
        <f>+E970</f>
        <v>보온덕트벽체</v>
      </c>
      <c r="U970" s="19" t="str">
        <f>IFERROR(LEFT(G970,FIND("*",G970)-1),"-")</f>
        <v>2000</v>
      </c>
      <c r="V970" s="19" t="str">
        <f>IFERROR(RIGHT(G970,LEN(G970)-FIND("*",G970)),"-")</f>
        <v>600</v>
      </c>
      <c r="W970" s="20">
        <f>IFERROR((U970+V970)*2/1000,"-")</f>
        <v>5.2</v>
      </c>
      <c r="X970" s="20">
        <f>IFERROR(W970*H970,"-")</f>
        <v>5.2</v>
      </c>
      <c r="Z970" s="33">
        <v>45181</v>
      </c>
    </row>
    <row r="971" spans="1:26" ht="6.95" customHeight="1" x14ac:dyDescent="0.3">
      <c r="A971" s="154"/>
      <c r="B971" s="157"/>
      <c r="C971" s="158"/>
      <c r="D971" s="170"/>
      <c r="E971" s="173"/>
      <c r="F971" s="176"/>
      <c r="G971" s="179"/>
      <c r="H971" s="182"/>
      <c r="I971" s="179"/>
      <c r="J971" s="182"/>
      <c r="K971" s="179"/>
      <c r="L971" s="182"/>
      <c r="M971" s="6"/>
      <c r="N971" s="32"/>
      <c r="Q971" s="10" t="str">
        <f>+CONCATENATE(E970,I970)</f>
        <v>보온덕트벽체</v>
      </c>
      <c r="R971" s="10">
        <f>+J970</f>
        <v>0</v>
      </c>
      <c r="S971" s="11"/>
      <c r="T971" s="10" t="str">
        <f>+E970</f>
        <v>보온덕트벽체</v>
      </c>
      <c r="U971" s="19" t="str">
        <f>IFERROR(LEFT(I970,FIND("*",I970)-1),"-")</f>
        <v>-</v>
      </c>
      <c r="V971" s="19" t="str">
        <f>IFERROR(RIGHT(I970,LEN(I970)-FIND("*",I970)),"-")</f>
        <v>-</v>
      </c>
      <c r="W971" s="20" t="str">
        <f t="shared" ref="W971:W978" si="526">IFERROR((U971+V971)*2/1000,"-")</f>
        <v>-</v>
      </c>
      <c r="X971" s="20" t="str">
        <f>IFERROR(W971*J970,"-")</f>
        <v>-</v>
      </c>
      <c r="Z971" s="33">
        <v>45181</v>
      </c>
    </row>
    <row r="972" spans="1:26" ht="6.95" customHeight="1" x14ac:dyDescent="0.3">
      <c r="A972" s="154"/>
      <c r="B972" s="157"/>
      <c r="C972" s="158"/>
      <c r="D972" s="171"/>
      <c r="E972" s="174"/>
      <c r="F972" s="177"/>
      <c r="G972" s="180"/>
      <c r="H972" s="183"/>
      <c r="I972" s="180"/>
      <c r="J972" s="183"/>
      <c r="K972" s="180"/>
      <c r="L972" s="183"/>
      <c r="M972" s="6"/>
      <c r="N972" s="32"/>
      <c r="Q972" s="10" t="str">
        <f>+CONCATENATE(E970,K970)</f>
        <v>보온덕트벽체</v>
      </c>
      <c r="R972" s="10">
        <f>+L970</f>
        <v>0</v>
      </c>
      <c r="S972" s="11"/>
      <c r="T972" s="10" t="str">
        <f>+E970</f>
        <v>보온덕트벽체</v>
      </c>
      <c r="U972" s="19" t="str">
        <f>IFERROR(LEFT(K970,FIND("*",K970)-1),"-")</f>
        <v>-</v>
      </c>
      <c r="V972" s="19" t="str">
        <f>IFERROR(RIGHT(K970,LEN(K970)-FIND("*",K970)),"-")</f>
        <v>-</v>
      </c>
      <c r="W972" s="20" t="str">
        <f t="shared" si="526"/>
        <v>-</v>
      </c>
      <c r="X972" s="20" t="str">
        <f>IFERROR(W972*L970,"-")</f>
        <v>-</v>
      </c>
      <c r="Z972" s="33">
        <v>45181</v>
      </c>
    </row>
    <row r="973" spans="1:26" ht="6.95" customHeight="1" x14ac:dyDescent="0.3">
      <c r="A973" s="8"/>
      <c r="B973" s="157"/>
      <c r="C973" s="158"/>
      <c r="D973" s="169" t="s">
        <v>39</v>
      </c>
      <c r="E973" s="172" t="s">
        <v>228</v>
      </c>
      <c r="F973" s="175" t="s">
        <v>40</v>
      </c>
      <c r="G973" s="178" t="s">
        <v>233</v>
      </c>
      <c r="H973" s="181">
        <v>2</v>
      </c>
      <c r="I973" s="178"/>
      <c r="J973" s="181"/>
      <c r="K973" s="178"/>
      <c r="L973" s="181"/>
      <c r="M973" s="6"/>
      <c r="N973" s="32"/>
      <c r="Q973" s="10" t="str">
        <f>+CONCATENATE(E973,G973)</f>
        <v>차열재마감2000*600</v>
      </c>
      <c r="R973" s="10">
        <f>+H973</f>
        <v>2</v>
      </c>
      <c r="S973" s="11"/>
      <c r="T973" s="10" t="str">
        <f>+E973</f>
        <v>차열재마감</v>
      </c>
      <c r="U973" s="19" t="str">
        <f t="shared" ref="U973" si="527">IFERROR(LEFT(G973,FIND("*",G973)-1),"-")</f>
        <v>2000</v>
      </c>
      <c r="V973" s="19" t="str">
        <f t="shared" ref="V973" si="528">IFERROR(RIGHT(G973,LEN(G973)-FIND("*",G973)),"-")</f>
        <v>600</v>
      </c>
      <c r="W973" s="20">
        <f t="shared" si="526"/>
        <v>5.2</v>
      </c>
      <c r="X973" s="20">
        <f>IFERROR(W973*H973,"-")</f>
        <v>10.4</v>
      </c>
      <c r="Z973" s="33">
        <v>45181</v>
      </c>
    </row>
    <row r="974" spans="1:26" ht="6.95" customHeight="1" x14ac:dyDescent="0.3">
      <c r="A974" s="5"/>
      <c r="B974" s="157"/>
      <c r="C974" s="158"/>
      <c r="D974" s="170"/>
      <c r="E974" s="173"/>
      <c r="F974" s="176"/>
      <c r="G974" s="179"/>
      <c r="H974" s="182"/>
      <c r="I974" s="179"/>
      <c r="J974" s="182"/>
      <c r="K974" s="179"/>
      <c r="L974" s="182"/>
      <c r="M974" s="6"/>
      <c r="N974" s="32"/>
      <c r="Q974" s="10" t="str">
        <f>+CONCATENATE(E973,I973)</f>
        <v>차열재마감</v>
      </c>
      <c r="R974" s="10">
        <f>+J973</f>
        <v>0</v>
      </c>
      <c r="S974" s="11"/>
      <c r="T974" s="10" t="str">
        <f>+E973</f>
        <v>차열재마감</v>
      </c>
      <c r="U974" s="19" t="str">
        <f>IFERROR(LEFT(I973,FIND("*",I973)-1),"-")</f>
        <v>-</v>
      </c>
      <c r="V974" s="19" t="str">
        <f>IFERROR(RIGHT(I973,LEN(I973)-FIND("*",I973)),"-")</f>
        <v>-</v>
      </c>
      <c r="W974" s="20" t="str">
        <f t="shared" si="526"/>
        <v>-</v>
      </c>
      <c r="X974" s="20" t="str">
        <f>IFERROR(W974*J973,"-")</f>
        <v>-</v>
      </c>
      <c r="Z974" s="33">
        <v>45181</v>
      </c>
    </row>
    <row r="975" spans="1:26" ht="6.95" customHeight="1" x14ac:dyDescent="0.3">
      <c r="A975" s="5"/>
      <c r="B975" s="157"/>
      <c r="C975" s="158"/>
      <c r="D975" s="171"/>
      <c r="E975" s="174"/>
      <c r="F975" s="177"/>
      <c r="G975" s="180"/>
      <c r="H975" s="183"/>
      <c r="I975" s="180"/>
      <c r="J975" s="183"/>
      <c r="K975" s="180"/>
      <c r="L975" s="183"/>
      <c r="M975" s="6"/>
      <c r="N975" s="32"/>
      <c r="Q975" s="10" t="str">
        <f>+CONCATENATE(E973,K973)</f>
        <v>차열재마감</v>
      </c>
      <c r="R975" s="10">
        <f>+L973</f>
        <v>0</v>
      </c>
      <c r="S975" s="11"/>
      <c r="T975" s="10" t="str">
        <f>+E973</f>
        <v>차열재마감</v>
      </c>
      <c r="U975" s="19" t="str">
        <f>IFERROR(LEFT(K973,FIND("*",K973)-1),"-")</f>
        <v>-</v>
      </c>
      <c r="V975" s="19" t="str">
        <f>IFERROR(RIGHT(K973,LEN(K973)-FIND("*",K973)),"-")</f>
        <v>-</v>
      </c>
      <c r="W975" s="20" t="str">
        <f t="shared" si="526"/>
        <v>-</v>
      </c>
      <c r="X975" s="20" t="str">
        <f>IFERROR(W975*L973,"-")</f>
        <v>-</v>
      </c>
      <c r="Z975" s="33">
        <v>45181</v>
      </c>
    </row>
    <row r="976" spans="1:26" ht="6.95" customHeight="1" x14ac:dyDescent="0.3">
      <c r="A976" s="8"/>
      <c r="B976" s="157"/>
      <c r="C976" s="158"/>
      <c r="D976" s="169" t="s">
        <v>39</v>
      </c>
      <c r="E976" s="172"/>
      <c r="F976" s="175" t="s">
        <v>40</v>
      </c>
      <c r="G976" s="178"/>
      <c r="H976" s="181"/>
      <c r="I976" s="178"/>
      <c r="J976" s="181"/>
      <c r="K976" s="178"/>
      <c r="L976" s="181"/>
      <c r="M976" s="6"/>
      <c r="N976" s="32"/>
      <c r="Q976" s="10" t="str">
        <f>+CONCATENATE(E976,G976)</f>
        <v/>
      </c>
      <c r="R976" s="10">
        <f>+H976</f>
        <v>0</v>
      </c>
      <c r="S976" s="11"/>
      <c r="T976" s="10">
        <f>+E976</f>
        <v>0</v>
      </c>
      <c r="U976" s="19" t="str">
        <f t="shared" ref="U976" si="529">IFERROR(LEFT(G976,FIND("*",G976)-1),"-")</f>
        <v>-</v>
      </c>
      <c r="V976" s="19" t="str">
        <f t="shared" ref="V976" si="530">IFERROR(RIGHT(G976,LEN(G976)-FIND("*",G976)),"-")</f>
        <v>-</v>
      </c>
      <c r="W976" s="20" t="str">
        <f t="shared" si="526"/>
        <v>-</v>
      </c>
      <c r="X976" s="20" t="str">
        <f>IFERROR(W976*H976,"-")</f>
        <v>-</v>
      </c>
      <c r="Z976" s="33">
        <v>45181</v>
      </c>
    </row>
    <row r="977" spans="1:26" ht="6.95" customHeight="1" x14ac:dyDescent="0.3">
      <c r="A977" s="5"/>
      <c r="B977" s="157"/>
      <c r="C977" s="158"/>
      <c r="D977" s="170"/>
      <c r="E977" s="173"/>
      <c r="F977" s="176"/>
      <c r="G977" s="179"/>
      <c r="H977" s="182"/>
      <c r="I977" s="179"/>
      <c r="J977" s="182"/>
      <c r="K977" s="179"/>
      <c r="L977" s="182"/>
      <c r="M977" s="6"/>
      <c r="N977" s="32"/>
      <c r="Q977" s="10" t="str">
        <f>+CONCATENATE(E976,I976)</f>
        <v/>
      </c>
      <c r="R977" s="10">
        <f>+J976</f>
        <v>0</v>
      </c>
      <c r="S977" s="11"/>
      <c r="T977" s="10">
        <f>+E976</f>
        <v>0</v>
      </c>
      <c r="U977" s="19" t="str">
        <f>IFERROR(LEFT(I976,FIND("*",I976)-1),"-")</f>
        <v>-</v>
      </c>
      <c r="V977" s="19" t="str">
        <f>IFERROR(RIGHT(I976,LEN(I976)-FIND("*",I976)),"-")</f>
        <v>-</v>
      </c>
      <c r="W977" s="20" t="str">
        <f t="shared" si="526"/>
        <v>-</v>
      </c>
      <c r="X977" s="20" t="str">
        <f t="shared" ref="X977" si="531">IFERROR(W977*J976,"-")</f>
        <v>-</v>
      </c>
      <c r="Z977" s="33">
        <v>45181</v>
      </c>
    </row>
    <row r="978" spans="1:26" ht="6.95" customHeight="1" x14ac:dyDescent="0.3">
      <c r="A978" s="5"/>
      <c r="B978" s="157"/>
      <c r="C978" s="158"/>
      <c r="D978" s="171"/>
      <c r="E978" s="174"/>
      <c r="F978" s="177"/>
      <c r="G978" s="180"/>
      <c r="H978" s="183"/>
      <c r="I978" s="180"/>
      <c r="J978" s="183"/>
      <c r="K978" s="180"/>
      <c r="L978" s="183"/>
      <c r="M978" s="6"/>
      <c r="N978" s="32"/>
      <c r="Q978" s="10" t="str">
        <f>+CONCATENATE(E976,K976)</f>
        <v/>
      </c>
      <c r="R978" s="10">
        <f>+L976</f>
        <v>0</v>
      </c>
      <c r="S978" s="11"/>
      <c r="T978" s="10">
        <f>+E976</f>
        <v>0</v>
      </c>
      <c r="U978" s="19" t="str">
        <f>IFERROR(LEFT(K976,FIND("*",K976)-1),"-")</f>
        <v>-</v>
      </c>
      <c r="V978" s="19" t="str">
        <f>IFERROR(RIGHT(K976,LEN(K976)-FIND("*",K976)),"-")</f>
        <v>-</v>
      </c>
      <c r="W978" s="20" t="str">
        <f t="shared" si="526"/>
        <v>-</v>
      </c>
      <c r="X978" s="20" t="str">
        <f>IFERROR(W978*L976,"-")</f>
        <v>-</v>
      </c>
      <c r="Z978" s="33">
        <v>45181</v>
      </c>
    </row>
    <row r="979" spans="1:26" ht="21" customHeight="1" thickBot="1" x14ac:dyDescent="0.35">
      <c r="A979" s="5"/>
      <c r="B979" s="159"/>
      <c r="C979" s="160"/>
      <c r="D979" s="184" t="s">
        <v>43</v>
      </c>
      <c r="E979" s="185"/>
      <c r="F979" s="186"/>
      <c r="G979" s="187" t="s">
        <v>221</v>
      </c>
      <c r="H979" s="188"/>
      <c r="I979" s="188"/>
      <c r="J979" s="188"/>
      <c r="K979" s="188"/>
      <c r="L979" s="165"/>
      <c r="M979" s="7"/>
      <c r="N979" s="32"/>
      <c r="Z979" s="33">
        <v>45181</v>
      </c>
    </row>
    <row r="980" spans="1:26" ht="9.9499999999999993" customHeight="1" thickBot="1" x14ac:dyDescent="0.35">
      <c r="B980" s="9"/>
      <c r="C980" s="109">
        <v>889</v>
      </c>
      <c r="D980" s="51"/>
      <c r="E980" s="12"/>
      <c r="F980" s="51"/>
      <c r="G980" s="14"/>
      <c r="H980" s="14"/>
      <c r="I980" s="14"/>
      <c r="J980" s="14"/>
      <c r="K980" s="14"/>
      <c r="L980" s="14"/>
      <c r="M980" s="9"/>
      <c r="N980" s="32"/>
      <c r="U980" s="18"/>
      <c r="V980" s="18"/>
      <c r="Z980" s="33">
        <v>45181</v>
      </c>
    </row>
    <row r="981" spans="1:26" ht="6.95" customHeight="1" x14ac:dyDescent="0.3">
      <c r="A981" s="154">
        <f>+A970+1</f>
        <v>890</v>
      </c>
      <c r="B981" s="155"/>
      <c r="C981" s="156"/>
      <c r="D981" s="169" t="s">
        <v>39</v>
      </c>
      <c r="E981" s="172" t="s">
        <v>226</v>
      </c>
      <c r="F981" s="175" t="s">
        <v>40</v>
      </c>
      <c r="G981" s="178" t="s">
        <v>233</v>
      </c>
      <c r="H981" s="181">
        <v>1</v>
      </c>
      <c r="I981" s="178"/>
      <c r="J981" s="181"/>
      <c r="K981" s="178"/>
      <c r="L981" s="181"/>
      <c r="M981" s="6"/>
      <c r="N981" s="32"/>
      <c r="Q981" s="10" t="str">
        <f>+CONCATENATE(E981,G981)</f>
        <v>무보온덕트벽체2000*600</v>
      </c>
      <c r="R981" s="10">
        <f>+H981</f>
        <v>1</v>
      </c>
      <c r="S981" s="11"/>
      <c r="T981" s="10" t="str">
        <f>+E981</f>
        <v>무보온덕트벽체</v>
      </c>
      <c r="U981" s="19" t="str">
        <f>IFERROR(LEFT(G981,FIND("*",G981)-1),"-")</f>
        <v>2000</v>
      </c>
      <c r="V981" s="19" t="str">
        <f>IFERROR(RIGHT(G981,LEN(G981)-FIND("*",G981)),"-")</f>
        <v>600</v>
      </c>
      <c r="W981" s="20">
        <f>IFERROR((U981+V981)*2/1000,"-")</f>
        <v>5.2</v>
      </c>
      <c r="X981" s="20">
        <f>IFERROR(W981*H981,"-")</f>
        <v>5.2</v>
      </c>
      <c r="Z981" s="33">
        <v>45181</v>
      </c>
    </row>
    <row r="982" spans="1:26" ht="6.95" customHeight="1" x14ac:dyDescent="0.3">
      <c r="A982" s="154"/>
      <c r="B982" s="157"/>
      <c r="C982" s="158"/>
      <c r="D982" s="170"/>
      <c r="E982" s="173"/>
      <c r="F982" s="176"/>
      <c r="G982" s="179"/>
      <c r="H982" s="182"/>
      <c r="I982" s="179"/>
      <c r="J982" s="182"/>
      <c r="K982" s="179"/>
      <c r="L982" s="182"/>
      <c r="M982" s="6"/>
      <c r="N982" s="32"/>
      <c r="Q982" s="10" t="str">
        <f>+CONCATENATE(E981,I981)</f>
        <v>무보온덕트벽체</v>
      </c>
      <c r="R982" s="10">
        <f>+J981</f>
        <v>0</v>
      </c>
      <c r="S982" s="11"/>
      <c r="T982" s="10" t="str">
        <f>+E981</f>
        <v>무보온덕트벽체</v>
      </c>
      <c r="U982" s="19" t="str">
        <f>IFERROR(LEFT(I981,FIND("*",I981)-1),"-")</f>
        <v>-</v>
      </c>
      <c r="V982" s="19" t="str">
        <f>IFERROR(RIGHT(I981,LEN(I981)-FIND("*",I981)),"-")</f>
        <v>-</v>
      </c>
      <c r="W982" s="20" t="str">
        <f t="shared" ref="W982:W989" si="532">IFERROR((U982+V982)*2/1000,"-")</f>
        <v>-</v>
      </c>
      <c r="X982" s="20" t="str">
        <f>IFERROR(W982*J981,"-")</f>
        <v>-</v>
      </c>
      <c r="Z982" s="33">
        <v>45181</v>
      </c>
    </row>
    <row r="983" spans="1:26" ht="6.95" customHeight="1" x14ac:dyDescent="0.3">
      <c r="A983" s="154"/>
      <c r="B983" s="157"/>
      <c r="C983" s="158"/>
      <c r="D983" s="171"/>
      <c r="E983" s="174"/>
      <c r="F983" s="177"/>
      <c r="G983" s="180"/>
      <c r="H983" s="183"/>
      <c r="I983" s="180"/>
      <c r="J983" s="183"/>
      <c r="K983" s="180"/>
      <c r="L983" s="183"/>
      <c r="M983" s="6"/>
      <c r="N983" s="32"/>
      <c r="Q983" s="10" t="str">
        <f>+CONCATENATE(E981,K981)</f>
        <v>무보온덕트벽체</v>
      </c>
      <c r="R983" s="10">
        <f>+L981</f>
        <v>0</v>
      </c>
      <c r="S983" s="11"/>
      <c r="T983" s="10" t="str">
        <f>+E981</f>
        <v>무보온덕트벽체</v>
      </c>
      <c r="U983" s="19" t="str">
        <f>IFERROR(LEFT(K981,FIND("*",K981)-1),"-")</f>
        <v>-</v>
      </c>
      <c r="V983" s="19" t="str">
        <f>IFERROR(RIGHT(K981,LEN(K981)-FIND("*",K981)),"-")</f>
        <v>-</v>
      </c>
      <c r="W983" s="20" t="str">
        <f t="shared" si="532"/>
        <v>-</v>
      </c>
      <c r="X983" s="20" t="str">
        <f>IFERROR(W983*L981,"-")</f>
        <v>-</v>
      </c>
      <c r="Z983" s="33">
        <v>45181</v>
      </c>
    </row>
    <row r="984" spans="1:26" ht="6.95" customHeight="1" x14ac:dyDescent="0.3">
      <c r="A984" s="8"/>
      <c r="B984" s="157"/>
      <c r="C984" s="158"/>
      <c r="D984" s="169" t="s">
        <v>39</v>
      </c>
      <c r="E984" s="172" t="s">
        <v>228</v>
      </c>
      <c r="F984" s="175" t="s">
        <v>40</v>
      </c>
      <c r="G984" s="178" t="s">
        <v>233</v>
      </c>
      <c r="H984" s="181">
        <v>1</v>
      </c>
      <c r="I984" s="178"/>
      <c r="J984" s="181"/>
      <c r="K984" s="178"/>
      <c r="L984" s="181"/>
      <c r="M984" s="6"/>
      <c r="N984" s="32"/>
      <c r="Q984" s="10" t="str">
        <f>+CONCATENATE(E984,G984)</f>
        <v>차열재마감2000*600</v>
      </c>
      <c r="R984" s="10">
        <f>+H984</f>
        <v>1</v>
      </c>
      <c r="S984" s="11"/>
      <c r="T984" s="10" t="str">
        <f>+E984</f>
        <v>차열재마감</v>
      </c>
      <c r="U984" s="19" t="str">
        <f t="shared" ref="U984" si="533">IFERROR(LEFT(G984,FIND("*",G984)-1),"-")</f>
        <v>2000</v>
      </c>
      <c r="V984" s="19" t="str">
        <f t="shared" ref="V984" si="534">IFERROR(RIGHT(G984,LEN(G984)-FIND("*",G984)),"-")</f>
        <v>600</v>
      </c>
      <c r="W984" s="20">
        <f t="shared" si="532"/>
        <v>5.2</v>
      </c>
      <c r="X984" s="20">
        <f>IFERROR(W984*H984,"-")</f>
        <v>5.2</v>
      </c>
      <c r="Z984" s="33">
        <v>45181</v>
      </c>
    </row>
    <row r="985" spans="1:26" ht="6.95" customHeight="1" x14ac:dyDescent="0.3">
      <c r="A985" s="5"/>
      <c r="B985" s="157"/>
      <c r="C985" s="158"/>
      <c r="D985" s="170"/>
      <c r="E985" s="173"/>
      <c r="F985" s="176"/>
      <c r="G985" s="179"/>
      <c r="H985" s="182"/>
      <c r="I985" s="179"/>
      <c r="J985" s="182"/>
      <c r="K985" s="179"/>
      <c r="L985" s="182"/>
      <c r="M985" s="6"/>
      <c r="N985" s="32"/>
      <c r="Q985" s="10" t="str">
        <f>+CONCATENATE(E984,I984)</f>
        <v>차열재마감</v>
      </c>
      <c r="R985" s="10">
        <f>+J984</f>
        <v>0</v>
      </c>
      <c r="S985" s="11"/>
      <c r="T985" s="10" t="str">
        <f>+E984</f>
        <v>차열재마감</v>
      </c>
      <c r="U985" s="19" t="str">
        <f>IFERROR(LEFT(I984,FIND("*",I984)-1),"-")</f>
        <v>-</v>
      </c>
      <c r="V985" s="19" t="str">
        <f>IFERROR(RIGHT(I984,LEN(I984)-FIND("*",I984)),"-")</f>
        <v>-</v>
      </c>
      <c r="W985" s="20" t="str">
        <f t="shared" si="532"/>
        <v>-</v>
      </c>
      <c r="X985" s="20" t="str">
        <f>IFERROR(W985*J984,"-")</f>
        <v>-</v>
      </c>
      <c r="Z985" s="33">
        <v>45181</v>
      </c>
    </row>
    <row r="986" spans="1:26" ht="6.95" customHeight="1" x14ac:dyDescent="0.3">
      <c r="A986" s="5"/>
      <c r="B986" s="157"/>
      <c r="C986" s="158"/>
      <c r="D986" s="171"/>
      <c r="E986" s="174"/>
      <c r="F986" s="177"/>
      <c r="G986" s="180"/>
      <c r="H986" s="183"/>
      <c r="I986" s="180"/>
      <c r="J986" s="183"/>
      <c r="K986" s="180"/>
      <c r="L986" s="183"/>
      <c r="M986" s="6"/>
      <c r="N986" s="32"/>
      <c r="Q986" s="10" t="str">
        <f>+CONCATENATE(E984,K984)</f>
        <v>차열재마감</v>
      </c>
      <c r="R986" s="10">
        <f>+L984</f>
        <v>0</v>
      </c>
      <c r="S986" s="11"/>
      <c r="T986" s="10" t="str">
        <f>+E984</f>
        <v>차열재마감</v>
      </c>
      <c r="U986" s="19" t="str">
        <f>IFERROR(LEFT(K984,FIND("*",K984)-1),"-")</f>
        <v>-</v>
      </c>
      <c r="V986" s="19" t="str">
        <f>IFERROR(RIGHT(K984,LEN(K984)-FIND("*",K984)),"-")</f>
        <v>-</v>
      </c>
      <c r="W986" s="20" t="str">
        <f t="shared" si="532"/>
        <v>-</v>
      </c>
      <c r="X986" s="20" t="str">
        <f>IFERROR(W986*L984,"-")</f>
        <v>-</v>
      </c>
      <c r="Z986" s="33">
        <v>45181</v>
      </c>
    </row>
    <row r="987" spans="1:26" ht="6.95" customHeight="1" x14ac:dyDescent="0.3">
      <c r="A987" s="8"/>
      <c r="B987" s="157"/>
      <c r="C987" s="158"/>
      <c r="D987" s="169" t="s">
        <v>39</v>
      </c>
      <c r="E987" s="172"/>
      <c r="F987" s="175" t="s">
        <v>40</v>
      </c>
      <c r="G987" s="178"/>
      <c r="H987" s="181"/>
      <c r="I987" s="178"/>
      <c r="J987" s="181"/>
      <c r="K987" s="178"/>
      <c r="L987" s="181"/>
      <c r="M987" s="6"/>
      <c r="N987" s="32"/>
      <c r="Q987" s="10" t="str">
        <f>+CONCATENATE(E987,G987)</f>
        <v/>
      </c>
      <c r="R987" s="10">
        <f>+H987</f>
        <v>0</v>
      </c>
      <c r="S987" s="11"/>
      <c r="T987" s="10">
        <f>+E987</f>
        <v>0</v>
      </c>
      <c r="U987" s="19" t="str">
        <f t="shared" ref="U987" si="535">IFERROR(LEFT(G987,FIND("*",G987)-1),"-")</f>
        <v>-</v>
      </c>
      <c r="V987" s="19" t="str">
        <f t="shared" ref="V987" si="536">IFERROR(RIGHT(G987,LEN(G987)-FIND("*",G987)),"-")</f>
        <v>-</v>
      </c>
      <c r="W987" s="20" t="str">
        <f t="shared" si="532"/>
        <v>-</v>
      </c>
      <c r="X987" s="20" t="str">
        <f>IFERROR(W987*H987,"-")</f>
        <v>-</v>
      </c>
      <c r="Z987" s="33">
        <v>45181</v>
      </c>
    </row>
    <row r="988" spans="1:26" ht="6.95" customHeight="1" x14ac:dyDescent="0.3">
      <c r="A988" s="5"/>
      <c r="B988" s="157"/>
      <c r="C988" s="158"/>
      <c r="D988" s="170"/>
      <c r="E988" s="173"/>
      <c r="F988" s="176"/>
      <c r="G988" s="179"/>
      <c r="H988" s="182"/>
      <c r="I988" s="179"/>
      <c r="J988" s="182"/>
      <c r="K988" s="179"/>
      <c r="L988" s="182"/>
      <c r="M988" s="6"/>
      <c r="N988" s="32"/>
      <c r="Q988" s="10" t="str">
        <f>+CONCATENATE(E987,I987)</f>
        <v/>
      </c>
      <c r="R988" s="10">
        <f>+J987</f>
        <v>0</v>
      </c>
      <c r="S988" s="11"/>
      <c r="T988" s="10">
        <f>+E987</f>
        <v>0</v>
      </c>
      <c r="U988" s="19" t="str">
        <f>IFERROR(LEFT(I987,FIND("*",I987)-1),"-")</f>
        <v>-</v>
      </c>
      <c r="V988" s="19" t="str">
        <f>IFERROR(RIGHT(I987,LEN(I987)-FIND("*",I987)),"-")</f>
        <v>-</v>
      </c>
      <c r="W988" s="20" t="str">
        <f t="shared" si="532"/>
        <v>-</v>
      </c>
      <c r="X988" s="20" t="str">
        <f t="shared" ref="X988" si="537">IFERROR(W988*J987,"-")</f>
        <v>-</v>
      </c>
      <c r="Z988" s="33">
        <v>45181</v>
      </c>
    </row>
    <row r="989" spans="1:26" ht="6.95" customHeight="1" x14ac:dyDescent="0.3">
      <c r="A989" s="5"/>
      <c r="B989" s="157"/>
      <c r="C989" s="158"/>
      <c r="D989" s="171"/>
      <c r="E989" s="174"/>
      <c r="F989" s="177"/>
      <c r="G989" s="180"/>
      <c r="H989" s="183"/>
      <c r="I989" s="180"/>
      <c r="J989" s="183"/>
      <c r="K989" s="180"/>
      <c r="L989" s="183"/>
      <c r="M989" s="6"/>
      <c r="N989" s="32"/>
      <c r="Q989" s="10" t="str">
        <f>+CONCATENATE(E987,K987)</f>
        <v/>
      </c>
      <c r="R989" s="10">
        <f>+L987</f>
        <v>0</v>
      </c>
      <c r="S989" s="11"/>
      <c r="T989" s="10">
        <f>+E987</f>
        <v>0</v>
      </c>
      <c r="U989" s="19" t="str">
        <f>IFERROR(LEFT(K987,FIND("*",K987)-1),"-")</f>
        <v>-</v>
      </c>
      <c r="V989" s="19" t="str">
        <f>IFERROR(RIGHT(K987,LEN(K987)-FIND("*",K987)),"-")</f>
        <v>-</v>
      </c>
      <c r="W989" s="20" t="str">
        <f t="shared" si="532"/>
        <v>-</v>
      </c>
      <c r="X989" s="20" t="str">
        <f>IFERROR(W989*L987,"-")</f>
        <v>-</v>
      </c>
      <c r="Z989" s="33">
        <v>45181</v>
      </c>
    </row>
    <row r="990" spans="1:26" ht="21" customHeight="1" thickBot="1" x14ac:dyDescent="0.35">
      <c r="A990" s="5"/>
      <c r="B990" s="159"/>
      <c r="C990" s="160"/>
      <c r="D990" s="184" t="s">
        <v>43</v>
      </c>
      <c r="E990" s="185"/>
      <c r="F990" s="186"/>
      <c r="G990" s="187" t="s">
        <v>221</v>
      </c>
      <c r="H990" s="188"/>
      <c r="I990" s="188"/>
      <c r="J990" s="188"/>
      <c r="K990" s="188"/>
      <c r="L990" s="165"/>
      <c r="M990" s="7"/>
      <c r="N990" s="32"/>
      <c r="Z990" s="33">
        <v>45181</v>
      </c>
    </row>
    <row r="991" spans="1:26" ht="9.9499999999999993" customHeight="1" thickBot="1" x14ac:dyDescent="0.35">
      <c r="B991" s="9"/>
      <c r="C991" s="109">
        <v>890</v>
      </c>
      <c r="D991" s="51"/>
      <c r="E991" s="12"/>
      <c r="F991" s="51"/>
      <c r="G991" s="14"/>
      <c r="H991" s="14"/>
      <c r="I991" s="14"/>
      <c r="J991" s="14"/>
      <c r="K991" s="14"/>
      <c r="L991" s="14"/>
      <c r="M991" s="9"/>
      <c r="N991" s="32"/>
      <c r="U991" s="18"/>
      <c r="V991" s="18"/>
      <c r="Z991" s="33">
        <v>45181</v>
      </c>
    </row>
    <row r="992" spans="1:26" ht="6.95" customHeight="1" x14ac:dyDescent="0.3">
      <c r="A992" s="154">
        <f>+A981+1</f>
        <v>891</v>
      </c>
      <c r="B992" s="155"/>
      <c r="C992" s="156"/>
      <c r="D992" s="169" t="s">
        <v>39</v>
      </c>
      <c r="E992" s="172" t="s">
        <v>222</v>
      </c>
      <c r="F992" s="175" t="s">
        <v>40</v>
      </c>
      <c r="G992" s="178" t="s">
        <v>234</v>
      </c>
      <c r="H992" s="181">
        <v>0.5</v>
      </c>
      <c r="I992" s="178"/>
      <c r="J992" s="181"/>
      <c r="K992" s="178"/>
      <c r="L992" s="181"/>
      <c r="M992" s="6"/>
      <c r="N992" s="32"/>
      <c r="Q992" s="10" t="str">
        <f>+CONCATENATE(E992,G992)</f>
        <v>보온덕트벽체1300*600</v>
      </c>
      <c r="R992" s="10">
        <f>+H992</f>
        <v>0.5</v>
      </c>
      <c r="S992" s="11"/>
      <c r="T992" s="10" t="str">
        <f>+E992</f>
        <v>보온덕트벽체</v>
      </c>
      <c r="U992" s="19" t="str">
        <f>IFERROR(LEFT(G992,FIND("*",G992)-1),"-")</f>
        <v>1300</v>
      </c>
      <c r="V992" s="19" t="str">
        <f>IFERROR(RIGHT(G992,LEN(G992)-FIND("*",G992)),"-")</f>
        <v>600</v>
      </c>
      <c r="W992" s="20">
        <f>IFERROR((U992+V992)*2/1000,"-")</f>
        <v>3.8</v>
      </c>
      <c r="X992" s="20">
        <f>IFERROR(W992*H992,"-")</f>
        <v>1.9</v>
      </c>
      <c r="Z992" s="33">
        <v>45181</v>
      </c>
    </row>
    <row r="993" spans="1:26" ht="6.95" customHeight="1" x14ac:dyDescent="0.3">
      <c r="A993" s="154"/>
      <c r="B993" s="157"/>
      <c r="C993" s="158"/>
      <c r="D993" s="170"/>
      <c r="E993" s="173"/>
      <c r="F993" s="176"/>
      <c r="G993" s="179"/>
      <c r="H993" s="182"/>
      <c r="I993" s="179"/>
      <c r="J993" s="182"/>
      <c r="K993" s="179"/>
      <c r="L993" s="182"/>
      <c r="M993" s="6"/>
      <c r="N993" s="32"/>
      <c r="Q993" s="10" t="str">
        <f>+CONCATENATE(E992,I992)</f>
        <v>보온덕트벽체</v>
      </c>
      <c r="R993" s="10">
        <f>+J992</f>
        <v>0</v>
      </c>
      <c r="S993" s="11"/>
      <c r="T993" s="10" t="str">
        <f>+E992</f>
        <v>보온덕트벽체</v>
      </c>
      <c r="U993" s="19" t="str">
        <f>IFERROR(LEFT(I992,FIND("*",I992)-1),"-")</f>
        <v>-</v>
      </c>
      <c r="V993" s="19" t="str">
        <f>IFERROR(RIGHT(I992,LEN(I992)-FIND("*",I992)),"-")</f>
        <v>-</v>
      </c>
      <c r="W993" s="20" t="str">
        <f t="shared" ref="W993:W1000" si="538">IFERROR((U993+V993)*2/1000,"-")</f>
        <v>-</v>
      </c>
      <c r="X993" s="20" t="str">
        <f>IFERROR(W993*J992,"-")</f>
        <v>-</v>
      </c>
      <c r="Z993" s="33">
        <v>45181</v>
      </c>
    </row>
    <row r="994" spans="1:26" ht="6.95" customHeight="1" x14ac:dyDescent="0.3">
      <c r="A994" s="154"/>
      <c r="B994" s="157"/>
      <c r="C994" s="158"/>
      <c r="D994" s="171"/>
      <c r="E994" s="174"/>
      <c r="F994" s="177"/>
      <c r="G994" s="180"/>
      <c r="H994" s="183"/>
      <c r="I994" s="180"/>
      <c r="J994" s="183"/>
      <c r="K994" s="180"/>
      <c r="L994" s="183"/>
      <c r="M994" s="6"/>
      <c r="N994" s="32"/>
      <c r="Q994" s="10" t="str">
        <f>+CONCATENATE(E992,K992)</f>
        <v>보온덕트벽체</v>
      </c>
      <c r="R994" s="10">
        <f>+L992</f>
        <v>0</v>
      </c>
      <c r="S994" s="11"/>
      <c r="T994" s="10" t="str">
        <f>+E992</f>
        <v>보온덕트벽체</v>
      </c>
      <c r="U994" s="19" t="str">
        <f>IFERROR(LEFT(K992,FIND("*",K992)-1),"-")</f>
        <v>-</v>
      </c>
      <c r="V994" s="19" t="str">
        <f>IFERROR(RIGHT(K992,LEN(K992)-FIND("*",K992)),"-")</f>
        <v>-</v>
      </c>
      <c r="W994" s="20" t="str">
        <f t="shared" si="538"/>
        <v>-</v>
      </c>
      <c r="X994" s="20" t="str">
        <f>IFERROR(W994*L992,"-")</f>
        <v>-</v>
      </c>
      <c r="Z994" s="33">
        <v>45181</v>
      </c>
    </row>
    <row r="995" spans="1:26" ht="6.95" customHeight="1" x14ac:dyDescent="0.3">
      <c r="A995" s="8"/>
      <c r="B995" s="157"/>
      <c r="C995" s="158"/>
      <c r="D995" s="169" t="s">
        <v>39</v>
      </c>
      <c r="E995" s="172" t="s">
        <v>228</v>
      </c>
      <c r="F995" s="175" t="s">
        <v>40</v>
      </c>
      <c r="G995" s="178" t="s">
        <v>234</v>
      </c>
      <c r="H995" s="181">
        <v>1</v>
      </c>
      <c r="I995" s="178"/>
      <c r="J995" s="181"/>
      <c r="K995" s="178"/>
      <c r="L995" s="181"/>
      <c r="M995" s="6"/>
      <c r="N995" s="32"/>
      <c r="Q995" s="10" t="str">
        <f>+CONCATENATE(E995,G995)</f>
        <v>차열재마감1300*600</v>
      </c>
      <c r="R995" s="10">
        <f>+H995</f>
        <v>1</v>
      </c>
      <c r="S995" s="11"/>
      <c r="T995" s="10" t="str">
        <f>+E995</f>
        <v>차열재마감</v>
      </c>
      <c r="U995" s="19" t="str">
        <f t="shared" ref="U995" si="539">IFERROR(LEFT(G995,FIND("*",G995)-1),"-")</f>
        <v>1300</v>
      </c>
      <c r="V995" s="19" t="str">
        <f t="shared" ref="V995" si="540">IFERROR(RIGHT(G995,LEN(G995)-FIND("*",G995)),"-")</f>
        <v>600</v>
      </c>
      <c r="W995" s="20">
        <f t="shared" si="538"/>
        <v>3.8</v>
      </c>
      <c r="X995" s="20">
        <f>IFERROR(W995*H995,"-")</f>
        <v>3.8</v>
      </c>
      <c r="Z995" s="33">
        <v>45181</v>
      </c>
    </row>
    <row r="996" spans="1:26" ht="6.95" customHeight="1" x14ac:dyDescent="0.3">
      <c r="A996" s="5"/>
      <c r="B996" s="157"/>
      <c r="C996" s="158"/>
      <c r="D996" s="170"/>
      <c r="E996" s="173"/>
      <c r="F996" s="176"/>
      <c r="G996" s="179"/>
      <c r="H996" s="182"/>
      <c r="I996" s="179"/>
      <c r="J996" s="182"/>
      <c r="K996" s="179"/>
      <c r="L996" s="182"/>
      <c r="M996" s="6"/>
      <c r="N996" s="32"/>
      <c r="Q996" s="10" t="str">
        <f>+CONCATENATE(E995,I995)</f>
        <v>차열재마감</v>
      </c>
      <c r="R996" s="10">
        <f>+J995</f>
        <v>0</v>
      </c>
      <c r="S996" s="11"/>
      <c r="T996" s="10" t="str">
        <f>+E995</f>
        <v>차열재마감</v>
      </c>
      <c r="U996" s="19" t="str">
        <f>IFERROR(LEFT(I995,FIND("*",I995)-1),"-")</f>
        <v>-</v>
      </c>
      <c r="V996" s="19" t="str">
        <f>IFERROR(RIGHT(I995,LEN(I995)-FIND("*",I995)),"-")</f>
        <v>-</v>
      </c>
      <c r="W996" s="20" t="str">
        <f t="shared" si="538"/>
        <v>-</v>
      </c>
      <c r="X996" s="20" t="str">
        <f>IFERROR(W996*J995,"-")</f>
        <v>-</v>
      </c>
      <c r="Z996" s="33">
        <v>45181</v>
      </c>
    </row>
    <row r="997" spans="1:26" ht="6.95" customHeight="1" x14ac:dyDescent="0.3">
      <c r="A997" s="5"/>
      <c r="B997" s="157"/>
      <c r="C997" s="158"/>
      <c r="D997" s="171"/>
      <c r="E997" s="174"/>
      <c r="F997" s="177"/>
      <c r="G997" s="180"/>
      <c r="H997" s="183"/>
      <c r="I997" s="180"/>
      <c r="J997" s="183"/>
      <c r="K997" s="180"/>
      <c r="L997" s="183"/>
      <c r="M997" s="6"/>
      <c r="N997" s="32"/>
      <c r="Q997" s="10" t="str">
        <f>+CONCATENATE(E995,K995)</f>
        <v>차열재마감</v>
      </c>
      <c r="R997" s="10">
        <f>+L995</f>
        <v>0</v>
      </c>
      <c r="S997" s="11"/>
      <c r="T997" s="10" t="str">
        <f>+E995</f>
        <v>차열재마감</v>
      </c>
      <c r="U997" s="19" t="str">
        <f>IFERROR(LEFT(K995,FIND("*",K995)-1),"-")</f>
        <v>-</v>
      </c>
      <c r="V997" s="19" t="str">
        <f>IFERROR(RIGHT(K995,LEN(K995)-FIND("*",K995)),"-")</f>
        <v>-</v>
      </c>
      <c r="W997" s="20" t="str">
        <f t="shared" si="538"/>
        <v>-</v>
      </c>
      <c r="X997" s="20" t="str">
        <f>IFERROR(W997*L995,"-")</f>
        <v>-</v>
      </c>
      <c r="Z997" s="33">
        <v>45181</v>
      </c>
    </row>
    <row r="998" spans="1:26" ht="6.95" customHeight="1" x14ac:dyDescent="0.3">
      <c r="A998" s="8"/>
      <c r="B998" s="157"/>
      <c r="C998" s="158"/>
      <c r="D998" s="169" t="s">
        <v>39</v>
      </c>
      <c r="E998" s="172"/>
      <c r="F998" s="175" t="s">
        <v>40</v>
      </c>
      <c r="G998" s="178"/>
      <c r="H998" s="181"/>
      <c r="I998" s="178"/>
      <c r="J998" s="181"/>
      <c r="K998" s="178"/>
      <c r="L998" s="181"/>
      <c r="M998" s="6"/>
      <c r="N998" s="32"/>
      <c r="Q998" s="10" t="str">
        <f>+CONCATENATE(E998,G998)</f>
        <v/>
      </c>
      <c r="R998" s="10">
        <f>+H998</f>
        <v>0</v>
      </c>
      <c r="S998" s="11"/>
      <c r="T998" s="10">
        <f>+E998</f>
        <v>0</v>
      </c>
      <c r="U998" s="19" t="str">
        <f t="shared" ref="U998" si="541">IFERROR(LEFT(G998,FIND("*",G998)-1),"-")</f>
        <v>-</v>
      </c>
      <c r="V998" s="19" t="str">
        <f t="shared" ref="V998" si="542">IFERROR(RIGHT(G998,LEN(G998)-FIND("*",G998)),"-")</f>
        <v>-</v>
      </c>
      <c r="W998" s="20" t="str">
        <f t="shared" si="538"/>
        <v>-</v>
      </c>
      <c r="X998" s="20" t="str">
        <f>IFERROR(W998*H998,"-")</f>
        <v>-</v>
      </c>
      <c r="Z998" s="33">
        <v>45181</v>
      </c>
    </row>
    <row r="999" spans="1:26" ht="6.95" customHeight="1" x14ac:dyDescent="0.3">
      <c r="A999" s="5"/>
      <c r="B999" s="157"/>
      <c r="C999" s="158"/>
      <c r="D999" s="170"/>
      <c r="E999" s="173"/>
      <c r="F999" s="176"/>
      <c r="G999" s="179"/>
      <c r="H999" s="182"/>
      <c r="I999" s="179"/>
      <c r="J999" s="182"/>
      <c r="K999" s="179"/>
      <c r="L999" s="182"/>
      <c r="M999" s="6"/>
      <c r="N999" s="32"/>
      <c r="Q999" s="10" t="str">
        <f>+CONCATENATE(E998,I998)</f>
        <v/>
      </c>
      <c r="R999" s="10">
        <f>+J998</f>
        <v>0</v>
      </c>
      <c r="S999" s="11"/>
      <c r="T999" s="10">
        <f>+E998</f>
        <v>0</v>
      </c>
      <c r="U999" s="19" t="str">
        <f>IFERROR(LEFT(I998,FIND("*",I998)-1),"-")</f>
        <v>-</v>
      </c>
      <c r="V999" s="19" t="str">
        <f>IFERROR(RIGHT(I998,LEN(I998)-FIND("*",I998)),"-")</f>
        <v>-</v>
      </c>
      <c r="W999" s="20" t="str">
        <f t="shared" si="538"/>
        <v>-</v>
      </c>
      <c r="X999" s="20" t="str">
        <f t="shared" ref="X999" si="543">IFERROR(W999*J998,"-")</f>
        <v>-</v>
      </c>
      <c r="Z999" s="33">
        <v>45181</v>
      </c>
    </row>
    <row r="1000" spans="1:26" ht="6.95" customHeight="1" x14ac:dyDescent="0.3">
      <c r="A1000" s="5"/>
      <c r="B1000" s="157"/>
      <c r="C1000" s="158"/>
      <c r="D1000" s="171"/>
      <c r="E1000" s="174"/>
      <c r="F1000" s="177"/>
      <c r="G1000" s="180"/>
      <c r="H1000" s="183"/>
      <c r="I1000" s="180"/>
      <c r="J1000" s="183"/>
      <c r="K1000" s="180"/>
      <c r="L1000" s="183"/>
      <c r="M1000" s="6"/>
      <c r="N1000" s="32"/>
      <c r="Q1000" s="10" t="str">
        <f>+CONCATENATE(E998,K998)</f>
        <v/>
      </c>
      <c r="R1000" s="10">
        <f>+L998</f>
        <v>0</v>
      </c>
      <c r="S1000" s="11"/>
      <c r="T1000" s="10">
        <f>+E998</f>
        <v>0</v>
      </c>
      <c r="U1000" s="19" t="str">
        <f>IFERROR(LEFT(K998,FIND("*",K998)-1),"-")</f>
        <v>-</v>
      </c>
      <c r="V1000" s="19" t="str">
        <f>IFERROR(RIGHT(K998,LEN(K998)-FIND("*",K998)),"-")</f>
        <v>-</v>
      </c>
      <c r="W1000" s="20" t="str">
        <f t="shared" si="538"/>
        <v>-</v>
      </c>
      <c r="X1000" s="20" t="str">
        <f>IFERROR(W1000*L998,"-")</f>
        <v>-</v>
      </c>
      <c r="Z1000" s="33">
        <v>45181</v>
      </c>
    </row>
    <row r="1001" spans="1:26" ht="21" customHeight="1" thickBot="1" x14ac:dyDescent="0.35">
      <c r="A1001" s="5"/>
      <c r="B1001" s="159"/>
      <c r="C1001" s="160"/>
      <c r="D1001" s="184" t="s">
        <v>43</v>
      </c>
      <c r="E1001" s="185"/>
      <c r="F1001" s="186"/>
      <c r="G1001" s="187" t="s">
        <v>221</v>
      </c>
      <c r="H1001" s="188"/>
      <c r="I1001" s="188"/>
      <c r="J1001" s="188"/>
      <c r="K1001" s="188"/>
      <c r="L1001" s="165"/>
      <c r="M1001" s="7"/>
      <c r="N1001" s="32"/>
      <c r="Z1001" s="33">
        <v>45181</v>
      </c>
    </row>
    <row r="1002" spans="1:26" ht="9.9499999999999993" customHeight="1" thickBot="1" x14ac:dyDescent="0.35">
      <c r="B1002" s="9"/>
      <c r="C1002" s="109">
        <v>891</v>
      </c>
      <c r="D1002" s="51"/>
      <c r="E1002" s="12"/>
      <c r="F1002" s="51"/>
      <c r="G1002" s="14"/>
      <c r="H1002" s="14"/>
      <c r="I1002" s="14"/>
      <c r="J1002" s="14"/>
      <c r="K1002" s="14"/>
      <c r="L1002" s="14"/>
      <c r="M1002" s="9"/>
      <c r="N1002" s="32"/>
      <c r="U1002" s="18"/>
      <c r="V1002" s="18"/>
      <c r="Z1002" s="33">
        <v>45181</v>
      </c>
    </row>
    <row r="1003" spans="1:26" ht="6.95" customHeight="1" x14ac:dyDescent="0.3">
      <c r="A1003" s="154">
        <f>+A992+1</f>
        <v>892</v>
      </c>
      <c r="B1003" s="155"/>
      <c r="C1003" s="156"/>
      <c r="D1003" s="161" t="s">
        <v>39</v>
      </c>
      <c r="E1003" s="162" t="s">
        <v>226</v>
      </c>
      <c r="F1003" s="163" t="s">
        <v>40</v>
      </c>
      <c r="G1003" s="164" t="s">
        <v>235</v>
      </c>
      <c r="H1003" s="165">
        <v>0.5</v>
      </c>
      <c r="I1003" s="164"/>
      <c r="J1003" s="165"/>
      <c r="K1003" s="164"/>
      <c r="L1003" s="165"/>
      <c r="M1003" s="6"/>
      <c r="N1003" s="32"/>
      <c r="Q1003" s="10" t="str">
        <f>+CONCATENATE(E1003,G1003)</f>
        <v>무보온덕트벽체1000*400</v>
      </c>
      <c r="R1003" s="10">
        <f>+H1003</f>
        <v>0.5</v>
      </c>
      <c r="S1003" s="11"/>
      <c r="T1003" s="10" t="str">
        <f>+E1003</f>
        <v>무보온덕트벽체</v>
      </c>
      <c r="U1003" s="19" t="str">
        <f>IFERROR(LEFT(G1003,FIND("*",G1003)-1),"-")</f>
        <v>1000</v>
      </c>
      <c r="V1003" s="19" t="str">
        <f>IFERROR(RIGHT(G1003,LEN(G1003)-FIND("*",G1003)),"-")</f>
        <v>400</v>
      </c>
      <c r="W1003" s="20">
        <f>IFERROR((U1003+V1003)*2/1000,"-")</f>
        <v>2.8</v>
      </c>
      <c r="X1003" s="20">
        <f>IFERROR(W1003*H1003,"-")</f>
        <v>1.4</v>
      </c>
      <c r="Z1003" s="33">
        <v>45181</v>
      </c>
    </row>
    <row r="1004" spans="1:26" ht="6.95" customHeight="1" x14ac:dyDescent="0.3">
      <c r="A1004" s="154"/>
      <c r="B1004" s="157"/>
      <c r="C1004" s="158"/>
      <c r="D1004" s="161"/>
      <c r="E1004" s="162"/>
      <c r="F1004" s="163"/>
      <c r="G1004" s="164"/>
      <c r="H1004" s="165"/>
      <c r="I1004" s="164"/>
      <c r="J1004" s="165"/>
      <c r="K1004" s="164"/>
      <c r="L1004" s="165"/>
      <c r="M1004" s="6"/>
      <c r="N1004" s="32"/>
      <c r="Q1004" s="10" t="str">
        <f>+CONCATENATE(E1003,I1003)</f>
        <v>무보온덕트벽체</v>
      </c>
      <c r="R1004" s="10">
        <f>+J1003</f>
        <v>0</v>
      </c>
      <c r="S1004" s="11"/>
      <c r="T1004" s="10" t="str">
        <f>+E1003</f>
        <v>무보온덕트벽체</v>
      </c>
      <c r="U1004" s="19" t="str">
        <f>IFERROR(LEFT(I1003,FIND("*",I1003)-1),"-")</f>
        <v>-</v>
      </c>
      <c r="V1004" s="19" t="str">
        <f>IFERROR(RIGHT(I1003,LEN(I1003)-FIND("*",I1003)),"-")</f>
        <v>-</v>
      </c>
      <c r="W1004" s="20" t="str">
        <f t="shared" ref="W1004:W1011" si="544">IFERROR((U1004+V1004)*2/1000,"-")</f>
        <v>-</v>
      </c>
      <c r="X1004" s="20" t="str">
        <f>IFERROR(W1004*J1003,"-")</f>
        <v>-</v>
      </c>
      <c r="Z1004" s="33">
        <v>45181</v>
      </c>
    </row>
    <row r="1005" spans="1:26" ht="6.95" customHeight="1" x14ac:dyDescent="0.3">
      <c r="A1005" s="154"/>
      <c r="B1005" s="157"/>
      <c r="C1005" s="158"/>
      <c r="D1005" s="161"/>
      <c r="E1005" s="162"/>
      <c r="F1005" s="163"/>
      <c r="G1005" s="164"/>
      <c r="H1005" s="165"/>
      <c r="I1005" s="164"/>
      <c r="J1005" s="165"/>
      <c r="K1005" s="164"/>
      <c r="L1005" s="165"/>
      <c r="M1005" s="6"/>
      <c r="N1005" s="32"/>
      <c r="Q1005" s="10" t="str">
        <f>+CONCATENATE(E1003,K1003)</f>
        <v>무보온덕트벽체</v>
      </c>
      <c r="R1005" s="10">
        <f>+L1003</f>
        <v>0</v>
      </c>
      <c r="S1005" s="11"/>
      <c r="T1005" s="10" t="str">
        <f>+E1003</f>
        <v>무보온덕트벽체</v>
      </c>
      <c r="U1005" s="19" t="str">
        <f>IFERROR(LEFT(K1003,FIND("*",K1003)-1),"-")</f>
        <v>-</v>
      </c>
      <c r="V1005" s="19" t="str">
        <f>IFERROR(RIGHT(K1003,LEN(K1003)-FIND("*",K1003)),"-")</f>
        <v>-</v>
      </c>
      <c r="W1005" s="20" t="str">
        <f t="shared" si="544"/>
        <v>-</v>
      </c>
      <c r="X1005" s="20" t="str">
        <f>IFERROR(W1005*L1003,"-")</f>
        <v>-</v>
      </c>
      <c r="Z1005" s="33">
        <v>45181</v>
      </c>
    </row>
    <row r="1006" spans="1:26" ht="6.95" customHeight="1" x14ac:dyDescent="0.3">
      <c r="A1006" s="8"/>
      <c r="B1006" s="157"/>
      <c r="C1006" s="158"/>
      <c r="D1006" s="161" t="s">
        <v>39</v>
      </c>
      <c r="E1006" s="162" t="s">
        <v>228</v>
      </c>
      <c r="F1006" s="163" t="s">
        <v>40</v>
      </c>
      <c r="G1006" s="164" t="s">
        <v>235</v>
      </c>
      <c r="H1006" s="165">
        <v>0.5</v>
      </c>
      <c r="I1006" s="164"/>
      <c r="J1006" s="165"/>
      <c r="K1006" s="164"/>
      <c r="L1006" s="165"/>
      <c r="M1006" s="6"/>
      <c r="N1006" s="32"/>
      <c r="Q1006" s="10" t="str">
        <f>+CONCATENATE(E1006,G1006)</f>
        <v>차열재마감1000*400</v>
      </c>
      <c r="R1006" s="10">
        <f>+H1006</f>
        <v>0.5</v>
      </c>
      <c r="S1006" s="11"/>
      <c r="T1006" s="10" t="str">
        <f>+E1006</f>
        <v>차열재마감</v>
      </c>
      <c r="U1006" s="19" t="str">
        <f t="shared" ref="U1006" si="545">IFERROR(LEFT(G1006,FIND("*",G1006)-1),"-")</f>
        <v>1000</v>
      </c>
      <c r="V1006" s="19" t="str">
        <f t="shared" ref="V1006" si="546">IFERROR(RIGHT(G1006,LEN(G1006)-FIND("*",G1006)),"-")</f>
        <v>400</v>
      </c>
      <c r="W1006" s="20">
        <f t="shared" si="544"/>
        <v>2.8</v>
      </c>
      <c r="X1006" s="20">
        <f>IFERROR(W1006*H1006,"-")</f>
        <v>1.4</v>
      </c>
      <c r="Z1006" s="33">
        <v>45181</v>
      </c>
    </row>
    <row r="1007" spans="1:26" ht="6.95" customHeight="1" x14ac:dyDescent="0.3">
      <c r="A1007" s="5"/>
      <c r="B1007" s="157"/>
      <c r="C1007" s="158"/>
      <c r="D1007" s="161"/>
      <c r="E1007" s="162"/>
      <c r="F1007" s="163"/>
      <c r="G1007" s="164"/>
      <c r="H1007" s="165"/>
      <c r="I1007" s="164"/>
      <c r="J1007" s="165"/>
      <c r="K1007" s="164"/>
      <c r="L1007" s="165"/>
      <c r="M1007" s="6"/>
      <c r="N1007" s="32"/>
      <c r="Q1007" s="10" t="str">
        <f>+CONCATENATE(E1006,I1006)</f>
        <v>차열재마감</v>
      </c>
      <c r="R1007" s="10">
        <f>+J1006</f>
        <v>0</v>
      </c>
      <c r="S1007" s="11"/>
      <c r="T1007" s="10" t="str">
        <f>+E1006</f>
        <v>차열재마감</v>
      </c>
      <c r="U1007" s="19" t="str">
        <f>IFERROR(LEFT(I1006,FIND("*",I1006)-1),"-")</f>
        <v>-</v>
      </c>
      <c r="V1007" s="19" t="str">
        <f>IFERROR(RIGHT(I1006,LEN(I1006)-FIND("*",I1006)),"-")</f>
        <v>-</v>
      </c>
      <c r="W1007" s="20" t="str">
        <f t="shared" si="544"/>
        <v>-</v>
      </c>
      <c r="X1007" s="20" t="str">
        <f>IFERROR(W1007*J1006,"-")</f>
        <v>-</v>
      </c>
      <c r="Z1007" s="33">
        <v>45181</v>
      </c>
    </row>
    <row r="1008" spans="1:26" ht="6.95" customHeight="1" x14ac:dyDescent="0.3">
      <c r="A1008" s="5"/>
      <c r="B1008" s="157"/>
      <c r="C1008" s="158"/>
      <c r="D1008" s="161"/>
      <c r="E1008" s="162"/>
      <c r="F1008" s="163"/>
      <c r="G1008" s="164"/>
      <c r="H1008" s="165"/>
      <c r="I1008" s="164"/>
      <c r="J1008" s="165"/>
      <c r="K1008" s="164"/>
      <c r="L1008" s="165"/>
      <c r="M1008" s="6"/>
      <c r="N1008" s="32"/>
      <c r="Q1008" s="10" t="str">
        <f>+CONCATENATE(E1006,K1006)</f>
        <v>차열재마감</v>
      </c>
      <c r="R1008" s="10">
        <f>+L1006</f>
        <v>0</v>
      </c>
      <c r="S1008" s="11"/>
      <c r="T1008" s="10" t="str">
        <f>+E1006</f>
        <v>차열재마감</v>
      </c>
      <c r="U1008" s="19" t="str">
        <f>IFERROR(LEFT(K1006,FIND("*",K1006)-1),"-")</f>
        <v>-</v>
      </c>
      <c r="V1008" s="19" t="str">
        <f>IFERROR(RIGHT(K1006,LEN(K1006)-FIND("*",K1006)),"-")</f>
        <v>-</v>
      </c>
      <c r="W1008" s="20" t="str">
        <f t="shared" si="544"/>
        <v>-</v>
      </c>
      <c r="X1008" s="20" t="str">
        <f>IFERROR(W1008*L1006,"-")</f>
        <v>-</v>
      </c>
      <c r="Z1008" s="33">
        <v>45181</v>
      </c>
    </row>
    <row r="1009" spans="1:26" ht="6.95" customHeight="1" x14ac:dyDescent="0.3">
      <c r="A1009" s="8"/>
      <c r="B1009" s="157"/>
      <c r="C1009" s="158"/>
      <c r="D1009" s="161" t="s">
        <v>39</v>
      </c>
      <c r="E1009" s="162"/>
      <c r="F1009" s="163" t="s">
        <v>40</v>
      </c>
      <c r="G1009" s="164"/>
      <c r="H1009" s="165"/>
      <c r="I1009" s="164"/>
      <c r="J1009" s="165"/>
      <c r="K1009" s="164"/>
      <c r="L1009" s="165"/>
      <c r="M1009" s="6"/>
      <c r="N1009" s="32"/>
      <c r="Q1009" s="10" t="str">
        <f>+CONCATENATE(E1009,G1009)</f>
        <v/>
      </c>
      <c r="R1009" s="10">
        <f>+H1009</f>
        <v>0</v>
      </c>
      <c r="S1009" s="11"/>
      <c r="T1009" s="10">
        <f>+E1009</f>
        <v>0</v>
      </c>
      <c r="U1009" s="19" t="str">
        <f t="shared" ref="U1009" si="547">IFERROR(LEFT(G1009,FIND("*",G1009)-1),"-")</f>
        <v>-</v>
      </c>
      <c r="V1009" s="19" t="str">
        <f t="shared" ref="V1009" si="548">IFERROR(RIGHT(G1009,LEN(G1009)-FIND("*",G1009)),"-")</f>
        <v>-</v>
      </c>
      <c r="W1009" s="20" t="str">
        <f t="shared" si="544"/>
        <v>-</v>
      </c>
      <c r="X1009" s="20" t="str">
        <f>IFERROR(W1009*H1009,"-")</f>
        <v>-</v>
      </c>
      <c r="Z1009" s="33">
        <v>45181</v>
      </c>
    </row>
    <row r="1010" spans="1:26" ht="6.95" customHeight="1" x14ac:dyDescent="0.3">
      <c r="A1010" s="5"/>
      <c r="B1010" s="157"/>
      <c r="C1010" s="158"/>
      <c r="D1010" s="161"/>
      <c r="E1010" s="162"/>
      <c r="F1010" s="163"/>
      <c r="G1010" s="164"/>
      <c r="H1010" s="165"/>
      <c r="I1010" s="164"/>
      <c r="J1010" s="165"/>
      <c r="K1010" s="164"/>
      <c r="L1010" s="165"/>
      <c r="M1010" s="6"/>
      <c r="N1010" s="32"/>
      <c r="Q1010" s="10" t="str">
        <f>+CONCATENATE(E1009,I1009)</f>
        <v/>
      </c>
      <c r="R1010" s="10">
        <f>+J1009</f>
        <v>0</v>
      </c>
      <c r="S1010" s="11"/>
      <c r="T1010" s="10">
        <f>+E1009</f>
        <v>0</v>
      </c>
      <c r="U1010" s="19" t="str">
        <f>IFERROR(LEFT(I1009,FIND("*",I1009)-1),"-")</f>
        <v>-</v>
      </c>
      <c r="V1010" s="19" t="str">
        <f>IFERROR(RIGHT(I1009,LEN(I1009)-FIND("*",I1009)),"-")</f>
        <v>-</v>
      </c>
      <c r="W1010" s="20" t="str">
        <f t="shared" si="544"/>
        <v>-</v>
      </c>
      <c r="X1010" s="20" t="str">
        <f t="shared" ref="X1010" si="549">IFERROR(W1010*J1009,"-")</f>
        <v>-</v>
      </c>
      <c r="Z1010" s="33">
        <v>45181</v>
      </c>
    </row>
    <row r="1011" spans="1:26" ht="6.95" customHeight="1" x14ac:dyDescent="0.3">
      <c r="A1011" s="5"/>
      <c r="B1011" s="157"/>
      <c r="C1011" s="158"/>
      <c r="D1011" s="161"/>
      <c r="E1011" s="162"/>
      <c r="F1011" s="163"/>
      <c r="G1011" s="164"/>
      <c r="H1011" s="165"/>
      <c r="I1011" s="164"/>
      <c r="J1011" s="165"/>
      <c r="K1011" s="164"/>
      <c r="L1011" s="165"/>
      <c r="M1011" s="6"/>
      <c r="N1011" s="32"/>
      <c r="Q1011" s="10" t="str">
        <f>+CONCATENATE(E1009,K1009)</f>
        <v/>
      </c>
      <c r="R1011" s="10">
        <f>+L1009</f>
        <v>0</v>
      </c>
      <c r="S1011" s="11"/>
      <c r="T1011" s="10">
        <f>+E1009</f>
        <v>0</v>
      </c>
      <c r="U1011" s="19" t="str">
        <f>IFERROR(LEFT(K1009,FIND("*",K1009)-1),"-")</f>
        <v>-</v>
      </c>
      <c r="V1011" s="19" t="str">
        <f>IFERROR(RIGHT(K1009,LEN(K1009)-FIND("*",K1009)),"-")</f>
        <v>-</v>
      </c>
      <c r="W1011" s="20" t="str">
        <f t="shared" si="544"/>
        <v>-</v>
      </c>
      <c r="X1011" s="20" t="str">
        <f>IFERROR(W1011*L1009,"-")</f>
        <v>-</v>
      </c>
      <c r="Z1011" s="33">
        <v>45181</v>
      </c>
    </row>
    <row r="1012" spans="1:26" ht="21" customHeight="1" thickBot="1" x14ac:dyDescent="0.35">
      <c r="A1012" s="5"/>
      <c r="B1012" s="159"/>
      <c r="C1012" s="160"/>
      <c r="D1012" s="166" t="s">
        <v>43</v>
      </c>
      <c r="E1012" s="167"/>
      <c r="F1012" s="167"/>
      <c r="G1012" s="168" t="s">
        <v>221</v>
      </c>
      <c r="H1012" s="168"/>
      <c r="I1012" s="168"/>
      <c r="J1012" s="168"/>
      <c r="K1012" s="168"/>
      <c r="L1012" s="168"/>
      <c r="M1012" s="7"/>
      <c r="N1012" s="32"/>
      <c r="Z1012" s="33">
        <v>45181</v>
      </c>
    </row>
    <row r="1013" spans="1:26" ht="9.9499999999999993" customHeight="1" thickBot="1" x14ac:dyDescent="0.35">
      <c r="B1013" s="9"/>
      <c r="C1013" s="109">
        <v>892</v>
      </c>
      <c r="D1013" s="51"/>
      <c r="E1013" s="12"/>
      <c r="F1013" s="51"/>
      <c r="G1013" s="14"/>
      <c r="H1013" s="14"/>
      <c r="I1013" s="14"/>
      <c r="J1013" s="14"/>
      <c r="K1013" s="14"/>
      <c r="L1013" s="14"/>
      <c r="M1013" s="9"/>
      <c r="N1013" s="32"/>
      <c r="U1013" s="18"/>
      <c r="V1013" s="18"/>
      <c r="Z1013" s="33">
        <v>45181</v>
      </c>
    </row>
    <row r="1014" spans="1:26" ht="6.95" customHeight="1" x14ac:dyDescent="0.3">
      <c r="A1014" s="154">
        <f>+A1003+1</f>
        <v>893</v>
      </c>
      <c r="B1014" s="155"/>
      <c r="C1014" s="156"/>
      <c r="D1014" s="161" t="s">
        <v>39</v>
      </c>
      <c r="E1014" s="162" t="s">
        <v>226</v>
      </c>
      <c r="F1014" s="163" t="s">
        <v>40</v>
      </c>
      <c r="G1014" s="164" t="s">
        <v>229</v>
      </c>
      <c r="H1014" s="165">
        <v>0.5</v>
      </c>
      <c r="I1014" s="164"/>
      <c r="J1014" s="165"/>
      <c r="K1014" s="164"/>
      <c r="L1014" s="165"/>
      <c r="M1014" s="6"/>
      <c r="N1014" s="32"/>
      <c r="Q1014" s="10" t="str">
        <f>+CONCATENATE(E1014,G1014)</f>
        <v>무보온덕트벽체200*200</v>
      </c>
      <c r="R1014" s="10">
        <f>+H1014</f>
        <v>0.5</v>
      </c>
      <c r="S1014" s="11"/>
      <c r="T1014" s="10" t="str">
        <f>+E1014</f>
        <v>무보온덕트벽체</v>
      </c>
      <c r="U1014" s="19" t="str">
        <f>IFERROR(LEFT(G1014,FIND("*",G1014)-1),"-")</f>
        <v>200</v>
      </c>
      <c r="V1014" s="19" t="str">
        <f>IFERROR(RIGHT(G1014,LEN(G1014)-FIND("*",G1014)),"-")</f>
        <v>200</v>
      </c>
      <c r="W1014" s="20">
        <f>IFERROR((U1014+V1014)*2/1000,"-")</f>
        <v>0.8</v>
      </c>
      <c r="X1014" s="20">
        <f>IFERROR(W1014*H1014,"-")</f>
        <v>0.4</v>
      </c>
      <c r="Z1014" s="33">
        <v>45181</v>
      </c>
    </row>
    <row r="1015" spans="1:26" ht="6.95" customHeight="1" x14ac:dyDescent="0.3">
      <c r="A1015" s="154"/>
      <c r="B1015" s="157"/>
      <c r="C1015" s="158"/>
      <c r="D1015" s="161"/>
      <c r="E1015" s="162"/>
      <c r="F1015" s="163"/>
      <c r="G1015" s="164"/>
      <c r="H1015" s="165"/>
      <c r="I1015" s="164"/>
      <c r="J1015" s="165"/>
      <c r="K1015" s="164"/>
      <c r="L1015" s="165"/>
      <c r="M1015" s="6"/>
      <c r="N1015" s="32"/>
      <c r="Q1015" s="10" t="str">
        <f>+CONCATENATE(E1014,I1014)</f>
        <v>무보온덕트벽체</v>
      </c>
      <c r="R1015" s="10">
        <f>+J1014</f>
        <v>0</v>
      </c>
      <c r="S1015" s="11"/>
      <c r="T1015" s="10" t="str">
        <f>+E1014</f>
        <v>무보온덕트벽체</v>
      </c>
      <c r="U1015" s="19" t="str">
        <f>IFERROR(LEFT(I1014,FIND("*",I1014)-1),"-")</f>
        <v>-</v>
      </c>
      <c r="V1015" s="19" t="str">
        <f>IFERROR(RIGHT(I1014,LEN(I1014)-FIND("*",I1014)),"-")</f>
        <v>-</v>
      </c>
      <c r="W1015" s="20" t="str">
        <f t="shared" ref="W1015:W1022" si="550">IFERROR((U1015+V1015)*2/1000,"-")</f>
        <v>-</v>
      </c>
      <c r="X1015" s="20" t="str">
        <f>IFERROR(W1015*J1014,"-")</f>
        <v>-</v>
      </c>
      <c r="Z1015" s="33">
        <v>45181</v>
      </c>
    </row>
    <row r="1016" spans="1:26" ht="6.95" customHeight="1" x14ac:dyDescent="0.3">
      <c r="A1016" s="154"/>
      <c r="B1016" s="157"/>
      <c r="C1016" s="158"/>
      <c r="D1016" s="161"/>
      <c r="E1016" s="162"/>
      <c r="F1016" s="163"/>
      <c r="G1016" s="164"/>
      <c r="H1016" s="165"/>
      <c r="I1016" s="164"/>
      <c r="J1016" s="165"/>
      <c r="K1016" s="164"/>
      <c r="L1016" s="165"/>
      <c r="M1016" s="6"/>
      <c r="N1016" s="32"/>
      <c r="Q1016" s="10" t="str">
        <f>+CONCATENATE(E1014,K1014)</f>
        <v>무보온덕트벽체</v>
      </c>
      <c r="R1016" s="10">
        <f>+L1014</f>
        <v>0</v>
      </c>
      <c r="S1016" s="11"/>
      <c r="T1016" s="10" t="str">
        <f>+E1014</f>
        <v>무보온덕트벽체</v>
      </c>
      <c r="U1016" s="19" t="str">
        <f>IFERROR(LEFT(K1014,FIND("*",K1014)-1),"-")</f>
        <v>-</v>
      </c>
      <c r="V1016" s="19" t="str">
        <f>IFERROR(RIGHT(K1014,LEN(K1014)-FIND("*",K1014)),"-")</f>
        <v>-</v>
      </c>
      <c r="W1016" s="20" t="str">
        <f t="shared" si="550"/>
        <v>-</v>
      </c>
      <c r="X1016" s="20" t="str">
        <f>IFERROR(W1016*L1014,"-")</f>
        <v>-</v>
      </c>
      <c r="Z1016" s="33">
        <v>45181</v>
      </c>
    </row>
    <row r="1017" spans="1:26" ht="6.95" customHeight="1" x14ac:dyDescent="0.3">
      <c r="A1017" s="8"/>
      <c r="B1017" s="157"/>
      <c r="C1017" s="158"/>
      <c r="D1017" s="161" t="s">
        <v>39</v>
      </c>
      <c r="E1017" s="162" t="s">
        <v>228</v>
      </c>
      <c r="F1017" s="163" t="s">
        <v>40</v>
      </c>
      <c r="G1017" s="164" t="s">
        <v>229</v>
      </c>
      <c r="H1017" s="165">
        <v>0.5</v>
      </c>
      <c r="I1017" s="164"/>
      <c r="J1017" s="165"/>
      <c r="K1017" s="164"/>
      <c r="L1017" s="165"/>
      <c r="M1017" s="6"/>
      <c r="N1017" s="32"/>
      <c r="Q1017" s="10" t="str">
        <f>+CONCATENATE(E1017,G1017)</f>
        <v>차열재마감200*200</v>
      </c>
      <c r="R1017" s="10">
        <f>+H1017</f>
        <v>0.5</v>
      </c>
      <c r="S1017" s="11"/>
      <c r="T1017" s="10" t="str">
        <f>+E1017</f>
        <v>차열재마감</v>
      </c>
      <c r="U1017" s="19" t="str">
        <f t="shared" ref="U1017" si="551">IFERROR(LEFT(G1017,FIND("*",G1017)-1),"-")</f>
        <v>200</v>
      </c>
      <c r="V1017" s="19" t="str">
        <f t="shared" ref="V1017" si="552">IFERROR(RIGHT(G1017,LEN(G1017)-FIND("*",G1017)),"-")</f>
        <v>200</v>
      </c>
      <c r="W1017" s="20">
        <f t="shared" si="550"/>
        <v>0.8</v>
      </c>
      <c r="X1017" s="20">
        <f>IFERROR(W1017*H1017,"-")</f>
        <v>0.4</v>
      </c>
      <c r="Z1017" s="33">
        <v>45181</v>
      </c>
    </row>
    <row r="1018" spans="1:26" ht="6.95" customHeight="1" x14ac:dyDescent="0.3">
      <c r="A1018" s="5"/>
      <c r="B1018" s="157"/>
      <c r="C1018" s="158"/>
      <c r="D1018" s="161"/>
      <c r="E1018" s="162"/>
      <c r="F1018" s="163"/>
      <c r="G1018" s="164"/>
      <c r="H1018" s="165"/>
      <c r="I1018" s="164"/>
      <c r="J1018" s="165"/>
      <c r="K1018" s="164"/>
      <c r="L1018" s="165"/>
      <c r="M1018" s="6"/>
      <c r="N1018" s="32"/>
      <c r="Q1018" s="10" t="str">
        <f>+CONCATENATE(E1017,I1017)</f>
        <v>차열재마감</v>
      </c>
      <c r="R1018" s="10">
        <f>+J1017</f>
        <v>0</v>
      </c>
      <c r="S1018" s="11"/>
      <c r="T1018" s="10" t="str">
        <f>+E1017</f>
        <v>차열재마감</v>
      </c>
      <c r="U1018" s="19" t="str">
        <f>IFERROR(LEFT(I1017,FIND("*",I1017)-1),"-")</f>
        <v>-</v>
      </c>
      <c r="V1018" s="19" t="str">
        <f>IFERROR(RIGHT(I1017,LEN(I1017)-FIND("*",I1017)),"-")</f>
        <v>-</v>
      </c>
      <c r="W1018" s="20" t="str">
        <f t="shared" si="550"/>
        <v>-</v>
      </c>
      <c r="X1018" s="20" t="str">
        <f>IFERROR(W1018*J1017,"-")</f>
        <v>-</v>
      </c>
      <c r="Z1018" s="33">
        <v>45181</v>
      </c>
    </row>
    <row r="1019" spans="1:26" ht="6.95" customHeight="1" x14ac:dyDescent="0.3">
      <c r="A1019" s="5"/>
      <c r="B1019" s="157"/>
      <c r="C1019" s="158"/>
      <c r="D1019" s="161"/>
      <c r="E1019" s="162"/>
      <c r="F1019" s="163"/>
      <c r="G1019" s="164"/>
      <c r="H1019" s="165"/>
      <c r="I1019" s="164"/>
      <c r="J1019" s="165"/>
      <c r="K1019" s="164"/>
      <c r="L1019" s="165"/>
      <c r="M1019" s="6"/>
      <c r="N1019" s="32"/>
      <c r="Q1019" s="10" t="str">
        <f>+CONCATENATE(E1017,K1017)</f>
        <v>차열재마감</v>
      </c>
      <c r="R1019" s="10">
        <f>+L1017</f>
        <v>0</v>
      </c>
      <c r="S1019" s="11"/>
      <c r="T1019" s="10" t="str">
        <f>+E1017</f>
        <v>차열재마감</v>
      </c>
      <c r="U1019" s="19" t="str">
        <f>IFERROR(LEFT(K1017,FIND("*",K1017)-1),"-")</f>
        <v>-</v>
      </c>
      <c r="V1019" s="19" t="str">
        <f>IFERROR(RIGHT(K1017,LEN(K1017)-FIND("*",K1017)),"-")</f>
        <v>-</v>
      </c>
      <c r="W1019" s="20" t="str">
        <f t="shared" si="550"/>
        <v>-</v>
      </c>
      <c r="X1019" s="20" t="str">
        <f>IFERROR(W1019*L1017,"-")</f>
        <v>-</v>
      </c>
      <c r="Z1019" s="33">
        <v>45181</v>
      </c>
    </row>
    <row r="1020" spans="1:26" ht="6.95" customHeight="1" x14ac:dyDescent="0.3">
      <c r="A1020" s="8"/>
      <c r="B1020" s="157"/>
      <c r="C1020" s="158"/>
      <c r="D1020" s="161" t="s">
        <v>39</v>
      </c>
      <c r="E1020" s="162"/>
      <c r="F1020" s="163" t="s">
        <v>40</v>
      </c>
      <c r="G1020" s="164"/>
      <c r="H1020" s="165"/>
      <c r="I1020" s="164"/>
      <c r="J1020" s="165"/>
      <c r="K1020" s="164"/>
      <c r="L1020" s="165"/>
      <c r="M1020" s="6"/>
      <c r="N1020" s="32"/>
      <c r="Q1020" s="10" t="str">
        <f>+CONCATENATE(E1020,G1020)</f>
        <v/>
      </c>
      <c r="R1020" s="10">
        <f>+H1020</f>
        <v>0</v>
      </c>
      <c r="S1020" s="11"/>
      <c r="T1020" s="10">
        <f>+E1020</f>
        <v>0</v>
      </c>
      <c r="U1020" s="19" t="str">
        <f t="shared" ref="U1020" si="553">IFERROR(LEFT(G1020,FIND("*",G1020)-1),"-")</f>
        <v>-</v>
      </c>
      <c r="V1020" s="19" t="str">
        <f t="shared" ref="V1020" si="554">IFERROR(RIGHT(G1020,LEN(G1020)-FIND("*",G1020)),"-")</f>
        <v>-</v>
      </c>
      <c r="W1020" s="20" t="str">
        <f t="shared" si="550"/>
        <v>-</v>
      </c>
      <c r="X1020" s="20" t="str">
        <f>IFERROR(W1020*H1020,"-")</f>
        <v>-</v>
      </c>
      <c r="Z1020" s="33">
        <v>45181</v>
      </c>
    </row>
    <row r="1021" spans="1:26" ht="6.95" customHeight="1" x14ac:dyDescent="0.3">
      <c r="A1021" s="5"/>
      <c r="B1021" s="157"/>
      <c r="C1021" s="158"/>
      <c r="D1021" s="161"/>
      <c r="E1021" s="162"/>
      <c r="F1021" s="163"/>
      <c r="G1021" s="164"/>
      <c r="H1021" s="165"/>
      <c r="I1021" s="164"/>
      <c r="J1021" s="165"/>
      <c r="K1021" s="164"/>
      <c r="L1021" s="165"/>
      <c r="M1021" s="6"/>
      <c r="N1021" s="32"/>
      <c r="Q1021" s="10" t="str">
        <f>+CONCATENATE(E1020,I1020)</f>
        <v/>
      </c>
      <c r="R1021" s="10">
        <f>+J1020</f>
        <v>0</v>
      </c>
      <c r="S1021" s="11"/>
      <c r="T1021" s="10">
        <f>+E1020</f>
        <v>0</v>
      </c>
      <c r="U1021" s="19" t="str">
        <f>IFERROR(LEFT(I1020,FIND("*",I1020)-1),"-")</f>
        <v>-</v>
      </c>
      <c r="V1021" s="19" t="str">
        <f>IFERROR(RIGHT(I1020,LEN(I1020)-FIND("*",I1020)),"-")</f>
        <v>-</v>
      </c>
      <c r="W1021" s="20" t="str">
        <f t="shared" si="550"/>
        <v>-</v>
      </c>
      <c r="X1021" s="20" t="str">
        <f t="shared" ref="X1021" si="555">IFERROR(W1021*J1020,"-")</f>
        <v>-</v>
      </c>
      <c r="Z1021" s="33">
        <v>45181</v>
      </c>
    </row>
    <row r="1022" spans="1:26" ht="6.95" customHeight="1" x14ac:dyDescent="0.3">
      <c r="A1022" s="5"/>
      <c r="B1022" s="157"/>
      <c r="C1022" s="158"/>
      <c r="D1022" s="161"/>
      <c r="E1022" s="162"/>
      <c r="F1022" s="163"/>
      <c r="G1022" s="164"/>
      <c r="H1022" s="165"/>
      <c r="I1022" s="164"/>
      <c r="J1022" s="165"/>
      <c r="K1022" s="164"/>
      <c r="L1022" s="165"/>
      <c r="M1022" s="6"/>
      <c r="N1022" s="32"/>
      <c r="Q1022" s="10" t="str">
        <f>+CONCATENATE(E1020,K1020)</f>
        <v/>
      </c>
      <c r="R1022" s="10">
        <f>+L1020</f>
        <v>0</v>
      </c>
      <c r="S1022" s="11"/>
      <c r="T1022" s="10">
        <f>+E1020</f>
        <v>0</v>
      </c>
      <c r="U1022" s="19" t="str">
        <f>IFERROR(LEFT(K1020,FIND("*",K1020)-1),"-")</f>
        <v>-</v>
      </c>
      <c r="V1022" s="19" t="str">
        <f>IFERROR(RIGHT(K1020,LEN(K1020)-FIND("*",K1020)),"-")</f>
        <v>-</v>
      </c>
      <c r="W1022" s="20" t="str">
        <f t="shared" si="550"/>
        <v>-</v>
      </c>
      <c r="X1022" s="20" t="str">
        <f>IFERROR(W1022*L1020,"-")</f>
        <v>-</v>
      </c>
      <c r="Z1022" s="33">
        <v>45181</v>
      </c>
    </row>
    <row r="1023" spans="1:26" ht="21" customHeight="1" thickBot="1" x14ac:dyDescent="0.35">
      <c r="A1023" s="5"/>
      <c r="B1023" s="159"/>
      <c r="C1023" s="160"/>
      <c r="D1023" s="166" t="s">
        <v>43</v>
      </c>
      <c r="E1023" s="167"/>
      <c r="F1023" s="167"/>
      <c r="G1023" s="168" t="s">
        <v>221</v>
      </c>
      <c r="H1023" s="168"/>
      <c r="I1023" s="168"/>
      <c r="J1023" s="168"/>
      <c r="K1023" s="168"/>
      <c r="L1023" s="168"/>
      <c r="M1023" s="7"/>
      <c r="N1023" s="32"/>
      <c r="Z1023" s="33">
        <v>45181</v>
      </c>
    </row>
    <row r="1024" spans="1:26" ht="9.9499999999999993" customHeight="1" thickBot="1" x14ac:dyDescent="0.35">
      <c r="B1024" s="9"/>
      <c r="C1024" s="109">
        <v>893</v>
      </c>
      <c r="D1024" s="51"/>
      <c r="E1024" s="12"/>
      <c r="F1024" s="51"/>
      <c r="G1024" s="14"/>
      <c r="H1024" s="14"/>
      <c r="I1024" s="14"/>
      <c r="J1024" s="14"/>
      <c r="K1024" s="14"/>
      <c r="L1024" s="14"/>
      <c r="M1024" s="9"/>
      <c r="N1024" s="32"/>
      <c r="U1024" s="18"/>
      <c r="V1024" s="18"/>
      <c r="Z1024" s="33">
        <v>45181</v>
      </c>
    </row>
    <row r="1025" spans="1:26" ht="6.95" customHeight="1" x14ac:dyDescent="0.3">
      <c r="A1025" s="154">
        <f>+A1014+1</f>
        <v>894</v>
      </c>
      <c r="B1025" s="155"/>
      <c r="C1025" s="156"/>
      <c r="D1025" s="161" t="s">
        <v>39</v>
      </c>
      <c r="E1025" s="162" t="s">
        <v>226</v>
      </c>
      <c r="F1025" s="163" t="s">
        <v>40</v>
      </c>
      <c r="G1025" s="164" t="s">
        <v>231</v>
      </c>
      <c r="H1025" s="165">
        <v>1</v>
      </c>
      <c r="I1025" s="164"/>
      <c r="J1025" s="165"/>
      <c r="K1025" s="164"/>
      <c r="L1025" s="165"/>
      <c r="M1025" s="6"/>
      <c r="N1025" s="32"/>
      <c r="Q1025" s="10" t="str">
        <f>+CONCATENATE(E1025,G1025)</f>
        <v>무보온덕트벽체700*300</v>
      </c>
      <c r="R1025" s="10">
        <f>+H1025</f>
        <v>1</v>
      </c>
      <c r="S1025" s="11"/>
      <c r="T1025" s="10" t="str">
        <f>+E1025</f>
        <v>무보온덕트벽체</v>
      </c>
      <c r="U1025" s="19" t="str">
        <f>IFERROR(LEFT(G1025,FIND("*",G1025)-1),"-")</f>
        <v>700</v>
      </c>
      <c r="V1025" s="19" t="str">
        <f>IFERROR(RIGHT(G1025,LEN(G1025)-FIND("*",G1025)),"-")</f>
        <v>300</v>
      </c>
      <c r="W1025" s="20">
        <f>IFERROR((U1025+V1025)*2/1000,"-")</f>
        <v>2</v>
      </c>
      <c r="X1025" s="20">
        <f>IFERROR(W1025*H1025,"-")</f>
        <v>2</v>
      </c>
      <c r="Z1025" s="33">
        <v>45181</v>
      </c>
    </row>
    <row r="1026" spans="1:26" ht="6.95" customHeight="1" x14ac:dyDescent="0.3">
      <c r="A1026" s="154"/>
      <c r="B1026" s="157"/>
      <c r="C1026" s="158"/>
      <c r="D1026" s="161"/>
      <c r="E1026" s="162"/>
      <c r="F1026" s="163"/>
      <c r="G1026" s="164"/>
      <c r="H1026" s="165"/>
      <c r="I1026" s="164"/>
      <c r="J1026" s="165"/>
      <c r="K1026" s="164"/>
      <c r="L1026" s="165"/>
      <c r="M1026" s="6"/>
      <c r="N1026" s="32"/>
      <c r="Q1026" s="10" t="str">
        <f>+CONCATENATE(E1025,I1025)</f>
        <v>무보온덕트벽체</v>
      </c>
      <c r="R1026" s="10">
        <f>+J1025</f>
        <v>0</v>
      </c>
      <c r="S1026" s="11"/>
      <c r="T1026" s="10" t="str">
        <f>+E1025</f>
        <v>무보온덕트벽체</v>
      </c>
      <c r="U1026" s="19" t="str">
        <f>IFERROR(LEFT(I1025,FIND("*",I1025)-1),"-")</f>
        <v>-</v>
      </c>
      <c r="V1026" s="19" t="str">
        <f>IFERROR(RIGHT(I1025,LEN(I1025)-FIND("*",I1025)),"-")</f>
        <v>-</v>
      </c>
      <c r="W1026" s="20" t="str">
        <f t="shared" ref="W1026:W1033" si="556">IFERROR((U1026+V1026)*2/1000,"-")</f>
        <v>-</v>
      </c>
      <c r="X1026" s="20" t="str">
        <f>IFERROR(W1026*J1025,"-")</f>
        <v>-</v>
      </c>
      <c r="Z1026" s="33">
        <v>45181</v>
      </c>
    </row>
    <row r="1027" spans="1:26" ht="6.95" customHeight="1" x14ac:dyDescent="0.3">
      <c r="A1027" s="154"/>
      <c r="B1027" s="157"/>
      <c r="C1027" s="158"/>
      <c r="D1027" s="161"/>
      <c r="E1027" s="162"/>
      <c r="F1027" s="163"/>
      <c r="G1027" s="164"/>
      <c r="H1027" s="165"/>
      <c r="I1027" s="164"/>
      <c r="J1027" s="165"/>
      <c r="K1027" s="164"/>
      <c r="L1027" s="165"/>
      <c r="M1027" s="6"/>
      <c r="N1027" s="32"/>
      <c r="Q1027" s="10" t="str">
        <f>+CONCATENATE(E1025,K1025)</f>
        <v>무보온덕트벽체</v>
      </c>
      <c r="R1027" s="10">
        <f>+L1025</f>
        <v>0</v>
      </c>
      <c r="S1027" s="11"/>
      <c r="T1027" s="10" t="str">
        <f>+E1025</f>
        <v>무보온덕트벽체</v>
      </c>
      <c r="U1027" s="19" t="str">
        <f>IFERROR(LEFT(K1025,FIND("*",K1025)-1),"-")</f>
        <v>-</v>
      </c>
      <c r="V1027" s="19" t="str">
        <f>IFERROR(RIGHT(K1025,LEN(K1025)-FIND("*",K1025)),"-")</f>
        <v>-</v>
      </c>
      <c r="W1027" s="20" t="str">
        <f t="shared" si="556"/>
        <v>-</v>
      </c>
      <c r="X1027" s="20" t="str">
        <f>IFERROR(W1027*L1025,"-")</f>
        <v>-</v>
      </c>
      <c r="Z1027" s="33">
        <v>45181</v>
      </c>
    </row>
    <row r="1028" spans="1:26" ht="6.95" customHeight="1" x14ac:dyDescent="0.3">
      <c r="A1028" s="8"/>
      <c r="B1028" s="157"/>
      <c r="C1028" s="158"/>
      <c r="D1028" s="161" t="s">
        <v>39</v>
      </c>
      <c r="E1028" s="162" t="s">
        <v>228</v>
      </c>
      <c r="F1028" s="163" t="s">
        <v>40</v>
      </c>
      <c r="G1028" s="164" t="s">
        <v>231</v>
      </c>
      <c r="H1028" s="165">
        <v>1</v>
      </c>
      <c r="I1028" s="164"/>
      <c r="J1028" s="165"/>
      <c r="K1028" s="164"/>
      <c r="L1028" s="165"/>
      <c r="M1028" s="6"/>
      <c r="N1028" s="32"/>
      <c r="Q1028" s="10" t="str">
        <f>+CONCATENATE(E1028,G1028)</f>
        <v>차열재마감700*300</v>
      </c>
      <c r="R1028" s="10">
        <f>+H1028</f>
        <v>1</v>
      </c>
      <c r="S1028" s="11"/>
      <c r="T1028" s="10" t="str">
        <f>+E1028</f>
        <v>차열재마감</v>
      </c>
      <c r="U1028" s="19" t="str">
        <f t="shared" ref="U1028" si="557">IFERROR(LEFT(G1028,FIND("*",G1028)-1),"-")</f>
        <v>700</v>
      </c>
      <c r="V1028" s="19" t="str">
        <f t="shared" ref="V1028" si="558">IFERROR(RIGHT(G1028,LEN(G1028)-FIND("*",G1028)),"-")</f>
        <v>300</v>
      </c>
      <c r="W1028" s="20">
        <f t="shared" si="556"/>
        <v>2</v>
      </c>
      <c r="X1028" s="20">
        <f>IFERROR(W1028*H1028,"-")</f>
        <v>2</v>
      </c>
      <c r="Z1028" s="33">
        <v>45181</v>
      </c>
    </row>
    <row r="1029" spans="1:26" ht="6.95" customHeight="1" x14ac:dyDescent="0.3">
      <c r="A1029" s="5"/>
      <c r="B1029" s="157"/>
      <c r="C1029" s="158"/>
      <c r="D1029" s="161"/>
      <c r="E1029" s="162"/>
      <c r="F1029" s="163"/>
      <c r="G1029" s="164"/>
      <c r="H1029" s="165"/>
      <c r="I1029" s="164"/>
      <c r="J1029" s="165"/>
      <c r="K1029" s="164"/>
      <c r="L1029" s="165"/>
      <c r="M1029" s="6"/>
      <c r="N1029" s="32"/>
      <c r="Q1029" s="10" t="str">
        <f>+CONCATENATE(E1028,I1028)</f>
        <v>차열재마감</v>
      </c>
      <c r="R1029" s="10">
        <f>+J1028</f>
        <v>0</v>
      </c>
      <c r="S1029" s="11"/>
      <c r="T1029" s="10" t="str">
        <f>+E1028</f>
        <v>차열재마감</v>
      </c>
      <c r="U1029" s="19" t="str">
        <f>IFERROR(LEFT(I1028,FIND("*",I1028)-1),"-")</f>
        <v>-</v>
      </c>
      <c r="V1029" s="19" t="str">
        <f>IFERROR(RIGHT(I1028,LEN(I1028)-FIND("*",I1028)),"-")</f>
        <v>-</v>
      </c>
      <c r="W1029" s="20" t="str">
        <f t="shared" si="556"/>
        <v>-</v>
      </c>
      <c r="X1029" s="20" t="str">
        <f>IFERROR(W1029*J1028,"-")</f>
        <v>-</v>
      </c>
      <c r="Z1029" s="33">
        <v>45181</v>
      </c>
    </row>
    <row r="1030" spans="1:26" ht="6.95" customHeight="1" x14ac:dyDescent="0.3">
      <c r="A1030" s="5"/>
      <c r="B1030" s="157"/>
      <c r="C1030" s="158"/>
      <c r="D1030" s="161"/>
      <c r="E1030" s="162"/>
      <c r="F1030" s="163"/>
      <c r="G1030" s="164"/>
      <c r="H1030" s="165"/>
      <c r="I1030" s="164"/>
      <c r="J1030" s="165"/>
      <c r="K1030" s="164"/>
      <c r="L1030" s="165"/>
      <c r="M1030" s="6"/>
      <c r="N1030" s="32"/>
      <c r="Q1030" s="10" t="str">
        <f>+CONCATENATE(E1028,K1028)</f>
        <v>차열재마감</v>
      </c>
      <c r="R1030" s="10">
        <f>+L1028</f>
        <v>0</v>
      </c>
      <c r="S1030" s="11"/>
      <c r="T1030" s="10" t="str">
        <f>+E1028</f>
        <v>차열재마감</v>
      </c>
      <c r="U1030" s="19" t="str">
        <f>IFERROR(LEFT(K1028,FIND("*",K1028)-1),"-")</f>
        <v>-</v>
      </c>
      <c r="V1030" s="19" t="str">
        <f>IFERROR(RIGHT(K1028,LEN(K1028)-FIND("*",K1028)),"-")</f>
        <v>-</v>
      </c>
      <c r="W1030" s="20" t="str">
        <f t="shared" si="556"/>
        <v>-</v>
      </c>
      <c r="X1030" s="20" t="str">
        <f>IFERROR(W1030*L1028,"-")</f>
        <v>-</v>
      </c>
      <c r="Z1030" s="33">
        <v>45181</v>
      </c>
    </row>
    <row r="1031" spans="1:26" ht="6.95" customHeight="1" x14ac:dyDescent="0.3">
      <c r="A1031" s="8"/>
      <c r="B1031" s="157"/>
      <c r="C1031" s="158"/>
      <c r="D1031" s="161" t="s">
        <v>39</v>
      </c>
      <c r="E1031" s="162"/>
      <c r="F1031" s="163" t="s">
        <v>40</v>
      </c>
      <c r="G1031" s="164"/>
      <c r="H1031" s="165"/>
      <c r="I1031" s="164"/>
      <c r="J1031" s="165"/>
      <c r="K1031" s="164"/>
      <c r="L1031" s="165"/>
      <c r="M1031" s="6"/>
      <c r="N1031" s="32"/>
      <c r="Q1031" s="10" t="str">
        <f>+CONCATENATE(E1031,G1031)</f>
        <v/>
      </c>
      <c r="R1031" s="10">
        <f>+H1031</f>
        <v>0</v>
      </c>
      <c r="S1031" s="11"/>
      <c r="T1031" s="10">
        <f>+E1031</f>
        <v>0</v>
      </c>
      <c r="U1031" s="19" t="str">
        <f t="shared" ref="U1031" si="559">IFERROR(LEFT(G1031,FIND("*",G1031)-1),"-")</f>
        <v>-</v>
      </c>
      <c r="V1031" s="19" t="str">
        <f t="shared" ref="V1031" si="560">IFERROR(RIGHT(G1031,LEN(G1031)-FIND("*",G1031)),"-")</f>
        <v>-</v>
      </c>
      <c r="W1031" s="20" t="str">
        <f t="shared" si="556"/>
        <v>-</v>
      </c>
      <c r="X1031" s="20" t="str">
        <f>IFERROR(W1031*H1031,"-")</f>
        <v>-</v>
      </c>
      <c r="Z1031" s="33">
        <v>45181</v>
      </c>
    </row>
    <row r="1032" spans="1:26" ht="6.95" customHeight="1" x14ac:dyDescent="0.3">
      <c r="A1032" s="5"/>
      <c r="B1032" s="157"/>
      <c r="C1032" s="158"/>
      <c r="D1032" s="161"/>
      <c r="E1032" s="162"/>
      <c r="F1032" s="163"/>
      <c r="G1032" s="164"/>
      <c r="H1032" s="165"/>
      <c r="I1032" s="164"/>
      <c r="J1032" s="165"/>
      <c r="K1032" s="164"/>
      <c r="L1032" s="165"/>
      <c r="M1032" s="6"/>
      <c r="N1032" s="32"/>
      <c r="Q1032" s="10" t="str">
        <f>+CONCATENATE(E1031,I1031)</f>
        <v/>
      </c>
      <c r="R1032" s="10">
        <f>+J1031</f>
        <v>0</v>
      </c>
      <c r="S1032" s="11"/>
      <c r="T1032" s="10">
        <f>+E1031</f>
        <v>0</v>
      </c>
      <c r="U1032" s="19" t="str">
        <f>IFERROR(LEFT(I1031,FIND("*",I1031)-1),"-")</f>
        <v>-</v>
      </c>
      <c r="V1032" s="19" t="str">
        <f>IFERROR(RIGHT(I1031,LEN(I1031)-FIND("*",I1031)),"-")</f>
        <v>-</v>
      </c>
      <c r="W1032" s="20" t="str">
        <f t="shared" si="556"/>
        <v>-</v>
      </c>
      <c r="X1032" s="20" t="str">
        <f t="shared" ref="X1032" si="561">IFERROR(W1032*J1031,"-")</f>
        <v>-</v>
      </c>
      <c r="Z1032" s="33">
        <v>45181</v>
      </c>
    </row>
    <row r="1033" spans="1:26" ht="6.95" customHeight="1" x14ac:dyDescent="0.3">
      <c r="A1033" s="5"/>
      <c r="B1033" s="157"/>
      <c r="C1033" s="158"/>
      <c r="D1033" s="161"/>
      <c r="E1033" s="162"/>
      <c r="F1033" s="163"/>
      <c r="G1033" s="164"/>
      <c r="H1033" s="165"/>
      <c r="I1033" s="164"/>
      <c r="J1033" s="165"/>
      <c r="K1033" s="164"/>
      <c r="L1033" s="165"/>
      <c r="M1033" s="6"/>
      <c r="N1033" s="32"/>
      <c r="Q1033" s="10" t="str">
        <f>+CONCATENATE(E1031,K1031)</f>
        <v/>
      </c>
      <c r="R1033" s="10">
        <f>+L1031</f>
        <v>0</v>
      </c>
      <c r="S1033" s="11"/>
      <c r="T1033" s="10">
        <f>+E1031</f>
        <v>0</v>
      </c>
      <c r="U1033" s="19" t="str">
        <f>IFERROR(LEFT(K1031,FIND("*",K1031)-1),"-")</f>
        <v>-</v>
      </c>
      <c r="V1033" s="19" t="str">
        <f>IFERROR(RIGHT(K1031,LEN(K1031)-FIND("*",K1031)),"-")</f>
        <v>-</v>
      </c>
      <c r="W1033" s="20" t="str">
        <f t="shared" si="556"/>
        <v>-</v>
      </c>
      <c r="X1033" s="20" t="str">
        <f>IFERROR(W1033*L1031,"-")</f>
        <v>-</v>
      </c>
      <c r="Z1033" s="33">
        <v>45181</v>
      </c>
    </row>
    <row r="1034" spans="1:26" ht="21" customHeight="1" thickBot="1" x14ac:dyDescent="0.35">
      <c r="A1034" s="5"/>
      <c r="B1034" s="159"/>
      <c r="C1034" s="160"/>
      <c r="D1034" s="166" t="s">
        <v>43</v>
      </c>
      <c r="E1034" s="167"/>
      <c r="F1034" s="167"/>
      <c r="G1034" s="168" t="s">
        <v>221</v>
      </c>
      <c r="H1034" s="168"/>
      <c r="I1034" s="168"/>
      <c r="J1034" s="168"/>
      <c r="K1034" s="168"/>
      <c r="L1034" s="168"/>
      <c r="M1034" s="7"/>
      <c r="N1034" s="33">
        <v>45181</v>
      </c>
      <c r="Z1034" s="33">
        <v>45181</v>
      </c>
    </row>
    <row r="1035" spans="1:26" ht="9.9499999999999993" customHeight="1" thickBot="1" x14ac:dyDescent="0.35">
      <c r="B1035" s="9"/>
      <c r="C1035" s="109">
        <v>894</v>
      </c>
      <c r="D1035" s="51"/>
      <c r="E1035" s="12"/>
      <c r="F1035" s="51"/>
      <c r="G1035" s="14"/>
      <c r="H1035" s="14"/>
      <c r="I1035" s="14"/>
      <c r="J1035" s="14"/>
      <c r="K1035" s="14"/>
      <c r="L1035" s="14"/>
      <c r="M1035" s="9"/>
      <c r="N1035" s="32"/>
      <c r="U1035" s="18"/>
      <c r="V1035" s="18"/>
      <c r="Z1035" s="33">
        <v>45183</v>
      </c>
    </row>
    <row r="1036" spans="1:26" ht="6.95" customHeight="1" x14ac:dyDescent="0.3">
      <c r="A1036" s="154">
        <f>+A1025+1</f>
        <v>895</v>
      </c>
      <c r="B1036" s="155"/>
      <c r="C1036" s="156"/>
      <c r="D1036" s="161" t="s">
        <v>39</v>
      </c>
      <c r="E1036" s="162" t="s">
        <v>266</v>
      </c>
      <c r="F1036" s="163" t="s">
        <v>40</v>
      </c>
      <c r="G1036" s="164">
        <v>100</v>
      </c>
      <c r="H1036" s="165">
        <v>2</v>
      </c>
      <c r="I1036" s="164">
        <v>50</v>
      </c>
      <c r="J1036" s="165">
        <v>1</v>
      </c>
      <c r="K1036" s="164"/>
      <c r="L1036" s="165"/>
      <c r="M1036" s="6"/>
      <c r="N1036" s="32"/>
      <c r="Q1036" s="10" t="str">
        <f>+CONCATENATE(E1036,G1036)</f>
        <v>금속관벽체100</v>
      </c>
      <c r="R1036" s="10">
        <f>+H1036</f>
        <v>2</v>
      </c>
      <c r="S1036" s="11"/>
      <c r="T1036" s="10" t="str">
        <f>+E1036</f>
        <v>금속관벽체</v>
      </c>
      <c r="U1036" s="19" t="str">
        <f>IFERROR(LEFT(G1036,FIND("*",G1036)-1),"-")</f>
        <v>-</v>
      </c>
      <c r="V1036" s="19" t="str">
        <f>IFERROR(RIGHT(G1036,LEN(G1036)-FIND("*",G1036)),"-")</f>
        <v>-</v>
      </c>
      <c r="W1036" s="20" t="str">
        <f>IFERROR((U1036+V1036)*2/1000,"-")</f>
        <v>-</v>
      </c>
      <c r="X1036" s="20" t="str">
        <f>IFERROR(W1036*H1036,"-")</f>
        <v>-</v>
      </c>
      <c r="Z1036" s="33">
        <v>45183</v>
      </c>
    </row>
    <row r="1037" spans="1:26" ht="6.95" customHeight="1" x14ac:dyDescent="0.3">
      <c r="A1037" s="154"/>
      <c r="B1037" s="157"/>
      <c r="C1037" s="158"/>
      <c r="D1037" s="161"/>
      <c r="E1037" s="162"/>
      <c r="F1037" s="163"/>
      <c r="G1037" s="164"/>
      <c r="H1037" s="165"/>
      <c r="I1037" s="164"/>
      <c r="J1037" s="165"/>
      <c r="K1037" s="164"/>
      <c r="L1037" s="165"/>
      <c r="M1037" s="6"/>
      <c r="N1037" s="32"/>
      <c r="Q1037" s="10" t="str">
        <f>+CONCATENATE(E1036,I1036)</f>
        <v>금속관벽체50</v>
      </c>
      <c r="R1037" s="10">
        <f>+J1036</f>
        <v>1</v>
      </c>
      <c r="S1037" s="11"/>
      <c r="T1037" s="10" t="str">
        <f>+E1036</f>
        <v>금속관벽체</v>
      </c>
      <c r="U1037" s="19" t="str">
        <f>IFERROR(LEFT(I1036,FIND("*",I1036)-1),"-")</f>
        <v>-</v>
      </c>
      <c r="V1037" s="19" t="str">
        <f>IFERROR(RIGHT(I1036,LEN(I1036)-FIND("*",I1036)),"-")</f>
        <v>-</v>
      </c>
      <c r="W1037" s="20" t="str">
        <f t="shared" ref="W1037:W1044" si="562">IFERROR((U1037+V1037)*2/1000,"-")</f>
        <v>-</v>
      </c>
      <c r="X1037" s="20" t="str">
        <f>IFERROR(W1037*J1036,"-")</f>
        <v>-</v>
      </c>
      <c r="Z1037" s="33">
        <v>45183</v>
      </c>
    </row>
    <row r="1038" spans="1:26" ht="6.95" customHeight="1" x14ac:dyDescent="0.3">
      <c r="A1038" s="154"/>
      <c r="B1038" s="157"/>
      <c r="C1038" s="158"/>
      <c r="D1038" s="161"/>
      <c r="E1038" s="162"/>
      <c r="F1038" s="163"/>
      <c r="G1038" s="164"/>
      <c r="H1038" s="165"/>
      <c r="I1038" s="164"/>
      <c r="J1038" s="165"/>
      <c r="K1038" s="164"/>
      <c r="L1038" s="165"/>
      <c r="M1038" s="6"/>
      <c r="N1038" s="32"/>
      <c r="Q1038" s="10" t="str">
        <f>+CONCATENATE(E1036,K1036)</f>
        <v>금속관벽체</v>
      </c>
      <c r="R1038" s="10">
        <f>+L1036</f>
        <v>0</v>
      </c>
      <c r="S1038" s="11"/>
      <c r="T1038" s="10" t="str">
        <f>+E1036</f>
        <v>금속관벽체</v>
      </c>
      <c r="U1038" s="19" t="str">
        <f>IFERROR(LEFT(K1036,FIND("*",K1036)-1),"-")</f>
        <v>-</v>
      </c>
      <c r="V1038" s="19" t="str">
        <f>IFERROR(RIGHT(K1036,LEN(K1036)-FIND("*",K1036)),"-")</f>
        <v>-</v>
      </c>
      <c r="W1038" s="20" t="str">
        <f t="shared" si="562"/>
        <v>-</v>
      </c>
      <c r="X1038" s="20" t="str">
        <f>IFERROR(W1038*L1036,"-")</f>
        <v>-</v>
      </c>
      <c r="Z1038" s="33">
        <v>45183</v>
      </c>
    </row>
    <row r="1039" spans="1:26" ht="6.95" customHeight="1" x14ac:dyDescent="0.3">
      <c r="A1039" s="8"/>
      <c r="B1039" s="157"/>
      <c r="C1039" s="158"/>
      <c r="D1039" s="161" t="s">
        <v>39</v>
      </c>
      <c r="E1039" s="162" t="s">
        <v>267</v>
      </c>
      <c r="F1039" s="163" t="s">
        <v>40</v>
      </c>
      <c r="G1039" s="164" t="s">
        <v>268</v>
      </c>
      <c r="H1039" s="165">
        <v>1</v>
      </c>
      <c r="I1039" s="164"/>
      <c r="J1039" s="165"/>
      <c r="K1039" s="164"/>
      <c r="L1039" s="165"/>
      <c r="M1039" s="6"/>
      <c r="N1039" s="32"/>
      <c r="Q1039" s="10" t="str">
        <f>+CONCATENATE(E1039,G1039)</f>
        <v>오픈구600*200</v>
      </c>
      <c r="R1039" s="10">
        <f>+H1039</f>
        <v>1</v>
      </c>
      <c r="S1039" s="11"/>
      <c r="T1039" s="10" t="str">
        <f>+E1039</f>
        <v>오픈구</v>
      </c>
      <c r="U1039" s="19" t="str">
        <f t="shared" ref="U1039" si="563">IFERROR(LEFT(G1039,FIND("*",G1039)-1),"-")</f>
        <v>600</v>
      </c>
      <c r="V1039" s="19" t="str">
        <f t="shared" ref="V1039" si="564">IFERROR(RIGHT(G1039,LEN(G1039)-FIND("*",G1039)),"-")</f>
        <v>200</v>
      </c>
      <c r="W1039" s="20">
        <f t="shared" si="562"/>
        <v>1.6</v>
      </c>
      <c r="X1039" s="20">
        <f>IFERROR(W1039*H1039,"-")</f>
        <v>1.6</v>
      </c>
      <c r="Z1039" s="33">
        <v>45183</v>
      </c>
    </row>
    <row r="1040" spans="1:26" ht="6.95" customHeight="1" x14ac:dyDescent="0.3">
      <c r="A1040" s="5"/>
      <c r="B1040" s="157"/>
      <c r="C1040" s="158"/>
      <c r="D1040" s="161"/>
      <c r="E1040" s="162"/>
      <c r="F1040" s="163"/>
      <c r="G1040" s="164"/>
      <c r="H1040" s="165"/>
      <c r="I1040" s="164"/>
      <c r="J1040" s="165"/>
      <c r="K1040" s="164"/>
      <c r="L1040" s="165"/>
      <c r="M1040" s="6"/>
      <c r="N1040" s="32"/>
      <c r="Q1040" s="10" t="str">
        <f>+CONCATENATE(E1039,I1039)</f>
        <v>오픈구</v>
      </c>
      <c r="R1040" s="10">
        <f>+J1039</f>
        <v>0</v>
      </c>
      <c r="S1040" s="11"/>
      <c r="T1040" s="10" t="str">
        <f>+E1039</f>
        <v>오픈구</v>
      </c>
      <c r="U1040" s="19" t="str">
        <f>IFERROR(LEFT(I1039,FIND("*",I1039)-1),"-")</f>
        <v>-</v>
      </c>
      <c r="V1040" s="19" t="str">
        <f>IFERROR(RIGHT(I1039,LEN(I1039)-FIND("*",I1039)),"-")</f>
        <v>-</v>
      </c>
      <c r="W1040" s="20" t="str">
        <f t="shared" si="562"/>
        <v>-</v>
      </c>
      <c r="X1040" s="20" t="str">
        <f>IFERROR(W1040*J1039,"-")</f>
        <v>-</v>
      </c>
      <c r="Z1040" s="33">
        <v>45183</v>
      </c>
    </row>
    <row r="1041" spans="1:26" ht="6.95" customHeight="1" x14ac:dyDescent="0.3">
      <c r="A1041" s="5"/>
      <c r="B1041" s="157"/>
      <c r="C1041" s="158"/>
      <c r="D1041" s="161"/>
      <c r="E1041" s="162"/>
      <c r="F1041" s="163"/>
      <c r="G1041" s="164"/>
      <c r="H1041" s="165"/>
      <c r="I1041" s="164"/>
      <c r="J1041" s="165"/>
      <c r="K1041" s="164"/>
      <c r="L1041" s="165"/>
      <c r="M1041" s="6"/>
      <c r="N1041" s="32"/>
      <c r="Q1041" s="10" t="str">
        <f>+CONCATENATE(E1039,K1039)</f>
        <v>오픈구</v>
      </c>
      <c r="R1041" s="10">
        <f>+L1039</f>
        <v>0</v>
      </c>
      <c r="S1041" s="11"/>
      <c r="T1041" s="10" t="str">
        <f>+E1039</f>
        <v>오픈구</v>
      </c>
      <c r="U1041" s="19" t="str">
        <f>IFERROR(LEFT(K1039,FIND("*",K1039)-1),"-")</f>
        <v>-</v>
      </c>
      <c r="V1041" s="19" t="str">
        <f>IFERROR(RIGHT(K1039,LEN(K1039)-FIND("*",K1039)),"-")</f>
        <v>-</v>
      </c>
      <c r="W1041" s="20" t="str">
        <f t="shared" si="562"/>
        <v>-</v>
      </c>
      <c r="X1041" s="20" t="str">
        <f>IFERROR(W1041*L1039,"-")</f>
        <v>-</v>
      </c>
      <c r="Z1041" s="33">
        <v>45183</v>
      </c>
    </row>
    <row r="1042" spans="1:26" ht="6.95" customHeight="1" x14ac:dyDescent="0.3">
      <c r="A1042" s="8"/>
      <c r="B1042" s="157"/>
      <c r="C1042" s="158"/>
      <c r="D1042" s="161" t="s">
        <v>39</v>
      </c>
      <c r="E1042" s="162"/>
      <c r="F1042" s="163" t="s">
        <v>40</v>
      </c>
      <c r="G1042" s="164"/>
      <c r="H1042" s="165"/>
      <c r="I1042" s="164"/>
      <c r="J1042" s="165"/>
      <c r="K1042" s="164"/>
      <c r="L1042" s="165"/>
      <c r="M1042" s="6"/>
      <c r="N1042" s="32"/>
      <c r="Q1042" s="10" t="str">
        <f>+CONCATENATE(E1042,G1042)</f>
        <v/>
      </c>
      <c r="R1042" s="10">
        <f>+H1042</f>
        <v>0</v>
      </c>
      <c r="S1042" s="11"/>
      <c r="T1042" s="10">
        <f>+E1042</f>
        <v>0</v>
      </c>
      <c r="U1042" s="19" t="str">
        <f t="shared" ref="U1042" si="565">IFERROR(LEFT(G1042,FIND("*",G1042)-1),"-")</f>
        <v>-</v>
      </c>
      <c r="V1042" s="19" t="str">
        <f t="shared" ref="V1042" si="566">IFERROR(RIGHT(G1042,LEN(G1042)-FIND("*",G1042)),"-")</f>
        <v>-</v>
      </c>
      <c r="W1042" s="20" t="str">
        <f t="shared" si="562"/>
        <v>-</v>
      </c>
      <c r="X1042" s="20" t="str">
        <f>IFERROR(W1042*H1042,"-")</f>
        <v>-</v>
      </c>
      <c r="Z1042" s="33">
        <v>45183</v>
      </c>
    </row>
    <row r="1043" spans="1:26" ht="6.95" customHeight="1" x14ac:dyDescent="0.3">
      <c r="A1043" s="5"/>
      <c r="B1043" s="157"/>
      <c r="C1043" s="158"/>
      <c r="D1043" s="161"/>
      <c r="E1043" s="162"/>
      <c r="F1043" s="163"/>
      <c r="G1043" s="164"/>
      <c r="H1043" s="165"/>
      <c r="I1043" s="164"/>
      <c r="J1043" s="165"/>
      <c r="K1043" s="164"/>
      <c r="L1043" s="165"/>
      <c r="M1043" s="6"/>
      <c r="N1043" s="32"/>
      <c r="Q1043" s="10" t="str">
        <f>+CONCATENATE(E1042,I1042)</f>
        <v/>
      </c>
      <c r="R1043" s="10">
        <f>+J1042</f>
        <v>0</v>
      </c>
      <c r="S1043" s="11"/>
      <c r="T1043" s="10">
        <f>+E1042</f>
        <v>0</v>
      </c>
      <c r="U1043" s="19" t="str">
        <f>IFERROR(LEFT(I1042,FIND("*",I1042)-1),"-")</f>
        <v>-</v>
      </c>
      <c r="V1043" s="19" t="str">
        <f>IFERROR(RIGHT(I1042,LEN(I1042)-FIND("*",I1042)),"-")</f>
        <v>-</v>
      </c>
      <c r="W1043" s="20" t="str">
        <f t="shared" si="562"/>
        <v>-</v>
      </c>
      <c r="X1043" s="20" t="str">
        <f t="shared" ref="X1043" si="567">IFERROR(W1043*J1042,"-")</f>
        <v>-</v>
      </c>
      <c r="Z1043" s="33">
        <v>45183</v>
      </c>
    </row>
    <row r="1044" spans="1:26" ht="6.95" customHeight="1" x14ac:dyDescent="0.3">
      <c r="A1044" s="5"/>
      <c r="B1044" s="157"/>
      <c r="C1044" s="158"/>
      <c r="D1044" s="161"/>
      <c r="E1044" s="162"/>
      <c r="F1044" s="163"/>
      <c r="G1044" s="164"/>
      <c r="H1044" s="165"/>
      <c r="I1044" s="164"/>
      <c r="J1044" s="165"/>
      <c r="K1044" s="164"/>
      <c r="L1044" s="165"/>
      <c r="M1044" s="6"/>
      <c r="N1044" s="32"/>
      <c r="Q1044" s="10" t="str">
        <f>+CONCATENATE(E1042,K1042)</f>
        <v/>
      </c>
      <c r="R1044" s="10">
        <f>+L1042</f>
        <v>0</v>
      </c>
      <c r="S1044" s="11"/>
      <c r="T1044" s="10">
        <f>+E1042</f>
        <v>0</v>
      </c>
      <c r="U1044" s="19" t="str">
        <f>IFERROR(LEFT(K1042,FIND("*",K1042)-1),"-")</f>
        <v>-</v>
      </c>
      <c r="V1044" s="19" t="str">
        <f>IFERROR(RIGHT(K1042,LEN(K1042)-FIND("*",K1042)),"-")</f>
        <v>-</v>
      </c>
      <c r="W1044" s="20" t="str">
        <f t="shared" si="562"/>
        <v>-</v>
      </c>
      <c r="X1044" s="20" t="str">
        <f>IFERROR(W1044*L1042,"-")</f>
        <v>-</v>
      </c>
      <c r="Z1044" s="33">
        <v>45183</v>
      </c>
    </row>
    <row r="1045" spans="1:26" ht="21" customHeight="1" thickBot="1" x14ac:dyDescent="0.35">
      <c r="A1045" s="5"/>
      <c r="B1045" s="159"/>
      <c r="C1045" s="160"/>
      <c r="D1045" s="166" t="s">
        <v>43</v>
      </c>
      <c r="E1045" s="167"/>
      <c r="F1045" s="167"/>
      <c r="G1045" s="168" t="s">
        <v>265</v>
      </c>
      <c r="H1045" s="168"/>
      <c r="I1045" s="168"/>
      <c r="J1045" s="168"/>
      <c r="K1045" s="168"/>
      <c r="L1045" s="168"/>
      <c r="M1045" s="7"/>
      <c r="N1045" s="33">
        <v>45183</v>
      </c>
      <c r="Z1045" s="33">
        <v>45183</v>
      </c>
    </row>
    <row r="1046" spans="1:26" ht="9.9499999999999993" customHeight="1" thickBot="1" x14ac:dyDescent="0.35">
      <c r="B1046" s="9"/>
      <c r="C1046" s="109">
        <v>895</v>
      </c>
      <c r="D1046" s="51"/>
      <c r="E1046" s="12"/>
      <c r="F1046" s="51"/>
      <c r="G1046" s="14"/>
      <c r="H1046" s="14"/>
      <c r="I1046" s="14"/>
      <c r="J1046" s="14"/>
      <c r="K1046" s="14"/>
      <c r="L1046" s="14"/>
      <c r="M1046" s="9"/>
      <c r="N1046" s="32"/>
      <c r="U1046" s="18"/>
      <c r="V1046" s="18"/>
      <c r="Z1046" s="33">
        <v>45185</v>
      </c>
    </row>
    <row r="1047" spans="1:26" ht="6.95" customHeight="1" x14ac:dyDescent="0.3">
      <c r="A1047" s="154">
        <f>+A1036+1</f>
        <v>896</v>
      </c>
      <c r="B1047" s="155"/>
      <c r="C1047" s="156"/>
      <c r="D1047" s="161" t="s">
        <v>39</v>
      </c>
      <c r="E1047" s="162" t="s">
        <v>270</v>
      </c>
      <c r="F1047" s="163" t="s">
        <v>40</v>
      </c>
      <c r="G1047" s="164" t="s">
        <v>268</v>
      </c>
      <c r="H1047" s="165">
        <v>1</v>
      </c>
      <c r="I1047" s="164" t="s">
        <v>268</v>
      </c>
      <c r="J1047" s="165">
        <v>1</v>
      </c>
      <c r="K1047" s="164"/>
      <c r="L1047" s="165"/>
      <c r="M1047" s="6"/>
      <c r="N1047" s="32"/>
      <c r="Q1047" s="10" t="str">
        <f>+CONCATENATE(E1047,G1047)</f>
        <v>무보온덕트벽체600*200</v>
      </c>
      <c r="R1047" s="10">
        <f>+H1047</f>
        <v>1</v>
      </c>
      <c r="S1047" s="11"/>
      <c r="T1047" s="10" t="str">
        <f>+E1047</f>
        <v>무보온덕트벽체</v>
      </c>
      <c r="U1047" s="19" t="str">
        <f>IFERROR(LEFT(G1047,FIND("*",G1047)-1),"-")</f>
        <v>600</v>
      </c>
      <c r="V1047" s="19" t="str">
        <f>IFERROR(RIGHT(G1047,LEN(G1047)-FIND("*",G1047)),"-")</f>
        <v>200</v>
      </c>
      <c r="W1047" s="20">
        <f>IFERROR((U1047+V1047)*2/1000,"-")</f>
        <v>1.6</v>
      </c>
      <c r="X1047" s="20">
        <f>IFERROR(W1047*H1047,"-")</f>
        <v>1.6</v>
      </c>
      <c r="Z1047" s="33">
        <v>45185</v>
      </c>
    </row>
    <row r="1048" spans="1:26" ht="6.95" customHeight="1" x14ac:dyDescent="0.3">
      <c r="A1048" s="154"/>
      <c r="B1048" s="157"/>
      <c r="C1048" s="158"/>
      <c r="D1048" s="161"/>
      <c r="E1048" s="162"/>
      <c r="F1048" s="163"/>
      <c r="G1048" s="164"/>
      <c r="H1048" s="165"/>
      <c r="I1048" s="164"/>
      <c r="J1048" s="165"/>
      <c r="K1048" s="164"/>
      <c r="L1048" s="165"/>
      <c r="M1048" s="6"/>
      <c r="N1048" s="32"/>
      <c r="Q1048" s="10" t="str">
        <f>+CONCATENATE(E1047,I1047)</f>
        <v>무보온덕트벽체600*200</v>
      </c>
      <c r="R1048" s="10">
        <f>+J1047</f>
        <v>1</v>
      </c>
      <c r="S1048" s="11"/>
      <c r="T1048" s="10" t="str">
        <f>+E1047</f>
        <v>무보온덕트벽체</v>
      </c>
      <c r="U1048" s="19" t="str">
        <f>IFERROR(LEFT(I1047,FIND("*",I1047)-1),"-")</f>
        <v>600</v>
      </c>
      <c r="V1048" s="19" t="str">
        <f>IFERROR(RIGHT(I1047,LEN(I1047)-FIND("*",I1047)),"-")</f>
        <v>200</v>
      </c>
      <c r="W1048" s="20">
        <f t="shared" ref="W1048:W1055" si="568">IFERROR((U1048+V1048)*2/1000,"-")</f>
        <v>1.6</v>
      </c>
      <c r="X1048" s="20">
        <f>IFERROR(W1048*J1047,"-")</f>
        <v>1.6</v>
      </c>
      <c r="Z1048" s="33">
        <v>45185</v>
      </c>
    </row>
    <row r="1049" spans="1:26" ht="6.95" customHeight="1" x14ac:dyDescent="0.3">
      <c r="A1049" s="154"/>
      <c r="B1049" s="157"/>
      <c r="C1049" s="158"/>
      <c r="D1049" s="161"/>
      <c r="E1049" s="162"/>
      <c r="F1049" s="163"/>
      <c r="G1049" s="164"/>
      <c r="H1049" s="165"/>
      <c r="I1049" s="164"/>
      <c r="J1049" s="165"/>
      <c r="K1049" s="164"/>
      <c r="L1049" s="165"/>
      <c r="M1049" s="6"/>
      <c r="N1049" s="32"/>
      <c r="Q1049" s="10" t="str">
        <f>+CONCATENATE(E1047,K1047)</f>
        <v>무보온덕트벽체</v>
      </c>
      <c r="R1049" s="10">
        <f>+L1047</f>
        <v>0</v>
      </c>
      <c r="S1049" s="11"/>
      <c r="T1049" s="10" t="str">
        <f>+E1047</f>
        <v>무보온덕트벽체</v>
      </c>
      <c r="U1049" s="19" t="str">
        <f>IFERROR(LEFT(K1047,FIND("*",K1047)-1),"-")</f>
        <v>-</v>
      </c>
      <c r="V1049" s="19" t="str">
        <f>IFERROR(RIGHT(K1047,LEN(K1047)-FIND("*",K1047)),"-")</f>
        <v>-</v>
      </c>
      <c r="W1049" s="20" t="str">
        <f t="shared" si="568"/>
        <v>-</v>
      </c>
      <c r="X1049" s="20" t="str">
        <f>IFERROR(W1049*L1047,"-")</f>
        <v>-</v>
      </c>
      <c r="Z1049" s="33">
        <v>45185</v>
      </c>
    </row>
    <row r="1050" spans="1:26" ht="6.95" customHeight="1" x14ac:dyDescent="0.3">
      <c r="A1050" s="8"/>
      <c r="B1050" s="157"/>
      <c r="C1050" s="158"/>
      <c r="D1050" s="161" t="s">
        <v>39</v>
      </c>
      <c r="E1050" s="162" t="s">
        <v>66</v>
      </c>
      <c r="F1050" s="163" t="s">
        <v>40</v>
      </c>
      <c r="G1050" s="164" t="s">
        <v>268</v>
      </c>
      <c r="H1050" s="165">
        <v>1</v>
      </c>
      <c r="I1050" s="164" t="s">
        <v>268</v>
      </c>
      <c r="J1050" s="165">
        <v>1</v>
      </c>
      <c r="K1050" s="164"/>
      <c r="L1050" s="165"/>
      <c r="M1050" s="6"/>
      <c r="N1050" s="32"/>
      <c r="Q1050" s="10" t="str">
        <f>+CONCATENATE(E1050,G1050)</f>
        <v>차열재마감600*200</v>
      </c>
      <c r="R1050" s="10">
        <f>+H1050</f>
        <v>1</v>
      </c>
      <c r="S1050" s="11"/>
      <c r="T1050" s="10" t="str">
        <f>+E1050</f>
        <v>차열재마감</v>
      </c>
      <c r="U1050" s="19" t="str">
        <f t="shared" ref="U1050" si="569">IFERROR(LEFT(G1050,FIND("*",G1050)-1),"-")</f>
        <v>600</v>
      </c>
      <c r="V1050" s="19" t="str">
        <f t="shared" ref="V1050" si="570">IFERROR(RIGHT(G1050,LEN(G1050)-FIND("*",G1050)),"-")</f>
        <v>200</v>
      </c>
      <c r="W1050" s="20">
        <f t="shared" si="568"/>
        <v>1.6</v>
      </c>
      <c r="X1050" s="20">
        <f>IFERROR(W1050*H1050,"-")</f>
        <v>1.6</v>
      </c>
      <c r="Z1050" s="33">
        <v>45185</v>
      </c>
    </row>
    <row r="1051" spans="1:26" ht="6.95" customHeight="1" x14ac:dyDescent="0.3">
      <c r="A1051" s="5"/>
      <c r="B1051" s="157"/>
      <c r="C1051" s="158"/>
      <c r="D1051" s="161"/>
      <c r="E1051" s="162"/>
      <c r="F1051" s="163"/>
      <c r="G1051" s="164"/>
      <c r="H1051" s="165"/>
      <c r="I1051" s="164"/>
      <c r="J1051" s="165"/>
      <c r="K1051" s="164"/>
      <c r="L1051" s="165"/>
      <c r="M1051" s="6"/>
      <c r="N1051" s="32"/>
      <c r="Q1051" s="10" t="str">
        <f>+CONCATENATE(E1050,I1050)</f>
        <v>차열재마감600*200</v>
      </c>
      <c r="R1051" s="10">
        <f>+J1050</f>
        <v>1</v>
      </c>
      <c r="S1051" s="11"/>
      <c r="T1051" s="10" t="str">
        <f>+E1050</f>
        <v>차열재마감</v>
      </c>
      <c r="U1051" s="19" t="str">
        <f>IFERROR(LEFT(I1050,FIND("*",I1050)-1),"-")</f>
        <v>600</v>
      </c>
      <c r="V1051" s="19" t="str">
        <f>IFERROR(RIGHT(I1050,LEN(I1050)-FIND("*",I1050)),"-")</f>
        <v>200</v>
      </c>
      <c r="W1051" s="20">
        <f t="shared" si="568"/>
        <v>1.6</v>
      </c>
      <c r="X1051" s="20">
        <f>IFERROR(W1051*J1050,"-")</f>
        <v>1.6</v>
      </c>
      <c r="Z1051" s="33">
        <v>45185</v>
      </c>
    </row>
    <row r="1052" spans="1:26" ht="6.95" customHeight="1" x14ac:dyDescent="0.3">
      <c r="A1052" s="5"/>
      <c r="B1052" s="157"/>
      <c r="C1052" s="158"/>
      <c r="D1052" s="161"/>
      <c r="E1052" s="162"/>
      <c r="F1052" s="163"/>
      <c r="G1052" s="164"/>
      <c r="H1052" s="165"/>
      <c r="I1052" s="164"/>
      <c r="J1052" s="165"/>
      <c r="K1052" s="164"/>
      <c r="L1052" s="165"/>
      <c r="M1052" s="6"/>
      <c r="N1052" s="32"/>
      <c r="Q1052" s="10" t="str">
        <f>+CONCATENATE(E1050,K1050)</f>
        <v>차열재마감</v>
      </c>
      <c r="R1052" s="10">
        <f>+L1050</f>
        <v>0</v>
      </c>
      <c r="S1052" s="11"/>
      <c r="T1052" s="10" t="str">
        <f>+E1050</f>
        <v>차열재마감</v>
      </c>
      <c r="U1052" s="19" t="str">
        <f>IFERROR(LEFT(K1050,FIND("*",K1050)-1),"-")</f>
        <v>-</v>
      </c>
      <c r="V1052" s="19" t="str">
        <f>IFERROR(RIGHT(K1050,LEN(K1050)-FIND("*",K1050)),"-")</f>
        <v>-</v>
      </c>
      <c r="W1052" s="20" t="str">
        <f t="shared" si="568"/>
        <v>-</v>
      </c>
      <c r="X1052" s="20" t="str">
        <f>IFERROR(W1052*L1050,"-")</f>
        <v>-</v>
      </c>
      <c r="Z1052" s="33">
        <v>45185</v>
      </c>
    </row>
    <row r="1053" spans="1:26" ht="6.95" customHeight="1" x14ac:dyDescent="0.3">
      <c r="A1053" s="8"/>
      <c r="B1053" s="157"/>
      <c r="C1053" s="158"/>
      <c r="D1053" s="161" t="s">
        <v>39</v>
      </c>
      <c r="E1053" s="162" t="s">
        <v>266</v>
      </c>
      <c r="F1053" s="163" t="s">
        <v>40</v>
      </c>
      <c r="G1053" s="164">
        <v>50</v>
      </c>
      <c r="H1053" s="165">
        <v>2</v>
      </c>
      <c r="I1053" s="164"/>
      <c r="J1053" s="165"/>
      <c r="K1053" s="164"/>
      <c r="L1053" s="165"/>
      <c r="M1053" s="6"/>
      <c r="N1053" s="32"/>
      <c r="Q1053" s="10" t="str">
        <f>+CONCATENATE(E1053,G1053)</f>
        <v>금속관벽체50</v>
      </c>
      <c r="R1053" s="10">
        <f>+H1053</f>
        <v>2</v>
      </c>
      <c r="S1053" s="11"/>
      <c r="T1053" s="10" t="str">
        <f>+E1053</f>
        <v>금속관벽체</v>
      </c>
      <c r="U1053" s="19" t="str">
        <f t="shared" ref="U1053" si="571">IFERROR(LEFT(G1053,FIND("*",G1053)-1),"-")</f>
        <v>-</v>
      </c>
      <c r="V1053" s="19" t="str">
        <f t="shared" ref="V1053" si="572">IFERROR(RIGHT(G1053,LEN(G1053)-FIND("*",G1053)),"-")</f>
        <v>-</v>
      </c>
      <c r="W1053" s="20" t="str">
        <f t="shared" si="568"/>
        <v>-</v>
      </c>
      <c r="X1053" s="20" t="str">
        <f>IFERROR(W1053*H1053,"-")</f>
        <v>-</v>
      </c>
      <c r="Z1053" s="33">
        <v>45185</v>
      </c>
    </row>
    <row r="1054" spans="1:26" ht="6.95" customHeight="1" x14ac:dyDescent="0.3">
      <c r="A1054" s="5"/>
      <c r="B1054" s="157"/>
      <c r="C1054" s="158"/>
      <c r="D1054" s="161"/>
      <c r="E1054" s="162"/>
      <c r="F1054" s="163"/>
      <c r="G1054" s="164"/>
      <c r="H1054" s="165"/>
      <c r="I1054" s="164"/>
      <c r="J1054" s="165"/>
      <c r="K1054" s="164"/>
      <c r="L1054" s="165"/>
      <c r="M1054" s="6"/>
      <c r="N1054" s="32"/>
      <c r="Q1054" s="10" t="str">
        <f>+CONCATENATE(E1053,I1053)</f>
        <v>금속관벽체</v>
      </c>
      <c r="R1054" s="10">
        <f>+J1053</f>
        <v>0</v>
      </c>
      <c r="S1054" s="11"/>
      <c r="T1054" s="10" t="str">
        <f>+E1053</f>
        <v>금속관벽체</v>
      </c>
      <c r="U1054" s="19" t="str">
        <f>IFERROR(LEFT(I1053,FIND("*",I1053)-1),"-")</f>
        <v>-</v>
      </c>
      <c r="V1054" s="19" t="str">
        <f>IFERROR(RIGHT(I1053,LEN(I1053)-FIND("*",I1053)),"-")</f>
        <v>-</v>
      </c>
      <c r="W1054" s="20" t="str">
        <f t="shared" si="568"/>
        <v>-</v>
      </c>
      <c r="X1054" s="20" t="str">
        <f t="shared" ref="X1054" si="573">IFERROR(W1054*J1053,"-")</f>
        <v>-</v>
      </c>
      <c r="Z1054" s="33">
        <v>45185</v>
      </c>
    </row>
    <row r="1055" spans="1:26" ht="6.95" customHeight="1" x14ac:dyDescent="0.3">
      <c r="A1055" s="5"/>
      <c r="B1055" s="157"/>
      <c r="C1055" s="158"/>
      <c r="D1055" s="161"/>
      <c r="E1055" s="162"/>
      <c r="F1055" s="163"/>
      <c r="G1055" s="164"/>
      <c r="H1055" s="165"/>
      <c r="I1055" s="164"/>
      <c r="J1055" s="165"/>
      <c r="K1055" s="164"/>
      <c r="L1055" s="165"/>
      <c r="M1055" s="6"/>
      <c r="N1055" s="32"/>
      <c r="Q1055" s="10" t="str">
        <f>+CONCATENATE(E1053,K1053)</f>
        <v>금속관벽체</v>
      </c>
      <c r="R1055" s="10">
        <f>+L1053</f>
        <v>0</v>
      </c>
      <c r="S1055" s="11"/>
      <c r="T1055" s="10" t="str">
        <f>+E1053</f>
        <v>금속관벽체</v>
      </c>
      <c r="U1055" s="19" t="str">
        <f>IFERROR(LEFT(K1053,FIND("*",K1053)-1),"-")</f>
        <v>-</v>
      </c>
      <c r="V1055" s="19" t="str">
        <f>IFERROR(RIGHT(K1053,LEN(K1053)-FIND("*",K1053)),"-")</f>
        <v>-</v>
      </c>
      <c r="W1055" s="20" t="str">
        <f t="shared" si="568"/>
        <v>-</v>
      </c>
      <c r="X1055" s="20" t="str">
        <f>IFERROR(W1055*L1053,"-")</f>
        <v>-</v>
      </c>
      <c r="Z1055" s="33">
        <v>45185</v>
      </c>
    </row>
    <row r="1056" spans="1:26" ht="21" customHeight="1" thickBot="1" x14ac:dyDescent="0.35">
      <c r="A1056" s="5"/>
      <c r="B1056" s="159"/>
      <c r="C1056" s="160"/>
      <c r="D1056" s="166" t="s">
        <v>43</v>
      </c>
      <c r="E1056" s="167"/>
      <c r="F1056" s="167"/>
      <c r="G1056" s="168"/>
      <c r="H1056" s="168"/>
      <c r="I1056" s="168"/>
      <c r="J1056" s="168"/>
      <c r="K1056" s="168"/>
      <c r="L1056" s="168"/>
      <c r="M1056" s="7"/>
      <c r="N1056" s="32"/>
      <c r="Z1056" s="33">
        <v>45185</v>
      </c>
    </row>
    <row r="1057" spans="1:26" ht="9.9499999999999993" customHeight="1" thickBot="1" x14ac:dyDescent="0.35">
      <c r="B1057" s="9"/>
      <c r="C1057" s="109">
        <v>896</v>
      </c>
      <c r="D1057" s="51"/>
      <c r="E1057" s="12"/>
      <c r="F1057" s="51"/>
      <c r="G1057" s="14"/>
      <c r="H1057" s="14"/>
      <c r="I1057" s="14"/>
      <c r="J1057" s="14"/>
      <c r="K1057" s="14"/>
      <c r="L1057" s="14"/>
      <c r="M1057" s="9"/>
      <c r="N1057" s="32"/>
      <c r="U1057" s="18"/>
      <c r="V1057" s="18"/>
      <c r="Z1057" s="33">
        <v>45185</v>
      </c>
    </row>
    <row r="1058" spans="1:26" ht="6.95" customHeight="1" x14ac:dyDescent="0.3">
      <c r="A1058" s="154">
        <f>+A1047+1</f>
        <v>897</v>
      </c>
      <c r="B1058" s="155"/>
      <c r="C1058" s="156"/>
      <c r="D1058" s="161" t="s">
        <v>39</v>
      </c>
      <c r="E1058" s="162" t="s">
        <v>209</v>
      </c>
      <c r="F1058" s="163" t="s">
        <v>40</v>
      </c>
      <c r="G1058" s="164" t="s">
        <v>271</v>
      </c>
      <c r="H1058" s="165">
        <v>1</v>
      </c>
      <c r="I1058" s="164"/>
      <c r="J1058" s="165"/>
      <c r="K1058" s="164"/>
      <c r="L1058" s="165"/>
      <c r="M1058" s="6"/>
      <c r="N1058" s="32"/>
      <c r="Q1058" s="10" t="str">
        <f>+CONCATENATE(E1058,G1058)</f>
        <v>보온덕트벽체600*400</v>
      </c>
      <c r="R1058" s="10">
        <f>+H1058</f>
        <v>1</v>
      </c>
      <c r="S1058" s="11"/>
      <c r="T1058" s="10" t="str">
        <f>+E1058</f>
        <v>보온덕트벽체</v>
      </c>
      <c r="U1058" s="19" t="str">
        <f>IFERROR(LEFT(G1058,FIND("*",G1058)-1),"-")</f>
        <v>600</v>
      </c>
      <c r="V1058" s="19" t="str">
        <f>IFERROR(RIGHT(G1058,LEN(G1058)-FIND("*",G1058)),"-")</f>
        <v>400</v>
      </c>
      <c r="W1058" s="20">
        <f>IFERROR((U1058+V1058)*2/1000,"-")</f>
        <v>2</v>
      </c>
      <c r="X1058" s="20">
        <f>IFERROR(W1058*H1058,"-")</f>
        <v>2</v>
      </c>
      <c r="Z1058" s="33">
        <v>45185</v>
      </c>
    </row>
    <row r="1059" spans="1:26" ht="6.95" customHeight="1" x14ac:dyDescent="0.3">
      <c r="A1059" s="154"/>
      <c r="B1059" s="157"/>
      <c r="C1059" s="158"/>
      <c r="D1059" s="161"/>
      <c r="E1059" s="162"/>
      <c r="F1059" s="163"/>
      <c r="G1059" s="164"/>
      <c r="H1059" s="165"/>
      <c r="I1059" s="164"/>
      <c r="J1059" s="165"/>
      <c r="K1059" s="164"/>
      <c r="L1059" s="165"/>
      <c r="M1059" s="6"/>
      <c r="N1059" s="32"/>
      <c r="Q1059" s="10" t="str">
        <f>+CONCATENATE(E1058,I1058)</f>
        <v>보온덕트벽체</v>
      </c>
      <c r="R1059" s="10">
        <f>+J1058</f>
        <v>0</v>
      </c>
      <c r="S1059" s="11"/>
      <c r="T1059" s="10" t="str">
        <f>+E1058</f>
        <v>보온덕트벽체</v>
      </c>
      <c r="U1059" s="19" t="str">
        <f>IFERROR(LEFT(I1058,FIND("*",I1058)-1),"-")</f>
        <v>-</v>
      </c>
      <c r="V1059" s="19" t="str">
        <f>IFERROR(RIGHT(I1058,LEN(I1058)-FIND("*",I1058)),"-")</f>
        <v>-</v>
      </c>
      <c r="W1059" s="20" t="str">
        <f t="shared" ref="W1059:W1066" si="574">IFERROR((U1059+V1059)*2/1000,"-")</f>
        <v>-</v>
      </c>
      <c r="X1059" s="20" t="str">
        <f>IFERROR(W1059*J1058,"-")</f>
        <v>-</v>
      </c>
      <c r="Z1059" s="33">
        <v>45185</v>
      </c>
    </row>
    <row r="1060" spans="1:26" ht="6.95" customHeight="1" x14ac:dyDescent="0.3">
      <c r="A1060" s="154"/>
      <c r="B1060" s="157"/>
      <c r="C1060" s="158"/>
      <c r="D1060" s="161"/>
      <c r="E1060" s="162"/>
      <c r="F1060" s="163"/>
      <c r="G1060" s="164"/>
      <c r="H1060" s="165"/>
      <c r="I1060" s="164"/>
      <c r="J1060" s="165"/>
      <c r="K1060" s="164"/>
      <c r="L1060" s="165"/>
      <c r="M1060" s="6"/>
      <c r="N1060" s="32"/>
      <c r="Q1060" s="10" t="str">
        <f>+CONCATENATE(E1058,K1058)</f>
        <v>보온덕트벽체</v>
      </c>
      <c r="R1060" s="10">
        <f>+L1058</f>
        <v>0</v>
      </c>
      <c r="S1060" s="11"/>
      <c r="T1060" s="10" t="str">
        <f>+E1058</f>
        <v>보온덕트벽체</v>
      </c>
      <c r="U1060" s="19" t="str">
        <f>IFERROR(LEFT(K1058,FIND("*",K1058)-1),"-")</f>
        <v>-</v>
      </c>
      <c r="V1060" s="19" t="str">
        <f>IFERROR(RIGHT(K1058,LEN(K1058)-FIND("*",K1058)),"-")</f>
        <v>-</v>
      </c>
      <c r="W1060" s="20" t="str">
        <f t="shared" si="574"/>
        <v>-</v>
      </c>
      <c r="X1060" s="20" t="str">
        <f>IFERROR(W1060*L1058,"-")</f>
        <v>-</v>
      </c>
      <c r="Z1060" s="33">
        <v>45185</v>
      </c>
    </row>
    <row r="1061" spans="1:26" ht="6.95" customHeight="1" x14ac:dyDescent="0.3">
      <c r="A1061" s="8"/>
      <c r="B1061" s="157"/>
      <c r="C1061" s="158"/>
      <c r="D1061" s="161" t="s">
        <v>39</v>
      </c>
      <c r="E1061" s="162" t="s">
        <v>66</v>
      </c>
      <c r="F1061" s="163" t="s">
        <v>40</v>
      </c>
      <c r="G1061" s="164" t="s">
        <v>271</v>
      </c>
      <c r="H1061" s="165">
        <v>2</v>
      </c>
      <c r="I1061" s="164"/>
      <c r="J1061" s="165"/>
      <c r="K1061" s="164"/>
      <c r="L1061" s="165"/>
      <c r="M1061" s="6"/>
      <c r="N1061" s="32"/>
      <c r="Q1061" s="10" t="str">
        <f>+CONCATENATE(E1061,G1061)</f>
        <v>차열재마감600*400</v>
      </c>
      <c r="R1061" s="10">
        <f>+H1061</f>
        <v>2</v>
      </c>
      <c r="S1061" s="11"/>
      <c r="T1061" s="10" t="str">
        <f>+E1061</f>
        <v>차열재마감</v>
      </c>
      <c r="U1061" s="19" t="str">
        <f t="shared" ref="U1061" si="575">IFERROR(LEFT(G1061,FIND("*",G1061)-1),"-")</f>
        <v>600</v>
      </c>
      <c r="V1061" s="19" t="str">
        <f t="shared" ref="V1061" si="576">IFERROR(RIGHT(G1061,LEN(G1061)-FIND("*",G1061)),"-")</f>
        <v>400</v>
      </c>
      <c r="W1061" s="20">
        <f t="shared" si="574"/>
        <v>2</v>
      </c>
      <c r="X1061" s="20">
        <f>IFERROR(W1061*H1061,"-")</f>
        <v>4</v>
      </c>
      <c r="Z1061" s="33">
        <v>45185</v>
      </c>
    </row>
    <row r="1062" spans="1:26" ht="6.95" customHeight="1" x14ac:dyDescent="0.3">
      <c r="A1062" s="5"/>
      <c r="B1062" s="157"/>
      <c r="C1062" s="158"/>
      <c r="D1062" s="161"/>
      <c r="E1062" s="162"/>
      <c r="F1062" s="163"/>
      <c r="G1062" s="164"/>
      <c r="H1062" s="165"/>
      <c r="I1062" s="164"/>
      <c r="J1062" s="165"/>
      <c r="K1062" s="164"/>
      <c r="L1062" s="165"/>
      <c r="M1062" s="6"/>
      <c r="N1062" s="32"/>
      <c r="Q1062" s="10" t="str">
        <f>+CONCATENATE(E1061,I1061)</f>
        <v>차열재마감</v>
      </c>
      <c r="R1062" s="10">
        <f>+J1061</f>
        <v>0</v>
      </c>
      <c r="S1062" s="11"/>
      <c r="T1062" s="10" t="str">
        <f>+E1061</f>
        <v>차열재마감</v>
      </c>
      <c r="U1062" s="19" t="str">
        <f>IFERROR(LEFT(I1061,FIND("*",I1061)-1),"-")</f>
        <v>-</v>
      </c>
      <c r="V1062" s="19" t="str">
        <f>IFERROR(RIGHT(I1061,LEN(I1061)-FIND("*",I1061)),"-")</f>
        <v>-</v>
      </c>
      <c r="W1062" s="20" t="str">
        <f t="shared" si="574"/>
        <v>-</v>
      </c>
      <c r="X1062" s="20" t="str">
        <f>IFERROR(W1062*J1061,"-")</f>
        <v>-</v>
      </c>
      <c r="Z1062" s="33">
        <v>45185</v>
      </c>
    </row>
    <row r="1063" spans="1:26" ht="6.95" customHeight="1" x14ac:dyDescent="0.3">
      <c r="A1063" s="5"/>
      <c r="B1063" s="157"/>
      <c r="C1063" s="158"/>
      <c r="D1063" s="161"/>
      <c r="E1063" s="162"/>
      <c r="F1063" s="163"/>
      <c r="G1063" s="164"/>
      <c r="H1063" s="165"/>
      <c r="I1063" s="164"/>
      <c r="J1063" s="165"/>
      <c r="K1063" s="164"/>
      <c r="L1063" s="165"/>
      <c r="M1063" s="6"/>
      <c r="N1063" s="32"/>
      <c r="Q1063" s="10" t="str">
        <f>+CONCATENATE(E1061,K1061)</f>
        <v>차열재마감</v>
      </c>
      <c r="R1063" s="10">
        <f>+L1061</f>
        <v>0</v>
      </c>
      <c r="S1063" s="11"/>
      <c r="T1063" s="10" t="str">
        <f>+E1061</f>
        <v>차열재마감</v>
      </c>
      <c r="U1063" s="19" t="str">
        <f>IFERROR(LEFT(K1061,FIND("*",K1061)-1),"-")</f>
        <v>-</v>
      </c>
      <c r="V1063" s="19" t="str">
        <f>IFERROR(RIGHT(K1061,LEN(K1061)-FIND("*",K1061)),"-")</f>
        <v>-</v>
      </c>
      <c r="W1063" s="20" t="str">
        <f t="shared" si="574"/>
        <v>-</v>
      </c>
      <c r="X1063" s="20" t="str">
        <f>IFERROR(W1063*L1061,"-")</f>
        <v>-</v>
      </c>
      <c r="Z1063" s="33">
        <v>45185</v>
      </c>
    </row>
    <row r="1064" spans="1:26" ht="6.95" customHeight="1" x14ac:dyDescent="0.3">
      <c r="A1064" s="8"/>
      <c r="B1064" s="157"/>
      <c r="C1064" s="158"/>
      <c r="D1064" s="161" t="s">
        <v>39</v>
      </c>
      <c r="E1064" s="162"/>
      <c r="F1064" s="163" t="s">
        <v>40</v>
      </c>
      <c r="G1064" s="164"/>
      <c r="H1064" s="165"/>
      <c r="I1064" s="164"/>
      <c r="J1064" s="165"/>
      <c r="K1064" s="164"/>
      <c r="L1064" s="165"/>
      <c r="M1064" s="6"/>
      <c r="N1064" s="32"/>
      <c r="Q1064" s="10" t="str">
        <f>+CONCATENATE(E1064,G1064)</f>
        <v/>
      </c>
      <c r="R1064" s="10">
        <f>+H1064</f>
        <v>0</v>
      </c>
      <c r="S1064" s="11"/>
      <c r="T1064" s="10">
        <f>+E1064</f>
        <v>0</v>
      </c>
      <c r="U1064" s="19" t="str">
        <f t="shared" ref="U1064" si="577">IFERROR(LEFT(G1064,FIND("*",G1064)-1),"-")</f>
        <v>-</v>
      </c>
      <c r="V1064" s="19" t="str">
        <f t="shared" ref="V1064" si="578">IFERROR(RIGHT(G1064,LEN(G1064)-FIND("*",G1064)),"-")</f>
        <v>-</v>
      </c>
      <c r="W1064" s="20" t="str">
        <f t="shared" si="574"/>
        <v>-</v>
      </c>
      <c r="X1064" s="20" t="str">
        <f>IFERROR(W1064*H1064,"-")</f>
        <v>-</v>
      </c>
      <c r="Z1064" s="33">
        <v>45185</v>
      </c>
    </row>
    <row r="1065" spans="1:26" ht="6.95" customHeight="1" x14ac:dyDescent="0.3">
      <c r="A1065" s="5"/>
      <c r="B1065" s="157"/>
      <c r="C1065" s="158"/>
      <c r="D1065" s="161"/>
      <c r="E1065" s="162"/>
      <c r="F1065" s="163"/>
      <c r="G1065" s="164"/>
      <c r="H1065" s="165"/>
      <c r="I1065" s="164"/>
      <c r="J1065" s="165"/>
      <c r="K1065" s="164"/>
      <c r="L1065" s="165"/>
      <c r="M1065" s="6"/>
      <c r="N1065" s="32"/>
      <c r="Q1065" s="10" t="str">
        <f>+CONCATENATE(E1064,I1064)</f>
        <v/>
      </c>
      <c r="R1065" s="10">
        <f>+J1064</f>
        <v>0</v>
      </c>
      <c r="S1065" s="11"/>
      <c r="T1065" s="10">
        <f>+E1064</f>
        <v>0</v>
      </c>
      <c r="U1065" s="19" t="str">
        <f>IFERROR(LEFT(I1064,FIND("*",I1064)-1),"-")</f>
        <v>-</v>
      </c>
      <c r="V1065" s="19" t="str">
        <f>IFERROR(RIGHT(I1064,LEN(I1064)-FIND("*",I1064)),"-")</f>
        <v>-</v>
      </c>
      <c r="W1065" s="20" t="str">
        <f t="shared" si="574"/>
        <v>-</v>
      </c>
      <c r="X1065" s="20" t="str">
        <f t="shared" ref="X1065" si="579">IFERROR(W1065*J1064,"-")</f>
        <v>-</v>
      </c>
      <c r="Z1065" s="33">
        <v>45185</v>
      </c>
    </row>
    <row r="1066" spans="1:26" ht="6.95" customHeight="1" x14ac:dyDescent="0.3">
      <c r="A1066" s="5"/>
      <c r="B1066" s="157"/>
      <c r="C1066" s="158"/>
      <c r="D1066" s="161"/>
      <c r="E1066" s="162"/>
      <c r="F1066" s="163"/>
      <c r="G1066" s="164"/>
      <c r="H1066" s="165"/>
      <c r="I1066" s="164"/>
      <c r="J1066" s="165"/>
      <c r="K1066" s="164"/>
      <c r="L1066" s="165"/>
      <c r="M1066" s="6"/>
      <c r="N1066" s="32"/>
      <c r="Q1066" s="10" t="str">
        <f>+CONCATENATE(E1064,K1064)</f>
        <v/>
      </c>
      <c r="R1066" s="10">
        <f>+L1064</f>
        <v>0</v>
      </c>
      <c r="S1066" s="11"/>
      <c r="T1066" s="10">
        <f>+E1064</f>
        <v>0</v>
      </c>
      <c r="U1066" s="19" t="str">
        <f>IFERROR(LEFT(K1064,FIND("*",K1064)-1),"-")</f>
        <v>-</v>
      </c>
      <c r="V1066" s="19" t="str">
        <f>IFERROR(RIGHT(K1064,LEN(K1064)-FIND("*",K1064)),"-")</f>
        <v>-</v>
      </c>
      <c r="W1066" s="20" t="str">
        <f t="shared" si="574"/>
        <v>-</v>
      </c>
      <c r="X1066" s="20" t="str">
        <f>IFERROR(W1066*L1064,"-")</f>
        <v>-</v>
      </c>
      <c r="Z1066" s="33">
        <v>45185</v>
      </c>
    </row>
    <row r="1067" spans="1:26" ht="21" customHeight="1" thickBot="1" x14ac:dyDescent="0.35">
      <c r="A1067" s="5"/>
      <c r="B1067" s="159"/>
      <c r="C1067" s="160"/>
      <c r="D1067" s="166" t="s">
        <v>43</v>
      </c>
      <c r="E1067" s="167"/>
      <c r="F1067" s="167"/>
      <c r="G1067" s="168"/>
      <c r="H1067" s="168"/>
      <c r="I1067" s="168"/>
      <c r="J1067" s="168"/>
      <c r="K1067" s="168"/>
      <c r="L1067" s="168"/>
      <c r="M1067" s="7"/>
      <c r="N1067" s="33"/>
      <c r="Z1067" s="33">
        <v>45185</v>
      </c>
    </row>
    <row r="1068" spans="1:26" ht="9.9499999999999993" customHeight="1" thickBot="1" x14ac:dyDescent="0.35">
      <c r="B1068" s="9"/>
      <c r="C1068" s="109">
        <v>897</v>
      </c>
      <c r="D1068" s="51"/>
      <c r="E1068" s="12"/>
      <c r="F1068" s="51"/>
      <c r="G1068" s="14"/>
      <c r="H1068" s="14"/>
      <c r="I1068" s="14"/>
      <c r="J1068" s="14"/>
      <c r="K1068" s="14"/>
      <c r="L1068" s="14"/>
      <c r="M1068" s="9"/>
      <c r="N1068" s="32"/>
      <c r="U1068" s="18"/>
      <c r="V1068" s="18"/>
      <c r="Z1068" s="33">
        <v>45185</v>
      </c>
    </row>
    <row r="1069" spans="1:26" ht="6.95" customHeight="1" x14ac:dyDescent="0.3">
      <c r="A1069" s="154">
        <f>+A1058+1</f>
        <v>898</v>
      </c>
      <c r="B1069" s="155"/>
      <c r="C1069" s="156"/>
      <c r="D1069" s="161" t="s">
        <v>39</v>
      </c>
      <c r="E1069" s="162" t="s">
        <v>209</v>
      </c>
      <c r="F1069" s="163" t="s">
        <v>40</v>
      </c>
      <c r="G1069" s="164" t="s">
        <v>272</v>
      </c>
      <c r="H1069" s="165">
        <v>1</v>
      </c>
      <c r="I1069" s="164"/>
      <c r="J1069" s="165"/>
      <c r="K1069" s="164"/>
      <c r="L1069" s="165"/>
      <c r="M1069" s="6"/>
      <c r="N1069" s="32"/>
      <c r="Q1069" s="10" t="str">
        <f>+CONCATENATE(E1069,G1069)</f>
        <v>보온덕트벽체1200*400</v>
      </c>
      <c r="R1069" s="10">
        <f>+H1069</f>
        <v>1</v>
      </c>
      <c r="S1069" s="11"/>
      <c r="T1069" s="10" t="str">
        <f>+E1069</f>
        <v>보온덕트벽체</v>
      </c>
      <c r="U1069" s="19" t="str">
        <f>IFERROR(LEFT(G1069,FIND("*",G1069)-1),"-")</f>
        <v>1200</v>
      </c>
      <c r="V1069" s="19" t="str">
        <f>IFERROR(RIGHT(G1069,LEN(G1069)-FIND("*",G1069)),"-")</f>
        <v>400</v>
      </c>
      <c r="W1069" s="20">
        <f>IFERROR((U1069+V1069)*2/1000,"-")</f>
        <v>3.2</v>
      </c>
      <c r="X1069" s="20">
        <f>IFERROR(W1069*H1069,"-")</f>
        <v>3.2</v>
      </c>
      <c r="Z1069" s="33">
        <v>45185</v>
      </c>
    </row>
    <row r="1070" spans="1:26" ht="6.95" customHeight="1" x14ac:dyDescent="0.3">
      <c r="A1070" s="154"/>
      <c r="B1070" s="157"/>
      <c r="C1070" s="158"/>
      <c r="D1070" s="161"/>
      <c r="E1070" s="162"/>
      <c r="F1070" s="163"/>
      <c r="G1070" s="164"/>
      <c r="H1070" s="165"/>
      <c r="I1070" s="164"/>
      <c r="J1070" s="165"/>
      <c r="K1070" s="164"/>
      <c r="L1070" s="165"/>
      <c r="M1070" s="6"/>
      <c r="N1070" s="32"/>
      <c r="Q1070" s="10" t="str">
        <f>+CONCATENATE(E1069,I1069)</f>
        <v>보온덕트벽체</v>
      </c>
      <c r="R1070" s="10">
        <f>+J1069</f>
        <v>0</v>
      </c>
      <c r="S1070" s="11"/>
      <c r="T1070" s="10" t="str">
        <f>+E1069</f>
        <v>보온덕트벽체</v>
      </c>
      <c r="U1070" s="19" t="str">
        <f>IFERROR(LEFT(I1069,FIND("*",I1069)-1),"-")</f>
        <v>-</v>
      </c>
      <c r="V1070" s="19" t="str">
        <f>IFERROR(RIGHT(I1069,LEN(I1069)-FIND("*",I1069)),"-")</f>
        <v>-</v>
      </c>
      <c r="W1070" s="20" t="str">
        <f t="shared" ref="W1070:W1077" si="580">IFERROR((U1070+V1070)*2/1000,"-")</f>
        <v>-</v>
      </c>
      <c r="X1070" s="20" t="str">
        <f>IFERROR(W1070*J1069,"-")</f>
        <v>-</v>
      </c>
      <c r="Z1070" s="33">
        <v>45185</v>
      </c>
    </row>
    <row r="1071" spans="1:26" ht="6.95" customHeight="1" x14ac:dyDescent="0.3">
      <c r="A1071" s="154"/>
      <c r="B1071" s="157"/>
      <c r="C1071" s="158"/>
      <c r="D1071" s="161"/>
      <c r="E1071" s="162"/>
      <c r="F1071" s="163"/>
      <c r="G1071" s="164"/>
      <c r="H1071" s="165"/>
      <c r="I1071" s="164"/>
      <c r="J1071" s="165"/>
      <c r="K1071" s="164"/>
      <c r="L1071" s="165"/>
      <c r="M1071" s="6"/>
      <c r="N1071" s="32"/>
      <c r="Q1071" s="10" t="str">
        <f>+CONCATENATE(E1069,K1069)</f>
        <v>보온덕트벽체</v>
      </c>
      <c r="R1071" s="10">
        <f>+L1069</f>
        <v>0</v>
      </c>
      <c r="S1071" s="11"/>
      <c r="T1071" s="10" t="str">
        <f>+E1069</f>
        <v>보온덕트벽체</v>
      </c>
      <c r="U1071" s="19" t="str">
        <f>IFERROR(LEFT(K1069,FIND("*",K1069)-1),"-")</f>
        <v>-</v>
      </c>
      <c r="V1071" s="19" t="str">
        <f>IFERROR(RIGHT(K1069,LEN(K1069)-FIND("*",K1069)),"-")</f>
        <v>-</v>
      </c>
      <c r="W1071" s="20" t="str">
        <f t="shared" si="580"/>
        <v>-</v>
      </c>
      <c r="X1071" s="20" t="str">
        <f>IFERROR(W1071*L1069,"-")</f>
        <v>-</v>
      </c>
      <c r="Z1071" s="33">
        <v>45185</v>
      </c>
    </row>
    <row r="1072" spans="1:26" ht="6.95" customHeight="1" x14ac:dyDescent="0.3">
      <c r="A1072" s="8"/>
      <c r="B1072" s="157"/>
      <c r="C1072" s="158"/>
      <c r="D1072" s="161" t="s">
        <v>39</v>
      </c>
      <c r="E1072" s="162" t="s">
        <v>66</v>
      </c>
      <c r="F1072" s="163" t="s">
        <v>40</v>
      </c>
      <c r="G1072" s="164" t="s">
        <v>272</v>
      </c>
      <c r="H1072" s="165">
        <v>2</v>
      </c>
      <c r="I1072" s="164"/>
      <c r="J1072" s="165"/>
      <c r="K1072" s="164"/>
      <c r="L1072" s="165"/>
      <c r="M1072" s="6"/>
      <c r="N1072" s="32"/>
      <c r="Q1072" s="10" t="str">
        <f>+CONCATENATE(E1072,G1072)</f>
        <v>차열재마감1200*400</v>
      </c>
      <c r="R1072" s="10">
        <f>+H1072</f>
        <v>2</v>
      </c>
      <c r="S1072" s="11"/>
      <c r="T1072" s="10" t="str">
        <f>+E1072</f>
        <v>차열재마감</v>
      </c>
      <c r="U1072" s="19" t="str">
        <f t="shared" ref="U1072" si="581">IFERROR(LEFT(G1072,FIND("*",G1072)-1),"-")</f>
        <v>1200</v>
      </c>
      <c r="V1072" s="19" t="str">
        <f t="shared" ref="V1072" si="582">IFERROR(RIGHT(G1072,LEN(G1072)-FIND("*",G1072)),"-")</f>
        <v>400</v>
      </c>
      <c r="W1072" s="20">
        <f t="shared" si="580"/>
        <v>3.2</v>
      </c>
      <c r="X1072" s="20">
        <f>IFERROR(W1072*H1072,"-")</f>
        <v>6.4</v>
      </c>
      <c r="Z1072" s="33">
        <v>45185</v>
      </c>
    </row>
    <row r="1073" spans="1:26" ht="6.95" customHeight="1" x14ac:dyDescent="0.3">
      <c r="A1073" s="5"/>
      <c r="B1073" s="157"/>
      <c r="C1073" s="158"/>
      <c r="D1073" s="161"/>
      <c r="E1073" s="162"/>
      <c r="F1073" s="163"/>
      <c r="G1073" s="164"/>
      <c r="H1073" s="165"/>
      <c r="I1073" s="164"/>
      <c r="J1073" s="165"/>
      <c r="K1073" s="164"/>
      <c r="L1073" s="165"/>
      <c r="M1073" s="6"/>
      <c r="N1073" s="32"/>
      <c r="Q1073" s="10" t="str">
        <f>+CONCATENATE(E1072,I1072)</f>
        <v>차열재마감</v>
      </c>
      <c r="R1073" s="10">
        <f>+J1072</f>
        <v>0</v>
      </c>
      <c r="S1073" s="11"/>
      <c r="T1073" s="10" t="str">
        <f>+E1072</f>
        <v>차열재마감</v>
      </c>
      <c r="U1073" s="19" t="str">
        <f>IFERROR(LEFT(I1072,FIND("*",I1072)-1),"-")</f>
        <v>-</v>
      </c>
      <c r="V1073" s="19" t="str">
        <f>IFERROR(RIGHT(I1072,LEN(I1072)-FIND("*",I1072)),"-")</f>
        <v>-</v>
      </c>
      <c r="W1073" s="20" t="str">
        <f t="shared" si="580"/>
        <v>-</v>
      </c>
      <c r="X1073" s="20" t="str">
        <f>IFERROR(W1073*J1072,"-")</f>
        <v>-</v>
      </c>
      <c r="Z1073" s="33">
        <v>45185</v>
      </c>
    </row>
    <row r="1074" spans="1:26" ht="6.95" customHeight="1" x14ac:dyDescent="0.3">
      <c r="A1074" s="5"/>
      <c r="B1074" s="157"/>
      <c r="C1074" s="158"/>
      <c r="D1074" s="161"/>
      <c r="E1074" s="162"/>
      <c r="F1074" s="163"/>
      <c r="G1074" s="164"/>
      <c r="H1074" s="165"/>
      <c r="I1074" s="164"/>
      <c r="J1074" s="165"/>
      <c r="K1074" s="164"/>
      <c r="L1074" s="165"/>
      <c r="M1074" s="6"/>
      <c r="N1074" s="32"/>
      <c r="Q1074" s="10" t="str">
        <f>+CONCATENATE(E1072,K1072)</f>
        <v>차열재마감</v>
      </c>
      <c r="R1074" s="10">
        <f>+L1072</f>
        <v>0</v>
      </c>
      <c r="S1074" s="11"/>
      <c r="T1074" s="10" t="str">
        <f>+E1072</f>
        <v>차열재마감</v>
      </c>
      <c r="U1074" s="19" t="str">
        <f>IFERROR(LEFT(K1072,FIND("*",K1072)-1),"-")</f>
        <v>-</v>
      </c>
      <c r="V1074" s="19" t="str">
        <f>IFERROR(RIGHT(K1072,LEN(K1072)-FIND("*",K1072)),"-")</f>
        <v>-</v>
      </c>
      <c r="W1074" s="20" t="str">
        <f t="shared" si="580"/>
        <v>-</v>
      </c>
      <c r="X1074" s="20" t="str">
        <f>IFERROR(W1074*L1072,"-")</f>
        <v>-</v>
      </c>
      <c r="Z1074" s="33">
        <v>45185</v>
      </c>
    </row>
    <row r="1075" spans="1:26" ht="6.95" customHeight="1" x14ac:dyDescent="0.3">
      <c r="A1075" s="8"/>
      <c r="B1075" s="157"/>
      <c r="C1075" s="158"/>
      <c r="D1075" s="161" t="s">
        <v>39</v>
      </c>
      <c r="E1075" s="162"/>
      <c r="F1075" s="163" t="s">
        <v>40</v>
      </c>
      <c r="G1075" s="164"/>
      <c r="H1075" s="165"/>
      <c r="I1075" s="164"/>
      <c r="J1075" s="165"/>
      <c r="K1075" s="164"/>
      <c r="L1075" s="165"/>
      <c r="M1075" s="6"/>
      <c r="N1075" s="32"/>
      <c r="Q1075" s="10" t="str">
        <f>+CONCATENATE(E1075,G1075)</f>
        <v/>
      </c>
      <c r="R1075" s="10">
        <f>+H1075</f>
        <v>0</v>
      </c>
      <c r="S1075" s="11"/>
      <c r="T1075" s="10">
        <f>+E1075</f>
        <v>0</v>
      </c>
      <c r="U1075" s="19" t="str">
        <f t="shared" ref="U1075" si="583">IFERROR(LEFT(G1075,FIND("*",G1075)-1),"-")</f>
        <v>-</v>
      </c>
      <c r="V1075" s="19" t="str">
        <f t="shared" ref="V1075" si="584">IFERROR(RIGHT(G1075,LEN(G1075)-FIND("*",G1075)),"-")</f>
        <v>-</v>
      </c>
      <c r="W1075" s="20" t="str">
        <f t="shared" si="580"/>
        <v>-</v>
      </c>
      <c r="X1075" s="20" t="str">
        <f>IFERROR(W1075*H1075,"-")</f>
        <v>-</v>
      </c>
      <c r="Z1075" s="33">
        <v>45185</v>
      </c>
    </row>
    <row r="1076" spans="1:26" ht="6.95" customHeight="1" x14ac:dyDescent="0.3">
      <c r="A1076" s="5"/>
      <c r="B1076" s="157"/>
      <c r="C1076" s="158"/>
      <c r="D1076" s="161"/>
      <c r="E1076" s="162"/>
      <c r="F1076" s="163"/>
      <c r="G1076" s="164"/>
      <c r="H1076" s="165"/>
      <c r="I1076" s="164"/>
      <c r="J1076" s="165"/>
      <c r="K1076" s="164"/>
      <c r="L1076" s="165"/>
      <c r="M1076" s="6"/>
      <c r="N1076" s="32"/>
      <c r="Q1076" s="10" t="str">
        <f>+CONCATENATE(E1075,I1075)</f>
        <v/>
      </c>
      <c r="R1076" s="10">
        <f>+J1075</f>
        <v>0</v>
      </c>
      <c r="S1076" s="11"/>
      <c r="T1076" s="10">
        <f>+E1075</f>
        <v>0</v>
      </c>
      <c r="U1076" s="19" t="str">
        <f>IFERROR(LEFT(I1075,FIND("*",I1075)-1),"-")</f>
        <v>-</v>
      </c>
      <c r="V1076" s="19" t="str">
        <f>IFERROR(RIGHT(I1075,LEN(I1075)-FIND("*",I1075)),"-")</f>
        <v>-</v>
      </c>
      <c r="W1076" s="20" t="str">
        <f t="shared" si="580"/>
        <v>-</v>
      </c>
      <c r="X1076" s="20" t="str">
        <f t="shared" ref="X1076" si="585">IFERROR(W1076*J1075,"-")</f>
        <v>-</v>
      </c>
      <c r="Z1076" s="33">
        <v>45185</v>
      </c>
    </row>
    <row r="1077" spans="1:26" ht="6.95" customHeight="1" x14ac:dyDescent="0.3">
      <c r="A1077" s="5"/>
      <c r="B1077" s="157"/>
      <c r="C1077" s="158"/>
      <c r="D1077" s="161"/>
      <c r="E1077" s="162"/>
      <c r="F1077" s="163"/>
      <c r="G1077" s="164"/>
      <c r="H1077" s="165"/>
      <c r="I1077" s="164"/>
      <c r="J1077" s="165"/>
      <c r="K1077" s="164"/>
      <c r="L1077" s="165"/>
      <c r="M1077" s="6"/>
      <c r="N1077" s="32"/>
      <c r="Q1077" s="10" t="str">
        <f>+CONCATENATE(E1075,K1075)</f>
        <v/>
      </c>
      <c r="R1077" s="10">
        <f>+L1075</f>
        <v>0</v>
      </c>
      <c r="S1077" s="11"/>
      <c r="T1077" s="10">
        <f>+E1075</f>
        <v>0</v>
      </c>
      <c r="U1077" s="19" t="str">
        <f>IFERROR(LEFT(K1075,FIND("*",K1075)-1),"-")</f>
        <v>-</v>
      </c>
      <c r="V1077" s="19" t="str">
        <f>IFERROR(RIGHT(K1075,LEN(K1075)-FIND("*",K1075)),"-")</f>
        <v>-</v>
      </c>
      <c r="W1077" s="20" t="str">
        <f t="shared" si="580"/>
        <v>-</v>
      </c>
      <c r="X1077" s="20" t="str">
        <f>IFERROR(W1077*L1075,"-")</f>
        <v>-</v>
      </c>
      <c r="Z1077" s="33">
        <v>45185</v>
      </c>
    </row>
    <row r="1078" spans="1:26" ht="21" customHeight="1" thickBot="1" x14ac:dyDescent="0.35">
      <c r="A1078" s="5"/>
      <c r="B1078" s="159"/>
      <c r="C1078" s="160"/>
      <c r="D1078" s="166" t="s">
        <v>43</v>
      </c>
      <c r="E1078" s="167"/>
      <c r="F1078" s="167"/>
      <c r="G1078" s="168"/>
      <c r="H1078" s="168"/>
      <c r="I1078" s="168"/>
      <c r="J1078" s="168"/>
      <c r="K1078" s="168"/>
      <c r="L1078" s="168"/>
      <c r="M1078" s="7"/>
      <c r="N1078" s="32"/>
      <c r="Z1078" s="33">
        <v>45185</v>
      </c>
    </row>
    <row r="1079" spans="1:26" ht="9.9499999999999993" customHeight="1" thickBot="1" x14ac:dyDescent="0.35">
      <c r="B1079" s="9"/>
      <c r="C1079" s="109">
        <v>898</v>
      </c>
      <c r="D1079" s="51"/>
      <c r="E1079" s="12"/>
      <c r="F1079" s="51"/>
      <c r="G1079" s="14"/>
      <c r="H1079" s="14"/>
      <c r="I1079" s="14"/>
      <c r="J1079" s="14"/>
      <c r="K1079" s="14"/>
      <c r="L1079" s="14"/>
      <c r="M1079" s="9"/>
      <c r="N1079" s="32"/>
      <c r="U1079" s="18"/>
      <c r="V1079" s="18"/>
      <c r="Z1079" s="33">
        <v>45185</v>
      </c>
    </row>
    <row r="1080" spans="1:26" ht="6.95" customHeight="1" x14ac:dyDescent="0.3">
      <c r="A1080" s="154">
        <f>+A1069+1</f>
        <v>899</v>
      </c>
      <c r="B1080" s="155"/>
      <c r="C1080" s="156"/>
      <c r="D1080" s="161" t="s">
        <v>39</v>
      </c>
      <c r="E1080" s="162" t="s">
        <v>209</v>
      </c>
      <c r="F1080" s="163" t="s">
        <v>40</v>
      </c>
      <c r="G1080" s="164" t="s">
        <v>273</v>
      </c>
      <c r="H1080" s="165">
        <v>1</v>
      </c>
      <c r="I1080" s="164"/>
      <c r="J1080" s="165"/>
      <c r="K1080" s="164"/>
      <c r="L1080" s="165"/>
      <c r="M1080" s="6"/>
      <c r="N1080" s="32"/>
      <c r="Q1080" s="10" t="str">
        <f>+CONCATENATE(E1080,G1080)</f>
        <v>보온덕트벽체1400*400</v>
      </c>
      <c r="R1080" s="10">
        <f>+H1080</f>
        <v>1</v>
      </c>
      <c r="S1080" s="11"/>
      <c r="T1080" s="10" t="str">
        <f>+E1080</f>
        <v>보온덕트벽체</v>
      </c>
      <c r="U1080" s="19" t="str">
        <f>IFERROR(LEFT(G1080,FIND("*",G1080)-1),"-")</f>
        <v>1400</v>
      </c>
      <c r="V1080" s="19" t="str">
        <f>IFERROR(RIGHT(G1080,LEN(G1080)-FIND("*",G1080)),"-")</f>
        <v>400</v>
      </c>
      <c r="W1080" s="20">
        <f>IFERROR((U1080+V1080)*2/1000,"-")</f>
        <v>3.6</v>
      </c>
      <c r="X1080" s="20">
        <f>IFERROR(W1080*H1080,"-")</f>
        <v>3.6</v>
      </c>
      <c r="Z1080" s="33">
        <v>45185</v>
      </c>
    </row>
    <row r="1081" spans="1:26" ht="6.95" customHeight="1" x14ac:dyDescent="0.3">
      <c r="A1081" s="154"/>
      <c r="B1081" s="157"/>
      <c r="C1081" s="158"/>
      <c r="D1081" s="161"/>
      <c r="E1081" s="162"/>
      <c r="F1081" s="163"/>
      <c r="G1081" s="164"/>
      <c r="H1081" s="165"/>
      <c r="I1081" s="164"/>
      <c r="J1081" s="165"/>
      <c r="K1081" s="164"/>
      <c r="L1081" s="165"/>
      <c r="M1081" s="6"/>
      <c r="N1081" s="32"/>
      <c r="Q1081" s="10" t="str">
        <f>+CONCATENATE(E1080,I1080)</f>
        <v>보온덕트벽체</v>
      </c>
      <c r="R1081" s="10">
        <f>+J1080</f>
        <v>0</v>
      </c>
      <c r="S1081" s="11"/>
      <c r="T1081" s="10" t="str">
        <f>+E1080</f>
        <v>보온덕트벽체</v>
      </c>
      <c r="U1081" s="19" t="str">
        <f>IFERROR(LEFT(I1080,FIND("*",I1080)-1),"-")</f>
        <v>-</v>
      </c>
      <c r="V1081" s="19" t="str">
        <f>IFERROR(RIGHT(I1080,LEN(I1080)-FIND("*",I1080)),"-")</f>
        <v>-</v>
      </c>
      <c r="W1081" s="20" t="str">
        <f t="shared" ref="W1081:W1088" si="586">IFERROR((U1081+V1081)*2/1000,"-")</f>
        <v>-</v>
      </c>
      <c r="X1081" s="20" t="str">
        <f>IFERROR(W1081*J1080,"-")</f>
        <v>-</v>
      </c>
      <c r="Z1081" s="33">
        <v>45185</v>
      </c>
    </row>
    <row r="1082" spans="1:26" ht="6.95" customHeight="1" x14ac:dyDescent="0.3">
      <c r="A1082" s="154"/>
      <c r="B1082" s="157"/>
      <c r="C1082" s="158"/>
      <c r="D1082" s="161"/>
      <c r="E1082" s="162"/>
      <c r="F1082" s="163"/>
      <c r="G1082" s="164"/>
      <c r="H1082" s="165"/>
      <c r="I1082" s="164"/>
      <c r="J1082" s="165"/>
      <c r="K1082" s="164"/>
      <c r="L1082" s="165"/>
      <c r="M1082" s="6"/>
      <c r="N1082" s="32"/>
      <c r="Q1082" s="10" t="str">
        <f>+CONCATENATE(E1080,K1080)</f>
        <v>보온덕트벽체</v>
      </c>
      <c r="R1082" s="10">
        <f>+L1080</f>
        <v>0</v>
      </c>
      <c r="S1082" s="11"/>
      <c r="T1082" s="10" t="str">
        <f>+E1080</f>
        <v>보온덕트벽체</v>
      </c>
      <c r="U1082" s="19" t="str">
        <f>IFERROR(LEFT(K1080,FIND("*",K1080)-1),"-")</f>
        <v>-</v>
      </c>
      <c r="V1082" s="19" t="str">
        <f>IFERROR(RIGHT(K1080,LEN(K1080)-FIND("*",K1080)),"-")</f>
        <v>-</v>
      </c>
      <c r="W1082" s="20" t="str">
        <f t="shared" si="586"/>
        <v>-</v>
      </c>
      <c r="X1082" s="20" t="str">
        <f>IFERROR(W1082*L1080,"-")</f>
        <v>-</v>
      </c>
      <c r="Z1082" s="33">
        <v>45185</v>
      </c>
    </row>
    <row r="1083" spans="1:26" ht="6.95" customHeight="1" x14ac:dyDescent="0.3">
      <c r="A1083" s="8"/>
      <c r="B1083" s="157"/>
      <c r="C1083" s="158"/>
      <c r="D1083" s="161" t="s">
        <v>39</v>
      </c>
      <c r="E1083" s="162" t="s">
        <v>66</v>
      </c>
      <c r="F1083" s="163" t="s">
        <v>40</v>
      </c>
      <c r="G1083" s="164" t="s">
        <v>273</v>
      </c>
      <c r="H1083" s="165">
        <v>2</v>
      </c>
      <c r="I1083" s="164"/>
      <c r="J1083" s="165"/>
      <c r="K1083" s="164"/>
      <c r="L1083" s="165"/>
      <c r="M1083" s="6"/>
      <c r="N1083" s="32"/>
      <c r="Q1083" s="10" t="str">
        <f>+CONCATENATE(E1083,G1083)</f>
        <v>차열재마감1400*400</v>
      </c>
      <c r="R1083" s="10">
        <f>+H1083</f>
        <v>2</v>
      </c>
      <c r="S1083" s="11"/>
      <c r="T1083" s="10" t="str">
        <f>+E1083</f>
        <v>차열재마감</v>
      </c>
      <c r="U1083" s="19" t="str">
        <f t="shared" ref="U1083" si="587">IFERROR(LEFT(G1083,FIND("*",G1083)-1),"-")</f>
        <v>1400</v>
      </c>
      <c r="V1083" s="19" t="str">
        <f t="shared" ref="V1083" si="588">IFERROR(RIGHT(G1083,LEN(G1083)-FIND("*",G1083)),"-")</f>
        <v>400</v>
      </c>
      <c r="W1083" s="20">
        <f t="shared" si="586"/>
        <v>3.6</v>
      </c>
      <c r="X1083" s="20">
        <f>IFERROR(W1083*H1083,"-")</f>
        <v>7.2</v>
      </c>
      <c r="Z1083" s="33">
        <v>45185</v>
      </c>
    </row>
    <row r="1084" spans="1:26" ht="6.95" customHeight="1" x14ac:dyDescent="0.3">
      <c r="A1084" s="5"/>
      <c r="B1084" s="157"/>
      <c r="C1084" s="158"/>
      <c r="D1084" s="161"/>
      <c r="E1084" s="162"/>
      <c r="F1084" s="163"/>
      <c r="G1084" s="164"/>
      <c r="H1084" s="165"/>
      <c r="I1084" s="164"/>
      <c r="J1084" s="165"/>
      <c r="K1084" s="164"/>
      <c r="L1084" s="165"/>
      <c r="M1084" s="6"/>
      <c r="N1084" s="32"/>
      <c r="Q1084" s="10" t="str">
        <f>+CONCATENATE(E1083,I1083)</f>
        <v>차열재마감</v>
      </c>
      <c r="R1084" s="10">
        <f>+J1083</f>
        <v>0</v>
      </c>
      <c r="S1084" s="11"/>
      <c r="T1084" s="10" t="str">
        <f>+E1083</f>
        <v>차열재마감</v>
      </c>
      <c r="U1084" s="19" t="str">
        <f>IFERROR(LEFT(I1083,FIND("*",I1083)-1),"-")</f>
        <v>-</v>
      </c>
      <c r="V1084" s="19" t="str">
        <f>IFERROR(RIGHT(I1083,LEN(I1083)-FIND("*",I1083)),"-")</f>
        <v>-</v>
      </c>
      <c r="W1084" s="20" t="str">
        <f t="shared" si="586"/>
        <v>-</v>
      </c>
      <c r="X1084" s="20" t="str">
        <f>IFERROR(W1084*J1083,"-")</f>
        <v>-</v>
      </c>
      <c r="Z1084" s="33">
        <v>45185</v>
      </c>
    </row>
    <row r="1085" spans="1:26" ht="6.95" customHeight="1" x14ac:dyDescent="0.3">
      <c r="A1085" s="5"/>
      <c r="B1085" s="157"/>
      <c r="C1085" s="158"/>
      <c r="D1085" s="161"/>
      <c r="E1085" s="162"/>
      <c r="F1085" s="163"/>
      <c r="G1085" s="164"/>
      <c r="H1085" s="165"/>
      <c r="I1085" s="164"/>
      <c r="J1085" s="165"/>
      <c r="K1085" s="164"/>
      <c r="L1085" s="165"/>
      <c r="M1085" s="6"/>
      <c r="N1085" s="32"/>
      <c r="Q1085" s="10" t="str">
        <f>+CONCATENATE(E1083,K1083)</f>
        <v>차열재마감</v>
      </c>
      <c r="R1085" s="10">
        <f>+L1083</f>
        <v>0</v>
      </c>
      <c r="S1085" s="11"/>
      <c r="T1085" s="10" t="str">
        <f>+E1083</f>
        <v>차열재마감</v>
      </c>
      <c r="U1085" s="19" t="str">
        <f>IFERROR(LEFT(K1083,FIND("*",K1083)-1),"-")</f>
        <v>-</v>
      </c>
      <c r="V1085" s="19" t="str">
        <f>IFERROR(RIGHT(K1083,LEN(K1083)-FIND("*",K1083)),"-")</f>
        <v>-</v>
      </c>
      <c r="W1085" s="20" t="str">
        <f t="shared" si="586"/>
        <v>-</v>
      </c>
      <c r="X1085" s="20" t="str">
        <f>IFERROR(W1085*L1083,"-")</f>
        <v>-</v>
      </c>
      <c r="Z1085" s="33">
        <v>45185</v>
      </c>
    </row>
    <row r="1086" spans="1:26" ht="6.95" customHeight="1" x14ac:dyDescent="0.3">
      <c r="A1086" s="8"/>
      <c r="B1086" s="157"/>
      <c r="C1086" s="158"/>
      <c r="D1086" s="161" t="s">
        <v>39</v>
      </c>
      <c r="E1086" s="162"/>
      <c r="F1086" s="163" t="s">
        <v>40</v>
      </c>
      <c r="G1086" s="164"/>
      <c r="H1086" s="165"/>
      <c r="I1086" s="164"/>
      <c r="J1086" s="165"/>
      <c r="K1086" s="164"/>
      <c r="L1086" s="165"/>
      <c r="M1086" s="6"/>
      <c r="N1086" s="32"/>
      <c r="Q1086" s="10" t="str">
        <f>+CONCATENATE(E1086,G1086)</f>
        <v/>
      </c>
      <c r="R1086" s="10">
        <f>+H1086</f>
        <v>0</v>
      </c>
      <c r="S1086" s="11"/>
      <c r="T1086" s="10">
        <f>+E1086</f>
        <v>0</v>
      </c>
      <c r="U1086" s="19" t="str">
        <f t="shared" ref="U1086" si="589">IFERROR(LEFT(G1086,FIND("*",G1086)-1),"-")</f>
        <v>-</v>
      </c>
      <c r="V1086" s="19" t="str">
        <f t="shared" ref="V1086" si="590">IFERROR(RIGHT(G1086,LEN(G1086)-FIND("*",G1086)),"-")</f>
        <v>-</v>
      </c>
      <c r="W1086" s="20" t="str">
        <f t="shared" si="586"/>
        <v>-</v>
      </c>
      <c r="X1086" s="20" t="str">
        <f>IFERROR(W1086*H1086,"-")</f>
        <v>-</v>
      </c>
      <c r="Z1086" s="33">
        <v>45185</v>
      </c>
    </row>
    <row r="1087" spans="1:26" ht="6.95" customHeight="1" x14ac:dyDescent="0.3">
      <c r="A1087" s="5"/>
      <c r="B1087" s="157"/>
      <c r="C1087" s="158"/>
      <c r="D1087" s="161"/>
      <c r="E1087" s="162"/>
      <c r="F1087" s="163"/>
      <c r="G1087" s="164"/>
      <c r="H1087" s="165"/>
      <c r="I1087" s="164"/>
      <c r="J1087" s="165"/>
      <c r="K1087" s="164"/>
      <c r="L1087" s="165"/>
      <c r="M1087" s="6"/>
      <c r="N1087" s="32"/>
      <c r="Q1087" s="10" t="str">
        <f>+CONCATENATE(E1086,I1086)</f>
        <v/>
      </c>
      <c r="R1087" s="10">
        <f>+J1086</f>
        <v>0</v>
      </c>
      <c r="S1087" s="11"/>
      <c r="T1087" s="10">
        <f>+E1086</f>
        <v>0</v>
      </c>
      <c r="U1087" s="19" t="str">
        <f>IFERROR(LEFT(I1086,FIND("*",I1086)-1),"-")</f>
        <v>-</v>
      </c>
      <c r="V1087" s="19" t="str">
        <f>IFERROR(RIGHT(I1086,LEN(I1086)-FIND("*",I1086)),"-")</f>
        <v>-</v>
      </c>
      <c r="W1087" s="20" t="str">
        <f t="shared" si="586"/>
        <v>-</v>
      </c>
      <c r="X1087" s="20" t="str">
        <f t="shared" ref="X1087" si="591">IFERROR(W1087*J1086,"-")</f>
        <v>-</v>
      </c>
      <c r="Z1087" s="33">
        <v>45185</v>
      </c>
    </row>
    <row r="1088" spans="1:26" ht="6.95" customHeight="1" x14ac:dyDescent="0.3">
      <c r="A1088" s="5"/>
      <c r="B1088" s="157"/>
      <c r="C1088" s="158"/>
      <c r="D1088" s="161"/>
      <c r="E1088" s="162"/>
      <c r="F1088" s="163"/>
      <c r="G1088" s="164"/>
      <c r="H1088" s="165"/>
      <c r="I1088" s="164"/>
      <c r="J1088" s="165"/>
      <c r="K1088" s="164"/>
      <c r="L1088" s="165"/>
      <c r="M1088" s="6"/>
      <c r="N1088" s="32"/>
      <c r="Q1088" s="10" t="str">
        <f>+CONCATENATE(E1086,K1086)</f>
        <v/>
      </c>
      <c r="R1088" s="10">
        <f>+L1086</f>
        <v>0</v>
      </c>
      <c r="S1088" s="11"/>
      <c r="T1088" s="10">
        <f>+E1086</f>
        <v>0</v>
      </c>
      <c r="U1088" s="19" t="str">
        <f>IFERROR(LEFT(K1086,FIND("*",K1086)-1),"-")</f>
        <v>-</v>
      </c>
      <c r="V1088" s="19" t="str">
        <f>IFERROR(RIGHT(K1086,LEN(K1086)-FIND("*",K1086)),"-")</f>
        <v>-</v>
      </c>
      <c r="W1088" s="20" t="str">
        <f t="shared" si="586"/>
        <v>-</v>
      </c>
      <c r="X1088" s="20" t="str">
        <f>IFERROR(W1088*L1086,"-")</f>
        <v>-</v>
      </c>
      <c r="Z1088" s="33">
        <v>45185</v>
      </c>
    </row>
    <row r="1089" spans="1:26" ht="21" customHeight="1" thickBot="1" x14ac:dyDescent="0.35">
      <c r="A1089" s="5"/>
      <c r="B1089" s="159"/>
      <c r="C1089" s="160"/>
      <c r="D1089" s="166" t="s">
        <v>43</v>
      </c>
      <c r="E1089" s="167"/>
      <c r="F1089" s="167"/>
      <c r="G1089" s="168"/>
      <c r="H1089" s="168"/>
      <c r="I1089" s="168"/>
      <c r="J1089" s="168"/>
      <c r="K1089" s="168"/>
      <c r="L1089" s="168"/>
      <c r="M1089" s="7"/>
      <c r="N1089" s="32"/>
      <c r="Z1089" s="33">
        <v>45185</v>
      </c>
    </row>
    <row r="1090" spans="1:26" ht="9.9499999999999993" customHeight="1" thickBot="1" x14ac:dyDescent="0.35">
      <c r="B1090" s="9"/>
      <c r="C1090" s="109">
        <v>899</v>
      </c>
      <c r="D1090" s="51"/>
      <c r="E1090" s="12"/>
      <c r="F1090" s="51"/>
      <c r="G1090" s="14"/>
      <c r="H1090" s="14"/>
      <c r="I1090" s="14"/>
      <c r="J1090" s="14"/>
      <c r="K1090" s="14"/>
      <c r="L1090" s="14"/>
      <c r="M1090" s="9"/>
      <c r="N1090" s="32"/>
      <c r="U1090" s="18"/>
      <c r="V1090" s="18"/>
      <c r="Z1090" s="33">
        <v>45185</v>
      </c>
    </row>
    <row r="1091" spans="1:26" ht="6.95" customHeight="1" x14ac:dyDescent="0.3">
      <c r="A1091" s="154">
        <f>+A1080+1</f>
        <v>900</v>
      </c>
      <c r="B1091" s="155"/>
      <c r="C1091" s="156"/>
      <c r="D1091" s="161" t="s">
        <v>39</v>
      </c>
      <c r="E1091" s="162" t="s">
        <v>274</v>
      </c>
      <c r="F1091" s="163" t="s">
        <v>40</v>
      </c>
      <c r="G1091" s="164">
        <v>50</v>
      </c>
      <c r="H1091" s="165">
        <v>2</v>
      </c>
      <c r="I1091" s="164"/>
      <c r="J1091" s="165"/>
      <c r="K1091" s="164"/>
      <c r="L1091" s="165"/>
      <c r="M1091" s="6"/>
      <c r="N1091" s="32"/>
      <c r="Q1091" s="10" t="str">
        <f>+CONCATENATE(E1091,G1091)</f>
        <v>금속관벽체50</v>
      </c>
      <c r="R1091" s="10">
        <f>+H1091</f>
        <v>2</v>
      </c>
      <c r="S1091" s="11"/>
      <c r="T1091" s="10" t="str">
        <f>+E1091</f>
        <v>금속관벽체</v>
      </c>
      <c r="U1091" s="19" t="str">
        <f>IFERROR(LEFT(G1091,FIND("*",G1091)-1),"-")</f>
        <v>-</v>
      </c>
      <c r="V1091" s="19" t="str">
        <f>IFERROR(RIGHT(G1091,LEN(G1091)-FIND("*",G1091)),"-")</f>
        <v>-</v>
      </c>
      <c r="W1091" s="20" t="str">
        <f>IFERROR((U1091+V1091)*2/1000,"-")</f>
        <v>-</v>
      </c>
      <c r="X1091" s="20" t="str">
        <f>IFERROR(W1091*H1091,"-")</f>
        <v>-</v>
      </c>
      <c r="Z1091" s="33">
        <v>45185</v>
      </c>
    </row>
    <row r="1092" spans="1:26" ht="6.95" customHeight="1" x14ac:dyDescent="0.3">
      <c r="A1092" s="154"/>
      <c r="B1092" s="157"/>
      <c r="C1092" s="158"/>
      <c r="D1092" s="161"/>
      <c r="E1092" s="162"/>
      <c r="F1092" s="163"/>
      <c r="G1092" s="164"/>
      <c r="H1092" s="165"/>
      <c r="I1092" s="164"/>
      <c r="J1092" s="165"/>
      <c r="K1092" s="164"/>
      <c r="L1092" s="165"/>
      <c r="M1092" s="6"/>
      <c r="N1092" s="32"/>
      <c r="Q1092" s="10" t="str">
        <f>+CONCATENATE(E1091,I1091)</f>
        <v>금속관벽체</v>
      </c>
      <c r="R1092" s="10">
        <f>+J1091</f>
        <v>0</v>
      </c>
      <c r="S1092" s="11"/>
      <c r="T1092" s="10" t="str">
        <f>+E1091</f>
        <v>금속관벽체</v>
      </c>
      <c r="U1092" s="19" t="str">
        <f>IFERROR(LEFT(I1091,FIND("*",I1091)-1),"-")</f>
        <v>-</v>
      </c>
      <c r="V1092" s="19" t="str">
        <f>IFERROR(RIGHT(I1091,LEN(I1091)-FIND("*",I1091)),"-")</f>
        <v>-</v>
      </c>
      <c r="W1092" s="20" t="str">
        <f t="shared" ref="W1092:W1099" si="592">IFERROR((U1092+V1092)*2/1000,"-")</f>
        <v>-</v>
      </c>
      <c r="X1092" s="20" t="str">
        <f>IFERROR(W1092*J1091,"-")</f>
        <v>-</v>
      </c>
      <c r="Z1092" s="33">
        <v>45185</v>
      </c>
    </row>
    <row r="1093" spans="1:26" ht="6.95" customHeight="1" x14ac:dyDescent="0.3">
      <c r="A1093" s="154"/>
      <c r="B1093" s="157"/>
      <c r="C1093" s="158"/>
      <c r="D1093" s="161"/>
      <c r="E1093" s="162"/>
      <c r="F1093" s="163"/>
      <c r="G1093" s="164"/>
      <c r="H1093" s="165"/>
      <c r="I1093" s="164"/>
      <c r="J1093" s="165"/>
      <c r="K1093" s="164"/>
      <c r="L1093" s="165"/>
      <c r="M1093" s="6"/>
      <c r="N1093" s="32"/>
      <c r="Q1093" s="10" t="str">
        <f>+CONCATENATE(E1091,K1091)</f>
        <v>금속관벽체</v>
      </c>
      <c r="R1093" s="10">
        <f>+L1091</f>
        <v>0</v>
      </c>
      <c r="S1093" s="11"/>
      <c r="T1093" s="10" t="str">
        <f>+E1091</f>
        <v>금속관벽체</v>
      </c>
      <c r="U1093" s="19" t="str">
        <f>IFERROR(LEFT(K1091,FIND("*",K1091)-1),"-")</f>
        <v>-</v>
      </c>
      <c r="V1093" s="19" t="str">
        <f>IFERROR(RIGHT(K1091,LEN(K1091)-FIND("*",K1091)),"-")</f>
        <v>-</v>
      </c>
      <c r="W1093" s="20" t="str">
        <f t="shared" si="592"/>
        <v>-</v>
      </c>
      <c r="X1093" s="20" t="str">
        <f>IFERROR(W1093*L1091,"-")</f>
        <v>-</v>
      </c>
      <c r="Z1093" s="33">
        <v>45185</v>
      </c>
    </row>
    <row r="1094" spans="1:26" ht="6.95" customHeight="1" x14ac:dyDescent="0.3">
      <c r="A1094" s="8"/>
      <c r="B1094" s="157"/>
      <c r="C1094" s="158"/>
      <c r="D1094" s="161" t="s">
        <v>39</v>
      </c>
      <c r="E1094" s="162"/>
      <c r="F1094" s="163" t="s">
        <v>40</v>
      </c>
      <c r="G1094" s="164"/>
      <c r="H1094" s="165"/>
      <c r="I1094" s="164"/>
      <c r="J1094" s="165"/>
      <c r="K1094" s="164"/>
      <c r="L1094" s="165"/>
      <c r="M1094" s="6"/>
      <c r="N1094" s="32"/>
      <c r="Q1094" s="10" t="str">
        <f>+CONCATENATE(E1094,G1094)</f>
        <v/>
      </c>
      <c r="R1094" s="10">
        <f>+H1094</f>
        <v>0</v>
      </c>
      <c r="S1094" s="11"/>
      <c r="T1094" s="10">
        <f>+E1094</f>
        <v>0</v>
      </c>
      <c r="U1094" s="19" t="str">
        <f t="shared" ref="U1094" si="593">IFERROR(LEFT(G1094,FIND("*",G1094)-1),"-")</f>
        <v>-</v>
      </c>
      <c r="V1094" s="19" t="str">
        <f t="shared" ref="V1094" si="594">IFERROR(RIGHT(G1094,LEN(G1094)-FIND("*",G1094)),"-")</f>
        <v>-</v>
      </c>
      <c r="W1094" s="20" t="str">
        <f t="shared" si="592"/>
        <v>-</v>
      </c>
      <c r="X1094" s="20" t="str">
        <f>IFERROR(W1094*H1094,"-")</f>
        <v>-</v>
      </c>
      <c r="Z1094" s="33">
        <v>45185</v>
      </c>
    </row>
    <row r="1095" spans="1:26" ht="6.95" customHeight="1" x14ac:dyDescent="0.3">
      <c r="A1095" s="5"/>
      <c r="B1095" s="157"/>
      <c r="C1095" s="158"/>
      <c r="D1095" s="161"/>
      <c r="E1095" s="162"/>
      <c r="F1095" s="163"/>
      <c r="G1095" s="164"/>
      <c r="H1095" s="165"/>
      <c r="I1095" s="164"/>
      <c r="J1095" s="165"/>
      <c r="K1095" s="164"/>
      <c r="L1095" s="165"/>
      <c r="M1095" s="6"/>
      <c r="N1095" s="32"/>
      <c r="Q1095" s="10" t="str">
        <f>+CONCATENATE(E1094,I1094)</f>
        <v/>
      </c>
      <c r="R1095" s="10">
        <f>+J1094</f>
        <v>0</v>
      </c>
      <c r="S1095" s="11"/>
      <c r="T1095" s="10">
        <f>+E1094</f>
        <v>0</v>
      </c>
      <c r="U1095" s="19" t="str">
        <f>IFERROR(LEFT(I1094,FIND("*",I1094)-1),"-")</f>
        <v>-</v>
      </c>
      <c r="V1095" s="19" t="str">
        <f>IFERROR(RIGHT(I1094,LEN(I1094)-FIND("*",I1094)),"-")</f>
        <v>-</v>
      </c>
      <c r="W1095" s="20" t="str">
        <f t="shared" si="592"/>
        <v>-</v>
      </c>
      <c r="X1095" s="20" t="str">
        <f>IFERROR(W1095*J1094,"-")</f>
        <v>-</v>
      </c>
      <c r="Z1095" s="33">
        <v>45185</v>
      </c>
    </row>
    <row r="1096" spans="1:26" ht="6.95" customHeight="1" x14ac:dyDescent="0.3">
      <c r="A1096" s="5"/>
      <c r="B1096" s="157"/>
      <c r="C1096" s="158"/>
      <c r="D1096" s="161"/>
      <c r="E1096" s="162"/>
      <c r="F1096" s="163"/>
      <c r="G1096" s="164"/>
      <c r="H1096" s="165"/>
      <c r="I1096" s="164"/>
      <c r="J1096" s="165"/>
      <c r="K1096" s="164"/>
      <c r="L1096" s="165"/>
      <c r="M1096" s="6"/>
      <c r="N1096" s="32"/>
      <c r="Q1096" s="10" t="str">
        <f>+CONCATENATE(E1094,K1094)</f>
        <v/>
      </c>
      <c r="R1096" s="10">
        <f>+L1094</f>
        <v>0</v>
      </c>
      <c r="S1096" s="11"/>
      <c r="T1096" s="10">
        <f>+E1094</f>
        <v>0</v>
      </c>
      <c r="U1096" s="19" t="str">
        <f>IFERROR(LEFT(K1094,FIND("*",K1094)-1),"-")</f>
        <v>-</v>
      </c>
      <c r="V1096" s="19" t="str">
        <f>IFERROR(RIGHT(K1094,LEN(K1094)-FIND("*",K1094)),"-")</f>
        <v>-</v>
      </c>
      <c r="W1096" s="20" t="str">
        <f t="shared" si="592"/>
        <v>-</v>
      </c>
      <c r="X1096" s="20" t="str">
        <f>IFERROR(W1096*L1094,"-")</f>
        <v>-</v>
      </c>
      <c r="Z1096" s="33">
        <v>45185</v>
      </c>
    </row>
    <row r="1097" spans="1:26" ht="6.95" customHeight="1" x14ac:dyDescent="0.3">
      <c r="A1097" s="8"/>
      <c r="B1097" s="157"/>
      <c r="C1097" s="158"/>
      <c r="D1097" s="161" t="s">
        <v>39</v>
      </c>
      <c r="E1097" s="162"/>
      <c r="F1097" s="163" t="s">
        <v>40</v>
      </c>
      <c r="G1097" s="164"/>
      <c r="H1097" s="165"/>
      <c r="I1097" s="164"/>
      <c r="J1097" s="165"/>
      <c r="K1097" s="164"/>
      <c r="L1097" s="165"/>
      <c r="M1097" s="6"/>
      <c r="N1097" s="32"/>
      <c r="Q1097" s="10" t="str">
        <f>+CONCATENATE(E1097,G1097)</f>
        <v/>
      </c>
      <c r="R1097" s="10">
        <f>+H1097</f>
        <v>0</v>
      </c>
      <c r="S1097" s="11"/>
      <c r="T1097" s="10">
        <f>+E1097</f>
        <v>0</v>
      </c>
      <c r="U1097" s="19" t="str">
        <f t="shared" ref="U1097" si="595">IFERROR(LEFT(G1097,FIND("*",G1097)-1),"-")</f>
        <v>-</v>
      </c>
      <c r="V1097" s="19" t="str">
        <f t="shared" ref="V1097" si="596">IFERROR(RIGHT(G1097,LEN(G1097)-FIND("*",G1097)),"-")</f>
        <v>-</v>
      </c>
      <c r="W1097" s="20" t="str">
        <f t="shared" si="592"/>
        <v>-</v>
      </c>
      <c r="X1097" s="20" t="str">
        <f>IFERROR(W1097*H1097,"-")</f>
        <v>-</v>
      </c>
      <c r="Z1097" s="33">
        <v>45185</v>
      </c>
    </row>
    <row r="1098" spans="1:26" ht="6.95" customHeight="1" x14ac:dyDescent="0.3">
      <c r="A1098" s="5"/>
      <c r="B1098" s="157"/>
      <c r="C1098" s="158"/>
      <c r="D1098" s="161"/>
      <c r="E1098" s="162"/>
      <c r="F1098" s="163"/>
      <c r="G1098" s="164"/>
      <c r="H1098" s="165"/>
      <c r="I1098" s="164"/>
      <c r="J1098" s="165"/>
      <c r="K1098" s="164"/>
      <c r="L1098" s="165"/>
      <c r="M1098" s="6"/>
      <c r="N1098" s="32"/>
      <c r="Q1098" s="10" t="str">
        <f>+CONCATENATE(E1097,I1097)</f>
        <v/>
      </c>
      <c r="R1098" s="10">
        <f>+J1097</f>
        <v>0</v>
      </c>
      <c r="S1098" s="11"/>
      <c r="T1098" s="10">
        <f>+E1097</f>
        <v>0</v>
      </c>
      <c r="U1098" s="19" t="str">
        <f>IFERROR(LEFT(I1097,FIND("*",I1097)-1),"-")</f>
        <v>-</v>
      </c>
      <c r="V1098" s="19" t="str">
        <f>IFERROR(RIGHT(I1097,LEN(I1097)-FIND("*",I1097)),"-")</f>
        <v>-</v>
      </c>
      <c r="W1098" s="20" t="str">
        <f t="shared" si="592"/>
        <v>-</v>
      </c>
      <c r="X1098" s="20" t="str">
        <f t="shared" ref="X1098" si="597">IFERROR(W1098*J1097,"-")</f>
        <v>-</v>
      </c>
      <c r="Z1098" s="33">
        <v>45185</v>
      </c>
    </row>
    <row r="1099" spans="1:26" ht="6.95" customHeight="1" x14ac:dyDescent="0.3">
      <c r="A1099" s="5"/>
      <c r="B1099" s="157"/>
      <c r="C1099" s="158"/>
      <c r="D1099" s="161"/>
      <c r="E1099" s="162"/>
      <c r="F1099" s="163"/>
      <c r="G1099" s="164"/>
      <c r="H1099" s="165"/>
      <c r="I1099" s="164"/>
      <c r="J1099" s="165"/>
      <c r="K1099" s="164"/>
      <c r="L1099" s="165"/>
      <c r="M1099" s="6"/>
      <c r="N1099" s="32"/>
      <c r="Q1099" s="10" t="str">
        <f>+CONCATENATE(E1097,K1097)</f>
        <v/>
      </c>
      <c r="R1099" s="10">
        <f>+L1097</f>
        <v>0</v>
      </c>
      <c r="S1099" s="11"/>
      <c r="T1099" s="10">
        <f>+E1097</f>
        <v>0</v>
      </c>
      <c r="U1099" s="19" t="str">
        <f>IFERROR(LEFT(K1097,FIND("*",K1097)-1),"-")</f>
        <v>-</v>
      </c>
      <c r="V1099" s="19" t="str">
        <f>IFERROR(RIGHT(K1097,LEN(K1097)-FIND("*",K1097)),"-")</f>
        <v>-</v>
      </c>
      <c r="W1099" s="20" t="str">
        <f t="shared" si="592"/>
        <v>-</v>
      </c>
      <c r="X1099" s="20" t="str">
        <f>IFERROR(W1099*L1097,"-")</f>
        <v>-</v>
      </c>
      <c r="Z1099" s="33">
        <v>45185</v>
      </c>
    </row>
    <row r="1100" spans="1:26" ht="21" customHeight="1" thickBot="1" x14ac:dyDescent="0.35">
      <c r="A1100" s="5"/>
      <c r="B1100" s="159"/>
      <c r="C1100" s="160"/>
      <c r="D1100" s="166" t="s">
        <v>43</v>
      </c>
      <c r="E1100" s="167"/>
      <c r="F1100" s="167"/>
      <c r="G1100" s="168"/>
      <c r="H1100" s="168"/>
      <c r="I1100" s="168"/>
      <c r="J1100" s="168"/>
      <c r="K1100" s="168"/>
      <c r="L1100" s="168"/>
      <c r="M1100" s="7"/>
      <c r="N1100" s="32"/>
      <c r="Z1100" s="33">
        <v>45185</v>
      </c>
    </row>
    <row r="1101" spans="1:26" ht="9.9499999999999993" customHeight="1" thickBot="1" x14ac:dyDescent="0.35">
      <c r="B1101" s="9"/>
      <c r="C1101" s="109">
        <v>900</v>
      </c>
      <c r="D1101" s="51"/>
      <c r="E1101" s="12"/>
      <c r="F1101" s="51"/>
      <c r="G1101" s="14"/>
      <c r="H1101" s="14"/>
      <c r="I1101" s="14"/>
      <c r="J1101" s="14"/>
      <c r="K1101" s="14"/>
      <c r="L1101" s="14"/>
      <c r="M1101" s="9"/>
      <c r="N1101" s="32"/>
      <c r="U1101" s="18"/>
      <c r="V1101" s="18"/>
      <c r="Z1101" s="33">
        <v>45185</v>
      </c>
    </row>
    <row r="1102" spans="1:26" ht="6.95" customHeight="1" x14ac:dyDescent="0.3">
      <c r="A1102" s="154">
        <f>+A1091+1</f>
        <v>901</v>
      </c>
      <c r="B1102" s="155"/>
      <c r="C1102" s="156"/>
      <c r="D1102" s="161" t="s">
        <v>39</v>
      </c>
      <c r="E1102" s="162" t="s">
        <v>270</v>
      </c>
      <c r="F1102" s="163" t="s">
        <v>40</v>
      </c>
      <c r="G1102" s="164" t="s">
        <v>275</v>
      </c>
      <c r="H1102" s="165">
        <v>1</v>
      </c>
      <c r="I1102" s="164"/>
      <c r="J1102" s="165"/>
      <c r="K1102" s="164"/>
      <c r="L1102" s="165"/>
      <c r="M1102" s="6"/>
      <c r="N1102" s="32"/>
      <c r="Q1102" s="10" t="str">
        <f>+CONCATENATE(E1102,G1102)</f>
        <v>무보온덕트벽체1600*400</v>
      </c>
      <c r="R1102" s="10">
        <f>+H1102</f>
        <v>1</v>
      </c>
      <c r="S1102" s="11"/>
      <c r="T1102" s="10" t="str">
        <f>+E1102</f>
        <v>무보온덕트벽체</v>
      </c>
      <c r="U1102" s="19" t="str">
        <f>IFERROR(LEFT(G1102,FIND("*",G1102)-1),"-")</f>
        <v>1600</v>
      </c>
      <c r="V1102" s="19" t="str">
        <f>IFERROR(RIGHT(G1102,LEN(G1102)-FIND("*",G1102)),"-")</f>
        <v>400</v>
      </c>
      <c r="W1102" s="20">
        <f>IFERROR((U1102+V1102)*2/1000,"-")</f>
        <v>4</v>
      </c>
      <c r="X1102" s="20">
        <f>IFERROR(W1102*H1102,"-")</f>
        <v>4</v>
      </c>
      <c r="Z1102" s="33">
        <v>45185</v>
      </c>
    </row>
    <row r="1103" spans="1:26" ht="6.95" customHeight="1" x14ac:dyDescent="0.3">
      <c r="A1103" s="154"/>
      <c r="B1103" s="157"/>
      <c r="C1103" s="158"/>
      <c r="D1103" s="161"/>
      <c r="E1103" s="162"/>
      <c r="F1103" s="163"/>
      <c r="G1103" s="164"/>
      <c r="H1103" s="165"/>
      <c r="I1103" s="164"/>
      <c r="J1103" s="165"/>
      <c r="K1103" s="164"/>
      <c r="L1103" s="165"/>
      <c r="M1103" s="6"/>
      <c r="N1103" s="32"/>
      <c r="Q1103" s="10" t="str">
        <f>+CONCATENATE(E1102,I1102)</f>
        <v>무보온덕트벽체</v>
      </c>
      <c r="R1103" s="10">
        <f>+J1102</f>
        <v>0</v>
      </c>
      <c r="S1103" s="11"/>
      <c r="T1103" s="10" t="str">
        <f>+E1102</f>
        <v>무보온덕트벽체</v>
      </c>
      <c r="U1103" s="19" t="str">
        <f>IFERROR(LEFT(I1102,FIND("*",I1102)-1),"-")</f>
        <v>-</v>
      </c>
      <c r="V1103" s="19" t="str">
        <f>IFERROR(RIGHT(I1102,LEN(I1102)-FIND("*",I1102)),"-")</f>
        <v>-</v>
      </c>
      <c r="W1103" s="20" t="str">
        <f t="shared" ref="W1103:W1110" si="598">IFERROR((U1103+V1103)*2/1000,"-")</f>
        <v>-</v>
      </c>
      <c r="X1103" s="20" t="str">
        <f>IFERROR(W1103*J1102,"-")</f>
        <v>-</v>
      </c>
      <c r="Z1103" s="33">
        <v>45185</v>
      </c>
    </row>
    <row r="1104" spans="1:26" ht="6.95" customHeight="1" x14ac:dyDescent="0.3">
      <c r="A1104" s="154"/>
      <c r="B1104" s="157"/>
      <c r="C1104" s="158"/>
      <c r="D1104" s="161"/>
      <c r="E1104" s="162"/>
      <c r="F1104" s="163"/>
      <c r="G1104" s="164"/>
      <c r="H1104" s="165"/>
      <c r="I1104" s="164"/>
      <c r="J1104" s="165"/>
      <c r="K1104" s="164"/>
      <c r="L1104" s="165"/>
      <c r="M1104" s="6"/>
      <c r="N1104" s="32"/>
      <c r="Q1104" s="10" t="str">
        <f>+CONCATENATE(E1102,K1102)</f>
        <v>무보온덕트벽체</v>
      </c>
      <c r="R1104" s="10">
        <f>+L1102</f>
        <v>0</v>
      </c>
      <c r="S1104" s="11"/>
      <c r="T1104" s="10" t="str">
        <f>+E1102</f>
        <v>무보온덕트벽체</v>
      </c>
      <c r="U1104" s="19" t="str">
        <f>IFERROR(LEFT(K1102,FIND("*",K1102)-1),"-")</f>
        <v>-</v>
      </c>
      <c r="V1104" s="19" t="str">
        <f>IFERROR(RIGHT(K1102,LEN(K1102)-FIND("*",K1102)),"-")</f>
        <v>-</v>
      </c>
      <c r="W1104" s="20" t="str">
        <f t="shared" si="598"/>
        <v>-</v>
      </c>
      <c r="X1104" s="20" t="str">
        <f>IFERROR(W1104*L1102,"-")</f>
        <v>-</v>
      </c>
      <c r="Z1104" s="33">
        <v>45185</v>
      </c>
    </row>
    <row r="1105" spans="1:26" ht="6.95" customHeight="1" x14ac:dyDescent="0.3">
      <c r="A1105" s="8"/>
      <c r="B1105" s="157"/>
      <c r="C1105" s="158"/>
      <c r="D1105" s="161" t="s">
        <v>39</v>
      </c>
      <c r="E1105" s="162" t="s">
        <v>66</v>
      </c>
      <c r="F1105" s="163" t="s">
        <v>40</v>
      </c>
      <c r="G1105" s="164" t="s">
        <v>275</v>
      </c>
      <c r="H1105" s="165">
        <v>1</v>
      </c>
      <c r="I1105" s="164"/>
      <c r="J1105" s="165"/>
      <c r="K1105" s="164"/>
      <c r="L1105" s="165"/>
      <c r="M1105" s="6"/>
      <c r="N1105" s="32"/>
      <c r="Q1105" s="10" t="str">
        <f>+CONCATENATE(E1105,G1105)</f>
        <v>차열재마감1600*400</v>
      </c>
      <c r="R1105" s="10">
        <f>+H1105</f>
        <v>1</v>
      </c>
      <c r="S1105" s="11"/>
      <c r="T1105" s="10" t="str">
        <f>+E1105</f>
        <v>차열재마감</v>
      </c>
      <c r="U1105" s="19" t="str">
        <f t="shared" ref="U1105" si="599">IFERROR(LEFT(G1105,FIND("*",G1105)-1),"-")</f>
        <v>1600</v>
      </c>
      <c r="V1105" s="19" t="str">
        <f t="shared" ref="V1105" si="600">IFERROR(RIGHT(G1105,LEN(G1105)-FIND("*",G1105)),"-")</f>
        <v>400</v>
      </c>
      <c r="W1105" s="20">
        <f t="shared" si="598"/>
        <v>4</v>
      </c>
      <c r="X1105" s="20">
        <f>IFERROR(W1105*H1105,"-")</f>
        <v>4</v>
      </c>
      <c r="Z1105" s="33">
        <v>45185</v>
      </c>
    </row>
    <row r="1106" spans="1:26" ht="6.95" customHeight="1" x14ac:dyDescent="0.3">
      <c r="A1106" s="5"/>
      <c r="B1106" s="157"/>
      <c r="C1106" s="158"/>
      <c r="D1106" s="161"/>
      <c r="E1106" s="162"/>
      <c r="F1106" s="163"/>
      <c r="G1106" s="164"/>
      <c r="H1106" s="165"/>
      <c r="I1106" s="164"/>
      <c r="J1106" s="165"/>
      <c r="K1106" s="164"/>
      <c r="L1106" s="165"/>
      <c r="M1106" s="6"/>
      <c r="N1106" s="32"/>
      <c r="Q1106" s="10" t="str">
        <f>+CONCATENATE(E1105,I1105)</f>
        <v>차열재마감</v>
      </c>
      <c r="R1106" s="10">
        <f>+J1105</f>
        <v>0</v>
      </c>
      <c r="S1106" s="11"/>
      <c r="T1106" s="10" t="str">
        <f>+E1105</f>
        <v>차열재마감</v>
      </c>
      <c r="U1106" s="19" t="str">
        <f>IFERROR(LEFT(I1105,FIND("*",I1105)-1),"-")</f>
        <v>-</v>
      </c>
      <c r="V1106" s="19" t="str">
        <f>IFERROR(RIGHT(I1105,LEN(I1105)-FIND("*",I1105)),"-")</f>
        <v>-</v>
      </c>
      <c r="W1106" s="20" t="str">
        <f t="shared" si="598"/>
        <v>-</v>
      </c>
      <c r="X1106" s="20" t="str">
        <f>IFERROR(W1106*J1105,"-")</f>
        <v>-</v>
      </c>
      <c r="Z1106" s="33">
        <v>45185</v>
      </c>
    </row>
    <row r="1107" spans="1:26" ht="6.95" customHeight="1" x14ac:dyDescent="0.3">
      <c r="A1107" s="5"/>
      <c r="B1107" s="157"/>
      <c r="C1107" s="158"/>
      <c r="D1107" s="161"/>
      <c r="E1107" s="162"/>
      <c r="F1107" s="163"/>
      <c r="G1107" s="164"/>
      <c r="H1107" s="165"/>
      <c r="I1107" s="164"/>
      <c r="J1107" s="165"/>
      <c r="K1107" s="164"/>
      <c r="L1107" s="165"/>
      <c r="M1107" s="6"/>
      <c r="N1107" s="32"/>
      <c r="Q1107" s="10" t="str">
        <f>+CONCATENATE(E1105,K1105)</f>
        <v>차열재마감</v>
      </c>
      <c r="R1107" s="10">
        <f>+L1105</f>
        <v>0</v>
      </c>
      <c r="S1107" s="11"/>
      <c r="T1107" s="10" t="str">
        <f>+E1105</f>
        <v>차열재마감</v>
      </c>
      <c r="U1107" s="19" t="str">
        <f>IFERROR(LEFT(K1105,FIND("*",K1105)-1),"-")</f>
        <v>-</v>
      </c>
      <c r="V1107" s="19" t="str">
        <f>IFERROR(RIGHT(K1105,LEN(K1105)-FIND("*",K1105)),"-")</f>
        <v>-</v>
      </c>
      <c r="W1107" s="20" t="str">
        <f t="shared" si="598"/>
        <v>-</v>
      </c>
      <c r="X1107" s="20" t="str">
        <f>IFERROR(W1107*L1105,"-")</f>
        <v>-</v>
      </c>
      <c r="Z1107" s="33">
        <v>45185</v>
      </c>
    </row>
    <row r="1108" spans="1:26" ht="6.95" customHeight="1" x14ac:dyDescent="0.3">
      <c r="A1108" s="8"/>
      <c r="B1108" s="157"/>
      <c r="C1108" s="158"/>
      <c r="D1108" s="161" t="s">
        <v>39</v>
      </c>
      <c r="E1108" s="162"/>
      <c r="F1108" s="163" t="s">
        <v>40</v>
      </c>
      <c r="G1108" s="164"/>
      <c r="H1108" s="165"/>
      <c r="I1108" s="164"/>
      <c r="J1108" s="165"/>
      <c r="K1108" s="164"/>
      <c r="L1108" s="165"/>
      <c r="M1108" s="6"/>
      <c r="N1108" s="32"/>
      <c r="Q1108" s="10" t="str">
        <f>+CONCATENATE(E1108,G1108)</f>
        <v/>
      </c>
      <c r="R1108" s="10">
        <f>+H1108</f>
        <v>0</v>
      </c>
      <c r="S1108" s="11"/>
      <c r="T1108" s="10">
        <f>+E1108</f>
        <v>0</v>
      </c>
      <c r="U1108" s="19" t="str">
        <f t="shared" ref="U1108" si="601">IFERROR(LEFT(G1108,FIND("*",G1108)-1),"-")</f>
        <v>-</v>
      </c>
      <c r="V1108" s="19" t="str">
        <f t="shared" ref="V1108" si="602">IFERROR(RIGHT(G1108,LEN(G1108)-FIND("*",G1108)),"-")</f>
        <v>-</v>
      </c>
      <c r="W1108" s="20" t="str">
        <f t="shared" si="598"/>
        <v>-</v>
      </c>
      <c r="X1108" s="20" t="str">
        <f>IFERROR(W1108*H1108,"-")</f>
        <v>-</v>
      </c>
      <c r="Z1108" s="33">
        <v>45185</v>
      </c>
    </row>
    <row r="1109" spans="1:26" ht="6.95" customHeight="1" x14ac:dyDescent="0.3">
      <c r="A1109" s="5"/>
      <c r="B1109" s="157"/>
      <c r="C1109" s="158"/>
      <c r="D1109" s="161"/>
      <c r="E1109" s="162"/>
      <c r="F1109" s="163"/>
      <c r="G1109" s="164"/>
      <c r="H1109" s="165"/>
      <c r="I1109" s="164"/>
      <c r="J1109" s="165"/>
      <c r="K1109" s="164"/>
      <c r="L1109" s="165"/>
      <c r="M1109" s="6"/>
      <c r="N1109" s="32"/>
      <c r="Q1109" s="10" t="str">
        <f>+CONCATENATE(E1108,I1108)</f>
        <v/>
      </c>
      <c r="R1109" s="10">
        <f>+J1108</f>
        <v>0</v>
      </c>
      <c r="S1109" s="11"/>
      <c r="T1109" s="10">
        <f>+E1108</f>
        <v>0</v>
      </c>
      <c r="U1109" s="19" t="str">
        <f>IFERROR(LEFT(I1108,FIND("*",I1108)-1),"-")</f>
        <v>-</v>
      </c>
      <c r="V1109" s="19" t="str">
        <f>IFERROR(RIGHT(I1108,LEN(I1108)-FIND("*",I1108)),"-")</f>
        <v>-</v>
      </c>
      <c r="W1109" s="20" t="str">
        <f t="shared" si="598"/>
        <v>-</v>
      </c>
      <c r="X1109" s="20" t="str">
        <f t="shared" ref="X1109" si="603">IFERROR(W1109*J1108,"-")</f>
        <v>-</v>
      </c>
      <c r="Z1109" s="33">
        <v>45185</v>
      </c>
    </row>
    <row r="1110" spans="1:26" ht="6.95" customHeight="1" x14ac:dyDescent="0.3">
      <c r="A1110" s="5"/>
      <c r="B1110" s="157"/>
      <c r="C1110" s="158"/>
      <c r="D1110" s="161"/>
      <c r="E1110" s="162"/>
      <c r="F1110" s="163"/>
      <c r="G1110" s="164"/>
      <c r="H1110" s="165"/>
      <c r="I1110" s="164"/>
      <c r="J1110" s="165"/>
      <c r="K1110" s="164"/>
      <c r="L1110" s="165"/>
      <c r="M1110" s="6"/>
      <c r="N1110" s="32"/>
      <c r="Q1110" s="10" t="str">
        <f>+CONCATENATE(E1108,K1108)</f>
        <v/>
      </c>
      <c r="R1110" s="10">
        <f>+L1108</f>
        <v>0</v>
      </c>
      <c r="S1110" s="11"/>
      <c r="T1110" s="10">
        <f>+E1108</f>
        <v>0</v>
      </c>
      <c r="U1110" s="19" t="str">
        <f>IFERROR(LEFT(K1108,FIND("*",K1108)-1),"-")</f>
        <v>-</v>
      </c>
      <c r="V1110" s="19" t="str">
        <f>IFERROR(RIGHT(K1108,LEN(K1108)-FIND("*",K1108)),"-")</f>
        <v>-</v>
      </c>
      <c r="W1110" s="20" t="str">
        <f t="shared" si="598"/>
        <v>-</v>
      </c>
      <c r="X1110" s="20" t="str">
        <f>IFERROR(W1110*L1108,"-")</f>
        <v>-</v>
      </c>
      <c r="Z1110" s="33">
        <v>45185</v>
      </c>
    </row>
    <row r="1111" spans="1:26" ht="21" customHeight="1" thickBot="1" x14ac:dyDescent="0.35">
      <c r="A1111" s="5"/>
      <c r="B1111" s="159"/>
      <c r="C1111" s="160"/>
      <c r="D1111" s="166" t="s">
        <v>43</v>
      </c>
      <c r="E1111" s="167"/>
      <c r="F1111" s="167"/>
      <c r="G1111" s="168"/>
      <c r="H1111" s="168"/>
      <c r="I1111" s="168"/>
      <c r="J1111" s="168"/>
      <c r="K1111" s="168"/>
      <c r="L1111" s="168"/>
      <c r="M1111" s="7"/>
      <c r="N1111" s="32"/>
      <c r="Z1111" s="33">
        <v>45185</v>
      </c>
    </row>
    <row r="1112" spans="1:26" ht="9.9499999999999993" customHeight="1" thickBot="1" x14ac:dyDescent="0.35">
      <c r="B1112" s="9"/>
      <c r="C1112" s="109">
        <v>901</v>
      </c>
      <c r="D1112" s="51"/>
      <c r="E1112" s="12"/>
      <c r="F1112" s="51"/>
      <c r="G1112" s="14"/>
      <c r="H1112" s="14"/>
      <c r="I1112" s="14"/>
      <c r="J1112" s="14"/>
      <c r="K1112" s="14"/>
      <c r="L1112" s="14"/>
      <c r="M1112" s="9"/>
      <c r="N1112" s="32"/>
      <c r="U1112" s="18"/>
      <c r="V1112" s="18"/>
      <c r="Z1112" s="33">
        <v>45185</v>
      </c>
    </row>
    <row r="1113" spans="1:26" ht="6.95" customHeight="1" x14ac:dyDescent="0.3">
      <c r="A1113" s="154">
        <f>+A1102+1</f>
        <v>902</v>
      </c>
      <c r="B1113" s="155"/>
      <c r="C1113" s="156"/>
      <c r="D1113" s="161" t="s">
        <v>39</v>
      </c>
      <c r="E1113" s="162" t="s">
        <v>209</v>
      </c>
      <c r="F1113" s="163" t="s">
        <v>40</v>
      </c>
      <c r="G1113" s="164" t="s">
        <v>275</v>
      </c>
      <c r="H1113" s="165">
        <v>1</v>
      </c>
      <c r="I1113" s="164"/>
      <c r="J1113" s="165"/>
      <c r="K1113" s="164"/>
      <c r="L1113" s="165"/>
      <c r="M1113" s="6"/>
      <c r="N1113" s="32"/>
      <c r="Q1113" s="10" t="str">
        <f>+CONCATENATE(E1113,G1113)</f>
        <v>보온덕트벽체1600*400</v>
      </c>
      <c r="R1113" s="10">
        <f>+H1113</f>
        <v>1</v>
      </c>
      <c r="S1113" s="11"/>
      <c r="T1113" s="10" t="str">
        <f>+E1113</f>
        <v>보온덕트벽체</v>
      </c>
      <c r="U1113" s="19" t="str">
        <f>IFERROR(LEFT(G1113,FIND("*",G1113)-1),"-")</f>
        <v>1600</v>
      </c>
      <c r="V1113" s="19" t="str">
        <f>IFERROR(RIGHT(G1113,LEN(G1113)-FIND("*",G1113)),"-")</f>
        <v>400</v>
      </c>
      <c r="W1113" s="20">
        <f>IFERROR((U1113+V1113)*2/1000,"-")</f>
        <v>4</v>
      </c>
      <c r="X1113" s="20">
        <f>IFERROR(W1113*H1113,"-")</f>
        <v>4</v>
      </c>
      <c r="Z1113" s="33">
        <v>45185</v>
      </c>
    </row>
    <row r="1114" spans="1:26" ht="6.95" customHeight="1" x14ac:dyDescent="0.3">
      <c r="A1114" s="154"/>
      <c r="B1114" s="157"/>
      <c r="C1114" s="158"/>
      <c r="D1114" s="161"/>
      <c r="E1114" s="162"/>
      <c r="F1114" s="163"/>
      <c r="G1114" s="164"/>
      <c r="H1114" s="165"/>
      <c r="I1114" s="164"/>
      <c r="J1114" s="165"/>
      <c r="K1114" s="164"/>
      <c r="L1114" s="165"/>
      <c r="M1114" s="6"/>
      <c r="N1114" s="32"/>
      <c r="Q1114" s="10" t="str">
        <f>+CONCATENATE(E1113,I1113)</f>
        <v>보온덕트벽체</v>
      </c>
      <c r="R1114" s="10">
        <f>+J1113</f>
        <v>0</v>
      </c>
      <c r="S1114" s="11"/>
      <c r="T1114" s="10" t="str">
        <f>+E1113</f>
        <v>보온덕트벽체</v>
      </c>
      <c r="U1114" s="19" t="str">
        <f>IFERROR(LEFT(I1113,FIND("*",I1113)-1),"-")</f>
        <v>-</v>
      </c>
      <c r="V1114" s="19" t="str">
        <f>IFERROR(RIGHT(I1113,LEN(I1113)-FIND("*",I1113)),"-")</f>
        <v>-</v>
      </c>
      <c r="W1114" s="20" t="str">
        <f t="shared" ref="W1114:W1121" si="604">IFERROR((U1114+V1114)*2/1000,"-")</f>
        <v>-</v>
      </c>
      <c r="X1114" s="20" t="str">
        <f>IFERROR(W1114*J1113,"-")</f>
        <v>-</v>
      </c>
      <c r="Z1114" s="33">
        <v>45185</v>
      </c>
    </row>
    <row r="1115" spans="1:26" ht="6.95" customHeight="1" x14ac:dyDescent="0.3">
      <c r="A1115" s="154"/>
      <c r="B1115" s="157"/>
      <c r="C1115" s="158"/>
      <c r="D1115" s="161"/>
      <c r="E1115" s="162"/>
      <c r="F1115" s="163"/>
      <c r="G1115" s="164"/>
      <c r="H1115" s="165"/>
      <c r="I1115" s="164"/>
      <c r="J1115" s="165"/>
      <c r="K1115" s="164"/>
      <c r="L1115" s="165"/>
      <c r="M1115" s="6"/>
      <c r="N1115" s="32"/>
      <c r="Q1115" s="10" t="str">
        <f>+CONCATENATE(E1113,K1113)</f>
        <v>보온덕트벽체</v>
      </c>
      <c r="R1115" s="10">
        <f>+L1113</f>
        <v>0</v>
      </c>
      <c r="S1115" s="11"/>
      <c r="T1115" s="10" t="str">
        <f>+E1113</f>
        <v>보온덕트벽체</v>
      </c>
      <c r="U1115" s="19" t="str">
        <f>IFERROR(LEFT(K1113,FIND("*",K1113)-1),"-")</f>
        <v>-</v>
      </c>
      <c r="V1115" s="19" t="str">
        <f>IFERROR(RIGHT(K1113,LEN(K1113)-FIND("*",K1113)),"-")</f>
        <v>-</v>
      </c>
      <c r="W1115" s="20" t="str">
        <f t="shared" si="604"/>
        <v>-</v>
      </c>
      <c r="X1115" s="20" t="str">
        <f>IFERROR(W1115*L1113,"-")</f>
        <v>-</v>
      </c>
      <c r="Z1115" s="33">
        <v>45185</v>
      </c>
    </row>
    <row r="1116" spans="1:26" ht="6.95" customHeight="1" x14ac:dyDescent="0.3">
      <c r="A1116" s="8"/>
      <c r="B1116" s="157"/>
      <c r="C1116" s="158"/>
      <c r="D1116" s="161" t="s">
        <v>39</v>
      </c>
      <c r="E1116" s="162" t="s">
        <v>66</v>
      </c>
      <c r="F1116" s="163" t="s">
        <v>40</v>
      </c>
      <c r="G1116" s="164" t="s">
        <v>275</v>
      </c>
      <c r="H1116" s="165">
        <v>2</v>
      </c>
      <c r="I1116" s="164"/>
      <c r="J1116" s="165"/>
      <c r="K1116" s="164"/>
      <c r="L1116" s="165"/>
      <c r="M1116" s="6"/>
      <c r="N1116" s="32"/>
      <c r="Q1116" s="10" t="str">
        <f>+CONCATENATE(E1116,G1116)</f>
        <v>차열재마감1600*400</v>
      </c>
      <c r="R1116" s="10">
        <f>+H1116</f>
        <v>2</v>
      </c>
      <c r="S1116" s="11"/>
      <c r="T1116" s="10" t="str">
        <f>+E1116</f>
        <v>차열재마감</v>
      </c>
      <c r="U1116" s="19" t="str">
        <f t="shared" ref="U1116" si="605">IFERROR(LEFT(G1116,FIND("*",G1116)-1),"-")</f>
        <v>1600</v>
      </c>
      <c r="V1116" s="19" t="str">
        <f t="shared" ref="V1116" si="606">IFERROR(RIGHT(G1116,LEN(G1116)-FIND("*",G1116)),"-")</f>
        <v>400</v>
      </c>
      <c r="W1116" s="20">
        <f t="shared" si="604"/>
        <v>4</v>
      </c>
      <c r="X1116" s="20">
        <f>IFERROR(W1116*H1116,"-")</f>
        <v>8</v>
      </c>
      <c r="Z1116" s="33">
        <v>45185</v>
      </c>
    </row>
    <row r="1117" spans="1:26" ht="6.95" customHeight="1" x14ac:dyDescent="0.3">
      <c r="A1117" s="5"/>
      <c r="B1117" s="157"/>
      <c r="C1117" s="158"/>
      <c r="D1117" s="161"/>
      <c r="E1117" s="162"/>
      <c r="F1117" s="163"/>
      <c r="G1117" s="164"/>
      <c r="H1117" s="165"/>
      <c r="I1117" s="164"/>
      <c r="J1117" s="165"/>
      <c r="K1117" s="164"/>
      <c r="L1117" s="165"/>
      <c r="M1117" s="6"/>
      <c r="N1117" s="32"/>
      <c r="Q1117" s="10" t="str">
        <f>+CONCATENATE(E1116,I1116)</f>
        <v>차열재마감</v>
      </c>
      <c r="R1117" s="10">
        <f>+J1116</f>
        <v>0</v>
      </c>
      <c r="S1117" s="11"/>
      <c r="T1117" s="10" t="str">
        <f>+E1116</f>
        <v>차열재마감</v>
      </c>
      <c r="U1117" s="19" t="str">
        <f>IFERROR(LEFT(I1116,FIND("*",I1116)-1),"-")</f>
        <v>-</v>
      </c>
      <c r="V1117" s="19" t="str">
        <f>IFERROR(RIGHT(I1116,LEN(I1116)-FIND("*",I1116)),"-")</f>
        <v>-</v>
      </c>
      <c r="W1117" s="20" t="str">
        <f t="shared" si="604"/>
        <v>-</v>
      </c>
      <c r="X1117" s="20" t="str">
        <f>IFERROR(W1117*J1116,"-")</f>
        <v>-</v>
      </c>
      <c r="Z1117" s="33">
        <v>45185</v>
      </c>
    </row>
    <row r="1118" spans="1:26" ht="6.95" customHeight="1" x14ac:dyDescent="0.3">
      <c r="A1118" s="5"/>
      <c r="B1118" s="157"/>
      <c r="C1118" s="158"/>
      <c r="D1118" s="161"/>
      <c r="E1118" s="162"/>
      <c r="F1118" s="163"/>
      <c r="G1118" s="164"/>
      <c r="H1118" s="165"/>
      <c r="I1118" s="164"/>
      <c r="J1118" s="165"/>
      <c r="K1118" s="164"/>
      <c r="L1118" s="165"/>
      <c r="M1118" s="6"/>
      <c r="N1118" s="32"/>
      <c r="Q1118" s="10" t="str">
        <f>+CONCATENATE(E1116,K1116)</f>
        <v>차열재마감</v>
      </c>
      <c r="R1118" s="10">
        <f>+L1116</f>
        <v>0</v>
      </c>
      <c r="S1118" s="11"/>
      <c r="T1118" s="10" t="str">
        <f>+E1116</f>
        <v>차열재마감</v>
      </c>
      <c r="U1118" s="19" t="str">
        <f>IFERROR(LEFT(K1116,FIND("*",K1116)-1),"-")</f>
        <v>-</v>
      </c>
      <c r="V1118" s="19" t="str">
        <f>IFERROR(RIGHT(K1116,LEN(K1116)-FIND("*",K1116)),"-")</f>
        <v>-</v>
      </c>
      <c r="W1118" s="20" t="str">
        <f t="shared" si="604"/>
        <v>-</v>
      </c>
      <c r="X1118" s="20" t="str">
        <f>IFERROR(W1118*L1116,"-")</f>
        <v>-</v>
      </c>
      <c r="Z1118" s="33">
        <v>45185</v>
      </c>
    </row>
    <row r="1119" spans="1:26" ht="6.95" customHeight="1" x14ac:dyDescent="0.3">
      <c r="A1119" s="8"/>
      <c r="B1119" s="157"/>
      <c r="C1119" s="158"/>
      <c r="D1119" s="161" t="s">
        <v>39</v>
      </c>
      <c r="E1119" s="162"/>
      <c r="F1119" s="163" t="s">
        <v>40</v>
      </c>
      <c r="G1119" s="164"/>
      <c r="H1119" s="165"/>
      <c r="I1119" s="164"/>
      <c r="J1119" s="165"/>
      <c r="K1119" s="164"/>
      <c r="L1119" s="165"/>
      <c r="M1119" s="6"/>
      <c r="N1119" s="32"/>
      <c r="Q1119" s="10" t="str">
        <f>+CONCATENATE(E1119,G1119)</f>
        <v/>
      </c>
      <c r="R1119" s="10">
        <f>+H1119</f>
        <v>0</v>
      </c>
      <c r="S1119" s="11"/>
      <c r="T1119" s="10">
        <f>+E1119</f>
        <v>0</v>
      </c>
      <c r="U1119" s="19" t="str">
        <f t="shared" ref="U1119" si="607">IFERROR(LEFT(G1119,FIND("*",G1119)-1),"-")</f>
        <v>-</v>
      </c>
      <c r="V1119" s="19" t="str">
        <f t="shared" ref="V1119" si="608">IFERROR(RIGHT(G1119,LEN(G1119)-FIND("*",G1119)),"-")</f>
        <v>-</v>
      </c>
      <c r="W1119" s="20" t="str">
        <f t="shared" si="604"/>
        <v>-</v>
      </c>
      <c r="X1119" s="20" t="str">
        <f>IFERROR(W1119*H1119,"-")</f>
        <v>-</v>
      </c>
      <c r="Z1119" s="33">
        <v>45185</v>
      </c>
    </row>
    <row r="1120" spans="1:26" ht="6.95" customHeight="1" x14ac:dyDescent="0.3">
      <c r="A1120" s="5"/>
      <c r="B1120" s="157"/>
      <c r="C1120" s="158"/>
      <c r="D1120" s="161"/>
      <c r="E1120" s="162"/>
      <c r="F1120" s="163"/>
      <c r="G1120" s="164"/>
      <c r="H1120" s="165"/>
      <c r="I1120" s="164"/>
      <c r="J1120" s="165"/>
      <c r="K1120" s="164"/>
      <c r="L1120" s="165"/>
      <c r="M1120" s="6"/>
      <c r="N1120" s="32"/>
      <c r="Q1120" s="10" t="str">
        <f>+CONCATENATE(E1119,I1119)</f>
        <v/>
      </c>
      <c r="R1120" s="10">
        <f>+J1119</f>
        <v>0</v>
      </c>
      <c r="S1120" s="11"/>
      <c r="T1120" s="10">
        <f>+E1119</f>
        <v>0</v>
      </c>
      <c r="U1120" s="19" t="str">
        <f>IFERROR(LEFT(I1119,FIND("*",I1119)-1),"-")</f>
        <v>-</v>
      </c>
      <c r="V1120" s="19" t="str">
        <f>IFERROR(RIGHT(I1119,LEN(I1119)-FIND("*",I1119)),"-")</f>
        <v>-</v>
      </c>
      <c r="W1120" s="20" t="str">
        <f t="shared" si="604"/>
        <v>-</v>
      </c>
      <c r="X1120" s="20" t="str">
        <f t="shared" ref="X1120" si="609">IFERROR(W1120*J1119,"-")</f>
        <v>-</v>
      </c>
      <c r="Z1120" s="33">
        <v>45185</v>
      </c>
    </row>
    <row r="1121" spans="1:26" ht="6.95" customHeight="1" x14ac:dyDescent="0.3">
      <c r="A1121" s="5"/>
      <c r="B1121" s="157"/>
      <c r="C1121" s="158"/>
      <c r="D1121" s="161"/>
      <c r="E1121" s="162"/>
      <c r="F1121" s="163"/>
      <c r="G1121" s="164"/>
      <c r="H1121" s="165"/>
      <c r="I1121" s="164"/>
      <c r="J1121" s="165"/>
      <c r="K1121" s="164"/>
      <c r="L1121" s="165"/>
      <c r="M1121" s="6"/>
      <c r="N1121" s="32"/>
      <c r="Q1121" s="10" t="str">
        <f>+CONCATENATE(E1119,K1119)</f>
        <v/>
      </c>
      <c r="R1121" s="10">
        <f>+L1119</f>
        <v>0</v>
      </c>
      <c r="S1121" s="11"/>
      <c r="T1121" s="10">
        <f>+E1119</f>
        <v>0</v>
      </c>
      <c r="U1121" s="19" t="str">
        <f>IFERROR(LEFT(K1119,FIND("*",K1119)-1),"-")</f>
        <v>-</v>
      </c>
      <c r="V1121" s="19" t="str">
        <f>IFERROR(RIGHT(K1119,LEN(K1119)-FIND("*",K1119)),"-")</f>
        <v>-</v>
      </c>
      <c r="W1121" s="20" t="str">
        <f t="shared" si="604"/>
        <v>-</v>
      </c>
      <c r="X1121" s="20" t="str">
        <f>IFERROR(W1121*L1119,"-")</f>
        <v>-</v>
      </c>
      <c r="Z1121" s="33">
        <v>45185</v>
      </c>
    </row>
    <row r="1122" spans="1:26" ht="21" customHeight="1" thickBot="1" x14ac:dyDescent="0.35">
      <c r="A1122" s="5"/>
      <c r="B1122" s="159"/>
      <c r="C1122" s="160"/>
      <c r="D1122" s="166" t="s">
        <v>43</v>
      </c>
      <c r="E1122" s="167"/>
      <c r="F1122" s="167"/>
      <c r="G1122" s="168"/>
      <c r="H1122" s="168"/>
      <c r="I1122" s="168"/>
      <c r="J1122" s="168"/>
      <c r="K1122" s="168"/>
      <c r="L1122" s="168"/>
      <c r="M1122" s="7"/>
      <c r="N1122" s="32"/>
      <c r="Z1122" s="33">
        <v>45185</v>
      </c>
    </row>
    <row r="1123" spans="1:26" ht="9.9499999999999993" customHeight="1" thickBot="1" x14ac:dyDescent="0.35">
      <c r="B1123" s="9"/>
      <c r="C1123" s="109">
        <v>902</v>
      </c>
      <c r="D1123" s="51"/>
      <c r="E1123" s="12"/>
      <c r="F1123" s="51"/>
      <c r="G1123" s="14"/>
      <c r="H1123" s="14"/>
      <c r="I1123" s="14"/>
      <c r="J1123" s="14"/>
      <c r="K1123" s="14"/>
      <c r="L1123" s="14"/>
      <c r="M1123" s="9"/>
      <c r="N1123" s="32"/>
      <c r="U1123" s="18"/>
      <c r="V1123" s="18"/>
      <c r="Z1123" s="33">
        <v>45185</v>
      </c>
    </row>
    <row r="1124" spans="1:26" ht="6.95" customHeight="1" x14ac:dyDescent="0.3">
      <c r="A1124" s="154">
        <f>+A1113+1</f>
        <v>903</v>
      </c>
      <c r="B1124" s="155"/>
      <c r="C1124" s="156"/>
      <c r="D1124" s="161" t="s">
        <v>39</v>
      </c>
      <c r="E1124" s="162" t="s">
        <v>274</v>
      </c>
      <c r="F1124" s="163" t="s">
        <v>40</v>
      </c>
      <c r="G1124" s="164">
        <v>50</v>
      </c>
      <c r="H1124" s="165">
        <v>1</v>
      </c>
      <c r="I1124" s="164"/>
      <c r="J1124" s="165"/>
      <c r="K1124" s="164"/>
      <c r="L1124" s="165"/>
      <c r="M1124" s="6"/>
      <c r="N1124" s="32"/>
      <c r="Q1124" s="10" t="str">
        <f>+CONCATENATE(E1124,G1124)</f>
        <v>금속관벽체50</v>
      </c>
      <c r="R1124" s="10">
        <f>+H1124</f>
        <v>1</v>
      </c>
      <c r="S1124" s="11"/>
      <c r="T1124" s="10" t="str">
        <f>+E1124</f>
        <v>금속관벽체</v>
      </c>
      <c r="U1124" s="19" t="str">
        <f>IFERROR(LEFT(G1124,FIND("*",G1124)-1),"-")</f>
        <v>-</v>
      </c>
      <c r="V1124" s="19" t="str">
        <f>IFERROR(RIGHT(G1124,LEN(G1124)-FIND("*",G1124)),"-")</f>
        <v>-</v>
      </c>
      <c r="W1124" s="20" t="str">
        <f>IFERROR((U1124+V1124)*2/1000,"-")</f>
        <v>-</v>
      </c>
      <c r="X1124" s="20" t="str">
        <f>IFERROR(W1124*H1124,"-")</f>
        <v>-</v>
      </c>
      <c r="Z1124" s="33">
        <v>45185</v>
      </c>
    </row>
    <row r="1125" spans="1:26" ht="6.95" customHeight="1" x14ac:dyDescent="0.3">
      <c r="A1125" s="154"/>
      <c r="B1125" s="157"/>
      <c r="C1125" s="158"/>
      <c r="D1125" s="161"/>
      <c r="E1125" s="162"/>
      <c r="F1125" s="163"/>
      <c r="G1125" s="164"/>
      <c r="H1125" s="165"/>
      <c r="I1125" s="164"/>
      <c r="J1125" s="165"/>
      <c r="K1125" s="164"/>
      <c r="L1125" s="165"/>
      <c r="M1125" s="6"/>
      <c r="N1125" s="32"/>
      <c r="Q1125" s="10" t="str">
        <f>+CONCATENATE(E1124,I1124)</f>
        <v>금속관벽체</v>
      </c>
      <c r="R1125" s="10">
        <f>+J1124</f>
        <v>0</v>
      </c>
      <c r="S1125" s="11"/>
      <c r="T1125" s="10" t="str">
        <f>+E1124</f>
        <v>금속관벽체</v>
      </c>
      <c r="U1125" s="19" t="str">
        <f>IFERROR(LEFT(I1124,FIND("*",I1124)-1),"-")</f>
        <v>-</v>
      </c>
      <c r="V1125" s="19" t="str">
        <f>IFERROR(RIGHT(I1124,LEN(I1124)-FIND("*",I1124)),"-")</f>
        <v>-</v>
      </c>
      <c r="W1125" s="20" t="str">
        <f t="shared" ref="W1125:W1132" si="610">IFERROR((U1125+V1125)*2/1000,"-")</f>
        <v>-</v>
      </c>
      <c r="X1125" s="20" t="str">
        <f>IFERROR(W1125*J1124,"-")</f>
        <v>-</v>
      </c>
      <c r="Z1125" s="33">
        <v>45185</v>
      </c>
    </row>
    <row r="1126" spans="1:26" ht="6.95" customHeight="1" x14ac:dyDescent="0.3">
      <c r="A1126" s="154"/>
      <c r="B1126" s="157"/>
      <c r="C1126" s="158"/>
      <c r="D1126" s="161"/>
      <c r="E1126" s="162"/>
      <c r="F1126" s="163"/>
      <c r="G1126" s="164"/>
      <c r="H1126" s="165"/>
      <c r="I1126" s="164"/>
      <c r="J1126" s="165"/>
      <c r="K1126" s="164"/>
      <c r="L1126" s="165"/>
      <c r="M1126" s="6"/>
      <c r="N1126" s="32"/>
      <c r="Q1126" s="10" t="str">
        <f>+CONCATENATE(E1124,K1124)</f>
        <v>금속관벽체</v>
      </c>
      <c r="R1126" s="10">
        <f>+L1124</f>
        <v>0</v>
      </c>
      <c r="S1126" s="11"/>
      <c r="T1126" s="10" t="str">
        <f>+E1124</f>
        <v>금속관벽체</v>
      </c>
      <c r="U1126" s="19" t="str">
        <f>IFERROR(LEFT(K1124,FIND("*",K1124)-1),"-")</f>
        <v>-</v>
      </c>
      <c r="V1126" s="19" t="str">
        <f>IFERROR(RIGHT(K1124,LEN(K1124)-FIND("*",K1124)),"-")</f>
        <v>-</v>
      </c>
      <c r="W1126" s="20" t="str">
        <f t="shared" si="610"/>
        <v>-</v>
      </c>
      <c r="X1126" s="20" t="str">
        <f>IFERROR(W1126*L1124,"-")</f>
        <v>-</v>
      </c>
      <c r="Z1126" s="33">
        <v>45185</v>
      </c>
    </row>
    <row r="1127" spans="1:26" ht="6.95" customHeight="1" x14ac:dyDescent="0.3">
      <c r="A1127" s="8"/>
      <c r="B1127" s="157"/>
      <c r="C1127" s="158"/>
      <c r="D1127" s="161" t="s">
        <v>39</v>
      </c>
      <c r="E1127" s="162"/>
      <c r="F1127" s="163" t="s">
        <v>40</v>
      </c>
      <c r="G1127" s="164"/>
      <c r="H1127" s="165"/>
      <c r="I1127" s="164"/>
      <c r="J1127" s="165"/>
      <c r="K1127" s="164"/>
      <c r="L1127" s="165"/>
      <c r="M1127" s="6"/>
      <c r="N1127" s="32"/>
      <c r="Q1127" s="10" t="str">
        <f>+CONCATENATE(E1127,G1127)</f>
        <v/>
      </c>
      <c r="R1127" s="10">
        <f>+H1127</f>
        <v>0</v>
      </c>
      <c r="S1127" s="11"/>
      <c r="T1127" s="10">
        <f>+E1127</f>
        <v>0</v>
      </c>
      <c r="U1127" s="19" t="str">
        <f t="shared" ref="U1127" si="611">IFERROR(LEFT(G1127,FIND("*",G1127)-1),"-")</f>
        <v>-</v>
      </c>
      <c r="V1127" s="19" t="str">
        <f t="shared" ref="V1127" si="612">IFERROR(RIGHT(G1127,LEN(G1127)-FIND("*",G1127)),"-")</f>
        <v>-</v>
      </c>
      <c r="W1127" s="20" t="str">
        <f t="shared" si="610"/>
        <v>-</v>
      </c>
      <c r="X1127" s="20" t="str">
        <f>IFERROR(W1127*H1127,"-")</f>
        <v>-</v>
      </c>
      <c r="Z1127" s="33">
        <v>45185</v>
      </c>
    </row>
    <row r="1128" spans="1:26" ht="6.95" customHeight="1" x14ac:dyDescent="0.3">
      <c r="A1128" s="5"/>
      <c r="B1128" s="157"/>
      <c r="C1128" s="158"/>
      <c r="D1128" s="161"/>
      <c r="E1128" s="162"/>
      <c r="F1128" s="163"/>
      <c r="G1128" s="164"/>
      <c r="H1128" s="165"/>
      <c r="I1128" s="164"/>
      <c r="J1128" s="165"/>
      <c r="K1128" s="164"/>
      <c r="L1128" s="165"/>
      <c r="M1128" s="6"/>
      <c r="N1128" s="32"/>
      <c r="Q1128" s="10" t="str">
        <f>+CONCATENATE(E1127,I1127)</f>
        <v/>
      </c>
      <c r="R1128" s="10">
        <f>+J1127</f>
        <v>0</v>
      </c>
      <c r="S1128" s="11"/>
      <c r="T1128" s="10">
        <f>+E1127</f>
        <v>0</v>
      </c>
      <c r="U1128" s="19" t="str">
        <f>IFERROR(LEFT(I1127,FIND("*",I1127)-1),"-")</f>
        <v>-</v>
      </c>
      <c r="V1128" s="19" t="str">
        <f>IFERROR(RIGHT(I1127,LEN(I1127)-FIND("*",I1127)),"-")</f>
        <v>-</v>
      </c>
      <c r="W1128" s="20" t="str">
        <f t="shared" si="610"/>
        <v>-</v>
      </c>
      <c r="X1128" s="20" t="str">
        <f>IFERROR(W1128*J1127,"-")</f>
        <v>-</v>
      </c>
      <c r="Z1128" s="33">
        <v>45185</v>
      </c>
    </row>
    <row r="1129" spans="1:26" ht="6.95" customHeight="1" x14ac:dyDescent="0.3">
      <c r="A1129" s="5"/>
      <c r="B1129" s="157"/>
      <c r="C1129" s="158"/>
      <c r="D1129" s="161"/>
      <c r="E1129" s="162"/>
      <c r="F1129" s="163"/>
      <c r="G1129" s="164"/>
      <c r="H1129" s="165"/>
      <c r="I1129" s="164"/>
      <c r="J1129" s="165"/>
      <c r="K1129" s="164"/>
      <c r="L1129" s="165"/>
      <c r="M1129" s="6"/>
      <c r="N1129" s="32"/>
      <c r="Q1129" s="10" t="str">
        <f>+CONCATENATE(E1127,K1127)</f>
        <v/>
      </c>
      <c r="R1129" s="10">
        <f>+L1127</f>
        <v>0</v>
      </c>
      <c r="S1129" s="11"/>
      <c r="T1129" s="10">
        <f>+E1127</f>
        <v>0</v>
      </c>
      <c r="U1129" s="19" t="str">
        <f>IFERROR(LEFT(K1127,FIND("*",K1127)-1),"-")</f>
        <v>-</v>
      </c>
      <c r="V1129" s="19" t="str">
        <f>IFERROR(RIGHT(K1127,LEN(K1127)-FIND("*",K1127)),"-")</f>
        <v>-</v>
      </c>
      <c r="W1129" s="20" t="str">
        <f t="shared" si="610"/>
        <v>-</v>
      </c>
      <c r="X1129" s="20" t="str">
        <f>IFERROR(W1129*L1127,"-")</f>
        <v>-</v>
      </c>
      <c r="Z1129" s="33">
        <v>45185</v>
      </c>
    </row>
    <row r="1130" spans="1:26" ht="6.95" customHeight="1" x14ac:dyDescent="0.3">
      <c r="A1130" s="8"/>
      <c r="B1130" s="157"/>
      <c r="C1130" s="158"/>
      <c r="D1130" s="161" t="s">
        <v>39</v>
      </c>
      <c r="E1130" s="162"/>
      <c r="F1130" s="163" t="s">
        <v>40</v>
      </c>
      <c r="G1130" s="164"/>
      <c r="H1130" s="165"/>
      <c r="I1130" s="164"/>
      <c r="J1130" s="165"/>
      <c r="K1130" s="164"/>
      <c r="L1130" s="165"/>
      <c r="M1130" s="6"/>
      <c r="N1130" s="32"/>
      <c r="Q1130" s="10" t="str">
        <f>+CONCATENATE(E1130,G1130)</f>
        <v/>
      </c>
      <c r="R1130" s="10">
        <f>+H1130</f>
        <v>0</v>
      </c>
      <c r="S1130" s="11"/>
      <c r="T1130" s="10">
        <f>+E1130</f>
        <v>0</v>
      </c>
      <c r="U1130" s="19" t="str">
        <f t="shared" ref="U1130" si="613">IFERROR(LEFT(G1130,FIND("*",G1130)-1),"-")</f>
        <v>-</v>
      </c>
      <c r="V1130" s="19" t="str">
        <f t="shared" ref="V1130" si="614">IFERROR(RIGHT(G1130,LEN(G1130)-FIND("*",G1130)),"-")</f>
        <v>-</v>
      </c>
      <c r="W1130" s="20" t="str">
        <f t="shared" si="610"/>
        <v>-</v>
      </c>
      <c r="X1130" s="20" t="str">
        <f>IFERROR(W1130*H1130,"-")</f>
        <v>-</v>
      </c>
      <c r="Z1130" s="33">
        <v>45185</v>
      </c>
    </row>
    <row r="1131" spans="1:26" ht="6.95" customHeight="1" x14ac:dyDescent="0.3">
      <c r="A1131" s="5"/>
      <c r="B1131" s="157"/>
      <c r="C1131" s="158"/>
      <c r="D1131" s="161"/>
      <c r="E1131" s="162"/>
      <c r="F1131" s="163"/>
      <c r="G1131" s="164"/>
      <c r="H1131" s="165"/>
      <c r="I1131" s="164"/>
      <c r="J1131" s="165"/>
      <c r="K1131" s="164"/>
      <c r="L1131" s="165"/>
      <c r="M1131" s="6"/>
      <c r="N1131" s="32"/>
      <c r="Q1131" s="10" t="str">
        <f>+CONCATENATE(E1130,I1130)</f>
        <v/>
      </c>
      <c r="R1131" s="10">
        <f>+J1130</f>
        <v>0</v>
      </c>
      <c r="S1131" s="11"/>
      <c r="T1131" s="10">
        <f>+E1130</f>
        <v>0</v>
      </c>
      <c r="U1131" s="19" t="str">
        <f>IFERROR(LEFT(I1130,FIND("*",I1130)-1),"-")</f>
        <v>-</v>
      </c>
      <c r="V1131" s="19" t="str">
        <f>IFERROR(RIGHT(I1130,LEN(I1130)-FIND("*",I1130)),"-")</f>
        <v>-</v>
      </c>
      <c r="W1131" s="20" t="str">
        <f t="shared" si="610"/>
        <v>-</v>
      </c>
      <c r="X1131" s="20" t="str">
        <f t="shared" ref="X1131" si="615">IFERROR(W1131*J1130,"-")</f>
        <v>-</v>
      </c>
      <c r="Z1131" s="33">
        <v>45185</v>
      </c>
    </row>
    <row r="1132" spans="1:26" ht="6.95" customHeight="1" x14ac:dyDescent="0.3">
      <c r="A1132" s="5"/>
      <c r="B1132" s="157"/>
      <c r="C1132" s="158"/>
      <c r="D1132" s="161"/>
      <c r="E1132" s="162"/>
      <c r="F1132" s="163"/>
      <c r="G1132" s="164"/>
      <c r="H1132" s="165"/>
      <c r="I1132" s="164"/>
      <c r="J1132" s="165"/>
      <c r="K1132" s="164"/>
      <c r="L1132" s="165"/>
      <c r="M1132" s="6"/>
      <c r="N1132" s="32"/>
      <c r="Q1132" s="10" t="str">
        <f>+CONCATENATE(E1130,K1130)</f>
        <v/>
      </c>
      <c r="R1132" s="10">
        <f>+L1130</f>
        <v>0</v>
      </c>
      <c r="S1132" s="11"/>
      <c r="T1132" s="10">
        <f>+E1130</f>
        <v>0</v>
      </c>
      <c r="U1132" s="19" t="str">
        <f>IFERROR(LEFT(K1130,FIND("*",K1130)-1),"-")</f>
        <v>-</v>
      </c>
      <c r="V1132" s="19" t="str">
        <f>IFERROR(RIGHT(K1130,LEN(K1130)-FIND("*",K1130)),"-")</f>
        <v>-</v>
      </c>
      <c r="W1132" s="20" t="str">
        <f t="shared" si="610"/>
        <v>-</v>
      </c>
      <c r="X1132" s="20" t="str">
        <f>IFERROR(W1132*L1130,"-")</f>
        <v>-</v>
      </c>
      <c r="Z1132" s="33">
        <v>45185</v>
      </c>
    </row>
    <row r="1133" spans="1:26" ht="21" customHeight="1" thickBot="1" x14ac:dyDescent="0.35">
      <c r="A1133" s="5"/>
      <c r="B1133" s="159"/>
      <c r="C1133" s="160"/>
      <c r="D1133" s="166" t="s">
        <v>43</v>
      </c>
      <c r="E1133" s="167"/>
      <c r="F1133" s="167"/>
      <c r="G1133" s="168"/>
      <c r="H1133" s="168"/>
      <c r="I1133" s="168"/>
      <c r="J1133" s="168"/>
      <c r="K1133" s="168"/>
      <c r="L1133" s="168"/>
      <c r="M1133" s="7"/>
      <c r="N1133" s="32"/>
      <c r="Z1133" s="33">
        <v>45185</v>
      </c>
    </row>
    <row r="1134" spans="1:26" ht="9.9499999999999993" customHeight="1" thickBot="1" x14ac:dyDescent="0.35">
      <c r="B1134" s="9"/>
      <c r="C1134" s="109">
        <v>903</v>
      </c>
      <c r="D1134" s="51"/>
      <c r="E1134" s="12"/>
      <c r="F1134" s="51"/>
      <c r="G1134" s="14"/>
      <c r="H1134" s="14"/>
      <c r="I1134" s="14"/>
      <c r="J1134" s="14"/>
      <c r="K1134" s="14"/>
      <c r="L1134" s="14"/>
      <c r="M1134" s="9"/>
      <c r="N1134" s="32"/>
      <c r="U1134" s="18"/>
      <c r="V1134" s="18"/>
      <c r="Z1134" s="33">
        <v>45185</v>
      </c>
    </row>
    <row r="1135" spans="1:26" ht="6.95" customHeight="1" x14ac:dyDescent="0.3">
      <c r="A1135" s="154">
        <f>+A1124+1</f>
        <v>904</v>
      </c>
      <c r="B1135" s="155"/>
      <c r="C1135" s="156"/>
      <c r="D1135" s="161" t="s">
        <v>39</v>
      </c>
      <c r="E1135" s="162" t="s">
        <v>270</v>
      </c>
      <c r="F1135" s="163" t="s">
        <v>40</v>
      </c>
      <c r="G1135" s="164" t="s">
        <v>275</v>
      </c>
      <c r="H1135" s="165">
        <v>1</v>
      </c>
      <c r="I1135" s="164"/>
      <c r="J1135" s="165"/>
      <c r="K1135" s="164"/>
      <c r="L1135" s="165"/>
      <c r="M1135" s="6"/>
      <c r="N1135" s="32"/>
      <c r="Q1135" s="10" t="str">
        <f>+CONCATENATE(E1135,G1135)</f>
        <v>무보온덕트벽체1600*400</v>
      </c>
      <c r="R1135" s="10">
        <f>+H1135</f>
        <v>1</v>
      </c>
      <c r="S1135" s="11"/>
      <c r="T1135" s="10" t="str">
        <f>+E1135</f>
        <v>무보온덕트벽체</v>
      </c>
      <c r="U1135" s="19" t="str">
        <f>IFERROR(LEFT(G1135,FIND("*",G1135)-1),"-")</f>
        <v>1600</v>
      </c>
      <c r="V1135" s="19" t="str">
        <f>IFERROR(RIGHT(G1135,LEN(G1135)-FIND("*",G1135)),"-")</f>
        <v>400</v>
      </c>
      <c r="W1135" s="20">
        <f>IFERROR((U1135+V1135)*2/1000,"-")</f>
        <v>4</v>
      </c>
      <c r="X1135" s="20">
        <f>IFERROR(W1135*H1135,"-")</f>
        <v>4</v>
      </c>
      <c r="Z1135" s="33">
        <v>45185</v>
      </c>
    </row>
    <row r="1136" spans="1:26" ht="6.95" customHeight="1" x14ac:dyDescent="0.3">
      <c r="A1136" s="154"/>
      <c r="B1136" s="157"/>
      <c r="C1136" s="158"/>
      <c r="D1136" s="161"/>
      <c r="E1136" s="162"/>
      <c r="F1136" s="163"/>
      <c r="G1136" s="164"/>
      <c r="H1136" s="165"/>
      <c r="I1136" s="164"/>
      <c r="J1136" s="165"/>
      <c r="K1136" s="164"/>
      <c r="L1136" s="165"/>
      <c r="M1136" s="6"/>
      <c r="N1136" s="32"/>
      <c r="Q1136" s="10" t="str">
        <f>+CONCATENATE(E1135,I1135)</f>
        <v>무보온덕트벽체</v>
      </c>
      <c r="R1136" s="10">
        <f>+J1135</f>
        <v>0</v>
      </c>
      <c r="S1136" s="11"/>
      <c r="T1136" s="10" t="str">
        <f>+E1135</f>
        <v>무보온덕트벽체</v>
      </c>
      <c r="U1136" s="19" t="str">
        <f>IFERROR(LEFT(I1135,FIND("*",I1135)-1),"-")</f>
        <v>-</v>
      </c>
      <c r="V1136" s="19" t="str">
        <f>IFERROR(RIGHT(I1135,LEN(I1135)-FIND("*",I1135)),"-")</f>
        <v>-</v>
      </c>
      <c r="W1136" s="20" t="str">
        <f t="shared" ref="W1136:W1143" si="616">IFERROR((U1136+V1136)*2/1000,"-")</f>
        <v>-</v>
      </c>
      <c r="X1136" s="20" t="str">
        <f>IFERROR(W1136*J1135,"-")</f>
        <v>-</v>
      </c>
      <c r="Z1136" s="33">
        <v>45185</v>
      </c>
    </row>
    <row r="1137" spans="1:26" ht="6.95" customHeight="1" x14ac:dyDescent="0.3">
      <c r="A1137" s="154"/>
      <c r="B1137" s="157"/>
      <c r="C1137" s="158"/>
      <c r="D1137" s="161"/>
      <c r="E1137" s="162"/>
      <c r="F1137" s="163"/>
      <c r="G1137" s="164"/>
      <c r="H1137" s="165"/>
      <c r="I1137" s="164"/>
      <c r="J1137" s="165"/>
      <c r="K1137" s="164"/>
      <c r="L1137" s="165"/>
      <c r="M1137" s="6"/>
      <c r="N1137" s="32"/>
      <c r="Q1137" s="10" t="str">
        <f>+CONCATENATE(E1135,K1135)</f>
        <v>무보온덕트벽체</v>
      </c>
      <c r="R1137" s="10">
        <f>+L1135</f>
        <v>0</v>
      </c>
      <c r="S1137" s="11"/>
      <c r="T1137" s="10" t="str">
        <f>+E1135</f>
        <v>무보온덕트벽체</v>
      </c>
      <c r="U1137" s="19" t="str">
        <f>IFERROR(LEFT(K1135,FIND("*",K1135)-1),"-")</f>
        <v>-</v>
      </c>
      <c r="V1137" s="19" t="str">
        <f>IFERROR(RIGHT(K1135,LEN(K1135)-FIND("*",K1135)),"-")</f>
        <v>-</v>
      </c>
      <c r="W1137" s="20" t="str">
        <f t="shared" si="616"/>
        <v>-</v>
      </c>
      <c r="X1137" s="20" t="str">
        <f>IFERROR(W1137*L1135,"-")</f>
        <v>-</v>
      </c>
      <c r="Z1137" s="33">
        <v>45185</v>
      </c>
    </row>
    <row r="1138" spans="1:26" ht="6.95" customHeight="1" x14ac:dyDescent="0.3">
      <c r="A1138" s="8"/>
      <c r="B1138" s="157"/>
      <c r="C1138" s="158"/>
      <c r="D1138" s="161" t="s">
        <v>39</v>
      </c>
      <c r="E1138" s="162" t="s">
        <v>66</v>
      </c>
      <c r="F1138" s="163" t="s">
        <v>40</v>
      </c>
      <c r="G1138" s="164" t="s">
        <v>275</v>
      </c>
      <c r="H1138" s="165">
        <v>1</v>
      </c>
      <c r="I1138" s="164"/>
      <c r="J1138" s="165"/>
      <c r="K1138" s="164"/>
      <c r="L1138" s="165"/>
      <c r="M1138" s="6"/>
      <c r="N1138" s="32"/>
      <c r="Q1138" s="10" t="str">
        <f>+CONCATENATE(E1138,G1138)</f>
        <v>차열재마감1600*400</v>
      </c>
      <c r="R1138" s="10">
        <f>+H1138</f>
        <v>1</v>
      </c>
      <c r="S1138" s="11"/>
      <c r="T1138" s="10" t="str">
        <f>+E1138</f>
        <v>차열재마감</v>
      </c>
      <c r="U1138" s="19" t="str">
        <f t="shared" ref="U1138" si="617">IFERROR(LEFT(G1138,FIND("*",G1138)-1),"-")</f>
        <v>1600</v>
      </c>
      <c r="V1138" s="19" t="str">
        <f t="shared" ref="V1138" si="618">IFERROR(RIGHT(G1138,LEN(G1138)-FIND("*",G1138)),"-")</f>
        <v>400</v>
      </c>
      <c r="W1138" s="20">
        <f t="shared" si="616"/>
        <v>4</v>
      </c>
      <c r="X1138" s="20">
        <f>IFERROR(W1138*H1138,"-")</f>
        <v>4</v>
      </c>
      <c r="Z1138" s="33">
        <v>45185</v>
      </c>
    </row>
    <row r="1139" spans="1:26" ht="6.95" customHeight="1" x14ac:dyDescent="0.3">
      <c r="A1139" s="5"/>
      <c r="B1139" s="157"/>
      <c r="C1139" s="158"/>
      <c r="D1139" s="161"/>
      <c r="E1139" s="162"/>
      <c r="F1139" s="163"/>
      <c r="G1139" s="164"/>
      <c r="H1139" s="165"/>
      <c r="I1139" s="164"/>
      <c r="J1139" s="165"/>
      <c r="K1139" s="164"/>
      <c r="L1139" s="165"/>
      <c r="M1139" s="6"/>
      <c r="N1139" s="32"/>
      <c r="Q1139" s="10" t="str">
        <f>+CONCATENATE(E1138,I1138)</f>
        <v>차열재마감</v>
      </c>
      <c r="R1139" s="10">
        <f>+J1138</f>
        <v>0</v>
      </c>
      <c r="S1139" s="11"/>
      <c r="T1139" s="10" t="str">
        <f>+E1138</f>
        <v>차열재마감</v>
      </c>
      <c r="U1139" s="19" t="str">
        <f>IFERROR(LEFT(I1138,FIND("*",I1138)-1),"-")</f>
        <v>-</v>
      </c>
      <c r="V1139" s="19" t="str">
        <f>IFERROR(RIGHT(I1138,LEN(I1138)-FIND("*",I1138)),"-")</f>
        <v>-</v>
      </c>
      <c r="W1139" s="20" t="str">
        <f t="shared" si="616"/>
        <v>-</v>
      </c>
      <c r="X1139" s="20" t="str">
        <f>IFERROR(W1139*J1138,"-")</f>
        <v>-</v>
      </c>
      <c r="Z1139" s="33">
        <v>45185</v>
      </c>
    </row>
    <row r="1140" spans="1:26" ht="6.95" customHeight="1" x14ac:dyDescent="0.3">
      <c r="A1140" s="5"/>
      <c r="B1140" s="157"/>
      <c r="C1140" s="158"/>
      <c r="D1140" s="161"/>
      <c r="E1140" s="162"/>
      <c r="F1140" s="163"/>
      <c r="G1140" s="164"/>
      <c r="H1140" s="165"/>
      <c r="I1140" s="164"/>
      <c r="J1140" s="165"/>
      <c r="K1140" s="164"/>
      <c r="L1140" s="165"/>
      <c r="M1140" s="6"/>
      <c r="N1140" s="32"/>
      <c r="Q1140" s="10" t="str">
        <f>+CONCATENATE(E1138,K1138)</f>
        <v>차열재마감</v>
      </c>
      <c r="R1140" s="10">
        <f>+L1138</f>
        <v>0</v>
      </c>
      <c r="S1140" s="11"/>
      <c r="T1140" s="10" t="str">
        <f>+E1138</f>
        <v>차열재마감</v>
      </c>
      <c r="U1140" s="19" t="str">
        <f>IFERROR(LEFT(K1138,FIND("*",K1138)-1),"-")</f>
        <v>-</v>
      </c>
      <c r="V1140" s="19" t="str">
        <f>IFERROR(RIGHT(K1138,LEN(K1138)-FIND("*",K1138)),"-")</f>
        <v>-</v>
      </c>
      <c r="W1140" s="20" t="str">
        <f t="shared" si="616"/>
        <v>-</v>
      </c>
      <c r="X1140" s="20" t="str">
        <f>IFERROR(W1140*L1138,"-")</f>
        <v>-</v>
      </c>
      <c r="Z1140" s="33">
        <v>45185</v>
      </c>
    </row>
    <row r="1141" spans="1:26" ht="6.95" customHeight="1" x14ac:dyDescent="0.3">
      <c r="A1141" s="8"/>
      <c r="B1141" s="157"/>
      <c r="C1141" s="158"/>
      <c r="D1141" s="161" t="s">
        <v>39</v>
      </c>
      <c r="E1141" s="162"/>
      <c r="F1141" s="163" t="s">
        <v>40</v>
      </c>
      <c r="G1141" s="164"/>
      <c r="H1141" s="165"/>
      <c r="I1141" s="164"/>
      <c r="J1141" s="165"/>
      <c r="K1141" s="164"/>
      <c r="L1141" s="165"/>
      <c r="M1141" s="6"/>
      <c r="N1141" s="32"/>
      <c r="Q1141" s="10" t="str">
        <f>+CONCATENATE(E1141,G1141)</f>
        <v/>
      </c>
      <c r="R1141" s="10">
        <f>+H1141</f>
        <v>0</v>
      </c>
      <c r="S1141" s="11"/>
      <c r="T1141" s="10">
        <f>+E1141</f>
        <v>0</v>
      </c>
      <c r="U1141" s="19" t="str">
        <f t="shared" ref="U1141" si="619">IFERROR(LEFT(G1141,FIND("*",G1141)-1),"-")</f>
        <v>-</v>
      </c>
      <c r="V1141" s="19" t="str">
        <f t="shared" ref="V1141" si="620">IFERROR(RIGHT(G1141,LEN(G1141)-FIND("*",G1141)),"-")</f>
        <v>-</v>
      </c>
      <c r="W1141" s="20" t="str">
        <f t="shared" si="616"/>
        <v>-</v>
      </c>
      <c r="X1141" s="20" t="str">
        <f>IFERROR(W1141*H1141,"-")</f>
        <v>-</v>
      </c>
      <c r="Z1141" s="33">
        <v>45185</v>
      </c>
    </row>
    <row r="1142" spans="1:26" ht="6.95" customHeight="1" x14ac:dyDescent="0.3">
      <c r="A1142" s="5"/>
      <c r="B1142" s="157"/>
      <c r="C1142" s="158"/>
      <c r="D1142" s="161"/>
      <c r="E1142" s="162"/>
      <c r="F1142" s="163"/>
      <c r="G1142" s="164"/>
      <c r="H1142" s="165"/>
      <c r="I1142" s="164"/>
      <c r="J1142" s="165"/>
      <c r="K1142" s="164"/>
      <c r="L1142" s="165"/>
      <c r="M1142" s="6"/>
      <c r="N1142" s="32"/>
      <c r="Q1142" s="10" t="str">
        <f>+CONCATENATE(E1141,I1141)</f>
        <v/>
      </c>
      <c r="R1142" s="10">
        <f>+J1141</f>
        <v>0</v>
      </c>
      <c r="S1142" s="11"/>
      <c r="T1142" s="10">
        <f>+E1141</f>
        <v>0</v>
      </c>
      <c r="U1142" s="19" t="str">
        <f>IFERROR(LEFT(I1141,FIND("*",I1141)-1),"-")</f>
        <v>-</v>
      </c>
      <c r="V1142" s="19" t="str">
        <f>IFERROR(RIGHT(I1141,LEN(I1141)-FIND("*",I1141)),"-")</f>
        <v>-</v>
      </c>
      <c r="W1142" s="20" t="str">
        <f t="shared" si="616"/>
        <v>-</v>
      </c>
      <c r="X1142" s="20" t="str">
        <f t="shared" ref="X1142" si="621">IFERROR(W1142*J1141,"-")</f>
        <v>-</v>
      </c>
      <c r="Z1142" s="33">
        <v>45185</v>
      </c>
    </row>
    <row r="1143" spans="1:26" ht="6.95" customHeight="1" x14ac:dyDescent="0.3">
      <c r="A1143" s="5"/>
      <c r="B1143" s="157"/>
      <c r="C1143" s="158"/>
      <c r="D1143" s="161"/>
      <c r="E1143" s="162"/>
      <c r="F1143" s="163"/>
      <c r="G1143" s="164"/>
      <c r="H1143" s="165"/>
      <c r="I1143" s="164"/>
      <c r="J1143" s="165"/>
      <c r="K1143" s="164"/>
      <c r="L1143" s="165"/>
      <c r="M1143" s="6"/>
      <c r="N1143" s="32"/>
      <c r="Q1143" s="10" t="str">
        <f>+CONCATENATE(E1141,K1141)</f>
        <v/>
      </c>
      <c r="R1143" s="10">
        <f>+L1141</f>
        <v>0</v>
      </c>
      <c r="S1143" s="11"/>
      <c r="T1143" s="10">
        <f>+E1141</f>
        <v>0</v>
      </c>
      <c r="U1143" s="19" t="str">
        <f>IFERROR(LEFT(K1141,FIND("*",K1141)-1),"-")</f>
        <v>-</v>
      </c>
      <c r="V1143" s="19" t="str">
        <f>IFERROR(RIGHT(K1141,LEN(K1141)-FIND("*",K1141)),"-")</f>
        <v>-</v>
      </c>
      <c r="W1143" s="20" t="str">
        <f t="shared" si="616"/>
        <v>-</v>
      </c>
      <c r="X1143" s="20" t="str">
        <f>IFERROR(W1143*L1141,"-")</f>
        <v>-</v>
      </c>
      <c r="Z1143" s="33">
        <v>45185</v>
      </c>
    </row>
    <row r="1144" spans="1:26" ht="21" customHeight="1" thickBot="1" x14ac:dyDescent="0.35">
      <c r="A1144" s="5"/>
      <c r="B1144" s="159"/>
      <c r="C1144" s="160"/>
      <c r="D1144" s="166" t="s">
        <v>43</v>
      </c>
      <c r="E1144" s="167"/>
      <c r="F1144" s="167"/>
      <c r="G1144" s="168"/>
      <c r="H1144" s="168"/>
      <c r="I1144" s="168"/>
      <c r="J1144" s="168"/>
      <c r="K1144" s="168"/>
      <c r="L1144" s="168"/>
      <c r="M1144" s="7"/>
      <c r="N1144" s="32"/>
      <c r="Z1144" s="33">
        <v>45185</v>
      </c>
    </row>
    <row r="1145" spans="1:26" ht="9.9499999999999993" customHeight="1" thickBot="1" x14ac:dyDescent="0.35">
      <c r="B1145" s="9"/>
      <c r="C1145" s="109">
        <v>904</v>
      </c>
      <c r="D1145" s="51"/>
      <c r="E1145" s="12"/>
      <c r="F1145" s="51"/>
      <c r="G1145" s="14"/>
      <c r="H1145" s="14"/>
      <c r="I1145" s="14"/>
      <c r="J1145" s="14"/>
      <c r="K1145" s="14"/>
      <c r="L1145" s="14"/>
      <c r="M1145" s="9"/>
      <c r="N1145" s="32"/>
      <c r="U1145" s="18"/>
      <c r="V1145" s="18"/>
      <c r="Z1145" s="33">
        <v>45185</v>
      </c>
    </row>
    <row r="1146" spans="1:26" ht="6.95" customHeight="1" x14ac:dyDescent="0.3">
      <c r="A1146" s="154">
        <f>+A1135+1</f>
        <v>905</v>
      </c>
      <c r="B1146" s="155"/>
      <c r="C1146" s="156"/>
      <c r="D1146" s="161" t="s">
        <v>39</v>
      </c>
      <c r="E1146" s="162" t="s">
        <v>209</v>
      </c>
      <c r="F1146" s="163" t="s">
        <v>40</v>
      </c>
      <c r="G1146" s="164" t="s">
        <v>275</v>
      </c>
      <c r="H1146" s="165">
        <v>1</v>
      </c>
      <c r="I1146" s="164"/>
      <c r="J1146" s="165"/>
      <c r="K1146" s="164"/>
      <c r="L1146" s="165"/>
      <c r="M1146" s="6"/>
      <c r="N1146" s="32"/>
      <c r="Q1146" s="10" t="str">
        <f>+CONCATENATE(E1146,G1146)</f>
        <v>보온덕트벽체1600*400</v>
      </c>
      <c r="R1146" s="10">
        <f>+H1146</f>
        <v>1</v>
      </c>
      <c r="S1146" s="11"/>
      <c r="T1146" s="10" t="str">
        <f>+E1146</f>
        <v>보온덕트벽체</v>
      </c>
      <c r="U1146" s="19" t="str">
        <f>IFERROR(LEFT(G1146,FIND("*",G1146)-1),"-")</f>
        <v>1600</v>
      </c>
      <c r="V1146" s="19" t="str">
        <f>IFERROR(RIGHT(G1146,LEN(G1146)-FIND("*",G1146)),"-")</f>
        <v>400</v>
      </c>
      <c r="W1146" s="20">
        <f>IFERROR((U1146+V1146)*2/1000,"-")</f>
        <v>4</v>
      </c>
      <c r="X1146" s="20">
        <f>IFERROR(W1146*H1146,"-")</f>
        <v>4</v>
      </c>
      <c r="Z1146" s="33">
        <v>45185</v>
      </c>
    </row>
    <row r="1147" spans="1:26" ht="6.95" customHeight="1" x14ac:dyDescent="0.3">
      <c r="A1147" s="154"/>
      <c r="B1147" s="157"/>
      <c r="C1147" s="158"/>
      <c r="D1147" s="161"/>
      <c r="E1147" s="162"/>
      <c r="F1147" s="163"/>
      <c r="G1147" s="164"/>
      <c r="H1147" s="165"/>
      <c r="I1147" s="164"/>
      <c r="J1147" s="165"/>
      <c r="K1147" s="164"/>
      <c r="L1147" s="165"/>
      <c r="M1147" s="6"/>
      <c r="N1147" s="32"/>
      <c r="Q1147" s="10" t="str">
        <f>+CONCATENATE(E1146,I1146)</f>
        <v>보온덕트벽체</v>
      </c>
      <c r="R1147" s="10">
        <f>+J1146</f>
        <v>0</v>
      </c>
      <c r="S1147" s="11"/>
      <c r="T1147" s="10" t="str">
        <f>+E1146</f>
        <v>보온덕트벽체</v>
      </c>
      <c r="U1147" s="19" t="str">
        <f>IFERROR(LEFT(I1146,FIND("*",I1146)-1),"-")</f>
        <v>-</v>
      </c>
      <c r="V1147" s="19" t="str">
        <f>IFERROR(RIGHT(I1146,LEN(I1146)-FIND("*",I1146)),"-")</f>
        <v>-</v>
      </c>
      <c r="W1147" s="20" t="str">
        <f t="shared" ref="W1147:W1154" si="622">IFERROR((U1147+V1147)*2/1000,"-")</f>
        <v>-</v>
      </c>
      <c r="X1147" s="20" t="str">
        <f>IFERROR(W1147*J1146,"-")</f>
        <v>-</v>
      </c>
      <c r="Z1147" s="33">
        <v>45185</v>
      </c>
    </row>
    <row r="1148" spans="1:26" ht="6.95" customHeight="1" x14ac:dyDescent="0.3">
      <c r="A1148" s="154"/>
      <c r="B1148" s="157"/>
      <c r="C1148" s="158"/>
      <c r="D1148" s="161"/>
      <c r="E1148" s="162"/>
      <c r="F1148" s="163"/>
      <c r="G1148" s="164"/>
      <c r="H1148" s="165"/>
      <c r="I1148" s="164"/>
      <c r="J1148" s="165"/>
      <c r="K1148" s="164"/>
      <c r="L1148" s="165"/>
      <c r="M1148" s="6"/>
      <c r="N1148" s="32"/>
      <c r="Q1148" s="10" t="str">
        <f>+CONCATENATE(E1146,K1146)</f>
        <v>보온덕트벽체</v>
      </c>
      <c r="R1148" s="10">
        <f>+L1146</f>
        <v>0</v>
      </c>
      <c r="S1148" s="11"/>
      <c r="T1148" s="10" t="str">
        <f>+E1146</f>
        <v>보온덕트벽체</v>
      </c>
      <c r="U1148" s="19" t="str">
        <f>IFERROR(LEFT(K1146,FIND("*",K1146)-1),"-")</f>
        <v>-</v>
      </c>
      <c r="V1148" s="19" t="str">
        <f>IFERROR(RIGHT(K1146,LEN(K1146)-FIND("*",K1146)),"-")</f>
        <v>-</v>
      </c>
      <c r="W1148" s="20" t="str">
        <f t="shared" si="622"/>
        <v>-</v>
      </c>
      <c r="X1148" s="20" t="str">
        <f>IFERROR(W1148*L1146,"-")</f>
        <v>-</v>
      </c>
      <c r="Z1148" s="33">
        <v>45185</v>
      </c>
    </row>
    <row r="1149" spans="1:26" ht="6.95" customHeight="1" x14ac:dyDescent="0.3">
      <c r="A1149" s="8"/>
      <c r="B1149" s="157"/>
      <c r="C1149" s="158"/>
      <c r="D1149" s="161" t="s">
        <v>39</v>
      </c>
      <c r="E1149" s="162" t="s">
        <v>66</v>
      </c>
      <c r="F1149" s="163" t="s">
        <v>40</v>
      </c>
      <c r="G1149" s="164" t="s">
        <v>275</v>
      </c>
      <c r="H1149" s="165">
        <v>2</v>
      </c>
      <c r="I1149" s="164"/>
      <c r="J1149" s="165"/>
      <c r="K1149" s="164"/>
      <c r="L1149" s="165"/>
      <c r="M1149" s="6"/>
      <c r="N1149" s="32"/>
      <c r="Q1149" s="10" t="str">
        <f>+CONCATENATE(E1149,G1149)</f>
        <v>차열재마감1600*400</v>
      </c>
      <c r="R1149" s="10">
        <f>+H1149</f>
        <v>2</v>
      </c>
      <c r="S1149" s="11"/>
      <c r="T1149" s="10" t="str">
        <f>+E1149</f>
        <v>차열재마감</v>
      </c>
      <c r="U1149" s="19" t="str">
        <f t="shared" ref="U1149" si="623">IFERROR(LEFT(G1149,FIND("*",G1149)-1),"-")</f>
        <v>1600</v>
      </c>
      <c r="V1149" s="19" t="str">
        <f t="shared" ref="V1149" si="624">IFERROR(RIGHT(G1149,LEN(G1149)-FIND("*",G1149)),"-")</f>
        <v>400</v>
      </c>
      <c r="W1149" s="20">
        <f t="shared" si="622"/>
        <v>4</v>
      </c>
      <c r="X1149" s="20">
        <f>IFERROR(W1149*H1149,"-")</f>
        <v>8</v>
      </c>
      <c r="Z1149" s="33">
        <v>45185</v>
      </c>
    </row>
    <row r="1150" spans="1:26" ht="6.95" customHeight="1" x14ac:dyDescent="0.3">
      <c r="A1150" s="5"/>
      <c r="B1150" s="157"/>
      <c r="C1150" s="158"/>
      <c r="D1150" s="161"/>
      <c r="E1150" s="162"/>
      <c r="F1150" s="163"/>
      <c r="G1150" s="164"/>
      <c r="H1150" s="165"/>
      <c r="I1150" s="164"/>
      <c r="J1150" s="165"/>
      <c r="K1150" s="164"/>
      <c r="L1150" s="165"/>
      <c r="M1150" s="6"/>
      <c r="N1150" s="32"/>
      <c r="Q1150" s="10" t="str">
        <f>+CONCATENATE(E1149,I1149)</f>
        <v>차열재마감</v>
      </c>
      <c r="R1150" s="10">
        <f>+J1149</f>
        <v>0</v>
      </c>
      <c r="S1150" s="11"/>
      <c r="T1150" s="10" t="str">
        <f>+E1149</f>
        <v>차열재마감</v>
      </c>
      <c r="U1150" s="19" t="str">
        <f>IFERROR(LEFT(I1149,FIND("*",I1149)-1),"-")</f>
        <v>-</v>
      </c>
      <c r="V1150" s="19" t="str">
        <f>IFERROR(RIGHT(I1149,LEN(I1149)-FIND("*",I1149)),"-")</f>
        <v>-</v>
      </c>
      <c r="W1150" s="20" t="str">
        <f t="shared" si="622"/>
        <v>-</v>
      </c>
      <c r="X1150" s="20" t="str">
        <f>IFERROR(W1150*J1149,"-")</f>
        <v>-</v>
      </c>
      <c r="Z1150" s="33">
        <v>45185</v>
      </c>
    </row>
    <row r="1151" spans="1:26" ht="6.95" customHeight="1" x14ac:dyDescent="0.3">
      <c r="A1151" s="5"/>
      <c r="B1151" s="157"/>
      <c r="C1151" s="158"/>
      <c r="D1151" s="161"/>
      <c r="E1151" s="162"/>
      <c r="F1151" s="163"/>
      <c r="G1151" s="164"/>
      <c r="H1151" s="165"/>
      <c r="I1151" s="164"/>
      <c r="J1151" s="165"/>
      <c r="K1151" s="164"/>
      <c r="L1151" s="165"/>
      <c r="M1151" s="6"/>
      <c r="N1151" s="32"/>
      <c r="Q1151" s="10" t="str">
        <f>+CONCATENATE(E1149,K1149)</f>
        <v>차열재마감</v>
      </c>
      <c r="R1151" s="10">
        <f>+L1149</f>
        <v>0</v>
      </c>
      <c r="S1151" s="11"/>
      <c r="T1151" s="10" t="str">
        <f>+E1149</f>
        <v>차열재마감</v>
      </c>
      <c r="U1151" s="19" t="str">
        <f>IFERROR(LEFT(K1149,FIND("*",K1149)-1),"-")</f>
        <v>-</v>
      </c>
      <c r="V1151" s="19" t="str">
        <f>IFERROR(RIGHT(K1149,LEN(K1149)-FIND("*",K1149)),"-")</f>
        <v>-</v>
      </c>
      <c r="W1151" s="20" t="str">
        <f t="shared" si="622"/>
        <v>-</v>
      </c>
      <c r="X1151" s="20" t="str">
        <f>IFERROR(W1151*L1149,"-")</f>
        <v>-</v>
      </c>
      <c r="Z1151" s="33">
        <v>45185</v>
      </c>
    </row>
    <row r="1152" spans="1:26" ht="6.95" customHeight="1" x14ac:dyDescent="0.3">
      <c r="A1152" s="8"/>
      <c r="B1152" s="157"/>
      <c r="C1152" s="158"/>
      <c r="D1152" s="161" t="s">
        <v>39</v>
      </c>
      <c r="E1152" s="162"/>
      <c r="F1152" s="163" t="s">
        <v>40</v>
      </c>
      <c r="G1152" s="164"/>
      <c r="H1152" s="165"/>
      <c r="I1152" s="164"/>
      <c r="J1152" s="165"/>
      <c r="K1152" s="164"/>
      <c r="L1152" s="165"/>
      <c r="M1152" s="6"/>
      <c r="N1152" s="32"/>
      <c r="Q1152" s="10" t="str">
        <f>+CONCATENATE(E1152,G1152)</f>
        <v/>
      </c>
      <c r="R1152" s="10">
        <f>+H1152</f>
        <v>0</v>
      </c>
      <c r="S1152" s="11"/>
      <c r="T1152" s="10">
        <f>+E1152</f>
        <v>0</v>
      </c>
      <c r="U1152" s="19" t="str">
        <f t="shared" ref="U1152" si="625">IFERROR(LEFT(G1152,FIND("*",G1152)-1),"-")</f>
        <v>-</v>
      </c>
      <c r="V1152" s="19" t="str">
        <f t="shared" ref="V1152" si="626">IFERROR(RIGHT(G1152,LEN(G1152)-FIND("*",G1152)),"-")</f>
        <v>-</v>
      </c>
      <c r="W1152" s="20" t="str">
        <f t="shared" si="622"/>
        <v>-</v>
      </c>
      <c r="X1152" s="20" t="str">
        <f>IFERROR(W1152*H1152,"-")</f>
        <v>-</v>
      </c>
      <c r="Z1152" s="33">
        <v>45185</v>
      </c>
    </row>
    <row r="1153" spans="1:26" ht="6.95" customHeight="1" x14ac:dyDescent="0.3">
      <c r="A1153" s="5"/>
      <c r="B1153" s="157"/>
      <c r="C1153" s="158"/>
      <c r="D1153" s="161"/>
      <c r="E1153" s="162"/>
      <c r="F1153" s="163"/>
      <c r="G1153" s="164"/>
      <c r="H1153" s="165"/>
      <c r="I1153" s="164"/>
      <c r="J1153" s="165"/>
      <c r="K1153" s="164"/>
      <c r="L1153" s="165"/>
      <c r="M1153" s="6"/>
      <c r="N1153" s="32"/>
      <c r="Q1153" s="10" t="str">
        <f>+CONCATENATE(E1152,I1152)</f>
        <v/>
      </c>
      <c r="R1153" s="10">
        <f>+J1152</f>
        <v>0</v>
      </c>
      <c r="S1153" s="11"/>
      <c r="T1153" s="10">
        <f>+E1152</f>
        <v>0</v>
      </c>
      <c r="U1153" s="19" t="str">
        <f>IFERROR(LEFT(I1152,FIND("*",I1152)-1),"-")</f>
        <v>-</v>
      </c>
      <c r="V1153" s="19" t="str">
        <f>IFERROR(RIGHT(I1152,LEN(I1152)-FIND("*",I1152)),"-")</f>
        <v>-</v>
      </c>
      <c r="W1153" s="20" t="str">
        <f t="shared" si="622"/>
        <v>-</v>
      </c>
      <c r="X1153" s="20" t="str">
        <f t="shared" ref="X1153" si="627">IFERROR(W1153*J1152,"-")</f>
        <v>-</v>
      </c>
      <c r="Z1153" s="33">
        <v>45185</v>
      </c>
    </row>
    <row r="1154" spans="1:26" ht="6.95" customHeight="1" x14ac:dyDescent="0.3">
      <c r="A1154" s="5"/>
      <c r="B1154" s="157"/>
      <c r="C1154" s="158"/>
      <c r="D1154" s="161"/>
      <c r="E1154" s="162"/>
      <c r="F1154" s="163"/>
      <c r="G1154" s="164"/>
      <c r="H1154" s="165"/>
      <c r="I1154" s="164"/>
      <c r="J1154" s="165"/>
      <c r="K1154" s="164"/>
      <c r="L1154" s="165"/>
      <c r="M1154" s="6"/>
      <c r="N1154" s="32"/>
      <c r="Q1154" s="10" t="str">
        <f>+CONCATENATE(E1152,K1152)</f>
        <v/>
      </c>
      <c r="R1154" s="10">
        <f>+L1152</f>
        <v>0</v>
      </c>
      <c r="S1154" s="11"/>
      <c r="T1154" s="10">
        <f>+E1152</f>
        <v>0</v>
      </c>
      <c r="U1154" s="19" t="str">
        <f>IFERROR(LEFT(K1152,FIND("*",K1152)-1),"-")</f>
        <v>-</v>
      </c>
      <c r="V1154" s="19" t="str">
        <f>IFERROR(RIGHT(K1152,LEN(K1152)-FIND("*",K1152)),"-")</f>
        <v>-</v>
      </c>
      <c r="W1154" s="20" t="str">
        <f t="shared" si="622"/>
        <v>-</v>
      </c>
      <c r="X1154" s="20" t="str">
        <f>IFERROR(W1154*L1152,"-")</f>
        <v>-</v>
      </c>
      <c r="Z1154" s="33">
        <v>45185</v>
      </c>
    </row>
    <row r="1155" spans="1:26" ht="21" customHeight="1" thickBot="1" x14ac:dyDescent="0.35">
      <c r="A1155" s="5"/>
      <c r="B1155" s="159"/>
      <c r="C1155" s="160"/>
      <c r="D1155" s="166" t="s">
        <v>43</v>
      </c>
      <c r="E1155" s="167"/>
      <c r="F1155" s="167"/>
      <c r="G1155" s="168"/>
      <c r="H1155" s="168"/>
      <c r="I1155" s="168"/>
      <c r="J1155" s="168"/>
      <c r="K1155" s="168"/>
      <c r="L1155" s="168"/>
      <c r="M1155" s="7"/>
      <c r="N1155" s="32"/>
      <c r="Z1155" s="33">
        <v>45185</v>
      </c>
    </row>
    <row r="1156" spans="1:26" ht="9.9499999999999993" customHeight="1" thickBot="1" x14ac:dyDescent="0.35">
      <c r="B1156" s="9"/>
      <c r="C1156" s="109">
        <v>905</v>
      </c>
      <c r="D1156" s="51"/>
      <c r="E1156" s="12"/>
      <c r="F1156" s="51"/>
      <c r="G1156" s="14"/>
      <c r="H1156" s="14"/>
      <c r="I1156" s="14"/>
      <c r="J1156" s="14"/>
      <c r="K1156" s="14"/>
      <c r="L1156" s="14"/>
      <c r="M1156" s="9"/>
      <c r="N1156" s="32"/>
      <c r="U1156" s="18"/>
      <c r="V1156" s="18"/>
      <c r="Z1156" s="33">
        <v>45185</v>
      </c>
    </row>
    <row r="1157" spans="1:26" ht="6.95" customHeight="1" x14ac:dyDescent="0.3">
      <c r="A1157" s="154">
        <f>+A1146+1</f>
        <v>906</v>
      </c>
      <c r="B1157" s="155"/>
      <c r="C1157" s="156"/>
      <c r="D1157" s="161" t="s">
        <v>39</v>
      </c>
      <c r="E1157" s="162" t="s">
        <v>209</v>
      </c>
      <c r="F1157" s="163" t="s">
        <v>40</v>
      </c>
      <c r="G1157" s="164" t="s">
        <v>275</v>
      </c>
      <c r="H1157" s="165">
        <v>1</v>
      </c>
      <c r="I1157" s="164"/>
      <c r="J1157" s="165"/>
      <c r="K1157" s="164"/>
      <c r="L1157" s="165"/>
      <c r="M1157" s="6"/>
      <c r="N1157" s="32"/>
      <c r="Q1157" s="10" t="str">
        <f>+CONCATENATE(E1157,G1157)</f>
        <v>보온덕트벽체1600*400</v>
      </c>
      <c r="R1157" s="10">
        <f>+H1157</f>
        <v>1</v>
      </c>
      <c r="S1157" s="11"/>
      <c r="T1157" s="10" t="str">
        <f>+E1157</f>
        <v>보온덕트벽체</v>
      </c>
      <c r="U1157" s="19" t="str">
        <f>IFERROR(LEFT(G1157,FIND("*",G1157)-1),"-")</f>
        <v>1600</v>
      </c>
      <c r="V1157" s="19" t="str">
        <f>IFERROR(RIGHT(G1157,LEN(G1157)-FIND("*",G1157)),"-")</f>
        <v>400</v>
      </c>
      <c r="W1157" s="20">
        <f>IFERROR((U1157+V1157)*2/1000,"-")</f>
        <v>4</v>
      </c>
      <c r="X1157" s="20">
        <f>IFERROR(W1157*H1157,"-")</f>
        <v>4</v>
      </c>
      <c r="Z1157" s="33">
        <v>45185</v>
      </c>
    </row>
    <row r="1158" spans="1:26" ht="6.95" customHeight="1" x14ac:dyDescent="0.3">
      <c r="A1158" s="154"/>
      <c r="B1158" s="157"/>
      <c r="C1158" s="158"/>
      <c r="D1158" s="161"/>
      <c r="E1158" s="162"/>
      <c r="F1158" s="163"/>
      <c r="G1158" s="164"/>
      <c r="H1158" s="165"/>
      <c r="I1158" s="164"/>
      <c r="J1158" s="165"/>
      <c r="K1158" s="164"/>
      <c r="L1158" s="165"/>
      <c r="M1158" s="6"/>
      <c r="N1158" s="32"/>
      <c r="Q1158" s="10" t="str">
        <f>+CONCATENATE(E1157,I1157)</f>
        <v>보온덕트벽체</v>
      </c>
      <c r="R1158" s="10">
        <f>+J1157</f>
        <v>0</v>
      </c>
      <c r="S1158" s="11"/>
      <c r="T1158" s="10" t="str">
        <f>+E1157</f>
        <v>보온덕트벽체</v>
      </c>
      <c r="U1158" s="19" t="str">
        <f>IFERROR(LEFT(I1157,FIND("*",I1157)-1),"-")</f>
        <v>-</v>
      </c>
      <c r="V1158" s="19" t="str">
        <f>IFERROR(RIGHT(I1157,LEN(I1157)-FIND("*",I1157)),"-")</f>
        <v>-</v>
      </c>
      <c r="W1158" s="20" t="str">
        <f t="shared" ref="W1158:W1165" si="628">IFERROR((U1158+V1158)*2/1000,"-")</f>
        <v>-</v>
      </c>
      <c r="X1158" s="20" t="str">
        <f>IFERROR(W1158*J1157,"-")</f>
        <v>-</v>
      </c>
      <c r="Z1158" s="33">
        <v>45185</v>
      </c>
    </row>
    <row r="1159" spans="1:26" ht="6.95" customHeight="1" x14ac:dyDescent="0.3">
      <c r="A1159" s="154"/>
      <c r="B1159" s="157"/>
      <c r="C1159" s="158"/>
      <c r="D1159" s="161"/>
      <c r="E1159" s="162"/>
      <c r="F1159" s="163"/>
      <c r="G1159" s="164"/>
      <c r="H1159" s="165"/>
      <c r="I1159" s="164"/>
      <c r="J1159" s="165"/>
      <c r="K1159" s="164"/>
      <c r="L1159" s="165"/>
      <c r="M1159" s="6"/>
      <c r="N1159" s="32"/>
      <c r="Q1159" s="10" t="str">
        <f>+CONCATENATE(E1157,K1157)</f>
        <v>보온덕트벽체</v>
      </c>
      <c r="R1159" s="10">
        <f>+L1157</f>
        <v>0</v>
      </c>
      <c r="S1159" s="11"/>
      <c r="T1159" s="10" t="str">
        <f>+E1157</f>
        <v>보온덕트벽체</v>
      </c>
      <c r="U1159" s="19" t="str">
        <f>IFERROR(LEFT(K1157,FIND("*",K1157)-1),"-")</f>
        <v>-</v>
      </c>
      <c r="V1159" s="19" t="str">
        <f>IFERROR(RIGHT(K1157,LEN(K1157)-FIND("*",K1157)),"-")</f>
        <v>-</v>
      </c>
      <c r="W1159" s="20" t="str">
        <f t="shared" si="628"/>
        <v>-</v>
      </c>
      <c r="X1159" s="20" t="str">
        <f>IFERROR(W1159*L1157,"-")</f>
        <v>-</v>
      </c>
      <c r="Z1159" s="33">
        <v>45185</v>
      </c>
    </row>
    <row r="1160" spans="1:26" ht="6.95" customHeight="1" x14ac:dyDescent="0.3">
      <c r="A1160" s="8"/>
      <c r="B1160" s="157"/>
      <c r="C1160" s="158"/>
      <c r="D1160" s="161" t="s">
        <v>39</v>
      </c>
      <c r="E1160" s="162" t="s">
        <v>66</v>
      </c>
      <c r="F1160" s="163" t="s">
        <v>40</v>
      </c>
      <c r="G1160" s="164" t="s">
        <v>275</v>
      </c>
      <c r="H1160" s="165">
        <v>2</v>
      </c>
      <c r="I1160" s="164"/>
      <c r="J1160" s="165"/>
      <c r="K1160" s="164"/>
      <c r="L1160" s="165"/>
      <c r="M1160" s="6"/>
      <c r="N1160" s="32"/>
      <c r="Q1160" s="10" t="str">
        <f>+CONCATENATE(E1160,G1160)</f>
        <v>차열재마감1600*400</v>
      </c>
      <c r="R1160" s="10">
        <f>+H1160</f>
        <v>2</v>
      </c>
      <c r="S1160" s="11"/>
      <c r="T1160" s="10" t="str">
        <f>+E1160</f>
        <v>차열재마감</v>
      </c>
      <c r="U1160" s="19" t="str">
        <f t="shared" ref="U1160" si="629">IFERROR(LEFT(G1160,FIND("*",G1160)-1),"-")</f>
        <v>1600</v>
      </c>
      <c r="V1160" s="19" t="str">
        <f t="shared" ref="V1160" si="630">IFERROR(RIGHT(G1160,LEN(G1160)-FIND("*",G1160)),"-")</f>
        <v>400</v>
      </c>
      <c r="W1160" s="20">
        <f t="shared" si="628"/>
        <v>4</v>
      </c>
      <c r="X1160" s="20">
        <f>IFERROR(W1160*H1160,"-")</f>
        <v>8</v>
      </c>
      <c r="Z1160" s="33">
        <v>45185</v>
      </c>
    </row>
    <row r="1161" spans="1:26" ht="6.95" customHeight="1" x14ac:dyDescent="0.3">
      <c r="A1161" s="5"/>
      <c r="B1161" s="157"/>
      <c r="C1161" s="158"/>
      <c r="D1161" s="161"/>
      <c r="E1161" s="162"/>
      <c r="F1161" s="163"/>
      <c r="G1161" s="164"/>
      <c r="H1161" s="165"/>
      <c r="I1161" s="164"/>
      <c r="J1161" s="165"/>
      <c r="K1161" s="164"/>
      <c r="L1161" s="165"/>
      <c r="M1161" s="6"/>
      <c r="N1161" s="32"/>
      <c r="Q1161" s="10" t="str">
        <f>+CONCATENATE(E1160,I1160)</f>
        <v>차열재마감</v>
      </c>
      <c r="R1161" s="10">
        <f>+J1160</f>
        <v>0</v>
      </c>
      <c r="S1161" s="11"/>
      <c r="T1161" s="10" t="str">
        <f>+E1160</f>
        <v>차열재마감</v>
      </c>
      <c r="U1161" s="19" t="str">
        <f>IFERROR(LEFT(I1160,FIND("*",I1160)-1),"-")</f>
        <v>-</v>
      </c>
      <c r="V1161" s="19" t="str">
        <f>IFERROR(RIGHT(I1160,LEN(I1160)-FIND("*",I1160)),"-")</f>
        <v>-</v>
      </c>
      <c r="W1161" s="20" t="str">
        <f t="shared" si="628"/>
        <v>-</v>
      </c>
      <c r="X1161" s="20" t="str">
        <f>IFERROR(W1161*J1160,"-")</f>
        <v>-</v>
      </c>
      <c r="Z1161" s="33">
        <v>45185</v>
      </c>
    </row>
    <row r="1162" spans="1:26" ht="6.95" customHeight="1" x14ac:dyDescent="0.3">
      <c r="A1162" s="5"/>
      <c r="B1162" s="157"/>
      <c r="C1162" s="158"/>
      <c r="D1162" s="161"/>
      <c r="E1162" s="162"/>
      <c r="F1162" s="163"/>
      <c r="G1162" s="164"/>
      <c r="H1162" s="165"/>
      <c r="I1162" s="164"/>
      <c r="J1162" s="165"/>
      <c r="K1162" s="164"/>
      <c r="L1162" s="165"/>
      <c r="M1162" s="6"/>
      <c r="N1162" s="32"/>
      <c r="Q1162" s="10" t="str">
        <f>+CONCATENATE(E1160,K1160)</f>
        <v>차열재마감</v>
      </c>
      <c r="R1162" s="10">
        <f>+L1160</f>
        <v>0</v>
      </c>
      <c r="S1162" s="11"/>
      <c r="T1162" s="10" t="str">
        <f>+E1160</f>
        <v>차열재마감</v>
      </c>
      <c r="U1162" s="19" t="str">
        <f>IFERROR(LEFT(K1160,FIND("*",K1160)-1),"-")</f>
        <v>-</v>
      </c>
      <c r="V1162" s="19" t="str">
        <f>IFERROR(RIGHT(K1160,LEN(K1160)-FIND("*",K1160)),"-")</f>
        <v>-</v>
      </c>
      <c r="W1162" s="20" t="str">
        <f t="shared" si="628"/>
        <v>-</v>
      </c>
      <c r="X1162" s="20" t="str">
        <f>IFERROR(W1162*L1160,"-")</f>
        <v>-</v>
      </c>
      <c r="Z1162" s="33">
        <v>45185</v>
      </c>
    </row>
    <row r="1163" spans="1:26" ht="6.95" customHeight="1" x14ac:dyDescent="0.3">
      <c r="A1163" s="8"/>
      <c r="B1163" s="157"/>
      <c r="C1163" s="158"/>
      <c r="D1163" s="161" t="s">
        <v>39</v>
      </c>
      <c r="E1163" s="162"/>
      <c r="F1163" s="163" t="s">
        <v>40</v>
      </c>
      <c r="G1163" s="164"/>
      <c r="H1163" s="165"/>
      <c r="I1163" s="164"/>
      <c r="J1163" s="165"/>
      <c r="K1163" s="164"/>
      <c r="L1163" s="165"/>
      <c r="M1163" s="6"/>
      <c r="N1163" s="32"/>
      <c r="Q1163" s="10" t="str">
        <f>+CONCATENATE(E1163,G1163)</f>
        <v/>
      </c>
      <c r="R1163" s="10">
        <f>+H1163</f>
        <v>0</v>
      </c>
      <c r="S1163" s="11"/>
      <c r="T1163" s="10">
        <f>+E1163</f>
        <v>0</v>
      </c>
      <c r="U1163" s="19" t="str">
        <f t="shared" ref="U1163" si="631">IFERROR(LEFT(G1163,FIND("*",G1163)-1),"-")</f>
        <v>-</v>
      </c>
      <c r="V1163" s="19" t="str">
        <f t="shared" ref="V1163" si="632">IFERROR(RIGHT(G1163,LEN(G1163)-FIND("*",G1163)),"-")</f>
        <v>-</v>
      </c>
      <c r="W1163" s="20" t="str">
        <f t="shared" si="628"/>
        <v>-</v>
      </c>
      <c r="X1163" s="20" t="str">
        <f>IFERROR(W1163*H1163,"-")</f>
        <v>-</v>
      </c>
      <c r="Z1163" s="33">
        <v>45185</v>
      </c>
    </row>
    <row r="1164" spans="1:26" ht="6.95" customHeight="1" x14ac:dyDescent="0.3">
      <c r="A1164" s="5"/>
      <c r="B1164" s="157"/>
      <c r="C1164" s="158"/>
      <c r="D1164" s="161"/>
      <c r="E1164" s="162"/>
      <c r="F1164" s="163"/>
      <c r="G1164" s="164"/>
      <c r="H1164" s="165"/>
      <c r="I1164" s="164"/>
      <c r="J1164" s="165"/>
      <c r="K1164" s="164"/>
      <c r="L1164" s="165"/>
      <c r="M1164" s="6"/>
      <c r="N1164" s="32"/>
      <c r="Q1164" s="10" t="str">
        <f>+CONCATENATE(E1163,I1163)</f>
        <v/>
      </c>
      <c r="R1164" s="10">
        <f>+J1163</f>
        <v>0</v>
      </c>
      <c r="S1164" s="11"/>
      <c r="T1164" s="10">
        <f>+E1163</f>
        <v>0</v>
      </c>
      <c r="U1164" s="19" t="str">
        <f>IFERROR(LEFT(I1163,FIND("*",I1163)-1),"-")</f>
        <v>-</v>
      </c>
      <c r="V1164" s="19" t="str">
        <f>IFERROR(RIGHT(I1163,LEN(I1163)-FIND("*",I1163)),"-")</f>
        <v>-</v>
      </c>
      <c r="W1164" s="20" t="str">
        <f t="shared" si="628"/>
        <v>-</v>
      </c>
      <c r="X1164" s="20" t="str">
        <f t="shared" ref="X1164" si="633">IFERROR(W1164*J1163,"-")</f>
        <v>-</v>
      </c>
      <c r="Z1164" s="33">
        <v>45185</v>
      </c>
    </row>
    <row r="1165" spans="1:26" ht="6.95" customHeight="1" x14ac:dyDescent="0.3">
      <c r="A1165" s="5"/>
      <c r="B1165" s="157"/>
      <c r="C1165" s="158"/>
      <c r="D1165" s="161"/>
      <c r="E1165" s="162"/>
      <c r="F1165" s="163"/>
      <c r="G1165" s="164"/>
      <c r="H1165" s="165"/>
      <c r="I1165" s="164"/>
      <c r="J1165" s="165"/>
      <c r="K1165" s="164"/>
      <c r="L1165" s="165"/>
      <c r="M1165" s="6"/>
      <c r="N1165" s="32"/>
      <c r="Q1165" s="10" t="str">
        <f>+CONCATENATE(E1163,K1163)</f>
        <v/>
      </c>
      <c r="R1165" s="10">
        <f>+L1163</f>
        <v>0</v>
      </c>
      <c r="S1165" s="11"/>
      <c r="T1165" s="10">
        <f>+E1163</f>
        <v>0</v>
      </c>
      <c r="U1165" s="19" t="str">
        <f>IFERROR(LEFT(K1163,FIND("*",K1163)-1),"-")</f>
        <v>-</v>
      </c>
      <c r="V1165" s="19" t="str">
        <f>IFERROR(RIGHT(K1163,LEN(K1163)-FIND("*",K1163)),"-")</f>
        <v>-</v>
      </c>
      <c r="W1165" s="20" t="str">
        <f t="shared" si="628"/>
        <v>-</v>
      </c>
      <c r="X1165" s="20" t="str">
        <f>IFERROR(W1165*L1163,"-")</f>
        <v>-</v>
      </c>
      <c r="Z1165" s="33">
        <v>45185</v>
      </c>
    </row>
    <row r="1166" spans="1:26" ht="21" customHeight="1" thickBot="1" x14ac:dyDescent="0.35">
      <c r="A1166" s="5"/>
      <c r="B1166" s="159"/>
      <c r="C1166" s="160"/>
      <c r="D1166" s="166" t="s">
        <v>43</v>
      </c>
      <c r="E1166" s="167"/>
      <c r="F1166" s="167"/>
      <c r="G1166" s="168"/>
      <c r="H1166" s="168"/>
      <c r="I1166" s="168"/>
      <c r="J1166" s="168"/>
      <c r="K1166" s="168"/>
      <c r="L1166" s="168"/>
      <c r="M1166" s="7"/>
      <c r="N1166" s="32"/>
      <c r="Z1166" s="33">
        <v>45185</v>
      </c>
    </row>
    <row r="1167" spans="1:26" ht="9.9499999999999993" customHeight="1" thickBot="1" x14ac:dyDescent="0.35">
      <c r="B1167" s="9"/>
      <c r="C1167" s="109">
        <v>906</v>
      </c>
      <c r="D1167" s="51"/>
      <c r="E1167" s="12"/>
      <c r="F1167" s="51"/>
      <c r="G1167" s="14"/>
      <c r="H1167" s="14"/>
      <c r="I1167" s="14"/>
      <c r="J1167" s="14"/>
      <c r="K1167" s="14"/>
      <c r="L1167" s="14"/>
      <c r="M1167" s="9"/>
      <c r="N1167" s="32"/>
      <c r="U1167" s="18"/>
      <c r="V1167" s="18"/>
      <c r="Z1167" s="33">
        <v>45185</v>
      </c>
    </row>
    <row r="1168" spans="1:26" ht="6.95" customHeight="1" x14ac:dyDescent="0.3">
      <c r="A1168" s="154">
        <f>+A1157+1</f>
        <v>907</v>
      </c>
      <c r="B1168" s="155"/>
      <c r="C1168" s="156"/>
      <c r="D1168" s="161" t="s">
        <v>39</v>
      </c>
      <c r="E1168" s="162" t="s">
        <v>270</v>
      </c>
      <c r="F1168" s="163" t="s">
        <v>40</v>
      </c>
      <c r="G1168" s="164" t="s">
        <v>275</v>
      </c>
      <c r="H1168" s="165">
        <v>1</v>
      </c>
      <c r="I1168" s="164"/>
      <c r="J1168" s="165"/>
      <c r="K1168" s="164"/>
      <c r="L1168" s="165"/>
      <c r="M1168" s="6"/>
      <c r="N1168" s="32"/>
      <c r="Q1168" s="10" t="str">
        <f>+CONCATENATE(E1168,G1168)</f>
        <v>무보온덕트벽체1600*400</v>
      </c>
      <c r="R1168" s="10">
        <f>+H1168</f>
        <v>1</v>
      </c>
      <c r="S1168" s="11"/>
      <c r="T1168" s="10" t="str">
        <f>+E1168</f>
        <v>무보온덕트벽체</v>
      </c>
      <c r="U1168" s="19" t="str">
        <f>IFERROR(LEFT(G1168,FIND("*",G1168)-1),"-")</f>
        <v>1600</v>
      </c>
      <c r="V1168" s="19" t="str">
        <f>IFERROR(RIGHT(G1168,LEN(G1168)-FIND("*",G1168)),"-")</f>
        <v>400</v>
      </c>
      <c r="W1168" s="20">
        <f>IFERROR((U1168+V1168)*2/1000,"-")</f>
        <v>4</v>
      </c>
      <c r="X1168" s="20">
        <f>IFERROR(W1168*H1168,"-")</f>
        <v>4</v>
      </c>
      <c r="Z1168" s="33">
        <v>45185</v>
      </c>
    </row>
    <row r="1169" spans="1:26" ht="6.95" customHeight="1" x14ac:dyDescent="0.3">
      <c r="A1169" s="154"/>
      <c r="B1169" s="157"/>
      <c r="C1169" s="158"/>
      <c r="D1169" s="161"/>
      <c r="E1169" s="162"/>
      <c r="F1169" s="163"/>
      <c r="G1169" s="164"/>
      <c r="H1169" s="165"/>
      <c r="I1169" s="164"/>
      <c r="J1169" s="165"/>
      <c r="K1169" s="164"/>
      <c r="L1169" s="165"/>
      <c r="M1169" s="6"/>
      <c r="N1169" s="32"/>
      <c r="Q1169" s="10" t="str">
        <f>+CONCATENATE(E1168,I1168)</f>
        <v>무보온덕트벽체</v>
      </c>
      <c r="R1169" s="10">
        <f>+J1168</f>
        <v>0</v>
      </c>
      <c r="S1169" s="11"/>
      <c r="T1169" s="10" t="str">
        <f>+E1168</f>
        <v>무보온덕트벽체</v>
      </c>
      <c r="U1169" s="19" t="str">
        <f>IFERROR(LEFT(I1168,FIND("*",I1168)-1),"-")</f>
        <v>-</v>
      </c>
      <c r="V1169" s="19" t="str">
        <f>IFERROR(RIGHT(I1168,LEN(I1168)-FIND("*",I1168)),"-")</f>
        <v>-</v>
      </c>
      <c r="W1169" s="20" t="str">
        <f t="shared" ref="W1169:W1176" si="634">IFERROR((U1169+V1169)*2/1000,"-")</f>
        <v>-</v>
      </c>
      <c r="X1169" s="20" t="str">
        <f>IFERROR(W1169*J1168,"-")</f>
        <v>-</v>
      </c>
      <c r="Z1169" s="33">
        <v>45185</v>
      </c>
    </row>
    <row r="1170" spans="1:26" ht="6.95" customHeight="1" x14ac:dyDescent="0.3">
      <c r="A1170" s="154"/>
      <c r="B1170" s="157"/>
      <c r="C1170" s="158"/>
      <c r="D1170" s="161"/>
      <c r="E1170" s="162"/>
      <c r="F1170" s="163"/>
      <c r="G1170" s="164"/>
      <c r="H1170" s="165"/>
      <c r="I1170" s="164"/>
      <c r="J1170" s="165"/>
      <c r="K1170" s="164"/>
      <c r="L1170" s="165"/>
      <c r="M1170" s="6"/>
      <c r="N1170" s="32"/>
      <c r="Q1170" s="10" t="str">
        <f>+CONCATENATE(E1168,K1168)</f>
        <v>무보온덕트벽체</v>
      </c>
      <c r="R1170" s="10">
        <f>+L1168</f>
        <v>0</v>
      </c>
      <c r="S1170" s="11"/>
      <c r="T1170" s="10" t="str">
        <f>+E1168</f>
        <v>무보온덕트벽체</v>
      </c>
      <c r="U1170" s="19" t="str">
        <f>IFERROR(LEFT(K1168,FIND("*",K1168)-1),"-")</f>
        <v>-</v>
      </c>
      <c r="V1170" s="19" t="str">
        <f>IFERROR(RIGHT(K1168,LEN(K1168)-FIND("*",K1168)),"-")</f>
        <v>-</v>
      </c>
      <c r="W1170" s="20" t="str">
        <f t="shared" si="634"/>
        <v>-</v>
      </c>
      <c r="X1170" s="20" t="str">
        <f>IFERROR(W1170*L1168,"-")</f>
        <v>-</v>
      </c>
      <c r="Z1170" s="33">
        <v>45185</v>
      </c>
    </row>
    <row r="1171" spans="1:26" ht="6.95" customHeight="1" x14ac:dyDescent="0.3">
      <c r="A1171" s="8"/>
      <c r="B1171" s="157"/>
      <c r="C1171" s="158"/>
      <c r="D1171" s="161" t="s">
        <v>39</v>
      </c>
      <c r="E1171" s="162" t="s">
        <v>66</v>
      </c>
      <c r="F1171" s="163" t="s">
        <v>40</v>
      </c>
      <c r="G1171" s="164" t="s">
        <v>275</v>
      </c>
      <c r="H1171" s="165">
        <v>1</v>
      </c>
      <c r="I1171" s="164"/>
      <c r="J1171" s="165"/>
      <c r="K1171" s="164"/>
      <c r="L1171" s="165"/>
      <c r="M1171" s="6"/>
      <c r="N1171" s="32"/>
      <c r="Q1171" s="10" t="str">
        <f>+CONCATENATE(E1171,G1171)</f>
        <v>차열재마감1600*400</v>
      </c>
      <c r="R1171" s="10">
        <f>+H1171</f>
        <v>1</v>
      </c>
      <c r="S1171" s="11"/>
      <c r="T1171" s="10" t="str">
        <f>+E1171</f>
        <v>차열재마감</v>
      </c>
      <c r="U1171" s="19" t="str">
        <f t="shared" ref="U1171" si="635">IFERROR(LEFT(G1171,FIND("*",G1171)-1),"-")</f>
        <v>1600</v>
      </c>
      <c r="V1171" s="19" t="str">
        <f t="shared" ref="V1171" si="636">IFERROR(RIGHT(G1171,LEN(G1171)-FIND("*",G1171)),"-")</f>
        <v>400</v>
      </c>
      <c r="W1171" s="20">
        <f t="shared" si="634"/>
        <v>4</v>
      </c>
      <c r="X1171" s="20">
        <f>IFERROR(W1171*H1171,"-")</f>
        <v>4</v>
      </c>
      <c r="Z1171" s="33">
        <v>45185</v>
      </c>
    </row>
    <row r="1172" spans="1:26" ht="6.95" customHeight="1" x14ac:dyDescent="0.3">
      <c r="A1172" s="5"/>
      <c r="B1172" s="157"/>
      <c r="C1172" s="158"/>
      <c r="D1172" s="161"/>
      <c r="E1172" s="162"/>
      <c r="F1172" s="163"/>
      <c r="G1172" s="164"/>
      <c r="H1172" s="165"/>
      <c r="I1172" s="164"/>
      <c r="J1172" s="165"/>
      <c r="K1172" s="164"/>
      <c r="L1172" s="165"/>
      <c r="M1172" s="6"/>
      <c r="N1172" s="32"/>
      <c r="Q1172" s="10" t="str">
        <f>+CONCATENATE(E1171,I1171)</f>
        <v>차열재마감</v>
      </c>
      <c r="R1172" s="10">
        <f>+J1171</f>
        <v>0</v>
      </c>
      <c r="S1172" s="11"/>
      <c r="T1172" s="10" t="str">
        <f>+E1171</f>
        <v>차열재마감</v>
      </c>
      <c r="U1172" s="19" t="str">
        <f>IFERROR(LEFT(I1171,FIND("*",I1171)-1),"-")</f>
        <v>-</v>
      </c>
      <c r="V1172" s="19" t="str">
        <f>IFERROR(RIGHT(I1171,LEN(I1171)-FIND("*",I1171)),"-")</f>
        <v>-</v>
      </c>
      <c r="W1172" s="20" t="str">
        <f t="shared" si="634"/>
        <v>-</v>
      </c>
      <c r="X1172" s="20" t="str">
        <f>IFERROR(W1172*J1171,"-")</f>
        <v>-</v>
      </c>
      <c r="Z1172" s="33">
        <v>45185</v>
      </c>
    </row>
    <row r="1173" spans="1:26" ht="6.95" customHeight="1" x14ac:dyDescent="0.3">
      <c r="A1173" s="5"/>
      <c r="B1173" s="157"/>
      <c r="C1173" s="158"/>
      <c r="D1173" s="161"/>
      <c r="E1173" s="162"/>
      <c r="F1173" s="163"/>
      <c r="G1173" s="164"/>
      <c r="H1173" s="165"/>
      <c r="I1173" s="164"/>
      <c r="J1173" s="165"/>
      <c r="K1173" s="164"/>
      <c r="L1173" s="165"/>
      <c r="M1173" s="6"/>
      <c r="N1173" s="32"/>
      <c r="Q1173" s="10" t="str">
        <f>+CONCATENATE(E1171,K1171)</f>
        <v>차열재마감</v>
      </c>
      <c r="R1173" s="10">
        <f>+L1171</f>
        <v>0</v>
      </c>
      <c r="S1173" s="11"/>
      <c r="T1173" s="10" t="str">
        <f>+E1171</f>
        <v>차열재마감</v>
      </c>
      <c r="U1173" s="19" t="str">
        <f>IFERROR(LEFT(K1171,FIND("*",K1171)-1),"-")</f>
        <v>-</v>
      </c>
      <c r="V1173" s="19" t="str">
        <f>IFERROR(RIGHT(K1171,LEN(K1171)-FIND("*",K1171)),"-")</f>
        <v>-</v>
      </c>
      <c r="W1173" s="20" t="str">
        <f t="shared" si="634"/>
        <v>-</v>
      </c>
      <c r="X1173" s="20" t="str">
        <f>IFERROR(W1173*L1171,"-")</f>
        <v>-</v>
      </c>
      <c r="Z1173" s="33">
        <v>45185</v>
      </c>
    </row>
    <row r="1174" spans="1:26" ht="6.95" customHeight="1" x14ac:dyDescent="0.3">
      <c r="A1174" s="8"/>
      <c r="B1174" s="157"/>
      <c r="C1174" s="158"/>
      <c r="D1174" s="161" t="s">
        <v>39</v>
      </c>
      <c r="E1174" s="162"/>
      <c r="F1174" s="163" t="s">
        <v>40</v>
      </c>
      <c r="G1174" s="164"/>
      <c r="H1174" s="165"/>
      <c r="I1174" s="164"/>
      <c r="J1174" s="165"/>
      <c r="K1174" s="164"/>
      <c r="L1174" s="165"/>
      <c r="M1174" s="6"/>
      <c r="N1174" s="32"/>
      <c r="Q1174" s="10" t="str">
        <f>+CONCATENATE(E1174,G1174)</f>
        <v/>
      </c>
      <c r="R1174" s="10">
        <f>+H1174</f>
        <v>0</v>
      </c>
      <c r="S1174" s="11"/>
      <c r="T1174" s="10">
        <f>+E1174</f>
        <v>0</v>
      </c>
      <c r="U1174" s="19" t="str">
        <f t="shared" ref="U1174" si="637">IFERROR(LEFT(G1174,FIND("*",G1174)-1),"-")</f>
        <v>-</v>
      </c>
      <c r="V1174" s="19" t="str">
        <f t="shared" ref="V1174" si="638">IFERROR(RIGHT(G1174,LEN(G1174)-FIND("*",G1174)),"-")</f>
        <v>-</v>
      </c>
      <c r="W1174" s="20" t="str">
        <f t="shared" si="634"/>
        <v>-</v>
      </c>
      <c r="X1174" s="20" t="str">
        <f>IFERROR(W1174*H1174,"-")</f>
        <v>-</v>
      </c>
      <c r="Z1174" s="33">
        <v>45185</v>
      </c>
    </row>
    <row r="1175" spans="1:26" ht="6.95" customHeight="1" x14ac:dyDescent="0.3">
      <c r="A1175" s="5"/>
      <c r="B1175" s="157"/>
      <c r="C1175" s="158"/>
      <c r="D1175" s="161"/>
      <c r="E1175" s="162"/>
      <c r="F1175" s="163"/>
      <c r="G1175" s="164"/>
      <c r="H1175" s="165"/>
      <c r="I1175" s="164"/>
      <c r="J1175" s="165"/>
      <c r="K1175" s="164"/>
      <c r="L1175" s="165"/>
      <c r="M1175" s="6"/>
      <c r="N1175" s="32"/>
      <c r="Q1175" s="10" t="str">
        <f>+CONCATENATE(E1174,I1174)</f>
        <v/>
      </c>
      <c r="R1175" s="10">
        <f>+J1174</f>
        <v>0</v>
      </c>
      <c r="S1175" s="11"/>
      <c r="T1175" s="10">
        <f>+E1174</f>
        <v>0</v>
      </c>
      <c r="U1175" s="19" t="str">
        <f>IFERROR(LEFT(I1174,FIND("*",I1174)-1),"-")</f>
        <v>-</v>
      </c>
      <c r="V1175" s="19" t="str">
        <f>IFERROR(RIGHT(I1174,LEN(I1174)-FIND("*",I1174)),"-")</f>
        <v>-</v>
      </c>
      <c r="W1175" s="20" t="str">
        <f t="shared" si="634"/>
        <v>-</v>
      </c>
      <c r="X1175" s="20" t="str">
        <f t="shared" ref="X1175" si="639">IFERROR(W1175*J1174,"-")</f>
        <v>-</v>
      </c>
      <c r="Z1175" s="33">
        <v>45185</v>
      </c>
    </row>
    <row r="1176" spans="1:26" ht="6.95" customHeight="1" x14ac:dyDescent="0.3">
      <c r="A1176" s="5"/>
      <c r="B1176" s="157"/>
      <c r="C1176" s="158"/>
      <c r="D1176" s="161"/>
      <c r="E1176" s="162"/>
      <c r="F1176" s="163"/>
      <c r="G1176" s="164"/>
      <c r="H1176" s="165"/>
      <c r="I1176" s="164"/>
      <c r="J1176" s="165"/>
      <c r="K1176" s="164"/>
      <c r="L1176" s="165"/>
      <c r="M1176" s="6"/>
      <c r="N1176" s="32"/>
      <c r="Q1176" s="10" t="str">
        <f>+CONCATENATE(E1174,K1174)</f>
        <v/>
      </c>
      <c r="R1176" s="10">
        <f>+L1174</f>
        <v>0</v>
      </c>
      <c r="S1176" s="11"/>
      <c r="T1176" s="10">
        <f>+E1174</f>
        <v>0</v>
      </c>
      <c r="U1176" s="19" t="str">
        <f>IFERROR(LEFT(K1174,FIND("*",K1174)-1),"-")</f>
        <v>-</v>
      </c>
      <c r="V1176" s="19" t="str">
        <f>IFERROR(RIGHT(K1174,LEN(K1174)-FIND("*",K1174)),"-")</f>
        <v>-</v>
      </c>
      <c r="W1176" s="20" t="str">
        <f t="shared" si="634"/>
        <v>-</v>
      </c>
      <c r="X1176" s="20" t="str">
        <f>IFERROR(W1176*L1174,"-")</f>
        <v>-</v>
      </c>
      <c r="Z1176" s="33">
        <v>45185</v>
      </c>
    </row>
    <row r="1177" spans="1:26" ht="21" customHeight="1" thickBot="1" x14ac:dyDescent="0.35">
      <c r="A1177" s="5"/>
      <c r="B1177" s="159"/>
      <c r="C1177" s="160"/>
      <c r="D1177" s="166" t="s">
        <v>43</v>
      </c>
      <c r="E1177" s="167"/>
      <c r="F1177" s="167"/>
      <c r="G1177" s="168"/>
      <c r="H1177" s="168"/>
      <c r="I1177" s="168"/>
      <c r="J1177" s="168"/>
      <c r="K1177" s="168"/>
      <c r="L1177" s="168"/>
      <c r="M1177" s="7"/>
      <c r="N1177" s="32"/>
      <c r="Z1177" s="33">
        <v>45185</v>
      </c>
    </row>
    <row r="1178" spans="1:26" ht="9.9499999999999993" customHeight="1" thickBot="1" x14ac:dyDescent="0.35">
      <c r="B1178" s="9"/>
      <c r="C1178" s="109">
        <v>907</v>
      </c>
      <c r="D1178" s="51"/>
      <c r="E1178" s="12"/>
      <c r="F1178" s="51"/>
      <c r="G1178" s="14"/>
      <c r="H1178" s="14"/>
      <c r="I1178" s="14"/>
      <c r="J1178" s="14"/>
      <c r="K1178" s="14"/>
      <c r="L1178" s="14"/>
      <c r="M1178" s="9"/>
      <c r="N1178" s="32"/>
      <c r="U1178" s="18"/>
      <c r="V1178" s="18"/>
      <c r="Z1178" s="33">
        <v>45185</v>
      </c>
    </row>
    <row r="1179" spans="1:26" ht="6.95" customHeight="1" x14ac:dyDescent="0.3">
      <c r="A1179" s="154">
        <f>+A1168+1</f>
        <v>908</v>
      </c>
      <c r="B1179" s="155"/>
      <c r="C1179" s="156"/>
      <c r="D1179" s="161" t="s">
        <v>39</v>
      </c>
      <c r="E1179" s="162" t="s">
        <v>209</v>
      </c>
      <c r="F1179" s="163" t="s">
        <v>40</v>
      </c>
      <c r="G1179" s="164" t="s">
        <v>275</v>
      </c>
      <c r="H1179" s="165">
        <v>1</v>
      </c>
      <c r="I1179" s="164"/>
      <c r="J1179" s="165"/>
      <c r="K1179" s="164"/>
      <c r="L1179" s="165"/>
      <c r="M1179" s="6"/>
      <c r="N1179" s="32"/>
      <c r="Q1179" s="10" t="str">
        <f>+CONCATENATE(E1179,G1179)</f>
        <v>보온덕트벽체1600*400</v>
      </c>
      <c r="R1179" s="10">
        <f>+H1179</f>
        <v>1</v>
      </c>
      <c r="S1179" s="11"/>
      <c r="T1179" s="10" t="str">
        <f>+E1179</f>
        <v>보온덕트벽체</v>
      </c>
      <c r="U1179" s="19" t="str">
        <f>IFERROR(LEFT(G1179,FIND("*",G1179)-1),"-")</f>
        <v>1600</v>
      </c>
      <c r="V1179" s="19" t="str">
        <f>IFERROR(RIGHT(G1179,LEN(G1179)-FIND("*",G1179)),"-")</f>
        <v>400</v>
      </c>
      <c r="W1179" s="20">
        <f>IFERROR((U1179+V1179)*2/1000,"-")</f>
        <v>4</v>
      </c>
      <c r="X1179" s="20">
        <f>IFERROR(W1179*H1179,"-")</f>
        <v>4</v>
      </c>
      <c r="Z1179" s="33">
        <v>45185</v>
      </c>
    </row>
    <row r="1180" spans="1:26" ht="6.95" customHeight="1" x14ac:dyDescent="0.3">
      <c r="A1180" s="154"/>
      <c r="B1180" s="157"/>
      <c r="C1180" s="158"/>
      <c r="D1180" s="161"/>
      <c r="E1180" s="162"/>
      <c r="F1180" s="163"/>
      <c r="G1180" s="164"/>
      <c r="H1180" s="165"/>
      <c r="I1180" s="164"/>
      <c r="J1180" s="165"/>
      <c r="K1180" s="164"/>
      <c r="L1180" s="165"/>
      <c r="M1180" s="6"/>
      <c r="N1180" s="32"/>
      <c r="Q1180" s="10" t="str">
        <f>+CONCATENATE(E1179,I1179)</f>
        <v>보온덕트벽체</v>
      </c>
      <c r="R1180" s="10">
        <f>+J1179</f>
        <v>0</v>
      </c>
      <c r="S1180" s="11"/>
      <c r="T1180" s="10" t="str">
        <f>+E1179</f>
        <v>보온덕트벽체</v>
      </c>
      <c r="U1180" s="19" t="str">
        <f>IFERROR(LEFT(I1179,FIND("*",I1179)-1),"-")</f>
        <v>-</v>
      </c>
      <c r="V1180" s="19" t="str">
        <f>IFERROR(RIGHT(I1179,LEN(I1179)-FIND("*",I1179)),"-")</f>
        <v>-</v>
      </c>
      <c r="W1180" s="20" t="str">
        <f t="shared" ref="W1180:W1187" si="640">IFERROR((U1180+V1180)*2/1000,"-")</f>
        <v>-</v>
      </c>
      <c r="X1180" s="20" t="str">
        <f>IFERROR(W1180*J1179,"-")</f>
        <v>-</v>
      </c>
      <c r="Z1180" s="33">
        <v>45185</v>
      </c>
    </row>
    <row r="1181" spans="1:26" ht="6.95" customHeight="1" x14ac:dyDescent="0.3">
      <c r="A1181" s="154"/>
      <c r="B1181" s="157"/>
      <c r="C1181" s="158"/>
      <c r="D1181" s="161"/>
      <c r="E1181" s="162"/>
      <c r="F1181" s="163"/>
      <c r="G1181" s="164"/>
      <c r="H1181" s="165"/>
      <c r="I1181" s="164"/>
      <c r="J1181" s="165"/>
      <c r="K1181" s="164"/>
      <c r="L1181" s="165"/>
      <c r="M1181" s="6"/>
      <c r="N1181" s="32"/>
      <c r="Q1181" s="10" t="str">
        <f>+CONCATENATE(E1179,K1179)</f>
        <v>보온덕트벽체</v>
      </c>
      <c r="R1181" s="10">
        <f>+L1179</f>
        <v>0</v>
      </c>
      <c r="S1181" s="11"/>
      <c r="T1181" s="10" t="str">
        <f>+E1179</f>
        <v>보온덕트벽체</v>
      </c>
      <c r="U1181" s="19" t="str">
        <f>IFERROR(LEFT(K1179,FIND("*",K1179)-1),"-")</f>
        <v>-</v>
      </c>
      <c r="V1181" s="19" t="str">
        <f>IFERROR(RIGHT(K1179,LEN(K1179)-FIND("*",K1179)),"-")</f>
        <v>-</v>
      </c>
      <c r="W1181" s="20" t="str">
        <f t="shared" si="640"/>
        <v>-</v>
      </c>
      <c r="X1181" s="20" t="str">
        <f>IFERROR(W1181*L1179,"-")</f>
        <v>-</v>
      </c>
      <c r="Z1181" s="33">
        <v>45185</v>
      </c>
    </row>
    <row r="1182" spans="1:26" ht="6.95" customHeight="1" x14ac:dyDescent="0.3">
      <c r="A1182" s="8"/>
      <c r="B1182" s="157"/>
      <c r="C1182" s="158"/>
      <c r="D1182" s="161" t="s">
        <v>39</v>
      </c>
      <c r="E1182" s="162" t="s">
        <v>66</v>
      </c>
      <c r="F1182" s="163" t="s">
        <v>40</v>
      </c>
      <c r="G1182" s="164" t="s">
        <v>275</v>
      </c>
      <c r="H1182" s="165">
        <v>2</v>
      </c>
      <c r="I1182" s="164"/>
      <c r="J1182" s="165"/>
      <c r="K1182" s="164"/>
      <c r="L1182" s="165"/>
      <c r="M1182" s="6"/>
      <c r="N1182" s="32"/>
      <c r="Q1182" s="10" t="str">
        <f>+CONCATENATE(E1182,G1182)</f>
        <v>차열재마감1600*400</v>
      </c>
      <c r="R1182" s="10">
        <f>+H1182</f>
        <v>2</v>
      </c>
      <c r="S1182" s="11"/>
      <c r="T1182" s="10" t="str">
        <f>+E1182</f>
        <v>차열재마감</v>
      </c>
      <c r="U1182" s="19" t="str">
        <f t="shared" ref="U1182" si="641">IFERROR(LEFT(G1182,FIND("*",G1182)-1),"-")</f>
        <v>1600</v>
      </c>
      <c r="V1182" s="19" t="str">
        <f t="shared" ref="V1182" si="642">IFERROR(RIGHT(G1182,LEN(G1182)-FIND("*",G1182)),"-")</f>
        <v>400</v>
      </c>
      <c r="W1182" s="20">
        <f t="shared" si="640"/>
        <v>4</v>
      </c>
      <c r="X1182" s="20">
        <f>IFERROR(W1182*H1182,"-")</f>
        <v>8</v>
      </c>
      <c r="Z1182" s="33">
        <v>45185</v>
      </c>
    </row>
    <row r="1183" spans="1:26" ht="6.95" customHeight="1" x14ac:dyDescent="0.3">
      <c r="A1183" s="5"/>
      <c r="B1183" s="157"/>
      <c r="C1183" s="158"/>
      <c r="D1183" s="161"/>
      <c r="E1183" s="162"/>
      <c r="F1183" s="163"/>
      <c r="G1183" s="164"/>
      <c r="H1183" s="165"/>
      <c r="I1183" s="164"/>
      <c r="J1183" s="165"/>
      <c r="K1183" s="164"/>
      <c r="L1183" s="165"/>
      <c r="M1183" s="6"/>
      <c r="N1183" s="32"/>
      <c r="Q1183" s="10" t="str">
        <f>+CONCATENATE(E1182,I1182)</f>
        <v>차열재마감</v>
      </c>
      <c r="R1183" s="10">
        <f>+J1182</f>
        <v>0</v>
      </c>
      <c r="S1183" s="11"/>
      <c r="T1183" s="10" t="str">
        <f>+E1182</f>
        <v>차열재마감</v>
      </c>
      <c r="U1183" s="19" t="str">
        <f>IFERROR(LEFT(I1182,FIND("*",I1182)-1),"-")</f>
        <v>-</v>
      </c>
      <c r="V1183" s="19" t="str">
        <f>IFERROR(RIGHT(I1182,LEN(I1182)-FIND("*",I1182)),"-")</f>
        <v>-</v>
      </c>
      <c r="W1183" s="20" t="str">
        <f t="shared" si="640"/>
        <v>-</v>
      </c>
      <c r="X1183" s="20" t="str">
        <f>IFERROR(W1183*J1182,"-")</f>
        <v>-</v>
      </c>
      <c r="Z1183" s="33">
        <v>45185</v>
      </c>
    </row>
    <row r="1184" spans="1:26" ht="6.95" customHeight="1" x14ac:dyDescent="0.3">
      <c r="A1184" s="5"/>
      <c r="B1184" s="157"/>
      <c r="C1184" s="158"/>
      <c r="D1184" s="161"/>
      <c r="E1184" s="162"/>
      <c r="F1184" s="163"/>
      <c r="G1184" s="164"/>
      <c r="H1184" s="165"/>
      <c r="I1184" s="164"/>
      <c r="J1184" s="165"/>
      <c r="K1184" s="164"/>
      <c r="L1184" s="165"/>
      <c r="M1184" s="6"/>
      <c r="N1184" s="32"/>
      <c r="Q1184" s="10" t="str">
        <f>+CONCATENATE(E1182,K1182)</f>
        <v>차열재마감</v>
      </c>
      <c r="R1184" s="10">
        <f>+L1182</f>
        <v>0</v>
      </c>
      <c r="S1184" s="11"/>
      <c r="T1184" s="10" t="str">
        <f>+E1182</f>
        <v>차열재마감</v>
      </c>
      <c r="U1184" s="19" t="str">
        <f>IFERROR(LEFT(K1182,FIND("*",K1182)-1),"-")</f>
        <v>-</v>
      </c>
      <c r="V1184" s="19" t="str">
        <f>IFERROR(RIGHT(K1182,LEN(K1182)-FIND("*",K1182)),"-")</f>
        <v>-</v>
      </c>
      <c r="W1184" s="20" t="str">
        <f t="shared" si="640"/>
        <v>-</v>
      </c>
      <c r="X1184" s="20" t="str">
        <f>IFERROR(W1184*L1182,"-")</f>
        <v>-</v>
      </c>
      <c r="Z1184" s="33">
        <v>45185</v>
      </c>
    </row>
    <row r="1185" spans="1:26" ht="6.95" customHeight="1" x14ac:dyDescent="0.3">
      <c r="A1185" s="8"/>
      <c r="B1185" s="157"/>
      <c r="C1185" s="158"/>
      <c r="D1185" s="161" t="s">
        <v>39</v>
      </c>
      <c r="E1185" s="162" t="s">
        <v>274</v>
      </c>
      <c r="F1185" s="163" t="s">
        <v>40</v>
      </c>
      <c r="G1185" s="164">
        <v>50</v>
      </c>
      <c r="H1185" s="165">
        <v>1</v>
      </c>
      <c r="I1185" s="164"/>
      <c r="J1185" s="165"/>
      <c r="K1185" s="164"/>
      <c r="L1185" s="165"/>
      <c r="M1185" s="6"/>
      <c r="N1185" s="32"/>
      <c r="Q1185" s="10" t="str">
        <f>+CONCATENATE(E1185,G1185)</f>
        <v>금속관벽체50</v>
      </c>
      <c r="R1185" s="10">
        <f>+H1185</f>
        <v>1</v>
      </c>
      <c r="S1185" s="11"/>
      <c r="T1185" s="10" t="str">
        <f>+E1185</f>
        <v>금속관벽체</v>
      </c>
      <c r="U1185" s="19" t="str">
        <f t="shared" ref="U1185" si="643">IFERROR(LEFT(G1185,FIND("*",G1185)-1),"-")</f>
        <v>-</v>
      </c>
      <c r="V1185" s="19" t="str">
        <f t="shared" ref="V1185" si="644">IFERROR(RIGHT(G1185,LEN(G1185)-FIND("*",G1185)),"-")</f>
        <v>-</v>
      </c>
      <c r="W1185" s="20" t="str">
        <f t="shared" si="640"/>
        <v>-</v>
      </c>
      <c r="X1185" s="20" t="str">
        <f>IFERROR(W1185*H1185,"-")</f>
        <v>-</v>
      </c>
      <c r="Z1185" s="33">
        <v>45185</v>
      </c>
    </row>
    <row r="1186" spans="1:26" ht="6.95" customHeight="1" x14ac:dyDescent="0.3">
      <c r="A1186" s="5"/>
      <c r="B1186" s="157"/>
      <c r="C1186" s="158"/>
      <c r="D1186" s="161"/>
      <c r="E1186" s="162"/>
      <c r="F1186" s="163"/>
      <c r="G1186" s="164"/>
      <c r="H1186" s="165"/>
      <c r="I1186" s="164"/>
      <c r="J1186" s="165"/>
      <c r="K1186" s="164"/>
      <c r="L1186" s="165"/>
      <c r="M1186" s="6"/>
      <c r="N1186" s="32"/>
      <c r="Q1186" s="10" t="str">
        <f>+CONCATENATE(E1185,I1185)</f>
        <v>금속관벽체</v>
      </c>
      <c r="R1186" s="10">
        <f>+J1185</f>
        <v>0</v>
      </c>
      <c r="S1186" s="11"/>
      <c r="T1186" s="10" t="str">
        <f>+E1185</f>
        <v>금속관벽체</v>
      </c>
      <c r="U1186" s="19" t="str">
        <f>IFERROR(LEFT(I1185,FIND("*",I1185)-1),"-")</f>
        <v>-</v>
      </c>
      <c r="V1186" s="19" t="str">
        <f>IFERROR(RIGHT(I1185,LEN(I1185)-FIND("*",I1185)),"-")</f>
        <v>-</v>
      </c>
      <c r="W1186" s="20" t="str">
        <f t="shared" si="640"/>
        <v>-</v>
      </c>
      <c r="X1186" s="20" t="str">
        <f t="shared" ref="X1186" si="645">IFERROR(W1186*J1185,"-")</f>
        <v>-</v>
      </c>
      <c r="Z1186" s="33">
        <v>45185</v>
      </c>
    </row>
    <row r="1187" spans="1:26" ht="6.95" customHeight="1" x14ac:dyDescent="0.3">
      <c r="A1187" s="5"/>
      <c r="B1187" s="157"/>
      <c r="C1187" s="158"/>
      <c r="D1187" s="161"/>
      <c r="E1187" s="162"/>
      <c r="F1187" s="163"/>
      <c r="G1187" s="164"/>
      <c r="H1187" s="165"/>
      <c r="I1187" s="164"/>
      <c r="J1187" s="165"/>
      <c r="K1187" s="164"/>
      <c r="L1187" s="165"/>
      <c r="M1187" s="6"/>
      <c r="N1187" s="32"/>
      <c r="Q1187" s="10" t="str">
        <f>+CONCATENATE(E1185,K1185)</f>
        <v>금속관벽체</v>
      </c>
      <c r="R1187" s="10">
        <f>+L1185</f>
        <v>0</v>
      </c>
      <c r="S1187" s="11"/>
      <c r="T1187" s="10" t="str">
        <f>+E1185</f>
        <v>금속관벽체</v>
      </c>
      <c r="U1187" s="19" t="str">
        <f>IFERROR(LEFT(K1185,FIND("*",K1185)-1),"-")</f>
        <v>-</v>
      </c>
      <c r="V1187" s="19" t="str">
        <f>IFERROR(RIGHT(K1185,LEN(K1185)-FIND("*",K1185)),"-")</f>
        <v>-</v>
      </c>
      <c r="W1187" s="20" t="str">
        <f t="shared" si="640"/>
        <v>-</v>
      </c>
      <c r="X1187" s="20" t="str">
        <f>IFERROR(W1187*L1185,"-")</f>
        <v>-</v>
      </c>
      <c r="Z1187" s="33">
        <v>45185</v>
      </c>
    </row>
    <row r="1188" spans="1:26" ht="21" customHeight="1" thickBot="1" x14ac:dyDescent="0.35">
      <c r="A1188" s="5"/>
      <c r="B1188" s="159"/>
      <c r="C1188" s="160"/>
      <c r="D1188" s="166" t="s">
        <v>43</v>
      </c>
      <c r="E1188" s="167"/>
      <c r="F1188" s="167"/>
      <c r="G1188" s="168"/>
      <c r="H1188" s="168"/>
      <c r="I1188" s="168"/>
      <c r="J1188" s="168"/>
      <c r="K1188" s="168"/>
      <c r="L1188" s="168"/>
      <c r="M1188" s="7"/>
      <c r="N1188" s="32"/>
      <c r="Z1188" s="33">
        <v>45185</v>
      </c>
    </row>
    <row r="1189" spans="1:26" ht="9.9499999999999993" customHeight="1" thickBot="1" x14ac:dyDescent="0.35">
      <c r="B1189" s="9"/>
      <c r="C1189" s="109">
        <v>908</v>
      </c>
      <c r="D1189" s="51"/>
      <c r="E1189" s="12"/>
      <c r="F1189" s="51"/>
      <c r="G1189" s="14"/>
      <c r="H1189" s="14"/>
      <c r="I1189" s="14"/>
      <c r="J1189" s="14"/>
      <c r="K1189" s="14"/>
      <c r="L1189" s="14"/>
      <c r="M1189" s="9"/>
      <c r="N1189" s="32"/>
      <c r="U1189" s="18"/>
      <c r="V1189" s="18"/>
      <c r="Z1189" s="33">
        <v>45185</v>
      </c>
    </row>
    <row r="1190" spans="1:26" ht="6.95" customHeight="1" x14ac:dyDescent="0.3">
      <c r="A1190" s="154">
        <f>+A1179+1</f>
        <v>909</v>
      </c>
      <c r="B1190" s="155"/>
      <c r="C1190" s="156"/>
      <c r="D1190" s="161" t="s">
        <v>39</v>
      </c>
      <c r="E1190" s="162" t="s">
        <v>209</v>
      </c>
      <c r="F1190" s="163" t="s">
        <v>40</v>
      </c>
      <c r="G1190" s="164" t="s">
        <v>276</v>
      </c>
      <c r="H1190" s="165">
        <v>1</v>
      </c>
      <c r="I1190" s="164"/>
      <c r="J1190" s="165"/>
      <c r="K1190" s="164"/>
      <c r="L1190" s="165"/>
      <c r="M1190" s="6"/>
      <c r="N1190" s="32"/>
      <c r="Q1190" s="10" t="str">
        <f>+CONCATENATE(E1190,G1190)</f>
        <v>보온덕트벽체1200*400</v>
      </c>
      <c r="R1190" s="10">
        <f>+H1190</f>
        <v>1</v>
      </c>
      <c r="S1190" s="11"/>
      <c r="T1190" s="10" t="str">
        <f>+E1190</f>
        <v>보온덕트벽체</v>
      </c>
      <c r="U1190" s="19" t="str">
        <f>IFERROR(LEFT(G1190,FIND("*",G1190)-1),"-")</f>
        <v>1200</v>
      </c>
      <c r="V1190" s="19" t="str">
        <f>IFERROR(RIGHT(G1190,LEN(G1190)-FIND("*",G1190)),"-")</f>
        <v>400</v>
      </c>
      <c r="W1190" s="20">
        <f>IFERROR((U1190+V1190)*2/1000,"-")</f>
        <v>3.2</v>
      </c>
      <c r="X1190" s="20">
        <f>IFERROR(W1190*H1190,"-")</f>
        <v>3.2</v>
      </c>
      <c r="Z1190" s="33">
        <v>45185</v>
      </c>
    </row>
    <row r="1191" spans="1:26" ht="6.95" customHeight="1" x14ac:dyDescent="0.3">
      <c r="A1191" s="154"/>
      <c r="B1191" s="157"/>
      <c r="C1191" s="158"/>
      <c r="D1191" s="161"/>
      <c r="E1191" s="162"/>
      <c r="F1191" s="163"/>
      <c r="G1191" s="164"/>
      <c r="H1191" s="165"/>
      <c r="I1191" s="164"/>
      <c r="J1191" s="165"/>
      <c r="K1191" s="164"/>
      <c r="L1191" s="165"/>
      <c r="M1191" s="6"/>
      <c r="N1191" s="32"/>
      <c r="Q1191" s="10" t="str">
        <f>+CONCATENATE(E1190,I1190)</f>
        <v>보온덕트벽체</v>
      </c>
      <c r="R1191" s="10">
        <f>+J1190</f>
        <v>0</v>
      </c>
      <c r="S1191" s="11"/>
      <c r="T1191" s="10" t="str">
        <f>+E1190</f>
        <v>보온덕트벽체</v>
      </c>
      <c r="U1191" s="19" t="str">
        <f>IFERROR(LEFT(I1190,FIND("*",I1190)-1),"-")</f>
        <v>-</v>
      </c>
      <c r="V1191" s="19" t="str">
        <f>IFERROR(RIGHT(I1190,LEN(I1190)-FIND("*",I1190)),"-")</f>
        <v>-</v>
      </c>
      <c r="W1191" s="20" t="str">
        <f t="shared" ref="W1191:W1198" si="646">IFERROR((U1191+V1191)*2/1000,"-")</f>
        <v>-</v>
      </c>
      <c r="X1191" s="20" t="str">
        <f>IFERROR(W1191*J1190,"-")</f>
        <v>-</v>
      </c>
      <c r="Z1191" s="33">
        <v>45185</v>
      </c>
    </row>
    <row r="1192" spans="1:26" ht="6.95" customHeight="1" x14ac:dyDescent="0.3">
      <c r="A1192" s="154"/>
      <c r="B1192" s="157"/>
      <c r="C1192" s="158"/>
      <c r="D1192" s="161"/>
      <c r="E1192" s="162"/>
      <c r="F1192" s="163"/>
      <c r="G1192" s="164"/>
      <c r="H1192" s="165"/>
      <c r="I1192" s="164"/>
      <c r="J1192" s="165"/>
      <c r="K1192" s="164"/>
      <c r="L1192" s="165"/>
      <c r="M1192" s="6"/>
      <c r="N1192" s="32"/>
      <c r="Q1192" s="10" t="str">
        <f>+CONCATENATE(E1190,K1190)</f>
        <v>보온덕트벽체</v>
      </c>
      <c r="R1192" s="10">
        <f>+L1190</f>
        <v>0</v>
      </c>
      <c r="S1192" s="11"/>
      <c r="T1192" s="10" t="str">
        <f>+E1190</f>
        <v>보온덕트벽체</v>
      </c>
      <c r="U1192" s="19" t="str">
        <f>IFERROR(LEFT(K1190,FIND("*",K1190)-1),"-")</f>
        <v>-</v>
      </c>
      <c r="V1192" s="19" t="str">
        <f>IFERROR(RIGHT(K1190,LEN(K1190)-FIND("*",K1190)),"-")</f>
        <v>-</v>
      </c>
      <c r="W1192" s="20" t="str">
        <f t="shared" si="646"/>
        <v>-</v>
      </c>
      <c r="X1192" s="20" t="str">
        <f>IFERROR(W1192*L1190,"-")</f>
        <v>-</v>
      </c>
      <c r="Z1192" s="33">
        <v>45185</v>
      </c>
    </row>
    <row r="1193" spans="1:26" ht="6.95" customHeight="1" x14ac:dyDescent="0.3">
      <c r="A1193" s="8"/>
      <c r="B1193" s="157"/>
      <c r="C1193" s="158"/>
      <c r="D1193" s="161" t="s">
        <v>39</v>
      </c>
      <c r="E1193" s="162" t="s">
        <v>66</v>
      </c>
      <c r="F1193" s="163" t="s">
        <v>40</v>
      </c>
      <c r="G1193" s="164" t="s">
        <v>276</v>
      </c>
      <c r="H1193" s="165">
        <v>2</v>
      </c>
      <c r="I1193" s="164"/>
      <c r="J1193" s="165"/>
      <c r="K1193" s="164"/>
      <c r="L1193" s="165"/>
      <c r="M1193" s="6"/>
      <c r="N1193" s="32"/>
      <c r="Q1193" s="10" t="str">
        <f>+CONCATENATE(E1193,G1193)</f>
        <v>차열재마감1200*400</v>
      </c>
      <c r="R1193" s="10">
        <f>+H1193</f>
        <v>2</v>
      </c>
      <c r="S1193" s="11"/>
      <c r="T1193" s="10" t="str">
        <f>+E1193</f>
        <v>차열재마감</v>
      </c>
      <c r="U1193" s="19" t="str">
        <f t="shared" ref="U1193" si="647">IFERROR(LEFT(G1193,FIND("*",G1193)-1),"-")</f>
        <v>1200</v>
      </c>
      <c r="V1193" s="19" t="str">
        <f t="shared" ref="V1193" si="648">IFERROR(RIGHT(G1193,LEN(G1193)-FIND("*",G1193)),"-")</f>
        <v>400</v>
      </c>
      <c r="W1193" s="20">
        <f t="shared" si="646"/>
        <v>3.2</v>
      </c>
      <c r="X1193" s="20">
        <f>IFERROR(W1193*H1193,"-")</f>
        <v>6.4</v>
      </c>
      <c r="Z1193" s="33">
        <v>45185</v>
      </c>
    </row>
    <row r="1194" spans="1:26" ht="6.95" customHeight="1" x14ac:dyDescent="0.3">
      <c r="A1194" s="5"/>
      <c r="B1194" s="157"/>
      <c r="C1194" s="158"/>
      <c r="D1194" s="161"/>
      <c r="E1194" s="162"/>
      <c r="F1194" s="163"/>
      <c r="G1194" s="164"/>
      <c r="H1194" s="165"/>
      <c r="I1194" s="164"/>
      <c r="J1194" s="165"/>
      <c r="K1194" s="164"/>
      <c r="L1194" s="165"/>
      <c r="M1194" s="6"/>
      <c r="N1194" s="32"/>
      <c r="Q1194" s="10" t="str">
        <f>+CONCATENATE(E1193,I1193)</f>
        <v>차열재마감</v>
      </c>
      <c r="R1194" s="10">
        <f>+J1193</f>
        <v>0</v>
      </c>
      <c r="S1194" s="11"/>
      <c r="T1194" s="10" t="str">
        <f>+E1193</f>
        <v>차열재마감</v>
      </c>
      <c r="U1194" s="19" t="str">
        <f>IFERROR(LEFT(I1193,FIND("*",I1193)-1),"-")</f>
        <v>-</v>
      </c>
      <c r="V1194" s="19" t="str">
        <f>IFERROR(RIGHT(I1193,LEN(I1193)-FIND("*",I1193)),"-")</f>
        <v>-</v>
      </c>
      <c r="W1194" s="20" t="str">
        <f t="shared" si="646"/>
        <v>-</v>
      </c>
      <c r="X1194" s="20" t="str">
        <f>IFERROR(W1194*J1193,"-")</f>
        <v>-</v>
      </c>
      <c r="Z1194" s="33">
        <v>45185</v>
      </c>
    </row>
    <row r="1195" spans="1:26" ht="6.95" customHeight="1" x14ac:dyDescent="0.3">
      <c r="A1195" s="5"/>
      <c r="B1195" s="157"/>
      <c r="C1195" s="158"/>
      <c r="D1195" s="161"/>
      <c r="E1195" s="162"/>
      <c r="F1195" s="163"/>
      <c r="G1195" s="164"/>
      <c r="H1195" s="165"/>
      <c r="I1195" s="164"/>
      <c r="J1195" s="165"/>
      <c r="K1195" s="164"/>
      <c r="L1195" s="165"/>
      <c r="M1195" s="6"/>
      <c r="N1195" s="32"/>
      <c r="Q1195" s="10" t="str">
        <f>+CONCATENATE(E1193,K1193)</f>
        <v>차열재마감</v>
      </c>
      <c r="R1195" s="10">
        <f>+L1193</f>
        <v>0</v>
      </c>
      <c r="S1195" s="11"/>
      <c r="T1195" s="10" t="str">
        <f>+E1193</f>
        <v>차열재마감</v>
      </c>
      <c r="U1195" s="19" t="str">
        <f>IFERROR(LEFT(K1193,FIND("*",K1193)-1),"-")</f>
        <v>-</v>
      </c>
      <c r="V1195" s="19" t="str">
        <f>IFERROR(RIGHT(K1193,LEN(K1193)-FIND("*",K1193)),"-")</f>
        <v>-</v>
      </c>
      <c r="W1195" s="20" t="str">
        <f t="shared" si="646"/>
        <v>-</v>
      </c>
      <c r="X1195" s="20" t="str">
        <f>IFERROR(W1195*L1193,"-")</f>
        <v>-</v>
      </c>
      <c r="Z1195" s="33">
        <v>45185</v>
      </c>
    </row>
    <row r="1196" spans="1:26" ht="6.95" customHeight="1" x14ac:dyDescent="0.3">
      <c r="A1196" s="8"/>
      <c r="B1196" s="157"/>
      <c r="C1196" s="158"/>
      <c r="D1196" s="161" t="s">
        <v>39</v>
      </c>
      <c r="E1196" s="162" t="s">
        <v>274</v>
      </c>
      <c r="F1196" s="163" t="s">
        <v>40</v>
      </c>
      <c r="G1196" s="164">
        <v>50</v>
      </c>
      <c r="H1196" s="165">
        <v>4</v>
      </c>
      <c r="I1196" s="164"/>
      <c r="J1196" s="165"/>
      <c r="K1196" s="164"/>
      <c r="L1196" s="165"/>
      <c r="M1196" s="6"/>
      <c r="N1196" s="32"/>
      <c r="Q1196" s="10" t="str">
        <f>+CONCATENATE(E1196,G1196)</f>
        <v>금속관벽체50</v>
      </c>
      <c r="R1196" s="10">
        <f>+H1196</f>
        <v>4</v>
      </c>
      <c r="S1196" s="11"/>
      <c r="T1196" s="10" t="str">
        <f>+E1196</f>
        <v>금속관벽체</v>
      </c>
      <c r="U1196" s="19" t="str">
        <f t="shared" ref="U1196" si="649">IFERROR(LEFT(G1196,FIND("*",G1196)-1),"-")</f>
        <v>-</v>
      </c>
      <c r="V1196" s="19" t="str">
        <f t="shared" ref="V1196" si="650">IFERROR(RIGHT(G1196,LEN(G1196)-FIND("*",G1196)),"-")</f>
        <v>-</v>
      </c>
      <c r="W1196" s="20" t="str">
        <f t="shared" si="646"/>
        <v>-</v>
      </c>
      <c r="X1196" s="20" t="str">
        <f>IFERROR(W1196*H1196,"-")</f>
        <v>-</v>
      </c>
      <c r="Z1196" s="33">
        <v>45185</v>
      </c>
    </row>
    <row r="1197" spans="1:26" ht="6.95" customHeight="1" x14ac:dyDescent="0.3">
      <c r="A1197" s="5"/>
      <c r="B1197" s="157"/>
      <c r="C1197" s="158"/>
      <c r="D1197" s="161"/>
      <c r="E1197" s="162"/>
      <c r="F1197" s="163"/>
      <c r="G1197" s="164"/>
      <c r="H1197" s="165"/>
      <c r="I1197" s="164"/>
      <c r="J1197" s="165"/>
      <c r="K1197" s="164"/>
      <c r="L1197" s="165"/>
      <c r="M1197" s="6"/>
      <c r="N1197" s="32"/>
      <c r="Q1197" s="10" t="str">
        <f>+CONCATENATE(E1196,I1196)</f>
        <v>금속관벽체</v>
      </c>
      <c r="R1197" s="10">
        <f>+J1196</f>
        <v>0</v>
      </c>
      <c r="S1197" s="11"/>
      <c r="T1197" s="10" t="str">
        <f>+E1196</f>
        <v>금속관벽체</v>
      </c>
      <c r="U1197" s="19" t="str">
        <f>IFERROR(LEFT(I1196,FIND("*",I1196)-1),"-")</f>
        <v>-</v>
      </c>
      <c r="V1197" s="19" t="str">
        <f>IFERROR(RIGHT(I1196,LEN(I1196)-FIND("*",I1196)),"-")</f>
        <v>-</v>
      </c>
      <c r="W1197" s="20" t="str">
        <f t="shared" si="646"/>
        <v>-</v>
      </c>
      <c r="X1197" s="20" t="str">
        <f t="shared" ref="X1197" si="651">IFERROR(W1197*J1196,"-")</f>
        <v>-</v>
      </c>
      <c r="Z1197" s="33">
        <v>45185</v>
      </c>
    </row>
    <row r="1198" spans="1:26" ht="6.95" customHeight="1" x14ac:dyDescent="0.3">
      <c r="A1198" s="5"/>
      <c r="B1198" s="157"/>
      <c r="C1198" s="158"/>
      <c r="D1198" s="161"/>
      <c r="E1198" s="162"/>
      <c r="F1198" s="163"/>
      <c r="G1198" s="164"/>
      <c r="H1198" s="165"/>
      <c r="I1198" s="164"/>
      <c r="J1198" s="165"/>
      <c r="K1198" s="164"/>
      <c r="L1198" s="165"/>
      <c r="M1198" s="6"/>
      <c r="N1198" s="32"/>
      <c r="Q1198" s="10" t="str">
        <f>+CONCATENATE(E1196,K1196)</f>
        <v>금속관벽체</v>
      </c>
      <c r="R1198" s="10">
        <f>+L1196</f>
        <v>0</v>
      </c>
      <c r="S1198" s="11"/>
      <c r="T1198" s="10" t="str">
        <f>+E1196</f>
        <v>금속관벽체</v>
      </c>
      <c r="U1198" s="19" t="str">
        <f>IFERROR(LEFT(K1196,FIND("*",K1196)-1),"-")</f>
        <v>-</v>
      </c>
      <c r="V1198" s="19" t="str">
        <f>IFERROR(RIGHT(K1196,LEN(K1196)-FIND("*",K1196)),"-")</f>
        <v>-</v>
      </c>
      <c r="W1198" s="20" t="str">
        <f t="shared" si="646"/>
        <v>-</v>
      </c>
      <c r="X1198" s="20" t="str">
        <f>IFERROR(W1198*L1196,"-")</f>
        <v>-</v>
      </c>
      <c r="Z1198" s="33">
        <v>45185</v>
      </c>
    </row>
    <row r="1199" spans="1:26" ht="21" customHeight="1" thickBot="1" x14ac:dyDescent="0.35">
      <c r="A1199" s="5"/>
      <c r="B1199" s="159"/>
      <c r="C1199" s="160"/>
      <c r="D1199" s="166" t="s">
        <v>43</v>
      </c>
      <c r="E1199" s="167"/>
      <c r="F1199" s="167"/>
      <c r="G1199" s="168"/>
      <c r="H1199" s="168"/>
      <c r="I1199" s="168"/>
      <c r="J1199" s="168"/>
      <c r="K1199" s="168"/>
      <c r="L1199" s="168"/>
      <c r="M1199" s="7"/>
      <c r="N1199" s="32"/>
      <c r="Z1199" s="33">
        <v>45185</v>
      </c>
    </row>
    <row r="1200" spans="1:26" ht="9.9499999999999993" customHeight="1" thickBot="1" x14ac:dyDescent="0.35">
      <c r="B1200" s="9"/>
      <c r="C1200" s="109">
        <v>909</v>
      </c>
      <c r="D1200" s="51"/>
      <c r="E1200" s="12"/>
      <c r="F1200" s="51"/>
      <c r="G1200" s="14"/>
      <c r="H1200" s="14"/>
      <c r="I1200" s="14"/>
      <c r="J1200" s="14"/>
      <c r="K1200" s="14"/>
      <c r="L1200" s="14"/>
      <c r="M1200" s="9"/>
      <c r="N1200" s="32"/>
      <c r="U1200" s="18"/>
      <c r="V1200" s="18"/>
      <c r="Z1200" s="33">
        <v>45185</v>
      </c>
    </row>
    <row r="1201" spans="1:26" ht="6.95" customHeight="1" x14ac:dyDescent="0.3">
      <c r="A1201" s="154">
        <f>+A1190+1</f>
        <v>910</v>
      </c>
      <c r="B1201" s="155"/>
      <c r="C1201" s="156"/>
      <c r="D1201" s="161" t="s">
        <v>39</v>
      </c>
      <c r="E1201" s="162" t="s">
        <v>209</v>
      </c>
      <c r="F1201" s="163" t="s">
        <v>40</v>
      </c>
      <c r="G1201" s="164" t="s">
        <v>276</v>
      </c>
      <c r="H1201" s="165">
        <v>1</v>
      </c>
      <c r="I1201" s="164"/>
      <c r="J1201" s="165"/>
      <c r="K1201" s="164"/>
      <c r="L1201" s="165"/>
      <c r="M1201" s="6"/>
      <c r="N1201" s="32"/>
      <c r="Q1201" s="10" t="str">
        <f>+CONCATENATE(E1201,G1201)</f>
        <v>보온덕트벽체1200*400</v>
      </c>
      <c r="R1201" s="10">
        <f>+H1201</f>
        <v>1</v>
      </c>
      <c r="S1201" s="11"/>
      <c r="T1201" s="10" t="str">
        <f>+E1201</f>
        <v>보온덕트벽체</v>
      </c>
      <c r="U1201" s="19" t="str">
        <f>IFERROR(LEFT(G1201,FIND("*",G1201)-1),"-")</f>
        <v>1200</v>
      </c>
      <c r="V1201" s="19" t="str">
        <f>IFERROR(RIGHT(G1201,LEN(G1201)-FIND("*",G1201)),"-")</f>
        <v>400</v>
      </c>
      <c r="W1201" s="20">
        <f>IFERROR((U1201+V1201)*2/1000,"-")</f>
        <v>3.2</v>
      </c>
      <c r="X1201" s="20">
        <f>IFERROR(W1201*H1201,"-")</f>
        <v>3.2</v>
      </c>
      <c r="Z1201" s="33">
        <v>45185</v>
      </c>
    </row>
    <row r="1202" spans="1:26" ht="6.95" customHeight="1" x14ac:dyDescent="0.3">
      <c r="A1202" s="154"/>
      <c r="B1202" s="157"/>
      <c r="C1202" s="158"/>
      <c r="D1202" s="161"/>
      <c r="E1202" s="162"/>
      <c r="F1202" s="163"/>
      <c r="G1202" s="164"/>
      <c r="H1202" s="165"/>
      <c r="I1202" s="164"/>
      <c r="J1202" s="165"/>
      <c r="K1202" s="164"/>
      <c r="L1202" s="165"/>
      <c r="M1202" s="6"/>
      <c r="N1202" s="32"/>
      <c r="Q1202" s="10" t="str">
        <f>+CONCATENATE(E1201,I1201)</f>
        <v>보온덕트벽체</v>
      </c>
      <c r="R1202" s="10">
        <f>+J1201</f>
        <v>0</v>
      </c>
      <c r="S1202" s="11"/>
      <c r="T1202" s="10" t="str">
        <f>+E1201</f>
        <v>보온덕트벽체</v>
      </c>
      <c r="U1202" s="19" t="str">
        <f>IFERROR(LEFT(I1201,FIND("*",I1201)-1),"-")</f>
        <v>-</v>
      </c>
      <c r="V1202" s="19" t="str">
        <f>IFERROR(RIGHT(I1201,LEN(I1201)-FIND("*",I1201)),"-")</f>
        <v>-</v>
      </c>
      <c r="W1202" s="20" t="str">
        <f t="shared" ref="W1202:W1209" si="652">IFERROR((U1202+V1202)*2/1000,"-")</f>
        <v>-</v>
      </c>
      <c r="X1202" s="20" t="str">
        <f>IFERROR(W1202*J1201,"-")</f>
        <v>-</v>
      </c>
      <c r="Z1202" s="33">
        <v>45185</v>
      </c>
    </row>
    <row r="1203" spans="1:26" ht="6.95" customHeight="1" x14ac:dyDescent="0.3">
      <c r="A1203" s="154"/>
      <c r="B1203" s="157"/>
      <c r="C1203" s="158"/>
      <c r="D1203" s="161"/>
      <c r="E1203" s="162"/>
      <c r="F1203" s="163"/>
      <c r="G1203" s="164"/>
      <c r="H1203" s="165"/>
      <c r="I1203" s="164"/>
      <c r="J1203" s="165"/>
      <c r="K1203" s="164"/>
      <c r="L1203" s="165"/>
      <c r="M1203" s="6"/>
      <c r="N1203" s="32"/>
      <c r="Q1203" s="10" t="str">
        <f>+CONCATENATE(E1201,K1201)</f>
        <v>보온덕트벽체</v>
      </c>
      <c r="R1203" s="10">
        <f>+L1201</f>
        <v>0</v>
      </c>
      <c r="S1203" s="11"/>
      <c r="T1203" s="10" t="str">
        <f>+E1201</f>
        <v>보온덕트벽체</v>
      </c>
      <c r="U1203" s="19" t="str">
        <f>IFERROR(LEFT(K1201,FIND("*",K1201)-1),"-")</f>
        <v>-</v>
      </c>
      <c r="V1203" s="19" t="str">
        <f>IFERROR(RIGHT(K1201,LEN(K1201)-FIND("*",K1201)),"-")</f>
        <v>-</v>
      </c>
      <c r="W1203" s="20" t="str">
        <f t="shared" si="652"/>
        <v>-</v>
      </c>
      <c r="X1203" s="20" t="str">
        <f>IFERROR(W1203*L1201,"-")</f>
        <v>-</v>
      </c>
      <c r="Z1203" s="33">
        <v>45185</v>
      </c>
    </row>
    <row r="1204" spans="1:26" ht="6.95" customHeight="1" x14ac:dyDescent="0.3">
      <c r="A1204" s="8"/>
      <c r="B1204" s="157"/>
      <c r="C1204" s="158"/>
      <c r="D1204" s="161" t="s">
        <v>39</v>
      </c>
      <c r="E1204" s="162" t="s">
        <v>66</v>
      </c>
      <c r="F1204" s="163" t="s">
        <v>40</v>
      </c>
      <c r="G1204" s="164" t="s">
        <v>276</v>
      </c>
      <c r="H1204" s="165">
        <v>2</v>
      </c>
      <c r="I1204" s="164"/>
      <c r="J1204" s="165"/>
      <c r="K1204" s="164"/>
      <c r="L1204" s="165"/>
      <c r="M1204" s="6"/>
      <c r="N1204" s="32"/>
      <c r="Q1204" s="10" t="str">
        <f>+CONCATENATE(E1204,G1204)</f>
        <v>차열재마감1200*400</v>
      </c>
      <c r="R1204" s="10">
        <f>+H1204</f>
        <v>2</v>
      </c>
      <c r="S1204" s="11"/>
      <c r="T1204" s="10" t="str">
        <f>+E1204</f>
        <v>차열재마감</v>
      </c>
      <c r="U1204" s="19" t="str">
        <f t="shared" ref="U1204" si="653">IFERROR(LEFT(G1204,FIND("*",G1204)-1),"-")</f>
        <v>1200</v>
      </c>
      <c r="V1204" s="19" t="str">
        <f t="shared" ref="V1204" si="654">IFERROR(RIGHT(G1204,LEN(G1204)-FIND("*",G1204)),"-")</f>
        <v>400</v>
      </c>
      <c r="W1204" s="20">
        <f t="shared" si="652"/>
        <v>3.2</v>
      </c>
      <c r="X1204" s="20">
        <f>IFERROR(W1204*H1204,"-")</f>
        <v>6.4</v>
      </c>
      <c r="Z1204" s="33">
        <v>45185</v>
      </c>
    </row>
    <row r="1205" spans="1:26" ht="6.95" customHeight="1" x14ac:dyDescent="0.3">
      <c r="A1205" s="5"/>
      <c r="B1205" s="157"/>
      <c r="C1205" s="158"/>
      <c r="D1205" s="161"/>
      <c r="E1205" s="162"/>
      <c r="F1205" s="163"/>
      <c r="G1205" s="164"/>
      <c r="H1205" s="165"/>
      <c r="I1205" s="164"/>
      <c r="J1205" s="165"/>
      <c r="K1205" s="164"/>
      <c r="L1205" s="165"/>
      <c r="M1205" s="6"/>
      <c r="N1205" s="32"/>
      <c r="Q1205" s="10" t="str">
        <f>+CONCATENATE(E1204,I1204)</f>
        <v>차열재마감</v>
      </c>
      <c r="R1205" s="10">
        <f>+J1204</f>
        <v>0</v>
      </c>
      <c r="S1205" s="11"/>
      <c r="T1205" s="10" t="str">
        <f>+E1204</f>
        <v>차열재마감</v>
      </c>
      <c r="U1205" s="19" t="str">
        <f>IFERROR(LEFT(I1204,FIND("*",I1204)-1),"-")</f>
        <v>-</v>
      </c>
      <c r="V1205" s="19" t="str">
        <f>IFERROR(RIGHT(I1204,LEN(I1204)-FIND("*",I1204)),"-")</f>
        <v>-</v>
      </c>
      <c r="W1205" s="20" t="str">
        <f t="shared" si="652"/>
        <v>-</v>
      </c>
      <c r="X1205" s="20" t="str">
        <f>IFERROR(W1205*J1204,"-")</f>
        <v>-</v>
      </c>
      <c r="Z1205" s="33">
        <v>45185</v>
      </c>
    </row>
    <row r="1206" spans="1:26" ht="6.95" customHeight="1" x14ac:dyDescent="0.3">
      <c r="A1206" s="5"/>
      <c r="B1206" s="157"/>
      <c r="C1206" s="158"/>
      <c r="D1206" s="161"/>
      <c r="E1206" s="162"/>
      <c r="F1206" s="163"/>
      <c r="G1206" s="164"/>
      <c r="H1206" s="165"/>
      <c r="I1206" s="164"/>
      <c r="J1206" s="165"/>
      <c r="K1206" s="164"/>
      <c r="L1206" s="165"/>
      <c r="M1206" s="6"/>
      <c r="N1206" s="32"/>
      <c r="Q1206" s="10" t="str">
        <f>+CONCATENATE(E1204,K1204)</f>
        <v>차열재마감</v>
      </c>
      <c r="R1206" s="10">
        <f>+L1204</f>
        <v>0</v>
      </c>
      <c r="S1206" s="11"/>
      <c r="T1206" s="10" t="str">
        <f>+E1204</f>
        <v>차열재마감</v>
      </c>
      <c r="U1206" s="19" t="str">
        <f>IFERROR(LEFT(K1204,FIND("*",K1204)-1),"-")</f>
        <v>-</v>
      </c>
      <c r="V1206" s="19" t="str">
        <f>IFERROR(RIGHT(K1204,LEN(K1204)-FIND("*",K1204)),"-")</f>
        <v>-</v>
      </c>
      <c r="W1206" s="20" t="str">
        <f t="shared" si="652"/>
        <v>-</v>
      </c>
      <c r="X1206" s="20" t="str">
        <f>IFERROR(W1206*L1204,"-")</f>
        <v>-</v>
      </c>
      <c r="Z1206" s="33">
        <v>45185</v>
      </c>
    </row>
    <row r="1207" spans="1:26" ht="6.95" customHeight="1" x14ac:dyDescent="0.3">
      <c r="A1207" s="8"/>
      <c r="B1207" s="157"/>
      <c r="C1207" s="158"/>
      <c r="D1207" s="161" t="s">
        <v>39</v>
      </c>
      <c r="E1207" s="162" t="s">
        <v>274</v>
      </c>
      <c r="F1207" s="163" t="s">
        <v>40</v>
      </c>
      <c r="G1207" s="164">
        <v>50</v>
      </c>
      <c r="H1207" s="165">
        <v>2</v>
      </c>
      <c r="I1207" s="164"/>
      <c r="J1207" s="165"/>
      <c r="K1207" s="164"/>
      <c r="L1207" s="165"/>
      <c r="M1207" s="6"/>
      <c r="N1207" s="32"/>
      <c r="Q1207" s="10" t="str">
        <f>+CONCATENATE(E1207,G1207)</f>
        <v>금속관벽체50</v>
      </c>
      <c r="R1207" s="10">
        <f>+H1207</f>
        <v>2</v>
      </c>
      <c r="S1207" s="11"/>
      <c r="T1207" s="10" t="str">
        <f>+E1207</f>
        <v>금속관벽체</v>
      </c>
      <c r="U1207" s="19" t="str">
        <f t="shared" ref="U1207" si="655">IFERROR(LEFT(G1207,FIND("*",G1207)-1),"-")</f>
        <v>-</v>
      </c>
      <c r="V1207" s="19" t="str">
        <f t="shared" ref="V1207" si="656">IFERROR(RIGHT(G1207,LEN(G1207)-FIND("*",G1207)),"-")</f>
        <v>-</v>
      </c>
      <c r="W1207" s="20" t="str">
        <f t="shared" si="652"/>
        <v>-</v>
      </c>
      <c r="X1207" s="20" t="str">
        <f>IFERROR(W1207*H1207,"-")</f>
        <v>-</v>
      </c>
      <c r="Z1207" s="33">
        <v>45185</v>
      </c>
    </row>
    <row r="1208" spans="1:26" ht="6.95" customHeight="1" x14ac:dyDescent="0.3">
      <c r="A1208" s="5"/>
      <c r="B1208" s="157"/>
      <c r="C1208" s="158"/>
      <c r="D1208" s="161"/>
      <c r="E1208" s="162"/>
      <c r="F1208" s="163"/>
      <c r="G1208" s="164"/>
      <c r="H1208" s="165"/>
      <c r="I1208" s="164"/>
      <c r="J1208" s="165"/>
      <c r="K1208" s="164"/>
      <c r="L1208" s="165"/>
      <c r="M1208" s="6"/>
      <c r="N1208" s="32"/>
      <c r="Q1208" s="10" t="str">
        <f>+CONCATENATE(E1207,I1207)</f>
        <v>금속관벽체</v>
      </c>
      <c r="R1208" s="10">
        <f>+J1207</f>
        <v>0</v>
      </c>
      <c r="S1208" s="11"/>
      <c r="T1208" s="10" t="str">
        <f>+E1207</f>
        <v>금속관벽체</v>
      </c>
      <c r="U1208" s="19" t="str">
        <f>IFERROR(LEFT(I1207,FIND("*",I1207)-1),"-")</f>
        <v>-</v>
      </c>
      <c r="V1208" s="19" t="str">
        <f>IFERROR(RIGHT(I1207,LEN(I1207)-FIND("*",I1207)),"-")</f>
        <v>-</v>
      </c>
      <c r="W1208" s="20" t="str">
        <f t="shared" si="652"/>
        <v>-</v>
      </c>
      <c r="X1208" s="20" t="str">
        <f t="shared" ref="X1208" si="657">IFERROR(W1208*J1207,"-")</f>
        <v>-</v>
      </c>
      <c r="Z1208" s="33">
        <v>45185</v>
      </c>
    </row>
    <row r="1209" spans="1:26" ht="6.95" customHeight="1" x14ac:dyDescent="0.3">
      <c r="A1209" s="5"/>
      <c r="B1209" s="157"/>
      <c r="C1209" s="158"/>
      <c r="D1209" s="161"/>
      <c r="E1209" s="162"/>
      <c r="F1209" s="163"/>
      <c r="G1209" s="164"/>
      <c r="H1209" s="165"/>
      <c r="I1209" s="164"/>
      <c r="J1209" s="165"/>
      <c r="K1209" s="164"/>
      <c r="L1209" s="165"/>
      <c r="M1209" s="6"/>
      <c r="N1209" s="32"/>
      <c r="Q1209" s="10" t="str">
        <f>+CONCATENATE(E1207,K1207)</f>
        <v>금속관벽체</v>
      </c>
      <c r="R1209" s="10">
        <f>+L1207</f>
        <v>0</v>
      </c>
      <c r="S1209" s="11"/>
      <c r="T1209" s="10" t="str">
        <f>+E1207</f>
        <v>금속관벽체</v>
      </c>
      <c r="U1209" s="19" t="str">
        <f>IFERROR(LEFT(K1207,FIND("*",K1207)-1),"-")</f>
        <v>-</v>
      </c>
      <c r="V1209" s="19" t="str">
        <f>IFERROR(RIGHT(K1207,LEN(K1207)-FIND("*",K1207)),"-")</f>
        <v>-</v>
      </c>
      <c r="W1209" s="20" t="str">
        <f t="shared" si="652"/>
        <v>-</v>
      </c>
      <c r="X1209" s="20" t="str">
        <f>IFERROR(W1209*L1207,"-")</f>
        <v>-</v>
      </c>
      <c r="Z1209" s="33">
        <v>45185</v>
      </c>
    </row>
    <row r="1210" spans="1:26" ht="21" customHeight="1" thickBot="1" x14ac:dyDescent="0.35">
      <c r="A1210" s="5"/>
      <c r="B1210" s="159"/>
      <c r="C1210" s="160"/>
      <c r="D1210" s="166" t="s">
        <v>43</v>
      </c>
      <c r="E1210" s="167"/>
      <c r="F1210" s="167"/>
      <c r="G1210" s="168"/>
      <c r="H1210" s="168"/>
      <c r="I1210" s="168"/>
      <c r="J1210" s="168"/>
      <c r="K1210" s="168"/>
      <c r="L1210" s="168"/>
      <c r="M1210" s="7"/>
      <c r="N1210" s="32"/>
      <c r="Z1210" s="33">
        <v>45185</v>
      </c>
    </row>
    <row r="1211" spans="1:26" ht="9.9499999999999993" customHeight="1" thickBot="1" x14ac:dyDescent="0.35">
      <c r="B1211" s="9"/>
      <c r="C1211" s="109">
        <v>910</v>
      </c>
      <c r="D1211" s="51"/>
      <c r="E1211" s="12"/>
      <c r="F1211" s="51"/>
      <c r="G1211" s="14"/>
      <c r="H1211" s="14"/>
      <c r="I1211" s="14"/>
      <c r="J1211" s="14"/>
      <c r="K1211" s="14"/>
      <c r="L1211" s="14"/>
      <c r="M1211" s="9"/>
      <c r="N1211" s="32"/>
      <c r="U1211" s="18"/>
      <c r="V1211" s="18"/>
      <c r="Z1211" s="33">
        <v>45185</v>
      </c>
    </row>
    <row r="1212" spans="1:26" ht="6.95" customHeight="1" x14ac:dyDescent="0.3">
      <c r="A1212" s="154">
        <f>+A1201+1</f>
        <v>911</v>
      </c>
      <c r="B1212" s="155"/>
      <c r="C1212" s="156"/>
      <c r="D1212" s="161" t="s">
        <v>39</v>
      </c>
      <c r="E1212" s="162" t="s">
        <v>209</v>
      </c>
      <c r="F1212" s="163" t="s">
        <v>40</v>
      </c>
      <c r="G1212" s="164" t="s">
        <v>276</v>
      </c>
      <c r="H1212" s="165">
        <v>1</v>
      </c>
      <c r="I1212" s="164"/>
      <c r="J1212" s="165"/>
      <c r="K1212" s="164"/>
      <c r="L1212" s="165"/>
      <c r="M1212" s="6"/>
      <c r="N1212" s="32"/>
      <c r="Q1212" s="10" t="str">
        <f>+CONCATENATE(E1212,G1212)</f>
        <v>보온덕트벽체1200*400</v>
      </c>
      <c r="R1212" s="10">
        <f>+H1212</f>
        <v>1</v>
      </c>
      <c r="S1212" s="11"/>
      <c r="T1212" s="10" t="str">
        <f>+E1212</f>
        <v>보온덕트벽체</v>
      </c>
      <c r="U1212" s="19" t="str">
        <f>IFERROR(LEFT(G1212,FIND("*",G1212)-1),"-")</f>
        <v>1200</v>
      </c>
      <c r="V1212" s="19" t="str">
        <f>IFERROR(RIGHT(G1212,LEN(G1212)-FIND("*",G1212)),"-")</f>
        <v>400</v>
      </c>
      <c r="W1212" s="20">
        <f>IFERROR((U1212+V1212)*2/1000,"-")</f>
        <v>3.2</v>
      </c>
      <c r="X1212" s="20">
        <f>IFERROR(W1212*H1212,"-")</f>
        <v>3.2</v>
      </c>
      <c r="Z1212" s="33">
        <v>45185</v>
      </c>
    </row>
    <row r="1213" spans="1:26" ht="6.95" customHeight="1" x14ac:dyDescent="0.3">
      <c r="A1213" s="154"/>
      <c r="B1213" s="157"/>
      <c r="C1213" s="158"/>
      <c r="D1213" s="161"/>
      <c r="E1213" s="162"/>
      <c r="F1213" s="163"/>
      <c r="G1213" s="164"/>
      <c r="H1213" s="165"/>
      <c r="I1213" s="164"/>
      <c r="J1213" s="165"/>
      <c r="K1213" s="164"/>
      <c r="L1213" s="165"/>
      <c r="M1213" s="6"/>
      <c r="N1213" s="32"/>
      <c r="Q1213" s="10" t="str">
        <f>+CONCATENATE(E1212,I1212)</f>
        <v>보온덕트벽체</v>
      </c>
      <c r="R1213" s="10">
        <f>+J1212</f>
        <v>0</v>
      </c>
      <c r="S1213" s="11"/>
      <c r="T1213" s="10" t="str">
        <f>+E1212</f>
        <v>보온덕트벽체</v>
      </c>
      <c r="U1213" s="19" t="str">
        <f>IFERROR(LEFT(I1212,FIND("*",I1212)-1),"-")</f>
        <v>-</v>
      </c>
      <c r="V1213" s="19" t="str">
        <f>IFERROR(RIGHT(I1212,LEN(I1212)-FIND("*",I1212)),"-")</f>
        <v>-</v>
      </c>
      <c r="W1213" s="20" t="str">
        <f t="shared" ref="W1213:W1220" si="658">IFERROR((U1213+V1213)*2/1000,"-")</f>
        <v>-</v>
      </c>
      <c r="X1213" s="20" t="str">
        <f>IFERROR(W1213*J1212,"-")</f>
        <v>-</v>
      </c>
      <c r="Z1213" s="33">
        <v>45185</v>
      </c>
    </row>
    <row r="1214" spans="1:26" ht="6.95" customHeight="1" x14ac:dyDescent="0.3">
      <c r="A1214" s="154"/>
      <c r="B1214" s="157"/>
      <c r="C1214" s="158"/>
      <c r="D1214" s="161"/>
      <c r="E1214" s="162"/>
      <c r="F1214" s="163"/>
      <c r="G1214" s="164"/>
      <c r="H1214" s="165"/>
      <c r="I1214" s="164"/>
      <c r="J1214" s="165"/>
      <c r="K1214" s="164"/>
      <c r="L1214" s="165"/>
      <c r="M1214" s="6"/>
      <c r="N1214" s="32"/>
      <c r="Q1214" s="10" t="str">
        <f>+CONCATENATE(E1212,K1212)</f>
        <v>보온덕트벽체</v>
      </c>
      <c r="R1214" s="10">
        <f>+L1212</f>
        <v>0</v>
      </c>
      <c r="S1214" s="11"/>
      <c r="T1214" s="10" t="str">
        <f>+E1212</f>
        <v>보온덕트벽체</v>
      </c>
      <c r="U1214" s="19" t="str">
        <f>IFERROR(LEFT(K1212,FIND("*",K1212)-1),"-")</f>
        <v>-</v>
      </c>
      <c r="V1214" s="19" t="str">
        <f>IFERROR(RIGHT(K1212,LEN(K1212)-FIND("*",K1212)),"-")</f>
        <v>-</v>
      </c>
      <c r="W1214" s="20" t="str">
        <f t="shared" si="658"/>
        <v>-</v>
      </c>
      <c r="X1214" s="20" t="str">
        <f>IFERROR(W1214*L1212,"-")</f>
        <v>-</v>
      </c>
      <c r="Z1214" s="33">
        <v>45185</v>
      </c>
    </row>
    <row r="1215" spans="1:26" ht="6.95" customHeight="1" x14ac:dyDescent="0.3">
      <c r="A1215" s="8"/>
      <c r="B1215" s="157"/>
      <c r="C1215" s="158"/>
      <c r="D1215" s="161" t="s">
        <v>39</v>
      </c>
      <c r="E1215" s="162" t="s">
        <v>66</v>
      </c>
      <c r="F1215" s="163" t="s">
        <v>40</v>
      </c>
      <c r="G1215" s="164" t="s">
        <v>276</v>
      </c>
      <c r="H1215" s="165">
        <v>2</v>
      </c>
      <c r="I1215" s="164"/>
      <c r="J1215" s="165"/>
      <c r="K1215" s="164"/>
      <c r="L1215" s="165"/>
      <c r="M1215" s="6"/>
      <c r="N1215" s="32"/>
      <c r="Q1215" s="10" t="str">
        <f>+CONCATENATE(E1215,G1215)</f>
        <v>차열재마감1200*400</v>
      </c>
      <c r="R1215" s="10">
        <f>+H1215</f>
        <v>2</v>
      </c>
      <c r="S1215" s="11"/>
      <c r="T1215" s="10" t="str">
        <f>+E1215</f>
        <v>차열재마감</v>
      </c>
      <c r="U1215" s="19" t="str">
        <f t="shared" ref="U1215" si="659">IFERROR(LEFT(G1215,FIND("*",G1215)-1),"-")</f>
        <v>1200</v>
      </c>
      <c r="V1215" s="19" t="str">
        <f t="shared" ref="V1215" si="660">IFERROR(RIGHT(G1215,LEN(G1215)-FIND("*",G1215)),"-")</f>
        <v>400</v>
      </c>
      <c r="W1215" s="20">
        <f t="shared" si="658"/>
        <v>3.2</v>
      </c>
      <c r="X1215" s="20">
        <f>IFERROR(W1215*H1215,"-")</f>
        <v>6.4</v>
      </c>
      <c r="Z1215" s="33">
        <v>45185</v>
      </c>
    </row>
    <row r="1216" spans="1:26" ht="6.95" customHeight="1" x14ac:dyDescent="0.3">
      <c r="A1216" s="5"/>
      <c r="B1216" s="157"/>
      <c r="C1216" s="158"/>
      <c r="D1216" s="161"/>
      <c r="E1216" s="162"/>
      <c r="F1216" s="163"/>
      <c r="G1216" s="164"/>
      <c r="H1216" s="165"/>
      <c r="I1216" s="164"/>
      <c r="J1216" s="165"/>
      <c r="K1216" s="164"/>
      <c r="L1216" s="165"/>
      <c r="M1216" s="6"/>
      <c r="N1216" s="32"/>
      <c r="Q1216" s="10" t="str">
        <f>+CONCATENATE(E1215,I1215)</f>
        <v>차열재마감</v>
      </c>
      <c r="R1216" s="10">
        <f>+J1215</f>
        <v>0</v>
      </c>
      <c r="S1216" s="11"/>
      <c r="T1216" s="10" t="str">
        <f>+E1215</f>
        <v>차열재마감</v>
      </c>
      <c r="U1216" s="19" t="str">
        <f>IFERROR(LEFT(I1215,FIND("*",I1215)-1),"-")</f>
        <v>-</v>
      </c>
      <c r="V1216" s="19" t="str">
        <f>IFERROR(RIGHT(I1215,LEN(I1215)-FIND("*",I1215)),"-")</f>
        <v>-</v>
      </c>
      <c r="W1216" s="20" t="str">
        <f t="shared" si="658"/>
        <v>-</v>
      </c>
      <c r="X1216" s="20" t="str">
        <f>IFERROR(W1216*J1215,"-")</f>
        <v>-</v>
      </c>
      <c r="Z1216" s="33">
        <v>45185</v>
      </c>
    </row>
    <row r="1217" spans="1:26" ht="6.95" customHeight="1" x14ac:dyDescent="0.3">
      <c r="A1217" s="5"/>
      <c r="B1217" s="157"/>
      <c r="C1217" s="158"/>
      <c r="D1217" s="161"/>
      <c r="E1217" s="162"/>
      <c r="F1217" s="163"/>
      <c r="G1217" s="164"/>
      <c r="H1217" s="165"/>
      <c r="I1217" s="164"/>
      <c r="J1217" s="165"/>
      <c r="K1217" s="164"/>
      <c r="L1217" s="165"/>
      <c r="M1217" s="6"/>
      <c r="N1217" s="32"/>
      <c r="Q1217" s="10" t="str">
        <f>+CONCATENATE(E1215,K1215)</f>
        <v>차열재마감</v>
      </c>
      <c r="R1217" s="10">
        <f>+L1215</f>
        <v>0</v>
      </c>
      <c r="S1217" s="11"/>
      <c r="T1217" s="10" t="str">
        <f>+E1215</f>
        <v>차열재마감</v>
      </c>
      <c r="U1217" s="19" t="str">
        <f>IFERROR(LEFT(K1215,FIND("*",K1215)-1),"-")</f>
        <v>-</v>
      </c>
      <c r="V1217" s="19" t="str">
        <f>IFERROR(RIGHT(K1215,LEN(K1215)-FIND("*",K1215)),"-")</f>
        <v>-</v>
      </c>
      <c r="W1217" s="20" t="str">
        <f t="shared" si="658"/>
        <v>-</v>
      </c>
      <c r="X1217" s="20" t="str">
        <f>IFERROR(W1217*L1215,"-")</f>
        <v>-</v>
      </c>
      <c r="Z1217" s="33">
        <v>45185</v>
      </c>
    </row>
    <row r="1218" spans="1:26" ht="6.95" customHeight="1" x14ac:dyDescent="0.3">
      <c r="A1218" s="8"/>
      <c r="B1218" s="157"/>
      <c r="C1218" s="158"/>
      <c r="D1218" s="161" t="s">
        <v>39</v>
      </c>
      <c r="E1218" s="162"/>
      <c r="F1218" s="163" t="s">
        <v>40</v>
      </c>
      <c r="G1218" s="164"/>
      <c r="H1218" s="165"/>
      <c r="I1218" s="164"/>
      <c r="J1218" s="165"/>
      <c r="K1218" s="164"/>
      <c r="L1218" s="165"/>
      <c r="M1218" s="6"/>
      <c r="N1218" s="32"/>
      <c r="Q1218" s="10" t="str">
        <f>+CONCATENATE(E1218,G1218)</f>
        <v/>
      </c>
      <c r="R1218" s="10">
        <f>+H1218</f>
        <v>0</v>
      </c>
      <c r="S1218" s="11"/>
      <c r="T1218" s="10">
        <f>+E1218</f>
        <v>0</v>
      </c>
      <c r="U1218" s="19" t="str">
        <f t="shared" ref="U1218" si="661">IFERROR(LEFT(G1218,FIND("*",G1218)-1),"-")</f>
        <v>-</v>
      </c>
      <c r="V1218" s="19" t="str">
        <f t="shared" ref="V1218" si="662">IFERROR(RIGHT(G1218,LEN(G1218)-FIND("*",G1218)),"-")</f>
        <v>-</v>
      </c>
      <c r="W1218" s="20" t="str">
        <f t="shared" si="658"/>
        <v>-</v>
      </c>
      <c r="X1218" s="20" t="str">
        <f>IFERROR(W1218*H1218,"-")</f>
        <v>-</v>
      </c>
      <c r="Z1218" s="33">
        <v>45185</v>
      </c>
    </row>
    <row r="1219" spans="1:26" ht="6.95" customHeight="1" x14ac:dyDescent="0.3">
      <c r="A1219" s="5"/>
      <c r="B1219" s="157"/>
      <c r="C1219" s="158"/>
      <c r="D1219" s="161"/>
      <c r="E1219" s="162"/>
      <c r="F1219" s="163"/>
      <c r="G1219" s="164"/>
      <c r="H1219" s="165"/>
      <c r="I1219" s="164"/>
      <c r="J1219" s="165"/>
      <c r="K1219" s="164"/>
      <c r="L1219" s="165"/>
      <c r="M1219" s="6"/>
      <c r="N1219" s="32"/>
      <c r="Q1219" s="10" t="str">
        <f>+CONCATENATE(E1218,I1218)</f>
        <v/>
      </c>
      <c r="R1219" s="10">
        <f>+J1218</f>
        <v>0</v>
      </c>
      <c r="S1219" s="11"/>
      <c r="T1219" s="10">
        <f>+E1218</f>
        <v>0</v>
      </c>
      <c r="U1219" s="19" t="str">
        <f>IFERROR(LEFT(I1218,FIND("*",I1218)-1),"-")</f>
        <v>-</v>
      </c>
      <c r="V1219" s="19" t="str">
        <f>IFERROR(RIGHT(I1218,LEN(I1218)-FIND("*",I1218)),"-")</f>
        <v>-</v>
      </c>
      <c r="W1219" s="20" t="str">
        <f t="shared" si="658"/>
        <v>-</v>
      </c>
      <c r="X1219" s="20" t="str">
        <f t="shared" ref="X1219" si="663">IFERROR(W1219*J1218,"-")</f>
        <v>-</v>
      </c>
      <c r="Z1219" s="33">
        <v>45185</v>
      </c>
    </row>
    <row r="1220" spans="1:26" ht="6.95" customHeight="1" x14ac:dyDescent="0.3">
      <c r="A1220" s="5"/>
      <c r="B1220" s="157"/>
      <c r="C1220" s="158"/>
      <c r="D1220" s="161"/>
      <c r="E1220" s="162"/>
      <c r="F1220" s="163"/>
      <c r="G1220" s="164"/>
      <c r="H1220" s="165"/>
      <c r="I1220" s="164"/>
      <c r="J1220" s="165"/>
      <c r="K1220" s="164"/>
      <c r="L1220" s="165"/>
      <c r="M1220" s="6"/>
      <c r="N1220" s="32"/>
      <c r="Q1220" s="10" t="str">
        <f>+CONCATENATE(E1218,K1218)</f>
        <v/>
      </c>
      <c r="R1220" s="10">
        <f>+L1218</f>
        <v>0</v>
      </c>
      <c r="S1220" s="11"/>
      <c r="T1220" s="10">
        <f>+E1218</f>
        <v>0</v>
      </c>
      <c r="U1220" s="19" t="str">
        <f>IFERROR(LEFT(K1218,FIND("*",K1218)-1),"-")</f>
        <v>-</v>
      </c>
      <c r="V1220" s="19" t="str">
        <f>IFERROR(RIGHT(K1218,LEN(K1218)-FIND("*",K1218)),"-")</f>
        <v>-</v>
      </c>
      <c r="W1220" s="20" t="str">
        <f t="shared" si="658"/>
        <v>-</v>
      </c>
      <c r="X1220" s="20" t="str">
        <f>IFERROR(W1220*L1218,"-")</f>
        <v>-</v>
      </c>
      <c r="Z1220" s="33">
        <v>45185</v>
      </c>
    </row>
    <row r="1221" spans="1:26" ht="21" customHeight="1" thickBot="1" x14ac:dyDescent="0.35">
      <c r="A1221" s="5"/>
      <c r="B1221" s="159"/>
      <c r="C1221" s="160"/>
      <c r="D1221" s="166" t="s">
        <v>43</v>
      </c>
      <c r="E1221" s="167"/>
      <c r="F1221" s="167"/>
      <c r="G1221" s="168"/>
      <c r="H1221" s="168"/>
      <c r="I1221" s="168"/>
      <c r="J1221" s="168"/>
      <c r="K1221" s="168"/>
      <c r="L1221" s="168"/>
      <c r="M1221" s="7"/>
      <c r="N1221" s="32"/>
      <c r="Z1221" s="33">
        <v>45185</v>
      </c>
    </row>
    <row r="1222" spans="1:26" ht="9.9499999999999993" customHeight="1" thickBot="1" x14ac:dyDescent="0.35">
      <c r="B1222" s="9"/>
      <c r="C1222" s="109">
        <v>911</v>
      </c>
      <c r="D1222" s="51"/>
      <c r="E1222" s="12"/>
      <c r="F1222" s="51"/>
      <c r="G1222" s="14"/>
      <c r="H1222" s="14"/>
      <c r="I1222" s="14"/>
      <c r="J1222" s="14"/>
      <c r="K1222" s="14"/>
      <c r="L1222" s="14"/>
      <c r="M1222" s="9"/>
      <c r="N1222" s="32"/>
      <c r="U1222" s="18"/>
      <c r="V1222" s="18"/>
      <c r="Z1222" s="33">
        <v>45185</v>
      </c>
    </row>
    <row r="1223" spans="1:26" ht="6.95" customHeight="1" x14ac:dyDescent="0.3">
      <c r="A1223" s="154">
        <f>+A1212+1</f>
        <v>912</v>
      </c>
      <c r="B1223" s="155"/>
      <c r="C1223" s="156"/>
      <c r="D1223" s="161" t="s">
        <v>39</v>
      </c>
      <c r="E1223" s="162" t="s">
        <v>277</v>
      </c>
      <c r="F1223" s="163" t="s">
        <v>40</v>
      </c>
      <c r="G1223" s="164" t="s">
        <v>276</v>
      </c>
      <c r="H1223" s="165">
        <v>1</v>
      </c>
      <c r="I1223" s="164"/>
      <c r="J1223" s="165"/>
      <c r="K1223" s="164"/>
      <c r="L1223" s="165"/>
      <c r="M1223" s="6"/>
      <c r="N1223" s="32"/>
      <c r="Q1223" s="10" t="str">
        <f>+CONCATENATE(E1223,G1223)</f>
        <v>보온덕트벽체1200*400</v>
      </c>
      <c r="R1223" s="10">
        <f>+H1223</f>
        <v>1</v>
      </c>
      <c r="S1223" s="11"/>
      <c r="T1223" s="10" t="str">
        <f>+E1223</f>
        <v>보온덕트벽체</v>
      </c>
      <c r="U1223" s="19" t="str">
        <f>IFERROR(LEFT(G1223,FIND("*",G1223)-1),"-")</f>
        <v>1200</v>
      </c>
      <c r="V1223" s="19" t="str">
        <f>IFERROR(RIGHT(G1223,LEN(G1223)-FIND("*",G1223)),"-")</f>
        <v>400</v>
      </c>
      <c r="W1223" s="20">
        <f>IFERROR((U1223+V1223)*2/1000,"-")</f>
        <v>3.2</v>
      </c>
      <c r="X1223" s="20">
        <f>IFERROR(W1223*H1223,"-")</f>
        <v>3.2</v>
      </c>
      <c r="Z1223" s="33">
        <v>45185</v>
      </c>
    </row>
    <row r="1224" spans="1:26" ht="6.95" customHeight="1" x14ac:dyDescent="0.3">
      <c r="A1224" s="154"/>
      <c r="B1224" s="157"/>
      <c r="C1224" s="158"/>
      <c r="D1224" s="161"/>
      <c r="E1224" s="162"/>
      <c r="F1224" s="163"/>
      <c r="G1224" s="164"/>
      <c r="H1224" s="165"/>
      <c r="I1224" s="164"/>
      <c r="J1224" s="165"/>
      <c r="K1224" s="164"/>
      <c r="L1224" s="165"/>
      <c r="M1224" s="6"/>
      <c r="N1224" s="32"/>
      <c r="Q1224" s="10" t="str">
        <f>+CONCATENATE(E1223,I1223)</f>
        <v>보온덕트벽체</v>
      </c>
      <c r="R1224" s="10">
        <f>+J1223</f>
        <v>0</v>
      </c>
      <c r="S1224" s="11"/>
      <c r="T1224" s="10" t="str">
        <f>+E1223</f>
        <v>보온덕트벽체</v>
      </c>
      <c r="U1224" s="19" t="str">
        <f>IFERROR(LEFT(I1223,FIND("*",I1223)-1),"-")</f>
        <v>-</v>
      </c>
      <c r="V1224" s="19" t="str">
        <f>IFERROR(RIGHT(I1223,LEN(I1223)-FIND("*",I1223)),"-")</f>
        <v>-</v>
      </c>
      <c r="W1224" s="20" t="str">
        <f t="shared" ref="W1224:W1231" si="664">IFERROR((U1224+V1224)*2/1000,"-")</f>
        <v>-</v>
      </c>
      <c r="X1224" s="20" t="str">
        <f>IFERROR(W1224*J1223,"-")</f>
        <v>-</v>
      </c>
      <c r="Z1224" s="33">
        <v>45185</v>
      </c>
    </row>
    <row r="1225" spans="1:26" ht="6.95" customHeight="1" x14ac:dyDescent="0.3">
      <c r="A1225" s="154"/>
      <c r="B1225" s="157"/>
      <c r="C1225" s="158"/>
      <c r="D1225" s="161"/>
      <c r="E1225" s="162"/>
      <c r="F1225" s="163"/>
      <c r="G1225" s="164"/>
      <c r="H1225" s="165"/>
      <c r="I1225" s="164"/>
      <c r="J1225" s="165"/>
      <c r="K1225" s="164"/>
      <c r="L1225" s="165"/>
      <c r="M1225" s="6"/>
      <c r="N1225" s="32"/>
      <c r="Q1225" s="10" t="str">
        <f>+CONCATENATE(E1223,K1223)</f>
        <v>보온덕트벽체</v>
      </c>
      <c r="R1225" s="10">
        <f>+L1223</f>
        <v>0</v>
      </c>
      <c r="S1225" s="11"/>
      <c r="T1225" s="10" t="str">
        <f>+E1223</f>
        <v>보온덕트벽체</v>
      </c>
      <c r="U1225" s="19" t="str">
        <f>IFERROR(LEFT(K1223,FIND("*",K1223)-1),"-")</f>
        <v>-</v>
      </c>
      <c r="V1225" s="19" t="str">
        <f>IFERROR(RIGHT(K1223,LEN(K1223)-FIND("*",K1223)),"-")</f>
        <v>-</v>
      </c>
      <c r="W1225" s="20" t="str">
        <f t="shared" si="664"/>
        <v>-</v>
      </c>
      <c r="X1225" s="20" t="str">
        <f>IFERROR(W1225*L1223,"-")</f>
        <v>-</v>
      </c>
      <c r="Z1225" s="33">
        <v>45185</v>
      </c>
    </row>
    <row r="1226" spans="1:26" ht="6.95" customHeight="1" x14ac:dyDescent="0.3">
      <c r="A1226" s="8"/>
      <c r="B1226" s="157"/>
      <c r="C1226" s="158"/>
      <c r="D1226" s="161" t="s">
        <v>39</v>
      </c>
      <c r="E1226" s="162" t="s">
        <v>66</v>
      </c>
      <c r="F1226" s="163" t="s">
        <v>40</v>
      </c>
      <c r="G1226" s="164" t="s">
        <v>276</v>
      </c>
      <c r="H1226" s="165">
        <v>2</v>
      </c>
      <c r="I1226" s="164"/>
      <c r="J1226" s="165"/>
      <c r="K1226" s="164"/>
      <c r="L1226" s="165"/>
      <c r="M1226" s="6"/>
      <c r="N1226" s="32"/>
      <c r="Q1226" s="10" t="str">
        <f>+CONCATENATE(E1226,G1226)</f>
        <v>차열재마감1200*400</v>
      </c>
      <c r="R1226" s="10">
        <f>+H1226</f>
        <v>2</v>
      </c>
      <c r="S1226" s="11"/>
      <c r="T1226" s="10" t="str">
        <f>+E1226</f>
        <v>차열재마감</v>
      </c>
      <c r="U1226" s="19" t="str">
        <f t="shared" ref="U1226" si="665">IFERROR(LEFT(G1226,FIND("*",G1226)-1),"-")</f>
        <v>1200</v>
      </c>
      <c r="V1226" s="19" t="str">
        <f t="shared" ref="V1226" si="666">IFERROR(RIGHT(G1226,LEN(G1226)-FIND("*",G1226)),"-")</f>
        <v>400</v>
      </c>
      <c r="W1226" s="20">
        <f t="shared" si="664"/>
        <v>3.2</v>
      </c>
      <c r="X1226" s="20">
        <f>IFERROR(W1226*H1226,"-")</f>
        <v>6.4</v>
      </c>
      <c r="Z1226" s="33">
        <v>45185</v>
      </c>
    </row>
    <row r="1227" spans="1:26" ht="6.95" customHeight="1" x14ac:dyDescent="0.3">
      <c r="A1227" s="5"/>
      <c r="B1227" s="157"/>
      <c r="C1227" s="158"/>
      <c r="D1227" s="161"/>
      <c r="E1227" s="162"/>
      <c r="F1227" s="163"/>
      <c r="G1227" s="164"/>
      <c r="H1227" s="165"/>
      <c r="I1227" s="164"/>
      <c r="J1227" s="165"/>
      <c r="K1227" s="164"/>
      <c r="L1227" s="165"/>
      <c r="M1227" s="6"/>
      <c r="N1227" s="32"/>
      <c r="Q1227" s="10" t="str">
        <f>+CONCATENATE(E1226,I1226)</f>
        <v>차열재마감</v>
      </c>
      <c r="R1227" s="10">
        <f>+J1226</f>
        <v>0</v>
      </c>
      <c r="S1227" s="11"/>
      <c r="T1227" s="10" t="str">
        <f>+E1226</f>
        <v>차열재마감</v>
      </c>
      <c r="U1227" s="19" t="str">
        <f>IFERROR(LEFT(I1226,FIND("*",I1226)-1),"-")</f>
        <v>-</v>
      </c>
      <c r="V1227" s="19" t="str">
        <f>IFERROR(RIGHT(I1226,LEN(I1226)-FIND("*",I1226)),"-")</f>
        <v>-</v>
      </c>
      <c r="W1227" s="20" t="str">
        <f t="shared" si="664"/>
        <v>-</v>
      </c>
      <c r="X1227" s="20" t="str">
        <f>IFERROR(W1227*J1226,"-")</f>
        <v>-</v>
      </c>
      <c r="Z1227" s="33">
        <v>45185</v>
      </c>
    </row>
    <row r="1228" spans="1:26" ht="6.95" customHeight="1" x14ac:dyDescent="0.3">
      <c r="A1228" s="5"/>
      <c r="B1228" s="157"/>
      <c r="C1228" s="158"/>
      <c r="D1228" s="161"/>
      <c r="E1228" s="162"/>
      <c r="F1228" s="163"/>
      <c r="G1228" s="164"/>
      <c r="H1228" s="165"/>
      <c r="I1228" s="164"/>
      <c r="J1228" s="165"/>
      <c r="K1228" s="164"/>
      <c r="L1228" s="165"/>
      <c r="M1228" s="6"/>
      <c r="N1228" s="32"/>
      <c r="Q1228" s="10" t="str">
        <f>+CONCATENATE(E1226,K1226)</f>
        <v>차열재마감</v>
      </c>
      <c r="R1228" s="10">
        <f>+L1226</f>
        <v>0</v>
      </c>
      <c r="S1228" s="11"/>
      <c r="T1228" s="10" t="str">
        <f>+E1226</f>
        <v>차열재마감</v>
      </c>
      <c r="U1228" s="19" t="str">
        <f>IFERROR(LEFT(K1226,FIND("*",K1226)-1),"-")</f>
        <v>-</v>
      </c>
      <c r="V1228" s="19" t="str">
        <f>IFERROR(RIGHT(K1226,LEN(K1226)-FIND("*",K1226)),"-")</f>
        <v>-</v>
      </c>
      <c r="W1228" s="20" t="str">
        <f t="shared" si="664"/>
        <v>-</v>
      </c>
      <c r="X1228" s="20" t="str">
        <f>IFERROR(W1228*L1226,"-")</f>
        <v>-</v>
      </c>
      <c r="Z1228" s="33">
        <v>45185</v>
      </c>
    </row>
    <row r="1229" spans="1:26" ht="6.95" customHeight="1" x14ac:dyDescent="0.3">
      <c r="A1229" s="8"/>
      <c r="B1229" s="157"/>
      <c r="C1229" s="158"/>
      <c r="D1229" s="161" t="s">
        <v>39</v>
      </c>
      <c r="E1229" s="162"/>
      <c r="F1229" s="163" t="s">
        <v>40</v>
      </c>
      <c r="G1229" s="164"/>
      <c r="H1229" s="165"/>
      <c r="I1229" s="164"/>
      <c r="J1229" s="165"/>
      <c r="K1229" s="164"/>
      <c r="L1229" s="165"/>
      <c r="M1229" s="6"/>
      <c r="N1229" s="32"/>
      <c r="Q1229" s="10" t="str">
        <f>+CONCATENATE(E1229,G1229)</f>
        <v/>
      </c>
      <c r="R1229" s="10">
        <f>+H1229</f>
        <v>0</v>
      </c>
      <c r="S1229" s="11"/>
      <c r="T1229" s="10">
        <f>+E1229</f>
        <v>0</v>
      </c>
      <c r="U1229" s="19" t="str">
        <f t="shared" ref="U1229" si="667">IFERROR(LEFT(G1229,FIND("*",G1229)-1),"-")</f>
        <v>-</v>
      </c>
      <c r="V1229" s="19" t="str">
        <f t="shared" ref="V1229" si="668">IFERROR(RIGHT(G1229,LEN(G1229)-FIND("*",G1229)),"-")</f>
        <v>-</v>
      </c>
      <c r="W1229" s="20" t="str">
        <f t="shared" si="664"/>
        <v>-</v>
      </c>
      <c r="X1229" s="20" t="str">
        <f>IFERROR(W1229*H1229,"-")</f>
        <v>-</v>
      </c>
      <c r="Z1229" s="33">
        <v>45185</v>
      </c>
    </row>
    <row r="1230" spans="1:26" ht="6.95" customHeight="1" x14ac:dyDescent="0.3">
      <c r="A1230" s="5"/>
      <c r="B1230" s="157"/>
      <c r="C1230" s="158"/>
      <c r="D1230" s="161"/>
      <c r="E1230" s="162"/>
      <c r="F1230" s="163"/>
      <c r="G1230" s="164"/>
      <c r="H1230" s="165"/>
      <c r="I1230" s="164"/>
      <c r="J1230" s="165"/>
      <c r="K1230" s="164"/>
      <c r="L1230" s="165"/>
      <c r="M1230" s="6"/>
      <c r="N1230" s="32"/>
      <c r="Q1230" s="10" t="str">
        <f>+CONCATENATE(E1229,I1229)</f>
        <v/>
      </c>
      <c r="R1230" s="10">
        <f>+J1229</f>
        <v>0</v>
      </c>
      <c r="S1230" s="11"/>
      <c r="T1230" s="10">
        <f>+E1229</f>
        <v>0</v>
      </c>
      <c r="U1230" s="19" t="str">
        <f>IFERROR(LEFT(I1229,FIND("*",I1229)-1),"-")</f>
        <v>-</v>
      </c>
      <c r="V1230" s="19" t="str">
        <f>IFERROR(RIGHT(I1229,LEN(I1229)-FIND("*",I1229)),"-")</f>
        <v>-</v>
      </c>
      <c r="W1230" s="20" t="str">
        <f t="shared" si="664"/>
        <v>-</v>
      </c>
      <c r="X1230" s="20" t="str">
        <f t="shared" ref="X1230" si="669">IFERROR(W1230*J1229,"-")</f>
        <v>-</v>
      </c>
      <c r="Z1230" s="33">
        <v>45185</v>
      </c>
    </row>
    <row r="1231" spans="1:26" ht="6.95" customHeight="1" x14ac:dyDescent="0.3">
      <c r="A1231" s="5"/>
      <c r="B1231" s="157"/>
      <c r="C1231" s="158"/>
      <c r="D1231" s="161"/>
      <c r="E1231" s="162"/>
      <c r="F1231" s="163"/>
      <c r="G1231" s="164"/>
      <c r="H1231" s="165"/>
      <c r="I1231" s="164"/>
      <c r="J1231" s="165"/>
      <c r="K1231" s="164"/>
      <c r="L1231" s="165"/>
      <c r="M1231" s="6"/>
      <c r="N1231" s="32"/>
      <c r="Q1231" s="10" t="str">
        <f>+CONCATENATE(E1229,K1229)</f>
        <v/>
      </c>
      <c r="R1231" s="10">
        <f>+L1229</f>
        <v>0</v>
      </c>
      <c r="S1231" s="11"/>
      <c r="T1231" s="10">
        <f>+E1229</f>
        <v>0</v>
      </c>
      <c r="U1231" s="19" t="str">
        <f>IFERROR(LEFT(K1229,FIND("*",K1229)-1),"-")</f>
        <v>-</v>
      </c>
      <c r="V1231" s="19" t="str">
        <f>IFERROR(RIGHT(K1229,LEN(K1229)-FIND("*",K1229)),"-")</f>
        <v>-</v>
      </c>
      <c r="W1231" s="20" t="str">
        <f t="shared" si="664"/>
        <v>-</v>
      </c>
      <c r="X1231" s="20" t="str">
        <f>IFERROR(W1231*L1229,"-")</f>
        <v>-</v>
      </c>
      <c r="Z1231" s="33">
        <v>45185</v>
      </c>
    </row>
    <row r="1232" spans="1:26" ht="21" customHeight="1" thickBot="1" x14ac:dyDescent="0.35">
      <c r="A1232" s="5"/>
      <c r="B1232" s="159"/>
      <c r="C1232" s="160"/>
      <c r="D1232" s="166" t="s">
        <v>43</v>
      </c>
      <c r="E1232" s="167"/>
      <c r="F1232" s="167"/>
      <c r="G1232" s="168"/>
      <c r="H1232" s="168"/>
      <c r="I1232" s="168"/>
      <c r="J1232" s="168"/>
      <c r="K1232" s="168"/>
      <c r="L1232" s="168"/>
      <c r="M1232" s="7"/>
      <c r="N1232" s="32"/>
      <c r="Z1232" s="33">
        <v>45185</v>
      </c>
    </row>
    <row r="1233" spans="1:26" ht="9.9499999999999993" customHeight="1" thickBot="1" x14ac:dyDescent="0.35">
      <c r="B1233" s="9"/>
      <c r="C1233" s="109">
        <v>912</v>
      </c>
      <c r="D1233" s="51"/>
      <c r="E1233" s="12"/>
      <c r="F1233" s="51"/>
      <c r="G1233" s="14"/>
      <c r="H1233" s="14"/>
      <c r="I1233" s="14"/>
      <c r="J1233" s="14"/>
      <c r="K1233" s="14"/>
      <c r="L1233" s="14"/>
      <c r="M1233" s="9"/>
      <c r="N1233" s="32"/>
      <c r="U1233" s="18"/>
      <c r="V1233" s="18"/>
      <c r="Z1233" s="33">
        <v>45185</v>
      </c>
    </row>
    <row r="1234" spans="1:26" ht="6.95" customHeight="1" x14ac:dyDescent="0.3">
      <c r="A1234" s="154">
        <f>+A1223+1</f>
        <v>913</v>
      </c>
      <c r="B1234" s="155"/>
      <c r="C1234" s="156"/>
      <c r="D1234" s="161" t="s">
        <v>39</v>
      </c>
      <c r="E1234" s="162" t="s">
        <v>277</v>
      </c>
      <c r="F1234" s="163" t="s">
        <v>40</v>
      </c>
      <c r="G1234" s="164" t="s">
        <v>276</v>
      </c>
      <c r="H1234" s="165">
        <v>1</v>
      </c>
      <c r="I1234" s="164"/>
      <c r="J1234" s="165"/>
      <c r="K1234" s="164"/>
      <c r="L1234" s="165"/>
      <c r="M1234" s="6"/>
      <c r="N1234" s="32"/>
      <c r="Q1234" s="10" t="str">
        <f>+CONCATENATE(E1234,G1234)</f>
        <v>보온덕트벽체1200*400</v>
      </c>
      <c r="R1234" s="10">
        <f>+H1234</f>
        <v>1</v>
      </c>
      <c r="S1234" s="11"/>
      <c r="T1234" s="10" t="str">
        <f>+E1234</f>
        <v>보온덕트벽체</v>
      </c>
      <c r="U1234" s="19" t="str">
        <f>IFERROR(LEFT(G1234,FIND("*",G1234)-1),"-")</f>
        <v>1200</v>
      </c>
      <c r="V1234" s="19" t="str">
        <f>IFERROR(RIGHT(G1234,LEN(G1234)-FIND("*",G1234)),"-")</f>
        <v>400</v>
      </c>
      <c r="W1234" s="20">
        <f>IFERROR((U1234+V1234)*2/1000,"-")</f>
        <v>3.2</v>
      </c>
      <c r="X1234" s="20">
        <f>IFERROR(W1234*H1234,"-")</f>
        <v>3.2</v>
      </c>
      <c r="Z1234" s="33">
        <v>45185</v>
      </c>
    </row>
    <row r="1235" spans="1:26" ht="6.95" customHeight="1" x14ac:dyDescent="0.3">
      <c r="A1235" s="154"/>
      <c r="B1235" s="157"/>
      <c r="C1235" s="158"/>
      <c r="D1235" s="161"/>
      <c r="E1235" s="162"/>
      <c r="F1235" s="163"/>
      <c r="G1235" s="164"/>
      <c r="H1235" s="165"/>
      <c r="I1235" s="164"/>
      <c r="J1235" s="165"/>
      <c r="K1235" s="164"/>
      <c r="L1235" s="165"/>
      <c r="M1235" s="6"/>
      <c r="N1235" s="32"/>
      <c r="Q1235" s="10" t="str">
        <f>+CONCATENATE(E1234,I1234)</f>
        <v>보온덕트벽체</v>
      </c>
      <c r="R1235" s="10">
        <f>+J1234</f>
        <v>0</v>
      </c>
      <c r="S1235" s="11"/>
      <c r="T1235" s="10" t="str">
        <f>+E1234</f>
        <v>보온덕트벽체</v>
      </c>
      <c r="U1235" s="19" t="str">
        <f>IFERROR(LEFT(I1234,FIND("*",I1234)-1),"-")</f>
        <v>-</v>
      </c>
      <c r="V1235" s="19" t="str">
        <f>IFERROR(RIGHT(I1234,LEN(I1234)-FIND("*",I1234)),"-")</f>
        <v>-</v>
      </c>
      <c r="W1235" s="20" t="str">
        <f t="shared" ref="W1235:W1242" si="670">IFERROR((U1235+V1235)*2/1000,"-")</f>
        <v>-</v>
      </c>
      <c r="X1235" s="20" t="str">
        <f>IFERROR(W1235*J1234,"-")</f>
        <v>-</v>
      </c>
      <c r="Z1235" s="33">
        <v>45185</v>
      </c>
    </row>
    <row r="1236" spans="1:26" ht="6.95" customHeight="1" x14ac:dyDescent="0.3">
      <c r="A1236" s="154"/>
      <c r="B1236" s="157"/>
      <c r="C1236" s="158"/>
      <c r="D1236" s="161"/>
      <c r="E1236" s="162"/>
      <c r="F1236" s="163"/>
      <c r="G1236" s="164"/>
      <c r="H1236" s="165"/>
      <c r="I1236" s="164"/>
      <c r="J1236" s="165"/>
      <c r="K1236" s="164"/>
      <c r="L1236" s="165"/>
      <c r="M1236" s="6"/>
      <c r="N1236" s="32"/>
      <c r="Q1236" s="10" t="str">
        <f>+CONCATENATE(E1234,K1234)</f>
        <v>보온덕트벽체</v>
      </c>
      <c r="R1236" s="10">
        <f>+L1234</f>
        <v>0</v>
      </c>
      <c r="S1236" s="11"/>
      <c r="T1236" s="10" t="str">
        <f>+E1234</f>
        <v>보온덕트벽체</v>
      </c>
      <c r="U1236" s="19" t="str">
        <f>IFERROR(LEFT(K1234,FIND("*",K1234)-1),"-")</f>
        <v>-</v>
      </c>
      <c r="V1236" s="19" t="str">
        <f>IFERROR(RIGHT(K1234,LEN(K1234)-FIND("*",K1234)),"-")</f>
        <v>-</v>
      </c>
      <c r="W1236" s="20" t="str">
        <f t="shared" si="670"/>
        <v>-</v>
      </c>
      <c r="X1236" s="20" t="str">
        <f>IFERROR(W1236*L1234,"-")</f>
        <v>-</v>
      </c>
      <c r="Z1236" s="33">
        <v>45185</v>
      </c>
    </row>
    <row r="1237" spans="1:26" ht="6.95" customHeight="1" x14ac:dyDescent="0.3">
      <c r="A1237" s="8"/>
      <c r="B1237" s="157"/>
      <c r="C1237" s="158"/>
      <c r="D1237" s="161" t="s">
        <v>39</v>
      </c>
      <c r="E1237" s="162" t="s">
        <v>66</v>
      </c>
      <c r="F1237" s="163" t="s">
        <v>40</v>
      </c>
      <c r="G1237" s="164" t="s">
        <v>276</v>
      </c>
      <c r="H1237" s="165">
        <v>2</v>
      </c>
      <c r="I1237" s="164"/>
      <c r="J1237" s="165"/>
      <c r="K1237" s="164"/>
      <c r="L1237" s="165"/>
      <c r="M1237" s="6"/>
      <c r="N1237" s="32"/>
      <c r="Q1237" s="10" t="str">
        <f>+CONCATENATE(E1237,G1237)</f>
        <v>차열재마감1200*400</v>
      </c>
      <c r="R1237" s="10">
        <f>+H1237</f>
        <v>2</v>
      </c>
      <c r="S1237" s="11"/>
      <c r="T1237" s="10" t="str">
        <f>+E1237</f>
        <v>차열재마감</v>
      </c>
      <c r="U1237" s="19" t="str">
        <f t="shared" ref="U1237" si="671">IFERROR(LEFT(G1237,FIND("*",G1237)-1),"-")</f>
        <v>1200</v>
      </c>
      <c r="V1237" s="19" t="str">
        <f t="shared" ref="V1237" si="672">IFERROR(RIGHT(G1237,LEN(G1237)-FIND("*",G1237)),"-")</f>
        <v>400</v>
      </c>
      <c r="W1237" s="20">
        <f t="shared" si="670"/>
        <v>3.2</v>
      </c>
      <c r="X1237" s="20">
        <f>IFERROR(W1237*H1237,"-")</f>
        <v>6.4</v>
      </c>
      <c r="Z1237" s="33">
        <v>45185</v>
      </c>
    </row>
    <row r="1238" spans="1:26" ht="6.95" customHeight="1" x14ac:dyDescent="0.3">
      <c r="A1238" s="5"/>
      <c r="B1238" s="157"/>
      <c r="C1238" s="158"/>
      <c r="D1238" s="161"/>
      <c r="E1238" s="162"/>
      <c r="F1238" s="163"/>
      <c r="G1238" s="164"/>
      <c r="H1238" s="165"/>
      <c r="I1238" s="164"/>
      <c r="J1238" s="165"/>
      <c r="K1238" s="164"/>
      <c r="L1238" s="165"/>
      <c r="M1238" s="6"/>
      <c r="N1238" s="32"/>
      <c r="Q1238" s="10" t="str">
        <f>+CONCATENATE(E1237,I1237)</f>
        <v>차열재마감</v>
      </c>
      <c r="R1238" s="10">
        <f>+J1237</f>
        <v>0</v>
      </c>
      <c r="S1238" s="11"/>
      <c r="T1238" s="10" t="str">
        <f>+E1237</f>
        <v>차열재마감</v>
      </c>
      <c r="U1238" s="19" t="str">
        <f>IFERROR(LEFT(I1237,FIND("*",I1237)-1),"-")</f>
        <v>-</v>
      </c>
      <c r="V1238" s="19" t="str">
        <f>IFERROR(RIGHT(I1237,LEN(I1237)-FIND("*",I1237)),"-")</f>
        <v>-</v>
      </c>
      <c r="W1238" s="20" t="str">
        <f t="shared" si="670"/>
        <v>-</v>
      </c>
      <c r="X1238" s="20" t="str">
        <f>IFERROR(W1238*J1237,"-")</f>
        <v>-</v>
      </c>
      <c r="Z1238" s="33">
        <v>45185</v>
      </c>
    </row>
    <row r="1239" spans="1:26" ht="6.95" customHeight="1" x14ac:dyDescent="0.3">
      <c r="A1239" s="5"/>
      <c r="B1239" s="157"/>
      <c r="C1239" s="158"/>
      <c r="D1239" s="161"/>
      <c r="E1239" s="162"/>
      <c r="F1239" s="163"/>
      <c r="G1239" s="164"/>
      <c r="H1239" s="165"/>
      <c r="I1239" s="164"/>
      <c r="J1239" s="165"/>
      <c r="K1239" s="164"/>
      <c r="L1239" s="165"/>
      <c r="M1239" s="6"/>
      <c r="N1239" s="32"/>
      <c r="Q1239" s="10" t="str">
        <f>+CONCATENATE(E1237,K1237)</f>
        <v>차열재마감</v>
      </c>
      <c r="R1239" s="10">
        <f>+L1237</f>
        <v>0</v>
      </c>
      <c r="S1239" s="11"/>
      <c r="T1239" s="10" t="str">
        <f>+E1237</f>
        <v>차열재마감</v>
      </c>
      <c r="U1239" s="19" t="str">
        <f>IFERROR(LEFT(K1237,FIND("*",K1237)-1),"-")</f>
        <v>-</v>
      </c>
      <c r="V1239" s="19" t="str">
        <f>IFERROR(RIGHT(K1237,LEN(K1237)-FIND("*",K1237)),"-")</f>
        <v>-</v>
      </c>
      <c r="W1239" s="20" t="str">
        <f t="shared" si="670"/>
        <v>-</v>
      </c>
      <c r="X1239" s="20" t="str">
        <f>IFERROR(W1239*L1237,"-")</f>
        <v>-</v>
      </c>
      <c r="Z1239" s="33">
        <v>45185</v>
      </c>
    </row>
    <row r="1240" spans="1:26" ht="6.95" customHeight="1" x14ac:dyDescent="0.3">
      <c r="A1240" s="8"/>
      <c r="B1240" s="157"/>
      <c r="C1240" s="158"/>
      <c r="D1240" s="161" t="s">
        <v>39</v>
      </c>
      <c r="E1240" s="162"/>
      <c r="F1240" s="163" t="s">
        <v>40</v>
      </c>
      <c r="G1240" s="164"/>
      <c r="H1240" s="165"/>
      <c r="I1240" s="164"/>
      <c r="J1240" s="165"/>
      <c r="K1240" s="164"/>
      <c r="L1240" s="165"/>
      <c r="M1240" s="6"/>
      <c r="N1240" s="32"/>
      <c r="Q1240" s="10" t="str">
        <f>+CONCATENATE(E1240,G1240)</f>
        <v/>
      </c>
      <c r="R1240" s="10">
        <f>+H1240</f>
        <v>0</v>
      </c>
      <c r="S1240" s="11"/>
      <c r="T1240" s="10">
        <f>+E1240</f>
        <v>0</v>
      </c>
      <c r="U1240" s="19" t="str">
        <f t="shared" ref="U1240" si="673">IFERROR(LEFT(G1240,FIND("*",G1240)-1),"-")</f>
        <v>-</v>
      </c>
      <c r="V1240" s="19" t="str">
        <f t="shared" ref="V1240" si="674">IFERROR(RIGHT(G1240,LEN(G1240)-FIND("*",G1240)),"-")</f>
        <v>-</v>
      </c>
      <c r="W1240" s="20" t="str">
        <f t="shared" si="670"/>
        <v>-</v>
      </c>
      <c r="X1240" s="20" t="str">
        <f>IFERROR(W1240*H1240,"-")</f>
        <v>-</v>
      </c>
      <c r="Z1240" s="33">
        <v>45185</v>
      </c>
    </row>
    <row r="1241" spans="1:26" ht="6.95" customHeight="1" x14ac:dyDescent="0.3">
      <c r="A1241" s="5"/>
      <c r="B1241" s="157"/>
      <c r="C1241" s="158"/>
      <c r="D1241" s="161"/>
      <c r="E1241" s="162"/>
      <c r="F1241" s="163"/>
      <c r="G1241" s="164"/>
      <c r="H1241" s="165"/>
      <c r="I1241" s="164"/>
      <c r="J1241" s="165"/>
      <c r="K1241" s="164"/>
      <c r="L1241" s="165"/>
      <c r="M1241" s="6"/>
      <c r="N1241" s="32"/>
      <c r="Q1241" s="10" t="str">
        <f>+CONCATENATE(E1240,I1240)</f>
        <v/>
      </c>
      <c r="R1241" s="10">
        <f>+J1240</f>
        <v>0</v>
      </c>
      <c r="S1241" s="11"/>
      <c r="T1241" s="10">
        <f>+E1240</f>
        <v>0</v>
      </c>
      <c r="U1241" s="19" t="str">
        <f>IFERROR(LEFT(I1240,FIND("*",I1240)-1),"-")</f>
        <v>-</v>
      </c>
      <c r="V1241" s="19" t="str">
        <f>IFERROR(RIGHT(I1240,LEN(I1240)-FIND("*",I1240)),"-")</f>
        <v>-</v>
      </c>
      <c r="W1241" s="20" t="str">
        <f t="shared" si="670"/>
        <v>-</v>
      </c>
      <c r="X1241" s="20" t="str">
        <f t="shared" ref="X1241" si="675">IFERROR(W1241*J1240,"-")</f>
        <v>-</v>
      </c>
      <c r="Z1241" s="33">
        <v>45185</v>
      </c>
    </row>
    <row r="1242" spans="1:26" ht="6.95" customHeight="1" x14ac:dyDescent="0.3">
      <c r="A1242" s="5"/>
      <c r="B1242" s="157"/>
      <c r="C1242" s="158"/>
      <c r="D1242" s="161"/>
      <c r="E1242" s="162"/>
      <c r="F1242" s="163"/>
      <c r="G1242" s="164"/>
      <c r="H1242" s="165"/>
      <c r="I1242" s="164"/>
      <c r="J1242" s="165"/>
      <c r="K1242" s="164"/>
      <c r="L1242" s="165"/>
      <c r="M1242" s="6"/>
      <c r="N1242" s="32"/>
      <c r="Q1242" s="10" t="str">
        <f>+CONCATENATE(E1240,K1240)</f>
        <v/>
      </c>
      <c r="R1242" s="10">
        <f>+L1240</f>
        <v>0</v>
      </c>
      <c r="S1242" s="11"/>
      <c r="T1242" s="10">
        <f>+E1240</f>
        <v>0</v>
      </c>
      <c r="U1242" s="19" t="str">
        <f>IFERROR(LEFT(K1240,FIND("*",K1240)-1),"-")</f>
        <v>-</v>
      </c>
      <c r="V1242" s="19" t="str">
        <f>IFERROR(RIGHT(K1240,LEN(K1240)-FIND("*",K1240)),"-")</f>
        <v>-</v>
      </c>
      <c r="W1242" s="20" t="str">
        <f t="shared" si="670"/>
        <v>-</v>
      </c>
      <c r="X1242" s="20" t="str">
        <f>IFERROR(W1242*L1240,"-")</f>
        <v>-</v>
      </c>
      <c r="Z1242" s="33">
        <v>45185</v>
      </c>
    </row>
    <row r="1243" spans="1:26" ht="21" customHeight="1" thickBot="1" x14ac:dyDescent="0.35">
      <c r="A1243" s="5"/>
      <c r="B1243" s="159"/>
      <c r="C1243" s="160"/>
      <c r="D1243" s="166" t="s">
        <v>43</v>
      </c>
      <c r="E1243" s="167"/>
      <c r="F1243" s="167"/>
      <c r="G1243" s="168"/>
      <c r="H1243" s="168"/>
      <c r="I1243" s="168"/>
      <c r="J1243" s="168"/>
      <c r="K1243" s="168"/>
      <c r="L1243" s="168"/>
      <c r="M1243" s="7"/>
      <c r="N1243" s="32"/>
      <c r="Z1243" s="33">
        <v>45185</v>
      </c>
    </row>
    <row r="1244" spans="1:26" ht="9.9499999999999993" customHeight="1" thickBot="1" x14ac:dyDescent="0.35">
      <c r="B1244" s="9"/>
      <c r="C1244" s="109">
        <v>913</v>
      </c>
      <c r="D1244" s="51"/>
      <c r="E1244" s="12"/>
      <c r="F1244" s="51"/>
      <c r="G1244" s="14"/>
      <c r="H1244" s="14"/>
      <c r="I1244" s="14"/>
      <c r="J1244" s="14"/>
      <c r="K1244" s="14"/>
      <c r="L1244" s="14"/>
      <c r="M1244" s="9"/>
      <c r="N1244" s="32"/>
      <c r="U1244" s="18"/>
      <c r="V1244" s="18"/>
      <c r="Z1244" s="33">
        <v>45185</v>
      </c>
    </row>
    <row r="1245" spans="1:26" ht="6.95" customHeight="1" x14ac:dyDescent="0.3">
      <c r="A1245" s="154">
        <f>+A1234+1</f>
        <v>914</v>
      </c>
      <c r="B1245" s="155"/>
      <c r="C1245" s="156"/>
      <c r="D1245" s="161" t="s">
        <v>39</v>
      </c>
      <c r="E1245" s="162" t="s">
        <v>226</v>
      </c>
      <c r="F1245" s="163" t="s">
        <v>40</v>
      </c>
      <c r="G1245" s="164" t="s">
        <v>276</v>
      </c>
      <c r="H1245" s="165">
        <v>1</v>
      </c>
      <c r="I1245" s="164"/>
      <c r="J1245" s="165"/>
      <c r="K1245" s="164"/>
      <c r="L1245" s="165"/>
      <c r="M1245" s="6"/>
      <c r="N1245" s="32"/>
      <c r="Q1245" s="10" t="str">
        <f>+CONCATENATE(E1245,G1245)</f>
        <v>무보온덕트벽체1200*400</v>
      </c>
      <c r="R1245" s="10">
        <f>+H1245</f>
        <v>1</v>
      </c>
      <c r="S1245" s="11"/>
      <c r="T1245" s="10" t="str">
        <f>+E1245</f>
        <v>무보온덕트벽체</v>
      </c>
      <c r="U1245" s="19" t="str">
        <f>IFERROR(LEFT(G1245,FIND("*",G1245)-1),"-")</f>
        <v>1200</v>
      </c>
      <c r="V1245" s="19" t="str">
        <f>IFERROR(RIGHT(G1245,LEN(G1245)-FIND("*",G1245)),"-")</f>
        <v>400</v>
      </c>
      <c r="W1245" s="20">
        <f>IFERROR((U1245+V1245)*2/1000,"-")</f>
        <v>3.2</v>
      </c>
      <c r="X1245" s="20">
        <f>IFERROR(W1245*H1245,"-")</f>
        <v>3.2</v>
      </c>
      <c r="Z1245" s="33">
        <v>45185</v>
      </c>
    </row>
    <row r="1246" spans="1:26" ht="6.95" customHeight="1" x14ac:dyDescent="0.3">
      <c r="A1246" s="154"/>
      <c r="B1246" s="157"/>
      <c r="C1246" s="158"/>
      <c r="D1246" s="161"/>
      <c r="E1246" s="162"/>
      <c r="F1246" s="163"/>
      <c r="G1246" s="164"/>
      <c r="H1246" s="165"/>
      <c r="I1246" s="164"/>
      <c r="J1246" s="165"/>
      <c r="K1246" s="164"/>
      <c r="L1246" s="165"/>
      <c r="M1246" s="6"/>
      <c r="N1246" s="32"/>
      <c r="Q1246" s="10" t="str">
        <f>+CONCATENATE(E1245,I1245)</f>
        <v>무보온덕트벽체</v>
      </c>
      <c r="R1246" s="10">
        <f>+J1245</f>
        <v>0</v>
      </c>
      <c r="S1246" s="11"/>
      <c r="T1246" s="10" t="str">
        <f>+E1245</f>
        <v>무보온덕트벽체</v>
      </c>
      <c r="U1246" s="19" t="str">
        <f>IFERROR(LEFT(I1245,FIND("*",I1245)-1),"-")</f>
        <v>-</v>
      </c>
      <c r="V1246" s="19" t="str">
        <f>IFERROR(RIGHT(I1245,LEN(I1245)-FIND("*",I1245)),"-")</f>
        <v>-</v>
      </c>
      <c r="W1246" s="20" t="str">
        <f t="shared" ref="W1246:W1253" si="676">IFERROR((U1246+V1246)*2/1000,"-")</f>
        <v>-</v>
      </c>
      <c r="X1246" s="20" t="str">
        <f>IFERROR(W1246*J1245,"-")</f>
        <v>-</v>
      </c>
      <c r="Z1246" s="33">
        <v>45185</v>
      </c>
    </row>
    <row r="1247" spans="1:26" ht="6.95" customHeight="1" x14ac:dyDescent="0.3">
      <c r="A1247" s="154"/>
      <c r="B1247" s="157"/>
      <c r="C1247" s="158"/>
      <c r="D1247" s="161"/>
      <c r="E1247" s="162"/>
      <c r="F1247" s="163"/>
      <c r="G1247" s="164"/>
      <c r="H1247" s="165"/>
      <c r="I1247" s="164"/>
      <c r="J1247" s="165"/>
      <c r="K1247" s="164"/>
      <c r="L1247" s="165"/>
      <c r="M1247" s="6"/>
      <c r="N1247" s="32"/>
      <c r="Q1247" s="10" t="str">
        <f>+CONCATENATE(E1245,K1245)</f>
        <v>무보온덕트벽체</v>
      </c>
      <c r="R1247" s="10">
        <f>+L1245</f>
        <v>0</v>
      </c>
      <c r="S1247" s="11"/>
      <c r="T1247" s="10" t="str">
        <f>+E1245</f>
        <v>무보온덕트벽체</v>
      </c>
      <c r="U1247" s="19" t="str">
        <f>IFERROR(LEFT(K1245,FIND("*",K1245)-1),"-")</f>
        <v>-</v>
      </c>
      <c r="V1247" s="19" t="str">
        <f>IFERROR(RIGHT(K1245,LEN(K1245)-FIND("*",K1245)),"-")</f>
        <v>-</v>
      </c>
      <c r="W1247" s="20" t="str">
        <f t="shared" si="676"/>
        <v>-</v>
      </c>
      <c r="X1247" s="20" t="str">
        <f>IFERROR(W1247*L1245,"-")</f>
        <v>-</v>
      </c>
      <c r="Z1247" s="33">
        <v>45185</v>
      </c>
    </row>
    <row r="1248" spans="1:26" ht="6.95" customHeight="1" x14ac:dyDescent="0.3">
      <c r="A1248" s="8"/>
      <c r="B1248" s="157"/>
      <c r="C1248" s="158"/>
      <c r="D1248" s="161" t="s">
        <v>39</v>
      </c>
      <c r="E1248" s="162" t="s">
        <v>66</v>
      </c>
      <c r="F1248" s="163" t="s">
        <v>40</v>
      </c>
      <c r="G1248" s="164" t="s">
        <v>276</v>
      </c>
      <c r="H1248" s="165">
        <v>1</v>
      </c>
      <c r="I1248" s="164"/>
      <c r="J1248" s="165"/>
      <c r="K1248" s="164"/>
      <c r="L1248" s="165"/>
      <c r="M1248" s="6"/>
      <c r="N1248" s="32"/>
      <c r="Q1248" s="10" t="str">
        <f>+CONCATENATE(E1248,G1248)</f>
        <v>차열재마감1200*400</v>
      </c>
      <c r="R1248" s="10">
        <f>+H1248</f>
        <v>1</v>
      </c>
      <c r="S1248" s="11"/>
      <c r="T1248" s="10" t="str">
        <f>+E1248</f>
        <v>차열재마감</v>
      </c>
      <c r="U1248" s="19" t="str">
        <f t="shared" ref="U1248" si="677">IFERROR(LEFT(G1248,FIND("*",G1248)-1),"-")</f>
        <v>1200</v>
      </c>
      <c r="V1248" s="19" t="str">
        <f t="shared" ref="V1248" si="678">IFERROR(RIGHT(G1248,LEN(G1248)-FIND("*",G1248)),"-")</f>
        <v>400</v>
      </c>
      <c r="W1248" s="20">
        <f t="shared" si="676"/>
        <v>3.2</v>
      </c>
      <c r="X1248" s="20">
        <f>IFERROR(W1248*H1248,"-")</f>
        <v>3.2</v>
      </c>
      <c r="Z1248" s="33">
        <v>45185</v>
      </c>
    </row>
    <row r="1249" spans="1:26" ht="6.95" customHeight="1" x14ac:dyDescent="0.3">
      <c r="A1249" s="5"/>
      <c r="B1249" s="157"/>
      <c r="C1249" s="158"/>
      <c r="D1249" s="161"/>
      <c r="E1249" s="162"/>
      <c r="F1249" s="163"/>
      <c r="G1249" s="164"/>
      <c r="H1249" s="165"/>
      <c r="I1249" s="164"/>
      <c r="J1249" s="165"/>
      <c r="K1249" s="164"/>
      <c r="L1249" s="165"/>
      <c r="M1249" s="6"/>
      <c r="N1249" s="32"/>
      <c r="Q1249" s="10" t="str">
        <f>+CONCATENATE(E1248,I1248)</f>
        <v>차열재마감</v>
      </c>
      <c r="R1249" s="10">
        <f>+J1248</f>
        <v>0</v>
      </c>
      <c r="S1249" s="11"/>
      <c r="T1249" s="10" t="str">
        <f>+E1248</f>
        <v>차열재마감</v>
      </c>
      <c r="U1249" s="19" t="str">
        <f>IFERROR(LEFT(I1248,FIND("*",I1248)-1),"-")</f>
        <v>-</v>
      </c>
      <c r="V1249" s="19" t="str">
        <f>IFERROR(RIGHT(I1248,LEN(I1248)-FIND("*",I1248)),"-")</f>
        <v>-</v>
      </c>
      <c r="W1249" s="20" t="str">
        <f t="shared" si="676"/>
        <v>-</v>
      </c>
      <c r="X1249" s="20" t="str">
        <f>IFERROR(W1249*J1248,"-")</f>
        <v>-</v>
      </c>
      <c r="Z1249" s="33">
        <v>45185</v>
      </c>
    </row>
    <row r="1250" spans="1:26" ht="6.95" customHeight="1" x14ac:dyDescent="0.3">
      <c r="A1250" s="5"/>
      <c r="B1250" s="157"/>
      <c r="C1250" s="158"/>
      <c r="D1250" s="161"/>
      <c r="E1250" s="162"/>
      <c r="F1250" s="163"/>
      <c r="G1250" s="164"/>
      <c r="H1250" s="165"/>
      <c r="I1250" s="164"/>
      <c r="J1250" s="165"/>
      <c r="K1250" s="164"/>
      <c r="L1250" s="165"/>
      <c r="M1250" s="6"/>
      <c r="N1250" s="32"/>
      <c r="Q1250" s="10" t="str">
        <f>+CONCATENATE(E1248,K1248)</f>
        <v>차열재마감</v>
      </c>
      <c r="R1250" s="10">
        <f>+L1248</f>
        <v>0</v>
      </c>
      <c r="S1250" s="11"/>
      <c r="T1250" s="10" t="str">
        <f>+E1248</f>
        <v>차열재마감</v>
      </c>
      <c r="U1250" s="19" t="str">
        <f>IFERROR(LEFT(K1248,FIND("*",K1248)-1),"-")</f>
        <v>-</v>
      </c>
      <c r="V1250" s="19" t="str">
        <f>IFERROR(RIGHT(K1248,LEN(K1248)-FIND("*",K1248)),"-")</f>
        <v>-</v>
      </c>
      <c r="W1250" s="20" t="str">
        <f t="shared" si="676"/>
        <v>-</v>
      </c>
      <c r="X1250" s="20" t="str">
        <f>IFERROR(W1250*L1248,"-")</f>
        <v>-</v>
      </c>
      <c r="Z1250" s="33">
        <v>45185</v>
      </c>
    </row>
    <row r="1251" spans="1:26" ht="6.95" customHeight="1" x14ac:dyDescent="0.3">
      <c r="A1251" s="8"/>
      <c r="B1251" s="157"/>
      <c r="C1251" s="158"/>
      <c r="D1251" s="161" t="s">
        <v>39</v>
      </c>
      <c r="E1251" s="162"/>
      <c r="F1251" s="163" t="s">
        <v>40</v>
      </c>
      <c r="G1251" s="164"/>
      <c r="H1251" s="165"/>
      <c r="I1251" s="164"/>
      <c r="J1251" s="165"/>
      <c r="K1251" s="164"/>
      <c r="L1251" s="165"/>
      <c r="M1251" s="6"/>
      <c r="N1251" s="32"/>
      <c r="Q1251" s="10" t="str">
        <f>+CONCATENATE(E1251,G1251)</f>
        <v/>
      </c>
      <c r="R1251" s="10">
        <f>+H1251</f>
        <v>0</v>
      </c>
      <c r="S1251" s="11"/>
      <c r="T1251" s="10">
        <f>+E1251</f>
        <v>0</v>
      </c>
      <c r="U1251" s="19" t="str">
        <f t="shared" ref="U1251" si="679">IFERROR(LEFT(G1251,FIND("*",G1251)-1),"-")</f>
        <v>-</v>
      </c>
      <c r="V1251" s="19" t="str">
        <f t="shared" ref="V1251" si="680">IFERROR(RIGHT(G1251,LEN(G1251)-FIND("*",G1251)),"-")</f>
        <v>-</v>
      </c>
      <c r="W1251" s="20" t="str">
        <f t="shared" si="676"/>
        <v>-</v>
      </c>
      <c r="X1251" s="20" t="str">
        <f>IFERROR(W1251*H1251,"-")</f>
        <v>-</v>
      </c>
      <c r="Z1251" s="33">
        <v>45185</v>
      </c>
    </row>
    <row r="1252" spans="1:26" ht="6.95" customHeight="1" x14ac:dyDescent="0.3">
      <c r="A1252" s="5"/>
      <c r="B1252" s="157"/>
      <c r="C1252" s="158"/>
      <c r="D1252" s="161"/>
      <c r="E1252" s="162"/>
      <c r="F1252" s="163"/>
      <c r="G1252" s="164"/>
      <c r="H1252" s="165"/>
      <c r="I1252" s="164"/>
      <c r="J1252" s="165"/>
      <c r="K1252" s="164"/>
      <c r="L1252" s="165"/>
      <c r="M1252" s="6"/>
      <c r="N1252" s="32"/>
      <c r="Q1252" s="10" t="str">
        <f>+CONCATENATE(E1251,I1251)</f>
        <v/>
      </c>
      <c r="R1252" s="10">
        <f>+J1251</f>
        <v>0</v>
      </c>
      <c r="S1252" s="11"/>
      <c r="T1252" s="10">
        <f>+E1251</f>
        <v>0</v>
      </c>
      <c r="U1252" s="19" t="str">
        <f>IFERROR(LEFT(I1251,FIND("*",I1251)-1),"-")</f>
        <v>-</v>
      </c>
      <c r="V1252" s="19" t="str">
        <f>IFERROR(RIGHT(I1251,LEN(I1251)-FIND("*",I1251)),"-")</f>
        <v>-</v>
      </c>
      <c r="W1252" s="20" t="str">
        <f t="shared" si="676"/>
        <v>-</v>
      </c>
      <c r="X1252" s="20" t="str">
        <f t="shared" ref="X1252" si="681">IFERROR(W1252*J1251,"-")</f>
        <v>-</v>
      </c>
      <c r="Z1252" s="33">
        <v>45185</v>
      </c>
    </row>
    <row r="1253" spans="1:26" ht="6.95" customHeight="1" x14ac:dyDescent="0.3">
      <c r="A1253" s="5"/>
      <c r="B1253" s="157"/>
      <c r="C1253" s="158"/>
      <c r="D1253" s="161"/>
      <c r="E1253" s="162"/>
      <c r="F1253" s="163"/>
      <c r="G1253" s="164"/>
      <c r="H1253" s="165"/>
      <c r="I1253" s="164"/>
      <c r="J1253" s="165"/>
      <c r="K1253" s="164"/>
      <c r="L1253" s="165"/>
      <c r="M1253" s="6"/>
      <c r="N1253" s="32"/>
      <c r="Q1253" s="10" t="str">
        <f>+CONCATENATE(E1251,K1251)</f>
        <v/>
      </c>
      <c r="R1253" s="10">
        <f>+L1251</f>
        <v>0</v>
      </c>
      <c r="S1253" s="11"/>
      <c r="T1253" s="10">
        <f>+E1251</f>
        <v>0</v>
      </c>
      <c r="U1253" s="19" t="str">
        <f>IFERROR(LEFT(K1251,FIND("*",K1251)-1),"-")</f>
        <v>-</v>
      </c>
      <c r="V1253" s="19" t="str">
        <f>IFERROR(RIGHT(K1251,LEN(K1251)-FIND("*",K1251)),"-")</f>
        <v>-</v>
      </c>
      <c r="W1253" s="20" t="str">
        <f t="shared" si="676"/>
        <v>-</v>
      </c>
      <c r="X1253" s="20" t="str">
        <f>IFERROR(W1253*L1251,"-")</f>
        <v>-</v>
      </c>
      <c r="Z1253" s="33">
        <v>45185</v>
      </c>
    </row>
    <row r="1254" spans="1:26" ht="21" customHeight="1" thickBot="1" x14ac:dyDescent="0.35">
      <c r="A1254" s="5"/>
      <c r="B1254" s="159"/>
      <c r="C1254" s="160"/>
      <c r="D1254" s="166" t="s">
        <v>43</v>
      </c>
      <c r="E1254" s="167"/>
      <c r="F1254" s="167"/>
      <c r="G1254" s="168"/>
      <c r="H1254" s="168"/>
      <c r="I1254" s="168"/>
      <c r="J1254" s="168"/>
      <c r="K1254" s="168"/>
      <c r="L1254" s="168"/>
      <c r="M1254" s="7"/>
      <c r="N1254" s="32"/>
      <c r="Z1254" s="33">
        <v>45185</v>
      </c>
    </row>
    <row r="1255" spans="1:26" ht="9.9499999999999993" customHeight="1" thickBot="1" x14ac:dyDescent="0.35">
      <c r="B1255" s="9"/>
      <c r="C1255" s="109">
        <v>914</v>
      </c>
      <c r="D1255" s="51"/>
      <c r="E1255" s="12"/>
      <c r="F1255" s="51"/>
      <c r="G1255" s="14"/>
      <c r="H1255" s="14"/>
      <c r="I1255" s="14"/>
      <c r="J1255" s="14"/>
      <c r="K1255" s="14"/>
      <c r="L1255" s="14"/>
      <c r="M1255" s="9"/>
      <c r="N1255" s="32"/>
      <c r="U1255" s="18"/>
      <c r="V1255" s="18"/>
      <c r="Z1255" s="33">
        <v>45185</v>
      </c>
    </row>
    <row r="1256" spans="1:26" ht="6.95" customHeight="1" x14ac:dyDescent="0.3">
      <c r="A1256" s="154">
        <f>+A1245+1</f>
        <v>915</v>
      </c>
      <c r="B1256" s="155"/>
      <c r="C1256" s="156"/>
      <c r="D1256" s="161" t="s">
        <v>39</v>
      </c>
      <c r="E1256" s="162" t="s">
        <v>226</v>
      </c>
      <c r="F1256" s="163" t="s">
        <v>40</v>
      </c>
      <c r="G1256" s="164" t="s">
        <v>276</v>
      </c>
      <c r="H1256" s="165">
        <v>1</v>
      </c>
      <c r="I1256" s="164"/>
      <c r="J1256" s="165"/>
      <c r="K1256" s="164"/>
      <c r="L1256" s="165"/>
      <c r="M1256" s="6"/>
      <c r="N1256" s="32"/>
      <c r="Q1256" s="10" t="str">
        <f>+CONCATENATE(E1256,G1256)</f>
        <v>무보온덕트벽체1200*400</v>
      </c>
      <c r="R1256" s="10">
        <f>+H1256</f>
        <v>1</v>
      </c>
      <c r="S1256" s="11"/>
      <c r="T1256" s="10" t="str">
        <f>+E1256</f>
        <v>무보온덕트벽체</v>
      </c>
      <c r="U1256" s="19" t="str">
        <f>IFERROR(LEFT(G1256,FIND("*",G1256)-1),"-")</f>
        <v>1200</v>
      </c>
      <c r="V1256" s="19" t="str">
        <f>IFERROR(RIGHT(G1256,LEN(G1256)-FIND("*",G1256)),"-")</f>
        <v>400</v>
      </c>
      <c r="W1256" s="20">
        <f>IFERROR((U1256+V1256)*2/1000,"-")</f>
        <v>3.2</v>
      </c>
      <c r="X1256" s="20">
        <f>IFERROR(W1256*H1256,"-")</f>
        <v>3.2</v>
      </c>
      <c r="Z1256" s="33">
        <v>45185</v>
      </c>
    </row>
    <row r="1257" spans="1:26" ht="6.95" customHeight="1" x14ac:dyDescent="0.3">
      <c r="A1257" s="154"/>
      <c r="B1257" s="157"/>
      <c r="C1257" s="158"/>
      <c r="D1257" s="161"/>
      <c r="E1257" s="162"/>
      <c r="F1257" s="163"/>
      <c r="G1257" s="164"/>
      <c r="H1257" s="165"/>
      <c r="I1257" s="164"/>
      <c r="J1257" s="165"/>
      <c r="K1257" s="164"/>
      <c r="L1257" s="165"/>
      <c r="M1257" s="6"/>
      <c r="N1257" s="32"/>
      <c r="Q1257" s="10" t="str">
        <f>+CONCATENATE(E1256,I1256)</f>
        <v>무보온덕트벽체</v>
      </c>
      <c r="R1257" s="10">
        <f>+J1256</f>
        <v>0</v>
      </c>
      <c r="S1257" s="11"/>
      <c r="T1257" s="10" t="str">
        <f>+E1256</f>
        <v>무보온덕트벽체</v>
      </c>
      <c r="U1257" s="19" t="str">
        <f>IFERROR(LEFT(I1256,FIND("*",I1256)-1),"-")</f>
        <v>-</v>
      </c>
      <c r="V1257" s="19" t="str">
        <f>IFERROR(RIGHT(I1256,LEN(I1256)-FIND("*",I1256)),"-")</f>
        <v>-</v>
      </c>
      <c r="W1257" s="20" t="str">
        <f t="shared" ref="W1257:W1264" si="682">IFERROR((U1257+V1257)*2/1000,"-")</f>
        <v>-</v>
      </c>
      <c r="X1257" s="20" t="str">
        <f>IFERROR(W1257*J1256,"-")</f>
        <v>-</v>
      </c>
      <c r="Z1257" s="33">
        <v>45185</v>
      </c>
    </row>
    <row r="1258" spans="1:26" ht="6.95" customHeight="1" x14ac:dyDescent="0.3">
      <c r="A1258" s="154"/>
      <c r="B1258" s="157"/>
      <c r="C1258" s="158"/>
      <c r="D1258" s="161"/>
      <c r="E1258" s="162"/>
      <c r="F1258" s="163"/>
      <c r="G1258" s="164"/>
      <c r="H1258" s="165"/>
      <c r="I1258" s="164"/>
      <c r="J1258" s="165"/>
      <c r="K1258" s="164"/>
      <c r="L1258" s="165"/>
      <c r="M1258" s="6"/>
      <c r="N1258" s="32"/>
      <c r="Q1258" s="10" t="str">
        <f>+CONCATENATE(E1256,K1256)</f>
        <v>무보온덕트벽체</v>
      </c>
      <c r="R1258" s="10">
        <f>+L1256</f>
        <v>0</v>
      </c>
      <c r="S1258" s="11"/>
      <c r="T1258" s="10" t="str">
        <f>+E1256</f>
        <v>무보온덕트벽체</v>
      </c>
      <c r="U1258" s="19" t="str">
        <f>IFERROR(LEFT(K1256,FIND("*",K1256)-1),"-")</f>
        <v>-</v>
      </c>
      <c r="V1258" s="19" t="str">
        <f>IFERROR(RIGHT(K1256,LEN(K1256)-FIND("*",K1256)),"-")</f>
        <v>-</v>
      </c>
      <c r="W1258" s="20" t="str">
        <f t="shared" si="682"/>
        <v>-</v>
      </c>
      <c r="X1258" s="20" t="str">
        <f>IFERROR(W1258*L1256,"-")</f>
        <v>-</v>
      </c>
      <c r="Z1258" s="33">
        <v>45185</v>
      </c>
    </row>
    <row r="1259" spans="1:26" ht="6.95" customHeight="1" x14ac:dyDescent="0.3">
      <c r="A1259" s="8"/>
      <c r="B1259" s="157"/>
      <c r="C1259" s="158"/>
      <c r="D1259" s="161" t="s">
        <v>39</v>
      </c>
      <c r="E1259" s="162" t="s">
        <v>66</v>
      </c>
      <c r="F1259" s="163" t="s">
        <v>40</v>
      </c>
      <c r="G1259" s="164" t="s">
        <v>276</v>
      </c>
      <c r="H1259" s="165">
        <v>1</v>
      </c>
      <c r="I1259" s="164"/>
      <c r="J1259" s="165"/>
      <c r="K1259" s="164"/>
      <c r="L1259" s="165"/>
      <c r="M1259" s="6"/>
      <c r="N1259" s="32"/>
      <c r="Q1259" s="10" t="str">
        <f>+CONCATENATE(E1259,G1259)</f>
        <v>차열재마감1200*400</v>
      </c>
      <c r="R1259" s="10">
        <f>+H1259</f>
        <v>1</v>
      </c>
      <c r="S1259" s="11"/>
      <c r="T1259" s="10" t="str">
        <f>+E1259</f>
        <v>차열재마감</v>
      </c>
      <c r="U1259" s="19" t="str">
        <f t="shared" ref="U1259" si="683">IFERROR(LEFT(G1259,FIND("*",G1259)-1),"-")</f>
        <v>1200</v>
      </c>
      <c r="V1259" s="19" t="str">
        <f t="shared" ref="V1259" si="684">IFERROR(RIGHT(G1259,LEN(G1259)-FIND("*",G1259)),"-")</f>
        <v>400</v>
      </c>
      <c r="W1259" s="20">
        <f t="shared" si="682"/>
        <v>3.2</v>
      </c>
      <c r="X1259" s="20">
        <f>IFERROR(W1259*H1259,"-")</f>
        <v>3.2</v>
      </c>
      <c r="Z1259" s="33">
        <v>45185</v>
      </c>
    </row>
    <row r="1260" spans="1:26" ht="6.95" customHeight="1" x14ac:dyDescent="0.3">
      <c r="A1260" s="5"/>
      <c r="B1260" s="157"/>
      <c r="C1260" s="158"/>
      <c r="D1260" s="161"/>
      <c r="E1260" s="162"/>
      <c r="F1260" s="163"/>
      <c r="G1260" s="164"/>
      <c r="H1260" s="165"/>
      <c r="I1260" s="164"/>
      <c r="J1260" s="165"/>
      <c r="K1260" s="164"/>
      <c r="L1260" s="165"/>
      <c r="M1260" s="6"/>
      <c r="N1260" s="32"/>
      <c r="Q1260" s="10" t="str">
        <f>+CONCATENATE(E1259,I1259)</f>
        <v>차열재마감</v>
      </c>
      <c r="R1260" s="10">
        <f>+J1259</f>
        <v>0</v>
      </c>
      <c r="S1260" s="11"/>
      <c r="T1260" s="10" t="str">
        <f>+E1259</f>
        <v>차열재마감</v>
      </c>
      <c r="U1260" s="19" t="str">
        <f>IFERROR(LEFT(I1259,FIND("*",I1259)-1),"-")</f>
        <v>-</v>
      </c>
      <c r="V1260" s="19" t="str">
        <f>IFERROR(RIGHT(I1259,LEN(I1259)-FIND("*",I1259)),"-")</f>
        <v>-</v>
      </c>
      <c r="W1260" s="20" t="str">
        <f t="shared" si="682"/>
        <v>-</v>
      </c>
      <c r="X1260" s="20" t="str">
        <f>IFERROR(W1260*J1259,"-")</f>
        <v>-</v>
      </c>
      <c r="Z1260" s="33">
        <v>45185</v>
      </c>
    </row>
    <row r="1261" spans="1:26" ht="6.95" customHeight="1" x14ac:dyDescent="0.3">
      <c r="A1261" s="5"/>
      <c r="B1261" s="157"/>
      <c r="C1261" s="158"/>
      <c r="D1261" s="161"/>
      <c r="E1261" s="162"/>
      <c r="F1261" s="163"/>
      <c r="G1261" s="164"/>
      <c r="H1261" s="165"/>
      <c r="I1261" s="164"/>
      <c r="J1261" s="165"/>
      <c r="K1261" s="164"/>
      <c r="L1261" s="165"/>
      <c r="M1261" s="6"/>
      <c r="N1261" s="32"/>
      <c r="Q1261" s="10" t="str">
        <f>+CONCATENATE(E1259,K1259)</f>
        <v>차열재마감</v>
      </c>
      <c r="R1261" s="10">
        <f>+L1259</f>
        <v>0</v>
      </c>
      <c r="S1261" s="11"/>
      <c r="T1261" s="10" t="str">
        <f>+E1259</f>
        <v>차열재마감</v>
      </c>
      <c r="U1261" s="19" t="str">
        <f>IFERROR(LEFT(K1259,FIND("*",K1259)-1),"-")</f>
        <v>-</v>
      </c>
      <c r="V1261" s="19" t="str">
        <f>IFERROR(RIGHT(K1259,LEN(K1259)-FIND("*",K1259)),"-")</f>
        <v>-</v>
      </c>
      <c r="W1261" s="20" t="str">
        <f t="shared" si="682"/>
        <v>-</v>
      </c>
      <c r="X1261" s="20" t="str">
        <f>IFERROR(W1261*L1259,"-")</f>
        <v>-</v>
      </c>
      <c r="Z1261" s="33">
        <v>45185</v>
      </c>
    </row>
    <row r="1262" spans="1:26" ht="6.95" customHeight="1" x14ac:dyDescent="0.3">
      <c r="A1262" s="8"/>
      <c r="B1262" s="157"/>
      <c r="C1262" s="158"/>
      <c r="D1262" s="161" t="s">
        <v>39</v>
      </c>
      <c r="E1262" s="162"/>
      <c r="F1262" s="163" t="s">
        <v>40</v>
      </c>
      <c r="G1262" s="164"/>
      <c r="H1262" s="165"/>
      <c r="I1262" s="164"/>
      <c r="J1262" s="165"/>
      <c r="K1262" s="164"/>
      <c r="L1262" s="165"/>
      <c r="M1262" s="6"/>
      <c r="N1262" s="32"/>
      <c r="Q1262" s="10" t="str">
        <f>+CONCATENATE(E1262,G1262)</f>
        <v/>
      </c>
      <c r="R1262" s="10">
        <f>+H1262</f>
        <v>0</v>
      </c>
      <c r="S1262" s="11"/>
      <c r="T1262" s="10">
        <f>+E1262</f>
        <v>0</v>
      </c>
      <c r="U1262" s="19" t="str">
        <f t="shared" ref="U1262" si="685">IFERROR(LEFT(G1262,FIND("*",G1262)-1),"-")</f>
        <v>-</v>
      </c>
      <c r="V1262" s="19" t="str">
        <f t="shared" ref="V1262" si="686">IFERROR(RIGHT(G1262,LEN(G1262)-FIND("*",G1262)),"-")</f>
        <v>-</v>
      </c>
      <c r="W1262" s="20" t="str">
        <f t="shared" si="682"/>
        <v>-</v>
      </c>
      <c r="X1262" s="20" t="str">
        <f>IFERROR(W1262*H1262,"-")</f>
        <v>-</v>
      </c>
      <c r="Z1262" s="33">
        <v>45185</v>
      </c>
    </row>
    <row r="1263" spans="1:26" ht="6.95" customHeight="1" x14ac:dyDescent="0.3">
      <c r="A1263" s="5"/>
      <c r="B1263" s="157"/>
      <c r="C1263" s="158"/>
      <c r="D1263" s="161"/>
      <c r="E1263" s="162"/>
      <c r="F1263" s="163"/>
      <c r="G1263" s="164"/>
      <c r="H1263" s="165"/>
      <c r="I1263" s="164"/>
      <c r="J1263" s="165"/>
      <c r="K1263" s="164"/>
      <c r="L1263" s="165"/>
      <c r="M1263" s="6"/>
      <c r="N1263" s="32"/>
      <c r="Q1263" s="10" t="str">
        <f>+CONCATENATE(E1262,I1262)</f>
        <v/>
      </c>
      <c r="R1263" s="10">
        <f>+J1262</f>
        <v>0</v>
      </c>
      <c r="S1263" s="11"/>
      <c r="T1263" s="10">
        <f>+E1262</f>
        <v>0</v>
      </c>
      <c r="U1263" s="19" t="str">
        <f>IFERROR(LEFT(I1262,FIND("*",I1262)-1),"-")</f>
        <v>-</v>
      </c>
      <c r="V1263" s="19" t="str">
        <f>IFERROR(RIGHT(I1262,LEN(I1262)-FIND("*",I1262)),"-")</f>
        <v>-</v>
      </c>
      <c r="W1263" s="20" t="str">
        <f t="shared" si="682"/>
        <v>-</v>
      </c>
      <c r="X1263" s="20" t="str">
        <f t="shared" ref="X1263" si="687">IFERROR(W1263*J1262,"-")</f>
        <v>-</v>
      </c>
      <c r="Z1263" s="33">
        <v>45185</v>
      </c>
    </row>
    <row r="1264" spans="1:26" ht="6.95" customHeight="1" x14ac:dyDescent="0.3">
      <c r="A1264" s="5"/>
      <c r="B1264" s="157"/>
      <c r="C1264" s="158"/>
      <c r="D1264" s="161"/>
      <c r="E1264" s="162"/>
      <c r="F1264" s="163"/>
      <c r="G1264" s="164"/>
      <c r="H1264" s="165"/>
      <c r="I1264" s="164"/>
      <c r="J1264" s="165"/>
      <c r="K1264" s="164"/>
      <c r="L1264" s="165"/>
      <c r="M1264" s="6"/>
      <c r="N1264" s="32"/>
      <c r="Q1264" s="10" t="str">
        <f>+CONCATENATE(E1262,K1262)</f>
        <v/>
      </c>
      <c r="R1264" s="10">
        <f>+L1262</f>
        <v>0</v>
      </c>
      <c r="S1264" s="11"/>
      <c r="T1264" s="10">
        <f>+E1262</f>
        <v>0</v>
      </c>
      <c r="U1264" s="19" t="str">
        <f>IFERROR(LEFT(K1262,FIND("*",K1262)-1),"-")</f>
        <v>-</v>
      </c>
      <c r="V1264" s="19" t="str">
        <f>IFERROR(RIGHT(K1262,LEN(K1262)-FIND("*",K1262)),"-")</f>
        <v>-</v>
      </c>
      <c r="W1264" s="20" t="str">
        <f t="shared" si="682"/>
        <v>-</v>
      </c>
      <c r="X1264" s="20" t="str">
        <f>IFERROR(W1264*L1262,"-")</f>
        <v>-</v>
      </c>
      <c r="Z1264" s="33">
        <v>45185</v>
      </c>
    </row>
    <row r="1265" spans="1:26" ht="21" customHeight="1" thickBot="1" x14ac:dyDescent="0.35">
      <c r="A1265" s="5"/>
      <c r="B1265" s="159"/>
      <c r="C1265" s="160"/>
      <c r="D1265" s="166" t="s">
        <v>43</v>
      </c>
      <c r="E1265" s="167"/>
      <c r="F1265" s="167"/>
      <c r="G1265" s="168"/>
      <c r="H1265" s="168"/>
      <c r="I1265" s="168"/>
      <c r="J1265" s="168"/>
      <c r="K1265" s="168"/>
      <c r="L1265" s="168"/>
      <c r="M1265" s="7"/>
      <c r="N1265" s="32"/>
      <c r="Z1265" s="33">
        <v>45185</v>
      </c>
    </row>
    <row r="1266" spans="1:26" ht="9.9499999999999993" customHeight="1" thickBot="1" x14ac:dyDescent="0.35">
      <c r="B1266" s="9"/>
      <c r="C1266" s="109">
        <v>915</v>
      </c>
      <c r="D1266" s="51"/>
      <c r="E1266" s="12"/>
      <c r="F1266" s="51"/>
      <c r="G1266" s="14"/>
      <c r="H1266" s="14"/>
      <c r="I1266" s="14"/>
      <c r="J1266" s="14"/>
      <c r="K1266" s="14"/>
      <c r="L1266" s="14"/>
      <c r="M1266" s="9"/>
      <c r="N1266" s="32"/>
      <c r="U1266" s="18"/>
      <c r="V1266" s="18"/>
      <c r="Z1266" s="33">
        <v>45185</v>
      </c>
    </row>
    <row r="1267" spans="1:26" ht="6.95" customHeight="1" x14ac:dyDescent="0.3">
      <c r="A1267" s="154">
        <f>+A1256+1</f>
        <v>916</v>
      </c>
      <c r="B1267" s="155"/>
      <c r="C1267" s="156"/>
      <c r="D1267" s="161" t="s">
        <v>39</v>
      </c>
      <c r="E1267" s="162" t="s">
        <v>277</v>
      </c>
      <c r="F1267" s="163" t="s">
        <v>40</v>
      </c>
      <c r="G1267" s="164" t="s">
        <v>276</v>
      </c>
      <c r="H1267" s="165">
        <v>1</v>
      </c>
      <c r="I1267" s="164"/>
      <c r="J1267" s="165"/>
      <c r="K1267" s="164"/>
      <c r="L1267" s="165"/>
      <c r="M1267" s="6"/>
      <c r="N1267" s="32"/>
      <c r="Q1267" s="10" t="str">
        <f>+CONCATENATE(E1267,G1267)</f>
        <v>보온덕트벽체1200*400</v>
      </c>
      <c r="R1267" s="10">
        <f>+H1267</f>
        <v>1</v>
      </c>
      <c r="S1267" s="11"/>
      <c r="T1267" s="10" t="str">
        <f>+E1267</f>
        <v>보온덕트벽체</v>
      </c>
      <c r="U1267" s="19" t="str">
        <f>IFERROR(LEFT(G1267,FIND("*",G1267)-1),"-")</f>
        <v>1200</v>
      </c>
      <c r="V1267" s="19" t="str">
        <f>IFERROR(RIGHT(G1267,LEN(G1267)-FIND("*",G1267)),"-")</f>
        <v>400</v>
      </c>
      <c r="W1267" s="20">
        <f>IFERROR((U1267+V1267)*2/1000,"-")</f>
        <v>3.2</v>
      </c>
      <c r="X1267" s="20">
        <f>IFERROR(W1267*H1267,"-")</f>
        <v>3.2</v>
      </c>
      <c r="Z1267" s="33">
        <v>45185</v>
      </c>
    </row>
    <row r="1268" spans="1:26" ht="6.95" customHeight="1" x14ac:dyDescent="0.3">
      <c r="A1268" s="154"/>
      <c r="B1268" s="157"/>
      <c r="C1268" s="158"/>
      <c r="D1268" s="161"/>
      <c r="E1268" s="162"/>
      <c r="F1268" s="163"/>
      <c r="G1268" s="164"/>
      <c r="H1268" s="165"/>
      <c r="I1268" s="164"/>
      <c r="J1268" s="165"/>
      <c r="K1268" s="164"/>
      <c r="L1268" s="165"/>
      <c r="M1268" s="6"/>
      <c r="N1268" s="32"/>
      <c r="Q1268" s="10" t="str">
        <f>+CONCATENATE(E1267,I1267)</f>
        <v>보온덕트벽체</v>
      </c>
      <c r="R1268" s="10">
        <f>+J1267</f>
        <v>0</v>
      </c>
      <c r="S1268" s="11"/>
      <c r="T1268" s="10" t="str">
        <f>+E1267</f>
        <v>보온덕트벽체</v>
      </c>
      <c r="U1268" s="19" t="str">
        <f>IFERROR(LEFT(I1267,FIND("*",I1267)-1),"-")</f>
        <v>-</v>
      </c>
      <c r="V1268" s="19" t="str">
        <f>IFERROR(RIGHT(I1267,LEN(I1267)-FIND("*",I1267)),"-")</f>
        <v>-</v>
      </c>
      <c r="W1268" s="20" t="str">
        <f t="shared" ref="W1268:W1275" si="688">IFERROR((U1268+V1268)*2/1000,"-")</f>
        <v>-</v>
      </c>
      <c r="X1268" s="20" t="str">
        <f>IFERROR(W1268*J1267,"-")</f>
        <v>-</v>
      </c>
      <c r="Z1268" s="33">
        <v>45185</v>
      </c>
    </row>
    <row r="1269" spans="1:26" ht="6.95" customHeight="1" x14ac:dyDescent="0.3">
      <c r="A1269" s="154"/>
      <c r="B1269" s="157"/>
      <c r="C1269" s="158"/>
      <c r="D1269" s="161"/>
      <c r="E1269" s="162"/>
      <c r="F1269" s="163"/>
      <c r="G1269" s="164"/>
      <c r="H1269" s="165"/>
      <c r="I1269" s="164"/>
      <c r="J1269" s="165"/>
      <c r="K1269" s="164"/>
      <c r="L1269" s="165"/>
      <c r="M1269" s="6"/>
      <c r="N1269" s="32"/>
      <c r="Q1269" s="10" t="str">
        <f>+CONCATENATE(E1267,K1267)</f>
        <v>보온덕트벽체</v>
      </c>
      <c r="R1269" s="10">
        <f>+L1267</f>
        <v>0</v>
      </c>
      <c r="S1269" s="11"/>
      <c r="T1269" s="10" t="str">
        <f>+E1267</f>
        <v>보온덕트벽체</v>
      </c>
      <c r="U1269" s="19" t="str">
        <f>IFERROR(LEFT(K1267,FIND("*",K1267)-1),"-")</f>
        <v>-</v>
      </c>
      <c r="V1269" s="19" t="str">
        <f>IFERROR(RIGHT(K1267,LEN(K1267)-FIND("*",K1267)),"-")</f>
        <v>-</v>
      </c>
      <c r="W1269" s="20" t="str">
        <f t="shared" si="688"/>
        <v>-</v>
      </c>
      <c r="X1269" s="20" t="str">
        <f>IFERROR(W1269*L1267,"-")</f>
        <v>-</v>
      </c>
      <c r="Z1269" s="33">
        <v>45185</v>
      </c>
    </row>
    <row r="1270" spans="1:26" ht="6.95" customHeight="1" x14ac:dyDescent="0.3">
      <c r="A1270" s="8"/>
      <c r="B1270" s="157"/>
      <c r="C1270" s="158"/>
      <c r="D1270" s="161" t="s">
        <v>39</v>
      </c>
      <c r="E1270" s="162" t="s">
        <v>66</v>
      </c>
      <c r="F1270" s="163" t="s">
        <v>40</v>
      </c>
      <c r="G1270" s="164" t="s">
        <v>276</v>
      </c>
      <c r="H1270" s="165">
        <v>2</v>
      </c>
      <c r="I1270" s="164"/>
      <c r="J1270" s="165"/>
      <c r="K1270" s="164"/>
      <c r="L1270" s="165"/>
      <c r="M1270" s="6"/>
      <c r="N1270" s="32"/>
      <c r="Q1270" s="10" t="str">
        <f>+CONCATENATE(E1270,G1270)</f>
        <v>차열재마감1200*400</v>
      </c>
      <c r="R1270" s="10">
        <f>+H1270</f>
        <v>2</v>
      </c>
      <c r="S1270" s="11"/>
      <c r="T1270" s="10" t="str">
        <f>+E1270</f>
        <v>차열재마감</v>
      </c>
      <c r="U1270" s="19" t="str">
        <f t="shared" ref="U1270" si="689">IFERROR(LEFT(G1270,FIND("*",G1270)-1),"-")</f>
        <v>1200</v>
      </c>
      <c r="V1270" s="19" t="str">
        <f t="shared" ref="V1270" si="690">IFERROR(RIGHT(G1270,LEN(G1270)-FIND("*",G1270)),"-")</f>
        <v>400</v>
      </c>
      <c r="W1270" s="20">
        <f t="shared" si="688"/>
        <v>3.2</v>
      </c>
      <c r="X1270" s="20">
        <f>IFERROR(W1270*H1270,"-")</f>
        <v>6.4</v>
      </c>
      <c r="Z1270" s="33">
        <v>45185</v>
      </c>
    </row>
    <row r="1271" spans="1:26" ht="6.95" customHeight="1" x14ac:dyDescent="0.3">
      <c r="A1271" s="5"/>
      <c r="B1271" s="157"/>
      <c r="C1271" s="158"/>
      <c r="D1271" s="161"/>
      <c r="E1271" s="162"/>
      <c r="F1271" s="163"/>
      <c r="G1271" s="164"/>
      <c r="H1271" s="165"/>
      <c r="I1271" s="164"/>
      <c r="J1271" s="165"/>
      <c r="K1271" s="164"/>
      <c r="L1271" s="165"/>
      <c r="M1271" s="6"/>
      <c r="N1271" s="32"/>
      <c r="Q1271" s="10" t="str">
        <f>+CONCATENATE(E1270,I1270)</f>
        <v>차열재마감</v>
      </c>
      <c r="R1271" s="10">
        <f>+J1270</f>
        <v>0</v>
      </c>
      <c r="S1271" s="11"/>
      <c r="T1271" s="10" t="str">
        <f>+E1270</f>
        <v>차열재마감</v>
      </c>
      <c r="U1271" s="19" t="str">
        <f>IFERROR(LEFT(I1270,FIND("*",I1270)-1),"-")</f>
        <v>-</v>
      </c>
      <c r="V1271" s="19" t="str">
        <f>IFERROR(RIGHT(I1270,LEN(I1270)-FIND("*",I1270)),"-")</f>
        <v>-</v>
      </c>
      <c r="W1271" s="20" t="str">
        <f t="shared" si="688"/>
        <v>-</v>
      </c>
      <c r="X1271" s="20" t="str">
        <f>IFERROR(W1271*J1270,"-")</f>
        <v>-</v>
      </c>
      <c r="Z1271" s="33">
        <v>45185</v>
      </c>
    </row>
    <row r="1272" spans="1:26" ht="6.95" customHeight="1" x14ac:dyDescent="0.3">
      <c r="A1272" s="5"/>
      <c r="B1272" s="157"/>
      <c r="C1272" s="158"/>
      <c r="D1272" s="161"/>
      <c r="E1272" s="162"/>
      <c r="F1272" s="163"/>
      <c r="G1272" s="164"/>
      <c r="H1272" s="165"/>
      <c r="I1272" s="164"/>
      <c r="J1272" s="165"/>
      <c r="K1272" s="164"/>
      <c r="L1272" s="165"/>
      <c r="M1272" s="6"/>
      <c r="N1272" s="32"/>
      <c r="Q1272" s="10" t="str">
        <f>+CONCATENATE(E1270,K1270)</f>
        <v>차열재마감</v>
      </c>
      <c r="R1272" s="10">
        <f>+L1270</f>
        <v>0</v>
      </c>
      <c r="S1272" s="11"/>
      <c r="T1272" s="10" t="str">
        <f>+E1270</f>
        <v>차열재마감</v>
      </c>
      <c r="U1272" s="19" t="str">
        <f>IFERROR(LEFT(K1270,FIND("*",K1270)-1),"-")</f>
        <v>-</v>
      </c>
      <c r="V1272" s="19" t="str">
        <f>IFERROR(RIGHT(K1270,LEN(K1270)-FIND("*",K1270)),"-")</f>
        <v>-</v>
      </c>
      <c r="W1272" s="20" t="str">
        <f t="shared" si="688"/>
        <v>-</v>
      </c>
      <c r="X1272" s="20" t="str">
        <f>IFERROR(W1272*L1270,"-")</f>
        <v>-</v>
      </c>
      <c r="Z1272" s="33">
        <v>45185</v>
      </c>
    </row>
    <row r="1273" spans="1:26" ht="6.95" customHeight="1" x14ac:dyDescent="0.3">
      <c r="A1273" s="8"/>
      <c r="B1273" s="157"/>
      <c r="C1273" s="158"/>
      <c r="D1273" s="161" t="s">
        <v>39</v>
      </c>
      <c r="E1273" s="162"/>
      <c r="F1273" s="163" t="s">
        <v>40</v>
      </c>
      <c r="G1273" s="164"/>
      <c r="H1273" s="165"/>
      <c r="I1273" s="164"/>
      <c r="J1273" s="165"/>
      <c r="K1273" s="164"/>
      <c r="L1273" s="165"/>
      <c r="M1273" s="6"/>
      <c r="N1273" s="32"/>
      <c r="Q1273" s="10" t="str">
        <f>+CONCATENATE(E1273,G1273)</f>
        <v/>
      </c>
      <c r="R1273" s="10">
        <f>+H1273</f>
        <v>0</v>
      </c>
      <c r="S1273" s="11"/>
      <c r="T1273" s="10">
        <f>+E1273</f>
        <v>0</v>
      </c>
      <c r="U1273" s="19" t="str">
        <f t="shared" ref="U1273" si="691">IFERROR(LEFT(G1273,FIND("*",G1273)-1),"-")</f>
        <v>-</v>
      </c>
      <c r="V1273" s="19" t="str">
        <f t="shared" ref="V1273" si="692">IFERROR(RIGHT(G1273,LEN(G1273)-FIND("*",G1273)),"-")</f>
        <v>-</v>
      </c>
      <c r="W1273" s="20" t="str">
        <f t="shared" si="688"/>
        <v>-</v>
      </c>
      <c r="X1273" s="20" t="str">
        <f>IFERROR(W1273*H1273,"-")</f>
        <v>-</v>
      </c>
      <c r="Z1273" s="33">
        <v>45185</v>
      </c>
    </row>
    <row r="1274" spans="1:26" ht="6.95" customHeight="1" x14ac:dyDescent="0.3">
      <c r="A1274" s="5"/>
      <c r="B1274" s="157"/>
      <c r="C1274" s="158"/>
      <c r="D1274" s="161"/>
      <c r="E1274" s="162"/>
      <c r="F1274" s="163"/>
      <c r="G1274" s="164"/>
      <c r="H1274" s="165"/>
      <c r="I1274" s="164"/>
      <c r="J1274" s="165"/>
      <c r="K1274" s="164"/>
      <c r="L1274" s="165"/>
      <c r="M1274" s="6"/>
      <c r="N1274" s="32"/>
      <c r="Q1274" s="10" t="str">
        <f>+CONCATENATE(E1273,I1273)</f>
        <v/>
      </c>
      <c r="R1274" s="10">
        <f>+J1273</f>
        <v>0</v>
      </c>
      <c r="S1274" s="11"/>
      <c r="T1274" s="10">
        <f>+E1273</f>
        <v>0</v>
      </c>
      <c r="U1274" s="19" t="str">
        <f>IFERROR(LEFT(I1273,FIND("*",I1273)-1),"-")</f>
        <v>-</v>
      </c>
      <c r="V1274" s="19" t="str">
        <f>IFERROR(RIGHT(I1273,LEN(I1273)-FIND("*",I1273)),"-")</f>
        <v>-</v>
      </c>
      <c r="W1274" s="20" t="str">
        <f t="shared" si="688"/>
        <v>-</v>
      </c>
      <c r="X1274" s="20" t="str">
        <f t="shared" ref="X1274" si="693">IFERROR(W1274*J1273,"-")</f>
        <v>-</v>
      </c>
      <c r="Z1274" s="33">
        <v>45185</v>
      </c>
    </row>
    <row r="1275" spans="1:26" ht="6.95" customHeight="1" x14ac:dyDescent="0.3">
      <c r="A1275" s="5"/>
      <c r="B1275" s="157"/>
      <c r="C1275" s="158"/>
      <c r="D1275" s="161"/>
      <c r="E1275" s="162"/>
      <c r="F1275" s="163"/>
      <c r="G1275" s="164"/>
      <c r="H1275" s="165"/>
      <c r="I1275" s="164"/>
      <c r="J1275" s="165"/>
      <c r="K1275" s="164"/>
      <c r="L1275" s="165"/>
      <c r="M1275" s="6"/>
      <c r="N1275" s="32"/>
      <c r="Q1275" s="10" t="str">
        <f>+CONCATENATE(E1273,K1273)</f>
        <v/>
      </c>
      <c r="R1275" s="10">
        <f>+L1273</f>
        <v>0</v>
      </c>
      <c r="S1275" s="11"/>
      <c r="T1275" s="10">
        <f>+E1273</f>
        <v>0</v>
      </c>
      <c r="U1275" s="19" t="str">
        <f>IFERROR(LEFT(K1273,FIND("*",K1273)-1),"-")</f>
        <v>-</v>
      </c>
      <c r="V1275" s="19" t="str">
        <f>IFERROR(RIGHT(K1273,LEN(K1273)-FIND("*",K1273)),"-")</f>
        <v>-</v>
      </c>
      <c r="W1275" s="20" t="str">
        <f t="shared" si="688"/>
        <v>-</v>
      </c>
      <c r="X1275" s="20" t="str">
        <f>IFERROR(W1275*L1273,"-")</f>
        <v>-</v>
      </c>
      <c r="Z1275" s="33">
        <v>45185</v>
      </c>
    </row>
    <row r="1276" spans="1:26" ht="21" customHeight="1" thickBot="1" x14ac:dyDescent="0.35">
      <c r="A1276" s="5"/>
      <c r="B1276" s="159"/>
      <c r="C1276" s="160"/>
      <c r="D1276" s="166" t="s">
        <v>43</v>
      </c>
      <c r="E1276" s="167"/>
      <c r="F1276" s="167"/>
      <c r="G1276" s="168"/>
      <c r="H1276" s="168"/>
      <c r="I1276" s="168"/>
      <c r="J1276" s="168"/>
      <c r="K1276" s="168"/>
      <c r="L1276" s="168"/>
      <c r="M1276" s="7"/>
      <c r="N1276" s="32"/>
      <c r="Z1276" s="33">
        <v>45185</v>
      </c>
    </row>
    <row r="1277" spans="1:26" ht="9.9499999999999993" customHeight="1" thickBot="1" x14ac:dyDescent="0.35">
      <c r="B1277" s="9"/>
      <c r="C1277" s="109">
        <v>916</v>
      </c>
      <c r="D1277" s="51"/>
      <c r="E1277" s="12"/>
      <c r="F1277" s="51"/>
      <c r="G1277" s="14"/>
      <c r="H1277" s="14"/>
      <c r="I1277" s="14"/>
      <c r="J1277" s="14"/>
      <c r="K1277" s="14"/>
      <c r="L1277" s="14"/>
      <c r="M1277" s="9"/>
      <c r="N1277" s="32"/>
      <c r="U1277" s="18"/>
      <c r="V1277" s="18"/>
      <c r="Z1277" s="33">
        <v>45185</v>
      </c>
    </row>
    <row r="1278" spans="1:26" ht="6.95" customHeight="1" x14ac:dyDescent="0.3">
      <c r="A1278" s="154">
        <f>+A1267+1</f>
        <v>917</v>
      </c>
      <c r="B1278" s="155"/>
      <c r="C1278" s="156"/>
      <c r="D1278" s="161" t="s">
        <v>39</v>
      </c>
      <c r="E1278" s="162" t="s">
        <v>277</v>
      </c>
      <c r="F1278" s="163" t="s">
        <v>40</v>
      </c>
      <c r="G1278" s="164" t="s">
        <v>278</v>
      </c>
      <c r="H1278" s="165">
        <v>1</v>
      </c>
      <c r="I1278" s="164"/>
      <c r="J1278" s="165"/>
      <c r="K1278" s="164"/>
      <c r="L1278" s="165"/>
      <c r="M1278" s="6"/>
      <c r="N1278" s="32"/>
      <c r="Q1278" s="10" t="str">
        <f>+CONCATENATE(E1278,G1278)</f>
        <v>보온덕트벽체1000*400</v>
      </c>
      <c r="R1278" s="10">
        <f>+H1278</f>
        <v>1</v>
      </c>
      <c r="S1278" s="11"/>
      <c r="T1278" s="10" t="str">
        <f>+E1278</f>
        <v>보온덕트벽체</v>
      </c>
      <c r="U1278" s="19" t="str">
        <f>IFERROR(LEFT(G1278,FIND("*",G1278)-1),"-")</f>
        <v>1000</v>
      </c>
      <c r="V1278" s="19" t="str">
        <f>IFERROR(RIGHT(G1278,LEN(G1278)-FIND("*",G1278)),"-")</f>
        <v>400</v>
      </c>
      <c r="W1278" s="20">
        <f>IFERROR((U1278+V1278)*2/1000,"-")</f>
        <v>2.8</v>
      </c>
      <c r="X1278" s="20">
        <f>IFERROR(W1278*H1278,"-")</f>
        <v>2.8</v>
      </c>
      <c r="Z1278" s="33">
        <v>45185</v>
      </c>
    </row>
    <row r="1279" spans="1:26" ht="6.95" customHeight="1" x14ac:dyDescent="0.3">
      <c r="A1279" s="154"/>
      <c r="B1279" s="157"/>
      <c r="C1279" s="158"/>
      <c r="D1279" s="161"/>
      <c r="E1279" s="162"/>
      <c r="F1279" s="163"/>
      <c r="G1279" s="164"/>
      <c r="H1279" s="165"/>
      <c r="I1279" s="164"/>
      <c r="J1279" s="165"/>
      <c r="K1279" s="164"/>
      <c r="L1279" s="165"/>
      <c r="M1279" s="6"/>
      <c r="N1279" s="32"/>
      <c r="Q1279" s="10" t="str">
        <f>+CONCATENATE(E1278,I1278)</f>
        <v>보온덕트벽체</v>
      </c>
      <c r="R1279" s="10">
        <f>+J1278</f>
        <v>0</v>
      </c>
      <c r="S1279" s="11"/>
      <c r="T1279" s="10" t="str">
        <f>+E1278</f>
        <v>보온덕트벽체</v>
      </c>
      <c r="U1279" s="19" t="str">
        <f>IFERROR(LEFT(I1278,FIND("*",I1278)-1),"-")</f>
        <v>-</v>
      </c>
      <c r="V1279" s="19" t="str">
        <f>IFERROR(RIGHT(I1278,LEN(I1278)-FIND("*",I1278)),"-")</f>
        <v>-</v>
      </c>
      <c r="W1279" s="20" t="str">
        <f t="shared" ref="W1279:W1286" si="694">IFERROR((U1279+V1279)*2/1000,"-")</f>
        <v>-</v>
      </c>
      <c r="X1279" s="20" t="str">
        <f>IFERROR(W1279*J1278,"-")</f>
        <v>-</v>
      </c>
      <c r="Z1279" s="33">
        <v>45185</v>
      </c>
    </row>
    <row r="1280" spans="1:26" ht="6.95" customHeight="1" x14ac:dyDescent="0.3">
      <c r="A1280" s="154"/>
      <c r="B1280" s="157"/>
      <c r="C1280" s="158"/>
      <c r="D1280" s="161"/>
      <c r="E1280" s="162"/>
      <c r="F1280" s="163"/>
      <c r="G1280" s="164"/>
      <c r="H1280" s="165"/>
      <c r="I1280" s="164"/>
      <c r="J1280" s="165"/>
      <c r="K1280" s="164"/>
      <c r="L1280" s="165"/>
      <c r="M1280" s="6"/>
      <c r="N1280" s="32"/>
      <c r="Q1280" s="10" t="str">
        <f>+CONCATENATE(E1278,K1278)</f>
        <v>보온덕트벽체</v>
      </c>
      <c r="R1280" s="10">
        <f>+L1278</f>
        <v>0</v>
      </c>
      <c r="S1280" s="11"/>
      <c r="T1280" s="10" t="str">
        <f>+E1278</f>
        <v>보온덕트벽체</v>
      </c>
      <c r="U1280" s="19" t="str">
        <f>IFERROR(LEFT(K1278,FIND("*",K1278)-1),"-")</f>
        <v>-</v>
      </c>
      <c r="V1280" s="19" t="str">
        <f>IFERROR(RIGHT(K1278,LEN(K1278)-FIND("*",K1278)),"-")</f>
        <v>-</v>
      </c>
      <c r="W1280" s="20" t="str">
        <f t="shared" si="694"/>
        <v>-</v>
      </c>
      <c r="X1280" s="20" t="str">
        <f>IFERROR(W1280*L1278,"-")</f>
        <v>-</v>
      </c>
      <c r="Z1280" s="33">
        <v>45185</v>
      </c>
    </row>
    <row r="1281" spans="1:26" ht="6.95" customHeight="1" x14ac:dyDescent="0.3">
      <c r="A1281" s="8"/>
      <c r="B1281" s="157"/>
      <c r="C1281" s="158"/>
      <c r="D1281" s="161" t="s">
        <v>39</v>
      </c>
      <c r="E1281" s="162" t="s">
        <v>66</v>
      </c>
      <c r="F1281" s="163" t="s">
        <v>40</v>
      </c>
      <c r="G1281" s="164" t="s">
        <v>278</v>
      </c>
      <c r="H1281" s="165">
        <v>2</v>
      </c>
      <c r="I1281" s="164"/>
      <c r="J1281" s="165"/>
      <c r="K1281" s="164"/>
      <c r="L1281" s="165"/>
      <c r="M1281" s="6"/>
      <c r="N1281" s="32"/>
      <c r="Q1281" s="10" t="str">
        <f>+CONCATENATE(E1281,G1281)</f>
        <v>차열재마감1000*400</v>
      </c>
      <c r="R1281" s="10">
        <f>+H1281</f>
        <v>2</v>
      </c>
      <c r="S1281" s="11"/>
      <c r="T1281" s="10" t="str">
        <f>+E1281</f>
        <v>차열재마감</v>
      </c>
      <c r="U1281" s="19" t="str">
        <f t="shared" ref="U1281" si="695">IFERROR(LEFT(G1281,FIND("*",G1281)-1),"-")</f>
        <v>1000</v>
      </c>
      <c r="V1281" s="19" t="str">
        <f t="shared" ref="V1281" si="696">IFERROR(RIGHT(G1281,LEN(G1281)-FIND("*",G1281)),"-")</f>
        <v>400</v>
      </c>
      <c r="W1281" s="20">
        <f t="shared" si="694"/>
        <v>2.8</v>
      </c>
      <c r="X1281" s="20">
        <f>IFERROR(W1281*H1281,"-")</f>
        <v>5.6</v>
      </c>
      <c r="Z1281" s="33">
        <v>45185</v>
      </c>
    </row>
    <row r="1282" spans="1:26" ht="6.95" customHeight="1" x14ac:dyDescent="0.3">
      <c r="A1282" s="5"/>
      <c r="B1282" s="157"/>
      <c r="C1282" s="158"/>
      <c r="D1282" s="161"/>
      <c r="E1282" s="162"/>
      <c r="F1282" s="163"/>
      <c r="G1282" s="164"/>
      <c r="H1282" s="165"/>
      <c r="I1282" s="164"/>
      <c r="J1282" s="165"/>
      <c r="K1282" s="164"/>
      <c r="L1282" s="165"/>
      <c r="M1282" s="6"/>
      <c r="N1282" s="32"/>
      <c r="Q1282" s="10" t="str">
        <f>+CONCATENATE(E1281,I1281)</f>
        <v>차열재마감</v>
      </c>
      <c r="R1282" s="10">
        <f>+J1281</f>
        <v>0</v>
      </c>
      <c r="S1282" s="11"/>
      <c r="T1282" s="10" t="str">
        <f>+E1281</f>
        <v>차열재마감</v>
      </c>
      <c r="U1282" s="19" t="str">
        <f>IFERROR(LEFT(I1281,FIND("*",I1281)-1),"-")</f>
        <v>-</v>
      </c>
      <c r="V1282" s="19" t="str">
        <f>IFERROR(RIGHT(I1281,LEN(I1281)-FIND("*",I1281)),"-")</f>
        <v>-</v>
      </c>
      <c r="W1282" s="20" t="str">
        <f t="shared" si="694"/>
        <v>-</v>
      </c>
      <c r="X1282" s="20" t="str">
        <f>IFERROR(W1282*J1281,"-")</f>
        <v>-</v>
      </c>
      <c r="Z1282" s="33">
        <v>45185</v>
      </c>
    </row>
    <row r="1283" spans="1:26" ht="6.95" customHeight="1" x14ac:dyDescent="0.3">
      <c r="A1283" s="5"/>
      <c r="B1283" s="157"/>
      <c r="C1283" s="158"/>
      <c r="D1283" s="161"/>
      <c r="E1283" s="162"/>
      <c r="F1283" s="163"/>
      <c r="G1283" s="164"/>
      <c r="H1283" s="165"/>
      <c r="I1283" s="164"/>
      <c r="J1283" s="165"/>
      <c r="K1283" s="164"/>
      <c r="L1283" s="165"/>
      <c r="M1283" s="6"/>
      <c r="N1283" s="32"/>
      <c r="Q1283" s="10" t="str">
        <f>+CONCATENATE(E1281,K1281)</f>
        <v>차열재마감</v>
      </c>
      <c r="R1283" s="10">
        <f>+L1281</f>
        <v>0</v>
      </c>
      <c r="S1283" s="11"/>
      <c r="T1283" s="10" t="str">
        <f>+E1281</f>
        <v>차열재마감</v>
      </c>
      <c r="U1283" s="19" t="str">
        <f>IFERROR(LEFT(K1281,FIND("*",K1281)-1),"-")</f>
        <v>-</v>
      </c>
      <c r="V1283" s="19" t="str">
        <f>IFERROR(RIGHT(K1281,LEN(K1281)-FIND("*",K1281)),"-")</f>
        <v>-</v>
      </c>
      <c r="W1283" s="20" t="str">
        <f t="shared" si="694"/>
        <v>-</v>
      </c>
      <c r="X1283" s="20" t="str">
        <f>IFERROR(W1283*L1281,"-")</f>
        <v>-</v>
      </c>
      <c r="Z1283" s="33">
        <v>45185</v>
      </c>
    </row>
    <row r="1284" spans="1:26" ht="6.95" customHeight="1" x14ac:dyDescent="0.3">
      <c r="A1284" s="8"/>
      <c r="B1284" s="157"/>
      <c r="C1284" s="158"/>
      <c r="D1284" s="161" t="s">
        <v>39</v>
      </c>
      <c r="E1284" s="162"/>
      <c r="F1284" s="163" t="s">
        <v>40</v>
      </c>
      <c r="G1284" s="164"/>
      <c r="H1284" s="165"/>
      <c r="I1284" s="164"/>
      <c r="J1284" s="165"/>
      <c r="K1284" s="164"/>
      <c r="L1284" s="165"/>
      <c r="M1284" s="6"/>
      <c r="N1284" s="32"/>
      <c r="Q1284" s="10" t="str">
        <f>+CONCATENATE(E1284,G1284)</f>
        <v/>
      </c>
      <c r="R1284" s="10">
        <f>+H1284</f>
        <v>0</v>
      </c>
      <c r="S1284" s="11"/>
      <c r="T1284" s="10">
        <f>+E1284</f>
        <v>0</v>
      </c>
      <c r="U1284" s="19" t="str">
        <f t="shared" ref="U1284" si="697">IFERROR(LEFT(G1284,FIND("*",G1284)-1),"-")</f>
        <v>-</v>
      </c>
      <c r="V1284" s="19" t="str">
        <f t="shared" ref="V1284" si="698">IFERROR(RIGHT(G1284,LEN(G1284)-FIND("*",G1284)),"-")</f>
        <v>-</v>
      </c>
      <c r="W1284" s="20" t="str">
        <f t="shared" si="694"/>
        <v>-</v>
      </c>
      <c r="X1284" s="20" t="str">
        <f>IFERROR(W1284*H1284,"-")</f>
        <v>-</v>
      </c>
      <c r="Z1284" s="33">
        <v>45185</v>
      </c>
    </row>
    <row r="1285" spans="1:26" ht="6.95" customHeight="1" x14ac:dyDescent="0.3">
      <c r="A1285" s="5"/>
      <c r="B1285" s="157"/>
      <c r="C1285" s="158"/>
      <c r="D1285" s="161"/>
      <c r="E1285" s="162"/>
      <c r="F1285" s="163"/>
      <c r="G1285" s="164"/>
      <c r="H1285" s="165"/>
      <c r="I1285" s="164"/>
      <c r="J1285" s="165"/>
      <c r="K1285" s="164"/>
      <c r="L1285" s="165"/>
      <c r="M1285" s="6"/>
      <c r="N1285" s="32"/>
      <c r="Q1285" s="10" t="str">
        <f>+CONCATENATE(E1284,I1284)</f>
        <v/>
      </c>
      <c r="R1285" s="10">
        <f>+J1284</f>
        <v>0</v>
      </c>
      <c r="S1285" s="11"/>
      <c r="T1285" s="10">
        <f>+E1284</f>
        <v>0</v>
      </c>
      <c r="U1285" s="19" t="str">
        <f>IFERROR(LEFT(I1284,FIND("*",I1284)-1),"-")</f>
        <v>-</v>
      </c>
      <c r="V1285" s="19" t="str">
        <f>IFERROR(RIGHT(I1284,LEN(I1284)-FIND("*",I1284)),"-")</f>
        <v>-</v>
      </c>
      <c r="W1285" s="20" t="str">
        <f t="shared" si="694"/>
        <v>-</v>
      </c>
      <c r="X1285" s="20" t="str">
        <f t="shared" ref="X1285" si="699">IFERROR(W1285*J1284,"-")</f>
        <v>-</v>
      </c>
      <c r="Z1285" s="33">
        <v>45185</v>
      </c>
    </row>
    <row r="1286" spans="1:26" ht="6.95" customHeight="1" x14ac:dyDescent="0.3">
      <c r="A1286" s="5"/>
      <c r="B1286" s="157"/>
      <c r="C1286" s="158"/>
      <c r="D1286" s="161"/>
      <c r="E1286" s="162"/>
      <c r="F1286" s="163"/>
      <c r="G1286" s="164"/>
      <c r="H1286" s="165"/>
      <c r="I1286" s="164"/>
      <c r="J1286" s="165"/>
      <c r="K1286" s="164"/>
      <c r="L1286" s="165"/>
      <c r="M1286" s="6"/>
      <c r="N1286" s="32"/>
      <c r="Q1286" s="10" t="str">
        <f>+CONCATENATE(E1284,K1284)</f>
        <v/>
      </c>
      <c r="R1286" s="10">
        <f>+L1284</f>
        <v>0</v>
      </c>
      <c r="S1286" s="11"/>
      <c r="T1286" s="10">
        <f>+E1284</f>
        <v>0</v>
      </c>
      <c r="U1286" s="19" t="str">
        <f>IFERROR(LEFT(K1284,FIND("*",K1284)-1),"-")</f>
        <v>-</v>
      </c>
      <c r="V1286" s="19" t="str">
        <f>IFERROR(RIGHT(K1284,LEN(K1284)-FIND("*",K1284)),"-")</f>
        <v>-</v>
      </c>
      <c r="W1286" s="20" t="str">
        <f t="shared" si="694"/>
        <v>-</v>
      </c>
      <c r="X1286" s="20" t="str">
        <f>IFERROR(W1286*L1284,"-")</f>
        <v>-</v>
      </c>
      <c r="Z1286" s="33">
        <v>45185</v>
      </c>
    </row>
    <row r="1287" spans="1:26" ht="21" customHeight="1" thickBot="1" x14ac:dyDescent="0.35">
      <c r="A1287" s="5"/>
      <c r="B1287" s="159"/>
      <c r="C1287" s="160"/>
      <c r="D1287" s="166" t="s">
        <v>43</v>
      </c>
      <c r="E1287" s="167"/>
      <c r="F1287" s="167"/>
      <c r="G1287" s="168"/>
      <c r="H1287" s="168"/>
      <c r="I1287" s="168"/>
      <c r="J1287" s="168"/>
      <c r="K1287" s="168"/>
      <c r="L1287" s="168"/>
      <c r="M1287" s="7"/>
      <c r="N1287" s="32"/>
      <c r="Z1287" s="33">
        <v>45185</v>
      </c>
    </row>
    <row r="1288" spans="1:26" ht="9.9499999999999993" customHeight="1" thickBot="1" x14ac:dyDescent="0.35">
      <c r="B1288" s="9"/>
      <c r="C1288" s="109">
        <v>917</v>
      </c>
      <c r="D1288" s="51"/>
      <c r="E1288" s="12"/>
      <c r="F1288" s="51"/>
      <c r="G1288" s="14"/>
      <c r="H1288" s="14"/>
      <c r="I1288" s="14"/>
      <c r="J1288" s="14"/>
      <c r="K1288" s="14"/>
      <c r="L1288" s="14"/>
      <c r="M1288" s="9"/>
      <c r="N1288" s="32"/>
      <c r="U1288" s="18"/>
      <c r="V1288" s="18"/>
      <c r="Z1288" s="33">
        <v>45185</v>
      </c>
    </row>
    <row r="1289" spans="1:26" ht="6.95" customHeight="1" x14ac:dyDescent="0.3">
      <c r="A1289" s="154">
        <f>+A1278+1</f>
        <v>918</v>
      </c>
      <c r="B1289" s="155"/>
      <c r="C1289" s="156"/>
      <c r="D1289" s="161" t="s">
        <v>39</v>
      </c>
      <c r="E1289" s="162" t="s">
        <v>277</v>
      </c>
      <c r="F1289" s="163" t="s">
        <v>40</v>
      </c>
      <c r="G1289" s="164" t="s">
        <v>276</v>
      </c>
      <c r="H1289" s="165">
        <v>0.5</v>
      </c>
      <c r="I1289" s="164"/>
      <c r="J1289" s="165"/>
      <c r="K1289" s="164"/>
      <c r="L1289" s="165"/>
      <c r="M1289" s="6"/>
      <c r="N1289" s="32"/>
      <c r="Q1289" s="10" t="str">
        <f>+CONCATENATE(E1289,G1289)</f>
        <v>보온덕트벽체1200*400</v>
      </c>
      <c r="R1289" s="10">
        <f>+H1289</f>
        <v>0.5</v>
      </c>
      <c r="S1289" s="11"/>
      <c r="T1289" s="10" t="str">
        <f>+E1289</f>
        <v>보온덕트벽체</v>
      </c>
      <c r="U1289" s="19" t="str">
        <f>IFERROR(LEFT(G1289,FIND("*",G1289)-1),"-")</f>
        <v>1200</v>
      </c>
      <c r="V1289" s="19" t="str">
        <f>IFERROR(RIGHT(G1289,LEN(G1289)-FIND("*",G1289)),"-")</f>
        <v>400</v>
      </c>
      <c r="W1289" s="20">
        <f>IFERROR((U1289+V1289)*2/1000,"-")</f>
        <v>3.2</v>
      </c>
      <c r="X1289" s="20">
        <f>IFERROR(W1289*H1289,"-")</f>
        <v>1.6</v>
      </c>
      <c r="Z1289" s="33">
        <v>45185</v>
      </c>
    </row>
    <row r="1290" spans="1:26" ht="6.95" customHeight="1" x14ac:dyDescent="0.3">
      <c r="A1290" s="154"/>
      <c r="B1290" s="157"/>
      <c r="C1290" s="158"/>
      <c r="D1290" s="161"/>
      <c r="E1290" s="162"/>
      <c r="F1290" s="163"/>
      <c r="G1290" s="164"/>
      <c r="H1290" s="165"/>
      <c r="I1290" s="164"/>
      <c r="J1290" s="165"/>
      <c r="K1290" s="164"/>
      <c r="L1290" s="165"/>
      <c r="M1290" s="6"/>
      <c r="N1290" s="32"/>
      <c r="Q1290" s="10" t="str">
        <f>+CONCATENATE(E1289,I1289)</f>
        <v>보온덕트벽체</v>
      </c>
      <c r="R1290" s="10">
        <f>+J1289</f>
        <v>0</v>
      </c>
      <c r="S1290" s="11"/>
      <c r="T1290" s="10" t="str">
        <f>+E1289</f>
        <v>보온덕트벽체</v>
      </c>
      <c r="U1290" s="19" t="str">
        <f>IFERROR(LEFT(I1289,FIND("*",I1289)-1),"-")</f>
        <v>-</v>
      </c>
      <c r="V1290" s="19" t="str">
        <f>IFERROR(RIGHT(I1289,LEN(I1289)-FIND("*",I1289)),"-")</f>
        <v>-</v>
      </c>
      <c r="W1290" s="20" t="str">
        <f t="shared" ref="W1290:W1297" si="700">IFERROR((U1290+V1290)*2/1000,"-")</f>
        <v>-</v>
      </c>
      <c r="X1290" s="20" t="str">
        <f>IFERROR(W1290*J1289,"-")</f>
        <v>-</v>
      </c>
      <c r="Z1290" s="33">
        <v>45185</v>
      </c>
    </row>
    <row r="1291" spans="1:26" ht="6.95" customHeight="1" x14ac:dyDescent="0.3">
      <c r="A1291" s="154"/>
      <c r="B1291" s="157"/>
      <c r="C1291" s="158"/>
      <c r="D1291" s="161"/>
      <c r="E1291" s="162"/>
      <c r="F1291" s="163"/>
      <c r="G1291" s="164"/>
      <c r="H1291" s="165"/>
      <c r="I1291" s="164"/>
      <c r="J1291" s="165"/>
      <c r="K1291" s="164"/>
      <c r="L1291" s="165"/>
      <c r="M1291" s="6"/>
      <c r="N1291" s="32"/>
      <c r="Q1291" s="10" t="str">
        <f>+CONCATENATE(E1289,K1289)</f>
        <v>보온덕트벽체</v>
      </c>
      <c r="R1291" s="10">
        <f>+L1289</f>
        <v>0</v>
      </c>
      <c r="S1291" s="11"/>
      <c r="T1291" s="10" t="str">
        <f>+E1289</f>
        <v>보온덕트벽체</v>
      </c>
      <c r="U1291" s="19" t="str">
        <f>IFERROR(LEFT(K1289,FIND("*",K1289)-1),"-")</f>
        <v>-</v>
      </c>
      <c r="V1291" s="19" t="str">
        <f>IFERROR(RIGHT(K1289,LEN(K1289)-FIND("*",K1289)),"-")</f>
        <v>-</v>
      </c>
      <c r="W1291" s="20" t="str">
        <f t="shared" si="700"/>
        <v>-</v>
      </c>
      <c r="X1291" s="20" t="str">
        <f>IFERROR(W1291*L1289,"-")</f>
        <v>-</v>
      </c>
      <c r="Z1291" s="33">
        <v>45185</v>
      </c>
    </row>
    <row r="1292" spans="1:26" ht="6.95" customHeight="1" x14ac:dyDescent="0.3">
      <c r="A1292" s="8"/>
      <c r="B1292" s="157"/>
      <c r="C1292" s="158"/>
      <c r="D1292" s="161" t="s">
        <v>39</v>
      </c>
      <c r="E1292" s="162" t="s">
        <v>66</v>
      </c>
      <c r="F1292" s="163" t="s">
        <v>40</v>
      </c>
      <c r="G1292" s="164" t="s">
        <v>276</v>
      </c>
      <c r="H1292" s="165">
        <v>1</v>
      </c>
      <c r="I1292" s="164"/>
      <c r="J1292" s="165"/>
      <c r="K1292" s="164"/>
      <c r="L1292" s="165"/>
      <c r="M1292" s="6"/>
      <c r="N1292" s="32"/>
      <c r="Q1292" s="10" t="str">
        <f>+CONCATENATE(E1292,G1292)</f>
        <v>차열재마감1200*400</v>
      </c>
      <c r="R1292" s="10">
        <f>+H1292</f>
        <v>1</v>
      </c>
      <c r="S1292" s="11"/>
      <c r="T1292" s="10" t="str">
        <f>+E1292</f>
        <v>차열재마감</v>
      </c>
      <c r="U1292" s="19" t="str">
        <f t="shared" ref="U1292" si="701">IFERROR(LEFT(G1292,FIND("*",G1292)-1),"-")</f>
        <v>1200</v>
      </c>
      <c r="V1292" s="19" t="str">
        <f t="shared" ref="V1292" si="702">IFERROR(RIGHT(G1292,LEN(G1292)-FIND("*",G1292)),"-")</f>
        <v>400</v>
      </c>
      <c r="W1292" s="20">
        <f t="shared" si="700"/>
        <v>3.2</v>
      </c>
      <c r="X1292" s="20">
        <f>IFERROR(W1292*H1292,"-")</f>
        <v>3.2</v>
      </c>
      <c r="Z1292" s="33">
        <v>45185</v>
      </c>
    </row>
    <row r="1293" spans="1:26" ht="6.95" customHeight="1" x14ac:dyDescent="0.3">
      <c r="A1293" s="5"/>
      <c r="B1293" s="157"/>
      <c r="C1293" s="158"/>
      <c r="D1293" s="161"/>
      <c r="E1293" s="162"/>
      <c r="F1293" s="163"/>
      <c r="G1293" s="164"/>
      <c r="H1293" s="165"/>
      <c r="I1293" s="164"/>
      <c r="J1293" s="165"/>
      <c r="K1293" s="164"/>
      <c r="L1293" s="165"/>
      <c r="M1293" s="6"/>
      <c r="N1293" s="32"/>
      <c r="Q1293" s="10" t="str">
        <f>+CONCATENATE(E1292,I1292)</f>
        <v>차열재마감</v>
      </c>
      <c r="R1293" s="10">
        <f>+J1292</f>
        <v>0</v>
      </c>
      <c r="S1293" s="11"/>
      <c r="T1293" s="10" t="str">
        <f>+E1292</f>
        <v>차열재마감</v>
      </c>
      <c r="U1293" s="19" t="str">
        <f>IFERROR(LEFT(I1292,FIND("*",I1292)-1),"-")</f>
        <v>-</v>
      </c>
      <c r="V1293" s="19" t="str">
        <f>IFERROR(RIGHT(I1292,LEN(I1292)-FIND("*",I1292)),"-")</f>
        <v>-</v>
      </c>
      <c r="W1293" s="20" t="str">
        <f t="shared" si="700"/>
        <v>-</v>
      </c>
      <c r="X1293" s="20" t="str">
        <f>IFERROR(W1293*J1292,"-")</f>
        <v>-</v>
      </c>
      <c r="Z1293" s="33">
        <v>45185</v>
      </c>
    </row>
    <row r="1294" spans="1:26" ht="6.95" customHeight="1" x14ac:dyDescent="0.3">
      <c r="A1294" s="5"/>
      <c r="B1294" s="157"/>
      <c r="C1294" s="158"/>
      <c r="D1294" s="161"/>
      <c r="E1294" s="162"/>
      <c r="F1294" s="163"/>
      <c r="G1294" s="164"/>
      <c r="H1294" s="165"/>
      <c r="I1294" s="164"/>
      <c r="J1294" s="165"/>
      <c r="K1294" s="164"/>
      <c r="L1294" s="165"/>
      <c r="M1294" s="6"/>
      <c r="N1294" s="32"/>
      <c r="Q1294" s="10" t="str">
        <f>+CONCATENATE(E1292,K1292)</f>
        <v>차열재마감</v>
      </c>
      <c r="R1294" s="10">
        <f>+L1292</f>
        <v>0</v>
      </c>
      <c r="S1294" s="11"/>
      <c r="T1294" s="10" t="str">
        <f>+E1292</f>
        <v>차열재마감</v>
      </c>
      <c r="U1294" s="19" t="str">
        <f>IFERROR(LEFT(K1292,FIND("*",K1292)-1),"-")</f>
        <v>-</v>
      </c>
      <c r="V1294" s="19" t="str">
        <f>IFERROR(RIGHT(K1292,LEN(K1292)-FIND("*",K1292)),"-")</f>
        <v>-</v>
      </c>
      <c r="W1294" s="20" t="str">
        <f t="shared" si="700"/>
        <v>-</v>
      </c>
      <c r="X1294" s="20" t="str">
        <f>IFERROR(W1294*L1292,"-")</f>
        <v>-</v>
      </c>
      <c r="Z1294" s="33">
        <v>45185</v>
      </c>
    </row>
    <row r="1295" spans="1:26" ht="6.95" customHeight="1" x14ac:dyDescent="0.3">
      <c r="A1295" s="8"/>
      <c r="B1295" s="157"/>
      <c r="C1295" s="158"/>
      <c r="D1295" s="161" t="s">
        <v>39</v>
      </c>
      <c r="E1295" s="162"/>
      <c r="F1295" s="163" t="s">
        <v>40</v>
      </c>
      <c r="G1295" s="164"/>
      <c r="H1295" s="165"/>
      <c r="I1295" s="164"/>
      <c r="J1295" s="165"/>
      <c r="K1295" s="164"/>
      <c r="L1295" s="165"/>
      <c r="M1295" s="6"/>
      <c r="N1295" s="32"/>
      <c r="Q1295" s="10" t="str">
        <f>+CONCATENATE(E1295,G1295)</f>
        <v/>
      </c>
      <c r="R1295" s="10">
        <f>+H1295</f>
        <v>0</v>
      </c>
      <c r="S1295" s="11"/>
      <c r="T1295" s="10">
        <f>+E1295</f>
        <v>0</v>
      </c>
      <c r="U1295" s="19" t="str">
        <f t="shared" ref="U1295" si="703">IFERROR(LEFT(G1295,FIND("*",G1295)-1),"-")</f>
        <v>-</v>
      </c>
      <c r="V1295" s="19" t="str">
        <f t="shared" ref="V1295" si="704">IFERROR(RIGHT(G1295,LEN(G1295)-FIND("*",G1295)),"-")</f>
        <v>-</v>
      </c>
      <c r="W1295" s="20" t="str">
        <f t="shared" si="700"/>
        <v>-</v>
      </c>
      <c r="X1295" s="20" t="str">
        <f>IFERROR(W1295*H1295,"-")</f>
        <v>-</v>
      </c>
      <c r="Z1295" s="33">
        <v>45185</v>
      </c>
    </row>
    <row r="1296" spans="1:26" ht="6.95" customHeight="1" x14ac:dyDescent="0.3">
      <c r="A1296" s="5"/>
      <c r="B1296" s="157"/>
      <c r="C1296" s="158"/>
      <c r="D1296" s="161"/>
      <c r="E1296" s="162"/>
      <c r="F1296" s="163"/>
      <c r="G1296" s="164"/>
      <c r="H1296" s="165"/>
      <c r="I1296" s="164"/>
      <c r="J1296" s="165"/>
      <c r="K1296" s="164"/>
      <c r="L1296" s="165"/>
      <c r="M1296" s="6"/>
      <c r="N1296" s="32"/>
      <c r="Q1296" s="10" t="str">
        <f>+CONCATENATE(E1295,I1295)</f>
        <v/>
      </c>
      <c r="R1296" s="10">
        <f>+J1295</f>
        <v>0</v>
      </c>
      <c r="S1296" s="11"/>
      <c r="T1296" s="10">
        <f>+E1295</f>
        <v>0</v>
      </c>
      <c r="U1296" s="19" t="str">
        <f>IFERROR(LEFT(I1295,FIND("*",I1295)-1),"-")</f>
        <v>-</v>
      </c>
      <c r="V1296" s="19" t="str">
        <f>IFERROR(RIGHT(I1295,LEN(I1295)-FIND("*",I1295)),"-")</f>
        <v>-</v>
      </c>
      <c r="W1296" s="20" t="str">
        <f t="shared" si="700"/>
        <v>-</v>
      </c>
      <c r="X1296" s="20" t="str">
        <f t="shared" ref="X1296" si="705">IFERROR(W1296*J1295,"-")</f>
        <v>-</v>
      </c>
      <c r="Z1296" s="33">
        <v>45185</v>
      </c>
    </row>
    <row r="1297" spans="1:26" ht="6.95" customHeight="1" x14ac:dyDescent="0.3">
      <c r="A1297" s="5"/>
      <c r="B1297" s="157"/>
      <c r="C1297" s="158"/>
      <c r="D1297" s="161"/>
      <c r="E1297" s="162"/>
      <c r="F1297" s="163"/>
      <c r="G1297" s="164"/>
      <c r="H1297" s="165"/>
      <c r="I1297" s="164"/>
      <c r="J1297" s="165"/>
      <c r="K1297" s="164"/>
      <c r="L1297" s="165"/>
      <c r="M1297" s="6"/>
      <c r="N1297" s="32"/>
      <c r="Q1297" s="10" t="str">
        <f>+CONCATENATE(E1295,K1295)</f>
        <v/>
      </c>
      <c r="R1297" s="10">
        <f>+L1295</f>
        <v>0</v>
      </c>
      <c r="S1297" s="11"/>
      <c r="T1297" s="10">
        <f>+E1295</f>
        <v>0</v>
      </c>
      <c r="U1297" s="19" t="str">
        <f>IFERROR(LEFT(K1295,FIND("*",K1295)-1),"-")</f>
        <v>-</v>
      </c>
      <c r="V1297" s="19" t="str">
        <f>IFERROR(RIGHT(K1295,LEN(K1295)-FIND("*",K1295)),"-")</f>
        <v>-</v>
      </c>
      <c r="W1297" s="20" t="str">
        <f t="shared" si="700"/>
        <v>-</v>
      </c>
      <c r="X1297" s="20" t="str">
        <f>IFERROR(W1297*L1295,"-")</f>
        <v>-</v>
      </c>
      <c r="Z1297" s="33">
        <v>45185</v>
      </c>
    </row>
    <row r="1298" spans="1:26" ht="21" customHeight="1" thickBot="1" x14ac:dyDescent="0.35">
      <c r="A1298" s="5"/>
      <c r="B1298" s="159"/>
      <c r="C1298" s="160"/>
      <c r="D1298" s="166" t="s">
        <v>43</v>
      </c>
      <c r="E1298" s="167"/>
      <c r="F1298" s="167"/>
      <c r="G1298" s="168"/>
      <c r="H1298" s="168"/>
      <c r="I1298" s="168"/>
      <c r="J1298" s="168"/>
      <c r="K1298" s="168"/>
      <c r="L1298" s="168"/>
      <c r="M1298" s="7"/>
      <c r="N1298" s="32"/>
      <c r="Z1298" s="33">
        <v>45185</v>
      </c>
    </row>
    <row r="1299" spans="1:26" ht="9.9499999999999993" customHeight="1" thickBot="1" x14ac:dyDescent="0.35">
      <c r="B1299" s="9"/>
      <c r="C1299" s="109">
        <v>918</v>
      </c>
      <c r="D1299" s="51"/>
      <c r="E1299" s="12"/>
      <c r="F1299" s="51"/>
      <c r="G1299" s="14"/>
      <c r="H1299" s="14"/>
      <c r="I1299" s="14"/>
      <c r="J1299" s="14"/>
      <c r="K1299" s="14"/>
      <c r="L1299" s="14"/>
      <c r="M1299" s="9"/>
      <c r="N1299" s="32"/>
      <c r="U1299" s="18"/>
      <c r="V1299" s="18"/>
      <c r="Z1299" s="33">
        <v>45185</v>
      </c>
    </row>
    <row r="1300" spans="1:26" ht="6.95" customHeight="1" x14ac:dyDescent="0.3">
      <c r="A1300" s="154">
        <f>+A1289+1</f>
        <v>919</v>
      </c>
      <c r="B1300" s="155"/>
      <c r="C1300" s="156"/>
      <c r="D1300" s="161" t="s">
        <v>39</v>
      </c>
      <c r="E1300" s="162" t="s">
        <v>266</v>
      </c>
      <c r="F1300" s="163" t="s">
        <v>40</v>
      </c>
      <c r="G1300" s="164">
        <v>150</v>
      </c>
      <c r="H1300" s="165">
        <v>1</v>
      </c>
      <c r="I1300" s="164"/>
      <c r="J1300" s="165"/>
      <c r="K1300" s="164"/>
      <c r="L1300" s="165"/>
      <c r="M1300" s="6"/>
      <c r="N1300" s="32"/>
      <c r="Q1300" s="10" t="str">
        <f>+CONCATENATE(E1300,G1300)</f>
        <v>금속관벽체150</v>
      </c>
      <c r="R1300" s="10">
        <f>+H1300</f>
        <v>1</v>
      </c>
      <c r="S1300" s="11"/>
      <c r="T1300" s="10" t="str">
        <f>+E1300</f>
        <v>금속관벽체</v>
      </c>
      <c r="U1300" s="19" t="str">
        <f>IFERROR(LEFT(G1300,FIND("*",G1300)-1),"-")</f>
        <v>-</v>
      </c>
      <c r="V1300" s="19" t="str">
        <f>IFERROR(RIGHT(G1300,LEN(G1300)-FIND("*",G1300)),"-")</f>
        <v>-</v>
      </c>
      <c r="W1300" s="20" t="str">
        <f>IFERROR((U1300+V1300)*2/1000,"-")</f>
        <v>-</v>
      </c>
      <c r="X1300" s="20" t="str">
        <f>IFERROR(W1300*H1300,"-")</f>
        <v>-</v>
      </c>
      <c r="Z1300" s="33">
        <v>45185</v>
      </c>
    </row>
    <row r="1301" spans="1:26" ht="6.95" customHeight="1" x14ac:dyDescent="0.3">
      <c r="A1301" s="154"/>
      <c r="B1301" s="157"/>
      <c r="C1301" s="158"/>
      <c r="D1301" s="161"/>
      <c r="E1301" s="162"/>
      <c r="F1301" s="163"/>
      <c r="G1301" s="164"/>
      <c r="H1301" s="165"/>
      <c r="I1301" s="164"/>
      <c r="J1301" s="165"/>
      <c r="K1301" s="164"/>
      <c r="L1301" s="165"/>
      <c r="M1301" s="6"/>
      <c r="N1301" s="32"/>
      <c r="Q1301" s="10" t="str">
        <f>+CONCATENATE(E1300,I1300)</f>
        <v>금속관벽체</v>
      </c>
      <c r="R1301" s="10">
        <f>+J1300</f>
        <v>0</v>
      </c>
      <c r="S1301" s="11"/>
      <c r="T1301" s="10" t="str">
        <f>+E1300</f>
        <v>금속관벽체</v>
      </c>
      <c r="U1301" s="19" t="str">
        <f>IFERROR(LEFT(I1300,FIND("*",I1300)-1),"-")</f>
        <v>-</v>
      </c>
      <c r="V1301" s="19" t="str">
        <f>IFERROR(RIGHT(I1300,LEN(I1300)-FIND("*",I1300)),"-")</f>
        <v>-</v>
      </c>
      <c r="W1301" s="20" t="str">
        <f t="shared" ref="W1301:W1308" si="706">IFERROR((U1301+V1301)*2/1000,"-")</f>
        <v>-</v>
      </c>
      <c r="X1301" s="20" t="str">
        <f>IFERROR(W1301*J1300,"-")</f>
        <v>-</v>
      </c>
      <c r="Z1301" s="33">
        <v>45185</v>
      </c>
    </row>
    <row r="1302" spans="1:26" ht="6.95" customHeight="1" x14ac:dyDescent="0.3">
      <c r="A1302" s="154"/>
      <c r="B1302" s="157"/>
      <c r="C1302" s="158"/>
      <c r="D1302" s="161"/>
      <c r="E1302" s="162"/>
      <c r="F1302" s="163"/>
      <c r="G1302" s="164"/>
      <c r="H1302" s="165"/>
      <c r="I1302" s="164"/>
      <c r="J1302" s="165"/>
      <c r="K1302" s="164"/>
      <c r="L1302" s="165"/>
      <c r="M1302" s="6"/>
      <c r="N1302" s="32"/>
      <c r="Q1302" s="10" t="str">
        <f>+CONCATENATE(E1300,K1300)</f>
        <v>금속관벽체</v>
      </c>
      <c r="R1302" s="10">
        <f>+L1300</f>
        <v>0</v>
      </c>
      <c r="S1302" s="11"/>
      <c r="T1302" s="10" t="str">
        <f>+E1300</f>
        <v>금속관벽체</v>
      </c>
      <c r="U1302" s="19" t="str">
        <f>IFERROR(LEFT(K1300,FIND("*",K1300)-1),"-")</f>
        <v>-</v>
      </c>
      <c r="V1302" s="19" t="str">
        <f>IFERROR(RIGHT(K1300,LEN(K1300)-FIND("*",K1300)),"-")</f>
        <v>-</v>
      </c>
      <c r="W1302" s="20" t="str">
        <f t="shared" si="706"/>
        <v>-</v>
      </c>
      <c r="X1302" s="20" t="str">
        <f>IFERROR(W1302*L1300,"-")</f>
        <v>-</v>
      </c>
      <c r="Z1302" s="33">
        <v>45185</v>
      </c>
    </row>
    <row r="1303" spans="1:26" ht="6.95" customHeight="1" x14ac:dyDescent="0.3">
      <c r="A1303" s="8"/>
      <c r="B1303" s="157"/>
      <c r="C1303" s="158"/>
      <c r="D1303" s="161" t="s">
        <v>39</v>
      </c>
      <c r="E1303" s="162"/>
      <c r="F1303" s="163" t="s">
        <v>40</v>
      </c>
      <c r="G1303" s="164"/>
      <c r="H1303" s="165"/>
      <c r="I1303" s="164"/>
      <c r="J1303" s="165"/>
      <c r="K1303" s="164"/>
      <c r="L1303" s="165"/>
      <c r="M1303" s="6"/>
      <c r="N1303" s="32"/>
      <c r="Q1303" s="10" t="str">
        <f>+CONCATENATE(E1303,G1303)</f>
        <v/>
      </c>
      <c r="R1303" s="10">
        <f>+H1303</f>
        <v>0</v>
      </c>
      <c r="S1303" s="11"/>
      <c r="T1303" s="10">
        <f>+E1303</f>
        <v>0</v>
      </c>
      <c r="U1303" s="19" t="str">
        <f t="shared" ref="U1303" si="707">IFERROR(LEFT(G1303,FIND("*",G1303)-1),"-")</f>
        <v>-</v>
      </c>
      <c r="V1303" s="19" t="str">
        <f t="shared" ref="V1303" si="708">IFERROR(RIGHT(G1303,LEN(G1303)-FIND("*",G1303)),"-")</f>
        <v>-</v>
      </c>
      <c r="W1303" s="20" t="str">
        <f t="shared" si="706"/>
        <v>-</v>
      </c>
      <c r="X1303" s="20" t="str">
        <f>IFERROR(W1303*H1303,"-")</f>
        <v>-</v>
      </c>
      <c r="Z1303" s="33">
        <v>45185</v>
      </c>
    </row>
    <row r="1304" spans="1:26" ht="6.95" customHeight="1" x14ac:dyDescent="0.3">
      <c r="A1304" s="5"/>
      <c r="B1304" s="157"/>
      <c r="C1304" s="158"/>
      <c r="D1304" s="161"/>
      <c r="E1304" s="162"/>
      <c r="F1304" s="163"/>
      <c r="G1304" s="164"/>
      <c r="H1304" s="165"/>
      <c r="I1304" s="164"/>
      <c r="J1304" s="165"/>
      <c r="K1304" s="164"/>
      <c r="L1304" s="165"/>
      <c r="M1304" s="6"/>
      <c r="N1304" s="32"/>
      <c r="Q1304" s="10" t="str">
        <f>+CONCATENATE(E1303,I1303)</f>
        <v/>
      </c>
      <c r="R1304" s="10">
        <f>+J1303</f>
        <v>0</v>
      </c>
      <c r="S1304" s="11"/>
      <c r="T1304" s="10">
        <f>+E1303</f>
        <v>0</v>
      </c>
      <c r="U1304" s="19" t="str">
        <f>IFERROR(LEFT(I1303,FIND("*",I1303)-1),"-")</f>
        <v>-</v>
      </c>
      <c r="V1304" s="19" t="str">
        <f>IFERROR(RIGHT(I1303,LEN(I1303)-FIND("*",I1303)),"-")</f>
        <v>-</v>
      </c>
      <c r="W1304" s="20" t="str">
        <f t="shared" si="706"/>
        <v>-</v>
      </c>
      <c r="X1304" s="20" t="str">
        <f>IFERROR(W1304*J1303,"-")</f>
        <v>-</v>
      </c>
      <c r="Z1304" s="33">
        <v>45185</v>
      </c>
    </row>
    <row r="1305" spans="1:26" ht="6.95" customHeight="1" x14ac:dyDescent="0.3">
      <c r="A1305" s="5"/>
      <c r="B1305" s="157"/>
      <c r="C1305" s="158"/>
      <c r="D1305" s="161"/>
      <c r="E1305" s="162"/>
      <c r="F1305" s="163"/>
      <c r="G1305" s="164"/>
      <c r="H1305" s="165"/>
      <c r="I1305" s="164"/>
      <c r="J1305" s="165"/>
      <c r="K1305" s="164"/>
      <c r="L1305" s="165"/>
      <c r="M1305" s="6"/>
      <c r="N1305" s="32"/>
      <c r="Q1305" s="10" t="str">
        <f>+CONCATENATE(E1303,K1303)</f>
        <v/>
      </c>
      <c r="R1305" s="10">
        <f>+L1303</f>
        <v>0</v>
      </c>
      <c r="S1305" s="11"/>
      <c r="T1305" s="10">
        <f>+E1303</f>
        <v>0</v>
      </c>
      <c r="U1305" s="19" t="str">
        <f>IFERROR(LEFT(K1303,FIND("*",K1303)-1),"-")</f>
        <v>-</v>
      </c>
      <c r="V1305" s="19" t="str">
        <f>IFERROR(RIGHT(K1303,LEN(K1303)-FIND("*",K1303)),"-")</f>
        <v>-</v>
      </c>
      <c r="W1305" s="20" t="str">
        <f t="shared" si="706"/>
        <v>-</v>
      </c>
      <c r="X1305" s="20" t="str">
        <f>IFERROR(W1305*L1303,"-")</f>
        <v>-</v>
      </c>
      <c r="Z1305" s="33">
        <v>45185</v>
      </c>
    </row>
    <row r="1306" spans="1:26" ht="6.95" customHeight="1" x14ac:dyDescent="0.3">
      <c r="A1306" s="8"/>
      <c r="B1306" s="157"/>
      <c r="C1306" s="158"/>
      <c r="D1306" s="161" t="s">
        <v>39</v>
      </c>
      <c r="E1306" s="162"/>
      <c r="F1306" s="163" t="s">
        <v>40</v>
      </c>
      <c r="G1306" s="164"/>
      <c r="H1306" s="165"/>
      <c r="I1306" s="164"/>
      <c r="J1306" s="165"/>
      <c r="K1306" s="164"/>
      <c r="L1306" s="165"/>
      <c r="M1306" s="6"/>
      <c r="N1306" s="32"/>
      <c r="Q1306" s="10" t="str">
        <f>+CONCATENATE(E1306,G1306)</f>
        <v/>
      </c>
      <c r="R1306" s="10">
        <f>+H1306</f>
        <v>0</v>
      </c>
      <c r="S1306" s="11"/>
      <c r="T1306" s="10">
        <f>+E1306</f>
        <v>0</v>
      </c>
      <c r="U1306" s="19" t="str">
        <f t="shared" ref="U1306" si="709">IFERROR(LEFT(G1306,FIND("*",G1306)-1),"-")</f>
        <v>-</v>
      </c>
      <c r="V1306" s="19" t="str">
        <f t="shared" ref="V1306" si="710">IFERROR(RIGHT(G1306,LEN(G1306)-FIND("*",G1306)),"-")</f>
        <v>-</v>
      </c>
      <c r="W1306" s="20" t="str">
        <f t="shared" si="706"/>
        <v>-</v>
      </c>
      <c r="X1306" s="20" t="str">
        <f>IFERROR(W1306*H1306,"-")</f>
        <v>-</v>
      </c>
      <c r="Z1306" s="33">
        <v>45185</v>
      </c>
    </row>
    <row r="1307" spans="1:26" ht="6.95" customHeight="1" x14ac:dyDescent="0.3">
      <c r="A1307" s="5"/>
      <c r="B1307" s="157"/>
      <c r="C1307" s="158"/>
      <c r="D1307" s="161"/>
      <c r="E1307" s="162"/>
      <c r="F1307" s="163"/>
      <c r="G1307" s="164"/>
      <c r="H1307" s="165"/>
      <c r="I1307" s="164"/>
      <c r="J1307" s="165"/>
      <c r="K1307" s="164"/>
      <c r="L1307" s="165"/>
      <c r="M1307" s="6"/>
      <c r="N1307" s="32"/>
      <c r="Q1307" s="10" t="str">
        <f>+CONCATENATE(E1306,I1306)</f>
        <v/>
      </c>
      <c r="R1307" s="10">
        <f>+J1306</f>
        <v>0</v>
      </c>
      <c r="S1307" s="11"/>
      <c r="T1307" s="10">
        <f>+E1306</f>
        <v>0</v>
      </c>
      <c r="U1307" s="19" t="str">
        <f>IFERROR(LEFT(I1306,FIND("*",I1306)-1),"-")</f>
        <v>-</v>
      </c>
      <c r="V1307" s="19" t="str">
        <f>IFERROR(RIGHT(I1306,LEN(I1306)-FIND("*",I1306)),"-")</f>
        <v>-</v>
      </c>
      <c r="W1307" s="20" t="str">
        <f t="shared" si="706"/>
        <v>-</v>
      </c>
      <c r="X1307" s="20" t="str">
        <f t="shared" ref="X1307" si="711">IFERROR(W1307*J1306,"-")</f>
        <v>-</v>
      </c>
      <c r="Z1307" s="33">
        <v>45185</v>
      </c>
    </row>
    <row r="1308" spans="1:26" ht="6.95" customHeight="1" x14ac:dyDescent="0.3">
      <c r="A1308" s="5"/>
      <c r="B1308" s="157"/>
      <c r="C1308" s="158"/>
      <c r="D1308" s="161"/>
      <c r="E1308" s="162"/>
      <c r="F1308" s="163"/>
      <c r="G1308" s="164"/>
      <c r="H1308" s="165"/>
      <c r="I1308" s="164"/>
      <c r="J1308" s="165"/>
      <c r="K1308" s="164"/>
      <c r="L1308" s="165"/>
      <c r="M1308" s="6"/>
      <c r="N1308" s="32"/>
      <c r="Q1308" s="10" t="str">
        <f>+CONCATENATE(E1306,K1306)</f>
        <v/>
      </c>
      <c r="R1308" s="10">
        <f>+L1306</f>
        <v>0</v>
      </c>
      <c r="S1308" s="11"/>
      <c r="T1308" s="10">
        <f>+E1306</f>
        <v>0</v>
      </c>
      <c r="U1308" s="19" t="str">
        <f>IFERROR(LEFT(K1306,FIND("*",K1306)-1),"-")</f>
        <v>-</v>
      </c>
      <c r="V1308" s="19" t="str">
        <f>IFERROR(RIGHT(K1306,LEN(K1306)-FIND("*",K1306)),"-")</f>
        <v>-</v>
      </c>
      <c r="W1308" s="20" t="str">
        <f t="shared" si="706"/>
        <v>-</v>
      </c>
      <c r="X1308" s="20" t="str">
        <f>IFERROR(W1308*L1306,"-")</f>
        <v>-</v>
      </c>
      <c r="Z1308" s="33">
        <v>45185</v>
      </c>
    </row>
    <row r="1309" spans="1:26" ht="21" customHeight="1" thickBot="1" x14ac:dyDescent="0.35">
      <c r="A1309" s="5"/>
      <c r="B1309" s="159"/>
      <c r="C1309" s="160"/>
      <c r="D1309" s="166" t="s">
        <v>43</v>
      </c>
      <c r="E1309" s="167"/>
      <c r="F1309" s="167"/>
      <c r="G1309" s="168"/>
      <c r="H1309" s="168"/>
      <c r="I1309" s="168"/>
      <c r="J1309" s="168"/>
      <c r="K1309" s="168"/>
      <c r="L1309" s="168"/>
      <c r="M1309" s="7"/>
      <c r="N1309" s="32"/>
      <c r="Z1309" s="33">
        <v>45185</v>
      </c>
    </row>
    <row r="1310" spans="1:26" ht="9.9499999999999993" customHeight="1" thickBot="1" x14ac:dyDescent="0.35">
      <c r="B1310" s="9"/>
      <c r="C1310" s="109">
        <v>919</v>
      </c>
      <c r="D1310" s="51"/>
      <c r="E1310" s="12"/>
      <c r="F1310" s="51"/>
      <c r="G1310" s="14"/>
      <c r="H1310" s="14"/>
      <c r="I1310" s="14"/>
      <c r="J1310" s="14"/>
      <c r="K1310" s="14"/>
      <c r="L1310" s="14"/>
      <c r="M1310" s="9"/>
      <c r="N1310" s="32"/>
      <c r="U1310" s="18"/>
      <c r="V1310" s="18"/>
      <c r="Z1310" s="33">
        <v>45185</v>
      </c>
    </row>
    <row r="1311" spans="1:26" ht="6.95" customHeight="1" x14ac:dyDescent="0.3">
      <c r="A1311" s="154">
        <f>+A1300+1</f>
        <v>920</v>
      </c>
      <c r="B1311" s="155"/>
      <c r="C1311" s="156"/>
      <c r="D1311" s="161" t="s">
        <v>39</v>
      </c>
      <c r="E1311" s="162" t="s">
        <v>266</v>
      </c>
      <c r="F1311" s="163" t="s">
        <v>40</v>
      </c>
      <c r="G1311" s="164">
        <v>150</v>
      </c>
      <c r="H1311" s="165">
        <v>1</v>
      </c>
      <c r="I1311" s="164">
        <v>50</v>
      </c>
      <c r="J1311" s="165">
        <v>2</v>
      </c>
      <c r="K1311" s="164"/>
      <c r="L1311" s="165"/>
      <c r="M1311" s="6"/>
      <c r="N1311" s="32"/>
      <c r="Q1311" s="10" t="str">
        <f>+CONCATENATE(E1311,G1311)</f>
        <v>금속관벽체150</v>
      </c>
      <c r="R1311" s="10">
        <f>+H1311</f>
        <v>1</v>
      </c>
      <c r="S1311" s="11"/>
      <c r="T1311" s="10" t="str">
        <f>+E1311</f>
        <v>금속관벽체</v>
      </c>
      <c r="U1311" s="19" t="str">
        <f>IFERROR(LEFT(G1311,FIND("*",G1311)-1),"-")</f>
        <v>-</v>
      </c>
      <c r="V1311" s="19" t="str">
        <f>IFERROR(RIGHT(G1311,LEN(G1311)-FIND("*",G1311)),"-")</f>
        <v>-</v>
      </c>
      <c r="W1311" s="20" t="str">
        <f>IFERROR((U1311+V1311)*2/1000,"-")</f>
        <v>-</v>
      </c>
      <c r="X1311" s="20" t="str">
        <f>IFERROR(W1311*H1311,"-")</f>
        <v>-</v>
      </c>
      <c r="Z1311" s="33">
        <v>45185</v>
      </c>
    </row>
    <row r="1312" spans="1:26" ht="6.95" customHeight="1" x14ac:dyDescent="0.3">
      <c r="A1312" s="154"/>
      <c r="B1312" s="157"/>
      <c r="C1312" s="158"/>
      <c r="D1312" s="161"/>
      <c r="E1312" s="162"/>
      <c r="F1312" s="163"/>
      <c r="G1312" s="164"/>
      <c r="H1312" s="165"/>
      <c r="I1312" s="164"/>
      <c r="J1312" s="165"/>
      <c r="K1312" s="164"/>
      <c r="L1312" s="165"/>
      <c r="M1312" s="6"/>
      <c r="N1312" s="32"/>
      <c r="Q1312" s="10" t="str">
        <f>+CONCATENATE(E1311,I1311)</f>
        <v>금속관벽체50</v>
      </c>
      <c r="R1312" s="10">
        <f>+J1311</f>
        <v>2</v>
      </c>
      <c r="S1312" s="11"/>
      <c r="T1312" s="10" t="str">
        <f>+E1311</f>
        <v>금속관벽체</v>
      </c>
      <c r="U1312" s="19" t="str">
        <f>IFERROR(LEFT(I1311,FIND("*",I1311)-1),"-")</f>
        <v>-</v>
      </c>
      <c r="V1312" s="19" t="str">
        <f>IFERROR(RIGHT(I1311,LEN(I1311)-FIND("*",I1311)),"-")</f>
        <v>-</v>
      </c>
      <c r="W1312" s="20" t="str">
        <f t="shared" ref="W1312:W1319" si="712">IFERROR((U1312+V1312)*2/1000,"-")</f>
        <v>-</v>
      </c>
      <c r="X1312" s="20" t="str">
        <f>IFERROR(W1312*J1311,"-")</f>
        <v>-</v>
      </c>
      <c r="Z1312" s="33">
        <v>45185</v>
      </c>
    </row>
    <row r="1313" spans="1:26" ht="6.95" customHeight="1" x14ac:dyDescent="0.3">
      <c r="A1313" s="154"/>
      <c r="B1313" s="157"/>
      <c r="C1313" s="158"/>
      <c r="D1313" s="161"/>
      <c r="E1313" s="162"/>
      <c r="F1313" s="163"/>
      <c r="G1313" s="164"/>
      <c r="H1313" s="165"/>
      <c r="I1313" s="164"/>
      <c r="J1313" s="165"/>
      <c r="K1313" s="164"/>
      <c r="L1313" s="165"/>
      <c r="M1313" s="6"/>
      <c r="N1313" s="32"/>
      <c r="Q1313" s="10" t="str">
        <f>+CONCATENATE(E1311,K1311)</f>
        <v>금속관벽체</v>
      </c>
      <c r="R1313" s="10">
        <f>+L1311</f>
        <v>0</v>
      </c>
      <c r="S1313" s="11"/>
      <c r="T1313" s="10" t="str">
        <f>+E1311</f>
        <v>금속관벽체</v>
      </c>
      <c r="U1313" s="19" t="str">
        <f>IFERROR(LEFT(K1311,FIND("*",K1311)-1),"-")</f>
        <v>-</v>
      </c>
      <c r="V1313" s="19" t="str">
        <f>IFERROR(RIGHT(K1311,LEN(K1311)-FIND("*",K1311)),"-")</f>
        <v>-</v>
      </c>
      <c r="W1313" s="20" t="str">
        <f t="shared" si="712"/>
        <v>-</v>
      </c>
      <c r="X1313" s="20" t="str">
        <f>IFERROR(W1313*L1311,"-")</f>
        <v>-</v>
      </c>
      <c r="Z1313" s="33">
        <v>45185</v>
      </c>
    </row>
    <row r="1314" spans="1:26" ht="6.95" customHeight="1" x14ac:dyDescent="0.3">
      <c r="A1314" s="8"/>
      <c r="B1314" s="157"/>
      <c r="C1314" s="158"/>
      <c r="D1314" s="161" t="s">
        <v>39</v>
      </c>
      <c r="E1314" s="162" t="s">
        <v>279</v>
      </c>
      <c r="F1314" s="163" t="s">
        <v>40</v>
      </c>
      <c r="G1314" s="164" t="s">
        <v>280</v>
      </c>
      <c r="H1314" s="165">
        <v>1</v>
      </c>
      <c r="I1314" s="164"/>
      <c r="J1314" s="165"/>
      <c r="K1314" s="164"/>
      <c r="L1314" s="165"/>
      <c r="M1314" s="6"/>
      <c r="N1314" s="32"/>
      <c r="Q1314" s="10" t="str">
        <f>+CONCATENATE(E1314,G1314)</f>
        <v>오픈구200*200</v>
      </c>
      <c r="R1314" s="10">
        <f>+H1314</f>
        <v>1</v>
      </c>
      <c r="S1314" s="11"/>
      <c r="T1314" s="10" t="str">
        <f>+E1314</f>
        <v>오픈구</v>
      </c>
      <c r="U1314" s="19" t="str">
        <f t="shared" ref="U1314" si="713">IFERROR(LEFT(G1314,FIND("*",G1314)-1),"-")</f>
        <v>200</v>
      </c>
      <c r="V1314" s="19" t="str">
        <f t="shared" ref="V1314" si="714">IFERROR(RIGHT(G1314,LEN(G1314)-FIND("*",G1314)),"-")</f>
        <v>200</v>
      </c>
      <c r="W1314" s="20">
        <f t="shared" si="712"/>
        <v>0.8</v>
      </c>
      <c r="X1314" s="20">
        <f>IFERROR(W1314*H1314,"-")</f>
        <v>0.8</v>
      </c>
      <c r="Z1314" s="33">
        <v>45185</v>
      </c>
    </row>
    <row r="1315" spans="1:26" ht="6.95" customHeight="1" x14ac:dyDescent="0.3">
      <c r="A1315" s="5"/>
      <c r="B1315" s="157"/>
      <c r="C1315" s="158"/>
      <c r="D1315" s="161"/>
      <c r="E1315" s="162"/>
      <c r="F1315" s="163"/>
      <c r="G1315" s="164"/>
      <c r="H1315" s="165"/>
      <c r="I1315" s="164"/>
      <c r="J1315" s="165"/>
      <c r="K1315" s="164"/>
      <c r="L1315" s="165"/>
      <c r="M1315" s="6"/>
      <c r="N1315" s="32"/>
      <c r="Q1315" s="10" t="str">
        <f>+CONCATENATE(E1314,I1314)</f>
        <v>오픈구</v>
      </c>
      <c r="R1315" s="10">
        <f>+J1314</f>
        <v>0</v>
      </c>
      <c r="S1315" s="11"/>
      <c r="T1315" s="10" t="str">
        <f>+E1314</f>
        <v>오픈구</v>
      </c>
      <c r="U1315" s="19" t="str">
        <f>IFERROR(LEFT(I1314,FIND("*",I1314)-1),"-")</f>
        <v>-</v>
      </c>
      <c r="V1315" s="19" t="str">
        <f>IFERROR(RIGHT(I1314,LEN(I1314)-FIND("*",I1314)),"-")</f>
        <v>-</v>
      </c>
      <c r="W1315" s="20" t="str">
        <f t="shared" si="712"/>
        <v>-</v>
      </c>
      <c r="X1315" s="20" t="str">
        <f>IFERROR(W1315*J1314,"-")</f>
        <v>-</v>
      </c>
      <c r="Z1315" s="33">
        <v>45185</v>
      </c>
    </row>
    <row r="1316" spans="1:26" ht="6.95" customHeight="1" x14ac:dyDescent="0.3">
      <c r="A1316" s="5"/>
      <c r="B1316" s="157"/>
      <c r="C1316" s="158"/>
      <c r="D1316" s="161"/>
      <c r="E1316" s="162"/>
      <c r="F1316" s="163"/>
      <c r="G1316" s="164"/>
      <c r="H1316" s="165"/>
      <c r="I1316" s="164"/>
      <c r="J1316" s="165"/>
      <c r="K1316" s="164"/>
      <c r="L1316" s="165"/>
      <c r="M1316" s="6"/>
      <c r="N1316" s="32"/>
      <c r="Q1316" s="10" t="str">
        <f>+CONCATENATE(E1314,K1314)</f>
        <v>오픈구</v>
      </c>
      <c r="R1316" s="10">
        <f>+L1314</f>
        <v>0</v>
      </c>
      <c r="S1316" s="11"/>
      <c r="T1316" s="10" t="str">
        <f>+E1314</f>
        <v>오픈구</v>
      </c>
      <c r="U1316" s="19" t="str">
        <f>IFERROR(LEFT(K1314,FIND("*",K1314)-1),"-")</f>
        <v>-</v>
      </c>
      <c r="V1316" s="19" t="str">
        <f>IFERROR(RIGHT(K1314,LEN(K1314)-FIND("*",K1314)),"-")</f>
        <v>-</v>
      </c>
      <c r="W1316" s="20" t="str">
        <f t="shared" si="712"/>
        <v>-</v>
      </c>
      <c r="X1316" s="20" t="str">
        <f>IFERROR(W1316*L1314,"-")</f>
        <v>-</v>
      </c>
      <c r="Z1316" s="33">
        <v>45185</v>
      </c>
    </row>
    <row r="1317" spans="1:26" ht="6.95" customHeight="1" x14ac:dyDescent="0.3">
      <c r="A1317" s="8"/>
      <c r="B1317" s="157"/>
      <c r="C1317" s="158"/>
      <c r="D1317" s="161" t="s">
        <v>39</v>
      </c>
      <c r="E1317" s="162"/>
      <c r="F1317" s="163" t="s">
        <v>40</v>
      </c>
      <c r="G1317" s="164"/>
      <c r="H1317" s="165"/>
      <c r="I1317" s="164"/>
      <c r="J1317" s="165"/>
      <c r="K1317" s="164"/>
      <c r="L1317" s="165"/>
      <c r="M1317" s="6"/>
      <c r="N1317" s="32"/>
      <c r="Q1317" s="10" t="str">
        <f>+CONCATENATE(E1317,G1317)</f>
        <v/>
      </c>
      <c r="R1317" s="10">
        <f>+H1317</f>
        <v>0</v>
      </c>
      <c r="S1317" s="11"/>
      <c r="T1317" s="10">
        <f>+E1317</f>
        <v>0</v>
      </c>
      <c r="U1317" s="19" t="str">
        <f t="shared" ref="U1317" si="715">IFERROR(LEFT(G1317,FIND("*",G1317)-1),"-")</f>
        <v>-</v>
      </c>
      <c r="V1317" s="19" t="str">
        <f t="shared" ref="V1317" si="716">IFERROR(RIGHT(G1317,LEN(G1317)-FIND("*",G1317)),"-")</f>
        <v>-</v>
      </c>
      <c r="W1317" s="20" t="str">
        <f t="shared" si="712"/>
        <v>-</v>
      </c>
      <c r="X1317" s="20" t="str">
        <f>IFERROR(W1317*H1317,"-")</f>
        <v>-</v>
      </c>
      <c r="Z1317" s="33">
        <v>45185</v>
      </c>
    </row>
    <row r="1318" spans="1:26" ht="6.95" customHeight="1" x14ac:dyDescent="0.3">
      <c r="A1318" s="5"/>
      <c r="B1318" s="157"/>
      <c r="C1318" s="158"/>
      <c r="D1318" s="161"/>
      <c r="E1318" s="162"/>
      <c r="F1318" s="163"/>
      <c r="G1318" s="164"/>
      <c r="H1318" s="165"/>
      <c r="I1318" s="164"/>
      <c r="J1318" s="165"/>
      <c r="K1318" s="164"/>
      <c r="L1318" s="165"/>
      <c r="M1318" s="6"/>
      <c r="N1318" s="32"/>
      <c r="Q1318" s="10" t="str">
        <f>+CONCATENATE(E1317,I1317)</f>
        <v/>
      </c>
      <c r="R1318" s="10">
        <f>+J1317</f>
        <v>0</v>
      </c>
      <c r="S1318" s="11"/>
      <c r="T1318" s="10">
        <f>+E1317</f>
        <v>0</v>
      </c>
      <c r="U1318" s="19" t="str">
        <f>IFERROR(LEFT(I1317,FIND("*",I1317)-1),"-")</f>
        <v>-</v>
      </c>
      <c r="V1318" s="19" t="str">
        <f>IFERROR(RIGHT(I1317,LEN(I1317)-FIND("*",I1317)),"-")</f>
        <v>-</v>
      </c>
      <c r="W1318" s="20" t="str">
        <f t="shared" si="712"/>
        <v>-</v>
      </c>
      <c r="X1318" s="20" t="str">
        <f t="shared" ref="X1318" si="717">IFERROR(W1318*J1317,"-")</f>
        <v>-</v>
      </c>
      <c r="Z1318" s="33">
        <v>45185</v>
      </c>
    </row>
    <row r="1319" spans="1:26" ht="6.95" customHeight="1" x14ac:dyDescent="0.3">
      <c r="A1319" s="5"/>
      <c r="B1319" s="157"/>
      <c r="C1319" s="158"/>
      <c r="D1319" s="161"/>
      <c r="E1319" s="162"/>
      <c r="F1319" s="163"/>
      <c r="G1319" s="164"/>
      <c r="H1319" s="165"/>
      <c r="I1319" s="164"/>
      <c r="J1319" s="165"/>
      <c r="K1319" s="164"/>
      <c r="L1319" s="165"/>
      <c r="M1319" s="6"/>
      <c r="N1319" s="32"/>
      <c r="Q1319" s="10" t="str">
        <f>+CONCATENATE(E1317,K1317)</f>
        <v/>
      </c>
      <c r="R1319" s="10">
        <f>+L1317</f>
        <v>0</v>
      </c>
      <c r="S1319" s="11"/>
      <c r="T1319" s="10">
        <f>+E1317</f>
        <v>0</v>
      </c>
      <c r="U1319" s="19" t="str">
        <f>IFERROR(LEFT(K1317,FIND("*",K1317)-1),"-")</f>
        <v>-</v>
      </c>
      <c r="V1319" s="19" t="str">
        <f>IFERROR(RIGHT(K1317,LEN(K1317)-FIND("*",K1317)),"-")</f>
        <v>-</v>
      </c>
      <c r="W1319" s="20" t="str">
        <f t="shared" si="712"/>
        <v>-</v>
      </c>
      <c r="X1319" s="20" t="str">
        <f>IFERROR(W1319*L1317,"-")</f>
        <v>-</v>
      </c>
      <c r="Z1319" s="33">
        <v>45185</v>
      </c>
    </row>
    <row r="1320" spans="1:26" ht="21" customHeight="1" thickBot="1" x14ac:dyDescent="0.35">
      <c r="A1320" s="5"/>
      <c r="B1320" s="159"/>
      <c r="C1320" s="160"/>
      <c r="D1320" s="166" t="s">
        <v>43</v>
      </c>
      <c r="E1320" s="167"/>
      <c r="F1320" s="167"/>
      <c r="G1320" s="168"/>
      <c r="H1320" s="168"/>
      <c r="I1320" s="168"/>
      <c r="J1320" s="168"/>
      <c r="K1320" s="168"/>
      <c r="L1320" s="168"/>
      <c r="M1320" s="7"/>
      <c r="N1320" s="32"/>
      <c r="Z1320" s="33">
        <v>45185</v>
      </c>
    </row>
    <row r="1321" spans="1:26" ht="9.9499999999999993" customHeight="1" thickBot="1" x14ac:dyDescent="0.35">
      <c r="B1321" s="9"/>
      <c r="C1321" s="109">
        <v>920</v>
      </c>
      <c r="D1321" s="51"/>
      <c r="E1321" s="12"/>
      <c r="F1321" s="51"/>
      <c r="G1321" s="14"/>
      <c r="H1321" s="14"/>
      <c r="I1321" s="14"/>
      <c r="J1321" s="14"/>
      <c r="K1321" s="14"/>
      <c r="L1321" s="14"/>
      <c r="M1321" s="9"/>
      <c r="N1321" s="32"/>
      <c r="U1321" s="18"/>
      <c r="V1321" s="18"/>
      <c r="Z1321" s="33">
        <v>45185</v>
      </c>
    </row>
    <row r="1322" spans="1:26" ht="6.95" customHeight="1" x14ac:dyDescent="0.3">
      <c r="A1322" s="154">
        <f>+A1311+1</f>
        <v>921</v>
      </c>
      <c r="B1322" s="155"/>
      <c r="C1322" s="156"/>
      <c r="D1322" s="161" t="s">
        <v>39</v>
      </c>
      <c r="E1322" s="162" t="s">
        <v>266</v>
      </c>
      <c r="F1322" s="163" t="s">
        <v>40</v>
      </c>
      <c r="G1322" s="164">
        <v>50</v>
      </c>
      <c r="H1322" s="165">
        <v>1</v>
      </c>
      <c r="I1322" s="164"/>
      <c r="J1322" s="165"/>
      <c r="K1322" s="164"/>
      <c r="L1322" s="165"/>
      <c r="M1322" s="6"/>
      <c r="N1322" s="32"/>
      <c r="Q1322" s="10" t="str">
        <f>+CONCATENATE(E1322,G1322)</f>
        <v>금속관벽체50</v>
      </c>
      <c r="R1322" s="10">
        <f>+H1322</f>
        <v>1</v>
      </c>
      <c r="S1322" s="11"/>
      <c r="T1322" s="10" t="str">
        <f>+E1322</f>
        <v>금속관벽체</v>
      </c>
      <c r="U1322" s="19" t="str">
        <f>IFERROR(LEFT(G1322,FIND("*",G1322)-1),"-")</f>
        <v>-</v>
      </c>
      <c r="V1322" s="19" t="str">
        <f>IFERROR(RIGHT(G1322,LEN(G1322)-FIND("*",G1322)),"-")</f>
        <v>-</v>
      </c>
      <c r="W1322" s="20" t="str">
        <f>IFERROR((U1322+V1322)*2/1000,"-")</f>
        <v>-</v>
      </c>
      <c r="X1322" s="20" t="str">
        <f>IFERROR(W1322*H1322,"-")</f>
        <v>-</v>
      </c>
      <c r="Z1322" s="33">
        <v>45185</v>
      </c>
    </row>
    <row r="1323" spans="1:26" ht="6.95" customHeight="1" x14ac:dyDescent="0.3">
      <c r="A1323" s="154"/>
      <c r="B1323" s="157"/>
      <c r="C1323" s="158"/>
      <c r="D1323" s="161"/>
      <c r="E1323" s="162"/>
      <c r="F1323" s="163"/>
      <c r="G1323" s="164"/>
      <c r="H1323" s="165"/>
      <c r="I1323" s="164"/>
      <c r="J1323" s="165"/>
      <c r="K1323" s="164"/>
      <c r="L1323" s="165"/>
      <c r="M1323" s="6"/>
      <c r="N1323" s="32"/>
      <c r="Q1323" s="10" t="str">
        <f>+CONCATENATE(E1322,I1322)</f>
        <v>금속관벽체</v>
      </c>
      <c r="R1323" s="10">
        <f>+J1322</f>
        <v>0</v>
      </c>
      <c r="S1323" s="11"/>
      <c r="T1323" s="10" t="str">
        <f>+E1322</f>
        <v>금속관벽체</v>
      </c>
      <c r="U1323" s="19" t="str">
        <f>IFERROR(LEFT(I1322,FIND("*",I1322)-1),"-")</f>
        <v>-</v>
      </c>
      <c r="V1323" s="19" t="str">
        <f>IFERROR(RIGHT(I1322,LEN(I1322)-FIND("*",I1322)),"-")</f>
        <v>-</v>
      </c>
      <c r="W1323" s="20" t="str">
        <f t="shared" ref="W1323:W1330" si="718">IFERROR((U1323+V1323)*2/1000,"-")</f>
        <v>-</v>
      </c>
      <c r="X1323" s="20" t="str">
        <f>IFERROR(W1323*J1322,"-")</f>
        <v>-</v>
      </c>
      <c r="Z1323" s="33">
        <v>45185</v>
      </c>
    </row>
    <row r="1324" spans="1:26" ht="6.95" customHeight="1" x14ac:dyDescent="0.3">
      <c r="A1324" s="154"/>
      <c r="B1324" s="157"/>
      <c r="C1324" s="158"/>
      <c r="D1324" s="161"/>
      <c r="E1324" s="162"/>
      <c r="F1324" s="163"/>
      <c r="G1324" s="164"/>
      <c r="H1324" s="165"/>
      <c r="I1324" s="164"/>
      <c r="J1324" s="165"/>
      <c r="K1324" s="164"/>
      <c r="L1324" s="165"/>
      <c r="M1324" s="6"/>
      <c r="N1324" s="32"/>
      <c r="Q1324" s="10" t="str">
        <f>+CONCATENATE(E1322,K1322)</f>
        <v>금속관벽체</v>
      </c>
      <c r="R1324" s="10">
        <f>+L1322</f>
        <v>0</v>
      </c>
      <c r="S1324" s="11"/>
      <c r="T1324" s="10" t="str">
        <f>+E1322</f>
        <v>금속관벽체</v>
      </c>
      <c r="U1324" s="19" t="str">
        <f>IFERROR(LEFT(K1322,FIND("*",K1322)-1),"-")</f>
        <v>-</v>
      </c>
      <c r="V1324" s="19" t="str">
        <f>IFERROR(RIGHT(K1322,LEN(K1322)-FIND("*",K1322)),"-")</f>
        <v>-</v>
      </c>
      <c r="W1324" s="20" t="str">
        <f t="shared" si="718"/>
        <v>-</v>
      </c>
      <c r="X1324" s="20" t="str">
        <f>IFERROR(W1324*L1322,"-")</f>
        <v>-</v>
      </c>
      <c r="Z1324" s="33">
        <v>45185</v>
      </c>
    </row>
    <row r="1325" spans="1:26" ht="6.95" customHeight="1" x14ac:dyDescent="0.3">
      <c r="A1325" s="8"/>
      <c r="B1325" s="157"/>
      <c r="C1325" s="158"/>
      <c r="D1325" s="161" t="s">
        <v>39</v>
      </c>
      <c r="E1325" s="162"/>
      <c r="F1325" s="163" t="s">
        <v>40</v>
      </c>
      <c r="G1325" s="164"/>
      <c r="H1325" s="165"/>
      <c r="I1325" s="164"/>
      <c r="J1325" s="165"/>
      <c r="K1325" s="164"/>
      <c r="L1325" s="165"/>
      <c r="M1325" s="6"/>
      <c r="N1325" s="32"/>
      <c r="Q1325" s="10" t="str">
        <f>+CONCATENATE(E1325,G1325)</f>
        <v/>
      </c>
      <c r="R1325" s="10">
        <f>+H1325</f>
        <v>0</v>
      </c>
      <c r="S1325" s="11"/>
      <c r="T1325" s="10">
        <f>+E1325</f>
        <v>0</v>
      </c>
      <c r="U1325" s="19" t="str">
        <f t="shared" ref="U1325" si="719">IFERROR(LEFT(G1325,FIND("*",G1325)-1),"-")</f>
        <v>-</v>
      </c>
      <c r="V1325" s="19" t="str">
        <f t="shared" ref="V1325" si="720">IFERROR(RIGHT(G1325,LEN(G1325)-FIND("*",G1325)),"-")</f>
        <v>-</v>
      </c>
      <c r="W1325" s="20" t="str">
        <f t="shared" si="718"/>
        <v>-</v>
      </c>
      <c r="X1325" s="20" t="str">
        <f>IFERROR(W1325*H1325,"-")</f>
        <v>-</v>
      </c>
      <c r="Z1325" s="33">
        <v>45185</v>
      </c>
    </row>
    <row r="1326" spans="1:26" ht="6.95" customHeight="1" x14ac:dyDescent="0.3">
      <c r="A1326" s="5"/>
      <c r="B1326" s="157"/>
      <c r="C1326" s="158"/>
      <c r="D1326" s="161"/>
      <c r="E1326" s="162"/>
      <c r="F1326" s="163"/>
      <c r="G1326" s="164"/>
      <c r="H1326" s="165"/>
      <c r="I1326" s="164"/>
      <c r="J1326" s="165"/>
      <c r="K1326" s="164"/>
      <c r="L1326" s="165"/>
      <c r="M1326" s="6"/>
      <c r="N1326" s="32"/>
      <c r="Q1326" s="10" t="str">
        <f>+CONCATENATE(E1325,I1325)</f>
        <v/>
      </c>
      <c r="R1326" s="10">
        <f>+J1325</f>
        <v>0</v>
      </c>
      <c r="S1326" s="11"/>
      <c r="T1326" s="10">
        <f>+E1325</f>
        <v>0</v>
      </c>
      <c r="U1326" s="19" t="str">
        <f>IFERROR(LEFT(I1325,FIND("*",I1325)-1),"-")</f>
        <v>-</v>
      </c>
      <c r="V1326" s="19" t="str">
        <f>IFERROR(RIGHT(I1325,LEN(I1325)-FIND("*",I1325)),"-")</f>
        <v>-</v>
      </c>
      <c r="W1326" s="20" t="str">
        <f t="shared" si="718"/>
        <v>-</v>
      </c>
      <c r="X1326" s="20" t="str">
        <f>IFERROR(W1326*J1325,"-")</f>
        <v>-</v>
      </c>
      <c r="Z1326" s="33">
        <v>45185</v>
      </c>
    </row>
    <row r="1327" spans="1:26" ht="6.95" customHeight="1" x14ac:dyDescent="0.3">
      <c r="A1327" s="5"/>
      <c r="B1327" s="157"/>
      <c r="C1327" s="158"/>
      <c r="D1327" s="161"/>
      <c r="E1327" s="162"/>
      <c r="F1327" s="163"/>
      <c r="G1327" s="164"/>
      <c r="H1327" s="165"/>
      <c r="I1327" s="164"/>
      <c r="J1327" s="165"/>
      <c r="K1327" s="164"/>
      <c r="L1327" s="165"/>
      <c r="M1327" s="6"/>
      <c r="N1327" s="32"/>
      <c r="Q1327" s="10" t="str">
        <f>+CONCATENATE(E1325,K1325)</f>
        <v/>
      </c>
      <c r="R1327" s="10">
        <f>+L1325</f>
        <v>0</v>
      </c>
      <c r="S1327" s="11"/>
      <c r="T1327" s="10">
        <f>+E1325</f>
        <v>0</v>
      </c>
      <c r="U1327" s="19" t="str">
        <f>IFERROR(LEFT(K1325,FIND("*",K1325)-1),"-")</f>
        <v>-</v>
      </c>
      <c r="V1327" s="19" t="str">
        <f>IFERROR(RIGHT(K1325,LEN(K1325)-FIND("*",K1325)),"-")</f>
        <v>-</v>
      </c>
      <c r="W1327" s="20" t="str">
        <f t="shared" si="718"/>
        <v>-</v>
      </c>
      <c r="X1327" s="20" t="str">
        <f>IFERROR(W1327*L1325,"-")</f>
        <v>-</v>
      </c>
      <c r="Z1327" s="33">
        <v>45185</v>
      </c>
    </row>
    <row r="1328" spans="1:26" ht="6.95" customHeight="1" x14ac:dyDescent="0.3">
      <c r="A1328" s="8"/>
      <c r="B1328" s="157"/>
      <c r="C1328" s="158"/>
      <c r="D1328" s="161" t="s">
        <v>39</v>
      </c>
      <c r="E1328" s="162"/>
      <c r="F1328" s="163" t="s">
        <v>40</v>
      </c>
      <c r="G1328" s="164"/>
      <c r="H1328" s="165"/>
      <c r="I1328" s="164"/>
      <c r="J1328" s="165"/>
      <c r="K1328" s="164"/>
      <c r="L1328" s="165"/>
      <c r="M1328" s="6"/>
      <c r="N1328" s="32"/>
      <c r="Q1328" s="10" t="str">
        <f>+CONCATENATE(E1328,G1328)</f>
        <v/>
      </c>
      <c r="R1328" s="10">
        <f>+H1328</f>
        <v>0</v>
      </c>
      <c r="S1328" s="11"/>
      <c r="T1328" s="10">
        <f>+E1328</f>
        <v>0</v>
      </c>
      <c r="U1328" s="19" t="str">
        <f t="shared" ref="U1328" si="721">IFERROR(LEFT(G1328,FIND("*",G1328)-1),"-")</f>
        <v>-</v>
      </c>
      <c r="V1328" s="19" t="str">
        <f t="shared" ref="V1328" si="722">IFERROR(RIGHT(G1328,LEN(G1328)-FIND("*",G1328)),"-")</f>
        <v>-</v>
      </c>
      <c r="W1328" s="20" t="str">
        <f t="shared" si="718"/>
        <v>-</v>
      </c>
      <c r="X1328" s="20" t="str">
        <f>IFERROR(W1328*H1328,"-")</f>
        <v>-</v>
      </c>
      <c r="Z1328" s="33">
        <v>45185</v>
      </c>
    </row>
    <row r="1329" spans="1:26" ht="6.95" customHeight="1" x14ac:dyDescent="0.3">
      <c r="A1329" s="5"/>
      <c r="B1329" s="157"/>
      <c r="C1329" s="158"/>
      <c r="D1329" s="161"/>
      <c r="E1329" s="162"/>
      <c r="F1329" s="163"/>
      <c r="G1329" s="164"/>
      <c r="H1329" s="165"/>
      <c r="I1329" s="164"/>
      <c r="J1329" s="165"/>
      <c r="K1329" s="164"/>
      <c r="L1329" s="165"/>
      <c r="M1329" s="6"/>
      <c r="N1329" s="32"/>
      <c r="Q1329" s="10" t="str">
        <f>+CONCATENATE(E1328,I1328)</f>
        <v/>
      </c>
      <c r="R1329" s="10">
        <f>+J1328</f>
        <v>0</v>
      </c>
      <c r="S1329" s="11"/>
      <c r="T1329" s="10">
        <f>+E1328</f>
        <v>0</v>
      </c>
      <c r="U1329" s="19" t="str">
        <f>IFERROR(LEFT(I1328,FIND("*",I1328)-1),"-")</f>
        <v>-</v>
      </c>
      <c r="V1329" s="19" t="str">
        <f>IFERROR(RIGHT(I1328,LEN(I1328)-FIND("*",I1328)),"-")</f>
        <v>-</v>
      </c>
      <c r="W1329" s="20" t="str">
        <f t="shared" si="718"/>
        <v>-</v>
      </c>
      <c r="X1329" s="20" t="str">
        <f t="shared" ref="X1329" si="723">IFERROR(W1329*J1328,"-")</f>
        <v>-</v>
      </c>
      <c r="Z1329" s="33">
        <v>45185</v>
      </c>
    </row>
    <row r="1330" spans="1:26" ht="6.95" customHeight="1" x14ac:dyDescent="0.3">
      <c r="A1330" s="5"/>
      <c r="B1330" s="157"/>
      <c r="C1330" s="158"/>
      <c r="D1330" s="161"/>
      <c r="E1330" s="162"/>
      <c r="F1330" s="163"/>
      <c r="G1330" s="164"/>
      <c r="H1330" s="165"/>
      <c r="I1330" s="164"/>
      <c r="J1330" s="165"/>
      <c r="K1330" s="164"/>
      <c r="L1330" s="165"/>
      <c r="M1330" s="6"/>
      <c r="N1330" s="32"/>
      <c r="Q1330" s="10" t="str">
        <f>+CONCATENATE(E1328,K1328)</f>
        <v/>
      </c>
      <c r="R1330" s="10">
        <f>+L1328</f>
        <v>0</v>
      </c>
      <c r="S1330" s="11"/>
      <c r="T1330" s="10">
        <f>+E1328</f>
        <v>0</v>
      </c>
      <c r="U1330" s="19" t="str">
        <f>IFERROR(LEFT(K1328,FIND("*",K1328)-1),"-")</f>
        <v>-</v>
      </c>
      <c r="V1330" s="19" t="str">
        <f>IFERROR(RIGHT(K1328,LEN(K1328)-FIND("*",K1328)),"-")</f>
        <v>-</v>
      </c>
      <c r="W1330" s="20" t="str">
        <f t="shared" si="718"/>
        <v>-</v>
      </c>
      <c r="X1330" s="20" t="str">
        <f>IFERROR(W1330*L1328,"-")</f>
        <v>-</v>
      </c>
      <c r="Z1330" s="33">
        <v>45185</v>
      </c>
    </row>
    <row r="1331" spans="1:26" ht="21" customHeight="1" thickBot="1" x14ac:dyDescent="0.35">
      <c r="A1331" s="5"/>
      <c r="B1331" s="159"/>
      <c r="C1331" s="160"/>
      <c r="D1331" s="166" t="s">
        <v>43</v>
      </c>
      <c r="E1331" s="167"/>
      <c r="F1331" s="167"/>
      <c r="G1331" s="168"/>
      <c r="H1331" s="168"/>
      <c r="I1331" s="168"/>
      <c r="J1331" s="168"/>
      <c r="K1331" s="168"/>
      <c r="L1331" s="168"/>
      <c r="M1331" s="7"/>
      <c r="N1331" s="32"/>
      <c r="Z1331" s="33">
        <v>45185</v>
      </c>
    </row>
    <row r="1332" spans="1:26" ht="9.9499999999999993" customHeight="1" thickBot="1" x14ac:dyDescent="0.35">
      <c r="B1332" s="9"/>
      <c r="C1332" s="109">
        <v>921</v>
      </c>
      <c r="D1332" s="51"/>
      <c r="E1332" s="12"/>
      <c r="F1332" s="51"/>
      <c r="G1332" s="14"/>
      <c r="H1332" s="14"/>
      <c r="I1332" s="14"/>
      <c r="J1332" s="14"/>
      <c r="K1332" s="14"/>
      <c r="L1332" s="14"/>
      <c r="M1332" s="9"/>
      <c r="N1332" s="32"/>
      <c r="U1332" s="18"/>
      <c r="V1332" s="18"/>
      <c r="Z1332" s="33">
        <v>45185</v>
      </c>
    </row>
    <row r="1333" spans="1:26" ht="6.95" customHeight="1" x14ac:dyDescent="0.3">
      <c r="A1333" s="154">
        <f>+A1322+1</f>
        <v>922</v>
      </c>
      <c r="B1333" s="155"/>
      <c r="C1333" s="156"/>
      <c r="D1333" s="161" t="s">
        <v>39</v>
      </c>
      <c r="E1333" s="162" t="s">
        <v>277</v>
      </c>
      <c r="F1333" s="163" t="s">
        <v>40</v>
      </c>
      <c r="G1333" s="164" t="s">
        <v>281</v>
      </c>
      <c r="H1333" s="165">
        <v>0.5</v>
      </c>
      <c r="I1333" s="164"/>
      <c r="J1333" s="165"/>
      <c r="K1333" s="164"/>
      <c r="L1333" s="165"/>
      <c r="M1333" s="6"/>
      <c r="N1333" s="32"/>
      <c r="Q1333" s="10" t="str">
        <f>+CONCATENATE(E1333,G1333)</f>
        <v>보온덕트벽체700*400</v>
      </c>
      <c r="R1333" s="10">
        <f>+H1333</f>
        <v>0.5</v>
      </c>
      <c r="S1333" s="11"/>
      <c r="T1333" s="10" t="str">
        <f>+E1333</f>
        <v>보온덕트벽체</v>
      </c>
      <c r="U1333" s="19" t="str">
        <f>IFERROR(LEFT(G1333,FIND("*",G1333)-1),"-")</f>
        <v>700</v>
      </c>
      <c r="V1333" s="19" t="str">
        <f>IFERROR(RIGHT(G1333,LEN(G1333)-FIND("*",G1333)),"-")</f>
        <v>400</v>
      </c>
      <c r="W1333" s="20">
        <f>IFERROR((U1333+V1333)*2/1000,"-")</f>
        <v>2.2000000000000002</v>
      </c>
      <c r="X1333" s="20">
        <f>IFERROR(W1333*H1333,"-")</f>
        <v>1.1000000000000001</v>
      </c>
      <c r="Z1333" s="33">
        <v>45185</v>
      </c>
    </row>
    <row r="1334" spans="1:26" ht="6.95" customHeight="1" x14ac:dyDescent="0.3">
      <c r="A1334" s="154"/>
      <c r="B1334" s="157"/>
      <c r="C1334" s="158"/>
      <c r="D1334" s="161"/>
      <c r="E1334" s="162"/>
      <c r="F1334" s="163"/>
      <c r="G1334" s="164"/>
      <c r="H1334" s="165"/>
      <c r="I1334" s="164"/>
      <c r="J1334" s="165"/>
      <c r="K1334" s="164"/>
      <c r="L1334" s="165"/>
      <c r="M1334" s="6"/>
      <c r="N1334" s="32"/>
      <c r="Q1334" s="10" t="str">
        <f>+CONCATENATE(E1333,I1333)</f>
        <v>보온덕트벽체</v>
      </c>
      <c r="R1334" s="10">
        <f>+J1333</f>
        <v>0</v>
      </c>
      <c r="S1334" s="11"/>
      <c r="T1334" s="10" t="str">
        <f>+E1333</f>
        <v>보온덕트벽체</v>
      </c>
      <c r="U1334" s="19" t="str">
        <f>IFERROR(LEFT(I1333,FIND("*",I1333)-1),"-")</f>
        <v>-</v>
      </c>
      <c r="V1334" s="19" t="str">
        <f>IFERROR(RIGHT(I1333,LEN(I1333)-FIND("*",I1333)),"-")</f>
        <v>-</v>
      </c>
      <c r="W1334" s="20" t="str">
        <f t="shared" ref="W1334:W1341" si="724">IFERROR((U1334+V1334)*2/1000,"-")</f>
        <v>-</v>
      </c>
      <c r="X1334" s="20" t="str">
        <f>IFERROR(W1334*J1333,"-")</f>
        <v>-</v>
      </c>
      <c r="Z1334" s="33">
        <v>45185</v>
      </c>
    </row>
    <row r="1335" spans="1:26" ht="6.95" customHeight="1" x14ac:dyDescent="0.3">
      <c r="A1335" s="154"/>
      <c r="B1335" s="157"/>
      <c r="C1335" s="158"/>
      <c r="D1335" s="161"/>
      <c r="E1335" s="162"/>
      <c r="F1335" s="163"/>
      <c r="G1335" s="164"/>
      <c r="H1335" s="165"/>
      <c r="I1335" s="164"/>
      <c r="J1335" s="165"/>
      <c r="K1335" s="164"/>
      <c r="L1335" s="165"/>
      <c r="M1335" s="6"/>
      <c r="N1335" s="32"/>
      <c r="Q1335" s="10" t="str">
        <f>+CONCATENATE(E1333,K1333)</f>
        <v>보온덕트벽체</v>
      </c>
      <c r="R1335" s="10">
        <f>+L1333</f>
        <v>0</v>
      </c>
      <c r="S1335" s="11"/>
      <c r="T1335" s="10" t="str">
        <f>+E1333</f>
        <v>보온덕트벽체</v>
      </c>
      <c r="U1335" s="19" t="str">
        <f>IFERROR(LEFT(K1333,FIND("*",K1333)-1),"-")</f>
        <v>-</v>
      </c>
      <c r="V1335" s="19" t="str">
        <f>IFERROR(RIGHT(K1333,LEN(K1333)-FIND("*",K1333)),"-")</f>
        <v>-</v>
      </c>
      <c r="W1335" s="20" t="str">
        <f t="shared" si="724"/>
        <v>-</v>
      </c>
      <c r="X1335" s="20" t="str">
        <f>IFERROR(W1335*L1333,"-")</f>
        <v>-</v>
      </c>
      <c r="Z1335" s="33">
        <v>45185</v>
      </c>
    </row>
    <row r="1336" spans="1:26" ht="6.95" customHeight="1" x14ac:dyDescent="0.3">
      <c r="A1336" s="8"/>
      <c r="B1336" s="157"/>
      <c r="C1336" s="158"/>
      <c r="D1336" s="161" t="s">
        <v>39</v>
      </c>
      <c r="E1336" s="162" t="s">
        <v>66</v>
      </c>
      <c r="F1336" s="163" t="s">
        <v>40</v>
      </c>
      <c r="G1336" s="164" t="s">
        <v>281</v>
      </c>
      <c r="H1336" s="165">
        <v>1</v>
      </c>
      <c r="I1336" s="164"/>
      <c r="J1336" s="165"/>
      <c r="K1336" s="164"/>
      <c r="L1336" s="165"/>
      <c r="M1336" s="6"/>
      <c r="N1336" s="32"/>
      <c r="Q1336" s="10" t="str">
        <f>+CONCATENATE(E1336,G1336)</f>
        <v>차열재마감700*400</v>
      </c>
      <c r="R1336" s="10">
        <f>+H1336</f>
        <v>1</v>
      </c>
      <c r="S1336" s="11"/>
      <c r="T1336" s="10" t="str">
        <f>+E1336</f>
        <v>차열재마감</v>
      </c>
      <c r="U1336" s="19" t="str">
        <f t="shared" ref="U1336" si="725">IFERROR(LEFT(G1336,FIND("*",G1336)-1),"-")</f>
        <v>700</v>
      </c>
      <c r="V1336" s="19" t="str">
        <f t="shared" ref="V1336" si="726">IFERROR(RIGHT(G1336,LEN(G1336)-FIND("*",G1336)),"-")</f>
        <v>400</v>
      </c>
      <c r="W1336" s="20">
        <f t="shared" si="724"/>
        <v>2.2000000000000002</v>
      </c>
      <c r="X1336" s="20">
        <f>IFERROR(W1336*H1336,"-")</f>
        <v>2.2000000000000002</v>
      </c>
      <c r="Z1336" s="33">
        <v>45185</v>
      </c>
    </row>
    <row r="1337" spans="1:26" ht="6.95" customHeight="1" x14ac:dyDescent="0.3">
      <c r="A1337" s="5"/>
      <c r="B1337" s="157"/>
      <c r="C1337" s="158"/>
      <c r="D1337" s="161"/>
      <c r="E1337" s="162"/>
      <c r="F1337" s="163"/>
      <c r="G1337" s="164"/>
      <c r="H1337" s="165"/>
      <c r="I1337" s="164"/>
      <c r="J1337" s="165"/>
      <c r="K1337" s="164"/>
      <c r="L1337" s="165"/>
      <c r="M1337" s="6"/>
      <c r="N1337" s="32"/>
      <c r="Q1337" s="10" t="str">
        <f>+CONCATENATE(E1336,I1336)</f>
        <v>차열재마감</v>
      </c>
      <c r="R1337" s="10">
        <f>+J1336</f>
        <v>0</v>
      </c>
      <c r="S1337" s="11"/>
      <c r="T1337" s="10" t="str">
        <f>+E1336</f>
        <v>차열재마감</v>
      </c>
      <c r="U1337" s="19" t="str">
        <f>IFERROR(LEFT(I1336,FIND("*",I1336)-1),"-")</f>
        <v>-</v>
      </c>
      <c r="V1337" s="19" t="str">
        <f>IFERROR(RIGHT(I1336,LEN(I1336)-FIND("*",I1336)),"-")</f>
        <v>-</v>
      </c>
      <c r="W1337" s="20" t="str">
        <f t="shared" si="724"/>
        <v>-</v>
      </c>
      <c r="X1337" s="20" t="str">
        <f>IFERROR(W1337*J1336,"-")</f>
        <v>-</v>
      </c>
      <c r="Z1337" s="33">
        <v>45185</v>
      </c>
    </row>
    <row r="1338" spans="1:26" ht="6.95" customHeight="1" x14ac:dyDescent="0.3">
      <c r="A1338" s="5"/>
      <c r="B1338" s="157"/>
      <c r="C1338" s="158"/>
      <c r="D1338" s="161"/>
      <c r="E1338" s="162"/>
      <c r="F1338" s="163"/>
      <c r="G1338" s="164"/>
      <c r="H1338" s="165"/>
      <c r="I1338" s="164"/>
      <c r="J1338" s="165"/>
      <c r="K1338" s="164"/>
      <c r="L1338" s="165"/>
      <c r="M1338" s="6"/>
      <c r="N1338" s="32"/>
      <c r="Q1338" s="10" t="str">
        <f>+CONCATENATE(E1336,K1336)</f>
        <v>차열재마감</v>
      </c>
      <c r="R1338" s="10">
        <f>+L1336</f>
        <v>0</v>
      </c>
      <c r="S1338" s="11"/>
      <c r="T1338" s="10" t="str">
        <f>+E1336</f>
        <v>차열재마감</v>
      </c>
      <c r="U1338" s="19" t="str">
        <f>IFERROR(LEFT(K1336,FIND("*",K1336)-1),"-")</f>
        <v>-</v>
      </c>
      <c r="V1338" s="19" t="str">
        <f>IFERROR(RIGHT(K1336,LEN(K1336)-FIND("*",K1336)),"-")</f>
        <v>-</v>
      </c>
      <c r="W1338" s="20" t="str">
        <f t="shared" si="724"/>
        <v>-</v>
      </c>
      <c r="X1338" s="20" t="str">
        <f>IFERROR(W1338*L1336,"-")</f>
        <v>-</v>
      </c>
      <c r="Z1338" s="33">
        <v>45185</v>
      </c>
    </row>
    <row r="1339" spans="1:26" ht="6.95" customHeight="1" x14ac:dyDescent="0.3">
      <c r="A1339" s="8"/>
      <c r="B1339" s="157"/>
      <c r="C1339" s="158"/>
      <c r="D1339" s="161" t="s">
        <v>39</v>
      </c>
      <c r="E1339" s="162"/>
      <c r="F1339" s="163" t="s">
        <v>40</v>
      </c>
      <c r="G1339" s="164"/>
      <c r="H1339" s="165"/>
      <c r="I1339" s="164"/>
      <c r="J1339" s="165"/>
      <c r="K1339" s="164"/>
      <c r="L1339" s="165"/>
      <c r="M1339" s="6"/>
      <c r="N1339" s="32"/>
      <c r="Q1339" s="10" t="str">
        <f>+CONCATENATE(E1339,G1339)</f>
        <v/>
      </c>
      <c r="R1339" s="10">
        <f>+H1339</f>
        <v>0</v>
      </c>
      <c r="S1339" s="11"/>
      <c r="T1339" s="10">
        <f>+E1339</f>
        <v>0</v>
      </c>
      <c r="U1339" s="19" t="str">
        <f t="shared" ref="U1339" si="727">IFERROR(LEFT(G1339,FIND("*",G1339)-1),"-")</f>
        <v>-</v>
      </c>
      <c r="V1339" s="19" t="str">
        <f t="shared" ref="V1339" si="728">IFERROR(RIGHT(G1339,LEN(G1339)-FIND("*",G1339)),"-")</f>
        <v>-</v>
      </c>
      <c r="W1339" s="20" t="str">
        <f t="shared" si="724"/>
        <v>-</v>
      </c>
      <c r="X1339" s="20" t="str">
        <f>IFERROR(W1339*H1339,"-")</f>
        <v>-</v>
      </c>
      <c r="Z1339" s="33">
        <v>45185</v>
      </c>
    </row>
    <row r="1340" spans="1:26" ht="6.95" customHeight="1" x14ac:dyDescent="0.3">
      <c r="A1340" s="5"/>
      <c r="B1340" s="157"/>
      <c r="C1340" s="158"/>
      <c r="D1340" s="161"/>
      <c r="E1340" s="162"/>
      <c r="F1340" s="163"/>
      <c r="G1340" s="164"/>
      <c r="H1340" s="165"/>
      <c r="I1340" s="164"/>
      <c r="J1340" s="165"/>
      <c r="K1340" s="164"/>
      <c r="L1340" s="165"/>
      <c r="M1340" s="6"/>
      <c r="N1340" s="32"/>
      <c r="Q1340" s="10" t="str">
        <f>+CONCATENATE(E1339,I1339)</f>
        <v/>
      </c>
      <c r="R1340" s="10">
        <f>+J1339</f>
        <v>0</v>
      </c>
      <c r="S1340" s="11"/>
      <c r="T1340" s="10">
        <f>+E1339</f>
        <v>0</v>
      </c>
      <c r="U1340" s="19" t="str">
        <f>IFERROR(LEFT(I1339,FIND("*",I1339)-1),"-")</f>
        <v>-</v>
      </c>
      <c r="V1340" s="19" t="str">
        <f>IFERROR(RIGHT(I1339,LEN(I1339)-FIND("*",I1339)),"-")</f>
        <v>-</v>
      </c>
      <c r="W1340" s="20" t="str">
        <f t="shared" si="724"/>
        <v>-</v>
      </c>
      <c r="X1340" s="20" t="str">
        <f t="shared" ref="X1340" si="729">IFERROR(W1340*J1339,"-")</f>
        <v>-</v>
      </c>
      <c r="Z1340" s="33">
        <v>45185</v>
      </c>
    </row>
    <row r="1341" spans="1:26" ht="6.95" customHeight="1" x14ac:dyDescent="0.3">
      <c r="A1341" s="5"/>
      <c r="B1341" s="157"/>
      <c r="C1341" s="158"/>
      <c r="D1341" s="161"/>
      <c r="E1341" s="162"/>
      <c r="F1341" s="163"/>
      <c r="G1341" s="164"/>
      <c r="H1341" s="165"/>
      <c r="I1341" s="164"/>
      <c r="J1341" s="165"/>
      <c r="K1341" s="164"/>
      <c r="L1341" s="165"/>
      <c r="M1341" s="6"/>
      <c r="N1341" s="32"/>
      <c r="Q1341" s="10" t="str">
        <f>+CONCATENATE(E1339,K1339)</f>
        <v/>
      </c>
      <c r="R1341" s="10">
        <f>+L1339</f>
        <v>0</v>
      </c>
      <c r="S1341" s="11"/>
      <c r="T1341" s="10">
        <f>+E1339</f>
        <v>0</v>
      </c>
      <c r="U1341" s="19" t="str">
        <f>IFERROR(LEFT(K1339,FIND("*",K1339)-1),"-")</f>
        <v>-</v>
      </c>
      <c r="V1341" s="19" t="str">
        <f>IFERROR(RIGHT(K1339,LEN(K1339)-FIND("*",K1339)),"-")</f>
        <v>-</v>
      </c>
      <c r="W1341" s="20" t="str">
        <f t="shared" si="724"/>
        <v>-</v>
      </c>
      <c r="X1341" s="20" t="str">
        <f>IFERROR(W1341*L1339,"-")</f>
        <v>-</v>
      </c>
      <c r="Z1341" s="33">
        <v>45185</v>
      </c>
    </row>
    <row r="1342" spans="1:26" ht="21" customHeight="1" thickBot="1" x14ac:dyDescent="0.35">
      <c r="A1342" s="5"/>
      <c r="B1342" s="159"/>
      <c r="C1342" s="160"/>
      <c r="D1342" s="166" t="s">
        <v>43</v>
      </c>
      <c r="E1342" s="167"/>
      <c r="F1342" s="167"/>
      <c r="G1342" s="168"/>
      <c r="H1342" s="168"/>
      <c r="I1342" s="168"/>
      <c r="J1342" s="168"/>
      <c r="K1342" s="168"/>
      <c r="L1342" s="168"/>
      <c r="M1342" s="7"/>
      <c r="N1342" s="32"/>
      <c r="Z1342" s="33">
        <v>45185</v>
      </c>
    </row>
    <row r="1343" spans="1:26" ht="9.9499999999999993" customHeight="1" thickBot="1" x14ac:dyDescent="0.35">
      <c r="B1343" s="9"/>
      <c r="C1343" s="109">
        <v>922</v>
      </c>
      <c r="D1343" s="51"/>
      <c r="E1343" s="12"/>
      <c r="F1343" s="51"/>
      <c r="G1343" s="14"/>
      <c r="H1343" s="14"/>
      <c r="I1343" s="14"/>
      <c r="J1343" s="14"/>
      <c r="K1343" s="14"/>
      <c r="L1343" s="14"/>
      <c r="M1343" s="9"/>
      <c r="N1343" s="32"/>
      <c r="U1343" s="18"/>
      <c r="V1343" s="18"/>
      <c r="Z1343" s="33">
        <v>45185</v>
      </c>
    </row>
    <row r="1344" spans="1:26" ht="6.95" customHeight="1" x14ac:dyDescent="0.3">
      <c r="A1344" s="154">
        <f>+A1333+1</f>
        <v>923</v>
      </c>
      <c r="B1344" s="155"/>
      <c r="C1344" s="156"/>
      <c r="D1344" s="161" t="s">
        <v>39</v>
      </c>
      <c r="E1344" s="162" t="s">
        <v>277</v>
      </c>
      <c r="F1344" s="163" t="s">
        <v>40</v>
      </c>
      <c r="G1344" s="164" t="s">
        <v>282</v>
      </c>
      <c r="H1344" s="165">
        <v>0.5</v>
      </c>
      <c r="I1344" s="164"/>
      <c r="J1344" s="165"/>
      <c r="K1344" s="164"/>
      <c r="L1344" s="165"/>
      <c r="M1344" s="6"/>
      <c r="N1344" s="32"/>
      <c r="Q1344" s="10" t="str">
        <f>+CONCATENATE(E1344,G1344)</f>
        <v>보온덕트벽체1400*400</v>
      </c>
      <c r="R1344" s="10">
        <f>+H1344</f>
        <v>0.5</v>
      </c>
      <c r="S1344" s="11"/>
      <c r="T1344" s="10" t="str">
        <f>+E1344</f>
        <v>보온덕트벽체</v>
      </c>
      <c r="U1344" s="19" t="str">
        <f>IFERROR(LEFT(G1344,FIND("*",G1344)-1),"-")</f>
        <v>1400</v>
      </c>
      <c r="V1344" s="19" t="str">
        <f>IFERROR(RIGHT(G1344,LEN(G1344)-FIND("*",G1344)),"-")</f>
        <v>400</v>
      </c>
      <c r="W1344" s="20">
        <f>IFERROR((U1344+V1344)*2/1000,"-")</f>
        <v>3.6</v>
      </c>
      <c r="X1344" s="20">
        <f>IFERROR(W1344*H1344,"-")</f>
        <v>1.8</v>
      </c>
      <c r="Z1344" s="33">
        <v>45185</v>
      </c>
    </row>
    <row r="1345" spans="1:26" ht="6.95" customHeight="1" x14ac:dyDescent="0.3">
      <c r="A1345" s="154"/>
      <c r="B1345" s="157"/>
      <c r="C1345" s="158"/>
      <c r="D1345" s="161"/>
      <c r="E1345" s="162"/>
      <c r="F1345" s="163"/>
      <c r="G1345" s="164"/>
      <c r="H1345" s="165"/>
      <c r="I1345" s="164"/>
      <c r="J1345" s="165"/>
      <c r="K1345" s="164"/>
      <c r="L1345" s="165"/>
      <c r="M1345" s="6"/>
      <c r="N1345" s="32"/>
      <c r="Q1345" s="10" t="str">
        <f>+CONCATENATE(E1344,I1344)</f>
        <v>보온덕트벽체</v>
      </c>
      <c r="R1345" s="10">
        <f>+J1344</f>
        <v>0</v>
      </c>
      <c r="S1345" s="11"/>
      <c r="T1345" s="10" t="str">
        <f>+E1344</f>
        <v>보온덕트벽체</v>
      </c>
      <c r="U1345" s="19" t="str">
        <f>IFERROR(LEFT(I1344,FIND("*",I1344)-1),"-")</f>
        <v>-</v>
      </c>
      <c r="V1345" s="19" t="str">
        <f>IFERROR(RIGHT(I1344,LEN(I1344)-FIND("*",I1344)),"-")</f>
        <v>-</v>
      </c>
      <c r="W1345" s="20" t="str">
        <f t="shared" ref="W1345:W1352" si="730">IFERROR((U1345+V1345)*2/1000,"-")</f>
        <v>-</v>
      </c>
      <c r="X1345" s="20" t="str">
        <f>IFERROR(W1345*J1344,"-")</f>
        <v>-</v>
      </c>
      <c r="Z1345" s="33">
        <v>45185</v>
      </c>
    </row>
    <row r="1346" spans="1:26" ht="6.95" customHeight="1" x14ac:dyDescent="0.3">
      <c r="A1346" s="154"/>
      <c r="B1346" s="157"/>
      <c r="C1346" s="158"/>
      <c r="D1346" s="161"/>
      <c r="E1346" s="162"/>
      <c r="F1346" s="163"/>
      <c r="G1346" s="164"/>
      <c r="H1346" s="165"/>
      <c r="I1346" s="164"/>
      <c r="J1346" s="165"/>
      <c r="K1346" s="164"/>
      <c r="L1346" s="165"/>
      <c r="M1346" s="6"/>
      <c r="N1346" s="32"/>
      <c r="Q1346" s="10" t="str">
        <f>+CONCATENATE(E1344,K1344)</f>
        <v>보온덕트벽체</v>
      </c>
      <c r="R1346" s="10">
        <f>+L1344</f>
        <v>0</v>
      </c>
      <c r="S1346" s="11"/>
      <c r="T1346" s="10" t="str">
        <f>+E1344</f>
        <v>보온덕트벽체</v>
      </c>
      <c r="U1346" s="19" t="str">
        <f>IFERROR(LEFT(K1344,FIND("*",K1344)-1),"-")</f>
        <v>-</v>
      </c>
      <c r="V1346" s="19" t="str">
        <f>IFERROR(RIGHT(K1344,LEN(K1344)-FIND("*",K1344)),"-")</f>
        <v>-</v>
      </c>
      <c r="W1346" s="20" t="str">
        <f t="shared" si="730"/>
        <v>-</v>
      </c>
      <c r="X1346" s="20" t="str">
        <f>IFERROR(W1346*L1344,"-")</f>
        <v>-</v>
      </c>
      <c r="Z1346" s="33">
        <v>45185</v>
      </c>
    </row>
    <row r="1347" spans="1:26" ht="6.95" customHeight="1" x14ac:dyDescent="0.3">
      <c r="A1347" s="8"/>
      <c r="B1347" s="157"/>
      <c r="C1347" s="158"/>
      <c r="D1347" s="161" t="s">
        <v>39</v>
      </c>
      <c r="E1347" s="162" t="s">
        <v>66</v>
      </c>
      <c r="F1347" s="163" t="s">
        <v>40</v>
      </c>
      <c r="G1347" s="164" t="s">
        <v>282</v>
      </c>
      <c r="H1347" s="165">
        <v>1</v>
      </c>
      <c r="I1347" s="164"/>
      <c r="J1347" s="165"/>
      <c r="K1347" s="164"/>
      <c r="L1347" s="165"/>
      <c r="M1347" s="6"/>
      <c r="N1347" s="32"/>
      <c r="Q1347" s="10" t="str">
        <f>+CONCATENATE(E1347,G1347)</f>
        <v>차열재마감1400*400</v>
      </c>
      <c r="R1347" s="10">
        <f>+H1347</f>
        <v>1</v>
      </c>
      <c r="S1347" s="11"/>
      <c r="T1347" s="10" t="str">
        <f>+E1347</f>
        <v>차열재마감</v>
      </c>
      <c r="U1347" s="19" t="str">
        <f t="shared" ref="U1347" si="731">IFERROR(LEFT(G1347,FIND("*",G1347)-1),"-")</f>
        <v>1400</v>
      </c>
      <c r="V1347" s="19" t="str">
        <f t="shared" ref="V1347" si="732">IFERROR(RIGHT(G1347,LEN(G1347)-FIND("*",G1347)),"-")</f>
        <v>400</v>
      </c>
      <c r="W1347" s="20">
        <f t="shared" si="730"/>
        <v>3.6</v>
      </c>
      <c r="X1347" s="20">
        <f>IFERROR(W1347*H1347,"-")</f>
        <v>3.6</v>
      </c>
      <c r="Z1347" s="33">
        <v>45185</v>
      </c>
    </row>
    <row r="1348" spans="1:26" ht="6.95" customHeight="1" x14ac:dyDescent="0.3">
      <c r="A1348" s="5"/>
      <c r="B1348" s="157"/>
      <c r="C1348" s="158"/>
      <c r="D1348" s="161"/>
      <c r="E1348" s="162"/>
      <c r="F1348" s="163"/>
      <c r="G1348" s="164"/>
      <c r="H1348" s="165"/>
      <c r="I1348" s="164"/>
      <c r="J1348" s="165"/>
      <c r="K1348" s="164"/>
      <c r="L1348" s="165"/>
      <c r="M1348" s="6"/>
      <c r="N1348" s="32"/>
      <c r="Q1348" s="10" t="str">
        <f>+CONCATENATE(E1347,I1347)</f>
        <v>차열재마감</v>
      </c>
      <c r="R1348" s="10">
        <f>+J1347</f>
        <v>0</v>
      </c>
      <c r="S1348" s="11"/>
      <c r="T1348" s="10" t="str">
        <f>+E1347</f>
        <v>차열재마감</v>
      </c>
      <c r="U1348" s="19" t="str">
        <f>IFERROR(LEFT(I1347,FIND("*",I1347)-1),"-")</f>
        <v>-</v>
      </c>
      <c r="V1348" s="19" t="str">
        <f>IFERROR(RIGHT(I1347,LEN(I1347)-FIND("*",I1347)),"-")</f>
        <v>-</v>
      </c>
      <c r="W1348" s="20" t="str">
        <f t="shared" si="730"/>
        <v>-</v>
      </c>
      <c r="X1348" s="20" t="str">
        <f>IFERROR(W1348*J1347,"-")</f>
        <v>-</v>
      </c>
      <c r="Z1348" s="33">
        <v>45185</v>
      </c>
    </row>
    <row r="1349" spans="1:26" ht="6.95" customHeight="1" x14ac:dyDescent="0.3">
      <c r="A1349" s="5"/>
      <c r="B1349" s="157"/>
      <c r="C1349" s="158"/>
      <c r="D1349" s="161"/>
      <c r="E1349" s="162"/>
      <c r="F1349" s="163"/>
      <c r="G1349" s="164"/>
      <c r="H1349" s="165"/>
      <c r="I1349" s="164"/>
      <c r="J1349" s="165"/>
      <c r="K1349" s="164"/>
      <c r="L1349" s="165"/>
      <c r="M1349" s="6"/>
      <c r="N1349" s="32"/>
      <c r="Q1349" s="10" t="str">
        <f>+CONCATENATE(E1347,K1347)</f>
        <v>차열재마감</v>
      </c>
      <c r="R1349" s="10">
        <f>+L1347</f>
        <v>0</v>
      </c>
      <c r="S1349" s="11"/>
      <c r="T1349" s="10" t="str">
        <f>+E1347</f>
        <v>차열재마감</v>
      </c>
      <c r="U1349" s="19" t="str">
        <f>IFERROR(LEFT(K1347,FIND("*",K1347)-1),"-")</f>
        <v>-</v>
      </c>
      <c r="V1349" s="19" t="str">
        <f>IFERROR(RIGHT(K1347,LEN(K1347)-FIND("*",K1347)),"-")</f>
        <v>-</v>
      </c>
      <c r="W1349" s="20" t="str">
        <f t="shared" si="730"/>
        <v>-</v>
      </c>
      <c r="X1349" s="20" t="str">
        <f>IFERROR(W1349*L1347,"-")</f>
        <v>-</v>
      </c>
      <c r="Z1349" s="33">
        <v>45185</v>
      </c>
    </row>
    <row r="1350" spans="1:26" ht="6.95" customHeight="1" x14ac:dyDescent="0.3">
      <c r="A1350" s="8"/>
      <c r="B1350" s="157"/>
      <c r="C1350" s="158"/>
      <c r="D1350" s="161" t="s">
        <v>39</v>
      </c>
      <c r="E1350" s="162"/>
      <c r="F1350" s="163" t="s">
        <v>40</v>
      </c>
      <c r="G1350" s="164"/>
      <c r="H1350" s="165"/>
      <c r="I1350" s="164"/>
      <c r="J1350" s="165"/>
      <c r="K1350" s="164"/>
      <c r="L1350" s="165"/>
      <c r="M1350" s="6"/>
      <c r="N1350" s="32"/>
      <c r="Q1350" s="10" t="str">
        <f>+CONCATENATE(E1350,G1350)</f>
        <v/>
      </c>
      <c r="R1350" s="10">
        <f>+H1350</f>
        <v>0</v>
      </c>
      <c r="S1350" s="11"/>
      <c r="T1350" s="10">
        <f>+E1350</f>
        <v>0</v>
      </c>
      <c r="U1350" s="19" t="str">
        <f t="shared" ref="U1350" si="733">IFERROR(LEFT(G1350,FIND("*",G1350)-1),"-")</f>
        <v>-</v>
      </c>
      <c r="V1350" s="19" t="str">
        <f t="shared" ref="V1350" si="734">IFERROR(RIGHT(G1350,LEN(G1350)-FIND("*",G1350)),"-")</f>
        <v>-</v>
      </c>
      <c r="W1350" s="20" t="str">
        <f t="shared" si="730"/>
        <v>-</v>
      </c>
      <c r="X1350" s="20" t="str">
        <f>IFERROR(W1350*H1350,"-")</f>
        <v>-</v>
      </c>
      <c r="Z1350" s="33">
        <v>45185</v>
      </c>
    </row>
    <row r="1351" spans="1:26" ht="6.95" customHeight="1" x14ac:dyDescent="0.3">
      <c r="A1351" s="5"/>
      <c r="B1351" s="157"/>
      <c r="C1351" s="158"/>
      <c r="D1351" s="161"/>
      <c r="E1351" s="162"/>
      <c r="F1351" s="163"/>
      <c r="G1351" s="164"/>
      <c r="H1351" s="165"/>
      <c r="I1351" s="164"/>
      <c r="J1351" s="165"/>
      <c r="K1351" s="164"/>
      <c r="L1351" s="165"/>
      <c r="M1351" s="6"/>
      <c r="N1351" s="32"/>
      <c r="Q1351" s="10" t="str">
        <f>+CONCATENATE(E1350,I1350)</f>
        <v/>
      </c>
      <c r="R1351" s="10">
        <f>+J1350</f>
        <v>0</v>
      </c>
      <c r="S1351" s="11"/>
      <c r="T1351" s="10">
        <f>+E1350</f>
        <v>0</v>
      </c>
      <c r="U1351" s="19" t="str">
        <f>IFERROR(LEFT(I1350,FIND("*",I1350)-1),"-")</f>
        <v>-</v>
      </c>
      <c r="V1351" s="19" t="str">
        <f>IFERROR(RIGHT(I1350,LEN(I1350)-FIND("*",I1350)),"-")</f>
        <v>-</v>
      </c>
      <c r="W1351" s="20" t="str">
        <f t="shared" si="730"/>
        <v>-</v>
      </c>
      <c r="X1351" s="20" t="str">
        <f t="shared" ref="X1351" si="735">IFERROR(W1351*J1350,"-")</f>
        <v>-</v>
      </c>
      <c r="Z1351" s="33">
        <v>45185</v>
      </c>
    </row>
    <row r="1352" spans="1:26" ht="6.95" customHeight="1" x14ac:dyDescent="0.3">
      <c r="A1352" s="5"/>
      <c r="B1352" s="157"/>
      <c r="C1352" s="158"/>
      <c r="D1352" s="161"/>
      <c r="E1352" s="162"/>
      <c r="F1352" s="163"/>
      <c r="G1352" s="164"/>
      <c r="H1352" s="165"/>
      <c r="I1352" s="164"/>
      <c r="J1352" s="165"/>
      <c r="K1352" s="164"/>
      <c r="L1352" s="165"/>
      <c r="M1352" s="6"/>
      <c r="N1352" s="32"/>
      <c r="Q1352" s="10" t="str">
        <f>+CONCATENATE(E1350,K1350)</f>
        <v/>
      </c>
      <c r="R1352" s="10">
        <f>+L1350</f>
        <v>0</v>
      </c>
      <c r="S1352" s="11"/>
      <c r="T1352" s="10">
        <f>+E1350</f>
        <v>0</v>
      </c>
      <c r="U1352" s="19" t="str">
        <f>IFERROR(LEFT(K1350,FIND("*",K1350)-1),"-")</f>
        <v>-</v>
      </c>
      <c r="V1352" s="19" t="str">
        <f>IFERROR(RIGHT(K1350,LEN(K1350)-FIND("*",K1350)),"-")</f>
        <v>-</v>
      </c>
      <c r="W1352" s="20" t="str">
        <f t="shared" si="730"/>
        <v>-</v>
      </c>
      <c r="X1352" s="20" t="str">
        <f>IFERROR(W1352*L1350,"-")</f>
        <v>-</v>
      </c>
      <c r="Z1352" s="33">
        <v>45185</v>
      </c>
    </row>
    <row r="1353" spans="1:26" ht="21" customHeight="1" thickBot="1" x14ac:dyDescent="0.35">
      <c r="A1353" s="5"/>
      <c r="B1353" s="159"/>
      <c r="C1353" s="160"/>
      <c r="D1353" s="166" t="s">
        <v>43</v>
      </c>
      <c r="E1353" s="167"/>
      <c r="F1353" s="167"/>
      <c r="G1353" s="168"/>
      <c r="H1353" s="168"/>
      <c r="I1353" s="168"/>
      <c r="J1353" s="168"/>
      <c r="K1353" s="168"/>
      <c r="L1353" s="168"/>
      <c r="M1353" s="7"/>
      <c r="N1353" s="32"/>
      <c r="Z1353" s="33">
        <v>45185</v>
      </c>
    </row>
    <row r="1354" spans="1:26" ht="9.9499999999999993" customHeight="1" thickBot="1" x14ac:dyDescent="0.35">
      <c r="B1354" s="9"/>
      <c r="C1354" s="109">
        <v>923</v>
      </c>
      <c r="D1354" s="51"/>
      <c r="E1354" s="12"/>
      <c r="F1354" s="51"/>
      <c r="G1354" s="14"/>
      <c r="H1354" s="14"/>
      <c r="I1354" s="14"/>
      <c r="J1354" s="14"/>
      <c r="K1354" s="14"/>
      <c r="L1354" s="14"/>
      <c r="M1354" s="9"/>
      <c r="N1354" s="32"/>
      <c r="U1354" s="18"/>
      <c r="V1354" s="18"/>
      <c r="Z1354" s="33">
        <v>45185</v>
      </c>
    </row>
    <row r="1355" spans="1:26" ht="6.95" customHeight="1" x14ac:dyDescent="0.3">
      <c r="A1355" s="154">
        <f>+A1344+1</f>
        <v>924</v>
      </c>
      <c r="B1355" s="155"/>
      <c r="C1355" s="156"/>
      <c r="D1355" s="161" t="s">
        <v>39</v>
      </c>
      <c r="E1355" s="162" t="s">
        <v>277</v>
      </c>
      <c r="F1355" s="163" t="s">
        <v>40</v>
      </c>
      <c r="G1355" s="164" t="s">
        <v>283</v>
      </c>
      <c r="H1355" s="165">
        <v>0.5</v>
      </c>
      <c r="I1355" s="164"/>
      <c r="J1355" s="165"/>
      <c r="K1355" s="164"/>
      <c r="L1355" s="165"/>
      <c r="M1355" s="6"/>
      <c r="N1355" s="32"/>
      <c r="Q1355" s="10" t="str">
        <f>+CONCATENATE(E1355,G1355)</f>
        <v>보온덕트벽체800*400</v>
      </c>
      <c r="R1355" s="10">
        <f>+H1355</f>
        <v>0.5</v>
      </c>
      <c r="S1355" s="11"/>
      <c r="T1355" s="10" t="str">
        <f>+E1355</f>
        <v>보온덕트벽체</v>
      </c>
      <c r="U1355" s="19" t="str">
        <f>IFERROR(LEFT(G1355,FIND("*",G1355)-1),"-")</f>
        <v>800</v>
      </c>
      <c r="V1355" s="19" t="str">
        <f>IFERROR(RIGHT(G1355,LEN(G1355)-FIND("*",G1355)),"-")</f>
        <v>400</v>
      </c>
      <c r="W1355" s="20">
        <f>IFERROR((U1355+V1355)*2/1000,"-")</f>
        <v>2.4</v>
      </c>
      <c r="X1355" s="20">
        <f>IFERROR(W1355*H1355,"-")</f>
        <v>1.2</v>
      </c>
      <c r="Z1355" s="33">
        <v>45185</v>
      </c>
    </row>
    <row r="1356" spans="1:26" ht="6.95" customHeight="1" x14ac:dyDescent="0.3">
      <c r="A1356" s="154"/>
      <c r="B1356" s="157"/>
      <c r="C1356" s="158"/>
      <c r="D1356" s="161"/>
      <c r="E1356" s="162"/>
      <c r="F1356" s="163"/>
      <c r="G1356" s="164"/>
      <c r="H1356" s="165"/>
      <c r="I1356" s="164"/>
      <c r="J1356" s="165"/>
      <c r="K1356" s="164"/>
      <c r="L1356" s="165"/>
      <c r="M1356" s="6"/>
      <c r="N1356" s="32"/>
      <c r="Q1356" s="10" t="str">
        <f>+CONCATENATE(E1355,I1355)</f>
        <v>보온덕트벽체</v>
      </c>
      <c r="R1356" s="10">
        <f>+J1355</f>
        <v>0</v>
      </c>
      <c r="S1356" s="11"/>
      <c r="T1356" s="10" t="str">
        <f>+E1355</f>
        <v>보온덕트벽체</v>
      </c>
      <c r="U1356" s="19" t="str">
        <f>IFERROR(LEFT(I1355,FIND("*",I1355)-1),"-")</f>
        <v>-</v>
      </c>
      <c r="V1356" s="19" t="str">
        <f>IFERROR(RIGHT(I1355,LEN(I1355)-FIND("*",I1355)),"-")</f>
        <v>-</v>
      </c>
      <c r="W1356" s="20" t="str">
        <f t="shared" ref="W1356:W1363" si="736">IFERROR((U1356+V1356)*2/1000,"-")</f>
        <v>-</v>
      </c>
      <c r="X1356" s="20" t="str">
        <f>IFERROR(W1356*J1355,"-")</f>
        <v>-</v>
      </c>
      <c r="Z1356" s="33">
        <v>45185</v>
      </c>
    </row>
    <row r="1357" spans="1:26" ht="6.95" customHeight="1" x14ac:dyDescent="0.3">
      <c r="A1357" s="154"/>
      <c r="B1357" s="157"/>
      <c r="C1357" s="158"/>
      <c r="D1357" s="161"/>
      <c r="E1357" s="162"/>
      <c r="F1357" s="163"/>
      <c r="G1357" s="164"/>
      <c r="H1357" s="165"/>
      <c r="I1357" s="164"/>
      <c r="J1357" s="165"/>
      <c r="K1357" s="164"/>
      <c r="L1357" s="165"/>
      <c r="M1357" s="6"/>
      <c r="N1357" s="32"/>
      <c r="Q1357" s="10" t="str">
        <f>+CONCATENATE(E1355,K1355)</f>
        <v>보온덕트벽체</v>
      </c>
      <c r="R1357" s="10">
        <f>+L1355</f>
        <v>0</v>
      </c>
      <c r="S1357" s="11"/>
      <c r="T1357" s="10" t="str">
        <f>+E1355</f>
        <v>보온덕트벽체</v>
      </c>
      <c r="U1357" s="19" t="str">
        <f>IFERROR(LEFT(K1355,FIND("*",K1355)-1),"-")</f>
        <v>-</v>
      </c>
      <c r="V1357" s="19" t="str">
        <f>IFERROR(RIGHT(K1355,LEN(K1355)-FIND("*",K1355)),"-")</f>
        <v>-</v>
      </c>
      <c r="W1357" s="20" t="str">
        <f t="shared" si="736"/>
        <v>-</v>
      </c>
      <c r="X1357" s="20" t="str">
        <f>IFERROR(W1357*L1355,"-")</f>
        <v>-</v>
      </c>
      <c r="Z1357" s="33">
        <v>45185</v>
      </c>
    </row>
    <row r="1358" spans="1:26" ht="6.95" customHeight="1" x14ac:dyDescent="0.3">
      <c r="A1358" s="8"/>
      <c r="B1358" s="157"/>
      <c r="C1358" s="158"/>
      <c r="D1358" s="161" t="s">
        <v>39</v>
      </c>
      <c r="E1358" s="162" t="s">
        <v>66</v>
      </c>
      <c r="F1358" s="163" t="s">
        <v>40</v>
      </c>
      <c r="G1358" s="164" t="s">
        <v>283</v>
      </c>
      <c r="H1358" s="165">
        <v>1</v>
      </c>
      <c r="I1358" s="164"/>
      <c r="J1358" s="165"/>
      <c r="K1358" s="164"/>
      <c r="L1358" s="165"/>
      <c r="M1358" s="6"/>
      <c r="N1358" s="32"/>
      <c r="Q1358" s="10" t="str">
        <f>+CONCATENATE(E1358,G1358)</f>
        <v>차열재마감800*400</v>
      </c>
      <c r="R1358" s="10">
        <f>+H1358</f>
        <v>1</v>
      </c>
      <c r="S1358" s="11"/>
      <c r="T1358" s="10" t="str">
        <f>+E1358</f>
        <v>차열재마감</v>
      </c>
      <c r="U1358" s="19" t="str">
        <f t="shared" ref="U1358" si="737">IFERROR(LEFT(G1358,FIND("*",G1358)-1),"-")</f>
        <v>800</v>
      </c>
      <c r="V1358" s="19" t="str">
        <f t="shared" ref="V1358" si="738">IFERROR(RIGHT(G1358,LEN(G1358)-FIND("*",G1358)),"-")</f>
        <v>400</v>
      </c>
      <c r="W1358" s="20">
        <f t="shared" si="736"/>
        <v>2.4</v>
      </c>
      <c r="X1358" s="20">
        <f>IFERROR(W1358*H1358,"-")</f>
        <v>2.4</v>
      </c>
      <c r="Z1358" s="33">
        <v>45185</v>
      </c>
    </row>
    <row r="1359" spans="1:26" ht="6.95" customHeight="1" x14ac:dyDescent="0.3">
      <c r="A1359" s="5"/>
      <c r="B1359" s="157"/>
      <c r="C1359" s="158"/>
      <c r="D1359" s="161"/>
      <c r="E1359" s="162"/>
      <c r="F1359" s="163"/>
      <c r="G1359" s="164"/>
      <c r="H1359" s="165"/>
      <c r="I1359" s="164"/>
      <c r="J1359" s="165"/>
      <c r="K1359" s="164"/>
      <c r="L1359" s="165"/>
      <c r="M1359" s="6"/>
      <c r="N1359" s="32"/>
      <c r="Q1359" s="10" t="str">
        <f>+CONCATENATE(E1358,I1358)</f>
        <v>차열재마감</v>
      </c>
      <c r="R1359" s="10">
        <f>+J1358</f>
        <v>0</v>
      </c>
      <c r="S1359" s="11"/>
      <c r="T1359" s="10" t="str">
        <f>+E1358</f>
        <v>차열재마감</v>
      </c>
      <c r="U1359" s="19" t="str">
        <f>IFERROR(LEFT(I1358,FIND("*",I1358)-1),"-")</f>
        <v>-</v>
      </c>
      <c r="V1359" s="19" t="str">
        <f>IFERROR(RIGHT(I1358,LEN(I1358)-FIND("*",I1358)),"-")</f>
        <v>-</v>
      </c>
      <c r="W1359" s="20" t="str">
        <f t="shared" si="736"/>
        <v>-</v>
      </c>
      <c r="X1359" s="20" t="str">
        <f>IFERROR(W1359*J1358,"-")</f>
        <v>-</v>
      </c>
      <c r="Z1359" s="33">
        <v>45185</v>
      </c>
    </row>
    <row r="1360" spans="1:26" ht="6.95" customHeight="1" x14ac:dyDescent="0.3">
      <c r="A1360" s="5"/>
      <c r="B1360" s="157"/>
      <c r="C1360" s="158"/>
      <c r="D1360" s="161"/>
      <c r="E1360" s="162"/>
      <c r="F1360" s="163"/>
      <c r="G1360" s="164"/>
      <c r="H1360" s="165"/>
      <c r="I1360" s="164"/>
      <c r="J1360" s="165"/>
      <c r="K1360" s="164"/>
      <c r="L1360" s="165"/>
      <c r="M1360" s="6"/>
      <c r="N1360" s="32"/>
      <c r="Q1360" s="10" t="str">
        <f>+CONCATENATE(E1358,K1358)</f>
        <v>차열재마감</v>
      </c>
      <c r="R1360" s="10">
        <f>+L1358</f>
        <v>0</v>
      </c>
      <c r="S1360" s="11"/>
      <c r="T1360" s="10" t="str">
        <f>+E1358</f>
        <v>차열재마감</v>
      </c>
      <c r="U1360" s="19" t="str">
        <f>IFERROR(LEFT(K1358,FIND("*",K1358)-1),"-")</f>
        <v>-</v>
      </c>
      <c r="V1360" s="19" t="str">
        <f>IFERROR(RIGHT(K1358,LEN(K1358)-FIND("*",K1358)),"-")</f>
        <v>-</v>
      </c>
      <c r="W1360" s="20" t="str">
        <f t="shared" si="736"/>
        <v>-</v>
      </c>
      <c r="X1360" s="20" t="str">
        <f>IFERROR(W1360*L1358,"-")</f>
        <v>-</v>
      </c>
      <c r="Z1360" s="33">
        <v>45185</v>
      </c>
    </row>
    <row r="1361" spans="1:26" ht="6.95" customHeight="1" x14ac:dyDescent="0.3">
      <c r="A1361" s="8"/>
      <c r="B1361" s="157"/>
      <c r="C1361" s="158"/>
      <c r="D1361" s="161" t="s">
        <v>39</v>
      </c>
      <c r="E1361" s="162"/>
      <c r="F1361" s="163" t="s">
        <v>40</v>
      </c>
      <c r="G1361" s="164"/>
      <c r="H1361" s="165"/>
      <c r="I1361" s="164"/>
      <c r="J1361" s="165"/>
      <c r="K1361" s="164"/>
      <c r="L1361" s="165"/>
      <c r="M1361" s="6"/>
      <c r="N1361" s="32"/>
      <c r="Q1361" s="10" t="str">
        <f>+CONCATENATE(E1361,G1361)</f>
        <v/>
      </c>
      <c r="R1361" s="10">
        <f>+H1361</f>
        <v>0</v>
      </c>
      <c r="S1361" s="11"/>
      <c r="T1361" s="10">
        <f>+E1361</f>
        <v>0</v>
      </c>
      <c r="U1361" s="19" t="str">
        <f t="shared" ref="U1361" si="739">IFERROR(LEFT(G1361,FIND("*",G1361)-1),"-")</f>
        <v>-</v>
      </c>
      <c r="V1361" s="19" t="str">
        <f t="shared" ref="V1361" si="740">IFERROR(RIGHT(G1361,LEN(G1361)-FIND("*",G1361)),"-")</f>
        <v>-</v>
      </c>
      <c r="W1361" s="20" t="str">
        <f t="shared" si="736"/>
        <v>-</v>
      </c>
      <c r="X1361" s="20" t="str">
        <f>IFERROR(W1361*H1361,"-")</f>
        <v>-</v>
      </c>
      <c r="Z1361" s="33">
        <v>45185</v>
      </c>
    </row>
    <row r="1362" spans="1:26" ht="6.95" customHeight="1" x14ac:dyDescent="0.3">
      <c r="A1362" s="5"/>
      <c r="B1362" s="157"/>
      <c r="C1362" s="158"/>
      <c r="D1362" s="161"/>
      <c r="E1362" s="162"/>
      <c r="F1362" s="163"/>
      <c r="G1362" s="164"/>
      <c r="H1362" s="165"/>
      <c r="I1362" s="164"/>
      <c r="J1362" s="165"/>
      <c r="K1362" s="164"/>
      <c r="L1362" s="165"/>
      <c r="M1362" s="6"/>
      <c r="N1362" s="32"/>
      <c r="Q1362" s="10" t="str">
        <f>+CONCATENATE(E1361,I1361)</f>
        <v/>
      </c>
      <c r="R1362" s="10">
        <f>+J1361</f>
        <v>0</v>
      </c>
      <c r="S1362" s="11"/>
      <c r="T1362" s="10">
        <f>+E1361</f>
        <v>0</v>
      </c>
      <c r="U1362" s="19" t="str">
        <f>IFERROR(LEFT(I1361,FIND("*",I1361)-1),"-")</f>
        <v>-</v>
      </c>
      <c r="V1362" s="19" t="str">
        <f>IFERROR(RIGHT(I1361,LEN(I1361)-FIND("*",I1361)),"-")</f>
        <v>-</v>
      </c>
      <c r="W1362" s="20" t="str">
        <f t="shared" si="736"/>
        <v>-</v>
      </c>
      <c r="X1362" s="20" t="str">
        <f t="shared" ref="X1362" si="741">IFERROR(W1362*J1361,"-")</f>
        <v>-</v>
      </c>
      <c r="Z1362" s="33">
        <v>45185</v>
      </c>
    </row>
    <row r="1363" spans="1:26" ht="6.95" customHeight="1" x14ac:dyDescent="0.3">
      <c r="A1363" s="5"/>
      <c r="B1363" s="157"/>
      <c r="C1363" s="158"/>
      <c r="D1363" s="161"/>
      <c r="E1363" s="162"/>
      <c r="F1363" s="163"/>
      <c r="G1363" s="164"/>
      <c r="H1363" s="165"/>
      <c r="I1363" s="164"/>
      <c r="J1363" s="165"/>
      <c r="K1363" s="164"/>
      <c r="L1363" s="165"/>
      <c r="M1363" s="6"/>
      <c r="N1363" s="32"/>
      <c r="Q1363" s="10" t="str">
        <f>+CONCATENATE(E1361,K1361)</f>
        <v/>
      </c>
      <c r="R1363" s="10">
        <f>+L1361</f>
        <v>0</v>
      </c>
      <c r="S1363" s="11"/>
      <c r="T1363" s="10">
        <f>+E1361</f>
        <v>0</v>
      </c>
      <c r="U1363" s="19" t="str">
        <f>IFERROR(LEFT(K1361,FIND("*",K1361)-1),"-")</f>
        <v>-</v>
      </c>
      <c r="V1363" s="19" t="str">
        <f>IFERROR(RIGHT(K1361,LEN(K1361)-FIND("*",K1361)),"-")</f>
        <v>-</v>
      </c>
      <c r="W1363" s="20" t="str">
        <f t="shared" si="736"/>
        <v>-</v>
      </c>
      <c r="X1363" s="20" t="str">
        <f>IFERROR(W1363*L1361,"-")</f>
        <v>-</v>
      </c>
      <c r="Z1363" s="33">
        <v>45185</v>
      </c>
    </row>
    <row r="1364" spans="1:26" ht="21" customHeight="1" thickBot="1" x14ac:dyDescent="0.35">
      <c r="A1364" s="5"/>
      <c r="B1364" s="159"/>
      <c r="C1364" s="160"/>
      <c r="D1364" s="166" t="s">
        <v>43</v>
      </c>
      <c r="E1364" s="167"/>
      <c r="F1364" s="167"/>
      <c r="G1364" s="168"/>
      <c r="H1364" s="168"/>
      <c r="I1364" s="168"/>
      <c r="J1364" s="168"/>
      <c r="K1364" s="168"/>
      <c r="L1364" s="168"/>
      <c r="M1364" s="7"/>
      <c r="N1364" s="32"/>
      <c r="Z1364" s="33">
        <v>45185</v>
      </c>
    </row>
    <row r="1365" spans="1:26" ht="9.9499999999999993" customHeight="1" thickBot="1" x14ac:dyDescent="0.35">
      <c r="B1365" s="9"/>
      <c r="C1365" s="109">
        <v>924</v>
      </c>
      <c r="D1365" s="51"/>
      <c r="E1365" s="12"/>
      <c r="F1365" s="51"/>
      <c r="G1365" s="14"/>
      <c r="H1365" s="14"/>
      <c r="I1365" s="14"/>
      <c r="J1365" s="14"/>
      <c r="K1365" s="14"/>
      <c r="L1365" s="14"/>
      <c r="M1365" s="9"/>
      <c r="N1365" s="32"/>
      <c r="U1365" s="18"/>
      <c r="V1365" s="18"/>
      <c r="Z1365" s="33">
        <v>45185</v>
      </c>
    </row>
    <row r="1366" spans="1:26" ht="6.95" customHeight="1" x14ac:dyDescent="0.3">
      <c r="A1366" s="154">
        <f>+A1355+1</f>
        <v>925</v>
      </c>
      <c r="B1366" s="155"/>
      <c r="C1366" s="156"/>
      <c r="D1366" s="161" t="s">
        <v>39</v>
      </c>
      <c r="E1366" s="162" t="s">
        <v>266</v>
      </c>
      <c r="F1366" s="163" t="s">
        <v>40</v>
      </c>
      <c r="G1366" s="164">
        <v>150</v>
      </c>
      <c r="H1366" s="165">
        <v>0.5</v>
      </c>
      <c r="I1366" s="164"/>
      <c r="J1366" s="165"/>
      <c r="K1366" s="164"/>
      <c r="L1366" s="165"/>
      <c r="M1366" s="6"/>
      <c r="N1366" s="32"/>
      <c r="Q1366" s="10" t="str">
        <f>+CONCATENATE(E1366,G1366)</f>
        <v>금속관벽체150</v>
      </c>
      <c r="R1366" s="10">
        <f>+H1366</f>
        <v>0.5</v>
      </c>
      <c r="S1366" s="11"/>
      <c r="T1366" s="10" t="str">
        <f>+E1366</f>
        <v>금속관벽체</v>
      </c>
      <c r="U1366" s="19" t="str">
        <f>IFERROR(LEFT(G1366,FIND("*",G1366)-1),"-")</f>
        <v>-</v>
      </c>
      <c r="V1366" s="19" t="str">
        <f>IFERROR(RIGHT(G1366,LEN(G1366)-FIND("*",G1366)),"-")</f>
        <v>-</v>
      </c>
      <c r="W1366" s="20" t="str">
        <f>IFERROR((U1366+V1366)*2/1000,"-")</f>
        <v>-</v>
      </c>
      <c r="X1366" s="20" t="str">
        <f>IFERROR(W1366*H1366,"-")</f>
        <v>-</v>
      </c>
      <c r="Z1366" s="33">
        <v>45185</v>
      </c>
    </row>
    <row r="1367" spans="1:26" ht="6.95" customHeight="1" x14ac:dyDescent="0.3">
      <c r="A1367" s="154"/>
      <c r="B1367" s="157"/>
      <c r="C1367" s="158"/>
      <c r="D1367" s="161"/>
      <c r="E1367" s="162"/>
      <c r="F1367" s="163"/>
      <c r="G1367" s="164"/>
      <c r="H1367" s="165"/>
      <c r="I1367" s="164"/>
      <c r="J1367" s="165"/>
      <c r="K1367" s="164"/>
      <c r="L1367" s="165"/>
      <c r="M1367" s="6"/>
      <c r="N1367" s="32"/>
      <c r="Q1367" s="10" t="str">
        <f>+CONCATENATE(E1366,I1366)</f>
        <v>금속관벽체</v>
      </c>
      <c r="R1367" s="10">
        <f>+J1366</f>
        <v>0</v>
      </c>
      <c r="S1367" s="11"/>
      <c r="T1367" s="10" t="str">
        <f>+E1366</f>
        <v>금속관벽체</v>
      </c>
      <c r="U1367" s="19" t="str">
        <f>IFERROR(LEFT(I1366,FIND("*",I1366)-1),"-")</f>
        <v>-</v>
      </c>
      <c r="V1367" s="19" t="str">
        <f>IFERROR(RIGHT(I1366,LEN(I1366)-FIND("*",I1366)),"-")</f>
        <v>-</v>
      </c>
      <c r="W1367" s="20" t="str">
        <f t="shared" ref="W1367:W1374" si="742">IFERROR((U1367+V1367)*2/1000,"-")</f>
        <v>-</v>
      </c>
      <c r="X1367" s="20" t="str">
        <f>IFERROR(W1367*J1366,"-")</f>
        <v>-</v>
      </c>
      <c r="Z1367" s="33">
        <v>45185</v>
      </c>
    </row>
    <row r="1368" spans="1:26" ht="6.95" customHeight="1" x14ac:dyDescent="0.3">
      <c r="A1368" s="154"/>
      <c r="B1368" s="157"/>
      <c r="C1368" s="158"/>
      <c r="D1368" s="161"/>
      <c r="E1368" s="162"/>
      <c r="F1368" s="163"/>
      <c r="G1368" s="164"/>
      <c r="H1368" s="165"/>
      <c r="I1368" s="164"/>
      <c r="J1368" s="165"/>
      <c r="K1368" s="164"/>
      <c r="L1368" s="165"/>
      <c r="M1368" s="6"/>
      <c r="N1368" s="32"/>
      <c r="Q1368" s="10" t="str">
        <f>+CONCATENATE(E1366,K1366)</f>
        <v>금속관벽체</v>
      </c>
      <c r="R1368" s="10">
        <f>+L1366</f>
        <v>0</v>
      </c>
      <c r="S1368" s="11"/>
      <c r="T1368" s="10" t="str">
        <f>+E1366</f>
        <v>금속관벽체</v>
      </c>
      <c r="U1368" s="19" t="str">
        <f>IFERROR(LEFT(K1366,FIND("*",K1366)-1),"-")</f>
        <v>-</v>
      </c>
      <c r="V1368" s="19" t="str">
        <f>IFERROR(RIGHT(K1366,LEN(K1366)-FIND("*",K1366)),"-")</f>
        <v>-</v>
      </c>
      <c r="W1368" s="20" t="str">
        <f t="shared" si="742"/>
        <v>-</v>
      </c>
      <c r="X1368" s="20" t="str">
        <f>IFERROR(W1368*L1366,"-")</f>
        <v>-</v>
      </c>
      <c r="Z1368" s="33">
        <v>45185</v>
      </c>
    </row>
    <row r="1369" spans="1:26" ht="6.95" customHeight="1" x14ac:dyDescent="0.3">
      <c r="A1369" s="8"/>
      <c r="B1369" s="157"/>
      <c r="C1369" s="158"/>
      <c r="D1369" s="161" t="s">
        <v>39</v>
      </c>
      <c r="E1369" s="162"/>
      <c r="F1369" s="163" t="s">
        <v>40</v>
      </c>
      <c r="G1369" s="164"/>
      <c r="H1369" s="165"/>
      <c r="I1369" s="164"/>
      <c r="J1369" s="165"/>
      <c r="K1369" s="164"/>
      <c r="L1369" s="165"/>
      <c r="M1369" s="6"/>
      <c r="N1369" s="32"/>
      <c r="Q1369" s="10" t="str">
        <f>+CONCATENATE(E1369,G1369)</f>
        <v/>
      </c>
      <c r="R1369" s="10">
        <f>+H1369</f>
        <v>0</v>
      </c>
      <c r="S1369" s="11"/>
      <c r="T1369" s="10">
        <f>+E1369</f>
        <v>0</v>
      </c>
      <c r="U1369" s="19" t="str">
        <f t="shared" ref="U1369" si="743">IFERROR(LEFT(G1369,FIND("*",G1369)-1),"-")</f>
        <v>-</v>
      </c>
      <c r="V1369" s="19" t="str">
        <f t="shared" ref="V1369" si="744">IFERROR(RIGHT(G1369,LEN(G1369)-FIND("*",G1369)),"-")</f>
        <v>-</v>
      </c>
      <c r="W1369" s="20" t="str">
        <f t="shared" si="742"/>
        <v>-</v>
      </c>
      <c r="X1369" s="20" t="str">
        <f>IFERROR(W1369*H1369,"-")</f>
        <v>-</v>
      </c>
      <c r="Z1369" s="33">
        <v>45185</v>
      </c>
    </row>
    <row r="1370" spans="1:26" ht="6.95" customHeight="1" x14ac:dyDescent="0.3">
      <c r="A1370" s="5"/>
      <c r="B1370" s="157"/>
      <c r="C1370" s="158"/>
      <c r="D1370" s="161"/>
      <c r="E1370" s="162"/>
      <c r="F1370" s="163"/>
      <c r="G1370" s="164"/>
      <c r="H1370" s="165"/>
      <c r="I1370" s="164"/>
      <c r="J1370" s="165"/>
      <c r="K1370" s="164"/>
      <c r="L1370" s="165"/>
      <c r="M1370" s="6"/>
      <c r="N1370" s="32"/>
      <c r="Q1370" s="10" t="str">
        <f>+CONCATENATE(E1369,I1369)</f>
        <v/>
      </c>
      <c r="R1370" s="10">
        <f>+J1369</f>
        <v>0</v>
      </c>
      <c r="S1370" s="11"/>
      <c r="T1370" s="10">
        <f>+E1369</f>
        <v>0</v>
      </c>
      <c r="U1370" s="19" t="str">
        <f>IFERROR(LEFT(I1369,FIND("*",I1369)-1),"-")</f>
        <v>-</v>
      </c>
      <c r="V1370" s="19" t="str">
        <f>IFERROR(RIGHT(I1369,LEN(I1369)-FIND("*",I1369)),"-")</f>
        <v>-</v>
      </c>
      <c r="W1370" s="20" t="str">
        <f t="shared" si="742"/>
        <v>-</v>
      </c>
      <c r="X1370" s="20" t="str">
        <f>IFERROR(W1370*J1369,"-")</f>
        <v>-</v>
      </c>
      <c r="Z1370" s="33">
        <v>45185</v>
      </c>
    </row>
    <row r="1371" spans="1:26" ht="6.95" customHeight="1" x14ac:dyDescent="0.3">
      <c r="A1371" s="5"/>
      <c r="B1371" s="157"/>
      <c r="C1371" s="158"/>
      <c r="D1371" s="161"/>
      <c r="E1371" s="162"/>
      <c r="F1371" s="163"/>
      <c r="G1371" s="164"/>
      <c r="H1371" s="165"/>
      <c r="I1371" s="164"/>
      <c r="J1371" s="165"/>
      <c r="K1371" s="164"/>
      <c r="L1371" s="165"/>
      <c r="M1371" s="6"/>
      <c r="N1371" s="32"/>
      <c r="Q1371" s="10" t="str">
        <f>+CONCATENATE(E1369,K1369)</f>
        <v/>
      </c>
      <c r="R1371" s="10">
        <f>+L1369</f>
        <v>0</v>
      </c>
      <c r="S1371" s="11"/>
      <c r="T1371" s="10">
        <f>+E1369</f>
        <v>0</v>
      </c>
      <c r="U1371" s="19" t="str">
        <f>IFERROR(LEFT(K1369,FIND("*",K1369)-1),"-")</f>
        <v>-</v>
      </c>
      <c r="V1371" s="19" t="str">
        <f>IFERROR(RIGHT(K1369,LEN(K1369)-FIND("*",K1369)),"-")</f>
        <v>-</v>
      </c>
      <c r="W1371" s="20" t="str">
        <f t="shared" si="742"/>
        <v>-</v>
      </c>
      <c r="X1371" s="20" t="str">
        <f>IFERROR(W1371*L1369,"-")</f>
        <v>-</v>
      </c>
      <c r="Z1371" s="33">
        <v>45185</v>
      </c>
    </row>
    <row r="1372" spans="1:26" ht="6.95" customHeight="1" x14ac:dyDescent="0.3">
      <c r="A1372" s="8"/>
      <c r="B1372" s="157"/>
      <c r="C1372" s="158"/>
      <c r="D1372" s="161" t="s">
        <v>39</v>
      </c>
      <c r="E1372" s="162"/>
      <c r="F1372" s="163" t="s">
        <v>40</v>
      </c>
      <c r="G1372" s="164"/>
      <c r="H1372" s="165"/>
      <c r="I1372" s="164"/>
      <c r="J1372" s="165"/>
      <c r="K1372" s="164"/>
      <c r="L1372" s="165"/>
      <c r="M1372" s="6"/>
      <c r="N1372" s="32"/>
      <c r="Q1372" s="10" t="str">
        <f>+CONCATENATE(E1372,G1372)</f>
        <v/>
      </c>
      <c r="R1372" s="10">
        <f>+H1372</f>
        <v>0</v>
      </c>
      <c r="S1372" s="11"/>
      <c r="T1372" s="10">
        <f>+E1372</f>
        <v>0</v>
      </c>
      <c r="U1372" s="19" t="str">
        <f t="shared" ref="U1372" si="745">IFERROR(LEFT(G1372,FIND("*",G1372)-1),"-")</f>
        <v>-</v>
      </c>
      <c r="V1372" s="19" t="str">
        <f t="shared" ref="V1372" si="746">IFERROR(RIGHT(G1372,LEN(G1372)-FIND("*",G1372)),"-")</f>
        <v>-</v>
      </c>
      <c r="W1372" s="20" t="str">
        <f t="shared" si="742"/>
        <v>-</v>
      </c>
      <c r="X1372" s="20" t="str">
        <f>IFERROR(W1372*H1372,"-")</f>
        <v>-</v>
      </c>
      <c r="Z1372" s="33">
        <v>45185</v>
      </c>
    </row>
    <row r="1373" spans="1:26" ht="6.95" customHeight="1" x14ac:dyDescent="0.3">
      <c r="A1373" s="5"/>
      <c r="B1373" s="157"/>
      <c r="C1373" s="158"/>
      <c r="D1373" s="161"/>
      <c r="E1373" s="162"/>
      <c r="F1373" s="163"/>
      <c r="G1373" s="164"/>
      <c r="H1373" s="165"/>
      <c r="I1373" s="164"/>
      <c r="J1373" s="165"/>
      <c r="K1373" s="164"/>
      <c r="L1373" s="165"/>
      <c r="M1373" s="6"/>
      <c r="N1373" s="32"/>
      <c r="Q1373" s="10" t="str">
        <f>+CONCATENATE(E1372,I1372)</f>
        <v/>
      </c>
      <c r="R1373" s="10">
        <f>+J1372</f>
        <v>0</v>
      </c>
      <c r="S1373" s="11"/>
      <c r="T1373" s="10">
        <f>+E1372</f>
        <v>0</v>
      </c>
      <c r="U1373" s="19" t="str">
        <f>IFERROR(LEFT(I1372,FIND("*",I1372)-1),"-")</f>
        <v>-</v>
      </c>
      <c r="V1373" s="19" t="str">
        <f>IFERROR(RIGHT(I1372,LEN(I1372)-FIND("*",I1372)),"-")</f>
        <v>-</v>
      </c>
      <c r="W1373" s="20" t="str">
        <f t="shared" si="742"/>
        <v>-</v>
      </c>
      <c r="X1373" s="20" t="str">
        <f t="shared" ref="X1373" si="747">IFERROR(W1373*J1372,"-")</f>
        <v>-</v>
      </c>
      <c r="Z1373" s="33">
        <v>45185</v>
      </c>
    </row>
    <row r="1374" spans="1:26" ht="6.95" customHeight="1" x14ac:dyDescent="0.3">
      <c r="A1374" s="5"/>
      <c r="B1374" s="157"/>
      <c r="C1374" s="158"/>
      <c r="D1374" s="161"/>
      <c r="E1374" s="162"/>
      <c r="F1374" s="163"/>
      <c r="G1374" s="164"/>
      <c r="H1374" s="165"/>
      <c r="I1374" s="164"/>
      <c r="J1374" s="165"/>
      <c r="K1374" s="164"/>
      <c r="L1374" s="165"/>
      <c r="M1374" s="6"/>
      <c r="N1374" s="32"/>
      <c r="Q1374" s="10" t="str">
        <f>+CONCATENATE(E1372,K1372)</f>
        <v/>
      </c>
      <c r="R1374" s="10">
        <f>+L1372</f>
        <v>0</v>
      </c>
      <c r="S1374" s="11"/>
      <c r="T1374" s="10">
        <f>+E1372</f>
        <v>0</v>
      </c>
      <c r="U1374" s="19" t="str">
        <f>IFERROR(LEFT(K1372,FIND("*",K1372)-1),"-")</f>
        <v>-</v>
      </c>
      <c r="V1374" s="19" t="str">
        <f>IFERROR(RIGHT(K1372,LEN(K1372)-FIND("*",K1372)),"-")</f>
        <v>-</v>
      </c>
      <c r="W1374" s="20" t="str">
        <f t="shared" si="742"/>
        <v>-</v>
      </c>
      <c r="X1374" s="20" t="str">
        <f>IFERROR(W1374*L1372,"-")</f>
        <v>-</v>
      </c>
      <c r="Z1374" s="33">
        <v>45185</v>
      </c>
    </row>
    <row r="1375" spans="1:26" ht="21" customHeight="1" thickBot="1" x14ac:dyDescent="0.35">
      <c r="A1375" s="5"/>
      <c r="B1375" s="159"/>
      <c r="C1375" s="160"/>
      <c r="D1375" s="166" t="s">
        <v>43</v>
      </c>
      <c r="E1375" s="167"/>
      <c r="F1375" s="167"/>
      <c r="G1375" s="168"/>
      <c r="H1375" s="168"/>
      <c r="I1375" s="168"/>
      <c r="J1375" s="168"/>
      <c r="K1375" s="168"/>
      <c r="L1375" s="168"/>
      <c r="M1375" s="7"/>
      <c r="N1375" s="32"/>
      <c r="Z1375" s="33">
        <v>45185</v>
      </c>
    </row>
    <row r="1376" spans="1:26" ht="9.9499999999999993" customHeight="1" thickBot="1" x14ac:dyDescent="0.35">
      <c r="B1376" s="9"/>
      <c r="C1376" s="109">
        <v>925</v>
      </c>
      <c r="D1376" s="51"/>
      <c r="E1376" s="12"/>
      <c r="F1376" s="51"/>
      <c r="G1376" s="14"/>
      <c r="H1376" s="14"/>
      <c r="I1376" s="14"/>
      <c r="J1376" s="14"/>
      <c r="K1376" s="14"/>
      <c r="L1376" s="14"/>
      <c r="M1376" s="9"/>
      <c r="N1376" s="32"/>
      <c r="U1376" s="18"/>
      <c r="V1376" s="18"/>
      <c r="Z1376" s="33">
        <v>45185</v>
      </c>
    </row>
    <row r="1377" spans="1:26" ht="6.95" customHeight="1" x14ac:dyDescent="0.3">
      <c r="A1377" s="154">
        <f>+A1366+1</f>
        <v>926</v>
      </c>
      <c r="B1377" s="155"/>
      <c r="C1377" s="156"/>
      <c r="D1377" s="161" t="s">
        <v>39</v>
      </c>
      <c r="E1377" s="162" t="s">
        <v>266</v>
      </c>
      <c r="F1377" s="163" t="s">
        <v>40</v>
      </c>
      <c r="G1377" s="164">
        <v>100</v>
      </c>
      <c r="H1377" s="165">
        <v>0.5</v>
      </c>
      <c r="I1377" s="164"/>
      <c r="J1377" s="165"/>
      <c r="K1377" s="164"/>
      <c r="L1377" s="165"/>
      <c r="M1377" s="6"/>
      <c r="N1377" s="32"/>
      <c r="Q1377" s="10" t="str">
        <f>+CONCATENATE(E1377,G1377)</f>
        <v>금속관벽체100</v>
      </c>
      <c r="R1377" s="10">
        <f>+H1377</f>
        <v>0.5</v>
      </c>
      <c r="S1377" s="11"/>
      <c r="T1377" s="10" t="str">
        <f>+E1377</f>
        <v>금속관벽체</v>
      </c>
      <c r="U1377" s="19" t="str">
        <f>IFERROR(LEFT(G1377,FIND("*",G1377)-1),"-")</f>
        <v>-</v>
      </c>
      <c r="V1377" s="19" t="str">
        <f>IFERROR(RIGHT(G1377,LEN(G1377)-FIND("*",G1377)),"-")</f>
        <v>-</v>
      </c>
      <c r="W1377" s="20" t="str">
        <f>IFERROR((U1377+V1377)*2/1000,"-")</f>
        <v>-</v>
      </c>
      <c r="X1377" s="20" t="str">
        <f>IFERROR(W1377*H1377,"-")</f>
        <v>-</v>
      </c>
      <c r="Z1377" s="33">
        <v>45185</v>
      </c>
    </row>
    <row r="1378" spans="1:26" ht="6.95" customHeight="1" x14ac:dyDescent="0.3">
      <c r="A1378" s="154"/>
      <c r="B1378" s="157"/>
      <c r="C1378" s="158"/>
      <c r="D1378" s="161"/>
      <c r="E1378" s="162"/>
      <c r="F1378" s="163"/>
      <c r="G1378" s="164"/>
      <c r="H1378" s="165"/>
      <c r="I1378" s="164"/>
      <c r="J1378" s="165"/>
      <c r="K1378" s="164"/>
      <c r="L1378" s="165"/>
      <c r="M1378" s="6"/>
      <c r="N1378" s="32"/>
      <c r="Q1378" s="10" t="str">
        <f>+CONCATENATE(E1377,I1377)</f>
        <v>금속관벽체</v>
      </c>
      <c r="R1378" s="10">
        <f>+J1377</f>
        <v>0</v>
      </c>
      <c r="S1378" s="11"/>
      <c r="T1378" s="10" t="str">
        <f>+E1377</f>
        <v>금속관벽체</v>
      </c>
      <c r="U1378" s="19" t="str">
        <f>IFERROR(LEFT(I1377,FIND("*",I1377)-1),"-")</f>
        <v>-</v>
      </c>
      <c r="V1378" s="19" t="str">
        <f>IFERROR(RIGHT(I1377,LEN(I1377)-FIND("*",I1377)),"-")</f>
        <v>-</v>
      </c>
      <c r="W1378" s="20" t="str">
        <f t="shared" ref="W1378:W1385" si="748">IFERROR((U1378+V1378)*2/1000,"-")</f>
        <v>-</v>
      </c>
      <c r="X1378" s="20" t="str">
        <f>IFERROR(W1378*J1377,"-")</f>
        <v>-</v>
      </c>
      <c r="Z1378" s="33">
        <v>45185</v>
      </c>
    </row>
    <row r="1379" spans="1:26" ht="6.95" customHeight="1" x14ac:dyDescent="0.3">
      <c r="A1379" s="154"/>
      <c r="B1379" s="157"/>
      <c r="C1379" s="158"/>
      <c r="D1379" s="161"/>
      <c r="E1379" s="162"/>
      <c r="F1379" s="163"/>
      <c r="G1379" s="164"/>
      <c r="H1379" s="165"/>
      <c r="I1379" s="164"/>
      <c r="J1379" s="165"/>
      <c r="K1379" s="164"/>
      <c r="L1379" s="165"/>
      <c r="M1379" s="6"/>
      <c r="N1379" s="32"/>
      <c r="Q1379" s="10" t="str">
        <f>+CONCATENATE(E1377,K1377)</f>
        <v>금속관벽체</v>
      </c>
      <c r="R1379" s="10">
        <f>+L1377</f>
        <v>0</v>
      </c>
      <c r="S1379" s="11"/>
      <c r="T1379" s="10" t="str">
        <f>+E1377</f>
        <v>금속관벽체</v>
      </c>
      <c r="U1379" s="19" t="str">
        <f>IFERROR(LEFT(K1377,FIND("*",K1377)-1),"-")</f>
        <v>-</v>
      </c>
      <c r="V1379" s="19" t="str">
        <f>IFERROR(RIGHT(K1377,LEN(K1377)-FIND("*",K1377)),"-")</f>
        <v>-</v>
      </c>
      <c r="W1379" s="20" t="str">
        <f t="shared" si="748"/>
        <v>-</v>
      </c>
      <c r="X1379" s="20" t="str">
        <f>IFERROR(W1379*L1377,"-")</f>
        <v>-</v>
      </c>
      <c r="Z1379" s="33">
        <v>45185</v>
      </c>
    </row>
    <row r="1380" spans="1:26" ht="6.95" customHeight="1" x14ac:dyDescent="0.3">
      <c r="A1380" s="8"/>
      <c r="B1380" s="157"/>
      <c r="C1380" s="158"/>
      <c r="D1380" s="161" t="s">
        <v>39</v>
      </c>
      <c r="E1380" s="162"/>
      <c r="F1380" s="163" t="s">
        <v>40</v>
      </c>
      <c r="G1380" s="164"/>
      <c r="H1380" s="165"/>
      <c r="I1380" s="164"/>
      <c r="J1380" s="165"/>
      <c r="K1380" s="164"/>
      <c r="L1380" s="165"/>
      <c r="M1380" s="6"/>
      <c r="N1380" s="32"/>
      <c r="Q1380" s="10" t="str">
        <f>+CONCATENATE(E1380,G1380)</f>
        <v/>
      </c>
      <c r="R1380" s="10">
        <f>+H1380</f>
        <v>0</v>
      </c>
      <c r="S1380" s="11"/>
      <c r="T1380" s="10">
        <f>+E1380</f>
        <v>0</v>
      </c>
      <c r="U1380" s="19" t="str">
        <f t="shared" ref="U1380" si="749">IFERROR(LEFT(G1380,FIND("*",G1380)-1),"-")</f>
        <v>-</v>
      </c>
      <c r="V1380" s="19" t="str">
        <f t="shared" ref="V1380" si="750">IFERROR(RIGHT(G1380,LEN(G1380)-FIND("*",G1380)),"-")</f>
        <v>-</v>
      </c>
      <c r="W1380" s="20" t="str">
        <f t="shared" si="748"/>
        <v>-</v>
      </c>
      <c r="X1380" s="20" t="str">
        <f>IFERROR(W1380*H1380,"-")</f>
        <v>-</v>
      </c>
      <c r="Z1380" s="33">
        <v>45185</v>
      </c>
    </row>
    <row r="1381" spans="1:26" ht="6.95" customHeight="1" x14ac:dyDescent="0.3">
      <c r="A1381" s="5"/>
      <c r="B1381" s="157"/>
      <c r="C1381" s="158"/>
      <c r="D1381" s="161"/>
      <c r="E1381" s="162"/>
      <c r="F1381" s="163"/>
      <c r="G1381" s="164"/>
      <c r="H1381" s="165"/>
      <c r="I1381" s="164"/>
      <c r="J1381" s="165"/>
      <c r="K1381" s="164"/>
      <c r="L1381" s="165"/>
      <c r="M1381" s="6"/>
      <c r="N1381" s="32"/>
      <c r="Q1381" s="10" t="str">
        <f>+CONCATENATE(E1380,I1380)</f>
        <v/>
      </c>
      <c r="R1381" s="10">
        <f>+J1380</f>
        <v>0</v>
      </c>
      <c r="S1381" s="11"/>
      <c r="T1381" s="10">
        <f>+E1380</f>
        <v>0</v>
      </c>
      <c r="U1381" s="19" t="str">
        <f>IFERROR(LEFT(I1380,FIND("*",I1380)-1),"-")</f>
        <v>-</v>
      </c>
      <c r="V1381" s="19" t="str">
        <f>IFERROR(RIGHT(I1380,LEN(I1380)-FIND("*",I1380)),"-")</f>
        <v>-</v>
      </c>
      <c r="W1381" s="20" t="str">
        <f t="shared" si="748"/>
        <v>-</v>
      </c>
      <c r="X1381" s="20" t="str">
        <f>IFERROR(W1381*J1380,"-")</f>
        <v>-</v>
      </c>
      <c r="Z1381" s="33">
        <v>45185</v>
      </c>
    </row>
    <row r="1382" spans="1:26" ht="6.95" customHeight="1" x14ac:dyDescent="0.3">
      <c r="A1382" s="5"/>
      <c r="B1382" s="157"/>
      <c r="C1382" s="158"/>
      <c r="D1382" s="161"/>
      <c r="E1382" s="162"/>
      <c r="F1382" s="163"/>
      <c r="G1382" s="164"/>
      <c r="H1382" s="165"/>
      <c r="I1382" s="164"/>
      <c r="J1382" s="165"/>
      <c r="K1382" s="164"/>
      <c r="L1382" s="165"/>
      <c r="M1382" s="6"/>
      <c r="N1382" s="32"/>
      <c r="Q1382" s="10" t="str">
        <f>+CONCATENATE(E1380,K1380)</f>
        <v/>
      </c>
      <c r="R1382" s="10">
        <f>+L1380</f>
        <v>0</v>
      </c>
      <c r="S1382" s="11"/>
      <c r="T1382" s="10">
        <f>+E1380</f>
        <v>0</v>
      </c>
      <c r="U1382" s="19" t="str">
        <f>IFERROR(LEFT(K1380,FIND("*",K1380)-1),"-")</f>
        <v>-</v>
      </c>
      <c r="V1382" s="19" t="str">
        <f>IFERROR(RIGHT(K1380,LEN(K1380)-FIND("*",K1380)),"-")</f>
        <v>-</v>
      </c>
      <c r="W1382" s="20" t="str">
        <f t="shared" si="748"/>
        <v>-</v>
      </c>
      <c r="X1382" s="20" t="str">
        <f>IFERROR(W1382*L1380,"-")</f>
        <v>-</v>
      </c>
      <c r="Z1382" s="33">
        <v>45185</v>
      </c>
    </row>
    <row r="1383" spans="1:26" ht="6.95" customHeight="1" x14ac:dyDescent="0.3">
      <c r="A1383" s="8"/>
      <c r="B1383" s="157"/>
      <c r="C1383" s="158"/>
      <c r="D1383" s="161" t="s">
        <v>39</v>
      </c>
      <c r="E1383" s="162"/>
      <c r="F1383" s="163" t="s">
        <v>40</v>
      </c>
      <c r="G1383" s="164"/>
      <c r="H1383" s="165"/>
      <c r="I1383" s="164"/>
      <c r="J1383" s="165"/>
      <c r="K1383" s="164"/>
      <c r="L1383" s="165"/>
      <c r="M1383" s="6"/>
      <c r="N1383" s="32"/>
      <c r="Q1383" s="10" t="str">
        <f>+CONCATENATE(E1383,G1383)</f>
        <v/>
      </c>
      <c r="R1383" s="10">
        <f>+H1383</f>
        <v>0</v>
      </c>
      <c r="S1383" s="11"/>
      <c r="T1383" s="10">
        <f>+E1383</f>
        <v>0</v>
      </c>
      <c r="U1383" s="19" t="str">
        <f t="shared" ref="U1383" si="751">IFERROR(LEFT(G1383,FIND("*",G1383)-1),"-")</f>
        <v>-</v>
      </c>
      <c r="V1383" s="19" t="str">
        <f t="shared" ref="V1383" si="752">IFERROR(RIGHT(G1383,LEN(G1383)-FIND("*",G1383)),"-")</f>
        <v>-</v>
      </c>
      <c r="W1383" s="20" t="str">
        <f t="shared" si="748"/>
        <v>-</v>
      </c>
      <c r="X1383" s="20" t="str">
        <f>IFERROR(W1383*H1383,"-")</f>
        <v>-</v>
      </c>
      <c r="Z1383" s="33">
        <v>45185</v>
      </c>
    </row>
    <row r="1384" spans="1:26" ht="6.95" customHeight="1" x14ac:dyDescent="0.3">
      <c r="A1384" s="5"/>
      <c r="B1384" s="157"/>
      <c r="C1384" s="158"/>
      <c r="D1384" s="161"/>
      <c r="E1384" s="162"/>
      <c r="F1384" s="163"/>
      <c r="G1384" s="164"/>
      <c r="H1384" s="165"/>
      <c r="I1384" s="164"/>
      <c r="J1384" s="165"/>
      <c r="K1384" s="164"/>
      <c r="L1384" s="165"/>
      <c r="M1384" s="6"/>
      <c r="N1384" s="32"/>
      <c r="Q1384" s="10" t="str">
        <f>+CONCATENATE(E1383,I1383)</f>
        <v/>
      </c>
      <c r="R1384" s="10">
        <f>+J1383</f>
        <v>0</v>
      </c>
      <c r="S1384" s="11"/>
      <c r="T1384" s="10">
        <f>+E1383</f>
        <v>0</v>
      </c>
      <c r="U1384" s="19" t="str">
        <f>IFERROR(LEFT(I1383,FIND("*",I1383)-1),"-")</f>
        <v>-</v>
      </c>
      <c r="V1384" s="19" t="str">
        <f>IFERROR(RIGHT(I1383,LEN(I1383)-FIND("*",I1383)),"-")</f>
        <v>-</v>
      </c>
      <c r="W1384" s="20" t="str">
        <f t="shared" si="748"/>
        <v>-</v>
      </c>
      <c r="X1384" s="20" t="str">
        <f t="shared" ref="X1384" si="753">IFERROR(W1384*J1383,"-")</f>
        <v>-</v>
      </c>
      <c r="Z1384" s="33">
        <v>45185</v>
      </c>
    </row>
    <row r="1385" spans="1:26" ht="6.95" customHeight="1" x14ac:dyDescent="0.3">
      <c r="A1385" s="5"/>
      <c r="B1385" s="157"/>
      <c r="C1385" s="158"/>
      <c r="D1385" s="161"/>
      <c r="E1385" s="162"/>
      <c r="F1385" s="163"/>
      <c r="G1385" s="164"/>
      <c r="H1385" s="165"/>
      <c r="I1385" s="164"/>
      <c r="J1385" s="165"/>
      <c r="K1385" s="164"/>
      <c r="L1385" s="165"/>
      <c r="M1385" s="6"/>
      <c r="N1385" s="32"/>
      <c r="Q1385" s="10" t="str">
        <f>+CONCATENATE(E1383,K1383)</f>
        <v/>
      </c>
      <c r="R1385" s="10">
        <f>+L1383</f>
        <v>0</v>
      </c>
      <c r="S1385" s="11"/>
      <c r="T1385" s="10">
        <f>+E1383</f>
        <v>0</v>
      </c>
      <c r="U1385" s="19" t="str">
        <f>IFERROR(LEFT(K1383,FIND("*",K1383)-1),"-")</f>
        <v>-</v>
      </c>
      <c r="V1385" s="19" t="str">
        <f>IFERROR(RIGHT(K1383,LEN(K1383)-FIND("*",K1383)),"-")</f>
        <v>-</v>
      </c>
      <c r="W1385" s="20" t="str">
        <f t="shared" si="748"/>
        <v>-</v>
      </c>
      <c r="X1385" s="20" t="str">
        <f>IFERROR(W1385*L1383,"-")</f>
        <v>-</v>
      </c>
      <c r="Z1385" s="33">
        <v>45185</v>
      </c>
    </row>
    <row r="1386" spans="1:26" ht="21" customHeight="1" thickBot="1" x14ac:dyDescent="0.35">
      <c r="A1386" s="5"/>
      <c r="B1386" s="159"/>
      <c r="C1386" s="160"/>
      <c r="D1386" s="166" t="s">
        <v>43</v>
      </c>
      <c r="E1386" s="167"/>
      <c r="F1386" s="167"/>
      <c r="G1386" s="168"/>
      <c r="H1386" s="168"/>
      <c r="I1386" s="168"/>
      <c r="J1386" s="168"/>
      <c r="K1386" s="168"/>
      <c r="L1386" s="168"/>
      <c r="M1386" s="7"/>
      <c r="N1386" s="32"/>
      <c r="Z1386" s="33">
        <v>45185</v>
      </c>
    </row>
    <row r="1387" spans="1:26" ht="9.9499999999999993" customHeight="1" thickBot="1" x14ac:dyDescent="0.35">
      <c r="B1387" s="9"/>
      <c r="C1387" s="109">
        <v>926</v>
      </c>
      <c r="D1387" s="51"/>
      <c r="E1387" s="12"/>
      <c r="F1387" s="51"/>
      <c r="G1387" s="14"/>
      <c r="H1387" s="14"/>
      <c r="I1387" s="14"/>
      <c r="J1387" s="14"/>
      <c r="K1387" s="14"/>
      <c r="L1387" s="14"/>
      <c r="M1387" s="9"/>
      <c r="N1387" s="32"/>
      <c r="U1387" s="18"/>
      <c r="V1387" s="18"/>
      <c r="Z1387" s="33">
        <v>45185</v>
      </c>
    </row>
    <row r="1388" spans="1:26" ht="6.95" customHeight="1" x14ac:dyDescent="0.3">
      <c r="A1388" s="154">
        <f>+A1377+1</f>
        <v>927</v>
      </c>
      <c r="B1388" s="155"/>
      <c r="C1388" s="156"/>
      <c r="D1388" s="161" t="s">
        <v>39</v>
      </c>
      <c r="E1388" s="162" t="s">
        <v>266</v>
      </c>
      <c r="F1388" s="163" t="s">
        <v>40</v>
      </c>
      <c r="G1388" s="164">
        <v>100</v>
      </c>
      <c r="H1388" s="165">
        <v>0.5</v>
      </c>
      <c r="I1388" s="164"/>
      <c r="J1388" s="165"/>
      <c r="K1388" s="164"/>
      <c r="L1388" s="165"/>
      <c r="M1388" s="6"/>
      <c r="N1388" s="32"/>
      <c r="Q1388" s="10" t="str">
        <f>+CONCATENATE(E1388,G1388)</f>
        <v>금속관벽체100</v>
      </c>
      <c r="R1388" s="10">
        <f>+H1388</f>
        <v>0.5</v>
      </c>
      <c r="S1388" s="11"/>
      <c r="T1388" s="10" t="str">
        <f>+E1388</f>
        <v>금속관벽체</v>
      </c>
      <c r="U1388" s="19" t="str">
        <f>IFERROR(LEFT(G1388,FIND("*",G1388)-1),"-")</f>
        <v>-</v>
      </c>
      <c r="V1388" s="19" t="str">
        <f>IFERROR(RIGHT(G1388,LEN(G1388)-FIND("*",G1388)),"-")</f>
        <v>-</v>
      </c>
      <c r="W1388" s="20" t="str">
        <f>IFERROR((U1388+V1388)*2/1000,"-")</f>
        <v>-</v>
      </c>
      <c r="X1388" s="20" t="str">
        <f>IFERROR(W1388*H1388,"-")</f>
        <v>-</v>
      </c>
      <c r="Z1388" s="33">
        <v>45185</v>
      </c>
    </row>
    <row r="1389" spans="1:26" ht="6.95" customHeight="1" x14ac:dyDescent="0.3">
      <c r="A1389" s="154"/>
      <c r="B1389" s="157"/>
      <c r="C1389" s="158"/>
      <c r="D1389" s="161"/>
      <c r="E1389" s="162"/>
      <c r="F1389" s="163"/>
      <c r="G1389" s="164"/>
      <c r="H1389" s="165"/>
      <c r="I1389" s="164"/>
      <c r="J1389" s="165"/>
      <c r="K1389" s="164"/>
      <c r="L1389" s="165"/>
      <c r="M1389" s="6"/>
      <c r="N1389" s="32"/>
      <c r="Q1389" s="10" t="str">
        <f>+CONCATENATE(E1388,I1388)</f>
        <v>금속관벽체</v>
      </c>
      <c r="R1389" s="10">
        <f>+J1388</f>
        <v>0</v>
      </c>
      <c r="S1389" s="11"/>
      <c r="T1389" s="10" t="str">
        <f>+E1388</f>
        <v>금속관벽체</v>
      </c>
      <c r="U1389" s="19" t="str">
        <f>IFERROR(LEFT(I1388,FIND("*",I1388)-1),"-")</f>
        <v>-</v>
      </c>
      <c r="V1389" s="19" t="str">
        <f>IFERROR(RIGHT(I1388,LEN(I1388)-FIND("*",I1388)),"-")</f>
        <v>-</v>
      </c>
      <c r="W1389" s="20" t="str">
        <f t="shared" ref="W1389:W1396" si="754">IFERROR((U1389+V1389)*2/1000,"-")</f>
        <v>-</v>
      </c>
      <c r="X1389" s="20" t="str">
        <f>IFERROR(W1389*J1388,"-")</f>
        <v>-</v>
      </c>
      <c r="Z1389" s="33">
        <v>45185</v>
      </c>
    </row>
    <row r="1390" spans="1:26" ht="6.95" customHeight="1" x14ac:dyDescent="0.3">
      <c r="A1390" s="154"/>
      <c r="B1390" s="157"/>
      <c r="C1390" s="158"/>
      <c r="D1390" s="161"/>
      <c r="E1390" s="162"/>
      <c r="F1390" s="163"/>
      <c r="G1390" s="164"/>
      <c r="H1390" s="165"/>
      <c r="I1390" s="164"/>
      <c r="J1390" s="165"/>
      <c r="K1390" s="164"/>
      <c r="L1390" s="165"/>
      <c r="M1390" s="6"/>
      <c r="N1390" s="32"/>
      <c r="Q1390" s="10" t="str">
        <f>+CONCATENATE(E1388,K1388)</f>
        <v>금속관벽체</v>
      </c>
      <c r="R1390" s="10">
        <f>+L1388</f>
        <v>0</v>
      </c>
      <c r="S1390" s="11"/>
      <c r="T1390" s="10" t="str">
        <f>+E1388</f>
        <v>금속관벽체</v>
      </c>
      <c r="U1390" s="19" t="str">
        <f>IFERROR(LEFT(K1388,FIND("*",K1388)-1),"-")</f>
        <v>-</v>
      </c>
      <c r="V1390" s="19" t="str">
        <f>IFERROR(RIGHT(K1388,LEN(K1388)-FIND("*",K1388)),"-")</f>
        <v>-</v>
      </c>
      <c r="W1390" s="20" t="str">
        <f t="shared" si="754"/>
        <v>-</v>
      </c>
      <c r="X1390" s="20" t="str">
        <f>IFERROR(W1390*L1388,"-")</f>
        <v>-</v>
      </c>
      <c r="Z1390" s="33">
        <v>45185</v>
      </c>
    </row>
    <row r="1391" spans="1:26" ht="6.95" customHeight="1" x14ac:dyDescent="0.3">
      <c r="A1391" s="8"/>
      <c r="B1391" s="157"/>
      <c r="C1391" s="158"/>
      <c r="D1391" s="161" t="s">
        <v>39</v>
      </c>
      <c r="E1391" s="162"/>
      <c r="F1391" s="163" t="s">
        <v>40</v>
      </c>
      <c r="G1391" s="164"/>
      <c r="H1391" s="165"/>
      <c r="I1391" s="164"/>
      <c r="J1391" s="165"/>
      <c r="K1391" s="164"/>
      <c r="L1391" s="165"/>
      <c r="M1391" s="6"/>
      <c r="N1391" s="32"/>
      <c r="Q1391" s="10" t="str">
        <f>+CONCATENATE(E1391,G1391)</f>
        <v/>
      </c>
      <c r="R1391" s="10">
        <f>+H1391</f>
        <v>0</v>
      </c>
      <c r="S1391" s="11"/>
      <c r="T1391" s="10">
        <f>+E1391</f>
        <v>0</v>
      </c>
      <c r="U1391" s="19" t="str">
        <f t="shared" ref="U1391" si="755">IFERROR(LEFT(G1391,FIND("*",G1391)-1),"-")</f>
        <v>-</v>
      </c>
      <c r="V1391" s="19" t="str">
        <f t="shared" ref="V1391" si="756">IFERROR(RIGHT(G1391,LEN(G1391)-FIND("*",G1391)),"-")</f>
        <v>-</v>
      </c>
      <c r="W1391" s="20" t="str">
        <f t="shared" si="754"/>
        <v>-</v>
      </c>
      <c r="X1391" s="20" t="str">
        <f>IFERROR(W1391*H1391,"-")</f>
        <v>-</v>
      </c>
      <c r="Z1391" s="33">
        <v>45185</v>
      </c>
    </row>
    <row r="1392" spans="1:26" ht="6.95" customHeight="1" x14ac:dyDescent="0.3">
      <c r="A1392" s="5"/>
      <c r="B1392" s="157"/>
      <c r="C1392" s="158"/>
      <c r="D1392" s="161"/>
      <c r="E1392" s="162"/>
      <c r="F1392" s="163"/>
      <c r="G1392" s="164"/>
      <c r="H1392" s="165"/>
      <c r="I1392" s="164"/>
      <c r="J1392" s="165"/>
      <c r="K1392" s="164"/>
      <c r="L1392" s="165"/>
      <c r="M1392" s="6"/>
      <c r="N1392" s="32"/>
      <c r="Q1392" s="10" t="str">
        <f>+CONCATENATE(E1391,I1391)</f>
        <v/>
      </c>
      <c r="R1392" s="10">
        <f>+J1391</f>
        <v>0</v>
      </c>
      <c r="S1392" s="11"/>
      <c r="T1392" s="10">
        <f>+E1391</f>
        <v>0</v>
      </c>
      <c r="U1392" s="19" t="str">
        <f>IFERROR(LEFT(I1391,FIND("*",I1391)-1),"-")</f>
        <v>-</v>
      </c>
      <c r="V1392" s="19" t="str">
        <f>IFERROR(RIGHT(I1391,LEN(I1391)-FIND("*",I1391)),"-")</f>
        <v>-</v>
      </c>
      <c r="W1392" s="20" t="str">
        <f t="shared" si="754"/>
        <v>-</v>
      </c>
      <c r="X1392" s="20" t="str">
        <f>IFERROR(W1392*J1391,"-")</f>
        <v>-</v>
      </c>
      <c r="Z1392" s="33">
        <v>45185</v>
      </c>
    </row>
    <row r="1393" spans="1:26" ht="6.95" customHeight="1" x14ac:dyDescent="0.3">
      <c r="A1393" s="5"/>
      <c r="B1393" s="157"/>
      <c r="C1393" s="158"/>
      <c r="D1393" s="161"/>
      <c r="E1393" s="162"/>
      <c r="F1393" s="163"/>
      <c r="G1393" s="164"/>
      <c r="H1393" s="165"/>
      <c r="I1393" s="164"/>
      <c r="J1393" s="165"/>
      <c r="K1393" s="164"/>
      <c r="L1393" s="165"/>
      <c r="M1393" s="6"/>
      <c r="N1393" s="32"/>
      <c r="Q1393" s="10" t="str">
        <f>+CONCATENATE(E1391,K1391)</f>
        <v/>
      </c>
      <c r="R1393" s="10">
        <f>+L1391</f>
        <v>0</v>
      </c>
      <c r="S1393" s="11"/>
      <c r="T1393" s="10">
        <f>+E1391</f>
        <v>0</v>
      </c>
      <c r="U1393" s="19" t="str">
        <f>IFERROR(LEFT(K1391,FIND("*",K1391)-1),"-")</f>
        <v>-</v>
      </c>
      <c r="V1393" s="19" t="str">
        <f>IFERROR(RIGHT(K1391,LEN(K1391)-FIND("*",K1391)),"-")</f>
        <v>-</v>
      </c>
      <c r="W1393" s="20" t="str">
        <f t="shared" si="754"/>
        <v>-</v>
      </c>
      <c r="X1393" s="20" t="str">
        <f>IFERROR(W1393*L1391,"-")</f>
        <v>-</v>
      </c>
      <c r="Z1393" s="33">
        <v>45185</v>
      </c>
    </row>
    <row r="1394" spans="1:26" ht="6.95" customHeight="1" x14ac:dyDescent="0.3">
      <c r="A1394" s="8"/>
      <c r="B1394" s="157"/>
      <c r="C1394" s="158"/>
      <c r="D1394" s="161" t="s">
        <v>39</v>
      </c>
      <c r="E1394" s="162"/>
      <c r="F1394" s="163" t="s">
        <v>40</v>
      </c>
      <c r="G1394" s="164"/>
      <c r="H1394" s="165"/>
      <c r="I1394" s="164"/>
      <c r="J1394" s="165"/>
      <c r="K1394" s="164"/>
      <c r="L1394" s="165"/>
      <c r="M1394" s="6"/>
      <c r="N1394" s="32"/>
      <c r="Q1394" s="10" t="str">
        <f>+CONCATENATE(E1394,G1394)</f>
        <v/>
      </c>
      <c r="R1394" s="10">
        <f>+H1394</f>
        <v>0</v>
      </c>
      <c r="S1394" s="11"/>
      <c r="T1394" s="10">
        <f>+E1394</f>
        <v>0</v>
      </c>
      <c r="U1394" s="19" t="str">
        <f t="shared" ref="U1394" si="757">IFERROR(LEFT(G1394,FIND("*",G1394)-1),"-")</f>
        <v>-</v>
      </c>
      <c r="V1394" s="19" t="str">
        <f t="shared" ref="V1394" si="758">IFERROR(RIGHT(G1394,LEN(G1394)-FIND("*",G1394)),"-")</f>
        <v>-</v>
      </c>
      <c r="W1394" s="20" t="str">
        <f t="shared" si="754"/>
        <v>-</v>
      </c>
      <c r="X1394" s="20" t="str">
        <f>IFERROR(W1394*H1394,"-")</f>
        <v>-</v>
      </c>
      <c r="Z1394" s="33">
        <v>45185</v>
      </c>
    </row>
    <row r="1395" spans="1:26" ht="6.95" customHeight="1" x14ac:dyDescent="0.3">
      <c r="A1395" s="5"/>
      <c r="B1395" s="157"/>
      <c r="C1395" s="158"/>
      <c r="D1395" s="161"/>
      <c r="E1395" s="162"/>
      <c r="F1395" s="163"/>
      <c r="G1395" s="164"/>
      <c r="H1395" s="165"/>
      <c r="I1395" s="164"/>
      <c r="J1395" s="165"/>
      <c r="K1395" s="164"/>
      <c r="L1395" s="165"/>
      <c r="M1395" s="6"/>
      <c r="N1395" s="32"/>
      <c r="Q1395" s="10" t="str">
        <f>+CONCATENATE(E1394,I1394)</f>
        <v/>
      </c>
      <c r="R1395" s="10">
        <f>+J1394</f>
        <v>0</v>
      </c>
      <c r="S1395" s="11"/>
      <c r="T1395" s="10">
        <f>+E1394</f>
        <v>0</v>
      </c>
      <c r="U1395" s="19" t="str">
        <f>IFERROR(LEFT(I1394,FIND("*",I1394)-1),"-")</f>
        <v>-</v>
      </c>
      <c r="V1395" s="19" t="str">
        <f>IFERROR(RIGHT(I1394,LEN(I1394)-FIND("*",I1394)),"-")</f>
        <v>-</v>
      </c>
      <c r="W1395" s="20" t="str">
        <f t="shared" si="754"/>
        <v>-</v>
      </c>
      <c r="X1395" s="20" t="str">
        <f t="shared" ref="X1395" si="759">IFERROR(W1395*J1394,"-")</f>
        <v>-</v>
      </c>
      <c r="Z1395" s="33">
        <v>45185</v>
      </c>
    </row>
    <row r="1396" spans="1:26" ht="6.95" customHeight="1" x14ac:dyDescent="0.3">
      <c r="A1396" s="5"/>
      <c r="B1396" s="157"/>
      <c r="C1396" s="158"/>
      <c r="D1396" s="161"/>
      <c r="E1396" s="162"/>
      <c r="F1396" s="163"/>
      <c r="G1396" s="164"/>
      <c r="H1396" s="165"/>
      <c r="I1396" s="164"/>
      <c r="J1396" s="165"/>
      <c r="K1396" s="164"/>
      <c r="L1396" s="165"/>
      <c r="M1396" s="6"/>
      <c r="N1396" s="32"/>
      <c r="Q1396" s="10" t="str">
        <f>+CONCATENATE(E1394,K1394)</f>
        <v/>
      </c>
      <c r="R1396" s="10">
        <f>+L1394</f>
        <v>0</v>
      </c>
      <c r="S1396" s="11"/>
      <c r="T1396" s="10">
        <f>+E1394</f>
        <v>0</v>
      </c>
      <c r="U1396" s="19" t="str">
        <f>IFERROR(LEFT(K1394,FIND("*",K1394)-1),"-")</f>
        <v>-</v>
      </c>
      <c r="V1396" s="19" t="str">
        <f>IFERROR(RIGHT(K1394,LEN(K1394)-FIND("*",K1394)),"-")</f>
        <v>-</v>
      </c>
      <c r="W1396" s="20" t="str">
        <f t="shared" si="754"/>
        <v>-</v>
      </c>
      <c r="X1396" s="20" t="str">
        <f>IFERROR(W1396*L1394,"-")</f>
        <v>-</v>
      </c>
      <c r="Z1396" s="33">
        <v>45185</v>
      </c>
    </row>
    <row r="1397" spans="1:26" ht="21" customHeight="1" thickBot="1" x14ac:dyDescent="0.35">
      <c r="A1397" s="5"/>
      <c r="B1397" s="159"/>
      <c r="C1397" s="160"/>
      <c r="D1397" s="166" t="s">
        <v>43</v>
      </c>
      <c r="E1397" s="167"/>
      <c r="F1397" s="167"/>
      <c r="G1397" s="168"/>
      <c r="H1397" s="168"/>
      <c r="I1397" s="168"/>
      <c r="J1397" s="168"/>
      <c r="K1397" s="168"/>
      <c r="L1397" s="168"/>
      <c r="M1397" s="7"/>
      <c r="N1397" s="32"/>
      <c r="Z1397" s="33">
        <v>45185</v>
      </c>
    </row>
    <row r="1398" spans="1:26" ht="9.9499999999999993" customHeight="1" thickBot="1" x14ac:dyDescent="0.35">
      <c r="B1398" s="9"/>
      <c r="C1398" s="109">
        <v>927</v>
      </c>
      <c r="D1398" s="51"/>
      <c r="E1398" s="12"/>
      <c r="F1398" s="51"/>
      <c r="G1398" s="14"/>
      <c r="H1398" s="14"/>
      <c r="I1398" s="14"/>
      <c r="J1398" s="14"/>
      <c r="K1398" s="14"/>
      <c r="L1398" s="14"/>
      <c r="M1398" s="9"/>
      <c r="N1398" s="32"/>
      <c r="U1398" s="18"/>
      <c r="V1398" s="18"/>
      <c r="Z1398" s="33">
        <v>45185</v>
      </c>
    </row>
    <row r="1399" spans="1:26" ht="6.95" customHeight="1" x14ac:dyDescent="0.3">
      <c r="A1399" s="154">
        <f>+A1388+1</f>
        <v>928</v>
      </c>
      <c r="B1399" s="155"/>
      <c r="C1399" s="156"/>
      <c r="D1399" s="161" t="s">
        <v>39</v>
      </c>
      <c r="E1399" s="162" t="s">
        <v>266</v>
      </c>
      <c r="F1399" s="163" t="s">
        <v>40</v>
      </c>
      <c r="G1399" s="164">
        <v>150</v>
      </c>
      <c r="H1399" s="165">
        <v>0.5</v>
      </c>
      <c r="I1399" s="164">
        <v>150</v>
      </c>
      <c r="J1399" s="165">
        <v>0.5</v>
      </c>
      <c r="K1399" s="164"/>
      <c r="L1399" s="165"/>
      <c r="M1399" s="6"/>
      <c r="N1399" s="32"/>
      <c r="Q1399" s="10" t="str">
        <f>+CONCATENATE(E1399,G1399)</f>
        <v>금속관벽체150</v>
      </c>
      <c r="R1399" s="10">
        <f>+H1399</f>
        <v>0.5</v>
      </c>
      <c r="S1399" s="11"/>
      <c r="T1399" s="10" t="str">
        <f>+E1399</f>
        <v>금속관벽체</v>
      </c>
      <c r="U1399" s="19" t="str">
        <f>IFERROR(LEFT(G1399,FIND("*",G1399)-1),"-")</f>
        <v>-</v>
      </c>
      <c r="V1399" s="19" t="str">
        <f>IFERROR(RIGHT(G1399,LEN(G1399)-FIND("*",G1399)),"-")</f>
        <v>-</v>
      </c>
      <c r="W1399" s="20" t="str">
        <f>IFERROR((U1399+V1399)*2/1000,"-")</f>
        <v>-</v>
      </c>
      <c r="X1399" s="20" t="str">
        <f>IFERROR(W1399*H1399,"-")</f>
        <v>-</v>
      </c>
      <c r="Z1399" s="33">
        <v>45185</v>
      </c>
    </row>
    <row r="1400" spans="1:26" ht="6.95" customHeight="1" x14ac:dyDescent="0.3">
      <c r="A1400" s="154"/>
      <c r="B1400" s="157"/>
      <c r="C1400" s="158"/>
      <c r="D1400" s="161"/>
      <c r="E1400" s="162"/>
      <c r="F1400" s="163"/>
      <c r="G1400" s="164"/>
      <c r="H1400" s="165"/>
      <c r="I1400" s="164"/>
      <c r="J1400" s="165"/>
      <c r="K1400" s="164"/>
      <c r="L1400" s="165"/>
      <c r="M1400" s="6"/>
      <c r="N1400" s="32"/>
      <c r="Q1400" s="10" t="str">
        <f>+CONCATENATE(E1399,I1399)</f>
        <v>금속관벽체150</v>
      </c>
      <c r="R1400" s="10">
        <f>+J1399</f>
        <v>0.5</v>
      </c>
      <c r="S1400" s="11"/>
      <c r="T1400" s="10" t="str">
        <f>+E1399</f>
        <v>금속관벽체</v>
      </c>
      <c r="U1400" s="19" t="str">
        <f>IFERROR(LEFT(I1399,FIND("*",I1399)-1),"-")</f>
        <v>-</v>
      </c>
      <c r="V1400" s="19" t="str">
        <f>IFERROR(RIGHT(I1399,LEN(I1399)-FIND("*",I1399)),"-")</f>
        <v>-</v>
      </c>
      <c r="W1400" s="20" t="str">
        <f t="shared" ref="W1400:W1407" si="760">IFERROR((U1400+V1400)*2/1000,"-")</f>
        <v>-</v>
      </c>
      <c r="X1400" s="20" t="str">
        <f>IFERROR(W1400*J1399,"-")</f>
        <v>-</v>
      </c>
      <c r="Z1400" s="33">
        <v>45185</v>
      </c>
    </row>
    <row r="1401" spans="1:26" ht="6.95" customHeight="1" x14ac:dyDescent="0.3">
      <c r="A1401" s="154"/>
      <c r="B1401" s="157"/>
      <c r="C1401" s="158"/>
      <c r="D1401" s="161"/>
      <c r="E1401" s="162"/>
      <c r="F1401" s="163"/>
      <c r="G1401" s="164"/>
      <c r="H1401" s="165"/>
      <c r="I1401" s="164"/>
      <c r="J1401" s="165"/>
      <c r="K1401" s="164"/>
      <c r="L1401" s="165"/>
      <c r="M1401" s="6"/>
      <c r="N1401" s="32"/>
      <c r="Q1401" s="10" t="str">
        <f>+CONCATENATE(E1399,K1399)</f>
        <v>금속관벽체</v>
      </c>
      <c r="R1401" s="10">
        <f>+L1399</f>
        <v>0</v>
      </c>
      <c r="S1401" s="11"/>
      <c r="T1401" s="10" t="str">
        <f>+E1399</f>
        <v>금속관벽체</v>
      </c>
      <c r="U1401" s="19" t="str">
        <f>IFERROR(LEFT(K1399,FIND("*",K1399)-1),"-")</f>
        <v>-</v>
      </c>
      <c r="V1401" s="19" t="str">
        <f>IFERROR(RIGHT(K1399,LEN(K1399)-FIND("*",K1399)),"-")</f>
        <v>-</v>
      </c>
      <c r="W1401" s="20" t="str">
        <f t="shared" si="760"/>
        <v>-</v>
      </c>
      <c r="X1401" s="20" t="str">
        <f>IFERROR(W1401*L1399,"-")</f>
        <v>-</v>
      </c>
      <c r="Z1401" s="33">
        <v>45185</v>
      </c>
    </row>
    <row r="1402" spans="1:26" ht="6.95" customHeight="1" x14ac:dyDescent="0.3">
      <c r="A1402" s="8"/>
      <c r="B1402" s="157"/>
      <c r="C1402" s="158"/>
      <c r="D1402" s="161" t="s">
        <v>39</v>
      </c>
      <c r="E1402" s="162"/>
      <c r="F1402" s="163" t="s">
        <v>40</v>
      </c>
      <c r="G1402" s="164"/>
      <c r="H1402" s="165"/>
      <c r="I1402" s="164"/>
      <c r="J1402" s="165"/>
      <c r="K1402" s="164"/>
      <c r="L1402" s="165"/>
      <c r="M1402" s="6"/>
      <c r="N1402" s="32"/>
      <c r="Q1402" s="10" t="str">
        <f>+CONCATENATE(E1402,G1402)</f>
        <v/>
      </c>
      <c r="R1402" s="10">
        <f>+H1402</f>
        <v>0</v>
      </c>
      <c r="S1402" s="11"/>
      <c r="T1402" s="10">
        <f>+E1402</f>
        <v>0</v>
      </c>
      <c r="U1402" s="19" t="str">
        <f t="shared" ref="U1402" si="761">IFERROR(LEFT(G1402,FIND("*",G1402)-1),"-")</f>
        <v>-</v>
      </c>
      <c r="V1402" s="19" t="str">
        <f t="shared" ref="V1402" si="762">IFERROR(RIGHT(G1402,LEN(G1402)-FIND("*",G1402)),"-")</f>
        <v>-</v>
      </c>
      <c r="W1402" s="20" t="str">
        <f t="shared" si="760"/>
        <v>-</v>
      </c>
      <c r="X1402" s="20" t="str">
        <f>IFERROR(W1402*H1402,"-")</f>
        <v>-</v>
      </c>
      <c r="Z1402" s="33">
        <v>45185</v>
      </c>
    </row>
    <row r="1403" spans="1:26" ht="6.95" customHeight="1" x14ac:dyDescent="0.3">
      <c r="A1403" s="5"/>
      <c r="B1403" s="157"/>
      <c r="C1403" s="158"/>
      <c r="D1403" s="161"/>
      <c r="E1403" s="162"/>
      <c r="F1403" s="163"/>
      <c r="G1403" s="164"/>
      <c r="H1403" s="165"/>
      <c r="I1403" s="164"/>
      <c r="J1403" s="165"/>
      <c r="K1403" s="164"/>
      <c r="L1403" s="165"/>
      <c r="M1403" s="6"/>
      <c r="N1403" s="32"/>
      <c r="Q1403" s="10" t="str">
        <f>+CONCATENATE(E1402,I1402)</f>
        <v/>
      </c>
      <c r="R1403" s="10">
        <f>+J1402</f>
        <v>0</v>
      </c>
      <c r="S1403" s="11"/>
      <c r="T1403" s="10">
        <f>+E1402</f>
        <v>0</v>
      </c>
      <c r="U1403" s="19" t="str">
        <f>IFERROR(LEFT(I1402,FIND("*",I1402)-1),"-")</f>
        <v>-</v>
      </c>
      <c r="V1403" s="19" t="str">
        <f>IFERROR(RIGHT(I1402,LEN(I1402)-FIND("*",I1402)),"-")</f>
        <v>-</v>
      </c>
      <c r="W1403" s="20" t="str">
        <f t="shared" si="760"/>
        <v>-</v>
      </c>
      <c r="X1403" s="20" t="str">
        <f>IFERROR(W1403*J1402,"-")</f>
        <v>-</v>
      </c>
      <c r="Z1403" s="33">
        <v>45185</v>
      </c>
    </row>
    <row r="1404" spans="1:26" ht="6.95" customHeight="1" x14ac:dyDescent="0.3">
      <c r="A1404" s="5"/>
      <c r="B1404" s="157"/>
      <c r="C1404" s="158"/>
      <c r="D1404" s="161"/>
      <c r="E1404" s="162"/>
      <c r="F1404" s="163"/>
      <c r="G1404" s="164"/>
      <c r="H1404" s="165"/>
      <c r="I1404" s="164"/>
      <c r="J1404" s="165"/>
      <c r="K1404" s="164"/>
      <c r="L1404" s="165"/>
      <c r="M1404" s="6"/>
      <c r="N1404" s="32"/>
      <c r="Q1404" s="10" t="str">
        <f>+CONCATENATE(E1402,K1402)</f>
        <v/>
      </c>
      <c r="R1404" s="10">
        <f>+L1402</f>
        <v>0</v>
      </c>
      <c r="S1404" s="11"/>
      <c r="T1404" s="10">
        <f>+E1402</f>
        <v>0</v>
      </c>
      <c r="U1404" s="19" t="str">
        <f>IFERROR(LEFT(K1402,FIND("*",K1402)-1),"-")</f>
        <v>-</v>
      </c>
      <c r="V1404" s="19" t="str">
        <f>IFERROR(RIGHT(K1402,LEN(K1402)-FIND("*",K1402)),"-")</f>
        <v>-</v>
      </c>
      <c r="W1404" s="20" t="str">
        <f t="shared" si="760"/>
        <v>-</v>
      </c>
      <c r="X1404" s="20" t="str">
        <f>IFERROR(W1404*L1402,"-")</f>
        <v>-</v>
      </c>
      <c r="Z1404" s="33">
        <v>45185</v>
      </c>
    </row>
    <row r="1405" spans="1:26" ht="6.95" customHeight="1" x14ac:dyDescent="0.3">
      <c r="A1405" s="8"/>
      <c r="B1405" s="157"/>
      <c r="C1405" s="158"/>
      <c r="D1405" s="161" t="s">
        <v>39</v>
      </c>
      <c r="E1405" s="162"/>
      <c r="F1405" s="163" t="s">
        <v>40</v>
      </c>
      <c r="G1405" s="164"/>
      <c r="H1405" s="165"/>
      <c r="I1405" s="164"/>
      <c r="J1405" s="165"/>
      <c r="K1405" s="164"/>
      <c r="L1405" s="165"/>
      <c r="M1405" s="6"/>
      <c r="N1405" s="32"/>
      <c r="Q1405" s="10" t="str">
        <f>+CONCATENATE(E1405,G1405)</f>
        <v/>
      </c>
      <c r="R1405" s="10">
        <f>+H1405</f>
        <v>0</v>
      </c>
      <c r="S1405" s="11"/>
      <c r="T1405" s="10">
        <f>+E1405</f>
        <v>0</v>
      </c>
      <c r="U1405" s="19" t="str">
        <f t="shared" ref="U1405" si="763">IFERROR(LEFT(G1405,FIND("*",G1405)-1),"-")</f>
        <v>-</v>
      </c>
      <c r="V1405" s="19" t="str">
        <f t="shared" ref="V1405" si="764">IFERROR(RIGHT(G1405,LEN(G1405)-FIND("*",G1405)),"-")</f>
        <v>-</v>
      </c>
      <c r="W1405" s="20" t="str">
        <f t="shared" si="760"/>
        <v>-</v>
      </c>
      <c r="X1405" s="20" t="str">
        <f>IFERROR(W1405*H1405,"-")</f>
        <v>-</v>
      </c>
      <c r="Z1405" s="33">
        <v>45185</v>
      </c>
    </row>
    <row r="1406" spans="1:26" ht="6.95" customHeight="1" x14ac:dyDescent="0.3">
      <c r="A1406" s="5"/>
      <c r="B1406" s="157"/>
      <c r="C1406" s="158"/>
      <c r="D1406" s="161"/>
      <c r="E1406" s="162"/>
      <c r="F1406" s="163"/>
      <c r="G1406" s="164"/>
      <c r="H1406" s="165"/>
      <c r="I1406" s="164"/>
      <c r="J1406" s="165"/>
      <c r="K1406" s="164"/>
      <c r="L1406" s="165"/>
      <c r="M1406" s="6"/>
      <c r="N1406" s="32"/>
      <c r="Q1406" s="10" t="str">
        <f>+CONCATENATE(E1405,I1405)</f>
        <v/>
      </c>
      <c r="R1406" s="10">
        <f>+J1405</f>
        <v>0</v>
      </c>
      <c r="S1406" s="11"/>
      <c r="T1406" s="10">
        <f>+E1405</f>
        <v>0</v>
      </c>
      <c r="U1406" s="19" t="str">
        <f>IFERROR(LEFT(I1405,FIND("*",I1405)-1),"-")</f>
        <v>-</v>
      </c>
      <c r="V1406" s="19" t="str">
        <f>IFERROR(RIGHT(I1405,LEN(I1405)-FIND("*",I1405)),"-")</f>
        <v>-</v>
      </c>
      <c r="W1406" s="20" t="str">
        <f t="shared" si="760"/>
        <v>-</v>
      </c>
      <c r="X1406" s="20" t="str">
        <f t="shared" ref="X1406" si="765">IFERROR(W1406*J1405,"-")</f>
        <v>-</v>
      </c>
      <c r="Z1406" s="33">
        <v>45185</v>
      </c>
    </row>
    <row r="1407" spans="1:26" ht="6.95" customHeight="1" x14ac:dyDescent="0.3">
      <c r="A1407" s="5"/>
      <c r="B1407" s="157"/>
      <c r="C1407" s="158"/>
      <c r="D1407" s="161"/>
      <c r="E1407" s="162"/>
      <c r="F1407" s="163"/>
      <c r="G1407" s="164"/>
      <c r="H1407" s="165"/>
      <c r="I1407" s="164"/>
      <c r="J1407" s="165"/>
      <c r="K1407" s="164"/>
      <c r="L1407" s="165"/>
      <c r="M1407" s="6"/>
      <c r="N1407" s="32"/>
      <c r="Q1407" s="10" t="str">
        <f>+CONCATENATE(E1405,K1405)</f>
        <v/>
      </c>
      <c r="R1407" s="10">
        <f>+L1405</f>
        <v>0</v>
      </c>
      <c r="S1407" s="11"/>
      <c r="T1407" s="10">
        <f>+E1405</f>
        <v>0</v>
      </c>
      <c r="U1407" s="19" t="str">
        <f>IFERROR(LEFT(K1405,FIND("*",K1405)-1),"-")</f>
        <v>-</v>
      </c>
      <c r="V1407" s="19" t="str">
        <f>IFERROR(RIGHT(K1405,LEN(K1405)-FIND("*",K1405)),"-")</f>
        <v>-</v>
      </c>
      <c r="W1407" s="20" t="str">
        <f t="shared" si="760"/>
        <v>-</v>
      </c>
      <c r="X1407" s="20" t="str">
        <f>IFERROR(W1407*L1405,"-")</f>
        <v>-</v>
      </c>
      <c r="Z1407" s="33">
        <v>45185</v>
      </c>
    </row>
    <row r="1408" spans="1:26" ht="21" customHeight="1" thickBot="1" x14ac:dyDescent="0.35">
      <c r="A1408" s="5"/>
      <c r="B1408" s="159"/>
      <c r="C1408" s="160"/>
      <c r="D1408" s="166" t="s">
        <v>43</v>
      </c>
      <c r="E1408" s="167"/>
      <c r="F1408" s="167"/>
      <c r="G1408" s="168"/>
      <c r="H1408" s="168"/>
      <c r="I1408" s="168"/>
      <c r="J1408" s="168"/>
      <c r="K1408" s="168"/>
      <c r="L1408" s="168"/>
      <c r="M1408" s="7"/>
      <c r="N1408" s="32"/>
      <c r="Z1408" s="33">
        <v>45185</v>
      </c>
    </row>
    <row r="1409" spans="1:26" ht="9.9499999999999993" customHeight="1" thickBot="1" x14ac:dyDescent="0.35">
      <c r="B1409" s="9"/>
      <c r="C1409" s="109">
        <v>928</v>
      </c>
      <c r="D1409" s="51"/>
      <c r="E1409" s="12"/>
      <c r="F1409" s="51"/>
      <c r="G1409" s="14"/>
      <c r="H1409" s="14"/>
      <c r="I1409" s="14"/>
      <c r="J1409" s="14"/>
      <c r="K1409" s="14"/>
      <c r="L1409" s="14"/>
      <c r="M1409" s="9"/>
      <c r="N1409" s="32"/>
      <c r="U1409" s="18"/>
      <c r="V1409" s="18"/>
      <c r="Z1409" s="33">
        <v>45185</v>
      </c>
    </row>
    <row r="1410" spans="1:26" ht="6.95" customHeight="1" x14ac:dyDescent="0.3">
      <c r="A1410" s="154">
        <f>+A1399+1</f>
        <v>929</v>
      </c>
      <c r="B1410" s="155"/>
      <c r="C1410" s="156"/>
      <c r="D1410" s="161" t="s">
        <v>39</v>
      </c>
      <c r="E1410" s="162" t="s">
        <v>266</v>
      </c>
      <c r="F1410" s="163" t="s">
        <v>40</v>
      </c>
      <c r="G1410" s="164">
        <v>150</v>
      </c>
      <c r="H1410" s="165">
        <v>1</v>
      </c>
      <c r="I1410" s="164">
        <v>50</v>
      </c>
      <c r="J1410" s="165">
        <v>1</v>
      </c>
      <c r="K1410" s="164"/>
      <c r="L1410" s="165"/>
      <c r="M1410" s="6"/>
      <c r="N1410" s="32"/>
      <c r="Q1410" s="10" t="str">
        <f>+CONCATENATE(E1410,G1410)</f>
        <v>금속관벽체150</v>
      </c>
      <c r="R1410" s="10">
        <f>+H1410</f>
        <v>1</v>
      </c>
      <c r="S1410" s="11"/>
      <c r="T1410" s="10" t="str">
        <f>+E1410</f>
        <v>금속관벽체</v>
      </c>
      <c r="U1410" s="19" t="str">
        <f>IFERROR(LEFT(G1410,FIND("*",G1410)-1),"-")</f>
        <v>-</v>
      </c>
      <c r="V1410" s="19" t="str">
        <f>IFERROR(RIGHT(G1410,LEN(G1410)-FIND("*",G1410)),"-")</f>
        <v>-</v>
      </c>
      <c r="W1410" s="20" t="str">
        <f>IFERROR((U1410+V1410)*2/1000,"-")</f>
        <v>-</v>
      </c>
      <c r="X1410" s="20" t="str">
        <f>IFERROR(W1410*H1410,"-")</f>
        <v>-</v>
      </c>
      <c r="Z1410" s="33">
        <v>45185</v>
      </c>
    </row>
    <row r="1411" spans="1:26" ht="6.95" customHeight="1" x14ac:dyDescent="0.3">
      <c r="A1411" s="154"/>
      <c r="B1411" s="157"/>
      <c r="C1411" s="158"/>
      <c r="D1411" s="161"/>
      <c r="E1411" s="162"/>
      <c r="F1411" s="163"/>
      <c r="G1411" s="164"/>
      <c r="H1411" s="165"/>
      <c r="I1411" s="164"/>
      <c r="J1411" s="165"/>
      <c r="K1411" s="164"/>
      <c r="L1411" s="165"/>
      <c r="M1411" s="6"/>
      <c r="N1411" s="32"/>
      <c r="Q1411" s="10" t="str">
        <f>+CONCATENATE(E1410,I1410)</f>
        <v>금속관벽체50</v>
      </c>
      <c r="R1411" s="10">
        <f>+J1410</f>
        <v>1</v>
      </c>
      <c r="S1411" s="11"/>
      <c r="T1411" s="10" t="str">
        <f>+E1410</f>
        <v>금속관벽체</v>
      </c>
      <c r="U1411" s="19" t="str">
        <f>IFERROR(LEFT(I1410,FIND("*",I1410)-1),"-")</f>
        <v>-</v>
      </c>
      <c r="V1411" s="19" t="str">
        <f>IFERROR(RIGHT(I1410,LEN(I1410)-FIND("*",I1410)),"-")</f>
        <v>-</v>
      </c>
      <c r="W1411" s="20" t="str">
        <f t="shared" ref="W1411:W1418" si="766">IFERROR((U1411+V1411)*2/1000,"-")</f>
        <v>-</v>
      </c>
      <c r="X1411" s="20" t="str">
        <f>IFERROR(W1411*J1410,"-")</f>
        <v>-</v>
      </c>
      <c r="Z1411" s="33">
        <v>45185</v>
      </c>
    </row>
    <row r="1412" spans="1:26" ht="6.95" customHeight="1" x14ac:dyDescent="0.3">
      <c r="A1412" s="154"/>
      <c r="B1412" s="157"/>
      <c r="C1412" s="158"/>
      <c r="D1412" s="161"/>
      <c r="E1412" s="162"/>
      <c r="F1412" s="163"/>
      <c r="G1412" s="164"/>
      <c r="H1412" s="165"/>
      <c r="I1412" s="164"/>
      <c r="J1412" s="165"/>
      <c r="K1412" s="164"/>
      <c r="L1412" s="165"/>
      <c r="M1412" s="6"/>
      <c r="N1412" s="32"/>
      <c r="Q1412" s="10" t="str">
        <f>+CONCATENATE(E1410,K1410)</f>
        <v>금속관벽체</v>
      </c>
      <c r="R1412" s="10">
        <f>+L1410</f>
        <v>0</v>
      </c>
      <c r="S1412" s="11"/>
      <c r="T1412" s="10" t="str">
        <f>+E1410</f>
        <v>금속관벽체</v>
      </c>
      <c r="U1412" s="19" t="str">
        <f>IFERROR(LEFT(K1410,FIND("*",K1410)-1),"-")</f>
        <v>-</v>
      </c>
      <c r="V1412" s="19" t="str">
        <f>IFERROR(RIGHT(K1410,LEN(K1410)-FIND("*",K1410)),"-")</f>
        <v>-</v>
      </c>
      <c r="W1412" s="20" t="str">
        <f t="shared" si="766"/>
        <v>-</v>
      </c>
      <c r="X1412" s="20" t="str">
        <f>IFERROR(W1412*L1410,"-")</f>
        <v>-</v>
      </c>
      <c r="Z1412" s="33">
        <v>45185</v>
      </c>
    </row>
    <row r="1413" spans="1:26" ht="6.95" customHeight="1" x14ac:dyDescent="0.3">
      <c r="A1413" s="8"/>
      <c r="B1413" s="157"/>
      <c r="C1413" s="158"/>
      <c r="D1413" s="161" t="s">
        <v>39</v>
      </c>
      <c r="E1413" s="162" t="s">
        <v>279</v>
      </c>
      <c r="F1413" s="163" t="s">
        <v>40</v>
      </c>
      <c r="G1413" s="164" t="s">
        <v>284</v>
      </c>
      <c r="H1413" s="165">
        <v>1</v>
      </c>
      <c r="I1413" s="164"/>
      <c r="J1413" s="165"/>
      <c r="K1413" s="164"/>
      <c r="L1413" s="165"/>
      <c r="M1413" s="6"/>
      <c r="N1413" s="32"/>
      <c r="Q1413" s="10" t="str">
        <f>+CONCATENATE(E1413,G1413)</f>
        <v>오픈구300*200</v>
      </c>
      <c r="R1413" s="10">
        <f>+H1413</f>
        <v>1</v>
      </c>
      <c r="S1413" s="11"/>
      <c r="T1413" s="10" t="str">
        <f>+E1413</f>
        <v>오픈구</v>
      </c>
      <c r="U1413" s="19" t="str">
        <f t="shared" ref="U1413" si="767">IFERROR(LEFT(G1413,FIND("*",G1413)-1),"-")</f>
        <v>300</v>
      </c>
      <c r="V1413" s="19" t="str">
        <f t="shared" ref="V1413" si="768">IFERROR(RIGHT(G1413,LEN(G1413)-FIND("*",G1413)),"-")</f>
        <v>200</v>
      </c>
      <c r="W1413" s="20">
        <f t="shared" si="766"/>
        <v>1</v>
      </c>
      <c r="X1413" s="20">
        <f>IFERROR(W1413*H1413,"-")</f>
        <v>1</v>
      </c>
      <c r="Z1413" s="33">
        <v>45185</v>
      </c>
    </row>
    <row r="1414" spans="1:26" ht="6.95" customHeight="1" x14ac:dyDescent="0.3">
      <c r="A1414" s="5"/>
      <c r="B1414" s="157"/>
      <c r="C1414" s="158"/>
      <c r="D1414" s="161"/>
      <c r="E1414" s="162"/>
      <c r="F1414" s="163"/>
      <c r="G1414" s="164"/>
      <c r="H1414" s="165"/>
      <c r="I1414" s="164"/>
      <c r="J1414" s="165"/>
      <c r="K1414" s="164"/>
      <c r="L1414" s="165"/>
      <c r="M1414" s="6"/>
      <c r="N1414" s="32"/>
      <c r="Q1414" s="10" t="str">
        <f>+CONCATENATE(E1413,I1413)</f>
        <v>오픈구</v>
      </c>
      <c r="R1414" s="10">
        <f>+J1413</f>
        <v>0</v>
      </c>
      <c r="S1414" s="11"/>
      <c r="T1414" s="10" t="str">
        <f>+E1413</f>
        <v>오픈구</v>
      </c>
      <c r="U1414" s="19" t="str">
        <f>IFERROR(LEFT(I1413,FIND("*",I1413)-1),"-")</f>
        <v>-</v>
      </c>
      <c r="V1414" s="19" t="str">
        <f>IFERROR(RIGHT(I1413,LEN(I1413)-FIND("*",I1413)),"-")</f>
        <v>-</v>
      </c>
      <c r="W1414" s="20" t="str">
        <f t="shared" si="766"/>
        <v>-</v>
      </c>
      <c r="X1414" s="20" t="str">
        <f>IFERROR(W1414*J1413,"-")</f>
        <v>-</v>
      </c>
      <c r="Z1414" s="33">
        <v>45185</v>
      </c>
    </row>
    <row r="1415" spans="1:26" ht="6.95" customHeight="1" x14ac:dyDescent="0.3">
      <c r="A1415" s="5"/>
      <c r="B1415" s="157"/>
      <c r="C1415" s="158"/>
      <c r="D1415" s="161"/>
      <c r="E1415" s="162"/>
      <c r="F1415" s="163"/>
      <c r="G1415" s="164"/>
      <c r="H1415" s="165"/>
      <c r="I1415" s="164"/>
      <c r="J1415" s="165"/>
      <c r="K1415" s="164"/>
      <c r="L1415" s="165"/>
      <c r="M1415" s="6"/>
      <c r="N1415" s="32"/>
      <c r="Q1415" s="10" t="str">
        <f>+CONCATENATE(E1413,K1413)</f>
        <v>오픈구</v>
      </c>
      <c r="R1415" s="10">
        <f>+L1413</f>
        <v>0</v>
      </c>
      <c r="S1415" s="11"/>
      <c r="T1415" s="10" t="str">
        <f>+E1413</f>
        <v>오픈구</v>
      </c>
      <c r="U1415" s="19" t="str">
        <f>IFERROR(LEFT(K1413,FIND("*",K1413)-1),"-")</f>
        <v>-</v>
      </c>
      <c r="V1415" s="19" t="str">
        <f>IFERROR(RIGHT(K1413,LEN(K1413)-FIND("*",K1413)),"-")</f>
        <v>-</v>
      </c>
      <c r="W1415" s="20" t="str">
        <f t="shared" si="766"/>
        <v>-</v>
      </c>
      <c r="X1415" s="20" t="str">
        <f>IFERROR(W1415*L1413,"-")</f>
        <v>-</v>
      </c>
      <c r="Z1415" s="33">
        <v>45185</v>
      </c>
    </row>
    <row r="1416" spans="1:26" ht="6.95" customHeight="1" x14ac:dyDescent="0.3">
      <c r="A1416" s="8"/>
      <c r="B1416" s="157"/>
      <c r="C1416" s="158"/>
      <c r="D1416" s="161" t="s">
        <v>39</v>
      </c>
      <c r="E1416" s="162"/>
      <c r="F1416" s="163" t="s">
        <v>40</v>
      </c>
      <c r="G1416" s="164"/>
      <c r="H1416" s="165"/>
      <c r="I1416" s="164"/>
      <c r="J1416" s="165"/>
      <c r="K1416" s="164"/>
      <c r="L1416" s="165"/>
      <c r="M1416" s="6"/>
      <c r="N1416" s="32"/>
      <c r="Q1416" s="10" t="str">
        <f>+CONCATENATE(E1416,G1416)</f>
        <v/>
      </c>
      <c r="R1416" s="10">
        <f>+H1416</f>
        <v>0</v>
      </c>
      <c r="S1416" s="11"/>
      <c r="T1416" s="10">
        <f>+E1416</f>
        <v>0</v>
      </c>
      <c r="U1416" s="19" t="str">
        <f t="shared" ref="U1416" si="769">IFERROR(LEFT(G1416,FIND("*",G1416)-1),"-")</f>
        <v>-</v>
      </c>
      <c r="V1416" s="19" t="str">
        <f t="shared" ref="V1416" si="770">IFERROR(RIGHT(G1416,LEN(G1416)-FIND("*",G1416)),"-")</f>
        <v>-</v>
      </c>
      <c r="W1416" s="20" t="str">
        <f t="shared" si="766"/>
        <v>-</v>
      </c>
      <c r="X1416" s="20" t="str">
        <f>IFERROR(W1416*H1416,"-")</f>
        <v>-</v>
      </c>
      <c r="Z1416" s="33">
        <v>45185</v>
      </c>
    </row>
    <row r="1417" spans="1:26" ht="6.95" customHeight="1" x14ac:dyDescent="0.3">
      <c r="A1417" s="5"/>
      <c r="B1417" s="157"/>
      <c r="C1417" s="158"/>
      <c r="D1417" s="161"/>
      <c r="E1417" s="162"/>
      <c r="F1417" s="163"/>
      <c r="G1417" s="164"/>
      <c r="H1417" s="165"/>
      <c r="I1417" s="164"/>
      <c r="J1417" s="165"/>
      <c r="K1417" s="164"/>
      <c r="L1417" s="165"/>
      <c r="M1417" s="6"/>
      <c r="N1417" s="32"/>
      <c r="Q1417" s="10" t="str">
        <f>+CONCATENATE(E1416,I1416)</f>
        <v/>
      </c>
      <c r="R1417" s="10">
        <f>+J1416</f>
        <v>0</v>
      </c>
      <c r="S1417" s="11"/>
      <c r="T1417" s="10">
        <f>+E1416</f>
        <v>0</v>
      </c>
      <c r="U1417" s="19" t="str">
        <f>IFERROR(LEFT(I1416,FIND("*",I1416)-1),"-")</f>
        <v>-</v>
      </c>
      <c r="V1417" s="19" t="str">
        <f>IFERROR(RIGHT(I1416,LEN(I1416)-FIND("*",I1416)),"-")</f>
        <v>-</v>
      </c>
      <c r="W1417" s="20" t="str">
        <f t="shared" si="766"/>
        <v>-</v>
      </c>
      <c r="X1417" s="20" t="str">
        <f t="shared" ref="X1417" si="771">IFERROR(W1417*J1416,"-")</f>
        <v>-</v>
      </c>
      <c r="Z1417" s="33">
        <v>45185</v>
      </c>
    </row>
    <row r="1418" spans="1:26" ht="6.95" customHeight="1" x14ac:dyDescent="0.3">
      <c r="A1418" s="5"/>
      <c r="B1418" s="157"/>
      <c r="C1418" s="158"/>
      <c r="D1418" s="161"/>
      <c r="E1418" s="162"/>
      <c r="F1418" s="163"/>
      <c r="G1418" s="164"/>
      <c r="H1418" s="165"/>
      <c r="I1418" s="164"/>
      <c r="J1418" s="165"/>
      <c r="K1418" s="164"/>
      <c r="L1418" s="165"/>
      <c r="M1418" s="6"/>
      <c r="N1418" s="32"/>
      <c r="Q1418" s="10" t="str">
        <f>+CONCATENATE(E1416,K1416)</f>
        <v/>
      </c>
      <c r="R1418" s="10">
        <f>+L1416</f>
        <v>0</v>
      </c>
      <c r="S1418" s="11"/>
      <c r="T1418" s="10">
        <f>+E1416</f>
        <v>0</v>
      </c>
      <c r="U1418" s="19" t="str">
        <f>IFERROR(LEFT(K1416,FIND("*",K1416)-1),"-")</f>
        <v>-</v>
      </c>
      <c r="V1418" s="19" t="str">
        <f>IFERROR(RIGHT(K1416,LEN(K1416)-FIND("*",K1416)),"-")</f>
        <v>-</v>
      </c>
      <c r="W1418" s="20" t="str">
        <f t="shared" si="766"/>
        <v>-</v>
      </c>
      <c r="X1418" s="20" t="str">
        <f>IFERROR(W1418*L1416,"-")</f>
        <v>-</v>
      </c>
      <c r="Z1418" s="33">
        <v>45185</v>
      </c>
    </row>
    <row r="1419" spans="1:26" ht="21" customHeight="1" thickBot="1" x14ac:dyDescent="0.35">
      <c r="A1419" s="5"/>
      <c r="B1419" s="159"/>
      <c r="C1419" s="160"/>
      <c r="D1419" s="166" t="s">
        <v>43</v>
      </c>
      <c r="E1419" s="167"/>
      <c r="F1419" s="167"/>
      <c r="G1419" s="168"/>
      <c r="H1419" s="168"/>
      <c r="I1419" s="168"/>
      <c r="J1419" s="168"/>
      <c r="K1419" s="168"/>
      <c r="L1419" s="168"/>
      <c r="M1419" s="7"/>
      <c r="N1419" s="32"/>
      <c r="Z1419" s="33">
        <v>45185</v>
      </c>
    </row>
    <row r="1420" spans="1:26" ht="9.9499999999999993" customHeight="1" thickBot="1" x14ac:dyDescent="0.35">
      <c r="B1420" s="9"/>
      <c r="C1420" s="109">
        <v>929</v>
      </c>
      <c r="D1420" s="51"/>
      <c r="E1420" s="12"/>
      <c r="F1420" s="51"/>
      <c r="G1420" s="14"/>
      <c r="H1420" s="14"/>
      <c r="I1420" s="14"/>
      <c r="J1420" s="14"/>
      <c r="K1420" s="14"/>
      <c r="L1420" s="14"/>
      <c r="M1420" s="9"/>
      <c r="N1420" s="32"/>
      <c r="U1420" s="18"/>
      <c r="V1420" s="18"/>
      <c r="Z1420" s="33">
        <v>45185</v>
      </c>
    </row>
    <row r="1421" spans="1:26" ht="6.95" customHeight="1" x14ac:dyDescent="0.3">
      <c r="A1421" s="154">
        <f>+A1410+1</f>
        <v>930</v>
      </c>
      <c r="B1421" s="155"/>
      <c r="C1421" s="156"/>
      <c r="D1421" s="161" t="s">
        <v>39</v>
      </c>
      <c r="E1421" s="162" t="s">
        <v>266</v>
      </c>
      <c r="F1421" s="163" t="s">
        <v>40</v>
      </c>
      <c r="G1421" s="164">
        <v>150</v>
      </c>
      <c r="H1421" s="165">
        <v>0.5</v>
      </c>
      <c r="I1421" s="164"/>
      <c r="J1421" s="165"/>
      <c r="K1421" s="164"/>
      <c r="L1421" s="165"/>
      <c r="M1421" s="6"/>
      <c r="N1421" s="32"/>
      <c r="Q1421" s="10" t="str">
        <f>+CONCATENATE(E1421,G1421)</f>
        <v>금속관벽체150</v>
      </c>
      <c r="R1421" s="10">
        <f>+H1421</f>
        <v>0.5</v>
      </c>
      <c r="S1421" s="11"/>
      <c r="T1421" s="10" t="str">
        <f>+E1421</f>
        <v>금속관벽체</v>
      </c>
      <c r="U1421" s="19" t="str">
        <f>IFERROR(LEFT(G1421,FIND("*",G1421)-1),"-")</f>
        <v>-</v>
      </c>
      <c r="V1421" s="19" t="str">
        <f>IFERROR(RIGHT(G1421,LEN(G1421)-FIND("*",G1421)),"-")</f>
        <v>-</v>
      </c>
      <c r="W1421" s="20" t="str">
        <f>IFERROR((U1421+V1421)*2/1000,"-")</f>
        <v>-</v>
      </c>
      <c r="X1421" s="20" t="str">
        <f>IFERROR(W1421*H1421,"-")</f>
        <v>-</v>
      </c>
      <c r="Z1421" s="33">
        <v>45185</v>
      </c>
    </row>
    <row r="1422" spans="1:26" ht="6.95" customHeight="1" x14ac:dyDescent="0.3">
      <c r="A1422" s="154"/>
      <c r="B1422" s="157"/>
      <c r="C1422" s="158"/>
      <c r="D1422" s="161"/>
      <c r="E1422" s="162"/>
      <c r="F1422" s="163"/>
      <c r="G1422" s="164"/>
      <c r="H1422" s="165"/>
      <c r="I1422" s="164"/>
      <c r="J1422" s="165"/>
      <c r="K1422" s="164"/>
      <c r="L1422" s="165"/>
      <c r="M1422" s="6"/>
      <c r="N1422" s="32"/>
      <c r="Q1422" s="10" t="str">
        <f>+CONCATENATE(E1421,I1421)</f>
        <v>금속관벽체</v>
      </c>
      <c r="R1422" s="10">
        <f>+J1421</f>
        <v>0</v>
      </c>
      <c r="S1422" s="11"/>
      <c r="T1422" s="10" t="str">
        <f>+E1421</f>
        <v>금속관벽체</v>
      </c>
      <c r="U1422" s="19" t="str">
        <f>IFERROR(LEFT(I1421,FIND("*",I1421)-1),"-")</f>
        <v>-</v>
      </c>
      <c r="V1422" s="19" t="str">
        <f>IFERROR(RIGHT(I1421,LEN(I1421)-FIND("*",I1421)),"-")</f>
        <v>-</v>
      </c>
      <c r="W1422" s="20" t="str">
        <f t="shared" ref="W1422:W1429" si="772">IFERROR((U1422+V1422)*2/1000,"-")</f>
        <v>-</v>
      </c>
      <c r="X1422" s="20" t="str">
        <f>IFERROR(W1422*J1421,"-")</f>
        <v>-</v>
      </c>
      <c r="Z1422" s="33">
        <v>45185</v>
      </c>
    </row>
    <row r="1423" spans="1:26" ht="6.95" customHeight="1" x14ac:dyDescent="0.3">
      <c r="A1423" s="154"/>
      <c r="B1423" s="157"/>
      <c r="C1423" s="158"/>
      <c r="D1423" s="161"/>
      <c r="E1423" s="162"/>
      <c r="F1423" s="163"/>
      <c r="G1423" s="164"/>
      <c r="H1423" s="165"/>
      <c r="I1423" s="164"/>
      <c r="J1423" s="165"/>
      <c r="K1423" s="164"/>
      <c r="L1423" s="165"/>
      <c r="M1423" s="6"/>
      <c r="N1423" s="32"/>
      <c r="Q1423" s="10" t="str">
        <f>+CONCATENATE(E1421,K1421)</f>
        <v>금속관벽체</v>
      </c>
      <c r="R1423" s="10">
        <f>+L1421</f>
        <v>0</v>
      </c>
      <c r="S1423" s="11"/>
      <c r="T1423" s="10" t="str">
        <f>+E1421</f>
        <v>금속관벽체</v>
      </c>
      <c r="U1423" s="19" t="str">
        <f>IFERROR(LEFT(K1421,FIND("*",K1421)-1),"-")</f>
        <v>-</v>
      </c>
      <c r="V1423" s="19" t="str">
        <f>IFERROR(RIGHT(K1421,LEN(K1421)-FIND("*",K1421)),"-")</f>
        <v>-</v>
      </c>
      <c r="W1423" s="20" t="str">
        <f t="shared" si="772"/>
        <v>-</v>
      </c>
      <c r="X1423" s="20" t="str">
        <f>IFERROR(W1423*L1421,"-")</f>
        <v>-</v>
      </c>
      <c r="Z1423" s="33">
        <v>45185</v>
      </c>
    </row>
    <row r="1424" spans="1:26" ht="6.95" customHeight="1" x14ac:dyDescent="0.3">
      <c r="A1424" s="8"/>
      <c r="B1424" s="157"/>
      <c r="C1424" s="158"/>
      <c r="D1424" s="161" t="s">
        <v>39</v>
      </c>
      <c r="E1424" s="162"/>
      <c r="F1424" s="163" t="s">
        <v>40</v>
      </c>
      <c r="G1424" s="164"/>
      <c r="H1424" s="165"/>
      <c r="I1424" s="164"/>
      <c r="J1424" s="165"/>
      <c r="K1424" s="164"/>
      <c r="L1424" s="165"/>
      <c r="M1424" s="6"/>
      <c r="N1424" s="32"/>
      <c r="Q1424" s="10" t="str">
        <f>+CONCATENATE(E1424,G1424)</f>
        <v/>
      </c>
      <c r="R1424" s="10">
        <f>+H1424</f>
        <v>0</v>
      </c>
      <c r="S1424" s="11"/>
      <c r="T1424" s="10">
        <f>+E1424</f>
        <v>0</v>
      </c>
      <c r="U1424" s="19" t="str">
        <f t="shared" ref="U1424" si="773">IFERROR(LEFT(G1424,FIND("*",G1424)-1),"-")</f>
        <v>-</v>
      </c>
      <c r="V1424" s="19" t="str">
        <f t="shared" ref="V1424" si="774">IFERROR(RIGHT(G1424,LEN(G1424)-FIND("*",G1424)),"-")</f>
        <v>-</v>
      </c>
      <c r="W1424" s="20" t="str">
        <f t="shared" si="772"/>
        <v>-</v>
      </c>
      <c r="X1424" s="20" t="str">
        <f>IFERROR(W1424*H1424,"-")</f>
        <v>-</v>
      </c>
      <c r="Z1424" s="33">
        <v>45185</v>
      </c>
    </row>
    <row r="1425" spans="1:26" ht="6.95" customHeight="1" x14ac:dyDescent="0.3">
      <c r="A1425" s="5"/>
      <c r="B1425" s="157"/>
      <c r="C1425" s="158"/>
      <c r="D1425" s="161"/>
      <c r="E1425" s="162"/>
      <c r="F1425" s="163"/>
      <c r="G1425" s="164"/>
      <c r="H1425" s="165"/>
      <c r="I1425" s="164"/>
      <c r="J1425" s="165"/>
      <c r="K1425" s="164"/>
      <c r="L1425" s="165"/>
      <c r="M1425" s="6"/>
      <c r="N1425" s="32"/>
      <c r="Q1425" s="10" t="str">
        <f>+CONCATENATE(E1424,I1424)</f>
        <v/>
      </c>
      <c r="R1425" s="10">
        <f>+J1424</f>
        <v>0</v>
      </c>
      <c r="S1425" s="11"/>
      <c r="T1425" s="10">
        <f>+E1424</f>
        <v>0</v>
      </c>
      <c r="U1425" s="19" t="str">
        <f>IFERROR(LEFT(I1424,FIND("*",I1424)-1),"-")</f>
        <v>-</v>
      </c>
      <c r="V1425" s="19" t="str">
        <f>IFERROR(RIGHT(I1424,LEN(I1424)-FIND("*",I1424)),"-")</f>
        <v>-</v>
      </c>
      <c r="W1425" s="20" t="str">
        <f t="shared" si="772"/>
        <v>-</v>
      </c>
      <c r="X1425" s="20" t="str">
        <f>IFERROR(W1425*J1424,"-")</f>
        <v>-</v>
      </c>
      <c r="Z1425" s="33">
        <v>45185</v>
      </c>
    </row>
    <row r="1426" spans="1:26" ht="6.95" customHeight="1" x14ac:dyDescent="0.3">
      <c r="A1426" s="5"/>
      <c r="B1426" s="157"/>
      <c r="C1426" s="158"/>
      <c r="D1426" s="161"/>
      <c r="E1426" s="162"/>
      <c r="F1426" s="163"/>
      <c r="G1426" s="164"/>
      <c r="H1426" s="165"/>
      <c r="I1426" s="164"/>
      <c r="J1426" s="165"/>
      <c r="K1426" s="164"/>
      <c r="L1426" s="165"/>
      <c r="M1426" s="6"/>
      <c r="N1426" s="32"/>
      <c r="Q1426" s="10" t="str">
        <f>+CONCATENATE(E1424,K1424)</f>
        <v/>
      </c>
      <c r="R1426" s="10">
        <f>+L1424</f>
        <v>0</v>
      </c>
      <c r="S1426" s="11"/>
      <c r="T1426" s="10">
        <f>+E1424</f>
        <v>0</v>
      </c>
      <c r="U1426" s="19" t="str">
        <f>IFERROR(LEFT(K1424,FIND("*",K1424)-1),"-")</f>
        <v>-</v>
      </c>
      <c r="V1426" s="19" t="str">
        <f>IFERROR(RIGHT(K1424,LEN(K1424)-FIND("*",K1424)),"-")</f>
        <v>-</v>
      </c>
      <c r="W1426" s="20" t="str">
        <f t="shared" si="772"/>
        <v>-</v>
      </c>
      <c r="X1426" s="20" t="str">
        <f>IFERROR(W1426*L1424,"-")</f>
        <v>-</v>
      </c>
      <c r="Z1426" s="33">
        <v>45185</v>
      </c>
    </row>
    <row r="1427" spans="1:26" ht="6.95" customHeight="1" x14ac:dyDescent="0.3">
      <c r="A1427" s="8"/>
      <c r="B1427" s="157"/>
      <c r="C1427" s="158"/>
      <c r="D1427" s="161" t="s">
        <v>39</v>
      </c>
      <c r="E1427" s="162"/>
      <c r="F1427" s="163" t="s">
        <v>40</v>
      </c>
      <c r="G1427" s="164"/>
      <c r="H1427" s="165"/>
      <c r="I1427" s="164"/>
      <c r="J1427" s="165"/>
      <c r="K1427" s="164"/>
      <c r="L1427" s="165"/>
      <c r="M1427" s="6"/>
      <c r="N1427" s="32"/>
      <c r="Q1427" s="10" t="str">
        <f>+CONCATENATE(E1427,G1427)</f>
        <v/>
      </c>
      <c r="R1427" s="10">
        <f>+H1427</f>
        <v>0</v>
      </c>
      <c r="S1427" s="11"/>
      <c r="T1427" s="10">
        <f>+E1427</f>
        <v>0</v>
      </c>
      <c r="U1427" s="19" t="str">
        <f t="shared" ref="U1427" si="775">IFERROR(LEFT(G1427,FIND("*",G1427)-1),"-")</f>
        <v>-</v>
      </c>
      <c r="V1427" s="19" t="str">
        <f t="shared" ref="V1427" si="776">IFERROR(RIGHT(G1427,LEN(G1427)-FIND("*",G1427)),"-")</f>
        <v>-</v>
      </c>
      <c r="W1427" s="20" t="str">
        <f t="shared" si="772"/>
        <v>-</v>
      </c>
      <c r="X1427" s="20" t="str">
        <f>IFERROR(W1427*H1427,"-")</f>
        <v>-</v>
      </c>
      <c r="Z1427" s="33">
        <v>45185</v>
      </c>
    </row>
    <row r="1428" spans="1:26" ht="6.95" customHeight="1" x14ac:dyDescent="0.3">
      <c r="A1428" s="5"/>
      <c r="B1428" s="157"/>
      <c r="C1428" s="158"/>
      <c r="D1428" s="161"/>
      <c r="E1428" s="162"/>
      <c r="F1428" s="163"/>
      <c r="G1428" s="164"/>
      <c r="H1428" s="165"/>
      <c r="I1428" s="164"/>
      <c r="J1428" s="165"/>
      <c r="K1428" s="164"/>
      <c r="L1428" s="165"/>
      <c r="M1428" s="6"/>
      <c r="N1428" s="32"/>
      <c r="Q1428" s="10" t="str">
        <f>+CONCATENATE(E1427,I1427)</f>
        <v/>
      </c>
      <c r="R1428" s="10">
        <f>+J1427</f>
        <v>0</v>
      </c>
      <c r="S1428" s="11"/>
      <c r="T1428" s="10">
        <f>+E1427</f>
        <v>0</v>
      </c>
      <c r="U1428" s="19" t="str">
        <f>IFERROR(LEFT(I1427,FIND("*",I1427)-1),"-")</f>
        <v>-</v>
      </c>
      <c r="V1428" s="19" t="str">
        <f>IFERROR(RIGHT(I1427,LEN(I1427)-FIND("*",I1427)),"-")</f>
        <v>-</v>
      </c>
      <c r="W1428" s="20" t="str">
        <f t="shared" si="772"/>
        <v>-</v>
      </c>
      <c r="X1428" s="20" t="str">
        <f t="shared" ref="X1428" si="777">IFERROR(W1428*J1427,"-")</f>
        <v>-</v>
      </c>
      <c r="Z1428" s="33">
        <v>45185</v>
      </c>
    </row>
    <row r="1429" spans="1:26" ht="6.95" customHeight="1" x14ac:dyDescent="0.3">
      <c r="A1429" s="5"/>
      <c r="B1429" s="157"/>
      <c r="C1429" s="158"/>
      <c r="D1429" s="161"/>
      <c r="E1429" s="162"/>
      <c r="F1429" s="163"/>
      <c r="G1429" s="164"/>
      <c r="H1429" s="165"/>
      <c r="I1429" s="164"/>
      <c r="J1429" s="165"/>
      <c r="K1429" s="164"/>
      <c r="L1429" s="165"/>
      <c r="M1429" s="6"/>
      <c r="N1429" s="32"/>
      <c r="Q1429" s="10" t="str">
        <f>+CONCATENATE(E1427,K1427)</f>
        <v/>
      </c>
      <c r="R1429" s="10">
        <f>+L1427</f>
        <v>0</v>
      </c>
      <c r="S1429" s="11"/>
      <c r="T1429" s="10">
        <f>+E1427</f>
        <v>0</v>
      </c>
      <c r="U1429" s="19" t="str">
        <f>IFERROR(LEFT(K1427,FIND("*",K1427)-1),"-")</f>
        <v>-</v>
      </c>
      <c r="V1429" s="19" t="str">
        <f>IFERROR(RIGHT(K1427,LEN(K1427)-FIND("*",K1427)),"-")</f>
        <v>-</v>
      </c>
      <c r="W1429" s="20" t="str">
        <f t="shared" si="772"/>
        <v>-</v>
      </c>
      <c r="X1429" s="20" t="str">
        <f>IFERROR(W1429*L1427,"-")</f>
        <v>-</v>
      </c>
      <c r="Z1429" s="33">
        <v>45185</v>
      </c>
    </row>
    <row r="1430" spans="1:26" ht="21" customHeight="1" thickBot="1" x14ac:dyDescent="0.35">
      <c r="A1430" s="5"/>
      <c r="B1430" s="159"/>
      <c r="C1430" s="160"/>
      <c r="D1430" s="166" t="s">
        <v>43</v>
      </c>
      <c r="E1430" s="167"/>
      <c r="F1430" s="167"/>
      <c r="G1430" s="168"/>
      <c r="H1430" s="168"/>
      <c r="I1430" s="168"/>
      <c r="J1430" s="168"/>
      <c r="K1430" s="168"/>
      <c r="L1430" s="168"/>
      <c r="M1430" s="7"/>
      <c r="N1430" s="32"/>
      <c r="Z1430" s="33">
        <v>45185</v>
      </c>
    </row>
    <row r="1431" spans="1:26" ht="9.9499999999999993" customHeight="1" thickBot="1" x14ac:dyDescent="0.35">
      <c r="B1431" s="9"/>
      <c r="C1431" s="109">
        <v>930</v>
      </c>
      <c r="D1431" s="51"/>
      <c r="E1431" s="12"/>
      <c r="F1431" s="51"/>
      <c r="G1431" s="14"/>
      <c r="H1431" s="14"/>
      <c r="I1431" s="14"/>
      <c r="J1431" s="14"/>
      <c r="K1431" s="14"/>
      <c r="L1431" s="14"/>
      <c r="M1431" s="9"/>
      <c r="N1431" s="32"/>
      <c r="U1431" s="18"/>
      <c r="V1431" s="18"/>
      <c r="Z1431" s="33">
        <v>45185</v>
      </c>
    </row>
    <row r="1432" spans="1:26" ht="6.95" customHeight="1" x14ac:dyDescent="0.3">
      <c r="A1432" s="154">
        <f>+A1421+1</f>
        <v>931</v>
      </c>
      <c r="B1432" s="155"/>
      <c r="C1432" s="156"/>
      <c r="D1432" s="161" t="s">
        <v>39</v>
      </c>
      <c r="E1432" s="162" t="s">
        <v>285</v>
      </c>
      <c r="F1432" s="163" t="s">
        <v>40</v>
      </c>
      <c r="G1432" s="164" t="s">
        <v>286</v>
      </c>
      <c r="H1432" s="165">
        <v>0.5</v>
      </c>
      <c r="I1432" s="164"/>
      <c r="J1432" s="165"/>
      <c r="K1432" s="164"/>
      <c r="L1432" s="165"/>
      <c r="M1432" s="6"/>
      <c r="N1432" s="32"/>
      <c r="Q1432" s="10" t="str">
        <f>+CONCATENATE(E1432,G1432)</f>
        <v>무보온덕트벽체1300*500</v>
      </c>
      <c r="R1432" s="10">
        <f>+H1432</f>
        <v>0.5</v>
      </c>
      <c r="S1432" s="11"/>
      <c r="T1432" s="10" t="str">
        <f>+E1432</f>
        <v>무보온덕트벽체</v>
      </c>
      <c r="U1432" s="19" t="str">
        <f>IFERROR(LEFT(G1432,FIND("*",G1432)-1),"-")</f>
        <v>1300</v>
      </c>
      <c r="V1432" s="19" t="str">
        <f>IFERROR(RIGHT(G1432,LEN(G1432)-FIND("*",G1432)),"-")</f>
        <v>500</v>
      </c>
      <c r="W1432" s="20">
        <f>IFERROR((U1432+V1432)*2/1000,"-")</f>
        <v>3.6</v>
      </c>
      <c r="X1432" s="20">
        <f>IFERROR(W1432*H1432,"-")</f>
        <v>1.8</v>
      </c>
      <c r="Z1432" s="33">
        <v>45185</v>
      </c>
    </row>
    <row r="1433" spans="1:26" ht="6.95" customHeight="1" x14ac:dyDescent="0.3">
      <c r="A1433" s="154"/>
      <c r="B1433" s="157"/>
      <c r="C1433" s="158"/>
      <c r="D1433" s="161"/>
      <c r="E1433" s="162"/>
      <c r="F1433" s="163"/>
      <c r="G1433" s="164"/>
      <c r="H1433" s="165"/>
      <c r="I1433" s="164"/>
      <c r="J1433" s="165"/>
      <c r="K1433" s="164"/>
      <c r="L1433" s="165"/>
      <c r="M1433" s="6"/>
      <c r="N1433" s="32"/>
      <c r="Q1433" s="10" t="str">
        <f>+CONCATENATE(E1432,I1432)</f>
        <v>무보온덕트벽체</v>
      </c>
      <c r="R1433" s="10">
        <f>+J1432</f>
        <v>0</v>
      </c>
      <c r="S1433" s="11"/>
      <c r="T1433" s="10" t="str">
        <f>+E1432</f>
        <v>무보온덕트벽체</v>
      </c>
      <c r="U1433" s="19" t="str">
        <f>IFERROR(LEFT(I1432,FIND("*",I1432)-1),"-")</f>
        <v>-</v>
      </c>
      <c r="V1433" s="19" t="str">
        <f>IFERROR(RIGHT(I1432,LEN(I1432)-FIND("*",I1432)),"-")</f>
        <v>-</v>
      </c>
      <c r="W1433" s="20" t="str">
        <f t="shared" ref="W1433:W1440" si="778">IFERROR((U1433+V1433)*2/1000,"-")</f>
        <v>-</v>
      </c>
      <c r="X1433" s="20" t="str">
        <f>IFERROR(W1433*J1432,"-")</f>
        <v>-</v>
      </c>
      <c r="Z1433" s="33">
        <v>45185</v>
      </c>
    </row>
    <row r="1434" spans="1:26" ht="6.95" customHeight="1" x14ac:dyDescent="0.3">
      <c r="A1434" s="154"/>
      <c r="B1434" s="157"/>
      <c r="C1434" s="158"/>
      <c r="D1434" s="161"/>
      <c r="E1434" s="162"/>
      <c r="F1434" s="163"/>
      <c r="G1434" s="164"/>
      <c r="H1434" s="165"/>
      <c r="I1434" s="164"/>
      <c r="J1434" s="165"/>
      <c r="K1434" s="164"/>
      <c r="L1434" s="165"/>
      <c r="M1434" s="6"/>
      <c r="N1434" s="32"/>
      <c r="Q1434" s="10" t="str">
        <f>+CONCATENATE(E1432,K1432)</f>
        <v>무보온덕트벽체</v>
      </c>
      <c r="R1434" s="10">
        <f>+L1432</f>
        <v>0</v>
      </c>
      <c r="S1434" s="11"/>
      <c r="T1434" s="10" t="str">
        <f>+E1432</f>
        <v>무보온덕트벽체</v>
      </c>
      <c r="U1434" s="19" t="str">
        <f>IFERROR(LEFT(K1432,FIND("*",K1432)-1),"-")</f>
        <v>-</v>
      </c>
      <c r="V1434" s="19" t="str">
        <f>IFERROR(RIGHT(K1432,LEN(K1432)-FIND("*",K1432)),"-")</f>
        <v>-</v>
      </c>
      <c r="W1434" s="20" t="str">
        <f t="shared" si="778"/>
        <v>-</v>
      </c>
      <c r="X1434" s="20" t="str">
        <f>IFERROR(W1434*L1432,"-")</f>
        <v>-</v>
      </c>
      <c r="Z1434" s="33">
        <v>45185</v>
      </c>
    </row>
    <row r="1435" spans="1:26" ht="6.95" customHeight="1" x14ac:dyDescent="0.3">
      <c r="A1435" s="8"/>
      <c r="B1435" s="157"/>
      <c r="C1435" s="158"/>
      <c r="D1435" s="161" t="s">
        <v>39</v>
      </c>
      <c r="E1435" s="162" t="s">
        <v>287</v>
      </c>
      <c r="F1435" s="163" t="s">
        <v>40</v>
      </c>
      <c r="G1435" s="164" t="s">
        <v>286</v>
      </c>
      <c r="H1435" s="165">
        <v>0.5</v>
      </c>
      <c r="I1435" s="164"/>
      <c r="J1435" s="165"/>
      <c r="K1435" s="164"/>
      <c r="L1435" s="165"/>
      <c r="M1435" s="6"/>
      <c r="N1435" s="32"/>
      <c r="Q1435" s="10" t="str">
        <f>+CONCATENATE(E1435,G1435)</f>
        <v>차열재마감1300*500</v>
      </c>
      <c r="R1435" s="10">
        <f>+H1435</f>
        <v>0.5</v>
      </c>
      <c r="S1435" s="11"/>
      <c r="T1435" s="10" t="str">
        <f>+E1435</f>
        <v>차열재마감</v>
      </c>
      <c r="U1435" s="19" t="str">
        <f t="shared" ref="U1435" si="779">IFERROR(LEFT(G1435,FIND("*",G1435)-1),"-")</f>
        <v>1300</v>
      </c>
      <c r="V1435" s="19" t="str">
        <f t="shared" ref="V1435" si="780">IFERROR(RIGHT(G1435,LEN(G1435)-FIND("*",G1435)),"-")</f>
        <v>500</v>
      </c>
      <c r="W1435" s="20">
        <f t="shared" si="778"/>
        <v>3.6</v>
      </c>
      <c r="X1435" s="20">
        <f>IFERROR(W1435*H1435,"-")</f>
        <v>1.8</v>
      </c>
      <c r="Z1435" s="33">
        <v>45185</v>
      </c>
    </row>
    <row r="1436" spans="1:26" ht="6.95" customHeight="1" x14ac:dyDescent="0.3">
      <c r="A1436" s="5"/>
      <c r="B1436" s="157"/>
      <c r="C1436" s="158"/>
      <c r="D1436" s="161"/>
      <c r="E1436" s="162"/>
      <c r="F1436" s="163"/>
      <c r="G1436" s="164"/>
      <c r="H1436" s="165"/>
      <c r="I1436" s="164"/>
      <c r="J1436" s="165"/>
      <c r="K1436" s="164"/>
      <c r="L1436" s="165"/>
      <c r="M1436" s="6"/>
      <c r="N1436" s="32"/>
      <c r="Q1436" s="10" t="str">
        <f>+CONCATENATE(E1435,I1435)</f>
        <v>차열재마감</v>
      </c>
      <c r="R1436" s="10">
        <f>+J1435</f>
        <v>0</v>
      </c>
      <c r="S1436" s="11"/>
      <c r="T1436" s="10" t="str">
        <f>+E1435</f>
        <v>차열재마감</v>
      </c>
      <c r="U1436" s="19" t="str">
        <f>IFERROR(LEFT(I1435,FIND("*",I1435)-1),"-")</f>
        <v>-</v>
      </c>
      <c r="V1436" s="19" t="str">
        <f>IFERROR(RIGHT(I1435,LEN(I1435)-FIND("*",I1435)),"-")</f>
        <v>-</v>
      </c>
      <c r="W1436" s="20" t="str">
        <f t="shared" si="778"/>
        <v>-</v>
      </c>
      <c r="X1436" s="20" t="str">
        <f>IFERROR(W1436*J1435,"-")</f>
        <v>-</v>
      </c>
      <c r="Z1436" s="33">
        <v>45185</v>
      </c>
    </row>
    <row r="1437" spans="1:26" ht="6.95" customHeight="1" x14ac:dyDescent="0.3">
      <c r="A1437" s="5"/>
      <c r="B1437" s="157"/>
      <c r="C1437" s="158"/>
      <c r="D1437" s="161"/>
      <c r="E1437" s="162"/>
      <c r="F1437" s="163"/>
      <c r="G1437" s="164"/>
      <c r="H1437" s="165"/>
      <c r="I1437" s="164"/>
      <c r="J1437" s="165"/>
      <c r="K1437" s="164"/>
      <c r="L1437" s="165"/>
      <c r="M1437" s="6"/>
      <c r="N1437" s="32"/>
      <c r="Q1437" s="10" t="str">
        <f>+CONCATENATE(E1435,K1435)</f>
        <v>차열재마감</v>
      </c>
      <c r="R1437" s="10">
        <f>+L1435</f>
        <v>0</v>
      </c>
      <c r="S1437" s="11"/>
      <c r="T1437" s="10" t="str">
        <f>+E1435</f>
        <v>차열재마감</v>
      </c>
      <c r="U1437" s="19" t="str">
        <f>IFERROR(LEFT(K1435,FIND("*",K1435)-1),"-")</f>
        <v>-</v>
      </c>
      <c r="V1437" s="19" t="str">
        <f>IFERROR(RIGHT(K1435,LEN(K1435)-FIND("*",K1435)),"-")</f>
        <v>-</v>
      </c>
      <c r="W1437" s="20" t="str">
        <f t="shared" si="778"/>
        <v>-</v>
      </c>
      <c r="X1437" s="20" t="str">
        <f>IFERROR(W1437*L1435,"-")</f>
        <v>-</v>
      </c>
      <c r="Z1437" s="33">
        <v>45185</v>
      </c>
    </row>
    <row r="1438" spans="1:26" ht="6.95" customHeight="1" x14ac:dyDescent="0.3">
      <c r="A1438" s="8"/>
      <c r="B1438" s="157"/>
      <c r="C1438" s="158"/>
      <c r="D1438" s="161" t="s">
        <v>39</v>
      </c>
      <c r="E1438" s="162"/>
      <c r="F1438" s="163" t="s">
        <v>40</v>
      </c>
      <c r="G1438" s="164"/>
      <c r="H1438" s="165"/>
      <c r="I1438" s="164"/>
      <c r="J1438" s="165"/>
      <c r="K1438" s="164"/>
      <c r="L1438" s="165"/>
      <c r="M1438" s="6"/>
      <c r="N1438" s="32"/>
      <c r="Q1438" s="10" t="str">
        <f>+CONCATENATE(E1438,G1438)</f>
        <v/>
      </c>
      <c r="R1438" s="10">
        <f>+H1438</f>
        <v>0</v>
      </c>
      <c r="S1438" s="11"/>
      <c r="T1438" s="10">
        <f>+E1438</f>
        <v>0</v>
      </c>
      <c r="U1438" s="19" t="str">
        <f t="shared" ref="U1438" si="781">IFERROR(LEFT(G1438,FIND("*",G1438)-1),"-")</f>
        <v>-</v>
      </c>
      <c r="V1438" s="19" t="str">
        <f t="shared" ref="V1438" si="782">IFERROR(RIGHT(G1438,LEN(G1438)-FIND("*",G1438)),"-")</f>
        <v>-</v>
      </c>
      <c r="W1438" s="20" t="str">
        <f t="shared" si="778"/>
        <v>-</v>
      </c>
      <c r="X1438" s="20" t="str">
        <f>IFERROR(W1438*H1438,"-")</f>
        <v>-</v>
      </c>
      <c r="Z1438" s="33">
        <v>45185</v>
      </c>
    </row>
    <row r="1439" spans="1:26" ht="6.95" customHeight="1" x14ac:dyDescent="0.3">
      <c r="A1439" s="5"/>
      <c r="B1439" s="157"/>
      <c r="C1439" s="158"/>
      <c r="D1439" s="161"/>
      <c r="E1439" s="162"/>
      <c r="F1439" s="163"/>
      <c r="G1439" s="164"/>
      <c r="H1439" s="165"/>
      <c r="I1439" s="164"/>
      <c r="J1439" s="165"/>
      <c r="K1439" s="164"/>
      <c r="L1439" s="165"/>
      <c r="M1439" s="6"/>
      <c r="N1439" s="32"/>
      <c r="Q1439" s="10" t="str">
        <f>+CONCATENATE(E1438,I1438)</f>
        <v/>
      </c>
      <c r="R1439" s="10">
        <f>+J1438</f>
        <v>0</v>
      </c>
      <c r="S1439" s="11"/>
      <c r="T1439" s="10">
        <f>+E1438</f>
        <v>0</v>
      </c>
      <c r="U1439" s="19" t="str">
        <f>IFERROR(LEFT(I1438,FIND("*",I1438)-1),"-")</f>
        <v>-</v>
      </c>
      <c r="V1439" s="19" t="str">
        <f>IFERROR(RIGHT(I1438,LEN(I1438)-FIND("*",I1438)),"-")</f>
        <v>-</v>
      </c>
      <c r="W1439" s="20" t="str">
        <f t="shared" si="778"/>
        <v>-</v>
      </c>
      <c r="X1439" s="20" t="str">
        <f t="shared" ref="X1439" si="783">IFERROR(W1439*J1438,"-")</f>
        <v>-</v>
      </c>
      <c r="Z1439" s="33">
        <v>45185</v>
      </c>
    </row>
    <row r="1440" spans="1:26" ht="6.95" customHeight="1" x14ac:dyDescent="0.3">
      <c r="A1440" s="5"/>
      <c r="B1440" s="157"/>
      <c r="C1440" s="158"/>
      <c r="D1440" s="161"/>
      <c r="E1440" s="162"/>
      <c r="F1440" s="163"/>
      <c r="G1440" s="164"/>
      <c r="H1440" s="165"/>
      <c r="I1440" s="164"/>
      <c r="J1440" s="165"/>
      <c r="K1440" s="164"/>
      <c r="L1440" s="165"/>
      <c r="M1440" s="6"/>
      <c r="N1440" s="32"/>
      <c r="Q1440" s="10" t="str">
        <f>+CONCATENATE(E1438,K1438)</f>
        <v/>
      </c>
      <c r="R1440" s="10">
        <f>+L1438</f>
        <v>0</v>
      </c>
      <c r="S1440" s="11"/>
      <c r="T1440" s="10">
        <f>+E1438</f>
        <v>0</v>
      </c>
      <c r="U1440" s="19" t="str">
        <f>IFERROR(LEFT(K1438,FIND("*",K1438)-1),"-")</f>
        <v>-</v>
      </c>
      <c r="V1440" s="19" t="str">
        <f>IFERROR(RIGHT(K1438,LEN(K1438)-FIND("*",K1438)),"-")</f>
        <v>-</v>
      </c>
      <c r="W1440" s="20" t="str">
        <f t="shared" si="778"/>
        <v>-</v>
      </c>
      <c r="X1440" s="20" t="str">
        <f>IFERROR(W1440*L1438,"-")</f>
        <v>-</v>
      </c>
      <c r="Z1440" s="33">
        <v>45185</v>
      </c>
    </row>
    <row r="1441" spans="1:26" ht="21" customHeight="1" thickBot="1" x14ac:dyDescent="0.35">
      <c r="A1441" s="5"/>
      <c r="B1441" s="159"/>
      <c r="C1441" s="160"/>
      <c r="D1441" s="166" t="s">
        <v>43</v>
      </c>
      <c r="E1441" s="167"/>
      <c r="F1441" s="167"/>
      <c r="G1441" s="168"/>
      <c r="H1441" s="168"/>
      <c r="I1441" s="168"/>
      <c r="J1441" s="168"/>
      <c r="K1441" s="168"/>
      <c r="L1441" s="168"/>
      <c r="M1441" s="7"/>
      <c r="N1441" s="32"/>
      <c r="Z1441" s="33">
        <v>45185</v>
      </c>
    </row>
    <row r="1442" spans="1:26" ht="9.9499999999999993" customHeight="1" thickBot="1" x14ac:dyDescent="0.35">
      <c r="B1442" s="9"/>
      <c r="C1442" s="109">
        <v>931</v>
      </c>
      <c r="D1442" s="51"/>
      <c r="E1442" s="12"/>
      <c r="F1442" s="51"/>
      <c r="G1442" s="14"/>
      <c r="H1442" s="14"/>
      <c r="I1442" s="14"/>
      <c r="J1442" s="14"/>
      <c r="K1442" s="14"/>
      <c r="L1442" s="14"/>
      <c r="M1442" s="9"/>
      <c r="N1442" s="32"/>
      <c r="U1442" s="18"/>
      <c r="V1442" s="18"/>
      <c r="Z1442" s="33">
        <v>45185</v>
      </c>
    </row>
    <row r="1443" spans="1:26" ht="6.95" customHeight="1" x14ac:dyDescent="0.3">
      <c r="A1443" s="154">
        <f>+A1432+1</f>
        <v>932</v>
      </c>
      <c r="B1443" s="155"/>
      <c r="C1443" s="156"/>
      <c r="D1443" s="161" t="s">
        <v>39</v>
      </c>
      <c r="E1443" s="162" t="s">
        <v>266</v>
      </c>
      <c r="F1443" s="163" t="s">
        <v>40</v>
      </c>
      <c r="G1443" s="164">
        <v>100</v>
      </c>
      <c r="H1443" s="165">
        <v>0.5</v>
      </c>
      <c r="I1443" s="164"/>
      <c r="J1443" s="165"/>
      <c r="K1443" s="164"/>
      <c r="L1443" s="165"/>
      <c r="M1443" s="6"/>
      <c r="N1443" s="32"/>
      <c r="Q1443" s="10" t="str">
        <f>+CONCATENATE(E1443,G1443)</f>
        <v>금속관벽체100</v>
      </c>
      <c r="R1443" s="10">
        <f>+H1443</f>
        <v>0.5</v>
      </c>
      <c r="S1443" s="11"/>
      <c r="T1443" s="10" t="str">
        <f>+E1443</f>
        <v>금속관벽체</v>
      </c>
      <c r="U1443" s="19" t="str">
        <f>IFERROR(LEFT(G1443,FIND("*",G1443)-1),"-")</f>
        <v>-</v>
      </c>
      <c r="V1443" s="19" t="str">
        <f>IFERROR(RIGHT(G1443,LEN(G1443)-FIND("*",G1443)),"-")</f>
        <v>-</v>
      </c>
      <c r="W1443" s="20" t="str">
        <f>IFERROR((U1443+V1443)*2/1000,"-")</f>
        <v>-</v>
      </c>
      <c r="X1443" s="20" t="str">
        <f>IFERROR(W1443*H1443,"-")</f>
        <v>-</v>
      </c>
      <c r="Z1443" s="33">
        <v>45185</v>
      </c>
    </row>
    <row r="1444" spans="1:26" ht="6.95" customHeight="1" x14ac:dyDescent="0.3">
      <c r="A1444" s="154"/>
      <c r="B1444" s="157"/>
      <c r="C1444" s="158"/>
      <c r="D1444" s="161"/>
      <c r="E1444" s="162"/>
      <c r="F1444" s="163"/>
      <c r="G1444" s="164"/>
      <c r="H1444" s="165"/>
      <c r="I1444" s="164"/>
      <c r="J1444" s="165"/>
      <c r="K1444" s="164"/>
      <c r="L1444" s="165"/>
      <c r="M1444" s="6"/>
      <c r="N1444" s="32"/>
      <c r="Q1444" s="10" t="str">
        <f>+CONCATENATE(E1443,I1443)</f>
        <v>금속관벽체</v>
      </c>
      <c r="R1444" s="10">
        <f>+J1443</f>
        <v>0</v>
      </c>
      <c r="S1444" s="11"/>
      <c r="T1444" s="10" t="str">
        <f>+E1443</f>
        <v>금속관벽체</v>
      </c>
      <c r="U1444" s="19" t="str">
        <f>IFERROR(LEFT(I1443,FIND("*",I1443)-1),"-")</f>
        <v>-</v>
      </c>
      <c r="V1444" s="19" t="str">
        <f>IFERROR(RIGHT(I1443,LEN(I1443)-FIND("*",I1443)),"-")</f>
        <v>-</v>
      </c>
      <c r="W1444" s="20" t="str">
        <f t="shared" ref="W1444:W1451" si="784">IFERROR((U1444+V1444)*2/1000,"-")</f>
        <v>-</v>
      </c>
      <c r="X1444" s="20" t="str">
        <f>IFERROR(W1444*J1443,"-")</f>
        <v>-</v>
      </c>
      <c r="Z1444" s="33">
        <v>45185</v>
      </c>
    </row>
    <row r="1445" spans="1:26" ht="6.95" customHeight="1" x14ac:dyDescent="0.3">
      <c r="A1445" s="154"/>
      <c r="B1445" s="157"/>
      <c r="C1445" s="158"/>
      <c r="D1445" s="161"/>
      <c r="E1445" s="162"/>
      <c r="F1445" s="163"/>
      <c r="G1445" s="164"/>
      <c r="H1445" s="165"/>
      <c r="I1445" s="164"/>
      <c r="J1445" s="165"/>
      <c r="K1445" s="164"/>
      <c r="L1445" s="165"/>
      <c r="M1445" s="6"/>
      <c r="N1445" s="32"/>
      <c r="Q1445" s="10" t="str">
        <f>+CONCATENATE(E1443,K1443)</f>
        <v>금속관벽체</v>
      </c>
      <c r="R1445" s="10">
        <f>+L1443</f>
        <v>0</v>
      </c>
      <c r="S1445" s="11"/>
      <c r="T1445" s="10" t="str">
        <f>+E1443</f>
        <v>금속관벽체</v>
      </c>
      <c r="U1445" s="19" t="str">
        <f>IFERROR(LEFT(K1443,FIND("*",K1443)-1),"-")</f>
        <v>-</v>
      </c>
      <c r="V1445" s="19" t="str">
        <f>IFERROR(RIGHT(K1443,LEN(K1443)-FIND("*",K1443)),"-")</f>
        <v>-</v>
      </c>
      <c r="W1445" s="20" t="str">
        <f t="shared" si="784"/>
        <v>-</v>
      </c>
      <c r="X1445" s="20" t="str">
        <f>IFERROR(W1445*L1443,"-")</f>
        <v>-</v>
      </c>
      <c r="Z1445" s="33">
        <v>45185</v>
      </c>
    </row>
    <row r="1446" spans="1:26" ht="6.95" customHeight="1" x14ac:dyDescent="0.3">
      <c r="A1446" s="8"/>
      <c r="B1446" s="157"/>
      <c r="C1446" s="158"/>
      <c r="D1446" s="161" t="s">
        <v>39</v>
      </c>
      <c r="E1446" s="162"/>
      <c r="F1446" s="163" t="s">
        <v>40</v>
      </c>
      <c r="G1446" s="164"/>
      <c r="H1446" s="165"/>
      <c r="I1446" s="164"/>
      <c r="J1446" s="165"/>
      <c r="K1446" s="164"/>
      <c r="L1446" s="165"/>
      <c r="M1446" s="6"/>
      <c r="N1446" s="32"/>
      <c r="Q1446" s="10" t="str">
        <f>+CONCATENATE(E1446,G1446)</f>
        <v/>
      </c>
      <c r="R1446" s="10">
        <f>+H1446</f>
        <v>0</v>
      </c>
      <c r="S1446" s="11"/>
      <c r="T1446" s="10">
        <f>+E1446</f>
        <v>0</v>
      </c>
      <c r="U1446" s="19" t="str">
        <f t="shared" ref="U1446" si="785">IFERROR(LEFT(G1446,FIND("*",G1446)-1),"-")</f>
        <v>-</v>
      </c>
      <c r="V1446" s="19" t="str">
        <f t="shared" ref="V1446" si="786">IFERROR(RIGHT(G1446,LEN(G1446)-FIND("*",G1446)),"-")</f>
        <v>-</v>
      </c>
      <c r="W1446" s="20" t="str">
        <f t="shared" si="784"/>
        <v>-</v>
      </c>
      <c r="X1446" s="20" t="str">
        <f>IFERROR(W1446*H1446,"-")</f>
        <v>-</v>
      </c>
      <c r="Z1446" s="33">
        <v>45185</v>
      </c>
    </row>
    <row r="1447" spans="1:26" ht="6.95" customHeight="1" x14ac:dyDescent="0.3">
      <c r="A1447" s="5"/>
      <c r="B1447" s="157"/>
      <c r="C1447" s="158"/>
      <c r="D1447" s="161"/>
      <c r="E1447" s="162"/>
      <c r="F1447" s="163"/>
      <c r="G1447" s="164"/>
      <c r="H1447" s="165"/>
      <c r="I1447" s="164"/>
      <c r="J1447" s="165"/>
      <c r="K1447" s="164"/>
      <c r="L1447" s="165"/>
      <c r="M1447" s="6"/>
      <c r="N1447" s="32"/>
      <c r="Q1447" s="10" t="str">
        <f>+CONCATENATE(E1446,I1446)</f>
        <v/>
      </c>
      <c r="R1447" s="10">
        <f>+J1446</f>
        <v>0</v>
      </c>
      <c r="S1447" s="11"/>
      <c r="T1447" s="10">
        <f>+E1446</f>
        <v>0</v>
      </c>
      <c r="U1447" s="19" t="str">
        <f>IFERROR(LEFT(I1446,FIND("*",I1446)-1),"-")</f>
        <v>-</v>
      </c>
      <c r="V1447" s="19" t="str">
        <f>IFERROR(RIGHT(I1446,LEN(I1446)-FIND("*",I1446)),"-")</f>
        <v>-</v>
      </c>
      <c r="W1447" s="20" t="str">
        <f t="shared" si="784"/>
        <v>-</v>
      </c>
      <c r="X1447" s="20" t="str">
        <f>IFERROR(W1447*J1446,"-")</f>
        <v>-</v>
      </c>
      <c r="Z1447" s="33">
        <v>45185</v>
      </c>
    </row>
    <row r="1448" spans="1:26" ht="6.95" customHeight="1" x14ac:dyDescent="0.3">
      <c r="A1448" s="5"/>
      <c r="B1448" s="157"/>
      <c r="C1448" s="158"/>
      <c r="D1448" s="161"/>
      <c r="E1448" s="162"/>
      <c r="F1448" s="163"/>
      <c r="G1448" s="164"/>
      <c r="H1448" s="165"/>
      <c r="I1448" s="164"/>
      <c r="J1448" s="165"/>
      <c r="K1448" s="164"/>
      <c r="L1448" s="165"/>
      <c r="M1448" s="6"/>
      <c r="N1448" s="32"/>
      <c r="Q1448" s="10" t="str">
        <f>+CONCATENATE(E1446,K1446)</f>
        <v/>
      </c>
      <c r="R1448" s="10">
        <f>+L1446</f>
        <v>0</v>
      </c>
      <c r="S1448" s="11"/>
      <c r="T1448" s="10">
        <f>+E1446</f>
        <v>0</v>
      </c>
      <c r="U1448" s="19" t="str">
        <f>IFERROR(LEFT(K1446,FIND("*",K1446)-1),"-")</f>
        <v>-</v>
      </c>
      <c r="V1448" s="19" t="str">
        <f>IFERROR(RIGHT(K1446,LEN(K1446)-FIND("*",K1446)),"-")</f>
        <v>-</v>
      </c>
      <c r="W1448" s="20" t="str">
        <f t="shared" si="784"/>
        <v>-</v>
      </c>
      <c r="X1448" s="20" t="str">
        <f>IFERROR(W1448*L1446,"-")</f>
        <v>-</v>
      </c>
      <c r="Z1448" s="33">
        <v>45185</v>
      </c>
    </row>
    <row r="1449" spans="1:26" ht="6.95" customHeight="1" x14ac:dyDescent="0.3">
      <c r="A1449" s="8"/>
      <c r="B1449" s="157"/>
      <c r="C1449" s="158"/>
      <c r="D1449" s="161" t="s">
        <v>39</v>
      </c>
      <c r="E1449" s="162"/>
      <c r="F1449" s="163" t="s">
        <v>40</v>
      </c>
      <c r="G1449" s="164"/>
      <c r="H1449" s="165"/>
      <c r="I1449" s="164"/>
      <c r="J1449" s="165"/>
      <c r="K1449" s="164"/>
      <c r="L1449" s="165"/>
      <c r="M1449" s="6"/>
      <c r="N1449" s="32"/>
      <c r="Q1449" s="10" t="str">
        <f>+CONCATENATE(E1449,G1449)</f>
        <v/>
      </c>
      <c r="R1449" s="10">
        <f>+H1449</f>
        <v>0</v>
      </c>
      <c r="S1449" s="11"/>
      <c r="T1449" s="10">
        <f>+E1449</f>
        <v>0</v>
      </c>
      <c r="U1449" s="19" t="str">
        <f t="shared" ref="U1449" si="787">IFERROR(LEFT(G1449,FIND("*",G1449)-1),"-")</f>
        <v>-</v>
      </c>
      <c r="V1449" s="19" t="str">
        <f t="shared" ref="V1449" si="788">IFERROR(RIGHT(G1449,LEN(G1449)-FIND("*",G1449)),"-")</f>
        <v>-</v>
      </c>
      <c r="W1449" s="20" t="str">
        <f t="shared" si="784"/>
        <v>-</v>
      </c>
      <c r="X1449" s="20" t="str">
        <f>IFERROR(W1449*H1449,"-")</f>
        <v>-</v>
      </c>
      <c r="Z1449" s="33">
        <v>45185</v>
      </c>
    </row>
    <row r="1450" spans="1:26" ht="6.95" customHeight="1" x14ac:dyDescent="0.3">
      <c r="A1450" s="5"/>
      <c r="B1450" s="157"/>
      <c r="C1450" s="158"/>
      <c r="D1450" s="161"/>
      <c r="E1450" s="162"/>
      <c r="F1450" s="163"/>
      <c r="G1450" s="164"/>
      <c r="H1450" s="165"/>
      <c r="I1450" s="164"/>
      <c r="J1450" s="165"/>
      <c r="K1450" s="164"/>
      <c r="L1450" s="165"/>
      <c r="M1450" s="6"/>
      <c r="N1450" s="32"/>
      <c r="Q1450" s="10" t="str">
        <f>+CONCATENATE(E1449,I1449)</f>
        <v/>
      </c>
      <c r="R1450" s="10">
        <f>+J1449</f>
        <v>0</v>
      </c>
      <c r="S1450" s="11"/>
      <c r="T1450" s="10">
        <f>+E1449</f>
        <v>0</v>
      </c>
      <c r="U1450" s="19" t="str">
        <f>IFERROR(LEFT(I1449,FIND("*",I1449)-1),"-")</f>
        <v>-</v>
      </c>
      <c r="V1450" s="19" t="str">
        <f>IFERROR(RIGHT(I1449,LEN(I1449)-FIND("*",I1449)),"-")</f>
        <v>-</v>
      </c>
      <c r="W1450" s="20" t="str">
        <f t="shared" si="784"/>
        <v>-</v>
      </c>
      <c r="X1450" s="20" t="str">
        <f t="shared" ref="X1450" si="789">IFERROR(W1450*J1449,"-")</f>
        <v>-</v>
      </c>
      <c r="Z1450" s="33">
        <v>45185</v>
      </c>
    </row>
    <row r="1451" spans="1:26" ht="6.95" customHeight="1" x14ac:dyDescent="0.3">
      <c r="A1451" s="5"/>
      <c r="B1451" s="157"/>
      <c r="C1451" s="158"/>
      <c r="D1451" s="161"/>
      <c r="E1451" s="162"/>
      <c r="F1451" s="163"/>
      <c r="G1451" s="164"/>
      <c r="H1451" s="165"/>
      <c r="I1451" s="164"/>
      <c r="J1451" s="165"/>
      <c r="K1451" s="164"/>
      <c r="L1451" s="165"/>
      <c r="M1451" s="6"/>
      <c r="N1451" s="32"/>
      <c r="Q1451" s="10" t="str">
        <f>+CONCATENATE(E1449,K1449)</f>
        <v/>
      </c>
      <c r="R1451" s="10">
        <f>+L1449</f>
        <v>0</v>
      </c>
      <c r="S1451" s="11"/>
      <c r="T1451" s="10">
        <f>+E1449</f>
        <v>0</v>
      </c>
      <c r="U1451" s="19" t="str">
        <f>IFERROR(LEFT(K1449,FIND("*",K1449)-1),"-")</f>
        <v>-</v>
      </c>
      <c r="V1451" s="19" t="str">
        <f>IFERROR(RIGHT(K1449,LEN(K1449)-FIND("*",K1449)),"-")</f>
        <v>-</v>
      </c>
      <c r="W1451" s="20" t="str">
        <f t="shared" si="784"/>
        <v>-</v>
      </c>
      <c r="X1451" s="20" t="str">
        <f>IFERROR(W1451*L1449,"-")</f>
        <v>-</v>
      </c>
      <c r="Z1451" s="33">
        <v>45185</v>
      </c>
    </row>
    <row r="1452" spans="1:26" ht="21" customHeight="1" thickBot="1" x14ac:dyDescent="0.35">
      <c r="A1452" s="5"/>
      <c r="B1452" s="159"/>
      <c r="C1452" s="160"/>
      <c r="D1452" s="166" t="s">
        <v>43</v>
      </c>
      <c r="E1452" s="167"/>
      <c r="F1452" s="167"/>
      <c r="G1452" s="168"/>
      <c r="H1452" s="168"/>
      <c r="I1452" s="168"/>
      <c r="J1452" s="168"/>
      <c r="K1452" s="168"/>
      <c r="L1452" s="168"/>
      <c r="M1452" s="7"/>
      <c r="N1452" s="32"/>
      <c r="Z1452" s="33">
        <v>45185</v>
      </c>
    </row>
    <row r="1453" spans="1:26" ht="9.9499999999999993" customHeight="1" thickBot="1" x14ac:dyDescent="0.35">
      <c r="B1453" s="9"/>
      <c r="C1453" s="109">
        <v>932</v>
      </c>
      <c r="D1453" s="51"/>
      <c r="E1453" s="12"/>
      <c r="F1453" s="51"/>
      <c r="G1453" s="14"/>
      <c r="H1453" s="14"/>
      <c r="I1453" s="14"/>
      <c r="J1453" s="14"/>
      <c r="K1453" s="14"/>
      <c r="L1453" s="14"/>
      <c r="M1453" s="9"/>
      <c r="N1453" s="32"/>
      <c r="U1453" s="18"/>
      <c r="V1453" s="18"/>
      <c r="Z1453" s="33">
        <v>45185</v>
      </c>
    </row>
    <row r="1454" spans="1:26" ht="6.95" customHeight="1" x14ac:dyDescent="0.3">
      <c r="A1454" s="154">
        <f>+A1443+1</f>
        <v>933</v>
      </c>
      <c r="B1454" s="155"/>
      <c r="C1454" s="156"/>
      <c r="D1454" s="161" t="s">
        <v>39</v>
      </c>
      <c r="E1454" s="162" t="s">
        <v>266</v>
      </c>
      <c r="F1454" s="163" t="s">
        <v>40</v>
      </c>
      <c r="G1454" s="164">
        <v>150</v>
      </c>
      <c r="H1454" s="165">
        <v>4</v>
      </c>
      <c r="I1454" s="164"/>
      <c r="J1454" s="165"/>
      <c r="K1454" s="164"/>
      <c r="L1454" s="165"/>
      <c r="M1454" s="6"/>
      <c r="N1454" s="32"/>
      <c r="Q1454" s="10" t="str">
        <f>+CONCATENATE(E1454,G1454)</f>
        <v>금속관벽체150</v>
      </c>
      <c r="R1454" s="10">
        <f>+H1454</f>
        <v>4</v>
      </c>
      <c r="S1454" s="11"/>
      <c r="T1454" s="10" t="str">
        <f>+E1454</f>
        <v>금속관벽체</v>
      </c>
      <c r="U1454" s="19" t="str">
        <f>IFERROR(LEFT(G1454,FIND("*",G1454)-1),"-")</f>
        <v>-</v>
      </c>
      <c r="V1454" s="19" t="str">
        <f>IFERROR(RIGHT(G1454,LEN(G1454)-FIND("*",G1454)),"-")</f>
        <v>-</v>
      </c>
      <c r="W1454" s="20" t="str">
        <f>IFERROR((U1454+V1454)*2/1000,"-")</f>
        <v>-</v>
      </c>
      <c r="X1454" s="20" t="str">
        <f>IFERROR(W1454*H1454,"-")</f>
        <v>-</v>
      </c>
      <c r="Z1454" s="33">
        <v>45185</v>
      </c>
    </row>
    <row r="1455" spans="1:26" ht="6.95" customHeight="1" x14ac:dyDescent="0.3">
      <c r="A1455" s="154"/>
      <c r="B1455" s="157"/>
      <c r="C1455" s="158"/>
      <c r="D1455" s="161"/>
      <c r="E1455" s="162"/>
      <c r="F1455" s="163"/>
      <c r="G1455" s="164"/>
      <c r="H1455" s="165"/>
      <c r="I1455" s="164"/>
      <c r="J1455" s="165"/>
      <c r="K1455" s="164"/>
      <c r="L1455" s="165"/>
      <c r="M1455" s="6"/>
      <c r="N1455" s="32"/>
      <c r="Q1455" s="10" t="str">
        <f>+CONCATENATE(E1454,I1454)</f>
        <v>금속관벽체</v>
      </c>
      <c r="R1455" s="10">
        <f>+J1454</f>
        <v>0</v>
      </c>
      <c r="S1455" s="11"/>
      <c r="T1455" s="10" t="str">
        <f>+E1454</f>
        <v>금속관벽체</v>
      </c>
      <c r="U1455" s="19" t="str">
        <f>IFERROR(LEFT(I1454,FIND("*",I1454)-1),"-")</f>
        <v>-</v>
      </c>
      <c r="V1455" s="19" t="str">
        <f>IFERROR(RIGHT(I1454,LEN(I1454)-FIND("*",I1454)),"-")</f>
        <v>-</v>
      </c>
      <c r="W1455" s="20" t="str">
        <f t="shared" ref="W1455:W1462" si="790">IFERROR((U1455+V1455)*2/1000,"-")</f>
        <v>-</v>
      </c>
      <c r="X1455" s="20" t="str">
        <f>IFERROR(W1455*J1454,"-")</f>
        <v>-</v>
      </c>
      <c r="Z1455" s="33">
        <v>45185</v>
      </c>
    </row>
    <row r="1456" spans="1:26" ht="6.95" customHeight="1" x14ac:dyDescent="0.3">
      <c r="A1456" s="154"/>
      <c r="B1456" s="157"/>
      <c r="C1456" s="158"/>
      <c r="D1456" s="161"/>
      <c r="E1456" s="162"/>
      <c r="F1456" s="163"/>
      <c r="G1456" s="164"/>
      <c r="H1456" s="165"/>
      <c r="I1456" s="164"/>
      <c r="J1456" s="165"/>
      <c r="K1456" s="164"/>
      <c r="L1456" s="165"/>
      <c r="M1456" s="6"/>
      <c r="N1456" s="32"/>
      <c r="Q1456" s="10" t="str">
        <f>+CONCATENATE(E1454,K1454)</f>
        <v>금속관벽체</v>
      </c>
      <c r="R1456" s="10">
        <f>+L1454</f>
        <v>0</v>
      </c>
      <c r="S1456" s="11"/>
      <c r="T1456" s="10" t="str">
        <f>+E1454</f>
        <v>금속관벽체</v>
      </c>
      <c r="U1456" s="19" t="str">
        <f>IFERROR(LEFT(K1454,FIND("*",K1454)-1),"-")</f>
        <v>-</v>
      </c>
      <c r="V1456" s="19" t="str">
        <f>IFERROR(RIGHT(K1454,LEN(K1454)-FIND("*",K1454)),"-")</f>
        <v>-</v>
      </c>
      <c r="W1456" s="20" t="str">
        <f t="shared" si="790"/>
        <v>-</v>
      </c>
      <c r="X1456" s="20" t="str">
        <f>IFERROR(W1456*L1454,"-")</f>
        <v>-</v>
      </c>
      <c r="Z1456" s="33">
        <v>45185</v>
      </c>
    </row>
    <row r="1457" spans="1:26" ht="6.95" customHeight="1" x14ac:dyDescent="0.3">
      <c r="A1457" s="8"/>
      <c r="B1457" s="157"/>
      <c r="C1457" s="158"/>
      <c r="D1457" s="161" t="s">
        <v>39</v>
      </c>
      <c r="E1457" s="162"/>
      <c r="F1457" s="163" t="s">
        <v>40</v>
      </c>
      <c r="G1457" s="164"/>
      <c r="H1457" s="165"/>
      <c r="I1457" s="164"/>
      <c r="J1457" s="165"/>
      <c r="K1457" s="164"/>
      <c r="L1457" s="165"/>
      <c r="M1457" s="6"/>
      <c r="N1457" s="32"/>
      <c r="Q1457" s="10" t="str">
        <f>+CONCATENATE(E1457,G1457)</f>
        <v/>
      </c>
      <c r="R1457" s="10">
        <f>+H1457</f>
        <v>0</v>
      </c>
      <c r="S1457" s="11"/>
      <c r="T1457" s="10">
        <f>+E1457</f>
        <v>0</v>
      </c>
      <c r="U1457" s="19" t="str">
        <f t="shared" ref="U1457" si="791">IFERROR(LEFT(G1457,FIND("*",G1457)-1),"-")</f>
        <v>-</v>
      </c>
      <c r="V1457" s="19" t="str">
        <f t="shared" ref="V1457" si="792">IFERROR(RIGHT(G1457,LEN(G1457)-FIND("*",G1457)),"-")</f>
        <v>-</v>
      </c>
      <c r="W1457" s="20" t="str">
        <f t="shared" si="790"/>
        <v>-</v>
      </c>
      <c r="X1457" s="20" t="str">
        <f>IFERROR(W1457*H1457,"-")</f>
        <v>-</v>
      </c>
      <c r="Z1457" s="33">
        <v>45185</v>
      </c>
    </row>
    <row r="1458" spans="1:26" ht="6.95" customHeight="1" x14ac:dyDescent="0.3">
      <c r="A1458" s="5"/>
      <c r="B1458" s="157"/>
      <c r="C1458" s="158"/>
      <c r="D1458" s="161"/>
      <c r="E1458" s="162"/>
      <c r="F1458" s="163"/>
      <c r="G1458" s="164"/>
      <c r="H1458" s="165"/>
      <c r="I1458" s="164"/>
      <c r="J1458" s="165"/>
      <c r="K1458" s="164"/>
      <c r="L1458" s="165"/>
      <c r="M1458" s="6"/>
      <c r="N1458" s="32"/>
      <c r="Q1458" s="10" t="str">
        <f>+CONCATENATE(E1457,I1457)</f>
        <v/>
      </c>
      <c r="R1458" s="10">
        <f>+J1457</f>
        <v>0</v>
      </c>
      <c r="S1458" s="11"/>
      <c r="T1458" s="10">
        <f>+E1457</f>
        <v>0</v>
      </c>
      <c r="U1458" s="19" t="str">
        <f>IFERROR(LEFT(I1457,FIND("*",I1457)-1),"-")</f>
        <v>-</v>
      </c>
      <c r="V1458" s="19" t="str">
        <f>IFERROR(RIGHT(I1457,LEN(I1457)-FIND("*",I1457)),"-")</f>
        <v>-</v>
      </c>
      <c r="W1458" s="20" t="str">
        <f t="shared" si="790"/>
        <v>-</v>
      </c>
      <c r="X1458" s="20" t="str">
        <f>IFERROR(W1458*J1457,"-")</f>
        <v>-</v>
      </c>
      <c r="Z1458" s="33">
        <v>45185</v>
      </c>
    </row>
    <row r="1459" spans="1:26" ht="6.95" customHeight="1" x14ac:dyDescent="0.3">
      <c r="A1459" s="5"/>
      <c r="B1459" s="157"/>
      <c r="C1459" s="158"/>
      <c r="D1459" s="161"/>
      <c r="E1459" s="162"/>
      <c r="F1459" s="163"/>
      <c r="G1459" s="164"/>
      <c r="H1459" s="165"/>
      <c r="I1459" s="164"/>
      <c r="J1459" s="165"/>
      <c r="K1459" s="164"/>
      <c r="L1459" s="165"/>
      <c r="M1459" s="6"/>
      <c r="N1459" s="32"/>
      <c r="Q1459" s="10" t="str">
        <f>+CONCATENATE(E1457,K1457)</f>
        <v/>
      </c>
      <c r="R1459" s="10">
        <f>+L1457</f>
        <v>0</v>
      </c>
      <c r="S1459" s="11"/>
      <c r="T1459" s="10">
        <f>+E1457</f>
        <v>0</v>
      </c>
      <c r="U1459" s="19" t="str">
        <f>IFERROR(LEFT(K1457,FIND("*",K1457)-1),"-")</f>
        <v>-</v>
      </c>
      <c r="V1459" s="19" t="str">
        <f>IFERROR(RIGHT(K1457,LEN(K1457)-FIND("*",K1457)),"-")</f>
        <v>-</v>
      </c>
      <c r="W1459" s="20" t="str">
        <f t="shared" si="790"/>
        <v>-</v>
      </c>
      <c r="X1459" s="20" t="str">
        <f>IFERROR(W1459*L1457,"-")</f>
        <v>-</v>
      </c>
      <c r="Z1459" s="33">
        <v>45185</v>
      </c>
    </row>
    <row r="1460" spans="1:26" ht="6.95" customHeight="1" x14ac:dyDescent="0.3">
      <c r="A1460" s="8"/>
      <c r="B1460" s="157"/>
      <c r="C1460" s="158"/>
      <c r="D1460" s="161" t="s">
        <v>39</v>
      </c>
      <c r="E1460" s="162"/>
      <c r="F1460" s="163" t="s">
        <v>40</v>
      </c>
      <c r="G1460" s="164"/>
      <c r="H1460" s="165"/>
      <c r="I1460" s="164"/>
      <c r="J1460" s="165"/>
      <c r="K1460" s="164"/>
      <c r="L1460" s="165"/>
      <c r="M1460" s="6"/>
      <c r="N1460" s="32"/>
      <c r="Q1460" s="10" t="str">
        <f>+CONCATENATE(E1460,G1460)</f>
        <v/>
      </c>
      <c r="R1460" s="10">
        <f>+H1460</f>
        <v>0</v>
      </c>
      <c r="S1460" s="11"/>
      <c r="T1460" s="10">
        <f>+E1460</f>
        <v>0</v>
      </c>
      <c r="U1460" s="19" t="str">
        <f t="shared" ref="U1460" si="793">IFERROR(LEFT(G1460,FIND("*",G1460)-1),"-")</f>
        <v>-</v>
      </c>
      <c r="V1460" s="19" t="str">
        <f t="shared" ref="V1460" si="794">IFERROR(RIGHT(G1460,LEN(G1460)-FIND("*",G1460)),"-")</f>
        <v>-</v>
      </c>
      <c r="W1460" s="20" t="str">
        <f t="shared" si="790"/>
        <v>-</v>
      </c>
      <c r="X1460" s="20" t="str">
        <f>IFERROR(W1460*H1460,"-")</f>
        <v>-</v>
      </c>
      <c r="Z1460" s="33">
        <v>45185</v>
      </c>
    </row>
    <row r="1461" spans="1:26" ht="6.95" customHeight="1" x14ac:dyDescent="0.3">
      <c r="A1461" s="5"/>
      <c r="B1461" s="157"/>
      <c r="C1461" s="158"/>
      <c r="D1461" s="161"/>
      <c r="E1461" s="162"/>
      <c r="F1461" s="163"/>
      <c r="G1461" s="164"/>
      <c r="H1461" s="165"/>
      <c r="I1461" s="164"/>
      <c r="J1461" s="165"/>
      <c r="K1461" s="164"/>
      <c r="L1461" s="165"/>
      <c r="M1461" s="6"/>
      <c r="N1461" s="32"/>
      <c r="Q1461" s="10" t="str">
        <f>+CONCATENATE(E1460,I1460)</f>
        <v/>
      </c>
      <c r="R1461" s="10">
        <f>+J1460</f>
        <v>0</v>
      </c>
      <c r="S1461" s="11"/>
      <c r="T1461" s="10">
        <f>+E1460</f>
        <v>0</v>
      </c>
      <c r="U1461" s="19" t="str">
        <f>IFERROR(LEFT(I1460,FIND("*",I1460)-1),"-")</f>
        <v>-</v>
      </c>
      <c r="V1461" s="19" t="str">
        <f>IFERROR(RIGHT(I1460,LEN(I1460)-FIND("*",I1460)),"-")</f>
        <v>-</v>
      </c>
      <c r="W1461" s="20" t="str">
        <f t="shared" si="790"/>
        <v>-</v>
      </c>
      <c r="X1461" s="20" t="str">
        <f t="shared" ref="X1461" si="795">IFERROR(W1461*J1460,"-")</f>
        <v>-</v>
      </c>
      <c r="Z1461" s="33">
        <v>45185</v>
      </c>
    </row>
    <row r="1462" spans="1:26" ht="6.95" customHeight="1" x14ac:dyDescent="0.3">
      <c r="A1462" s="5"/>
      <c r="B1462" s="157"/>
      <c r="C1462" s="158"/>
      <c r="D1462" s="161"/>
      <c r="E1462" s="162"/>
      <c r="F1462" s="163"/>
      <c r="G1462" s="164"/>
      <c r="H1462" s="165"/>
      <c r="I1462" s="164"/>
      <c r="J1462" s="165"/>
      <c r="K1462" s="164"/>
      <c r="L1462" s="165"/>
      <c r="M1462" s="6"/>
      <c r="N1462" s="32"/>
      <c r="Q1462" s="10" t="str">
        <f>+CONCATENATE(E1460,K1460)</f>
        <v/>
      </c>
      <c r="R1462" s="10">
        <f>+L1460</f>
        <v>0</v>
      </c>
      <c r="S1462" s="11"/>
      <c r="T1462" s="10">
        <f>+E1460</f>
        <v>0</v>
      </c>
      <c r="U1462" s="19" t="str">
        <f>IFERROR(LEFT(K1460,FIND("*",K1460)-1),"-")</f>
        <v>-</v>
      </c>
      <c r="V1462" s="19" t="str">
        <f>IFERROR(RIGHT(K1460,LEN(K1460)-FIND("*",K1460)),"-")</f>
        <v>-</v>
      </c>
      <c r="W1462" s="20" t="str">
        <f t="shared" si="790"/>
        <v>-</v>
      </c>
      <c r="X1462" s="20" t="str">
        <f>IFERROR(W1462*L1460,"-")</f>
        <v>-</v>
      </c>
      <c r="Z1462" s="33">
        <v>45185</v>
      </c>
    </row>
    <row r="1463" spans="1:26" ht="21" customHeight="1" thickBot="1" x14ac:dyDescent="0.35">
      <c r="A1463" s="5"/>
      <c r="B1463" s="159"/>
      <c r="C1463" s="160"/>
      <c r="D1463" s="166" t="s">
        <v>43</v>
      </c>
      <c r="E1463" s="167"/>
      <c r="F1463" s="167"/>
      <c r="G1463" s="168"/>
      <c r="H1463" s="168"/>
      <c r="I1463" s="168"/>
      <c r="J1463" s="168"/>
      <c r="K1463" s="168"/>
      <c r="L1463" s="168"/>
      <c r="M1463" s="7"/>
      <c r="N1463" s="32"/>
      <c r="Z1463" s="33">
        <v>45185</v>
      </c>
    </row>
    <row r="1464" spans="1:26" ht="9.9499999999999993" customHeight="1" thickBot="1" x14ac:dyDescent="0.35">
      <c r="B1464" s="9"/>
      <c r="C1464" s="109">
        <v>933</v>
      </c>
      <c r="D1464" s="51"/>
      <c r="E1464" s="12"/>
      <c r="F1464" s="51"/>
      <c r="G1464" s="14"/>
      <c r="H1464" s="14"/>
      <c r="I1464" s="14"/>
      <c r="J1464" s="14"/>
      <c r="K1464" s="14"/>
      <c r="L1464" s="14"/>
      <c r="M1464" s="9"/>
      <c r="N1464" s="32"/>
      <c r="U1464" s="18"/>
      <c r="V1464" s="18"/>
      <c r="Z1464" s="33">
        <v>45185</v>
      </c>
    </row>
    <row r="1465" spans="1:26" ht="6.95" customHeight="1" x14ac:dyDescent="0.3">
      <c r="A1465" s="154">
        <f>+A1454+1</f>
        <v>934</v>
      </c>
      <c r="B1465" s="155"/>
      <c r="C1465" s="156"/>
      <c r="D1465" s="161" t="s">
        <v>39</v>
      </c>
      <c r="E1465" s="162" t="s">
        <v>266</v>
      </c>
      <c r="F1465" s="163" t="s">
        <v>40</v>
      </c>
      <c r="G1465" s="164">
        <v>50</v>
      </c>
      <c r="H1465" s="165">
        <v>1</v>
      </c>
      <c r="I1465" s="164"/>
      <c r="J1465" s="165"/>
      <c r="K1465" s="164"/>
      <c r="L1465" s="165"/>
      <c r="M1465" s="6"/>
      <c r="N1465" s="32"/>
      <c r="Q1465" s="10" t="str">
        <f>+CONCATENATE(E1465,G1465)</f>
        <v>금속관벽체50</v>
      </c>
      <c r="R1465" s="10">
        <f>+H1465</f>
        <v>1</v>
      </c>
      <c r="S1465" s="11"/>
      <c r="T1465" s="10" t="str">
        <f>+E1465</f>
        <v>금속관벽체</v>
      </c>
      <c r="U1465" s="19" t="str">
        <f>IFERROR(LEFT(G1465,FIND("*",G1465)-1),"-")</f>
        <v>-</v>
      </c>
      <c r="V1465" s="19" t="str">
        <f>IFERROR(RIGHT(G1465,LEN(G1465)-FIND("*",G1465)),"-")</f>
        <v>-</v>
      </c>
      <c r="W1465" s="20" t="str">
        <f>IFERROR((U1465+V1465)*2/1000,"-")</f>
        <v>-</v>
      </c>
      <c r="X1465" s="20" t="str">
        <f>IFERROR(W1465*H1465,"-")</f>
        <v>-</v>
      </c>
      <c r="Z1465" s="33">
        <v>45185</v>
      </c>
    </row>
    <row r="1466" spans="1:26" ht="6.95" customHeight="1" x14ac:dyDescent="0.3">
      <c r="A1466" s="154"/>
      <c r="B1466" s="157"/>
      <c r="C1466" s="158"/>
      <c r="D1466" s="161"/>
      <c r="E1466" s="162"/>
      <c r="F1466" s="163"/>
      <c r="G1466" s="164"/>
      <c r="H1466" s="165"/>
      <c r="I1466" s="164"/>
      <c r="J1466" s="165"/>
      <c r="K1466" s="164"/>
      <c r="L1466" s="165"/>
      <c r="M1466" s="6"/>
      <c r="N1466" s="32"/>
      <c r="Q1466" s="10" t="str">
        <f>+CONCATENATE(E1465,I1465)</f>
        <v>금속관벽체</v>
      </c>
      <c r="R1466" s="10">
        <f>+J1465</f>
        <v>0</v>
      </c>
      <c r="S1466" s="11"/>
      <c r="T1466" s="10" t="str">
        <f>+E1465</f>
        <v>금속관벽체</v>
      </c>
      <c r="U1466" s="19" t="str">
        <f>IFERROR(LEFT(I1465,FIND("*",I1465)-1),"-")</f>
        <v>-</v>
      </c>
      <c r="V1466" s="19" t="str">
        <f>IFERROR(RIGHT(I1465,LEN(I1465)-FIND("*",I1465)),"-")</f>
        <v>-</v>
      </c>
      <c r="W1466" s="20" t="str">
        <f t="shared" ref="W1466:W1473" si="796">IFERROR((U1466+V1466)*2/1000,"-")</f>
        <v>-</v>
      </c>
      <c r="X1466" s="20" t="str">
        <f>IFERROR(W1466*J1465,"-")</f>
        <v>-</v>
      </c>
      <c r="Z1466" s="33">
        <v>45185</v>
      </c>
    </row>
    <row r="1467" spans="1:26" ht="6.95" customHeight="1" x14ac:dyDescent="0.3">
      <c r="A1467" s="154"/>
      <c r="B1467" s="157"/>
      <c r="C1467" s="158"/>
      <c r="D1467" s="161"/>
      <c r="E1467" s="162"/>
      <c r="F1467" s="163"/>
      <c r="G1467" s="164"/>
      <c r="H1467" s="165"/>
      <c r="I1467" s="164"/>
      <c r="J1467" s="165"/>
      <c r="K1467" s="164"/>
      <c r="L1467" s="165"/>
      <c r="M1467" s="6"/>
      <c r="N1467" s="32"/>
      <c r="Q1467" s="10" t="str">
        <f>+CONCATENATE(E1465,K1465)</f>
        <v>금속관벽체</v>
      </c>
      <c r="R1467" s="10">
        <f>+L1465</f>
        <v>0</v>
      </c>
      <c r="S1467" s="11"/>
      <c r="T1467" s="10" t="str">
        <f>+E1465</f>
        <v>금속관벽체</v>
      </c>
      <c r="U1467" s="19" t="str">
        <f>IFERROR(LEFT(K1465,FIND("*",K1465)-1),"-")</f>
        <v>-</v>
      </c>
      <c r="V1467" s="19" t="str">
        <f>IFERROR(RIGHT(K1465,LEN(K1465)-FIND("*",K1465)),"-")</f>
        <v>-</v>
      </c>
      <c r="W1467" s="20" t="str">
        <f t="shared" si="796"/>
        <v>-</v>
      </c>
      <c r="X1467" s="20" t="str">
        <f>IFERROR(W1467*L1465,"-")</f>
        <v>-</v>
      </c>
      <c r="Z1467" s="33">
        <v>45185</v>
      </c>
    </row>
    <row r="1468" spans="1:26" ht="6.95" customHeight="1" x14ac:dyDescent="0.3">
      <c r="A1468" s="8"/>
      <c r="B1468" s="157"/>
      <c r="C1468" s="158"/>
      <c r="D1468" s="161" t="s">
        <v>39</v>
      </c>
      <c r="E1468" s="162"/>
      <c r="F1468" s="163" t="s">
        <v>40</v>
      </c>
      <c r="G1468" s="164"/>
      <c r="H1468" s="165"/>
      <c r="I1468" s="164"/>
      <c r="J1468" s="165"/>
      <c r="K1468" s="164"/>
      <c r="L1468" s="165"/>
      <c r="M1468" s="6"/>
      <c r="N1468" s="32"/>
      <c r="Q1468" s="10" t="str">
        <f>+CONCATENATE(E1468,G1468)</f>
        <v/>
      </c>
      <c r="R1468" s="10">
        <f>+H1468</f>
        <v>0</v>
      </c>
      <c r="S1468" s="11"/>
      <c r="T1468" s="10">
        <f>+E1468</f>
        <v>0</v>
      </c>
      <c r="U1468" s="19" t="str">
        <f t="shared" ref="U1468" si="797">IFERROR(LEFT(G1468,FIND("*",G1468)-1),"-")</f>
        <v>-</v>
      </c>
      <c r="V1468" s="19" t="str">
        <f t="shared" ref="V1468" si="798">IFERROR(RIGHT(G1468,LEN(G1468)-FIND("*",G1468)),"-")</f>
        <v>-</v>
      </c>
      <c r="W1468" s="20" t="str">
        <f t="shared" si="796"/>
        <v>-</v>
      </c>
      <c r="X1468" s="20" t="str">
        <f>IFERROR(W1468*H1468,"-")</f>
        <v>-</v>
      </c>
      <c r="Z1468" s="33">
        <v>45185</v>
      </c>
    </row>
    <row r="1469" spans="1:26" ht="6.95" customHeight="1" x14ac:dyDescent="0.3">
      <c r="A1469" s="5"/>
      <c r="B1469" s="157"/>
      <c r="C1469" s="158"/>
      <c r="D1469" s="161"/>
      <c r="E1469" s="162"/>
      <c r="F1469" s="163"/>
      <c r="G1469" s="164"/>
      <c r="H1469" s="165"/>
      <c r="I1469" s="164"/>
      <c r="J1469" s="165"/>
      <c r="K1469" s="164"/>
      <c r="L1469" s="165"/>
      <c r="M1469" s="6"/>
      <c r="N1469" s="32"/>
      <c r="Q1469" s="10" t="str">
        <f>+CONCATENATE(E1468,I1468)</f>
        <v/>
      </c>
      <c r="R1469" s="10">
        <f>+J1468</f>
        <v>0</v>
      </c>
      <c r="S1469" s="11"/>
      <c r="T1469" s="10">
        <f>+E1468</f>
        <v>0</v>
      </c>
      <c r="U1469" s="19" t="str">
        <f>IFERROR(LEFT(I1468,FIND("*",I1468)-1),"-")</f>
        <v>-</v>
      </c>
      <c r="V1469" s="19" t="str">
        <f>IFERROR(RIGHT(I1468,LEN(I1468)-FIND("*",I1468)),"-")</f>
        <v>-</v>
      </c>
      <c r="W1469" s="20" t="str">
        <f t="shared" si="796"/>
        <v>-</v>
      </c>
      <c r="X1469" s="20" t="str">
        <f>IFERROR(W1469*J1468,"-")</f>
        <v>-</v>
      </c>
      <c r="Z1469" s="33">
        <v>45185</v>
      </c>
    </row>
    <row r="1470" spans="1:26" ht="6.95" customHeight="1" x14ac:dyDescent="0.3">
      <c r="A1470" s="5"/>
      <c r="B1470" s="157"/>
      <c r="C1470" s="158"/>
      <c r="D1470" s="161"/>
      <c r="E1470" s="162"/>
      <c r="F1470" s="163"/>
      <c r="G1470" s="164"/>
      <c r="H1470" s="165"/>
      <c r="I1470" s="164"/>
      <c r="J1470" s="165"/>
      <c r="K1470" s="164"/>
      <c r="L1470" s="165"/>
      <c r="M1470" s="6"/>
      <c r="N1470" s="32"/>
      <c r="Q1470" s="10" t="str">
        <f>+CONCATENATE(E1468,K1468)</f>
        <v/>
      </c>
      <c r="R1470" s="10">
        <f>+L1468</f>
        <v>0</v>
      </c>
      <c r="S1470" s="11"/>
      <c r="T1470" s="10">
        <f>+E1468</f>
        <v>0</v>
      </c>
      <c r="U1470" s="19" t="str">
        <f>IFERROR(LEFT(K1468,FIND("*",K1468)-1),"-")</f>
        <v>-</v>
      </c>
      <c r="V1470" s="19" t="str">
        <f>IFERROR(RIGHT(K1468,LEN(K1468)-FIND("*",K1468)),"-")</f>
        <v>-</v>
      </c>
      <c r="W1470" s="20" t="str">
        <f t="shared" si="796"/>
        <v>-</v>
      </c>
      <c r="X1470" s="20" t="str">
        <f>IFERROR(W1470*L1468,"-")</f>
        <v>-</v>
      </c>
      <c r="Z1470" s="33">
        <v>45185</v>
      </c>
    </row>
    <row r="1471" spans="1:26" ht="6.95" customHeight="1" x14ac:dyDescent="0.3">
      <c r="A1471" s="8"/>
      <c r="B1471" s="157"/>
      <c r="C1471" s="158"/>
      <c r="D1471" s="161" t="s">
        <v>39</v>
      </c>
      <c r="E1471" s="162"/>
      <c r="F1471" s="163" t="s">
        <v>40</v>
      </c>
      <c r="G1471" s="164"/>
      <c r="H1471" s="165"/>
      <c r="I1471" s="164"/>
      <c r="J1471" s="165"/>
      <c r="K1471" s="164"/>
      <c r="L1471" s="165"/>
      <c r="M1471" s="6"/>
      <c r="N1471" s="32"/>
      <c r="Q1471" s="10" t="str">
        <f>+CONCATENATE(E1471,G1471)</f>
        <v/>
      </c>
      <c r="R1471" s="10">
        <f>+H1471</f>
        <v>0</v>
      </c>
      <c r="S1471" s="11"/>
      <c r="T1471" s="10">
        <f>+E1471</f>
        <v>0</v>
      </c>
      <c r="U1471" s="19" t="str">
        <f t="shared" ref="U1471" si="799">IFERROR(LEFT(G1471,FIND("*",G1471)-1),"-")</f>
        <v>-</v>
      </c>
      <c r="V1471" s="19" t="str">
        <f t="shared" ref="V1471" si="800">IFERROR(RIGHT(G1471,LEN(G1471)-FIND("*",G1471)),"-")</f>
        <v>-</v>
      </c>
      <c r="W1471" s="20" t="str">
        <f t="shared" si="796"/>
        <v>-</v>
      </c>
      <c r="X1471" s="20" t="str">
        <f>IFERROR(W1471*H1471,"-")</f>
        <v>-</v>
      </c>
      <c r="Z1471" s="33">
        <v>45185</v>
      </c>
    </row>
    <row r="1472" spans="1:26" ht="6.95" customHeight="1" x14ac:dyDescent="0.3">
      <c r="A1472" s="5"/>
      <c r="B1472" s="157"/>
      <c r="C1472" s="158"/>
      <c r="D1472" s="161"/>
      <c r="E1472" s="162"/>
      <c r="F1472" s="163"/>
      <c r="G1472" s="164"/>
      <c r="H1472" s="165"/>
      <c r="I1472" s="164"/>
      <c r="J1472" s="165"/>
      <c r="K1472" s="164"/>
      <c r="L1472" s="165"/>
      <c r="M1472" s="6"/>
      <c r="N1472" s="32"/>
      <c r="Q1472" s="10" t="str">
        <f>+CONCATENATE(E1471,I1471)</f>
        <v/>
      </c>
      <c r="R1472" s="10">
        <f>+J1471</f>
        <v>0</v>
      </c>
      <c r="S1472" s="11"/>
      <c r="T1472" s="10">
        <f>+E1471</f>
        <v>0</v>
      </c>
      <c r="U1472" s="19" t="str">
        <f>IFERROR(LEFT(I1471,FIND("*",I1471)-1),"-")</f>
        <v>-</v>
      </c>
      <c r="V1472" s="19" t="str">
        <f>IFERROR(RIGHT(I1471,LEN(I1471)-FIND("*",I1471)),"-")</f>
        <v>-</v>
      </c>
      <c r="W1472" s="20" t="str">
        <f t="shared" si="796"/>
        <v>-</v>
      </c>
      <c r="X1472" s="20" t="str">
        <f t="shared" ref="X1472" si="801">IFERROR(W1472*J1471,"-")</f>
        <v>-</v>
      </c>
      <c r="Z1472" s="33">
        <v>45185</v>
      </c>
    </row>
    <row r="1473" spans="1:26" ht="6.95" customHeight="1" x14ac:dyDescent="0.3">
      <c r="A1473" s="5"/>
      <c r="B1473" s="157"/>
      <c r="C1473" s="158"/>
      <c r="D1473" s="161"/>
      <c r="E1473" s="162"/>
      <c r="F1473" s="163"/>
      <c r="G1473" s="164"/>
      <c r="H1473" s="165"/>
      <c r="I1473" s="164"/>
      <c r="J1473" s="165"/>
      <c r="K1473" s="164"/>
      <c r="L1473" s="165"/>
      <c r="M1473" s="6"/>
      <c r="N1473" s="32"/>
      <c r="Q1473" s="10" t="str">
        <f>+CONCATENATE(E1471,K1471)</f>
        <v/>
      </c>
      <c r="R1473" s="10">
        <f>+L1471</f>
        <v>0</v>
      </c>
      <c r="S1473" s="11"/>
      <c r="T1473" s="10">
        <f>+E1471</f>
        <v>0</v>
      </c>
      <c r="U1473" s="19" t="str">
        <f>IFERROR(LEFT(K1471,FIND("*",K1471)-1),"-")</f>
        <v>-</v>
      </c>
      <c r="V1473" s="19" t="str">
        <f>IFERROR(RIGHT(K1471,LEN(K1471)-FIND("*",K1471)),"-")</f>
        <v>-</v>
      </c>
      <c r="W1473" s="20" t="str">
        <f t="shared" si="796"/>
        <v>-</v>
      </c>
      <c r="X1473" s="20" t="str">
        <f>IFERROR(W1473*L1471,"-")</f>
        <v>-</v>
      </c>
      <c r="Z1473" s="33">
        <v>45185</v>
      </c>
    </row>
    <row r="1474" spans="1:26" ht="21" customHeight="1" thickBot="1" x14ac:dyDescent="0.35">
      <c r="A1474" s="5"/>
      <c r="B1474" s="159"/>
      <c r="C1474" s="160"/>
      <c r="D1474" s="166" t="s">
        <v>43</v>
      </c>
      <c r="E1474" s="167"/>
      <c r="F1474" s="167"/>
      <c r="G1474" s="168"/>
      <c r="H1474" s="168"/>
      <c r="I1474" s="168"/>
      <c r="J1474" s="168"/>
      <c r="K1474" s="168"/>
      <c r="L1474" s="168"/>
      <c r="M1474" s="7"/>
      <c r="N1474" s="32"/>
      <c r="Z1474" s="33">
        <v>45185</v>
      </c>
    </row>
    <row r="1475" spans="1:26" ht="9.9499999999999993" customHeight="1" thickBot="1" x14ac:dyDescent="0.35">
      <c r="B1475" s="9"/>
      <c r="C1475" s="109">
        <v>934</v>
      </c>
      <c r="D1475" s="51"/>
      <c r="E1475" s="12"/>
      <c r="F1475" s="51"/>
      <c r="G1475" s="14"/>
      <c r="H1475" s="14"/>
      <c r="I1475" s="14"/>
      <c r="J1475" s="14"/>
      <c r="K1475" s="14"/>
      <c r="L1475" s="14"/>
      <c r="M1475" s="9"/>
      <c r="N1475" s="32"/>
      <c r="U1475" s="18"/>
      <c r="V1475" s="18"/>
      <c r="Z1475" s="33">
        <v>45185</v>
      </c>
    </row>
    <row r="1476" spans="1:26" ht="6.95" customHeight="1" x14ac:dyDescent="0.3">
      <c r="A1476" s="154">
        <f>+A1465+1</f>
        <v>935</v>
      </c>
      <c r="B1476" s="155"/>
      <c r="C1476" s="156"/>
      <c r="D1476" s="161" t="s">
        <v>39</v>
      </c>
      <c r="E1476" s="162" t="s">
        <v>266</v>
      </c>
      <c r="F1476" s="163" t="s">
        <v>40</v>
      </c>
      <c r="G1476" s="164">
        <v>50</v>
      </c>
      <c r="H1476" s="165">
        <v>3</v>
      </c>
      <c r="I1476" s="164"/>
      <c r="J1476" s="165"/>
      <c r="K1476" s="164"/>
      <c r="L1476" s="165"/>
      <c r="M1476" s="6"/>
      <c r="N1476" s="32"/>
      <c r="Q1476" s="10" t="str">
        <f>+CONCATENATE(E1476,G1476)</f>
        <v>금속관벽체50</v>
      </c>
      <c r="R1476" s="10">
        <f>+H1476</f>
        <v>3</v>
      </c>
      <c r="S1476" s="11"/>
      <c r="T1476" s="10" t="str">
        <f>+E1476</f>
        <v>금속관벽체</v>
      </c>
      <c r="U1476" s="19" t="str">
        <f>IFERROR(LEFT(G1476,FIND("*",G1476)-1),"-")</f>
        <v>-</v>
      </c>
      <c r="V1476" s="19" t="str">
        <f>IFERROR(RIGHT(G1476,LEN(G1476)-FIND("*",G1476)),"-")</f>
        <v>-</v>
      </c>
      <c r="W1476" s="20" t="str">
        <f>IFERROR((U1476+V1476)*2/1000,"-")</f>
        <v>-</v>
      </c>
      <c r="X1476" s="20" t="str">
        <f>IFERROR(W1476*H1476,"-")</f>
        <v>-</v>
      </c>
      <c r="Z1476" s="33">
        <v>45185</v>
      </c>
    </row>
    <row r="1477" spans="1:26" ht="6.95" customHeight="1" x14ac:dyDescent="0.3">
      <c r="A1477" s="154"/>
      <c r="B1477" s="157"/>
      <c r="C1477" s="158"/>
      <c r="D1477" s="161"/>
      <c r="E1477" s="162"/>
      <c r="F1477" s="163"/>
      <c r="G1477" s="164"/>
      <c r="H1477" s="165"/>
      <c r="I1477" s="164"/>
      <c r="J1477" s="165"/>
      <c r="K1477" s="164"/>
      <c r="L1477" s="165"/>
      <c r="M1477" s="6"/>
      <c r="N1477" s="32"/>
      <c r="Q1477" s="10" t="str">
        <f>+CONCATENATE(E1476,I1476)</f>
        <v>금속관벽체</v>
      </c>
      <c r="R1477" s="10">
        <f>+J1476</f>
        <v>0</v>
      </c>
      <c r="S1477" s="11"/>
      <c r="T1477" s="10" t="str">
        <f>+E1476</f>
        <v>금속관벽체</v>
      </c>
      <c r="U1477" s="19" t="str">
        <f>IFERROR(LEFT(I1476,FIND("*",I1476)-1),"-")</f>
        <v>-</v>
      </c>
      <c r="V1477" s="19" t="str">
        <f>IFERROR(RIGHT(I1476,LEN(I1476)-FIND("*",I1476)),"-")</f>
        <v>-</v>
      </c>
      <c r="W1477" s="20" t="str">
        <f t="shared" ref="W1477:W1484" si="802">IFERROR((U1477+V1477)*2/1000,"-")</f>
        <v>-</v>
      </c>
      <c r="X1477" s="20" t="str">
        <f>IFERROR(W1477*J1476,"-")</f>
        <v>-</v>
      </c>
      <c r="Z1477" s="33">
        <v>45185</v>
      </c>
    </row>
    <row r="1478" spans="1:26" ht="6.95" customHeight="1" x14ac:dyDescent="0.3">
      <c r="A1478" s="154"/>
      <c r="B1478" s="157"/>
      <c r="C1478" s="158"/>
      <c r="D1478" s="161"/>
      <c r="E1478" s="162"/>
      <c r="F1478" s="163"/>
      <c r="G1478" s="164"/>
      <c r="H1478" s="165"/>
      <c r="I1478" s="164"/>
      <c r="J1478" s="165"/>
      <c r="K1478" s="164"/>
      <c r="L1478" s="165"/>
      <c r="M1478" s="6"/>
      <c r="N1478" s="32"/>
      <c r="Q1478" s="10" t="str">
        <f>+CONCATENATE(E1476,K1476)</f>
        <v>금속관벽체</v>
      </c>
      <c r="R1478" s="10">
        <f>+L1476</f>
        <v>0</v>
      </c>
      <c r="S1478" s="11"/>
      <c r="T1478" s="10" t="str">
        <f>+E1476</f>
        <v>금속관벽체</v>
      </c>
      <c r="U1478" s="19" t="str">
        <f>IFERROR(LEFT(K1476,FIND("*",K1476)-1),"-")</f>
        <v>-</v>
      </c>
      <c r="V1478" s="19" t="str">
        <f>IFERROR(RIGHT(K1476,LEN(K1476)-FIND("*",K1476)),"-")</f>
        <v>-</v>
      </c>
      <c r="W1478" s="20" t="str">
        <f t="shared" si="802"/>
        <v>-</v>
      </c>
      <c r="X1478" s="20" t="str">
        <f>IFERROR(W1478*L1476,"-")</f>
        <v>-</v>
      </c>
      <c r="Z1478" s="33">
        <v>45185</v>
      </c>
    </row>
    <row r="1479" spans="1:26" ht="6.95" customHeight="1" x14ac:dyDescent="0.3">
      <c r="A1479" s="8"/>
      <c r="B1479" s="157"/>
      <c r="C1479" s="158"/>
      <c r="D1479" s="161" t="s">
        <v>39</v>
      </c>
      <c r="E1479" s="162"/>
      <c r="F1479" s="163" t="s">
        <v>40</v>
      </c>
      <c r="G1479" s="164"/>
      <c r="H1479" s="165"/>
      <c r="I1479" s="164"/>
      <c r="J1479" s="165"/>
      <c r="K1479" s="164"/>
      <c r="L1479" s="165"/>
      <c r="M1479" s="6"/>
      <c r="N1479" s="32"/>
      <c r="Q1479" s="10" t="str">
        <f>+CONCATENATE(E1479,G1479)</f>
        <v/>
      </c>
      <c r="R1479" s="10">
        <f>+H1479</f>
        <v>0</v>
      </c>
      <c r="S1479" s="11"/>
      <c r="T1479" s="10">
        <f>+E1479</f>
        <v>0</v>
      </c>
      <c r="U1479" s="19" t="str">
        <f t="shared" ref="U1479" si="803">IFERROR(LEFT(G1479,FIND("*",G1479)-1),"-")</f>
        <v>-</v>
      </c>
      <c r="V1479" s="19" t="str">
        <f t="shared" ref="V1479" si="804">IFERROR(RIGHT(G1479,LEN(G1479)-FIND("*",G1479)),"-")</f>
        <v>-</v>
      </c>
      <c r="W1479" s="20" t="str">
        <f t="shared" si="802"/>
        <v>-</v>
      </c>
      <c r="X1479" s="20" t="str">
        <f>IFERROR(W1479*H1479,"-")</f>
        <v>-</v>
      </c>
      <c r="Z1479" s="33">
        <v>45185</v>
      </c>
    </row>
    <row r="1480" spans="1:26" ht="6.95" customHeight="1" x14ac:dyDescent="0.3">
      <c r="A1480" s="5"/>
      <c r="B1480" s="157"/>
      <c r="C1480" s="158"/>
      <c r="D1480" s="161"/>
      <c r="E1480" s="162"/>
      <c r="F1480" s="163"/>
      <c r="G1480" s="164"/>
      <c r="H1480" s="165"/>
      <c r="I1480" s="164"/>
      <c r="J1480" s="165"/>
      <c r="K1480" s="164"/>
      <c r="L1480" s="165"/>
      <c r="M1480" s="6"/>
      <c r="N1480" s="32"/>
      <c r="Q1480" s="10" t="str">
        <f>+CONCATENATE(E1479,I1479)</f>
        <v/>
      </c>
      <c r="R1480" s="10">
        <f>+J1479</f>
        <v>0</v>
      </c>
      <c r="S1480" s="11"/>
      <c r="T1480" s="10">
        <f>+E1479</f>
        <v>0</v>
      </c>
      <c r="U1480" s="19" t="str">
        <f>IFERROR(LEFT(I1479,FIND("*",I1479)-1),"-")</f>
        <v>-</v>
      </c>
      <c r="V1480" s="19" t="str">
        <f>IFERROR(RIGHT(I1479,LEN(I1479)-FIND("*",I1479)),"-")</f>
        <v>-</v>
      </c>
      <c r="W1480" s="20" t="str">
        <f t="shared" si="802"/>
        <v>-</v>
      </c>
      <c r="X1480" s="20" t="str">
        <f>IFERROR(W1480*J1479,"-")</f>
        <v>-</v>
      </c>
      <c r="Z1480" s="33">
        <v>45185</v>
      </c>
    </row>
    <row r="1481" spans="1:26" ht="6.95" customHeight="1" x14ac:dyDescent="0.3">
      <c r="A1481" s="5"/>
      <c r="B1481" s="157"/>
      <c r="C1481" s="158"/>
      <c r="D1481" s="161"/>
      <c r="E1481" s="162"/>
      <c r="F1481" s="163"/>
      <c r="G1481" s="164"/>
      <c r="H1481" s="165"/>
      <c r="I1481" s="164"/>
      <c r="J1481" s="165"/>
      <c r="K1481" s="164"/>
      <c r="L1481" s="165"/>
      <c r="M1481" s="6"/>
      <c r="N1481" s="32"/>
      <c r="Q1481" s="10" t="str">
        <f>+CONCATENATE(E1479,K1479)</f>
        <v/>
      </c>
      <c r="R1481" s="10">
        <f>+L1479</f>
        <v>0</v>
      </c>
      <c r="S1481" s="11"/>
      <c r="T1481" s="10">
        <f>+E1479</f>
        <v>0</v>
      </c>
      <c r="U1481" s="19" t="str">
        <f>IFERROR(LEFT(K1479,FIND("*",K1479)-1),"-")</f>
        <v>-</v>
      </c>
      <c r="V1481" s="19" t="str">
        <f>IFERROR(RIGHT(K1479,LEN(K1479)-FIND("*",K1479)),"-")</f>
        <v>-</v>
      </c>
      <c r="W1481" s="20" t="str">
        <f t="shared" si="802"/>
        <v>-</v>
      </c>
      <c r="X1481" s="20" t="str">
        <f>IFERROR(W1481*L1479,"-")</f>
        <v>-</v>
      </c>
      <c r="Z1481" s="33">
        <v>45185</v>
      </c>
    </row>
    <row r="1482" spans="1:26" ht="6.95" customHeight="1" x14ac:dyDescent="0.3">
      <c r="A1482" s="8"/>
      <c r="B1482" s="157"/>
      <c r="C1482" s="158"/>
      <c r="D1482" s="161" t="s">
        <v>39</v>
      </c>
      <c r="E1482" s="162"/>
      <c r="F1482" s="163" t="s">
        <v>40</v>
      </c>
      <c r="G1482" s="164"/>
      <c r="H1482" s="165"/>
      <c r="I1482" s="164"/>
      <c r="J1482" s="165"/>
      <c r="K1482" s="164"/>
      <c r="L1482" s="165"/>
      <c r="M1482" s="6"/>
      <c r="N1482" s="32"/>
      <c r="Q1482" s="10" t="str">
        <f>+CONCATENATE(E1482,G1482)</f>
        <v/>
      </c>
      <c r="R1482" s="10">
        <f>+H1482</f>
        <v>0</v>
      </c>
      <c r="S1482" s="11"/>
      <c r="T1482" s="10">
        <f>+E1482</f>
        <v>0</v>
      </c>
      <c r="U1482" s="19" t="str">
        <f t="shared" ref="U1482" si="805">IFERROR(LEFT(G1482,FIND("*",G1482)-1),"-")</f>
        <v>-</v>
      </c>
      <c r="V1482" s="19" t="str">
        <f t="shared" ref="V1482" si="806">IFERROR(RIGHT(G1482,LEN(G1482)-FIND("*",G1482)),"-")</f>
        <v>-</v>
      </c>
      <c r="W1482" s="20" t="str">
        <f t="shared" si="802"/>
        <v>-</v>
      </c>
      <c r="X1482" s="20" t="str">
        <f>IFERROR(W1482*H1482,"-")</f>
        <v>-</v>
      </c>
      <c r="Z1482" s="33">
        <v>45185</v>
      </c>
    </row>
    <row r="1483" spans="1:26" ht="6.95" customHeight="1" x14ac:dyDescent="0.3">
      <c r="A1483" s="5"/>
      <c r="B1483" s="157"/>
      <c r="C1483" s="158"/>
      <c r="D1483" s="161"/>
      <c r="E1483" s="162"/>
      <c r="F1483" s="163"/>
      <c r="G1483" s="164"/>
      <c r="H1483" s="165"/>
      <c r="I1483" s="164"/>
      <c r="J1483" s="165"/>
      <c r="K1483" s="164"/>
      <c r="L1483" s="165"/>
      <c r="M1483" s="6"/>
      <c r="N1483" s="32"/>
      <c r="Q1483" s="10" t="str">
        <f>+CONCATENATE(E1482,I1482)</f>
        <v/>
      </c>
      <c r="R1483" s="10">
        <f>+J1482</f>
        <v>0</v>
      </c>
      <c r="S1483" s="11"/>
      <c r="T1483" s="10">
        <f>+E1482</f>
        <v>0</v>
      </c>
      <c r="U1483" s="19" t="str">
        <f>IFERROR(LEFT(I1482,FIND("*",I1482)-1),"-")</f>
        <v>-</v>
      </c>
      <c r="V1483" s="19" t="str">
        <f>IFERROR(RIGHT(I1482,LEN(I1482)-FIND("*",I1482)),"-")</f>
        <v>-</v>
      </c>
      <c r="W1483" s="20" t="str">
        <f t="shared" si="802"/>
        <v>-</v>
      </c>
      <c r="X1483" s="20" t="str">
        <f t="shared" ref="X1483" si="807">IFERROR(W1483*J1482,"-")</f>
        <v>-</v>
      </c>
      <c r="Z1483" s="33">
        <v>45185</v>
      </c>
    </row>
    <row r="1484" spans="1:26" ht="6.95" customHeight="1" x14ac:dyDescent="0.3">
      <c r="A1484" s="5"/>
      <c r="B1484" s="157"/>
      <c r="C1484" s="158"/>
      <c r="D1484" s="161"/>
      <c r="E1484" s="162"/>
      <c r="F1484" s="163"/>
      <c r="G1484" s="164"/>
      <c r="H1484" s="165"/>
      <c r="I1484" s="164"/>
      <c r="J1484" s="165"/>
      <c r="K1484" s="164"/>
      <c r="L1484" s="165"/>
      <c r="M1484" s="6"/>
      <c r="N1484" s="32"/>
      <c r="Q1484" s="10" t="str">
        <f>+CONCATENATE(E1482,K1482)</f>
        <v/>
      </c>
      <c r="R1484" s="10">
        <f>+L1482</f>
        <v>0</v>
      </c>
      <c r="S1484" s="11"/>
      <c r="T1484" s="10">
        <f>+E1482</f>
        <v>0</v>
      </c>
      <c r="U1484" s="19" t="str">
        <f>IFERROR(LEFT(K1482,FIND("*",K1482)-1),"-")</f>
        <v>-</v>
      </c>
      <c r="V1484" s="19" t="str">
        <f>IFERROR(RIGHT(K1482,LEN(K1482)-FIND("*",K1482)),"-")</f>
        <v>-</v>
      </c>
      <c r="W1484" s="20" t="str">
        <f t="shared" si="802"/>
        <v>-</v>
      </c>
      <c r="X1484" s="20" t="str">
        <f>IFERROR(W1484*L1482,"-")</f>
        <v>-</v>
      </c>
      <c r="Z1484" s="33">
        <v>45185</v>
      </c>
    </row>
    <row r="1485" spans="1:26" ht="21" customHeight="1" thickBot="1" x14ac:dyDescent="0.35">
      <c r="A1485" s="5"/>
      <c r="B1485" s="159"/>
      <c r="C1485" s="160"/>
      <c r="D1485" s="166" t="s">
        <v>43</v>
      </c>
      <c r="E1485" s="167"/>
      <c r="F1485" s="167"/>
      <c r="G1485" s="168"/>
      <c r="H1485" s="168"/>
      <c r="I1485" s="168"/>
      <c r="J1485" s="168"/>
      <c r="K1485" s="168"/>
      <c r="L1485" s="168"/>
      <c r="M1485" s="7"/>
      <c r="N1485" s="32"/>
      <c r="Z1485" s="33">
        <v>45185</v>
      </c>
    </row>
    <row r="1486" spans="1:26" ht="9.9499999999999993" customHeight="1" thickBot="1" x14ac:dyDescent="0.35">
      <c r="B1486" s="9"/>
      <c r="C1486" s="109">
        <v>935</v>
      </c>
      <c r="D1486" s="51"/>
      <c r="E1486" s="12"/>
      <c r="F1486" s="51"/>
      <c r="G1486" s="14"/>
      <c r="H1486" s="14"/>
      <c r="I1486" s="14"/>
      <c r="J1486" s="14"/>
      <c r="K1486" s="14"/>
      <c r="L1486" s="14"/>
      <c r="M1486" s="9"/>
      <c r="N1486" s="32"/>
      <c r="U1486" s="18"/>
      <c r="V1486" s="18"/>
      <c r="Z1486" s="33">
        <v>45185</v>
      </c>
    </row>
    <row r="1487" spans="1:26" ht="6.95" customHeight="1" x14ac:dyDescent="0.3">
      <c r="A1487" s="154">
        <f>+A1476+1</f>
        <v>936</v>
      </c>
      <c r="B1487" s="155"/>
      <c r="C1487" s="156"/>
      <c r="D1487" s="161" t="s">
        <v>39</v>
      </c>
      <c r="E1487" s="162" t="s">
        <v>266</v>
      </c>
      <c r="F1487" s="163" t="s">
        <v>40</v>
      </c>
      <c r="G1487" s="164">
        <v>150</v>
      </c>
      <c r="H1487" s="165">
        <v>3</v>
      </c>
      <c r="I1487" s="164">
        <v>50</v>
      </c>
      <c r="J1487" s="165">
        <v>1</v>
      </c>
      <c r="K1487" s="164"/>
      <c r="L1487" s="165"/>
      <c r="M1487" s="6"/>
      <c r="N1487" s="32"/>
      <c r="Q1487" s="10" t="str">
        <f>+CONCATENATE(E1487,G1487)</f>
        <v>금속관벽체150</v>
      </c>
      <c r="R1487" s="10">
        <f>+H1487</f>
        <v>3</v>
      </c>
      <c r="S1487" s="11"/>
      <c r="T1487" s="10" t="str">
        <f>+E1487</f>
        <v>금속관벽체</v>
      </c>
      <c r="U1487" s="19" t="str">
        <f>IFERROR(LEFT(G1487,FIND("*",G1487)-1),"-")</f>
        <v>-</v>
      </c>
      <c r="V1487" s="19" t="str">
        <f>IFERROR(RIGHT(G1487,LEN(G1487)-FIND("*",G1487)),"-")</f>
        <v>-</v>
      </c>
      <c r="W1487" s="20" t="str">
        <f>IFERROR((U1487+V1487)*2/1000,"-")</f>
        <v>-</v>
      </c>
      <c r="X1487" s="20" t="str">
        <f>IFERROR(W1487*H1487,"-")</f>
        <v>-</v>
      </c>
      <c r="Z1487" s="33">
        <v>45185</v>
      </c>
    </row>
    <row r="1488" spans="1:26" ht="6.95" customHeight="1" x14ac:dyDescent="0.3">
      <c r="A1488" s="154"/>
      <c r="B1488" s="157"/>
      <c r="C1488" s="158"/>
      <c r="D1488" s="161"/>
      <c r="E1488" s="162"/>
      <c r="F1488" s="163"/>
      <c r="G1488" s="164"/>
      <c r="H1488" s="165"/>
      <c r="I1488" s="164"/>
      <c r="J1488" s="165"/>
      <c r="K1488" s="164"/>
      <c r="L1488" s="165"/>
      <c r="M1488" s="6"/>
      <c r="N1488" s="32"/>
      <c r="Q1488" s="10" t="str">
        <f>+CONCATENATE(E1487,I1487)</f>
        <v>금속관벽체50</v>
      </c>
      <c r="R1488" s="10">
        <f>+J1487</f>
        <v>1</v>
      </c>
      <c r="S1488" s="11"/>
      <c r="T1488" s="10" t="str">
        <f>+E1487</f>
        <v>금속관벽체</v>
      </c>
      <c r="U1488" s="19" t="str">
        <f>IFERROR(LEFT(I1487,FIND("*",I1487)-1),"-")</f>
        <v>-</v>
      </c>
      <c r="V1488" s="19" t="str">
        <f>IFERROR(RIGHT(I1487,LEN(I1487)-FIND("*",I1487)),"-")</f>
        <v>-</v>
      </c>
      <c r="W1488" s="20" t="str">
        <f t="shared" ref="W1488:W1495" si="808">IFERROR((U1488+V1488)*2/1000,"-")</f>
        <v>-</v>
      </c>
      <c r="X1488" s="20" t="str">
        <f>IFERROR(W1488*J1487,"-")</f>
        <v>-</v>
      </c>
      <c r="Z1488" s="33">
        <v>45185</v>
      </c>
    </row>
    <row r="1489" spans="1:26" ht="6.95" customHeight="1" x14ac:dyDescent="0.3">
      <c r="A1489" s="154"/>
      <c r="B1489" s="157"/>
      <c r="C1489" s="158"/>
      <c r="D1489" s="161"/>
      <c r="E1489" s="162"/>
      <c r="F1489" s="163"/>
      <c r="G1489" s="164"/>
      <c r="H1489" s="165"/>
      <c r="I1489" s="164"/>
      <c r="J1489" s="165"/>
      <c r="K1489" s="164"/>
      <c r="L1489" s="165"/>
      <c r="M1489" s="6"/>
      <c r="N1489" s="32"/>
      <c r="Q1489" s="10" t="str">
        <f>+CONCATENATE(E1487,K1487)</f>
        <v>금속관벽체</v>
      </c>
      <c r="R1489" s="10">
        <f>+L1487</f>
        <v>0</v>
      </c>
      <c r="S1489" s="11"/>
      <c r="T1489" s="10" t="str">
        <f>+E1487</f>
        <v>금속관벽체</v>
      </c>
      <c r="U1489" s="19" t="str">
        <f>IFERROR(LEFT(K1487,FIND("*",K1487)-1),"-")</f>
        <v>-</v>
      </c>
      <c r="V1489" s="19" t="str">
        <f>IFERROR(RIGHT(K1487,LEN(K1487)-FIND("*",K1487)),"-")</f>
        <v>-</v>
      </c>
      <c r="W1489" s="20" t="str">
        <f t="shared" si="808"/>
        <v>-</v>
      </c>
      <c r="X1489" s="20" t="str">
        <f>IFERROR(W1489*L1487,"-")</f>
        <v>-</v>
      </c>
      <c r="Z1489" s="33">
        <v>45185</v>
      </c>
    </row>
    <row r="1490" spans="1:26" ht="6.95" customHeight="1" x14ac:dyDescent="0.3">
      <c r="A1490" s="8"/>
      <c r="B1490" s="157"/>
      <c r="C1490" s="158"/>
      <c r="D1490" s="161" t="s">
        <v>39</v>
      </c>
      <c r="E1490" s="162"/>
      <c r="F1490" s="163" t="s">
        <v>40</v>
      </c>
      <c r="G1490" s="164"/>
      <c r="H1490" s="165"/>
      <c r="I1490" s="164"/>
      <c r="J1490" s="165"/>
      <c r="K1490" s="164"/>
      <c r="L1490" s="165"/>
      <c r="M1490" s="6"/>
      <c r="N1490" s="32"/>
      <c r="Q1490" s="10" t="str">
        <f>+CONCATENATE(E1490,G1490)</f>
        <v/>
      </c>
      <c r="R1490" s="10">
        <f>+H1490</f>
        <v>0</v>
      </c>
      <c r="S1490" s="11"/>
      <c r="T1490" s="10">
        <f>+E1490</f>
        <v>0</v>
      </c>
      <c r="U1490" s="19" t="str">
        <f t="shared" ref="U1490" si="809">IFERROR(LEFT(G1490,FIND("*",G1490)-1),"-")</f>
        <v>-</v>
      </c>
      <c r="V1490" s="19" t="str">
        <f t="shared" ref="V1490" si="810">IFERROR(RIGHT(G1490,LEN(G1490)-FIND("*",G1490)),"-")</f>
        <v>-</v>
      </c>
      <c r="W1490" s="20" t="str">
        <f t="shared" si="808"/>
        <v>-</v>
      </c>
      <c r="X1490" s="20" t="str">
        <f>IFERROR(W1490*H1490,"-")</f>
        <v>-</v>
      </c>
      <c r="Z1490" s="33">
        <v>45185</v>
      </c>
    </row>
    <row r="1491" spans="1:26" ht="6.95" customHeight="1" x14ac:dyDescent="0.3">
      <c r="A1491" s="5"/>
      <c r="B1491" s="157"/>
      <c r="C1491" s="158"/>
      <c r="D1491" s="161"/>
      <c r="E1491" s="162"/>
      <c r="F1491" s="163"/>
      <c r="G1491" s="164"/>
      <c r="H1491" s="165"/>
      <c r="I1491" s="164"/>
      <c r="J1491" s="165"/>
      <c r="K1491" s="164"/>
      <c r="L1491" s="165"/>
      <c r="M1491" s="6"/>
      <c r="N1491" s="32"/>
      <c r="Q1491" s="10" t="str">
        <f>+CONCATENATE(E1490,I1490)</f>
        <v/>
      </c>
      <c r="R1491" s="10">
        <f>+J1490</f>
        <v>0</v>
      </c>
      <c r="S1491" s="11"/>
      <c r="T1491" s="10">
        <f>+E1490</f>
        <v>0</v>
      </c>
      <c r="U1491" s="19" t="str">
        <f>IFERROR(LEFT(I1490,FIND("*",I1490)-1),"-")</f>
        <v>-</v>
      </c>
      <c r="V1491" s="19" t="str">
        <f>IFERROR(RIGHT(I1490,LEN(I1490)-FIND("*",I1490)),"-")</f>
        <v>-</v>
      </c>
      <c r="W1491" s="20" t="str">
        <f t="shared" si="808"/>
        <v>-</v>
      </c>
      <c r="X1491" s="20" t="str">
        <f>IFERROR(W1491*J1490,"-")</f>
        <v>-</v>
      </c>
      <c r="Z1491" s="33">
        <v>45185</v>
      </c>
    </row>
    <row r="1492" spans="1:26" ht="6.95" customHeight="1" x14ac:dyDescent="0.3">
      <c r="A1492" s="5"/>
      <c r="B1492" s="157"/>
      <c r="C1492" s="158"/>
      <c r="D1492" s="161"/>
      <c r="E1492" s="162"/>
      <c r="F1492" s="163"/>
      <c r="G1492" s="164"/>
      <c r="H1492" s="165"/>
      <c r="I1492" s="164"/>
      <c r="J1492" s="165"/>
      <c r="K1492" s="164"/>
      <c r="L1492" s="165"/>
      <c r="M1492" s="6"/>
      <c r="N1492" s="32"/>
      <c r="Q1492" s="10" t="str">
        <f>+CONCATENATE(E1490,K1490)</f>
        <v/>
      </c>
      <c r="R1492" s="10">
        <f>+L1490</f>
        <v>0</v>
      </c>
      <c r="S1492" s="11"/>
      <c r="T1492" s="10">
        <f>+E1490</f>
        <v>0</v>
      </c>
      <c r="U1492" s="19" t="str">
        <f>IFERROR(LEFT(K1490,FIND("*",K1490)-1),"-")</f>
        <v>-</v>
      </c>
      <c r="V1492" s="19" t="str">
        <f>IFERROR(RIGHT(K1490,LEN(K1490)-FIND("*",K1490)),"-")</f>
        <v>-</v>
      </c>
      <c r="W1492" s="20" t="str">
        <f t="shared" si="808"/>
        <v>-</v>
      </c>
      <c r="X1492" s="20" t="str">
        <f>IFERROR(W1492*L1490,"-")</f>
        <v>-</v>
      </c>
      <c r="Z1492" s="33">
        <v>45185</v>
      </c>
    </row>
    <row r="1493" spans="1:26" ht="6.95" customHeight="1" x14ac:dyDescent="0.3">
      <c r="A1493" s="8"/>
      <c r="B1493" s="157"/>
      <c r="C1493" s="158"/>
      <c r="D1493" s="161" t="s">
        <v>39</v>
      </c>
      <c r="E1493" s="162"/>
      <c r="F1493" s="163" t="s">
        <v>40</v>
      </c>
      <c r="G1493" s="164"/>
      <c r="H1493" s="165"/>
      <c r="I1493" s="164"/>
      <c r="J1493" s="165"/>
      <c r="K1493" s="164"/>
      <c r="L1493" s="165"/>
      <c r="M1493" s="6"/>
      <c r="N1493" s="32"/>
      <c r="Q1493" s="10" t="str">
        <f>+CONCATENATE(E1493,G1493)</f>
        <v/>
      </c>
      <c r="R1493" s="10">
        <f>+H1493</f>
        <v>0</v>
      </c>
      <c r="S1493" s="11"/>
      <c r="T1493" s="10">
        <f>+E1493</f>
        <v>0</v>
      </c>
      <c r="U1493" s="19" t="str">
        <f t="shared" ref="U1493" si="811">IFERROR(LEFT(G1493,FIND("*",G1493)-1),"-")</f>
        <v>-</v>
      </c>
      <c r="V1493" s="19" t="str">
        <f t="shared" ref="V1493" si="812">IFERROR(RIGHT(G1493,LEN(G1493)-FIND("*",G1493)),"-")</f>
        <v>-</v>
      </c>
      <c r="W1493" s="20" t="str">
        <f t="shared" si="808"/>
        <v>-</v>
      </c>
      <c r="X1493" s="20" t="str">
        <f>IFERROR(W1493*H1493,"-")</f>
        <v>-</v>
      </c>
      <c r="Z1493" s="33">
        <v>45185</v>
      </c>
    </row>
    <row r="1494" spans="1:26" ht="6.95" customHeight="1" x14ac:dyDescent="0.3">
      <c r="A1494" s="5"/>
      <c r="B1494" s="157"/>
      <c r="C1494" s="158"/>
      <c r="D1494" s="161"/>
      <c r="E1494" s="162"/>
      <c r="F1494" s="163"/>
      <c r="G1494" s="164"/>
      <c r="H1494" s="165"/>
      <c r="I1494" s="164"/>
      <c r="J1494" s="165"/>
      <c r="K1494" s="164"/>
      <c r="L1494" s="165"/>
      <c r="M1494" s="6"/>
      <c r="N1494" s="32"/>
      <c r="Q1494" s="10" t="str">
        <f>+CONCATENATE(E1493,I1493)</f>
        <v/>
      </c>
      <c r="R1494" s="10">
        <f>+J1493</f>
        <v>0</v>
      </c>
      <c r="S1494" s="11"/>
      <c r="T1494" s="10">
        <f>+E1493</f>
        <v>0</v>
      </c>
      <c r="U1494" s="19" t="str">
        <f>IFERROR(LEFT(I1493,FIND("*",I1493)-1),"-")</f>
        <v>-</v>
      </c>
      <c r="V1494" s="19" t="str">
        <f>IFERROR(RIGHT(I1493,LEN(I1493)-FIND("*",I1493)),"-")</f>
        <v>-</v>
      </c>
      <c r="W1494" s="20" t="str">
        <f t="shared" si="808"/>
        <v>-</v>
      </c>
      <c r="X1494" s="20" t="str">
        <f t="shared" ref="X1494" si="813">IFERROR(W1494*J1493,"-")</f>
        <v>-</v>
      </c>
      <c r="Z1494" s="33">
        <v>45185</v>
      </c>
    </row>
    <row r="1495" spans="1:26" ht="6.95" customHeight="1" x14ac:dyDescent="0.3">
      <c r="A1495" s="5"/>
      <c r="B1495" s="157"/>
      <c r="C1495" s="158"/>
      <c r="D1495" s="161"/>
      <c r="E1495" s="162"/>
      <c r="F1495" s="163"/>
      <c r="G1495" s="164"/>
      <c r="H1495" s="165"/>
      <c r="I1495" s="164"/>
      <c r="J1495" s="165"/>
      <c r="K1495" s="164"/>
      <c r="L1495" s="165"/>
      <c r="M1495" s="6"/>
      <c r="N1495" s="32"/>
      <c r="Q1495" s="10" t="str">
        <f>+CONCATENATE(E1493,K1493)</f>
        <v/>
      </c>
      <c r="R1495" s="10">
        <f>+L1493</f>
        <v>0</v>
      </c>
      <c r="S1495" s="11"/>
      <c r="T1495" s="10">
        <f>+E1493</f>
        <v>0</v>
      </c>
      <c r="U1495" s="19" t="str">
        <f>IFERROR(LEFT(K1493,FIND("*",K1493)-1),"-")</f>
        <v>-</v>
      </c>
      <c r="V1495" s="19" t="str">
        <f>IFERROR(RIGHT(K1493,LEN(K1493)-FIND("*",K1493)),"-")</f>
        <v>-</v>
      </c>
      <c r="W1495" s="20" t="str">
        <f t="shared" si="808"/>
        <v>-</v>
      </c>
      <c r="X1495" s="20" t="str">
        <f>IFERROR(W1495*L1493,"-")</f>
        <v>-</v>
      </c>
      <c r="Z1495" s="33">
        <v>45185</v>
      </c>
    </row>
    <row r="1496" spans="1:26" ht="21" customHeight="1" thickBot="1" x14ac:dyDescent="0.35">
      <c r="A1496" s="5"/>
      <c r="B1496" s="159"/>
      <c r="C1496" s="160"/>
      <c r="D1496" s="166" t="s">
        <v>43</v>
      </c>
      <c r="E1496" s="167"/>
      <c r="F1496" s="167"/>
      <c r="G1496" s="168"/>
      <c r="H1496" s="168"/>
      <c r="I1496" s="168"/>
      <c r="J1496" s="168"/>
      <c r="K1496" s="168"/>
      <c r="L1496" s="168"/>
      <c r="M1496" s="7"/>
      <c r="N1496" s="32"/>
      <c r="Z1496" s="33">
        <v>45185</v>
      </c>
    </row>
    <row r="1497" spans="1:26" ht="9.9499999999999993" customHeight="1" thickBot="1" x14ac:dyDescent="0.35">
      <c r="B1497" s="9"/>
      <c r="C1497" s="109">
        <v>936</v>
      </c>
      <c r="D1497" s="51"/>
      <c r="E1497" s="12"/>
      <c r="F1497" s="51"/>
      <c r="G1497" s="14"/>
      <c r="H1497" s="14"/>
      <c r="I1497" s="14"/>
      <c r="J1497" s="14"/>
      <c r="K1497" s="14"/>
      <c r="L1497" s="14"/>
      <c r="M1497" s="9"/>
      <c r="N1497" s="32"/>
      <c r="U1497" s="18"/>
      <c r="V1497" s="18"/>
      <c r="Z1497" s="33">
        <v>45185</v>
      </c>
    </row>
    <row r="1498" spans="1:26" ht="6.95" customHeight="1" x14ac:dyDescent="0.3">
      <c r="A1498" s="154">
        <f>+A1487+1</f>
        <v>937</v>
      </c>
      <c r="B1498" s="155"/>
      <c r="C1498" s="156"/>
      <c r="D1498" s="161" t="s">
        <v>39</v>
      </c>
      <c r="E1498" s="162" t="s">
        <v>266</v>
      </c>
      <c r="F1498" s="163" t="s">
        <v>40</v>
      </c>
      <c r="G1498" s="164">
        <v>150</v>
      </c>
      <c r="H1498" s="165">
        <v>1</v>
      </c>
      <c r="I1498" s="164"/>
      <c r="J1498" s="165"/>
      <c r="K1498" s="164"/>
      <c r="L1498" s="165"/>
      <c r="M1498" s="6"/>
      <c r="N1498" s="32"/>
      <c r="Q1498" s="10" t="str">
        <f>+CONCATENATE(E1498,G1498)</f>
        <v>금속관벽체150</v>
      </c>
      <c r="R1498" s="10">
        <f>+H1498</f>
        <v>1</v>
      </c>
      <c r="S1498" s="11"/>
      <c r="T1498" s="10" t="str">
        <f>+E1498</f>
        <v>금속관벽체</v>
      </c>
      <c r="U1498" s="19" t="str">
        <f>IFERROR(LEFT(G1498,FIND("*",G1498)-1),"-")</f>
        <v>-</v>
      </c>
      <c r="V1498" s="19" t="str">
        <f>IFERROR(RIGHT(G1498,LEN(G1498)-FIND("*",G1498)),"-")</f>
        <v>-</v>
      </c>
      <c r="W1498" s="20" t="str">
        <f>IFERROR((U1498+V1498)*2/1000,"-")</f>
        <v>-</v>
      </c>
      <c r="X1498" s="20" t="str">
        <f>IFERROR(W1498*H1498,"-")</f>
        <v>-</v>
      </c>
      <c r="Z1498" s="33">
        <v>45185</v>
      </c>
    </row>
    <row r="1499" spans="1:26" ht="6.95" customHeight="1" x14ac:dyDescent="0.3">
      <c r="A1499" s="154"/>
      <c r="B1499" s="157"/>
      <c r="C1499" s="158"/>
      <c r="D1499" s="161"/>
      <c r="E1499" s="162"/>
      <c r="F1499" s="163"/>
      <c r="G1499" s="164"/>
      <c r="H1499" s="165"/>
      <c r="I1499" s="164"/>
      <c r="J1499" s="165"/>
      <c r="K1499" s="164"/>
      <c r="L1499" s="165"/>
      <c r="M1499" s="6"/>
      <c r="N1499" s="32"/>
      <c r="Q1499" s="10" t="str">
        <f>+CONCATENATE(E1498,I1498)</f>
        <v>금속관벽체</v>
      </c>
      <c r="R1499" s="10">
        <f>+J1498</f>
        <v>0</v>
      </c>
      <c r="S1499" s="11"/>
      <c r="T1499" s="10" t="str">
        <f>+E1498</f>
        <v>금속관벽체</v>
      </c>
      <c r="U1499" s="19" t="str">
        <f>IFERROR(LEFT(I1498,FIND("*",I1498)-1),"-")</f>
        <v>-</v>
      </c>
      <c r="V1499" s="19" t="str">
        <f>IFERROR(RIGHT(I1498,LEN(I1498)-FIND("*",I1498)),"-")</f>
        <v>-</v>
      </c>
      <c r="W1499" s="20" t="str">
        <f t="shared" ref="W1499:W1506" si="814">IFERROR((U1499+V1499)*2/1000,"-")</f>
        <v>-</v>
      </c>
      <c r="X1499" s="20" t="str">
        <f>IFERROR(W1499*J1498,"-")</f>
        <v>-</v>
      </c>
      <c r="Z1499" s="33">
        <v>45185</v>
      </c>
    </row>
    <row r="1500" spans="1:26" ht="6.95" customHeight="1" x14ac:dyDescent="0.3">
      <c r="A1500" s="154"/>
      <c r="B1500" s="157"/>
      <c r="C1500" s="158"/>
      <c r="D1500" s="161"/>
      <c r="E1500" s="162"/>
      <c r="F1500" s="163"/>
      <c r="G1500" s="164"/>
      <c r="H1500" s="165"/>
      <c r="I1500" s="164"/>
      <c r="J1500" s="165"/>
      <c r="K1500" s="164"/>
      <c r="L1500" s="165"/>
      <c r="M1500" s="6"/>
      <c r="N1500" s="32"/>
      <c r="Q1500" s="10" t="str">
        <f>+CONCATENATE(E1498,K1498)</f>
        <v>금속관벽체</v>
      </c>
      <c r="R1500" s="10">
        <f>+L1498</f>
        <v>0</v>
      </c>
      <c r="S1500" s="11"/>
      <c r="T1500" s="10" t="str">
        <f>+E1498</f>
        <v>금속관벽체</v>
      </c>
      <c r="U1500" s="19" t="str">
        <f>IFERROR(LEFT(K1498,FIND("*",K1498)-1),"-")</f>
        <v>-</v>
      </c>
      <c r="V1500" s="19" t="str">
        <f>IFERROR(RIGHT(K1498,LEN(K1498)-FIND("*",K1498)),"-")</f>
        <v>-</v>
      </c>
      <c r="W1500" s="20" t="str">
        <f t="shared" si="814"/>
        <v>-</v>
      </c>
      <c r="X1500" s="20" t="str">
        <f>IFERROR(W1500*L1498,"-")</f>
        <v>-</v>
      </c>
      <c r="Z1500" s="33">
        <v>45185</v>
      </c>
    </row>
    <row r="1501" spans="1:26" ht="6.95" customHeight="1" x14ac:dyDescent="0.3">
      <c r="A1501" s="8"/>
      <c r="B1501" s="157"/>
      <c r="C1501" s="158"/>
      <c r="D1501" s="161" t="s">
        <v>39</v>
      </c>
      <c r="E1501" s="162"/>
      <c r="F1501" s="163" t="s">
        <v>40</v>
      </c>
      <c r="G1501" s="164"/>
      <c r="H1501" s="165"/>
      <c r="I1501" s="164"/>
      <c r="J1501" s="165"/>
      <c r="K1501" s="164"/>
      <c r="L1501" s="165"/>
      <c r="M1501" s="6"/>
      <c r="N1501" s="32"/>
      <c r="Q1501" s="10" t="str">
        <f>+CONCATENATE(E1501,G1501)</f>
        <v/>
      </c>
      <c r="R1501" s="10">
        <f>+H1501</f>
        <v>0</v>
      </c>
      <c r="S1501" s="11"/>
      <c r="T1501" s="10">
        <f>+E1501</f>
        <v>0</v>
      </c>
      <c r="U1501" s="19" t="str">
        <f t="shared" ref="U1501" si="815">IFERROR(LEFT(G1501,FIND("*",G1501)-1),"-")</f>
        <v>-</v>
      </c>
      <c r="V1501" s="19" t="str">
        <f t="shared" ref="V1501" si="816">IFERROR(RIGHT(G1501,LEN(G1501)-FIND("*",G1501)),"-")</f>
        <v>-</v>
      </c>
      <c r="W1501" s="20" t="str">
        <f t="shared" si="814"/>
        <v>-</v>
      </c>
      <c r="X1501" s="20" t="str">
        <f>IFERROR(W1501*H1501,"-")</f>
        <v>-</v>
      </c>
      <c r="Z1501" s="33">
        <v>45185</v>
      </c>
    </row>
    <row r="1502" spans="1:26" ht="6.95" customHeight="1" x14ac:dyDescent="0.3">
      <c r="A1502" s="5"/>
      <c r="B1502" s="157"/>
      <c r="C1502" s="158"/>
      <c r="D1502" s="161"/>
      <c r="E1502" s="162"/>
      <c r="F1502" s="163"/>
      <c r="G1502" s="164"/>
      <c r="H1502" s="165"/>
      <c r="I1502" s="164"/>
      <c r="J1502" s="165"/>
      <c r="K1502" s="164"/>
      <c r="L1502" s="165"/>
      <c r="M1502" s="6"/>
      <c r="N1502" s="32"/>
      <c r="Q1502" s="10" t="str">
        <f>+CONCATENATE(E1501,I1501)</f>
        <v/>
      </c>
      <c r="R1502" s="10">
        <f>+J1501</f>
        <v>0</v>
      </c>
      <c r="S1502" s="11"/>
      <c r="T1502" s="10">
        <f>+E1501</f>
        <v>0</v>
      </c>
      <c r="U1502" s="19" t="str">
        <f>IFERROR(LEFT(I1501,FIND("*",I1501)-1),"-")</f>
        <v>-</v>
      </c>
      <c r="V1502" s="19" t="str">
        <f>IFERROR(RIGHT(I1501,LEN(I1501)-FIND("*",I1501)),"-")</f>
        <v>-</v>
      </c>
      <c r="W1502" s="20" t="str">
        <f t="shared" si="814"/>
        <v>-</v>
      </c>
      <c r="X1502" s="20" t="str">
        <f>IFERROR(W1502*J1501,"-")</f>
        <v>-</v>
      </c>
      <c r="Z1502" s="33">
        <v>45185</v>
      </c>
    </row>
    <row r="1503" spans="1:26" ht="6.95" customHeight="1" x14ac:dyDescent="0.3">
      <c r="A1503" s="5"/>
      <c r="B1503" s="157"/>
      <c r="C1503" s="158"/>
      <c r="D1503" s="161"/>
      <c r="E1503" s="162"/>
      <c r="F1503" s="163"/>
      <c r="G1503" s="164"/>
      <c r="H1503" s="165"/>
      <c r="I1503" s="164"/>
      <c r="J1503" s="165"/>
      <c r="K1503" s="164"/>
      <c r="L1503" s="165"/>
      <c r="M1503" s="6"/>
      <c r="N1503" s="32"/>
      <c r="Q1503" s="10" t="str">
        <f>+CONCATENATE(E1501,K1501)</f>
        <v/>
      </c>
      <c r="R1503" s="10">
        <f>+L1501</f>
        <v>0</v>
      </c>
      <c r="S1503" s="11"/>
      <c r="T1503" s="10">
        <f>+E1501</f>
        <v>0</v>
      </c>
      <c r="U1503" s="19" t="str">
        <f>IFERROR(LEFT(K1501,FIND("*",K1501)-1),"-")</f>
        <v>-</v>
      </c>
      <c r="V1503" s="19" t="str">
        <f>IFERROR(RIGHT(K1501,LEN(K1501)-FIND("*",K1501)),"-")</f>
        <v>-</v>
      </c>
      <c r="W1503" s="20" t="str">
        <f t="shared" si="814"/>
        <v>-</v>
      </c>
      <c r="X1503" s="20" t="str">
        <f>IFERROR(W1503*L1501,"-")</f>
        <v>-</v>
      </c>
      <c r="Z1503" s="33">
        <v>45185</v>
      </c>
    </row>
    <row r="1504" spans="1:26" ht="6.95" customHeight="1" x14ac:dyDescent="0.3">
      <c r="A1504" s="8"/>
      <c r="B1504" s="157"/>
      <c r="C1504" s="158"/>
      <c r="D1504" s="161" t="s">
        <v>39</v>
      </c>
      <c r="E1504" s="162"/>
      <c r="F1504" s="163" t="s">
        <v>40</v>
      </c>
      <c r="G1504" s="164"/>
      <c r="H1504" s="165"/>
      <c r="I1504" s="164"/>
      <c r="J1504" s="165"/>
      <c r="K1504" s="164"/>
      <c r="L1504" s="165"/>
      <c r="M1504" s="6"/>
      <c r="N1504" s="32"/>
      <c r="Q1504" s="10" t="str">
        <f>+CONCATENATE(E1504,G1504)</f>
        <v/>
      </c>
      <c r="R1504" s="10">
        <f>+H1504</f>
        <v>0</v>
      </c>
      <c r="S1504" s="11"/>
      <c r="T1504" s="10">
        <f>+E1504</f>
        <v>0</v>
      </c>
      <c r="U1504" s="19" t="str">
        <f t="shared" ref="U1504" si="817">IFERROR(LEFT(G1504,FIND("*",G1504)-1),"-")</f>
        <v>-</v>
      </c>
      <c r="V1504" s="19" t="str">
        <f t="shared" ref="V1504" si="818">IFERROR(RIGHT(G1504,LEN(G1504)-FIND("*",G1504)),"-")</f>
        <v>-</v>
      </c>
      <c r="W1504" s="20" t="str">
        <f t="shared" si="814"/>
        <v>-</v>
      </c>
      <c r="X1504" s="20" t="str">
        <f>IFERROR(W1504*H1504,"-")</f>
        <v>-</v>
      </c>
      <c r="Z1504" s="33">
        <v>45185</v>
      </c>
    </row>
    <row r="1505" spans="1:26" ht="6.95" customHeight="1" x14ac:dyDescent="0.3">
      <c r="A1505" s="5"/>
      <c r="B1505" s="157"/>
      <c r="C1505" s="158"/>
      <c r="D1505" s="161"/>
      <c r="E1505" s="162"/>
      <c r="F1505" s="163"/>
      <c r="G1505" s="164"/>
      <c r="H1505" s="165"/>
      <c r="I1505" s="164"/>
      <c r="J1505" s="165"/>
      <c r="K1505" s="164"/>
      <c r="L1505" s="165"/>
      <c r="M1505" s="6"/>
      <c r="N1505" s="32"/>
      <c r="Q1505" s="10" t="str">
        <f>+CONCATENATE(E1504,I1504)</f>
        <v/>
      </c>
      <c r="R1505" s="10">
        <f>+J1504</f>
        <v>0</v>
      </c>
      <c r="S1505" s="11"/>
      <c r="T1505" s="10">
        <f>+E1504</f>
        <v>0</v>
      </c>
      <c r="U1505" s="19" t="str">
        <f>IFERROR(LEFT(I1504,FIND("*",I1504)-1),"-")</f>
        <v>-</v>
      </c>
      <c r="V1505" s="19" t="str">
        <f>IFERROR(RIGHT(I1504,LEN(I1504)-FIND("*",I1504)),"-")</f>
        <v>-</v>
      </c>
      <c r="W1505" s="20" t="str">
        <f t="shared" si="814"/>
        <v>-</v>
      </c>
      <c r="X1505" s="20" t="str">
        <f t="shared" ref="X1505" si="819">IFERROR(W1505*J1504,"-")</f>
        <v>-</v>
      </c>
      <c r="Z1505" s="33">
        <v>45185</v>
      </c>
    </row>
    <row r="1506" spans="1:26" ht="6.95" customHeight="1" x14ac:dyDescent="0.3">
      <c r="A1506" s="5"/>
      <c r="B1506" s="157"/>
      <c r="C1506" s="158"/>
      <c r="D1506" s="161"/>
      <c r="E1506" s="162"/>
      <c r="F1506" s="163"/>
      <c r="G1506" s="164"/>
      <c r="H1506" s="165"/>
      <c r="I1506" s="164"/>
      <c r="J1506" s="165"/>
      <c r="K1506" s="164"/>
      <c r="L1506" s="165"/>
      <c r="M1506" s="6"/>
      <c r="N1506" s="32"/>
      <c r="Q1506" s="10" t="str">
        <f>+CONCATENATE(E1504,K1504)</f>
        <v/>
      </c>
      <c r="R1506" s="10">
        <f>+L1504</f>
        <v>0</v>
      </c>
      <c r="S1506" s="11"/>
      <c r="T1506" s="10">
        <f>+E1504</f>
        <v>0</v>
      </c>
      <c r="U1506" s="19" t="str">
        <f>IFERROR(LEFT(K1504,FIND("*",K1504)-1),"-")</f>
        <v>-</v>
      </c>
      <c r="V1506" s="19" t="str">
        <f>IFERROR(RIGHT(K1504,LEN(K1504)-FIND("*",K1504)),"-")</f>
        <v>-</v>
      </c>
      <c r="W1506" s="20" t="str">
        <f t="shared" si="814"/>
        <v>-</v>
      </c>
      <c r="X1506" s="20" t="str">
        <f>IFERROR(W1506*L1504,"-")</f>
        <v>-</v>
      </c>
      <c r="Z1506" s="33">
        <v>45185</v>
      </c>
    </row>
    <row r="1507" spans="1:26" ht="21" customHeight="1" thickBot="1" x14ac:dyDescent="0.35">
      <c r="A1507" s="5"/>
      <c r="B1507" s="159"/>
      <c r="C1507" s="160"/>
      <c r="D1507" s="166" t="s">
        <v>43</v>
      </c>
      <c r="E1507" s="167"/>
      <c r="F1507" s="167"/>
      <c r="G1507" s="168"/>
      <c r="H1507" s="168"/>
      <c r="I1507" s="168"/>
      <c r="J1507" s="168"/>
      <c r="K1507" s="168"/>
      <c r="L1507" s="168"/>
      <c r="M1507" s="7"/>
      <c r="N1507" s="32"/>
      <c r="Z1507" s="33">
        <v>45185</v>
      </c>
    </row>
    <row r="1508" spans="1:26" ht="9.9499999999999993" customHeight="1" thickBot="1" x14ac:dyDescent="0.35">
      <c r="B1508" s="9"/>
      <c r="C1508" s="109">
        <v>937</v>
      </c>
      <c r="D1508" s="51"/>
      <c r="E1508" s="12"/>
      <c r="F1508" s="51"/>
      <c r="G1508" s="14"/>
      <c r="H1508" s="14"/>
      <c r="I1508" s="14"/>
      <c r="J1508" s="14"/>
      <c r="K1508" s="14"/>
      <c r="L1508" s="14"/>
      <c r="M1508" s="9"/>
      <c r="N1508" s="32"/>
      <c r="U1508" s="18"/>
      <c r="V1508" s="18"/>
      <c r="Z1508" s="33">
        <v>45185</v>
      </c>
    </row>
    <row r="1509" spans="1:26" ht="6.95" customHeight="1" x14ac:dyDescent="0.3">
      <c r="A1509" s="154">
        <f>+A1498+1</f>
        <v>938</v>
      </c>
      <c r="B1509" s="155"/>
      <c r="C1509" s="156"/>
      <c r="D1509" s="161" t="s">
        <v>39</v>
      </c>
      <c r="E1509" s="162" t="s">
        <v>266</v>
      </c>
      <c r="F1509" s="163" t="s">
        <v>40</v>
      </c>
      <c r="G1509" s="164">
        <v>50</v>
      </c>
      <c r="H1509" s="165">
        <v>2</v>
      </c>
      <c r="I1509" s="164"/>
      <c r="J1509" s="165"/>
      <c r="K1509" s="164"/>
      <c r="L1509" s="165"/>
      <c r="M1509" s="6"/>
      <c r="N1509" s="32"/>
      <c r="Q1509" s="10" t="str">
        <f>+CONCATENATE(E1509,G1509)</f>
        <v>금속관벽체50</v>
      </c>
      <c r="R1509" s="10">
        <f>+H1509</f>
        <v>2</v>
      </c>
      <c r="S1509" s="11"/>
      <c r="T1509" s="10" t="str">
        <f>+E1509</f>
        <v>금속관벽체</v>
      </c>
      <c r="U1509" s="19" t="str">
        <f>IFERROR(LEFT(G1509,FIND("*",G1509)-1),"-")</f>
        <v>-</v>
      </c>
      <c r="V1509" s="19" t="str">
        <f>IFERROR(RIGHT(G1509,LEN(G1509)-FIND("*",G1509)),"-")</f>
        <v>-</v>
      </c>
      <c r="W1509" s="20" t="str">
        <f>IFERROR((U1509+V1509)*2/1000,"-")</f>
        <v>-</v>
      </c>
      <c r="X1509" s="20" t="str">
        <f>IFERROR(W1509*H1509,"-")</f>
        <v>-</v>
      </c>
      <c r="Z1509" s="33">
        <v>45185</v>
      </c>
    </row>
    <row r="1510" spans="1:26" ht="6.95" customHeight="1" x14ac:dyDescent="0.3">
      <c r="A1510" s="154"/>
      <c r="B1510" s="157"/>
      <c r="C1510" s="158"/>
      <c r="D1510" s="161"/>
      <c r="E1510" s="162"/>
      <c r="F1510" s="163"/>
      <c r="G1510" s="164"/>
      <c r="H1510" s="165"/>
      <c r="I1510" s="164"/>
      <c r="J1510" s="165"/>
      <c r="K1510" s="164"/>
      <c r="L1510" s="165"/>
      <c r="M1510" s="6"/>
      <c r="N1510" s="32"/>
      <c r="Q1510" s="10" t="str">
        <f>+CONCATENATE(E1509,I1509)</f>
        <v>금속관벽체</v>
      </c>
      <c r="R1510" s="10">
        <f>+J1509</f>
        <v>0</v>
      </c>
      <c r="S1510" s="11"/>
      <c r="T1510" s="10" t="str">
        <f>+E1509</f>
        <v>금속관벽체</v>
      </c>
      <c r="U1510" s="19" t="str">
        <f>IFERROR(LEFT(I1509,FIND("*",I1509)-1),"-")</f>
        <v>-</v>
      </c>
      <c r="V1510" s="19" t="str">
        <f>IFERROR(RIGHT(I1509,LEN(I1509)-FIND("*",I1509)),"-")</f>
        <v>-</v>
      </c>
      <c r="W1510" s="20" t="str">
        <f t="shared" ref="W1510:W1517" si="820">IFERROR((U1510+V1510)*2/1000,"-")</f>
        <v>-</v>
      </c>
      <c r="X1510" s="20" t="str">
        <f>IFERROR(W1510*J1509,"-")</f>
        <v>-</v>
      </c>
      <c r="Z1510" s="33">
        <v>45185</v>
      </c>
    </row>
    <row r="1511" spans="1:26" ht="6.95" customHeight="1" x14ac:dyDescent="0.3">
      <c r="A1511" s="154"/>
      <c r="B1511" s="157"/>
      <c r="C1511" s="158"/>
      <c r="D1511" s="161"/>
      <c r="E1511" s="162"/>
      <c r="F1511" s="163"/>
      <c r="G1511" s="164"/>
      <c r="H1511" s="165"/>
      <c r="I1511" s="164"/>
      <c r="J1511" s="165"/>
      <c r="K1511" s="164"/>
      <c r="L1511" s="165"/>
      <c r="M1511" s="6"/>
      <c r="N1511" s="32"/>
      <c r="Q1511" s="10" t="str">
        <f>+CONCATENATE(E1509,K1509)</f>
        <v>금속관벽체</v>
      </c>
      <c r="R1511" s="10">
        <f>+L1509</f>
        <v>0</v>
      </c>
      <c r="S1511" s="11"/>
      <c r="T1511" s="10" t="str">
        <f>+E1509</f>
        <v>금속관벽체</v>
      </c>
      <c r="U1511" s="19" t="str">
        <f>IFERROR(LEFT(K1509,FIND("*",K1509)-1),"-")</f>
        <v>-</v>
      </c>
      <c r="V1511" s="19" t="str">
        <f>IFERROR(RIGHT(K1509,LEN(K1509)-FIND("*",K1509)),"-")</f>
        <v>-</v>
      </c>
      <c r="W1511" s="20" t="str">
        <f t="shared" si="820"/>
        <v>-</v>
      </c>
      <c r="X1511" s="20" t="str">
        <f>IFERROR(W1511*L1509,"-")</f>
        <v>-</v>
      </c>
      <c r="Z1511" s="33">
        <v>45185</v>
      </c>
    </row>
    <row r="1512" spans="1:26" ht="6.95" customHeight="1" x14ac:dyDescent="0.3">
      <c r="A1512" s="8"/>
      <c r="B1512" s="157"/>
      <c r="C1512" s="158"/>
      <c r="D1512" s="161" t="s">
        <v>39</v>
      </c>
      <c r="E1512" s="162"/>
      <c r="F1512" s="163" t="s">
        <v>40</v>
      </c>
      <c r="G1512" s="164"/>
      <c r="H1512" s="165"/>
      <c r="I1512" s="164"/>
      <c r="J1512" s="165"/>
      <c r="K1512" s="164"/>
      <c r="L1512" s="165"/>
      <c r="M1512" s="6"/>
      <c r="N1512" s="32"/>
      <c r="Q1512" s="10" t="str">
        <f>+CONCATENATE(E1512,G1512)</f>
        <v/>
      </c>
      <c r="R1512" s="10">
        <f>+H1512</f>
        <v>0</v>
      </c>
      <c r="S1512" s="11"/>
      <c r="T1512" s="10">
        <f>+E1512</f>
        <v>0</v>
      </c>
      <c r="U1512" s="19" t="str">
        <f t="shared" ref="U1512" si="821">IFERROR(LEFT(G1512,FIND("*",G1512)-1),"-")</f>
        <v>-</v>
      </c>
      <c r="V1512" s="19" t="str">
        <f t="shared" ref="V1512" si="822">IFERROR(RIGHT(G1512,LEN(G1512)-FIND("*",G1512)),"-")</f>
        <v>-</v>
      </c>
      <c r="W1512" s="20" t="str">
        <f t="shared" si="820"/>
        <v>-</v>
      </c>
      <c r="X1512" s="20" t="str">
        <f>IFERROR(W1512*H1512,"-")</f>
        <v>-</v>
      </c>
      <c r="Z1512" s="33">
        <v>45185</v>
      </c>
    </row>
    <row r="1513" spans="1:26" ht="6.95" customHeight="1" x14ac:dyDescent="0.3">
      <c r="A1513" s="5"/>
      <c r="B1513" s="157"/>
      <c r="C1513" s="158"/>
      <c r="D1513" s="161"/>
      <c r="E1513" s="162"/>
      <c r="F1513" s="163"/>
      <c r="G1513" s="164"/>
      <c r="H1513" s="165"/>
      <c r="I1513" s="164"/>
      <c r="J1513" s="165"/>
      <c r="K1513" s="164"/>
      <c r="L1513" s="165"/>
      <c r="M1513" s="6"/>
      <c r="N1513" s="32"/>
      <c r="Q1513" s="10" t="str">
        <f>+CONCATENATE(E1512,I1512)</f>
        <v/>
      </c>
      <c r="R1513" s="10">
        <f>+J1512</f>
        <v>0</v>
      </c>
      <c r="S1513" s="11"/>
      <c r="T1513" s="10">
        <f>+E1512</f>
        <v>0</v>
      </c>
      <c r="U1513" s="19" t="str">
        <f>IFERROR(LEFT(I1512,FIND("*",I1512)-1),"-")</f>
        <v>-</v>
      </c>
      <c r="V1513" s="19" t="str">
        <f>IFERROR(RIGHT(I1512,LEN(I1512)-FIND("*",I1512)),"-")</f>
        <v>-</v>
      </c>
      <c r="W1513" s="20" t="str">
        <f t="shared" si="820"/>
        <v>-</v>
      </c>
      <c r="X1513" s="20" t="str">
        <f>IFERROR(W1513*J1512,"-")</f>
        <v>-</v>
      </c>
      <c r="Z1513" s="33">
        <v>45185</v>
      </c>
    </row>
    <row r="1514" spans="1:26" ht="6.95" customHeight="1" x14ac:dyDescent="0.3">
      <c r="A1514" s="5"/>
      <c r="B1514" s="157"/>
      <c r="C1514" s="158"/>
      <c r="D1514" s="161"/>
      <c r="E1514" s="162"/>
      <c r="F1514" s="163"/>
      <c r="G1514" s="164"/>
      <c r="H1514" s="165"/>
      <c r="I1514" s="164"/>
      <c r="J1514" s="165"/>
      <c r="K1514" s="164"/>
      <c r="L1514" s="165"/>
      <c r="M1514" s="6"/>
      <c r="N1514" s="32"/>
      <c r="Q1514" s="10" t="str">
        <f>+CONCATENATE(E1512,K1512)</f>
        <v/>
      </c>
      <c r="R1514" s="10">
        <f>+L1512</f>
        <v>0</v>
      </c>
      <c r="S1514" s="11"/>
      <c r="T1514" s="10">
        <f>+E1512</f>
        <v>0</v>
      </c>
      <c r="U1514" s="19" t="str">
        <f>IFERROR(LEFT(K1512,FIND("*",K1512)-1),"-")</f>
        <v>-</v>
      </c>
      <c r="V1514" s="19" t="str">
        <f>IFERROR(RIGHT(K1512,LEN(K1512)-FIND("*",K1512)),"-")</f>
        <v>-</v>
      </c>
      <c r="W1514" s="20" t="str">
        <f t="shared" si="820"/>
        <v>-</v>
      </c>
      <c r="X1514" s="20" t="str">
        <f>IFERROR(W1514*L1512,"-")</f>
        <v>-</v>
      </c>
      <c r="Z1514" s="33">
        <v>45185</v>
      </c>
    </row>
    <row r="1515" spans="1:26" ht="6.95" customHeight="1" x14ac:dyDescent="0.3">
      <c r="A1515" s="8"/>
      <c r="B1515" s="157"/>
      <c r="C1515" s="158"/>
      <c r="D1515" s="161" t="s">
        <v>39</v>
      </c>
      <c r="E1515" s="162"/>
      <c r="F1515" s="163" t="s">
        <v>40</v>
      </c>
      <c r="G1515" s="164"/>
      <c r="H1515" s="165"/>
      <c r="I1515" s="164"/>
      <c r="J1515" s="165"/>
      <c r="K1515" s="164"/>
      <c r="L1515" s="165"/>
      <c r="M1515" s="6"/>
      <c r="N1515" s="32"/>
      <c r="Q1515" s="10" t="str">
        <f>+CONCATENATE(E1515,G1515)</f>
        <v/>
      </c>
      <c r="R1515" s="10">
        <f>+H1515</f>
        <v>0</v>
      </c>
      <c r="S1515" s="11"/>
      <c r="T1515" s="10">
        <f>+E1515</f>
        <v>0</v>
      </c>
      <c r="U1515" s="19" t="str">
        <f t="shared" ref="U1515" si="823">IFERROR(LEFT(G1515,FIND("*",G1515)-1),"-")</f>
        <v>-</v>
      </c>
      <c r="V1515" s="19" t="str">
        <f t="shared" ref="V1515" si="824">IFERROR(RIGHT(G1515,LEN(G1515)-FIND("*",G1515)),"-")</f>
        <v>-</v>
      </c>
      <c r="W1515" s="20" t="str">
        <f t="shared" si="820"/>
        <v>-</v>
      </c>
      <c r="X1515" s="20" t="str">
        <f>IFERROR(W1515*H1515,"-")</f>
        <v>-</v>
      </c>
      <c r="Z1515" s="33">
        <v>45185</v>
      </c>
    </row>
    <row r="1516" spans="1:26" ht="6.95" customHeight="1" x14ac:dyDescent="0.3">
      <c r="A1516" s="5"/>
      <c r="B1516" s="157"/>
      <c r="C1516" s="158"/>
      <c r="D1516" s="161"/>
      <c r="E1516" s="162"/>
      <c r="F1516" s="163"/>
      <c r="G1516" s="164"/>
      <c r="H1516" s="165"/>
      <c r="I1516" s="164"/>
      <c r="J1516" s="165"/>
      <c r="K1516" s="164"/>
      <c r="L1516" s="165"/>
      <c r="M1516" s="6"/>
      <c r="N1516" s="32"/>
      <c r="Q1516" s="10" t="str">
        <f>+CONCATENATE(E1515,I1515)</f>
        <v/>
      </c>
      <c r="R1516" s="10">
        <f>+J1515</f>
        <v>0</v>
      </c>
      <c r="S1516" s="11"/>
      <c r="T1516" s="10">
        <f>+E1515</f>
        <v>0</v>
      </c>
      <c r="U1516" s="19" t="str">
        <f>IFERROR(LEFT(I1515,FIND("*",I1515)-1),"-")</f>
        <v>-</v>
      </c>
      <c r="V1516" s="19" t="str">
        <f>IFERROR(RIGHT(I1515,LEN(I1515)-FIND("*",I1515)),"-")</f>
        <v>-</v>
      </c>
      <c r="W1516" s="20" t="str">
        <f t="shared" si="820"/>
        <v>-</v>
      </c>
      <c r="X1516" s="20" t="str">
        <f t="shared" ref="X1516" si="825">IFERROR(W1516*J1515,"-")</f>
        <v>-</v>
      </c>
      <c r="Z1516" s="33">
        <v>45185</v>
      </c>
    </row>
    <row r="1517" spans="1:26" ht="6.95" customHeight="1" x14ac:dyDescent="0.3">
      <c r="A1517" s="5"/>
      <c r="B1517" s="157"/>
      <c r="C1517" s="158"/>
      <c r="D1517" s="161"/>
      <c r="E1517" s="162"/>
      <c r="F1517" s="163"/>
      <c r="G1517" s="164"/>
      <c r="H1517" s="165"/>
      <c r="I1517" s="164"/>
      <c r="J1517" s="165"/>
      <c r="K1517" s="164"/>
      <c r="L1517" s="165"/>
      <c r="M1517" s="6"/>
      <c r="N1517" s="32"/>
      <c r="Q1517" s="10" t="str">
        <f>+CONCATENATE(E1515,K1515)</f>
        <v/>
      </c>
      <c r="R1517" s="10">
        <f>+L1515</f>
        <v>0</v>
      </c>
      <c r="S1517" s="11"/>
      <c r="T1517" s="10">
        <f>+E1515</f>
        <v>0</v>
      </c>
      <c r="U1517" s="19" t="str">
        <f>IFERROR(LEFT(K1515,FIND("*",K1515)-1),"-")</f>
        <v>-</v>
      </c>
      <c r="V1517" s="19" t="str">
        <f>IFERROR(RIGHT(K1515,LEN(K1515)-FIND("*",K1515)),"-")</f>
        <v>-</v>
      </c>
      <c r="W1517" s="20" t="str">
        <f t="shared" si="820"/>
        <v>-</v>
      </c>
      <c r="X1517" s="20" t="str">
        <f>IFERROR(W1517*L1515,"-")</f>
        <v>-</v>
      </c>
      <c r="Z1517" s="33">
        <v>45185</v>
      </c>
    </row>
    <row r="1518" spans="1:26" ht="21" customHeight="1" thickBot="1" x14ac:dyDescent="0.35">
      <c r="A1518" s="5"/>
      <c r="B1518" s="159"/>
      <c r="C1518" s="160"/>
      <c r="D1518" s="166" t="s">
        <v>43</v>
      </c>
      <c r="E1518" s="167"/>
      <c r="F1518" s="167"/>
      <c r="G1518" s="168"/>
      <c r="H1518" s="168"/>
      <c r="I1518" s="168"/>
      <c r="J1518" s="168"/>
      <c r="K1518" s="168"/>
      <c r="L1518" s="168"/>
      <c r="M1518" s="7"/>
      <c r="N1518" s="32"/>
      <c r="Z1518" s="33">
        <v>45185</v>
      </c>
    </row>
    <row r="1519" spans="1:26" ht="9.9499999999999993" customHeight="1" thickBot="1" x14ac:dyDescent="0.35">
      <c r="B1519" s="9"/>
      <c r="C1519" s="109">
        <v>938</v>
      </c>
      <c r="D1519" s="51"/>
      <c r="E1519" s="12"/>
      <c r="F1519" s="51"/>
      <c r="G1519" s="14"/>
      <c r="H1519" s="14"/>
      <c r="I1519" s="14"/>
      <c r="J1519" s="14"/>
      <c r="K1519" s="14"/>
      <c r="L1519" s="14"/>
      <c r="M1519" s="9"/>
      <c r="N1519" s="32"/>
      <c r="U1519" s="18"/>
      <c r="V1519" s="18"/>
      <c r="Z1519" s="33">
        <v>45185</v>
      </c>
    </row>
    <row r="1520" spans="1:26" ht="6.95" customHeight="1" x14ac:dyDescent="0.3">
      <c r="A1520" s="154">
        <f>+A1509+1</f>
        <v>939</v>
      </c>
      <c r="B1520" s="155"/>
      <c r="C1520" s="156"/>
      <c r="D1520" s="161" t="s">
        <v>39</v>
      </c>
      <c r="E1520" s="162" t="s">
        <v>266</v>
      </c>
      <c r="F1520" s="163" t="s">
        <v>40</v>
      </c>
      <c r="G1520" s="164">
        <v>100</v>
      </c>
      <c r="H1520" s="165">
        <v>0.5</v>
      </c>
      <c r="I1520" s="164">
        <v>65</v>
      </c>
      <c r="J1520" s="165">
        <v>0.5</v>
      </c>
      <c r="K1520" s="164">
        <v>40</v>
      </c>
      <c r="L1520" s="165">
        <v>1</v>
      </c>
      <c r="M1520" s="6"/>
      <c r="N1520" s="32"/>
      <c r="Q1520" s="10" t="str">
        <f>+CONCATENATE(E1520,G1520)</f>
        <v>금속관벽체100</v>
      </c>
      <c r="R1520" s="10">
        <f>+H1520</f>
        <v>0.5</v>
      </c>
      <c r="S1520" s="11"/>
      <c r="T1520" s="10" t="str">
        <f>+E1520</f>
        <v>금속관벽체</v>
      </c>
      <c r="U1520" s="19" t="str">
        <f>IFERROR(LEFT(G1520,FIND("*",G1520)-1),"-")</f>
        <v>-</v>
      </c>
      <c r="V1520" s="19" t="str">
        <f>IFERROR(RIGHT(G1520,LEN(G1520)-FIND("*",G1520)),"-")</f>
        <v>-</v>
      </c>
      <c r="W1520" s="20" t="str">
        <f>IFERROR((U1520+V1520)*2/1000,"-")</f>
        <v>-</v>
      </c>
      <c r="X1520" s="20" t="str">
        <f>IFERROR(W1520*H1520,"-")</f>
        <v>-</v>
      </c>
      <c r="Z1520" s="33">
        <v>45185</v>
      </c>
    </row>
    <row r="1521" spans="1:26" ht="6.95" customHeight="1" x14ac:dyDescent="0.3">
      <c r="A1521" s="154"/>
      <c r="B1521" s="157"/>
      <c r="C1521" s="158"/>
      <c r="D1521" s="161"/>
      <c r="E1521" s="162"/>
      <c r="F1521" s="163"/>
      <c r="G1521" s="164"/>
      <c r="H1521" s="165"/>
      <c r="I1521" s="164"/>
      <c r="J1521" s="165"/>
      <c r="K1521" s="164"/>
      <c r="L1521" s="165"/>
      <c r="M1521" s="6"/>
      <c r="N1521" s="32"/>
      <c r="Q1521" s="10" t="str">
        <f>+CONCATENATE(E1520,I1520)</f>
        <v>금속관벽체65</v>
      </c>
      <c r="R1521" s="10">
        <f>+J1520</f>
        <v>0.5</v>
      </c>
      <c r="S1521" s="11"/>
      <c r="T1521" s="10" t="str">
        <f>+E1520</f>
        <v>금속관벽체</v>
      </c>
      <c r="U1521" s="19" t="str">
        <f>IFERROR(LEFT(I1520,FIND("*",I1520)-1),"-")</f>
        <v>-</v>
      </c>
      <c r="V1521" s="19" t="str">
        <f>IFERROR(RIGHT(I1520,LEN(I1520)-FIND("*",I1520)),"-")</f>
        <v>-</v>
      </c>
      <c r="W1521" s="20" t="str">
        <f t="shared" ref="W1521:W1528" si="826">IFERROR((U1521+V1521)*2/1000,"-")</f>
        <v>-</v>
      </c>
      <c r="X1521" s="20" t="str">
        <f>IFERROR(W1521*J1520,"-")</f>
        <v>-</v>
      </c>
      <c r="Z1521" s="33">
        <v>45185</v>
      </c>
    </row>
    <row r="1522" spans="1:26" ht="6.95" customHeight="1" x14ac:dyDescent="0.3">
      <c r="A1522" s="154"/>
      <c r="B1522" s="157"/>
      <c r="C1522" s="158"/>
      <c r="D1522" s="161"/>
      <c r="E1522" s="162"/>
      <c r="F1522" s="163"/>
      <c r="G1522" s="164"/>
      <c r="H1522" s="165"/>
      <c r="I1522" s="164"/>
      <c r="J1522" s="165"/>
      <c r="K1522" s="164"/>
      <c r="L1522" s="165"/>
      <c r="M1522" s="6"/>
      <c r="N1522" s="32"/>
      <c r="Q1522" s="10" t="str">
        <f>+CONCATENATE(E1520,K1520)</f>
        <v>금속관벽체40</v>
      </c>
      <c r="R1522" s="10">
        <f>+L1520</f>
        <v>1</v>
      </c>
      <c r="S1522" s="11"/>
      <c r="T1522" s="10" t="str">
        <f>+E1520</f>
        <v>금속관벽체</v>
      </c>
      <c r="U1522" s="19" t="str">
        <f>IFERROR(LEFT(K1520,FIND("*",K1520)-1),"-")</f>
        <v>-</v>
      </c>
      <c r="V1522" s="19" t="str">
        <f>IFERROR(RIGHT(K1520,LEN(K1520)-FIND("*",K1520)),"-")</f>
        <v>-</v>
      </c>
      <c r="W1522" s="20" t="str">
        <f t="shared" si="826"/>
        <v>-</v>
      </c>
      <c r="X1522" s="20" t="str">
        <f>IFERROR(W1522*L1520,"-")</f>
        <v>-</v>
      </c>
      <c r="Z1522" s="33">
        <v>45185</v>
      </c>
    </row>
    <row r="1523" spans="1:26" ht="6.95" customHeight="1" x14ac:dyDescent="0.3">
      <c r="A1523" s="8"/>
      <c r="B1523" s="157"/>
      <c r="C1523" s="158"/>
      <c r="D1523" s="161" t="s">
        <v>39</v>
      </c>
      <c r="E1523" s="162"/>
      <c r="F1523" s="163" t="s">
        <v>40</v>
      </c>
      <c r="G1523" s="164"/>
      <c r="H1523" s="165"/>
      <c r="I1523" s="164"/>
      <c r="J1523" s="165"/>
      <c r="K1523" s="164"/>
      <c r="L1523" s="165"/>
      <c r="M1523" s="6"/>
      <c r="N1523" s="32"/>
      <c r="Q1523" s="10" t="str">
        <f>+CONCATENATE(E1523,G1523)</f>
        <v/>
      </c>
      <c r="R1523" s="10">
        <f>+H1523</f>
        <v>0</v>
      </c>
      <c r="S1523" s="11"/>
      <c r="T1523" s="10">
        <f>+E1523</f>
        <v>0</v>
      </c>
      <c r="U1523" s="19" t="str">
        <f t="shared" ref="U1523" si="827">IFERROR(LEFT(G1523,FIND("*",G1523)-1),"-")</f>
        <v>-</v>
      </c>
      <c r="V1523" s="19" t="str">
        <f t="shared" ref="V1523" si="828">IFERROR(RIGHT(G1523,LEN(G1523)-FIND("*",G1523)),"-")</f>
        <v>-</v>
      </c>
      <c r="W1523" s="20" t="str">
        <f t="shared" si="826"/>
        <v>-</v>
      </c>
      <c r="X1523" s="20" t="str">
        <f>IFERROR(W1523*H1523,"-")</f>
        <v>-</v>
      </c>
      <c r="Z1523" s="33">
        <v>45185</v>
      </c>
    </row>
    <row r="1524" spans="1:26" ht="6.95" customHeight="1" x14ac:dyDescent="0.3">
      <c r="A1524" s="5"/>
      <c r="B1524" s="157"/>
      <c r="C1524" s="158"/>
      <c r="D1524" s="161"/>
      <c r="E1524" s="162"/>
      <c r="F1524" s="163"/>
      <c r="G1524" s="164"/>
      <c r="H1524" s="165"/>
      <c r="I1524" s="164"/>
      <c r="J1524" s="165"/>
      <c r="K1524" s="164"/>
      <c r="L1524" s="165"/>
      <c r="M1524" s="6"/>
      <c r="N1524" s="32"/>
      <c r="Q1524" s="10" t="str">
        <f>+CONCATENATE(E1523,I1523)</f>
        <v/>
      </c>
      <c r="R1524" s="10">
        <f>+J1523</f>
        <v>0</v>
      </c>
      <c r="S1524" s="11"/>
      <c r="T1524" s="10">
        <f>+E1523</f>
        <v>0</v>
      </c>
      <c r="U1524" s="19" t="str">
        <f>IFERROR(LEFT(I1523,FIND("*",I1523)-1),"-")</f>
        <v>-</v>
      </c>
      <c r="V1524" s="19" t="str">
        <f>IFERROR(RIGHT(I1523,LEN(I1523)-FIND("*",I1523)),"-")</f>
        <v>-</v>
      </c>
      <c r="W1524" s="20" t="str">
        <f t="shared" si="826"/>
        <v>-</v>
      </c>
      <c r="X1524" s="20" t="str">
        <f>IFERROR(W1524*J1523,"-")</f>
        <v>-</v>
      </c>
      <c r="Z1524" s="33">
        <v>45185</v>
      </c>
    </row>
    <row r="1525" spans="1:26" ht="6.95" customHeight="1" x14ac:dyDescent="0.3">
      <c r="A1525" s="5"/>
      <c r="B1525" s="157"/>
      <c r="C1525" s="158"/>
      <c r="D1525" s="161"/>
      <c r="E1525" s="162"/>
      <c r="F1525" s="163"/>
      <c r="G1525" s="164"/>
      <c r="H1525" s="165"/>
      <c r="I1525" s="164"/>
      <c r="J1525" s="165"/>
      <c r="K1525" s="164"/>
      <c r="L1525" s="165"/>
      <c r="M1525" s="6"/>
      <c r="N1525" s="32"/>
      <c r="Q1525" s="10" t="str">
        <f>+CONCATENATE(E1523,K1523)</f>
        <v/>
      </c>
      <c r="R1525" s="10">
        <f>+L1523</f>
        <v>0</v>
      </c>
      <c r="S1525" s="11"/>
      <c r="T1525" s="10">
        <f>+E1523</f>
        <v>0</v>
      </c>
      <c r="U1525" s="19" t="str">
        <f>IFERROR(LEFT(K1523,FIND("*",K1523)-1),"-")</f>
        <v>-</v>
      </c>
      <c r="V1525" s="19" t="str">
        <f>IFERROR(RIGHT(K1523,LEN(K1523)-FIND("*",K1523)),"-")</f>
        <v>-</v>
      </c>
      <c r="W1525" s="20" t="str">
        <f t="shared" si="826"/>
        <v>-</v>
      </c>
      <c r="X1525" s="20" t="str">
        <f>IFERROR(W1525*L1523,"-")</f>
        <v>-</v>
      </c>
      <c r="Z1525" s="33">
        <v>45185</v>
      </c>
    </row>
    <row r="1526" spans="1:26" ht="6.95" customHeight="1" x14ac:dyDescent="0.3">
      <c r="A1526" s="8"/>
      <c r="B1526" s="157"/>
      <c r="C1526" s="158"/>
      <c r="D1526" s="161" t="s">
        <v>39</v>
      </c>
      <c r="E1526" s="162"/>
      <c r="F1526" s="163" t="s">
        <v>40</v>
      </c>
      <c r="G1526" s="164"/>
      <c r="H1526" s="165"/>
      <c r="I1526" s="164"/>
      <c r="J1526" s="165"/>
      <c r="K1526" s="164"/>
      <c r="L1526" s="165"/>
      <c r="M1526" s="6"/>
      <c r="N1526" s="32"/>
      <c r="Q1526" s="10" t="str">
        <f>+CONCATENATE(E1526,G1526)</f>
        <v/>
      </c>
      <c r="R1526" s="10">
        <f>+H1526</f>
        <v>0</v>
      </c>
      <c r="S1526" s="11"/>
      <c r="T1526" s="10">
        <f>+E1526</f>
        <v>0</v>
      </c>
      <c r="U1526" s="19" t="str">
        <f t="shared" ref="U1526" si="829">IFERROR(LEFT(G1526,FIND("*",G1526)-1),"-")</f>
        <v>-</v>
      </c>
      <c r="V1526" s="19" t="str">
        <f t="shared" ref="V1526" si="830">IFERROR(RIGHT(G1526,LEN(G1526)-FIND("*",G1526)),"-")</f>
        <v>-</v>
      </c>
      <c r="W1526" s="20" t="str">
        <f t="shared" si="826"/>
        <v>-</v>
      </c>
      <c r="X1526" s="20" t="str">
        <f>IFERROR(W1526*H1526,"-")</f>
        <v>-</v>
      </c>
      <c r="Z1526" s="33">
        <v>45185</v>
      </c>
    </row>
    <row r="1527" spans="1:26" ht="6.95" customHeight="1" x14ac:dyDescent="0.3">
      <c r="A1527" s="5"/>
      <c r="B1527" s="157"/>
      <c r="C1527" s="158"/>
      <c r="D1527" s="161"/>
      <c r="E1527" s="162"/>
      <c r="F1527" s="163"/>
      <c r="G1527" s="164"/>
      <c r="H1527" s="165"/>
      <c r="I1527" s="164"/>
      <c r="J1527" s="165"/>
      <c r="K1527" s="164"/>
      <c r="L1527" s="165"/>
      <c r="M1527" s="6"/>
      <c r="N1527" s="32"/>
      <c r="Q1527" s="10" t="str">
        <f>+CONCATENATE(E1526,I1526)</f>
        <v/>
      </c>
      <c r="R1527" s="10">
        <f>+J1526</f>
        <v>0</v>
      </c>
      <c r="S1527" s="11"/>
      <c r="T1527" s="10">
        <f>+E1526</f>
        <v>0</v>
      </c>
      <c r="U1527" s="19" t="str">
        <f>IFERROR(LEFT(I1526,FIND("*",I1526)-1),"-")</f>
        <v>-</v>
      </c>
      <c r="V1527" s="19" t="str">
        <f>IFERROR(RIGHT(I1526,LEN(I1526)-FIND("*",I1526)),"-")</f>
        <v>-</v>
      </c>
      <c r="W1527" s="20" t="str">
        <f t="shared" si="826"/>
        <v>-</v>
      </c>
      <c r="X1527" s="20" t="str">
        <f t="shared" ref="X1527" si="831">IFERROR(W1527*J1526,"-")</f>
        <v>-</v>
      </c>
      <c r="Z1527" s="33">
        <v>45185</v>
      </c>
    </row>
    <row r="1528" spans="1:26" ht="6.95" customHeight="1" x14ac:dyDescent="0.3">
      <c r="A1528" s="5"/>
      <c r="B1528" s="157"/>
      <c r="C1528" s="158"/>
      <c r="D1528" s="161"/>
      <c r="E1528" s="162"/>
      <c r="F1528" s="163"/>
      <c r="G1528" s="164"/>
      <c r="H1528" s="165"/>
      <c r="I1528" s="164"/>
      <c r="J1528" s="165"/>
      <c r="K1528" s="164"/>
      <c r="L1528" s="165"/>
      <c r="M1528" s="6"/>
      <c r="N1528" s="32"/>
      <c r="Q1528" s="10" t="str">
        <f>+CONCATENATE(E1526,K1526)</f>
        <v/>
      </c>
      <c r="R1528" s="10">
        <f>+L1526</f>
        <v>0</v>
      </c>
      <c r="S1528" s="11"/>
      <c r="T1528" s="10">
        <f>+E1526</f>
        <v>0</v>
      </c>
      <c r="U1528" s="19" t="str">
        <f>IFERROR(LEFT(K1526,FIND("*",K1526)-1),"-")</f>
        <v>-</v>
      </c>
      <c r="V1528" s="19" t="str">
        <f>IFERROR(RIGHT(K1526,LEN(K1526)-FIND("*",K1526)),"-")</f>
        <v>-</v>
      </c>
      <c r="W1528" s="20" t="str">
        <f t="shared" si="826"/>
        <v>-</v>
      </c>
      <c r="X1528" s="20" t="str">
        <f>IFERROR(W1528*L1526,"-")</f>
        <v>-</v>
      </c>
      <c r="Z1528" s="33">
        <v>45185</v>
      </c>
    </row>
    <row r="1529" spans="1:26" ht="21" customHeight="1" thickBot="1" x14ac:dyDescent="0.35">
      <c r="A1529" s="5"/>
      <c r="B1529" s="159"/>
      <c r="C1529" s="160"/>
      <c r="D1529" s="166" t="s">
        <v>43</v>
      </c>
      <c r="E1529" s="167"/>
      <c r="F1529" s="167"/>
      <c r="G1529" s="168" t="s">
        <v>269</v>
      </c>
      <c r="H1529" s="168"/>
      <c r="I1529" s="168"/>
      <c r="J1529" s="168"/>
      <c r="K1529" s="168"/>
      <c r="L1529" s="168"/>
      <c r="M1529" s="7"/>
      <c r="N1529" s="33">
        <v>45185</v>
      </c>
      <c r="Z1529" s="33">
        <v>45185</v>
      </c>
    </row>
    <row r="1530" spans="1:26" ht="9.9499999999999993" customHeight="1" thickBot="1" x14ac:dyDescent="0.35">
      <c r="B1530" s="9"/>
      <c r="C1530" s="109">
        <v>939</v>
      </c>
      <c r="D1530" s="51"/>
      <c r="E1530" s="12"/>
      <c r="F1530" s="51"/>
      <c r="G1530" s="14"/>
      <c r="H1530" s="14"/>
      <c r="I1530" s="14"/>
      <c r="J1530" s="14"/>
      <c r="K1530" s="14"/>
      <c r="L1530" s="14"/>
      <c r="M1530" s="9"/>
      <c r="N1530" s="32"/>
      <c r="U1530" s="18"/>
      <c r="V1530" s="18"/>
      <c r="Z1530" s="85">
        <v>45187</v>
      </c>
    </row>
    <row r="1531" spans="1:26" ht="6.95" customHeight="1" x14ac:dyDescent="0.3">
      <c r="A1531" s="154">
        <f>+A1520+1</f>
        <v>940</v>
      </c>
      <c r="B1531" s="155"/>
      <c r="C1531" s="156"/>
      <c r="D1531" s="161" t="s">
        <v>39</v>
      </c>
      <c r="E1531" s="162" t="s">
        <v>186</v>
      </c>
      <c r="F1531" s="163" t="s">
        <v>40</v>
      </c>
      <c r="G1531" s="164">
        <v>150</v>
      </c>
      <c r="H1531" s="165">
        <v>1</v>
      </c>
      <c r="I1531" s="164"/>
      <c r="J1531" s="165"/>
      <c r="K1531" s="164"/>
      <c r="L1531" s="165"/>
      <c r="M1531" s="6"/>
      <c r="N1531" s="32"/>
      <c r="Q1531" s="10" t="str">
        <f>+CONCATENATE(E1531,G1531)</f>
        <v>금속관벽체150</v>
      </c>
      <c r="R1531" s="10">
        <f>+H1531</f>
        <v>1</v>
      </c>
      <c r="S1531" s="11"/>
      <c r="T1531" s="10" t="str">
        <f>+E1531</f>
        <v>금속관벽체</v>
      </c>
      <c r="U1531" s="19" t="str">
        <f>IFERROR(LEFT(G1531,FIND("*",G1531)-1),"-")</f>
        <v>-</v>
      </c>
      <c r="V1531" s="19" t="str">
        <f>IFERROR(RIGHT(G1531,LEN(G1531)-FIND("*",G1531)),"-")</f>
        <v>-</v>
      </c>
      <c r="W1531" s="20" t="str">
        <f>IFERROR((U1531+V1531)*2/1000,"-")</f>
        <v>-</v>
      </c>
      <c r="X1531" s="20" t="str">
        <f>IFERROR(W1531*H1531,"-")</f>
        <v>-</v>
      </c>
      <c r="Z1531" s="85">
        <v>45187</v>
      </c>
    </row>
    <row r="1532" spans="1:26" ht="6.95" customHeight="1" x14ac:dyDescent="0.3">
      <c r="A1532" s="154"/>
      <c r="B1532" s="157"/>
      <c r="C1532" s="158"/>
      <c r="D1532" s="161"/>
      <c r="E1532" s="162"/>
      <c r="F1532" s="163"/>
      <c r="G1532" s="164"/>
      <c r="H1532" s="165"/>
      <c r="I1532" s="164"/>
      <c r="J1532" s="165"/>
      <c r="K1532" s="164"/>
      <c r="L1532" s="165"/>
      <c r="M1532" s="6"/>
      <c r="N1532" s="32"/>
      <c r="Q1532" s="10" t="str">
        <f>+CONCATENATE(E1531,I1531)</f>
        <v>금속관벽체</v>
      </c>
      <c r="R1532" s="10">
        <f>+J1531</f>
        <v>0</v>
      </c>
      <c r="S1532" s="11"/>
      <c r="T1532" s="10" t="str">
        <f>+E1531</f>
        <v>금속관벽체</v>
      </c>
      <c r="U1532" s="19" t="str">
        <f>IFERROR(LEFT(I1531,FIND("*",I1531)-1),"-")</f>
        <v>-</v>
      </c>
      <c r="V1532" s="19" t="str">
        <f>IFERROR(RIGHT(I1531,LEN(I1531)-FIND("*",I1531)),"-")</f>
        <v>-</v>
      </c>
      <c r="W1532" s="20" t="str">
        <f t="shared" ref="W1532:W1539" si="832">IFERROR((U1532+V1532)*2/1000,"-")</f>
        <v>-</v>
      </c>
      <c r="X1532" s="20" t="str">
        <f>IFERROR(W1532*J1531,"-")</f>
        <v>-</v>
      </c>
      <c r="Z1532" s="85">
        <v>45187</v>
      </c>
    </row>
    <row r="1533" spans="1:26" ht="6.95" customHeight="1" x14ac:dyDescent="0.3">
      <c r="A1533" s="154"/>
      <c r="B1533" s="157"/>
      <c r="C1533" s="158"/>
      <c r="D1533" s="161"/>
      <c r="E1533" s="162"/>
      <c r="F1533" s="163"/>
      <c r="G1533" s="164"/>
      <c r="H1533" s="165"/>
      <c r="I1533" s="164"/>
      <c r="J1533" s="165"/>
      <c r="K1533" s="164"/>
      <c r="L1533" s="165"/>
      <c r="M1533" s="6"/>
      <c r="N1533" s="32"/>
      <c r="Q1533" s="10" t="str">
        <f>+CONCATENATE(E1531,K1531)</f>
        <v>금속관벽체</v>
      </c>
      <c r="R1533" s="10">
        <f>+L1531</f>
        <v>0</v>
      </c>
      <c r="S1533" s="11"/>
      <c r="T1533" s="10" t="str">
        <f>+E1531</f>
        <v>금속관벽체</v>
      </c>
      <c r="U1533" s="19" t="str">
        <f>IFERROR(LEFT(K1531,FIND("*",K1531)-1),"-")</f>
        <v>-</v>
      </c>
      <c r="V1533" s="19" t="str">
        <f>IFERROR(RIGHT(K1531,LEN(K1531)-FIND("*",K1531)),"-")</f>
        <v>-</v>
      </c>
      <c r="W1533" s="20" t="str">
        <f t="shared" si="832"/>
        <v>-</v>
      </c>
      <c r="X1533" s="20" t="str">
        <f>IFERROR(W1533*L1531,"-")</f>
        <v>-</v>
      </c>
      <c r="Z1533" s="85">
        <v>45187</v>
      </c>
    </row>
    <row r="1534" spans="1:26" ht="6.95" customHeight="1" x14ac:dyDescent="0.3">
      <c r="A1534" s="8"/>
      <c r="B1534" s="157"/>
      <c r="C1534" s="158"/>
      <c r="D1534" s="161" t="s">
        <v>39</v>
      </c>
      <c r="E1534" s="162" t="s">
        <v>289</v>
      </c>
      <c r="F1534" s="163" t="s">
        <v>40</v>
      </c>
      <c r="G1534" s="164" t="s">
        <v>191</v>
      </c>
      <c r="H1534" s="165">
        <v>0.5</v>
      </c>
      <c r="I1534" s="164"/>
      <c r="J1534" s="165"/>
      <c r="K1534" s="164"/>
      <c r="L1534" s="165"/>
      <c r="M1534" s="6"/>
      <c r="N1534" s="32"/>
      <c r="Q1534" s="10" t="str">
        <f>+CONCATENATE(E1534,G1534)</f>
        <v>오픈구800*400</v>
      </c>
      <c r="R1534" s="10">
        <f>+H1534</f>
        <v>0.5</v>
      </c>
      <c r="S1534" s="11"/>
      <c r="T1534" s="10" t="str">
        <f>+E1534</f>
        <v>오픈구</v>
      </c>
      <c r="U1534" s="19" t="str">
        <f t="shared" ref="U1534" si="833">IFERROR(LEFT(G1534,FIND("*",G1534)-1),"-")</f>
        <v>800</v>
      </c>
      <c r="V1534" s="19" t="str">
        <f t="shared" ref="V1534" si="834">IFERROR(RIGHT(G1534,LEN(G1534)-FIND("*",G1534)),"-")</f>
        <v>400</v>
      </c>
      <c r="W1534" s="20">
        <f t="shared" si="832"/>
        <v>2.4</v>
      </c>
      <c r="X1534" s="20">
        <f>IFERROR(W1534*H1534,"-")</f>
        <v>1.2</v>
      </c>
      <c r="Z1534" s="85">
        <v>45187</v>
      </c>
    </row>
    <row r="1535" spans="1:26" ht="6.95" customHeight="1" x14ac:dyDescent="0.3">
      <c r="A1535" s="5"/>
      <c r="B1535" s="157"/>
      <c r="C1535" s="158"/>
      <c r="D1535" s="161"/>
      <c r="E1535" s="162"/>
      <c r="F1535" s="163"/>
      <c r="G1535" s="164"/>
      <c r="H1535" s="165"/>
      <c r="I1535" s="164"/>
      <c r="J1535" s="165"/>
      <c r="K1535" s="164"/>
      <c r="L1535" s="165"/>
      <c r="M1535" s="6"/>
      <c r="N1535" s="32"/>
      <c r="Q1535" s="10" t="str">
        <f>+CONCATENATE(E1534,I1534)</f>
        <v>오픈구</v>
      </c>
      <c r="R1535" s="10">
        <f>+J1534</f>
        <v>0</v>
      </c>
      <c r="S1535" s="11"/>
      <c r="T1535" s="10" t="str">
        <f>+E1534</f>
        <v>오픈구</v>
      </c>
      <c r="U1535" s="19" t="str">
        <f>IFERROR(LEFT(I1534,FIND("*",I1534)-1),"-")</f>
        <v>-</v>
      </c>
      <c r="V1535" s="19" t="str">
        <f>IFERROR(RIGHT(I1534,LEN(I1534)-FIND("*",I1534)),"-")</f>
        <v>-</v>
      </c>
      <c r="W1535" s="20" t="str">
        <f t="shared" si="832"/>
        <v>-</v>
      </c>
      <c r="X1535" s="20" t="str">
        <f>IFERROR(W1535*J1534,"-")</f>
        <v>-</v>
      </c>
      <c r="Z1535" s="85">
        <v>45187</v>
      </c>
    </row>
    <row r="1536" spans="1:26" ht="6.95" customHeight="1" x14ac:dyDescent="0.3">
      <c r="A1536" s="5"/>
      <c r="B1536" s="157"/>
      <c r="C1536" s="158"/>
      <c r="D1536" s="161"/>
      <c r="E1536" s="162"/>
      <c r="F1536" s="163"/>
      <c r="G1536" s="164"/>
      <c r="H1536" s="165"/>
      <c r="I1536" s="164"/>
      <c r="J1536" s="165"/>
      <c r="K1536" s="164"/>
      <c r="L1536" s="165"/>
      <c r="M1536" s="6"/>
      <c r="N1536" s="32"/>
      <c r="Q1536" s="10" t="str">
        <f>+CONCATENATE(E1534,K1534)</f>
        <v>오픈구</v>
      </c>
      <c r="R1536" s="10">
        <f>+L1534</f>
        <v>0</v>
      </c>
      <c r="S1536" s="11"/>
      <c r="T1536" s="10" t="str">
        <f>+E1534</f>
        <v>오픈구</v>
      </c>
      <c r="U1536" s="19" t="str">
        <f>IFERROR(LEFT(K1534,FIND("*",K1534)-1),"-")</f>
        <v>-</v>
      </c>
      <c r="V1536" s="19" t="str">
        <f>IFERROR(RIGHT(K1534,LEN(K1534)-FIND("*",K1534)),"-")</f>
        <v>-</v>
      </c>
      <c r="W1536" s="20" t="str">
        <f t="shared" si="832"/>
        <v>-</v>
      </c>
      <c r="X1536" s="20" t="str">
        <f>IFERROR(W1536*L1534,"-")</f>
        <v>-</v>
      </c>
      <c r="Z1536" s="85">
        <v>45187</v>
      </c>
    </row>
    <row r="1537" spans="1:26" ht="6.95" customHeight="1" x14ac:dyDescent="0.3">
      <c r="A1537" s="8"/>
      <c r="B1537" s="157"/>
      <c r="C1537" s="158"/>
      <c r="D1537" s="161" t="s">
        <v>39</v>
      </c>
      <c r="E1537" s="162"/>
      <c r="F1537" s="163" t="s">
        <v>40</v>
      </c>
      <c r="G1537" s="164"/>
      <c r="H1537" s="165"/>
      <c r="I1537" s="164"/>
      <c r="J1537" s="165"/>
      <c r="K1537" s="164"/>
      <c r="L1537" s="165"/>
      <c r="M1537" s="6"/>
      <c r="N1537" s="32"/>
      <c r="Q1537" s="10" t="str">
        <f>+CONCATENATE(E1537,G1537)</f>
        <v/>
      </c>
      <c r="R1537" s="10">
        <f>+H1537</f>
        <v>0</v>
      </c>
      <c r="S1537" s="11"/>
      <c r="T1537" s="10">
        <f>+E1537</f>
        <v>0</v>
      </c>
      <c r="U1537" s="19" t="str">
        <f t="shared" ref="U1537" si="835">IFERROR(LEFT(G1537,FIND("*",G1537)-1),"-")</f>
        <v>-</v>
      </c>
      <c r="V1537" s="19" t="str">
        <f t="shared" ref="V1537" si="836">IFERROR(RIGHT(G1537,LEN(G1537)-FIND("*",G1537)),"-")</f>
        <v>-</v>
      </c>
      <c r="W1537" s="20" t="str">
        <f t="shared" si="832"/>
        <v>-</v>
      </c>
      <c r="X1537" s="20" t="str">
        <f>IFERROR(W1537*H1537,"-")</f>
        <v>-</v>
      </c>
      <c r="Z1537" s="85">
        <v>45187</v>
      </c>
    </row>
    <row r="1538" spans="1:26" ht="6.95" customHeight="1" x14ac:dyDescent="0.3">
      <c r="A1538" s="5"/>
      <c r="B1538" s="157"/>
      <c r="C1538" s="158"/>
      <c r="D1538" s="161"/>
      <c r="E1538" s="162"/>
      <c r="F1538" s="163"/>
      <c r="G1538" s="164"/>
      <c r="H1538" s="165"/>
      <c r="I1538" s="164"/>
      <c r="J1538" s="165"/>
      <c r="K1538" s="164"/>
      <c r="L1538" s="165"/>
      <c r="M1538" s="6"/>
      <c r="N1538" s="32"/>
      <c r="Q1538" s="10" t="str">
        <f>+CONCATENATE(E1537,I1537)</f>
        <v/>
      </c>
      <c r="R1538" s="10">
        <f>+J1537</f>
        <v>0</v>
      </c>
      <c r="S1538" s="11"/>
      <c r="T1538" s="10">
        <f>+E1537</f>
        <v>0</v>
      </c>
      <c r="U1538" s="19" t="str">
        <f>IFERROR(LEFT(I1537,FIND("*",I1537)-1),"-")</f>
        <v>-</v>
      </c>
      <c r="V1538" s="19" t="str">
        <f>IFERROR(RIGHT(I1537,LEN(I1537)-FIND("*",I1537)),"-")</f>
        <v>-</v>
      </c>
      <c r="W1538" s="20" t="str">
        <f t="shared" si="832"/>
        <v>-</v>
      </c>
      <c r="X1538" s="20" t="str">
        <f t="shared" ref="X1538" si="837">IFERROR(W1538*J1537,"-")</f>
        <v>-</v>
      </c>
      <c r="Z1538" s="85">
        <v>45187</v>
      </c>
    </row>
    <row r="1539" spans="1:26" ht="6.95" customHeight="1" x14ac:dyDescent="0.3">
      <c r="A1539" s="5"/>
      <c r="B1539" s="157"/>
      <c r="C1539" s="158"/>
      <c r="D1539" s="161"/>
      <c r="E1539" s="162"/>
      <c r="F1539" s="163"/>
      <c r="G1539" s="164"/>
      <c r="H1539" s="165"/>
      <c r="I1539" s="164"/>
      <c r="J1539" s="165"/>
      <c r="K1539" s="164"/>
      <c r="L1539" s="165"/>
      <c r="M1539" s="6"/>
      <c r="N1539" s="32"/>
      <c r="Q1539" s="10" t="str">
        <f>+CONCATENATE(E1537,K1537)</f>
        <v/>
      </c>
      <c r="R1539" s="10">
        <f>+L1537</f>
        <v>0</v>
      </c>
      <c r="S1539" s="11"/>
      <c r="T1539" s="10">
        <f>+E1537</f>
        <v>0</v>
      </c>
      <c r="U1539" s="19" t="str">
        <f>IFERROR(LEFT(K1537,FIND("*",K1537)-1),"-")</f>
        <v>-</v>
      </c>
      <c r="V1539" s="19" t="str">
        <f>IFERROR(RIGHT(K1537,LEN(K1537)-FIND("*",K1537)),"-")</f>
        <v>-</v>
      </c>
      <c r="W1539" s="20" t="str">
        <f t="shared" si="832"/>
        <v>-</v>
      </c>
      <c r="X1539" s="20" t="str">
        <f>IFERROR(W1539*L1537,"-")</f>
        <v>-</v>
      </c>
      <c r="Z1539" s="85">
        <v>45187</v>
      </c>
    </row>
    <row r="1540" spans="1:26" ht="21" customHeight="1" thickBot="1" x14ac:dyDescent="0.35">
      <c r="A1540" s="5"/>
      <c r="B1540" s="159"/>
      <c r="C1540" s="160"/>
      <c r="D1540" s="166" t="s">
        <v>43</v>
      </c>
      <c r="E1540" s="167"/>
      <c r="F1540" s="167"/>
      <c r="G1540" s="168" t="s">
        <v>288</v>
      </c>
      <c r="H1540" s="168"/>
      <c r="I1540" s="168"/>
      <c r="J1540" s="168"/>
      <c r="K1540" s="168"/>
      <c r="L1540" s="168"/>
      <c r="M1540" s="7"/>
      <c r="N1540" s="32"/>
      <c r="Z1540" s="85">
        <v>45187</v>
      </c>
    </row>
    <row r="1541" spans="1:26" ht="9.9499999999999993" customHeight="1" thickBot="1" x14ac:dyDescent="0.35">
      <c r="B1541" s="9"/>
      <c r="C1541" s="109">
        <v>940</v>
      </c>
      <c r="D1541" s="51"/>
      <c r="E1541" s="12"/>
      <c r="F1541" s="51"/>
      <c r="G1541" s="14"/>
      <c r="H1541" s="14"/>
      <c r="I1541" s="14"/>
      <c r="J1541" s="14"/>
      <c r="K1541" s="14"/>
      <c r="L1541" s="14"/>
      <c r="M1541" s="9"/>
      <c r="N1541" s="32"/>
      <c r="U1541" s="18"/>
      <c r="V1541" s="18"/>
      <c r="Z1541" s="85">
        <v>45187</v>
      </c>
    </row>
    <row r="1542" spans="1:26" ht="6.95" customHeight="1" x14ac:dyDescent="0.3">
      <c r="A1542" s="154">
        <f>+A1531+1</f>
        <v>941</v>
      </c>
      <c r="B1542" s="155"/>
      <c r="C1542" s="156"/>
      <c r="D1542" s="161" t="s">
        <v>39</v>
      </c>
      <c r="E1542" s="162" t="s">
        <v>115</v>
      </c>
      <c r="F1542" s="163" t="s">
        <v>40</v>
      </c>
      <c r="G1542" s="164" t="s">
        <v>290</v>
      </c>
      <c r="H1542" s="165">
        <v>0.5</v>
      </c>
      <c r="I1542" s="164"/>
      <c r="J1542" s="165"/>
      <c r="K1542" s="164"/>
      <c r="L1542" s="165"/>
      <c r="M1542" s="6"/>
      <c r="N1542" s="32"/>
      <c r="Q1542" s="10" t="str">
        <f>+CONCATENATE(E1542,G1542)</f>
        <v>무보온덕트벽체400*200</v>
      </c>
      <c r="R1542" s="10">
        <f>+H1542</f>
        <v>0.5</v>
      </c>
      <c r="S1542" s="11"/>
      <c r="T1542" s="10" t="str">
        <f>+E1542</f>
        <v>무보온덕트벽체</v>
      </c>
      <c r="U1542" s="19" t="str">
        <f>IFERROR(LEFT(G1542,FIND("*",G1542)-1),"-")</f>
        <v>400</v>
      </c>
      <c r="V1542" s="19" t="str">
        <f>IFERROR(RIGHT(G1542,LEN(G1542)-FIND("*",G1542)),"-")</f>
        <v>200</v>
      </c>
      <c r="W1542" s="20">
        <f>IFERROR((U1542+V1542)*2/1000,"-")</f>
        <v>1.2</v>
      </c>
      <c r="X1542" s="20">
        <f>IFERROR(W1542*H1542,"-")</f>
        <v>0.6</v>
      </c>
      <c r="Z1542" s="85">
        <v>45187</v>
      </c>
    </row>
    <row r="1543" spans="1:26" ht="6.95" customHeight="1" x14ac:dyDescent="0.3">
      <c r="A1543" s="154"/>
      <c r="B1543" s="157"/>
      <c r="C1543" s="158"/>
      <c r="D1543" s="161"/>
      <c r="E1543" s="162"/>
      <c r="F1543" s="163"/>
      <c r="G1543" s="164"/>
      <c r="H1543" s="165"/>
      <c r="I1543" s="164"/>
      <c r="J1543" s="165"/>
      <c r="K1543" s="164"/>
      <c r="L1543" s="165"/>
      <c r="M1543" s="6"/>
      <c r="N1543" s="32"/>
      <c r="Q1543" s="10" t="str">
        <f>+CONCATENATE(E1542,I1542)</f>
        <v>무보온덕트벽체</v>
      </c>
      <c r="R1543" s="10">
        <f>+J1542</f>
        <v>0</v>
      </c>
      <c r="S1543" s="11"/>
      <c r="T1543" s="10" t="str">
        <f>+E1542</f>
        <v>무보온덕트벽체</v>
      </c>
      <c r="U1543" s="19" t="str">
        <f>IFERROR(LEFT(I1542,FIND("*",I1542)-1),"-")</f>
        <v>-</v>
      </c>
      <c r="V1543" s="19" t="str">
        <f>IFERROR(RIGHT(I1542,LEN(I1542)-FIND("*",I1542)),"-")</f>
        <v>-</v>
      </c>
      <c r="W1543" s="20" t="str">
        <f t="shared" ref="W1543:W1550" si="838">IFERROR((U1543+V1543)*2/1000,"-")</f>
        <v>-</v>
      </c>
      <c r="X1543" s="20" t="str">
        <f>IFERROR(W1543*J1542,"-")</f>
        <v>-</v>
      </c>
      <c r="Z1543" s="85">
        <v>45187</v>
      </c>
    </row>
    <row r="1544" spans="1:26" ht="6.95" customHeight="1" x14ac:dyDescent="0.3">
      <c r="A1544" s="154"/>
      <c r="B1544" s="157"/>
      <c r="C1544" s="158"/>
      <c r="D1544" s="161"/>
      <c r="E1544" s="162"/>
      <c r="F1544" s="163"/>
      <c r="G1544" s="164"/>
      <c r="H1544" s="165"/>
      <c r="I1544" s="164"/>
      <c r="J1544" s="165"/>
      <c r="K1544" s="164"/>
      <c r="L1544" s="165"/>
      <c r="M1544" s="6"/>
      <c r="N1544" s="32"/>
      <c r="Q1544" s="10" t="str">
        <f>+CONCATENATE(E1542,K1542)</f>
        <v>무보온덕트벽체</v>
      </c>
      <c r="R1544" s="10">
        <f>+L1542</f>
        <v>0</v>
      </c>
      <c r="S1544" s="11"/>
      <c r="T1544" s="10" t="str">
        <f>+E1542</f>
        <v>무보온덕트벽체</v>
      </c>
      <c r="U1544" s="19" t="str">
        <f>IFERROR(LEFT(K1542,FIND("*",K1542)-1),"-")</f>
        <v>-</v>
      </c>
      <c r="V1544" s="19" t="str">
        <f>IFERROR(RIGHT(K1542,LEN(K1542)-FIND("*",K1542)),"-")</f>
        <v>-</v>
      </c>
      <c r="W1544" s="20" t="str">
        <f t="shared" si="838"/>
        <v>-</v>
      </c>
      <c r="X1544" s="20" t="str">
        <f>IFERROR(W1544*L1542,"-")</f>
        <v>-</v>
      </c>
      <c r="Z1544" s="85">
        <v>45187</v>
      </c>
    </row>
    <row r="1545" spans="1:26" ht="6.95" customHeight="1" x14ac:dyDescent="0.3">
      <c r="A1545" s="8"/>
      <c r="B1545" s="157"/>
      <c r="C1545" s="158"/>
      <c r="D1545" s="161" t="s">
        <v>39</v>
      </c>
      <c r="E1545" s="162" t="s">
        <v>188</v>
      </c>
      <c r="F1545" s="163" t="s">
        <v>40</v>
      </c>
      <c r="G1545" s="164" t="s">
        <v>290</v>
      </c>
      <c r="H1545" s="165">
        <v>0.5</v>
      </c>
      <c r="I1545" s="164"/>
      <c r="J1545" s="165"/>
      <c r="K1545" s="164"/>
      <c r="L1545" s="165"/>
      <c r="M1545" s="6"/>
      <c r="N1545" s="32"/>
      <c r="Q1545" s="10" t="str">
        <f>+CONCATENATE(E1545,G1545)</f>
        <v>차열재마감400*200</v>
      </c>
      <c r="R1545" s="10">
        <f>+H1545</f>
        <v>0.5</v>
      </c>
      <c r="S1545" s="11"/>
      <c r="T1545" s="10" t="str">
        <f>+E1545</f>
        <v>차열재마감</v>
      </c>
      <c r="U1545" s="19" t="str">
        <f t="shared" ref="U1545" si="839">IFERROR(LEFT(G1545,FIND("*",G1545)-1),"-")</f>
        <v>400</v>
      </c>
      <c r="V1545" s="19" t="str">
        <f t="shared" ref="V1545" si="840">IFERROR(RIGHT(G1545,LEN(G1545)-FIND("*",G1545)),"-")</f>
        <v>200</v>
      </c>
      <c r="W1545" s="20">
        <f t="shared" si="838"/>
        <v>1.2</v>
      </c>
      <c r="X1545" s="20">
        <f>IFERROR(W1545*H1545,"-")</f>
        <v>0.6</v>
      </c>
      <c r="Z1545" s="85">
        <v>45187</v>
      </c>
    </row>
    <row r="1546" spans="1:26" ht="6.95" customHeight="1" x14ac:dyDescent="0.3">
      <c r="A1546" s="5"/>
      <c r="B1546" s="157"/>
      <c r="C1546" s="158"/>
      <c r="D1546" s="161"/>
      <c r="E1546" s="162"/>
      <c r="F1546" s="163"/>
      <c r="G1546" s="164"/>
      <c r="H1546" s="165"/>
      <c r="I1546" s="164"/>
      <c r="J1546" s="165"/>
      <c r="K1546" s="164"/>
      <c r="L1546" s="165"/>
      <c r="M1546" s="6"/>
      <c r="N1546" s="32"/>
      <c r="Q1546" s="10" t="str">
        <f>+CONCATENATE(E1545,I1545)</f>
        <v>차열재마감</v>
      </c>
      <c r="R1546" s="10">
        <f>+J1545</f>
        <v>0</v>
      </c>
      <c r="S1546" s="11"/>
      <c r="T1546" s="10" t="str">
        <f>+E1545</f>
        <v>차열재마감</v>
      </c>
      <c r="U1546" s="19" t="str">
        <f>IFERROR(LEFT(I1545,FIND("*",I1545)-1),"-")</f>
        <v>-</v>
      </c>
      <c r="V1546" s="19" t="str">
        <f>IFERROR(RIGHT(I1545,LEN(I1545)-FIND("*",I1545)),"-")</f>
        <v>-</v>
      </c>
      <c r="W1546" s="20" t="str">
        <f t="shared" si="838"/>
        <v>-</v>
      </c>
      <c r="X1546" s="20" t="str">
        <f>IFERROR(W1546*J1545,"-")</f>
        <v>-</v>
      </c>
      <c r="Z1546" s="85">
        <v>45187</v>
      </c>
    </row>
    <row r="1547" spans="1:26" ht="6.95" customHeight="1" x14ac:dyDescent="0.3">
      <c r="A1547" s="5"/>
      <c r="B1547" s="157"/>
      <c r="C1547" s="158"/>
      <c r="D1547" s="161"/>
      <c r="E1547" s="162"/>
      <c r="F1547" s="163"/>
      <c r="G1547" s="164"/>
      <c r="H1547" s="165"/>
      <c r="I1547" s="164"/>
      <c r="J1547" s="165"/>
      <c r="K1547" s="164"/>
      <c r="L1547" s="165"/>
      <c r="M1547" s="6"/>
      <c r="N1547" s="32"/>
      <c r="Q1547" s="10" t="str">
        <f>+CONCATENATE(E1545,K1545)</f>
        <v>차열재마감</v>
      </c>
      <c r="R1547" s="10">
        <f>+L1545</f>
        <v>0</v>
      </c>
      <c r="S1547" s="11"/>
      <c r="T1547" s="10" t="str">
        <f>+E1545</f>
        <v>차열재마감</v>
      </c>
      <c r="U1547" s="19" t="str">
        <f>IFERROR(LEFT(K1545,FIND("*",K1545)-1),"-")</f>
        <v>-</v>
      </c>
      <c r="V1547" s="19" t="str">
        <f>IFERROR(RIGHT(K1545,LEN(K1545)-FIND("*",K1545)),"-")</f>
        <v>-</v>
      </c>
      <c r="W1547" s="20" t="str">
        <f t="shared" si="838"/>
        <v>-</v>
      </c>
      <c r="X1547" s="20" t="str">
        <f>IFERROR(W1547*L1545,"-")</f>
        <v>-</v>
      </c>
      <c r="Z1547" s="85">
        <v>45187</v>
      </c>
    </row>
    <row r="1548" spans="1:26" ht="6.95" customHeight="1" x14ac:dyDescent="0.3">
      <c r="A1548" s="8"/>
      <c r="B1548" s="157"/>
      <c r="C1548" s="158"/>
      <c r="D1548" s="161" t="s">
        <v>39</v>
      </c>
      <c r="E1548" s="162"/>
      <c r="F1548" s="163" t="s">
        <v>40</v>
      </c>
      <c r="G1548" s="164"/>
      <c r="H1548" s="165"/>
      <c r="I1548" s="164"/>
      <c r="J1548" s="165"/>
      <c r="K1548" s="164"/>
      <c r="L1548" s="165"/>
      <c r="M1548" s="6"/>
      <c r="N1548" s="32"/>
      <c r="Q1548" s="10" t="str">
        <f>+CONCATENATE(E1548,G1548)</f>
        <v/>
      </c>
      <c r="R1548" s="10">
        <f>+H1548</f>
        <v>0</v>
      </c>
      <c r="S1548" s="11"/>
      <c r="T1548" s="10">
        <f>+E1548</f>
        <v>0</v>
      </c>
      <c r="U1548" s="19" t="str">
        <f t="shared" ref="U1548" si="841">IFERROR(LEFT(G1548,FIND("*",G1548)-1),"-")</f>
        <v>-</v>
      </c>
      <c r="V1548" s="19" t="str">
        <f t="shared" ref="V1548" si="842">IFERROR(RIGHT(G1548,LEN(G1548)-FIND("*",G1548)),"-")</f>
        <v>-</v>
      </c>
      <c r="W1548" s="20" t="str">
        <f t="shared" si="838"/>
        <v>-</v>
      </c>
      <c r="X1548" s="20" t="str">
        <f>IFERROR(W1548*H1548,"-")</f>
        <v>-</v>
      </c>
      <c r="Z1548" s="85">
        <v>45187</v>
      </c>
    </row>
    <row r="1549" spans="1:26" ht="6.95" customHeight="1" x14ac:dyDescent="0.3">
      <c r="A1549" s="5"/>
      <c r="B1549" s="157"/>
      <c r="C1549" s="158"/>
      <c r="D1549" s="161"/>
      <c r="E1549" s="162"/>
      <c r="F1549" s="163"/>
      <c r="G1549" s="164"/>
      <c r="H1549" s="165"/>
      <c r="I1549" s="164"/>
      <c r="J1549" s="165"/>
      <c r="K1549" s="164"/>
      <c r="L1549" s="165"/>
      <c r="M1549" s="6"/>
      <c r="N1549" s="32"/>
      <c r="Q1549" s="10" t="str">
        <f>+CONCATENATE(E1548,I1548)</f>
        <v/>
      </c>
      <c r="R1549" s="10">
        <f>+J1548</f>
        <v>0</v>
      </c>
      <c r="S1549" s="11"/>
      <c r="T1549" s="10">
        <f>+E1548</f>
        <v>0</v>
      </c>
      <c r="U1549" s="19" t="str">
        <f>IFERROR(LEFT(I1548,FIND("*",I1548)-1),"-")</f>
        <v>-</v>
      </c>
      <c r="V1549" s="19" t="str">
        <f>IFERROR(RIGHT(I1548,LEN(I1548)-FIND("*",I1548)),"-")</f>
        <v>-</v>
      </c>
      <c r="W1549" s="20" t="str">
        <f t="shared" si="838"/>
        <v>-</v>
      </c>
      <c r="X1549" s="20" t="str">
        <f t="shared" ref="X1549" si="843">IFERROR(W1549*J1548,"-")</f>
        <v>-</v>
      </c>
      <c r="Z1549" s="85">
        <v>45187</v>
      </c>
    </row>
    <row r="1550" spans="1:26" ht="6.95" customHeight="1" x14ac:dyDescent="0.3">
      <c r="A1550" s="5"/>
      <c r="B1550" s="157"/>
      <c r="C1550" s="158"/>
      <c r="D1550" s="161"/>
      <c r="E1550" s="162"/>
      <c r="F1550" s="163"/>
      <c r="G1550" s="164"/>
      <c r="H1550" s="165"/>
      <c r="I1550" s="164"/>
      <c r="J1550" s="165"/>
      <c r="K1550" s="164"/>
      <c r="L1550" s="165"/>
      <c r="M1550" s="6"/>
      <c r="N1550" s="32"/>
      <c r="Q1550" s="10" t="str">
        <f>+CONCATENATE(E1548,K1548)</f>
        <v/>
      </c>
      <c r="R1550" s="10">
        <f>+L1548</f>
        <v>0</v>
      </c>
      <c r="S1550" s="11"/>
      <c r="T1550" s="10">
        <f>+E1548</f>
        <v>0</v>
      </c>
      <c r="U1550" s="19" t="str">
        <f>IFERROR(LEFT(K1548,FIND("*",K1548)-1),"-")</f>
        <v>-</v>
      </c>
      <c r="V1550" s="19" t="str">
        <f>IFERROR(RIGHT(K1548,LEN(K1548)-FIND("*",K1548)),"-")</f>
        <v>-</v>
      </c>
      <c r="W1550" s="20" t="str">
        <f t="shared" si="838"/>
        <v>-</v>
      </c>
      <c r="X1550" s="20" t="str">
        <f>IFERROR(W1550*L1548,"-")</f>
        <v>-</v>
      </c>
      <c r="Z1550" s="85">
        <v>45187</v>
      </c>
    </row>
    <row r="1551" spans="1:26" ht="21" customHeight="1" thickBot="1" x14ac:dyDescent="0.35">
      <c r="A1551" s="5"/>
      <c r="B1551" s="159"/>
      <c r="C1551" s="160"/>
      <c r="D1551" s="166" t="s">
        <v>43</v>
      </c>
      <c r="E1551" s="167"/>
      <c r="F1551" s="167"/>
      <c r="G1551" s="168" t="s">
        <v>208</v>
      </c>
      <c r="H1551" s="168"/>
      <c r="I1551" s="168"/>
      <c r="J1551" s="168"/>
      <c r="K1551" s="168"/>
      <c r="L1551" s="168"/>
      <c r="M1551" s="7"/>
      <c r="N1551" s="32"/>
      <c r="Z1551" s="85">
        <v>45187</v>
      </c>
    </row>
    <row r="1552" spans="1:26" ht="9.9499999999999993" customHeight="1" thickBot="1" x14ac:dyDescent="0.35">
      <c r="B1552" s="9"/>
      <c r="C1552" s="109">
        <v>941</v>
      </c>
      <c r="D1552" s="51"/>
      <c r="E1552" s="12"/>
      <c r="F1552" s="51"/>
      <c r="G1552" s="14"/>
      <c r="H1552" s="14"/>
      <c r="I1552" s="14"/>
      <c r="J1552" s="14"/>
      <c r="K1552" s="14"/>
      <c r="L1552" s="14"/>
      <c r="M1552" s="9"/>
      <c r="N1552" s="32"/>
      <c r="U1552" s="18"/>
      <c r="V1552" s="18"/>
      <c r="Z1552" s="85">
        <v>45187</v>
      </c>
    </row>
    <row r="1553" spans="1:26" ht="6.95" customHeight="1" x14ac:dyDescent="0.3">
      <c r="A1553" s="154">
        <f>+A1542+1</f>
        <v>942</v>
      </c>
      <c r="B1553" s="155"/>
      <c r="C1553" s="156"/>
      <c r="D1553" s="161" t="s">
        <v>39</v>
      </c>
      <c r="E1553" s="162" t="s">
        <v>111</v>
      </c>
      <c r="F1553" s="163" t="s">
        <v>40</v>
      </c>
      <c r="G1553" s="164" t="s">
        <v>197</v>
      </c>
      <c r="H1553" s="165">
        <v>1</v>
      </c>
      <c r="I1553" s="164"/>
      <c r="J1553" s="165"/>
      <c r="K1553" s="164"/>
      <c r="L1553" s="165"/>
      <c r="M1553" s="6"/>
      <c r="N1553" s="32"/>
      <c r="Q1553" s="10" t="str">
        <f>+CONCATENATE(E1553,G1553)</f>
        <v>보온덕트벽체2000*600</v>
      </c>
      <c r="R1553" s="10">
        <f>+H1553</f>
        <v>1</v>
      </c>
      <c r="S1553" s="11"/>
      <c r="T1553" s="10" t="str">
        <f>+E1553</f>
        <v>보온덕트벽체</v>
      </c>
      <c r="U1553" s="19" t="str">
        <f>IFERROR(LEFT(G1553,FIND("*",G1553)-1),"-")</f>
        <v>2000</v>
      </c>
      <c r="V1553" s="19" t="str">
        <f>IFERROR(RIGHT(G1553,LEN(G1553)-FIND("*",G1553)),"-")</f>
        <v>600</v>
      </c>
      <c r="W1553" s="20">
        <f>IFERROR((U1553+V1553)*2/1000,"-")</f>
        <v>5.2</v>
      </c>
      <c r="X1553" s="20">
        <f>IFERROR(W1553*H1553,"-")</f>
        <v>5.2</v>
      </c>
      <c r="Z1553" s="85">
        <v>45187</v>
      </c>
    </row>
    <row r="1554" spans="1:26" ht="6.95" customHeight="1" x14ac:dyDescent="0.3">
      <c r="A1554" s="154"/>
      <c r="B1554" s="157"/>
      <c r="C1554" s="158"/>
      <c r="D1554" s="161"/>
      <c r="E1554" s="162"/>
      <c r="F1554" s="163"/>
      <c r="G1554" s="164"/>
      <c r="H1554" s="165"/>
      <c r="I1554" s="164"/>
      <c r="J1554" s="165"/>
      <c r="K1554" s="164"/>
      <c r="L1554" s="165"/>
      <c r="M1554" s="6"/>
      <c r="N1554" s="32"/>
      <c r="Q1554" s="10" t="str">
        <f>+CONCATENATE(E1553,I1553)</f>
        <v>보온덕트벽체</v>
      </c>
      <c r="R1554" s="10">
        <f>+J1553</f>
        <v>0</v>
      </c>
      <c r="S1554" s="11"/>
      <c r="T1554" s="10" t="str">
        <f>+E1553</f>
        <v>보온덕트벽체</v>
      </c>
      <c r="U1554" s="19" t="str">
        <f>IFERROR(LEFT(I1553,FIND("*",I1553)-1),"-")</f>
        <v>-</v>
      </c>
      <c r="V1554" s="19" t="str">
        <f>IFERROR(RIGHT(I1553,LEN(I1553)-FIND("*",I1553)),"-")</f>
        <v>-</v>
      </c>
      <c r="W1554" s="20" t="str">
        <f t="shared" ref="W1554:W1561" si="844">IFERROR((U1554+V1554)*2/1000,"-")</f>
        <v>-</v>
      </c>
      <c r="X1554" s="20" t="str">
        <f>IFERROR(W1554*J1553,"-")</f>
        <v>-</v>
      </c>
      <c r="Z1554" s="85">
        <v>45187</v>
      </c>
    </row>
    <row r="1555" spans="1:26" ht="6.95" customHeight="1" x14ac:dyDescent="0.3">
      <c r="A1555" s="154"/>
      <c r="B1555" s="157"/>
      <c r="C1555" s="158"/>
      <c r="D1555" s="161"/>
      <c r="E1555" s="162"/>
      <c r="F1555" s="163"/>
      <c r="G1555" s="164"/>
      <c r="H1555" s="165"/>
      <c r="I1555" s="164"/>
      <c r="J1555" s="165"/>
      <c r="K1555" s="164"/>
      <c r="L1555" s="165"/>
      <c r="M1555" s="6"/>
      <c r="N1555" s="32"/>
      <c r="Q1555" s="10" t="str">
        <f>+CONCATENATE(E1553,K1553)</f>
        <v>보온덕트벽체</v>
      </c>
      <c r="R1555" s="10">
        <f>+L1553</f>
        <v>0</v>
      </c>
      <c r="S1555" s="11"/>
      <c r="T1555" s="10" t="str">
        <f>+E1553</f>
        <v>보온덕트벽체</v>
      </c>
      <c r="U1555" s="19" t="str">
        <f>IFERROR(LEFT(K1553,FIND("*",K1553)-1),"-")</f>
        <v>-</v>
      </c>
      <c r="V1555" s="19" t="str">
        <f>IFERROR(RIGHT(K1553,LEN(K1553)-FIND("*",K1553)),"-")</f>
        <v>-</v>
      </c>
      <c r="W1555" s="20" t="str">
        <f t="shared" si="844"/>
        <v>-</v>
      </c>
      <c r="X1555" s="20" t="str">
        <f>IFERROR(W1555*L1553,"-")</f>
        <v>-</v>
      </c>
      <c r="Z1555" s="85">
        <v>45187</v>
      </c>
    </row>
    <row r="1556" spans="1:26" ht="6.95" customHeight="1" x14ac:dyDescent="0.3">
      <c r="A1556" s="8"/>
      <c r="B1556" s="157"/>
      <c r="C1556" s="158"/>
      <c r="D1556" s="161" t="s">
        <v>39</v>
      </c>
      <c r="E1556" s="162" t="s">
        <v>188</v>
      </c>
      <c r="F1556" s="163" t="s">
        <v>40</v>
      </c>
      <c r="G1556" s="164" t="s">
        <v>197</v>
      </c>
      <c r="H1556" s="165">
        <v>2</v>
      </c>
      <c r="I1556" s="164"/>
      <c r="J1556" s="165"/>
      <c r="K1556" s="164"/>
      <c r="L1556" s="165"/>
      <c r="M1556" s="6"/>
      <c r="N1556" s="32"/>
      <c r="Q1556" s="10" t="str">
        <f>+CONCATENATE(E1556,G1556)</f>
        <v>차열재마감2000*600</v>
      </c>
      <c r="R1556" s="10">
        <f>+H1556</f>
        <v>2</v>
      </c>
      <c r="S1556" s="11"/>
      <c r="T1556" s="10" t="str">
        <f>+E1556</f>
        <v>차열재마감</v>
      </c>
      <c r="U1556" s="19" t="str">
        <f t="shared" ref="U1556" si="845">IFERROR(LEFT(G1556,FIND("*",G1556)-1),"-")</f>
        <v>2000</v>
      </c>
      <c r="V1556" s="19" t="str">
        <f t="shared" ref="V1556" si="846">IFERROR(RIGHT(G1556,LEN(G1556)-FIND("*",G1556)),"-")</f>
        <v>600</v>
      </c>
      <c r="W1556" s="20">
        <f t="shared" si="844"/>
        <v>5.2</v>
      </c>
      <c r="X1556" s="20">
        <f>IFERROR(W1556*H1556,"-")</f>
        <v>10.4</v>
      </c>
      <c r="Z1556" s="85">
        <v>45187</v>
      </c>
    </row>
    <row r="1557" spans="1:26" ht="6.95" customHeight="1" x14ac:dyDescent="0.3">
      <c r="A1557" s="5"/>
      <c r="B1557" s="157"/>
      <c r="C1557" s="158"/>
      <c r="D1557" s="161"/>
      <c r="E1557" s="162"/>
      <c r="F1557" s="163"/>
      <c r="G1557" s="164"/>
      <c r="H1557" s="165"/>
      <c r="I1557" s="164"/>
      <c r="J1557" s="165"/>
      <c r="K1557" s="164"/>
      <c r="L1557" s="165"/>
      <c r="M1557" s="6"/>
      <c r="N1557" s="32"/>
      <c r="Q1557" s="10" t="str">
        <f>+CONCATENATE(E1556,I1556)</f>
        <v>차열재마감</v>
      </c>
      <c r="R1557" s="10">
        <f>+J1556</f>
        <v>0</v>
      </c>
      <c r="S1557" s="11"/>
      <c r="T1557" s="10" t="str">
        <f>+E1556</f>
        <v>차열재마감</v>
      </c>
      <c r="U1557" s="19" t="str">
        <f>IFERROR(LEFT(I1556,FIND("*",I1556)-1),"-")</f>
        <v>-</v>
      </c>
      <c r="V1557" s="19" t="str">
        <f>IFERROR(RIGHT(I1556,LEN(I1556)-FIND("*",I1556)),"-")</f>
        <v>-</v>
      </c>
      <c r="W1557" s="20" t="str">
        <f t="shared" si="844"/>
        <v>-</v>
      </c>
      <c r="X1557" s="20" t="str">
        <f>IFERROR(W1557*J1556,"-")</f>
        <v>-</v>
      </c>
      <c r="Z1557" s="85">
        <v>45187</v>
      </c>
    </row>
    <row r="1558" spans="1:26" ht="6.95" customHeight="1" x14ac:dyDescent="0.3">
      <c r="A1558" s="5"/>
      <c r="B1558" s="157"/>
      <c r="C1558" s="158"/>
      <c r="D1558" s="161"/>
      <c r="E1558" s="162"/>
      <c r="F1558" s="163"/>
      <c r="G1558" s="164"/>
      <c r="H1558" s="165"/>
      <c r="I1558" s="164"/>
      <c r="J1558" s="165"/>
      <c r="K1558" s="164"/>
      <c r="L1558" s="165"/>
      <c r="M1558" s="6"/>
      <c r="N1558" s="32"/>
      <c r="Q1558" s="10" t="str">
        <f>+CONCATENATE(E1556,K1556)</f>
        <v>차열재마감</v>
      </c>
      <c r="R1558" s="10">
        <f>+L1556</f>
        <v>0</v>
      </c>
      <c r="S1558" s="11"/>
      <c r="T1558" s="10" t="str">
        <f>+E1556</f>
        <v>차열재마감</v>
      </c>
      <c r="U1558" s="19" t="str">
        <f>IFERROR(LEFT(K1556,FIND("*",K1556)-1),"-")</f>
        <v>-</v>
      </c>
      <c r="V1558" s="19" t="str">
        <f>IFERROR(RIGHT(K1556,LEN(K1556)-FIND("*",K1556)),"-")</f>
        <v>-</v>
      </c>
      <c r="W1558" s="20" t="str">
        <f t="shared" si="844"/>
        <v>-</v>
      </c>
      <c r="X1558" s="20" t="str">
        <f>IFERROR(W1558*L1556,"-")</f>
        <v>-</v>
      </c>
      <c r="Z1558" s="85">
        <v>45187</v>
      </c>
    </row>
    <row r="1559" spans="1:26" ht="6.95" customHeight="1" x14ac:dyDescent="0.3">
      <c r="A1559" s="8"/>
      <c r="B1559" s="157"/>
      <c r="C1559" s="158"/>
      <c r="D1559" s="161" t="s">
        <v>39</v>
      </c>
      <c r="E1559" s="162"/>
      <c r="F1559" s="163" t="s">
        <v>40</v>
      </c>
      <c r="G1559" s="164"/>
      <c r="H1559" s="165"/>
      <c r="I1559" s="164"/>
      <c r="J1559" s="165"/>
      <c r="K1559" s="164"/>
      <c r="L1559" s="165"/>
      <c r="M1559" s="6"/>
      <c r="N1559" s="32"/>
      <c r="Q1559" s="10" t="str">
        <f>+CONCATENATE(E1559,G1559)</f>
        <v/>
      </c>
      <c r="R1559" s="10">
        <f>+H1559</f>
        <v>0</v>
      </c>
      <c r="S1559" s="11"/>
      <c r="T1559" s="10">
        <f>+E1559</f>
        <v>0</v>
      </c>
      <c r="U1559" s="19" t="str">
        <f t="shared" ref="U1559" si="847">IFERROR(LEFT(G1559,FIND("*",G1559)-1),"-")</f>
        <v>-</v>
      </c>
      <c r="V1559" s="19" t="str">
        <f t="shared" ref="V1559" si="848">IFERROR(RIGHT(G1559,LEN(G1559)-FIND("*",G1559)),"-")</f>
        <v>-</v>
      </c>
      <c r="W1559" s="20" t="str">
        <f t="shared" si="844"/>
        <v>-</v>
      </c>
      <c r="X1559" s="20" t="str">
        <f>IFERROR(W1559*H1559,"-")</f>
        <v>-</v>
      </c>
      <c r="Z1559" s="85">
        <v>45187</v>
      </c>
    </row>
    <row r="1560" spans="1:26" ht="6.95" customHeight="1" x14ac:dyDescent="0.3">
      <c r="A1560" s="5"/>
      <c r="B1560" s="157"/>
      <c r="C1560" s="158"/>
      <c r="D1560" s="161"/>
      <c r="E1560" s="162"/>
      <c r="F1560" s="163"/>
      <c r="G1560" s="164"/>
      <c r="H1560" s="165"/>
      <c r="I1560" s="164"/>
      <c r="J1560" s="165"/>
      <c r="K1560" s="164"/>
      <c r="L1560" s="165"/>
      <c r="M1560" s="6"/>
      <c r="N1560" s="32"/>
      <c r="Q1560" s="10" t="str">
        <f>+CONCATENATE(E1559,I1559)</f>
        <v/>
      </c>
      <c r="R1560" s="10">
        <f>+J1559</f>
        <v>0</v>
      </c>
      <c r="S1560" s="11"/>
      <c r="T1560" s="10">
        <f>+E1559</f>
        <v>0</v>
      </c>
      <c r="U1560" s="19" t="str">
        <f>IFERROR(LEFT(I1559,FIND("*",I1559)-1),"-")</f>
        <v>-</v>
      </c>
      <c r="V1560" s="19" t="str">
        <f>IFERROR(RIGHT(I1559,LEN(I1559)-FIND("*",I1559)),"-")</f>
        <v>-</v>
      </c>
      <c r="W1560" s="20" t="str">
        <f t="shared" si="844"/>
        <v>-</v>
      </c>
      <c r="X1560" s="20" t="str">
        <f t="shared" ref="X1560" si="849">IFERROR(W1560*J1559,"-")</f>
        <v>-</v>
      </c>
      <c r="Z1560" s="85">
        <v>45187</v>
      </c>
    </row>
    <row r="1561" spans="1:26" ht="6.95" customHeight="1" x14ac:dyDescent="0.3">
      <c r="A1561" s="5"/>
      <c r="B1561" s="157"/>
      <c r="C1561" s="158"/>
      <c r="D1561" s="161"/>
      <c r="E1561" s="162"/>
      <c r="F1561" s="163"/>
      <c r="G1561" s="164"/>
      <c r="H1561" s="165"/>
      <c r="I1561" s="164"/>
      <c r="J1561" s="165"/>
      <c r="K1561" s="164"/>
      <c r="L1561" s="165"/>
      <c r="M1561" s="6"/>
      <c r="N1561" s="32"/>
      <c r="Q1561" s="10" t="str">
        <f>+CONCATENATE(E1559,K1559)</f>
        <v/>
      </c>
      <c r="R1561" s="10">
        <f>+L1559</f>
        <v>0</v>
      </c>
      <c r="S1561" s="11"/>
      <c r="T1561" s="10">
        <f>+E1559</f>
        <v>0</v>
      </c>
      <c r="U1561" s="19" t="str">
        <f>IFERROR(LEFT(K1559,FIND("*",K1559)-1),"-")</f>
        <v>-</v>
      </c>
      <c r="V1561" s="19" t="str">
        <f>IFERROR(RIGHT(K1559,LEN(K1559)-FIND("*",K1559)),"-")</f>
        <v>-</v>
      </c>
      <c r="W1561" s="20" t="str">
        <f t="shared" si="844"/>
        <v>-</v>
      </c>
      <c r="X1561" s="20" t="str">
        <f>IFERROR(W1561*L1559,"-")</f>
        <v>-</v>
      </c>
      <c r="Z1561" s="85">
        <v>45187</v>
      </c>
    </row>
    <row r="1562" spans="1:26" ht="21" customHeight="1" thickBot="1" x14ac:dyDescent="0.35">
      <c r="A1562" s="5"/>
      <c r="B1562" s="159"/>
      <c r="C1562" s="160"/>
      <c r="D1562" s="166" t="s">
        <v>43</v>
      </c>
      <c r="E1562" s="167"/>
      <c r="F1562" s="167"/>
      <c r="G1562" s="168" t="s">
        <v>288</v>
      </c>
      <c r="H1562" s="168"/>
      <c r="I1562" s="168"/>
      <c r="J1562" s="168"/>
      <c r="K1562" s="168"/>
      <c r="L1562" s="168"/>
      <c r="M1562" s="7"/>
      <c r="N1562" s="32"/>
      <c r="Z1562" s="85">
        <v>45187</v>
      </c>
    </row>
    <row r="1563" spans="1:26" ht="9.9499999999999993" customHeight="1" thickBot="1" x14ac:dyDescent="0.35">
      <c r="B1563" s="9"/>
      <c r="C1563" s="109">
        <v>942</v>
      </c>
      <c r="D1563" s="51"/>
      <c r="E1563" s="12"/>
      <c r="F1563" s="51"/>
      <c r="G1563" s="14"/>
      <c r="H1563" s="14"/>
      <c r="I1563" s="14"/>
      <c r="J1563" s="14"/>
      <c r="K1563" s="14"/>
      <c r="L1563" s="14"/>
      <c r="M1563" s="9"/>
      <c r="N1563" s="32"/>
      <c r="U1563" s="18"/>
      <c r="V1563" s="18"/>
      <c r="Z1563" s="85">
        <v>45187</v>
      </c>
    </row>
    <row r="1564" spans="1:26" ht="6.95" customHeight="1" x14ac:dyDescent="0.3">
      <c r="A1564" s="154">
        <f>+A1553+1</f>
        <v>943</v>
      </c>
      <c r="B1564" s="155"/>
      <c r="C1564" s="156"/>
      <c r="D1564" s="161" t="s">
        <v>39</v>
      </c>
      <c r="E1564" s="162" t="s">
        <v>111</v>
      </c>
      <c r="F1564" s="163" t="s">
        <v>40</v>
      </c>
      <c r="G1564" s="164" t="s">
        <v>197</v>
      </c>
      <c r="H1564" s="165">
        <v>1</v>
      </c>
      <c r="I1564" s="164"/>
      <c r="J1564" s="165"/>
      <c r="K1564" s="164"/>
      <c r="L1564" s="165"/>
      <c r="M1564" s="6"/>
      <c r="N1564" s="32"/>
      <c r="Q1564" s="10" t="str">
        <f>+CONCATENATE(E1564,G1564)</f>
        <v>보온덕트벽체2000*600</v>
      </c>
      <c r="R1564" s="10">
        <f>+H1564</f>
        <v>1</v>
      </c>
      <c r="S1564" s="11"/>
      <c r="T1564" s="10" t="str">
        <f>+E1564</f>
        <v>보온덕트벽체</v>
      </c>
      <c r="U1564" s="19" t="str">
        <f>IFERROR(LEFT(G1564,FIND("*",G1564)-1),"-")</f>
        <v>2000</v>
      </c>
      <c r="V1564" s="19" t="str">
        <f>IFERROR(RIGHT(G1564,LEN(G1564)-FIND("*",G1564)),"-")</f>
        <v>600</v>
      </c>
      <c r="W1564" s="20">
        <f>IFERROR((U1564+V1564)*2/1000,"-")</f>
        <v>5.2</v>
      </c>
      <c r="X1564" s="20">
        <f>IFERROR(W1564*H1564,"-")</f>
        <v>5.2</v>
      </c>
      <c r="Z1564" s="85">
        <v>45187</v>
      </c>
    </row>
    <row r="1565" spans="1:26" ht="6.95" customHeight="1" x14ac:dyDescent="0.3">
      <c r="A1565" s="154"/>
      <c r="B1565" s="157"/>
      <c r="C1565" s="158"/>
      <c r="D1565" s="161"/>
      <c r="E1565" s="162"/>
      <c r="F1565" s="163"/>
      <c r="G1565" s="164"/>
      <c r="H1565" s="165"/>
      <c r="I1565" s="164"/>
      <c r="J1565" s="165"/>
      <c r="K1565" s="164"/>
      <c r="L1565" s="165"/>
      <c r="M1565" s="6"/>
      <c r="N1565" s="32"/>
      <c r="Q1565" s="10" t="str">
        <f>+CONCATENATE(E1564,I1564)</f>
        <v>보온덕트벽체</v>
      </c>
      <c r="R1565" s="10">
        <f>+J1564</f>
        <v>0</v>
      </c>
      <c r="S1565" s="11"/>
      <c r="T1565" s="10" t="str">
        <f>+E1564</f>
        <v>보온덕트벽체</v>
      </c>
      <c r="U1565" s="19" t="str">
        <f>IFERROR(LEFT(I1564,FIND("*",I1564)-1),"-")</f>
        <v>-</v>
      </c>
      <c r="V1565" s="19" t="str">
        <f>IFERROR(RIGHT(I1564,LEN(I1564)-FIND("*",I1564)),"-")</f>
        <v>-</v>
      </c>
      <c r="W1565" s="20" t="str">
        <f t="shared" ref="W1565:W1572" si="850">IFERROR((U1565+V1565)*2/1000,"-")</f>
        <v>-</v>
      </c>
      <c r="X1565" s="20" t="str">
        <f>IFERROR(W1565*J1564,"-")</f>
        <v>-</v>
      </c>
      <c r="Z1565" s="85">
        <v>45187</v>
      </c>
    </row>
    <row r="1566" spans="1:26" ht="6.95" customHeight="1" x14ac:dyDescent="0.3">
      <c r="A1566" s="154"/>
      <c r="B1566" s="157"/>
      <c r="C1566" s="158"/>
      <c r="D1566" s="161"/>
      <c r="E1566" s="162"/>
      <c r="F1566" s="163"/>
      <c r="G1566" s="164"/>
      <c r="H1566" s="165"/>
      <c r="I1566" s="164"/>
      <c r="J1566" s="165"/>
      <c r="K1566" s="164"/>
      <c r="L1566" s="165"/>
      <c r="M1566" s="6"/>
      <c r="N1566" s="32"/>
      <c r="Q1566" s="10" t="str">
        <f>+CONCATENATE(E1564,K1564)</f>
        <v>보온덕트벽체</v>
      </c>
      <c r="R1566" s="10">
        <f>+L1564</f>
        <v>0</v>
      </c>
      <c r="S1566" s="11"/>
      <c r="T1566" s="10" t="str">
        <f>+E1564</f>
        <v>보온덕트벽체</v>
      </c>
      <c r="U1566" s="19" t="str">
        <f>IFERROR(LEFT(K1564,FIND("*",K1564)-1),"-")</f>
        <v>-</v>
      </c>
      <c r="V1566" s="19" t="str">
        <f>IFERROR(RIGHT(K1564,LEN(K1564)-FIND("*",K1564)),"-")</f>
        <v>-</v>
      </c>
      <c r="W1566" s="20" t="str">
        <f t="shared" si="850"/>
        <v>-</v>
      </c>
      <c r="X1566" s="20" t="str">
        <f>IFERROR(W1566*L1564,"-")</f>
        <v>-</v>
      </c>
      <c r="Z1566" s="85">
        <v>45187</v>
      </c>
    </row>
    <row r="1567" spans="1:26" ht="6.95" customHeight="1" x14ac:dyDescent="0.3">
      <c r="A1567" s="8"/>
      <c r="B1567" s="157"/>
      <c r="C1567" s="158"/>
      <c r="D1567" s="161" t="s">
        <v>39</v>
      </c>
      <c r="E1567" s="162" t="s">
        <v>188</v>
      </c>
      <c r="F1567" s="163" t="s">
        <v>40</v>
      </c>
      <c r="G1567" s="164" t="s">
        <v>197</v>
      </c>
      <c r="H1567" s="165">
        <v>2</v>
      </c>
      <c r="I1567" s="164"/>
      <c r="J1567" s="165"/>
      <c r="K1567" s="164"/>
      <c r="L1567" s="165"/>
      <c r="M1567" s="6"/>
      <c r="N1567" s="32"/>
      <c r="Q1567" s="10" t="str">
        <f>+CONCATENATE(E1567,G1567)</f>
        <v>차열재마감2000*600</v>
      </c>
      <c r="R1567" s="10">
        <f>+H1567</f>
        <v>2</v>
      </c>
      <c r="S1567" s="11"/>
      <c r="T1567" s="10" t="str">
        <f>+E1567</f>
        <v>차열재마감</v>
      </c>
      <c r="U1567" s="19" t="str">
        <f t="shared" ref="U1567" si="851">IFERROR(LEFT(G1567,FIND("*",G1567)-1),"-")</f>
        <v>2000</v>
      </c>
      <c r="V1567" s="19" t="str">
        <f t="shared" ref="V1567" si="852">IFERROR(RIGHT(G1567,LEN(G1567)-FIND("*",G1567)),"-")</f>
        <v>600</v>
      </c>
      <c r="W1567" s="20">
        <f t="shared" si="850"/>
        <v>5.2</v>
      </c>
      <c r="X1567" s="20">
        <f>IFERROR(W1567*H1567,"-")</f>
        <v>10.4</v>
      </c>
      <c r="Z1567" s="85">
        <v>45187</v>
      </c>
    </row>
    <row r="1568" spans="1:26" ht="6.95" customHeight="1" x14ac:dyDescent="0.3">
      <c r="A1568" s="5"/>
      <c r="B1568" s="157"/>
      <c r="C1568" s="158"/>
      <c r="D1568" s="161"/>
      <c r="E1568" s="162"/>
      <c r="F1568" s="163"/>
      <c r="G1568" s="164"/>
      <c r="H1568" s="165"/>
      <c r="I1568" s="164"/>
      <c r="J1568" s="165"/>
      <c r="K1568" s="164"/>
      <c r="L1568" s="165"/>
      <c r="M1568" s="6"/>
      <c r="N1568" s="32"/>
      <c r="Q1568" s="10" t="str">
        <f>+CONCATENATE(E1567,I1567)</f>
        <v>차열재마감</v>
      </c>
      <c r="R1568" s="10">
        <f>+J1567</f>
        <v>0</v>
      </c>
      <c r="S1568" s="11"/>
      <c r="T1568" s="10" t="str">
        <f>+E1567</f>
        <v>차열재마감</v>
      </c>
      <c r="U1568" s="19" t="str">
        <f>IFERROR(LEFT(I1567,FIND("*",I1567)-1),"-")</f>
        <v>-</v>
      </c>
      <c r="V1568" s="19" t="str">
        <f>IFERROR(RIGHT(I1567,LEN(I1567)-FIND("*",I1567)),"-")</f>
        <v>-</v>
      </c>
      <c r="W1568" s="20" t="str">
        <f t="shared" si="850"/>
        <v>-</v>
      </c>
      <c r="X1568" s="20" t="str">
        <f>IFERROR(W1568*J1567,"-")</f>
        <v>-</v>
      </c>
      <c r="Z1568" s="85">
        <v>45187</v>
      </c>
    </row>
    <row r="1569" spans="1:26" ht="6.95" customHeight="1" x14ac:dyDescent="0.3">
      <c r="A1569" s="5"/>
      <c r="B1569" s="157"/>
      <c r="C1569" s="158"/>
      <c r="D1569" s="161"/>
      <c r="E1569" s="162"/>
      <c r="F1569" s="163"/>
      <c r="G1569" s="164"/>
      <c r="H1569" s="165"/>
      <c r="I1569" s="164"/>
      <c r="J1569" s="165"/>
      <c r="K1569" s="164"/>
      <c r="L1569" s="165"/>
      <c r="M1569" s="6"/>
      <c r="N1569" s="32"/>
      <c r="Q1569" s="10" t="str">
        <f>+CONCATENATE(E1567,K1567)</f>
        <v>차열재마감</v>
      </c>
      <c r="R1569" s="10">
        <f>+L1567</f>
        <v>0</v>
      </c>
      <c r="S1569" s="11"/>
      <c r="T1569" s="10" t="str">
        <f>+E1567</f>
        <v>차열재마감</v>
      </c>
      <c r="U1569" s="19" t="str">
        <f>IFERROR(LEFT(K1567,FIND("*",K1567)-1),"-")</f>
        <v>-</v>
      </c>
      <c r="V1569" s="19" t="str">
        <f>IFERROR(RIGHT(K1567,LEN(K1567)-FIND("*",K1567)),"-")</f>
        <v>-</v>
      </c>
      <c r="W1569" s="20" t="str">
        <f t="shared" si="850"/>
        <v>-</v>
      </c>
      <c r="X1569" s="20" t="str">
        <f>IFERROR(W1569*L1567,"-")</f>
        <v>-</v>
      </c>
      <c r="Z1569" s="85">
        <v>45187</v>
      </c>
    </row>
    <row r="1570" spans="1:26" ht="6.95" customHeight="1" x14ac:dyDescent="0.3">
      <c r="A1570" s="8"/>
      <c r="B1570" s="157"/>
      <c r="C1570" s="158"/>
      <c r="D1570" s="161" t="s">
        <v>39</v>
      </c>
      <c r="E1570" s="162"/>
      <c r="F1570" s="163" t="s">
        <v>40</v>
      </c>
      <c r="G1570" s="164"/>
      <c r="H1570" s="165"/>
      <c r="I1570" s="164"/>
      <c r="J1570" s="165"/>
      <c r="K1570" s="164"/>
      <c r="L1570" s="165"/>
      <c r="M1570" s="6"/>
      <c r="N1570" s="32"/>
      <c r="Q1570" s="10" t="str">
        <f>+CONCATENATE(E1570,G1570)</f>
        <v/>
      </c>
      <c r="R1570" s="10">
        <f>+H1570</f>
        <v>0</v>
      </c>
      <c r="S1570" s="11"/>
      <c r="T1570" s="10">
        <f>+E1570</f>
        <v>0</v>
      </c>
      <c r="U1570" s="19" t="str">
        <f t="shared" ref="U1570" si="853">IFERROR(LEFT(G1570,FIND("*",G1570)-1),"-")</f>
        <v>-</v>
      </c>
      <c r="V1570" s="19" t="str">
        <f t="shared" ref="V1570" si="854">IFERROR(RIGHT(G1570,LEN(G1570)-FIND("*",G1570)),"-")</f>
        <v>-</v>
      </c>
      <c r="W1570" s="20" t="str">
        <f t="shared" si="850"/>
        <v>-</v>
      </c>
      <c r="X1570" s="20" t="str">
        <f>IFERROR(W1570*H1570,"-")</f>
        <v>-</v>
      </c>
      <c r="Z1570" s="85">
        <v>45187</v>
      </c>
    </row>
    <row r="1571" spans="1:26" ht="6.95" customHeight="1" x14ac:dyDescent="0.3">
      <c r="A1571" s="5"/>
      <c r="B1571" s="157"/>
      <c r="C1571" s="158"/>
      <c r="D1571" s="161"/>
      <c r="E1571" s="162"/>
      <c r="F1571" s="163"/>
      <c r="G1571" s="164"/>
      <c r="H1571" s="165"/>
      <c r="I1571" s="164"/>
      <c r="J1571" s="165"/>
      <c r="K1571" s="164"/>
      <c r="L1571" s="165"/>
      <c r="M1571" s="6"/>
      <c r="N1571" s="32"/>
      <c r="Q1571" s="10" t="str">
        <f>+CONCATENATE(E1570,I1570)</f>
        <v/>
      </c>
      <c r="R1571" s="10">
        <f>+J1570</f>
        <v>0</v>
      </c>
      <c r="S1571" s="11"/>
      <c r="T1571" s="10">
        <f>+E1570</f>
        <v>0</v>
      </c>
      <c r="U1571" s="19" t="str">
        <f>IFERROR(LEFT(I1570,FIND("*",I1570)-1),"-")</f>
        <v>-</v>
      </c>
      <c r="V1571" s="19" t="str">
        <f>IFERROR(RIGHT(I1570,LEN(I1570)-FIND("*",I1570)),"-")</f>
        <v>-</v>
      </c>
      <c r="W1571" s="20" t="str">
        <f t="shared" si="850"/>
        <v>-</v>
      </c>
      <c r="X1571" s="20" t="str">
        <f t="shared" ref="X1571" si="855">IFERROR(W1571*J1570,"-")</f>
        <v>-</v>
      </c>
      <c r="Z1571" s="85">
        <v>45187</v>
      </c>
    </row>
    <row r="1572" spans="1:26" ht="6.95" customHeight="1" x14ac:dyDescent="0.3">
      <c r="A1572" s="5"/>
      <c r="B1572" s="157"/>
      <c r="C1572" s="158"/>
      <c r="D1572" s="161"/>
      <c r="E1572" s="162"/>
      <c r="F1572" s="163"/>
      <c r="G1572" s="164"/>
      <c r="H1572" s="165"/>
      <c r="I1572" s="164"/>
      <c r="J1572" s="165"/>
      <c r="K1572" s="164"/>
      <c r="L1572" s="165"/>
      <c r="M1572" s="6"/>
      <c r="N1572" s="32"/>
      <c r="Q1572" s="10" t="str">
        <f>+CONCATENATE(E1570,K1570)</f>
        <v/>
      </c>
      <c r="R1572" s="10">
        <f>+L1570</f>
        <v>0</v>
      </c>
      <c r="S1572" s="11"/>
      <c r="T1572" s="10">
        <f>+E1570</f>
        <v>0</v>
      </c>
      <c r="U1572" s="19" t="str">
        <f>IFERROR(LEFT(K1570,FIND("*",K1570)-1),"-")</f>
        <v>-</v>
      </c>
      <c r="V1572" s="19" t="str">
        <f>IFERROR(RIGHT(K1570,LEN(K1570)-FIND("*",K1570)),"-")</f>
        <v>-</v>
      </c>
      <c r="W1572" s="20" t="str">
        <f t="shared" si="850"/>
        <v>-</v>
      </c>
      <c r="X1572" s="20" t="str">
        <f>IFERROR(W1572*L1570,"-")</f>
        <v>-</v>
      </c>
      <c r="Z1572" s="85">
        <v>45187</v>
      </c>
    </row>
    <row r="1573" spans="1:26" ht="21" customHeight="1" thickBot="1" x14ac:dyDescent="0.35">
      <c r="A1573" s="5"/>
      <c r="B1573" s="159"/>
      <c r="C1573" s="160"/>
      <c r="D1573" s="166" t="s">
        <v>43</v>
      </c>
      <c r="E1573" s="167"/>
      <c r="F1573" s="167"/>
      <c r="G1573" s="168" t="s">
        <v>288</v>
      </c>
      <c r="H1573" s="168"/>
      <c r="I1573" s="168"/>
      <c r="J1573" s="168"/>
      <c r="K1573" s="168"/>
      <c r="L1573" s="168"/>
      <c r="M1573" s="7"/>
      <c r="N1573" s="32"/>
      <c r="Z1573" s="85">
        <v>45187</v>
      </c>
    </row>
    <row r="1574" spans="1:26" ht="9.9499999999999993" customHeight="1" thickBot="1" x14ac:dyDescent="0.35">
      <c r="B1574" s="9"/>
      <c r="C1574" s="109">
        <v>943</v>
      </c>
      <c r="D1574" s="51"/>
      <c r="E1574" s="12"/>
      <c r="F1574" s="51"/>
      <c r="G1574" s="14"/>
      <c r="H1574" s="14"/>
      <c r="I1574" s="14"/>
      <c r="J1574" s="14"/>
      <c r="K1574" s="14"/>
      <c r="L1574" s="14"/>
      <c r="M1574" s="9"/>
      <c r="N1574" s="32"/>
      <c r="U1574" s="18"/>
      <c r="V1574" s="18"/>
      <c r="Z1574" s="85">
        <v>45187</v>
      </c>
    </row>
    <row r="1575" spans="1:26" ht="6.95" customHeight="1" x14ac:dyDescent="0.3">
      <c r="A1575" s="154">
        <f>+A1564+1</f>
        <v>944</v>
      </c>
      <c r="B1575" s="155"/>
      <c r="C1575" s="156"/>
      <c r="D1575" s="161" t="s">
        <v>39</v>
      </c>
      <c r="E1575" s="162" t="s">
        <v>186</v>
      </c>
      <c r="F1575" s="163" t="s">
        <v>40</v>
      </c>
      <c r="G1575" s="164">
        <v>100</v>
      </c>
      <c r="H1575" s="165">
        <v>2</v>
      </c>
      <c r="I1575" s="164"/>
      <c r="J1575" s="165"/>
      <c r="K1575" s="164"/>
      <c r="L1575" s="165"/>
      <c r="M1575" s="6"/>
      <c r="N1575" s="32"/>
      <c r="Q1575" s="10" t="str">
        <f>+CONCATENATE(E1575,G1575)</f>
        <v>금속관벽체100</v>
      </c>
      <c r="R1575" s="10">
        <f>+H1575</f>
        <v>2</v>
      </c>
      <c r="S1575" s="11"/>
      <c r="T1575" s="10" t="str">
        <f>+E1575</f>
        <v>금속관벽체</v>
      </c>
      <c r="U1575" s="19" t="str">
        <f>IFERROR(LEFT(G1575,FIND("*",G1575)-1),"-")</f>
        <v>-</v>
      </c>
      <c r="V1575" s="19" t="str">
        <f>IFERROR(RIGHT(G1575,LEN(G1575)-FIND("*",G1575)),"-")</f>
        <v>-</v>
      </c>
      <c r="W1575" s="20" t="str">
        <f>IFERROR((U1575+V1575)*2/1000,"-")</f>
        <v>-</v>
      </c>
      <c r="X1575" s="20" t="str">
        <f>IFERROR(W1575*H1575,"-")</f>
        <v>-</v>
      </c>
      <c r="Z1575" s="85">
        <v>45187</v>
      </c>
    </row>
    <row r="1576" spans="1:26" ht="6.95" customHeight="1" x14ac:dyDescent="0.3">
      <c r="A1576" s="154"/>
      <c r="B1576" s="157"/>
      <c r="C1576" s="158"/>
      <c r="D1576" s="161"/>
      <c r="E1576" s="162"/>
      <c r="F1576" s="163"/>
      <c r="G1576" s="164"/>
      <c r="H1576" s="165"/>
      <c r="I1576" s="164"/>
      <c r="J1576" s="165"/>
      <c r="K1576" s="164"/>
      <c r="L1576" s="165"/>
      <c r="M1576" s="6"/>
      <c r="N1576" s="32"/>
      <c r="Q1576" s="10" t="str">
        <f>+CONCATENATE(E1575,I1575)</f>
        <v>금속관벽체</v>
      </c>
      <c r="R1576" s="10">
        <f>+J1575</f>
        <v>0</v>
      </c>
      <c r="S1576" s="11"/>
      <c r="T1576" s="10" t="str">
        <f>+E1575</f>
        <v>금속관벽체</v>
      </c>
      <c r="U1576" s="19" t="str">
        <f>IFERROR(LEFT(I1575,FIND("*",I1575)-1),"-")</f>
        <v>-</v>
      </c>
      <c r="V1576" s="19" t="str">
        <f>IFERROR(RIGHT(I1575,LEN(I1575)-FIND("*",I1575)),"-")</f>
        <v>-</v>
      </c>
      <c r="W1576" s="20" t="str">
        <f t="shared" ref="W1576:W1583" si="856">IFERROR((U1576+V1576)*2/1000,"-")</f>
        <v>-</v>
      </c>
      <c r="X1576" s="20" t="str">
        <f>IFERROR(W1576*J1575,"-")</f>
        <v>-</v>
      </c>
      <c r="Z1576" s="85">
        <v>45187</v>
      </c>
    </row>
    <row r="1577" spans="1:26" ht="6.95" customHeight="1" x14ac:dyDescent="0.3">
      <c r="A1577" s="154"/>
      <c r="B1577" s="157"/>
      <c r="C1577" s="158"/>
      <c r="D1577" s="161"/>
      <c r="E1577" s="162"/>
      <c r="F1577" s="163"/>
      <c r="G1577" s="164"/>
      <c r="H1577" s="165"/>
      <c r="I1577" s="164"/>
      <c r="J1577" s="165"/>
      <c r="K1577" s="164"/>
      <c r="L1577" s="165"/>
      <c r="M1577" s="6"/>
      <c r="N1577" s="32"/>
      <c r="Q1577" s="10" t="str">
        <f>+CONCATENATE(E1575,K1575)</f>
        <v>금속관벽체</v>
      </c>
      <c r="R1577" s="10">
        <f>+L1575</f>
        <v>0</v>
      </c>
      <c r="S1577" s="11"/>
      <c r="T1577" s="10" t="str">
        <f>+E1575</f>
        <v>금속관벽체</v>
      </c>
      <c r="U1577" s="19" t="str">
        <f>IFERROR(LEFT(K1575,FIND("*",K1575)-1),"-")</f>
        <v>-</v>
      </c>
      <c r="V1577" s="19" t="str">
        <f>IFERROR(RIGHT(K1575,LEN(K1575)-FIND("*",K1575)),"-")</f>
        <v>-</v>
      </c>
      <c r="W1577" s="20" t="str">
        <f t="shared" si="856"/>
        <v>-</v>
      </c>
      <c r="X1577" s="20" t="str">
        <f>IFERROR(W1577*L1575,"-")</f>
        <v>-</v>
      </c>
      <c r="Z1577" s="85">
        <v>45187</v>
      </c>
    </row>
    <row r="1578" spans="1:26" ht="6.95" customHeight="1" x14ac:dyDescent="0.3">
      <c r="A1578" s="8"/>
      <c r="B1578" s="157"/>
      <c r="C1578" s="158"/>
      <c r="D1578" s="161" t="s">
        <v>39</v>
      </c>
      <c r="E1578" s="162"/>
      <c r="F1578" s="163" t="s">
        <v>40</v>
      </c>
      <c r="G1578" s="164"/>
      <c r="H1578" s="165"/>
      <c r="I1578" s="164"/>
      <c r="J1578" s="165"/>
      <c r="K1578" s="164"/>
      <c r="L1578" s="165"/>
      <c r="M1578" s="6"/>
      <c r="N1578" s="32"/>
      <c r="Q1578" s="10" t="str">
        <f>+CONCATENATE(E1578,G1578)</f>
        <v/>
      </c>
      <c r="R1578" s="10">
        <f>+H1578</f>
        <v>0</v>
      </c>
      <c r="S1578" s="11"/>
      <c r="T1578" s="10">
        <f>+E1578</f>
        <v>0</v>
      </c>
      <c r="U1578" s="19" t="str">
        <f t="shared" ref="U1578" si="857">IFERROR(LEFT(G1578,FIND("*",G1578)-1),"-")</f>
        <v>-</v>
      </c>
      <c r="V1578" s="19" t="str">
        <f t="shared" ref="V1578" si="858">IFERROR(RIGHT(G1578,LEN(G1578)-FIND("*",G1578)),"-")</f>
        <v>-</v>
      </c>
      <c r="W1578" s="20" t="str">
        <f t="shared" si="856"/>
        <v>-</v>
      </c>
      <c r="X1578" s="20" t="str">
        <f>IFERROR(W1578*H1578,"-")</f>
        <v>-</v>
      </c>
      <c r="Z1578" s="85">
        <v>45187</v>
      </c>
    </row>
    <row r="1579" spans="1:26" ht="6.95" customHeight="1" x14ac:dyDescent="0.3">
      <c r="A1579" s="5"/>
      <c r="B1579" s="157"/>
      <c r="C1579" s="158"/>
      <c r="D1579" s="161"/>
      <c r="E1579" s="162"/>
      <c r="F1579" s="163"/>
      <c r="G1579" s="164"/>
      <c r="H1579" s="165"/>
      <c r="I1579" s="164"/>
      <c r="J1579" s="165"/>
      <c r="K1579" s="164"/>
      <c r="L1579" s="165"/>
      <c r="M1579" s="6"/>
      <c r="N1579" s="32"/>
      <c r="Q1579" s="10" t="str">
        <f>+CONCATENATE(E1578,I1578)</f>
        <v/>
      </c>
      <c r="R1579" s="10">
        <f>+J1578</f>
        <v>0</v>
      </c>
      <c r="S1579" s="11"/>
      <c r="T1579" s="10">
        <f>+E1578</f>
        <v>0</v>
      </c>
      <c r="U1579" s="19" t="str">
        <f>IFERROR(LEFT(I1578,FIND("*",I1578)-1),"-")</f>
        <v>-</v>
      </c>
      <c r="V1579" s="19" t="str">
        <f>IFERROR(RIGHT(I1578,LEN(I1578)-FIND("*",I1578)),"-")</f>
        <v>-</v>
      </c>
      <c r="W1579" s="20" t="str">
        <f t="shared" si="856"/>
        <v>-</v>
      </c>
      <c r="X1579" s="20" t="str">
        <f>IFERROR(W1579*J1578,"-")</f>
        <v>-</v>
      </c>
      <c r="Z1579" s="85">
        <v>45187</v>
      </c>
    </row>
    <row r="1580" spans="1:26" ht="6.95" customHeight="1" x14ac:dyDescent="0.3">
      <c r="A1580" s="5"/>
      <c r="B1580" s="157"/>
      <c r="C1580" s="158"/>
      <c r="D1580" s="161"/>
      <c r="E1580" s="162"/>
      <c r="F1580" s="163"/>
      <c r="G1580" s="164"/>
      <c r="H1580" s="165"/>
      <c r="I1580" s="164"/>
      <c r="J1580" s="165"/>
      <c r="K1580" s="164"/>
      <c r="L1580" s="165"/>
      <c r="M1580" s="6"/>
      <c r="N1580" s="32"/>
      <c r="Q1580" s="10" t="str">
        <f>+CONCATENATE(E1578,K1578)</f>
        <v/>
      </c>
      <c r="R1580" s="10">
        <f>+L1578</f>
        <v>0</v>
      </c>
      <c r="S1580" s="11"/>
      <c r="T1580" s="10">
        <f>+E1578</f>
        <v>0</v>
      </c>
      <c r="U1580" s="19" t="str">
        <f>IFERROR(LEFT(K1578,FIND("*",K1578)-1),"-")</f>
        <v>-</v>
      </c>
      <c r="V1580" s="19" t="str">
        <f>IFERROR(RIGHT(K1578,LEN(K1578)-FIND("*",K1578)),"-")</f>
        <v>-</v>
      </c>
      <c r="W1580" s="20" t="str">
        <f t="shared" si="856"/>
        <v>-</v>
      </c>
      <c r="X1580" s="20" t="str">
        <f>IFERROR(W1580*L1578,"-")</f>
        <v>-</v>
      </c>
      <c r="Z1580" s="85">
        <v>45187</v>
      </c>
    </row>
    <row r="1581" spans="1:26" ht="6.95" customHeight="1" x14ac:dyDescent="0.3">
      <c r="A1581" s="8"/>
      <c r="B1581" s="157"/>
      <c r="C1581" s="158"/>
      <c r="D1581" s="161" t="s">
        <v>39</v>
      </c>
      <c r="E1581" s="162"/>
      <c r="F1581" s="163" t="s">
        <v>40</v>
      </c>
      <c r="G1581" s="164"/>
      <c r="H1581" s="165"/>
      <c r="I1581" s="164"/>
      <c r="J1581" s="165"/>
      <c r="K1581" s="164"/>
      <c r="L1581" s="165"/>
      <c r="M1581" s="6"/>
      <c r="N1581" s="32"/>
      <c r="Q1581" s="10" t="str">
        <f>+CONCATENATE(E1581,G1581)</f>
        <v/>
      </c>
      <c r="R1581" s="10">
        <f>+H1581</f>
        <v>0</v>
      </c>
      <c r="S1581" s="11"/>
      <c r="T1581" s="10">
        <f>+E1581</f>
        <v>0</v>
      </c>
      <c r="U1581" s="19" t="str">
        <f t="shared" ref="U1581" si="859">IFERROR(LEFT(G1581,FIND("*",G1581)-1),"-")</f>
        <v>-</v>
      </c>
      <c r="V1581" s="19" t="str">
        <f t="shared" ref="V1581" si="860">IFERROR(RIGHT(G1581,LEN(G1581)-FIND("*",G1581)),"-")</f>
        <v>-</v>
      </c>
      <c r="W1581" s="20" t="str">
        <f t="shared" si="856"/>
        <v>-</v>
      </c>
      <c r="X1581" s="20" t="str">
        <f>IFERROR(W1581*H1581,"-")</f>
        <v>-</v>
      </c>
      <c r="Z1581" s="85">
        <v>45187</v>
      </c>
    </row>
    <row r="1582" spans="1:26" ht="6.95" customHeight="1" x14ac:dyDescent="0.3">
      <c r="A1582" s="5"/>
      <c r="B1582" s="157"/>
      <c r="C1582" s="158"/>
      <c r="D1582" s="161"/>
      <c r="E1582" s="162"/>
      <c r="F1582" s="163"/>
      <c r="G1582" s="164"/>
      <c r="H1582" s="165"/>
      <c r="I1582" s="164"/>
      <c r="J1582" s="165"/>
      <c r="K1582" s="164"/>
      <c r="L1582" s="165"/>
      <c r="M1582" s="6"/>
      <c r="N1582" s="32"/>
      <c r="Q1582" s="10" t="str">
        <f>+CONCATENATE(E1581,I1581)</f>
        <v/>
      </c>
      <c r="R1582" s="10">
        <f>+J1581</f>
        <v>0</v>
      </c>
      <c r="S1582" s="11"/>
      <c r="T1582" s="10">
        <f>+E1581</f>
        <v>0</v>
      </c>
      <c r="U1582" s="19" t="str">
        <f>IFERROR(LEFT(I1581,FIND("*",I1581)-1),"-")</f>
        <v>-</v>
      </c>
      <c r="V1582" s="19" t="str">
        <f>IFERROR(RIGHT(I1581,LEN(I1581)-FIND("*",I1581)),"-")</f>
        <v>-</v>
      </c>
      <c r="W1582" s="20" t="str">
        <f t="shared" si="856"/>
        <v>-</v>
      </c>
      <c r="X1582" s="20" t="str">
        <f t="shared" ref="X1582" si="861">IFERROR(W1582*J1581,"-")</f>
        <v>-</v>
      </c>
      <c r="Z1582" s="85">
        <v>45187</v>
      </c>
    </row>
    <row r="1583" spans="1:26" ht="6.95" customHeight="1" x14ac:dyDescent="0.3">
      <c r="A1583" s="5"/>
      <c r="B1583" s="157"/>
      <c r="C1583" s="158"/>
      <c r="D1583" s="161"/>
      <c r="E1583" s="162"/>
      <c r="F1583" s="163"/>
      <c r="G1583" s="164"/>
      <c r="H1583" s="165"/>
      <c r="I1583" s="164"/>
      <c r="J1583" s="165"/>
      <c r="K1583" s="164"/>
      <c r="L1583" s="165"/>
      <c r="M1583" s="6"/>
      <c r="N1583" s="32"/>
      <c r="Q1583" s="10" t="str">
        <f>+CONCATENATE(E1581,K1581)</f>
        <v/>
      </c>
      <c r="R1583" s="10">
        <f>+L1581</f>
        <v>0</v>
      </c>
      <c r="S1583" s="11"/>
      <c r="T1583" s="10">
        <f>+E1581</f>
        <v>0</v>
      </c>
      <c r="U1583" s="19" t="str">
        <f>IFERROR(LEFT(K1581,FIND("*",K1581)-1),"-")</f>
        <v>-</v>
      </c>
      <c r="V1583" s="19" t="str">
        <f>IFERROR(RIGHT(K1581,LEN(K1581)-FIND("*",K1581)),"-")</f>
        <v>-</v>
      </c>
      <c r="W1583" s="20" t="str">
        <f t="shared" si="856"/>
        <v>-</v>
      </c>
      <c r="X1583" s="20" t="str">
        <f>IFERROR(W1583*L1581,"-")</f>
        <v>-</v>
      </c>
      <c r="Z1583" s="85">
        <v>45187</v>
      </c>
    </row>
    <row r="1584" spans="1:26" ht="21" customHeight="1" thickBot="1" x14ac:dyDescent="0.35">
      <c r="A1584" s="5"/>
      <c r="B1584" s="159"/>
      <c r="C1584" s="160"/>
      <c r="D1584" s="166" t="s">
        <v>43</v>
      </c>
      <c r="E1584" s="167"/>
      <c r="F1584" s="167"/>
      <c r="G1584" s="168" t="s">
        <v>288</v>
      </c>
      <c r="H1584" s="168"/>
      <c r="I1584" s="168"/>
      <c r="J1584" s="168"/>
      <c r="K1584" s="168"/>
      <c r="L1584" s="168"/>
      <c r="M1584" s="7"/>
      <c r="N1584" s="32"/>
      <c r="Z1584" s="85">
        <v>45187</v>
      </c>
    </row>
    <row r="1585" spans="1:26" ht="9.9499999999999993" customHeight="1" thickBot="1" x14ac:dyDescent="0.35">
      <c r="B1585" s="9"/>
      <c r="C1585" s="109">
        <v>944</v>
      </c>
      <c r="D1585" s="51"/>
      <c r="E1585" s="12"/>
      <c r="F1585" s="51"/>
      <c r="G1585" s="14"/>
      <c r="H1585" s="14"/>
      <c r="I1585" s="14"/>
      <c r="J1585" s="14"/>
      <c r="K1585" s="14"/>
      <c r="L1585" s="14"/>
      <c r="M1585" s="9"/>
      <c r="N1585" s="32"/>
      <c r="U1585" s="18"/>
      <c r="V1585" s="18"/>
      <c r="Z1585" s="85">
        <v>45187</v>
      </c>
    </row>
    <row r="1586" spans="1:26" ht="6.95" customHeight="1" x14ac:dyDescent="0.3">
      <c r="A1586" s="154">
        <f>+A1575+1</f>
        <v>945</v>
      </c>
      <c r="B1586" s="155"/>
      <c r="C1586" s="156"/>
      <c r="D1586" s="161" t="s">
        <v>39</v>
      </c>
      <c r="E1586" s="162" t="s">
        <v>186</v>
      </c>
      <c r="F1586" s="163" t="s">
        <v>40</v>
      </c>
      <c r="G1586" s="164">
        <v>100</v>
      </c>
      <c r="H1586" s="165">
        <v>2</v>
      </c>
      <c r="I1586" s="164"/>
      <c r="J1586" s="165"/>
      <c r="K1586" s="164"/>
      <c r="L1586" s="165"/>
      <c r="M1586" s="6"/>
      <c r="N1586" s="32"/>
      <c r="Q1586" s="10" t="str">
        <f>+CONCATENATE(E1586,G1586)</f>
        <v>금속관벽체100</v>
      </c>
      <c r="R1586" s="10">
        <f>+H1586</f>
        <v>2</v>
      </c>
      <c r="S1586" s="11"/>
      <c r="T1586" s="10" t="str">
        <f>+E1586</f>
        <v>금속관벽체</v>
      </c>
      <c r="U1586" s="19" t="str">
        <f>IFERROR(LEFT(G1586,FIND("*",G1586)-1),"-")</f>
        <v>-</v>
      </c>
      <c r="V1586" s="19" t="str">
        <f>IFERROR(RIGHT(G1586,LEN(G1586)-FIND("*",G1586)),"-")</f>
        <v>-</v>
      </c>
      <c r="W1586" s="20" t="str">
        <f>IFERROR((U1586+V1586)*2/1000,"-")</f>
        <v>-</v>
      </c>
      <c r="X1586" s="20" t="str">
        <f>IFERROR(W1586*H1586,"-")</f>
        <v>-</v>
      </c>
      <c r="Z1586" s="85">
        <v>45187</v>
      </c>
    </row>
    <row r="1587" spans="1:26" ht="6.95" customHeight="1" x14ac:dyDescent="0.3">
      <c r="A1587" s="154"/>
      <c r="B1587" s="157"/>
      <c r="C1587" s="158"/>
      <c r="D1587" s="161"/>
      <c r="E1587" s="162"/>
      <c r="F1587" s="163"/>
      <c r="G1587" s="164"/>
      <c r="H1587" s="165"/>
      <c r="I1587" s="164"/>
      <c r="J1587" s="165"/>
      <c r="K1587" s="164"/>
      <c r="L1587" s="165"/>
      <c r="M1587" s="6"/>
      <c r="N1587" s="32"/>
      <c r="Q1587" s="10" t="str">
        <f>+CONCATENATE(E1586,I1586)</f>
        <v>금속관벽체</v>
      </c>
      <c r="R1587" s="10">
        <f>+J1586</f>
        <v>0</v>
      </c>
      <c r="S1587" s="11"/>
      <c r="T1587" s="10" t="str">
        <f>+E1586</f>
        <v>금속관벽체</v>
      </c>
      <c r="U1587" s="19" t="str">
        <f>IFERROR(LEFT(I1586,FIND("*",I1586)-1),"-")</f>
        <v>-</v>
      </c>
      <c r="V1587" s="19" t="str">
        <f>IFERROR(RIGHT(I1586,LEN(I1586)-FIND("*",I1586)),"-")</f>
        <v>-</v>
      </c>
      <c r="W1587" s="20" t="str">
        <f t="shared" ref="W1587:W1594" si="862">IFERROR((U1587+V1587)*2/1000,"-")</f>
        <v>-</v>
      </c>
      <c r="X1587" s="20" t="str">
        <f>IFERROR(W1587*J1586,"-")</f>
        <v>-</v>
      </c>
      <c r="Z1587" s="85">
        <v>45187</v>
      </c>
    </row>
    <row r="1588" spans="1:26" ht="6.95" customHeight="1" x14ac:dyDescent="0.3">
      <c r="A1588" s="154"/>
      <c r="B1588" s="157"/>
      <c r="C1588" s="158"/>
      <c r="D1588" s="161"/>
      <c r="E1588" s="162"/>
      <c r="F1588" s="163"/>
      <c r="G1588" s="164"/>
      <c r="H1588" s="165"/>
      <c r="I1588" s="164"/>
      <c r="J1588" s="165"/>
      <c r="K1588" s="164"/>
      <c r="L1588" s="165"/>
      <c r="M1588" s="6"/>
      <c r="N1588" s="32"/>
      <c r="Q1588" s="10" t="str">
        <f>+CONCATENATE(E1586,K1586)</f>
        <v>금속관벽체</v>
      </c>
      <c r="R1588" s="10">
        <f>+L1586</f>
        <v>0</v>
      </c>
      <c r="S1588" s="11"/>
      <c r="T1588" s="10" t="str">
        <f>+E1586</f>
        <v>금속관벽체</v>
      </c>
      <c r="U1588" s="19" t="str">
        <f>IFERROR(LEFT(K1586,FIND("*",K1586)-1),"-")</f>
        <v>-</v>
      </c>
      <c r="V1588" s="19" t="str">
        <f>IFERROR(RIGHT(K1586,LEN(K1586)-FIND("*",K1586)),"-")</f>
        <v>-</v>
      </c>
      <c r="W1588" s="20" t="str">
        <f t="shared" si="862"/>
        <v>-</v>
      </c>
      <c r="X1588" s="20" t="str">
        <f>IFERROR(W1588*L1586,"-")</f>
        <v>-</v>
      </c>
      <c r="Z1588" s="85">
        <v>45187</v>
      </c>
    </row>
    <row r="1589" spans="1:26" ht="6.95" customHeight="1" x14ac:dyDescent="0.3">
      <c r="A1589" s="8"/>
      <c r="B1589" s="157"/>
      <c r="C1589" s="158"/>
      <c r="D1589" s="161" t="s">
        <v>39</v>
      </c>
      <c r="E1589" s="162" t="s">
        <v>111</v>
      </c>
      <c r="F1589" s="163" t="s">
        <v>40</v>
      </c>
      <c r="G1589" s="164" t="s">
        <v>191</v>
      </c>
      <c r="H1589" s="165">
        <v>1</v>
      </c>
      <c r="I1589" s="164"/>
      <c r="J1589" s="165"/>
      <c r="K1589" s="164"/>
      <c r="L1589" s="165"/>
      <c r="M1589" s="6"/>
      <c r="N1589" s="32"/>
      <c r="Q1589" s="10" t="str">
        <f>+CONCATENATE(E1589,G1589)</f>
        <v>보온덕트벽체800*400</v>
      </c>
      <c r="R1589" s="10">
        <f>+H1589</f>
        <v>1</v>
      </c>
      <c r="S1589" s="11"/>
      <c r="T1589" s="10" t="str">
        <f>+E1589</f>
        <v>보온덕트벽체</v>
      </c>
      <c r="U1589" s="19" t="str">
        <f t="shared" ref="U1589" si="863">IFERROR(LEFT(G1589,FIND("*",G1589)-1),"-")</f>
        <v>800</v>
      </c>
      <c r="V1589" s="19" t="str">
        <f t="shared" ref="V1589" si="864">IFERROR(RIGHT(G1589,LEN(G1589)-FIND("*",G1589)),"-")</f>
        <v>400</v>
      </c>
      <c r="W1589" s="20">
        <f t="shared" si="862"/>
        <v>2.4</v>
      </c>
      <c r="X1589" s="20">
        <f>IFERROR(W1589*H1589,"-")</f>
        <v>2.4</v>
      </c>
      <c r="Z1589" s="85">
        <v>45187</v>
      </c>
    </row>
    <row r="1590" spans="1:26" ht="6.95" customHeight="1" x14ac:dyDescent="0.3">
      <c r="A1590" s="5"/>
      <c r="B1590" s="157"/>
      <c r="C1590" s="158"/>
      <c r="D1590" s="161"/>
      <c r="E1590" s="162"/>
      <c r="F1590" s="163"/>
      <c r="G1590" s="164"/>
      <c r="H1590" s="165"/>
      <c r="I1590" s="164"/>
      <c r="J1590" s="165"/>
      <c r="K1590" s="164"/>
      <c r="L1590" s="165"/>
      <c r="M1590" s="6"/>
      <c r="N1590" s="32"/>
      <c r="Q1590" s="10" t="str">
        <f>+CONCATENATE(E1589,I1589)</f>
        <v>보온덕트벽체</v>
      </c>
      <c r="R1590" s="10">
        <f>+J1589</f>
        <v>0</v>
      </c>
      <c r="S1590" s="11"/>
      <c r="T1590" s="10" t="str">
        <f>+E1589</f>
        <v>보온덕트벽체</v>
      </c>
      <c r="U1590" s="19" t="str">
        <f>IFERROR(LEFT(I1589,FIND("*",I1589)-1),"-")</f>
        <v>-</v>
      </c>
      <c r="V1590" s="19" t="str">
        <f>IFERROR(RIGHT(I1589,LEN(I1589)-FIND("*",I1589)),"-")</f>
        <v>-</v>
      </c>
      <c r="W1590" s="20" t="str">
        <f t="shared" si="862"/>
        <v>-</v>
      </c>
      <c r="X1590" s="20" t="str">
        <f>IFERROR(W1590*J1589,"-")</f>
        <v>-</v>
      </c>
      <c r="Z1590" s="85">
        <v>45187</v>
      </c>
    </row>
    <row r="1591" spans="1:26" ht="6.95" customHeight="1" x14ac:dyDescent="0.3">
      <c r="A1591" s="5"/>
      <c r="B1591" s="157"/>
      <c r="C1591" s="158"/>
      <c r="D1591" s="161"/>
      <c r="E1591" s="162"/>
      <c r="F1591" s="163"/>
      <c r="G1591" s="164"/>
      <c r="H1591" s="165"/>
      <c r="I1591" s="164"/>
      <c r="J1591" s="165"/>
      <c r="K1591" s="164"/>
      <c r="L1591" s="165"/>
      <c r="M1591" s="6"/>
      <c r="N1591" s="32"/>
      <c r="Q1591" s="10" t="str">
        <f>+CONCATENATE(E1589,K1589)</f>
        <v>보온덕트벽체</v>
      </c>
      <c r="R1591" s="10">
        <f>+L1589</f>
        <v>0</v>
      </c>
      <c r="S1591" s="11"/>
      <c r="T1591" s="10" t="str">
        <f>+E1589</f>
        <v>보온덕트벽체</v>
      </c>
      <c r="U1591" s="19" t="str">
        <f>IFERROR(LEFT(K1589,FIND("*",K1589)-1),"-")</f>
        <v>-</v>
      </c>
      <c r="V1591" s="19" t="str">
        <f>IFERROR(RIGHT(K1589,LEN(K1589)-FIND("*",K1589)),"-")</f>
        <v>-</v>
      </c>
      <c r="W1591" s="20" t="str">
        <f t="shared" si="862"/>
        <v>-</v>
      </c>
      <c r="X1591" s="20" t="str">
        <f>IFERROR(W1591*L1589,"-")</f>
        <v>-</v>
      </c>
      <c r="Z1591" s="85">
        <v>45187</v>
      </c>
    </row>
    <row r="1592" spans="1:26" ht="6.95" customHeight="1" x14ac:dyDescent="0.3">
      <c r="A1592" s="8"/>
      <c r="B1592" s="157"/>
      <c r="C1592" s="158"/>
      <c r="D1592" s="161" t="s">
        <v>39</v>
      </c>
      <c r="E1592" s="162" t="s">
        <v>188</v>
      </c>
      <c r="F1592" s="163" t="s">
        <v>40</v>
      </c>
      <c r="G1592" s="164" t="s">
        <v>191</v>
      </c>
      <c r="H1592" s="165">
        <v>2</v>
      </c>
      <c r="I1592" s="164"/>
      <c r="J1592" s="165"/>
      <c r="K1592" s="164"/>
      <c r="L1592" s="165"/>
      <c r="M1592" s="6"/>
      <c r="N1592" s="32"/>
      <c r="Q1592" s="10" t="str">
        <f>+CONCATENATE(E1592,G1592)</f>
        <v>차열재마감800*400</v>
      </c>
      <c r="R1592" s="10">
        <f>+H1592</f>
        <v>2</v>
      </c>
      <c r="S1592" s="11"/>
      <c r="T1592" s="10" t="str">
        <f>+E1592</f>
        <v>차열재마감</v>
      </c>
      <c r="U1592" s="19" t="str">
        <f t="shared" ref="U1592" si="865">IFERROR(LEFT(G1592,FIND("*",G1592)-1),"-")</f>
        <v>800</v>
      </c>
      <c r="V1592" s="19" t="str">
        <f t="shared" ref="V1592" si="866">IFERROR(RIGHT(G1592,LEN(G1592)-FIND("*",G1592)),"-")</f>
        <v>400</v>
      </c>
      <c r="W1592" s="20">
        <f t="shared" si="862"/>
        <v>2.4</v>
      </c>
      <c r="X1592" s="20">
        <f>IFERROR(W1592*H1592,"-")</f>
        <v>4.8</v>
      </c>
      <c r="Z1592" s="85">
        <v>45187</v>
      </c>
    </row>
    <row r="1593" spans="1:26" ht="6.95" customHeight="1" x14ac:dyDescent="0.3">
      <c r="A1593" s="5"/>
      <c r="B1593" s="157"/>
      <c r="C1593" s="158"/>
      <c r="D1593" s="161"/>
      <c r="E1593" s="162"/>
      <c r="F1593" s="163"/>
      <c r="G1593" s="164"/>
      <c r="H1593" s="165"/>
      <c r="I1593" s="164"/>
      <c r="J1593" s="165"/>
      <c r="K1593" s="164"/>
      <c r="L1593" s="165"/>
      <c r="M1593" s="6"/>
      <c r="N1593" s="32"/>
      <c r="Q1593" s="10" t="str">
        <f>+CONCATENATE(E1592,I1592)</f>
        <v>차열재마감</v>
      </c>
      <c r="R1593" s="10">
        <f>+J1592</f>
        <v>0</v>
      </c>
      <c r="S1593" s="11"/>
      <c r="T1593" s="10" t="str">
        <f>+E1592</f>
        <v>차열재마감</v>
      </c>
      <c r="U1593" s="19" t="str">
        <f>IFERROR(LEFT(I1592,FIND("*",I1592)-1),"-")</f>
        <v>-</v>
      </c>
      <c r="V1593" s="19" t="str">
        <f>IFERROR(RIGHT(I1592,LEN(I1592)-FIND("*",I1592)),"-")</f>
        <v>-</v>
      </c>
      <c r="W1593" s="20" t="str">
        <f t="shared" si="862"/>
        <v>-</v>
      </c>
      <c r="X1593" s="20" t="str">
        <f t="shared" ref="X1593" si="867">IFERROR(W1593*J1592,"-")</f>
        <v>-</v>
      </c>
      <c r="Z1593" s="85">
        <v>45187</v>
      </c>
    </row>
    <row r="1594" spans="1:26" ht="6.95" customHeight="1" x14ac:dyDescent="0.3">
      <c r="A1594" s="5"/>
      <c r="B1594" s="157"/>
      <c r="C1594" s="158"/>
      <c r="D1594" s="161"/>
      <c r="E1594" s="162"/>
      <c r="F1594" s="163"/>
      <c r="G1594" s="164"/>
      <c r="H1594" s="165"/>
      <c r="I1594" s="164"/>
      <c r="J1594" s="165"/>
      <c r="K1594" s="164"/>
      <c r="L1594" s="165"/>
      <c r="M1594" s="6"/>
      <c r="N1594" s="32"/>
      <c r="Q1594" s="10" t="str">
        <f>+CONCATENATE(E1592,K1592)</f>
        <v>차열재마감</v>
      </c>
      <c r="R1594" s="10">
        <f>+L1592</f>
        <v>0</v>
      </c>
      <c r="S1594" s="11"/>
      <c r="T1594" s="10" t="str">
        <f>+E1592</f>
        <v>차열재마감</v>
      </c>
      <c r="U1594" s="19" t="str">
        <f>IFERROR(LEFT(K1592,FIND("*",K1592)-1),"-")</f>
        <v>-</v>
      </c>
      <c r="V1594" s="19" t="str">
        <f>IFERROR(RIGHT(K1592,LEN(K1592)-FIND("*",K1592)),"-")</f>
        <v>-</v>
      </c>
      <c r="W1594" s="20" t="str">
        <f t="shared" si="862"/>
        <v>-</v>
      </c>
      <c r="X1594" s="20" t="str">
        <f>IFERROR(W1594*L1592,"-")</f>
        <v>-</v>
      </c>
      <c r="Z1594" s="85">
        <v>45187</v>
      </c>
    </row>
    <row r="1595" spans="1:26" ht="21" customHeight="1" thickBot="1" x14ac:dyDescent="0.35">
      <c r="A1595" s="5"/>
      <c r="B1595" s="159"/>
      <c r="C1595" s="160"/>
      <c r="D1595" s="166" t="s">
        <v>43</v>
      </c>
      <c r="E1595" s="167"/>
      <c r="F1595" s="167"/>
      <c r="G1595" s="168" t="s">
        <v>288</v>
      </c>
      <c r="H1595" s="168"/>
      <c r="I1595" s="168"/>
      <c r="J1595" s="168"/>
      <c r="K1595" s="168"/>
      <c r="L1595" s="168"/>
      <c r="M1595" s="7"/>
      <c r="N1595" s="32"/>
      <c r="Z1595" s="85">
        <v>45187</v>
      </c>
    </row>
    <row r="1596" spans="1:26" ht="9.9499999999999993" customHeight="1" thickBot="1" x14ac:dyDescent="0.35">
      <c r="B1596" s="9"/>
      <c r="C1596" s="109">
        <v>945</v>
      </c>
      <c r="D1596" s="51"/>
      <c r="E1596" s="12"/>
      <c r="F1596" s="51"/>
      <c r="G1596" s="14"/>
      <c r="H1596" s="14"/>
      <c r="I1596" s="14"/>
      <c r="J1596" s="14"/>
      <c r="K1596" s="14"/>
      <c r="L1596" s="14"/>
      <c r="M1596" s="9"/>
      <c r="N1596" s="32"/>
      <c r="U1596" s="18"/>
      <c r="V1596" s="18"/>
      <c r="Z1596" s="85">
        <v>45187</v>
      </c>
    </row>
    <row r="1597" spans="1:26" ht="6.95" customHeight="1" x14ac:dyDescent="0.3">
      <c r="A1597" s="154">
        <f>+A1586+1</f>
        <v>946</v>
      </c>
      <c r="B1597" s="155"/>
      <c r="C1597" s="156"/>
      <c r="D1597" s="161" t="s">
        <v>39</v>
      </c>
      <c r="E1597" s="162" t="s">
        <v>115</v>
      </c>
      <c r="F1597" s="163" t="s">
        <v>40</v>
      </c>
      <c r="G1597" s="164" t="s">
        <v>197</v>
      </c>
      <c r="H1597" s="165">
        <v>1</v>
      </c>
      <c r="I1597" s="164"/>
      <c r="J1597" s="165"/>
      <c r="K1597" s="164"/>
      <c r="L1597" s="165"/>
      <c r="M1597" s="6"/>
      <c r="N1597" s="32"/>
      <c r="Q1597" s="10" t="str">
        <f>+CONCATENATE(E1597,G1597)</f>
        <v>무보온덕트벽체2000*600</v>
      </c>
      <c r="R1597" s="10">
        <f>+H1597</f>
        <v>1</v>
      </c>
      <c r="S1597" s="11"/>
      <c r="T1597" s="10" t="str">
        <f>+E1597</f>
        <v>무보온덕트벽체</v>
      </c>
      <c r="U1597" s="19" t="str">
        <f>IFERROR(LEFT(G1597,FIND("*",G1597)-1),"-")</f>
        <v>2000</v>
      </c>
      <c r="V1597" s="19" t="str">
        <f>IFERROR(RIGHT(G1597,LEN(G1597)-FIND("*",G1597)),"-")</f>
        <v>600</v>
      </c>
      <c r="W1597" s="20">
        <f>IFERROR((U1597+V1597)*2/1000,"-")</f>
        <v>5.2</v>
      </c>
      <c r="X1597" s="20">
        <f>IFERROR(W1597*H1597,"-")</f>
        <v>5.2</v>
      </c>
      <c r="Z1597" s="85">
        <v>45187</v>
      </c>
    </row>
    <row r="1598" spans="1:26" ht="6.95" customHeight="1" x14ac:dyDescent="0.3">
      <c r="A1598" s="154"/>
      <c r="B1598" s="157"/>
      <c r="C1598" s="158"/>
      <c r="D1598" s="161"/>
      <c r="E1598" s="162"/>
      <c r="F1598" s="163"/>
      <c r="G1598" s="164"/>
      <c r="H1598" s="165"/>
      <c r="I1598" s="164"/>
      <c r="J1598" s="165"/>
      <c r="K1598" s="164"/>
      <c r="L1598" s="165"/>
      <c r="M1598" s="6"/>
      <c r="N1598" s="32"/>
      <c r="Q1598" s="10" t="str">
        <f>+CONCATENATE(E1597,I1597)</f>
        <v>무보온덕트벽체</v>
      </c>
      <c r="R1598" s="10">
        <f>+J1597</f>
        <v>0</v>
      </c>
      <c r="S1598" s="11"/>
      <c r="T1598" s="10" t="str">
        <f>+E1597</f>
        <v>무보온덕트벽체</v>
      </c>
      <c r="U1598" s="19" t="str">
        <f>IFERROR(LEFT(I1597,FIND("*",I1597)-1),"-")</f>
        <v>-</v>
      </c>
      <c r="V1598" s="19" t="str">
        <f>IFERROR(RIGHT(I1597,LEN(I1597)-FIND("*",I1597)),"-")</f>
        <v>-</v>
      </c>
      <c r="W1598" s="20" t="str">
        <f t="shared" ref="W1598:W1605" si="868">IFERROR((U1598+V1598)*2/1000,"-")</f>
        <v>-</v>
      </c>
      <c r="X1598" s="20" t="str">
        <f>IFERROR(W1598*J1597,"-")</f>
        <v>-</v>
      </c>
      <c r="Z1598" s="85">
        <v>45187</v>
      </c>
    </row>
    <row r="1599" spans="1:26" ht="6.95" customHeight="1" x14ac:dyDescent="0.3">
      <c r="A1599" s="154"/>
      <c r="B1599" s="157"/>
      <c r="C1599" s="158"/>
      <c r="D1599" s="161"/>
      <c r="E1599" s="162"/>
      <c r="F1599" s="163"/>
      <c r="G1599" s="164"/>
      <c r="H1599" s="165"/>
      <c r="I1599" s="164"/>
      <c r="J1599" s="165"/>
      <c r="K1599" s="164"/>
      <c r="L1599" s="165"/>
      <c r="M1599" s="6"/>
      <c r="N1599" s="32"/>
      <c r="Q1599" s="10" t="str">
        <f>+CONCATENATE(E1597,K1597)</f>
        <v>무보온덕트벽체</v>
      </c>
      <c r="R1599" s="10">
        <f>+L1597</f>
        <v>0</v>
      </c>
      <c r="S1599" s="11"/>
      <c r="T1599" s="10" t="str">
        <f>+E1597</f>
        <v>무보온덕트벽체</v>
      </c>
      <c r="U1599" s="19" t="str">
        <f>IFERROR(LEFT(K1597,FIND("*",K1597)-1),"-")</f>
        <v>-</v>
      </c>
      <c r="V1599" s="19" t="str">
        <f>IFERROR(RIGHT(K1597,LEN(K1597)-FIND("*",K1597)),"-")</f>
        <v>-</v>
      </c>
      <c r="W1599" s="20" t="str">
        <f t="shared" si="868"/>
        <v>-</v>
      </c>
      <c r="X1599" s="20" t="str">
        <f>IFERROR(W1599*L1597,"-")</f>
        <v>-</v>
      </c>
      <c r="Z1599" s="85">
        <v>45187</v>
      </c>
    </row>
    <row r="1600" spans="1:26" ht="6.95" customHeight="1" x14ac:dyDescent="0.3">
      <c r="A1600" s="8"/>
      <c r="B1600" s="157"/>
      <c r="C1600" s="158"/>
      <c r="D1600" s="161" t="s">
        <v>39</v>
      </c>
      <c r="E1600" s="162" t="s">
        <v>188</v>
      </c>
      <c r="F1600" s="163" t="s">
        <v>40</v>
      </c>
      <c r="G1600" s="164" t="s">
        <v>197</v>
      </c>
      <c r="H1600" s="165">
        <v>1</v>
      </c>
      <c r="I1600" s="164"/>
      <c r="J1600" s="165"/>
      <c r="K1600" s="164"/>
      <c r="L1600" s="165"/>
      <c r="M1600" s="6"/>
      <c r="N1600" s="32"/>
      <c r="Q1600" s="10" t="str">
        <f>+CONCATENATE(E1600,G1600)</f>
        <v>차열재마감2000*600</v>
      </c>
      <c r="R1600" s="10">
        <f>+H1600</f>
        <v>1</v>
      </c>
      <c r="S1600" s="11"/>
      <c r="T1600" s="10" t="str">
        <f>+E1600</f>
        <v>차열재마감</v>
      </c>
      <c r="U1600" s="19" t="str">
        <f t="shared" ref="U1600" si="869">IFERROR(LEFT(G1600,FIND("*",G1600)-1),"-")</f>
        <v>2000</v>
      </c>
      <c r="V1600" s="19" t="str">
        <f t="shared" ref="V1600" si="870">IFERROR(RIGHT(G1600,LEN(G1600)-FIND("*",G1600)),"-")</f>
        <v>600</v>
      </c>
      <c r="W1600" s="20">
        <f t="shared" si="868"/>
        <v>5.2</v>
      </c>
      <c r="X1600" s="20">
        <f>IFERROR(W1600*H1600,"-")</f>
        <v>5.2</v>
      </c>
      <c r="Z1600" s="85">
        <v>45187</v>
      </c>
    </row>
    <row r="1601" spans="1:26" ht="6.95" customHeight="1" x14ac:dyDescent="0.3">
      <c r="A1601" s="5"/>
      <c r="B1601" s="157"/>
      <c r="C1601" s="158"/>
      <c r="D1601" s="161"/>
      <c r="E1601" s="162"/>
      <c r="F1601" s="163"/>
      <c r="G1601" s="164"/>
      <c r="H1601" s="165"/>
      <c r="I1601" s="164"/>
      <c r="J1601" s="165"/>
      <c r="K1601" s="164"/>
      <c r="L1601" s="165"/>
      <c r="M1601" s="6"/>
      <c r="N1601" s="32"/>
      <c r="Q1601" s="10" t="str">
        <f>+CONCATENATE(E1600,I1600)</f>
        <v>차열재마감</v>
      </c>
      <c r="R1601" s="10">
        <f>+J1600</f>
        <v>0</v>
      </c>
      <c r="S1601" s="11"/>
      <c r="T1601" s="10" t="str">
        <f>+E1600</f>
        <v>차열재마감</v>
      </c>
      <c r="U1601" s="19" t="str">
        <f>IFERROR(LEFT(I1600,FIND("*",I1600)-1),"-")</f>
        <v>-</v>
      </c>
      <c r="V1601" s="19" t="str">
        <f>IFERROR(RIGHT(I1600,LEN(I1600)-FIND("*",I1600)),"-")</f>
        <v>-</v>
      </c>
      <c r="W1601" s="20" t="str">
        <f t="shared" si="868"/>
        <v>-</v>
      </c>
      <c r="X1601" s="20" t="str">
        <f>IFERROR(W1601*J1600,"-")</f>
        <v>-</v>
      </c>
      <c r="Z1601" s="85">
        <v>45187</v>
      </c>
    </row>
    <row r="1602" spans="1:26" ht="6.95" customHeight="1" x14ac:dyDescent="0.3">
      <c r="A1602" s="5"/>
      <c r="B1602" s="157"/>
      <c r="C1602" s="158"/>
      <c r="D1602" s="161"/>
      <c r="E1602" s="162"/>
      <c r="F1602" s="163"/>
      <c r="G1602" s="164"/>
      <c r="H1602" s="165"/>
      <c r="I1602" s="164"/>
      <c r="J1602" s="165"/>
      <c r="K1602" s="164"/>
      <c r="L1602" s="165"/>
      <c r="M1602" s="6"/>
      <c r="N1602" s="32"/>
      <c r="Q1602" s="10" t="str">
        <f>+CONCATENATE(E1600,K1600)</f>
        <v>차열재마감</v>
      </c>
      <c r="R1602" s="10">
        <f>+L1600</f>
        <v>0</v>
      </c>
      <c r="S1602" s="11"/>
      <c r="T1602" s="10" t="str">
        <f>+E1600</f>
        <v>차열재마감</v>
      </c>
      <c r="U1602" s="19" t="str">
        <f>IFERROR(LEFT(K1600,FIND("*",K1600)-1),"-")</f>
        <v>-</v>
      </c>
      <c r="V1602" s="19" t="str">
        <f>IFERROR(RIGHT(K1600,LEN(K1600)-FIND("*",K1600)),"-")</f>
        <v>-</v>
      </c>
      <c r="W1602" s="20" t="str">
        <f t="shared" si="868"/>
        <v>-</v>
      </c>
      <c r="X1602" s="20" t="str">
        <f>IFERROR(W1602*L1600,"-")</f>
        <v>-</v>
      </c>
      <c r="Z1602" s="85">
        <v>45187</v>
      </c>
    </row>
    <row r="1603" spans="1:26" ht="6.95" customHeight="1" x14ac:dyDescent="0.3">
      <c r="A1603" s="8"/>
      <c r="B1603" s="157"/>
      <c r="C1603" s="158"/>
      <c r="D1603" s="161" t="s">
        <v>39</v>
      </c>
      <c r="E1603" s="162"/>
      <c r="F1603" s="163" t="s">
        <v>40</v>
      </c>
      <c r="G1603" s="164"/>
      <c r="H1603" s="165"/>
      <c r="I1603" s="164"/>
      <c r="J1603" s="165"/>
      <c r="K1603" s="164"/>
      <c r="L1603" s="165"/>
      <c r="M1603" s="6"/>
      <c r="N1603" s="32"/>
      <c r="Q1603" s="10" t="str">
        <f>+CONCATENATE(E1603,G1603)</f>
        <v/>
      </c>
      <c r="R1603" s="10">
        <f>+H1603</f>
        <v>0</v>
      </c>
      <c r="S1603" s="11"/>
      <c r="T1603" s="10">
        <f>+E1603</f>
        <v>0</v>
      </c>
      <c r="U1603" s="19" t="str">
        <f t="shared" ref="U1603" si="871">IFERROR(LEFT(G1603,FIND("*",G1603)-1),"-")</f>
        <v>-</v>
      </c>
      <c r="V1603" s="19" t="str">
        <f t="shared" ref="V1603" si="872">IFERROR(RIGHT(G1603,LEN(G1603)-FIND("*",G1603)),"-")</f>
        <v>-</v>
      </c>
      <c r="W1603" s="20" t="str">
        <f t="shared" si="868"/>
        <v>-</v>
      </c>
      <c r="X1603" s="20" t="str">
        <f>IFERROR(W1603*H1603,"-")</f>
        <v>-</v>
      </c>
      <c r="Z1603" s="85">
        <v>45187</v>
      </c>
    </row>
    <row r="1604" spans="1:26" ht="6.95" customHeight="1" x14ac:dyDescent="0.3">
      <c r="A1604" s="5"/>
      <c r="B1604" s="157"/>
      <c r="C1604" s="158"/>
      <c r="D1604" s="161"/>
      <c r="E1604" s="162"/>
      <c r="F1604" s="163"/>
      <c r="G1604" s="164"/>
      <c r="H1604" s="165"/>
      <c r="I1604" s="164"/>
      <c r="J1604" s="165"/>
      <c r="K1604" s="164"/>
      <c r="L1604" s="165"/>
      <c r="M1604" s="6"/>
      <c r="N1604" s="32"/>
      <c r="Q1604" s="10" t="str">
        <f>+CONCATENATE(E1603,I1603)</f>
        <v/>
      </c>
      <c r="R1604" s="10">
        <f>+J1603</f>
        <v>0</v>
      </c>
      <c r="S1604" s="11"/>
      <c r="T1604" s="10">
        <f>+E1603</f>
        <v>0</v>
      </c>
      <c r="U1604" s="19" t="str">
        <f>IFERROR(LEFT(I1603,FIND("*",I1603)-1),"-")</f>
        <v>-</v>
      </c>
      <c r="V1604" s="19" t="str">
        <f>IFERROR(RIGHT(I1603,LEN(I1603)-FIND("*",I1603)),"-")</f>
        <v>-</v>
      </c>
      <c r="W1604" s="20" t="str">
        <f t="shared" si="868"/>
        <v>-</v>
      </c>
      <c r="X1604" s="20" t="str">
        <f t="shared" ref="X1604" si="873">IFERROR(W1604*J1603,"-")</f>
        <v>-</v>
      </c>
      <c r="Z1604" s="85">
        <v>45187</v>
      </c>
    </row>
    <row r="1605" spans="1:26" ht="6.95" customHeight="1" x14ac:dyDescent="0.3">
      <c r="A1605" s="5"/>
      <c r="B1605" s="157"/>
      <c r="C1605" s="158"/>
      <c r="D1605" s="161"/>
      <c r="E1605" s="162"/>
      <c r="F1605" s="163"/>
      <c r="G1605" s="164"/>
      <c r="H1605" s="165"/>
      <c r="I1605" s="164"/>
      <c r="J1605" s="165"/>
      <c r="K1605" s="164"/>
      <c r="L1605" s="165"/>
      <c r="M1605" s="6"/>
      <c r="N1605" s="32"/>
      <c r="Q1605" s="10" t="str">
        <f>+CONCATENATE(E1603,K1603)</f>
        <v/>
      </c>
      <c r="R1605" s="10">
        <f>+L1603</f>
        <v>0</v>
      </c>
      <c r="S1605" s="11"/>
      <c r="T1605" s="10">
        <f>+E1603</f>
        <v>0</v>
      </c>
      <c r="U1605" s="19" t="str">
        <f>IFERROR(LEFT(K1603,FIND("*",K1603)-1),"-")</f>
        <v>-</v>
      </c>
      <c r="V1605" s="19" t="str">
        <f>IFERROR(RIGHT(K1603,LEN(K1603)-FIND("*",K1603)),"-")</f>
        <v>-</v>
      </c>
      <c r="W1605" s="20" t="str">
        <f t="shared" si="868"/>
        <v>-</v>
      </c>
      <c r="X1605" s="20" t="str">
        <f>IFERROR(W1605*L1603,"-")</f>
        <v>-</v>
      </c>
      <c r="Z1605" s="85">
        <v>45187</v>
      </c>
    </row>
    <row r="1606" spans="1:26" ht="21" customHeight="1" thickBot="1" x14ac:dyDescent="0.35">
      <c r="A1606" s="5"/>
      <c r="B1606" s="159"/>
      <c r="C1606" s="160"/>
      <c r="D1606" s="166" t="s">
        <v>43</v>
      </c>
      <c r="E1606" s="167"/>
      <c r="F1606" s="167"/>
      <c r="G1606" s="168" t="s">
        <v>288</v>
      </c>
      <c r="H1606" s="168"/>
      <c r="I1606" s="168"/>
      <c r="J1606" s="168"/>
      <c r="K1606" s="168"/>
      <c r="L1606" s="168"/>
      <c r="M1606" s="7"/>
      <c r="N1606" s="32"/>
      <c r="Z1606" s="85">
        <v>45187</v>
      </c>
    </row>
    <row r="1607" spans="1:26" ht="9.9499999999999993" customHeight="1" thickBot="1" x14ac:dyDescent="0.35">
      <c r="B1607" s="9"/>
      <c r="C1607" s="109">
        <v>946</v>
      </c>
      <c r="D1607" s="51"/>
      <c r="E1607" s="12"/>
      <c r="F1607" s="51"/>
      <c r="G1607" s="14"/>
      <c r="H1607" s="14"/>
      <c r="I1607" s="14"/>
      <c r="J1607" s="14"/>
      <c r="K1607" s="14"/>
      <c r="L1607" s="14"/>
      <c r="M1607" s="9"/>
      <c r="N1607" s="32"/>
      <c r="U1607" s="18"/>
      <c r="V1607" s="18"/>
      <c r="Z1607" s="85">
        <v>45187</v>
      </c>
    </row>
    <row r="1608" spans="1:26" ht="6.95" customHeight="1" x14ac:dyDescent="0.3">
      <c r="A1608" s="154">
        <f>+A1597+1</f>
        <v>947</v>
      </c>
      <c r="B1608" s="155"/>
      <c r="C1608" s="156"/>
      <c r="D1608" s="161" t="s">
        <v>39</v>
      </c>
      <c r="E1608" s="162" t="s">
        <v>186</v>
      </c>
      <c r="F1608" s="163" t="s">
        <v>40</v>
      </c>
      <c r="G1608" s="164">
        <v>150</v>
      </c>
      <c r="H1608" s="165">
        <v>1</v>
      </c>
      <c r="I1608" s="164">
        <v>50</v>
      </c>
      <c r="J1608" s="165">
        <v>1</v>
      </c>
      <c r="K1608" s="164"/>
      <c r="L1608" s="165"/>
      <c r="M1608" s="6"/>
      <c r="N1608" s="32"/>
      <c r="Q1608" s="10" t="str">
        <f>+CONCATENATE(E1608,G1608)</f>
        <v>금속관벽체150</v>
      </c>
      <c r="R1608" s="10">
        <f>+H1608</f>
        <v>1</v>
      </c>
      <c r="S1608" s="11"/>
      <c r="T1608" s="10" t="str">
        <f>+E1608</f>
        <v>금속관벽체</v>
      </c>
      <c r="U1608" s="19" t="str">
        <f>IFERROR(LEFT(G1608,FIND("*",G1608)-1),"-")</f>
        <v>-</v>
      </c>
      <c r="V1608" s="19" t="str">
        <f>IFERROR(RIGHT(G1608,LEN(G1608)-FIND("*",G1608)),"-")</f>
        <v>-</v>
      </c>
      <c r="W1608" s="20" t="str">
        <f>IFERROR((U1608+V1608)*2/1000,"-")</f>
        <v>-</v>
      </c>
      <c r="X1608" s="20" t="str">
        <f>IFERROR(W1608*H1608,"-")</f>
        <v>-</v>
      </c>
      <c r="Z1608" s="85">
        <v>45187</v>
      </c>
    </row>
    <row r="1609" spans="1:26" ht="6.95" customHeight="1" x14ac:dyDescent="0.3">
      <c r="A1609" s="154"/>
      <c r="B1609" s="157"/>
      <c r="C1609" s="158"/>
      <c r="D1609" s="161"/>
      <c r="E1609" s="162"/>
      <c r="F1609" s="163"/>
      <c r="G1609" s="164"/>
      <c r="H1609" s="165"/>
      <c r="I1609" s="164"/>
      <c r="J1609" s="165"/>
      <c r="K1609" s="164"/>
      <c r="L1609" s="165"/>
      <c r="M1609" s="6"/>
      <c r="N1609" s="32"/>
      <c r="Q1609" s="10" t="str">
        <f>+CONCATENATE(E1608,I1608)</f>
        <v>금속관벽체50</v>
      </c>
      <c r="R1609" s="10">
        <f>+J1608</f>
        <v>1</v>
      </c>
      <c r="S1609" s="11"/>
      <c r="T1609" s="10" t="str">
        <f>+E1608</f>
        <v>금속관벽체</v>
      </c>
      <c r="U1609" s="19" t="str">
        <f>IFERROR(LEFT(I1608,FIND("*",I1608)-1),"-")</f>
        <v>-</v>
      </c>
      <c r="V1609" s="19" t="str">
        <f>IFERROR(RIGHT(I1608,LEN(I1608)-FIND("*",I1608)),"-")</f>
        <v>-</v>
      </c>
      <c r="W1609" s="20" t="str">
        <f t="shared" ref="W1609:W1616" si="874">IFERROR((U1609+V1609)*2/1000,"-")</f>
        <v>-</v>
      </c>
      <c r="X1609" s="20" t="str">
        <f>IFERROR(W1609*J1608,"-")</f>
        <v>-</v>
      </c>
      <c r="Z1609" s="85">
        <v>45187</v>
      </c>
    </row>
    <row r="1610" spans="1:26" ht="6.95" customHeight="1" x14ac:dyDescent="0.3">
      <c r="A1610" s="154"/>
      <c r="B1610" s="157"/>
      <c r="C1610" s="158"/>
      <c r="D1610" s="161"/>
      <c r="E1610" s="162"/>
      <c r="F1610" s="163"/>
      <c r="G1610" s="164"/>
      <c r="H1610" s="165"/>
      <c r="I1610" s="164"/>
      <c r="J1610" s="165"/>
      <c r="K1610" s="164"/>
      <c r="L1610" s="165"/>
      <c r="M1610" s="6"/>
      <c r="N1610" s="32"/>
      <c r="Q1610" s="10" t="str">
        <f>+CONCATENATE(E1608,K1608)</f>
        <v>금속관벽체</v>
      </c>
      <c r="R1610" s="10">
        <f>+L1608</f>
        <v>0</v>
      </c>
      <c r="S1610" s="11"/>
      <c r="T1610" s="10" t="str">
        <f>+E1608</f>
        <v>금속관벽체</v>
      </c>
      <c r="U1610" s="19" t="str">
        <f>IFERROR(LEFT(K1608,FIND("*",K1608)-1),"-")</f>
        <v>-</v>
      </c>
      <c r="V1610" s="19" t="str">
        <f>IFERROR(RIGHT(K1608,LEN(K1608)-FIND("*",K1608)),"-")</f>
        <v>-</v>
      </c>
      <c r="W1610" s="20" t="str">
        <f t="shared" si="874"/>
        <v>-</v>
      </c>
      <c r="X1610" s="20" t="str">
        <f>IFERROR(W1610*L1608,"-")</f>
        <v>-</v>
      </c>
      <c r="Z1610" s="85">
        <v>45187</v>
      </c>
    </row>
    <row r="1611" spans="1:26" ht="6.95" customHeight="1" x14ac:dyDescent="0.3">
      <c r="A1611" s="8"/>
      <c r="B1611" s="157"/>
      <c r="C1611" s="158"/>
      <c r="D1611" s="161" t="s">
        <v>39</v>
      </c>
      <c r="E1611" s="162" t="s">
        <v>111</v>
      </c>
      <c r="F1611" s="163" t="s">
        <v>40</v>
      </c>
      <c r="G1611" s="164" t="s">
        <v>191</v>
      </c>
      <c r="H1611" s="165">
        <v>2</v>
      </c>
      <c r="I1611" s="164"/>
      <c r="J1611" s="165"/>
      <c r="K1611" s="164"/>
      <c r="L1611" s="165"/>
      <c r="M1611" s="6"/>
      <c r="N1611" s="32"/>
      <c r="Q1611" s="10" t="str">
        <f>+CONCATENATE(E1611,G1611)</f>
        <v>보온덕트벽체800*400</v>
      </c>
      <c r="R1611" s="10">
        <f>+H1611</f>
        <v>2</v>
      </c>
      <c r="S1611" s="11"/>
      <c r="T1611" s="10" t="str">
        <f>+E1611</f>
        <v>보온덕트벽체</v>
      </c>
      <c r="U1611" s="19" t="str">
        <f t="shared" ref="U1611" si="875">IFERROR(LEFT(G1611,FIND("*",G1611)-1),"-")</f>
        <v>800</v>
      </c>
      <c r="V1611" s="19" t="str">
        <f t="shared" ref="V1611" si="876">IFERROR(RIGHT(G1611,LEN(G1611)-FIND("*",G1611)),"-")</f>
        <v>400</v>
      </c>
      <c r="W1611" s="20">
        <f t="shared" si="874"/>
        <v>2.4</v>
      </c>
      <c r="X1611" s="20">
        <f>IFERROR(W1611*H1611,"-")</f>
        <v>4.8</v>
      </c>
      <c r="Z1611" s="85">
        <v>45187</v>
      </c>
    </row>
    <row r="1612" spans="1:26" ht="6.95" customHeight="1" x14ac:dyDescent="0.3">
      <c r="A1612" s="5"/>
      <c r="B1612" s="157"/>
      <c r="C1612" s="158"/>
      <c r="D1612" s="161"/>
      <c r="E1612" s="162"/>
      <c r="F1612" s="163"/>
      <c r="G1612" s="164"/>
      <c r="H1612" s="165"/>
      <c r="I1612" s="164"/>
      <c r="J1612" s="165"/>
      <c r="K1612" s="164"/>
      <c r="L1612" s="165"/>
      <c r="M1612" s="6"/>
      <c r="N1612" s="32"/>
      <c r="Q1612" s="10" t="str">
        <f>+CONCATENATE(E1611,I1611)</f>
        <v>보온덕트벽체</v>
      </c>
      <c r="R1612" s="10">
        <f>+J1611</f>
        <v>0</v>
      </c>
      <c r="S1612" s="11"/>
      <c r="T1612" s="10" t="str">
        <f>+E1611</f>
        <v>보온덕트벽체</v>
      </c>
      <c r="U1612" s="19" t="str">
        <f>IFERROR(LEFT(I1611,FIND("*",I1611)-1),"-")</f>
        <v>-</v>
      </c>
      <c r="V1612" s="19" t="str">
        <f>IFERROR(RIGHT(I1611,LEN(I1611)-FIND("*",I1611)),"-")</f>
        <v>-</v>
      </c>
      <c r="W1612" s="20" t="str">
        <f t="shared" si="874"/>
        <v>-</v>
      </c>
      <c r="X1612" s="20" t="str">
        <f>IFERROR(W1612*J1611,"-")</f>
        <v>-</v>
      </c>
      <c r="Z1612" s="85">
        <v>45187</v>
      </c>
    </row>
    <row r="1613" spans="1:26" ht="6.95" customHeight="1" x14ac:dyDescent="0.3">
      <c r="A1613" s="5"/>
      <c r="B1613" s="157"/>
      <c r="C1613" s="158"/>
      <c r="D1613" s="161"/>
      <c r="E1613" s="162"/>
      <c r="F1613" s="163"/>
      <c r="G1613" s="164"/>
      <c r="H1613" s="165"/>
      <c r="I1613" s="164"/>
      <c r="J1613" s="165"/>
      <c r="K1613" s="164"/>
      <c r="L1613" s="165"/>
      <c r="M1613" s="6"/>
      <c r="N1613" s="32"/>
      <c r="Q1613" s="10" t="str">
        <f>+CONCATENATE(E1611,K1611)</f>
        <v>보온덕트벽체</v>
      </c>
      <c r="R1613" s="10">
        <f>+L1611</f>
        <v>0</v>
      </c>
      <c r="S1613" s="11"/>
      <c r="T1613" s="10" t="str">
        <f>+E1611</f>
        <v>보온덕트벽체</v>
      </c>
      <c r="U1613" s="19" t="str">
        <f>IFERROR(LEFT(K1611,FIND("*",K1611)-1),"-")</f>
        <v>-</v>
      </c>
      <c r="V1613" s="19" t="str">
        <f>IFERROR(RIGHT(K1611,LEN(K1611)-FIND("*",K1611)),"-")</f>
        <v>-</v>
      </c>
      <c r="W1613" s="20" t="str">
        <f t="shared" si="874"/>
        <v>-</v>
      </c>
      <c r="X1613" s="20" t="str">
        <f>IFERROR(W1613*L1611,"-")</f>
        <v>-</v>
      </c>
      <c r="Z1613" s="85">
        <v>45187</v>
      </c>
    </row>
    <row r="1614" spans="1:26" ht="6.95" customHeight="1" x14ac:dyDescent="0.3">
      <c r="A1614" s="8"/>
      <c r="B1614" s="157"/>
      <c r="C1614" s="158"/>
      <c r="D1614" s="161" t="s">
        <v>39</v>
      </c>
      <c r="E1614" s="162" t="s">
        <v>188</v>
      </c>
      <c r="F1614" s="163" t="s">
        <v>40</v>
      </c>
      <c r="G1614" s="164" t="s">
        <v>191</v>
      </c>
      <c r="H1614" s="165">
        <v>4</v>
      </c>
      <c r="I1614" s="164"/>
      <c r="J1614" s="165"/>
      <c r="K1614" s="164"/>
      <c r="L1614" s="165"/>
      <c r="M1614" s="6"/>
      <c r="N1614" s="32"/>
      <c r="Q1614" s="10" t="str">
        <f>+CONCATENATE(E1614,G1614)</f>
        <v>차열재마감800*400</v>
      </c>
      <c r="R1614" s="10">
        <f>+H1614</f>
        <v>4</v>
      </c>
      <c r="S1614" s="11"/>
      <c r="T1614" s="10" t="str">
        <f>+E1614</f>
        <v>차열재마감</v>
      </c>
      <c r="U1614" s="19" t="str">
        <f t="shared" ref="U1614" si="877">IFERROR(LEFT(G1614,FIND("*",G1614)-1),"-")</f>
        <v>800</v>
      </c>
      <c r="V1614" s="19" t="str">
        <f t="shared" ref="V1614" si="878">IFERROR(RIGHT(G1614,LEN(G1614)-FIND("*",G1614)),"-")</f>
        <v>400</v>
      </c>
      <c r="W1614" s="20">
        <f t="shared" si="874"/>
        <v>2.4</v>
      </c>
      <c r="X1614" s="20">
        <f>IFERROR(W1614*H1614,"-")</f>
        <v>9.6</v>
      </c>
      <c r="Z1614" s="85">
        <v>45187</v>
      </c>
    </row>
    <row r="1615" spans="1:26" ht="6.95" customHeight="1" x14ac:dyDescent="0.3">
      <c r="A1615" s="5"/>
      <c r="B1615" s="157"/>
      <c r="C1615" s="158"/>
      <c r="D1615" s="161"/>
      <c r="E1615" s="162"/>
      <c r="F1615" s="163"/>
      <c r="G1615" s="164"/>
      <c r="H1615" s="165"/>
      <c r="I1615" s="164"/>
      <c r="J1615" s="165"/>
      <c r="K1615" s="164"/>
      <c r="L1615" s="165"/>
      <c r="M1615" s="6"/>
      <c r="N1615" s="32"/>
      <c r="Q1615" s="10" t="str">
        <f>+CONCATENATE(E1614,I1614)</f>
        <v>차열재마감</v>
      </c>
      <c r="R1615" s="10">
        <f>+J1614</f>
        <v>0</v>
      </c>
      <c r="S1615" s="11"/>
      <c r="T1615" s="10" t="str">
        <f>+E1614</f>
        <v>차열재마감</v>
      </c>
      <c r="U1615" s="19" t="str">
        <f>IFERROR(LEFT(I1614,FIND("*",I1614)-1),"-")</f>
        <v>-</v>
      </c>
      <c r="V1615" s="19" t="str">
        <f>IFERROR(RIGHT(I1614,LEN(I1614)-FIND("*",I1614)),"-")</f>
        <v>-</v>
      </c>
      <c r="W1615" s="20" t="str">
        <f t="shared" si="874"/>
        <v>-</v>
      </c>
      <c r="X1615" s="20" t="str">
        <f t="shared" ref="X1615" si="879">IFERROR(W1615*J1614,"-")</f>
        <v>-</v>
      </c>
      <c r="Z1615" s="85">
        <v>45187</v>
      </c>
    </row>
    <row r="1616" spans="1:26" ht="6.95" customHeight="1" x14ac:dyDescent="0.3">
      <c r="A1616" s="5"/>
      <c r="B1616" s="157"/>
      <c r="C1616" s="158"/>
      <c r="D1616" s="161"/>
      <c r="E1616" s="162"/>
      <c r="F1616" s="163"/>
      <c r="G1616" s="164"/>
      <c r="H1616" s="165"/>
      <c r="I1616" s="164"/>
      <c r="J1616" s="165"/>
      <c r="K1616" s="164"/>
      <c r="L1616" s="165"/>
      <c r="M1616" s="6"/>
      <c r="N1616" s="32"/>
      <c r="Q1616" s="10" t="str">
        <f>+CONCATENATE(E1614,K1614)</f>
        <v>차열재마감</v>
      </c>
      <c r="R1616" s="10">
        <f>+L1614</f>
        <v>0</v>
      </c>
      <c r="S1616" s="11"/>
      <c r="T1616" s="10" t="str">
        <f>+E1614</f>
        <v>차열재마감</v>
      </c>
      <c r="U1616" s="19" t="str">
        <f>IFERROR(LEFT(K1614,FIND("*",K1614)-1),"-")</f>
        <v>-</v>
      </c>
      <c r="V1616" s="19" t="str">
        <f>IFERROR(RIGHT(K1614,LEN(K1614)-FIND("*",K1614)),"-")</f>
        <v>-</v>
      </c>
      <c r="W1616" s="20" t="str">
        <f t="shared" si="874"/>
        <v>-</v>
      </c>
      <c r="X1616" s="20" t="str">
        <f>IFERROR(W1616*L1614,"-")</f>
        <v>-</v>
      </c>
      <c r="Z1616" s="85">
        <v>45187</v>
      </c>
    </row>
    <row r="1617" spans="1:26" ht="21" customHeight="1" thickBot="1" x14ac:dyDescent="0.35">
      <c r="A1617" s="5"/>
      <c r="B1617" s="159"/>
      <c r="C1617" s="160"/>
      <c r="D1617" s="166" t="s">
        <v>43</v>
      </c>
      <c r="E1617" s="167"/>
      <c r="F1617" s="167"/>
      <c r="G1617" s="168" t="s">
        <v>288</v>
      </c>
      <c r="H1617" s="168"/>
      <c r="I1617" s="168"/>
      <c r="J1617" s="168"/>
      <c r="K1617" s="168"/>
      <c r="L1617" s="168"/>
      <c r="M1617" s="7"/>
      <c r="N1617" s="32"/>
      <c r="Z1617" s="85">
        <v>45187</v>
      </c>
    </row>
    <row r="1618" spans="1:26" ht="9.9499999999999993" customHeight="1" thickBot="1" x14ac:dyDescent="0.35">
      <c r="B1618" s="9"/>
      <c r="C1618" s="109">
        <v>947</v>
      </c>
      <c r="D1618" s="51"/>
      <c r="E1618" s="12"/>
      <c r="F1618" s="51"/>
      <c r="G1618" s="14"/>
      <c r="H1618" s="14"/>
      <c r="I1618" s="14"/>
      <c r="J1618" s="14"/>
      <c r="K1618" s="14"/>
      <c r="L1618" s="14"/>
      <c r="M1618" s="9"/>
      <c r="N1618" s="32"/>
      <c r="U1618" s="18"/>
      <c r="V1618" s="18"/>
      <c r="Z1618" s="85">
        <v>45187</v>
      </c>
    </row>
    <row r="1619" spans="1:26" ht="6.95" customHeight="1" x14ac:dyDescent="0.3">
      <c r="A1619" s="154">
        <f>+A1608+1</f>
        <v>948</v>
      </c>
      <c r="B1619" s="155"/>
      <c r="C1619" s="156"/>
      <c r="D1619" s="161" t="s">
        <v>39</v>
      </c>
      <c r="E1619" s="162" t="s">
        <v>186</v>
      </c>
      <c r="F1619" s="163" t="s">
        <v>40</v>
      </c>
      <c r="G1619" s="164">
        <v>100</v>
      </c>
      <c r="H1619" s="165">
        <v>4</v>
      </c>
      <c r="I1619" s="164"/>
      <c r="J1619" s="165"/>
      <c r="K1619" s="164"/>
      <c r="L1619" s="165"/>
      <c r="M1619" s="6"/>
      <c r="N1619" s="32"/>
      <c r="Q1619" s="10" t="str">
        <f>+CONCATENATE(E1619,G1619)</f>
        <v>금속관벽체100</v>
      </c>
      <c r="R1619" s="10">
        <f>+H1619</f>
        <v>4</v>
      </c>
      <c r="S1619" s="11"/>
      <c r="T1619" s="10" t="str">
        <f>+E1619</f>
        <v>금속관벽체</v>
      </c>
      <c r="U1619" s="19" t="str">
        <f>IFERROR(LEFT(G1619,FIND("*",G1619)-1),"-")</f>
        <v>-</v>
      </c>
      <c r="V1619" s="19" t="str">
        <f>IFERROR(RIGHT(G1619,LEN(G1619)-FIND("*",G1619)),"-")</f>
        <v>-</v>
      </c>
      <c r="W1619" s="20" t="str">
        <f>IFERROR((U1619+V1619)*2/1000,"-")</f>
        <v>-</v>
      </c>
      <c r="X1619" s="20" t="str">
        <f>IFERROR(W1619*H1619,"-")</f>
        <v>-</v>
      </c>
      <c r="Z1619" s="85">
        <v>45187</v>
      </c>
    </row>
    <row r="1620" spans="1:26" ht="6.95" customHeight="1" x14ac:dyDescent="0.3">
      <c r="A1620" s="154"/>
      <c r="B1620" s="157"/>
      <c r="C1620" s="158"/>
      <c r="D1620" s="161"/>
      <c r="E1620" s="162"/>
      <c r="F1620" s="163"/>
      <c r="G1620" s="164"/>
      <c r="H1620" s="165"/>
      <c r="I1620" s="164"/>
      <c r="J1620" s="165"/>
      <c r="K1620" s="164"/>
      <c r="L1620" s="165"/>
      <c r="M1620" s="6"/>
      <c r="N1620" s="32"/>
      <c r="Q1620" s="10" t="str">
        <f>+CONCATENATE(E1619,I1619)</f>
        <v>금속관벽체</v>
      </c>
      <c r="R1620" s="10">
        <f>+J1619</f>
        <v>0</v>
      </c>
      <c r="S1620" s="11"/>
      <c r="T1620" s="10" t="str">
        <f>+E1619</f>
        <v>금속관벽체</v>
      </c>
      <c r="U1620" s="19" t="str">
        <f>IFERROR(LEFT(I1619,FIND("*",I1619)-1),"-")</f>
        <v>-</v>
      </c>
      <c r="V1620" s="19" t="str">
        <f>IFERROR(RIGHT(I1619,LEN(I1619)-FIND("*",I1619)),"-")</f>
        <v>-</v>
      </c>
      <c r="W1620" s="20" t="str">
        <f t="shared" ref="W1620:W1627" si="880">IFERROR((U1620+V1620)*2/1000,"-")</f>
        <v>-</v>
      </c>
      <c r="X1620" s="20" t="str">
        <f>IFERROR(W1620*J1619,"-")</f>
        <v>-</v>
      </c>
      <c r="Z1620" s="85">
        <v>45187</v>
      </c>
    </row>
    <row r="1621" spans="1:26" ht="6.95" customHeight="1" x14ac:dyDescent="0.3">
      <c r="A1621" s="154"/>
      <c r="B1621" s="157"/>
      <c r="C1621" s="158"/>
      <c r="D1621" s="161"/>
      <c r="E1621" s="162"/>
      <c r="F1621" s="163"/>
      <c r="G1621" s="164"/>
      <c r="H1621" s="165"/>
      <c r="I1621" s="164"/>
      <c r="J1621" s="165"/>
      <c r="K1621" s="164"/>
      <c r="L1621" s="165"/>
      <c r="M1621" s="6"/>
      <c r="N1621" s="32"/>
      <c r="Q1621" s="10" t="str">
        <f>+CONCATENATE(E1619,K1619)</f>
        <v>금속관벽체</v>
      </c>
      <c r="R1621" s="10">
        <f>+L1619</f>
        <v>0</v>
      </c>
      <c r="S1621" s="11"/>
      <c r="T1621" s="10" t="str">
        <f>+E1619</f>
        <v>금속관벽체</v>
      </c>
      <c r="U1621" s="19" t="str">
        <f>IFERROR(LEFT(K1619,FIND("*",K1619)-1),"-")</f>
        <v>-</v>
      </c>
      <c r="V1621" s="19" t="str">
        <f>IFERROR(RIGHT(K1619,LEN(K1619)-FIND("*",K1619)),"-")</f>
        <v>-</v>
      </c>
      <c r="W1621" s="20" t="str">
        <f t="shared" si="880"/>
        <v>-</v>
      </c>
      <c r="X1621" s="20" t="str">
        <f>IFERROR(W1621*L1619,"-")</f>
        <v>-</v>
      </c>
      <c r="Z1621" s="85">
        <v>45187</v>
      </c>
    </row>
    <row r="1622" spans="1:26" ht="6.95" customHeight="1" x14ac:dyDescent="0.3">
      <c r="A1622" s="8"/>
      <c r="B1622" s="157"/>
      <c r="C1622" s="158"/>
      <c r="D1622" s="161" t="s">
        <v>39</v>
      </c>
      <c r="E1622" s="162" t="s">
        <v>111</v>
      </c>
      <c r="F1622" s="163" t="s">
        <v>40</v>
      </c>
      <c r="G1622" s="164" t="s">
        <v>191</v>
      </c>
      <c r="H1622" s="165">
        <v>2</v>
      </c>
      <c r="I1622" s="164"/>
      <c r="J1622" s="165"/>
      <c r="K1622" s="164"/>
      <c r="L1622" s="165"/>
      <c r="M1622" s="6"/>
      <c r="N1622" s="32"/>
      <c r="Q1622" s="10" t="str">
        <f>+CONCATENATE(E1622,G1622)</f>
        <v>보온덕트벽체800*400</v>
      </c>
      <c r="R1622" s="10">
        <f>+H1622</f>
        <v>2</v>
      </c>
      <c r="S1622" s="11"/>
      <c r="T1622" s="10" t="str">
        <f>+E1622</f>
        <v>보온덕트벽체</v>
      </c>
      <c r="U1622" s="19" t="str">
        <f t="shared" ref="U1622" si="881">IFERROR(LEFT(G1622,FIND("*",G1622)-1),"-")</f>
        <v>800</v>
      </c>
      <c r="V1622" s="19" t="str">
        <f t="shared" ref="V1622" si="882">IFERROR(RIGHT(G1622,LEN(G1622)-FIND("*",G1622)),"-")</f>
        <v>400</v>
      </c>
      <c r="W1622" s="20">
        <f t="shared" si="880"/>
        <v>2.4</v>
      </c>
      <c r="X1622" s="20">
        <f>IFERROR(W1622*H1622,"-")</f>
        <v>4.8</v>
      </c>
      <c r="Z1622" s="85">
        <v>45187</v>
      </c>
    </row>
    <row r="1623" spans="1:26" ht="6.95" customHeight="1" x14ac:dyDescent="0.3">
      <c r="A1623" s="5"/>
      <c r="B1623" s="157"/>
      <c r="C1623" s="158"/>
      <c r="D1623" s="161"/>
      <c r="E1623" s="162"/>
      <c r="F1623" s="163"/>
      <c r="G1623" s="164"/>
      <c r="H1623" s="165"/>
      <c r="I1623" s="164"/>
      <c r="J1623" s="165"/>
      <c r="K1623" s="164"/>
      <c r="L1623" s="165"/>
      <c r="M1623" s="6"/>
      <c r="N1623" s="32"/>
      <c r="Q1623" s="10" t="str">
        <f>+CONCATENATE(E1622,I1622)</f>
        <v>보온덕트벽체</v>
      </c>
      <c r="R1623" s="10">
        <f>+J1622</f>
        <v>0</v>
      </c>
      <c r="S1623" s="11"/>
      <c r="T1623" s="10" t="str">
        <f>+E1622</f>
        <v>보온덕트벽체</v>
      </c>
      <c r="U1623" s="19" t="str">
        <f>IFERROR(LEFT(I1622,FIND("*",I1622)-1),"-")</f>
        <v>-</v>
      </c>
      <c r="V1623" s="19" t="str">
        <f>IFERROR(RIGHT(I1622,LEN(I1622)-FIND("*",I1622)),"-")</f>
        <v>-</v>
      </c>
      <c r="W1623" s="20" t="str">
        <f t="shared" si="880"/>
        <v>-</v>
      </c>
      <c r="X1623" s="20" t="str">
        <f>IFERROR(W1623*J1622,"-")</f>
        <v>-</v>
      </c>
      <c r="Z1623" s="85">
        <v>45187</v>
      </c>
    </row>
    <row r="1624" spans="1:26" ht="6.95" customHeight="1" x14ac:dyDescent="0.3">
      <c r="A1624" s="5"/>
      <c r="B1624" s="157"/>
      <c r="C1624" s="158"/>
      <c r="D1624" s="161"/>
      <c r="E1624" s="162"/>
      <c r="F1624" s="163"/>
      <c r="G1624" s="164"/>
      <c r="H1624" s="165"/>
      <c r="I1624" s="164"/>
      <c r="J1624" s="165"/>
      <c r="K1624" s="164"/>
      <c r="L1624" s="165"/>
      <c r="M1624" s="6"/>
      <c r="N1624" s="32"/>
      <c r="Q1624" s="10" t="str">
        <f>+CONCATENATE(E1622,K1622)</f>
        <v>보온덕트벽체</v>
      </c>
      <c r="R1624" s="10">
        <f>+L1622</f>
        <v>0</v>
      </c>
      <c r="S1624" s="11"/>
      <c r="T1624" s="10" t="str">
        <f>+E1622</f>
        <v>보온덕트벽체</v>
      </c>
      <c r="U1624" s="19" t="str">
        <f>IFERROR(LEFT(K1622,FIND("*",K1622)-1),"-")</f>
        <v>-</v>
      </c>
      <c r="V1624" s="19" t="str">
        <f>IFERROR(RIGHT(K1622,LEN(K1622)-FIND("*",K1622)),"-")</f>
        <v>-</v>
      </c>
      <c r="W1624" s="20" t="str">
        <f t="shared" si="880"/>
        <v>-</v>
      </c>
      <c r="X1624" s="20" t="str">
        <f>IFERROR(W1624*L1622,"-")</f>
        <v>-</v>
      </c>
      <c r="Z1624" s="85">
        <v>45187</v>
      </c>
    </row>
    <row r="1625" spans="1:26" ht="6.95" customHeight="1" x14ac:dyDescent="0.3">
      <c r="A1625" s="8"/>
      <c r="B1625" s="157"/>
      <c r="C1625" s="158"/>
      <c r="D1625" s="161" t="s">
        <v>39</v>
      </c>
      <c r="E1625" s="162" t="s">
        <v>188</v>
      </c>
      <c r="F1625" s="163" t="s">
        <v>40</v>
      </c>
      <c r="G1625" s="164" t="s">
        <v>191</v>
      </c>
      <c r="H1625" s="165">
        <v>4</v>
      </c>
      <c r="I1625" s="164"/>
      <c r="J1625" s="165"/>
      <c r="K1625" s="164"/>
      <c r="L1625" s="165"/>
      <c r="M1625" s="6"/>
      <c r="N1625" s="32"/>
      <c r="Q1625" s="10" t="str">
        <f>+CONCATENATE(E1625,G1625)</f>
        <v>차열재마감800*400</v>
      </c>
      <c r="R1625" s="10">
        <f>+H1625</f>
        <v>4</v>
      </c>
      <c r="S1625" s="11"/>
      <c r="T1625" s="10" t="str">
        <f>+E1625</f>
        <v>차열재마감</v>
      </c>
      <c r="U1625" s="19" t="str">
        <f t="shared" ref="U1625" si="883">IFERROR(LEFT(G1625,FIND("*",G1625)-1),"-")</f>
        <v>800</v>
      </c>
      <c r="V1625" s="19" t="str">
        <f t="shared" ref="V1625" si="884">IFERROR(RIGHT(G1625,LEN(G1625)-FIND("*",G1625)),"-")</f>
        <v>400</v>
      </c>
      <c r="W1625" s="20">
        <f t="shared" si="880"/>
        <v>2.4</v>
      </c>
      <c r="X1625" s="20">
        <f>IFERROR(W1625*H1625,"-")</f>
        <v>9.6</v>
      </c>
      <c r="Z1625" s="85">
        <v>45187</v>
      </c>
    </row>
    <row r="1626" spans="1:26" ht="6.95" customHeight="1" x14ac:dyDescent="0.3">
      <c r="A1626" s="5"/>
      <c r="B1626" s="157"/>
      <c r="C1626" s="158"/>
      <c r="D1626" s="161"/>
      <c r="E1626" s="162"/>
      <c r="F1626" s="163"/>
      <c r="G1626" s="164"/>
      <c r="H1626" s="165"/>
      <c r="I1626" s="164"/>
      <c r="J1626" s="165"/>
      <c r="K1626" s="164"/>
      <c r="L1626" s="165"/>
      <c r="M1626" s="6"/>
      <c r="N1626" s="32"/>
      <c r="Q1626" s="10" t="str">
        <f>+CONCATENATE(E1625,I1625)</f>
        <v>차열재마감</v>
      </c>
      <c r="R1626" s="10">
        <f>+J1625</f>
        <v>0</v>
      </c>
      <c r="S1626" s="11"/>
      <c r="T1626" s="10" t="str">
        <f>+E1625</f>
        <v>차열재마감</v>
      </c>
      <c r="U1626" s="19" t="str">
        <f>IFERROR(LEFT(I1625,FIND("*",I1625)-1),"-")</f>
        <v>-</v>
      </c>
      <c r="V1626" s="19" t="str">
        <f>IFERROR(RIGHT(I1625,LEN(I1625)-FIND("*",I1625)),"-")</f>
        <v>-</v>
      </c>
      <c r="W1626" s="20" t="str">
        <f t="shared" si="880"/>
        <v>-</v>
      </c>
      <c r="X1626" s="20" t="str">
        <f t="shared" ref="X1626" si="885">IFERROR(W1626*J1625,"-")</f>
        <v>-</v>
      </c>
      <c r="Z1626" s="85">
        <v>45187</v>
      </c>
    </row>
    <row r="1627" spans="1:26" ht="6.95" customHeight="1" x14ac:dyDescent="0.3">
      <c r="A1627" s="5"/>
      <c r="B1627" s="157"/>
      <c r="C1627" s="158"/>
      <c r="D1627" s="161"/>
      <c r="E1627" s="162"/>
      <c r="F1627" s="163"/>
      <c r="G1627" s="164"/>
      <c r="H1627" s="165"/>
      <c r="I1627" s="164"/>
      <c r="J1627" s="165"/>
      <c r="K1627" s="164"/>
      <c r="L1627" s="165"/>
      <c r="M1627" s="6"/>
      <c r="N1627" s="32"/>
      <c r="Q1627" s="10" t="str">
        <f>+CONCATENATE(E1625,K1625)</f>
        <v>차열재마감</v>
      </c>
      <c r="R1627" s="10">
        <f>+L1625</f>
        <v>0</v>
      </c>
      <c r="S1627" s="11"/>
      <c r="T1627" s="10" t="str">
        <f>+E1625</f>
        <v>차열재마감</v>
      </c>
      <c r="U1627" s="19" t="str">
        <f>IFERROR(LEFT(K1625,FIND("*",K1625)-1),"-")</f>
        <v>-</v>
      </c>
      <c r="V1627" s="19" t="str">
        <f>IFERROR(RIGHT(K1625,LEN(K1625)-FIND("*",K1625)),"-")</f>
        <v>-</v>
      </c>
      <c r="W1627" s="20" t="str">
        <f t="shared" si="880"/>
        <v>-</v>
      </c>
      <c r="X1627" s="20" t="str">
        <f>IFERROR(W1627*L1625,"-")</f>
        <v>-</v>
      </c>
      <c r="Z1627" s="85">
        <v>45187</v>
      </c>
    </row>
    <row r="1628" spans="1:26" ht="21" customHeight="1" thickBot="1" x14ac:dyDescent="0.35">
      <c r="A1628" s="5"/>
      <c r="B1628" s="159"/>
      <c r="C1628" s="160"/>
      <c r="D1628" s="166" t="s">
        <v>43</v>
      </c>
      <c r="E1628" s="167"/>
      <c r="F1628" s="167"/>
      <c r="G1628" s="168" t="s">
        <v>288</v>
      </c>
      <c r="H1628" s="168"/>
      <c r="I1628" s="168"/>
      <c r="J1628" s="168"/>
      <c r="K1628" s="168"/>
      <c r="L1628" s="168"/>
      <c r="M1628" s="7"/>
      <c r="N1628" s="32"/>
      <c r="Z1628" s="85">
        <v>45187</v>
      </c>
    </row>
    <row r="1629" spans="1:26" ht="9.9499999999999993" customHeight="1" thickBot="1" x14ac:dyDescent="0.35">
      <c r="B1629" s="9"/>
      <c r="C1629" s="109">
        <v>948</v>
      </c>
      <c r="D1629" s="51"/>
      <c r="E1629" s="12"/>
      <c r="F1629" s="51"/>
      <c r="G1629" s="14"/>
      <c r="H1629" s="14"/>
      <c r="I1629" s="14"/>
      <c r="J1629" s="14"/>
      <c r="K1629" s="14"/>
      <c r="L1629" s="14"/>
      <c r="M1629" s="9"/>
      <c r="N1629" s="32"/>
      <c r="U1629" s="18"/>
      <c r="V1629" s="18"/>
      <c r="Z1629" s="85">
        <v>45187</v>
      </c>
    </row>
    <row r="1630" spans="1:26" ht="6.95" customHeight="1" x14ac:dyDescent="0.3">
      <c r="A1630" s="154">
        <f>+A1619+1</f>
        <v>949</v>
      </c>
      <c r="B1630" s="155"/>
      <c r="C1630" s="156"/>
      <c r="D1630" s="161" t="s">
        <v>39</v>
      </c>
      <c r="E1630" s="162" t="s">
        <v>115</v>
      </c>
      <c r="F1630" s="163" t="s">
        <v>40</v>
      </c>
      <c r="G1630" s="164" t="s">
        <v>197</v>
      </c>
      <c r="H1630" s="165">
        <v>1</v>
      </c>
      <c r="I1630" s="164"/>
      <c r="J1630" s="165"/>
      <c r="K1630" s="164"/>
      <c r="L1630" s="165"/>
      <c r="M1630" s="6"/>
      <c r="N1630" s="32"/>
      <c r="Q1630" s="10" t="str">
        <f>+CONCATENATE(E1630,G1630)</f>
        <v>무보온덕트벽체2000*600</v>
      </c>
      <c r="R1630" s="10">
        <f>+H1630</f>
        <v>1</v>
      </c>
      <c r="S1630" s="11"/>
      <c r="T1630" s="10" t="str">
        <f>+E1630</f>
        <v>무보온덕트벽체</v>
      </c>
      <c r="U1630" s="19" t="str">
        <f>IFERROR(LEFT(G1630,FIND("*",G1630)-1),"-")</f>
        <v>2000</v>
      </c>
      <c r="V1630" s="19" t="str">
        <f>IFERROR(RIGHT(G1630,LEN(G1630)-FIND("*",G1630)),"-")</f>
        <v>600</v>
      </c>
      <c r="W1630" s="20">
        <f>IFERROR((U1630+V1630)*2/1000,"-")</f>
        <v>5.2</v>
      </c>
      <c r="X1630" s="20">
        <f>IFERROR(W1630*H1630,"-")</f>
        <v>5.2</v>
      </c>
      <c r="Z1630" s="85">
        <v>45187</v>
      </c>
    </row>
    <row r="1631" spans="1:26" ht="6.95" customHeight="1" x14ac:dyDescent="0.3">
      <c r="A1631" s="154"/>
      <c r="B1631" s="157"/>
      <c r="C1631" s="158"/>
      <c r="D1631" s="161"/>
      <c r="E1631" s="162"/>
      <c r="F1631" s="163"/>
      <c r="G1631" s="164"/>
      <c r="H1631" s="165"/>
      <c r="I1631" s="164"/>
      <c r="J1631" s="165"/>
      <c r="K1631" s="164"/>
      <c r="L1631" s="165"/>
      <c r="M1631" s="6"/>
      <c r="N1631" s="32"/>
      <c r="Q1631" s="10" t="str">
        <f>+CONCATENATE(E1630,I1630)</f>
        <v>무보온덕트벽체</v>
      </c>
      <c r="R1631" s="10">
        <f>+J1630</f>
        <v>0</v>
      </c>
      <c r="S1631" s="11"/>
      <c r="T1631" s="10" t="str">
        <f>+E1630</f>
        <v>무보온덕트벽체</v>
      </c>
      <c r="U1631" s="19" t="str">
        <f>IFERROR(LEFT(I1630,FIND("*",I1630)-1),"-")</f>
        <v>-</v>
      </c>
      <c r="V1631" s="19" t="str">
        <f>IFERROR(RIGHT(I1630,LEN(I1630)-FIND("*",I1630)),"-")</f>
        <v>-</v>
      </c>
      <c r="W1631" s="20" t="str">
        <f t="shared" ref="W1631:W1638" si="886">IFERROR((U1631+V1631)*2/1000,"-")</f>
        <v>-</v>
      </c>
      <c r="X1631" s="20" t="str">
        <f>IFERROR(W1631*J1630,"-")</f>
        <v>-</v>
      </c>
      <c r="Z1631" s="85">
        <v>45187</v>
      </c>
    </row>
    <row r="1632" spans="1:26" ht="6.95" customHeight="1" x14ac:dyDescent="0.3">
      <c r="A1632" s="154"/>
      <c r="B1632" s="157"/>
      <c r="C1632" s="158"/>
      <c r="D1632" s="161"/>
      <c r="E1632" s="162"/>
      <c r="F1632" s="163"/>
      <c r="G1632" s="164"/>
      <c r="H1632" s="165"/>
      <c r="I1632" s="164"/>
      <c r="J1632" s="165"/>
      <c r="K1632" s="164"/>
      <c r="L1632" s="165"/>
      <c r="M1632" s="6"/>
      <c r="N1632" s="32"/>
      <c r="Q1632" s="10" t="str">
        <f>+CONCATENATE(E1630,K1630)</f>
        <v>무보온덕트벽체</v>
      </c>
      <c r="R1632" s="10">
        <f>+L1630</f>
        <v>0</v>
      </c>
      <c r="S1632" s="11"/>
      <c r="T1632" s="10" t="str">
        <f>+E1630</f>
        <v>무보온덕트벽체</v>
      </c>
      <c r="U1632" s="19" t="str">
        <f>IFERROR(LEFT(K1630,FIND("*",K1630)-1),"-")</f>
        <v>-</v>
      </c>
      <c r="V1632" s="19" t="str">
        <f>IFERROR(RIGHT(K1630,LEN(K1630)-FIND("*",K1630)),"-")</f>
        <v>-</v>
      </c>
      <c r="W1632" s="20" t="str">
        <f t="shared" si="886"/>
        <v>-</v>
      </c>
      <c r="X1632" s="20" t="str">
        <f>IFERROR(W1632*L1630,"-")</f>
        <v>-</v>
      </c>
      <c r="Z1632" s="85">
        <v>45187</v>
      </c>
    </row>
    <row r="1633" spans="1:26" ht="6.95" customHeight="1" x14ac:dyDescent="0.3">
      <c r="A1633" s="8"/>
      <c r="B1633" s="157"/>
      <c r="C1633" s="158"/>
      <c r="D1633" s="161" t="s">
        <v>39</v>
      </c>
      <c r="E1633" s="162" t="s">
        <v>188</v>
      </c>
      <c r="F1633" s="163" t="s">
        <v>40</v>
      </c>
      <c r="G1633" s="164" t="s">
        <v>197</v>
      </c>
      <c r="H1633" s="165">
        <v>2</v>
      </c>
      <c r="I1633" s="164"/>
      <c r="J1633" s="165"/>
      <c r="K1633" s="164"/>
      <c r="L1633" s="165"/>
      <c r="M1633" s="6"/>
      <c r="N1633" s="32"/>
      <c r="Q1633" s="10" t="str">
        <f>+CONCATENATE(E1633,G1633)</f>
        <v>차열재마감2000*600</v>
      </c>
      <c r="R1633" s="10">
        <f>+H1633</f>
        <v>2</v>
      </c>
      <c r="S1633" s="11"/>
      <c r="T1633" s="10" t="str">
        <f>+E1633</f>
        <v>차열재마감</v>
      </c>
      <c r="U1633" s="19" t="str">
        <f t="shared" ref="U1633" si="887">IFERROR(LEFT(G1633,FIND("*",G1633)-1),"-")</f>
        <v>2000</v>
      </c>
      <c r="V1633" s="19" t="str">
        <f t="shared" ref="V1633" si="888">IFERROR(RIGHT(G1633,LEN(G1633)-FIND("*",G1633)),"-")</f>
        <v>600</v>
      </c>
      <c r="W1633" s="20">
        <f t="shared" si="886"/>
        <v>5.2</v>
      </c>
      <c r="X1633" s="20">
        <f>IFERROR(W1633*H1633,"-")</f>
        <v>10.4</v>
      </c>
      <c r="Z1633" s="85">
        <v>45187</v>
      </c>
    </row>
    <row r="1634" spans="1:26" ht="6.95" customHeight="1" x14ac:dyDescent="0.3">
      <c r="A1634" s="5"/>
      <c r="B1634" s="157"/>
      <c r="C1634" s="158"/>
      <c r="D1634" s="161"/>
      <c r="E1634" s="162"/>
      <c r="F1634" s="163"/>
      <c r="G1634" s="164"/>
      <c r="H1634" s="165"/>
      <c r="I1634" s="164"/>
      <c r="J1634" s="165"/>
      <c r="K1634" s="164"/>
      <c r="L1634" s="165"/>
      <c r="M1634" s="6"/>
      <c r="N1634" s="32"/>
      <c r="Q1634" s="10" t="str">
        <f>+CONCATENATE(E1633,I1633)</f>
        <v>차열재마감</v>
      </c>
      <c r="R1634" s="10">
        <f>+J1633</f>
        <v>0</v>
      </c>
      <c r="S1634" s="11"/>
      <c r="T1634" s="10" t="str">
        <f>+E1633</f>
        <v>차열재마감</v>
      </c>
      <c r="U1634" s="19" t="str">
        <f>IFERROR(LEFT(I1633,FIND("*",I1633)-1),"-")</f>
        <v>-</v>
      </c>
      <c r="V1634" s="19" t="str">
        <f>IFERROR(RIGHT(I1633,LEN(I1633)-FIND("*",I1633)),"-")</f>
        <v>-</v>
      </c>
      <c r="W1634" s="20" t="str">
        <f t="shared" si="886"/>
        <v>-</v>
      </c>
      <c r="X1634" s="20" t="str">
        <f>IFERROR(W1634*J1633,"-")</f>
        <v>-</v>
      </c>
      <c r="Z1634" s="85">
        <v>45187</v>
      </c>
    </row>
    <row r="1635" spans="1:26" ht="6.95" customHeight="1" x14ac:dyDescent="0.3">
      <c r="A1635" s="5"/>
      <c r="B1635" s="157"/>
      <c r="C1635" s="158"/>
      <c r="D1635" s="161"/>
      <c r="E1635" s="162"/>
      <c r="F1635" s="163"/>
      <c r="G1635" s="164"/>
      <c r="H1635" s="165"/>
      <c r="I1635" s="164"/>
      <c r="J1635" s="165"/>
      <c r="K1635" s="164"/>
      <c r="L1635" s="165"/>
      <c r="M1635" s="6"/>
      <c r="N1635" s="32"/>
      <c r="Q1635" s="10" t="str">
        <f>+CONCATENATE(E1633,K1633)</f>
        <v>차열재마감</v>
      </c>
      <c r="R1635" s="10">
        <f>+L1633</f>
        <v>0</v>
      </c>
      <c r="S1635" s="11"/>
      <c r="T1635" s="10" t="str">
        <f>+E1633</f>
        <v>차열재마감</v>
      </c>
      <c r="U1635" s="19" t="str">
        <f>IFERROR(LEFT(K1633,FIND("*",K1633)-1),"-")</f>
        <v>-</v>
      </c>
      <c r="V1635" s="19" t="str">
        <f>IFERROR(RIGHT(K1633,LEN(K1633)-FIND("*",K1633)),"-")</f>
        <v>-</v>
      </c>
      <c r="W1635" s="20" t="str">
        <f t="shared" si="886"/>
        <v>-</v>
      </c>
      <c r="X1635" s="20" t="str">
        <f>IFERROR(W1635*L1633,"-")</f>
        <v>-</v>
      </c>
      <c r="Z1635" s="85">
        <v>45187</v>
      </c>
    </row>
    <row r="1636" spans="1:26" ht="6.95" customHeight="1" x14ac:dyDescent="0.3">
      <c r="A1636" s="8"/>
      <c r="B1636" s="157"/>
      <c r="C1636" s="158"/>
      <c r="D1636" s="161" t="s">
        <v>39</v>
      </c>
      <c r="E1636" s="162" t="s">
        <v>186</v>
      </c>
      <c r="F1636" s="163" t="s">
        <v>40</v>
      </c>
      <c r="G1636" s="164">
        <v>50</v>
      </c>
      <c r="H1636" s="165">
        <v>2</v>
      </c>
      <c r="I1636" s="164"/>
      <c r="J1636" s="165"/>
      <c r="K1636" s="164"/>
      <c r="L1636" s="165"/>
      <c r="M1636" s="6"/>
      <c r="N1636" s="32"/>
      <c r="Q1636" s="10" t="str">
        <f>+CONCATENATE(E1636,G1636)</f>
        <v>금속관벽체50</v>
      </c>
      <c r="R1636" s="10">
        <f>+H1636</f>
        <v>2</v>
      </c>
      <c r="S1636" s="11"/>
      <c r="T1636" s="10" t="str">
        <f>+E1636</f>
        <v>금속관벽체</v>
      </c>
      <c r="U1636" s="19" t="str">
        <f t="shared" ref="U1636" si="889">IFERROR(LEFT(G1636,FIND("*",G1636)-1),"-")</f>
        <v>-</v>
      </c>
      <c r="V1636" s="19" t="str">
        <f t="shared" ref="V1636" si="890">IFERROR(RIGHT(G1636,LEN(G1636)-FIND("*",G1636)),"-")</f>
        <v>-</v>
      </c>
      <c r="W1636" s="20" t="str">
        <f t="shared" si="886"/>
        <v>-</v>
      </c>
      <c r="X1636" s="20" t="str">
        <f>IFERROR(W1636*H1636,"-")</f>
        <v>-</v>
      </c>
      <c r="Z1636" s="85">
        <v>45187</v>
      </c>
    </row>
    <row r="1637" spans="1:26" ht="6.95" customHeight="1" x14ac:dyDescent="0.3">
      <c r="A1637" s="5"/>
      <c r="B1637" s="157"/>
      <c r="C1637" s="158"/>
      <c r="D1637" s="161"/>
      <c r="E1637" s="162"/>
      <c r="F1637" s="163"/>
      <c r="G1637" s="164"/>
      <c r="H1637" s="165"/>
      <c r="I1637" s="164"/>
      <c r="J1637" s="165"/>
      <c r="K1637" s="164"/>
      <c r="L1637" s="165"/>
      <c r="M1637" s="6"/>
      <c r="N1637" s="32"/>
      <c r="Q1637" s="10" t="str">
        <f>+CONCATENATE(E1636,I1636)</f>
        <v>금속관벽체</v>
      </c>
      <c r="R1637" s="10">
        <f>+J1636</f>
        <v>0</v>
      </c>
      <c r="S1637" s="11"/>
      <c r="T1637" s="10" t="str">
        <f>+E1636</f>
        <v>금속관벽체</v>
      </c>
      <c r="U1637" s="19" t="str">
        <f>IFERROR(LEFT(I1636,FIND("*",I1636)-1),"-")</f>
        <v>-</v>
      </c>
      <c r="V1637" s="19" t="str">
        <f>IFERROR(RIGHT(I1636,LEN(I1636)-FIND("*",I1636)),"-")</f>
        <v>-</v>
      </c>
      <c r="W1637" s="20" t="str">
        <f t="shared" si="886"/>
        <v>-</v>
      </c>
      <c r="X1637" s="20" t="str">
        <f t="shared" ref="X1637" si="891">IFERROR(W1637*J1636,"-")</f>
        <v>-</v>
      </c>
      <c r="Z1637" s="85">
        <v>45187</v>
      </c>
    </row>
    <row r="1638" spans="1:26" ht="6.95" customHeight="1" x14ac:dyDescent="0.3">
      <c r="A1638" s="5"/>
      <c r="B1638" s="157"/>
      <c r="C1638" s="158"/>
      <c r="D1638" s="161"/>
      <c r="E1638" s="162"/>
      <c r="F1638" s="163"/>
      <c r="G1638" s="164"/>
      <c r="H1638" s="165"/>
      <c r="I1638" s="164"/>
      <c r="J1638" s="165"/>
      <c r="K1638" s="164"/>
      <c r="L1638" s="165"/>
      <c r="M1638" s="6"/>
      <c r="N1638" s="32"/>
      <c r="Q1638" s="10" t="str">
        <f>+CONCATENATE(E1636,K1636)</f>
        <v>금속관벽체</v>
      </c>
      <c r="R1638" s="10">
        <f>+L1636</f>
        <v>0</v>
      </c>
      <c r="S1638" s="11"/>
      <c r="T1638" s="10" t="str">
        <f>+E1636</f>
        <v>금속관벽체</v>
      </c>
      <c r="U1638" s="19" t="str">
        <f>IFERROR(LEFT(K1636,FIND("*",K1636)-1),"-")</f>
        <v>-</v>
      </c>
      <c r="V1638" s="19" t="str">
        <f>IFERROR(RIGHT(K1636,LEN(K1636)-FIND("*",K1636)),"-")</f>
        <v>-</v>
      </c>
      <c r="W1638" s="20" t="str">
        <f t="shared" si="886"/>
        <v>-</v>
      </c>
      <c r="X1638" s="20" t="str">
        <f>IFERROR(W1638*L1636,"-")</f>
        <v>-</v>
      </c>
      <c r="Z1638" s="85">
        <v>45187</v>
      </c>
    </row>
    <row r="1639" spans="1:26" ht="21" customHeight="1" thickBot="1" x14ac:dyDescent="0.35">
      <c r="A1639" s="5"/>
      <c r="B1639" s="159"/>
      <c r="C1639" s="160"/>
      <c r="D1639" s="166" t="s">
        <v>43</v>
      </c>
      <c r="E1639" s="167"/>
      <c r="F1639" s="167"/>
      <c r="G1639" s="168" t="s">
        <v>288</v>
      </c>
      <c r="H1639" s="168"/>
      <c r="I1639" s="168"/>
      <c r="J1639" s="168"/>
      <c r="K1639" s="168"/>
      <c r="L1639" s="168"/>
      <c r="M1639" s="7"/>
      <c r="N1639" s="32"/>
      <c r="Z1639" s="85">
        <v>45187</v>
      </c>
    </row>
    <row r="1640" spans="1:26" ht="9.9499999999999993" customHeight="1" thickBot="1" x14ac:dyDescent="0.35">
      <c r="B1640" s="9"/>
      <c r="C1640" s="109">
        <v>949</v>
      </c>
      <c r="D1640" s="51"/>
      <c r="E1640" s="12"/>
      <c r="F1640" s="51"/>
      <c r="G1640" s="14"/>
      <c r="H1640" s="14"/>
      <c r="I1640" s="14"/>
      <c r="J1640" s="14"/>
      <c r="K1640" s="14"/>
      <c r="L1640" s="14"/>
      <c r="M1640" s="9"/>
      <c r="N1640" s="32"/>
      <c r="U1640" s="18"/>
      <c r="V1640" s="18"/>
      <c r="Z1640" s="85">
        <v>45187</v>
      </c>
    </row>
    <row r="1641" spans="1:26" ht="6.95" customHeight="1" x14ac:dyDescent="0.3">
      <c r="A1641" s="154">
        <f>+A1630+1</f>
        <v>950</v>
      </c>
      <c r="B1641" s="155"/>
      <c r="C1641" s="156"/>
      <c r="D1641" s="161" t="s">
        <v>39</v>
      </c>
      <c r="E1641" s="162" t="s">
        <v>115</v>
      </c>
      <c r="F1641" s="163" t="s">
        <v>40</v>
      </c>
      <c r="G1641" s="164" t="s">
        <v>261</v>
      </c>
      <c r="H1641" s="165">
        <v>1</v>
      </c>
      <c r="I1641" s="164"/>
      <c r="J1641" s="165"/>
      <c r="K1641" s="164"/>
      <c r="L1641" s="165"/>
      <c r="M1641" s="6"/>
      <c r="N1641" s="32"/>
      <c r="Q1641" s="10" t="str">
        <f>+CONCATENATE(E1641,G1641)</f>
        <v>무보온덕트벽체2400*600</v>
      </c>
      <c r="R1641" s="10">
        <f>+H1641</f>
        <v>1</v>
      </c>
      <c r="S1641" s="11"/>
      <c r="T1641" s="10" t="str">
        <f>+E1641</f>
        <v>무보온덕트벽체</v>
      </c>
      <c r="U1641" s="19" t="str">
        <f>IFERROR(LEFT(G1641,FIND("*",G1641)-1),"-")</f>
        <v>2400</v>
      </c>
      <c r="V1641" s="19" t="str">
        <f>IFERROR(RIGHT(G1641,LEN(G1641)-FIND("*",G1641)),"-")</f>
        <v>600</v>
      </c>
      <c r="W1641" s="20">
        <f>IFERROR((U1641+V1641)*2/1000,"-")</f>
        <v>6</v>
      </c>
      <c r="X1641" s="20">
        <f>IFERROR(W1641*H1641,"-")</f>
        <v>6</v>
      </c>
      <c r="Z1641" s="85">
        <v>45187</v>
      </c>
    </row>
    <row r="1642" spans="1:26" ht="6.95" customHeight="1" x14ac:dyDescent="0.3">
      <c r="A1642" s="154"/>
      <c r="B1642" s="157"/>
      <c r="C1642" s="158"/>
      <c r="D1642" s="161"/>
      <c r="E1642" s="162"/>
      <c r="F1642" s="163"/>
      <c r="G1642" s="164"/>
      <c r="H1642" s="165"/>
      <c r="I1642" s="164"/>
      <c r="J1642" s="165"/>
      <c r="K1642" s="164"/>
      <c r="L1642" s="165"/>
      <c r="M1642" s="6"/>
      <c r="N1642" s="32"/>
      <c r="Q1642" s="10" t="str">
        <f>+CONCATENATE(E1641,I1641)</f>
        <v>무보온덕트벽체</v>
      </c>
      <c r="R1642" s="10">
        <f>+J1641</f>
        <v>0</v>
      </c>
      <c r="S1642" s="11"/>
      <c r="T1642" s="10" t="str">
        <f>+E1641</f>
        <v>무보온덕트벽체</v>
      </c>
      <c r="U1642" s="19" t="str">
        <f>IFERROR(LEFT(I1641,FIND("*",I1641)-1),"-")</f>
        <v>-</v>
      </c>
      <c r="V1642" s="19" t="str">
        <f>IFERROR(RIGHT(I1641,LEN(I1641)-FIND("*",I1641)),"-")</f>
        <v>-</v>
      </c>
      <c r="W1642" s="20" t="str">
        <f t="shared" ref="W1642:W1649" si="892">IFERROR((U1642+V1642)*2/1000,"-")</f>
        <v>-</v>
      </c>
      <c r="X1642" s="20" t="str">
        <f>IFERROR(W1642*J1641,"-")</f>
        <v>-</v>
      </c>
      <c r="Z1642" s="85">
        <v>45187</v>
      </c>
    </row>
    <row r="1643" spans="1:26" ht="6.95" customHeight="1" x14ac:dyDescent="0.3">
      <c r="A1643" s="154"/>
      <c r="B1643" s="157"/>
      <c r="C1643" s="158"/>
      <c r="D1643" s="161"/>
      <c r="E1643" s="162"/>
      <c r="F1643" s="163"/>
      <c r="G1643" s="164"/>
      <c r="H1643" s="165"/>
      <c r="I1643" s="164"/>
      <c r="J1643" s="165"/>
      <c r="K1643" s="164"/>
      <c r="L1643" s="165"/>
      <c r="M1643" s="6"/>
      <c r="N1643" s="32"/>
      <c r="Q1643" s="10" t="str">
        <f>+CONCATENATE(E1641,K1641)</f>
        <v>무보온덕트벽체</v>
      </c>
      <c r="R1643" s="10">
        <f>+L1641</f>
        <v>0</v>
      </c>
      <c r="S1643" s="11"/>
      <c r="T1643" s="10" t="str">
        <f>+E1641</f>
        <v>무보온덕트벽체</v>
      </c>
      <c r="U1643" s="19" t="str">
        <f>IFERROR(LEFT(K1641,FIND("*",K1641)-1),"-")</f>
        <v>-</v>
      </c>
      <c r="V1643" s="19" t="str">
        <f>IFERROR(RIGHT(K1641,LEN(K1641)-FIND("*",K1641)),"-")</f>
        <v>-</v>
      </c>
      <c r="W1643" s="20" t="str">
        <f t="shared" si="892"/>
        <v>-</v>
      </c>
      <c r="X1643" s="20" t="str">
        <f>IFERROR(W1643*L1641,"-")</f>
        <v>-</v>
      </c>
      <c r="Z1643" s="85">
        <v>45187</v>
      </c>
    </row>
    <row r="1644" spans="1:26" ht="6.95" customHeight="1" x14ac:dyDescent="0.3">
      <c r="A1644" s="8"/>
      <c r="B1644" s="157"/>
      <c r="C1644" s="158"/>
      <c r="D1644" s="161" t="s">
        <v>39</v>
      </c>
      <c r="E1644" s="162" t="s">
        <v>188</v>
      </c>
      <c r="F1644" s="163" t="s">
        <v>40</v>
      </c>
      <c r="G1644" s="164" t="s">
        <v>261</v>
      </c>
      <c r="H1644" s="165">
        <v>2</v>
      </c>
      <c r="I1644" s="164"/>
      <c r="J1644" s="165"/>
      <c r="K1644" s="164"/>
      <c r="L1644" s="165"/>
      <c r="M1644" s="6"/>
      <c r="N1644" s="32"/>
      <c r="Q1644" s="10" t="str">
        <f>+CONCATENATE(E1644,G1644)</f>
        <v>차열재마감2400*600</v>
      </c>
      <c r="R1644" s="10">
        <f>+H1644</f>
        <v>2</v>
      </c>
      <c r="S1644" s="11"/>
      <c r="T1644" s="10" t="str">
        <f>+E1644</f>
        <v>차열재마감</v>
      </c>
      <c r="U1644" s="19" t="str">
        <f t="shared" ref="U1644" si="893">IFERROR(LEFT(G1644,FIND("*",G1644)-1),"-")</f>
        <v>2400</v>
      </c>
      <c r="V1644" s="19" t="str">
        <f t="shared" ref="V1644" si="894">IFERROR(RIGHT(G1644,LEN(G1644)-FIND("*",G1644)),"-")</f>
        <v>600</v>
      </c>
      <c r="W1644" s="20">
        <f t="shared" si="892"/>
        <v>6</v>
      </c>
      <c r="X1644" s="20">
        <f>IFERROR(W1644*H1644,"-")</f>
        <v>12</v>
      </c>
      <c r="Z1644" s="85">
        <v>45187</v>
      </c>
    </row>
    <row r="1645" spans="1:26" ht="6.95" customHeight="1" x14ac:dyDescent="0.3">
      <c r="A1645" s="5"/>
      <c r="B1645" s="157"/>
      <c r="C1645" s="158"/>
      <c r="D1645" s="161"/>
      <c r="E1645" s="162"/>
      <c r="F1645" s="163"/>
      <c r="G1645" s="164"/>
      <c r="H1645" s="165"/>
      <c r="I1645" s="164"/>
      <c r="J1645" s="165"/>
      <c r="K1645" s="164"/>
      <c r="L1645" s="165"/>
      <c r="M1645" s="6"/>
      <c r="N1645" s="32"/>
      <c r="Q1645" s="10" t="str">
        <f>+CONCATENATE(E1644,I1644)</f>
        <v>차열재마감</v>
      </c>
      <c r="R1645" s="10">
        <f>+J1644</f>
        <v>0</v>
      </c>
      <c r="S1645" s="11"/>
      <c r="T1645" s="10" t="str">
        <f>+E1644</f>
        <v>차열재마감</v>
      </c>
      <c r="U1645" s="19" t="str">
        <f>IFERROR(LEFT(I1644,FIND("*",I1644)-1),"-")</f>
        <v>-</v>
      </c>
      <c r="V1645" s="19" t="str">
        <f>IFERROR(RIGHT(I1644,LEN(I1644)-FIND("*",I1644)),"-")</f>
        <v>-</v>
      </c>
      <c r="W1645" s="20" t="str">
        <f t="shared" si="892"/>
        <v>-</v>
      </c>
      <c r="X1645" s="20" t="str">
        <f>IFERROR(W1645*J1644,"-")</f>
        <v>-</v>
      </c>
      <c r="Z1645" s="85">
        <v>45187</v>
      </c>
    </row>
    <row r="1646" spans="1:26" ht="6.95" customHeight="1" x14ac:dyDescent="0.3">
      <c r="A1646" s="5"/>
      <c r="B1646" s="157"/>
      <c r="C1646" s="158"/>
      <c r="D1646" s="161"/>
      <c r="E1646" s="162"/>
      <c r="F1646" s="163"/>
      <c r="G1646" s="164"/>
      <c r="H1646" s="165"/>
      <c r="I1646" s="164"/>
      <c r="J1646" s="165"/>
      <c r="K1646" s="164"/>
      <c r="L1646" s="165"/>
      <c r="M1646" s="6"/>
      <c r="N1646" s="32"/>
      <c r="Q1646" s="10" t="str">
        <f>+CONCATENATE(E1644,K1644)</f>
        <v>차열재마감</v>
      </c>
      <c r="R1646" s="10">
        <f>+L1644</f>
        <v>0</v>
      </c>
      <c r="S1646" s="11"/>
      <c r="T1646" s="10" t="str">
        <f>+E1644</f>
        <v>차열재마감</v>
      </c>
      <c r="U1646" s="19" t="str">
        <f>IFERROR(LEFT(K1644,FIND("*",K1644)-1),"-")</f>
        <v>-</v>
      </c>
      <c r="V1646" s="19" t="str">
        <f>IFERROR(RIGHT(K1644,LEN(K1644)-FIND("*",K1644)),"-")</f>
        <v>-</v>
      </c>
      <c r="W1646" s="20" t="str">
        <f t="shared" si="892"/>
        <v>-</v>
      </c>
      <c r="X1646" s="20" t="str">
        <f>IFERROR(W1646*L1644,"-")</f>
        <v>-</v>
      </c>
      <c r="Z1646" s="85">
        <v>45187</v>
      </c>
    </row>
    <row r="1647" spans="1:26" ht="6.95" customHeight="1" x14ac:dyDescent="0.3">
      <c r="A1647" s="8"/>
      <c r="B1647" s="157"/>
      <c r="C1647" s="158"/>
      <c r="D1647" s="161" t="s">
        <v>39</v>
      </c>
      <c r="E1647" s="162" t="s">
        <v>186</v>
      </c>
      <c r="F1647" s="163" t="s">
        <v>40</v>
      </c>
      <c r="G1647" s="164">
        <v>50</v>
      </c>
      <c r="H1647" s="165">
        <v>1</v>
      </c>
      <c r="I1647" s="164"/>
      <c r="J1647" s="165"/>
      <c r="K1647" s="164"/>
      <c r="L1647" s="165"/>
      <c r="M1647" s="6"/>
      <c r="N1647" s="32"/>
      <c r="Q1647" s="10" t="str">
        <f>+CONCATENATE(E1647,G1647)</f>
        <v>금속관벽체50</v>
      </c>
      <c r="R1647" s="10">
        <f>+H1647</f>
        <v>1</v>
      </c>
      <c r="S1647" s="11"/>
      <c r="T1647" s="10" t="str">
        <f>+E1647</f>
        <v>금속관벽체</v>
      </c>
      <c r="U1647" s="19" t="str">
        <f t="shared" ref="U1647" si="895">IFERROR(LEFT(G1647,FIND("*",G1647)-1),"-")</f>
        <v>-</v>
      </c>
      <c r="V1647" s="19" t="str">
        <f t="shared" ref="V1647" si="896">IFERROR(RIGHT(G1647,LEN(G1647)-FIND("*",G1647)),"-")</f>
        <v>-</v>
      </c>
      <c r="W1647" s="20" t="str">
        <f t="shared" si="892"/>
        <v>-</v>
      </c>
      <c r="X1647" s="20" t="str">
        <f>IFERROR(W1647*H1647,"-")</f>
        <v>-</v>
      </c>
      <c r="Z1647" s="85">
        <v>45187</v>
      </c>
    </row>
    <row r="1648" spans="1:26" ht="6.95" customHeight="1" x14ac:dyDescent="0.3">
      <c r="A1648" s="5"/>
      <c r="B1648" s="157"/>
      <c r="C1648" s="158"/>
      <c r="D1648" s="161"/>
      <c r="E1648" s="162"/>
      <c r="F1648" s="163"/>
      <c r="G1648" s="164"/>
      <c r="H1648" s="165"/>
      <c r="I1648" s="164"/>
      <c r="J1648" s="165"/>
      <c r="K1648" s="164"/>
      <c r="L1648" s="165"/>
      <c r="M1648" s="6"/>
      <c r="N1648" s="32"/>
      <c r="Q1648" s="10" t="str">
        <f>+CONCATENATE(E1647,I1647)</f>
        <v>금속관벽체</v>
      </c>
      <c r="R1648" s="10">
        <f>+J1647</f>
        <v>0</v>
      </c>
      <c r="S1648" s="11"/>
      <c r="T1648" s="10" t="str">
        <f>+E1647</f>
        <v>금속관벽체</v>
      </c>
      <c r="U1648" s="19" t="str">
        <f>IFERROR(LEFT(I1647,FIND("*",I1647)-1),"-")</f>
        <v>-</v>
      </c>
      <c r="V1648" s="19" t="str">
        <f>IFERROR(RIGHT(I1647,LEN(I1647)-FIND("*",I1647)),"-")</f>
        <v>-</v>
      </c>
      <c r="W1648" s="20" t="str">
        <f t="shared" si="892"/>
        <v>-</v>
      </c>
      <c r="X1648" s="20" t="str">
        <f t="shared" ref="X1648" si="897">IFERROR(W1648*J1647,"-")</f>
        <v>-</v>
      </c>
      <c r="Z1648" s="85">
        <v>45187</v>
      </c>
    </row>
    <row r="1649" spans="1:26" ht="6.95" customHeight="1" x14ac:dyDescent="0.3">
      <c r="A1649" s="5"/>
      <c r="B1649" s="157"/>
      <c r="C1649" s="158"/>
      <c r="D1649" s="161"/>
      <c r="E1649" s="162"/>
      <c r="F1649" s="163"/>
      <c r="G1649" s="164"/>
      <c r="H1649" s="165"/>
      <c r="I1649" s="164"/>
      <c r="J1649" s="165"/>
      <c r="K1649" s="164"/>
      <c r="L1649" s="165"/>
      <c r="M1649" s="6"/>
      <c r="N1649" s="32"/>
      <c r="Q1649" s="10" t="str">
        <f>+CONCATENATE(E1647,K1647)</f>
        <v>금속관벽체</v>
      </c>
      <c r="R1649" s="10">
        <f>+L1647</f>
        <v>0</v>
      </c>
      <c r="S1649" s="11"/>
      <c r="T1649" s="10" t="str">
        <f>+E1647</f>
        <v>금속관벽체</v>
      </c>
      <c r="U1649" s="19" t="str">
        <f>IFERROR(LEFT(K1647,FIND("*",K1647)-1),"-")</f>
        <v>-</v>
      </c>
      <c r="V1649" s="19" t="str">
        <f>IFERROR(RIGHT(K1647,LEN(K1647)-FIND("*",K1647)),"-")</f>
        <v>-</v>
      </c>
      <c r="W1649" s="20" t="str">
        <f t="shared" si="892"/>
        <v>-</v>
      </c>
      <c r="X1649" s="20" t="str">
        <f>IFERROR(W1649*L1647,"-")</f>
        <v>-</v>
      </c>
      <c r="Z1649" s="85">
        <v>45187</v>
      </c>
    </row>
    <row r="1650" spans="1:26" ht="21" customHeight="1" thickBot="1" x14ac:dyDescent="0.35">
      <c r="A1650" s="5"/>
      <c r="B1650" s="159"/>
      <c r="C1650" s="160"/>
      <c r="D1650" s="166" t="s">
        <v>43</v>
      </c>
      <c r="E1650" s="167"/>
      <c r="F1650" s="167"/>
      <c r="G1650" s="168" t="s">
        <v>288</v>
      </c>
      <c r="H1650" s="168"/>
      <c r="I1650" s="168"/>
      <c r="J1650" s="168"/>
      <c r="K1650" s="168"/>
      <c r="L1650" s="168"/>
      <c r="M1650" s="7"/>
      <c r="N1650" s="32"/>
      <c r="Z1650" s="85">
        <v>45187</v>
      </c>
    </row>
    <row r="1651" spans="1:26" ht="9.9499999999999993" customHeight="1" thickBot="1" x14ac:dyDescent="0.35">
      <c r="B1651" s="9"/>
      <c r="C1651" s="109">
        <v>950</v>
      </c>
      <c r="D1651" s="51"/>
      <c r="E1651" s="12"/>
      <c r="F1651" s="51"/>
      <c r="G1651" s="14"/>
      <c r="H1651" s="14"/>
      <c r="I1651" s="14"/>
      <c r="J1651" s="14"/>
      <c r="K1651" s="14"/>
      <c r="L1651" s="14"/>
      <c r="M1651" s="9"/>
      <c r="N1651" s="32"/>
      <c r="U1651" s="18"/>
      <c r="V1651" s="18"/>
      <c r="Z1651" s="85">
        <v>45187</v>
      </c>
    </row>
    <row r="1652" spans="1:26" ht="6.95" customHeight="1" x14ac:dyDescent="0.3">
      <c r="A1652" s="154">
        <f>+A1641+1</f>
        <v>951</v>
      </c>
      <c r="B1652" s="155"/>
      <c r="C1652" s="156"/>
      <c r="D1652" s="161" t="s">
        <v>39</v>
      </c>
      <c r="E1652" s="162" t="s">
        <v>186</v>
      </c>
      <c r="F1652" s="163" t="s">
        <v>40</v>
      </c>
      <c r="G1652" s="164">
        <v>50</v>
      </c>
      <c r="H1652" s="165">
        <v>1</v>
      </c>
      <c r="I1652" s="164"/>
      <c r="J1652" s="165"/>
      <c r="K1652" s="164"/>
      <c r="L1652" s="165"/>
      <c r="M1652" s="6"/>
      <c r="N1652" s="32"/>
      <c r="Q1652" s="10" t="str">
        <f>+CONCATENATE(E1652,G1652)</f>
        <v>금속관벽체50</v>
      </c>
      <c r="R1652" s="10">
        <f>+H1652</f>
        <v>1</v>
      </c>
      <c r="S1652" s="11"/>
      <c r="T1652" s="10" t="str">
        <f>+E1652</f>
        <v>금속관벽체</v>
      </c>
      <c r="U1652" s="19" t="str">
        <f>IFERROR(LEFT(G1652,FIND("*",G1652)-1),"-")</f>
        <v>-</v>
      </c>
      <c r="V1652" s="19" t="str">
        <f>IFERROR(RIGHT(G1652,LEN(G1652)-FIND("*",G1652)),"-")</f>
        <v>-</v>
      </c>
      <c r="W1652" s="20" t="str">
        <f>IFERROR((U1652+V1652)*2/1000,"-")</f>
        <v>-</v>
      </c>
      <c r="X1652" s="20" t="str">
        <f>IFERROR(W1652*H1652,"-")</f>
        <v>-</v>
      </c>
      <c r="Z1652" s="85">
        <v>45187</v>
      </c>
    </row>
    <row r="1653" spans="1:26" ht="6.95" customHeight="1" x14ac:dyDescent="0.3">
      <c r="A1653" s="154"/>
      <c r="B1653" s="157"/>
      <c r="C1653" s="158"/>
      <c r="D1653" s="161"/>
      <c r="E1653" s="162"/>
      <c r="F1653" s="163"/>
      <c r="G1653" s="164"/>
      <c r="H1653" s="165"/>
      <c r="I1653" s="164"/>
      <c r="J1653" s="165"/>
      <c r="K1653" s="164"/>
      <c r="L1653" s="165"/>
      <c r="M1653" s="6"/>
      <c r="N1653" s="32"/>
      <c r="Q1653" s="10" t="str">
        <f>+CONCATENATE(E1652,I1652)</f>
        <v>금속관벽체</v>
      </c>
      <c r="R1653" s="10">
        <f>+J1652</f>
        <v>0</v>
      </c>
      <c r="S1653" s="11"/>
      <c r="T1653" s="10" t="str">
        <f>+E1652</f>
        <v>금속관벽체</v>
      </c>
      <c r="U1653" s="19" t="str">
        <f>IFERROR(LEFT(I1652,FIND("*",I1652)-1),"-")</f>
        <v>-</v>
      </c>
      <c r="V1653" s="19" t="str">
        <f>IFERROR(RIGHT(I1652,LEN(I1652)-FIND("*",I1652)),"-")</f>
        <v>-</v>
      </c>
      <c r="W1653" s="20" t="str">
        <f t="shared" ref="W1653:W1660" si="898">IFERROR((U1653+V1653)*2/1000,"-")</f>
        <v>-</v>
      </c>
      <c r="X1653" s="20" t="str">
        <f>IFERROR(W1653*J1652,"-")</f>
        <v>-</v>
      </c>
      <c r="Z1653" s="85">
        <v>45187</v>
      </c>
    </row>
    <row r="1654" spans="1:26" ht="6.95" customHeight="1" x14ac:dyDescent="0.3">
      <c r="A1654" s="154"/>
      <c r="B1654" s="157"/>
      <c r="C1654" s="158"/>
      <c r="D1654" s="161"/>
      <c r="E1654" s="162"/>
      <c r="F1654" s="163"/>
      <c r="G1654" s="164"/>
      <c r="H1654" s="165"/>
      <c r="I1654" s="164"/>
      <c r="J1654" s="165"/>
      <c r="K1654" s="164"/>
      <c r="L1654" s="165"/>
      <c r="M1654" s="6"/>
      <c r="N1654" s="32"/>
      <c r="Q1654" s="10" t="str">
        <f>+CONCATENATE(E1652,K1652)</f>
        <v>금속관벽체</v>
      </c>
      <c r="R1654" s="10">
        <f>+L1652</f>
        <v>0</v>
      </c>
      <c r="S1654" s="11"/>
      <c r="T1654" s="10" t="str">
        <f>+E1652</f>
        <v>금속관벽체</v>
      </c>
      <c r="U1654" s="19" t="str">
        <f>IFERROR(LEFT(K1652,FIND("*",K1652)-1),"-")</f>
        <v>-</v>
      </c>
      <c r="V1654" s="19" t="str">
        <f>IFERROR(RIGHT(K1652,LEN(K1652)-FIND("*",K1652)),"-")</f>
        <v>-</v>
      </c>
      <c r="W1654" s="20" t="str">
        <f t="shared" si="898"/>
        <v>-</v>
      </c>
      <c r="X1654" s="20" t="str">
        <f>IFERROR(W1654*L1652,"-")</f>
        <v>-</v>
      </c>
      <c r="Z1654" s="85">
        <v>45187</v>
      </c>
    </row>
    <row r="1655" spans="1:26" ht="6.95" customHeight="1" x14ac:dyDescent="0.3">
      <c r="A1655" s="8"/>
      <c r="B1655" s="157"/>
      <c r="C1655" s="158"/>
      <c r="D1655" s="161" t="s">
        <v>39</v>
      </c>
      <c r="E1655" s="162"/>
      <c r="F1655" s="163" t="s">
        <v>40</v>
      </c>
      <c r="G1655" s="164"/>
      <c r="H1655" s="165"/>
      <c r="I1655" s="164"/>
      <c r="J1655" s="165"/>
      <c r="K1655" s="164"/>
      <c r="L1655" s="165"/>
      <c r="M1655" s="6"/>
      <c r="N1655" s="32"/>
      <c r="Q1655" s="10" t="str">
        <f>+CONCATENATE(E1655,G1655)</f>
        <v/>
      </c>
      <c r="R1655" s="10">
        <f>+H1655</f>
        <v>0</v>
      </c>
      <c r="S1655" s="11"/>
      <c r="T1655" s="10">
        <f>+E1655</f>
        <v>0</v>
      </c>
      <c r="U1655" s="19" t="str">
        <f t="shared" ref="U1655" si="899">IFERROR(LEFT(G1655,FIND("*",G1655)-1),"-")</f>
        <v>-</v>
      </c>
      <c r="V1655" s="19" t="str">
        <f t="shared" ref="V1655" si="900">IFERROR(RIGHT(G1655,LEN(G1655)-FIND("*",G1655)),"-")</f>
        <v>-</v>
      </c>
      <c r="W1655" s="20" t="str">
        <f t="shared" si="898"/>
        <v>-</v>
      </c>
      <c r="X1655" s="20" t="str">
        <f>IFERROR(W1655*H1655,"-")</f>
        <v>-</v>
      </c>
      <c r="Z1655" s="85">
        <v>45187</v>
      </c>
    </row>
    <row r="1656" spans="1:26" ht="6.95" customHeight="1" x14ac:dyDescent="0.3">
      <c r="A1656" s="5"/>
      <c r="B1656" s="157"/>
      <c r="C1656" s="158"/>
      <c r="D1656" s="161"/>
      <c r="E1656" s="162"/>
      <c r="F1656" s="163"/>
      <c r="G1656" s="164"/>
      <c r="H1656" s="165"/>
      <c r="I1656" s="164"/>
      <c r="J1656" s="165"/>
      <c r="K1656" s="164"/>
      <c r="L1656" s="165"/>
      <c r="M1656" s="6"/>
      <c r="N1656" s="32"/>
      <c r="Q1656" s="10" t="str">
        <f>+CONCATENATE(E1655,I1655)</f>
        <v/>
      </c>
      <c r="R1656" s="10">
        <f>+J1655</f>
        <v>0</v>
      </c>
      <c r="S1656" s="11"/>
      <c r="T1656" s="10">
        <f>+E1655</f>
        <v>0</v>
      </c>
      <c r="U1656" s="19" t="str">
        <f>IFERROR(LEFT(I1655,FIND("*",I1655)-1),"-")</f>
        <v>-</v>
      </c>
      <c r="V1656" s="19" t="str">
        <f>IFERROR(RIGHT(I1655,LEN(I1655)-FIND("*",I1655)),"-")</f>
        <v>-</v>
      </c>
      <c r="W1656" s="20" t="str">
        <f t="shared" si="898"/>
        <v>-</v>
      </c>
      <c r="X1656" s="20" t="str">
        <f>IFERROR(W1656*J1655,"-")</f>
        <v>-</v>
      </c>
      <c r="Z1656" s="85">
        <v>45187</v>
      </c>
    </row>
    <row r="1657" spans="1:26" ht="6.95" customHeight="1" x14ac:dyDescent="0.3">
      <c r="A1657" s="5"/>
      <c r="B1657" s="157"/>
      <c r="C1657" s="158"/>
      <c r="D1657" s="161"/>
      <c r="E1657" s="162"/>
      <c r="F1657" s="163"/>
      <c r="G1657" s="164"/>
      <c r="H1657" s="165"/>
      <c r="I1657" s="164"/>
      <c r="J1657" s="165"/>
      <c r="K1657" s="164"/>
      <c r="L1657" s="165"/>
      <c r="M1657" s="6"/>
      <c r="N1657" s="32"/>
      <c r="Q1657" s="10" t="str">
        <f>+CONCATENATE(E1655,K1655)</f>
        <v/>
      </c>
      <c r="R1657" s="10">
        <f>+L1655</f>
        <v>0</v>
      </c>
      <c r="S1657" s="11"/>
      <c r="T1657" s="10">
        <f>+E1655</f>
        <v>0</v>
      </c>
      <c r="U1657" s="19" t="str">
        <f>IFERROR(LEFT(K1655,FIND("*",K1655)-1),"-")</f>
        <v>-</v>
      </c>
      <c r="V1657" s="19" t="str">
        <f>IFERROR(RIGHT(K1655,LEN(K1655)-FIND("*",K1655)),"-")</f>
        <v>-</v>
      </c>
      <c r="W1657" s="20" t="str">
        <f t="shared" si="898"/>
        <v>-</v>
      </c>
      <c r="X1657" s="20" t="str">
        <f>IFERROR(W1657*L1655,"-")</f>
        <v>-</v>
      </c>
      <c r="Z1657" s="85">
        <v>45187</v>
      </c>
    </row>
    <row r="1658" spans="1:26" ht="6.95" customHeight="1" x14ac:dyDescent="0.3">
      <c r="A1658" s="8"/>
      <c r="B1658" s="157"/>
      <c r="C1658" s="158"/>
      <c r="D1658" s="161" t="s">
        <v>39</v>
      </c>
      <c r="E1658" s="162"/>
      <c r="F1658" s="163" t="s">
        <v>40</v>
      </c>
      <c r="G1658" s="164"/>
      <c r="H1658" s="165"/>
      <c r="I1658" s="164"/>
      <c r="J1658" s="165"/>
      <c r="K1658" s="164"/>
      <c r="L1658" s="165"/>
      <c r="M1658" s="6"/>
      <c r="N1658" s="32"/>
      <c r="Q1658" s="10" t="str">
        <f>+CONCATENATE(E1658,G1658)</f>
        <v/>
      </c>
      <c r="R1658" s="10">
        <f>+H1658</f>
        <v>0</v>
      </c>
      <c r="S1658" s="11"/>
      <c r="T1658" s="10">
        <f>+E1658</f>
        <v>0</v>
      </c>
      <c r="U1658" s="19" t="str">
        <f t="shared" ref="U1658" si="901">IFERROR(LEFT(G1658,FIND("*",G1658)-1),"-")</f>
        <v>-</v>
      </c>
      <c r="V1658" s="19" t="str">
        <f t="shared" ref="V1658" si="902">IFERROR(RIGHT(G1658,LEN(G1658)-FIND("*",G1658)),"-")</f>
        <v>-</v>
      </c>
      <c r="W1658" s="20" t="str">
        <f t="shared" si="898"/>
        <v>-</v>
      </c>
      <c r="X1658" s="20" t="str">
        <f>IFERROR(W1658*H1658,"-")</f>
        <v>-</v>
      </c>
      <c r="Z1658" s="85">
        <v>45187</v>
      </c>
    </row>
    <row r="1659" spans="1:26" ht="6.95" customHeight="1" x14ac:dyDescent="0.3">
      <c r="A1659" s="5"/>
      <c r="B1659" s="157"/>
      <c r="C1659" s="158"/>
      <c r="D1659" s="161"/>
      <c r="E1659" s="162"/>
      <c r="F1659" s="163"/>
      <c r="G1659" s="164"/>
      <c r="H1659" s="165"/>
      <c r="I1659" s="164"/>
      <c r="J1659" s="165"/>
      <c r="K1659" s="164"/>
      <c r="L1659" s="165"/>
      <c r="M1659" s="6"/>
      <c r="N1659" s="32"/>
      <c r="Q1659" s="10" t="str">
        <f>+CONCATENATE(E1658,I1658)</f>
        <v/>
      </c>
      <c r="R1659" s="10">
        <f>+J1658</f>
        <v>0</v>
      </c>
      <c r="S1659" s="11"/>
      <c r="T1659" s="10">
        <f>+E1658</f>
        <v>0</v>
      </c>
      <c r="U1659" s="19" t="str">
        <f>IFERROR(LEFT(I1658,FIND("*",I1658)-1),"-")</f>
        <v>-</v>
      </c>
      <c r="V1659" s="19" t="str">
        <f>IFERROR(RIGHT(I1658,LEN(I1658)-FIND("*",I1658)),"-")</f>
        <v>-</v>
      </c>
      <c r="W1659" s="20" t="str">
        <f t="shared" si="898"/>
        <v>-</v>
      </c>
      <c r="X1659" s="20" t="str">
        <f t="shared" ref="X1659" si="903">IFERROR(W1659*J1658,"-")</f>
        <v>-</v>
      </c>
      <c r="Z1659" s="85">
        <v>45187</v>
      </c>
    </row>
    <row r="1660" spans="1:26" ht="6.95" customHeight="1" x14ac:dyDescent="0.3">
      <c r="A1660" s="5"/>
      <c r="B1660" s="157"/>
      <c r="C1660" s="158"/>
      <c r="D1660" s="161"/>
      <c r="E1660" s="162"/>
      <c r="F1660" s="163"/>
      <c r="G1660" s="164"/>
      <c r="H1660" s="165"/>
      <c r="I1660" s="164"/>
      <c r="J1660" s="165"/>
      <c r="K1660" s="164"/>
      <c r="L1660" s="165"/>
      <c r="M1660" s="6"/>
      <c r="N1660" s="32"/>
      <c r="Q1660" s="10" t="str">
        <f>+CONCATENATE(E1658,K1658)</f>
        <v/>
      </c>
      <c r="R1660" s="10">
        <f>+L1658</f>
        <v>0</v>
      </c>
      <c r="S1660" s="11"/>
      <c r="T1660" s="10">
        <f>+E1658</f>
        <v>0</v>
      </c>
      <c r="U1660" s="19" t="str">
        <f>IFERROR(LEFT(K1658,FIND("*",K1658)-1),"-")</f>
        <v>-</v>
      </c>
      <c r="V1660" s="19" t="str">
        <f>IFERROR(RIGHT(K1658,LEN(K1658)-FIND("*",K1658)),"-")</f>
        <v>-</v>
      </c>
      <c r="W1660" s="20" t="str">
        <f t="shared" si="898"/>
        <v>-</v>
      </c>
      <c r="X1660" s="20" t="str">
        <f>IFERROR(W1660*L1658,"-")</f>
        <v>-</v>
      </c>
      <c r="Z1660" s="85">
        <v>45187</v>
      </c>
    </row>
    <row r="1661" spans="1:26" ht="21" customHeight="1" thickBot="1" x14ac:dyDescent="0.35">
      <c r="A1661" s="5"/>
      <c r="B1661" s="159"/>
      <c r="C1661" s="160"/>
      <c r="D1661" s="166" t="s">
        <v>43</v>
      </c>
      <c r="E1661" s="167"/>
      <c r="F1661" s="167"/>
      <c r="G1661" s="168" t="s">
        <v>288</v>
      </c>
      <c r="H1661" s="168"/>
      <c r="I1661" s="168"/>
      <c r="J1661" s="168"/>
      <c r="K1661" s="168"/>
      <c r="L1661" s="168"/>
      <c r="M1661" s="7"/>
      <c r="N1661" s="32"/>
      <c r="Z1661" s="85">
        <v>45187</v>
      </c>
    </row>
    <row r="1662" spans="1:26" ht="9.9499999999999993" customHeight="1" thickBot="1" x14ac:dyDescent="0.35">
      <c r="B1662" s="9"/>
      <c r="C1662" s="109">
        <v>951</v>
      </c>
      <c r="D1662" s="51"/>
      <c r="E1662" s="12"/>
      <c r="F1662" s="51"/>
      <c r="G1662" s="14"/>
      <c r="H1662" s="14"/>
      <c r="I1662" s="14"/>
      <c r="J1662" s="14"/>
      <c r="K1662" s="14"/>
      <c r="L1662" s="14"/>
      <c r="M1662" s="9"/>
      <c r="N1662" s="32"/>
      <c r="U1662" s="18"/>
      <c r="V1662" s="18"/>
      <c r="Z1662" s="85">
        <v>45187</v>
      </c>
    </row>
    <row r="1663" spans="1:26" ht="6.95" customHeight="1" x14ac:dyDescent="0.3">
      <c r="A1663" s="154">
        <f>+A1652+1</f>
        <v>952</v>
      </c>
      <c r="B1663" s="155"/>
      <c r="C1663" s="156"/>
      <c r="D1663" s="161" t="s">
        <v>39</v>
      </c>
      <c r="E1663" s="162" t="s">
        <v>111</v>
      </c>
      <c r="F1663" s="163" t="s">
        <v>40</v>
      </c>
      <c r="G1663" s="164" t="s">
        <v>191</v>
      </c>
      <c r="H1663" s="165">
        <v>2</v>
      </c>
      <c r="I1663" s="164"/>
      <c r="J1663" s="165"/>
      <c r="K1663" s="164"/>
      <c r="L1663" s="165"/>
      <c r="M1663" s="6"/>
      <c r="N1663" s="32"/>
      <c r="Q1663" s="10" t="str">
        <f>+CONCATENATE(E1663,G1663)</f>
        <v>보온덕트벽체800*400</v>
      </c>
      <c r="R1663" s="10">
        <f>+H1663</f>
        <v>2</v>
      </c>
      <c r="S1663" s="11"/>
      <c r="T1663" s="10" t="str">
        <f>+E1663</f>
        <v>보온덕트벽체</v>
      </c>
      <c r="U1663" s="19" t="str">
        <f>IFERROR(LEFT(G1663,FIND("*",G1663)-1),"-")</f>
        <v>800</v>
      </c>
      <c r="V1663" s="19" t="str">
        <f>IFERROR(RIGHT(G1663,LEN(G1663)-FIND("*",G1663)),"-")</f>
        <v>400</v>
      </c>
      <c r="W1663" s="20">
        <f>IFERROR((U1663+V1663)*2/1000,"-")</f>
        <v>2.4</v>
      </c>
      <c r="X1663" s="20">
        <f>IFERROR(W1663*H1663,"-")</f>
        <v>4.8</v>
      </c>
      <c r="Z1663" s="85">
        <v>45187</v>
      </c>
    </row>
    <row r="1664" spans="1:26" ht="6.95" customHeight="1" x14ac:dyDescent="0.3">
      <c r="A1664" s="154"/>
      <c r="B1664" s="157"/>
      <c r="C1664" s="158"/>
      <c r="D1664" s="161"/>
      <c r="E1664" s="162"/>
      <c r="F1664" s="163"/>
      <c r="G1664" s="164"/>
      <c r="H1664" s="165"/>
      <c r="I1664" s="164"/>
      <c r="J1664" s="165"/>
      <c r="K1664" s="164"/>
      <c r="L1664" s="165"/>
      <c r="M1664" s="6"/>
      <c r="N1664" s="32"/>
      <c r="Q1664" s="10" t="str">
        <f>+CONCATENATE(E1663,I1663)</f>
        <v>보온덕트벽체</v>
      </c>
      <c r="R1664" s="10">
        <f>+J1663</f>
        <v>0</v>
      </c>
      <c r="S1664" s="11"/>
      <c r="T1664" s="10" t="str">
        <f>+E1663</f>
        <v>보온덕트벽체</v>
      </c>
      <c r="U1664" s="19" t="str">
        <f>IFERROR(LEFT(I1663,FIND("*",I1663)-1),"-")</f>
        <v>-</v>
      </c>
      <c r="V1664" s="19" t="str">
        <f>IFERROR(RIGHT(I1663,LEN(I1663)-FIND("*",I1663)),"-")</f>
        <v>-</v>
      </c>
      <c r="W1664" s="20" t="str">
        <f t="shared" ref="W1664:W1671" si="904">IFERROR((U1664+V1664)*2/1000,"-")</f>
        <v>-</v>
      </c>
      <c r="X1664" s="20" t="str">
        <f>IFERROR(W1664*J1663,"-")</f>
        <v>-</v>
      </c>
      <c r="Z1664" s="85">
        <v>45187</v>
      </c>
    </row>
    <row r="1665" spans="1:26" ht="6.95" customHeight="1" x14ac:dyDescent="0.3">
      <c r="A1665" s="154"/>
      <c r="B1665" s="157"/>
      <c r="C1665" s="158"/>
      <c r="D1665" s="161"/>
      <c r="E1665" s="162"/>
      <c r="F1665" s="163"/>
      <c r="G1665" s="164"/>
      <c r="H1665" s="165"/>
      <c r="I1665" s="164"/>
      <c r="J1665" s="165"/>
      <c r="K1665" s="164"/>
      <c r="L1665" s="165"/>
      <c r="M1665" s="6"/>
      <c r="N1665" s="32"/>
      <c r="Q1665" s="10" t="str">
        <f>+CONCATENATE(E1663,K1663)</f>
        <v>보온덕트벽체</v>
      </c>
      <c r="R1665" s="10">
        <f>+L1663</f>
        <v>0</v>
      </c>
      <c r="S1665" s="11"/>
      <c r="T1665" s="10" t="str">
        <f>+E1663</f>
        <v>보온덕트벽체</v>
      </c>
      <c r="U1665" s="19" t="str">
        <f>IFERROR(LEFT(K1663,FIND("*",K1663)-1),"-")</f>
        <v>-</v>
      </c>
      <c r="V1665" s="19" t="str">
        <f>IFERROR(RIGHT(K1663,LEN(K1663)-FIND("*",K1663)),"-")</f>
        <v>-</v>
      </c>
      <c r="W1665" s="20" t="str">
        <f t="shared" si="904"/>
        <v>-</v>
      </c>
      <c r="X1665" s="20" t="str">
        <f>IFERROR(W1665*L1663,"-")</f>
        <v>-</v>
      </c>
      <c r="Z1665" s="85">
        <v>45187</v>
      </c>
    </row>
    <row r="1666" spans="1:26" ht="6.95" customHeight="1" x14ac:dyDescent="0.3">
      <c r="A1666" s="8"/>
      <c r="B1666" s="157"/>
      <c r="C1666" s="158"/>
      <c r="D1666" s="161" t="s">
        <v>39</v>
      </c>
      <c r="E1666" s="162" t="s">
        <v>188</v>
      </c>
      <c r="F1666" s="163" t="s">
        <v>40</v>
      </c>
      <c r="G1666" s="164" t="s">
        <v>191</v>
      </c>
      <c r="H1666" s="165">
        <v>4</v>
      </c>
      <c r="I1666" s="164" t="s">
        <v>197</v>
      </c>
      <c r="J1666" s="165">
        <v>1</v>
      </c>
      <c r="K1666" s="164"/>
      <c r="L1666" s="165"/>
      <c r="M1666" s="6"/>
      <c r="N1666" s="32"/>
      <c r="Q1666" s="10" t="str">
        <f>+CONCATENATE(E1666,G1666)</f>
        <v>차열재마감800*400</v>
      </c>
      <c r="R1666" s="10">
        <f>+H1666</f>
        <v>4</v>
      </c>
      <c r="S1666" s="11"/>
      <c r="T1666" s="10" t="str">
        <f>+E1666</f>
        <v>차열재마감</v>
      </c>
      <c r="U1666" s="19" t="str">
        <f t="shared" ref="U1666" si="905">IFERROR(LEFT(G1666,FIND("*",G1666)-1),"-")</f>
        <v>800</v>
      </c>
      <c r="V1666" s="19" t="str">
        <f t="shared" ref="V1666" si="906">IFERROR(RIGHT(G1666,LEN(G1666)-FIND("*",G1666)),"-")</f>
        <v>400</v>
      </c>
      <c r="W1666" s="20">
        <f t="shared" si="904"/>
        <v>2.4</v>
      </c>
      <c r="X1666" s="20">
        <f>IFERROR(W1666*H1666,"-")</f>
        <v>9.6</v>
      </c>
      <c r="Z1666" s="85">
        <v>45187</v>
      </c>
    </row>
    <row r="1667" spans="1:26" ht="6.95" customHeight="1" x14ac:dyDescent="0.3">
      <c r="A1667" s="5"/>
      <c r="B1667" s="157"/>
      <c r="C1667" s="158"/>
      <c r="D1667" s="161"/>
      <c r="E1667" s="162"/>
      <c r="F1667" s="163"/>
      <c r="G1667" s="164"/>
      <c r="H1667" s="165"/>
      <c r="I1667" s="164"/>
      <c r="J1667" s="165"/>
      <c r="K1667" s="164"/>
      <c r="L1667" s="165"/>
      <c r="M1667" s="6"/>
      <c r="N1667" s="32"/>
      <c r="Q1667" s="10" t="str">
        <f>+CONCATENATE(E1666,I1666)</f>
        <v>차열재마감2000*600</v>
      </c>
      <c r="R1667" s="10">
        <f>+J1666</f>
        <v>1</v>
      </c>
      <c r="S1667" s="11"/>
      <c r="T1667" s="10" t="str">
        <f>+E1666</f>
        <v>차열재마감</v>
      </c>
      <c r="U1667" s="19" t="str">
        <f>IFERROR(LEFT(I1666,FIND("*",I1666)-1),"-")</f>
        <v>2000</v>
      </c>
      <c r="V1667" s="19" t="str">
        <f>IFERROR(RIGHT(I1666,LEN(I1666)-FIND("*",I1666)),"-")</f>
        <v>600</v>
      </c>
      <c r="W1667" s="20">
        <f t="shared" si="904"/>
        <v>5.2</v>
      </c>
      <c r="X1667" s="20">
        <f>IFERROR(W1667*J1666,"-")</f>
        <v>5.2</v>
      </c>
      <c r="Z1667" s="85">
        <v>45187</v>
      </c>
    </row>
    <row r="1668" spans="1:26" ht="6.95" customHeight="1" x14ac:dyDescent="0.3">
      <c r="A1668" s="5"/>
      <c r="B1668" s="157"/>
      <c r="C1668" s="158"/>
      <c r="D1668" s="161"/>
      <c r="E1668" s="162"/>
      <c r="F1668" s="163"/>
      <c r="G1668" s="164"/>
      <c r="H1668" s="165"/>
      <c r="I1668" s="164"/>
      <c r="J1668" s="165"/>
      <c r="K1668" s="164"/>
      <c r="L1668" s="165"/>
      <c r="M1668" s="6"/>
      <c r="N1668" s="32"/>
      <c r="Q1668" s="10" t="str">
        <f>+CONCATENATE(E1666,K1666)</f>
        <v>차열재마감</v>
      </c>
      <c r="R1668" s="10">
        <f>+L1666</f>
        <v>0</v>
      </c>
      <c r="S1668" s="11"/>
      <c r="T1668" s="10" t="str">
        <f>+E1666</f>
        <v>차열재마감</v>
      </c>
      <c r="U1668" s="19" t="str">
        <f>IFERROR(LEFT(K1666,FIND("*",K1666)-1),"-")</f>
        <v>-</v>
      </c>
      <c r="V1668" s="19" t="str">
        <f>IFERROR(RIGHT(K1666,LEN(K1666)-FIND("*",K1666)),"-")</f>
        <v>-</v>
      </c>
      <c r="W1668" s="20" t="str">
        <f t="shared" si="904"/>
        <v>-</v>
      </c>
      <c r="X1668" s="20" t="str">
        <f>IFERROR(W1668*L1666,"-")</f>
        <v>-</v>
      </c>
      <c r="Z1668" s="85">
        <v>45187</v>
      </c>
    </row>
    <row r="1669" spans="1:26" ht="6.95" customHeight="1" x14ac:dyDescent="0.3">
      <c r="A1669" s="8"/>
      <c r="B1669" s="157"/>
      <c r="C1669" s="158"/>
      <c r="D1669" s="161" t="s">
        <v>39</v>
      </c>
      <c r="E1669" s="162" t="s">
        <v>115</v>
      </c>
      <c r="F1669" s="163" t="s">
        <v>40</v>
      </c>
      <c r="G1669" s="164" t="s">
        <v>197</v>
      </c>
      <c r="H1669" s="165">
        <v>1</v>
      </c>
      <c r="I1669" s="164"/>
      <c r="J1669" s="165"/>
      <c r="K1669" s="164"/>
      <c r="L1669" s="165"/>
      <c r="M1669" s="6"/>
      <c r="N1669" s="32"/>
      <c r="Q1669" s="10" t="str">
        <f>+CONCATENATE(E1669,G1669)</f>
        <v>무보온덕트벽체2000*600</v>
      </c>
      <c r="R1669" s="10">
        <f>+H1669</f>
        <v>1</v>
      </c>
      <c r="S1669" s="11"/>
      <c r="T1669" s="10" t="str">
        <f>+E1669</f>
        <v>무보온덕트벽체</v>
      </c>
      <c r="U1669" s="19" t="str">
        <f t="shared" ref="U1669" si="907">IFERROR(LEFT(G1669,FIND("*",G1669)-1),"-")</f>
        <v>2000</v>
      </c>
      <c r="V1669" s="19" t="str">
        <f t="shared" ref="V1669" si="908">IFERROR(RIGHT(G1669,LEN(G1669)-FIND("*",G1669)),"-")</f>
        <v>600</v>
      </c>
      <c r="W1669" s="20">
        <f t="shared" si="904"/>
        <v>5.2</v>
      </c>
      <c r="X1669" s="20">
        <f>IFERROR(W1669*H1669,"-")</f>
        <v>5.2</v>
      </c>
      <c r="Z1669" s="85">
        <v>45187</v>
      </c>
    </row>
    <row r="1670" spans="1:26" ht="6.95" customHeight="1" x14ac:dyDescent="0.3">
      <c r="A1670" s="5"/>
      <c r="B1670" s="157"/>
      <c r="C1670" s="158"/>
      <c r="D1670" s="161"/>
      <c r="E1670" s="162"/>
      <c r="F1670" s="163"/>
      <c r="G1670" s="164"/>
      <c r="H1670" s="165"/>
      <c r="I1670" s="164"/>
      <c r="J1670" s="165"/>
      <c r="K1670" s="164"/>
      <c r="L1670" s="165"/>
      <c r="M1670" s="6"/>
      <c r="N1670" s="32"/>
      <c r="Q1670" s="10" t="str">
        <f>+CONCATENATE(E1669,I1669)</f>
        <v>무보온덕트벽체</v>
      </c>
      <c r="R1670" s="10">
        <f>+J1669</f>
        <v>0</v>
      </c>
      <c r="S1670" s="11"/>
      <c r="T1670" s="10" t="str">
        <f>+E1669</f>
        <v>무보온덕트벽체</v>
      </c>
      <c r="U1670" s="19" t="str">
        <f>IFERROR(LEFT(I1669,FIND("*",I1669)-1),"-")</f>
        <v>-</v>
      </c>
      <c r="V1670" s="19" t="str">
        <f>IFERROR(RIGHT(I1669,LEN(I1669)-FIND("*",I1669)),"-")</f>
        <v>-</v>
      </c>
      <c r="W1670" s="20" t="str">
        <f t="shared" si="904"/>
        <v>-</v>
      </c>
      <c r="X1670" s="20" t="str">
        <f t="shared" ref="X1670" si="909">IFERROR(W1670*J1669,"-")</f>
        <v>-</v>
      </c>
      <c r="Z1670" s="85">
        <v>45187</v>
      </c>
    </row>
    <row r="1671" spans="1:26" ht="6.95" customHeight="1" x14ac:dyDescent="0.3">
      <c r="A1671" s="5"/>
      <c r="B1671" s="157"/>
      <c r="C1671" s="158"/>
      <c r="D1671" s="161"/>
      <c r="E1671" s="162"/>
      <c r="F1671" s="163"/>
      <c r="G1671" s="164"/>
      <c r="H1671" s="165"/>
      <c r="I1671" s="164"/>
      <c r="J1671" s="165"/>
      <c r="K1671" s="164"/>
      <c r="L1671" s="165"/>
      <c r="M1671" s="6"/>
      <c r="N1671" s="32"/>
      <c r="Q1671" s="10" t="str">
        <f>+CONCATENATE(E1669,K1669)</f>
        <v>무보온덕트벽체</v>
      </c>
      <c r="R1671" s="10">
        <f>+L1669</f>
        <v>0</v>
      </c>
      <c r="S1671" s="11"/>
      <c r="T1671" s="10" t="str">
        <f>+E1669</f>
        <v>무보온덕트벽체</v>
      </c>
      <c r="U1671" s="19" t="str">
        <f>IFERROR(LEFT(K1669,FIND("*",K1669)-1),"-")</f>
        <v>-</v>
      </c>
      <c r="V1671" s="19" t="str">
        <f>IFERROR(RIGHT(K1669,LEN(K1669)-FIND("*",K1669)),"-")</f>
        <v>-</v>
      </c>
      <c r="W1671" s="20" t="str">
        <f t="shared" si="904"/>
        <v>-</v>
      </c>
      <c r="X1671" s="20" t="str">
        <f>IFERROR(W1671*L1669,"-")</f>
        <v>-</v>
      </c>
      <c r="Z1671" s="85">
        <v>45187</v>
      </c>
    </row>
    <row r="1672" spans="1:26" ht="21" customHeight="1" thickBot="1" x14ac:dyDescent="0.35">
      <c r="A1672" s="5"/>
      <c r="B1672" s="159"/>
      <c r="C1672" s="160"/>
      <c r="D1672" s="166" t="s">
        <v>43</v>
      </c>
      <c r="E1672" s="167"/>
      <c r="F1672" s="167"/>
      <c r="G1672" s="168" t="s">
        <v>288</v>
      </c>
      <c r="H1672" s="168"/>
      <c r="I1672" s="168"/>
      <c r="J1672" s="168"/>
      <c r="K1672" s="168"/>
      <c r="L1672" s="168"/>
      <c r="M1672" s="7"/>
      <c r="N1672" s="32"/>
      <c r="Z1672" s="85">
        <v>45187</v>
      </c>
    </row>
    <row r="1673" spans="1:26" ht="9.9499999999999993" customHeight="1" thickBot="1" x14ac:dyDescent="0.35">
      <c r="B1673" s="9"/>
      <c r="C1673" s="109">
        <v>952</v>
      </c>
      <c r="D1673" s="51"/>
      <c r="E1673" s="12"/>
      <c r="F1673" s="51"/>
      <c r="G1673" s="14"/>
      <c r="H1673" s="14"/>
      <c r="I1673" s="14"/>
      <c r="J1673" s="14"/>
      <c r="K1673" s="14"/>
      <c r="L1673" s="14"/>
      <c r="M1673" s="9"/>
      <c r="N1673" s="32"/>
      <c r="U1673" s="18"/>
      <c r="V1673" s="18"/>
      <c r="Z1673" s="85">
        <v>45187</v>
      </c>
    </row>
    <row r="1674" spans="1:26" ht="6.95" customHeight="1" x14ac:dyDescent="0.3">
      <c r="A1674" s="154">
        <f>+A1663+1</f>
        <v>953</v>
      </c>
      <c r="B1674" s="155"/>
      <c r="C1674" s="156"/>
      <c r="D1674" s="161" t="s">
        <v>39</v>
      </c>
      <c r="E1674" s="162" t="s">
        <v>111</v>
      </c>
      <c r="F1674" s="163" t="s">
        <v>40</v>
      </c>
      <c r="G1674" s="164" t="s">
        <v>191</v>
      </c>
      <c r="H1674" s="165">
        <v>2</v>
      </c>
      <c r="I1674" s="164"/>
      <c r="J1674" s="165"/>
      <c r="K1674" s="164"/>
      <c r="L1674" s="165"/>
      <c r="M1674" s="6"/>
      <c r="N1674" s="32"/>
      <c r="Q1674" s="10" t="str">
        <f>+CONCATENATE(E1674,G1674)</f>
        <v>보온덕트벽체800*400</v>
      </c>
      <c r="R1674" s="10">
        <f>+H1674</f>
        <v>2</v>
      </c>
      <c r="S1674" s="11"/>
      <c r="T1674" s="10" t="str">
        <f>+E1674</f>
        <v>보온덕트벽체</v>
      </c>
      <c r="U1674" s="19" t="str">
        <f>IFERROR(LEFT(G1674,FIND("*",G1674)-1),"-")</f>
        <v>800</v>
      </c>
      <c r="V1674" s="19" t="str">
        <f>IFERROR(RIGHT(G1674,LEN(G1674)-FIND("*",G1674)),"-")</f>
        <v>400</v>
      </c>
      <c r="W1674" s="20">
        <f>IFERROR((U1674+V1674)*2/1000,"-")</f>
        <v>2.4</v>
      </c>
      <c r="X1674" s="20">
        <f>IFERROR(W1674*H1674,"-")</f>
        <v>4.8</v>
      </c>
      <c r="Z1674" s="85">
        <v>45187</v>
      </c>
    </row>
    <row r="1675" spans="1:26" ht="6.95" customHeight="1" x14ac:dyDescent="0.3">
      <c r="A1675" s="154"/>
      <c r="B1675" s="157"/>
      <c r="C1675" s="158"/>
      <c r="D1675" s="161"/>
      <c r="E1675" s="162"/>
      <c r="F1675" s="163"/>
      <c r="G1675" s="164"/>
      <c r="H1675" s="165"/>
      <c r="I1675" s="164"/>
      <c r="J1675" s="165"/>
      <c r="K1675" s="164"/>
      <c r="L1675" s="165"/>
      <c r="M1675" s="6"/>
      <c r="N1675" s="32"/>
      <c r="Q1675" s="10" t="str">
        <f>+CONCATENATE(E1674,I1674)</f>
        <v>보온덕트벽체</v>
      </c>
      <c r="R1675" s="10">
        <f>+J1674</f>
        <v>0</v>
      </c>
      <c r="S1675" s="11"/>
      <c r="T1675" s="10" t="str">
        <f>+E1674</f>
        <v>보온덕트벽체</v>
      </c>
      <c r="U1675" s="19" t="str">
        <f>IFERROR(LEFT(I1674,FIND("*",I1674)-1),"-")</f>
        <v>-</v>
      </c>
      <c r="V1675" s="19" t="str">
        <f>IFERROR(RIGHT(I1674,LEN(I1674)-FIND("*",I1674)),"-")</f>
        <v>-</v>
      </c>
      <c r="W1675" s="20" t="str">
        <f t="shared" ref="W1675:W1685" si="910">IFERROR((U1675+V1675)*2/1000,"-")</f>
        <v>-</v>
      </c>
      <c r="X1675" s="20" t="str">
        <f>IFERROR(W1675*J1674,"-")</f>
        <v>-</v>
      </c>
      <c r="Z1675" s="85">
        <v>45187</v>
      </c>
    </row>
    <row r="1676" spans="1:26" ht="6.95" customHeight="1" x14ac:dyDescent="0.3">
      <c r="A1676" s="154"/>
      <c r="B1676" s="157"/>
      <c r="C1676" s="158"/>
      <c r="D1676" s="161"/>
      <c r="E1676" s="162"/>
      <c r="F1676" s="163"/>
      <c r="G1676" s="164"/>
      <c r="H1676" s="165"/>
      <c r="I1676" s="164"/>
      <c r="J1676" s="165"/>
      <c r="K1676" s="164"/>
      <c r="L1676" s="165"/>
      <c r="M1676" s="6"/>
      <c r="N1676" s="32"/>
      <c r="Q1676" s="10" t="str">
        <f>+CONCATENATE(E1674,K1674)</f>
        <v>보온덕트벽체</v>
      </c>
      <c r="R1676" s="10">
        <f>+L1674</f>
        <v>0</v>
      </c>
      <c r="S1676" s="11"/>
      <c r="T1676" s="10" t="str">
        <f>+E1674</f>
        <v>보온덕트벽체</v>
      </c>
      <c r="U1676" s="19" t="str">
        <f>IFERROR(LEFT(K1674,FIND("*",K1674)-1),"-")</f>
        <v>-</v>
      </c>
      <c r="V1676" s="19" t="str">
        <f>IFERROR(RIGHT(K1674,LEN(K1674)-FIND("*",K1674)),"-")</f>
        <v>-</v>
      </c>
      <c r="W1676" s="20" t="str">
        <f t="shared" si="910"/>
        <v>-</v>
      </c>
      <c r="X1676" s="20" t="str">
        <f>IFERROR(W1676*L1674,"-")</f>
        <v>-</v>
      </c>
      <c r="Z1676" s="85">
        <v>45187</v>
      </c>
    </row>
    <row r="1677" spans="1:26" ht="6.95" customHeight="1" x14ac:dyDescent="0.3">
      <c r="A1677" s="8"/>
      <c r="B1677" s="157"/>
      <c r="C1677" s="158"/>
      <c r="D1677" s="161" t="s">
        <v>39</v>
      </c>
      <c r="E1677" s="162" t="s">
        <v>188</v>
      </c>
      <c r="F1677" s="163" t="s">
        <v>40</v>
      </c>
      <c r="G1677" s="164" t="s">
        <v>191</v>
      </c>
      <c r="H1677" s="165">
        <v>4</v>
      </c>
      <c r="I1677" s="164" t="s">
        <v>197</v>
      </c>
      <c r="J1677" s="165">
        <v>1</v>
      </c>
      <c r="K1677" s="164"/>
      <c r="L1677" s="165"/>
      <c r="M1677" s="6"/>
      <c r="N1677" s="32"/>
      <c r="Q1677" s="10" t="str">
        <f>+CONCATENATE(E1677,G1677)</f>
        <v>차열재마감800*400</v>
      </c>
      <c r="R1677" s="10">
        <f>+H1677</f>
        <v>4</v>
      </c>
      <c r="S1677" s="11"/>
      <c r="T1677" s="10" t="str">
        <f>+E1677</f>
        <v>차열재마감</v>
      </c>
      <c r="U1677" s="19" t="str">
        <f t="shared" ref="U1677" si="911">IFERROR(LEFT(G1677,FIND("*",G1677)-1),"-")</f>
        <v>800</v>
      </c>
      <c r="V1677" s="19" t="str">
        <f t="shared" ref="V1677" si="912">IFERROR(RIGHT(G1677,LEN(G1677)-FIND("*",G1677)),"-")</f>
        <v>400</v>
      </c>
      <c r="W1677" s="20">
        <f t="shared" si="910"/>
        <v>2.4</v>
      </c>
      <c r="X1677" s="20">
        <f>IFERROR(W1677*H1677,"-")</f>
        <v>9.6</v>
      </c>
      <c r="Z1677" s="85">
        <v>45187</v>
      </c>
    </row>
    <row r="1678" spans="1:26" ht="6.95" customHeight="1" x14ac:dyDescent="0.3">
      <c r="A1678" s="5"/>
      <c r="B1678" s="157"/>
      <c r="C1678" s="158"/>
      <c r="D1678" s="161"/>
      <c r="E1678" s="162"/>
      <c r="F1678" s="163"/>
      <c r="G1678" s="164"/>
      <c r="H1678" s="165"/>
      <c r="I1678" s="164"/>
      <c r="J1678" s="165"/>
      <c r="K1678" s="164"/>
      <c r="L1678" s="165"/>
      <c r="M1678" s="6"/>
      <c r="N1678" s="32"/>
      <c r="Q1678" s="10" t="str">
        <f>+CONCATENATE(E1677,I1677)</f>
        <v>차열재마감2000*600</v>
      </c>
      <c r="R1678" s="10">
        <f>+J1677</f>
        <v>1</v>
      </c>
      <c r="S1678" s="11"/>
      <c r="T1678" s="10" t="str">
        <f>+E1677</f>
        <v>차열재마감</v>
      </c>
      <c r="U1678" s="19" t="str">
        <f>IFERROR(LEFT(I1677,FIND("*",I1677)-1),"-")</f>
        <v>2000</v>
      </c>
      <c r="V1678" s="19" t="str">
        <f>IFERROR(RIGHT(I1677,LEN(I1677)-FIND("*",I1677)),"-")</f>
        <v>600</v>
      </c>
      <c r="W1678" s="20">
        <f t="shared" si="910"/>
        <v>5.2</v>
      </c>
      <c r="X1678" s="20">
        <f>IFERROR(W1678*J1677,"-")</f>
        <v>5.2</v>
      </c>
      <c r="Z1678" s="85">
        <v>45187</v>
      </c>
    </row>
    <row r="1679" spans="1:26" ht="6.95" customHeight="1" x14ac:dyDescent="0.3">
      <c r="A1679" s="5"/>
      <c r="B1679" s="157"/>
      <c r="C1679" s="158"/>
      <c r="D1679" s="161"/>
      <c r="E1679" s="162"/>
      <c r="F1679" s="163"/>
      <c r="G1679" s="164"/>
      <c r="H1679" s="165"/>
      <c r="I1679" s="164"/>
      <c r="J1679" s="165"/>
      <c r="K1679" s="164"/>
      <c r="L1679" s="165"/>
      <c r="M1679" s="6"/>
      <c r="N1679" s="32"/>
      <c r="Q1679" s="10" t="str">
        <f>+CONCATENATE(E1677,K1677)</f>
        <v>차열재마감</v>
      </c>
      <c r="R1679" s="10">
        <f>+L1677</f>
        <v>0</v>
      </c>
      <c r="S1679" s="11"/>
      <c r="T1679" s="10" t="str">
        <f>+E1677</f>
        <v>차열재마감</v>
      </c>
      <c r="U1679" s="19" t="str">
        <f>IFERROR(LEFT(K1677,FIND("*",K1677)-1),"-")</f>
        <v>-</v>
      </c>
      <c r="V1679" s="19" t="str">
        <f>IFERROR(RIGHT(K1677,LEN(K1677)-FIND("*",K1677)),"-")</f>
        <v>-</v>
      </c>
      <c r="W1679" s="20" t="str">
        <f t="shared" si="910"/>
        <v>-</v>
      </c>
      <c r="X1679" s="20" t="str">
        <f>IFERROR(W1679*L1677,"-")</f>
        <v>-</v>
      </c>
      <c r="Z1679" s="85">
        <v>45187</v>
      </c>
    </row>
    <row r="1680" spans="1:26" ht="6.95" customHeight="1" x14ac:dyDescent="0.3">
      <c r="A1680" s="8"/>
      <c r="B1680" s="157"/>
      <c r="C1680" s="158"/>
      <c r="D1680" s="161" t="s">
        <v>39</v>
      </c>
      <c r="E1680" s="162" t="s">
        <v>115</v>
      </c>
      <c r="F1680" s="163" t="s">
        <v>40</v>
      </c>
      <c r="G1680" s="164" t="s">
        <v>197</v>
      </c>
      <c r="H1680" s="165">
        <v>1</v>
      </c>
      <c r="I1680" s="164"/>
      <c r="J1680" s="165"/>
      <c r="K1680" s="164"/>
      <c r="L1680" s="165"/>
      <c r="M1680" s="6"/>
      <c r="N1680" s="32"/>
      <c r="Q1680" s="10" t="str">
        <f>+CONCATENATE(E1680,G1680)</f>
        <v>무보온덕트벽체2000*600</v>
      </c>
      <c r="R1680" s="10">
        <f>+H1680</f>
        <v>1</v>
      </c>
      <c r="S1680" s="11"/>
      <c r="T1680" s="10" t="str">
        <f>+E1680</f>
        <v>무보온덕트벽체</v>
      </c>
      <c r="U1680" s="19" t="str">
        <f t="shared" ref="U1680" si="913">IFERROR(LEFT(G1680,FIND("*",G1680)-1),"-")</f>
        <v>2000</v>
      </c>
      <c r="V1680" s="19" t="str">
        <f t="shared" ref="V1680" si="914">IFERROR(RIGHT(G1680,LEN(G1680)-FIND("*",G1680)),"-")</f>
        <v>600</v>
      </c>
      <c r="W1680" s="20">
        <f t="shared" ref="W1680:W1682" si="915">IFERROR((U1680+V1680)*2/1000,"-")</f>
        <v>5.2</v>
      </c>
      <c r="X1680" s="20">
        <f>IFERROR(W1680*H1680,"-")</f>
        <v>5.2</v>
      </c>
      <c r="Z1680" s="85">
        <v>45187</v>
      </c>
    </row>
    <row r="1681" spans="1:26" ht="6.95" customHeight="1" x14ac:dyDescent="0.3">
      <c r="A1681" s="5"/>
      <c r="B1681" s="157"/>
      <c r="C1681" s="158"/>
      <c r="D1681" s="161"/>
      <c r="E1681" s="162"/>
      <c r="F1681" s="163"/>
      <c r="G1681" s="164"/>
      <c r="H1681" s="165"/>
      <c r="I1681" s="164"/>
      <c r="J1681" s="165"/>
      <c r="K1681" s="164"/>
      <c r="L1681" s="165"/>
      <c r="M1681" s="6"/>
      <c r="N1681" s="32"/>
      <c r="Q1681" s="10" t="str">
        <f>+CONCATENATE(E1680,I1680)</f>
        <v>무보온덕트벽체</v>
      </c>
      <c r="R1681" s="10">
        <f>+J1680</f>
        <v>0</v>
      </c>
      <c r="S1681" s="11"/>
      <c r="T1681" s="10" t="str">
        <f>+E1680</f>
        <v>무보온덕트벽체</v>
      </c>
      <c r="U1681" s="19" t="str">
        <f>IFERROR(LEFT(I1680,FIND("*",I1680)-1),"-")</f>
        <v>-</v>
      </c>
      <c r="V1681" s="19" t="str">
        <f>IFERROR(RIGHT(I1680,LEN(I1680)-FIND("*",I1680)),"-")</f>
        <v>-</v>
      </c>
      <c r="W1681" s="20" t="str">
        <f t="shared" si="915"/>
        <v>-</v>
      </c>
      <c r="X1681" s="20" t="str">
        <f>IFERROR(W1681*J1680,"-")</f>
        <v>-</v>
      </c>
      <c r="Z1681" s="85">
        <v>45187</v>
      </c>
    </row>
    <row r="1682" spans="1:26" ht="6.95" customHeight="1" x14ac:dyDescent="0.3">
      <c r="A1682" s="5"/>
      <c r="B1682" s="157"/>
      <c r="C1682" s="158"/>
      <c r="D1682" s="161"/>
      <c r="E1682" s="162"/>
      <c r="F1682" s="163"/>
      <c r="G1682" s="164"/>
      <c r="H1682" s="165"/>
      <c r="I1682" s="164"/>
      <c r="J1682" s="165"/>
      <c r="K1682" s="164"/>
      <c r="L1682" s="165"/>
      <c r="M1682" s="6"/>
      <c r="N1682" s="32"/>
      <c r="Q1682" s="10" t="str">
        <f>+CONCATENATE(E1680,K1680)</f>
        <v>무보온덕트벽체</v>
      </c>
      <c r="R1682" s="10">
        <f>+L1680</f>
        <v>0</v>
      </c>
      <c r="S1682" s="11"/>
      <c r="T1682" s="10" t="str">
        <f>+E1680</f>
        <v>무보온덕트벽체</v>
      </c>
      <c r="U1682" s="19" t="str">
        <f>IFERROR(LEFT(K1680,FIND("*",K1680)-1),"-")</f>
        <v>-</v>
      </c>
      <c r="V1682" s="19" t="str">
        <f>IFERROR(RIGHT(K1680,LEN(K1680)-FIND("*",K1680)),"-")</f>
        <v>-</v>
      </c>
      <c r="W1682" s="20" t="str">
        <f t="shared" si="915"/>
        <v>-</v>
      </c>
      <c r="X1682" s="20" t="str">
        <f>IFERROR(W1682*L1680,"-")</f>
        <v>-</v>
      </c>
      <c r="Z1682" s="85">
        <v>45187</v>
      </c>
    </row>
    <row r="1683" spans="1:26" ht="6.95" customHeight="1" x14ac:dyDescent="0.3">
      <c r="A1683" s="8"/>
      <c r="B1683" s="157"/>
      <c r="C1683" s="158"/>
      <c r="D1683" s="161" t="s">
        <v>39</v>
      </c>
      <c r="E1683" s="162" t="s">
        <v>186</v>
      </c>
      <c r="F1683" s="163" t="s">
        <v>40</v>
      </c>
      <c r="G1683" s="164">
        <v>50</v>
      </c>
      <c r="H1683" s="165">
        <v>2</v>
      </c>
      <c r="I1683" s="164"/>
      <c r="J1683" s="165"/>
      <c r="K1683" s="164"/>
      <c r="L1683" s="165"/>
      <c r="M1683" s="6"/>
      <c r="N1683" s="32"/>
      <c r="Q1683" s="10" t="str">
        <f>+CONCATENATE(E1683,G1683)</f>
        <v>금속관벽체50</v>
      </c>
      <c r="R1683" s="10">
        <f>+H1683</f>
        <v>2</v>
      </c>
      <c r="S1683" s="11"/>
      <c r="T1683" s="10" t="str">
        <f>+E1683</f>
        <v>금속관벽체</v>
      </c>
      <c r="U1683" s="19" t="str">
        <f t="shared" ref="U1683" si="916">IFERROR(LEFT(G1683,FIND("*",G1683)-1),"-")</f>
        <v>-</v>
      </c>
      <c r="V1683" s="19" t="str">
        <f t="shared" ref="V1683" si="917">IFERROR(RIGHT(G1683,LEN(G1683)-FIND("*",G1683)),"-")</f>
        <v>-</v>
      </c>
      <c r="W1683" s="20" t="str">
        <f t="shared" si="910"/>
        <v>-</v>
      </c>
      <c r="X1683" s="20" t="str">
        <f>IFERROR(W1683*H1683,"-")</f>
        <v>-</v>
      </c>
      <c r="Z1683" s="85">
        <v>45187</v>
      </c>
    </row>
    <row r="1684" spans="1:26" ht="6.95" customHeight="1" x14ac:dyDescent="0.3">
      <c r="A1684" s="5"/>
      <c r="B1684" s="157"/>
      <c r="C1684" s="158"/>
      <c r="D1684" s="161"/>
      <c r="E1684" s="162"/>
      <c r="F1684" s="163"/>
      <c r="G1684" s="164"/>
      <c r="H1684" s="165"/>
      <c r="I1684" s="164"/>
      <c r="J1684" s="165"/>
      <c r="K1684" s="164"/>
      <c r="L1684" s="165"/>
      <c r="M1684" s="6"/>
      <c r="N1684" s="32"/>
      <c r="Q1684" s="10" t="str">
        <f>+CONCATENATE(E1683,I1683)</f>
        <v>금속관벽체</v>
      </c>
      <c r="R1684" s="10">
        <f>+J1683</f>
        <v>0</v>
      </c>
      <c r="S1684" s="11"/>
      <c r="T1684" s="10" t="str">
        <f>+E1683</f>
        <v>금속관벽체</v>
      </c>
      <c r="U1684" s="19" t="str">
        <f>IFERROR(LEFT(I1683,FIND("*",I1683)-1),"-")</f>
        <v>-</v>
      </c>
      <c r="V1684" s="19" t="str">
        <f>IFERROR(RIGHT(I1683,LEN(I1683)-FIND("*",I1683)),"-")</f>
        <v>-</v>
      </c>
      <c r="W1684" s="20" t="str">
        <f t="shared" si="910"/>
        <v>-</v>
      </c>
      <c r="X1684" s="20" t="str">
        <f t="shared" ref="X1684" si="918">IFERROR(W1684*J1683,"-")</f>
        <v>-</v>
      </c>
      <c r="Z1684" s="85">
        <v>45187</v>
      </c>
    </row>
    <row r="1685" spans="1:26" ht="6.95" customHeight="1" x14ac:dyDescent="0.3">
      <c r="A1685" s="5"/>
      <c r="B1685" s="157"/>
      <c r="C1685" s="158"/>
      <c r="D1685" s="161"/>
      <c r="E1685" s="162"/>
      <c r="F1685" s="163"/>
      <c r="G1685" s="164"/>
      <c r="H1685" s="165"/>
      <c r="I1685" s="164"/>
      <c r="J1685" s="165"/>
      <c r="K1685" s="164"/>
      <c r="L1685" s="165"/>
      <c r="M1685" s="6"/>
      <c r="N1685" s="32"/>
      <c r="Q1685" s="10" t="str">
        <f>+CONCATENATE(E1683,K1683)</f>
        <v>금속관벽체</v>
      </c>
      <c r="R1685" s="10">
        <f>+L1683</f>
        <v>0</v>
      </c>
      <c r="S1685" s="11"/>
      <c r="T1685" s="10" t="str">
        <f>+E1683</f>
        <v>금속관벽체</v>
      </c>
      <c r="U1685" s="19" t="str">
        <f>IFERROR(LEFT(K1683,FIND("*",K1683)-1),"-")</f>
        <v>-</v>
      </c>
      <c r="V1685" s="19" t="str">
        <f>IFERROR(RIGHT(K1683,LEN(K1683)-FIND("*",K1683)),"-")</f>
        <v>-</v>
      </c>
      <c r="W1685" s="20" t="str">
        <f t="shared" si="910"/>
        <v>-</v>
      </c>
      <c r="X1685" s="20" t="str">
        <f>IFERROR(W1685*L1683,"-")</f>
        <v>-</v>
      </c>
      <c r="Z1685" s="85">
        <v>45187</v>
      </c>
    </row>
    <row r="1686" spans="1:26" ht="21" customHeight="1" thickBot="1" x14ac:dyDescent="0.35">
      <c r="A1686" s="5"/>
      <c r="B1686" s="159"/>
      <c r="C1686" s="160"/>
      <c r="D1686" s="166" t="s">
        <v>43</v>
      </c>
      <c r="E1686" s="167"/>
      <c r="F1686" s="167"/>
      <c r="G1686" s="168" t="s">
        <v>288</v>
      </c>
      <c r="H1686" s="168"/>
      <c r="I1686" s="168"/>
      <c r="J1686" s="168"/>
      <c r="K1686" s="168"/>
      <c r="L1686" s="168"/>
      <c r="M1686" s="7"/>
      <c r="N1686" s="32"/>
      <c r="Z1686" s="85">
        <v>45187</v>
      </c>
    </row>
    <row r="1687" spans="1:26" ht="9.9499999999999993" customHeight="1" thickBot="1" x14ac:dyDescent="0.35">
      <c r="B1687" s="9"/>
      <c r="C1687" s="109">
        <v>953</v>
      </c>
      <c r="D1687" s="51"/>
      <c r="E1687" s="12"/>
      <c r="F1687" s="51"/>
      <c r="G1687" s="14"/>
      <c r="H1687" s="14"/>
      <c r="I1687" s="14"/>
      <c r="J1687" s="14"/>
      <c r="K1687" s="14"/>
      <c r="L1687" s="14"/>
      <c r="M1687" s="9"/>
      <c r="N1687" s="32"/>
      <c r="U1687" s="18"/>
      <c r="V1687" s="18"/>
      <c r="Z1687" s="85">
        <v>45187</v>
      </c>
    </row>
    <row r="1688" spans="1:26" ht="6.95" customHeight="1" x14ac:dyDescent="0.3">
      <c r="A1688" s="154">
        <f>+A1674+1</f>
        <v>954</v>
      </c>
      <c r="B1688" s="155"/>
      <c r="C1688" s="156"/>
      <c r="D1688" s="161" t="s">
        <v>39</v>
      </c>
      <c r="E1688" s="162" t="s">
        <v>111</v>
      </c>
      <c r="F1688" s="163" t="s">
        <v>40</v>
      </c>
      <c r="G1688" s="164" t="s">
        <v>191</v>
      </c>
      <c r="H1688" s="165">
        <v>2</v>
      </c>
      <c r="I1688" s="164"/>
      <c r="J1688" s="165"/>
      <c r="K1688" s="164"/>
      <c r="L1688" s="165"/>
      <c r="M1688" s="6"/>
      <c r="N1688" s="32"/>
      <c r="Q1688" s="10" t="str">
        <f>+CONCATENATE(E1688,G1688)</f>
        <v>보온덕트벽체800*400</v>
      </c>
      <c r="R1688" s="10">
        <f>+H1688</f>
        <v>2</v>
      </c>
      <c r="S1688" s="11"/>
      <c r="T1688" s="10" t="str">
        <f>+E1688</f>
        <v>보온덕트벽체</v>
      </c>
      <c r="U1688" s="19" t="str">
        <f>IFERROR(LEFT(G1688,FIND("*",G1688)-1),"-")</f>
        <v>800</v>
      </c>
      <c r="V1688" s="19" t="str">
        <f>IFERROR(RIGHT(G1688,LEN(G1688)-FIND("*",G1688)),"-")</f>
        <v>400</v>
      </c>
      <c r="W1688" s="20">
        <f>IFERROR((U1688+V1688)*2/1000,"-")</f>
        <v>2.4</v>
      </c>
      <c r="X1688" s="20">
        <f>IFERROR(W1688*H1688,"-")</f>
        <v>4.8</v>
      </c>
      <c r="Z1688" s="85">
        <v>45187</v>
      </c>
    </row>
    <row r="1689" spans="1:26" ht="6.95" customHeight="1" x14ac:dyDescent="0.3">
      <c r="A1689" s="154"/>
      <c r="B1689" s="157"/>
      <c r="C1689" s="158"/>
      <c r="D1689" s="161"/>
      <c r="E1689" s="162"/>
      <c r="F1689" s="163"/>
      <c r="G1689" s="164"/>
      <c r="H1689" s="165"/>
      <c r="I1689" s="164"/>
      <c r="J1689" s="165"/>
      <c r="K1689" s="164"/>
      <c r="L1689" s="165"/>
      <c r="M1689" s="6"/>
      <c r="N1689" s="32"/>
      <c r="Q1689" s="10" t="str">
        <f>+CONCATENATE(E1688,I1688)</f>
        <v>보온덕트벽체</v>
      </c>
      <c r="R1689" s="10">
        <f>+J1688</f>
        <v>0</v>
      </c>
      <c r="S1689" s="11"/>
      <c r="T1689" s="10" t="str">
        <f>+E1688</f>
        <v>보온덕트벽체</v>
      </c>
      <c r="U1689" s="19" t="str">
        <f>IFERROR(LEFT(I1688,FIND("*",I1688)-1),"-")</f>
        <v>-</v>
      </c>
      <c r="V1689" s="19" t="str">
        <f>IFERROR(RIGHT(I1688,LEN(I1688)-FIND("*",I1688)),"-")</f>
        <v>-</v>
      </c>
      <c r="W1689" s="20" t="str">
        <f t="shared" ref="W1689:W1696" si="919">IFERROR((U1689+V1689)*2/1000,"-")</f>
        <v>-</v>
      </c>
      <c r="X1689" s="20" t="str">
        <f>IFERROR(W1689*J1688,"-")</f>
        <v>-</v>
      </c>
      <c r="Z1689" s="85">
        <v>45187</v>
      </c>
    </row>
    <row r="1690" spans="1:26" ht="6.95" customHeight="1" x14ac:dyDescent="0.3">
      <c r="A1690" s="154"/>
      <c r="B1690" s="157"/>
      <c r="C1690" s="158"/>
      <c r="D1690" s="161"/>
      <c r="E1690" s="162"/>
      <c r="F1690" s="163"/>
      <c r="G1690" s="164"/>
      <c r="H1690" s="165"/>
      <c r="I1690" s="164"/>
      <c r="J1690" s="165"/>
      <c r="K1690" s="164"/>
      <c r="L1690" s="165"/>
      <c r="M1690" s="6"/>
      <c r="N1690" s="32"/>
      <c r="Q1690" s="10" t="str">
        <f>+CONCATENATE(E1688,K1688)</f>
        <v>보온덕트벽체</v>
      </c>
      <c r="R1690" s="10">
        <f>+L1688</f>
        <v>0</v>
      </c>
      <c r="S1690" s="11"/>
      <c r="T1690" s="10" t="str">
        <f>+E1688</f>
        <v>보온덕트벽체</v>
      </c>
      <c r="U1690" s="19" t="str">
        <f>IFERROR(LEFT(K1688,FIND("*",K1688)-1),"-")</f>
        <v>-</v>
      </c>
      <c r="V1690" s="19" t="str">
        <f>IFERROR(RIGHT(K1688,LEN(K1688)-FIND("*",K1688)),"-")</f>
        <v>-</v>
      </c>
      <c r="W1690" s="20" t="str">
        <f t="shared" si="919"/>
        <v>-</v>
      </c>
      <c r="X1690" s="20" t="str">
        <f>IFERROR(W1690*L1688,"-")</f>
        <v>-</v>
      </c>
      <c r="Z1690" s="85">
        <v>45187</v>
      </c>
    </row>
    <row r="1691" spans="1:26" ht="6.95" customHeight="1" x14ac:dyDescent="0.3">
      <c r="A1691" s="8"/>
      <c r="B1691" s="157"/>
      <c r="C1691" s="158"/>
      <c r="D1691" s="161" t="s">
        <v>39</v>
      </c>
      <c r="E1691" s="162" t="s">
        <v>188</v>
      </c>
      <c r="F1691" s="163" t="s">
        <v>40</v>
      </c>
      <c r="G1691" s="164" t="s">
        <v>191</v>
      </c>
      <c r="H1691" s="165">
        <v>4</v>
      </c>
      <c r="I1691" s="164"/>
      <c r="J1691" s="165"/>
      <c r="K1691" s="164"/>
      <c r="L1691" s="165"/>
      <c r="M1691" s="6"/>
      <c r="N1691" s="32"/>
      <c r="Q1691" s="10" t="str">
        <f>+CONCATENATE(E1691,G1691)</f>
        <v>차열재마감800*400</v>
      </c>
      <c r="R1691" s="10">
        <f>+H1691</f>
        <v>4</v>
      </c>
      <c r="S1691" s="11"/>
      <c r="T1691" s="10" t="str">
        <f>+E1691</f>
        <v>차열재마감</v>
      </c>
      <c r="U1691" s="19" t="str">
        <f t="shared" ref="U1691" si="920">IFERROR(LEFT(G1691,FIND("*",G1691)-1),"-")</f>
        <v>800</v>
      </c>
      <c r="V1691" s="19" t="str">
        <f t="shared" ref="V1691" si="921">IFERROR(RIGHT(G1691,LEN(G1691)-FIND("*",G1691)),"-")</f>
        <v>400</v>
      </c>
      <c r="W1691" s="20">
        <f t="shared" si="919"/>
        <v>2.4</v>
      </c>
      <c r="X1691" s="20">
        <f>IFERROR(W1691*H1691,"-")</f>
        <v>9.6</v>
      </c>
      <c r="Z1691" s="85">
        <v>45187</v>
      </c>
    </row>
    <row r="1692" spans="1:26" ht="6.95" customHeight="1" x14ac:dyDescent="0.3">
      <c r="A1692" s="5"/>
      <c r="B1692" s="157"/>
      <c r="C1692" s="158"/>
      <c r="D1692" s="161"/>
      <c r="E1692" s="162"/>
      <c r="F1692" s="163"/>
      <c r="G1692" s="164"/>
      <c r="H1692" s="165"/>
      <c r="I1692" s="164"/>
      <c r="J1692" s="165"/>
      <c r="K1692" s="164"/>
      <c r="L1692" s="165"/>
      <c r="M1692" s="6"/>
      <c r="N1692" s="32"/>
      <c r="Q1692" s="10" t="str">
        <f>+CONCATENATE(E1691,I1691)</f>
        <v>차열재마감</v>
      </c>
      <c r="R1692" s="10">
        <f>+J1691</f>
        <v>0</v>
      </c>
      <c r="S1692" s="11"/>
      <c r="T1692" s="10" t="str">
        <f>+E1691</f>
        <v>차열재마감</v>
      </c>
      <c r="U1692" s="19" t="str">
        <f>IFERROR(LEFT(I1691,FIND("*",I1691)-1),"-")</f>
        <v>-</v>
      </c>
      <c r="V1692" s="19" t="str">
        <f>IFERROR(RIGHT(I1691,LEN(I1691)-FIND("*",I1691)),"-")</f>
        <v>-</v>
      </c>
      <c r="W1692" s="20" t="str">
        <f t="shared" si="919"/>
        <v>-</v>
      </c>
      <c r="X1692" s="20" t="str">
        <f>IFERROR(W1692*J1691,"-")</f>
        <v>-</v>
      </c>
      <c r="Z1692" s="85">
        <v>45187</v>
      </c>
    </row>
    <row r="1693" spans="1:26" ht="6.95" customHeight="1" x14ac:dyDescent="0.3">
      <c r="A1693" s="5"/>
      <c r="B1693" s="157"/>
      <c r="C1693" s="158"/>
      <c r="D1693" s="161"/>
      <c r="E1693" s="162"/>
      <c r="F1693" s="163"/>
      <c r="G1693" s="164"/>
      <c r="H1693" s="165"/>
      <c r="I1693" s="164"/>
      <c r="J1693" s="165"/>
      <c r="K1693" s="164"/>
      <c r="L1693" s="165"/>
      <c r="M1693" s="6"/>
      <c r="N1693" s="32"/>
      <c r="Q1693" s="10" t="str">
        <f>+CONCATENATE(E1691,K1691)</f>
        <v>차열재마감</v>
      </c>
      <c r="R1693" s="10">
        <f>+L1691</f>
        <v>0</v>
      </c>
      <c r="S1693" s="11"/>
      <c r="T1693" s="10" t="str">
        <f>+E1691</f>
        <v>차열재마감</v>
      </c>
      <c r="U1693" s="19" t="str">
        <f>IFERROR(LEFT(K1691,FIND("*",K1691)-1),"-")</f>
        <v>-</v>
      </c>
      <c r="V1693" s="19" t="str">
        <f>IFERROR(RIGHT(K1691,LEN(K1691)-FIND("*",K1691)),"-")</f>
        <v>-</v>
      </c>
      <c r="W1693" s="20" t="str">
        <f t="shared" si="919"/>
        <v>-</v>
      </c>
      <c r="X1693" s="20" t="str">
        <f>IFERROR(W1693*L1691,"-")</f>
        <v>-</v>
      </c>
      <c r="Z1693" s="85">
        <v>45187</v>
      </c>
    </row>
    <row r="1694" spans="1:26" ht="6.95" customHeight="1" x14ac:dyDescent="0.3">
      <c r="A1694" s="8"/>
      <c r="B1694" s="157"/>
      <c r="C1694" s="158"/>
      <c r="D1694" s="161" t="s">
        <v>39</v>
      </c>
      <c r="E1694" s="162" t="s">
        <v>186</v>
      </c>
      <c r="F1694" s="163" t="s">
        <v>40</v>
      </c>
      <c r="G1694" s="164">
        <v>50</v>
      </c>
      <c r="H1694" s="165">
        <v>1</v>
      </c>
      <c r="I1694" s="164">
        <v>100</v>
      </c>
      <c r="J1694" s="165">
        <v>1</v>
      </c>
      <c r="K1694" s="164"/>
      <c r="L1694" s="165"/>
      <c r="M1694" s="6"/>
      <c r="N1694" s="32"/>
      <c r="Q1694" s="10" t="str">
        <f>+CONCATENATE(E1694,G1694)</f>
        <v>금속관벽체50</v>
      </c>
      <c r="R1694" s="10">
        <f>+H1694</f>
        <v>1</v>
      </c>
      <c r="S1694" s="11"/>
      <c r="T1694" s="10" t="str">
        <f>+E1694</f>
        <v>금속관벽체</v>
      </c>
      <c r="U1694" s="19" t="str">
        <f t="shared" ref="U1694" si="922">IFERROR(LEFT(G1694,FIND("*",G1694)-1),"-")</f>
        <v>-</v>
      </c>
      <c r="V1694" s="19" t="str">
        <f t="shared" ref="V1694" si="923">IFERROR(RIGHT(G1694,LEN(G1694)-FIND("*",G1694)),"-")</f>
        <v>-</v>
      </c>
      <c r="W1694" s="20" t="str">
        <f t="shared" si="919"/>
        <v>-</v>
      </c>
      <c r="X1694" s="20" t="str">
        <f>IFERROR(W1694*H1694,"-")</f>
        <v>-</v>
      </c>
      <c r="Z1694" s="85">
        <v>45187</v>
      </c>
    </row>
    <row r="1695" spans="1:26" ht="6.95" customHeight="1" x14ac:dyDescent="0.3">
      <c r="A1695" s="5"/>
      <c r="B1695" s="157"/>
      <c r="C1695" s="158"/>
      <c r="D1695" s="161"/>
      <c r="E1695" s="162"/>
      <c r="F1695" s="163"/>
      <c r="G1695" s="164"/>
      <c r="H1695" s="165"/>
      <c r="I1695" s="164"/>
      <c r="J1695" s="165"/>
      <c r="K1695" s="164"/>
      <c r="L1695" s="165"/>
      <c r="M1695" s="6"/>
      <c r="N1695" s="32"/>
      <c r="Q1695" s="10" t="str">
        <f>+CONCATENATE(E1694,I1694)</f>
        <v>금속관벽체100</v>
      </c>
      <c r="R1695" s="10">
        <f>+J1694</f>
        <v>1</v>
      </c>
      <c r="S1695" s="11"/>
      <c r="T1695" s="10" t="str">
        <f>+E1694</f>
        <v>금속관벽체</v>
      </c>
      <c r="U1695" s="19" t="str">
        <f>IFERROR(LEFT(I1694,FIND("*",I1694)-1),"-")</f>
        <v>-</v>
      </c>
      <c r="V1695" s="19" t="str">
        <f>IFERROR(RIGHT(I1694,LEN(I1694)-FIND("*",I1694)),"-")</f>
        <v>-</v>
      </c>
      <c r="W1695" s="20" t="str">
        <f t="shared" si="919"/>
        <v>-</v>
      </c>
      <c r="X1695" s="20" t="str">
        <f t="shared" ref="X1695" si="924">IFERROR(W1695*J1694,"-")</f>
        <v>-</v>
      </c>
      <c r="Z1695" s="85">
        <v>45187</v>
      </c>
    </row>
    <row r="1696" spans="1:26" ht="6.95" customHeight="1" x14ac:dyDescent="0.3">
      <c r="A1696" s="5"/>
      <c r="B1696" s="157"/>
      <c r="C1696" s="158"/>
      <c r="D1696" s="161"/>
      <c r="E1696" s="162"/>
      <c r="F1696" s="163"/>
      <c r="G1696" s="164"/>
      <c r="H1696" s="165"/>
      <c r="I1696" s="164"/>
      <c r="J1696" s="165"/>
      <c r="K1696" s="164"/>
      <c r="L1696" s="165"/>
      <c r="M1696" s="6"/>
      <c r="N1696" s="32"/>
      <c r="Q1696" s="10" t="str">
        <f>+CONCATENATE(E1694,K1694)</f>
        <v>금속관벽체</v>
      </c>
      <c r="R1696" s="10">
        <f>+L1694</f>
        <v>0</v>
      </c>
      <c r="S1696" s="11"/>
      <c r="T1696" s="10" t="str">
        <f>+E1694</f>
        <v>금속관벽체</v>
      </c>
      <c r="U1696" s="19" t="str">
        <f>IFERROR(LEFT(K1694,FIND("*",K1694)-1),"-")</f>
        <v>-</v>
      </c>
      <c r="V1696" s="19" t="str">
        <f>IFERROR(RIGHT(K1694,LEN(K1694)-FIND("*",K1694)),"-")</f>
        <v>-</v>
      </c>
      <c r="W1696" s="20" t="str">
        <f t="shared" si="919"/>
        <v>-</v>
      </c>
      <c r="X1696" s="20" t="str">
        <f>IFERROR(W1696*L1694,"-")</f>
        <v>-</v>
      </c>
      <c r="Z1696" s="85">
        <v>45187</v>
      </c>
    </row>
    <row r="1697" spans="1:26" ht="21" customHeight="1" thickBot="1" x14ac:dyDescent="0.35">
      <c r="A1697" s="5"/>
      <c r="B1697" s="159"/>
      <c r="C1697" s="160"/>
      <c r="D1697" s="166" t="s">
        <v>43</v>
      </c>
      <c r="E1697" s="167"/>
      <c r="F1697" s="167"/>
      <c r="G1697" s="168" t="s">
        <v>288</v>
      </c>
      <c r="H1697" s="168"/>
      <c r="I1697" s="168"/>
      <c r="J1697" s="168"/>
      <c r="K1697" s="168"/>
      <c r="L1697" s="168"/>
      <c r="M1697" s="7"/>
      <c r="N1697" s="32"/>
      <c r="Z1697" s="85">
        <v>45187</v>
      </c>
    </row>
    <row r="1698" spans="1:26" ht="9.9499999999999993" customHeight="1" thickBot="1" x14ac:dyDescent="0.35">
      <c r="B1698" s="9"/>
      <c r="C1698" s="109">
        <v>954</v>
      </c>
      <c r="D1698" s="51"/>
      <c r="E1698" s="12"/>
      <c r="F1698" s="51"/>
      <c r="G1698" s="14"/>
      <c r="H1698" s="14"/>
      <c r="I1698" s="14"/>
      <c r="J1698" s="14"/>
      <c r="K1698" s="14"/>
      <c r="L1698" s="14"/>
      <c r="M1698" s="9"/>
      <c r="N1698" s="32"/>
      <c r="U1698" s="18"/>
      <c r="V1698" s="18"/>
      <c r="Z1698" s="85">
        <v>45187</v>
      </c>
    </row>
    <row r="1699" spans="1:26" ht="6.95" customHeight="1" x14ac:dyDescent="0.3">
      <c r="A1699" s="154">
        <f>+A1688+1</f>
        <v>955</v>
      </c>
      <c r="B1699" s="155"/>
      <c r="C1699" s="156"/>
      <c r="D1699" s="161" t="s">
        <v>39</v>
      </c>
      <c r="E1699" s="162" t="s">
        <v>111</v>
      </c>
      <c r="F1699" s="163" t="s">
        <v>40</v>
      </c>
      <c r="G1699" s="164" t="s">
        <v>191</v>
      </c>
      <c r="H1699" s="165">
        <v>1</v>
      </c>
      <c r="I1699" s="164" t="s">
        <v>197</v>
      </c>
      <c r="J1699" s="165">
        <v>1</v>
      </c>
      <c r="K1699" s="164"/>
      <c r="L1699" s="165"/>
      <c r="M1699" s="6"/>
      <c r="N1699" s="32"/>
      <c r="Q1699" s="10" t="str">
        <f>+CONCATENATE(E1699,G1699)</f>
        <v>보온덕트벽체800*400</v>
      </c>
      <c r="R1699" s="10">
        <f>+H1699</f>
        <v>1</v>
      </c>
      <c r="S1699" s="11"/>
      <c r="T1699" s="10" t="str">
        <f>+E1699</f>
        <v>보온덕트벽체</v>
      </c>
      <c r="U1699" s="19" t="str">
        <f>IFERROR(LEFT(G1699,FIND("*",G1699)-1),"-")</f>
        <v>800</v>
      </c>
      <c r="V1699" s="19" t="str">
        <f>IFERROR(RIGHT(G1699,LEN(G1699)-FIND("*",G1699)),"-")</f>
        <v>400</v>
      </c>
      <c r="W1699" s="20">
        <f>IFERROR((U1699+V1699)*2/1000,"-")</f>
        <v>2.4</v>
      </c>
      <c r="X1699" s="20">
        <f>IFERROR(W1699*H1699,"-")</f>
        <v>2.4</v>
      </c>
      <c r="Z1699" s="85">
        <v>45187</v>
      </c>
    </row>
    <row r="1700" spans="1:26" ht="6.95" customHeight="1" x14ac:dyDescent="0.3">
      <c r="A1700" s="154"/>
      <c r="B1700" s="157"/>
      <c r="C1700" s="158"/>
      <c r="D1700" s="161"/>
      <c r="E1700" s="162"/>
      <c r="F1700" s="163"/>
      <c r="G1700" s="164"/>
      <c r="H1700" s="165"/>
      <c r="I1700" s="164"/>
      <c r="J1700" s="165"/>
      <c r="K1700" s="164"/>
      <c r="L1700" s="165"/>
      <c r="M1700" s="6"/>
      <c r="N1700" s="32"/>
      <c r="Q1700" s="10" t="str">
        <f>+CONCATENATE(E1699,I1699)</f>
        <v>보온덕트벽체2000*600</v>
      </c>
      <c r="R1700" s="10">
        <f>+J1699</f>
        <v>1</v>
      </c>
      <c r="S1700" s="11"/>
      <c r="T1700" s="10" t="str">
        <f>+E1699</f>
        <v>보온덕트벽체</v>
      </c>
      <c r="U1700" s="19" t="str">
        <f>IFERROR(LEFT(I1699,FIND("*",I1699)-1),"-")</f>
        <v>2000</v>
      </c>
      <c r="V1700" s="19" t="str">
        <f>IFERROR(RIGHT(I1699,LEN(I1699)-FIND("*",I1699)),"-")</f>
        <v>600</v>
      </c>
      <c r="W1700" s="20">
        <f t="shared" ref="W1700:W1707" si="925">IFERROR((U1700+V1700)*2/1000,"-")</f>
        <v>5.2</v>
      </c>
      <c r="X1700" s="20">
        <f>IFERROR(W1700*J1699,"-")</f>
        <v>5.2</v>
      </c>
      <c r="Z1700" s="85">
        <v>45187</v>
      </c>
    </row>
    <row r="1701" spans="1:26" ht="6.95" customHeight="1" x14ac:dyDescent="0.3">
      <c r="A1701" s="154"/>
      <c r="B1701" s="157"/>
      <c r="C1701" s="158"/>
      <c r="D1701" s="161"/>
      <c r="E1701" s="162"/>
      <c r="F1701" s="163"/>
      <c r="G1701" s="164"/>
      <c r="H1701" s="165"/>
      <c r="I1701" s="164"/>
      <c r="J1701" s="165"/>
      <c r="K1701" s="164"/>
      <c r="L1701" s="165"/>
      <c r="M1701" s="6"/>
      <c r="N1701" s="32"/>
      <c r="Q1701" s="10" t="str">
        <f>+CONCATENATE(E1699,K1699)</f>
        <v>보온덕트벽체</v>
      </c>
      <c r="R1701" s="10">
        <f>+L1699</f>
        <v>0</v>
      </c>
      <c r="S1701" s="11"/>
      <c r="T1701" s="10" t="str">
        <f>+E1699</f>
        <v>보온덕트벽체</v>
      </c>
      <c r="U1701" s="19" t="str">
        <f>IFERROR(LEFT(K1699,FIND("*",K1699)-1),"-")</f>
        <v>-</v>
      </c>
      <c r="V1701" s="19" t="str">
        <f>IFERROR(RIGHT(K1699,LEN(K1699)-FIND("*",K1699)),"-")</f>
        <v>-</v>
      </c>
      <c r="W1701" s="20" t="str">
        <f t="shared" si="925"/>
        <v>-</v>
      </c>
      <c r="X1701" s="20" t="str">
        <f>IFERROR(W1701*L1699,"-")</f>
        <v>-</v>
      </c>
      <c r="Z1701" s="85">
        <v>45187</v>
      </c>
    </row>
    <row r="1702" spans="1:26" ht="6.95" customHeight="1" x14ac:dyDescent="0.3">
      <c r="A1702" s="8"/>
      <c r="B1702" s="157"/>
      <c r="C1702" s="158"/>
      <c r="D1702" s="161" t="s">
        <v>39</v>
      </c>
      <c r="E1702" s="162" t="s">
        <v>188</v>
      </c>
      <c r="F1702" s="163" t="s">
        <v>40</v>
      </c>
      <c r="G1702" s="164" t="s">
        <v>191</v>
      </c>
      <c r="H1702" s="165">
        <v>2</v>
      </c>
      <c r="I1702" s="164" t="s">
        <v>197</v>
      </c>
      <c r="J1702" s="165">
        <v>2</v>
      </c>
      <c r="K1702" s="164"/>
      <c r="L1702" s="165"/>
      <c r="M1702" s="6"/>
      <c r="N1702" s="32"/>
      <c r="Q1702" s="10" t="str">
        <f>+CONCATENATE(E1702,G1702)</f>
        <v>차열재마감800*400</v>
      </c>
      <c r="R1702" s="10">
        <f>+H1702</f>
        <v>2</v>
      </c>
      <c r="S1702" s="11"/>
      <c r="T1702" s="10" t="str">
        <f>+E1702</f>
        <v>차열재마감</v>
      </c>
      <c r="U1702" s="19" t="str">
        <f t="shared" ref="U1702" si="926">IFERROR(LEFT(G1702,FIND("*",G1702)-1),"-")</f>
        <v>800</v>
      </c>
      <c r="V1702" s="19" t="str">
        <f t="shared" ref="V1702" si="927">IFERROR(RIGHT(G1702,LEN(G1702)-FIND("*",G1702)),"-")</f>
        <v>400</v>
      </c>
      <c r="W1702" s="20">
        <f t="shared" si="925"/>
        <v>2.4</v>
      </c>
      <c r="X1702" s="20">
        <f>IFERROR(W1702*H1702,"-")</f>
        <v>4.8</v>
      </c>
      <c r="Z1702" s="85">
        <v>45187</v>
      </c>
    </row>
    <row r="1703" spans="1:26" ht="6.95" customHeight="1" x14ac:dyDescent="0.3">
      <c r="A1703" s="5"/>
      <c r="B1703" s="157"/>
      <c r="C1703" s="158"/>
      <c r="D1703" s="161"/>
      <c r="E1703" s="162"/>
      <c r="F1703" s="163"/>
      <c r="G1703" s="164"/>
      <c r="H1703" s="165"/>
      <c r="I1703" s="164"/>
      <c r="J1703" s="165"/>
      <c r="K1703" s="164"/>
      <c r="L1703" s="165"/>
      <c r="M1703" s="6"/>
      <c r="N1703" s="32"/>
      <c r="Q1703" s="10" t="str">
        <f>+CONCATENATE(E1702,I1702)</f>
        <v>차열재마감2000*600</v>
      </c>
      <c r="R1703" s="10">
        <f>+J1702</f>
        <v>2</v>
      </c>
      <c r="S1703" s="11"/>
      <c r="T1703" s="10" t="str">
        <f>+E1702</f>
        <v>차열재마감</v>
      </c>
      <c r="U1703" s="19" t="str">
        <f>IFERROR(LEFT(I1702,FIND("*",I1702)-1),"-")</f>
        <v>2000</v>
      </c>
      <c r="V1703" s="19" t="str">
        <f>IFERROR(RIGHT(I1702,LEN(I1702)-FIND("*",I1702)),"-")</f>
        <v>600</v>
      </c>
      <c r="W1703" s="20">
        <f t="shared" si="925"/>
        <v>5.2</v>
      </c>
      <c r="X1703" s="20">
        <f>IFERROR(W1703*J1702,"-")</f>
        <v>10.4</v>
      </c>
      <c r="Z1703" s="85">
        <v>45187</v>
      </c>
    </row>
    <row r="1704" spans="1:26" ht="6.95" customHeight="1" x14ac:dyDescent="0.3">
      <c r="A1704" s="5"/>
      <c r="B1704" s="157"/>
      <c r="C1704" s="158"/>
      <c r="D1704" s="161"/>
      <c r="E1704" s="162"/>
      <c r="F1704" s="163"/>
      <c r="G1704" s="164"/>
      <c r="H1704" s="165"/>
      <c r="I1704" s="164"/>
      <c r="J1704" s="165"/>
      <c r="K1704" s="164"/>
      <c r="L1704" s="165"/>
      <c r="M1704" s="6"/>
      <c r="N1704" s="32"/>
      <c r="Q1704" s="10" t="str">
        <f>+CONCATENATE(E1702,K1702)</f>
        <v>차열재마감</v>
      </c>
      <c r="R1704" s="10">
        <f>+L1702</f>
        <v>0</v>
      </c>
      <c r="S1704" s="11"/>
      <c r="T1704" s="10" t="str">
        <f>+E1702</f>
        <v>차열재마감</v>
      </c>
      <c r="U1704" s="19" t="str">
        <f>IFERROR(LEFT(K1702,FIND("*",K1702)-1),"-")</f>
        <v>-</v>
      </c>
      <c r="V1704" s="19" t="str">
        <f>IFERROR(RIGHT(K1702,LEN(K1702)-FIND("*",K1702)),"-")</f>
        <v>-</v>
      </c>
      <c r="W1704" s="20" t="str">
        <f t="shared" si="925"/>
        <v>-</v>
      </c>
      <c r="X1704" s="20" t="str">
        <f>IFERROR(W1704*L1702,"-")</f>
        <v>-</v>
      </c>
      <c r="Z1704" s="85">
        <v>45187</v>
      </c>
    </row>
    <row r="1705" spans="1:26" ht="6.95" customHeight="1" x14ac:dyDescent="0.3">
      <c r="A1705" s="8"/>
      <c r="B1705" s="157"/>
      <c r="C1705" s="158"/>
      <c r="D1705" s="161" t="s">
        <v>39</v>
      </c>
      <c r="E1705" s="162" t="s">
        <v>186</v>
      </c>
      <c r="F1705" s="163" t="s">
        <v>40</v>
      </c>
      <c r="G1705" s="164">
        <v>100</v>
      </c>
      <c r="H1705" s="165">
        <v>2</v>
      </c>
      <c r="I1705" s="164"/>
      <c r="J1705" s="165"/>
      <c r="K1705" s="164"/>
      <c r="L1705" s="165"/>
      <c r="M1705" s="6"/>
      <c r="N1705" s="32"/>
      <c r="Q1705" s="10" t="str">
        <f>+CONCATENATE(E1705,G1705)</f>
        <v>금속관벽체100</v>
      </c>
      <c r="R1705" s="10">
        <f>+H1705</f>
        <v>2</v>
      </c>
      <c r="S1705" s="11"/>
      <c r="T1705" s="10" t="str">
        <f>+E1705</f>
        <v>금속관벽체</v>
      </c>
      <c r="U1705" s="19" t="str">
        <f t="shared" ref="U1705" si="928">IFERROR(LEFT(G1705,FIND("*",G1705)-1),"-")</f>
        <v>-</v>
      </c>
      <c r="V1705" s="19" t="str">
        <f t="shared" ref="V1705" si="929">IFERROR(RIGHT(G1705,LEN(G1705)-FIND("*",G1705)),"-")</f>
        <v>-</v>
      </c>
      <c r="W1705" s="20" t="str">
        <f t="shared" si="925"/>
        <v>-</v>
      </c>
      <c r="X1705" s="20" t="str">
        <f>IFERROR(W1705*H1705,"-")</f>
        <v>-</v>
      </c>
      <c r="Z1705" s="85">
        <v>45187</v>
      </c>
    </row>
    <row r="1706" spans="1:26" ht="6.95" customHeight="1" x14ac:dyDescent="0.3">
      <c r="A1706" s="5"/>
      <c r="B1706" s="157"/>
      <c r="C1706" s="158"/>
      <c r="D1706" s="161"/>
      <c r="E1706" s="162"/>
      <c r="F1706" s="163"/>
      <c r="G1706" s="164"/>
      <c r="H1706" s="165"/>
      <c r="I1706" s="164"/>
      <c r="J1706" s="165"/>
      <c r="K1706" s="164"/>
      <c r="L1706" s="165"/>
      <c r="M1706" s="6"/>
      <c r="N1706" s="32"/>
      <c r="Q1706" s="10" t="str">
        <f>+CONCATENATE(E1705,I1705)</f>
        <v>금속관벽체</v>
      </c>
      <c r="R1706" s="10">
        <f>+J1705</f>
        <v>0</v>
      </c>
      <c r="S1706" s="11"/>
      <c r="T1706" s="10" t="str">
        <f>+E1705</f>
        <v>금속관벽체</v>
      </c>
      <c r="U1706" s="19" t="str">
        <f>IFERROR(LEFT(I1705,FIND("*",I1705)-1),"-")</f>
        <v>-</v>
      </c>
      <c r="V1706" s="19" t="str">
        <f>IFERROR(RIGHT(I1705,LEN(I1705)-FIND("*",I1705)),"-")</f>
        <v>-</v>
      </c>
      <c r="W1706" s="20" t="str">
        <f t="shared" si="925"/>
        <v>-</v>
      </c>
      <c r="X1706" s="20" t="str">
        <f t="shared" ref="X1706" si="930">IFERROR(W1706*J1705,"-")</f>
        <v>-</v>
      </c>
      <c r="Z1706" s="85">
        <v>45187</v>
      </c>
    </row>
    <row r="1707" spans="1:26" ht="6.95" customHeight="1" x14ac:dyDescent="0.3">
      <c r="A1707" s="5"/>
      <c r="B1707" s="157"/>
      <c r="C1707" s="158"/>
      <c r="D1707" s="161"/>
      <c r="E1707" s="162"/>
      <c r="F1707" s="163"/>
      <c r="G1707" s="164"/>
      <c r="H1707" s="165"/>
      <c r="I1707" s="164"/>
      <c r="J1707" s="165"/>
      <c r="K1707" s="164"/>
      <c r="L1707" s="165"/>
      <c r="M1707" s="6"/>
      <c r="N1707" s="32"/>
      <c r="Q1707" s="10" t="str">
        <f>+CONCATENATE(E1705,K1705)</f>
        <v>금속관벽체</v>
      </c>
      <c r="R1707" s="10">
        <f>+L1705</f>
        <v>0</v>
      </c>
      <c r="S1707" s="11"/>
      <c r="T1707" s="10" t="str">
        <f>+E1705</f>
        <v>금속관벽체</v>
      </c>
      <c r="U1707" s="19" t="str">
        <f>IFERROR(LEFT(K1705,FIND("*",K1705)-1),"-")</f>
        <v>-</v>
      </c>
      <c r="V1707" s="19" t="str">
        <f>IFERROR(RIGHT(K1705,LEN(K1705)-FIND("*",K1705)),"-")</f>
        <v>-</v>
      </c>
      <c r="W1707" s="20" t="str">
        <f t="shared" si="925"/>
        <v>-</v>
      </c>
      <c r="X1707" s="20" t="str">
        <f>IFERROR(W1707*L1705,"-")</f>
        <v>-</v>
      </c>
      <c r="Z1707" s="85">
        <v>45187</v>
      </c>
    </row>
    <row r="1708" spans="1:26" ht="21" customHeight="1" thickBot="1" x14ac:dyDescent="0.35">
      <c r="A1708" s="5"/>
      <c r="B1708" s="159"/>
      <c r="C1708" s="160"/>
      <c r="D1708" s="166" t="s">
        <v>43</v>
      </c>
      <c r="E1708" s="167"/>
      <c r="F1708" s="167"/>
      <c r="G1708" s="168" t="s">
        <v>288</v>
      </c>
      <c r="H1708" s="168"/>
      <c r="I1708" s="168"/>
      <c r="J1708" s="168"/>
      <c r="K1708" s="168"/>
      <c r="L1708" s="168"/>
      <c r="M1708" s="7"/>
      <c r="N1708" s="32"/>
      <c r="Z1708" s="85">
        <v>45187</v>
      </c>
    </row>
    <row r="1709" spans="1:26" ht="9.9499999999999993" customHeight="1" thickBot="1" x14ac:dyDescent="0.35">
      <c r="B1709" s="9"/>
      <c r="C1709" s="109">
        <v>955</v>
      </c>
      <c r="D1709" s="51"/>
      <c r="E1709" s="12"/>
      <c r="F1709" s="51"/>
      <c r="G1709" s="14"/>
      <c r="H1709" s="14"/>
      <c r="I1709" s="14"/>
      <c r="J1709" s="14"/>
      <c r="K1709" s="14"/>
      <c r="L1709" s="14"/>
      <c r="M1709" s="9"/>
      <c r="N1709" s="32"/>
      <c r="U1709" s="18"/>
      <c r="V1709" s="18"/>
      <c r="Z1709" s="85">
        <v>45187</v>
      </c>
    </row>
    <row r="1710" spans="1:26" ht="6.95" customHeight="1" x14ac:dyDescent="0.3">
      <c r="A1710" s="154">
        <f>+A1699+1</f>
        <v>956</v>
      </c>
      <c r="B1710" s="155"/>
      <c r="C1710" s="156"/>
      <c r="D1710" s="161" t="s">
        <v>39</v>
      </c>
      <c r="E1710" s="162" t="s">
        <v>111</v>
      </c>
      <c r="F1710" s="163" t="s">
        <v>40</v>
      </c>
      <c r="G1710" s="164" t="s">
        <v>191</v>
      </c>
      <c r="H1710" s="165">
        <v>1</v>
      </c>
      <c r="I1710" s="164" t="s">
        <v>197</v>
      </c>
      <c r="J1710" s="165">
        <v>1</v>
      </c>
      <c r="K1710" s="164"/>
      <c r="L1710" s="165"/>
      <c r="M1710" s="6"/>
      <c r="N1710" s="32"/>
      <c r="Q1710" s="10" t="str">
        <f>+CONCATENATE(E1710,G1710)</f>
        <v>보온덕트벽체800*400</v>
      </c>
      <c r="R1710" s="10">
        <f>+H1710</f>
        <v>1</v>
      </c>
      <c r="S1710" s="11"/>
      <c r="T1710" s="10" t="str">
        <f>+E1710</f>
        <v>보온덕트벽체</v>
      </c>
      <c r="U1710" s="19" t="str">
        <f>IFERROR(LEFT(G1710,FIND("*",G1710)-1),"-")</f>
        <v>800</v>
      </c>
      <c r="V1710" s="19" t="str">
        <f>IFERROR(RIGHT(G1710,LEN(G1710)-FIND("*",G1710)),"-")</f>
        <v>400</v>
      </c>
      <c r="W1710" s="20">
        <f>IFERROR((U1710+V1710)*2/1000,"-")</f>
        <v>2.4</v>
      </c>
      <c r="X1710" s="20">
        <f>IFERROR(W1710*H1710,"-")</f>
        <v>2.4</v>
      </c>
      <c r="Z1710" s="85">
        <v>45187</v>
      </c>
    </row>
    <row r="1711" spans="1:26" ht="6.95" customHeight="1" x14ac:dyDescent="0.3">
      <c r="A1711" s="154"/>
      <c r="B1711" s="157"/>
      <c r="C1711" s="158"/>
      <c r="D1711" s="161"/>
      <c r="E1711" s="162"/>
      <c r="F1711" s="163"/>
      <c r="G1711" s="164"/>
      <c r="H1711" s="165"/>
      <c r="I1711" s="164"/>
      <c r="J1711" s="165"/>
      <c r="K1711" s="164"/>
      <c r="L1711" s="165"/>
      <c r="M1711" s="6"/>
      <c r="N1711" s="32"/>
      <c r="Q1711" s="10" t="str">
        <f>+CONCATENATE(E1710,I1710)</f>
        <v>보온덕트벽체2000*600</v>
      </c>
      <c r="R1711" s="10">
        <f>+J1710</f>
        <v>1</v>
      </c>
      <c r="S1711" s="11"/>
      <c r="T1711" s="10" t="str">
        <f>+E1710</f>
        <v>보온덕트벽체</v>
      </c>
      <c r="U1711" s="19" t="str">
        <f>IFERROR(LEFT(I1710,FIND("*",I1710)-1),"-")</f>
        <v>2000</v>
      </c>
      <c r="V1711" s="19" t="str">
        <f>IFERROR(RIGHT(I1710,LEN(I1710)-FIND("*",I1710)),"-")</f>
        <v>600</v>
      </c>
      <c r="W1711" s="20">
        <f t="shared" ref="W1711:W1718" si="931">IFERROR((U1711+V1711)*2/1000,"-")</f>
        <v>5.2</v>
      </c>
      <c r="X1711" s="20">
        <f>IFERROR(W1711*J1710,"-")</f>
        <v>5.2</v>
      </c>
      <c r="Z1711" s="85">
        <v>45187</v>
      </c>
    </row>
    <row r="1712" spans="1:26" ht="6.95" customHeight="1" x14ac:dyDescent="0.3">
      <c r="A1712" s="154"/>
      <c r="B1712" s="157"/>
      <c r="C1712" s="158"/>
      <c r="D1712" s="161"/>
      <c r="E1712" s="162"/>
      <c r="F1712" s="163"/>
      <c r="G1712" s="164"/>
      <c r="H1712" s="165"/>
      <c r="I1712" s="164"/>
      <c r="J1712" s="165"/>
      <c r="K1712" s="164"/>
      <c r="L1712" s="165"/>
      <c r="M1712" s="6"/>
      <c r="N1712" s="32"/>
      <c r="Q1712" s="10" t="str">
        <f>+CONCATENATE(E1710,K1710)</f>
        <v>보온덕트벽체</v>
      </c>
      <c r="R1712" s="10">
        <f>+L1710</f>
        <v>0</v>
      </c>
      <c r="S1712" s="11"/>
      <c r="T1712" s="10" t="str">
        <f>+E1710</f>
        <v>보온덕트벽체</v>
      </c>
      <c r="U1712" s="19" t="str">
        <f>IFERROR(LEFT(K1710,FIND("*",K1710)-1),"-")</f>
        <v>-</v>
      </c>
      <c r="V1712" s="19" t="str">
        <f>IFERROR(RIGHT(K1710,LEN(K1710)-FIND("*",K1710)),"-")</f>
        <v>-</v>
      </c>
      <c r="W1712" s="20" t="str">
        <f t="shared" si="931"/>
        <v>-</v>
      </c>
      <c r="X1712" s="20" t="str">
        <f>IFERROR(W1712*L1710,"-")</f>
        <v>-</v>
      </c>
      <c r="Z1712" s="85">
        <v>45187</v>
      </c>
    </row>
    <row r="1713" spans="1:26" ht="6.95" customHeight="1" x14ac:dyDescent="0.3">
      <c r="A1713" s="8"/>
      <c r="B1713" s="157"/>
      <c r="C1713" s="158"/>
      <c r="D1713" s="161" t="s">
        <v>39</v>
      </c>
      <c r="E1713" s="162" t="s">
        <v>188</v>
      </c>
      <c r="F1713" s="163" t="s">
        <v>40</v>
      </c>
      <c r="G1713" s="164" t="s">
        <v>191</v>
      </c>
      <c r="H1713" s="165">
        <v>2</v>
      </c>
      <c r="I1713" s="164" t="s">
        <v>197</v>
      </c>
      <c r="J1713" s="165">
        <v>2</v>
      </c>
      <c r="K1713" s="164"/>
      <c r="L1713" s="165"/>
      <c r="M1713" s="6"/>
      <c r="N1713" s="32"/>
      <c r="Q1713" s="10" t="str">
        <f>+CONCATENATE(E1713,G1713)</f>
        <v>차열재마감800*400</v>
      </c>
      <c r="R1713" s="10">
        <f>+H1713</f>
        <v>2</v>
      </c>
      <c r="S1713" s="11"/>
      <c r="T1713" s="10" t="str">
        <f>+E1713</f>
        <v>차열재마감</v>
      </c>
      <c r="U1713" s="19" t="str">
        <f t="shared" ref="U1713" si="932">IFERROR(LEFT(G1713,FIND("*",G1713)-1),"-")</f>
        <v>800</v>
      </c>
      <c r="V1713" s="19" t="str">
        <f t="shared" ref="V1713" si="933">IFERROR(RIGHT(G1713,LEN(G1713)-FIND("*",G1713)),"-")</f>
        <v>400</v>
      </c>
      <c r="W1713" s="20">
        <f t="shared" si="931"/>
        <v>2.4</v>
      </c>
      <c r="X1713" s="20">
        <f>IFERROR(W1713*H1713,"-")</f>
        <v>4.8</v>
      </c>
      <c r="Z1713" s="85">
        <v>45187</v>
      </c>
    </row>
    <row r="1714" spans="1:26" ht="6.95" customHeight="1" x14ac:dyDescent="0.3">
      <c r="A1714" s="5"/>
      <c r="B1714" s="157"/>
      <c r="C1714" s="158"/>
      <c r="D1714" s="161"/>
      <c r="E1714" s="162"/>
      <c r="F1714" s="163"/>
      <c r="G1714" s="164"/>
      <c r="H1714" s="165"/>
      <c r="I1714" s="164"/>
      <c r="J1714" s="165"/>
      <c r="K1714" s="164"/>
      <c r="L1714" s="165"/>
      <c r="M1714" s="6"/>
      <c r="N1714" s="32"/>
      <c r="Q1714" s="10" t="str">
        <f>+CONCATENATE(E1713,I1713)</f>
        <v>차열재마감2000*600</v>
      </c>
      <c r="R1714" s="10">
        <f>+J1713</f>
        <v>2</v>
      </c>
      <c r="S1714" s="11"/>
      <c r="T1714" s="10" t="str">
        <f>+E1713</f>
        <v>차열재마감</v>
      </c>
      <c r="U1714" s="19" t="str">
        <f>IFERROR(LEFT(I1713,FIND("*",I1713)-1),"-")</f>
        <v>2000</v>
      </c>
      <c r="V1714" s="19" t="str">
        <f>IFERROR(RIGHT(I1713,LEN(I1713)-FIND("*",I1713)),"-")</f>
        <v>600</v>
      </c>
      <c r="W1714" s="20">
        <f t="shared" si="931"/>
        <v>5.2</v>
      </c>
      <c r="X1714" s="20">
        <f>IFERROR(W1714*J1713,"-")</f>
        <v>10.4</v>
      </c>
      <c r="Z1714" s="85">
        <v>45187</v>
      </c>
    </row>
    <row r="1715" spans="1:26" ht="6.95" customHeight="1" x14ac:dyDescent="0.3">
      <c r="A1715" s="5"/>
      <c r="B1715" s="157"/>
      <c r="C1715" s="158"/>
      <c r="D1715" s="161"/>
      <c r="E1715" s="162"/>
      <c r="F1715" s="163"/>
      <c r="G1715" s="164"/>
      <c r="H1715" s="165"/>
      <c r="I1715" s="164"/>
      <c r="J1715" s="165"/>
      <c r="K1715" s="164"/>
      <c r="L1715" s="165"/>
      <c r="M1715" s="6"/>
      <c r="N1715" s="32"/>
      <c r="Q1715" s="10" t="str">
        <f>+CONCATENATE(E1713,K1713)</f>
        <v>차열재마감</v>
      </c>
      <c r="R1715" s="10">
        <f>+L1713</f>
        <v>0</v>
      </c>
      <c r="S1715" s="11"/>
      <c r="T1715" s="10" t="str">
        <f>+E1713</f>
        <v>차열재마감</v>
      </c>
      <c r="U1715" s="19" t="str">
        <f>IFERROR(LEFT(K1713,FIND("*",K1713)-1),"-")</f>
        <v>-</v>
      </c>
      <c r="V1715" s="19" t="str">
        <f>IFERROR(RIGHT(K1713,LEN(K1713)-FIND("*",K1713)),"-")</f>
        <v>-</v>
      </c>
      <c r="W1715" s="20" t="str">
        <f t="shared" si="931"/>
        <v>-</v>
      </c>
      <c r="X1715" s="20" t="str">
        <f>IFERROR(W1715*L1713,"-")</f>
        <v>-</v>
      </c>
      <c r="Z1715" s="85">
        <v>45187</v>
      </c>
    </row>
    <row r="1716" spans="1:26" ht="6.95" customHeight="1" x14ac:dyDescent="0.3">
      <c r="A1716" s="8"/>
      <c r="B1716" s="157"/>
      <c r="C1716" s="158"/>
      <c r="D1716" s="161" t="s">
        <v>39</v>
      </c>
      <c r="E1716" s="162"/>
      <c r="F1716" s="163" t="s">
        <v>40</v>
      </c>
      <c r="G1716" s="164"/>
      <c r="H1716" s="165"/>
      <c r="I1716" s="164"/>
      <c r="J1716" s="165"/>
      <c r="K1716" s="164"/>
      <c r="L1716" s="165"/>
      <c r="M1716" s="6"/>
      <c r="N1716" s="32"/>
      <c r="Q1716" s="10" t="str">
        <f>+CONCATENATE(E1716,G1716)</f>
        <v/>
      </c>
      <c r="R1716" s="10">
        <f>+H1716</f>
        <v>0</v>
      </c>
      <c r="S1716" s="11"/>
      <c r="T1716" s="10">
        <f>+E1716</f>
        <v>0</v>
      </c>
      <c r="U1716" s="19" t="str">
        <f t="shared" ref="U1716" si="934">IFERROR(LEFT(G1716,FIND("*",G1716)-1),"-")</f>
        <v>-</v>
      </c>
      <c r="V1716" s="19" t="str">
        <f t="shared" ref="V1716" si="935">IFERROR(RIGHT(G1716,LEN(G1716)-FIND("*",G1716)),"-")</f>
        <v>-</v>
      </c>
      <c r="W1716" s="20" t="str">
        <f t="shared" si="931"/>
        <v>-</v>
      </c>
      <c r="X1716" s="20" t="str">
        <f>IFERROR(W1716*H1716,"-")</f>
        <v>-</v>
      </c>
      <c r="Z1716" s="85">
        <v>45187</v>
      </c>
    </row>
    <row r="1717" spans="1:26" ht="6.95" customHeight="1" x14ac:dyDescent="0.3">
      <c r="A1717" s="5"/>
      <c r="B1717" s="157"/>
      <c r="C1717" s="158"/>
      <c r="D1717" s="161"/>
      <c r="E1717" s="162"/>
      <c r="F1717" s="163"/>
      <c r="G1717" s="164"/>
      <c r="H1717" s="165"/>
      <c r="I1717" s="164"/>
      <c r="J1717" s="165"/>
      <c r="K1717" s="164"/>
      <c r="L1717" s="165"/>
      <c r="M1717" s="6"/>
      <c r="N1717" s="32"/>
      <c r="Q1717" s="10" t="str">
        <f>+CONCATENATE(E1716,I1716)</f>
        <v/>
      </c>
      <c r="R1717" s="10">
        <f>+J1716</f>
        <v>0</v>
      </c>
      <c r="S1717" s="11"/>
      <c r="T1717" s="10">
        <f>+E1716</f>
        <v>0</v>
      </c>
      <c r="U1717" s="19" t="str">
        <f>IFERROR(LEFT(I1716,FIND("*",I1716)-1),"-")</f>
        <v>-</v>
      </c>
      <c r="V1717" s="19" t="str">
        <f>IFERROR(RIGHT(I1716,LEN(I1716)-FIND("*",I1716)),"-")</f>
        <v>-</v>
      </c>
      <c r="W1717" s="20" t="str">
        <f t="shared" si="931"/>
        <v>-</v>
      </c>
      <c r="X1717" s="20" t="str">
        <f t="shared" ref="X1717" si="936">IFERROR(W1717*J1716,"-")</f>
        <v>-</v>
      </c>
      <c r="Z1717" s="85">
        <v>45187</v>
      </c>
    </row>
    <row r="1718" spans="1:26" ht="6.95" customHeight="1" x14ac:dyDescent="0.3">
      <c r="A1718" s="5"/>
      <c r="B1718" s="157"/>
      <c r="C1718" s="158"/>
      <c r="D1718" s="161"/>
      <c r="E1718" s="162"/>
      <c r="F1718" s="163"/>
      <c r="G1718" s="164"/>
      <c r="H1718" s="165"/>
      <c r="I1718" s="164"/>
      <c r="J1718" s="165"/>
      <c r="K1718" s="164"/>
      <c r="L1718" s="165"/>
      <c r="M1718" s="6"/>
      <c r="N1718" s="32"/>
      <c r="Q1718" s="10" t="str">
        <f>+CONCATENATE(E1716,K1716)</f>
        <v/>
      </c>
      <c r="R1718" s="10">
        <f>+L1716</f>
        <v>0</v>
      </c>
      <c r="S1718" s="11"/>
      <c r="T1718" s="10">
        <f>+E1716</f>
        <v>0</v>
      </c>
      <c r="U1718" s="19" t="str">
        <f>IFERROR(LEFT(K1716,FIND("*",K1716)-1),"-")</f>
        <v>-</v>
      </c>
      <c r="V1718" s="19" t="str">
        <f>IFERROR(RIGHT(K1716,LEN(K1716)-FIND("*",K1716)),"-")</f>
        <v>-</v>
      </c>
      <c r="W1718" s="20" t="str">
        <f t="shared" si="931"/>
        <v>-</v>
      </c>
      <c r="X1718" s="20" t="str">
        <f>IFERROR(W1718*L1716,"-")</f>
        <v>-</v>
      </c>
      <c r="Z1718" s="85">
        <v>45187</v>
      </c>
    </row>
    <row r="1719" spans="1:26" ht="21" customHeight="1" thickBot="1" x14ac:dyDescent="0.35">
      <c r="A1719" s="5"/>
      <c r="B1719" s="159"/>
      <c r="C1719" s="160"/>
      <c r="D1719" s="166" t="s">
        <v>43</v>
      </c>
      <c r="E1719" s="167"/>
      <c r="F1719" s="167"/>
      <c r="G1719" s="168" t="s">
        <v>288</v>
      </c>
      <c r="H1719" s="168"/>
      <c r="I1719" s="168"/>
      <c r="J1719" s="168"/>
      <c r="K1719" s="168"/>
      <c r="L1719" s="168"/>
      <c r="M1719" s="7"/>
      <c r="N1719" s="32"/>
      <c r="Z1719" s="85">
        <v>45187</v>
      </c>
    </row>
    <row r="1720" spans="1:26" ht="9.9499999999999993" customHeight="1" thickBot="1" x14ac:dyDescent="0.35">
      <c r="B1720" s="9"/>
      <c r="C1720" s="109">
        <v>956</v>
      </c>
      <c r="D1720" s="51"/>
      <c r="E1720" s="12"/>
      <c r="F1720" s="51"/>
      <c r="G1720" s="14"/>
      <c r="H1720" s="14"/>
      <c r="I1720" s="14"/>
      <c r="J1720" s="14"/>
      <c r="K1720" s="14"/>
      <c r="L1720" s="14"/>
      <c r="M1720" s="9"/>
      <c r="N1720" s="32"/>
      <c r="U1720" s="18"/>
      <c r="V1720" s="18"/>
      <c r="Z1720" s="85">
        <v>45187</v>
      </c>
    </row>
    <row r="1721" spans="1:26" ht="6.95" customHeight="1" x14ac:dyDescent="0.3">
      <c r="A1721" s="154">
        <f>+A1710+1</f>
        <v>957</v>
      </c>
      <c r="B1721" s="155"/>
      <c r="C1721" s="156"/>
      <c r="D1721" s="161" t="s">
        <v>39</v>
      </c>
      <c r="E1721" s="162" t="s">
        <v>111</v>
      </c>
      <c r="F1721" s="163" t="s">
        <v>40</v>
      </c>
      <c r="G1721" s="164" t="s">
        <v>191</v>
      </c>
      <c r="H1721" s="165">
        <v>1</v>
      </c>
      <c r="I1721" s="164" t="s">
        <v>291</v>
      </c>
      <c r="J1721" s="165">
        <v>1</v>
      </c>
      <c r="K1721" s="164"/>
      <c r="L1721" s="165"/>
      <c r="M1721" s="6"/>
      <c r="N1721" s="32"/>
      <c r="Q1721" s="10" t="str">
        <f>+CONCATENATE(E1721,G1721)</f>
        <v>보온덕트벽체800*400</v>
      </c>
      <c r="R1721" s="10">
        <f>+H1721</f>
        <v>1</v>
      </c>
      <c r="S1721" s="11"/>
      <c r="T1721" s="10" t="str">
        <f>+E1721</f>
        <v>보온덕트벽체</v>
      </c>
      <c r="U1721" s="19" t="str">
        <f>IFERROR(LEFT(G1721,FIND("*",G1721)-1),"-")</f>
        <v>800</v>
      </c>
      <c r="V1721" s="19" t="str">
        <f>IFERROR(RIGHT(G1721,LEN(G1721)-FIND("*",G1721)),"-")</f>
        <v>400</v>
      </c>
      <c r="W1721" s="20">
        <f>IFERROR((U1721+V1721)*2/1000,"-")</f>
        <v>2.4</v>
      </c>
      <c r="X1721" s="20">
        <f>IFERROR(W1721*H1721,"-")</f>
        <v>2.4</v>
      </c>
      <c r="Z1721" s="85">
        <v>45187</v>
      </c>
    </row>
    <row r="1722" spans="1:26" ht="6.95" customHeight="1" x14ac:dyDescent="0.3">
      <c r="A1722" s="154"/>
      <c r="B1722" s="157"/>
      <c r="C1722" s="158"/>
      <c r="D1722" s="161"/>
      <c r="E1722" s="162"/>
      <c r="F1722" s="163"/>
      <c r="G1722" s="164"/>
      <c r="H1722" s="165"/>
      <c r="I1722" s="164"/>
      <c r="J1722" s="165"/>
      <c r="K1722" s="164"/>
      <c r="L1722" s="165"/>
      <c r="M1722" s="6"/>
      <c r="N1722" s="32"/>
      <c r="Q1722" s="10" t="str">
        <f>+CONCATENATE(E1721,I1721)</f>
        <v>보온덕트벽체1800*600</v>
      </c>
      <c r="R1722" s="10">
        <f>+J1721</f>
        <v>1</v>
      </c>
      <c r="S1722" s="11"/>
      <c r="T1722" s="10" t="str">
        <f>+E1721</f>
        <v>보온덕트벽체</v>
      </c>
      <c r="U1722" s="19" t="str">
        <f>IFERROR(LEFT(I1721,FIND("*",I1721)-1),"-")</f>
        <v>1800</v>
      </c>
      <c r="V1722" s="19" t="str">
        <f>IFERROR(RIGHT(I1721,LEN(I1721)-FIND("*",I1721)),"-")</f>
        <v>600</v>
      </c>
      <c r="W1722" s="20">
        <f t="shared" ref="W1722:W1729" si="937">IFERROR((U1722+V1722)*2/1000,"-")</f>
        <v>4.8</v>
      </c>
      <c r="X1722" s="20">
        <f>IFERROR(W1722*J1721,"-")</f>
        <v>4.8</v>
      </c>
      <c r="Z1722" s="85">
        <v>45187</v>
      </c>
    </row>
    <row r="1723" spans="1:26" ht="6.95" customHeight="1" x14ac:dyDescent="0.3">
      <c r="A1723" s="154"/>
      <c r="B1723" s="157"/>
      <c r="C1723" s="158"/>
      <c r="D1723" s="161"/>
      <c r="E1723" s="162"/>
      <c r="F1723" s="163"/>
      <c r="G1723" s="164"/>
      <c r="H1723" s="165"/>
      <c r="I1723" s="164"/>
      <c r="J1723" s="165"/>
      <c r="K1723" s="164"/>
      <c r="L1723" s="165"/>
      <c r="M1723" s="6"/>
      <c r="N1723" s="32"/>
      <c r="Q1723" s="10" t="str">
        <f>+CONCATENATE(E1721,K1721)</f>
        <v>보온덕트벽체</v>
      </c>
      <c r="R1723" s="10">
        <f>+L1721</f>
        <v>0</v>
      </c>
      <c r="S1723" s="11"/>
      <c r="T1723" s="10" t="str">
        <f>+E1721</f>
        <v>보온덕트벽체</v>
      </c>
      <c r="U1723" s="19" t="str">
        <f>IFERROR(LEFT(K1721,FIND("*",K1721)-1),"-")</f>
        <v>-</v>
      </c>
      <c r="V1723" s="19" t="str">
        <f>IFERROR(RIGHT(K1721,LEN(K1721)-FIND("*",K1721)),"-")</f>
        <v>-</v>
      </c>
      <c r="W1723" s="20" t="str">
        <f t="shared" si="937"/>
        <v>-</v>
      </c>
      <c r="X1723" s="20" t="str">
        <f>IFERROR(W1723*L1721,"-")</f>
        <v>-</v>
      </c>
      <c r="Z1723" s="85">
        <v>45187</v>
      </c>
    </row>
    <row r="1724" spans="1:26" ht="6.95" customHeight="1" x14ac:dyDescent="0.3">
      <c r="A1724" s="8"/>
      <c r="B1724" s="157"/>
      <c r="C1724" s="158"/>
      <c r="D1724" s="161" t="s">
        <v>39</v>
      </c>
      <c r="E1724" s="162" t="s">
        <v>188</v>
      </c>
      <c r="F1724" s="163" t="s">
        <v>40</v>
      </c>
      <c r="G1724" s="164" t="s">
        <v>191</v>
      </c>
      <c r="H1724" s="165">
        <v>2</v>
      </c>
      <c r="I1724" s="164" t="s">
        <v>291</v>
      </c>
      <c r="J1724" s="165">
        <v>2</v>
      </c>
      <c r="K1724" s="164"/>
      <c r="L1724" s="165"/>
      <c r="M1724" s="6"/>
      <c r="N1724" s="32"/>
      <c r="Q1724" s="10" t="str">
        <f>+CONCATENATE(E1724,G1724)</f>
        <v>차열재마감800*400</v>
      </c>
      <c r="R1724" s="10">
        <f>+H1724</f>
        <v>2</v>
      </c>
      <c r="S1724" s="11"/>
      <c r="T1724" s="10" t="str">
        <f>+E1724</f>
        <v>차열재마감</v>
      </c>
      <c r="U1724" s="19" t="str">
        <f t="shared" ref="U1724" si="938">IFERROR(LEFT(G1724,FIND("*",G1724)-1),"-")</f>
        <v>800</v>
      </c>
      <c r="V1724" s="19" t="str">
        <f t="shared" ref="V1724" si="939">IFERROR(RIGHT(G1724,LEN(G1724)-FIND("*",G1724)),"-")</f>
        <v>400</v>
      </c>
      <c r="W1724" s="20">
        <f t="shared" si="937"/>
        <v>2.4</v>
      </c>
      <c r="X1724" s="20">
        <f>IFERROR(W1724*H1724,"-")</f>
        <v>4.8</v>
      </c>
      <c r="Z1724" s="85">
        <v>45187</v>
      </c>
    </row>
    <row r="1725" spans="1:26" ht="6.95" customHeight="1" x14ac:dyDescent="0.3">
      <c r="A1725" s="5"/>
      <c r="B1725" s="157"/>
      <c r="C1725" s="158"/>
      <c r="D1725" s="161"/>
      <c r="E1725" s="162"/>
      <c r="F1725" s="163"/>
      <c r="G1725" s="164"/>
      <c r="H1725" s="165"/>
      <c r="I1725" s="164"/>
      <c r="J1725" s="165"/>
      <c r="K1725" s="164"/>
      <c r="L1725" s="165"/>
      <c r="M1725" s="6"/>
      <c r="N1725" s="32"/>
      <c r="Q1725" s="10" t="str">
        <f>+CONCATENATE(E1724,I1724)</f>
        <v>차열재마감1800*600</v>
      </c>
      <c r="R1725" s="10">
        <f>+J1724</f>
        <v>2</v>
      </c>
      <c r="S1725" s="11"/>
      <c r="T1725" s="10" t="str">
        <f>+E1724</f>
        <v>차열재마감</v>
      </c>
      <c r="U1725" s="19" t="str">
        <f>IFERROR(LEFT(I1724,FIND("*",I1724)-1),"-")</f>
        <v>1800</v>
      </c>
      <c r="V1725" s="19" t="str">
        <f>IFERROR(RIGHT(I1724,LEN(I1724)-FIND("*",I1724)),"-")</f>
        <v>600</v>
      </c>
      <c r="W1725" s="20">
        <f t="shared" si="937"/>
        <v>4.8</v>
      </c>
      <c r="X1725" s="20">
        <f>IFERROR(W1725*J1724,"-")</f>
        <v>9.6</v>
      </c>
      <c r="Z1725" s="85">
        <v>45187</v>
      </c>
    </row>
    <row r="1726" spans="1:26" ht="6.95" customHeight="1" x14ac:dyDescent="0.3">
      <c r="A1726" s="5"/>
      <c r="B1726" s="157"/>
      <c r="C1726" s="158"/>
      <c r="D1726" s="161"/>
      <c r="E1726" s="162"/>
      <c r="F1726" s="163"/>
      <c r="G1726" s="164"/>
      <c r="H1726" s="165"/>
      <c r="I1726" s="164"/>
      <c r="J1726" s="165"/>
      <c r="K1726" s="164"/>
      <c r="L1726" s="165"/>
      <c r="M1726" s="6"/>
      <c r="N1726" s="32"/>
      <c r="Q1726" s="10" t="str">
        <f>+CONCATENATE(E1724,K1724)</f>
        <v>차열재마감</v>
      </c>
      <c r="R1726" s="10">
        <f>+L1724</f>
        <v>0</v>
      </c>
      <c r="S1726" s="11"/>
      <c r="T1726" s="10" t="str">
        <f>+E1724</f>
        <v>차열재마감</v>
      </c>
      <c r="U1726" s="19" t="str">
        <f>IFERROR(LEFT(K1724,FIND("*",K1724)-1),"-")</f>
        <v>-</v>
      </c>
      <c r="V1726" s="19" t="str">
        <f>IFERROR(RIGHT(K1724,LEN(K1724)-FIND("*",K1724)),"-")</f>
        <v>-</v>
      </c>
      <c r="W1726" s="20" t="str">
        <f t="shared" si="937"/>
        <v>-</v>
      </c>
      <c r="X1726" s="20" t="str">
        <f>IFERROR(W1726*L1724,"-")</f>
        <v>-</v>
      </c>
      <c r="Z1726" s="85">
        <v>45187</v>
      </c>
    </row>
    <row r="1727" spans="1:26" ht="6.95" customHeight="1" x14ac:dyDescent="0.3">
      <c r="A1727" s="8"/>
      <c r="B1727" s="157"/>
      <c r="C1727" s="158"/>
      <c r="D1727" s="161" t="s">
        <v>39</v>
      </c>
      <c r="E1727" s="162"/>
      <c r="F1727" s="163" t="s">
        <v>40</v>
      </c>
      <c r="G1727" s="164"/>
      <c r="H1727" s="165"/>
      <c r="I1727" s="164"/>
      <c r="J1727" s="165"/>
      <c r="K1727" s="164"/>
      <c r="L1727" s="165"/>
      <c r="M1727" s="6"/>
      <c r="N1727" s="32"/>
      <c r="Q1727" s="10" t="str">
        <f>+CONCATENATE(E1727,G1727)</f>
        <v/>
      </c>
      <c r="R1727" s="10">
        <f>+H1727</f>
        <v>0</v>
      </c>
      <c r="S1727" s="11"/>
      <c r="T1727" s="10">
        <f>+E1727</f>
        <v>0</v>
      </c>
      <c r="U1727" s="19" t="str">
        <f t="shared" ref="U1727" si="940">IFERROR(LEFT(G1727,FIND("*",G1727)-1),"-")</f>
        <v>-</v>
      </c>
      <c r="V1727" s="19" t="str">
        <f t="shared" ref="V1727" si="941">IFERROR(RIGHT(G1727,LEN(G1727)-FIND("*",G1727)),"-")</f>
        <v>-</v>
      </c>
      <c r="W1727" s="20" t="str">
        <f t="shared" si="937"/>
        <v>-</v>
      </c>
      <c r="X1727" s="20" t="str">
        <f>IFERROR(W1727*H1727,"-")</f>
        <v>-</v>
      </c>
      <c r="Z1727" s="85">
        <v>45187</v>
      </c>
    </row>
    <row r="1728" spans="1:26" ht="6.95" customHeight="1" x14ac:dyDescent="0.3">
      <c r="A1728" s="5"/>
      <c r="B1728" s="157"/>
      <c r="C1728" s="158"/>
      <c r="D1728" s="161"/>
      <c r="E1728" s="162"/>
      <c r="F1728" s="163"/>
      <c r="G1728" s="164"/>
      <c r="H1728" s="165"/>
      <c r="I1728" s="164"/>
      <c r="J1728" s="165"/>
      <c r="K1728" s="164"/>
      <c r="L1728" s="165"/>
      <c r="M1728" s="6"/>
      <c r="N1728" s="32"/>
      <c r="Q1728" s="10" t="str">
        <f>+CONCATENATE(E1727,I1727)</f>
        <v/>
      </c>
      <c r="R1728" s="10">
        <f>+J1727</f>
        <v>0</v>
      </c>
      <c r="S1728" s="11"/>
      <c r="T1728" s="10">
        <f>+E1727</f>
        <v>0</v>
      </c>
      <c r="U1728" s="19" t="str">
        <f>IFERROR(LEFT(I1727,FIND("*",I1727)-1),"-")</f>
        <v>-</v>
      </c>
      <c r="V1728" s="19" t="str">
        <f>IFERROR(RIGHT(I1727,LEN(I1727)-FIND("*",I1727)),"-")</f>
        <v>-</v>
      </c>
      <c r="W1728" s="20" t="str">
        <f t="shared" si="937"/>
        <v>-</v>
      </c>
      <c r="X1728" s="20" t="str">
        <f t="shared" ref="X1728" si="942">IFERROR(W1728*J1727,"-")</f>
        <v>-</v>
      </c>
      <c r="Z1728" s="85">
        <v>45187</v>
      </c>
    </row>
    <row r="1729" spans="1:26" ht="6.95" customHeight="1" x14ac:dyDescent="0.3">
      <c r="A1729" s="5"/>
      <c r="B1729" s="157"/>
      <c r="C1729" s="158"/>
      <c r="D1729" s="161"/>
      <c r="E1729" s="162"/>
      <c r="F1729" s="163"/>
      <c r="G1729" s="164"/>
      <c r="H1729" s="165"/>
      <c r="I1729" s="164"/>
      <c r="J1729" s="165"/>
      <c r="K1729" s="164"/>
      <c r="L1729" s="165"/>
      <c r="M1729" s="6"/>
      <c r="N1729" s="32"/>
      <c r="Q1729" s="10" t="str">
        <f>+CONCATENATE(E1727,K1727)</f>
        <v/>
      </c>
      <c r="R1729" s="10">
        <f>+L1727</f>
        <v>0</v>
      </c>
      <c r="S1729" s="11"/>
      <c r="T1729" s="10">
        <f>+E1727</f>
        <v>0</v>
      </c>
      <c r="U1729" s="19" t="str">
        <f>IFERROR(LEFT(K1727,FIND("*",K1727)-1),"-")</f>
        <v>-</v>
      </c>
      <c r="V1729" s="19" t="str">
        <f>IFERROR(RIGHT(K1727,LEN(K1727)-FIND("*",K1727)),"-")</f>
        <v>-</v>
      </c>
      <c r="W1729" s="20" t="str">
        <f t="shared" si="937"/>
        <v>-</v>
      </c>
      <c r="X1729" s="20" t="str">
        <f>IFERROR(W1729*L1727,"-")</f>
        <v>-</v>
      </c>
      <c r="Z1729" s="85">
        <v>45187</v>
      </c>
    </row>
    <row r="1730" spans="1:26" ht="21" customHeight="1" thickBot="1" x14ac:dyDescent="0.35">
      <c r="A1730" s="5"/>
      <c r="B1730" s="159"/>
      <c r="C1730" s="160"/>
      <c r="D1730" s="166" t="s">
        <v>43</v>
      </c>
      <c r="E1730" s="167"/>
      <c r="F1730" s="167"/>
      <c r="G1730" s="168" t="s">
        <v>288</v>
      </c>
      <c r="H1730" s="168"/>
      <c r="I1730" s="168"/>
      <c r="J1730" s="168"/>
      <c r="K1730" s="168"/>
      <c r="L1730" s="168"/>
      <c r="M1730" s="7"/>
      <c r="N1730" s="32"/>
      <c r="Z1730" s="85">
        <v>45187</v>
      </c>
    </row>
    <row r="1731" spans="1:26" ht="9.9499999999999993" customHeight="1" thickBot="1" x14ac:dyDescent="0.35">
      <c r="B1731" s="9"/>
      <c r="C1731" s="109">
        <v>957</v>
      </c>
      <c r="D1731" s="51"/>
      <c r="E1731" s="12"/>
      <c r="F1731" s="51"/>
      <c r="G1731" s="14"/>
      <c r="H1731" s="14"/>
      <c r="I1731" s="14"/>
      <c r="J1731" s="14"/>
      <c r="K1731" s="14"/>
      <c r="L1731" s="14"/>
      <c r="M1731" s="9"/>
      <c r="N1731" s="32"/>
      <c r="U1731" s="18"/>
      <c r="V1731" s="18"/>
      <c r="Z1731" s="85">
        <v>45187</v>
      </c>
    </row>
    <row r="1732" spans="1:26" ht="6.95" customHeight="1" x14ac:dyDescent="0.3">
      <c r="A1732" s="154">
        <f>+A1721+1</f>
        <v>958</v>
      </c>
      <c r="B1732" s="155"/>
      <c r="C1732" s="156"/>
      <c r="D1732" s="161" t="s">
        <v>39</v>
      </c>
      <c r="E1732" s="162" t="s">
        <v>111</v>
      </c>
      <c r="F1732" s="163" t="s">
        <v>40</v>
      </c>
      <c r="G1732" s="164" t="s">
        <v>191</v>
      </c>
      <c r="H1732" s="165">
        <v>1</v>
      </c>
      <c r="I1732" s="164" t="s">
        <v>190</v>
      </c>
      <c r="J1732" s="165">
        <v>1</v>
      </c>
      <c r="K1732" s="164"/>
      <c r="L1732" s="165"/>
      <c r="M1732" s="6"/>
      <c r="N1732" s="32"/>
      <c r="Q1732" s="10" t="str">
        <f>+CONCATENATE(E1732,G1732)</f>
        <v>보온덕트벽체800*400</v>
      </c>
      <c r="R1732" s="10">
        <f>+H1732</f>
        <v>1</v>
      </c>
      <c r="S1732" s="11"/>
      <c r="T1732" s="10" t="str">
        <f>+E1732</f>
        <v>보온덕트벽체</v>
      </c>
      <c r="U1732" s="19" t="str">
        <f>IFERROR(LEFT(G1732,FIND("*",G1732)-1),"-")</f>
        <v>800</v>
      </c>
      <c r="V1732" s="19" t="str">
        <f>IFERROR(RIGHT(G1732,LEN(G1732)-FIND("*",G1732)),"-")</f>
        <v>400</v>
      </c>
      <c r="W1732" s="20">
        <f>IFERROR((U1732+V1732)*2/1000,"-")</f>
        <v>2.4</v>
      </c>
      <c r="X1732" s="20">
        <f>IFERROR(W1732*H1732,"-")</f>
        <v>2.4</v>
      </c>
      <c r="Z1732" s="85">
        <v>45187</v>
      </c>
    </row>
    <row r="1733" spans="1:26" ht="6.95" customHeight="1" x14ac:dyDescent="0.3">
      <c r="A1733" s="154"/>
      <c r="B1733" s="157"/>
      <c r="C1733" s="158"/>
      <c r="D1733" s="161"/>
      <c r="E1733" s="162"/>
      <c r="F1733" s="163"/>
      <c r="G1733" s="164"/>
      <c r="H1733" s="165"/>
      <c r="I1733" s="164"/>
      <c r="J1733" s="165"/>
      <c r="K1733" s="164"/>
      <c r="L1733" s="165"/>
      <c r="M1733" s="6"/>
      <c r="N1733" s="32"/>
      <c r="Q1733" s="10" t="str">
        <f>+CONCATENATE(E1732,I1732)</f>
        <v>보온덕트벽체1400*600</v>
      </c>
      <c r="R1733" s="10">
        <f>+J1732</f>
        <v>1</v>
      </c>
      <c r="S1733" s="11"/>
      <c r="T1733" s="10" t="str">
        <f>+E1732</f>
        <v>보온덕트벽체</v>
      </c>
      <c r="U1733" s="19" t="str">
        <f>IFERROR(LEFT(I1732,FIND("*",I1732)-1),"-")</f>
        <v>1400</v>
      </c>
      <c r="V1733" s="19" t="str">
        <f>IFERROR(RIGHT(I1732,LEN(I1732)-FIND("*",I1732)),"-")</f>
        <v>600</v>
      </c>
      <c r="W1733" s="20">
        <f t="shared" ref="W1733:W1740" si="943">IFERROR((U1733+V1733)*2/1000,"-")</f>
        <v>4</v>
      </c>
      <c r="X1733" s="20">
        <f>IFERROR(W1733*J1732,"-")</f>
        <v>4</v>
      </c>
      <c r="Z1733" s="85">
        <v>45187</v>
      </c>
    </row>
    <row r="1734" spans="1:26" ht="6.95" customHeight="1" x14ac:dyDescent="0.3">
      <c r="A1734" s="154"/>
      <c r="B1734" s="157"/>
      <c r="C1734" s="158"/>
      <c r="D1734" s="161"/>
      <c r="E1734" s="162"/>
      <c r="F1734" s="163"/>
      <c r="G1734" s="164"/>
      <c r="H1734" s="165"/>
      <c r="I1734" s="164"/>
      <c r="J1734" s="165"/>
      <c r="K1734" s="164"/>
      <c r="L1734" s="165"/>
      <c r="M1734" s="6"/>
      <c r="N1734" s="32"/>
      <c r="Q1734" s="10" t="str">
        <f>+CONCATENATE(E1732,K1732)</f>
        <v>보온덕트벽체</v>
      </c>
      <c r="R1734" s="10">
        <f>+L1732</f>
        <v>0</v>
      </c>
      <c r="S1734" s="11"/>
      <c r="T1734" s="10" t="str">
        <f>+E1732</f>
        <v>보온덕트벽체</v>
      </c>
      <c r="U1734" s="19" t="str">
        <f>IFERROR(LEFT(K1732,FIND("*",K1732)-1),"-")</f>
        <v>-</v>
      </c>
      <c r="V1734" s="19" t="str">
        <f>IFERROR(RIGHT(K1732,LEN(K1732)-FIND("*",K1732)),"-")</f>
        <v>-</v>
      </c>
      <c r="W1734" s="20" t="str">
        <f t="shared" si="943"/>
        <v>-</v>
      </c>
      <c r="X1734" s="20" t="str">
        <f>IFERROR(W1734*L1732,"-")</f>
        <v>-</v>
      </c>
      <c r="Z1734" s="85">
        <v>45187</v>
      </c>
    </row>
    <row r="1735" spans="1:26" ht="6.95" customHeight="1" x14ac:dyDescent="0.3">
      <c r="A1735" s="8"/>
      <c r="B1735" s="157"/>
      <c r="C1735" s="158"/>
      <c r="D1735" s="161" t="s">
        <v>39</v>
      </c>
      <c r="E1735" s="162" t="s">
        <v>188</v>
      </c>
      <c r="F1735" s="163" t="s">
        <v>40</v>
      </c>
      <c r="G1735" s="164" t="s">
        <v>191</v>
      </c>
      <c r="H1735" s="165">
        <v>2</v>
      </c>
      <c r="I1735" s="164" t="s">
        <v>190</v>
      </c>
      <c r="J1735" s="165">
        <v>2</v>
      </c>
      <c r="K1735" s="164"/>
      <c r="L1735" s="165"/>
      <c r="M1735" s="6"/>
      <c r="N1735" s="32"/>
      <c r="Q1735" s="10" t="str">
        <f>+CONCATENATE(E1735,G1735)</f>
        <v>차열재마감800*400</v>
      </c>
      <c r="R1735" s="10">
        <f>+H1735</f>
        <v>2</v>
      </c>
      <c r="S1735" s="11"/>
      <c r="T1735" s="10" t="str">
        <f>+E1735</f>
        <v>차열재마감</v>
      </c>
      <c r="U1735" s="19" t="str">
        <f t="shared" ref="U1735" si="944">IFERROR(LEFT(G1735,FIND("*",G1735)-1),"-")</f>
        <v>800</v>
      </c>
      <c r="V1735" s="19" t="str">
        <f t="shared" ref="V1735" si="945">IFERROR(RIGHT(G1735,LEN(G1735)-FIND("*",G1735)),"-")</f>
        <v>400</v>
      </c>
      <c r="W1735" s="20">
        <f t="shared" si="943"/>
        <v>2.4</v>
      </c>
      <c r="X1735" s="20">
        <f>IFERROR(W1735*H1735,"-")</f>
        <v>4.8</v>
      </c>
      <c r="Z1735" s="85">
        <v>45187</v>
      </c>
    </row>
    <row r="1736" spans="1:26" ht="6.95" customHeight="1" x14ac:dyDescent="0.3">
      <c r="A1736" s="5"/>
      <c r="B1736" s="157"/>
      <c r="C1736" s="158"/>
      <c r="D1736" s="161"/>
      <c r="E1736" s="162"/>
      <c r="F1736" s="163"/>
      <c r="G1736" s="164"/>
      <c r="H1736" s="165"/>
      <c r="I1736" s="164"/>
      <c r="J1736" s="165"/>
      <c r="K1736" s="164"/>
      <c r="L1736" s="165"/>
      <c r="M1736" s="6"/>
      <c r="N1736" s="32"/>
      <c r="Q1736" s="10" t="str">
        <f>+CONCATENATE(E1735,I1735)</f>
        <v>차열재마감1400*600</v>
      </c>
      <c r="R1736" s="10">
        <f>+J1735</f>
        <v>2</v>
      </c>
      <c r="S1736" s="11"/>
      <c r="T1736" s="10" t="str">
        <f>+E1735</f>
        <v>차열재마감</v>
      </c>
      <c r="U1736" s="19" t="str">
        <f>IFERROR(LEFT(I1735,FIND("*",I1735)-1),"-")</f>
        <v>1400</v>
      </c>
      <c r="V1736" s="19" t="str">
        <f>IFERROR(RIGHT(I1735,LEN(I1735)-FIND("*",I1735)),"-")</f>
        <v>600</v>
      </c>
      <c r="W1736" s="20">
        <f t="shared" si="943"/>
        <v>4</v>
      </c>
      <c r="X1736" s="20">
        <f>IFERROR(W1736*J1735,"-")</f>
        <v>8</v>
      </c>
      <c r="Z1736" s="85">
        <v>45187</v>
      </c>
    </row>
    <row r="1737" spans="1:26" ht="6.95" customHeight="1" x14ac:dyDescent="0.3">
      <c r="A1737" s="5"/>
      <c r="B1737" s="157"/>
      <c r="C1737" s="158"/>
      <c r="D1737" s="161"/>
      <c r="E1737" s="162"/>
      <c r="F1737" s="163"/>
      <c r="G1737" s="164"/>
      <c r="H1737" s="165"/>
      <c r="I1737" s="164"/>
      <c r="J1737" s="165"/>
      <c r="K1737" s="164"/>
      <c r="L1737" s="165"/>
      <c r="M1737" s="6"/>
      <c r="N1737" s="32"/>
      <c r="Q1737" s="10" t="str">
        <f>+CONCATENATE(E1735,K1735)</f>
        <v>차열재마감</v>
      </c>
      <c r="R1737" s="10">
        <f>+L1735</f>
        <v>0</v>
      </c>
      <c r="S1737" s="11"/>
      <c r="T1737" s="10" t="str">
        <f>+E1735</f>
        <v>차열재마감</v>
      </c>
      <c r="U1737" s="19" t="str">
        <f>IFERROR(LEFT(K1735,FIND("*",K1735)-1),"-")</f>
        <v>-</v>
      </c>
      <c r="V1737" s="19" t="str">
        <f>IFERROR(RIGHT(K1735,LEN(K1735)-FIND("*",K1735)),"-")</f>
        <v>-</v>
      </c>
      <c r="W1737" s="20" t="str">
        <f t="shared" si="943"/>
        <v>-</v>
      </c>
      <c r="X1737" s="20" t="str">
        <f>IFERROR(W1737*L1735,"-")</f>
        <v>-</v>
      </c>
      <c r="Z1737" s="85">
        <v>45187</v>
      </c>
    </row>
    <row r="1738" spans="1:26" ht="6.95" customHeight="1" x14ac:dyDescent="0.3">
      <c r="A1738" s="8"/>
      <c r="B1738" s="157"/>
      <c r="C1738" s="158"/>
      <c r="D1738" s="161" t="s">
        <v>39</v>
      </c>
      <c r="E1738" s="162"/>
      <c r="F1738" s="163" t="s">
        <v>40</v>
      </c>
      <c r="G1738" s="164"/>
      <c r="H1738" s="165"/>
      <c r="I1738" s="164"/>
      <c r="J1738" s="165"/>
      <c r="K1738" s="164"/>
      <c r="L1738" s="165"/>
      <c r="M1738" s="6"/>
      <c r="N1738" s="32"/>
      <c r="Q1738" s="10" t="str">
        <f>+CONCATENATE(E1738,G1738)</f>
        <v/>
      </c>
      <c r="R1738" s="10">
        <f>+H1738</f>
        <v>0</v>
      </c>
      <c r="S1738" s="11"/>
      <c r="T1738" s="10">
        <f>+E1738</f>
        <v>0</v>
      </c>
      <c r="U1738" s="19" t="str">
        <f t="shared" ref="U1738" si="946">IFERROR(LEFT(G1738,FIND("*",G1738)-1),"-")</f>
        <v>-</v>
      </c>
      <c r="V1738" s="19" t="str">
        <f t="shared" ref="V1738" si="947">IFERROR(RIGHT(G1738,LEN(G1738)-FIND("*",G1738)),"-")</f>
        <v>-</v>
      </c>
      <c r="W1738" s="20" t="str">
        <f t="shared" si="943"/>
        <v>-</v>
      </c>
      <c r="X1738" s="20" t="str">
        <f>IFERROR(W1738*H1738,"-")</f>
        <v>-</v>
      </c>
      <c r="Z1738" s="85">
        <v>45187</v>
      </c>
    </row>
    <row r="1739" spans="1:26" ht="6.95" customHeight="1" x14ac:dyDescent="0.3">
      <c r="A1739" s="5"/>
      <c r="B1739" s="157"/>
      <c r="C1739" s="158"/>
      <c r="D1739" s="161"/>
      <c r="E1739" s="162"/>
      <c r="F1739" s="163"/>
      <c r="G1739" s="164"/>
      <c r="H1739" s="165"/>
      <c r="I1739" s="164"/>
      <c r="J1739" s="165"/>
      <c r="K1739" s="164"/>
      <c r="L1739" s="165"/>
      <c r="M1739" s="6"/>
      <c r="N1739" s="32"/>
      <c r="Q1739" s="10" t="str">
        <f>+CONCATENATE(E1738,I1738)</f>
        <v/>
      </c>
      <c r="R1739" s="10">
        <f>+J1738</f>
        <v>0</v>
      </c>
      <c r="S1739" s="11"/>
      <c r="T1739" s="10">
        <f>+E1738</f>
        <v>0</v>
      </c>
      <c r="U1739" s="19" t="str">
        <f>IFERROR(LEFT(I1738,FIND("*",I1738)-1),"-")</f>
        <v>-</v>
      </c>
      <c r="V1739" s="19" t="str">
        <f>IFERROR(RIGHT(I1738,LEN(I1738)-FIND("*",I1738)),"-")</f>
        <v>-</v>
      </c>
      <c r="W1739" s="20" t="str">
        <f t="shared" si="943"/>
        <v>-</v>
      </c>
      <c r="X1739" s="20" t="str">
        <f t="shared" ref="X1739" si="948">IFERROR(W1739*J1738,"-")</f>
        <v>-</v>
      </c>
      <c r="Z1739" s="85">
        <v>45187</v>
      </c>
    </row>
    <row r="1740" spans="1:26" ht="6.95" customHeight="1" x14ac:dyDescent="0.3">
      <c r="A1740" s="5"/>
      <c r="B1740" s="157"/>
      <c r="C1740" s="158"/>
      <c r="D1740" s="161"/>
      <c r="E1740" s="162"/>
      <c r="F1740" s="163"/>
      <c r="G1740" s="164"/>
      <c r="H1740" s="165"/>
      <c r="I1740" s="164"/>
      <c r="J1740" s="165"/>
      <c r="K1740" s="164"/>
      <c r="L1740" s="165"/>
      <c r="M1740" s="6"/>
      <c r="N1740" s="32"/>
      <c r="Q1740" s="10" t="str">
        <f>+CONCATENATE(E1738,K1738)</f>
        <v/>
      </c>
      <c r="R1740" s="10">
        <f>+L1738</f>
        <v>0</v>
      </c>
      <c r="S1740" s="11"/>
      <c r="T1740" s="10">
        <f>+E1738</f>
        <v>0</v>
      </c>
      <c r="U1740" s="19" t="str">
        <f>IFERROR(LEFT(K1738,FIND("*",K1738)-1),"-")</f>
        <v>-</v>
      </c>
      <c r="V1740" s="19" t="str">
        <f>IFERROR(RIGHT(K1738,LEN(K1738)-FIND("*",K1738)),"-")</f>
        <v>-</v>
      </c>
      <c r="W1740" s="20" t="str">
        <f t="shared" si="943"/>
        <v>-</v>
      </c>
      <c r="X1740" s="20" t="str">
        <f>IFERROR(W1740*L1738,"-")</f>
        <v>-</v>
      </c>
      <c r="Z1740" s="85">
        <v>45187</v>
      </c>
    </row>
    <row r="1741" spans="1:26" ht="21" customHeight="1" thickBot="1" x14ac:dyDescent="0.35">
      <c r="A1741" s="5"/>
      <c r="B1741" s="159"/>
      <c r="C1741" s="160"/>
      <c r="D1741" s="166" t="s">
        <v>43</v>
      </c>
      <c r="E1741" s="167"/>
      <c r="F1741" s="167"/>
      <c r="G1741" s="168" t="s">
        <v>288</v>
      </c>
      <c r="H1741" s="168"/>
      <c r="I1741" s="168"/>
      <c r="J1741" s="168"/>
      <c r="K1741" s="168"/>
      <c r="L1741" s="168"/>
      <c r="M1741" s="7"/>
      <c r="N1741" s="32"/>
      <c r="Z1741" s="85">
        <v>45187</v>
      </c>
    </row>
    <row r="1742" spans="1:26" ht="9.9499999999999993" customHeight="1" thickBot="1" x14ac:dyDescent="0.35">
      <c r="B1742" s="9"/>
      <c r="C1742" s="109">
        <v>958</v>
      </c>
      <c r="D1742" s="51"/>
      <c r="E1742" s="12"/>
      <c r="F1742" s="51"/>
      <c r="G1742" s="14"/>
      <c r="H1742" s="14"/>
      <c r="I1742" s="14"/>
      <c r="J1742" s="14"/>
      <c r="K1742" s="14"/>
      <c r="L1742" s="14"/>
      <c r="M1742" s="9"/>
      <c r="N1742" s="32"/>
      <c r="U1742" s="18"/>
      <c r="V1742" s="18"/>
      <c r="Z1742" s="85">
        <v>45187</v>
      </c>
    </row>
    <row r="1743" spans="1:26" ht="6.95" customHeight="1" x14ac:dyDescent="0.3">
      <c r="A1743" s="154">
        <f>+A1732+1</f>
        <v>959</v>
      </c>
      <c r="B1743" s="155"/>
      <c r="C1743" s="156"/>
      <c r="D1743" s="161" t="s">
        <v>39</v>
      </c>
      <c r="E1743" s="162" t="s">
        <v>115</v>
      </c>
      <c r="F1743" s="163" t="s">
        <v>40</v>
      </c>
      <c r="G1743" s="164" t="s">
        <v>292</v>
      </c>
      <c r="H1743" s="165">
        <v>1</v>
      </c>
      <c r="I1743" s="164"/>
      <c r="J1743" s="165"/>
      <c r="K1743" s="164"/>
      <c r="L1743" s="165"/>
      <c r="M1743" s="6"/>
      <c r="N1743" s="32"/>
      <c r="Q1743" s="10" t="str">
        <f>+CONCATENATE(E1743,G1743)</f>
        <v>무보온덕트벽체2000*400</v>
      </c>
      <c r="R1743" s="10">
        <f>+H1743</f>
        <v>1</v>
      </c>
      <c r="S1743" s="11"/>
      <c r="T1743" s="10" t="str">
        <f>+E1743</f>
        <v>무보온덕트벽체</v>
      </c>
      <c r="U1743" s="19" t="str">
        <f>IFERROR(LEFT(G1743,FIND("*",G1743)-1),"-")</f>
        <v>2000</v>
      </c>
      <c r="V1743" s="19" t="str">
        <f>IFERROR(RIGHT(G1743,LEN(G1743)-FIND("*",G1743)),"-")</f>
        <v>400</v>
      </c>
      <c r="W1743" s="20">
        <f>IFERROR((U1743+V1743)*2/1000,"-")</f>
        <v>4.8</v>
      </c>
      <c r="X1743" s="20">
        <f>IFERROR(W1743*H1743,"-")</f>
        <v>4.8</v>
      </c>
      <c r="Z1743" s="85">
        <v>45187</v>
      </c>
    </row>
    <row r="1744" spans="1:26" ht="6.95" customHeight="1" x14ac:dyDescent="0.3">
      <c r="A1744" s="154"/>
      <c r="B1744" s="157"/>
      <c r="C1744" s="158"/>
      <c r="D1744" s="161"/>
      <c r="E1744" s="162"/>
      <c r="F1744" s="163"/>
      <c r="G1744" s="164"/>
      <c r="H1744" s="165"/>
      <c r="I1744" s="164"/>
      <c r="J1744" s="165"/>
      <c r="K1744" s="164"/>
      <c r="L1744" s="165"/>
      <c r="M1744" s="6"/>
      <c r="N1744" s="32"/>
      <c r="Q1744" s="10" t="str">
        <f>+CONCATENATE(E1743,I1743)</f>
        <v>무보온덕트벽체</v>
      </c>
      <c r="R1744" s="10">
        <f>+J1743</f>
        <v>0</v>
      </c>
      <c r="S1744" s="11"/>
      <c r="T1744" s="10" t="str">
        <f>+E1743</f>
        <v>무보온덕트벽체</v>
      </c>
      <c r="U1744" s="19" t="str">
        <f>IFERROR(LEFT(I1743,FIND("*",I1743)-1),"-")</f>
        <v>-</v>
      </c>
      <c r="V1744" s="19" t="str">
        <f>IFERROR(RIGHT(I1743,LEN(I1743)-FIND("*",I1743)),"-")</f>
        <v>-</v>
      </c>
      <c r="W1744" s="20" t="str">
        <f t="shared" ref="W1744:W1751" si="949">IFERROR((U1744+V1744)*2/1000,"-")</f>
        <v>-</v>
      </c>
      <c r="X1744" s="20" t="str">
        <f>IFERROR(W1744*J1743,"-")</f>
        <v>-</v>
      </c>
      <c r="Z1744" s="85">
        <v>45187</v>
      </c>
    </row>
    <row r="1745" spans="1:26" ht="6.95" customHeight="1" x14ac:dyDescent="0.3">
      <c r="A1745" s="154"/>
      <c r="B1745" s="157"/>
      <c r="C1745" s="158"/>
      <c r="D1745" s="161"/>
      <c r="E1745" s="162"/>
      <c r="F1745" s="163"/>
      <c r="G1745" s="164"/>
      <c r="H1745" s="165"/>
      <c r="I1745" s="164"/>
      <c r="J1745" s="165"/>
      <c r="K1745" s="164"/>
      <c r="L1745" s="165"/>
      <c r="M1745" s="6"/>
      <c r="N1745" s="32"/>
      <c r="Q1745" s="10" t="str">
        <f>+CONCATENATE(E1743,K1743)</f>
        <v>무보온덕트벽체</v>
      </c>
      <c r="R1745" s="10">
        <f>+L1743</f>
        <v>0</v>
      </c>
      <c r="S1745" s="11"/>
      <c r="T1745" s="10" t="str">
        <f>+E1743</f>
        <v>무보온덕트벽체</v>
      </c>
      <c r="U1745" s="19" t="str">
        <f>IFERROR(LEFT(K1743,FIND("*",K1743)-1),"-")</f>
        <v>-</v>
      </c>
      <c r="V1745" s="19" t="str">
        <f>IFERROR(RIGHT(K1743,LEN(K1743)-FIND("*",K1743)),"-")</f>
        <v>-</v>
      </c>
      <c r="W1745" s="20" t="str">
        <f t="shared" si="949"/>
        <v>-</v>
      </c>
      <c r="X1745" s="20" t="str">
        <f>IFERROR(W1745*L1743,"-")</f>
        <v>-</v>
      </c>
      <c r="Z1745" s="85">
        <v>45187</v>
      </c>
    </row>
    <row r="1746" spans="1:26" ht="6.95" customHeight="1" x14ac:dyDescent="0.3">
      <c r="A1746" s="8"/>
      <c r="B1746" s="157"/>
      <c r="C1746" s="158"/>
      <c r="D1746" s="161" t="s">
        <v>39</v>
      </c>
      <c r="E1746" s="162" t="s">
        <v>188</v>
      </c>
      <c r="F1746" s="163" t="s">
        <v>40</v>
      </c>
      <c r="G1746" s="164" t="s">
        <v>292</v>
      </c>
      <c r="H1746" s="165">
        <v>1</v>
      </c>
      <c r="I1746" s="164"/>
      <c r="J1746" s="165"/>
      <c r="K1746" s="164"/>
      <c r="L1746" s="165"/>
      <c r="M1746" s="6"/>
      <c r="N1746" s="32"/>
      <c r="Q1746" s="10" t="str">
        <f>+CONCATENATE(E1746,G1746)</f>
        <v>차열재마감2000*400</v>
      </c>
      <c r="R1746" s="10">
        <f>+H1746</f>
        <v>1</v>
      </c>
      <c r="S1746" s="11"/>
      <c r="T1746" s="10" t="str">
        <f>+E1746</f>
        <v>차열재마감</v>
      </c>
      <c r="U1746" s="19" t="str">
        <f t="shared" ref="U1746" si="950">IFERROR(LEFT(G1746,FIND("*",G1746)-1),"-")</f>
        <v>2000</v>
      </c>
      <c r="V1746" s="19" t="str">
        <f t="shared" ref="V1746" si="951">IFERROR(RIGHT(G1746,LEN(G1746)-FIND("*",G1746)),"-")</f>
        <v>400</v>
      </c>
      <c r="W1746" s="20">
        <f t="shared" si="949"/>
        <v>4.8</v>
      </c>
      <c r="X1746" s="20">
        <f>IFERROR(W1746*H1746,"-")</f>
        <v>4.8</v>
      </c>
      <c r="Z1746" s="85">
        <v>45187</v>
      </c>
    </row>
    <row r="1747" spans="1:26" ht="6.95" customHeight="1" x14ac:dyDescent="0.3">
      <c r="A1747" s="5"/>
      <c r="B1747" s="157"/>
      <c r="C1747" s="158"/>
      <c r="D1747" s="161"/>
      <c r="E1747" s="162"/>
      <c r="F1747" s="163"/>
      <c r="G1747" s="164"/>
      <c r="H1747" s="165"/>
      <c r="I1747" s="164"/>
      <c r="J1747" s="165"/>
      <c r="K1747" s="164"/>
      <c r="L1747" s="165"/>
      <c r="M1747" s="6"/>
      <c r="N1747" s="32"/>
      <c r="Q1747" s="10" t="str">
        <f>+CONCATENATE(E1746,I1746)</f>
        <v>차열재마감</v>
      </c>
      <c r="R1747" s="10">
        <f>+J1746</f>
        <v>0</v>
      </c>
      <c r="S1747" s="11"/>
      <c r="T1747" s="10" t="str">
        <f>+E1746</f>
        <v>차열재마감</v>
      </c>
      <c r="U1747" s="19" t="str">
        <f>IFERROR(LEFT(I1746,FIND("*",I1746)-1),"-")</f>
        <v>-</v>
      </c>
      <c r="V1747" s="19" t="str">
        <f>IFERROR(RIGHT(I1746,LEN(I1746)-FIND("*",I1746)),"-")</f>
        <v>-</v>
      </c>
      <c r="W1747" s="20" t="str">
        <f t="shared" si="949"/>
        <v>-</v>
      </c>
      <c r="X1747" s="20" t="str">
        <f>IFERROR(W1747*J1746,"-")</f>
        <v>-</v>
      </c>
      <c r="Z1747" s="85">
        <v>45187</v>
      </c>
    </row>
    <row r="1748" spans="1:26" ht="6.95" customHeight="1" x14ac:dyDescent="0.3">
      <c r="A1748" s="5"/>
      <c r="B1748" s="157"/>
      <c r="C1748" s="158"/>
      <c r="D1748" s="161"/>
      <c r="E1748" s="162"/>
      <c r="F1748" s="163"/>
      <c r="G1748" s="164"/>
      <c r="H1748" s="165"/>
      <c r="I1748" s="164"/>
      <c r="J1748" s="165"/>
      <c r="K1748" s="164"/>
      <c r="L1748" s="165"/>
      <c r="M1748" s="6"/>
      <c r="N1748" s="32"/>
      <c r="Q1748" s="10" t="str">
        <f>+CONCATENATE(E1746,K1746)</f>
        <v>차열재마감</v>
      </c>
      <c r="R1748" s="10">
        <f>+L1746</f>
        <v>0</v>
      </c>
      <c r="S1748" s="11"/>
      <c r="T1748" s="10" t="str">
        <f>+E1746</f>
        <v>차열재마감</v>
      </c>
      <c r="U1748" s="19" t="str">
        <f>IFERROR(LEFT(K1746,FIND("*",K1746)-1),"-")</f>
        <v>-</v>
      </c>
      <c r="V1748" s="19" t="str">
        <f>IFERROR(RIGHT(K1746,LEN(K1746)-FIND("*",K1746)),"-")</f>
        <v>-</v>
      </c>
      <c r="W1748" s="20" t="str">
        <f t="shared" si="949"/>
        <v>-</v>
      </c>
      <c r="X1748" s="20" t="str">
        <f>IFERROR(W1748*L1746,"-")</f>
        <v>-</v>
      </c>
      <c r="Z1748" s="85">
        <v>45187</v>
      </c>
    </row>
    <row r="1749" spans="1:26" ht="6.95" customHeight="1" x14ac:dyDescent="0.3">
      <c r="A1749" s="8"/>
      <c r="B1749" s="157"/>
      <c r="C1749" s="158"/>
      <c r="D1749" s="161" t="s">
        <v>39</v>
      </c>
      <c r="E1749" s="162"/>
      <c r="F1749" s="163" t="s">
        <v>40</v>
      </c>
      <c r="G1749" s="164"/>
      <c r="H1749" s="165"/>
      <c r="I1749" s="164"/>
      <c r="J1749" s="165"/>
      <c r="K1749" s="164"/>
      <c r="L1749" s="165"/>
      <c r="M1749" s="6"/>
      <c r="N1749" s="32"/>
      <c r="Q1749" s="10" t="str">
        <f>+CONCATENATE(E1749,G1749)</f>
        <v/>
      </c>
      <c r="R1749" s="10">
        <f>+H1749</f>
        <v>0</v>
      </c>
      <c r="S1749" s="11"/>
      <c r="T1749" s="10">
        <f>+E1749</f>
        <v>0</v>
      </c>
      <c r="U1749" s="19" t="str">
        <f t="shared" ref="U1749" si="952">IFERROR(LEFT(G1749,FIND("*",G1749)-1),"-")</f>
        <v>-</v>
      </c>
      <c r="V1749" s="19" t="str">
        <f t="shared" ref="V1749" si="953">IFERROR(RIGHT(G1749,LEN(G1749)-FIND("*",G1749)),"-")</f>
        <v>-</v>
      </c>
      <c r="W1749" s="20" t="str">
        <f t="shared" si="949"/>
        <v>-</v>
      </c>
      <c r="X1749" s="20" t="str">
        <f>IFERROR(W1749*H1749,"-")</f>
        <v>-</v>
      </c>
      <c r="Z1749" s="85">
        <v>45187</v>
      </c>
    </row>
    <row r="1750" spans="1:26" ht="6.95" customHeight="1" x14ac:dyDescent="0.3">
      <c r="A1750" s="5"/>
      <c r="B1750" s="157"/>
      <c r="C1750" s="158"/>
      <c r="D1750" s="161"/>
      <c r="E1750" s="162"/>
      <c r="F1750" s="163"/>
      <c r="G1750" s="164"/>
      <c r="H1750" s="165"/>
      <c r="I1750" s="164"/>
      <c r="J1750" s="165"/>
      <c r="K1750" s="164"/>
      <c r="L1750" s="165"/>
      <c r="M1750" s="6"/>
      <c r="N1750" s="32"/>
      <c r="Q1750" s="10" t="str">
        <f>+CONCATENATE(E1749,I1749)</f>
        <v/>
      </c>
      <c r="R1750" s="10">
        <f>+J1749</f>
        <v>0</v>
      </c>
      <c r="S1750" s="11"/>
      <c r="T1750" s="10">
        <f>+E1749</f>
        <v>0</v>
      </c>
      <c r="U1750" s="19" t="str">
        <f>IFERROR(LEFT(I1749,FIND("*",I1749)-1),"-")</f>
        <v>-</v>
      </c>
      <c r="V1750" s="19" t="str">
        <f>IFERROR(RIGHT(I1749,LEN(I1749)-FIND("*",I1749)),"-")</f>
        <v>-</v>
      </c>
      <c r="W1750" s="20" t="str">
        <f t="shared" si="949"/>
        <v>-</v>
      </c>
      <c r="X1750" s="20" t="str">
        <f t="shared" ref="X1750" si="954">IFERROR(W1750*J1749,"-")</f>
        <v>-</v>
      </c>
      <c r="Z1750" s="85">
        <v>45187</v>
      </c>
    </row>
    <row r="1751" spans="1:26" ht="6.95" customHeight="1" x14ac:dyDescent="0.3">
      <c r="A1751" s="5"/>
      <c r="B1751" s="157"/>
      <c r="C1751" s="158"/>
      <c r="D1751" s="161"/>
      <c r="E1751" s="162"/>
      <c r="F1751" s="163"/>
      <c r="G1751" s="164"/>
      <c r="H1751" s="165"/>
      <c r="I1751" s="164"/>
      <c r="J1751" s="165"/>
      <c r="K1751" s="164"/>
      <c r="L1751" s="165"/>
      <c r="M1751" s="6"/>
      <c r="N1751" s="32"/>
      <c r="Q1751" s="10" t="str">
        <f>+CONCATENATE(E1749,K1749)</f>
        <v/>
      </c>
      <c r="R1751" s="10">
        <f>+L1749</f>
        <v>0</v>
      </c>
      <c r="S1751" s="11"/>
      <c r="T1751" s="10">
        <f>+E1749</f>
        <v>0</v>
      </c>
      <c r="U1751" s="19" t="str">
        <f>IFERROR(LEFT(K1749,FIND("*",K1749)-1),"-")</f>
        <v>-</v>
      </c>
      <c r="V1751" s="19" t="str">
        <f>IFERROR(RIGHT(K1749,LEN(K1749)-FIND("*",K1749)),"-")</f>
        <v>-</v>
      </c>
      <c r="W1751" s="20" t="str">
        <f t="shared" si="949"/>
        <v>-</v>
      </c>
      <c r="X1751" s="20" t="str">
        <f>IFERROR(W1751*L1749,"-")</f>
        <v>-</v>
      </c>
      <c r="Z1751" s="85">
        <v>45187</v>
      </c>
    </row>
    <row r="1752" spans="1:26" ht="21" customHeight="1" thickBot="1" x14ac:dyDescent="0.35">
      <c r="A1752" s="5"/>
      <c r="B1752" s="159"/>
      <c r="C1752" s="160"/>
      <c r="D1752" s="166" t="s">
        <v>43</v>
      </c>
      <c r="E1752" s="167"/>
      <c r="F1752" s="167"/>
      <c r="G1752" s="168" t="s">
        <v>288</v>
      </c>
      <c r="H1752" s="168"/>
      <c r="I1752" s="168"/>
      <c r="J1752" s="168"/>
      <c r="K1752" s="168"/>
      <c r="L1752" s="168"/>
      <c r="M1752" s="7"/>
      <c r="N1752" s="32"/>
      <c r="Z1752" s="85">
        <v>45187</v>
      </c>
    </row>
    <row r="1753" spans="1:26" ht="9.9499999999999993" customHeight="1" x14ac:dyDescent="0.3">
      <c r="B1753" s="9"/>
      <c r="C1753" s="109">
        <v>959</v>
      </c>
      <c r="D1753" s="51"/>
      <c r="E1753" s="12"/>
      <c r="F1753" s="51"/>
      <c r="G1753" s="14"/>
      <c r="H1753" s="14"/>
      <c r="I1753" s="14"/>
      <c r="J1753" s="14"/>
      <c r="K1753" s="14"/>
      <c r="L1753" s="14"/>
      <c r="M1753" s="9"/>
      <c r="N1753" s="32"/>
      <c r="U1753" s="18"/>
      <c r="V1753" s="18"/>
      <c r="Z1753" s="85">
        <v>45187</v>
      </c>
    </row>
    <row r="1754" spans="1:26" ht="9.9499999999999993" customHeight="1" x14ac:dyDescent="0.3">
      <c r="B1754" s="9"/>
      <c r="C1754" s="109">
        <v>959</v>
      </c>
      <c r="D1754" s="51"/>
      <c r="E1754" s="12"/>
      <c r="F1754" s="51"/>
      <c r="G1754" s="14"/>
      <c r="H1754" s="14"/>
      <c r="I1754" s="14"/>
      <c r="J1754" s="14"/>
      <c r="K1754" s="14"/>
      <c r="L1754" s="14"/>
      <c r="M1754" s="9"/>
      <c r="N1754" s="32"/>
      <c r="U1754" s="18"/>
      <c r="V1754" s="18"/>
      <c r="Z1754" s="85">
        <v>45187</v>
      </c>
    </row>
    <row r="1755" spans="1:26" ht="9.9499999999999993" customHeight="1" x14ac:dyDescent="0.3">
      <c r="B1755" s="9"/>
      <c r="C1755" s="109">
        <v>959</v>
      </c>
      <c r="D1755" s="51"/>
      <c r="E1755" s="12"/>
      <c r="F1755" s="51"/>
      <c r="G1755" s="14"/>
      <c r="H1755" s="14"/>
      <c r="I1755" s="14"/>
      <c r="J1755" s="14"/>
      <c r="K1755" s="14"/>
      <c r="L1755" s="14"/>
      <c r="M1755" s="9"/>
      <c r="N1755" s="32"/>
      <c r="U1755" s="18"/>
      <c r="V1755" s="18"/>
      <c r="Z1755" s="85">
        <v>45187</v>
      </c>
    </row>
    <row r="1756" spans="1:26" ht="9.9499999999999993" customHeight="1" x14ac:dyDescent="0.3">
      <c r="B1756" s="9"/>
      <c r="C1756" s="109">
        <v>959</v>
      </c>
      <c r="D1756" s="51"/>
      <c r="E1756" s="12"/>
      <c r="F1756" s="51"/>
      <c r="G1756" s="14"/>
      <c r="H1756" s="14"/>
      <c r="I1756" s="14"/>
      <c r="J1756" s="14"/>
      <c r="K1756" s="14"/>
      <c r="L1756" s="14"/>
      <c r="M1756" s="9"/>
      <c r="N1756" s="32"/>
      <c r="U1756" s="18"/>
      <c r="V1756" s="18"/>
      <c r="Z1756" s="85">
        <v>45187</v>
      </c>
    </row>
    <row r="1757" spans="1:26" ht="9.9499999999999993" customHeight="1" x14ac:dyDescent="0.3">
      <c r="B1757" s="9"/>
      <c r="C1757" s="109">
        <v>959</v>
      </c>
      <c r="D1757" s="51"/>
      <c r="E1757" s="12"/>
      <c r="F1757" s="51"/>
      <c r="G1757" s="14"/>
      <c r="H1757" s="14"/>
      <c r="I1757" s="14"/>
      <c r="J1757" s="14"/>
      <c r="K1757" s="14"/>
      <c r="L1757" s="14"/>
      <c r="M1757" s="9"/>
      <c r="N1757" s="32"/>
      <c r="U1757" s="18"/>
      <c r="V1757" s="18"/>
      <c r="Z1757" s="85">
        <v>45187</v>
      </c>
    </row>
    <row r="1758" spans="1:26" ht="9.9499999999999993" customHeight="1" x14ac:dyDescent="0.3">
      <c r="B1758" s="9"/>
      <c r="C1758" s="109">
        <v>959</v>
      </c>
      <c r="D1758" s="51"/>
      <c r="E1758" s="12"/>
      <c r="F1758" s="51"/>
      <c r="G1758" s="14"/>
      <c r="H1758" s="14"/>
      <c r="I1758" s="14"/>
      <c r="J1758" s="14"/>
      <c r="K1758" s="14"/>
      <c r="L1758" s="14"/>
      <c r="M1758" s="9"/>
      <c r="N1758" s="32"/>
      <c r="U1758" s="18"/>
      <c r="V1758" s="18"/>
      <c r="Z1758" s="85">
        <v>45187</v>
      </c>
    </row>
    <row r="1759" spans="1:26" ht="9.9499999999999993" customHeight="1" x14ac:dyDescent="0.3">
      <c r="B1759" s="9"/>
      <c r="C1759" s="109">
        <v>959</v>
      </c>
      <c r="D1759" s="51"/>
      <c r="E1759" s="12"/>
      <c r="F1759" s="51"/>
      <c r="G1759" s="14"/>
      <c r="H1759" s="14"/>
      <c r="I1759" s="14"/>
      <c r="J1759" s="14"/>
      <c r="K1759" s="14"/>
      <c r="L1759" s="14"/>
      <c r="M1759" s="9"/>
      <c r="N1759" s="32"/>
      <c r="U1759" s="18"/>
      <c r="V1759" s="18"/>
      <c r="Z1759" s="85">
        <v>45187</v>
      </c>
    </row>
    <row r="1760" spans="1:26" ht="9.9499999999999993" customHeight="1" thickBot="1" x14ac:dyDescent="0.35">
      <c r="B1760" s="9"/>
      <c r="C1760" s="109">
        <v>959</v>
      </c>
      <c r="D1760" s="51"/>
      <c r="E1760" s="12"/>
      <c r="F1760" s="51"/>
      <c r="G1760" s="14"/>
      <c r="H1760" s="14"/>
      <c r="I1760" s="14"/>
      <c r="J1760" s="14"/>
      <c r="K1760" s="14"/>
      <c r="L1760" s="14"/>
      <c r="M1760" s="9"/>
      <c r="N1760" s="32"/>
      <c r="U1760" s="18"/>
      <c r="V1760" s="18"/>
      <c r="Z1760" s="85">
        <v>45187</v>
      </c>
    </row>
    <row r="1761" spans="1:26" ht="6.95" customHeight="1" x14ac:dyDescent="0.3">
      <c r="A1761" s="154">
        <f>+A1743+1</f>
        <v>960</v>
      </c>
      <c r="B1761" s="155"/>
      <c r="C1761" s="156"/>
      <c r="D1761" s="161" t="s">
        <v>39</v>
      </c>
      <c r="E1761" s="162" t="s">
        <v>115</v>
      </c>
      <c r="F1761" s="163" t="s">
        <v>40</v>
      </c>
      <c r="G1761" s="164" t="s">
        <v>292</v>
      </c>
      <c r="H1761" s="165">
        <v>1</v>
      </c>
      <c r="I1761" s="164"/>
      <c r="J1761" s="165"/>
      <c r="K1761" s="164"/>
      <c r="L1761" s="165"/>
      <c r="M1761" s="6"/>
      <c r="N1761" s="32"/>
      <c r="Q1761" s="10" t="str">
        <f>+CONCATENATE(E1761,G1761)</f>
        <v>무보온덕트벽체2000*400</v>
      </c>
      <c r="R1761" s="10">
        <f>+H1761</f>
        <v>1</v>
      </c>
      <c r="S1761" s="11"/>
      <c r="T1761" s="10" t="str">
        <f>+E1761</f>
        <v>무보온덕트벽체</v>
      </c>
      <c r="U1761" s="19" t="str">
        <f>IFERROR(LEFT(G1761,FIND("*",G1761)-1),"-")</f>
        <v>2000</v>
      </c>
      <c r="V1761" s="19" t="str">
        <f>IFERROR(RIGHT(G1761,LEN(G1761)-FIND("*",G1761)),"-")</f>
        <v>400</v>
      </c>
      <c r="W1761" s="20">
        <f>IFERROR((U1761+V1761)*2/1000,"-")</f>
        <v>4.8</v>
      </c>
      <c r="X1761" s="20">
        <f>IFERROR(W1761*H1761,"-")</f>
        <v>4.8</v>
      </c>
      <c r="Z1761" s="85">
        <v>45187</v>
      </c>
    </row>
    <row r="1762" spans="1:26" ht="6.95" customHeight="1" x14ac:dyDescent="0.3">
      <c r="A1762" s="154"/>
      <c r="B1762" s="157"/>
      <c r="C1762" s="158"/>
      <c r="D1762" s="161"/>
      <c r="E1762" s="162"/>
      <c r="F1762" s="163"/>
      <c r="G1762" s="164"/>
      <c r="H1762" s="165"/>
      <c r="I1762" s="164"/>
      <c r="J1762" s="165"/>
      <c r="K1762" s="164"/>
      <c r="L1762" s="165"/>
      <c r="M1762" s="6"/>
      <c r="N1762" s="32"/>
      <c r="Q1762" s="10" t="str">
        <f>+CONCATENATE(E1761,I1761)</f>
        <v>무보온덕트벽체</v>
      </c>
      <c r="R1762" s="10">
        <f>+J1761</f>
        <v>0</v>
      </c>
      <c r="S1762" s="11"/>
      <c r="T1762" s="10" t="str">
        <f>+E1761</f>
        <v>무보온덕트벽체</v>
      </c>
      <c r="U1762" s="19" t="str">
        <f>IFERROR(LEFT(I1761,FIND("*",I1761)-1),"-")</f>
        <v>-</v>
      </c>
      <c r="V1762" s="19" t="str">
        <f>IFERROR(RIGHT(I1761,LEN(I1761)-FIND("*",I1761)),"-")</f>
        <v>-</v>
      </c>
      <c r="W1762" s="20" t="str">
        <f t="shared" ref="W1762:W1769" si="955">IFERROR((U1762+V1762)*2/1000,"-")</f>
        <v>-</v>
      </c>
      <c r="X1762" s="20" t="str">
        <f>IFERROR(W1762*J1761,"-")</f>
        <v>-</v>
      </c>
      <c r="Z1762" s="85">
        <v>45187</v>
      </c>
    </row>
    <row r="1763" spans="1:26" ht="6.95" customHeight="1" x14ac:dyDescent="0.3">
      <c r="A1763" s="154"/>
      <c r="B1763" s="157"/>
      <c r="C1763" s="158"/>
      <c r="D1763" s="161"/>
      <c r="E1763" s="162"/>
      <c r="F1763" s="163"/>
      <c r="G1763" s="164"/>
      <c r="H1763" s="165"/>
      <c r="I1763" s="164"/>
      <c r="J1763" s="165"/>
      <c r="K1763" s="164"/>
      <c r="L1763" s="165"/>
      <c r="M1763" s="6"/>
      <c r="N1763" s="32"/>
      <c r="Q1763" s="10" t="str">
        <f>+CONCATENATE(E1761,K1761)</f>
        <v>무보온덕트벽체</v>
      </c>
      <c r="R1763" s="10">
        <f>+L1761</f>
        <v>0</v>
      </c>
      <c r="S1763" s="11"/>
      <c r="T1763" s="10" t="str">
        <f>+E1761</f>
        <v>무보온덕트벽체</v>
      </c>
      <c r="U1763" s="19" t="str">
        <f>IFERROR(LEFT(K1761,FIND("*",K1761)-1),"-")</f>
        <v>-</v>
      </c>
      <c r="V1763" s="19" t="str">
        <f>IFERROR(RIGHT(K1761,LEN(K1761)-FIND("*",K1761)),"-")</f>
        <v>-</v>
      </c>
      <c r="W1763" s="20" t="str">
        <f t="shared" si="955"/>
        <v>-</v>
      </c>
      <c r="X1763" s="20" t="str">
        <f>IFERROR(W1763*L1761,"-")</f>
        <v>-</v>
      </c>
      <c r="Z1763" s="85">
        <v>45187</v>
      </c>
    </row>
    <row r="1764" spans="1:26" ht="6.95" customHeight="1" x14ac:dyDescent="0.3">
      <c r="A1764" s="8"/>
      <c r="B1764" s="157"/>
      <c r="C1764" s="158"/>
      <c r="D1764" s="161" t="s">
        <v>39</v>
      </c>
      <c r="E1764" s="162" t="s">
        <v>188</v>
      </c>
      <c r="F1764" s="163" t="s">
        <v>40</v>
      </c>
      <c r="G1764" s="164" t="s">
        <v>292</v>
      </c>
      <c r="H1764" s="165">
        <v>1</v>
      </c>
      <c r="I1764" s="164"/>
      <c r="J1764" s="165"/>
      <c r="K1764" s="164"/>
      <c r="L1764" s="165"/>
      <c r="M1764" s="6"/>
      <c r="N1764" s="32"/>
      <c r="Q1764" s="10" t="str">
        <f>+CONCATENATE(E1764,G1764)</f>
        <v>차열재마감2000*400</v>
      </c>
      <c r="R1764" s="10">
        <f>+H1764</f>
        <v>1</v>
      </c>
      <c r="S1764" s="11"/>
      <c r="T1764" s="10" t="str">
        <f>+E1764</f>
        <v>차열재마감</v>
      </c>
      <c r="U1764" s="19" t="str">
        <f t="shared" ref="U1764" si="956">IFERROR(LEFT(G1764,FIND("*",G1764)-1),"-")</f>
        <v>2000</v>
      </c>
      <c r="V1764" s="19" t="str">
        <f t="shared" ref="V1764" si="957">IFERROR(RIGHT(G1764,LEN(G1764)-FIND("*",G1764)),"-")</f>
        <v>400</v>
      </c>
      <c r="W1764" s="20">
        <f t="shared" si="955"/>
        <v>4.8</v>
      </c>
      <c r="X1764" s="20">
        <f>IFERROR(W1764*H1764,"-")</f>
        <v>4.8</v>
      </c>
      <c r="Z1764" s="85">
        <v>45187</v>
      </c>
    </row>
    <row r="1765" spans="1:26" ht="6.95" customHeight="1" x14ac:dyDescent="0.3">
      <c r="A1765" s="5"/>
      <c r="B1765" s="157"/>
      <c r="C1765" s="158"/>
      <c r="D1765" s="161"/>
      <c r="E1765" s="162"/>
      <c r="F1765" s="163"/>
      <c r="G1765" s="164"/>
      <c r="H1765" s="165"/>
      <c r="I1765" s="164"/>
      <c r="J1765" s="165"/>
      <c r="K1765" s="164"/>
      <c r="L1765" s="165"/>
      <c r="M1765" s="6"/>
      <c r="N1765" s="32"/>
      <c r="Q1765" s="10" t="str">
        <f>+CONCATENATE(E1764,I1764)</f>
        <v>차열재마감</v>
      </c>
      <c r="R1765" s="10">
        <f>+J1764</f>
        <v>0</v>
      </c>
      <c r="S1765" s="11"/>
      <c r="T1765" s="10" t="str">
        <f>+E1764</f>
        <v>차열재마감</v>
      </c>
      <c r="U1765" s="19" t="str">
        <f>IFERROR(LEFT(I1764,FIND("*",I1764)-1),"-")</f>
        <v>-</v>
      </c>
      <c r="V1765" s="19" t="str">
        <f>IFERROR(RIGHT(I1764,LEN(I1764)-FIND("*",I1764)),"-")</f>
        <v>-</v>
      </c>
      <c r="W1765" s="20" t="str">
        <f t="shared" si="955"/>
        <v>-</v>
      </c>
      <c r="X1765" s="20" t="str">
        <f>IFERROR(W1765*J1764,"-")</f>
        <v>-</v>
      </c>
      <c r="Z1765" s="85">
        <v>45187</v>
      </c>
    </row>
    <row r="1766" spans="1:26" ht="6.95" customHeight="1" x14ac:dyDescent="0.3">
      <c r="A1766" s="5"/>
      <c r="B1766" s="157"/>
      <c r="C1766" s="158"/>
      <c r="D1766" s="161"/>
      <c r="E1766" s="162"/>
      <c r="F1766" s="163"/>
      <c r="G1766" s="164"/>
      <c r="H1766" s="165"/>
      <c r="I1766" s="164"/>
      <c r="J1766" s="165"/>
      <c r="K1766" s="164"/>
      <c r="L1766" s="165"/>
      <c r="M1766" s="6"/>
      <c r="N1766" s="32"/>
      <c r="Q1766" s="10" t="str">
        <f>+CONCATENATE(E1764,K1764)</f>
        <v>차열재마감</v>
      </c>
      <c r="R1766" s="10">
        <f>+L1764</f>
        <v>0</v>
      </c>
      <c r="S1766" s="11"/>
      <c r="T1766" s="10" t="str">
        <f>+E1764</f>
        <v>차열재마감</v>
      </c>
      <c r="U1766" s="19" t="str">
        <f>IFERROR(LEFT(K1764,FIND("*",K1764)-1),"-")</f>
        <v>-</v>
      </c>
      <c r="V1766" s="19" t="str">
        <f>IFERROR(RIGHT(K1764,LEN(K1764)-FIND("*",K1764)),"-")</f>
        <v>-</v>
      </c>
      <c r="W1766" s="20" t="str">
        <f t="shared" si="955"/>
        <v>-</v>
      </c>
      <c r="X1766" s="20" t="str">
        <f>IFERROR(W1766*L1764,"-")</f>
        <v>-</v>
      </c>
      <c r="Z1766" s="85">
        <v>45187</v>
      </c>
    </row>
    <row r="1767" spans="1:26" ht="6.95" customHeight="1" x14ac:dyDescent="0.3">
      <c r="A1767" s="8"/>
      <c r="B1767" s="157"/>
      <c r="C1767" s="158"/>
      <c r="D1767" s="161" t="s">
        <v>39</v>
      </c>
      <c r="E1767" s="162"/>
      <c r="F1767" s="163" t="s">
        <v>40</v>
      </c>
      <c r="G1767" s="164"/>
      <c r="H1767" s="165"/>
      <c r="I1767" s="164"/>
      <c r="J1767" s="165"/>
      <c r="K1767" s="164"/>
      <c r="L1767" s="165"/>
      <c r="M1767" s="6"/>
      <c r="N1767" s="32"/>
      <c r="Q1767" s="10" t="str">
        <f>+CONCATENATE(E1767,G1767)</f>
        <v/>
      </c>
      <c r="R1767" s="10">
        <f>+H1767</f>
        <v>0</v>
      </c>
      <c r="S1767" s="11"/>
      <c r="T1767" s="10">
        <f>+E1767</f>
        <v>0</v>
      </c>
      <c r="U1767" s="19" t="str">
        <f t="shared" ref="U1767" si="958">IFERROR(LEFT(G1767,FIND("*",G1767)-1),"-")</f>
        <v>-</v>
      </c>
      <c r="V1767" s="19" t="str">
        <f t="shared" ref="V1767" si="959">IFERROR(RIGHT(G1767,LEN(G1767)-FIND("*",G1767)),"-")</f>
        <v>-</v>
      </c>
      <c r="W1767" s="20" t="str">
        <f t="shared" si="955"/>
        <v>-</v>
      </c>
      <c r="X1767" s="20" t="str">
        <f>IFERROR(W1767*H1767,"-")</f>
        <v>-</v>
      </c>
      <c r="Z1767" s="85">
        <v>45187</v>
      </c>
    </row>
    <row r="1768" spans="1:26" ht="6.95" customHeight="1" x14ac:dyDescent="0.3">
      <c r="A1768" s="5"/>
      <c r="B1768" s="157"/>
      <c r="C1768" s="158"/>
      <c r="D1768" s="161"/>
      <c r="E1768" s="162"/>
      <c r="F1768" s="163"/>
      <c r="G1768" s="164"/>
      <c r="H1768" s="165"/>
      <c r="I1768" s="164"/>
      <c r="J1768" s="165"/>
      <c r="K1768" s="164"/>
      <c r="L1768" s="165"/>
      <c r="M1768" s="6"/>
      <c r="N1768" s="32"/>
      <c r="Q1768" s="10" t="str">
        <f>+CONCATENATE(E1767,I1767)</f>
        <v/>
      </c>
      <c r="R1768" s="10">
        <f>+J1767</f>
        <v>0</v>
      </c>
      <c r="S1768" s="11"/>
      <c r="T1768" s="10">
        <f>+E1767</f>
        <v>0</v>
      </c>
      <c r="U1768" s="19" t="str">
        <f>IFERROR(LEFT(I1767,FIND("*",I1767)-1),"-")</f>
        <v>-</v>
      </c>
      <c r="V1768" s="19" t="str">
        <f>IFERROR(RIGHT(I1767,LEN(I1767)-FIND("*",I1767)),"-")</f>
        <v>-</v>
      </c>
      <c r="W1768" s="20" t="str">
        <f t="shared" si="955"/>
        <v>-</v>
      </c>
      <c r="X1768" s="20" t="str">
        <f t="shared" ref="X1768" si="960">IFERROR(W1768*J1767,"-")</f>
        <v>-</v>
      </c>
      <c r="Z1768" s="85">
        <v>45187</v>
      </c>
    </row>
    <row r="1769" spans="1:26" ht="6.95" customHeight="1" x14ac:dyDescent="0.3">
      <c r="A1769" s="5"/>
      <c r="B1769" s="157"/>
      <c r="C1769" s="158"/>
      <c r="D1769" s="161"/>
      <c r="E1769" s="162"/>
      <c r="F1769" s="163"/>
      <c r="G1769" s="164"/>
      <c r="H1769" s="165"/>
      <c r="I1769" s="164"/>
      <c r="J1769" s="165"/>
      <c r="K1769" s="164"/>
      <c r="L1769" s="165"/>
      <c r="M1769" s="6"/>
      <c r="N1769" s="32"/>
      <c r="Q1769" s="10" t="str">
        <f>+CONCATENATE(E1767,K1767)</f>
        <v/>
      </c>
      <c r="R1769" s="10">
        <f>+L1767</f>
        <v>0</v>
      </c>
      <c r="S1769" s="11"/>
      <c r="T1769" s="10">
        <f>+E1767</f>
        <v>0</v>
      </c>
      <c r="U1769" s="19" t="str">
        <f>IFERROR(LEFT(K1767,FIND("*",K1767)-1),"-")</f>
        <v>-</v>
      </c>
      <c r="V1769" s="19" t="str">
        <f>IFERROR(RIGHT(K1767,LEN(K1767)-FIND("*",K1767)),"-")</f>
        <v>-</v>
      </c>
      <c r="W1769" s="20" t="str">
        <f t="shared" si="955"/>
        <v>-</v>
      </c>
      <c r="X1769" s="20" t="str">
        <f>IFERROR(W1769*L1767,"-")</f>
        <v>-</v>
      </c>
      <c r="Z1769" s="85">
        <v>45187</v>
      </c>
    </row>
    <row r="1770" spans="1:26" ht="21" customHeight="1" thickBot="1" x14ac:dyDescent="0.35">
      <c r="A1770" s="5"/>
      <c r="B1770" s="159"/>
      <c r="C1770" s="160"/>
      <c r="D1770" s="166" t="s">
        <v>43</v>
      </c>
      <c r="E1770" s="167"/>
      <c r="F1770" s="167"/>
      <c r="G1770" s="168" t="s">
        <v>288</v>
      </c>
      <c r="H1770" s="168"/>
      <c r="I1770" s="168"/>
      <c r="J1770" s="168"/>
      <c r="K1770" s="168"/>
      <c r="L1770" s="168"/>
      <c r="M1770" s="7"/>
      <c r="N1770" s="33">
        <v>45187</v>
      </c>
      <c r="Z1770" s="85">
        <v>45187</v>
      </c>
    </row>
    <row r="1771" spans="1:26" ht="9.9499999999999993" customHeight="1" thickBot="1" x14ac:dyDescent="0.35">
      <c r="B1771" s="9"/>
      <c r="C1771" s="109">
        <v>960</v>
      </c>
      <c r="D1771" s="51"/>
      <c r="E1771" s="12"/>
      <c r="F1771" s="51"/>
      <c r="G1771" s="14"/>
      <c r="H1771" s="14"/>
      <c r="I1771" s="14"/>
      <c r="J1771" s="14"/>
      <c r="K1771" s="14"/>
      <c r="L1771" s="14"/>
      <c r="M1771" s="9"/>
      <c r="N1771" s="32"/>
      <c r="U1771" s="18"/>
      <c r="V1771" s="18"/>
      <c r="Z1771" s="85">
        <v>45188</v>
      </c>
    </row>
    <row r="1772" spans="1:26" ht="6.95" customHeight="1" x14ac:dyDescent="0.3">
      <c r="A1772" s="154">
        <f>+A1761+1</f>
        <v>961</v>
      </c>
      <c r="B1772" s="155"/>
      <c r="C1772" s="156"/>
      <c r="D1772" s="161" t="s">
        <v>39</v>
      </c>
      <c r="E1772" s="162" t="s">
        <v>293</v>
      </c>
      <c r="F1772" s="163" t="s">
        <v>40</v>
      </c>
      <c r="G1772" s="164">
        <v>150</v>
      </c>
      <c r="H1772" s="165">
        <v>2</v>
      </c>
      <c r="I1772" s="164"/>
      <c r="J1772" s="165"/>
      <c r="K1772" s="164"/>
      <c r="L1772" s="165"/>
      <c r="M1772" s="6"/>
      <c r="N1772" s="32"/>
      <c r="Q1772" s="10" t="str">
        <f>+CONCATENATE(E1772,G1772)</f>
        <v>금속관입상150</v>
      </c>
      <c r="R1772" s="10">
        <f>+H1772</f>
        <v>2</v>
      </c>
      <c r="S1772" s="11"/>
      <c r="T1772" s="10" t="str">
        <f>+E1772</f>
        <v>금속관입상</v>
      </c>
      <c r="U1772" s="19" t="str">
        <f>IFERROR(LEFT(G1772,FIND("*",G1772)-1),"-")</f>
        <v>-</v>
      </c>
      <c r="V1772" s="19" t="str">
        <f>IFERROR(RIGHT(G1772,LEN(G1772)-FIND("*",G1772)),"-")</f>
        <v>-</v>
      </c>
      <c r="W1772" s="20" t="str">
        <f>IFERROR((U1772+V1772)*2/1000,"-")</f>
        <v>-</v>
      </c>
      <c r="X1772" s="20" t="str">
        <f>IFERROR(W1772*H1772,"-")</f>
        <v>-</v>
      </c>
      <c r="Z1772" s="85">
        <v>45188</v>
      </c>
    </row>
    <row r="1773" spans="1:26" ht="6.95" customHeight="1" x14ac:dyDescent="0.3">
      <c r="A1773" s="154"/>
      <c r="B1773" s="157"/>
      <c r="C1773" s="158"/>
      <c r="D1773" s="161"/>
      <c r="E1773" s="162"/>
      <c r="F1773" s="163"/>
      <c r="G1773" s="164"/>
      <c r="H1773" s="165"/>
      <c r="I1773" s="164"/>
      <c r="J1773" s="165"/>
      <c r="K1773" s="164"/>
      <c r="L1773" s="165"/>
      <c r="M1773" s="6"/>
      <c r="N1773" s="32"/>
      <c r="Q1773" s="10" t="str">
        <f>+CONCATENATE(E1772,I1772)</f>
        <v>금속관입상</v>
      </c>
      <c r="R1773" s="10">
        <f>+J1772</f>
        <v>0</v>
      </c>
      <c r="S1773" s="11"/>
      <c r="T1773" s="10" t="str">
        <f>+E1772</f>
        <v>금속관입상</v>
      </c>
      <c r="U1773" s="19" t="str">
        <f>IFERROR(LEFT(I1772,FIND("*",I1772)-1),"-")</f>
        <v>-</v>
      </c>
      <c r="V1773" s="19" t="str">
        <f>IFERROR(RIGHT(I1772,LEN(I1772)-FIND("*",I1772)),"-")</f>
        <v>-</v>
      </c>
      <c r="W1773" s="20" t="str">
        <f t="shared" ref="W1773:W1780" si="961">IFERROR((U1773+V1773)*2/1000,"-")</f>
        <v>-</v>
      </c>
      <c r="X1773" s="20" t="str">
        <f>IFERROR(W1773*J1772,"-")</f>
        <v>-</v>
      </c>
      <c r="Z1773" s="85">
        <v>45188</v>
      </c>
    </row>
    <row r="1774" spans="1:26" ht="6.95" customHeight="1" x14ac:dyDescent="0.3">
      <c r="A1774" s="154"/>
      <c r="B1774" s="157"/>
      <c r="C1774" s="158"/>
      <c r="D1774" s="161"/>
      <c r="E1774" s="162"/>
      <c r="F1774" s="163"/>
      <c r="G1774" s="164"/>
      <c r="H1774" s="165"/>
      <c r="I1774" s="164"/>
      <c r="J1774" s="165"/>
      <c r="K1774" s="164"/>
      <c r="L1774" s="165"/>
      <c r="M1774" s="6"/>
      <c r="N1774" s="32"/>
      <c r="Q1774" s="10" t="str">
        <f>+CONCATENATE(E1772,K1772)</f>
        <v>금속관입상</v>
      </c>
      <c r="R1774" s="10">
        <f>+L1772</f>
        <v>0</v>
      </c>
      <c r="S1774" s="11"/>
      <c r="T1774" s="10" t="str">
        <f>+E1772</f>
        <v>금속관입상</v>
      </c>
      <c r="U1774" s="19" t="str">
        <f>IFERROR(LEFT(K1772,FIND("*",K1772)-1),"-")</f>
        <v>-</v>
      </c>
      <c r="V1774" s="19" t="str">
        <f>IFERROR(RIGHT(K1772,LEN(K1772)-FIND("*",K1772)),"-")</f>
        <v>-</v>
      </c>
      <c r="W1774" s="20" t="str">
        <f t="shared" si="961"/>
        <v>-</v>
      </c>
      <c r="X1774" s="20" t="str">
        <f>IFERROR(W1774*L1772,"-")</f>
        <v>-</v>
      </c>
      <c r="Z1774" s="85">
        <v>45188</v>
      </c>
    </row>
    <row r="1775" spans="1:26" ht="6.95" customHeight="1" x14ac:dyDescent="0.3">
      <c r="A1775" s="8"/>
      <c r="B1775" s="157"/>
      <c r="C1775" s="158"/>
      <c r="D1775" s="161" t="s">
        <v>39</v>
      </c>
      <c r="E1775" s="162"/>
      <c r="F1775" s="163" t="s">
        <v>40</v>
      </c>
      <c r="G1775" s="164"/>
      <c r="H1775" s="165"/>
      <c r="I1775" s="164"/>
      <c r="J1775" s="165"/>
      <c r="K1775" s="164"/>
      <c r="L1775" s="165"/>
      <c r="M1775" s="6"/>
      <c r="N1775" s="32"/>
      <c r="Q1775" s="10" t="str">
        <f>+CONCATENATE(E1775,G1775)</f>
        <v/>
      </c>
      <c r="R1775" s="10">
        <f>+H1775</f>
        <v>0</v>
      </c>
      <c r="S1775" s="11"/>
      <c r="T1775" s="10">
        <f>+E1775</f>
        <v>0</v>
      </c>
      <c r="U1775" s="19" t="str">
        <f t="shared" ref="U1775" si="962">IFERROR(LEFT(G1775,FIND("*",G1775)-1),"-")</f>
        <v>-</v>
      </c>
      <c r="V1775" s="19" t="str">
        <f t="shared" ref="V1775" si="963">IFERROR(RIGHT(G1775,LEN(G1775)-FIND("*",G1775)),"-")</f>
        <v>-</v>
      </c>
      <c r="W1775" s="20" t="str">
        <f t="shared" si="961"/>
        <v>-</v>
      </c>
      <c r="X1775" s="20" t="str">
        <f>IFERROR(W1775*H1775,"-")</f>
        <v>-</v>
      </c>
      <c r="Z1775" s="85">
        <v>45188</v>
      </c>
    </row>
    <row r="1776" spans="1:26" ht="6.95" customHeight="1" x14ac:dyDescent="0.3">
      <c r="A1776" s="5"/>
      <c r="B1776" s="157"/>
      <c r="C1776" s="158"/>
      <c r="D1776" s="161"/>
      <c r="E1776" s="162"/>
      <c r="F1776" s="163"/>
      <c r="G1776" s="164"/>
      <c r="H1776" s="165"/>
      <c r="I1776" s="164"/>
      <c r="J1776" s="165"/>
      <c r="K1776" s="164"/>
      <c r="L1776" s="165"/>
      <c r="M1776" s="6"/>
      <c r="N1776" s="32"/>
      <c r="Q1776" s="10" t="str">
        <f>+CONCATENATE(E1775,I1775)</f>
        <v/>
      </c>
      <c r="R1776" s="10">
        <f>+J1775</f>
        <v>0</v>
      </c>
      <c r="S1776" s="11"/>
      <c r="T1776" s="10">
        <f>+E1775</f>
        <v>0</v>
      </c>
      <c r="U1776" s="19" t="str">
        <f>IFERROR(LEFT(I1775,FIND("*",I1775)-1),"-")</f>
        <v>-</v>
      </c>
      <c r="V1776" s="19" t="str">
        <f>IFERROR(RIGHT(I1775,LEN(I1775)-FIND("*",I1775)),"-")</f>
        <v>-</v>
      </c>
      <c r="W1776" s="20" t="str">
        <f t="shared" si="961"/>
        <v>-</v>
      </c>
      <c r="X1776" s="20" t="str">
        <f>IFERROR(W1776*J1775,"-")</f>
        <v>-</v>
      </c>
      <c r="Z1776" s="85">
        <v>45188</v>
      </c>
    </row>
    <row r="1777" spans="1:26" ht="6.95" customHeight="1" x14ac:dyDescent="0.3">
      <c r="A1777" s="5"/>
      <c r="B1777" s="157"/>
      <c r="C1777" s="158"/>
      <c r="D1777" s="161"/>
      <c r="E1777" s="162"/>
      <c r="F1777" s="163"/>
      <c r="G1777" s="164"/>
      <c r="H1777" s="165"/>
      <c r="I1777" s="164"/>
      <c r="J1777" s="165"/>
      <c r="K1777" s="164"/>
      <c r="L1777" s="165"/>
      <c r="M1777" s="6"/>
      <c r="N1777" s="32"/>
      <c r="Q1777" s="10" t="str">
        <f>+CONCATENATE(E1775,K1775)</f>
        <v/>
      </c>
      <c r="R1777" s="10">
        <f>+L1775</f>
        <v>0</v>
      </c>
      <c r="S1777" s="11"/>
      <c r="T1777" s="10">
        <f>+E1775</f>
        <v>0</v>
      </c>
      <c r="U1777" s="19" t="str">
        <f>IFERROR(LEFT(K1775,FIND("*",K1775)-1),"-")</f>
        <v>-</v>
      </c>
      <c r="V1777" s="19" t="str">
        <f>IFERROR(RIGHT(K1775,LEN(K1775)-FIND("*",K1775)),"-")</f>
        <v>-</v>
      </c>
      <c r="W1777" s="20" t="str">
        <f t="shared" si="961"/>
        <v>-</v>
      </c>
      <c r="X1777" s="20" t="str">
        <f>IFERROR(W1777*L1775,"-")</f>
        <v>-</v>
      </c>
      <c r="Z1777" s="85">
        <v>45188</v>
      </c>
    </row>
    <row r="1778" spans="1:26" ht="6.95" customHeight="1" x14ac:dyDescent="0.3">
      <c r="A1778" s="8"/>
      <c r="B1778" s="157"/>
      <c r="C1778" s="158"/>
      <c r="D1778" s="161" t="s">
        <v>39</v>
      </c>
      <c r="E1778" s="162"/>
      <c r="F1778" s="163" t="s">
        <v>40</v>
      </c>
      <c r="G1778" s="164"/>
      <c r="H1778" s="165"/>
      <c r="I1778" s="164"/>
      <c r="J1778" s="165"/>
      <c r="K1778" s="164"/>
      <c r="L1778" s="165"/>
      <c r="M1778" s="6"/>
      <c r="N1778" s="32"/>
      <c r="Q1778" s="10" t="str">
        <f>+CONCATENATE(E1778,G1778)</f>
        <v/>
      </c>
      <c r="R1778" s="10">
        <f>+H1778</f>
        <v>0</v>
      </c>
      <c r="S1778" s="11"/>
      <c r="T1778" s="10">
        <f>+E1778</f>
        <v>0</v>
      </c>
      <c r="U1778" s="19" t="str">
        <f t="shared" ref="U1778" si="964">IFERROR(LEFT(G1778,FIND("*",G1778)-1),"-")</f>
        <v>-</v>
      </c>
      <c r="V1778" s="19" t="str">
        <f t="shared" ref="V1778" si="965">IFERROR(RIGHT(G1778,LEN(G1778)-FIND("*",G1778)),"-")</f>
        <v>-</v>
      </c>
      <c r="W1778" s="20" t="str">
        <f t="shared" si="961"/>
        <v>-</v>
      </c>
      <c r="X1778" s="20" t="str">
        <f>IFERROR(W1778*H1778,"-")</f>
        <v>-</v>
      </c>
      <c r="Z1778" s="85">
        <v>45188</v>
      </c>
    </row>
    <row r="1779" spans="1:26" ht="6.95" customHeight="1" x14ac:dyDescent="0.3">
      <c r="A1779" s="5"/>
      <c r="B1779" s="157"/>
      <c r="C1779" s="158"/>
      <c r="D1779" s="161"/>
      <c r="E1779" s="162"/>
      <c r="F1779" s="163"/>
      <c r="G1779" s="164"/>
      <c r="H1779" s="165"/>
      <c r="I1779" s="164"/>
      <c r="J1779" s="165"/>
      <c r="K1779" s="164"/>
      <c r="L1779" s="165"/>
      <c r="M1779" s="6"/>
      <c r="N1779" s="32"/>
      <c r="Q1779" s="10" t="str">
        <f>+CONCATENATE(E1778,I1778)</f>
        <v/>
      </c>
      <c r="R1779" s="10">
        <f>+J1778</f>
        <v>0</v>
      </c>
      <c r="S1779" s="11"/>
      <c r="T1779" s="10">
        <f>+E1778</f>
        <v>0</v>
      </c>
      <c r="U1779" s="19" t="str">
        <f>IFERROR(LEFT(I1778,FIND("*",I1778)-1),"-")</f>
        <v>-</v>
      </c>
      <c r="V1779" s="19" t="str">
        <f>IFERROR(RIGHT(I1778,LEN(I1778)-FIND("*",I1778)),"-")</f>
        <v>-</v>
      </c>
      <c r="W1779" s="20" t="str">
        <f t="shared" si="961"/>
        <v>-</v>
      </c>
      <c r="X1779" s="20" t="str">
        <f t="shared" ref="X1779" si="966">IFERROR(W1779*J1778,"-")</f>
        <v>-</v>
      </c>
      <c r="Z1779" s="85">
        <v>45188</v>
      </c>
    </row>
    <row r="1780" spans="1:26" ht="6.95" customHeight="1" x14ac:dyDescent="0.3">
      <c r="A1780" s="5"/>
      <c r="B1780" s="157"/>
      <c r="C1780" s="158"/>
      <c r="D1780" s="161"/>
      <c r="E1780" s="162"/>
      <c r="F1780" s="163"/>
      <c r="G1780" s="164"/>
      <c r="H1780" s="165"/>
      <c r="I1780" s="164"/>
      <c r="J1780" s="165"/>
      <c r="K1780" s="164"/>
      <c r="L1780" s="165"/>
      <c r="M1780" s="6"/>
      <c r="N1780" s="32"/>
      <c r="Q1780" s="10" t="str">
        <f>+CONCATENATE(E1778,K1778)</f>
        <v/>
      </c>
      <c r="R1780" s="10">
        <f>+L1778</f>
        <v>0</v>
      </c>
      <c r="S1780" s="11"/>
      <c r="T1780" s="10">
        <f>+E1778</f>
        <v>0</v>
      </c>
      <c r="U1780" s="19" t="str">
        <f>IFERROR(LEFT(K1778,FIND("*",K1778)-1),"-")</f>
        <v>-</v>
      </c>
      <c r="V1780" s="19" t="str">
        <f>IFERROR(RIGHT(K1778,LEN(K1778)-FIND("*",K1778)),"-")</f>
        <v>-</v>
      </c>
      <c r="W1780" s="20" t="str">
        <f t="shared" si="961"/>
        <v>-</v>
      </c>
      <c r="X1780" s="20" t="str">
        <f>IFERROR(W1780*L1778,"-")</f>
        <v>-</v>
      </c>
      <c r="Z1780" s="85">
        <v>45188</v>
      </c>
    </row>
    <row r="1781" spans="1:26" ht="21" customHeight="1" thickBot="1" x14ac:dyDescent="0.35">
      <c r="A1781" s="5"/>
      <c r="B1781" s="159"/>
      <c r="C1781" s="160"/>
      <c r="D1781" s="166" t="s">
        <v>43</v>
      </c>
      <c r="E1781" s="167"/>
      <c r="F1781" s="167"/>
      <c r="G1781" s="168" t="s">
        <v>185</v>
      </c>
      <c r="H1781" s="168"/>
      <c r="I1781" s="168"/>
      <c r="J1781" s="168"/>
      <c r="K1781" s="168"/>
      <c r="L1781" s="168"/>
      <c r="M1781" s="7"/>
      <c r="N1781" s="32"/>
      <c r="Z1781" s="85">
        <v>45188</v>
      </c>
    </row>
    <row r="1782" spans="1:26" ht="9.9499999999999993" customHeight="1" thickBot="1" x14ac:dyDescent="0.35">
      <c r="B1782" s="9"/>
      <c r="C1782" s="109">
        <v>961</v>
      </c>
      <c r="D1782" s="51"/>
      <c r="E1782" s="12"/>
      <c r="F1782" s="51"/>
      <c r="G1782" s="14"/>
      <c r="H1782" s="14"/>
      <c r="I1782" s="14"/>
      <c r="J1782" s="14"/>
      <c r="K1782" s="14"/>
      <c r="L1782" s="14"/>
      <c r="M1782" s="9"/>
      <c r="N1782" s="32"/>
      <c r="U1782" s="18"/>
      <c r="V1782" s="18"/>
      <c r="Z1782" s="85">
        <v>45188</v>
      </c>
    </row>
    <row r="1783" spans="1:26" ht="6.95" customHeight="1" x14ac:dyDescent="0.3">
      <c r="A1783" s="154">
        <f>+A1772+1</f>
        <v>962</v>
      </c>
      <c r="B1783" s="155"/>
      <c r="C1783" s="156"/>
      <c r="D1783" s="161" t="s">
        <v>39</v>
      </c>
      <c r="E1783" s="162" t="s">
        <v>293</v>
      </c>
      <c r="F1783" s="163" t="s">
        <v>40</v>
      </c>
      <c r="G1783" s="164">
        <v>150</v>
      </c>
      <c r="H1783" s="165">
        <v>1</v>
      </c>
      <c r="I1783" s="164">
        <v>100</v>
      </c>
      <c r="J1783" s="165">
        <v>1</v>
      </c>
      <c r="K1783" s="164">
        <v>50</v>
      </c>
      <c r="L1783" s="165">
        <v>1</v>
      </c>
      <c r="M1783" s="6"/>
      <c r="N1783" s="32"/>
      <c r="Q1783" s="10" t="str">
        <f>+CONCATENATE(E1783,G1783)</f>
        <v>금속관입상150</v>
      </c>
      <c r="R1783" s="10">
        <f>+H1783</f>
        <v>1</v>
      </c>
      <c r="S1783" s="11"/>
      <c r="T1783" s="10" t="str">
        <f>+E1783</f>
        <v>금속관입상</v>
      </c>
      <c r="U1783" s="19" t="str">
        <f>IFERROR(LEFT(G1783,FIND("*",G1783)-1),"-")</f>
        <v>-</v>
      </c>
      <c r="V1783" s="19" t="str">
        <f>IFERROR(RIGHT(G1783,LEN(G1783)-FIND("*",G1783)),"-")</f>
        <v>-</v>
      </c>
      <c r="W1783" s="20" t="str">
        <f>IFERROR((U1783+V1783)*2/1000,"-")</f>
        <v>-</v>
      </c>
      <c r="X1783" s="20" t="str">
        <f>IFERROR(W1783*H1783,"-")</f>
        <v>-</v>
      </c>
      <c r="Z1783" s="85">
        <v>45188</v>
      </c>
    </row>
    <row r="1784" spans="1:26" ht="6.95" customHeight="1" x14ac:dyDescent="0.3">
      <c r="A1784" s="154"/>
      <c r="B1784" s="157"/>
      <c r="C1784" s="158"/>
      <c r="D1784" s="161"/>
      <c r="E1784" s="162"/>
      <c r="F1784" s="163"/>
      <c r="G1784" s="164"/>
      <c r="H1784" s="165"/>
      <c r="I1784" s="164"/>
      <c r="J1784" s="165"/>
      <c r="K1784" s="164"/>
      <c r="L1784" s="165"/>
      <c r="M1784" s="6"/>
      <c r="N1784" s="32"/>
      <c r="Q1784" s="10" t="str">
        <f>+CONCATENATE(E1783,I1783)</f>
        <v>금속관입상100</v>
      </c>
      <c r="R1784" s="10">
        <f>+J1783</f>
        <v>1</v>
      </c>
      <c r="S1784" s="11"/>
      <c r="T1784" s="10" t="str">
        <f>+E1783</f>
        <v>금속관입상</v>
      </c>
      <c r="U1784" s="19" t="str">
        <f>IFERROR(LEFT(I1783,FIND("*",I1783)-1),"-")</f>
        <v>-</v>
      </c>
      <c r="V1784" s="19" t="str">
        <f>IFERROR(RIGHT(I1783,LEN(I1783)-FIND("*",I1783)),"-")</f>
        <v>-</v>
      </c>
      <c r="W1784" s="20" t="str">
        <f t="shared" ref="W1784:W1791" si="967">IFERROR((U1784+V1784)*2/1000,"-")</f>
        <v>-</v>
      </c>
      <c r="X1784" s="20" t="str">
        <f>IFERROR(W1784*J1783,"-")</f>
        <v>-</v>
      </c>
      <c r="Z1784" s="85">
        <v>45188</v>
      </c>
    </row>
    <row r="1785" spans="1:26" ht="6.95" customHeight="1" x14ac:dyDescent="0.3">
      <c r="A1785" s="154"/>
      <c r="B1785" s="157"/>
      <c r="C1785" s="158"/>
      <c r="D1785" s="161"/>
      <c r="E1785" s="162"/>
      <c r="F1785" s="163"/>
      <c r="G1785" s="164"/>
      <c r="H1785" s="165"/>
      <c r="I1785" s="164"/>
      <c r="J1785" s="165"/>
      <c r="K1785" s="164"/>
      <c r="L1785" s="165"/>
      <c r="M1785" s="6"/>
      <c r="N1785" s="32"/>
      <c r="Q1785" s="10" t="str">
        <f>+CONCATENATE(E1783,K1783)</f>
        <v>금속관입상50</v>
      </c>
      <c r="R1785" s="10">
        <f>+L1783</f>
        <v>1</v>
      </c>
      <c r="S1785" s="11"/>
      <c r="T1785" s="10" t="str">
        <f>+E1783</f>
        <v>금속관입상</v>
      </c>
      <c r="U1785" s="19" t="str">
        <f>IFERROR(LEFT(K1783,FIND("*",K1783)-1),"-")</f>
        <v>-</v>
      </c>
      <c r="V1785" s="19" t="str">
        <f>IFERROR(RIGHT(K1783,LEN(K1783)-FIND("*",K1783)),"-")</f>
        <v>-</v>
      </c>
      <c r="W1785" s="20" t="str">
        <f t="shared" si="967"/>
        <v>-</v>
      </c>
      <c r="X1785" s="20" t="str">
        <f>IFERROR(W1785*L1783,"-")</f>
        <v>-</v>
      </c>
      <c r="Z1785" s="85">
        <v>45188</v>
      </c>
    </row>
    <row r="1786" spans="1:26" ht="6.95" customHeight="1" x14ac:dyDescent="0.3">
      <c r="A1786" s="8"/>
      <c r="B1786" s="157"/>
      <c r="C1786" s="158"/>
      <c r="D1786" s="161" t="s">
        <v>39</v>
      </c>
      <c r="E1786" s="162"/>
      <c r="F1786" s="163" t="s">
        <v>40</v>
      </c>
      <c r="G1786" s="164"/>
      <c r="H1786" s="165"/>
      <c r="I1786" s="164"/>
      <c r="J1786" s="165"/>
      <c r="K1786" s="164"/>
      <c r="L1786" s="165"/>
      <c r="M1786" s="6"/>
      <c r="N1786" s="32"/>
      <c r="Q1786" s="10" t="str">
        <f>+CONCATENATE(E1786,G1786)</f>
        <v/>
      </c>
      <c r="R1786" s="10">
        <f>+H1786</f>
        <v>0</v>
      </c>
      <c r="S1786" s="11"/>
      <c r="T1786" s="10">
        <f>+E1786</f>
        <v>0</v>
      </c>
      <c r="U1786" s="19" t="str">
        <f t="shared" ref="U1786" si="968">IFERROR(LEFT(G1786,FIND("*",G1786)-1),"-")</f>
        <v>-</v>
      </c>
      <c r="V1786" s="19" t="str">
        <f t="shared" ref="V1786" si="969">IFERROR(RIGHT(G1786,LEN(G1786)-FIND("*",G1786)),"-")</f>
        <v>-</v>
      </c>
      <c r="W1786" s="20" t="str">
        <f t="shared" si="967"/>
        <v>-</v>
      </c>
      <c r="X1786" s="20" t="str">
        <f>IFERROR(W1786*H1786,"-")</f>
        <v>-</v>
      </c>
      <c r="Z1786" s="85">
        <v>45188</v>
      </c>
    </row>
    <row r="1787" spans="1:26" ht="6.95" customHeight="1" x14ac:dyDescent="0.3">
      <c r="A1787" s="5"/>
      <c r="B1787" s="157"/>
      <c r="C1787" s="158"/>
      <c r="D1787" s="161"/>
      <c r="E1787" s="162"/>
      <c r="F1787" s="163"/>
      <c r="G1787" s="164"/>
      <c r="H1787" s="165"/>
      <c r="I1787" s="164"/>
      <c r="J1787" s="165"/>
      <c r="K1787" s="164"/>
      <c r="L1787" s="165"/>
      <c r="M1787" s="6"/>
      <c r="N1787" s="32"/>
      <c r="Q1787" s="10" t="str">
        <f>+CONCATENATE(E1786,I1786)</f>
        <v/>
      </c>
      <c r="R1787" s="10">
        <f>+J1786</f>
        <v>0</v>
      </c>
      <c r="S1787" s="11"/>
      <c r="T1787" s="10">
        <f>+E1786</f>
        <v>0</v>
      </c>
      <c r="U1787" s="19" t="str">
        <f>IFERROR(LEFT(I1786,FIND("*",I1786)-1),"-")</f>
        <v>-</v>
      </c>
      <c r="V1787" s="19" t="str">
        <f>IFERROR(RIGHT(I1786,LEN(I1786)-FIND("*",I1786)),"-")</f>
        <v>-</v>
      </c>
      <c r="W1787" s="20" t="str">
        <f t="shared" si="967"/>
        <v>-</v>
      </c>
      <c r="X1787" s="20" t="str">
        <f>IFERROR(W1787*J1786,"-")</f>
        <v>-</v>
      </c>
      <c r="Z1787" s="85">
        <v>45188</v>
      </c>
    </row>
    <row r="1788" spans="1:26" ht="6.95" customHeight="1" x14ac:dyDescent="0.3">
      <c r="A1788" s="5"/>
      <c r="B1788" s="157"/>
      <c r="C1788" s="158"/>
      <c r="D1788" s="161"/>
      <c r="E1788" s="162"/>
      <c r="F1788" s="163"/>
      <c r="G1788" s="164"/>
      <c r="H1788" s="165"/>
      <c r="I1788" s="164"/>
      <c r="J1788" s="165"/>
      <c r="K1788" s="164"/>
      <c r="L1788" s="165"/>
      <c r="M1788" s="6"/>
      <c r="N1788" s="32"/>
      <c r="Q1788" s="10" t="str">
        <f>+CONCATENATE(E1786,K1786)</f>
        <v/>
      </c>
      <c r="R1788" s="10">
        <f>+L1786</f>
        <v>0</v>
      </c>
      <c r="S1788" s="11"/>
      <c r="T1788" s="10">
        <f>+E1786</f>
        <v>0</v>
      </c>
      <c r="U1788" s="19" t="str">
        <f>IFERROR(LEFT(K1786,FIND("*",K1786)-1),"-")</f>
        <v>-</v>
      </c>
      <c r="V1788" s="19" t="str">
        <f>IFERROR(RIGHT(K1786,LEN(K1786)-FIND("*",K1786)),"-")</f>
        <v>-</v>
      </c>
      <c r="W1788" s="20" t="str">
        <f t="shared" si="967"/>
        <v>-</v>
      </c>
      <c r="X1788" s="20" t="str">
        <f>IFERROR(W1788*L1786,"-")</f>
        <v>-</v>
      </c>
      <c r="Z1788" s="85">
        <v>45188</v>
      </c>
    </row>
    <row r="1789" spans="1:26" ht="6.95" customHeight="1" x14ac:dyDescent="0.3">
      <c r="A1789" s="8"/>
      <c r="B1789" s="157"/>
      <c r="C1789" s="158"/>
      <c r="D1789" s="161" t="s">
        <v>39</v>
      </c>
      <c r="E1789" s="162"/>
      <c r="F1789" s="163" t="s">
        <v>40</v>
      </c>
      <c r="G1789" s="164"/>
      <c r="H1789" s="165"/>
      <c r="I1789" s="164"/>
      <c r="J1789" s="165"/>
      <c r="K1789" s="164"/>
      <c r="L1789" s="165"/>
      <c r="M1789" s="6"/>
      <c r="N1789" s="32"/>
      <c r="Q1789" s="10" t="str">
        <f>+CONCATENATE(E1789,G1789)</f>
        <v/>
      </c>
      <c r="R1789" s="10">
        <f>+H1789</f>
        <v>0</v>
      </c>
      <c r="S1789" s="11"/>
      <c r="T1789" s="10">
        <f>+E1789</f>
        <v>0</v>
      </c>
      <c r="U1789" s="19" t="str">
        <f t="shared" ref="U1789" si="970">IFERROR(LEFT(G1789,FIND("*",G1789)-1),"-")</f>
        <v>-</v>
      </c>
      <c r="V1789" s="19" t="str">
        <f t="shared" ref="V1789" si="971">IFERROR(RIGHT(G1789,LEN(G1789)-FIND("*",G1789)),"-")</f>
        <v>-</v>
      </c>
      <c r="W1789" s="20" t="str">
        <f t="shared" si="967"/>
        <v>-</v>
      </c>
      <c r="X1789" s="20" t="str">
        <f>IFERROR(W1789*H1789,"-")</f>
        <v>-</v>
      </c>
      <c r="Z1789" s="85">
        <v>45188</v>
      </c>
    </row>
    <row r="1790" spans="1:26" ht="6.95" customHeight="1" x14ac:dyDescent="0.3">
      <c r="A1790" s="5"/>
      <c r="B1790" s="157"/>
      <c r="C1790" s="158"/>
      <c r="D1790" s="161"/>
      <c r="E1790" s="162"/>
      <c r="F1790" s="163"/>
      <c r="G1790" s="164"/>
      <c r="H1790" s="165"/>
      <c r="I1790" s="164"/>
      <c r="J1790" s="165"/>
      <c r="K1790" s="164"/>
      <c r="L1790" s="165"/>
      <c r="M1790" s="6"/>
      <c r="N1790" s="32"/>
      <c r="Q1790" s="10" t="str">
        <f>+CONCATENATE(E1789,I1789)</f>
        <v/>
      </c>
      <c r="R1790" s="10">
        <f>+J1789</f>
        <v>0</v>
      </c>
      <c r="S1790" s="11"/>
      <c r="T1790" s="10">
        <f>+E1789</f>
        <v>0</v>
      </c>
      <c r="U1790" s="19" t="str">
        <f>IFERROR(LEFT(I1789,FIND("*",I1789)-1),"-")</f>
        <v>-</v>
      </c>
      <c r="V1790" s="19" t="str">
        <f>IFERROR(RIGHT(I1789,LEN(I1789)-FIND("*",I1789)),"-")</f>
        <v>-</v>
      </c>
      <c r="W1790" s="20" t="str">
        <f t="shared" si="967"/>
        <v>-</v>
      </c>
      <c r="X1790" s="20" t="str">
        <f t="shared" ref="X1790" si="972">IFERROR(W1790*J1789,"-")</f>
        <v>-</v>
      </c>
      <c r="Z1790" s="85">
        <v>45188</v>
      </c>
    </row>
    <row r="1791" spans="1:26" ht="6.95" customHeight="1" x14ac:dyDescent="0.3">
      <c r="A1791" s="5"/>
      <c r="B1791" s="157"/>
      <c r="C1791" s="158"/>
      <c r="D1791" s="161"/>
      <c r="E1791" s="162"/>
      <c r="F1791" s="163"/>
      <c r="G1791" s="164"/>
      <c r="H1791" s="165"/>
      <c r="I1791" s="164"/>
      <c r="J1791" s="165"/>
      <c r="K1791" s="164"/>
      <c r="L1791" s="165"/>
      <c r="M1791" s="6"/>
      <c r="N1791" s="32"/>
      <c r="Q1791" s="10" t="str">
        <f>+CONCATENATE(E1789,K1789)</f>
        <v/>
      </c>
      <c r="R1791" s="10">
        <f>+L1789</f>
        <v>0</v>
      </c>
      <c r="S1791" s="11"/>
      <c r="T1791" s="10">
        <f>+E1789</f>
        <v>0</v>
      </c>
      <c r="U1791" s="19" t="str">
        <f>IFERROR(LEFT(K1789,FIND("*",K1789)-1),"-")</f>
        <v>-</v>
      </c>
      <c r="V1791" s="19" t="str">
        <f>IFERROR(RIGHT(K1789,LEN(K1789)-FIND("*",K1789)),"-")</f>
        <v>-</v>
      </c>
      <c r="W1791" s="20" t="str">
        <f t="shared" si="967"/>
        <v>-</v>
      </c>
      <c r="X1791" s="20" t="str">
        <f>IFERROR(W1791*L1789,"-")</f>
        <v>-</v>
      </c>
      <c r="Z1791" s="85">
        <v>45188</v>
      </c>
    </row>
    <row r="1792" spans="1:26" ht="21" customHeight="1" thickBot="1" x14ac:dyDescent="0.35">
      <c r="A1792" s="5"/>
      <c r="B1792" s="159"/>
      <c r="C1792" s="160"/>
      <c r="D1792" s="166" t="s">
        <v>43</v>
      </c>
      <c r="E1792" s="167"/>
      <c r="F1792" s="167"/>
      <c r="G1792" s="168" t="s">
        <v>185</v>
      </c>
      <c r="H1792" s="168"/>
      <c r="I1792" s="168"/>
      <c r="J1792" s="168"/>
      <c r="K1792" s="168"/>
      <c r="L1792" s="168"/>
      <c r="M1792" s="7"/>
      <c r="N1792" s="32"/>
      <c r="Z1792" s="85">
        <v>45188</v>
      </c>
    </row>
    <row r="1793" spans="1:26" ht="9.9499999999999993" customHeight="1" thickBot="1" x14ac:dyDescent="0.35">
      <c r="B1793" s="9"/>
      <c r="C1793" s="109">
        <v>962</v>
      </c>
      <c r="D1793" s="51"/>
      <c r="E1793" s="12"/>
      <c r="F1793" s="51"/>
      <c r="G1793" s="14"/>
      <c r="H1793" s="14"/>
      <c r="I1793" s="14"/>
      <c r="J1793" s="14"/>
      <c r="K1793" s="14"/>
      <c r="L1793" s="14"/>
      <c r="M1793" s="9"/>
      <c r="N1793" s="32"/>
      <c r="U1793" s="18"/>
      <c r="V1793" s="18"/>
      <c r="Z1793" s="85">
        <v>45188</v>
      </c>
    </row>
    <row r="1794" spans="1:26" ht="6.95" customHeight="1" x14ac:dyDescent="0.3">
      <c r="A1794" s="154">
        <f>+A1783+1</f>
        <v>963</v>
      </c>
      <c r="B1794" s="155"/>
      <c r="C1794" s="156"/>
      <c r="D1794" s="161" t="s">
        <v>39</v>
      </c>
      <c r="E1794" s="162" t="s">
        <v>293</v>
      </c>
      <c r="F1794" s="163" t="s">
        <v>40</v>
      </c>
      <c r="G1794" s="164">
        <v>150</v>
      </c>
      <c r="H1794" s="165">
        <v>1</v>
      </c>
      <c r="I1794" s="164"/>
      <c r="J1794" s="165"/>
      <c r="K1794" s="164"/>
      <c r="L1794" s="165"/>
      <c r="M1794" s="6"/>
      <c r="N1794" s="32"/>
      <c r="Q1794" s="10" t="str">
        <f>+CONCATENATE(E1794,G1794)</f>
        <v>금속관입상150</v>
      </c>
      <c r="R1794" s="10">
        <f>+H1794</f>
        <v>1</v>
      </c>
      <c r="S1794" s="11"/>
      <c r="T1794" s="10" t="str">
        <f>+E1794</f>
        <v>금속관입상</v>
      </c>
      <c r="U1794" s="19" t="str">
        <f>IFERROR(LEFT(G1794,FIND("*",G1794)-1),"-")</f>
        <v>-</v>
      </c>
      <c r="V1794" s="19" t="str">
        <f>IFERROR(RIGHT(G1794,LEN(G1794)-FIND("*",G1794)),"-")</f>
        <v>-</v>
      </c>
      <c r="W1794" s="20" t="str">
        <f>IFERROR((U1794+V1794)*2/1000,"-")</f>
        <v>-</v>
      </c>
      <c r="X1794" s="20" t="str">
        <f>IFERROR(W1794*H1794,"-")</f>
        <v>-</v>
      </c>
      <c r="Z1794" s="85">
        <v>45188</v>
      </c>
    </row>
    <row r="1795" spans="1:26" ht="6.95" customHeight="1" x14ac:dyDescent="0.3">
      <c r="A1795" s="154"/>
      <c r="B1795" s="157"/>
      <c r="C1795" s="158"/>
      <c r="D1795" s="161"/>
      <c r="E1795" s="162"/>
      <c r="F1795" s="163"/>
      <c r="G1795" s="164"/>
      <c r="H1795" s="165"/>
      <c r="I1795" s="164"/>
      <c r="J1795" s="165"/>
      <c r="K1795" s="164"/>
      <c r="L1795" s="165"/>
      <c r="M1795" s="6"/>
      <c r="N1795" s="32"/>
      <c r="Q1795" s="10" t="str">
        <f>+CONCATENATE(E1794,I1794)</f>
        <v>금속관입상</v>
      </c>
      <c r="R1795" s="10">
        <f>+J1794</f>
        <v>0</v>
      </c>
      <c r="S1795" s="11"/>
      <c r="T1795" s="10" t="str">
        <f>+E1794</f>
        <v>금속관입상</v>
      </c>
      <c r="U1795" s="19" t="str">
        <f>IFERROR(LEFT(I1794,FIND("*",I1794)-1),"-")</f>
        <v>-</v>
      </c>
      <c r="V1795" s="19" t="str">
        <f>IFERROR(RIGHT(I1794,LEN(I1794)-FIND("*",I1794)),"-")</f>
        <v>-</v>
      </c>
      <c r="W1795" s="20" t="str">
        <f t="shared" ref="W1795:W1802" si="973">IFERROR((U1795+V1795)*2/1000,"-")</f>
        <v>-</v>
      </c>
      <c r="X1795" s="20" t="str">
        <f>IFERROR(W1795*J1794,"-")</f>
        <v>-</v>
      </c>
      <c r="Z1795" s="85">
        <v>45188</v>
      </c>
    </row>
    <row r="1796" spans="1:26" ht="6.95" customHeight="1" x14ac:dyDescent="0.3">
      <c r="A1796" s="154"/>
      <c r="B1796" s="157"/>
      <c r="C1796" s="158"/>
      <c r="D1796" s="161"/>
      <c r="E1796" s="162"/>
      <c r="F1796" s="163"/>
      <c r="G1796" s="164"/>
      <c r="H1796" s="165"/>
      <c r="I1796" s="164"/>
      <c r="J1796" s="165"/>
      <c r="K1796" s="164"/>
      <c r="L1796" s="165"/>
      <c r="M1796" s="6"/>
      <c r="N1796" s="32"/>
      <c r="Q1796" s="10" t="str">
        <f>+CONCATENATE(E1794,K1794)</f>
        <v>금속관입상</v>
      </c>
      <c r="R1796" s="10">
        <f>+L1794</f>
        <v>0</v>
      </c>
      <c r="S1796" s="11"/>
      <c r="T1796" s="10" t="str">
        <f>+E1794</f>
        <v>금속관입상</v>
      </c>
      <c r="U1796" s="19" t="str">
        <f>IFERROR(LEFT(K1794,FIND("*",K1794)-1),"-")</f>
        <v>-</v>
      </c>
      <c r="V1796" s="19" t="str">
        <f>IFERROR(RIGHT(K1794,LEN(K1794)-FIND("*",K1794)),"-")</f>
        <v>-</v>
      </c>
      <c r="W1796" s="20" t="str">
        <f t="shared" si="973"/>
        <v>-</v>
      </c>
      <c r="X1796" s="20" t="str">
        <f>IFERROR(W1796*L1794,"-")</f>
        <v>-</v>
      </c>
      <c r="Z1796" s="85">
        <v>45188</v>
      </c>
    </row>
    <row r="1797" spans="1:26" ht="6.95" customHeight="1" x14ac:dyDescent="0.3">
      <c r="A1797" s="8"/>
      <c r="B1797" s="157"/>
      <c r="C1797" s="158"/>
      <c r="D1797" s="161" t="s">
        <v>39</v>
      </c>
      <c r="E1797" s="162"/>
      <c r="F1797" s="163" t="s">
        <v>40</v>
      </c>
      <c r="G1797" s="164"/>
      <c r="H1797" s="165"/>
      <c r="I1797" s="164"/>
      <c r="J1797" s="165"/>
      <c r="K1797" s="164"/>
      <c r="L1797" s="165"/>
      <c r="M1797" s="6"/>
      <c r="N1797" s="32"/>
      <c r="Q1797" s="10" t="str">
        <f>+CONCATENATE(E1797,G1797)</f>
        <v/>
      </c>
      <c r="R1797" s="10">
        <f>+H1797</f>
        <v>0</v>
      </c>
      <c r="S1797" s="11"/>
      <c r="T1797" s="10">
        <f>+E1797</f>
        <v>0</v>
      </c>
      <c r="U1797" s="19" t="str">
        <f t="shared" ref="U1797" si="974">IFERROR(LEFT(G1797,FIND("*",G1797)-1),"-")</f>
        <v>-</v>
      </c>
      <c r="V1797" s="19" t="str">
        <f t="shared" ref="V1797" si="975">IFERROR(RIGHT(G1797,LEN(G1797)-FIND("*",G1797)),"-")</f>
        <v>-</v>
      </c>
      <c r="W1797" s="20" t="str">
        <f t="shared" si="973"/>
        <v>-</v>
      </c>
      <c r="X1797" s="20" t="str">
        <f>IFERROR(W1797*H1797,"-")</f>
        <v>-</v>
      </c>
      <c r="Z1797" s="85">
        <v>45188</v>
      </c>
    </row>
    <row r="1798" spans="1:26" ht="6.95" customHeight="1" x14ac:dyDescent="0.3">
      <c r="A1798" s="5"/>
      <c r="B1798" s="157"/>
      <c r="C1798" s="158"/>
      <c r="D1798" s="161"/>
      <c r="E1798" s="162"/>
      <c r="F1798" s="163"/>
      <c r="G1798" s="164"/>
      <c r="H1798" s="165"/>
      <c r="I1798" s="164"/>
      <c r="J1798" s="165"/>
      <c r="K1798" s="164"/>
      <c r="L1798" s="165"/>
      <c r="M1798" s="6"/>
      <c r="N1798" s="32"/>
      <c r="Q1798" s="10" t="str">
        <f>+CONCATENATE(E1797,I1797)</f>
        <v/>
      </c>
      <c r="R1798" s="10">
        <f>+J1797</f>
        <v>0</v>
      </c>
      <c r="S1798" s="11"/>
      <c r="T1798" s="10">
        <f>+E1797</f>
        <v>0</v>
      </c>
      <c r="U1798" s="19" t="str">
        <f>IFERROR(LEFT(I1797,FIND("*",I1797)-1),"-")</f>
        <v>-</v>
      </c>
      <c r="V1798" s="19" t="str">
        <f>IFERROR(RIGHT(I1797,LEN(I1797)-FIND("*",I1797)),"-")</f>
        <v>-</v>
      </c>
      <c r="W1798" s="20" t="str">
        <f t="shared" si="973"/>
        <v>-</v>
      </c>
      <c r="X1798" s="20" t="str">
        <f>IFERROR(W1798*J1797,"-")</f>
        <v>-</v>
      </c>
      <c r="Z1798" s="85">
        <v>45188</v>
      </c>
    </row>
    <row r="1799" spans="1:26" ht="6.95" customHeight="1" x14ac:dyDescent="0.3">
      <c r="A1799" s="5"/>
      <c r="B1799" s="157"/>
      <c r="C1799" s="158"/>
      <c r="D1799" s="161"/>
      <c r="E1799" s="162"/>
      <c r="F1799" s="163"/>
      <c r="G1799" s="164"/>
      <c r="H1799" s="165"/>
      <c r="I1799" s="164"/>
      <c r="J1799" s="165"/>
      <c r="K1799" s="164"/>
      <c r="L1799" s="165"/>
      <c r="M1799" s="6"/>
      <c r="N1799" s="32"/>
      <c r="Q1799" s="10" t="str">
        <f>+CONCATENATE(E1797,K1797)</f>
        <v/>
      </c>
      <c r="R1799" s="10">
        <f>+L1797</f>
        <v>0</v>
      </c>
      <c r="S1799" s="11"/>
      <c r="T1799" s="10">
        <f>+E1797</f>
        <v>0</v>
      </c>
      <c r="U1799" s="19" t="str">
        <f>IFERROR(LEFT(K1797,FIND("*",K1797)-1),"-")</f>
        <v>-</v>
      </c>
      <c r="V1799" s="19" t="str">
        <f>IFERROR(RIGHT(K1797,LEN(K1797)-FIND("*",K1797)),"-")</f>
        <v>-</v>
      </c>
      <c r="W1799" s="20" t="str">
        <f t="shared" si="973"/>
        <v>-</v>
      </c>
      <c r="X1799" s="20" t="str">
        <f>IFERROR(W1799*L1797,"-")</f>
        <v>-</v>
      </c>
      <c r="Z1799" s="85">
        <v>45188</v>
      </c>
    </row>
    <row r="1800" spans="1:26" ht="6.95" customHeight="1" x14ac:dyDescent="0.3">
      <c r="A1800" s="8"/>
      <c r="B1800" s="157"/>
      <c r="C1800" s="158"/>
      <c r="D1800" s="161" t="s">
        <v>39</v>
      </c>
      <c r="E1800" s="162"/>
      <c r="F1800" s="163" t="s">
        <v>40</v>
      </c>
      <c r="G1800" s="164"/>
      <c r="H1800" s="165"/>
      <c r="I1800" s="164"/>
      <c r="J1800" s="165"/>
      <c r="K1800" s="164"/>
      <c r="L1800" s="165"/>
      <c r="M1800" s="6"/>
      <c r="N1800" s="32"/>
      <c r="Q1800" s="10" t="str">
        <f>+CONCATENATE(E1800,G1800)</f>
        <v/>
      </c>
      <c r="R1800" s="10">
        <f>+H1800</f>
        <v>0</v>
      </c>
      <c r="S1800" s="11"/>
      <c r="T1800" s="10">
        <f>+E1800</f>
        <v>0</v>
      </c>
      <c r="U1800" s="19" t="str">
        <f t="shared" ref="U1800" si="976">IFERROR(LEFT(G1800,FIND("*",G1800)-1),"-")</f>
        <v>-</v>
      </c>
      <c r="V1800" s="19" t="str">
        <f t="shared" ref="V1800" si="977">IFERROR(RIGHT(G1800,LEN(G1800)-FIND("*",G1800)),"-")</f>
        <v>-</v>
      </c>
      <c r="W1800" s="20" t="str">
        <f t="shared" si="973"/>
        <v>-</v>
      </c>
      <c r="X1800" s="20" t="str">
        <f>IFERROR(W1800*H1800,"-")</f>
        <v>-</v>
      </c>
      <c r="Z1800" s="85">
        <v>45188</v>
      </c>
    </row>
    <row r="1801" spans="1:26" ht="6.95" customHeight="1" x14ac:dyDescent="0.3">
      <c r="A1801" s="5"/>
      <c r="B1801" s="157"/>
      <c r="C1801" s="158"/>
      <c r="D1801" s="161"/>
      <c r="E1801" s="162"/>
      <c r="F1801" s="163"/>
      <c r="G1801" s="164"/>
      <c r="H1801" s="165"/>
      <c r="I1801" s="164"/>
      <c r="J1801" s="165"/>
      <c r="K1801" s="164"/>
      <c r="L1801" s="165"/>
      <c r="M1801" s="6"/>
      <c r="N1801" s="32"/>
      <c r="Q1801" s="10" t="str">
        <f>+CONCATENATE(E1800,I1800)</f>
        <v/>
      </c>
      <c r="R1801" s="10">
        <f>+J1800</f>
        <v>0</v>
      </c>
      <c r="S1801" s="11"/>
      <c r="T1801" s="10">
        <f>+E1800</f>
        <v>0</v>
      </c>
      <c r="U1801" s="19" t="str">
        <f>IFERROR(LEFT(I1800,FIND("*",I1800)-1),"-")</f>
        <v>-</v>
      </c>
      <c r="V1801" s="19" t="str">
        <f>IFERROR(RIGHT(I1800,LEN(I1800)-FIND("*",I1800)),"-")</f>
        <v>-</v>
      </c>
      <c r="W1801" s="20" t="str">
        <f t="shared" si="973"/>
        <v>-</v>
      </c>
      <c r="X1801" s="20" t="str">
        <f t="shared" ref="X1801" si="978">IFERROR(W1801*J1800,"-")</f>
        <v>-</v>
      </c>
      <c r="Z1801" s="85">
        <v>45188</v>
      </c>
    </row>
    <row r="1802" spans="1:26" ht="6.95" customHeight="1" x14ac:dyDescent="0.3">
      <c r="A1802" s="5"/>
      <c r="B1802" s="157"/>
      <c r="C1802" s="158"/>
      <c r="D1802" s="161"/>
      <c r="E1802" s="162"/>
      <c r="F1802" s="163"/>
      <c r="G1802" s="164"/>
      <c r="H1802" s="165"/>
      <c r="I1802" s="164"/>
      <c r="J1802" s="165"/>
      <c r="K1802" s="164"/>
      <c r="L1802" s="165"/>
      <c r="M1802" s="6"/>
      <c r="N1802" s="32"/>
      <c r="Q1802" s="10" t="str">
        <f>+CONCATENATE(E1800,K1800)</f>
        <v/>
      </c>
      <c r="R1802" s="10">
        <f>+L1800</f>
        <v>0</v>
      </c>
      <c r="S1802" s="11"/>
      <c r="T1802" s="10">
        <f>+E1800</f>
        <v>0</v>
      </c>
      <c r="U1802" s="19" t="str">
        <f>IFERROR(LEFT(K1800,FIND("*",K1800)-1),"-")</f>
        <v>-</v>
      </c>
      <c r="V1802" s="19" t="str">
        <f>IFERROR(RIGHT(K1800,LEN(K1800)-FIND("*",K1800)),"-")</f>
        <v>-</v>
      </c>
      <c r="W1802" s="20" t="str">
        <f t="shared" si="973"/>
        <v>-</v>
      </c>
      <c r="X1802" s="20" t="str">
        <f>IFERROR(W1802*L1800,"-")</f>
        <v>-</v>
      </c>
      <c r="Z1802" s="85">
        <v>45188</v>
      </c>
    </row>
    <row r="1803" spans="1:26" ht="21" customHeight="1" thickBot="1" x14ac:dyDescent="0.35">
      <c r="A1803" s="5"/>
      <c r="B1803" s="159"/>
      <c r="C1803" s="160"/>
      <c r="D1803" s="166" t="s">
        <v>43</v>
      </c>
      <c r="E1803" s="167"/>
      <c r="F1803" s="167"/>
      <c r="G1803" s="168" t="s">
        <v>185</v>
      </c>
      <c r="H1803" s="168"/>
      <c r="I1803" s="168"/>
      <c r="J1803" s="168"/>
      <c r="K1803" s="168"/>
      <c r="L1803" s="168"/>
      <c r="M1803" s="7"/>
      <c r="N1803" s="32"/>
      <c r="Z1803" s="85">
        <v>45188</v>
      </c>
    </row>
    <row r="1804" spans="1:26" ht="9.9499999999999993" customHeight="1" thickBot="1" x14ac:dyDescent="0.35">
      <c r="B1804" s="9"/>
      <c r="C1804" s="109">
        <v>963</v>
      </c>
      <c r="D1804" s="51"/>
      <c r="E1804" s="12"/>
      <c r="F1804" s="51"/>
      <c r="G1804" s="14"/>
      <c r="H1804" s="14"/>
      <c r="I1804" s="14"/>
      <c r="J1804" s="14"/>
      <c r="K1804" s="14"/>
      <c r="L1804" s="14"/>
      <c r="M1804" s="9"/>
      <c r="N1804" s="32"/>
      <c r="U1804" s="18"/>
      <c r="V1804" s="18"/>
      <c r="Z1804" s="85">
        <v>45188</v>
      </c>
    </row>
    <row r="1805" spans="1:26" ht="6.95" customHeight="1" x14ac:dyDescent="0.3">
      <c r="A1805" s="154">
        <f>+A1794+1</f>
        <v>964</v>
      </c>
      <c r="B1805" s="155"/>
      <c r="C1805" s="156"/>
      <c r="D1805" s="161" t="s">
        <v>39</v>
      </c>
      <c r="E1805" s="162" t="s">
        <v>293</v>
      </c>
      <c r="F1805" s="163" t="s">
        <v>40</v>
      </c>
      <c r="G1805" s="164">
        <v>150</v>
      </c>
      <c r="H1805" s="165">
        <v>1</v>
      </c>
      <c r="I1805" s="164"/>
      <c r="J1805" s="165"/>
      <c r="K1805" s="164"/>
      <c r="L1805" s="165"/>
      <c r="M1805" s="6"/>
      <c r="N1805" s="32"/>
      <c r="Q1805" s="10" t="str">
        <f>+CONCATENATE(E1805,G1805)</f>
        <v>금속관입상150</v>
      </c>
      <c r="R1805" s="10">
        <f>+H1805</f>
        <v>1</v>
      </c>
      <c r="S1805" s="11"/>
      <c r="T1805" s="10" t="str">
        <f>+E1805</f>
        <v>금속관입상</v>
      </c>
      <c r="U1805" s="19" t="str">
        <f>IFERROR(LEFT(G1805,FIND("*",G1805)-1),"-")</f>
        <v>-</v>
      </c>
      <c r="V1805" s="19" t="str">
        <f>IFERROR(RIGHT(G1805,LEN(G1805)-FIND("*",G1805)),"-")</f>
        <v>-</v>
      </c>
      <c r="W1805" s="20" t="str">
        <f>IFERROR((U1805+V1805)*2/1000,"-")</f>
        <v>-</v>
      </c>
      <c r="X1805" s="20" t="str">
        <f>IFERROR(W1805*H1805,"-")</f>
        <v>-</v>
      </c>
      <c r="Z1805" s="85">
        <v>45188</v>
      </c>
    </row>
    <row r="1806" spans="1:26" ht="6.95" customHeight="1" x14ac:dyDescent="0.3">
      <c r="A1806" s="154"/>
      <c r="B1806" s="157"/>
      <c r="C1806" s="158"/>
      <c r="D1806" s="161"/>
      <c r="E1806" s="162"/>
      <c r="F1806" s="163"/>
      <c r="G1806" s="164"/>
      <c r="H1806" s="165"/>
      <c r="I1806" s="164"/>
      <c r="J1806" s="165"/>
      <c r="K1806" s="164"/>
      <c r="L1806" s="165"/>
      <c r="M1806" s="6"/>
      <c r="N1806" s="32"/>
      <c r="Q1806" s="10" t="str">
        <f>+CONCATENATE(E1805,I1805)</f>
        <v>금속관입상</v>
      </c>
      <c r="R1806" s="10">
        <f>+J1805</f>
        <v>0</v>
      </c>
      <c r="S1806" s="11"/>
      <c r="T1806" s="10" t="str">
        <f>+E1805</f>
        <v>금속관입상</v>
      </c>
      <c r="U1806" s="19" t="str">
        <f>IFERROR(LEFT(I1805,FIND("*",I1805)-1),"-")</f>
        <v>-</v>
      </c>
      <c r="V1806" s="19" t="str">
        <f>IFERROR(RIGHT(I1805,LEN(I1805)-FIND("*",I1805)),"-")</f>
        <v>-</v>
      </c>
      <c r="W1806" s="20" t="str">
        <f t="shared" ref="W1806:W1813" si="979">IFERROR((U1806+V1806)*2/1000,"-")</f>
        <v>-</v>
      </c>
      <c r="X1806" s="20" t="str">
        <f>IFERROR(W1806*J1805,"-")</f>
        <v>-</v>
      </c>
      <c r="Z1806" s="85">
        <v>45188</v>
      </c>
    </row>
    <row r="1807" spans="1:26" ht="6.95" customHeight="1" x14ac:dyDescent="0.3">
      <c r="A1807" s="154"/>
      <c r="B1807" s="157"/>
      <c r="C1807" s="158"/>
      <c r="D1807" s="161"/>
      <c r="E1807" s="162"/>
      <c r="F1807" s="163"/>
      <c r="G1807" s="164"/>
      <c r="H1807" s="165"/>
      <c r="I1807" s="164"/>
      <c r="J1807" s="165"/>
      <c r="K1807" s="164"/>
      <c r="L1807" s="165"/>
      <c r="M1807" s="6"/>
      <c r="N1807" s="32"/>
      <c r="Q1807" s="10" t="str">
        <f>+CONCATENATE(E1805,K1805)</f>
        <v>금속관입상</v>
      </c>
      <c r="R1807" s="10">
        <f>+L1805</f>
        <v>0</v>
      </c>
      <c r="S1807" s="11"/>
      <c r="T1807" s="10" t="str">
        <f>+E1805</f>
        <v>금속관입상</v>
      </c>
      <c r="U1807" s="19" t="str">
        <f>IFERROR(LEFT(K1805,FIND("*",K1805)-1),"-")</f>
        <v>-</v>
      </c>
      <c r="V1807" s="19" t="str">
        <f>IFERROR(RIGHT(K1805,LEN(K1805)-FIND("*",K1805)),"-")</f>
        <v>-</v>
      </c>
      <c r="W1807" s="20" t="str">
        <f t="shared" si="979"/>
        <v>-</v>
      </c>
      <c r="X1807" s="20" t="str">
        <f>IFERROR(W1807*L1805,"-")</f>
        <v>-</v>
      </c>
      <c r="Z1807" s="85">
        <v>45188</v>
      </c>
    </row>
    <row r="1808" spans="1:26" ht="6.95" customHeight="1" x14ac:dyDescent="0.3">
      <c r="A1808" s="8"/>
      <c r="B1808" s="157"/>
      <c r="C1808" s="158"/>
      <c r="D1808" s="161" t="s">
        <v>39</v>
      </c>
      <c r="E1808" s="162"/>
      <c r="F1808" s="163" t="s">
        <v>40</v>
      </c>
      <c r="G1808" s="164"/>
      <c r="H1808" s="165"/>
      <c r="I1808" s="164"/>
      <c r="J1808" s="165"/>
      <c r="K1808" s="164"/>
      <c r="L1808" s="165"/>
      <c r="M1808" s="6"/>
      <c r="N1808" s="32"/>
      <c r="Q1808" s="10" t="str">
        <f>+CONCATENATE(E1808,G1808)</f>
        <v/>
      </c>
      <c r="R1808" s="10">
        <f>+H1808</f>
        <v>0</v>
      </c>
      <c r="S1808" s="11"/>
      <c r="T1808" s="10">
        <f>+E1808</f>
        <v>0</v>
      </c>
      <c r="U1808" s="19" t="str">
        <f t="shared" ref="U1808" si="980">IFERROR(LEFT(G1808,FIND("*",G1808)-1),"-")</f>
        <v>-</v>
      </c>
      <c r="V1808" s="19" t="str">
        <f t="shared" ref="V1808" si="981">IFERROR(RIGHT(G1808,LEN(G1808)-FIND("*",G1808)),"-")</f>
        <v>-</v>
      </c>
      <c r="W1808" s="20" t="str">
        <f t="shared" si="979"/>
        <v>-</v>
      </c>
      <c r="X1808" s="20" t="str">
        <f>IFERROR(W1808*H1808,"-")</f>
        <v>-</v>
      </c>
      <c r="Z1808" s="85">
        <v>45188</v>
      </c>
    </row>
    <row r="1809" spans="1:26" ht="6.95" customHeight="1" x14ac:dyDescent="0.3">
      <c r="A1809" s="5"/>
      <c r="B1809" s="157"/>
      <c r="C1809" s="158"/>
      <c r="D1809" s="161"/>
      <c r="E1809" s="162"/>
      <c r="F1809" s="163"/>
      <c r="G1809" s="164"/>
      <c r="H1809" s="165"/>
      <c r="I1809" s="164"/>
      <c r="J1809" s="165"/>
      <c r="K1809" s="164"/>
      <c r="L1809" s="165"/>
      <c r="M1809" s="6"/>
      <c r="N1809" s="32"/>
      <c r="Q1809" s="10" t="str">
        <f>+CONCATENATE(E1808,I1808)</f>
        <v/>
      </c>
      <c r="R1809" s="10">
        <f>+J1808</f>
        <v>0</v>
      </c>
      <c r="S1809" s="11"/>
      <c r="T1809" s="10">
        <f>+E1808</f>
        <v>0</v>
      </c>
      <c r="U1809" s="19" t="str">
        <f>IFERROR(LEFT(I1808,FIND("*",I1808)-1),"-")</f>
        <v>-</v>
      </c>
      <c r="V1809" s="19" t="str">
        <f>IFERROR(RIGHT(I1808,LEN(I1808)-FIND("*",I1808)),"-")</f>
        <v>-</v>
      </c>
      <c r="W1809" s="20" t="str">
        <f t="shared" si="979"/>
        <v>-</v>
      </c>
      <c r="X1809" s="20" t="str">
        <f>IFERROR(W1809*J1808,"-")</f>
        <v>-</v>
      </c>
      <c r="Z1809" s="85">
        <v>45188</v>
      </c>
    </row>
    <row r="1810" spans="1:26" ht="6.95" customHeight="1" x14ac:dyDescent="0.3">
      <c r="A1810" s="5"/>
      <c r="B1810" s="157"/>
      <c r="C1810" s="158"/>
      <c r="D1810" s="161"/>
      <c r="E1810" s="162"/>
      <c r="F1810" s="163"/>
      <c r="G1810" s="164"/>
      <c r="H1810" s="165"/>
      <c r="I1810" s="164"/>
      <c r="J1810" s="165"/>
      <c r="K1810" s="164"/>
      <c r="L1810" s="165"/>
      <c r="M1810" s="6"/>
      <c r="N1810" s="32"/>
      <c r="Q1810" s="10" t="str">
        <f>+CONCATENATE(E1808,K1808)</f>
        <v/>
      </c>
      <c r="R1810" s="10">
        <f>+L1808</f>
        <v>0</v>
      </c>
      <c r="S1810" s="11"/>
      <c r="T1810" s="10">
        <f>+E1808</f>
        <v>0</v>
      </c>
      <c r="U1810" s="19" t="str">
        <f>IFERROR(LEFT(K1808,FIND("*",K1808)-1),"-")</f>
        <v>-</v>
      </c>
      <c r="V1810" s="19" t="str">
        <f>IFERROR(RIGHT(K1808,LEN(K1808)-FIND("*",K1808)),"-")</f>
        <v>-</v>
      </c>
      <c r="W1810" s="20" t="str">
        <f t="shared" si="979"/>
        <v>-</v>
      </c>
      <c r="X1810" s="20" t="str">
        <f>IFERROR(W1810*L1808,"-")</f>
        <v>-</v>
      </c>
      <c r="Z1810" s="85">
        <v>45188</v>
      </c>
    </row>
    <row r="1811" spans="1:26" ht="6.95" customHeight="1" x14ac:dyDescent="0.3">
      <c r="A1811" s="8"/>
      <c r="B1811" s="157"/>
      <c r="C1811" s="158"/>
      <c r="D1811" s="161" t="s">
        <v>39</v>
      </c>
      <c r="E1811" s="162"/>
      <c r="F1811" s="163" t="s">
        <v>40</v>
      </c>
      <c r="G1811" s="164"/>
      <c r="H1811" s="165"/>
      <c r="I1811" s="164"/>
      <c r="J1811" s="165"/>
      <c r="K1811" s="164"/>
      <c r="L1811" s="165"/>
      <c r="M1811" s="6"/>
      <c r="N1811" s="32"/>
      <c r="Q1811" s="10" t="str">
        <f>+CONCATENATE(E1811,G1811)</f>
        <v/>
      </c>
      <c r="R1811" s="10">
        <f>+H1811</f>
        <v>0</v>
      </c>
      <c r="S1811" s="11"/>
      <c r="T1811" s="10">
        <f>+E1811</f>
        <v>0</v>
      </c>
      <c r="U1811" s="19" t="str">
        <f t="shared" ref="U1811" si="982">IFERROR(LEFT(G1811,FIND("*",G1811)-1),"-")</f>
        <v>-</v>
      </c>
      <c r="V1811" s="19" t="str">
        <f t="shared" ref="V1811" si="983">IFERROR(RIGHT(G1811,LEN(G1811)-FIND("*",G1811)),"-")</f>
        <v>-</v>
      </c>
      <c r="W1811" s="20" t="str">
        <f t="shared" si="979"/>
        <v>-</v>
      </c>
      <c r="X1811" s="20" t="str">
        <f>IFERROR(W1811*H1811,"-")</f>
        <v>-</v>
      </c>
      <c r="Z1811" s="85">
        <v>45188</v>
      </c>
    </row>
    <row r="1812" spans="1:26" ht="6.95" customHeight="1" x14ac:dyDescent="0.3">
      <c r="A1812" s="5"/>
      <c r="B1812" s="157"/>
      <c r="C1812" s="158"/>
      <c r="D1812" s="161"/>
      <c r="E1812" s="162"/>
      <c r="F1812" s="163"/>
      <c r="G1812" s="164"/>
      <c r="H1812" s="165"/>
      <c r="I1812" s="164"/>
      <c r="J1812" s="165"/>
      <c r="K1812" s="164"/>
      <c r="L1812" s="165"/>
      <c r="M1812" s="6"/>
      <c r="N1812" s="32"/>
      <c r="Q1812" s="10" t="str">
        <f>+CONCATENATE(E1811,I1811)</f>
        <v/>
      </c>
      <c r="R1812" s="10">
        <f>+J1811</f>
        <v>0</v>
      </c>
      <c r="S1812" s="11"/>
      <c r="T1812" s="10">
        <f>+E1811</f>
        <v>0</v>
      </c>
      <c r="U1812" s="19" t="str">
        <f>IFERROR(LEFT(I1811,FIND("*",I1811)-1),"-")</f>
        <v>-</v>
      </c>
      <c r="V1812" s="19" t="str">
        <f>IFERROR(RIGHT(I1811,LEN(I1811)-FIND("*",I1811)),"-")</f>
        <v>-</v>
      </c>
      <c r="W1812" s="20" t="str">
        <f t="shared" si="979"/>
        <v>-</v>
      </c>
      <c r="X1812" s="20" t="str">
        <f t="shared" ref="X1812" si="984">IFERROR(W1812*J1811,"-")</f>
        <v>-</v>
      </c>
      <c r="Z1812" s="85">
        <v>45188</v>
      </c>
    </row>
    <row r="1813" spans="1:26" ht="6.95" customHeight="1" x14ac:dyDescent="0.3">
      <c r="A1813" s="5"/>
      <c r="B1813" s="157"/>
      <c r="C1813" s="158"/>
      <c r="D1813" s="161"/>
      <c r="E1813" s="162"/>
      <c r="F1813" s="163"/>
      <c r="G1813" s="164"/>
      <c r="H1813" s="165"/>
      <c r="I1813" s="164"/>
      <c r="J1813" s="165"/>
      <c r="K1813" s="164"/>
      <c r="L1813" s="165"/>
      <c r="M1813" s="6"/>
      <c r="N1813" s="32"/>
      <c r="Q1813" s="10" t="str">
        <f>+CONCATENATE(E1811,K1811)</f>
        <v/>
      </c>
      <c r="R1813" s="10">
        <f>+L1811</f>
        <v>0</v>
      </c>
      <c r="S1813" s="11"/>
      <c r="T1813" s="10">
        <f>+E1811</f>
        <v>0</v>
      </c>
      <c r="U1813" s="19" t="str">
        <f>IFERROR(LEFT(K1811,FIND("*",K1811)-1),"-")</f>
        <v>-</v>
      </c>
      <c r="V1813" s="19" t="str">
        <f>IFERROR(RIGHT(K1811,LEN(K1811)-FIND("*",K1811)),"-")</f>
        <v>-</v>
      </c>
      <c r="W1813" s="20" t="str">
        <f t="shared" si="979"/>
        <v>-</v>
      </c>
      <c r="X1813" s="20" t="str">
        <f>IFERROR(W1813*L1811,"-")</f>
        <v>-</v>
      </c>
      <c r="Z1813" s="85">
        <v>45188</v>
      </c>
    </row>
    <row r="1814" spans="1:26" ht="21" customHeight="1" thickBot="1" x14ac:dyDescent="0.35">
      <c r="A1814" s="5"/>
      <c r="B1814" s="159"/>
      <c r="C1814" s="160"/>
      <c r="D1814" s="166" t="s">
        <v>43</v>
      </c>
      <c r="E1814" s="167"/>
      <c r="F1814" s="167"/>
      <c r="G1814" s="168" t="s">
        <v>185</v>
      </c>
      <c r="H1814" s="168"/>
      <c r="I1814" s="168"/>
      <c r="J1814" s="168"/>
      <c r="K1814" s="168"/>
      <c r="L1814" s="168"/>
      <c r="M1814" s="7"/>
      <c r="N1814" s="32"/>
      <c r="Z1814" s="85">
        <v>45188</v>
      </c>
    </row>
    <row r="1815" spans="1:26" ht="9.9499999999999993" customHeight="1" thickBot="1" x14ac:dyDescent="0.35">
      <c r="B1815" s="9"/>
      <c r="C1815" s="109">
        <v>964</v>
      </c>
      <c r="D1815" s="51"/>
      <c r="E1815" s="12"/>
      <c r="F1815" s="51"/>
      <c r="G1815" s="14"/>
      <c r="H1815" s="14"/>
      <c r="I1815" s="14"/>
      <c r="J1815" s="14"/>
      <c r="K1815" s="14"/>
      <c r="L1815" s="14"/>
      <c r="M1815" s="9"/>
      <c r="N1815" s="32"/>
      <c r="U1815" s="18"/>
      <c r="V1815" s="18"/>
      <c r="Z1815" s="85">
        <v>45188</v>
      </c>
    </row>
    <row r="1816" spans="1:26" ht="6.95" customHeight="1" x14ac:dyDescent="0.3">
      <c r="A1816" s="154">
        <f>+A1805+1</f>
        <v>965</v>
      </c>
      <c r="B1816" s="155"/>
      <c r="C1816" s="156"/>
      <c r="D1816" s="161" t="s">
        <v>39</v>
      </c>
      <c r="E1816" s="162" t="s">
        <v>113</v>
      </c>
      <c r="F1816" s="163" t="s">
        <v>40</v>
      </c>
      <c r="G1816" s="164" t="s">
        <v>197</v>
      </c>
      <c r="H1816" s="165">
        <v>0.5</v>
      </c>
      <c r="I1816" s="164"/>
      <c r="J1816" s="165"/>
      <c r="K1816" s="164"/>
      <c r="L1816" s="165"/>
      <c r="M1816" s="6"/>
      <c r="N1816" s="32"/>
      <c r="Q1816" s="10" t="str">
        <f>+CONCATENATE(E1816,G1816)</f>
        <v>무보온덕트입상2000*600</v>
      </c>
      <c r="R1816" s="10">
        <f>+H1816</f>
        <v>0.5</v>
      </c>
      <c r="S1816" s="11"/>
      <c r="T1816" s="10" t="str">
        <f>+E1816</f>
        <v>무보온덕트입상</v>
      </c>
      <c r="U1816" s="19" t="str">
        <f>IFERROR(LEFT(G1816,FIND("*",G1816)-1),"-")</f>
        <v>2000</v>
      </c>
      <c r="V1816" s="19" t="str">
        <f>IFERROR(RIGHT(G1816,LEN(G1816)-FIND("*",G1816)),"-")</f>
        <v>600</v>
      </c>
      <c r="W1816" s="20">
        <f>IFERROR((U1816+V1816)*2/1000,"-")</f>
        <v>5.2</v>
      </c>
      <c r="X1816" s="20">
        <f>IFERROR(W1816*H1816,"-")</f>
        <v>2.6</v>
      </c>
      <c r="Z1816" s="85">
        <v>45188</v>
      </c>
    </row>
    <row r="1817" spans="1:26" ht="6.95" customHeight="1" x14ac:dyDescent="0.3">
      <c r="A1817" s="154"/>
      <c r="B1817" s="157"/>
      <c r="C1817" s="158"/>
      <c r="D1817" s="161"/>
      <c r="E1817" s="162"/>
      <c r="F1817" s="163"/>
      <c r="G1817" s="164"/>
      <c r="H1817" s="165"/>
      <c r="I1817" s="164"/>
      <c r="J1817" s="165"/>
      <c r="K1817" s="164"/>
      <c r="L1817" s="165"/>
      <c r="M1817" s="6"/>
      <c r="N1817" s="32"/>
      <c r="Q1817" s="10" t="str">
        <f>+CONCATENATE(E1816,I1816)</f>
        <v>무보온덕트입상</v>
      </c>
      <c r="R1817" s="10">
        <f>+J1816</f>
        <v>0</v>
      </c>
      <c r="S1817" s="11"/>
      <c r="T1817" s="10" t="str">
        <f>+E1816</f>
        <v>무보온덕트입상</v>
      </c>
      <c r="U1817" s="19" t="str">
        <f>IFERROR(LEFT(I1816,FIND("*",I1816)-1),"-")</f>
        <v>-</v>
      </c>
      <c r="V1817" s="19" t="str">
        <f>IFERROR(RIGHT(I1816,LEN(I1816)-FIND("*",I1816)),"-")</f>
        <v>-</v>
      </c>
      <c r="W1817" s="20" t="str">
        <f t="shared" ref="W1817:W1824" si="985">IFERROR((U1817+V1817)*2/1000,"-")</f>
        <v>-</v>
      </c>
      <c r="X1817" s="20" t="str">
        <f>IFERROR(W1817*J1816,"-")</f>
        <v>-</v>
      </c>
      <c r="Z1817" s="85">
        <v>45188</v>
      </c>
    </row>
    <row r="1818" spans="1:26" ht="6.95" customHeight="1" x14ac:dyDescent="0.3">
      <c r="A1818" s="154"/>
      <c r="B1818" s="157"/>
      <c r="C1818" s="158"/>
      <c r="D1818" s="161"/>
      <c r="E1818" s="162"/>
      <c r="F1818" s="163"/>
      <c r="G1818" s="164"/>
      <c r="H1818" s="165"/>
      <c r="I1818" s="164"/>
      <c r="J1818" s="165"/>
      <c r="K1818" s="164"/>
      <c r="L1818" s="165"/>
      <c r="M1818" s="6"/>
      <c r="N1818" s="32"/>
      <c r="Q1818" s="10" t="str">
        <f>+CONCATENATE(E1816,K1816)</f>
        <v>무보온덕트입상</v>
      </c>
      <c r="R1818" s="10">
        <f>+L1816</f>
        <v>0</v>
      </c>
      <c r="S1818" s="11"/>
      <c r="T1818" s="10" t="str">
        <f>+E1816</f>
        <v>무보온덕트입상</v>
      </c>
      <c r="U1818" s="19" t="str">
        <f>IFERROR(LEFT(K1816,FIND("*",K1816)-1),"-")</f>
        <v>-</v>
      </c>
      <c r="V1818" s="19" t="str">
        <f>IFERROR(RIGHT(K1816,LEN(K1816)-FIND("*",K1816)),"-")</f>
        <v>-</v>
      </c>
      <c r="W1818" s="20" t="str">
        <f t="shared" si="985"/>
        <v>-</v>
      </c>
      <c r="X1818" s="20" t="str">
        <f>IFERROR(W1818*L1816,"-")</f>
        <v>-</v>
      </c>
      <c r="Z1818" s="85">
        <v>45188</v>
      </c>
    </row>
    <row r="1819" spans="1:26" ht="6.95" customHeight="1" x14ac:dyDescent="0.3">
      <c r="A1819" s="8"/>
      <c r="B1819" s="157"/>
      <c r="C1819" s="158"/>
      <c r="D1819" s="161" t="s">
        <v>39</v>
      </c>
      <c r="E1819" s="162" t="s">
        <v>188</v>
      </c>
      <c r="F1819" s="163" t="s">
        <v>40</v>
      </c>
      <c r="G1819" s="164" t="s">
        <v>197</v>
      </c>
      <c r="H1819" s="165">
        <v>2.5</v>
      </c>
      <c r="I1819" s="164"/>
      <c r="J1819" s="165"/>
      <c r="K1819" s="164"/>
      <c r="L1819" s="165"/>
      <c r="M1819" s="6"/>
      <c r="N1819" s="32"/>
      <c r="Q1819" s="10" t="str">
        <f>+CONCATENATE(E1819,G1819)</f>
        <v>차열재마감2000*600</v>
      </c>
      <c r="R1819" s="10">
        <f>+H1819</f>
        <v>2.5</v>
      </c>
      <c r="S1819" s="11"/>
      <c r="T1819" s="10" t="str">
        <f>+E1819</f>
        <v>차열재마감</v>
      </c>
      <c r="U1819" s="19" t="str">
        <f t="shared" ref="U1819" si="986">IFERROR(LEFT(G1819,FIND("*",G1819)-1),"-")</f>
        <v>2000</v>
      </c>
      <c r="V1819" s="19" t="str">
        <f t="shared" ref="V1819" si="987">IFERROR(RIGHT(G1819,LEN(G1819)-FIND("*",G1819)),"-")</f>
        <v>600</v>
      </c>
      <c r="W1819" s="20">
        <f t="shared" si="985"/>
        <v>5.2</v>
      </c>
      <c r="X1819" s="20">
        <f>IFERROR(W1819*H1819,"-")</f>
        <v>13</v>
      </c>
      <c r="Z1819" s="85">
        <v>45188</v>
      </c>
    </row>
    <row r="1820" spans="1:26" ht="6.95" customHeight="1" x14ac:dyDescent="0.3">
      <c r="A1820" s="5"/>
      <c r="B1820" s="157"/>
      <c r="C1820" s="158"/>
      <c r="D1820" s="161"/>
      <c r="E1820" s="162"/>
      <c r="F1820" s="163"/>
      <c r="G1820" s="164"/>
      <c r="H1820" s="165"/>
      <c r="I1820" s="164"/>
      <c r="J1820" s="165"/>
      <c r="K1820" s="164"/>
      <c r="L1820" s="165"/>
      <c r="M1820" s="6"/>
      <c r="N1820" s="32"/>
      <c r="Q1820" s="10" t="str">
        <f>+CONCATENATE(E1819,I1819)</f>
        <v>차열재마감</v>
      </c>
      <c r="R1820" s="10">
        <f>+J1819</f>
        <v>0</v>
      </c>
      <c r="S1820" s="11"/>
      <c r="T1820" s="10" t="str">
        <f>+E1819</f>
        <v>차열재마감</v>
      </c>
      <c r="U1820" s="19" t="str">
        <f>IFERROR(LEFT(I1819,FIND("*",I1819)-1),"-")</f>
        <v>-</v>
      </c>
      <c r="V1820" s="19" t="str">
        <f>IFERROR(RIGHT(I1819,LEN(I1819)-FIND("*",I1819)),"-")</f>
        <v>-</v>
      </c>
      <c r="W1820" s="20" t="str">
        <f t="shared" si="985"/>
        <v>-</v>
      </c>
      <c r="X1820" s="20" t="str">
        <f>IFERROR(W1820*J1819,"-")</f>
        <v>-</v>
      </c>
      <c r="Z1820" s="85">
        <v>45188</v>
      </c>
    </row>
    <row r="1821" spans="1:26" ht="6.95" customHeight="1" x14ac:dyDescent="0.3">
      <c r="A1821" s="5"/>
      <c r="B1821" s="157"/>
      <c r="C1821" s="158"/>
      <c r="D1821" s="161"/>
      <c r="E1821" s="162"/>
      <c r="F1821" s="163"/>
      <c r="G1821" s="164"/>
      <c r="H1821" s="165"/>
      <c r="I1821" s="164"/>
      <c r="J1821" s="165"/>
      <c r="K1821" s="164"/>
      <c r="L1821" s="165"/>
      <c r="M1821" s="6"/>
      <c r="N1821" s="32"/>
      <c r="Q1821" s="10" t="str">
        <f>+CONCATENATE(E1819,K1819)</f>
        <v>차열재마감</v>
      </c>
      <c r="R1821" s="10">
        <f>+L1819</f>
        <v>0</v>
      </c>
      <c r="S1821" s="11"/>
      <c r="T1821" s="10" t="str">
        <f>+E1819</f>
        <v>차열재마감</v>
      </c>
      <c r="U1821" s="19" t="str">
        <f>IFERROR(LEFT(K1819,FIND("*",K1819)-1),"-")</f>
        <v>-</v>
      </c>
      <c r="V1821" s="19" t="str">
        <f>IFERROR(RIGHT(K1819,LEN(K1819)-FIND("*",K1819)),"-")</f>
        <v>-</v>
      </c>
      <c r="W1821" s="20" t="str">
        <f t="shared" si="985"/>
        <v>-</v>
      </c>
      <c r="X1821" s="20" t="str">
        <f>IFERROR(W1821*L1819,"-")</f>
        <v>-</v>
      </c>
      <c r="Z1821" s="85">
        <v>45188</v>
      </c>
    </row>
    <row r="1822" spans="1:26" ht="6.95" customHeight="1" x14ac:dyDescent="0.3">
      <c r="A1822" s="8"/>
      <c r="B1822" s="157"/>
      <c r="C1822" s="158"/>
      <c r="D1822" s="161" t="s">
        <v>39</v>
      </c>
      <c r="E1822" s="162"/>
      <c r="F1822" s="163" t="s">
        <v>40</v>
      </c>
      <c r="G1822" s="164"/>
      <c r="H1822" s="165"/>
      <c r="I1822" s="164"/>
      <c r="J1822" s="165"/>
      <c r="K1822" s="164"/>
      <c r="L1822" s="165"/>
      <c r="M1822" s="6"/>
      <c r="N1822" s="32"/>
      <c r="Q1822" s="10" t="str">
        <f>+CONCATENATE(E1822,G1822)</f>
        <v/>
      </c>
      <c r="R1822" s="10">
        <f>+H1822</f>
        <v>0</v>
      </c>
      <c r="S1822" s="11"/>
      <c r="T1822" s="10">
        <f>+E1822</f>
        <v>0</v>
      </c>
      <c r="U1822" s="19" t="str">
        <f t="shared" ref="U1822" si="988">IFERROR(LEFT(G1822,FIND("*",G1822)-1),"-")</f>
        <v>-</v>
      </c>
      <c r="V1822" s="19" t="str">
        <f t="shared" ref="V1822" si="989">IFERROR(RIGHT(G1822,LEN(G1822)-FIND("*",G1822)),"-")</f>
        <v>-</v>
      </c>
      <c r="W1822" s="20" t="str">
        <f t="shared" si="985"/>
        <v>-</v>
      </c>
      <c r="X1822" s="20" t="str">
        <f>IFERROR(W1822*H1822,"-")</f>
        <v>-</v>
      </c>
      <c r="Z1822" s="85">
        <v>45188</v>
      </c>
    </row>
    <row r="1823" spans="1:26" ht="6.95" customHeight="1" x14ac:dyDescent="0.3">
      <c r="A1823" s="5"/>
      <c r="B1823" s="157"/>
      <c r="C1823" s="158"/>
      <c r="D1823" s="161"/>
      <c r="E1823" s="162"/>
      <c r="F1823" s="163"/>
      <c r="G1823" s="164"/>
      <c r="H1823" s="165"/>
      <c r="I1823" s="164"/>
      <c r="J1823" s="165"/>
      <c r="K1823" s="164"/>
      <c r="L1823" s="165"/>
      <c r="M1823" s="6"/>
      <c r="N1823" s="32"/>
      <c r="Q1823" s="10" t="str">
        <f>+CONCATENATE(E1822,I1822)</f>
        <v/>
      </c>
      <c r="R1823" s="10">
        <f>+J1822</f>
        <v>0</v>
      </c>
      <c r="S1823" s="11"/>
      <c r="T1823" s="10">
        <f>+E1822</f>
        <v>0</v>
      </c>
      <c r="U1823" s="19" t="str">
        <f>IFERROR(LEFT(I1822,FIND("*",I1822)-1),"-")</f>
        <v>-</v>
      </c>
      <c r="V1823" s="19" t="str">
        <f>IFERROR(RIGHT(I1822,LEN(I1822)-FIND("*",I1822)),"-")</f>
        <v>-</v>
      </c>
      <c r="W1823" s="20" t="str">
        <f t="shared" si="985"/>
        <v>-</v>
      </c>
      <c r="X1823" s="20" t="str">
        <f t="shared" ref="X1823" si="990">IFERROR(W1823*J1822,"-")</f>
        <v>-</v>
      </c>
      <c r="Z1823" s="85">
        <v>45188</v>
      </c>
    </row>
    <row r="1824" spans="1:26" ht="6.95" customHeight="1" x14ac:dyDescent="0.3">
      <c r="A1824" s="5"/>
      <c r="B1824" s="157"/>
      <c r="C1824" s="158"/>
      <c r="D1824" s="161"/>
      <c r="E1824" s="162"/>
      <c r="F1824" s="163"/>
      <c r="G1824" s="164"/>
      <c r="H1824" s="165"/>
      <c r="I1824" s="164"/>
      <c r="J1824" s="165"/>
      <c r="K1824" s="164"/>
      <c r="L1824" s="165"/>
      <c r="M1824" s="6"/>
      <c r="N1824" s="32"/>
      <c r="Q1824" s="10" t="str">
        <f>+CONCATENATE(E1822,K1822)</f>
        <v/>
      </c>
      <c r="R1824" s="10">
        <f>+L1822</f>
        <v>0</v>
      </c>
      <c r="S1824" s="11"/>
      <c r="T1824" s="10">
        <f>+E1822</f>
        <v>0</v>
      </c>
      <c r="U1824" s="19" t="str">
        <f>IFERROR(LEFT(K1822,FIND("*",K1822)-1),"-")</f>
        <v>-</v>
      </c>
      <c r="V1824" s="19" t="str">
        <f>IFERROR(RIGHT(K1822,LEN(K1822)-FIND("*",K1822)),"-")</f>
        <v>-</v>
      </c>
      <c r="W1824" s="20" t="str">
        <f t="shared" si="985"/>
        <v>-</v>
      </c>
      <c r="X1824" s="20" t="str">
        <f>IFERROR(W1824*L1822,"-")</f>
        <v>-</v>
      </c>
      <c r="Z1824" s="85">
        <v>45188</v>
      </c>
    </row>
    <row r="1825" spans="1:26" ht="21" customHeight="1" thickBot="1" x14ac:dyDescent="0.35">
      <c r="A1825" s="5"/>
      <c r="B1825" s="159"/>
      <c r="C1825" s="160"/>
      <c r="D1825" s="166" t="s">
        <v>43</v>
      </c>
      <c r="E1825" s="167"/>
      <c r="F1825" s="167"/>
      <c r="G1825" s="168" t="s">
        <v>185</v>
      </c>
      <c r="H1825" s="168"/>
      <c r="I1825" s="168"/>
      <c r="J1825" s="168"/>
      <c r="K1825" s="168"/>
      <c r="L1825" s="168"/>
      <c r="M1825" s="7"/>
      <c r="N1825" s="32"/>
      <c r="Z1825" s="85">
        <v>45188</v>
      </c>
    </row>
    <row r="1826" spans="1:26" ht="9.9499999999999993" customHeight="1" thickBot="1" x14ac:dyDescent="0.35">
      <c r="B1826" s="9"/>
      <c r="C1826" s="109">
        <v>965</v>
      </c>
      <c r="D1826" s="51"/>
      <c r="E1826" s="12"/>
      <c r="F1826" s="51"/>
      <c r="G1826" s="14"/>
      <c r="H1826" s="14"/>
      <c r="I1826" s="14"/>
      <c r="J1826" s="14"/>
      <c r="K1826" s="14"/>
      <c r="L1826" s="14"/>
      <c r="M1826" s="9"/>
      <c r="N1826" s="32"/>
      <c r="U1826" s="18"/>
      <c r="V1826" s="18"/>
      <c r="Z1826" s="85">
        <v>45188</v>
      </c>
    </row>
    <row r="1827" spans="1:26" ht="6.95" customHeight="1" x14ac:dyDescent="0.3">
      <c r="A1827" s="154">
        <f>+A1816+1</f>
        <v>966</v>
      </c>
      <c r="B1827" s="155"/>
      <c r="C1827" s="156"/>
      <c r="D1827" s="161" t="s">
        <v>39</v>
      </c>
      <c r="E1827" s="162" t="s">
        <v>113</v>
      </c>
      <c r="F1827" s="163" t="s">
        <v>40</v>
      </c>
      <c r="G1827" s="164" t="s">
        <v>197</v>
      </c>
      <c r="H1827" s="165">
        <v>1</v>
      </c>
      <c r="I1827" s="164"/>
      <c r="J1827" s="165"/>
      <c r="K1827" s="164"/>
      <c r="L1827" s="165"/>
      <c r="M1827" s="6"/>
      <c r="N1827" s="32"/>
      <c r="Q1827" s="10" t="str">
        <f>+CONCATENATE(E1827,G1827)</f>
        <v>무보온덕트입상2000*600</v>
      </c>
      <c r="R1827" s="10">
        <f>+H1827</f>
        <v>1</v>
      </c>
      <c r="S1827" s="11"/>
      <c r="T1827" s="10" t="str">
        <f>+E1827</f>
        <v>무보온덕트입상</v>
      </c>
      <c r="U1827" s="19" t="str">
        <f>IFERROR(LEFT(G1827,FIND("*",G1827)-1),"-")</f>
        <v>2000</v>
      </c>
      <c r="V1827" s="19" t="str">
        <f>IFERROR(RIGHT(G1827,LEN(G1827)-FIND("*",G1827)),"-")</f>
        <v>600</v>
      </c>
      <c r="W1827" s="20">
        <f>IFERROR((U1827+V1827)*2/1000,"-")</f>
        <v>5.2</v>
      </c>
      <c r="X1827" s="20">
        <f>IFERROR(W1827*H1827,"-")</f>
        <v>5.2</v>
      </c>
      <c r="Z1827" s="85">
        <v>45188</v>
      </c>
    </row>
    <row r="1828" spans="1:26" ht="6.95" customHeight="1" x14ac:dyDescent="0.3">
      <c r="A1828" s="154"/>
      <c r="B1828" s="157"/>
      <c r="C1828" s="158"/>
      <c r="D1828" s="161"/>
      <c r="E1828" s="162"/>
      <c r="F1828" s="163"/>
      <c r="G1828" s="164"/>
      <c r="H1828" s="165"/>
      <c r="I1828" s="164"/>
      <c r="J1828" s="165"/>
      <c r="K1828" s="164"/>
      <c r="L1828" s="165"/>
      <c r="M1828" s="6"/>
      <c r="N1828" s="32"/>
      <c r="Q1828" s="10" t="str">
        <f>+CONCATENATE(E1827,I1827)</f>
        <v>무보온덕트입상</v>
      </c>
      <c r="R1828" s="10">
        <f>+J1827</f>
        <v>0</v>
      </c>
      <c r="S1828" s="11"/>
      <c r="T1828" s="10" t="str">
        <f>+E1827</f>
        <v>무보온덕트입상</v>
      </c>
      <c r="U1828" s="19" t="str">
        <f>IFERROR(LEFT(I1827,FIND("*",I1827)-1),"-")</f>
        <v>-</v>
      </c>
      <c r="V1828" s="19" t="str">
        <f>IFERROR(RIGHT(I1827,LEN(I1827)-FIND("*",I1827)),"-")</f>
        <v>-</v>
      </c>
      <c r="W1828" s="20" t="str">
        <f t="shared" ref="W1828:W1835" si="991">IFERROR((U1828+V1828)*2/1000,"-")</f>
        <v>-</v>
      </c>
      <c r="X1828" s="20" t="str">
        <f>IFERROR(W1828*J1827,"-")</f>
        <v>-</v>
      </c>
      <c r="Z1828" s="85">
        <v>45188</v>
      </c>
    </row>
    <row r="1829" spans="1:26" ht="6.95" customHeight="1" x14ac:dyDescent="0.3">
      <c r="A1829" s="154"/>
      <c r="B1829" s="157"/>
      <c r="C1829" s="158"/>
      <c r="D1829" s="161"/>
      <c r="E1829" s="162"/>
      <c r="F1829" s="163"/>
      <c r="G1829" s="164"/>
      <c r="H1829" s="165"/>
      <c r="I1829" s="164"/>
      <c r="J1829" s="165"/>
      <c r="K1829" s="164"/>
      <c r="L1829" s="165"/>
      <c r="M1829" s="6"/>
      <c r="N1829" s="32"/>
      <c r="Q1829" s="10" t="str">
        <f>+CONCATENATE(E1827,K1827)</f>
        <v>무보온덕트입상</v>
      </c>
      <c r="R1829" s="10">
        <f>+L1827</f>
        <v>0</v>
      </c>
      <c r="S1829" s="11"/>
      <c r="T1829" s="10" t="str">
        <f>+E1827</f>
        <v>무보온덕트입상</v>
      </c>
      <c r="U1829" s="19" t="str">
        <f>IFERROR(LEFT(K1827,FIND("*",K1827)-1),"-")</f>
        <v>-</v>
      </c>
      <c r="V1829" s="19" t="str">
        <f>IFERROR(RIGHT(K1827,LEN(K1827)-FIND("*",K1827)),"-")</f>
        <v>-</v>
      </c>
      <c r="W1829" s="20" t="str">
        <f t="shared" si="991"/>
        <v>-</v>
      </c>
      <c r="X1829" s="20" t="str">
        <f>IFERROR(W1829*L1827,"-")</f>
        <v>-</v>
      </c>
      <c r="Z1829" s="85">
        <v>45188</v>
      </c>
    </row>
    <row r="1830" spans="1:26" ht="6.95" customHeight="1" x14ac:dyDescent="0.3">
      <c r="A1830" s="8"/>
      <c r="B1830" s="157"/>
      <c r="C1830" s="158"/>
      <c r="D1830" s="161" t="s">
        <v>39</v>
      </c>
      <c r="E1830" s="162" t="s">
        <v>188</v>
      </c>
      <c r="F1830" s="163" t="s">
        <v>40</v>
      </c>
      <c r="G1830" s="164" t="s">
        <v>197</v>
      </c>
      <c r="H1830" s="165">
        <v>5</v>
      </c>
      <c r="I1830" s="164"/>
      <c r="J1830" s="165"/>
      <c r="K1830" s="164"/>
      <c r="L1830" s="165"/>
      <c r="M1830" s="6"/>
      <c r="N1830" s="32"/>
      <c r="Q1830" s="10" t="str">
        <f>+CONCATENATE(E1830,G1830)</f>
        <v>차열재마감2000*600</v>
      </c>
      <c r="R1830" s="10">
        <f>+H1830</f>
        <v>5</v>
      </c>
      <c r="S1830" s="11"/>
      <c r="T1830" s="10" t="str">
        <f>+E1830</f>
        <v>차열재마감</v>
      </c>
      <c r="U1830" s="19" t="str">
        <f t="shared" ref="U1830" si="992">IFERROR(LEFT(G1830,FIND("*",G1830)-1),"-")</f>
        <v>2000</v>
      </c>
      <c r="V1830" s="19" t="str">
        <f t="shared" ref="V1830" si="993">IFERROR(RIGHT(G1830,LEN(G1830)-FIND("*",G1830)),"-")</f>
        <v>600</v>
      </c>
      <c r="W1830" s="20">
        <f t="shared" si="991"/>
        <v>5.2</v>
      </c>
      <c r="X1830" s="20">
        <f>IFERROR(W1830*H1830,"-")</f>
        <v>26</v>
      </c>
      <c r="Z1830" s="85">
        <v>45188</v>
      </c>
    </row>
    <row r="1831" spans="1:26" ht="6.95" customHeight="1" x14ac:dyDescent="0.3">
      <c r="A1831" s="5"/>
      <c r="B1831" s="157"/>
      <c r="C1831" s="158"/>
      <c r="D1831" s="161"/>
      <c r="E1831" s="162"/>
      <c r="F1831" s="163"/>
      <c r="G1831" s="164"/>
      <c r="H1831" s="165"/>
      <c r="I1831" s="164"/>
      <c r="J1831" s="165"/>
      <c r="K1831" s="164"/>
      <c r="L1831" s="165"/>
      <c r="M1831" s="6"/>
      <c r="N1831" s="32"/>
      <c r="Q1831" s="10" t="str">
        <f>+CONCATENATE(E1830,I1830)</f>
        <v>차열재마감</v>
      </c>
      <c r="R1831" s="10">
        <f>+J1830</f>
        <v>0</v>
      </c>
      <c r="S1831" s="11"/>
      <c r="T1831" s="10" t="str">
        <f>+E1830</f>
        <v>차열재마감</v>
      </c>
      <c r="U1831" s="19" t="str">
        <f>IFERROR(LEFT(I1830,FIND("*",I1830)-1),"-")</f>
        <v>-</v>
      </c>
      <c r="V1831" s="19" t="str">
        <f>IFERROR(RIGHT(I1830,LEN(I1830)-FIND("*",I1830)),"-")</f>
        <v>-</v>
      </c>
      <c r="W1831" s="20" t="str">
        <f t="shared" si="991"/>
        <v>-</v>
      </c>
      <c r="X1831" s="20" t="str">
        <f>IFERROR(W1831*J1830,"-")</f>
        <v>-</v>
      </c>
      <c r="Z1831" s="85">
        <v>45188</v>
      </c>
    </row>
    <row r="1832" spans="1:26" ht="6.95" customHeight="1" x14ac:dyDescent="0.3">
      <c r="A1832" s="5"/>
      <c r="B1832" s="157"/>
      <c r="C1832" s="158"/>
      <c r="D1832" s="161"/>
      <c r="E1832" s="162"/>
      <c r="F1832" s="163"/>
      <c r="G1832" s="164"/>
      <c r="H1832" s="165"/>
      <c r="I1832" s="164"/>
      <c r="J1832" s="165"/>
      <c r="K1832" s="164"/>
      <c r="L1832" s="165"/>
      <c r="M1832" s="6"/>
      <c r="N1832" s="32"/>
      <c r="Q1832" s="10" t="str">
        <f>+CONCATENATE(E1830,K1830)</f>
        <v>차열재마감</v>
      </c>
      <c r="R1832" s="10">
        <f>+L1830</f>
        <v>0</v>
      </c>
      <c r="S1832" s="11"/>
      <c r="T1832" s="10" t="str">
        <f>+E1830</f>
        <v>차열재마감</v>
      </c>
      <c r="U1832" s="19" t="str">
        <f>IFERROR(LEFT(K1830,FIND("*",K1830)-1),"-")</f>
        <v>-</v>
      </c>
      <c r="V1832" s="19" t="str">
        <f>IFERROR(RIGHT(K1830,LEN(K1830)-FIND("*",K1830)),"-")</f>
        <v>-</v>
      </c>
      <c r="W1832" s="20" t="str">
        <f t="shared" si="991"/>
        <v>-</v>
      </c>
      <c r="X1832" s="20" t="str">
        <f>IFERROR(W1832*L1830,"-")</f>
        <v>-</v>
      </c>
      <c r="Z1832" s="85">
        <v>45188</v>
      </c>
    </row>
    <row r="1833" spans="1:26" ht="6.95" customHeight="1" x14ac:dyDescent="0.3">
      <c r="A1833" s="8"/>
      <c r="B1833" s="157"/>
      <c r="C1833" s="158"/>
      <c r="D1833" s="161" t="s">
        <v>39</v>
      </c>
      <c r="E1833" s="162"/>
      <c r="F1833" s="163" t="s">
        <v>40</v>
      </c>
      <c r="G1833" s="164"/>
      <c r="H1833" s="165"/>
      <c r="I1833" s="164"/>
      <c r="J1833" s="165"/>
      <c r="K1833" s="164"/>
      <c r="L1833" s="165"/>
      <c r="M1833" s="6"/>
      <c r="N1833" s="32"/>
      <c r="Q1833" s="10" t="str">
        <f>+CONCATENATE(E1833,G1833)</f>
        <v/>
      </c>
      <c r="R1833" s="10">
        <f>+H1833</f>
        <v>0</v>
      </c>
      <c r="S1833" s="11"/>
      <c r="T1833" s="10">
        <f>+E1833</f>
        <v>0</v>
      </c>
      <c r="U1833" s="19" t="str">
        <f t="shared" ref="U1833" si="994">IFERROR(LEFT(G1833,FIND("*",G1833)-1),"-")</f>
        <v>-</v>
      </c>
      <c r="V1833" s="19" t="str">
        <f t="shared" ref="V1833" si="995">IFERROR(RIGHT(G1833,LEN(G1833)-FIND("*",G1833)),"-")</f>
        <v>-</v>
      </c>
      <c r="W1833" s="20" t="str">
        <f t="shared" si="991"/>
        <v>-</v>
      </c>
      <c r="X1833" s="20" t="str">
        <f>IFERROR(W1833*H1833,"-")</f>
        <v>-</v>
      </c>
      <c r="Z1833" s="85">
        <v>45188</v>
      </c>
    </row>
    <row r="1834" spans="1:26" ht="6.95" customHeight="1" x14ac:dyDescent="0.3">
      <c r="A1834" s="5"/>
      <c r="B1834" s="157"/>
      <c r="C1834" s="158"/>
      <c r="D1834" s="161"/>
      <c r="E1834" s="162"/>
      <c r="F1834" s="163"/>
      <c r="G1834" s="164"/>
      <c r="H1834" s="165"/>
      <c r="I1834" s="164"/>
      <c r="J1834" s="165"/>
      <c r="K1834" s="164"/>
      <c r="L1834" s="165"/>
      <c r="M1834" s="6"/>
      <c r="N1834" s="32"/>
      <c r="Q1834" s="10" t="str">
        <f>+CONCATENATE(E1833,I1833)</f>
        <v/>
      </c>
      <c r="R1834" s="10">
        <f>+J1833</f>
        <v>0</v>
      </c>
      <c r="S1834" s="11"/>
      <c r="T1834" s="10">
        <f>+E1833</f>
        <v>0</v>
      </c>
      <c r="U1834" s="19" t="str">
        <f>IFERROR(LEFT(I1833,FIND("*",I1833)-1),"-")</f>
        <v>-</v>
      </c>
      <c r="V1834" s="19" t="str">
        <f>IFERROR(RIGHT(I1833,LEN(I1833)-FIND("*",I1833)),"-")</f>
        <v>-</v>
      </c>
      <c r="W1834" s="20" t="str">
        <f t="shared" si="991"/>
        <v>-</v>
      </c>
      <c r="X1834" s="20" t="str">
        <f t="shared" ref="X1834" si="996">IFERROR(W1834*J1833,"-")</f>
        <v>-</v>
      </c>
      <c r="Z1834" s="85">
        <v>45188</v>
      </c>
    </row>
    <row r="1835" spans="1:26" ht="6.95" customHeight="1" x14ac:dyDescent="0.3">
      <c r="A1835" s="5"/>
      <c r="B1835" s="157"/>
      <c r="C1835" s="158"/>
      <c r="D1835" s="161"/>
      <c r="E1835" s="162"/>
      <c r="F1835" s="163"/>
      <c r="G1835" s="164"/>
      <c r="H1835" s="165"/>
      <c r="I1835" s="164"/>
      <c r="J1835" s="165"/>
      <c r="K1835" s="164"/>
      <c r="L1835" s="165"/>
      <c r="M1835" s="6"/>
      <c r="N1835" s="32"/>
      <c r="Q1835" s="10" t="str">
        <f>+CONCATENATE(E1833,K1833)</f>
        <v/>
      </c>
      <c r="R1835" s="10">
        <f>+L1833</f>
        <v>0</v>
      </c>
      <c r="S1835" s="11"/>
      <c r="T1835" s="10">
        <f>+E1833</f>
        <v>0</v>
      </c>
      <c r="U1835" s="19" t="str">
        <f>IFERROR(LEFT(K1833,FIND("*",K1833)-1),"-")</f>
        <v>-</v>
      </c>
      <c r="V1835" s="19" t="str">
        <f>IFERROR(RIGHT(K1833,LEN(K1833)-FIND("*",K1833)),"-")</f>
        <v>-</v>
      </c>
      <c r="W1835" s="20" t="str">
        <f t="shared" si="991"/>
        <v>-</v>
      </c>
      <c r="X1835" s="20" t="str">
        <f>IFERROR(W1835*L1833,"-")</f>
        <v>-</v>
      </c>
      <c r="Z1835" s="85">
        <v>45188</v>
      </c>
    </row>
    <row r="1836" spans="1:26" ht="21" customHeight="1" thickBot="1" x14ac:dyDescent="0.35">
      <c r="A1836" s="5"/>
      <c r="B1836" s="159"/>
      <c r="C1836" s="160"/>
      <c r="D1836" s="166" t="s">
        <v>43</v>
      </c>
      <c r="E1836" s="167"/>
      <c r="F1836" s="167"/>
      <c r="G1836" s="168" t="s">
        <v>185</v>
      </c>
      <c r="H1836" s="168"/>
      <c r="I1836" s="168"/>
      <c r="J1836" s="168"/>
      <c r="K1836" s="168"/>
      <c r="L1836" s="168"/>
      <c r="M1836" s="7"/>
      <c r="N1836" s="32"/>
      <c r="Z1836" s="85">
        <v>45188</v>
      </c>
    </row>
    <row r="1837" spans="1:26" ht="9.9499999999999993" customHeight="1" thickBot="1" x14ac:dyDescent="0.35">
      <c r="B1837" s="9"/>
      <c r="C1837" s="109">
        <v>966</v>
      </c>
      <c r="D1837" s="51"/>
      <c r="E1837" s="12"/>
      <c r="F1837" s="51"/>
      <c r="G1837" s="14"/>
      <c r="H1837" s="14"/>
      <c r="I1837" s="14"/>
      <c r="J1837" s="14"/>
      <c r="K1837" s="14"/>
      <c r="L1837" s="14"/>
      <c r="M1837" s="9"/>
      <c r="N1837" s="32"/>
      <c r="U1837" s="18"/>
      <c r="V1837" s="18"/>
      <c r="Z1837" s="85">
        <v>45188</v>
      </c>
    </row>
    <row r="1838" spans="1:26" ht="6.95" customHeight="1" x14ac:dyDescent="0.3">
      <c r="A1838" s="154">
        <f>+A1827+1</f>
        <v>967</v>
      </c>
      <c r="B1838" s="155"/>
      <c r="C1838" s="156"/>
      <c r="D1838" s="161" t="s">
        <v>39</v>
      </c>
      <c r="E1838" s="162" t="s">
        <v>115</v>
      </c>
      <c r="F1838" s="163" t="s">
        <v>40</v>
      </c>
      <c r="G1838" s="164" t="s">
        <v>197</v>
      </c>
      <c r="H1838" s="165">
        <v>1</v>
      </c>
      <c r="I1838" s="164"/>
      <c r="J1838" s="165"/>
      <c r="K1838" s="164"/>
      <c r="L1838" s="165"/>
      <c r="M1838" s="6"/>
      <c r="N1838" s="32"/>
      <c r="Q1838" s="10" t="str">
        <f>+CONCATENATE(E1838,G1838)</f>
        <v>무보온덕트벽체2000*600</v>
      </c>
      <c r="R1838" s="10">
        <f>+H1838</f>
        <v>1</v>
      </c>
      <c r="S1838" s="11"/>
      <c r="T1838" s="10" t="str">
        <f>+E1838</f>
        <v>무보온덕트벽체</v>
      </c>
      <c r="U1838" s="19" t="str">
        <f>IFERROR(LEFT(G1838,FIND("*",G1838)-1),"-")</f>
        <v>2000</v>
      </c>
      <c r="V1838" s="19" t="str">
        <f>IFERROR(RIGHT(G1838,LEN(G1838)-FIND("*",G1838)),"-")</f>
        <v>600</v>
      </c>
      <c r="W1838" s="20">
        <f>IFERROR((U1838+V1838)*2/1000,"-")</f>
        <v>5.2</v>
      </c>
      <c r="X1838" s="20">
        <f>IFERROR(W1838*H1838,"-")</f>
        <v>5.2</v>
      </c>
      <c r="Z1838" s="85">
        <v>45188</v>
      </c>
    </row>
    <row r="1839" spans="1:26" ht="6.95" customHeight="1" x14ac:dyDescent="0.3">
      <c r="A1839" s="154"/>
      <c r="B1839" s="157"/>
      <c r="C1839" s="158"/>
      <c r="D1839" s="161"/>
      <c r="E1839" s="162"/>
      <c r="F1839" s="163"/>
      <c r="G1839" s="164"/>
      <c r="H1839" s="165"/>
      <c r="I1839" s="164"/>
      <c r="J1839" s="165"/>
      <c r="K1839" s="164"/>
      <c r="L1839" s="165"/>
      <c r="M1839" s="6"/>
      <c r="N1839" s="32"/>
      <c r="Q1839" s="10" t="str">
        <f>+CONCATENATE(E1838,I1838)</f>
        <v>무보온덕트벽체</v>
      </c>
      <c r="R1839" s="10">
        <f>+J1838</f>
        <v>0</v>
      </c>
      <c r="S1839" s="11"/>
      <c r="T1839" s="10" t="str">
        <f>+E1838</f>
        <v>무보온덕트벽체</v>
      </c>
      <c r="U1839" s="19" t="str">
        <f>IFERROR(LEFT(I1838,FIND("*",I1838)-1),"-")</f>
        <v>-</v>
      </c>
      <c r="V1839" s="19" t="str">
        <f>IFERROR(RIGHT(I1838,LEN(I1838)-FIND("*",I1838)),"-")</f>
        <v>-</v>
      </c>
      <c r="W1839" s="20" t="str">
        <f t="shared" ref="W1839:W1846" si="997">IFERROR((U1839+V1839)*2/1000,"-")</f>
        <v>-</v>
      </c>
      <c r="X1839" s="20" t="str">
        <f>IFERROR(W1839*J1838,"-")</f>
        <v>-</v>
      </c>
      <c r="Z1839" s="85">
        <v>45188</v>
      </c>
    </row>
    <row r="1840" spans="1:26" ht="6.95" customHeight="1" x14ac:dyDescent="0.3">
      <c r="A1840" s="154"/>
      <c r="B1840" s="157"/>
      <c r="C1840" s="158"/>
      <c r="D1840" s="161"/>
      <c r="E1840" s="162"/>
      <c r="F1840" s="163"/>
      <c r="G1840" s="164"/>
      <c r="H1840" s="165"/>
      <c r="I1840" s="164"/>
      <c r="J1840" s="165"/>
      <c r="K1840" s="164"/>
      <c r="L1840" s="165"/>
      <c r="M1840" s="6"/>
      <c r="N1840" s="32"/>
      <c r="Q1840" s="10" t="str">
        <f>+CONCATENATE(E1838,K1838)</f>
        <v>무보온덕트벽체</v>
      </c>
      <c r="R1840" s="10">
        <f>+L1838</f>
        <v>0</v>
      </c>
      <c r="S1840" s="11"/>
      <c r="T1840" s="10" t="str">
        <f>+E1838</f>
        <v>무보온덕트벽체</v>
      </c>
      <c r="U1840" s="19" t="str">
        <f>IFERROR(LEFT(K1838,FIND("*",K1838)-1),"-")</f>
        <v>-</v>
      </c>
      <c r="V1840" s="19" t="str">
        <f>IFERROR(RIGHT(K1838,LEN(K1838)-FIND("*",K1838)),"-")</f>
        <v>-</v>
      </c>
      <c r="W1840" s="20" t="str">
        <f t="shared" si="997"/>
        <v>-</v>
      </c>
      <c r="X1840" s="20" t="str">
        <f>IFERROR(W1840*L1838,"-")</f>
        <v>-</v>
      </c>
      <c r="Z1840" s="85">
        <v>45188</v>
      </c>
    </row>
    <row r="1841" spans="1:26" ht="6.95" customHeight="1" x14ac:dyDescent="0.3">
      <c r="A1841" s="8"/>
      <c r="B1841" s="157"/>
      <c r="C1841" s="158"/>
      <c r="D1841" s="161" t="s">
        <v>39</v>
      </c>
      <c r="E1841" s="162" t="s">
        <v>188</v>
      </c>
      <c r="F1841" s="163" t="s">
        <v>40</v>
      </c>
      <c r="G1841" s="164" t="s">
        <v>197</v>
      </c>
      <c r="H1841" s="165">
        <v>1</v>
      </c>
      <c r="I1841" s="164"/>
      <c r="J1841" s="165"/>
      <c r="K1841" s="164"/>
      <c r="L1841" s="165"/>
      <c r="M1841" s="6"/>
      <c r="N1841" s="32"/>
      <c r="Q1841" s="10" t="str">
        <f>+CONCATENATE(E1841,G1841)</f>
        <v>차열재마감2000*600</v>
      </c>
      <c r="R1841" s="10">
        <f>+H1841</f>
        <v>1</v>
      </c>
      <c r="S1841" s="11"/>
      <c r="T1841" s="10" t="str">
        <f>+E1841</f>
        <v>차열재마감</v>
      </c>
      <c r="U1841" s="19" t="str">
        <f t="shared" ref="U1841" si="998">IFERROR(LEFT(G1841,FIND("*",G1841)-1),"-")</f>
        <v>2000</v>
      </c>
      <c r="V1841" s="19" t="str">
        <f t="shared" ref="V1841" si="999">IFERROR(RIGHT(G1841,LEN(G1841)-FIND("*",G1841)),"-")</f>
        <v>600</v>
      </c>
      <c r="W1841" s="20">
        <f t="shared" si="997"/>
        <v>5.2</v>
      </c>
      <c r="X1841" s="20">
        <f>IFERROR(W1841*H1841,"-")</f>
        <v>5.2</v>
      </c>
      <c r="Z1841" s="85">
        <v>45188</v>
      </c>
    </row>
    <row r="1842" spans="1:26" ht="6.95" customHeight="1" x14ac:dyDescent="0.3">
      <c r="A1842" s="5"/>
      <c r="B1842" s="157"/>
      <c r="C1842" s="158"/>
      <c r="D1842" s="161"/>
      <c r="E1842" s="162"/>
      <c r="F1842" s="163"/>
      <c r="G1842" s="164"/>
      <c r="H1842" s="165"/>
      <c r="I1842" s="164"/>
      <c r="J1842" s="165"/>
      <c r="K1842" s="164"/>
      <c r="L1842" s="165"/>
      <c r="M1842" s="6"/>
      <c r="N1842" s="32"/>
      <c r="Q1842" s="10" t="str">
        <f>+CONCATENATE(E1841,I1841)</f>
        <v>차열재마감</v>
      </c>
      <c r="R1842" s="10">
        <f>+J1841</f>
        <v>0</v>
      </c>
      <c r="S1842" s="11"/>
      <c r="T1842" s="10" t="str">
        <f>+E1841</f>
        <v>차열재마감</v>
      </c>
      <c r="U1842" s="19" t="str">
        <f>IFERROR(LEFT(I1841,FIND("*",I1841)-1),"-")</f>
        <v>-</v>
      </c>
      <c r="V1842" s="19" t="str">
        <f>IFERROR(RIGHT(I1841,LEN(I1841)-FIND("*",I1841)),"-")</f>
        <v>-</v>
      </c>
      <c r="W1842" s="20" t="str">
        <f t="shared" si="997"/>
        <v>-</v>
      </c>
      <c r="X1842" s="20" t="str">
        <f>IFERROR(W1842*J1841,"-")</f>
        <v>-</v>
      </c>
      <c r="Z1842" s="85">
        <v>45188</v>
      </c>
    </row>
    <row r="1843" spans="1:26" ht="6.95" customHeight="1" x14ac:dyDescent="0.3">
      <c r="A1843" s="5"/>
      <c r="B1843" s="157"/>
      <c r="C1843" s="158"/>
      <c r="D1843" s="161"/>
      <c r="E1843" s="162"/>
      <c r="F1843" s="163"/>
      <c r="G1843" s="164"/>
      <c r="H1843" s="165"/>
      <c r="I1843" s="164"/>
      <c r="J1843" s="165"/>
      <c r="K1843" s="164"/>
      <c r="L1843" s="165"/>
      <c r="M1843" s="6"/>
      <c r="N1843" s="32"/>
      <c r="Q1843" s="10" t="str">
        <f>+CONCATENATE(E1841,K1841)</f>
        <v>차열재마감</v>
      </c>
      <c r="R1843" s="10">
        <f>+L1841</f>
        <v>0</v>
      </c>
      <c r="S1843" s="11"/>
      <c r="T1843" s="10" t="str">
        <f>+E1841</f>
        <v>차열재마감</v>
      </c>
      <c r="U1843" s="19" t="str">
        <f>IFERROR(LEFT(K1841,FIND("*",K1841)-1),"-")</f>
        <v>-</v>
      </c>
      <c r="V1843" s="19" t="str">
        <f>IFERROR(RIGHT(K1841,LEN(K1841)-FIND("*",K1841)),"-")</f>
        <v>-</v>
      </c>
      <c r="W1843" s="20" t="str">
        <f t="shared" si="997"/>
        <v>-</v>
      </c>
      <c r="X1843" s="20" t="str">
        <f>IFERROR(W1843*L1841,"-")</f>
        <v>-</v>
      </c>
      <c r="Z1843" s="85">
        <v>45188</v>
      </c>
    </row>
    <row r="1844" spans="1:26" ht="6.95" customHeight="1" x14ac:dyDescent="0.3">
      <c r="A1844" s="8"/>
      <c r="B1844" s="157"/>
      <c r="C1844" s="158"/>
      <c r="D1844" s="161" t="s">
        <v>39</v>
      </c>
      <c r="E1844" s="162"/>
      <c r="F1844" s="163" t="s">
        <v>40</v>
      </c>
      <c r="G1844" s="164"/>
      <c r="H1844" s="165"/>
      <c r="I1844" s="164"/>
      <c r="J1844" s="165"/>
      <c r="K1844" s="164"/>
      <c r="L1844" s="165"/>
      <c r="M1844" s="6"/>
      <c r="N1844" s="32"/>
      <c r="Q1844" s="10" t="str">
        <f>+CONCATENATE(E1844,G1844)</f>
        <v/>
      </c>
      <c r="R1844" s="10">
        <f>+H1844</f>
        <v>0</v>
      </c>
      <c r="S1844" s="11"/>
      <c r="T1844" s="10">
        <f>+E1844</f>
        <v>0</v>
      </c>
      <c r="U1844" s="19" t="str">
        <f t="shared" ref="U1844" si="1000">IFERROR(LEFT(G1844,FIND("*",G1844)-1),"-")</f>
        <v>-</v>
      </c>
      <c r="V1844" s="19" t="str">
        <f t="shared" ref="V1844" si="1001">IFERROR(RIGHT(G1844,LEN(G1844)-FIND("*",G1844)),"-")</f>
        <v>-</v>
      </c>
      <c r="W1844" s="20" t="str">
        <f t="shared" si="997"/>
        <v>-</v>
      </c>
      <c r="X1844" s="20" t="str">
        <f>IFERROR(W1844*H1844,"-")</f>
        <v>-</v>
      </c>
      <c r="Z1844" s="85">
        <v>45188</v>
      </c>
    </row>
    <row r="1845" spans="1:26" ht="6.95" customHeight="1" x14ac:dyDescent="0.3">
      <c r="A1845" s="5"/>
      <c r="B1845" s="157"/>
      <c r="C1845" s="158"/>
      <c r="D1845" s="161"/>
      <c r="E1845" s="162"/>
      <c r="F1845" s="163"/>
      <c r="G1845" s="164"/>
      <c r="H1845" s="165"/>
      <c r="I1845" s="164"/>
      <c r="J1845" s="165"/>
      <c r="K1845" s="164"/>
      <c r="L1845" s="165"/>
      <c r="M1845" s="6"/>
      <c r="N1845" s="32"/>
      <c r="Q1845" s="10" t="str">
        <f>+CONCATENATE(E1844,I1844)</f>
        <v/>
      </c>
      <c r="R1845" s="10">
        <f>+J1844</f>
        <v>0</v>
      </c>
      <c r="S1845" s="11"/>
      <c r="T1845" s="10">
        <f>+E1844</f>
        <v>0</v>
      </c>
      <c r="U1845" s="19" t="str">
        <f>IFERROR(LEFT(I1844,FIND("*",I1844)-1),"-")</f>
        <v>-</v>
      </c>
      <c r="V1845" s="19" t="str">
        <f>IFERROR(RIGHT(I1844,LEN(I1844)-FIND("*",I1844)),"-")</f>
        <v>-</v>
      </c>
      <c r="W1845" s="20" t="str">
        <f t="shared" si="997"/>
        <v>-</v>
      </c>
      <c r="X1845" s="20" t="str">
        <f t="shared" ref="X1845" si="1002">IFERROR(W1845*J1844,"-")</f>
        <v>-</v>
      </c>
      <c r="Z1845" s="85">
        <v>45188</v>
      </c>
    </row>
    <row r="1846" spans="1:26" ht="6.95" customHeight="1" x14ac:dyDescent="0.3">
      <c r="A1846" s="5"/>
      <c r="B1846" s="157"/>
      <c r="C1846" s="158"/>
      <c r="D1846" s="161"/>
      <c r="E1846" s="162"/>
      <c r="F1846" s="163"/>
      <c r="G1846" s="164"/>
      <c r="H1846" s="165"/>
      <c r="I1846" s="164"/>
      <c r="J1846" s="165"/>
      <c r="K1846" s="164"/>
      <c r="L1846" s="165"/>
      <c r="M1846" s="6"/>
      <c r="N1846" s="32"/>
      <c r="Q1846" s="10" t="str">
        <f>+CONCATENATE(E1844,K1844)</f>
        <v/>
      </c>
      <c r="R1846" s="10">
        <f>+L1844</f>
        <v>0</v>
      </c>
      <c r="S1846" s="11"/>
      <c r="T1846" s="10">
        <f>+E1844</f>
        <v>0</v>
      </c>
      <c r="U1846" s="19" t="str">
        <f>IFERROR(LEFT(K1844,FIND("*",K1844)-1),"-")</f>
        <v>-</v>
      </c>
      <c r="V1846" s="19" t="str">
        <f>IFERROR(RIGHT(K1844,LEN(K1844)-FIND("*",K1844)),"-")</f>
        <v>-</v>
      </c>
      <c r="W1846" s="20" t="str">
        <f t="shared" si="997"/>
        <v>-</v>
      </c>
      <c r="X1846" s="20" t="str">
        <f>IFERROR(W1846*L1844,"-")</f>
        <v>-</v>
      </c>
      <c r="Z1846" s="85">
        <v>45188</v>
      </c>
    </row>
    <row r="1847" spans="1:26" ht="21" customHeight="1" thickBot="1" x14ac:dyDescent="0.35">
      <c r="A1847" s="5"/>
      <c r="B1847" s="159"/>
      <c r="C1847" s="160"/>
      <c r="D1847" s="166" t="s">
        <v>43</v>
      </c>
      <c r="E1847" s="167"/>
      <c r="F1847" s="167"/>
      <c r="G1847" s="168" t="s">
        <v>288</v>
      </c>
      <c r="H1847" s="168"/>
      <c r="I1847" s="168"/>
      <c r="J1847" s="168"/>
      <c r="K1847" s="168"/>
      <c r="L1847" s="168"/>
      <c r="M1847" s="7"/>
      <c r="N1847" s="32"/>
      <c r="Z1847" s="85">
        <v>45188</v>
      </c>
    </row>
    <row r="1848" spans="1:26" ht="9.9499999999999993" customHeight="1" thickBot="1" x14ac:dyDescent="0.35">
      <c r="B1848" s="9"/>
      <c r="C1848" s="109">
        <v>967</v>
      </c>
      <c r="D1848" s="51"/>
      <c r="E1848" s="12"/>
      <c r="F1848" s="51"/>
      <c r="G1848" s="14"/>
      <c r="H1848" s="14"/>
      <c r="I1848" s="14"/>
      <c r="J1848" s="14"/>
      <c r="K1848" s="14"/>
      <c r="L1848" s="14"/>
      <c r="M1848" s="9"/>
      <c r="N1848" s="32"/>
      <c r="U1848" s="18"/>
      <c r="V1848" s="18"/>
      <c r="Z1848" s="85">
        <v>45188</v>
      </c>
    </row>
    <row r="1849" spans="1:26" ht="6.95" customHeight="1" x14ac:dyDescent="0.3">
      <c r="A1849" s="154">
        <f>+A1838+1</f>
        <v>968</v>
      </c>
      <c r="B1849" s="155"/>
      <c r="C1849" s="156"/>
      <c r="D1849" s="161" t="s">
        <v>39</v>
      </c>
      <c r="E1849" s="162" t="s">
        <v>115</v>
      </c>
      <c r="F1849" s="163" t="s">
        <v>40</v>
      </c>
      <c r="G1849" s="164" t="s">
        <v>197</v>
      </c>
      <c r="H1849" s="165">
        <v>1</v>
      </c>
      <c r="I1849" s="164"/>
      <c r="J1849" s="165"/>
      <c r="K1849" s="164"/>
      <c r="L1849" s="165"/>
      <c r="M1849" s="6"/>
      <c r="N1849" s="32"/>
      <c r="Q1849" s="10" t="str">
        <f>+CONCATENATE(E1849,G1849)</f>
        <v>무보온덕트벽체2000*600</v>
      </c>
      <c r="R1849" s="10">
        <f>+H1849</f>
        <v>1</v>
      </c>
      <c r="S1849" s="11"/>
      <c r="T1849" s="10" t="str">
        <f>+E1849</f>
        <v>무보온덕트벽체</v>
      </c>
      <c r="U1849" s="19" t="str">
        <f>IFERROR(LEFT(G1849,FIND("*",G1849)-1),"-")</f>
        <v>2000</v>
      </c>
      <c r="V1849" s="19" t="str">
        <f>IFERROR(RIGHT(G1849,LEN(G1849)-FIND("*",G1849)),"-")</f>
        <v>600</v>
      </c>
      <c r="W1849" s="20">
        <f>IFERROR((U1849+V1849)*2/1000,"-")</f>
        <v>5.2</v>
      </c>
      <c r="X1849" s="20">
        <f>IFERROR(W1849*H1849,"-")</f>
        <v>5.2</v>
      </c>
      <c r="Z1849" s="85">
        <v>45188</v>
      </c>
    </row>
    <row r="1850" spans="1:26" ht="6.95" customHeight="1" x14ac:dyDescent="0.3">
      <c r="A1850" s="154"/>
      <c r="B1850" s="157"/>
      <c r="C1850" s="158"/>
      <c r="D1850" s="161"/>
      <c r="E1850" s="162"/>
      <c r="F1850" s="163"/>
      <c r="G1850" s="164"/>
      <c r="H1850" s="165"/>
      <c r="I1850" s="164"/>
      <c r="J1850" s="165"/>
      <c r="K1850" s="164"/>
      <c r="L1850" s="165"/>
      <c r="M1850" s="6"/>
      <c r="N1850" s="32"/>
      <c r="Q1850" s="10" t="str">
        <f>+CONCATENATE(E1849,I1849)</f>
        <v>무보온덕트벽체</v>
      </c>
      <c r="R1850" s="10">
        <f>+J1849</f>
        <v>0</v>
      </c>
      <c r="S1850" s="11"/>
      <c r="T1850" s="10" t="str">
        <f>+E1849</f>
        <v>무보온덕트벽체</v>
      </c>
      <c r="U1850" s="19" t="str">
        <f>IFERROR(LEFT(I1849,FIND("*",I1849)-1),"-")</f>
        <v>-</v>
      </c>
      <c r="V1850" s="19" t="str">
        <f>IFERROR(RIGHT(I1849,LEN(I1849)-FIND("*",I1849)),"-")</f>
        <v>-</v>
      </c>
      <c r="W1850" s="20" t="str">
        <f t="shared" ref="W1850:W1857" si="1003">IFERROR((U1850+V1850)*2/1000,"-")</f>
        <v>-</v>
      </c>
      <c r="X1850" s="20" t="str">
        <f>IFERROR(W1850*J1849,"-")</f>
        <v>-</v>
      </c>
      <c r="Z1850" s="85">
        <v>45188</v>
      </c>
    </row>
    <row r="1851" spans="1:26" ht="6.95" customHeight="1" x14ac:dyDescent="0.3">
      <c r="A1851" s="154"/>
      <c r="B1851" s="157"/>
      <c r="C1851" s="158"/>
      <c r="D1851" s="161"/>
      <c r="E1851" s="162"/>
      <c r="F1851" s="163"/>
      <c r="G1851" s="164"/>
      <c r="H1851" s="165"/>
      <c r="I1851" s="164"/>
      <c r="J1851" s="165"/>
      <c r="K1851" s="164"/>
      <c r="L1851" s="165"/>
      <c r="M1851" s="6"/>
      <c r="N1851" s="32"/>
      <c r="Q1851" s="10" t="str">
        <f>+CONCATENATE(E1849,K1849)</f>
        <v>무보온덕트벽체</v>
      </c>
      <c r="R1851" s="10">
        <f>+L1849</f>
        <v>0</v>
      </c>
      <c r="S1851" s="11"/>
      <c r="T1851" s="10" t="str">
        <f>+E1849</f>
        <v>무보온덕트벽체</v>
      </c>
      <c r="U1851" s="19" t="str">
        <f>IFERROR(LEFT(K1849,FIND("*",K1849)-1),"-")</f>
        <v>-</v>
      </c>
      <c r="V1851" s="19" t="str">
        <f>IFERROR(RIGHT(K1849,LEN(K1849)-FIND("*",K1849)),"-")</f>
        <v>-</v>
      </c>
      <c r="W1851" s="20" t="str">
        <f t="shared" si="1003"/>
        <v>-</v>
      </c>
      <c r="X1851" s="20" t="str">
        <f>IFERROR(W1851*L1849,"-")</f>
        <v>-</v>
      </c>
      <c r="Z1851" s="85">
        <v>45188</v>
      </c>
    </row>
    <row r="1852" spans="1:26" ht="6.95" customHeight="1" x14ac:dyDescent="0.3">
      <c r="A1852" s="8"/>
      <c r="B1852" s="157"/>
      <c r="C1852" s="158"/>
      <c r="D1852" s="161" t="s">
        <v>39</v>
      </c>
      <c r="E1852" s="162" t="s">
        <v>188</v>
      </c>
      <c r="F1852" s="163" t="s">
        <v>40</v>
      </c>
      <c r="G1852" s="164" t="s">
        <v>197</v>
      </c>
      <c r="H1852" s="165">
        <v>1</v>
      </c>
      <c r="I1852" s="164"/>
      <c r="J1852" s="165"/>
      <c r="K1852" s="164"/>
      <c r="L1852" s="165"/>
      <c r="M1852" s="6"/>
      <c r="N1852" s="32"/>
      <c r="Q1852" s="10" t="str">
        <f>+CONCATENATE(E1852,G1852)</f>
        <v>차열재마감2000*600</v>
      </c>
      <c r="R1852" s="10">
        <f>+H1852</f>
        <v>1</v>
      </c>
      <c r="S1852" s="11"/>
      <c r="T1852" s="10" t="str">
        <f>+E1852</f>
        <v>차열재마감</v>
      </c>
      <c r="U1852" s="19" t="str">
        <f t="shared" ref="U1852" si="1004">IFERROR(LEFT(G1852,FIND("*",G1852)-1),"-")</f>
        <v>2000</v>
      </c>
      <c r="V1852" s="19" t="str">
        <f t="shared" ref="V1852" si="1005">IFERROR(RIGHT(G1852,LEN(G1852)-FIND("*",G1852)),"-")</f>
        <v>600</v>
      </c>
      <c r="W1852" s="20">
        <f t="shared" si="1003"/>
        <v>5.2</v>
      </c>
      <c r="X1852" s="20">
        <f>IFERROR(W1852*H1852,"-")</f>
        <v>5.2</v>
      </c>
      <c r="Z1852" s="85">
        <v>45188</v>
      </c>
    </row>
    <row r="1853" spans="1:26" ht="6.95" customHeight="1" x14ac:dyDescent="0.3">
      <c r="A1853" s="5"/>
      <c r="B1853" s="157"/>
      <c r="C1853" s="158"/>
      <c r="D1853" s="161"/>
      <c r="E1853" s="162"/>
      <c r="F1853" s="163"/>
      <c r="G1853" s="164"/>
      <c r="H1853" s="165"/>
      <c r="I1853" s="164"/>
      <c r="J1853" s="165"/>
      <c r="K1853" s="164"/>
      <c r="L1853" s="165"/>
      <c r="M1853" s="6"/>
      <c r="N1853" s="32"/>
      <c r="Q1853" s="10" t="str">
        <f>+CONCATENATE(E1852,I1852)</f>
        <v>차열재마감</v>
      </c>
      <c r="R1853" s="10">
        <f>+J1852</f>
        <v>0</v>
      </c>
      <c r="S1853" s="11"/>
      <c r="T1853" s="10" t="str">
        <f>+E1852</f>
        <v>차열재마감</v>
      </c>
      <c r="U1853" s="19" t="str">
        <f>IFERROR(LEFT(I1852,FIND("*",I1852)-1),"-")</f>
        <v>-</v>
      </c>
      <c r="V1853" s="19" t="str">
        <f>IFERROR(RIGHT(I1852,LEN(I1852)-FIND("*",I1852)),"-")</f>
        <v>-</v>
      </c>
      <c r="W1853" s="20" t="str">
        <f t="shared" si="1003"/>
        <v>-</v>
      </c>
      <c r="X1853" s="20" t="str">
        <f>IFERROR(W1853*J1852,"-")</f>
        <v>-</v>
      </c>
      <c r="Z1853" s="85">
        <v>45188</v>
      </c>
    </row>
    <row r="1854" spans="1:26" ht="6.95" customHeight="1" x14ac:dyDescent="0.3">
      <c r="A1854" s="5"/>
      <c r="B1854" s="157"/>
      <c r="C1854" s="158"/>
      <c r="D1854" s="161"/>
      <c r="E1854" s="162"/>
      <c r="F1854" s="163"/>
      <c r="G1854" s="164"/>
      <c r="H1854" s="165"/>
      <c r="I1854" s="164"/>
      <c r="J1854" s="165"/>
      <c r="K1854" s="164"/>
      <c r="L1854" s="165"/>
      <c r="M1854" s="6"/>
      <c r="N1854" s="32"/>
      <c r="Q1854" s="10" t="str">
        <f>+CONCATENATE(E1852,K1852)</f>
        <v>차열재마감</v>
      </c>
      <c r="R1854" s="10">
        <f>+L1852</f>
        <v>0</v>
      </c>
      <c r="S1854" s="11"/>
      <c r="T1854" s="10" t="str">
        <f>+E1852</f>
        <v>차열재마감</v>
      </c>
      <c r="U1854" s="19" t="str">
        <f>IFERROR(LEFT(K1852,FIND("*",K1852)-1),"-")</f>
        <v>-</v>
      </c>
      <c r="V1854" s="19" t="str">
        <f>IFERROR(RIGHT(K1852,LEN(K1852)-FIND("*",K1852)),"-")</f>
        <v>-</v>
      </c>
      <c r="W1854" s="20" t="str">
        <f t="shared" si="1003"/>
        <v>-</v>
      </c>
      <c r="X1854" s="20" t="str">
        <f>IFERROR(W1854*L1852,"-")</f>
        <v>-</v>
      </c>
      <c r="Z1854" s="85">
        <v>45188</v>
      </c>
    </row>
    <row r="1855" spans="1:26" ht="6.95" customHeight="1" x14ac:dyDescent="0.3">
      <c r="A1855" s="8"/>
      <c r="B1855" s="157"/>
      <c r="C1855" s="158"/>
      <c r="D1855" s="161" t="s">
        <v>39</v>
      </c>
      <c r="E1855" s="162"/>
      <c r="F1855" s="163" t="s">
        <v>40</v>
      </c>
      <c r="G1855" s="164"/>
      <c r="H1855" s="165"/>
      <c r="I1855" s="164"/>
      <c r="J1855" s="165"/>
      <c r="K1855" s="164"/>
      <c r="L1855" s="165"/>
      <c r="M1855" s="6"/>
      <c r="N1855" s="32"/>
      <c r="Q1855" s="10" t="str">
        <f>+CONCATENATE(E1855,G1855)</f>
        <v/>
      </c>
      <c r="R1855" s="10">
        <f>+H1855</f>
        <v>0</v>
      </c>
      <c r="S1855" s="11"/>
      <c r="T1855" s="10">
        <f>+E1855</f>
        <v>0</v>
      </c>
      <c r="U1855" s="19" t="str">
        <f t="shared" ref="U1855" si="1006">IFERROR(LEFT(G1855,FIND("*",G1855)-1),"-")</f>
        <v>-</v>
      </c>
      <c r="V1855" s="19" t="str">
        <f t="shared" ref="V1855" si="1007">IFERROR(RIGHT(G1855,LEN(G1855)-FIND("*",G1855)),"-")</f>
        <v>-</v>
      </c>
      <c r="W1855" s="20" t="str">
        <f t="shared" si="1003"/>
        <v>-</v>
      </c>
      <c r="X1855" s="20" t="str">
        <f>IFERROR(W1855*H1855,"-")</f>
        <v>-</v>
      </c>
      <c r="Z1855" s="85">
        <v>45188</v>
      </c>
    </row>
    <row r="1856" spans="1:26" ht="6.95" customHeight="1" x14ac:dyDescent="0.3">
      <c r="A1856" s="5"/>
      <c r="B1856" s="157"/>
      <c r="C1856" s="158"/>
      <c r="D1856" s="161"/>
      <c r="E1856" s="162"/>
      <c r="F1856" s="163"/>
      <c r="G1856" s="164"/>
      <c r="H1856" s="165"/>
      <c r="I1856" s="164"/>
      <c r="J1856" s="165"/>
      <c r="K1856" s="164"/>
      <c r="L1856" s="165"/>
      <c r="M1856" s="6"/>
      <c r="N1856" s="32"/>
      <c r="Q1856" s="10" t="str">
        <f>+CONCATENATE(E1855,I1855)</f>
        <v/>
      </c>
      <c r="R1856" s="10">
        <f>+J1855</f>
        <v>0</v>
      </c>
      <c r="S1856" s="11"/>
      <c r="T1856" s="10">
        <f>+E1855</f>
        <v>0</v>
      </c>
      <c r="U1856" s="19" t="str">
        <f>IFERROR(LEFT(I1855,FIND("*",I1855)-1),"-")</f>
        <v>-</v>
      </c>
      <c r="V1856" s="19" t="str">
        <f>IFERROR(RIGHT(I1855,LEN(I1855)-FIND("*",I1855)),"-")</f>
        <v>-</v>
      </c>
      <c r="W1856" s="20" t="str">
        <f t="shared" si="1003"/>
        <v>-</v>
      </c>
      <c r="X1856" s="20" t="str">
        <f t="shared" ref="X1856" si="1008">IFERROR(W1856*J1855,"-")</f>
        <v>-</v>
      </c>
      <c r="Z1856" s="85">
        <v>45188</v>
      </c>
    </row>
    <row r="1857" spans="1:26" ht="6.95" customHeight="1" x14ac:dyDescent="0.3">
      <c r="A1857" s="5"/>
      <c r="B1857" s="157"/>
      <c r="C1857" s="158"/>
      <c r="D1857" s="161"/>
      <c r="E1857" s="162"/>
      <c r="F1857" s="163"/>
      <c r="G1857" s="164"/>
      <c r="H1857" s="165"/>
      <c r="I1857" s="164"/>
      <c r="J1857" s="165"/>
      <c r="K1857" s="164"/>
      <c r="L1857" s="165"/>
      <c r="M1857" s="6"/>
      <c r="N1857" s="32"/>
      <c r="Q1857" s="10" t="str">
        <f>+CONCATENATE(E1855,K1855)</f>
        <v/>
      </c>
      <c r="R1857" s="10">
        <f>+L1855</f>
        <v>0</v>
      </c>
      <c r="S1857" s="11"/>
      <c r="T1857" s="10">
        <f>+E1855</f>
        <v>0</v>
      </c>
      <c r="U1857" s="19" t="str">
        <f>IFERROR(LEFT(K1855,FIND("*",K1855)-1),"-")</f>
        <v>-</v>
      </c>
      <c r="V1857" s="19" t="str">
        <f>IFERROR(RIGHT(K1855,LEN(K1855)-FIND("*",K1855)),"-")</f>
        <v>-</v>
      </c>
      <c r="W1857" s="20" t="str">
        <f t="shared" si="1003"/>
        <v>-</v>
      </c>
      <c r="X1857" s="20" t="str">
        <f>IFERROR(W1857*L1855,"-")</f>
        <v>-</v>
      </c>
      <c r="Z1857" s="85">
        <v>45188</v>
      </c>
    </row>
    <row r="1858" spans="1:26" ht="21" customHeight="1" thickBot="1" x14ac:dyDescent="0.35">
      <c r="A1858" s="5"/>
      <c r="B1858" s="159"/>
      <c r="C1858" s="160"/>
      <c r="D1858" s="166" t="s">
        <v>43</v>
      </c>
      <c r="E1858" s="167"/>
      <c r="F1858" s="167"/>
      <c r="G1858" s="168" t="s">
        <v>288</v>
      </c>
      <c r="H1858" s="168"/>
      <c r="I1858" s="168"/>
      <c r="J1858" s="168"/>
      <c r="K1858" s="168"/>
      <c r="L1858" s="168"/>
      <c r="M1858" s="7"/>
      <c r="N1858" s="32"/>
      <c r="Z1858" s="85">
        <v>45188</v>
      </c>
    </row>
    <row r="1859" spans="1:26" ht="9.9499999999999993" customHeight="1" thickBot="1" x14ac:dyDescent="0.35">
      <c r="B1859" s="9"/>
      <c r="C1859" s="109">
        <v>968</v>
      </c>
      <c r="D1859" s="51"/>
      <c r="E1859" s="12"/>
      <c r="F1859" s="51"/>
      <c r="G1859" s="14"/>
      <c r="H1859" s="14"/>
      <c r="I1859" s="14"/>
      <c r="J1859" s="14"/>
      <c r="K1859" s="14"/>
      <c r="L1859" s="14"/>
      <c r="M1859" s="9"/>
      <c r="N1859" s="32"/>
      <c r="U1859" s="18"/>
      <c r="V1859" s="18"/>
      <c r="Z1859" s="85">
        <v>45188</v>
      </c>
    </row>
    <row r="1860" spans="1:26" ht="6.95" customHeight="1" x14ac:dyDescent="0.3">
      <c r="A1860" s="154">
        <f>+A1849+1</f>
        <v>969</v>
      </c>
      <c r="B1860" s="155"/>
      <c r="C1860" s="156"/>
      <c r="D1860" s="161" t="s">
        <v>39</v>
      </c>
      <c r="E1860" s="162" t="s">
        <v>115</v>
      </c>
      <c r="F1860" s="163" t="s">
        <v>40</v>
      </c>
      <c r="G1860" s="164" t="s">
        <v>197</v>
      </c>
      <c r="H1860" s="165">
        <v>1</v>
      </c>
      <c r="I1860" s="164"/>
      <c r="J1860" s="165"/>
      <c r="K1860" s="164"/>
      <c r="L1860" s="165"/>
      <c r="M1860" s="6"/>
      <c r="N1860" s="32"/>
      <c r="Q1860" s="10" t="str">
        <f>+CONCATENATE(E1860,G1860)</f>
        <v>무보온덕트벽체2000*600</v>
      </c>
      <c r="R1860" s="10">
        <f>+H1860</f>
        <v>1</v>
      </c>
      <c r="S1860" s="11"/>
      <c r="T1860" s="10" t="str">
        <f>+E1860</f>
        <v>무보온덕트벽체</v>
      </c>
      <c r="U1860" s="19" t="str">
        <f>IFERROR(LEFT(G1860,FIND("*",G1860)-1),"-")</f>
        <v>2000</v>
      </c>
      <c r="V1860" s="19" t="str">
        <f>IFERROR(RIGHT(G1860,LEN(G1860)-FIND("*",G1860)),"-")</f>
        <v>600</v>
      </c>
      <c r="W1860" s="20">
        <f>IFERROR((U1860+V1860)*2/1000,"-")</f>
        <v>5.2</v>
      </c>
      <c r="X1860" s="20">
        <f>IFERROR(W1860*H1860,"-")</f>
        <v>5.2</v>
      </c>
      <c r="Z1860" s="85">
        <v>45188</v>
      </c>
    </row>
    <row r="1861" spans="1:26" ht="6.95" customHeight="1" x14ac:dyDescent="0.3">
      <c r="A1861" s="154"/>
      <c r="B1861" s="157"/>
      <c r="C1861" s="158"/>
      <c r="D1861" s="161"/>
      <c r="E1861" s="162"/>
      <c r="F1861" s="163"/>
      <c r="G1861" s="164"/>
      <c r="H1861" s="165"/>
      <c r="I1861" s="164"/>
      <c r="J1861" s="165"/>
      <c r="K1861" s="164"/>
      <c r="L1861" s="165"/>
      <c r="M1861" s="6"/>
      <c r="N1861" s="32"/>
      <c r="Q1861" s="10" t="str">
        <f>+CONCATENATE(E1860,I1860)</f>
        <v>무보온덕트벽체</v>
      </c>
      <c r="R1861" s="10">
        <f>+J1860</f>
        <v>0</v>
      </c>
      <c r="S1861" s="11"/>
      <c r="T1861" s="10" t="str">
        <f>+E1860</f>
        <v>무보온덕트벽체</v>
      </c>
      <c r="U1861" s="19" t="str">
        <f>IFERROR(LEFT(I1860,FIND("*",I1860)-1),"-")</f>
        <v>-</v>
      </c>
      <c r="V1861" s="19" t="str">
        <f>IFERROR(RIGHT(I1860,LEN(I1860)-FIND("*",I1860)),"-")</f>
        <v>-</v>
      </c>
      <c r="W1861" s="20" t="str">
        <f t="shared" ref="W1861:W1868" si="1009">IFERROR((U1861+V1861)*2/1000,"-")</f>
        <v>-</v>
      </c>
      <c r="X1861" s="20" t="str">
        <f>IFERROR(W1861*J1860,"-")</f>
        <v>-</v>
      </c>
      <c r="Z1861" s="85">
        <v>45188</v>
      </c>
    </row>
    <row r="1862" spans="1:26" ht="6.95" customHeight="1" x14ac:dyDescent="0.3">
      <c r="A1862" s="154"/>
      <c r="B1862" s="157"/>
      <c r="C1862" s="158"/>
      <c r="D1862" s="161"/>
      <c r="E1862" s="162"/>
      <c r="F1862" s="163"/>
      <c r="G1862" s="164"/>
      <c r="H1862" s="165"/>
      <c r="I1862" s="164"/>
      <c r="J1862" s="165"/>
      <c r="K1862" s="164"/>
      <c r="L1862" s="165"/>
      <c r="M1862" s="6"/>
      <c r="N1862" s="32"/>
      <c r="Q1862" s="10" t="str">
        <f>+CONCATENATE(E1860,K1860)</f>
        <v>무보온덕트벽체</v>
      </c>
      <c r="R1862" s="10">
        <f>+L1860</f>
        <v>0</v>
      </c>
      <c r="S1862" s="11"/>
      <c r="T1862" s="10" t="str">
        <f>+E1860</f>
        <v>무보온덕트벽체</v>
      </c>
      <c r="U1862" s="19" t="str">
        <f>IFERROR(LEFT(K1860,FIND("*",K1860)-1),"-")</f>
        <v>-</v>
      </c>
      <c r="V1862" s="19" t="str">
        <f>IFERROR(RIGHT(K1860,LEN(K1860)-FIND("*",K1860)),"-")</f>
        <v>-</v>
      </c>
      <c r="W1862" s="20" t="str">
        <f t="shared" si="1009"/>
        <v>-</v>
      </c>
      <c r="X1862" s="20" t="str">
        <f>IFERROR(W1862*L1860,"-")</f>
        <v>-</v>
      </c>
      <c r="Z1862" s="85">
        <v>45188</v>
      </c>
    </row>
    <row r="1863" spans="1:26" ht="6.95" customHeight="1" x14ac:dyDescent="0.3">
      <c r="A1863" s="8"/>
      <c r="B1863" s="157"/>
      <c r="C1863" s="158"/>
      <c r="D1863" s="161" t="s">
        <v>39</v>
      </c>
      <c r="E1863" s="162" t="s">
        <v>188</v>
      </c>
      <c r="F1863" s="163" t="s">
        <v>40</v>
      </c>
      <c r="G1863" s="164" t="s">
        <v>197</v>
      </c>
      <c r="H1863" s="165">
        <v>1</v>
      </c>
      <c r="I1863" s="164"/>
      <c r="J1863" s="165"/>
      <c r="K1863" s="164"/>
      <c r="L1863" s="165"/>
      <c r="M1863" s="6"/>
      <c r="N1863" s="32"/>
      <c r="Q1863" s="10" t="str">
        <f>+CONCATENATE(E1863,G1863)</f>
        <v>차열재마감2000*600</v>
      </c>
      <c r="R1863" s="10">
        <f>+H1863</f>
        <v>1</v>
      </c>
      <c r="S1863" s="11"/>
      <c r="T1863" s="10" t="str">
        <f>+E1863</f>
        <v>차열재마감</v>
      </c>
      <c r="U1863" s="19" t="str">
        <f t="shared" ref="U1863" si="1010">IFERROR(LEFT(G1863,FIND("*",G1863)-1),"-")</f>
        <v>2000</v>
      </c>
      <c r="V1863" s="19" t="str">
        <f t="shared" ref="V1863" si="1011">IFERROR(RIGHT(G1863,LEN(G1863)-FIND("*",G1863)),"-")</f>
        <v>600</v>
      </c>
      <c r="W1863" s="20">
        <f t="shared" si="1009"/>
        <v>5.2</v>
      </c>
      <c r="X1863" s="20">
        <f>IFERROR(W1863*H1863,"-")</f>
        <v>5.2</v>
      </c>
      <c r="Z1863" s="85">
        <v>45188</v>
      </c>
    </row>
    <row r="1864" spans="1:26" ht="6.95" customHeight="1" x14ac:dyDescent="0.3">
      <c r="A1864" s="5"/>
      <c r="B1864" s="157"/>
      <c r="C1864" s="158"/>
      <c r="D1864" s="161"/>
      <c r="E1864" s="162"/>
      <c r="F1864" s="163"/>
      <c r="G1864" s="164"/>
      <c r="H1864" s="165"/>
      <c r="I1864" s="164"/>
      <c r="J1864" s="165"/>
      <c r="K1864" s="164"/>
      <c r="L1864" s="165"/>
      <c r="M1864" s="6"/>
      <c r="N1864" s="32"/>
      <c r="Q1864" s="10" t="str">
        <f>+CONCATENATE(E1863,I1863)</f>
        <v>차열재마감</v>
      </c>
      <c r="R1864" s="10">
        <f>+J1863</f>
        <v>0</v>
      </c>
      <c r="S1864" s="11"/>
      <c r="T1864" s="10" t="str">
        <f>+E1863</f>
        <v>차열재마감</v>
      </c>
      <c r="U1864" s="19" t="str">
        <f>IFERROR(LEFT(I1863,FIND("*",I1863)-1),"-")</f>
        <v>-</v>
      </c>
      <c r="V1864" s="19" t="str">
        <f>IFERROR(RIGHT(I1863,LEN(I1863)-FIND("*",I1863)),"-")</f>
        <v>-</v>
      </c>
      <c r="W1864" s="20" t="str">
        <f t="shared" si="1009"/>
        <v>-</v>
      </c>
      <c r="X1864" s="20" t="str">
        <f>IFERROR(W1864*J1863,"-")</f>
        <v>-</v>
      </c>
      <c r="Z1864" s="85">
        <v>45188</v>
      </c>
    </row>
    <row r="1865" spans="1:26" ht="6.95" customHeight="1" x14ac:dyDescent="0.3">
      <c r="A1865" s="5"/>
      <c r="B1865" s="157"/>
      <c r="C1865" s="158"/>
      <c r="D1865" s="161"/>
      <c r="E1865" s="162"/>
      <c r="F1865" s="163"/>
      <c r="G1865" s="164"/>
      <c r="H1865" s="165"/>
      <c r="I1865" s="164"/>
      <c r="J1865" s="165"/>
      <c r="K1865" s="164"/>
      <c r="L1865" s="165"/>
      <c r="M1865" s="6"/>
      <c r="N1865" s="32"/>
      <c r="Q1865" s="10" t="str">
        <f>+CONCATENATE(E1863,K1863)</f>
        <v>차열재마감</v>
      </c>
      <c r="R1865" s="10">
        <f>+L1863</f>
        <v>0</v>
      </c>
      <c r="S1865" s="11"/>
      <c r="T1865" s="10" t="str">
        <f>+E1863</f>
        <v>차열재마감</v>
      </c>
      <c r="U1865" s="19" t="str">
        <f>IFERROR(LEFT(K1863,FIND("*",K1863)-1),"-")</f>
        <v>-</v>
      </c>
      <c r="V1865" s="19" t="str">
        <f>IFERROR(RIGHT(K1863,LEN(K1863)-FIND("*",K1863)),"-")</f>
        <v>-</v>
      </c>
      <c r="W1865" s="20" t="str">
        <f t="shared" si="1009"/>
        <v>-</v>
      </c>
      <c r="X1865" s="20" t="str">
        <f>IFERROR(W1865*L1863,"-")</f>
        <v>-</v>
      </c>
      <c r="Z1865" s="85">
        <v>45188</v>
      </c>
    </row>
    <row r="1866" spans="1:26" ht="6.95" customHeight="1" x14ac:dyDescent="0.3">
      <c r="A1866" s="8"/>
      <c r="B1866" s="157"/>
      <c r="C1866" s="158"/>
      <c r="D1866" s="161" t="s">
        <v>39</v>
      </c>
      <c r="E1866" s="162"/>
      <c r="F1866" s="163" t="s">
        <v>40</v>
      </c>
      <c r="G1866" s="164"/>
      <c r="H1866" s="165"/>
      <c r="I1866" s="164"/>
      <c r="J1866" s="165"/>
      <c r="K1866" s="164"/>
      <c r="L1866" s="165"/>
      <c r="M1866" s="6"/>
      <c r="N1866" s="32"/>
      <c r="Q1866" s="10" t="str">
        <f>+CONCATENATE(E1866,G1866)</f>
        <v/>
      </c>
      <c r="R1866" s="10">
        <f>+H1866</f>
        <v>0</v>
      </c>
      <c r="S1866" s="11"/>
      <c r="T1866" s="10">
        <f>+E1866</f>
        <v>0</v>
      </c>
      <c r="U1866" s="19" t="str">
        <f t="shared" ref="U1866" si="1012">IFERROR(LEFT(G1866,FIND("*",G1866)-1),"-")</f>
        <v>-</v>
      </c>
      <c r="V1866" s="19" t="str">
        <f t="shared" ref="V1866" si="1013">IFERROR(RIGHT(G1866,LEN(G1866)-FIND("*",G1866)),"-")</f>
        <v>-</v>
      </c>
      <c r="W1866" s="20" t="str">
        <f t="shared" si="1009"/>
        <v>-</v>
      </c>
      <c r="X1866" s="20" t="str">
        <f>IFERROR(W1866*H1866,"-")</f>
        <v>-</v>
      </c>
      <c r="Z1866" s="85">
        <v>45188</v>
      </c>
    </row>
    <row r="1867" spans="1:26" ht="6.95" customHeight="1" x14ac:dyDescent="0.3">
      <c r="A1867" s="5"/>
      <c r="B1867" s="157"/>
      <c r="C1867" s="158"/>
      <c r="D1867" s="161"/>
      <c r="E1867" s="162"/>
      <c r="F1867" s="163"/>
      <c r="G1867" s="164"/>
      <c r="H1867" s="165"/>
      <c r="I1867" s="164"/>
      <c r="J1867" s="165"/>
      <c r="K1867" s="164"/>
      <c r="L1867" s="165"/>
      <c r="M1867" s="6"/>
      <c r="N1867" s="32"/>
      <c r="Q1867" s="10" t="str">
        <f>+CONCATENATE(E1866,I1866)</f>
        <v/>
      </c>
      <c r="R1867" s="10">
        <f>+J1866</f>
        <v>0</v>
      </c>
      <c r="S1867" s="11"/>
      <c r="T1867" s="10">
        <f>+E1866</f>
        <v>0</v>
      </c>
      <c r="U1867" s="19" t="str">
        <f>IFERROR(LEFT(I1866,FIND("*",I1866)-1),"-")</f>
        <v>-</v>
      </c>
      <c r="V1867" s="19" t="str">
        <f>IFERROR(RIGHT(I1866,LEN(I1866)-FIND("*",I1866)),"-")</f>
        <v>-</v>
      </c>
      <c r="W1867" s="20" t="str">
        <f t="shared" si="1009"/>
        <v>-</v>
      </c>
      <c r="X1867" s="20" t="str">
        <f t="shared" ref="X1867" si="1014">IFERROR(W1867*J1866,"-")</f>
        <v>-</v>
      </c>
      <c r="Z1867" s="85">
        <v>45188</v>
      </c>
    </row>
    <row r="1868" spans="1:26" ht="6.95" customHeight="1" x14ac:dyDescent="0.3">
      <c r="A1868" s="5"/>
      <c r="B1868" s="157"/>
      <c r="C1868" s="158"/>
      <c r="D1868" s="161"/>
      <c r="E1868" s="162"/>
      <c r="F1868" s="163"/>
      <c r="G1868" s="164"/>
      <c r="H1868" s="165"/>
      <c r="I1868" s="164"/>
      <c r="J1868" s="165"/>
      <c r="K1868" s="164"/>
      <c r="L1868" s="165"/>
      <c r="M1868" s="6"/>
      <c r="N1868" s="32"/>
      <c r="Q1868" s="10" t="str">
        <f>+CONCATENATE(E1866,K1866)</f>
        <v/>
      </c>
      <c r="R1868" s="10">
        <f>+L1866</f>
        <v>0</v>
      </c>
      <c r="S1868" s="11"/>
      <c r="T1868" s="10">
        <f>+E1866</f>
        <v>0</v>
      </c>
      <c r="U1868" s="19" t="str">
        <f>IFERROR(LEFT(K1866,FIND("*",K1866)-1),"-")</f>
        <v>-</v>
      </c>
      <c r="V1868" s="19" t="str">
        <f>IFERROR(RIGHT(K1866,LEN(K1866)-FIND("*",K1866)),"-")</f>
        <v>-</v>
      </c>
      <c r="W1868" s="20" t="str">
        <f t="shared" si="1009"/>
        <v>-</v>
      </c>
      <c r="X1868" s="20" t="str">
        <f>IFERROR(W1868*L1866,"-")</f>
        <v>-</v>
      </c>
      <c r="Z1868" s="85">
        <v>45188</v>
      </c>
    </row>
    <row r="1869" spans="1:26" ht="21" customHeight="1" thickBot="1" x14ac:dyDescent="0.35">
      <c r="A1869" s="5"/>
      <c r="B1869" s="159"/>
      <c r="C1869" s="160"/>
      <c r="D1869" s="166" t="s">
        <v>43</v>
      </c>
      <c r="E1869" s="167"/>
      <c r="F1869" s="167"/>
      <c r="G1869" s="168" t="s">
        <v>288</v>
      </c>
      <c r="H1869" s="168"/>
      <c r="I1869" s="168"/>
      <c r="J1869" s="168"/>
      <c r="K1869" s="168"/>
      <c r="L1869" s="168"/>
      <c r="M1869" s="7"/>
      <c r="N1869" s="32"/>
      <c r="Z1869" s="85">
        <v>45188</v>
      </c>
    </row>
    <row r="1870" spans="1:26" ht="9.9499999999999993" customHeight="1" thickBot="1" x14ac:dyDescent="0.35">
      <c r="B1870" s="9"/>
      <c r="C1870" s="109">
        <v>969</v>
      </c>
      <c r="D1870" s="51"/>
      <c r="E1870" s="12"/>
      <c r="F1870" s="51"/>
      <c r="G1870" s="14"/>
      <c r="H1870" s="14"/>
      <c r="I1870" s="14"/>
      <c r="J1870" s="14"/>
      <c r="K1870" s="14"/>
      <c r="L1870" s="14"/>
      <c r="M1870" s="9"/>
      <c r="N1870" s="32"/>
      <c r="U1870" s="18"/>
      <c r="V1870" s="18"/>
      <c r="Z1870" s="85">
        <v>45188</v>
      </c>
    </row>
    <row r="1871" spans="1:26" ht="6.95" customHeight="1" x14ac:dyDescent="0.3">
      <c r="A1871" s="154">
        <f>+A1860+1</f>
        <v>970</v>
      </c>
      <c r="B1871" s="155"/>
      <c r="C1871" s="156"/>
      <c r="D1871" s="161" t="s">
        <v>39</v>
      </c>
      <c r="E1871" s="162" t="s">
        <v>111</v>
      </c>
      <c r="F1871" s="163" t="s">
        <v>40</v>
      </c>
      <c r="G1871" s="164" t="s">
        <v>197</v>
      </c>
      <c r="H1871" s="165">
        <v>1</v>
      </c>
      <c r="I1871" s="164"/>
      <c r="J1871" s="165"/>
      <c r="K1871" s="164"/>
      <c r="L1871" s="165"/>
      <c r="M1871" s="6"/>
      <c r="N1871" s="32"/>
      <c r="Q1871" s="10" t="str">
        <f>+CONCATENATE(E1871,G1871)</f>
        <v>보온덕트벽체2000*600</v>
      </c>
      <c r="R1871" s="10">
        <f>+H1871</f>
        <v>1</v>
      </c>
      <c r="S1871" s="11"/>
      <c r="T1871" s="10" t="str">
        <f>+E1871</f>
        <v>보온덕트벽체</v>
      </c>
      <c r="U1871" s="19" t="str">
        <f>IFERROR(LEFT(G1871,FIND("*",G1871)-1),"-")</f>
        <v>2000</v>
      </c>
      <c r="V1871" s="19" t="str">
        <f>IFERROR(RIGHT(G1871,LEN(G1871)-FIND("*",G1871)),"-")</f>
        <v>600</v>
      </c>
      <c r="W1871" s="20">
        <f>IFERROR((U1871+V1871)*2/1000,"-")</f>
        <v>5.2</v>
      </c>
      <c r="X1871" s="20">
        <f>IFERROR(W1871*H1871,"-")</f>
        <v>5.2</v>
      </c>
      <c r="Z1871" s="85">
        <v>45188</v>
      </c>
    </row>
    <row r="1872" spans="1:26" ht="6.95" customHeight="1" x14ac:dyDescent="0.3">
      <c r="A1872" s="154"/>
      <c r="B1872" s="157"/>
      <c r="C1872" s="158"/>
      <c r="D1872" s="161"/>
      <c r="E1872" s="162"/>
      <c r="F1872" s="163"/>
      <c r="G1872" s="164"/>
      <c r="H1872" s="165"/>
      <c r="I1872" s="164"/>
      <c r="J1872" s="165"/>
      <c r="K1872" s="164"/>
      <c r="L1872" s="165"/>
      <c r="M1872" s="6"/>
      <c r="N1872" s="32"/>
      <c r="Q1872" s="10" t="str">
        <f>+CONCATENATE(E1871,I1871)</f>
        <v>보온덕트벽체</v>
      </c>
      <c r="R1872" s="10">
        <f>+J1871</f>
        <v>0</v>
      </c>
      <c r="S1872" s="11"/>
      <c r="T1872" s="10" t="str">
        <f>+E1871</f>
        <v>보온덕트벽체</v>
      </c>
      <c r="U1872" s="19" t="str">
        <f>IFERROR(LEFT(I1871,FIND("*",I1871)-1),"-")</f>
        <v>-</v>
      </c>
      <c r="V1872" s="19" t="str">
        <f>IFERROR(RIGHT(I1871,LEN(I1871)-FIND("*",I1871)),"-")</f>
        <v>-</v>
      </c>
      <c r="W1872" s="20" t="str">
        <f t="shared" ref="W1872:W1879" si="1015">IFERROR((U1872+V1872)*2/1000,"-")</f>
        <v>-</v>
      </c>
      <c r="X1872" s="20" t="str">
        <f>IFERROR(W1872*J1871,"-")</f>
        <v>-</v>
      </c>
      <c r="Z1872" s="85">
        <v>45188</v>
      </c>
    </row>
    <row r="1873" spans="1:26" ht="6.95" customHeight="1" x14ac:dyDescent="0.3">
      <c r="A1873" s="154"/>
      <c r="B1873" s="157"/>
      <c r="C1873" s="158"/>
      <c r="D1873" s="161"/>
      <c r="E1873" s="162"/>
      <c r="F1873" s="163"/>
      <c r="G1873" s="164"/>
      <c r="H1873" s="165"/>
      <c r="I1873" s="164"/>
      <c r="J1873" s="165"/>
      <c r="K1873" s="164"/>
      <c r="L1873" s="165"/>
      <c r="M1873" s="6"/>
      <c r="N1873" s="32"/>
      <c r="Q1873" s="10" t="str">
        <f>+CONCATENATE(E1871,K1871)</f>
        <v>보온덕트벽체</v>
      </c>
      <c r="R1873" s="10">
        <f>+L1871</f>
        <v>0</v>
      </c>
      <c r="S1873" s="11"/>
      <c r="T1873" s="10" t="str">
        <f>+E1871</f>
        <v>보온덕트벽체</v>
      </c>
      <c r="U1873" s="19" t="str">
        <f>IFERROR(LEFT(K1871,FIND("*",K1871)-1),"-")</f>
        <v>-</v>
      </c>
      <c r="V1873" s="19" t="str">
        <f>IFERROR(RIGHT(K1871,LEN(K1871)-FIND("*",K1871)),"-")</f>
        <v>-</v>
      </c>
      <c r="W1873" s="20" t="str">
        <f t="shared" si="1015"/>
        <v>-</v>
      </c>
      <c r="X1873" s="20" t="str">
        <f>IFERROR(W1873*L1871,"-")</f>
        <v>-</v>
      </c>
      <c r="Z1873" s="85">
        <v>45188</v>
      </c>
    </row>
    <row r="1874" spans="1:26" ht="6.95" customHeight="1" x14ac:dyDescent="0.3">
      <c r="A1874" s="8"/>
      <c r="B1874" s="157"/>
      <c r="C1874" s="158"/>
      <c r="D1874" s="161" t="s">
        <v>39</v>
      </c>
      <c r="E1874" s="162" t="s">
        <v>188</v>
      </c>
      <c r="F1874" s="163" t="s">
        <v>40</v>
      </c>
      <c r="G1874" s="164" t="s">
        <v>197</v>
      </c>
      <c r="H1874" s="165">
        <v>2</v>
      </c>
      <c r="I1874" s="164"/>
      <c r="J1874" s="165"/>
      <c r="K1874" s="164"/>
      <c r="L1874" s="165"/>
      <c r="M1874" s="6"/>
      <c r="N1874" s="32"/>
      <c r="Q1874" s="10" t="str">
        <f>+CONCATENATE(E1874,G1874)</f>
        <v>차열재마감2000*600</v>
      </c>
      <c r="R1874" s="10">
        <f>+H1874</f>
        <v>2</v>
      </c>
      <c r="S1874" s="11"/>
      <c r="T1874" s="10" t="str">
        <f>+E1874</f>
        <v>차열재마감</v>
      </c>
      <c r="U1874" s="19" t="str">
        <f t="shared" ref="U1874" si="1016">IFERROR(LEFT(G1874,FIND("*",G1874)-1),"-")</f>
        <v>2000</v>
      </c>
      <c r="V1874" s="19" t="str">
        <f t="shared" ref="V1874" si="1017">IFERROR(RIGHT(G1874,LEN(G1874)-FIND("*",G1874)),"-")</f>
        <v>600</v>
      </c>
      <c r="W1874" s="20">
        <f t="shared" si="1015"/>
        <v>5.2</v>
      </c>
      <c r="X1874" s="20">
        <f>IFERROR(W1874*H1874,"-")</f>
        <v>10.4</v>
      </c>
      <c r="Z1874" s="85">
        <v>45188</v>
      </c>
    </row>
    <row r="1875" spans="1:26" ht="6.95" customHeight="1" x14ac:dyDescent="0.3">
      <c r="A1875" s="5"/>
      <c r="B1875" s="157"/>
      <c r="C1875" s="158"/>
      <c r="D1875" s="161"/>
      <c r="E1875" s="162"/>
      <c r="F1875" s="163"/>
      <c r="G1875" s="164"/>
      <c r="H1875" s="165"/>
      <c r="I1875" s="164"/>
      <c r="J1875" s="165"/>
      <c r="K1875" s="164"/>
      <c r="L1875" s="165"/>
      <c r="M1875" s="6"/>
      <c r="N1875" s="32"/>
      <c r="Q1875" s="10" t="str">
        <f>+CONCATENATE(E1874,I1874)</f>
        <v>차열재마감</v>
      </c>
      <c r="R1875" s="10">
        <f>+J1874</f>
        <v>0</v>
      </c>
      <c r="S1875" s="11"/>
      <c r="T1875" s="10" t="str">
        <f>+E1874</f>
        <v>차열재마감</v>
      </c>
      <c r="U1875" s="19" t="str">
        <f>IFERROR(LEFT(I1874,FIND("*",I1874)-1),"-")</f>
        <v>-</v>
      </c>
      <c r="V1875" s="19" t="str">
        <f>IFERROR(RIGHT(I1874,LEN(I1874)-FIND("*",I1874)),"-")</f>
        <v>-</v>
      </c>
      <c r="W1875" s="20" t="str">
        <f t="shared" si="1015"/>
        <v>-</v>
      </c>
      <c r="X1875" s="20" t="str">
        <f>IFERROR(W1875*J1874,"-")</f>
        <v>-</v>
      </c>
      <c r="Z1875" s="85">
        <v>45188</v>
      </c>
    </row>
    <row r="1876" spans="1:26" ht="6.95" customHeight="1" x14ac:dyDescent="0.3">
      <c r="A1876" s="5"/>
      <c r="B1876" s="157"/>
      <c r="C1876" s="158"/>
      <c r="D1876" s="161"/>
      <c r="E1876" s="162"/>
      <c r="F1876" s="163"/>
      <c r="G1876" s="164"/>
      <c r="H1876" s="165"/>
      <c r="I1876" s="164"/>
      <c r="J1876" s="165"/>
      <c r="K1876" s="164"/>
      <c r="L1876" s="165"/>
      <c r="M1876" s="6"/>
      <c r="N1876" s="32"/>
      <c r="Q1876" s="10" t="str">
        <f>+CONCATENATE(E1874,K1874)</f>
        <v>차열재마감</v>
      </c>
      <c r="R1876" s="10">
        <f>+L1874</f>
        <v>0</v>
      </c>
      <c r="S1876" s="11"/>
      <c r="T1876" s="10" t="str">
        <f>+E1874</f>
        <v>차열재마감</v>
      </c>
      <c r="U1876" s="19" t="str">
        <f>IFERROR(LEFT(K1874,FIND("*",K1874)-1),"-")</f>
        <v>-</v>
      </c>
      <c r="V1876" s="19" t="str">
        <f>IFERROR(RIGHT(K1874,LEN(K1874)-FIND("*",K1874)),"-")</f>
        <v>-</v>
      </c>
      <c r="W1876" s="20" t="str">
        <f t="shared" si="1015"/>
        <v>-</v>
      </c>
      <c r="X1876" s="20" t="str">
        <f>IFERROR(W1876*L1874,"-")</f>
        <v>-</v>
      </c>
      <c r="Z1876" s="85">
        <v>45188</v>
      </c>
    </row>
    <row r="1877" spans="1:26" ht="6.95" customHeight="1" x14ac:dyDescent="0.3">
      <c r="A1877" s="8"/>
      <c r="B1877" s="157"/>
      <c r="C1877" s="158"/>
      <c r="D1877" s="161" t="s">
        <v>39</v>
      </c>
      <c r="E1877" s="162" t="s">
        <v>186</v>
      </c>
      <c r="F1877" s="163" t="s">
        <v>40</v>
      </c>
      <c r="G1877" s="164">
        <v>50</v>
      </c>
      <c r="H1877" s="165">
        <v>3</v>
      </c>
      <c r="I1877" s="164"/>
      <c r="J1877" s="165"/>
      <c r="K1877" s="164"/>
      <c r="L1877" s="165"/>
      <c r="M1877" s="6"/>
      <c r="N1877" s="32"/>
      <c r="Q1877" s="10" t="str">
        <f>+CONCATENATE(E1877,G1877)</f>
        <v>금속관벽체50</v>
      </c>
      <c r="R1877" s="10">
        <f>+H1877</f>
        <v>3</v>
      </c>
      <c r="S1877" s="11"/>
      <c r="T1877" s="10" t="str">
        <f>+E1877</f>
        <v>금속관벽체</v>
      </c>
      <c r="U1877" s="19" t="str">
        <f t="shared" ref="U1877" si="1018">IFERROR(LEFT(G1877,FIND("*",G1877)-1),"-")</f>
        <v>-</v>
      </c>
      <c r="V1877" s="19" t="str">
        <f t="shared" ref="V1877" si="1019">IFERROR(RIGHT(G1877,LEN(G1877)-FIND("*",G1877)),"-")</f>
        <v>-</v>
      </c>
      <c r="W1877" s="20" t="str">
        <f t="shared" si="1015"/>
        <v>-</v>
      </c>
      <c r="X1877" s="20" t="str">
        <f>IFERROR(W1877*H1877,"-")</f>
        <v>-</v>
      </c>
      <c r="Z1877" s="85">
        <v>45188</v>
      </c>
    </row>
    <row r="1878" spans="1:26" ht="6.95" customHeight="1" x14ac:dyDescent="0.3">
      <c r="A1878" s="5"/>
      <c r="B1878" s="157"/>
      <c r="C1878" s="158"/>
      <c r="D1878" s="161"/>
      <c r="E1878" s="162"/>
      <c r="F1878" s="163"/>
      <c r="G1878" s="164"/>
      <c r="H1878" s="165"/>
      <c r="I1878" s="164"/>
      <c r="J1878" s="165"/>
      <c r="K1878" s="164"/>
      <c r="L1878" s="165"/>
      <c r="M1878" s="6"/>
      <c r="N1878" s="32"/>
      <c r="Q1878" s="10" t="str">
        <f>+CONCATENATE(E1877,I1877)</f>
        <v>금속관벽체</v>
      </c>
      <c r="R1878" s="10">
        <f>+J1877</f>
        <v>0</v>
      </c>
      <c r="S1878" s="11"/>
      <c r="T1878" s="10" t="str">
        <f>+E1877</f>
        <v>금속관벽체</v>
      </c>
      <c r="U1878" s="19" t="str">
        <f>IFERROR(LEFT(I1877,FIND("*",I1877)-1),"-")</f>
        <v>-</v>
      </c>
      <c r="V1878" s="19" t="str">
        <f>IFERROR(RIGHT(I1877,LEN(I1877)-FIND("*",I1877)),"-")</f>
        <v>-</v>
      </c>
      <c r="W1878" s="20" t="str">
        <f t="shared" si="1015"/>
        <v>-</v>
      </c>
      <c r="X1878" s="20" t="str">
        <f t="shared" ref="X1878" si="1020">IFERROR(W1878*J1877,"-")</f>
        <v>-</v>
      </c>
      <c r="Z1878" s="85">
        <v>45188</v>
      </c>
    </row>
    <row r="1879" spans="1:26" ht="6.95" customHeight="1" x14ac:dyDescent="0.3">
      <c r="A1879" s="5"/>
      <c r="B1879" s="157"/>
      <c r="C1879" s="158"/>
      <c r="D1879" s="161"/>
      <c r="E1879" s="162"/>
      <c r="F1879" s="163"/>
      <c r="G1879" s="164"/>
      <c r="H1879" s="165"/>
      <c r="I1879" s="164"/>
      <c r="J1879" s="165"/>
      <c r="K1879" s="164"/>
      <c r="L1879" s="165"/>
      <c r="M1879" s="6"/>
      <c r="N1879" s="32"/>
      <c r="Q1879" s="10" t="str">
        <f>+CONCATENATE(E1877,K1877)</f>
        <v>금속관벽체</v>
      </c>
      <c r="R1879" s="10">
        <f>+L1877</f>
        <v>0</v>
      </c>
      <c r="S1879" s="11"/>
      <c r="T1879" s="10" t="str">
        <f>+E1877</f>
        <v>금속관벽체</v>
      </c>
      <c r="U1879" s="19" t="str">
        <f>IFERROR(LEFT(K1877,FIND("*",K1877)-1),"-")</f>
        <v>-</v>
      </c>
      <c r="V1879" s="19" t="str">
        <f>IFERROR(RIGHT(K1877,LEN(K1877)-FIND("*",K1877)),"-")</f>
        <v>-</v>
      </c>
      <c r="W1879" s="20" t="str">
        <f t="shared" si="1015"/>
        <v>-</v>
      </c>
      <c r="X1879" s="20" t="str">
        <f>IFERROR(W1879*L1877,"-")</f>
        <v>-</v>
      </c>
      <c r="Z1879" s="85">
        <v>45188</v>
      </c>
    </row>
    <row r="1880" spans="1:26" ht="21" customHeight="1" thickBot="1" x14ac:dyDescent="0.35">
      <c r="A1880" s="5"/>
      <c r="B1880" s="159"/>
      <c r="C1880" s="160"/>
      <c r="D1880" s="166" t="s">
        <v>43</v>
      </c>
      <c r="E1880" s="167"/>
      <c r="F1880" s="167"/>
      <c r="G1880" s="168" t="s">
        <v>288</v>
      </c>
      <c r="H1880" s="168"/>
      <c r="I1880" s="168"/>
      <c r="J1880" s="168"/>
      <c r="K1880" s="168"/>
      <c r="L1880" s="168"/>
      <c r="M1880" s="7"/>
      <c r="N1880" s="32"/>
      <c r="Z1880" s="85">
        <v>45188</v>
      </c>
    </row>
    <row r="1881" spans="1:26" ht="9.9499999999999993" customHeight="1" thickBot="1" x14ac:dyDescent="0.35">
      <c r="B1881" s="9"/>
      <c r="C1881" s="109">
        <v>970</v>
      </c>
      <c r="D1881" s="51"/>
      <c r="E1881" s="12"/>
      <c r="F1881" s="51"/>
      <c r="G1881" s="14"/>
      <c r="H1881" s="14"/>
      <c r="I1881" s="14"/>
      <c r="J1881" s="14"/>
      <c r="K1881" s="14"/>
      <c r="L1881" s="14"/>
      <c r="M1881" s="9"/>
      <c r="N1881" s="32"/>
      <c r="U1881" s="18"/>
      <c r="V1881" s="18"/>
      <c r="Z1881" s="85">
        <v>45188</v>
      </c>
    </row>
    <row r="1882" spans="1:26" ht="6.95" customHeight="1" x14ac:dyDescent="0.3">
      <c r="A1882" s="154">
        <f>+A1871+1</f>
        <v>971</v>
      </c>
      <c r="B1882" s="155"/>
      <c r="C1882" s="156"/>
      <c r="D1882" s="161" t="s">
        <v>39</v>
      </c>
      <c r="E1882" s="162" t="s">
        <v>111</v>
      </c>
      <c r="F1882" s="163" t="s">
        <v>40</v>
      </c>
      <c r="G1882" s="164" t="s">
        <v>197</v>
      </c>
      <c r="H1882" s="165">
        <v>1</v>
      </c>
      <c r="I1882" s="164"/>
      <c r="J1882" s="165"/>
      <c r="K1882" s="164"/>
      <c r="L1882" s="165"/>
      <c r="M1882" s="6"/>
      <c r="N1882" s="32"/>
      <c r="Q1882" s="10" t="str">
        <f>+CONCATENATE(E1882,G1882)</f>
        <v>보온덕트벽체2000*600</v>
      </c>
      <c r="R1882" s="10">
        <f>+H1882</f>
        <v>1</v>
      </c>
      <c r="S1882" s="11"/>
      <c r="T1882" s="10" t="str">
        <f>+E1882</f>
        <v>보온덕트벽체</v>
      </c>
      <c r="U1882" s="19" t="str">
        <f>IFERROR(LEFT(G1882,FIND("*",G1882)-1),"-")</f>
        <v>2000</v>
      </c>
      <c r="V1882" s="19" t="str">
        <f>IFERROR(RIGHT(G1882,LEN(G1882)-FIND("*",G1882)),"-")</f>
        <v>600</v>
      </c>
      <c r="W1882" s="20">
        <f>IFERROR((U1882+V1882)*2/1000,"-")</f>
        <v>5.2</v>
      </c>
      <c r="X1882" s="20">
        <f>IFERROR(W1882*H1882,"-")</f>
        <v>5.2</v>
      </c>
      <c r="Z1882" s="85">
        <v>45188</v>
      </c>
    </row>
    <row r="1883" spans="1:26" ht="6.95" customHeight="1" x14ac:dyDescent="0.3">
      <c r="A1883" s="154"/>
      <c r="B1883" s="157"/>
      <c r="C1883" s="158"/>
      <c r="D1883" s="161"/>
      <c r="E1883" s="162"/>
      <c r="F1883" s="163"/>
      <c r="G1883" s="164"/>
      <c r="H1883" s="165"/>
      <c r="I1883" s="164"/>
      <c r="J1883" s="165"/>
      <c r="K1883" s="164"/>
      <c r="L1883" s="165"/>
      <c r="M1883" s="6"/>
      <c r="N1883" s="32"/>
      <c r="Q1883" s="10" t="str">
        <f>+CONCATENATE(E1882,I1882)</f>
        <v>보온덕트벽체</v>
      </c>
      <c r="R1883" s="10">
        <f>+J1882</f>
        <v>0</v>
      </c>
      <c r="S1883" s="11"/>
      <c r="T1883" s="10" t="str">
        <f>+E1882</f>
        <v>보온덕트벽체</v>
      </c>
      <c r="U1883" s="19" t="str">
        <f>IFERROR(LEFT(I1882,FIND("*",I1882)-1),"-")</f>
        <v>-</v>
      </c>
      <c r="V1883" s="19" t="str">
        <f>IFERROR(RIGHT(I1882,LEN(I1882)-FIND("*",I1882)),"-")</f>
        <v>-</v>
      </c>
      <c r="W1883" s="20" t="str">
        <f t="shared" ref="W1883:W1890" si="1021">IFERROR((U1883+V1883)*2/1000,"-")</f>
        <v>-</v>
      </c>
      <c r="X1883" s="20" t="str">
        <f>IFERROR(W1883*J1882,"-")</f>
        <v>-</v>
      </c>
      <c r="Z1883" s="85">
        <v>45188</v>
      </c>
    </row>
    <row r="1884" spans="1:26" ht="6.95" customHeight="1" x14ac:dyDescent="0.3">
      <c r="A1884" s="154"/>
      <c r="B1884" s="157"/>
      <c r="C1884" s="158"/>
      <c r="D1884" s="161"/>
      <c r="E1884" s="162"/>
      <c r="F1884" s="163"/>
      <c r="G1884" s="164"/>
      <c r="H1884" s="165"/>
      <c r="I1884" s="164"/>
      <c r="J1884" s="165"/>
      <c r="K1884" s="164"/>
      <c r="L1884" s="165"/>
      <c r="M1884" s="6"/>
      <c r="N1884" s="32"/>
      <c r="Q1884" s="10" t="str">
        <f>+CONCATENATE(E1882,K1882)</f>
        <v>보온덕트벽체</v>
      </c>
      <c r="R1884" s="10">
        <f>+L1882</f>
        <v>0</v>
      </c>
      <c r="S1884" s="11"/>
      <c r="T1884" s="10" t="str">
        <f>+E1882</f>
        <v>보온덕트벽체</v>
      </c>
      <c r="U1884" s="19" t="str">
        <f>IFERROR(LEFT(K1882,FIND("*",K1882)-1),"-")</f>
        <v>-</v>
      </c>
      <c r="V1884" s="19" t="str">
        <f>IFERROR(RIGHT(K1882,LEN(K1882)-FIND("*",K1882)),"-")</f>
        <v>-</v>
      </c>
      <c r="W1884" s="20" t="str">
        <f t="shared" si="1021"/>
        <v>-</v>
      </c>
      <c r="X1884" s="20" t="str">
        <f>IFERROR(W1884*L1882,"-")</f>
        <v>-</v>
      </c>
      <c r="Z1884" s="85">
        <v>45188</v>
      </c>
    </row>
    <row r="1885" spans="1:26" ht="6.95" customHeight="1" x14ac:dyDescent="0.3">
      <c r="A1885" s="8"/>
      <c r="B1885" s="157"/>
      <c r="C1885" s="158"/>
      <c r="D1885" s="161" t="s">
        <v>39</v>
      </c>
      <c r="E1885" s="162" t="s">
        <v>188</v>
      </c>
      <c r="F1885" s="163" t="s">
        <v>40</v>
      </c>
      <c r="G1885" s="164" t="s">
        <v>197</v>
      </c>
      <c r="H1885" s="165">
        <v>2</v>
      </c>
      <c r="I1885" s="164"/>
      <c r="J1885" s="165"/>
      <c r="K1885" s="164"/>
      <c r="L1885" s="165"/>
      <c r="M1885" s="6"/>
      <c r="N1885" s="32"/>
      <c r="Q1885" s="10" t="str">
        <f>+CONCATENATE(E1885,G1885)</f>
        <v>차열재마감2000*600</v>
      </c>
      <c r="R1885" s="10">
        <f>+H1885</f>
        <v>2</v>
      </c>
      <c r="S1885" s="11"/>
      <c r="T1885" s="10" t="str">
        <f>+E1885</f>
        <v>차열재마감</v>
      </c>
      <c r="U1885" s="19" t="str">
        <f t="shared" ref="U1885" si="1022">IFERROR(LEFT(G1885,FIND("*",G1885)-1),"-")</f>
        <v>2000</v>
      </c>
      <c r="V1885" s="19" t="str">
        <f t="shared" ref="V1885" si="1023">IFERROR(RIGHT(G1885,LEN(G1885)-FIND("*",G1885)),"-")</f>
        <v>600</v>
      </c>
      <c r="W1885" s="20">
        <f t="shared" si="1021"/>
        <v>5.2</v>
      </c>
      <c r="X1885" s="20">
        <f>IFERROR(W1885*H1885,"-")</f>
        <v>10.4</v>
      </c>
      <c r="Z1885" s="85">
        <v>45188</v>
      </c>
    </row>
    <row r="1886" spans="1:26" ht="6.95" customHeight="1" x14ac:dyDescent="0.3">
      <c r="A1886" s="5"/>
      <c r="B1886" s="157"/>
      <c r="C1886" s="158"/>
      <c r="D1886" s="161"/>
      <c r="E1886" s="162"/>
      <c r="F1886" s="163"/>
      <c r="G1886" s="164"/>
      <c r="H1886" s="165"/>
      <c r="I1886" s="164"/>
      <c r="J1886" s="165"/>
      <c r="K1886" s="164"/>
      <c r="L1886" s="165"/>
      <c r="M1886" s="6"/>
      <c r="N1886" s="32"/>
      <c r="Q1886" s="10" t="str">
        <f>+CONCATENATE(E1885,I1885)</f>
        <v>차열재마감</v>
      </c>
      <c r="R1886" s="10">
        <f>+J1885</f>
        <v>0</v>
      </c>
      <c r="S1886" s="11"/>
      <c r="T1886" s="10" t="str">
        <f>+E1885</f>
        <v>차열재마감</v>
      </c>
      <c r="U1886" s="19" t="str">
        <f>IFERROR(LEFT(I1885,FIND("*",I1885)-1),"-")</f>
        <v>-</v>
      </c>
      <c r="V1886" s="19" t="str">
        <f>IFERROR(RIGHT(I1885,LEN(I1885)-FIND("*",I1885)),"-")</f>
        <v>-</v>
      </c>
      <c r="W1886" s="20" t="str">
        <f t="shared" si="1021"/>
        <v>-</v>
      </c>
      <c r="X1886" s="20" t="str">
        <f>IFERROR(W1886*J1885,"-")</f>
        <v>-</v>
      </c>
      <c r="Z1886" s="85">
        <v>45188</v>
      </c>
    </row>
    <row r="1887" spans="1:26" ht="6.95" customHeight="1" x14ac:dyDescent="0.3">
      <c r="A1887" s="5"/>
      <c r="B1887" s="157"/>
      <c r="C1887" s="158"/>
      <c r="D1887" s="161"/>
      <c r="E1887" s="162"/>
      <c r="F1887" s="163"/>
      <c r="G1887" s="164"/>
      <c r="H1887" s="165"/>
      <c r="I1887" s="164"/>
      <c r="J1887" s="165"/>
      <c r="K1887" s="164"/>
      <c r="L1887" s="165"/>
      <c r="M1887" s="6"/>
      <c r="N1887" s="32"/>
      <c r="Q1887" s="10" t="str">
        <f>+CONCATENATE(E1885,K1885)</f>
        <v>차열재마감</v>
      </c>
      <c r="R1887" s="10">
        <f>+L1885</f>
        <v>0</v>
      </c>
      <c r="S1887" s="11"/>
      <c r="T1887" s="10" t="str">
        <f>+E1885</f>
        <v>차열재마감</v>
      </c>
      <c r="U1887" s="19" t="str">
        <f>IFERROR(LEFT(K1885,FIND("*",K1885)-1),"-")</f>
        <v>-</v>
      </c>
      <c r="V1887" s="19" t="str">
        <f>IFERROR(RIGHT(K1885,LEN(K1885)-FIND("*",K1885)),"-")</f>
        <v>-</v>
      </c>
      <c r="W1887" s="20" t="str">
        <f t="shared" si="1021"/>
        <v>-</v>
      </c>
      <c r="X1887" s="20" t="str">
        <f>IFERROR(W1887*L1885,"-")</f>
        <v>-</v>
      </c>
      <c r="Z1887" s="85">
        <v>45188</v>
      </c>
    </row>
    <row r="1888" spans="1:26" ht="6.95" customHeight="1" x14ac:dyDescent="0.3">
      <c r="A1888" s="8"/>
      <c r="B1888" s="157"/>
      <c r="C1888" s="158"/>
      <c r="D1888" s="161" t="s">
        <v>39</v>
      </c>
      <c r="E1888" s="162" t="s">
        <v>186</v>
      </c>
      <c r="F1888" s="163" t="s">
        <v>40</v>
      </c>
      <c r="G1888" s="164">
        <v>50</v>
      </c>
      <c r="H1888" s="165">
        <v>3</v>
      </c>
      <c r="I1888" s="164"/>
      <c r="J1888" s="165"/>
      <c r="K1888" s="164"/>
      <c r="L1888" s="165"/>
      <c r="M1888" s="6"/>
      <c r="N1888" s="32"/>
      <c r="Q1888" s="10" t="str">
        <f>+CONCATENATE(E1888,G1888)</f>
        <v>금속관벽체50</v>
      </c>
      <c r="R1888" s="10">
        <f>+H1888</f>
        <v>3</v>
      </c>
      <c r="S1888" s="11"/>
      <c r="T1888" s="10" t="str">
        <f>+E1888</f>
        <v>금속관벽체</v>
      </c>
      <c r="U1888" s="19" t="str">
        <f t="shared" ref="U1888" si="1024">IFERROR(LEFT(G1888,FIND("*",G1888)-1),"-")</f>
        <v>-</v>
      </c>
      <c r="V1888" s="19" t="str">
        <f t="shared" ref="V1888" si="1025">IFERROR(RIGHT(G1888,LEN(G1888)-FIND("*",G1888)),"-")</f>
        <v>-</v>
      </c>
      <c r="W1888" s="20" t="str">
        <f t="shared" si="1021"/>
        <v>-</v>
      </c>
      <c r="X1888" s="20" t="str">
        <f>IFERROR(W1888*H1888,"-")</f>
        <v>-</v>
      </c>
      <c r="Z1888" s="85">
        <v>45188</v>
      </c>
    </row>
    <row r="1889" spans="1:26" ht="6.95" customHeight="1" x14ac:dyDescent="0.3">
      <c r="A1889" s="5"/>
      <c r="B1889" s="157"/>
      <c r="C1889" s="158"/>
      <c r="D1889" s="161"/>
      <c r="E1889" s="162"/>
      <c r="F1889" s="163"/>
      <c r="G1889" s="164"/>
      <c r="H1889" s="165"/>
      <c r="I1889" s="164"/>
      <c r="J1889" s="165"/>
      <c r="K1889" s="164"/>
      <c r="L1889" s="165"/>
      <c r="M1889" s="6"/>
      <c r="N1889" s="32"/>
      <c r="Q1889" s="10" t="str">
        <f>+CONCATENATE(E1888,I1888)</f>
        <v>금속관벽체</v>
      </c>
      <c r="R1889" s="10">
        <f>+J1888</f>
        <v>0</v>
      </c>
      <c r="S1889" s="11"/>
      <c r="T1889" s="10" t="str">
        <f>+E1888</f>
        <v>금속관벽체</v>
      </c>
      <c r="U1889" s="19" t="str">
        <f>IFERROR(LEFT(I1888,FIND("*",I1888)-1),"-")</f>
        <v>-</v>
      </c>
      <c r="V1889" s="19" t="str">
        <f>IFERROR(RIGHT(I1888,LEN(I1888)-FIND("*",I1888)),"-")</f>
        <v>-</v>
      </c>
      <c r="W1889" s="20" t="str">
        <f t="shared" si="1021"/>
        <v>-</v>
      </c>
      <c r="X1889" s="20" t="str">
        <f t="shared" ref="X1889" si="1026">IFERROR(W1889*J1888,"-")</f>
        <v>-</v>
      </c>
      <c r="Z1889" s="85">
        <v>45188</v>
      </c>
    </row>
    <row r="1890" spans="1:26" ht="6.95" customHeight="1" x14ac:dyDescent="0.3">
      <c r="A1890" s="5"/>
      <c r="B1890" s="157"/>
      <c r="C1890" s="158"/>
      <c r="D1890" s="161"/>
      <c r="E1890" s="162"/>
      <c r="F1890" s="163"/>
      <c r="G1890" s="164"/>
      <c r="H1890" s="165"/>
      <c r="I1890" s="164"/>
      <c r="J1890" s="165"/>
      <c r="K1890" s="164"/>
      <c r="L1890" s="165"/>
      <c r="M1890" s="6"/>
      <c r="N1890" s="32"/>
      <c r="Q1890" s="10" t="str">
        <f>+CONCATENATE(E1888,K1888)</f>
        <v>금속관벽체</v>
      </c>
      <c r="R1890" s="10">
        <f>+L1888</f>
        <v>0</v>
      </c>
      <c r="S1890" s="11"/>
      <c r="T1890" s="10" t="str">
        <f>+E1888</f>
        <v>금속관벽체</v>
      </c>
      <c r="U1890" s="19" t="str">
        <f>IFERROR(LEFT(K1888,FIND("*",K1888)-1),"-")</f>
        <v>-</v>
      </c>
      <c r="V1890" s="19" t="str">
        <f>IFERROR(RIGHT(K1888,LEN(K1888)-FIND("*",K1888)),"-")</f>
        <v>-</v>
      </c>
      <c r="W1890" s="20" t="str">
        <f t="shared" si="1021"/>
        <v>-</v>
      </c>
      <c r="X1890" s="20" t="str">
        <f>IFERROR(W1890*L1888,"-")</f>
        <v>-</v>
      </c>
      <c r="Z1890" s="85">
        <v>45188</v>
      </c>
    </row>
    <row r="1891" spans="1:26" ht="21" customHeight="1" thickBot="1" x14ac:dyDescent="0.35">
      <c r="A1891" s="5"/>
      <c r="B1891" s="159"/>
      <c r="C1891" s="160"/>
      <c r="D1891" s="166" t="s">
        <v>43</v>
      </c>
      <c r="E1891" s="167"/>
      <c r="F1891" s="167"/>
      <c r="G1891" s="168" t="s">
        <v>288</v>
      </c>
      <c r="H1891" s="168"/>
      <c r="I1891" s="168"/>
      <c r="J1891" s="168"/>
      <c r="K1891" s="168"/>
      <c r="L1891" s="168"/>
      <c r="M1891" s="7"/>
      <c r="N1891" s="32"/>
      <c r="Z1891" s="85">
        <v>45188</v>
      </c>
    </row>
    <row r="1892" spans="1:26" ht="9.9499999999999993" customHeight="1" thickBot="1" x14ac:dyDescent="0.35">
      <c r="B1892" s="9"/>
      <c r="C1892" s="109">
        <v>971</v>
      </c>
      <c r="D1892" s="51"/>
      <c r="E1892" s="12"/>
      <c r="F1892" s="51"/>
      <c r="G1892" s="14"/>
      <c r="H1892" s="14"/>
      <c r="I1892" s="14"/>
      <c r="J1892" s="14"/>
      <c r="K1892" s="14"/>
      <c r="L1892" s="14"/>
      <c r="M1892" s="9"/>
      <c r="N1892" s="32"/>
      <c r="U1892" s="18"/>
      <c r="V1892" s="18"/>
      <c r="Z1892" s="85">
        <v>45188</v>
      </c>
    </row>
    <row r="1893" spans="1:26" ht="6.95" customHeight="1" x14ac:dyDescent="0.3">
      <c r="A1893" s="154">
        <f>+A1882+1</f>
        <v>972</v>
      </c>
      <c r="B1893" s="155"/>
      <c r="C1893" s="156"/>
      <c r="D1893" s="161" t="s">
        <v>39</v>
      </c>
      <c r="E1893" s="162" t="s">
        <v>111</v>
      </c>
      <c r="F1893" s="163" t="s">
        <v>40</v>
      </c>
      <c r="G1893" s="164" t="s">
        <v>197</v>
      </c>
      <c r="H1893" s="165">
        <v>1</v>
      </c>
      <c r="I1893" s="164"/>
      <c r="J1893" s="165"/>
      <c r="K1893" s="164"/>
      <c r="L1893" s="165"/>
      <c r="M1893" s="6"/>
      <c r="N1893" s="32"/>
      <c r="Q1893" s="10" t="str">
        <f>+CONCATENATE(E1893,G1893)</f>
        <v>보온덕트벽체2000*600</v>
      </c>
      <c r="R1893" s="10">
        <f>+H1893</f>
        <v>1</v>
      </c>
      <c r="S1893" s="11"/>
      <c r="T1893" s="10" t="str">
        <f>+E1893</f>
        <v>보온덕트벽체</v>
      </c>
      <c r="U1893" s="19" t="str">
        <f>IFERROR(LEFT(G1893,FIND("*",G1893)-1),"-")</f>
        <v>2000</v>
      </c>
      <c r="V1893" s="19" t="str">
        <f>IFERROR(RIGHT(G1893,LEN(G1893)-FIND("*",G1893)),"-")</f>
        <v>600</v>
      </c>
      <c r="W1893" s="20">
        <f>IFERROR((U1893+V1893)*2/1000,"-")</f>
        <v>5.2</v>
      </c>
      <c r="X1893" s="20">
        <f>IFERROR(W1893*H1893,"-")</f>
        <v>5.2</v>
      </c>
      <c r="Z1893" s="85">
        <v>45188</v>
      </c>
    </row>
    <row r="1894" spans="1:26" ht="6.95" customHeight="1" x14ac:dyDescent="0.3">
      <c r="A1894" s="154"/>
      <c r="B1894" s="157"/>
      <c r="C1894" s="158"/>
      <c r="D1894" s="161"/>
      <c r="E1894" s="162"/>
      <c r="F1894" s="163"/>
      <c r="G1894" s="164"/>
      <c r="H1894" s="165"/>
      <c r="I1894" s="164"/>
      <c r="J1894" s="165"/>
      <c r="K1894" s="164"/>
      <c r="L1894" s="165"/>
      <c r="M1894" s="6"/>
      <c r="N1894" s="32"/>
      <c r="Q1894" s="10" t="str">
        <f>+CONCATENATE(E1893,I1893)</f>
        <v>보온덕트벽체</v>
      </c>
      <c r="R1894" s="10">
        <f>+J1893</f>
        <v>0</v>
      </c>
      <c r="S1894" s="11"/>
      <c r="T1894" s="10" t="str">
        <f>+E1893</f>
        <v>보온덕트벽체</v>
      </c>
      <c r="U1894" s="19" t="str">
        <f>IFERROR(LEFT(I1893,FIND("*",I1893)-1),"-")</f>
        <v>-</v>
      </c>
      <c r="V1894" s="19" t="str">
        <f>IFERROR(RIGHT(I1893,LEN(I1893)-FIND("*",I1893)),"-")</f>
        <v>-</v>
      </c>
      <c r="W1894" s="20" t="str">
        <f t="shared" ref="W1894:W1901" si="1027">IFERROR((U1894+V1894)*2/1000,"-")</f>
        <v>-</v>
      </c>
      <c r="X1894" s="20" t="str">
        <f>IFERROR(W1894*J1893,"-")</f>
        <v>-</v>
      </c>
      <c r="Z1894" s="85">
        <v>45188</v>
      </c>
    </row>
    <row r="1895" spans="1:26" ht="6.95" customHeight="1" x14ac:dyDescent="0.3">
      <c r="A1895" s="154"/>
      <c r="B1895" s="157"/>
      <c r="C1895" s="158"/>
      <c r="D1895" s="161"/>
      <c r="E1895" s="162"/>
      <c r="F1895" s="163"/>
      <c r="G1895" s="164"/>
      <c r="H1895" s="165"/>
      <c r="I1895" s="164"/>
      <c r="J1895" s="165"/>
      <c r="K1895" s="164"/>
      <c r="L1895" s="165"/>
      <c r="M1895" s="6"/>
      <c r="N1895" s="32"/>
      <c r="Q1895" s="10" t="str">
        <f>+CONCATENATE(E1893,K1893)</f>
        <v>보온덕트벽체</v>
      </c>
      <c r="R1895" s="10">
        <f>+L1893</f>
        <v>0</v>
      </c>
      <c r="S1895" s="11"/>
      <c r="T1895" s="10" t="str">
        <f>+E1893</f>
        <v>보온덕트벽체</v>
      </c>
      <c r="U1895" s="19" t="str">
        <f>IFERROR(LEFT(K1893,FIND("*",K1893)-1),"-")</f>
        <v>-</v>
      </c>
      <c r="V1895" s="19" t="str">
        <f>IFERROR(RIGHT(K1893,LEN(K1893)-FIND("*",K1893)),"-")</f>
        <v>-</v>
      </c>
      <c r="W1895" s="20" t="str">
        <f t="shared" si="1027"/>
        <v>-</v>
      </c>
      <c r="X1895" s="20" t="str">
        <f>IFERROR(W1895*L1893,"-")</f>
        <v>-</v>
      </c>
      <c r="Z1895" s="85">
        <v>45188</v>
      </c>
    </row>
    <row r="1896" spans="1:26" ht="6.95" customHeight="1" x14ac:dyDescent="0.3">
      <c r="A1896" s="8"/>
      <c r="B1896" s="157"/>
      <c r="C1896" s="158"/>
      <c r="D1896" s="161" t="s">
        <v>39</v>
      </c>
      <c r="E1896" s="162" t="s">
        <v>188</v>
      </c>
      <c r="F1896" s="163" t="s">
        <v>40</v>
      </c>
      <c r="G1896" s="164" t="s">
        <v>197</v>
      </c>
      <c r="H1896" s="165">
        <v>2</v>
      </c>
      <c r="I1896" s="164"/>
      <c r="J1896" s="165"/>
      <c r="K1896" s="164"/>
      <c r="L1896" s="165"/>
      <c r="M1896" s="6"/>
      <c r="N1896" s="32"/>
      <c r="Q1896" s="10" t="str">
        <f>+CONCATENATE(E1896,G1896)</f>
        <v>차열재마감2000*600</v>
      </c>
      <c r="R1896" s="10">
        <f>+H1896</f>
        <v>2</v>
      </c>
      <c r="S1896" s="11"/>
      <c r="T1896" s="10" t="str">
        <f>+E1896</f>
        <v>차열재마감</v>
      </c>
      <c r="U1896" s="19" t="str">
        <f t="shared" ref="U1896" si="1028">IFERROR(LEFT(G1896,FIND("*",G1896)-1),"-")</f>
        <v>2000</v>
      </c>
      <c r="V1896" s="19" t="str">
        <f t="shared" ref="V1896" si="1029">IFERROR(RIGHT(G1896,LEN(G1896)-FIND("*",G1896)),"-")</f>
        <v>600</v>
      </c>
      <c r="W1896" s="20">
        <f t="shared" si="1027"/>
        <v>5.2</v>
      </c>
      <c r="X1896" s="20">
        <f>IFERROR(W1896*H1896,"-")</f>
        <v>10.4</v>
      </c>
      <c r="Z1896" s="85">
        <v>45188</v>
      </c>
    </row>
    <row r="1897" spans="1:26" ht="6.95" customHeight="1" x14ac:dyDescent="0.3">
      <c r="A1897" s="5"/>
      <c r="B1897" s="157"/>
      <c r="C1897" s="158"/>
      <c r="D1897" s="161"/>
      <c r="E1897" s="162"/>
      <c r="F1897" s="163"/>
      <c r="G1897" s="164"/>
      <c r="H1897" s="165"/>
      <c r="I1897" s="164"/>
      <c r="J1897" s="165"/>
      <c r="K1897" s="164"/>
      <c r="L1897" s="165"/>
      <c r="M1897" s="6"/>
      <c r="N1897" s="32"/>
      <c r="Q1897" s="10" t="str">
        <f>+CONCATENATE(E1896,I1896)</f>
        <v>차열재마감</v>
      </c>
      <c r="R1897" s="10">
        <f>+J1896</f>
        <v>0</v>
      </c>
      <c r="S1897" s="11"/>
      <c r="T1897" s="10" t="str">
        <f>+E1896</f>
        <v>차열재마감</v>
      </c>
      <c r="U1897" s="19" t="str">
        <f>IFERROR(LEFT(I1896,FIND("*",I1896)-1),"-")</f>
        <v>-</v>
      </c>
      <c r="V1897" s="19" t="str">
        <f>IFERROR(RIGHT(I1896,LEN(I1896)-FIND("*",I1896)),"-")</f>
        <v>-</v>
      </c>
      <c r="W1897" s="20" t="str">
        <f t="shared" si="1027"/>
        <v>-</v>
      </c>
      <c r="X1897" s="20" t="str">
        <f>IFERROR(W1897*J1896,"-")</f>
        <v>-</v>
      </c>
      <c r="Z1897" s="85">
        <v>45188</v>
      </c>
    </row>
    <row r="1898" spans="1:26" ht="6.95" customHeight="1" x14ac:dyDescent="0.3">
      <c r="A1898" s="5"/>
      <c r="B1898" s="157"/>
      <c r="C1898" s="158"/>
      <c r="D1898" s="161"/>
      <c r="E1898" s="162"/>
      <c r="F1898" s="163"/>
      <c r="G1898" s="164"/>
      <c r="H1898" s="165"/>
      <c r="I1898" s="164"/>
      <c r="J1898" s="165"/>
      <c r="K1898" s="164"/>
      <c r="L1898" s="165"/>
      <c r="M1898" s="6"/>
      <c r="N1898" s="32"/>
      <c r="Q1898" s="10" t="str">
        <f>+CONCATENATE(E1896,K1896)</f>
        <v>차열재마감</v>
      </c>
      <c r="R1898" s="10">
        <f>+L1896</f>
        <v>0</v>
      </c>
      <c r="S1898" s="11"/>
      <c r="T1898" s="10" t="str">
        <f>+E1896</f>
        <v>차열재마감</v>
      </c>
      <c r="U1898" s="19" t="str">
        <f>IFERROR(LEFT(K1896,FIND("*",K1896)-1),"-")</f>
        <v>-</v>
      </c>
      <c r="V1898" s="19" t="str">
        <f>IFERROR(RIGHT(K1896,LEN(K1896)-FIND("*",K1896)),"-")</f>
        <v>-</v>
      </c>
      <c r="W1898" s="20" t="str">
        <f t="shared" si="1027"/>
        <v>-</v>
      </c>
      <c r="X1898" s="20" t="str">
        <f>IFERROR(W1898*L1896,"-")</f>
        <v>-</v>
      </c>
      <c r="Z1898" s="85">
        <v>45188</v>
      </c>
    </row>
    <row r="1899" spans="1:26" ht="6.95" customHeight="1" x14ac:dyDescent="0.3">
      <c r="A1899" s="8"/>
      <c r="B1899" s="157"/>
      <c r="C1899" s="158"/>
      <c r="D1899" s="161" t="s">
        <v>39</v>
      </c>
      <c r="E1899" s="162"/>
      <c r="F1899" s="163" t="s">
        <v>40</v>
      </c>
      <c r="G1899" s="164"/>
      <c r="H1899" s="165"/>
      <c r="I1899" s="164"/>
      <c r="J1899" s="165"/>
      <c r="K1899" s="164"/>
      <c r="L1899" s="165"/>
      <c r="M1899" s="6"/>
      <c r="N1899" s="32"/>
      <c r="Q1899" s="10" t="str">
        <f>+CONCATENATE(E1899,G1899)</f>
        <v/>
      </c>
      <c r="R1899" s="10">
        <f>+H1899</f>
        <v>0</v>
      </c>
      <c r="S1899" s="11"/>
      <c r="T1899" s="10">
        <f>+E1899</f>
        <v>0</v>
      </c>
      <c r="U1899" s="19" t="str">
        <f t="shared" ref="U1899" si="1030">IFERROR(LEFT(G1899,FIND("*",G1899)-1),"-")</f>
        <v>-</v>
      </c>
      <c r="V1899" s="19" t="str">
        <f t="shared" ref="V1899" si="1031">IFERROR(RIGHT(G1899,LEN(G1899)-FIND("*",G1899)),"-")</f>
        <v>-</v>
      </c>
      <c r="W1899" s="20" t="str">
        <f t="shared" si="1027"/>
        <v>-</v>
      </c>
      <c r="X1899" s="20" t="str">
        <f>IFERROR(W1899*H1899,"-")</f>
        <v>-</v>
      </c>
      <c r="Z1899" s="85">
        <v>45188</v>
      </c>
    </row>
    <row r="1900" spans="1:26" ht="6.95" customHeight="1" x14ac:dyDescent="0.3">
      <c r="A1900" s="5"/>
      <c r="B1900" s="157"/>
      <c r="C1900" s="158"/>
      <c r="D1900" s="161"/>
      <c r="E1900" s="162"/>
      <c r="F1900" s="163"/>
      <c r="G1900" s="164"/>
      <c r="H1900" s="165"/>
      <c r="I1900" s="164"/>
      <c r="J1900" s="165"/>
      <c r="K1900" s="164"/>
      <c r="L1900" s="165"/>
      <c r="M1900" s="6"/>
      <c r="N1900" s="32"/>
      <c r="Q1900" s="10" t="str">
        <f>+CONCATENATE(E1899,I1899)</f>
        <v/>
      </c>
      <c r="R1900" s="10">
        <f>+J1899</f>
        <v>0</v>
      </c>
      <c r="S1900" s="11"/>
      <c r="T1900" s="10">
        <f>+E1899</f>
        <v>0</v>
      </c>
      <c r="U1900" s="19" t="str">
        <f>IFERROR(LEFT(I1899,FIND("*",I1899)-1),"-")</f>
        <v>-</v>
      </c>
      <c r="V1900" s="19" t="str">
        <f>IFERROR(RIGHT(I1899,LEN(I1899)-FIND("*",I1899)),"-")</f>
        <v>-</v>
      </c>
      <c r="W1900" s="20" t="str">
        <f t="shared" si="1027"/>
        <v>-</v>
      </c>
      <c r="X1900" s="20" t="str">
        <f t="shared" ref="X1900" si="1032">IFERROR(W1900*J1899,"-")</f>
        <v>-</v>
      </c>
      <c r="Z1900" s="85">
        <v>45188</v>
      </c>
    </row>
    <row r="1901" spans="1:26" ht="6.95" customHeight="1" x14ac:dyDescent="0.3">
      <c r="A1901" s="5"/>
      <c r="B1901" s="157"/>
      <c r="C1901" s="158"/>
      <c r="D1901" s="161"/>
      <c r="E1901" s="162"/>
      <c r="F1901" s="163"/>
      <c r="G1901" s="164"/>
      <c r="H1901" s="165"/>
      <c r="I1901" s="164"/>
      <c r="J1901" s="165"/>
      <c r="K1901" s="164"/>
      <c r="L1901" s="165"/>
      <c r="M1901" s="6"/>
      <c r="N1901" s="32"/>
      <c r="Q1901" s="10" t="str">
        <f>+CONCATENATE(E1899,K1899)</f>
        <v/>
      </c>
      <c r="R1901" s="10">
        <f>+L1899</f>
        <v>0</v>
      </c>
      <c r="S1901" s="11"/>
      <c r="T1901" s="10">
        <f>+E1899</f>
        <v>0</v>
      </c>
      <c r="U1901" s="19" t="str">
        <f>IFERROR(LEFT(K1899,FIND("*",K1899)-1),"-")</f>
        <v>-</v>
      </c>
      <c r="V1901" s="19" t="str">
        <f>IFERROR(RIGHT(K1899,LEN(K1899)-FIND("*",K1899)),"-")</f>
        <v>-</v>
      </c>
      <c r="W1901" s="20" t="str">
        <f t="shared" si="1027"/>
        <v>-</v>
      </c>
      <c r="X1901" s="20" t="str">
        <f>IFERROR(W1901*L1899,"-")</f>
        <v>-</v>
      </c>
      <c r="Z1901" s="85">
        <v>45188</v>
      </c>
    </row>
    <row r="1902" spans="1:26" ht="21" customHeight="1" thickBot="1" x14ac:dyDescent="0.35">
      <c r="A1902" s="5"/>
      <c r="B1902" s="159"/>
      <c r="C1902" s="160"/>
      <c r="D1902" s="166" t="s">
        <v>43</v>
      </c>
      <c r="E1902" s="167"/>
      <c r="F1902" s="167"/>
      <c r="G1902" s="168" t="s">
        <v>288</v>
      </c>
      <c r="H1902" s="168"/>
      <c r="I1902" s="168"/>
      <c r="J1902" s="168"/>
      <c r="K1902" s="168"/>
      <c r="L1902" s="168"/>
      <c r="M1902" s="7"/>
      <c r="N1902" s="32"/>
      <c r="Z1902" s="85">
        <v>45188</v>
      </c>
    </row>
    <row r="1903" spans="1:26" ht="9.9499999999999993" customHeight="1" thickBot="1" x14ac:dyDescent="0.35">
      <c r="B1903" s="9"/>
      <c r="C1903" s="109">
        <v>972</v>
      </c>
      <c r="D1903" s="51"/>
      <c r="E1903" s="12"/>
      <c r="F1903" s="51"/>
      <c r="G1903" s="14"/>
      <c r="H1903" s="14"/>
      <c r="I1903" s="14"/>
      <c r="J1903" s="14"/>
      <c r="K1903" s="14"/>
      <c r="L1903" s="14"/>
      <c r="M1903" s="9"/>
      <c r="N1903" s="32"/>
      <c r="U1903" s="18"/>
      <c r="V1903" s="18"/>
      <c r="Z1903" s="85">
        <v>45188</v>
      </c>
    </row>
    <row r="1904" spans="1:26" ht="6.95" customHeight="1" x14ac:dyDescent="0.3">
      <c r="A1904" s="154">
        <f>+A1893+1</f>
        <v>973</v>
      </c>
      <c r="B1904" s="155"/>
      <c r="C1904" s="156"/>
      <c r="D1904" s="161" t="s">
        <v>39</v>
      </c>
      <c r="E1904" s="162" t="s">
        <v>115</v>
      </c>
      <c r="F1904" s="163" t="s">
        <v>40</v>
      </c>
      <c r="G1904" s="164" t="s">
        <v>197</v>
      </c>
      <c r="H1904" s="165">
        <v>1</v>
      </c>
      <c r="I1904" s="164"/>
      <c r="J1904" s="165"/>
      <c r="K1904" s="164"/>
      <c r="L1904" s="165"/>
      <c r="M1904" s="6"/>
      <c r="N1904" s="32"/>
      <c r="Q1904" s="10" t="str">
        <f>+CONCATENATE(E1904,G1904)</f>
        <v>무보온덕트벽체2000*600</v>
      </c>
      <c r="R1904" s="10">
        <f>+H1904</f>
        <v>1</v>
      </c>
      <c r="S1904" s="11"/>
      <c r="T1904" s="10" t="str">
        <f>+E1904</f>
        <v>무보온덕트벽체</v>
      </c>
      <c r="U1904" s="19" t="str">
        <f>IFERROR(LEFT(G1904,FIND("*",G1904)-1),"-")</f>
        <v>2000</v>
      </c>
      <c r="V1904" s="19" t="str">
        <f>IFERROR(RIGHT(G1904,LEN(G1904)-FIND("*",G1904)),"-")</f>
        <v>600</v>
      </c>
      <c r="W1904" s="20">
        <f>IFERROR((U1904+V1904)*2/1000,"-")</f>
        <v>5.2</v>
      </c>
      <c r="X1904" s="20">
        <f>IFERROR(W1904*H1904,"-")</f>
        <v>5.2</v>
      </c>
      <c r="Z1904" s="85">
        <v>45188</v>
      </c>
    </row>
    <row r="1905" spans="1:26" ht="6.95" customHeight="1" x14ac:dyDescent="0.3">
      <c r="A1905" s="154"/>
      <c r="B1905" s="157"/>
      <c r="C1905" s="158"/>
      <c r="D1905" s="161"/>
      <c r="E1905" s="162"/>
      <c r="F1905" s="163"/>
      <c r="G1905" s="164"/>
      <c r="H1905" s="165"/>
      <c r="I1905" s="164"/>
      <c r="J1905" s="165"/>
      <c r="K1905" s="164"/>
      <c r="L1905" s="165"/>
      <c r="M1905" s="6"/>
      <c r="N1905" s="32"/>
      <c r="Q1905" s="10" t="str">
        <f>+CONCATENATE(E1904,I1904)</f>
        <v>무보온덕트벽체</v>
      </c>
      <c r="R1905" s="10">
        <f>+J1904</f>
        <v>0</v>
      </c>
      <c r="S1905" s="11"/>
      <c r="T1905" s="10" t="str">
        <f>+E1904</f>
        <v>무보온덕트벽체</v>
      </c>
      <c r="U1905" s="19" t="str">
        <f>IFERROR(LEFT(I1904,FIND("*",I1904)-1),"-")</f>
        <v>-</v>
      </c>
      <c r="V1905" s="19" t="str">
        <f>IFERROR(RIGHT(I1904,LEN(I1904)-FIND("*",I1904)),"-")</f>
        <v>-</v>
      </c>
      <c r="W1905" s="20" t="str">
        <f t="shared" ref="W1905:W1912" si="1033">IFERROR((U1905+V1905)*2/1000,"-")</f>
        <v>-</v>
      </c>
      <c r="X1905" s="20" t="str">
        <f>IFERROR(W1905*J1904,"-")</f>
        <v>-</v>
      </c>
      <c r="Z1905" s="85">
        <v>45188</v>
      </c>
    </row>
    <row r="1906" spans="1:26" ht="6.95" customHeight="1" x14ac:dyDescent="0.3">
      <c r="A1906" s="154"/>
      <c r="B1906" s="157"/>
      <c r="C1906" s="158"/>
      <c r="D1906" s="161"/>
      <c r="E1906" s="162"/>
      <c r="F1906" s="163"/>
      <c r="G1906" s="164"/>
      <c r="H1906" s="165"/>
      <c r="I1906" s="164"/>
      <c r="J1906" s="165"/>
      <c r="K1906" s="164"/>
      <c r="L1906" s="165"/>
      <c r="M1906" s="6"/>
      <c r="N1906" s="32"/>
      <c r="Q1906" s="10" t="str">
        <f>+CONCATENATE(E1904,K1904)</f>
        <v>무보온덕트벽체</v>
      </c>
      <c r="R1906" s="10">
        <f>+L1904</f>
        <v>0</v>
      </c>
      <c r="S1906" s="11"/>
      <c r="T1906" s="10" t="str">
        <f>+E1904</f>
        <v>무보온덕트벽체</v>
      </c>
      <c r="U1906" s="19" t="str">
        <f>IFERROR(LEFT(K1904,FIND("*",K1904)-1),"-")</f>
        <v>-</v>
      </c>
      <c r="V1906" s="19" t="str">
        <f>IFERROR(RIGHT(K1904,LEN(K1904)-FIND("*",K1904)),"-")</f>
        <v>-</v>
      </c>
      <c r="W1906" s="20" t="str">
        <f t="shared" si="1033"/>
        <v>-</v>
      </c>
      <c r="X1906" s="20" t="str">
        <f>IFERROR(W1906*L1904,"-")</f>
        <v>-</v>
      </c>
      <c r="Z1906" s="85">
        <v>45188</v>
      </c>
    </row>
    <row r="1907" spans="1:26" ht="6.95" customHeight="1" x14ac:dyDescent="0.3">
      <c r="A1907" s="8"/>
      <c r="B1907" s="157"/>
      <c r="C1907" s="158"/>
      <c r="D1907" s="161" t="s">
        <v>39</v>
      </c>
      <c r="E1907" s="162" t="s">
        <v>188</v>
      </c>
      <c r="F1907" s="163" t="s">
        <v>40</v>
      </c>
      <c r="G1907" s="164" t="s">
        <v>197</v>
      </c>
      <c r="H1907" s="165">
        <v>1</v>
      </c>
      <c r="I1907" s="164"/>
      <c r="J1907" s="165"/>
      <c r="K1907" s="164"/>
      <c r="L1907" s="165"/>
      <c r="M1907" s="6"/>
      <c r="N1907" s="32"/>
      <c r="Q1907" s="10" t="str">
        <f>+CONCATENATE(E1907,G1907)</f>
        <v>차열재마감2000*600</v>
      </c>
      <c r="R1907" s="10">
        <f>+H1907</f>
        <v>1</v>
      </c>
      <c r="S1907" s="11"/>
      <c r="T1907" s="10" t="str">
        <f>+E1907</f>
        <v>차열재마감</v>
      </c>
      <c r="U1907" s="19" t="str">
        <f t="shared" ref="U1907" si="1034">IFERROR(LEFT(G1907,FIND("*",G1907)-1),"-")</f>
        <v>2000</v>
      </c>
      <c r="V1907" s="19" t="str">
        <f t="shared" ref="V1907" si="1035">IFERROR(RIGHT(G1907,LEN(G1907)-FIND("*",G1907)),"-")</f>
        <v>600</v>
      </c>
      <c r="W1907" s="20">
        <f t="shared" si="1033"/>
        <v>5.2</v>
      </c>
      <c r="X1907" s="20">
        <f>IFERROR(W1907*H1907,"-")</f>
        <v>5.2</v>
      </c>
      <c r="Z1907" s="85">
        <v>45188</v>
      </c>
    </row>
    <row r="1908" spans="1:26" ht="6.95" customHeight="1" x14ac:dyDescent="0.3">
      <c r="A1908" s="5"/>
      <c r="B1908" s="157"/>
      <c r="C1908" s="158"/>
      <c r="D1908" s="161"/>
      <c r="E1908" s="162"/>
      <c r="F1908" s="163"/>
      <c r="G1908" s="164"/>
      <c r="H1908" s="165"/>
      <c r="I1908" s="164"/>
      <c r="J1908" s="165"/>
      <c r="K1908" s="164"/>
      <c r="L1908" s="165"/>
      <c r="M1908" s="6"/>
      <c r="N1908" s="32"/>
      <c r="Q1908" s="10" t="str">
        <f>+CONCATENATE(E1907,I1907)</f>
        <v>차열재마감</v>
      </c>
      <c r="R1908" s="10">
        <f>+J1907</f>
        <v>0</v>
      </c>
      <c r="S1908" s="11"/>
      <c r="T1908" s="10" t="str">
        <f>+E1907</f>
        <v>차열재마감</v>
      </c>
      <c r="U1908" s="19" t="str">
        <f>IFERROR(LEFT(I1907,FIND("*",I1907)-1),"-")</f>
        <v>-</v>
      </c>
      <c r="V1908" s="19" t="str">
        <f>IFERROR(RIGHT(I1907,LEN(I1907)-FIND("*",I1907)),"-")</f>
        <v>-</v>
      </c>
      <c r="W1908" s="20" t="str">
        <f t="shared" si="1033"/>
        <v>-</v>
      </c>
      <c r="X1908" s="20" t="str">
        <f>IFERROR(W1908*J1907,"-")</f>
        <v>-</v>
      </c>
      <c r="Z1908" s="85">
        <v>45188</v>
      </c>
    </row>
    <row r="1909" spans="1:26" ht="6.95" customHeight="1" x14ac:dyDescent="0.3">
      <c r="A1909" s="5"/>
      <c r="B1909" s="157"/>
      <c r="C1909" s="158"/>
      <c r="D1909" s="161"/>
      <c r="E1909" s="162"/>
      <c r="F1909" s="163"/>
      <c r="G1909" s="164"/>
      <c r="H1909" s="165"/>
      <c r="I1909" s="164"/>
      <c r="J1909" s="165"/>
      <c r="K1909" s="164"/>
      <c r="L1909" s="165"/>
      <c r="M1909" s="6"/>
      <c r="N1909" s="32"/>
      <c r="Q1909" s="10" t="str">
        <f>+CONCATENATE(E1907,K1907)</f>
        <v>차열재마감</v>
      </c>
      <c r="R1909" s="10">
        <f>+L1907</f>
        <v>0</v>
      </c>
      <c r="S1909" s="11"/>
      <c r="T1909" s="10" t="str">
        <f>+E1907</f>
        <v>차열재마감</v>
      </c>
      <c r="U1909" s="19" t="str">
        <f>IFERROR(LEFT(K1907,FIND("*",K1907)-1),"-")</f>
        <v>-</v>
      </c>
      <c r="V1909" s="19" t="str">
        <f>IFERROR(RIGHT(K1907,LEN(K1907)-FIND("*",K1907)),"-")</f>
        <v>-</v>
      </c>
      <c r="W1909" s="20" t="str">
        <f t="shared" si="1033"/>
        <v>-</v>
      </c>
      <c r="X1909" s="20" t="str">
        <f>IFERROR(W1909*L1907,"-")</f>
        <v>-</v>
      </c>
      <c r="Z1909" s="85">
        <v>45188</v>
      </c>
    </row>
    <row r="1910" spans="1:26" ht="6.95" customHeight="1" x14ac:dyDescent="0.3">
      <c r="A1910" s="8"/>
      <c r="B1910" s="157"/>
      <c r="C1910" s="158"/>
      <c r="D1910" s="161" t="s">
        <v>39</v>
      </c>
      <c r="E1910" s="162"/>
      <c r="F1910" s="163" t="s">
        <v>40</v>
      </c>
      <c r="G1910" s="164"/>
      <c r="H1910" s="165"/>
      <c r="I1910" s="164"/>
      <c r="J1910" s="165"/>
      <c r="K1910" s="164"/>
      <c r="L1910" s="165"/>
      <c r="M1910" s="6"/>
      <c r="N1910" s="32"/>
      <c r="Q1910" s="10" t="str">
        <f>+CONCATENATE(E1910,G1910)</f>
        <v/>
      </c>
      <c r="R1910" s="10">
        <f>+H1910</f>
        <v>0</v>
      </c>
      <c r="S1910" s="11"/>
      <c r="T1910" s="10">
        <f>+E1910</f>
        <v>0</v>
      </c>
      <c r="U1910" s="19" t="str">
        <f t="shared" ref="U1910" si="1036">IFERROR(LEFT(G1910,FIND("*",G1910)-1),"-")</f>
        <v>-</v>
      </c>
      <c r="V1910" s="19" t="str">
        <f t="shared" ref="V1910" si="1037">IFERROR(RIGHT(G1910,LEN(G1910)-FIND("*",G1910)),"-")</f>
        <v>-</v>
      </c>
      <c r="W1910" s="20" t="str">
        <f t="shared" si="1033"/>
        <v>-</v>
      </c>
      <c r="X1910" s="20" t="str">
        <f>IFERROR(W1910*H1910,"-")</f>
        <v>-</v>
      </c>
      <c r="Z1910" s="85">
        <v>45188</v>
      </c>
    </row>
    <row r="1911" spans="1:26" ht="6.95" customHeight="1" x14ac:dyDescent="0.3">
      <c r="A1911" s="5"/>
      <c r="B1911" s="157"/>
      <c r="C1911" s="158"/>
      <c r="D1911" s="161"/>
      <c r="E1911" s="162"/>
      <c r="F1911" s="163"/>
      <c r="G1911" s="164"/>
      <c r="H1911" s="165"/>
      <c r="I1911" s="164"/>
      <c r="J1911" s="165"/>
      <c r="K1911" s="164"/>
      <c r="L1911" s="165"/>
      <c r="M1911" s="6"/>
      <c r="N1911" s="32"/>
      <c r="Q1911" s="10" t="str">
        <f>+CONCATENATE(E1910,I1910)</f>
        <v/>
      </c>
      <c r="R1911" s="10">
        <f>+J1910</f>
        <v>0</v>
      </c>
      <c r="S1911" s="11"/>
      <c r="T1911" s="10">
        <f>+E1910</f>
        <v>0</v>
      </c>
      <c r="U1911" s="19" t="str">
        <f>IFERROR(LEFT(I1910,FIND("*",I1910)-1),"-")</f>
        <v>-</v>
      </c>
      <c r="V1911" s="19" t="str">
        <f>IFERROR(RIGHT(I1910,LEN(I1910)-FIND("*",I1910)),"-")</f>
        <v>-</v>
      </c>
      <c r="W1911" s="20" t="str">
        <f t="shared" si="1033"/>
        <v>-</v>
      </c>
      <c r="X1911" s="20" t="str">
        <f t="shared" ref="X1911" si="1038">IFERROR(W1911*J1910,"-")</f>
        <v>-</v>
      </c>
      <c r="Z1911" s="85">
        <v>45188</v>
      </c>
    </row>
    <row r="1912" spans="1:26" ht="6.95" customHeight="1" x14ac:dyDescent="0.3">
      <c r="A1912" s="5"/>
      <c r="B1912" s="157"/>
      <c r="C1912" s="158"/>
      <c r="D1912" s="161"/>
      <c r="E1912" s="162"/>
      <c r="F1912" s="163"/>
      <c r="G1912" s="164"/>
      <c r="H1912" s="165"/>
      <c r="I1912" s="164"/>
      <c r="J1912" s="165"/>
      <c r="K1912" s="164"/>
      <c r="L1912" s="165"/>
      <c r="M1912" s="6"/>
      <c r="N1912" s="32"/>
      <c r="Q1912" s="10" t="str">
        <f>+CONCATENATE(E1910,K1910)</f>
        <v/>
      </c>
      <c r="R1912" s="10">
        <f>+L1910</f>
        <v>0</v>
      </c>
      <c r="S1912" s="11"/>
      <c r="T1912" s="10">
        <f>+E1910</f>
        <v>0</v>
      </c>
      <c r="U1912" s="19" t="str">
        <f>IFERROR(LEFT(K1910,FIND("*",K1910)-1),"-")</f>
        <v>-</v>
      </c>
      <c r="V1912" s="19" t="str">
        <f>IFERROR(RIGHT(K1910,LEN(K1910)-FIND("*",K1910)),"-")</f>
        <v>-</v>
      </c>
      <c r="W1912" s="20" t="str">
        <f t="shared" si="1033"/>
        <v>-</v>
      </c>
      <c r="X1912" s="20" t="str">
        <f>IFERROR(W1912*L1910,"-")</f>
        <v>-</v>
      </c>
      <c r="Z1912" s="85">
        <v>45188</v>
      </c>
    </row>
    <row r="1913" spans="1:26" ht="21" customHeight="1" thickBot="1" x14ac:dyDescent="0.35">
      <c r="A1913" s="5"/>
      <c r="B1913" s="159"/>
      <c r="C1913" s="160"/>
      <c r="D1913" s="166" t="s">
        <v>43</v>
      </c>
      <c r="E1913" s="167"/>
      <c r="F1913" s="167"/>
      <c r="G1913" s="168" t="s">
        <v>288</v>
      </c>
      <c r="H1913" s="168"/>
      <c r="I1913" s="168"/>
      <c r="J1913" s="168"/>
      <c r="K1913" s="168"/>
      <c r="L1913" s="168"/>
      <c r="M1913" s="7"/>
      <c r="N1913" s="32"/>
      <c r="Z1913" s="85">
        <v>45188</v>
      </c>
    </row>
    <row r="1914" spans="1:26" ht="9.9499999999999993" customHeight="1" thickBot="1" x14ac:dyDescent="0.35">
      <c r="B1914" s="9"/>
      <c r="C1914" s="109">
        <v>973</v>
      </c>
      <c r="D1914" s="51"/>
      <c r="E1914" s="12"/>
      <c r="F1914" s="51"/>
      <c r="G1914" s="14"/>
      <c r="H1914" s="14"/>
      <c r="I1914" s="14"/>
      <c r="J1914" s="14"/>
      <c r="K1914" s="14"/>
      <c r="L1914" s="14"/>
      <c r="M1914" s="9"/>
      <c r="N1914" s="32"/>
      <c r="U1914" s="18"/>
      <c r="V1914" s="18"/>
      <c r="Z1914" s="85">
        <v>45188</v>
      </c>
    </row>
    <row r="1915" spans="1:26" ht="6.95" customHeight="1" x14ac:dyDescent="0.3">
      <c r="A1915" s="154">
        <f>+A1904+1</f>
        <v>974</v>
      </c>
      <c r="B1915" s="155"/>
      <c r="C1915" s="156"/>
      <c r="D1915" s="161" t="s">
        <v>39</v>
      </c>
      <c r="E1915" s="162" t="s">
        <v>111</v>
      </c>
      <c r="F1915" s="163" t="s">
        <v>40</v>
      </c>
      <c r="G1915" s="164" t="s">
        <v>191</v>
      </c>
      <c r="H1915" s="165">
        <v>2</v>
      </c>
      <c r="I1915" s="164"/>
      <c r="J1915" s="165"/>
      <c r="K1915" s="164"/>
      <c r="L1915" s="165"/>
      <c r="M1915" s="6"/>
      <c r="N1915" s="32"/>
      <c r="Q1915" s="10" t="str">
        <f>+CONCATENATE(E1915,G1915)</f>
        <v>보온덕트벽체800*400</v>
      </c>
      <c r="R1915" s="10">
        <f>+H1915</f>
        <v>2</v>
      </c>
      <c r="S1915" s="11"/>
      <c r="T1915" s="10" t="str">
        <f>+E1915</f>
        <v>보온덕트벽체</v>
      </c>
      <c r="U1915" s="19" t="str">
        <f>IFERROR(LEFT(G1915,FIND("*",G1915)-1),"-")</f>
        <v>800</v>
      </c>
      <c r="V1915" s="19" t="str">
        <f>IFERROR(RIGHT(G1915,LEN(G1915)-FIND("*",G1915)),"-")</f>
        <v>400</v>
      </c>
      <c r="W1915" s="20">
        <f>IFERROR((U1915+V1915)*2/1000,"-")</f>
        <v>2.4</v>
      </c>
      <c r="X1915" s="20">
        <f>IFERROR(W1915*H1915,"-")</f>
        <v>4.8</v>
      </c>
      <c r="Z1915" s="85">
        <v>45188</v>
      </c>
    </row>
    <row r="1916" spans="1:26" ht="6.95" customHeight="1" x14ac:dyDescent="0.3">
      <c r="A1916" s="154"/>
      <c r="B1916" s="157"/>
      <c r="C1916" s="158"/>
      <c r="D1916" s="161"/>
      <c r="E1916" s="162"/>
      <c r="F1916" s="163"/>
      <c r="G1916" s="164"/>
      <c r="H1916" s="165"/>
      <c r="I1916" s="164"/>
      <c r="J1916" s="165"/>
      <c r="K1916" s="164"/>
      <c r="L1916" s="165"/>
      <c r="M1916" s="6"/>
      <c r="N1916" s="32"/>
      <c r="Q1916" s="10" t="str">
        <f>+CONCATENATE(E1915,I1915)</f>
        <v>보온덕트벽체</v>
      </c>
      <c r="R1916" s="10">
        <f>+J1915</f>
        <v>0</v>
      </c>
      <c r="S1916" s="11"/>
      <c r="T1916" s="10" t="str">
        <f>+E1915</f>
        <v>보온덕트벽체</v>
      </c>
      <c r="U1916" s="19" t="str">
        <f>IFERROR(LEFT(I1915,FIND("*",I1915)-1),"-")</f>
        <v>-</v>
      </c>
      <c r="V1916" s="19" t="str">
        <f>IFERROR(RIGHT(I1915,LEN(I1915)-FIND("*",I1915)),"-")</f>
        <v>-</v>
      </c>
      <c r="W1916" s="20" t="str">
        <f t="shared" ref="W1916:W1923" si="1039">IFERROR((U1916+V1916)*2/1000,"-")</f>
        <v>-</v>
      </c>
      <c r="X1916" s="20" t="str">
        <f>IFERROR(W1916*J1915,"-")</f>
        <v>-</v>
      </c>
      <c r="Z1916" s="85">
        <v>45188</v>
      </c>
    </row>
    <row r="1917" spans="1:26" ht="6.95" customHeight="1" x14ac:dyDescent="0.3">
      <c r="A1917" s="154"/>
      <c r="B1917" s="157"/>
      <c r="C1917" s="158"/>
      <c r="D1917" s="161"/>
      <c r="E1917" s="162"/>
      <c r="F1917" s="163"/>
      <c r="G1917" s="164"/>
      <c r="H1917" s="165"/>
      <c r="I1917" s="164"/>
      <c r="J1917" s="165"/>
      <c r="K1917" s="164"/>
      <c r="L1917" s="165"/>
      <c r="M1917" s="6"/>
      <c r="N1917" s="32"/>
      <c r="Q1917" s="10" t="str">
        <f>+CONCATENATE(E1915,K1915)</f>
        <v>보온덕트벽체</v>
      </c>
      <c r="R1917" s="10">
        <f>+L1915</f>
        <v>0</v>
      </c>
      <c r="S1917" s="11"/>
      <c r="T1917" s="10" t="str">
        <f>+E1915</f>
        <v>보온덕트벽체</v>
      </c>
      <c r="U1917" s="19" t="str">
        <f>IFERROR(LEFT(K1915,FIND("*",K1915)-1),"-")</f>
        <v>-</v>
      </c>
      <c r="V1917" s="19" t="str">
        <f>IFERROR(RIGHT(K1915,LEN(K1915)-FIND("*",K1915)),"-")</f>
        <v>-</v>
      </c>
      <c r="W1917" s="20" t="str">
        <f t="shared" si="1039"/>
        <v>-</v>
      </c>
      <c r="X1917" s="20" t="str">
        <f>IFERROR(W1917*L1915,"-")</f>
        <v>-</v>
      </c>
      <c r="Z1917" s="85">
        <v>45188</v>
      </c>
    </row>
    <row r="1918" spans="1:26" ht="6.95" customHeight="1" x14ac:dyDescent="0.3">
      <c r="A1918" s="8"/>
      <c r="B1918" s="157"/>
      <c r="C1918" s="158"/>
      <c r="D1918" s="161" t="s">
        <v>39</v>
      </c>
      <c r="E1918" s="162" t="s">
        <v>188</v>
      </c>
      <c r="F1918" s="163" t="s">
        <v>40</v>
      </c>
      <c r="G1918" s="164" t="s">
        <v>191</v>
      </c>
      <c r="H1918" s="165">
        <v>4</v>
      </c>
      <c r="I1918" s="164"/>
      <c r="J1918" s="165"/>
      <c r="K1918" s="164"/>
      <c r="L1918" s="165"/>
      <c r="M1918" s="6"/>
      <c r="N1918" s="32"/>
      <c r="Q1918" s="10" t="str">
        <f>+CONCATENATE(E1918,G1918)</f>
        <v>차열재마감800*400</v>
      </c>
      <c r="R1918" s="10">
        <f>+H1918</f>
        <v>4</v>
      </c>
      <c r="S1918" s="11"/>
      <c r="T1918" s="10" t="str">
        <f>+E1918</f>
        <v>차열재마감</v>
      </c>
      <c r="U1918" s="19" t="str">
        <f t="shared" ref="U1918" si="1040">IFERROR(LEFT(G1918,FIND("*",G1918)-1),"-")</f>
        <v>800</v>
      </c>
      <c r="V1918" s="19" t="str">
        <f t="shared" ref="V1918" si="1041">IFERROR(RIGHT(G1918,LEN(G1918)-FIND("*",G1918)),"-")</f>
        <v>400</v>
      </c>
      <c r="W1918" s="20">
        <f t="shared" si="1039"/>
        <v>2.4</v>
      </c>
      <c r="X1918" s="20">
        <f>IFERROR(W1918*H1918,"-")</f>
        <v>9.6</v>
      </c>
      <c r="Z1918" s="85">
        <v>45188</v>
      </c>
    </row>
    <row r="1919" spans="1:26" ht="6.95" customHeight="1" x14ac:dyDescent="0.3">
      <c r="A1919" s="5"/>
      <c r="B1919" s="157"/>
      <c r="C1919" s="158"/>
      <c r="D1919" s="161"/>
      <c r="E1919" s="162"/>
      <c r="F1919" s="163"/>
      <c r="G1919" s="164"/>
      <c r="H1919" s="165"/>
      <c r="I1919" s="164"/>
      <c r="J1919" s="165"/>
      <c r="K1919" s="164"/>
      <c r="L1919" s="165"/>
      <c r="M1919" s="6"/>
      <c r="N1919" s="32"/>
      <c r="Q1919" s="10" t="str">
        <f>+CONCATENATE(E1918,I1918)</f>
        <v>차열재마감</v>
      </c>
      <c r="R1919" s="10">
        <f>+J1918</f>
        <v>0</v>
      </c>
      <c r="S1919" s="11"/>
      <c r="T1919" s="10" t="str">
        <f>+E1918</f>
        <v>차열재마감</v>
      </c>
      <c r="U1919" s="19" t="str">
        <f>IFERROR(LEFT(I1918,FIND("*",I1918)-1),"-")</f>
        <v>-</v>
      </c>
      <c r="V1919" s="19" t="str">
        <f>IFERROR(RIGHT(I1918,LEN(I1918)-FIND("*",I1918)),"-")</f>
        <v>-</v>
      </c>
      <c r="W1919" s="20" t="str">
        <f t="shared" si="1039"/>
        <v>-</v>
      </c>
      <c r="X1919" s="20" t="str">
        <f>IFERROR(W1919*J1918,"-")</f>
        <v>-</v>
      </c>
      <c r="Z1919" s="85">
        <v>45188</v>
      </c>
    </row>
    <row r="1920" spans="1:26" ht="6.95" customHeight="1" x14ac:dyDescent="0.3">
      <c r="A1920" s="5"/>
      <c r="B1920" s="157"/>
      <c r="C1920" s="158"/>
      <c r="D1920" s="161"/>
      <c r="E1920" s="162"/>
      <c r="F1920" s="163"/>
      <c r="G1920" s="164"/>
      <c r="H1920" s="165"/>
      <c r="I1920" s="164"/>
      <c r="J1920" s="165"/>
      <c r="K1920" s="164"/>
      <c r="L1920" s="165"/>
      <c r="M1920" s="6"/>
      <c r="N1920" s="32"/>
      <c r="Q1920" s="10" t="str">
        <f>+CONCATENATE(E1918,K1918)</f>
        <v>차열재마감</v>
      </c>
      <c r="R1920" s="10">
        <f>+L1918</f>
        <v>0</v>
      </c>
      <c r="S1920" s="11"/>
      <c r="T1920" s="10" t="str">
        <f>+E1918</f>
        <v>차열재마감</v>
      </c>
      <c r="U1920" s="19" t="str">
        <f>IFERROR(LEFT(K1918,FIND("*",K1918)-1),"-")</f>
        <v>-</v>
      </c>
      <c r="V1920" s="19" t="str">
        <f>IFERROR(RIGHT(K1918,LEN(K1918)-FIND("*",K1918)),"-")</f>
        <v>-</v>
      </c>
      <c r="W1920" s="20" t="str">
        <f t="shared" si="1039"/>
        <v>-</v>
      </c>
      <c r="X1920" s="20" t="str">
        <f>IFERROR(W1920*L1918,"-")</f>
        <v>-</v>
      </c>
      <c r="Z1920" s="85">
        <v>45188</v>
      </c>
    </row>
    <row r="1921" spans="1:26" ht="6.95" customHeight="1" x14ac:dyDescent="0.3">
      <c r="A1921" s="8"/>
      <c r="B1921" s="157"/>
      <c r="C1921" s="158"/>
      <c r="D1921" s="161" t="s">
        <v>39</v>
      </c>
      <c r="E1921" s="162"/>
      <c r="F1921" s="163" t="s">
        <v>40</v>
      </c>
      <c r="G1921" s="164"/>
      <c r="H1921" s="165"/>
      <c r="I1921" s="164"/>
      <c r="J1921" s="165"/>
      <c r="K1921" s="164"/>
      <c r="L1921" s="165"/>
      <c r="M1921" s="6"/>
      <c r="N1921" s="32"/>
      <c r="Q1921" s="10" t="str">
        <f>+CONCATENATE(E1921,G1921)</f>
        <v/>
      </c>
      <c r="R1921" s="10">
        <f>+H1921</f>
        <v>0</v>
      </c>
      <c r="S1921" s="11"/>
      <c r="T1921" s="10">
        <f>+E1921</f>
        <v>0</v>
      </c>
      <c r="U1921" s="19" t="str">
        <f t="shared" ref="U1921" si="1042">IFERROR(LEFT(G1921,FIND("*",G1921)-1),"-")</f>
        <v>-</v>
      </c>
      <c r="V1921" s="19" t="str">
        <f t="shared" ref="V1921" si="1043">IFERROR(RIGHT(G1921,LEN(G1921)-FIND("*",G1921)),"-")</f>
        <v>-</v>
      </c>
      <c r="W1921" s="20" t="str">
        <f t="shared" si="1039"/>
        <v>-</v>
      </c>
      <c r="X1921" s="20" t="str">
        <f>IFERROR(W1921*H1921,"-")</f>
        <v>-</v>
      </c>
      <c r="Z1921" s="85">
        <v>45188</v>
      </c>
    </row>
    <row r="1922" spans="1:26" ht="6.95" customHeight="1" x14ac:dyDescent="0.3">
      <c r="A1922" s="5"/>
      <c r="B1922" s="157"/>
      <c r="C1922" s="158"/>
      <c r="D1922" s="161"/>
      <c r="E1922" s="162"/>
      <c r="F1922" s="163"/>
      <c r="G1922" s="164"/>
      <c r="H1922" s="165"/>
      <c r="I1922" s="164"/>
      <c r="J1922" s="165"/>
      <c r="K1922" s="164"/>
      <c r="L1922" s="165"/>
      <c r="M1922" s="6"/>
      <c r="N1922" s="32"/>
      <c r="Q1922" s="10" t="str">
        <f>+CONCATENATE(E1921,I1921)</f>
        <v/>
      </c>
      <c r="R1922" s="10">
        <f>+J1921</f>
        <v>0</v>
      </c>
      <c r="S1922" s="11"/>
      <c r="T1922" s="10">
        <f>+E1921</f>
        <v>0</v>
      </c>
      <c r="U1922" s="19" t="str">
        <f>IFERROR(LEFT(I1921,FIND("*",I1921)-1),"-")</f>
        <v>-</v>
      </c>
      <c r="V1922" s="19" t="str">
        <f>IFERROR(RIGHT(I1921,LEN(I1921)-FIND("*",I1921)),"-")</f>
        <v>-</v>
      </c>
      <c r="W1922" s="20" t="str">
        <f t="shared" si="1039"/>
        <v>-</v>
      </c>
      <c r="X1922" s="20" t="str">
        <f t="shared" ref="X1922" si="1044">IFERROR(W1922*J1921,"-")</f>
        <v>-</v>
      </c>
      <c r="Z1922" s="85">
        <v>45188</v>
      </c>
    </row>
    <row r="1923" spans="1:26" ht="6.95" customHeight="1" x14ac:dyDescent="0.3">
      <c r="A1923" s="5"/>
      <c r="B1923" s="157"/>
      <c r="C1923" s="158"/>
      <c r="D1923" s="161"/>
      <c r="E1923" s="162"/>
      <c r="F1923" s="163"/>
      <c r="G1923" s="164"/>
      <c r="H1923" s="165"/>
      <c r="I1923" s="164"/>
      <c r="J1923" s="165"/>
      <c r="K1923" s="164"/>
      <c r="L1923" s="165"/>
      <c r="M1923" s="6"/>
      <c r="N1923" s="32"/>
      <c r="Q1923" s="10" t="str">
        <f>+CONCATENATE(E1921,K1921)</f>
        <v/>
      </c>
      <c r="R1923" s="10">
        <f>+L1921</f>
        <v>0</v>
      </c>
      <c r="S1923" s="11"/>
      <c r="T1923" s="10">
        <f>+E1921</f>
        <v>0</v>
      </c>
      <c r="U1923" s="19" t="str">
        <f>IFERROR(LEFT(K1921,FIND("*",K1921)-1),"-")</f>
        <v>-</v>
      </c>
      <c r="V1923" s="19" t="str">
        <f>IFERROR(RIGHT(K1921,LEN(K1921)-FIND("*",K1921)),"-")</f>
        <v>-</v>
      </c>
      <c r="W1923" s="20" t="str">
        <f t="shared" si="1039"/>
        <v>-</v>
      </c>
      <c r="X1923" s="20" t="str">
        <f>IFERROR(W1923*L1921,"-")</f>
        <v>-</v>
      </c>
      <c r="Z1923" s="85">
        <v>45188</v>
      </c>
    </row>
    <row r="1924" spans="1:26" ht="21" customHeight="1" thickBot="1" x14ac:dyDescent="0.35">
      <c r="A1924" s="5"/>
      <c r="B1924" s="159"/>
      <c r="C1924" s="160"/>
      <c r="D1924" s="166" t="s">
        <v>43</v>
      </c>
      <c r="E1924" s="167"/>
      <c r="F1924" s="167"/>
      <c r="G1924" s="168" t="s">
        <v>288</v>
      </c>
      <c r="H1924" s="168"/>
      <c r="I1924" s="168"/>
      <c r="J1924" s="168"/>
      <c r="K1924" s="168"/>
      <c r="L1924" s="168"/>
      <c r="M1924" s="7"/>
      <c r="N1924" s="32"/>
      <c r="Z1924" s="85">
        <v>45188</v>
      </c>
    </row>
    <row r="1925" spans="1:26" ht="9.9499999999999993" customHeight="1" thickBot="1" x14ac:dyDescent="0.35">
      <c r="B1925" s="9"/>
      <c r="C1925" s="109">
        <v>974</v>
      </c>
      <c r="D1925" s="51"/>
      <c r="E1925" s="12"/>
      <c r="F1925" s="51"/>
      <c r="G1925" s="14"/>
      <c r="H1925" s="14"/>
      <c r="I1925" s="14"/>
      <c r="J1925" s="14"/>
      <c r="K1925" s="14"/>
      <c r="L1925" s="14"/>
      <c r="M1925" s="9"/>
      <c r="N1925" s="32"/>
      <c r="U1925" s="18"/>
      <c r="V1925" s="18"/>
      <c r="Z1925" s="85">
        <v>45188</v>
      </c>
    </row>
    <row r="1926" spans="1:26" ht="6.95" customHeight="1" x14ac:dyDescent="0.3">
      <c r="A1926" s="154">
        <f>+A1915+1</f>
        <v>975</v>
      </c>
      <c r="B1926" s="155"/>
      <c r="C1926" s="156"/>
      <c r="D1926" s="161" t="s">
        <v>39</v>
      </c>
      <c r="E1926" s="162" t="s">
        <v>186</v>
      </c>
      <c r="F1926" s="163" t="s">
        <v>40</v>
      </c>
      <c r="G1926" s="164">
        <v>50</v>
      </c>
      <c r="H1926" s="165">
        <v>3</v>
      </c>
      <c r="I1926" s="164"/>
      <c r="J1926" s="165"/>
      <c r="K1926" s="164"/>
      <c r="L1926" s="165"/>
      <c r="M1926" s="6"/>
      <c r="N1926" s="32"/>
      <c r="Q1926" s="10" t="str">
        <f>+CONCATENATE(E1926,G1926)</f>
        <v>금속관벽체50</v>
      </c>
      <c r="R1926" s="10">
        <f>+H1926</f>
        <v>3</v>
      </c>
      <c r="S1926" s="11"/>
      <c r="T1926" s="10" t="str">
        <f>+E1926</f>
        <v>금속관벽체</v>
      </c>
      <c r="U1926" s="19" t="str">
        <f>IFERROR(LEFT(G1926,FIND("*",G1926)-1),"-")</f>
        <v>-</v>
      </c>
      <c r="V1926" s="19" t="str">
        <f>IFERROR(RIGHT(G1926,LEN(G1926)-FIND("*",G1926)),"-")</f>
        <v>-</v>
      </c>
      <c r="W1926" s="20" t="str">
        <f>IFERROR((U1926+V1926)*2/1000,"-")</f>
        <v>-</v>
      </c>
      <c r="X1926" s="20" t="str">
        <f>IFERROR(W1926*H1926,"-")</f>
        <v>-</v>
      </c>
      <c r="Z1926" s="85">
        <v>45188</v>
      </c>
    </row>
    <row r="1927" spans="1:26" ht="6.95" customHeight="1" x14ac:dyDescent="0.3">
      <c r="A1927" s="154"/>
      <c r="B1927" s="157"/>
      <c r="C1927" s="158"/>
      <c r="D1927" s="161"/>
      <c r="E1927" s="162"/>
      <c r="F1927" s="163"/>
      <c r="G1927" s="164"/>
      <c r="H1927" s="165"/>
      <c r="I1927" s="164"/>
      <c r="J1927" s="165"/>
      <c r="K1927" s="164"/>
      <c r="L1927" s="165"/>
      <c r="M1927" s="6"/>
      <c r="N1927" s="32"/>
      <c r="Q1927" s="10" t="str">
        <f>+CONCATENATE(E1926,I1926)</f>
        <v>금속관벽체</v>
      </c>
      <c r="R1927" s="10">
        <f>+J1926</f>
        <v>0</v>
      </c>
      <c r="S1927" s="11"/>
      <c r="T1927" s="10" t="str">
        <f>+E1926</f>
        <v>금속관벽체</v>
      </c>
      <c r="U1927" s="19" t="str">
        <f>IFERROR(LEFT(I1926,FIND("*",I1926)-1),"-")</f>
        <v>-</v>
      </c>
      <c r="V1927" s="19" t="str">
        <f>IFERROR(RIGHT(I1926,LEN(I1926)-FIND("*",I1926)),"-")</f>
        <v>-</v>
      </c>
      <c r="W1927" s="20" t="str">
        <f t="shared" ref="W1927:W1934" si="1045">IFERROR((U1927+V1927)*2/1000,"-")</f>
        <v>-</v>
      </c>
      <c r="X1927" s="20" t="str">
        <f>IFERROR(W1927*J1926,"-")</f>
        <v>-</v>
      </c>
      <c r="Z1927" s="85">
        <v>45188</v>
      </c>
    </row>
    <row r="1928" spans="1:26" ht="6.95" customHeight="1" x14ac:dyDescent="0.3">
      <c r="A1928" s="154"/>
      <c r="B1928" s="157"/>
      <c r="C1928" s="158"/>
      <c r="D1928" s="161"/>
      <c r="E1928" s="162"/>
      <c r="F1928" s="163"/>
      <c r="G1928" s="164"/>
      <c r="H1928" s="165"/>
      <c r="I1928" s="164"/>
      <c r="J1928" s="165"/>
      <c r="K1928" s="164"/>
      <c r="L1928" s="165"/>
      <c r="M1928" s="6"/>
      <c r="N1928" s="32"/>
      <c r="Q1928" s="10" t="str">
        <f>+CONCATENATE(E1926,K1926)</f>
        <v>금속관벽체</v>
      </c>
      <c r="R1928" s="10">
        <f>+L1926</f>
        <v>0</v>
      </c>
      <c r="S1928" s="11"/>
      <c r="T1928" s="10" t="str">
        <f>+E1926</f>
        <v>금속관벽체</v>
      </c>
      <c r="U1928" s="19" t="str">
        <f>IFERROR(LEFT(K1926,FIND("*",K1926)-1),"-")</f>
        <v>-</v>
      </c>
      <c r="V1928" s="19" t="str">
        <f>IFERROR(RIGHT(K1926,LEN(K1926)-FIND("*",K1926)),"-")</f>
        <v>-</v>
      </c>
      <c r="W1928" s="20" t="str">
        <f t="shared" si="1045"/>
        <v>-</v>
      </c>
      <c r="X1928" s="20" t="str">
        <f>IFERROR(W1928*L1926,"-")</f>
        <v>-</v>
      </c>
      <c r="Z1928" s="85">
        <v>45188</v>
      </c>
    </row>
    <row r="1929" spans="1:26" ht="6.95" customHeight="1" x14ac:dyDescent="0.3">
      <c r="A1929" s="8"/>
      <c r="B1929" s="157"/>
      <c r="C1929" s="158"/>
      <c r="D1929" s="161" t="s">
        <v>39</v>
      </c>
      <c r="E1929" s="162"/>
      <c r="F1929" s="163" t="s">
        <v>40</v>
      </c>
      <c r="G1929" s="164"/>
      <c r="H1929" s="165"/>
      <c r="I1929" s="164"/>
      <c r="J1929" s="165"/>
      <c r="K1929" s="164"/>
      <c r="L1929" s="165"/>
      <c r="M1929" s="6"/>
      <c r="N1929" s="32"/>
      <c r="Q1929" s="10" t="str">
        <f>+CONCATENATE(E1929,G1929)</f>
        <v/>
      </c>
      <c r="R1929" s="10">
        <f>+H1929</f>
        <v>0</v>
      </c>
      <c r="S1929" s="11"/>
      <c r="T1929" s="10">
        <f>+E1929</f>
        <v>0</v>
      </c>
      <c r="U1929" s="19" t="str">
        <f t="shared" ref="U1929" si="1046">IFERROR(LEFT(G1929,FIND("*",G1929)-1),"-")</f>
        <v>-</v>
      </c>
      <c r="V1929" s="19" t="str">
        <f t="shared" ref="V1929" si="1047">IFERROR(RIGHT(G1929,LEN(G1929)-FIND("*",G1929)),"-")</f>
        <v>-</v>
      </c>
      <c r="W1929" s="20" t="str">
        <f t="shared" si="1045"/>
        <v>-</v>
      </c>
      <c r="X1929" s="20" t="str">
        <f>IFERROR(W1929*H1929,"-")</f>
        <v>-</v>
      </c>
      <c r="Z1929" s="85">
        <v>45188</v>
      </c>
    </row>
    <row r="1930" spans="1:26" ht="6.95" customHeight="1" x14ac:dyDescent="0.3">
      <c r="A1930" s="5"/>
      <c r="B1930" s="157"/>
      <c r="C1930" s="158"/>
      <c r="D1930" s="161"/>
      <c r="E1930" s="162"/>
      <c r="F1930" s="163"/>
      <c r="G1930" s="164"/>
      <c r="H1930" s="165"/>
      <c r="I1930" s="164"/>
      <c r="J1930" s="165"/>
      <c r="K1930" s="164"/>
      <c r="L1930" s="165"/>
      <c r="M1930" s="6"/>
      <c r="N1930" s="32"/>
      <c r="Q1930" s="10" t="str">
        <f>+CONCATENATE(E1929,I1929)</f>
        <v/>
      </c>
      <c r="R1930" s="10">
        <f>+J1929</f>
        <v>0</v>
      </c>
      <c r="S1930" s="11"/>
      <c r="T1930" s="10">
        <f>+E1929</f>
        <v>0</v>
      </c>
      <c r="U1930" s="19" t="str">
        <f>IFERROR(LEFT(I1929,FIND("*",I1929)-1),"-")</f>
        <v>-</v>
      </c>
      <c r="V1930" s="19" t="str">
        <f>IFERROR(RIGHT(I1929,LEN(I1929)-FIND("*",I1929)),"-")</f>
        <v>-</v>
      </c>
      <c r="W1930" s="20" t="str">
        <f t="shared" si="1045"/>
        <v>-</v>
      </c>
      <c r="X1930" s="20" t="str">
        <f>IFERROR(W1930*J1929,"-")</f>
        <v>-</v>
      </c>
      <c r="Z1930" s="85">
        <v>45188</v>
      </c>
    </row>
    <row r="1931" spans="1:26" ht="6.95" customHeight="1" x14ac:dyDescent="0.3">
      <c r="A1931" s="5"/>
      <c r="B1931" s="157"/>
      <c r="C1931" s="158"/>
      <c r="D1931" s="161"/>
      <c r="E1931" s="162"/>
      <c r="F1931" s="163"/>
      <c r="G1931" s="164"/>
      <c r="H1931" s="165"/>
      <c r="I1931" s="164"/>
      <c r="J1931" s="165"/>
      <c r="K1931" s="164"/>
      <c r="L1931" s="165"/>
      <c r="M1931" s="6"/>
      <c r="N1931" s="32"/>
      <c r="Q1931" s="10" t="str">
        <f>+CONCATENATE(E1929,K1929)</f>
        <v/>
      </c>
      <c r="R1931" s="10">
        <f>+L1929</f>
        <v>0</v>
      </c>
      <c r="S1931" s="11"/>
      <c r="T1931" s="10">
        <f>+E1929</f>
        <v>0</v>
      </c>
      <c r="U1931" s="19" t="str">
        <f>IFERROR(LEFT(K1929,FIND("*",K1929)-1),"-")</f>
        <v>-</v>
      </c>
      <c r="V1931" s="19" t="str">
        <f>IFERROR(RIGHT(K1929,LEN(K1929)-FIND("*",K1929)),"-")</f>
        <v>-</v>
      </c>
      <c r="W1931" s="20" t="str">
        <f t="shared" si="1045"/>
        <v>-</v>
      </c>
      <c r="X1931" s="20" t="str">
        <f>IFERROR(W1931*L1929,"-")</f>
        <v>-</v>
      </c>
      <c r="Z1931" s="85">
        <v>45188</v>
      </c>
    </row>
    <row r="1932" spans="1:26" ht="6.95" customHeight="1" x14ac:dyDescent="0.3">
      <c r="A1932" s="8"/>
      <c r="B1932" s="157"/>
      <c r="C1932" s="158"/>
      <c r="D1932" s="161" t="s">
        <v>39</v>
      </c>
      <c r="E1932" s="162"/>
      <c r="F1932" s="163" t="s">
        <v>40</v>
      </c>
      <c r="G1932" s="164"/>
      <c r="H1932" s="165"/>
      <c r="I1932" s="164"/>
      <c r="J1932" s="165"/>
      <c r="K1932" s="164"/>
      <c r="L1932" s="165"/>
      <c r="M1932" s="6"/>
      <c r="N1932" s="32"/>
      <c r="Q1932" s="10" t="str">
        <f>+CONCATENATE(E1932,G1932)</f>
        <v/>
      </c>
      <c r="R1932" s="10">
        <f>+H1932</f>
        <v>0</v>
      </c>
      <c r="S1932" s="11"/>
      <c r="T1932" s="10">
        <f>+E1932</f>
        <v>0</v>
      </c>
      <c r="U1932" s="19" t="str">
        <f t="shared" ref="U1932" si="1048">IFERROR(LEFT(G1932,FIND("*",G1932)-1),"-")</f>
        <v>-</v>
      </c>
      <c r="V1932" s="19" t="str">
        <f t="shared" ref="V1932" si="1049">IFERROR(RIGHT(G1932,LEN(G1932)-FIND("*",G1932)),"-")</f>
        <v>-</v>
      </c>
      <c r="W1932" s="20" t="str">
        <f t="shared" si="1045"/>
        <v>-</v>
      </c>
      <c r="X1932" s="20" t="str">
        <f>IFERROR(W1932*H1932,"-")</f>
        <v>-</v>
      </c>
      <c r="Z1932" s="85">
        <v>45188</v>
      </c>
    </row>
    <row r="1933" spans="1:26" ht="6.95" customHeight="1" x14ac:dyDescent="0.3">
      <c r="A1933" s="5"/>
      <c r="B1933" s="157"/>
      <c r="C1933" s="158"/>
      <c r="D1933" s="161"/>
      <c r="E1933" s="162"/>
      <c r="F1933" s="163"/>
      <c r="G1933" s="164"/>
      <c r="H1933" s="165"/>
      <c r="I1933" s="164"/>
      <c r="J1933" s="165"/>
      <c r="K1933" s="164"/>
      <c r="L1933" s="165"/>
      <c r="M1933" s="6"/>
      <c r="N1933" s="32"/>
      <c r="Q1933" s="10" t="str">
        <f>+CONCATENATE(E1932,I1932)</f>
        <v/>
      </c>
      <c r="R1933" s="10">
        <f>+J1932</f>
        <v>0</v>
      </c>
      <c r="S1933" s="11"/>
      <c r="T1933" s="10">
        <f>+E1932</f>
        <v>0</v>
      </c>
      <c r="U1933" s="19" t="str">
        <f>IFERROR(LEFT(I1932,FIND("*",I1932)-1),"-")</f>
        <v>-</v>
      </c>
      <c r="V1933" s="19" t="str">
        <f>IFERROR(RIGHT(I1932,LEN(I1932)-FIND("*",I1932)),"-")</f>
        <v>-</v>
      </c>
      <c r="W1933" s="20" t="str">
        <f t="shared" si="1045"/>
        <v>-</v>
      </c>
      <c r="X1933" s="20" t="str">
        <f t="shared" ref="X1933" si="1050">IFERROR(W1933*J1932,"-")</f>
        <v>-</v>
      </c>
      <c r="Z1933" s="85">
        <v>45188</v>
      </c>
    </row>
    <row r="1934" spans="1:26" ht="6.95" customHeight="1" x14ac:dyDescent="0.3">
      <c r="A1934" s="5"/>
      <c r="B1934" s="157"/>
      <c r="C1934" s="158"/>
      <c r="D1934" s="161"/>
      <c r="E1934" s="162"/>
      <c r="F1934" s="163"/>
      <c r="G1934" s="164"/>
      <c r="H1934" s="165"/>
      <c r="I1934" s="164"/>
      <c r="J1934" s="165"/>
      <c r="K1934" s="164"/>
      <c r="L1934" s="165"/>
      <c r="M1934" s="6"/>
      <c r="N1934" s="32"/>
      <c r="Q1934" s="10" t="str">
        <f>+CONCATENATE(E1932,K1932)</f>
        <v/>
      </c>
      <c r="R1934" s="10">
        <f>+L1932</f>
        <v>0</v>
      </c>
      <c r="S1934" s="11"/>
      <c r="T1934" s="10">
        <f>+E1932</f>
        <v>0</v>
      </c>
      <c r="U1934" s="19" t="str">
        <f>IFERROR(LEFT(K1932,FIND("*",K1932)-1),"-")</f>
        <v>-</v>
      </c>
      <c r="V1934" s="19" t="str">
        <f>IFERROR(RIGHT(K1932,LEN(K1932)-FIND("*",K1932)),"-")</f>
        <v>-</v>
      </c>
      <c r="W1934" s="20" t="str">
        <f t="shared" si="1045"/>
        <v>-</v>
      </c>
      <c r="X1934" s="20" t="str">
        <f>IFERROR(W1934*L1932,"-")</f>
        <v>-</v>
      </c>
      <c r="Z1934" s="85">
        <v>45188</v>
      </c>
    </row>
    <row r="1935" spans="1:26" ht="21" customHeight="1" thickBot="1" x14ac:dyDescent="0.35">
      <c r="A1935" s="5"/>
      <c r="B1935" s="159"/>
      <c r="C1935" s="160"/>
      <c r="D1935" s="166" t="s">
        <v>43</v>
      </c>
      <c r="E1935" s="167"/>
      <c r="F1935" s="167"/>
      <c r="G1935" s="168" t="s">
        <v>288</v>
      </c>
      <c r="H1935" s="168"/>
      <c r="I1935" s="168"/>
      <c r="J1935" s="168"/>
      <c r="K1935" s="168"/>
      <c r="L1935" s="168"/>
      <c r="M1935" s="7"/>
      <c r="N1935" s="33">
        <v>45188</v>
      </c>
      <c r="Z1935" s="85">
        <v>45188</v>
      </c>
    </row>
    <row r="1936" spans="1:26" ht="9.9499999999999993" customHeight="1" thickBot="1" x14ac:dyDescent="0.35">
      <c r="B1936" s="9"/>
      <c r="C1936" s="109">
        <v>975</v>
      </c>
      <c r="D1936" s="51"/>
      <c r="E1936" s="12"/>
      <c r="F1936" s="51"/>
      <c r="G1936" s="14"/>
      <c r="H1936" s="14"/>
      <c r="I1936" s="14"/>
      <c r="J1936" s="14"/>
      <c r="K1936" s="14"/>
      <c r="L1936" s="14"/>
      <c r="M1936" s="9"/>
      <c r="N1936" s="32"/>
      <c r="U1936" s="18"/>
      <c r="V1936" s="18"/>
      <c r="Z1936" s="85">
        <v>45189</v>
      </c>
    </row>
    <row r="1937" spans="1:26" ht="6.95" customHeight="1" x14ac:dyDescent="0.3">
      <c r="A1937" s="154">
        <f>+A1926+1</f>
        <v>976</v>
      </c>
      <c r="B1937" s="155"/>
      <c r="C1937" s="156"/>
      <c r="D1937" s="161" t="s">
        <v>39</v>
      </c>
      <c r="E1937" s="162" t="s">
        <v>186</v>
      </c>
      <c r="F1937" s="163" t="s">
        <v>40</v>
      </c>
      <c r="G1937" s="164">
        <v>80</v>
      </c>
      <c r="H1937" s="165">
        <v>0.5</v>
      </c>
      <c r="I1937" s="164"/>
      <c r="J1937" s="165"/>
      <c r="K1937" s="164"/>
      <c r="L1937" s="165"/>
      <c r="M1937" s="6"/>
      <c r="N1937" s="32"/>
      <c r="Q1937" s="10" t="str">
        <f>+CONCATENATE(E1937,G1937)</f>
        <v>금속관벽체80</v>
      </c>
      <c r="R1937" s="10">
        <f>+H1937</f>
        <v>0.5</v>
      </c>
      <c r="S1937" s="11"/>
      <c r="T1937" s="10" t="str">
        <f>+E1937</f>
        <v>금속관벽체</v>
      </c>
      <c r="U1937" s="19" t="str">
        <f>IFERROR(LEFT(G1937,FIND("*",G1937)-1),"-")</f>
        <v>-</v>
      </c>
      <c r="V1937" s="19" t="str">
        <f>IFERROR(RIGHT(G1937,LEN(G1937)-FIND("*",G1937)),"-")</f>
        <v>-</v>
      </c>
      <c r="W1937" s="20" t="str">
        <f>IFERROR((U1937+V1937)*2/1000,"-")</f>
        <v>-</v>
      </c>
      <c r="X1937" s="20" t="str">
        <f>IFERROR(W1937*H1937,"-")</f>
        <v>-</v>
      </c>
      <c r="Z1937" s="85">
        <v>45189</v>
      </c>
    </row>
    <row r="1938" spans="1:26" ht="6.95" customHeight="1" x14ac:dyDescent="0.3">
      <c r="A1938" s="154"/>
      <c r="B1938" s="157"/>
      <c r="C1938" s="158"/>
      <c r="D1938" s="161"/>
      <c r="E1938" s="162"/>
      <c r="F1938" s="163"/>
      <c r="G1938" s="164"/>
      <c r="H1938" s="165"/>
      <c r="I1938" s="164"/>
      <c r="J1938" s="165"/>
      <c r="K1938" s="164"/>
      <c r="L1938" s="165"/>
      <c r="M1938" s="6"/>
      <c r="N1938" s="32"/>
      <c r="Q1938" s="10" t="str">
        <f>+CONCATENATE(E1937,I1937)</f>
        <v>금속관벽체</v>
      </c>
      <c r="R1938" s="10">
        <f>+J1937</f>
        <v>0</v>
      </c>
      <c r="S1938" s="11"/>
      <c r="T1938" s="10" t="str">
        <f>+E1937</f>
        <v>금속관벽체</v>
      </c>
      <c r="U1938" s="19" t="str">
        <f>IFERROR(LEFT(I1937,FIND("*",I1937)-1),"-")</f>
        <v>-</v>
      </c>
      <c r="V1938" s="19" t="str">
        <f>IFERROR(RIGHT(I1937,LEN(I1937)-FIND("*",I1937)),"-")</f>
        <v>-</v>
      </c>
      <c r="W1938" s="20" t="str">
        <f t="shared" ref="W1938:W1945" si="1051">IFERROR((U1938+V1938)*2/1000,"-")</f>
        <v>-</v>
      </c>
      <c r="X1938" s="20" t="str">
        <f>IFERROR(W1938*J1937,"-")</f>
        <v>-</v>
      </c>
      <c r="Z1938" s="85">
        <v>45189</v>
      </c>
    </row>
    <row r="1939" spans="1:26" ht="6.95" customHeight="1" x14ac:dyDescent="0.3">
      <c r="A1939" s="154"/>
      <c r="B1939" s="157"/>
      <c r="C1939" s="158"/>
      <c r="D1939" s="161"/>
      <c r="E1939" s="162"/>
      <c r="F1939" s="163"/>
      <c r="G1939" s="164"/>
      <c r="H1939" s="165"/>
      <c r="I1939" s="164"/>
      <c r="J1939" s="165"/>
      <c r="K1939" s="164"/>
      <c r="L1939" s="165"/>
      <c r="M1939" s="6"/>
      <c r="N1939" s="32"/>
      <c r="Q1939" s="10" t="str">
        <f>+CONCATENATE(E1937,K1937)</f>
        <v>금속관벽체</v>
      </c>
      <c r="R1939" s="10">
        <f>+L1937</f>
        <v>0</v>
      </c>
      <c r="S1939" s="11"/>
      <c r="T1939" s="10" t="str">
        <f>+E1937</f>
        <v>금속관벽체</v>
      </c>
      <c r="U1939" s="19" t="str">
        <f>IFERROR(LEFT(K1937,FIND("*",K1937)-1),"-")</f>
        <v>-</v>
      </c>
      <c r="V1939" s="19" t="str">
        <f>IFERROR(RIGHT(K1937,LEN(K1937)-FIND("*",K1937)),"-")</f>
        <v>-</v>
      </c>
      <c r="W1939" s="20" t="str">
        <f t="shared" si="1051"/>
        <v>-</v>
      </c>
      <c r="X1939" s="20" t="str">
        <f>IFERROR(W1939*L1937,"-")</f>
        <v>-</v>
      </c>
      <c r="Z1939" s="85">
        <v>45189</v>
      </c>
    </row>
    <row r="1940" spans="1:26" ht="6.95" customHeight="1" x14ac:dyDescent="0.3">
      <c r="A1940" s="8"/>
      <c r="B1940" s="157"/>
      <c r="C1940" s="158"/>
      <c r="D1940" s="161" t="s">
        <v>39</v>
      </c>
      <c r="E1940" s="162"/>
      <c r="F1940" s="163" t="s">
        <v>40</v>
      </c>
      <c r="G1940" s="164"/>
      <c r="H1940" s="165"/>
      <c r="I1940" s="164"/>
      <c r="J1940" s="165"/>
      <c r="K1940" s="164"/>
      <c r="L1940" s="165"/>
      <c r="M1940" s="6"/>
      <c r="N1940" s="32"/>
      <c r="Q1940" s="10" t="str">
        <f>+CONCATENATE(E1940,G1940)</f>
        <v/>
      </c>
      <c r="R1940" s="10">
        <f>+H1940</f>
        <v>0</v>
      </c>
      <c r="S1940" s="11"/>
      <c r="T1940" s="10">
        <f>+E1940</f>
        <v>0</v>
      </c>
      <c r="U1940" s="19" t="str">
        <f t="shared" ref="U1940" si="1052">IFERROR(LEFT(G1940,FIND("*",G1940)-1),"-")</f>
        <v>-</v>
      </c>
      <c r="V1940" s="19" t="str">
        <f t="shared" ref="V1940" si="1053">IFERROR(RIGHT(G1940,LEN(G1940)-FIND("*",G1940)),"-")</f>
        <v>-</v>
      </c>
      <c r="W1940" s="20" t="str">
        <f t="shared" si="1051"/>
        <v>-</v>
      </c>
      <c r="X1940" s="20" t="str">
        <f>IFERROR(W1940*H1940,"-")</f>
        <v>-</v>
      </c>
      <c r="Z1940" s="85">
        <v>45189</v>
      </c>
    </row>
    <row r="1941" spans="1:26" ht="6.95" customHeight="1" x14ac:dyDescent="0.3">
      <c r="A1941" s="5"/>
      <c r="B1941" s="157"/>
      <c r="C1941" s="158"/>
      <c r="D1941" s="161"/>
      <c r="E1941" s="162"/>
      <c r="F1941" s="163"/>
      <c r="G1941" s="164"/>
      <c r="H1941" s="165"/>
      <c r="I1941" s="164"/>
      <c r="J1941" s="165"/>
      <c r="K1941" s="164"/>
      <c r="L1941" s="165"/>
      <c r="M1941" s="6"/>
      <c r="N1941" s="32"/>
      <c r="Q1941" s="10" t="str">
        <f>+CONCATENATE(E1940,I1940)</f>
        <v/>
      </c>
      <c r="R1941" s="10">
        <f>+J1940</f>
        <v>0</v>
      </c>
      <c r="S1941" s="11"/>
      <c r="T1941" s="10">
        <f>+E1940</f>
        <v>0</v>
      </c>
      <c r="U1941" s="19" t="str">
        <f>IFERROR(LEFT(I1940,FIND("*",I1940)-1),"-")</f>
        <v>-</v>
      </c>
      <c r="V1941" s="19" t="str">
        <f>IFERROR(RIGHT(I1940,LEN(I1940)-FIND("*",I1940)),"-")</f>
        <v>-</v>
      </c>
      <c r="W1941" s="20" t="str">
        <f t="shared" si="1051"/>
        <v>-</v>
      </c>
      <c r="X1941" s="20" t="str">
        <f>IFERROR(W1941*J1940,"-")</f>
        <v>-</v>
      </c>
      <c r="Z1941" s="85">
        <v>45189</v>
      </c>
    </row>
    <row r="1942" spans="1:26" ht="6.95" customHeight="1" x14ac:dyDescent="0.3">
      <c r="A1942" s="5"/>
      <c r="B1942" s="157"/>
      <c r="C1942" s="158"/>
      <c r="D1942" s="161"/>
      <c r="E1942" s="162"/>
      <c r="F1942" s="163"/>
      <c r="G1942" s="164"/>
      <c r="H1942" s="165"/>
      <c r="I1942" s="164"/>
      <c r="J1942" s="165"/>
      <c r="K1942" s="164"/>
      <c r="L1942" s="165"/>
      <c r="M1942" s="6"/>
      <c r="N1942" s="32"/>
      <c r="Q1942" s="10" t="str">
        <f>+CONCATENATE(E1940,K1940)</f>
        <v/>
      </c>
      <c r="R1942" s="10">
        <f>+L1940</f>
        <v>0</v>
      </c>
      <c r="S1942" s="11"/>
      <c r="T1942" s="10">
        <f>+E1940</f>
        <v>0</v>
      </c>
      <c r="U1942" s="19" t="str">
        <f>IFERROR(LEFT(K1940,FIND("*",K1940)-1),"-")</f>
        <v>-</v>
      </c>
      <c r="V1942" s="19" t="str">
        <f>IFERROR(RIGHT(K1940,LEN(K1940)-FIND("*",K1940)),"-")</f>
        <v>-</v>
      </c>
      <c r="W1942" s="20" t="str">
        <f t="shared" si="1051"/>
        <v>-</v>
      </c>
      <c r="X1942" s="20" t="str">
        <f>IFERROR(W1942*L1940,"-")</f>
        <v>-</v>
      </c>
      <c r="Z1942" s="85">
        <v>45189</v>
      </c>
    </row>
    <row r="1943" spans="1:26" ht="6.95" customHeight="1" x14ac:dyDescent="0.3">
      <c r="A1943" s="8"/>
      <c r="B1943" s="157"/>
      <c r="C1943" s="158"/>
      <c r="D1943" s="161" t="s">
        <v>39</v>
      </c>
      <c r="E1943" s="162"/>
      <c r="F1943" s="163" t="s">
        <v>40</v>
      </c>
      <c r="G1943" s="164"/>
      <c r="H1943" s="165"/>
      <c r="I1943" s="164"/>
      <c r="J1943" s="165"/>
      <c r="K1943" s="164"/>
      <c r="L1943" s="165"/>
      <c r="M1943" s="6"/>
      <c r="N1943" s="32"/>
      <c r="Q1943" s="10" t="str">
        <f>+CONCATENATE(E1943,G1943)</f>
        <v/>
      </c>
      <c r="R1943" s="10">
        <f>+H1943</f>
        <v>0</v>
      </c>
      <c r="S1943" s="11"/>
      <c r="T1943" s="10">
        <f>+E1943</f>
        <v>0</v>
      </c>
      <c r="U1943" s="19" t="str">
        <f t="shared" ref="U1943" si="1054">IFERROR(LEFT(G1943,FIND("*",G1943)-1),"-")</f>
        <v>-</v>
      </c>
      <c r="V1943" s="19" t="str">
        <f t="shared" ref="V1943" si="1055">IFERROR(RIGHT(G1943,LEN(G1943)-FIND("*",G1943)),"-")</f>
        <v>-</v>
      </c>
      <c r="W1943" s="20" t="str">
        <f t="shared" si="1051"/>
        <v>-</v>
      </c>
      <c r="X1943" s="20" t="str">
        <f>IFERROR(W1943*H1943,"-")</f>
        <v>-</v>
      </c>
      <c r="Z1943" s="85">
        <v>45189</v>
      </c>
    </row>
    <row r="1944" spans="1:26" ht="6.95" customHeight="1" x14ac:dyDescent="0.3">
      <c r="A1944" s="5"/>
      <c r="B1944" s="157"/>
      <c r="C1944" s="158"/>
      <c r="D1944" s="161"/>
      <c r="E1944" s="162"/>
      <c r="F1944" s="163"/>
      <c r="G1944" s="164"/>
      <c r="H1944" s="165"/>
      <c r="I1944" s="164"/>
      <c r="J1944" s="165"/>
      <c r="K1944" s="164"/>
      <c r="L1944" s="165"/>
      <c r="M1944" s="6"/>
      <c r="N1944" s="32"/>
      <c r="Q1944" s="10" t="str">
        <f>+CONCATENATE(E1943,I1943)</f>
        <v/>
      </c>
      <c r="R1944" s="10">
        <f>+J1943</f>
        <v>0</v>
      </c>
      <c r="S1944" s="11"/>
      <c r="T1944" s="10">
        <f>+E1943</f>
        <v>0</v>
      </c>
      <c r="U1944" s="19" t="str">
        <f>IFERROR(LEFT(I1943,FIND("*",I1943)-1),"-")</f>
        <v>-</v>
      </c>
      <c r="V1944" s="19" t="str">
        <f>IFERROR(RIGHT(I1943,LEN(I1943)-FIND("*",I1943)),"-")</f>
        <v>-</v>
      </c>
      <c r="W1944" s="20" t="str">
        <f t="shared" si="1051"/>
        <v>-</v>
      </c>
      <c r="X1944" s="20" t="str">
        <f t="shared" ref="X1944" si="1056">IFERROR(W1944*J1943,"-")</f>
        <v>-</v>
      </c>
      <c r="Z1944" s="85">
        <v>45189</v>
      </c>
    </row>
    <row r="1945" spans="1:26" ht="6.95" customHeight="1" x14ac:dyDescent="0.3">
      <c r="A1945" s="5"/>
      <c r="B1945" s="157"/>
      <c r="C1945" s="158"/>
      <c r="D1945" s="161"/>
      <c r="E1945" s="162"/>
      <c r="F1945" s="163"/>
      <c r="G1945" s="164"/>
      <c r="H1945" s="165"/>
      <c r="I1945" s="164"/>
      <c r="J1945" s="165"/>
      <c r="K1945" s="164"/>
      <c r="L1945" s="165"/>
      <c r="M1945" s="6"/>
      <c r="N1945" s="32"/>
      <c r="Q1945" s="10" t="str">
        <f>+CONCATENATE(E1943,K1943)</f>
        <v/>
      </c>
      <c r="R1945" s="10">
        <f>+L1943</f>
        <v>0</v>
      </c>
      <c r="S1945" s="11"/>
      <c r="T1945" s="10">
        <f>+E1943</f>
        <v>0</v>
      </c>
      <c r="U1945" s="19" t="str">
        <f>IFERROR(LEFT(K1943,FIND("*",K1943)-1),"-")</f>
        <v>-</v>
      </c>
      <c r="V1945" s="19" t="str">
        <f>IFERROR(RIGHT(K1943,LEN(K1943)-FIND("*",K1943)),"-")</f>
        <v>-</v>
      </c>
      <c r="W1945" s="20" t="str">
        <f t="shared" si="1051"/>
        <v>-</v>
      </c>
      <c r="X1945" s="20" t="str">
        <f>IFERROR(W1945*L1943,"-")</f>
        <v>-</v>
      </c>
      <c r="Z1945" s="85">
        <v>45189</v>
      </c>
    </row>
    <row r="1946" spans="1:26" ht="21" customHeight="1" thickBot="1" x14ac:dyDescent="0.35">
      <c r="A1946" s="5"/>
      <c r="B1946" s="159"/>
      <c r="C1946" s="160"/>
      <c r="D1946" s="166" t="s">
        <v>43</v>
      </c>
      <c r="E1946" s="167"/>
      <c r="F1946" s="167"/>
      <c r="G1946" s="168" t="s">
        <v>208</v>
      </c>
      <c r="H1946" s="168"/>
      <c r="I1946" s="168"/>
      <c r="J1946" s="168"/>
      <c r="K1946" s="168"/>
      <c r="L1946" s="168"/>
      <c r="M1946" s="7"/>
      <c r="N1946" s="32"/>
      <c r="Z1946" s="85">
        <v>45189</v>
      </c>
    </row>
    <row r="1947" spans="1:26" ht="9.9499999999999993" customHeight="1" thickBot="1" x14ac:dyDescent="0.35">
      <c r="B1947" s="9"/>
      <c r="C1947" s="109">
        <v>976</v>
      </c>
      <c r="D1947" s="51"/>
      <c r="E1947" s="12"/>
      <c r="F1947" s="51"/>
      <c r="G1947" s="14"/>
      <c r="H1947" s="14"/>
      <c r="I1947" s="14"/>
      <c r="J1947" s="14"/>
      <c r="K1947" s="14"/>
      <c r="L1947" s="14"/>
      <c r="M1947" s="9"/>
      <c r="N1947" s="32"/>
      <c r="U1947" s="18"/>
      <c r="V1947" s="18"/>
      <c r="Z1947" s="85">
        <v>45189</v>
      </c>
    </row>
    <row r="1948" spans="1:26" ht="6.95" customHeight="1" x14ac:dyDescent="0.3">
      <c r="A1948" s="154">
        <f>+A1937+1</f>
        <v>977</v>
      </c>
      <c r="B1948" s="155"/>
      <c r="C1948" s="156"/>
      <c r="D1948" s="161" t="s">
        <v>39</v>
      </c>
      <c r="E1948" s="162" t="s">
        <v>186</v>
      </c>
      <c r="F1948" s="163" t="s">
        <v>40</v>
      </c>
      <c r="G1948" s="164">
        <v>80</v>
      </c>
      <c r="H1948" s="165">
        <v>0.5</v>
      </c>
      <c r="I1948" s="164"/>
      <c r="J1948" s="165"/>
      <c r="K1948" s="164"/>
      <c r="L1948" s="165"/>
      <c r="M1948" s="6"/>
      <c r="N1948" s="32"/>
      <c r="Q1948" s="10" t="str">
        <f>+CONCATENATE(E1948,G1948)</f>
        <v>금속관벽체80</v>
      </c>
      <c r="R1948" s="10">
        <f>+H1948</f>
        <v>0.5</v>
      </c>
      <c r="S1948" s="11"/>
      <c r="T1948" s="10" t="str">
        <f>+E1948</f>
        <v>금속관벽체</v>
      </c>
      <c r="U1948" s="19" t="str">
        <f>IFERROR(LEFT(G1948,FIND("*",G1948)-1),"-")</f>
        <v>-</v>
      </c>
      <c r="V1948" s="19" t="str">
        <f>IFERROR(RIGHT(G1948,LEN(G1948)-FIND("*",G1948)),"-")</f>
        <v>-</v>
      </c>
      <c r="W1948" s="20" t="str">
        <f>IFERROR((U1948+V1948)*2/1000,"-")</f>
        <v>-</v>
      </c>
      <c r="X1948" s="20" t="str">
        <f>IFERROR(W1948*H1948,"-")</f>
        <v>-</v>
      </c>
      <c r="Z1948" s="85">
        <v>45189</v>
      </c>
    </row>
    <row r="1949" spans="1:26" ht="6.95" customHeight="1" x14ac:dyDescent="0.3">
      <c r="A1949" s="154"/>
      <c r="B1949" s="157"/>
      <c r="C1949" s="158"/>
      <c r="D1949" s="161"/>
      <c r="E1949" s="162"/>
      <c r="F1949" s="163"/>
      <c r="G1949" s="164"/>
      <c r="H1949" s="165"/>
      <c r="I1949" s="164"/>
      <c r="J1949" s="165"/>
      <c r="K1949" s="164"/>
      <c r="L1949" s="165"/>
      <c r="M1949" s="6"/>
      <c r="N1949" s="32"/>
      <c r="Q1949" s="10" t="str">
        <f>+CONCATENATE(E1948,I1948)</f>
        <v>금속관벽체</v>
      </c>
      <c r="R1949" s="10">
        <f>+J1948</f>
        <v>0</v>
      </c>
      <c r="S1949" s="11"/>
      <c r="T1949" s="10" t="str">
        <f>+E1948</f>
        <v>금속관벽체</v>
      </c>
      <c r="U1949" s="19" t="str">
        <f>IFERROR(LEFT(I1948,FIND("*",I1948)-1),"-")</f>
        <v>-</v>
      </c>
      <c r="V1949" s="19" t="str">
        <f>IFERROR(RIGHT(I1948,LEN(I1948)-FIND("*",I1948)),"-")</f>
        <v>-</v>
      </c>
      <c r="W1949" s="20" t="str">
        <f t="shared" ref="W1949:W1956" si="1057">IFERROR((U1949+V1949)*2/1000,"-")</f>
        <v>-</v>
      </c>
      <c r="X1949" s="20" t="str">
        <f>IFERROR(W1949*J1948,"-")</f>
        <v>-</v>
      </c>
      <c r="Z1949" s="85">
        <v>45189</v>
      </c>
    </row>
    <row r="1950" spans="1:26" ht="6.95" customHeight="1" x14ac:dyDescent="0.3">
      <c r="A1950" s="154"/>
      <c r="B1950" s="157"/>
      <c r="C1950" s="158"/>
      <c r="D1950" s="161"/>
      <c r="E1950" s="162"/>
      <c r="F1950" s="163"/>
      <c r="G1950" s="164"/>
      <c r="H1950" s="165"/>
      <c r="I1950" s="164"/>
      <c r="J1950" s="165"/>
      <c r="K1950" s="164"/>
      <c r="L1950" s="165"/>
      <c r="M1950" s="6"/>
      <c r="N1950" s="32"/>
      <c r="Q1950" s="10" t="str">
        <f>+CONCATENATE(E1948,K1948)</f>
        <v>금속관벽체</v>
      </c>
      <c r="R1950" s="10">
        <f>+L1948</f>
        <v>0</v>
      </c>
      <c r="S1950" s="11"/>
      <c r="T1950" s="10" t="str">
        <f>+E1948</f>
        <v>금속관벽체</v>
      </c>
      <c r="U1950" s="19" t="str">
        <f>IFERROR(LEFT(K1948,FIND("*",K1948)-1),"-")</f>
        <v>-</v>
      </c>
      <c r="V1950" s="19" t="str">
        <f>IFERROR(RIGHT(K1948,LEN(K1948)-FIND("*",K1948)),"-")</f>
        <v>-</v>
      </c>
      <c r="W1950" s="20" t="str">
        <f t="shared" si="1057"/>
        <v>-</v>
      </c>
      <c r="X1950" s="20" t="str">
        <f>IFERROR(W1950*L1948,"-")</f>
        <v>-</v>
      </c>
      <c r="Z1950" s="85">
        <v>45189</v>
      </c>
    </row>
    <row r="1951" spans="1:26" ht="6.95" customHeight="1" x14ac:dyDescent="0.3">
      <c r="A1951" s="8"/>
      <c r="B1951" s="157"/>
      <c r="C1951" s="158"/>
      <c r="D1951" s="161" t="s">
        <v>39</v>
      </c>
      <c r="E1951" s="162"/>
      <c r="F1951" s="163" t="s">
        <v>40</v>
      </c>
      <c r="G1951" s="164"/>
      <c r="H1951" s="165"/>
      <c r="I1951" s="164"/>
      <c r="J1951" s="165"/>
      <c r="K1951" s="164"/>
      <c r="L1951" s="165"/>
      <c r="M1951" s="6"/>
      <c r="N1951" s="32"/>
      <c r="Q1951" s="10" t="str">
        <f>+CONCATENATE(E1951,G1951)</f>
        <v/>
      </c>
      <c r="R1951" s="10">
        <f>+H1951</f>
        <v>0</v>
      </c>
      <c r="S1951" s="11"/>
      <c r="T1951" s="10">
        <f>+E1951</f>
        <v>0</v>
      </c>
      <c r="U1951" s="19" t="str">
        <f t="shared" ref="U1951" si="1058">IFERROR(LEFT(G1951,FIND("*",G1951)-1),"-")</f>
        <v>-</v>
      </c>
      <c r="V1951" s="19" t="str">
        <f t="shared" ref="V1951" si="1059">IFERROR(RIGHT(G1951,LEN(G1951)-FIND("*",G1951)),"-")</f>
        <v>-</v>
      </c>
      <c r="W1951" s="20" t="str">
        <f t="shared" si="1057"/>
        <v>-</v>
      </c>
      <c r="X1951" s="20" t="str">
        <f>IFERROR(W1951*H1951,"-")</f>
        <v>-</v>
      </c>
      <c r="Z1951" s="85">
        <v>45189</v>
      </c>
    </row>
    <row r="1952" spans="1:26" ht="6.95" customHeight="1" x14ac:dyDescent="0.3">
      <c r="A1952" s="5"/>
      <c r="B1952" s="157"/>
      <c r="C1952" s="158"/>
      <c r="D1952" s="161"/>
      <c r="E1952" s="162"/>
      <c r="F1952" s="163"/>
      <c r="G1952" s="164"/>
      <c r="H1952" s="165"/>
      <c r="I1952" s="164"/>
      <c r="J1952" s="165"/>
      <c r="K1952" s="164"/>
      <c r="L1952" s="165"/>
      <c r="M1952" s="6"/>
      <c r="N1952" s="32"/>
      <c r="Q1952" s="10" t="str">
        <f>+CONCATENATE(E1951,I1951)</f>
        <v/>
      </c>
      <c r="R1952" s="10">
        <f>+J1951</f>
        <v>0</v>
      </c>
      <c r="S1952" s="11"/>
      <c r="T1952" s="10">
        <f>+E1951</f>
        <v>0</v>
      </c>
      <c r="U1952" s="19" t="str">
        <f>IFERROR(LEFT(I1951,FIND("*",I1951)-1),"-")</f>
        <v>-</v>
      </c>
      <c r="V1952" s="19" t="str">
        <f>IFERROR(RIGHT(I1951,LEN(I1951)-FIND("*",I1951)),"-")</f>
        <v>-</v>
      </c>
      <c r="W1952" s="20" t="str">
        <f t="shared" si="1057"/>
        <v>-</v>
      </c>
      <c r="X1952" s="20" t="str">
        <f>IFERROR(W1952*J1951,"-")</f>
        <v>-</v>
      </c>
      <c r="Z1952" s="85">
        <v>45189</v>
      </c>
    </row>
    <row r="1953" spans="1:26" ht="6.95" customHeight="1" x14ac:dyDescent="0.3">
      <c r="A1953" s="5"/>
      <c r="B1953" s="157"/>
      <c r="C1953" s="158"/>
      <c r="D1953" s="161"/>
      <c r="E1953" s="162"/>
      <c r="F1953" s="163"/>
      <c r="G1953" s="164"/>
      <c r="H1953" s="165"/>
      <c r="I1953" s="164"/>
      <c r="J1953" s="165"/>
      <c r="K1953" s="164"/>
      <c r="L1953" s="165"/>
      <c r="M1953" s="6"/>
      <c r="N1953" s="32"/>
      <c r="Q1953" s="10" t="str">
        <f>+CONCATENATE(E1951,K1951)</f>
        <v/>
      </c>
      <c r="R1953" s="10">
        <f>+L1951</f>
        <v>0</v>
      </c>
      <c r="S1953" s="11"/>
      <c r="T1953" s="10">
        <f>+E1951</f>
        <v>0</v>
      </c>
      <c r="U1953" s="19" t="str">
        <f>IFERROR(LEFT(K1951,FIND("*",K1951)-1),"-")</f>
        <v>-</v>
      </c>
      <c r="V1953" s="19" t="str">
        <f>IFERROR(RIGHT(K1951,LEN(K1951)-FIND("*",K1951)),"-")</f>
        <v>-</v>
      </c>
      <c r="W1953" s="20" t="str">
        <f t="shared" si="1057"/>
        <v>-</v>
      </c>
      <c r="X1953" s="20" t="str">
        <f>IFERROR(W1953*L1951,"-")</f>
        <v>-</v>
      </c>
      <c r="Z1953" s="85">
        <v>45189</v>
      </c>
    </row>
    <row r="1954" spans="1:26" ht="6.95" customHeight="1" x14ac:dyDescent="0.3">
      <c r="A1954" s="8"/>
      <c r="B1954" s="157"/>
      <c r="C1954" s="158"/>
      <c r="D1954" s="161" t="s">
        <v>39</v>
      </c>
      <c r="E1954" s="162"/>
      <c r="F1954" s="163" t="s">
        <v>40</v>
      </c>
      <c r="G1954" s="164"/>
      <c r="H1954" s="165"/>
      <c r="I1954" s="164"/>
      <c r="J1954" s="165"/>
      <c r="K1954" s="164"/>
      <c r="L1954" s="165"/>
      <c r="M1954" s="6"/>
      <c r="N1954" s="32"/>
      <c r="Q1954" s="10" t="str">
        <f>+CONCATENATE(E1954,G1954)</f>
        <v/>
      </c>
      <c r="R1954" s="10">
        <f>+H1954</f>
        <v>0</v>
      </c>
      <c r="S1954" s="11"/>
      <c r="T1954" s="10">
        <f>+E1954</f>
        <v>0</v>
      </c>
      <c r="U1954" s="19" t="str">
        <f t="shared" ref="U1954" si="1060">IFERROR(LEFT(G1954,FIND("*",G1954)-1),"-")</f>
        <v>-</v>
      </c>
      <c r="V1954" s="19" t="str">
        <f t="shared" ref="V1954" si="1061">IFERROR(RIGHT(G1954,LEN(G1954)-FIND("*",G1954)),"-")</f>
        <v>-</v>
      </c>
      <c r="W1954" s="20" t="str">
        <f t="shared" si="1057"/>
        <v>-</v>
      </c>
      <c r="X1954" s="20" t="str">
        <f>IFERROR(W1954*H1954,"-")</f>
        <v>-</v>
      </c>
      <c r="Z1954" s="85">
        <v>45189</v>
      </c>
    </row>
    <row r="1955" spans="1:26" ht="6.95" customHeight="1" x14ac:dyDescent="0.3">
      <c r="A1955" s="5"/>
      <c r="B1955" s="157"/>
      <c r="C1955" s="158"/>
      <c r="D1955" s="161"/>
      <c r="E1955" s="162"/>
      <c r="F1955" s="163"/>
      <c r="G1955" s="164"/>
      <c r="H1955" s="165"/>
      <c r="I1955" s="164"/>
      <c r="J1955" s="165"/>
      <c r="K1955" s="164"/>
      <c r="L1955" s="165"/>
      <c r="M1955" s="6"/>
      <c r="N1955" s="32"/>
      <c r="Q1955" s="10" t="str">
        <f>+CONCATENATE(E1954,I1954)</f>
        <v/>
      </c>
      <c r="R1955" s="10">
        <f>+J1954</f>
        <v>0</v>
      </c>
      <c r="S1955" s="11"/>
      <c r="T1955" s="10">
        <f>+E1954</f>
        <v>0</v>
      </c>
      <c r="U1955" s="19" t="str">
        <f>IFERROR(LEFT(I1954,FIND("*",I1954)-1),"-")</f>
        <v>-</v>
      </c>
      <c r="V1955" s="19" t="str">
        <f>IFERROR(RIGHT(I1954,LEN(I1954)-FIND("*",I1954)),"-")</f>
        <v>-</v>
      </c>
      <c r="W1955" s="20" t="str">
        <f t="shared" si="1057"/>
        <v>-</v>
      </c>
      <c r="X1955" s="20" t="str">
        <f t="shared" ref="X1955" si="1062">IFERROR(W1955*J1954,"-")</f>
        <v>-</v>
      </c>
      <c r="Z1955" s="85">
        <v>45189</v>
      </c>
    </row>
    <row r="1956" spans="1:26" ht="6.95" customHeight="1" x14ac:dyDescent="0.3">
      <c r="A1956" s="5"/>
      <c r="B1956" s="157"/>
      <c r="C1956" s="158"/>
      <c r="D1956" s="161"/>
      <c r="E1956" s="162"/>
      <c r="F1956" s="163"/>
      <c r="G1956" s="164"/>
      <c r="H1956" s="165"/>
      <c r="I1956" s="164"/>
      <c r="J1956" s="165"/>
      <c r="K1956" s="164"/>
      <c r="L1956" s="165"/>
      <c r="M1956" s="6"/>
      <c r="N1956" s="32"/>
      <c r="Q1956" s="10" t="str">
        <f>+CONCATENATE(E1954,K1954)</f>
        <v/>
      </c>
      <c r="R1956" s="10">
        <f>+L1954</f>
        <v>0</v>
      </c>
      <c r="S1956" s="11"/>
      <c r="T1956" s="10">
        <f>+E1954</f>
        <v>0</v>
      </c>
      <c r="U1956" s="19" t="str">
        <f>IFERROR(LEFT(K1954,FIND("*",K1954)-1),"-")</f>
        <v>-</v>
      </c>
      <c r="V1956" s="19" t="str">
        <f>IFERROR(RIGHT(K1954,LEN(K1954)-FIND("*",K1954)),"-")</f>
        <v>-</v>
      </c>
      <c r="W1956" s="20" t="str">
        <f t="shared" si="1057"/>
        <v>-</v>
      </c>
      <c r="X1956" s="20" t="str">
        <f>IFERROR(W1956*L1954,"-")</f>
        <v>-</v>
      </c>
      <c r="Z1956" s="85">
        <v>45189</v>
      </c>
    </row>
    <row r="1957" spans="1:26" ht="21" customHeight="1" thickBot="1" x14ac:dyDescent="0.35">
      <c r="A1957" s="5"/>
      <c r="B1957" s="159"/>
      <c r="C1957" s="160"/>
      <c r="D1957" s="166" t="s">
        <v>43</v>
      </c>
      <c r="E1957" s="167"/>
      <c r="F1957" s="167"/>
      <c r="G1957" s="168" t="s">
        <v>208</v>
      </c>
      <c r="H1957" s="168"/>
      <c r="I1957" s="168"/>
      <c r="J1957" s="168"/>
      <c r="K1957" s="168"/>
      <c r="L1957" s="168"/>
      <c r="M1957" s="7"/>
      <c r="N1957" s="32"/>
      <c r="Z1957" s="85">
        <v>45189</v>
      </c>
    </row>
    <row r="1958" spans="1:26" ht="9.9499999999999993" customHeight="1" thickBot="1" x14ac:dyDescent="0.35">
      <c r="B1958" s="9"/>
      <c r="C1958" s="109">
        <v>977</v>
      </c>
      <c r="D1958" s="51"/>
      <c r="E1958" s="12"/>
      <c r="F1958" s="51"/>
      <c r="G1958" s="14"/>
      <c r="H1958" s="14"/>
      <c r="I1958" s="14"/>
      <c r="J1958" s="14"/>
      <c r="K1958" s="14"/>
      <c r="L1958" s="14"/>
      <c r="M1958" s="9"/>
      <c r="N1958" s="32"/>
      <c r="U1958" s="18"/>
      <c r="V1958" s="18"/>
      <c r="Z1958" s="85">
        <v>45189</v>
      </c>
    </row>
    <row r="1959" spans="1:26" ht="6.95" customHeight="1" x14ac:dyDescent="0.3">
      <c r="A1959" s="154">
        <f>+A1948+1</f>
        <v>978</v>
      </c>
      <c r="B1959" s="155"/>
      <c r="C1959" s="156"/>
      <c r="D1959" s="161" t="s">
        <v>39</v>
      </c>
      <c r="E1959" s="162" t="s">
        <v>186</v>
      </c>
      <c r="F1959" s="163" t="s">
        <v>40</v>
      </c>
      <c r="G1959" s="164">
        <v>80</v>
      </c>
      <c r="H1959" s="165">
        <v>0.5</v>
      </c>
      <c r="I1959" s="164"/>
      <c r="J1959" s="165"/>
      <c r="K1959" s="164"/>
      <c r="L1959" s="165"/>
      <c r="M1959" s="6"/>
      <c r="N1959" s="32"/>
      <c r="Q1959" s="10" t="str">
        <f>+CONCATENATE(E1959,G1959)</f>
        <v>금속관벽체80</v>
      </c>
      <c r="R1959" s="10">
        <f>+H1959</f>
        <v>0.5</v>
      </c>
      <c r="S1959" s="11"/>
      <c r="T1959" s="10" t="str">
        <f>+E1959</f>
        <v>금속관벽체</v>
      </c>
      <c r="U1959" s="19" t="str">
        <f>IFERROR(LEFT(G1959,FIND("*",G1959)-1),"-")</f>
        <v>-</v>
      </c>
      <c r="V1959" s="19" t="str">
        <f>IFERROR(RIGHT(G1959,LEN(G1959)-FIND("*",G1959)),"-")</f>
        <v>-</v>
      </c>
      <c r="W1959" s="20" t="str">
        <f>IFERROR((U1959+V1959)*2/1000,"-")</f>
        <v>-</v>
      </c>
      <c r="X1959" s="20" t="str">
        <f>IFERROR(W1959*H1959,"-")</f>
        <v>-</v>
      </c>
      <c r="Z1959" s="85">
        <v>45189</v>
      </c>
    </row>
    <row r="1960" spans="1:26" ht="6.95" customHeight="1" x14ac:dyDescent="0.3">
      <c r="A1960" s="154"/>
      <c r="B1960" s="157"/>
      <c r="C1960" s="158"/>
      <c r="D1960" s="161"/>
      <c r="E1960" s="162"/>
      <c r="F1960" s="163"/>
      <c r="G1960" s="164"/>
      <c r="H1960" s="165"/>
      <c r="I1960" s="164"/>
      <c r="J1960" s="165"/>
      <c r="K1960" s="164"/>
      <c r="L1960" s="165"/>
      <c r="M1960" s="6"/>
      <c r="N1960" s="32"/>
      <c r="Q1960" s="10" t="str">
        <f>+CONCATENATE(E1959,I1959)</f>
        <v>금속관벽체</v>
      </c>
      <c r="R1960" s="10">
        <f>+J1959</f>
        <v>0</v>
      </c>
      <c r="S1960" s="11"/>
      <c r="T1960" s="10" t="str">
        <f>+E1959</f>
        <v>금속관벽체</v>
      </c>
      <c r="U1960" s="19" t="str">
        <f>IFERROR(LEFT(I1959,FIND("*",I1959)-1),"-")</f>
        <v>-</v>
      </c>
      <c r="V1960" s="19" t="str">
        <f>IFERROR(RIGHT(I1959,LEN(I1959)-FIND("*",I1959)),"-")</f>
        <v>-</v>
      </c>
      <c r="W1960" s="20" t="str">
        <f t="shared" ref="W1960:W1967" si="1063">IFERROR((U1960+V1960)*2/1000,"-")</f>
        <v>-</v>
      </c>
      <c r="X1960" s="20" t="str">
        <f>IFERROR(W1960*J1959,"-")</f>
        <v>-</v>
      </c>
      <c r="Z1960" s="85">
        <v>45189</v>
      </c>
    </row>
    <row r="1961" spans="1:26" ht="6.95" customHeight="1" x14ac:dyDescent="0.3">
      <c r="A1961" s="154"/>
      <c r="B1961" s="157"/>
      <c r="C1961" s="158"/>
      <c r="D1961" s="161"/>
      <c r="E1961" s="162"/>
      <c r="F1961" s="163"/>
      <c r="G1961" s="164"/>
      <c r="H1961" s="165"/>
      <c r="I1961" s="164"/>
      <c r="J1961" s="165"/>
      <c r="K1961" s="164"/>
      <c r="L1961" s="165"/>
      <c r="M1961" s="6"/>
      <c r="N1961" s="32"/>
      <c r="Q1961" s="10" t="str">
        <f>+CONCATENATE(E1959,K1959)</f>
        <v>금속관벽체</v>
      </c>
      <c r="R1961" s="10">
        <f>+L1959</f>
        <v>0</v>
      </c>
      <c r="S1961" s="11"/>
      <c r="T1961" s="10" t="str">
        <f>+E1959</f>
        <v>금속관벽체</v>
      </c>
      <c r="U1961" s="19" t="str">
        <f>IFERROR(LEFT(K1959,FIND("*",K1959)-1),"-")</f>
        <v>-</v>
      </c>
      <c r="V1961" s="19" t="str">
        <f>IFERROR(RIGHT(K1959,LEN(K1959)-FIND("*",K1959)),"-")</f>
        <v>-</v>
      </c>
      <c r="W1961" s="20" t="str">
        <f t="shared" si="1063"/>
        <v>-</v>
      </c>
      <c r="X1961" s="20" t="str">
        <f>IFERROR(W1961*L1959,"-")</f>
        <v>-</v>
      </c>
      <c r="Z1961" s="85">
        <v>45189</v>
      </c>
    </row>
    <row r="1962" spans="1:26" ht="6.95" customHeight="1" x14ac:dyDescent="0.3">
      <c r="A1962" s="8"/>
      <c r="B1962" s="157"/>
      <c r="C1962" s="158"/>
      <c r="D1962" s="161" t="s">
        <v>39</v>
      </c>
      <c r="E1962" s="162"/>
      <c r="F1962" s="163" t="s">
        <v>40</v>
      </c>
      <c r="G1962" s="164"/>
      <c r="H1962" s="165"/>
      <c r="I1962" s="164"/>
      <c r="J1962" s="165"/>
      <c r="K1962" s="164"/>
      <c r="L1962" s="165"/>
      <c r="M1962" s="6"/>
      <c r="N1962" s="32"/>
      <c r="Q1962" s="10" t="str">
        <f>+CONCATENATE(E1962,G1962)</f>
        <v/>
      </c>
      <c r="R1962" s="10">
        <f>+H1962</f>
        <v>0</v>
      </c>
      <c r="S1962" s="11"/>
      <c r="T1962" s="10">
        <f>+E1962</f>
        <v>0</v>
      </c>
      <c r="U1962" s="19" t="str">
        <f t="shared" ref="U1962" si="1064">IFERROR(LEFT(G1962,FIND("*",G1962)-1),"-")</f>
        <v>-</v>
      </c>
      <c r="V1962" s="19" t="str">
        <f t="shared" ref="V1962" si="1065">IFERROR(RIGHT(G1962,LEN(G1962)-FIND("*",G1962)),"-")</f>
        <v>-</v>
      </c>
      <c r="W1962" s="20" t="str">
        <f t="shared" si="1063"/>
        <v>-</v>
      </c>
      <c r="X1962" s="20" t="str">
        <f>IFERROR(W1962*H1962,"-")</f>
        <v>-</v>
      </c>
      <c r="Z1962" s="85">
        <v>45189</v>
      </c>
    </row>
    <row r="1963" spans="1:26" ht="6.95" customHeight="1" x14ac:dyDescent="0.3">
      <c r="A1963" s="5"/>
      <c r="B1963" s="157"/>
      <c r="C1963" s="158"/>
      <c r="D1963" s="161"/>
      <c r="E1963" s="162"/>
      <c r="F1963" s="163"/>
      <c r="G1963" s="164"/>
      <c r="H1963" s="165"/>
      <c r="I1963" s="164"/>
      <c r="J1963" s="165"/>
      <c r="K1963" s="164"/>
      <c r="L1963" s="165"/>
      <c r="M1963" s="6"/>
      <c r="N1963" s="32"/>
      <c r="Q1963" s="10" t="str">
        <f>+CONCATENATE(E1962,I1962)</f>
        <v/>
      </c>
      <c r="R1963" s="10">
        <f>+J1962</f>
        <v>0</v>
      </c>
      <c r="S1963" s="11"/>
      <c r="T1963" s="10">
        <f>+E1962</f>
        <v>0</v>
      </c>
      <c r="U1963" s="19" t="str">
        <f>IFERROR(LEFT(I1962,FIND("*",I1962)-1),"-")</f>
        <v>-</v>
      </c>
      <c r="V1963" s="19" t="str">
        <f>IFERROR(RIGHT(I1962,LEN(I1962)-FIND("*",I1962)),"-")</f>
        <v>-</v>
      </c>
      <c r="W1963" s="20" t="str">
        <f t="shared" si="1063"/>
        <v>-</v>
      </c>
      <c r="X1963" s="20" t="str">
        <f>IFERROR(W1963*J1962,"-")</f>
        <v>-</v>
      </c>
      <c r="Z1963" s="85">
        <v>45189</v>
      </c>
    </row>
    <row r="1964" spans="1:26" ht="6.95" customHeight="1" x14ac:dyDescent="0.3">
      <c r="A1964" s="5"/>
      <c r="B1964" s="157"/>
      <c r="C1964" s="158"/>
      <c r="D1964" s="161"/>
      <c r="E1964" s="162"/>
      <c r="F1964" s="163"/>
      <c r="G1964" s="164"/>
      <c r="H1964" s="165"/>
      <c r="I1964" s="164"/>
      <c r="J1964" s="165"/>
      <c r="K1964" s="164"/>
      <c r="L1964" s="165"/>
      <c r="M1964" s="6"/>
      <c r="N1964" s="32"/>
      <c r="Q1964" s="10" t="str">
        <f>+CONCATENATE(E1962,K1962)</f>
        <v/>
      </c>
      <c r="R1964" s="10">
        <f>+L1962</f>
        <v>0</v>
      </c>
      <c r="S1964" s="11"/>
      <c r="T1964" s="10">
        <f>+E1962</f>
        <v>0</v>
      </c>
      <c r="U1964" s="19" t="str">
        <f>IFERROR(LEFT(K1962,FIND("*",K1962)-1),"-")</f>
        <v>-</v>
      </c>
      <c r="V1964" s="19" t="str">
        <f>IFERROR(RIGHT(K1962,LEN(K1962)-FIND("*",K1962)),"-")</f>
        <v>-</v>
      </c>
      <c r="W1964" s="20" t="str">
        <f t="shared" si="1063"/>
        <v>-</v>
      </c>
      <c r="X1964" s="20" t="str">
        <f>IFERROR(W1964*L1962,"-")</f>
        <v>-</v>
      </c>
      <c r="Z1964" s="85">
        <v>45189</v>
      </c>
    </row>
    <row r="1965" spans="1:26" ht="6.95" customHeight="1" x14ac:dyDescent="0.3">
      <c r="A1965" s="8"/>
      <c r="B1965" s="157"/>
      <c r="C1965" s="158"/>
      <c r="D1965" s="161" t="s">
        <v>39</v>
      </c>
      <c r="E1965" s="162"/>
      <c r="F1965" s="163" t="s">
        <v>40</v>
      </c>
      <c r="G1965" s="164"/>
      <c r="H1965" s="165"/>
      <c r="I1965" s="164"/>
      <c r="J1965" s="165"/>
      <c r="K1965" s="164"/>
      <c r="L1965" s="165"/>
      <c r="M1965" s="6"/>
      <c r="N1965" s="32"/>
      <c r="Q1965" s="10" t="str">
        <f>+CONCATENATE(E1965,G1965)</f>
        <v/>
      </c>
      <c r="R1965" s="10">
        <f>+H1965</f>
        <v>0</v>
      </c>
      <c r="S1965" s="11"/>
      <c r="T1965" s="10">
        <f>+E1965</f>
        <v>0</v>
      </c>
      <c r="U1965" s="19" t="str">
        <f t="shared" ref="U1965" si="1066">IFERROR(LEFT(G1965,FIND("*",G1965)-1),"-")</f>
        <v>-</v>
      </c>
      <c r="V1965" s="19" t="str">
        <f t="shared" ref="V1965" si="1067">IFERROR(RIGHT(G1965,LEN(G1965)-FIND("*",G1965)),"-")</f>
        <v>-</v>
      </c>
      <c r="W1965" s="20" t="str">
        <f t="shared" si="1063"/>
        <v>-</v>
      </c>
      <c r="X1965" s="20" t="str">
        <f>IFERROR(W1965*H1965,"-")</f>
        <v>-</v>
      </c>
      <c r="Z1965" s="85">
        <v>45189</v>
      </c>
    </row>
    <row r="1966" spans="1:26" ht="6.95" customHeight="1" x14ac:dyDescent="0.3">
      <c r="A1966" s="5"/>
      <c r="B1966" s="157"/>
      <c r="C1966" s="158"/>
      <c r="D1966" s="161"/>
      <c r="E1966" s="162"/>
      <c r="F1966" s="163"/>
      <c r="G1966" s="164"/>
      <c r="H1966" s="165"/>
      <c r="I1966" s="164"/>
      <c r="J1966" s="165"/>
      <c r="K1966" s="164"/>
      <c r="L1966" s="165"/>
      <c r="M1966" s="6"/>
      <c r="N1966" s="32"/>
      <c r="Q1966" s="10" t="str">
        <f>+CONCATENATE(E1965,I1965)</f>
        <v/>
      </c>
      <c r="R1966" s="10">
        <f>+J1965</f>
        <v>0</v>
      </c>
      <c r="S1966" s="11"/>
      <c r="T1966" s="10">
        <f>+E1965</f>
        <v>0</v>
      </c>
      <c r="U1966" s="19" t="str">
        <f>IFERROR(LEFT(I1965,FIND("*",I1965)-1),"-")</f>
        <v>-</v>
      </c>
      <c r="V1966" s="19" t="str">
        <f>IFERROR(RIGHT(I1965,LEN(I1965)-FIND("*",I1965)),"-")</f>
        <v>-</v>
      </c>
      <c r="W1966" s="20" t="str">
        <f t="shared" si="1063"/>
        <v>-</v>
      </c>
      <c r="X1966" s="20" t="str">
        <f t="shared" ref="X1966" si="1068">IFERROR(W1966*J1965,"-")</f>
        <v>-</v>
      </c>
      <c r="Z1966" s="85">
        <v>45189</v>
      </c>
    </row>
    <row r="1967" spans="1:26" ht="6.95" customHeight="1" x14ac:dyDescent="0.3">
      <c r="A1967" s="5"/>
      <c r="B1967" s="157"/>
      <c r="C1967" s="158"/>
      <c r="D1967" s="161"/>
      <c r="E1967" s="162"/>
      <c r="F1967" s="163"/>
      <c r="G1967" s="164"/>
      <c r="H1967" s="165"/>
      <c r="I1967" s="164"/>
      <c r="J1967" s="165"/>
      <c r="K1967" s="164"/>
      <c r="L1967" s="165"/>
      <c r="M1967" s="6"/>
      <c r="N1967" s="32"/>
      <c r="Q1967" s="10" t="str">
        <f>+CONCATENATE(E1965,K1965)</f>
        <v/>
      </c>
      <c r="R1967" s="10">
        <f>+L1965</f>
        <v>0</v>
      </c>
      <c r="S1967" s="11"/>
      <c r="T1967" s="10">
        <f>+E1965</f>
        <v>0</v>
      </c>
      <c r="U1967" s="19" t="str">
        <f>IFERROR(LEFT(K1965,FIND("*",K1965)-1),"-")</f>
        <v>-</v>
      </c>
      <c r="V1967" s="19" t="str">
        <f>IFERROR(RIGHT(K1965,LEN(K1965)-FIND("*",K1965)),"-")</f>
        <v>-</v>
      </c>
      <c r="W1967" s="20" t="str">
        <f t="shared" si="1063"/>
        <v>-</v>
      </c>
      <c r="X1967" s="20" t="str">
        <f>IFERROR(W1967*L1965,"-")</f>
        <v>-</v>
      </c>
      <c r="Z1967" s="85">
        <v>45189</v>
      </c>
    </row>
    <row r="1968" spans="1:26" ht="21" customHeight="1" thickBot="1" x14ac:dyDescent="0.35">
      <c r="A1968" s="5"/>
      <c r="B1968" s="159"/>
      <c r="C1968" s="160"/>
      <c r="D1968" s="166" t="s">
        <v>43</v>
      </c>
      <c r="E1968" s="167"/>
      <c r="F1968" s="167"/>
      <c r="G1968" s="168" t="s">
        <v>208</v>
      </c>
      <c r="H1968" s="168"/>
      <c r="I1968" s="168"/>
      <c r="J1968" s="168"/>
      <c r="K1968" s="168"/>
      <c r="L1968" s="168"/>
      <c r="M1968" s="7"/>
      <c r="N1968" s="32"/>
      <c r="Z1968" s="85">
        <v>45189</v>
      </c>
    </row>
    <row r="1969" spans="1:26" ht="9.9499999999999993" customHeight="1" thickBot="1" x14ac:dyDescent="0.35">
      <c r="B1969" s="9"/>
      <c r="C1969" s="109">
        <v>978</v>
      </c>
      <c r="D1969" s="51"/>
      <c r="E1969" s="12"/>
      <c r="F1969" s="51"/>
      <c r="G1969" s="14"/>
      <c r="H1969" s="14"/>
      <c r="I1969" s="14"/>
      <c r="J1969" s="14"/>
      <c r="K1969" s="14"/>
      <c r="L1969" s="14"/>
      <c r="M1969" s="9"/>
      <c r="N1969" s="32"/>
      <c r="U1969" s="18"/>
      <c r="V1969" s="18"/>
      <c r="Z1969" s="85">
        <v>45189</v>
      </c>
    </row>
    <row r="1970" spans="1:26" ht="6.95" customHeight="1" x14ac:dyDescent="0.3">
      <c r="A1970" s="154">
        <f>+A1959+1</f>
        <v>979</v>
      </c>
      <c r="B1970" s="155"/>
      <c r="C1970" s="156"/>
      <c r="D1970" s="161" t="s">
        <v>39</v>
      </c>
      <c r="E1970" s="162" t="s">
        <v>186</v>
      </c>
      <c r="F1970" s="163" t="s">
        <v>40</v>
      </c>
      <c r="G1970" s="164">
        <v>100</v>
      </c>
      <c r="H1970" s="165">
        <v>0.5</v>
      </c>
      <c r="I1970" s="164"/>
      <c r="J1970" s="165"/>
      <c r="K1970" s="164"/>
      <c r="L1970" s="165"/>
      <c r="M1970" s="6"/>
      <c r="N1970" s="32"/>
      <c r="Q1970" s="10" t="str">
        <f>+CONCATENATE(E1970,G1970)</f>
        <v>금속관벽체100</v>
      </c>
      <c r="R1970" s="10">
        <f>+H1970</f>
        <v>0.5</v>
      </c>
      <c r="S1970" s="11"/>
      <c r="T1970" s="10" t="str">
        <f>+E1970</f>
        <v>금속관벽체</v>
      </c>
      <c r="U1970" s="19" t="str">
        <f>IFERROR(LEFT(G1970,FIND("*",G1970)-1),"-")</f>
        <v>-</v>
      </c>
      <c r="V1970" s="19" t="str">
        <f>IFERROR(RIGHT(G1970,LEN(G1970)-FIND("*",G1970)),"-")</f>
        <v>-</v>
      </c>
      <c r="W1970" s="20" t="str">
        <f>IFERROR((U1970+V1970)*2/1000,"-")</f>
        <v>-</v>
      </c>
      <c r="X1970" s="20" t="str">
        <f>IFERROR(W1970*H1970,"-")</f>
        <v>-</v>
      </c>
      <c r="Z1970" s="85">
        <v>45189</v>
      </c>
    </row>
    <row r="1971" spans="1:26" ht="6.95" customHeight="1" x14ac:dyDescent="0.3">
      <c r="A1971" s="154"/>
      <c r="B1971" s="157"/>
      <c r="C1971" s="158"/>
      <c r="D1971" s="161"/>
      <c r="E1971" s="162"/>
      <c r="F1971" s="163"/>
      <c r="G1971" s="164"/>
      <c r="H1971" s="165"/>
      <c r="I1971" s="164"/>
      <c r="J1971" s="165"/>
      <c r="K1971" s="164"/>
      <c r="L1971" s="165"/>
      <c r="M1971" s="6"/>
      <c r="N1971" s="32"/>
      <c r="Q1971" s="10" t="str">
        <f>+CONCATENATE(E1970,I1970)</f>
        <v>금속관벽체</v>
      </c>
      <c r="R1971" s="10">
        <f>+J1970</f>
        <v>0</v>
      </c>
      <c r="S1971" s="11"/>
      <c r="T1971" s="10" t="str">
        <f>+E1970</f>
        <v>금속관벽체</v>
      </c>
      <c r="U1971" s="19" t="str">
        <f>IFERROR(LEFT(I1970,FIND("*",I1970)-1),"-")</f>
        <v>-</v>
      </c>
      <c r="V1971" s="19" t="str">
        <f>IFERROR(RIGHT(I1970,LEN(I1970)-FIND("*",I1970)),"-")</f>
        <v>-</v>
      </c>
      <c r="W1971" s="20" t="str">
        <f t="shared" ref="W1971:W1978" si="1069">IFERROR((U1971+V1971)*2/1000,"-")</f>
        <v>-</v>
      </c>
      <c r="X1971" s="20" t="str">
        <f>IFERROR(W1971*J1970,"-")</f>
        <v>-</v>
      </c>
      <c r="Z1971" s="85">
        <v>45189</v>
      </c>
    </row>
    <row r="1972" spans="1:26" ht="6.95" customHeight="1" x14ac:dyDescent="0.3">
      <c r="A1972" s="154"/>
      <c r="B1972" s="157"/>
      <c r="C1972" s="158"/>
      <c r="D1972" s="161"/>
      <c r="E1972" s="162"/>
      <c r="F1972" s="163"/>
      <c r="G1972" s="164"/>
      <c r="H1972" s="165"/>
      <c r="I1972" s="164"/>
      <c r="J1972" s="165"/>
      <c r="K1972" s="164"/>
      <c r="L1972" s="165"/>
      <c r="M1972" s="6"/>
      <c r="N1972" s="32"/>
      <c r="Q1972" s="10" t="str">
        <f>+CONCATENATE(E1970,K1970)</f>
        <v>금속관벽체</v>
      </c>
      <c r="R1972" s="10">
        <f>+L1970</f>
        <v>0</v>
      </c>
      <c r="S1972" s="11"/>
      <c r="T1972" s="10" t="str">
        <f>+E1970</f>
        <v>금속관벽체</v>
      </c>
      <c r="U1972" s="19" t="str">
        <f>IFERROR(LEFT(K1970,FIND("*",K1970)-1),"-")</f>
        <v>-</v>
      </c>
      <c r="V1972" s="19" t="str">
        <f>IFERROR(RIGHT(K1970,LEN(K1970)-FIND("*",K1970)),"-")</f>
        <v>-</v>
      </c>
      <c r="W1972" s="20" t="str">
        <f t="shared" si="1069"/>
        <v>-</v>
      </c>
      <c r="X1972" s="20" t="str">
        <f>IFERROR(W1972*L1970,"-")</f>
        <v>-</v>
      </c>
      <c r="Z1972" s="85">
        <v>45189</v>
      </c>
    </row>
    <row r="1973" spans="1:26" ht="6.95" customHeight="1" x14ac:dyDescent="0.3">
      <c r="A1973" s="8"/>
      <c r="B1973" s="157"/>
      <c r="C1973" s="158"/>
      <c r="D1973" s="161" t="s">
        <v>39</v>
      </c>
      <c r="E1973" s="162"/>
      <c r="F1973" s="163" t="s">
        <v>40</v>
      </c>
      <c r="G1973" s="164"/>
      <c r="H1973" s="165"/>
      <c r="I1973" s="164"/>
      <c r="J1973" s="165"/>
      <c r="K1973" s="164"/>
      <c r="L1973" s="165"/>
      <c r="M1973" s="6"/>
      <c r="N1973" s="32"/>
      <c r="Q1973" s="10" t="str">
        <f>+CONCATENATE(E1973,G1973)</f>
        <v/>
      </c>
      <c r="R1973" s="10">
        <f>+H1973</f>
        <v>0</v>
      </c>
      <c r="S1973" s="11"/>
      <c r="T1973" s="10">
        <f>+E1973</f>
        <v>0</v>
      </c>
      <c r="U1973" s="19" t="str">
        <f t="shared" ref="U1973" si="1070">IFERROR(LEFT(G1973,FIND("*",G1973)-1),"-")</f>
        <v>-</v>
      </c>
      <c r="V1973" s="19" t="str">
        <f t="shared" ref="V1973" si="1071">IFERROR(RIGHT(G1973,LEN(G1973)-FIND("*",G1973)),"-")</f>
        <v>-</v>
      </c>
      <c r="W1973" s="20" t="str">
        <f t="shared" si="1069"/>
        <v>-</v>
      </c>
      <c r="X1973" s="20" t="str">
        <f>IFERROR(W1973*H1973,"-")</f>
        <v>-</v>
      </c>
      <c r="Z1973" s="85">
        <v>45189</v>
      </c>
    </row>
    <row r="1974" spans="1:26" ht="6.95" customHeight="1" x14ac:dyDescent="0.3">
      <c r="A1974" s="5"/>
      <c r="B1974" s="157"/>
      <c r="C1974" s="158"/>
      <c r="D1974" s="161"/>
      <c r="E1974" s="162"/>
      <c r="F1974" s="163"/>
      <c r="G1974" s="164"/>
      <c r="H1974" s="165"/>
      <c r="I1974" s="164"/>
      <c r="J1974" s="165"/>
      <c r="K1974" s="164"/>
      <c r="L1974" s="165"/>
      <c r="M1974" s="6"/>
      <c r="N1974" s="32"/>
      <c r="Q1974" s="10" t="str">
        <f>+CONCATENATE(E1973,I1973)</f>
        <v/>
      </c>
      <c r="R1974" s="10">
        <f>+J1973</f>
        <v>0</v>
      </c>
      <c r="S1974" s="11"/>
      <c r="T1974" s="10">
        <f>+E1973</f>
        <v>0</v>
      </c>
      <c r="U1974" s="19" t="str">
        <f>IFERROR(LEFT(I1973,FIND("*",I1973)-1),"-")</f>
        <v>-</v>
      </c>
      <c r="V1974" s="19" t="str">
        <f>IFERROR(RIGHT(I1973,LEN(I1973)-FIND("*",I1973)),"-")</f>
        <v>-</v>
      </c>
      <c r="W1974" s="20" t="str">
        <f t="shared" si="1069"/>
        <v>-</v>
      </c>
      <c r="X1974" s="20" t="str">
        <f>IFERROR(W1974*J1973,"-")</f>
        <v>-</v>
      </c>
      <c r="Z1974" s="85">
        <v>45189</v>
      </c>
    </row>
    <row r="1975" spans="1:26" ht="6.95" customHeight="1" x14ac:dyDescent="0.3">
      <c r="A1975" s="5"/>
      <c r="B1975" s="157"/>
      <c r="C1975" s="158"/>
      <c r="D1975" s="161"/>
      <c r="E1975" s="162"/>
      <c r="F1975" s="163"/>
      <c r="G1975" s="164"/>
      <c r="H1975" s="165"/>
      <c r="I1975" s="164"/>
      <c r="J1975" s="165"/>
      <c r="K1975" s="164"/>
      <c r="L1975" s="165"/>
      <c r="M1975" s="6"/>
      <c r="N1975" s="32"/>
      <c r="Q1975" s="10" t="str">
        <f>+CONCATENATE(E1973,K1973)</f>
        <v/>
      </c>
      <c r="R1975" s="10">
        <f>+L1973</f>
        <v>0</v>
      </c>
      <c r="S1975" s="11"/>
      <c r="T1975" s="10">
        <f>+E1973</f>
        <v>0</v>
      </c>
      <c r="U1975" s="19" t="str">
        <f>IFERROR(LEFT(K1973,FIND("*",K1973)-1),"-")</f>
        <v>-</v>
      </c>
      <c r="V1975" s="19" t="str">
        <f>IFERROR(RIGHT(K1973,LEN(K1973)-FIND("*",K1973)),"-")</f>
        <v>-</v>
      </c>
      <c r="W1975" s="20" t="str">
        <f t="shared" si="1069"/>
        <v>-</v>
      </c>
      <c r="X1975" s="20" t="str">
        <f>IFERROR(W1975*L1973,"-")</f>
        <v>-</v>
      </c>
      <c r="Z1975" s="85">
        <v>45189</v>
      </c>
    </row>
    <row r="1976" spans="1:26" ht="6.95" customHeight="1" x14ac:dyDescent="0.3">
      <c r="A1976" s="8"/>
      <c r="B1976" s="157"/>
      <c r="C1976" s="158"/>
      <c r="D1976" s="161" t="s">
        <v>39</v>
      </c>
      <c r="E1976" s="162"/>
      <c r="F1976" s="163" t="s">
        <v>40</v>
      </c>
      <c r="G1976" s="164"/>
      <c r="H1976" s="165"/>
      <c r="I1976" s="164"/>
      <c r="J1976" s="165"/>
      <c r="K1976" s="164"/>
      <c r="L1976" s="165"/>
      <c r="M1976" s="6"/>
      <c r="N1976" s="32"/>
      <c r="Q1976" s="10" t="str">
        <f>+CONCATENATE(E1976,G1976)</f>
        <v/>
      </c>
      <c r="R1976" s="10">
        <f>+H1976</f>
        <v>0</v>
      </c>
      <c r="S1976" s="11"/>
      <c r="T1976" s="10">
        <f>+E1976</f>
        <v>0</v>
      </c>
      <c r="U1976" s="19" t="str">
        <f t="shared" ref="U1976" si="1072">IFERROR(LEFT(G1976,FIND("*",G1976)-1),"-")</f>
        <v>-</v>
      </c>
      <c r="V1976" s="19" t="str">
        <f t="shared" ref="V1976" si="1073">IFERROR(RIGHT(G1976,LEN(G1976)-FIND("*",G1976)),"-")</f>
        <v>-</v>
      </c>
      <c r="W1976" s="20" t="str">
        <f t="shared" si="1069"/>
        <v>-</v>
      </c>
      <c r="X1976" s="20" t="str">
        <f>IFERROR(W1976*H1976,"-")</f>
        <v>-</v>
      </c>
      <c r="Z1976" s="85">
        <v>45189</v>
      </c>
    </row>
    <row r="1977" spans="1:26" ht="6.95" customHeight="1" x14ac:dyDescent="0.3">
      <c r="A1977" s="5"/>
      <c r="B1977" s="157"/>
      <c r="C1977" s="158"/>
      <c r="D1977" s="161"/>
      <c r="E1977" s="162"/>
      <c r="F1977" s="163"/>
      <c r="G1977" s="164"/>
      <c r="H1977" s="165"/>
      <c r="I1977" s="164"/>
      <c r="J1977" s="165"/>
      <c r="K1977" s="164"/>
      <c r="L1977" s="165"/>
      <c r="M1977" s="6"/>
      <c r="N1977" s="32"/>
      <c r="Q1977" s="10" t="str">
        <f>+CONCATENATE(E1976,I1976)</f>
        <v/>
      </c>
      <c r="R1977" s="10">
        <f>+J1976</f>
        <v>0</v>
      </c>
      <c r="S1977" s="11"/>
      <c r="T1977" s="10">
        <f>+E1976</f>
        <v>0</v>
      </c>
      <c r="U1977" s="19" t="str">
        <f>IFERROR(LEFT(I1976,FIND("*",I1976)-1),"-")</f>
        <v>-</v>
      </c>
      <c r="V1977" s="19" t="str">
        <f>IFERROR(RIGHT(I1976,LEN(I1976)-FIND("*",I1976)),"-")</f>
        <v>-</v>
      </c>
      <c r="W1977" s="20" t="str">
        <f t="shared" si="1069"/>
        <v>-</v>
      </c>
      <c r="X1977" s="20" t="str">
        <f t="shared" ref="X1977" si="1074">IFERROR(W1977*J1976,"-")</f>
        <v>-</v>
      </c>
      <c r="Z1977" s="85">
        <v>45189</v>
      </c>
    </row>
    <row r="1978" spans="1:26" ht="6.95" customHeight="1" x14ac:dyDescent="0.3">
      <c r="A1978" s="5"/>
      <c r="B1978" s="157"/>
      <c r="C1978" s="158"/>
      <c r="D1978" s="161"/>
      <c r="E1978" s="162"/>
      <c r="F1978" s="163"/>
      <c r="G1978" s="164"/>
      <c r="H1978" s="165"/>
      <c r="I1978" s="164"/>
      <c r="J1978" s="165"/>
      <c r="K1978" s="164"/>
      <c r="L1978" s="165"/>
      <c r="M1978" s="6"/>
      <c r="N1978" s="32"/>
      <c r="Q1978" s="10" t="str">
        <f>+CONCATENATE(E1976,K1976)</f>
        <v/>
      </c>
      <c r="R1978" s="10">
        <f>+L1976</f>
        <v>0</v>
      </c>
      <c r="S1978" s="11"/>
      <c r="T1978" s="10">
        <f>+E1976</f>
        <v>0</v>
      </c>
      <c r="U1978" s="19" t="str">
        <f>IFERROR(LEFT(K1976,FIND("*",K1976)-1),"-")</f>
        <v>-</v>
      </c>
      <c r="V1978" s="19" t="str">
        <f>IFERROR(RIGHT(K1976,LEN(K1976)-FIND("*",K1976)),"-")</f>
        <v>-</v>
      </c>
      <c r="W1978" s="20" t="str">
        <f t="shared" si="1069"/>
        <v>-</v>
      </c>
      <c r="X1978" s="20" t="str">
        <f>IFERROR(W1978*L1976,"-")</f>
        <v>-</v>
      </c>
      <c r="Z1978" s="85">
        <v>45189</v>
      </c>
    </row>
    <row r="1979" spans="1:26" ht="21" customHeight="1" thickBot="1" x14ac:dyDescent="0.35">
      <c r="A1979" s="5"/>
      <c r="B1979" s="159"/>
      <c r="C1979" s="160"/>
      <c r="D1979" s="166" t="s">
        <v>43</v>
      </c>
      <c r="E1979" s="167"/>
      <c r="F1979" s="167"/>
      <c r="G1979" s="168" t="s">
        <v>208</v>
      </c>
      <c r="H1979" s="168"/>
      <c r="I1979" s="168"/>
      <c r="J1979" s="168"/>
      <c r="K1979" s="168"/>
      <c r="L1979" s="168"/>
      <c r="M1979" s="7"/>
      <c r="N1979" s="32"/>
      <c r="Z1979" s="85">
        <v>45189</v>
      </c>
    </row>
    <row r="1980" spans="1:26" ht="9.9499999999999993" customHeight="1" thickBot="1" x14ac:dyDescent="0.35">
      <c r="B1980" s="9"/>
      <c r="C1980" s="109">
        <v>979</v>
      </c>
      <c r="D1980" s="51"/>
      <c r="E1980" s="12"/>
      <c r="F1980" s="51"/>
      <c r="G1980" s="14"/>
      <c r="H1980" s="14"/>
      <c r="I1980" s="14"/>
      <c r="J1980" s="14"/>
      <c r="K1980" s="14"/>
      <c r="L1980" s="14"/>
      <c r="M1980" s="9"/>
      <c r="N1980" s="32"/>
      <c r="U1980" s="18"/>
      <c r="V1980" s="18"/>
      <c r="Z1980" s="85">
        <v>45189</v>
      </c>
    </row>
    <row r="1981" spans="1:26" ht="6.95" customHeight="1" x14ac:dyDescent="0.3">
      <c r="A1981" s="154">
        <f>+A1970+1</f>
        <v>980</v>
      </c>
      <c r="B1981" s="155"/>
      <c r="C1981" s="156"/>
      <c r="D1981" s="161" t="s">
        <v>39</v>
      </c>
      <c r="E1981" s="162" t="s">
        <v>186</v>
      </c>
      <c r="F1981" s="163" t="s">
        <v>40</v>
      </c>
      <c r="G1981" s="164">
        <v>60</v>
      </c>
      <c r="H1981" s="165">
        <v>0.5</v>
      </c>
      <c r="I1981" s="164"/>
      <c r="J1981" s="165"/>
      <c r="K1981" s="164"/>
      <c r="L1981" s="165"/>
      <c r="M1981" s="6"/>
      <c r="N1981" s="32"/>
      <c r="Q1981" s="10" t="str">
        <f>+CONCATENATE(E1981,G1981)</f>
        <v>금속관벽체60</v>
      </c>
      <c r="R1981" s="10">
        <f>+H1981</f>
        <v>0.5</v>
      </c>
      <c r="S1981" s="11"/>
      <c r="T1981" s="10" t="str">
        <f>+E1981</f>
        <v>금속관벽체</v>
      </c>
      <c r="U1981" s="19" t="str">
        <f>IFERROR(LEFT(G1981,FIND("*",G1981)-1),"-")</f>
        <v>-</v>
      </c>
      <c r="V1981" s="19" t="str">
        <f>IFERROR(RIGHT(G1981,LEN(G1981)-FIND("*",G1981)),"-")</f>
        <v>-</v>
      </c>
      <c r="W1981" s="20" t="str">
        <f>IFERROR((U1981+V1981)*2/1000,"-")</f>
        <v>-</v>
      </c>
      <c r="X1981" s="20" t="str">
        <f>IFERROR(W1981*H1981,"-")</f>
        <v>-</v>
      </c>
      <c r="Z1981" s="85">
        <v>45189</v>
      </c>
    </row>
    <row r="1982" spans="1:26" ht="6.95" customHeight="1" x14ac:dyDescent="0.3">
      <c r="A1982" s="154"/>
      <c r="B1982" s="157"/>
      <c r="C1982" s="158"/>
      <c r="D1982" s="161"/>
      <c r="E1982" s="162"/>
      <c r="F1982" s="163"/>
      <c r="G1982" s="164"/>
      <c r="H1982" s="165"/>
      <c r="I1982" s="164"/>
      <c r="J1982" s="165"/>
      <c r="K1982" s="164"/>
      <c r="L1982" s="165"/>
      <c r="M1982" s="6"/>
      <c r="N1982" s="32"/>
      <c r="Q1982" s="10" t="str">
        <f>+CONCATENATE(E1981,I1981)</f>
        <v>금속관벽체</v>
      </c>
      <c r="R1982" s="10">
        <f>+J1981</f>
        <v>0</v>
      </c>
      <c r="S1982" s="11"/>
      <c r="T1982" s="10" t="str">
        <f>+E1981</f>
        <v>금속관벽체</v>
      </c>
      <c r="U1982" s="19" t="str">
        <f>IFERROR(LEFT(I1981,FIND("*",I1981)-1),"-")</f>
        <v>-</v>
      </c>
      <c r="V1982" s="19" t="str">
        <f>IFERROR(RIGHT(I1981,LEN(I1981)-FIND("*",I1981)),"-")</f>
        <v>-</v>
      </c>
      <c r="W1982" s="20" t="str">
        <f t="shared" ref="W1982:W1989" si="1075">IFERROR((U1982+V1982)*2/1000,"-")</f>
        <v>-</v>
      </c>
      <c r="X1982" s="20" t="str">
        <f>IFERROR(W1982*J1981,"-")</f>
        <v>-</v>
      </c>
      <c r="Z1982" s="85">
        <v>45189</v>
      </c>
    </row>
    <row r="1983" spans="1:26" ht="6.95" customHeight="1" x14ac:dyDescent="0.3">
      <c r="A1983" s="154"/>
      <c r="B1983" s="157"/>
      <c r="C1983" s="158"/>
      <c r="D1983" s="161"/>
      <c r="E1983" s="162"/>
      <c r="F1983" s="163"/>
      <c r="G1983" s="164"/>
      <c r="H1983" s="165"/>
      <c r="I1983" s="164"/>
      <c r="J1983" s="165"/>
      <c r="K1983" s="164"/>
      <c r="L1983" s="165"/>
      <c r="M1983" s="6"/>
      <c r="N1983" s="32"/>
      <c r="Q1983" s="10" t="str">
        <f>+CONCATENATE(E1981,K1981)</f>
        <v>금속관벽체</v>
      </c>
      <c r="R1983" s="10">
        <f>+L1981</f>
        <v>0</v>
      </c>
      <c r="S1983" s="11"/>
      <c r="T1983" s="10" t="str">
        <f>+E1981</f>
        <v>금속관벽체</v>
      </c>
      <c r="U1983" s="19" t="str">
        <f>IFERROR(LEFT(K1981,FIND("*",K1981)-1),"-")</f>
        <v>-</v>
      </c>
      <c r="V1983" s="19" t="str">
        <f>IFERROR(RIGHT(K1981,LEN(K1981)-FIND("*",K1981)),"-")</f>
        <v>-</v>
      </c>
      <c r="W1983" s="20" t="str">
        <f t="shared" si="1075"/>
        <v>-</v>
      </c>
      <c r="X1983" s="20" t="str">
        <f>IFERROR(W1983*L1981,"-")</f>
        <v>-</v>
      </c>
      <c r="Z1983" s="85">
        <v>45189</v>
      </c>
    </row>
    <row r="1984" spans="1:26" ht="6.95" customHeight="1" x14ac:dyDescent="0.3">
      <c r="A1984" s="8"/>
      <c r="B1984" s="157"/>
      <c r="C1984" s="158"/>
      <c r="D1984" s="161" t="s">
        <v>39</v>
      </c>
      <c r="E1984" s="162"/>
      <c r="F1984" s="163" t="s">
        <v>40</v>
      </c>
      <c r="G1984" s="164"/>
      <c r="H1984" s="165"/>
      <c r="I1984" s="164"/>
      <c r="J1984" s="165"/>
      <c r="K1984" s="164"/>
      <c r="L1984" s="165"/>
      <c r="M1984" s="6"/>
      <c r="N1984" s="32"/>
      <c r="Q1984" s="10" t="str">
        <f>+CONCATENATE(E1984,G1984)</f>
        <v/>
      </c>
      <c r="R1984" s="10">
        <f>+H1984</f>
        <v>0</v>
      </c>
      <c r="S1984" s="11"/>
      <c r="T1984" s="10">
        <f>+E1984</f>
        <v>0</v>
      </c>
      <c r="U1984" s="19" t="str">
        <f t="shared" ref="U1984" si="1076">IFERROR(LEFT(G1984,FIND("*",G1984)-1),"-")</f>
        <v>-</v>
      </c>
      <c r="V1984" s="19" t="str">
        <f t="shared" ref="V1984" si="1077">IFERROR(RIGHT(G1984,LEN(G1984)-FIND("*",G1984)),"-")</f>
        <v>-</v>
      </c>
      <c r="W1984" s="20" t="str">
        <f t="shared" si="1075"/>
        <v>-</v>
      </c>
      <c r="X1984" s="20" t="str">
        <f>IFERROR(W1984*H1984,"-")</f>
        <v>-</v>
      </c>
      <c r="Z1984" s="85">
        <v>45189</v>
      </c>
    </row>
    <row r="1985" spans="1:26" ht="6.95" customHeight="1" x14ac:dyDescent="0.3">
      <c r="A1985" s="5"/>
      <c r="B1985" s="157"/>
      <c r="C1985" s="158"/>
      <c r="D1985" s="161"/>
      <c r="E1985" s="162"/>
      <c r="F1985" s="163"/>
      <c r="G1985" s="164"/>
      <c r="H1985" s="165"/>
      <c r="I1985" s="164"/>
      <c r="J1985" s="165"/>
      <c r="K1985" s="164"/>
      <c r="L1985" s="165"/>
      <c r="M1985" s="6"/>
      <c r="N1985" s="32"/>
      <c r="Q1985" s="10" t="str">
        <f>+CONCATENATE(E1984,I1984)</f>
        <v/>
      </c>
      <c r="R1985" s="10">
        <f>+J1984</f>
        <v>0</v>
      </c>
      <c r="S1985" s="11"/>
      <c r="T1985" s="10">
        <f>+E1984</f>
        <v>0</v>
      </c>
      <c r="U1985" s="19" t="str">
        <f>IFERROR(LEFT(I1984,FIND("*",I1984)-1),"-")</f>
        <v>-</v>
      </c>
      <c r="V1985" s="19" t="str">
        <f>IFERROR(RIGHT(I1984,LEN(I1984)-FIND("*",I1984)),"-")</f>
        <v>-</v>
      </c>
      <c r="W1985" s="20" t="str">
        <f t="shared" si="1075"/>
        <v>-</v>
      </c>
      <c r="X1985" s="20" t="str">
        <f>IFERROR(W1985*J1984,"-")</f>
        <v>-</v>
      </c>
      <c r="Z1985" s="85">
        <v>45189</v>
      </c>
    </row>
    <row r="1986" spans="1:26" ht="6.95" customHeight="1" x14ac:dyDescent="0.3">
      <c r="A1986" s="5"/>
      <c r="B1986" s="157"/>
      <c r="C1986" s="158"/>
      <c r="D1986" s="161"/>
      <c r="E1986" s="162"/>
      <c r="F1986" s="163"/>
      <c r="G1986" s="164"/>
      <c r="H1986" s="165"/>
      <c r="I1986" s="164"/>
      <c r="J1986" s="165"/>
      <c r="K1986" s="164"/>
      <c r="L1986" s="165"/>
      <c r="M1986" s="6"/>
      <c r="N1986" s="32"/>
      <c r="Q1986" s="10" t="str">
        <f>+CONCATENATE(E1984,K1984)</f>
        <v/>
      </c>
      <c r="R1986" s="10">
        <f>+L1984</f>
        <v>0</v>
      </c>
      <c r="S1986" s="11"/>
      <c r="T1986" s="10">
        <f>+E1984</f>
        <v>0</v>
      </c>
      <c r="U1986" s="19" t="str">
        <f>IFERROR(LEFT(K1984,FIND("*",K1984)-1),"-")</f>
        <v>-</v>
      </c>
      <c r="V1986" s="19" t="str">
        <f>IFERROR(RIGHT(K1984,LEN(K1984)-FIND("*",K1984)),"-")</f>
        <v>-</v>
      </c>
      <c r="W1986" s="20" t="str">
        <f t="shared" si="1075"/>
        <v>-</v>
      </c>
      <c r="X1986" s="20" t="str">
        <f>IFERROR(W1986*L1984,"-")</f>
        <v>-</v>
      </c>
      <c r="Z1986" s="85">
        <v>45189</v>
      </c>
    </row>
    <row r="1987" spans="1:26" ht="6.95" customHeight="1" x14ac:dyDescent="0.3">
      <c r="A1987" s="8"/>
      <c r="B1987" s="157"/>
      <c r="C1987" s="158"/>
      <c r="D1987" s="161" t="s">
        <v>39</v>
      </c>
      <c r="E1987" s="162"/>
      <c r="F1987" s="163" t="s">
        <v>40</v>
      </c>
      <c r="G1987" s="164"/>
      <c r="H1987" s="165"/>
      <c r="I1987" s="164"/>
      <c r="J1987" s="165"/>
      <c r="K1987" s="164"/>
      <c r="L1987" s="165"/>
      <c r="M1987" s="6"/>
      <c r="N1987" s="32"/>
      <c r="Q1987" s="10" t="str">
        <f>+CONCATENATE(E1987,G1987)</f>
        <v/>
      </c>
      <c r="R1987" s="10">
        <f>+H1987</f>
        <v>0</v>
      </c>
      <c r="S1987" s="11"/>
      <c r="T1987" s="10">
        <f>+E1987</f>
        <v>0</v>
      </c>
      <c r="U1987" s="19" t="str">
        <f t="shared" ref="U1987" si="1078">IFERROR(LEFT(G1987,FIND("*",G1987)-1),"-")</f>
        <v>-</v>
      </c>
      <c r="V1987" s="19" t="str">
        <f t="shared" ref="V1987" si="1079">IFERROR(RIGHT(G1987,LEN(G1987)-FIND("*",G1987)),"-")</f>
        <v>-</v>
      </c>
      <c r="W1987" s="20" t="str">
        <f t="shared" si="1075"/>
        <v>-</v>
      </c>
      <c r="X1987" s="20" t="str">
        <f>IFERROR(W1987*H1987,"-")</f>
        <v>-</v>
      </c>
      <c r="Z1987" s="85">
        <v>45189</v>
      </c>
    </row>
    <row r="1988" spans="1:26" ht="6.95" customHeight="1" x14ac:dyDescent="0.3">
      <c r="A1988" s="5"/>
      <c r="B1988" s="157"/>
      <c r="C1988" s="158"/>
      <c r="D1988" s="161"/>
      <c r="E1988" s="162"/>
      <c r="F1988" s="163"/>
      <c r="G1988" s="164"/>
      <c r="H1988" s="165"/>
      <c r="I1988" s="164"/>
      <c r="J1988" s="165"/>
      <c r="K1988" s="164"/>
      <c r="L1988" s="165"/>
      <c r="M1988" s="6"/>
      <c r="N1988" s="32"/>
      <c r="Q1988" s="10" t="str">
        <f>+CONCATENATE(E1987,I1987)</f>
        <v/>
      </c>
      <c r="R1988" s="10">
        <f>+J1987</f>
        <v>0</v>
      </c>
      <c r="S1988" s="11"/>
      <c r="T1988" s="10">
        <f>+E1987</f>
        <v>0</v>
      </c>
      <c r="U1988" s="19" t="str">
        <f>IFERROR(LEFT(I1987,FIND("*",I1987)-1),"-")</f>
        <v>-</v>
      </c>
      <c r="V1988" s="19" t="str">
        <f>IFERROR(RIGHT(I1987,LEN(I1987)-FIND("*",I1987)),"-")</f>
        <v>-</v>
      </c>
      <c r="W1988" s="20" t="str">
        <f t="shared" si="1075"/>
        <v>-</v>
      </c>
      <c r="X1988" s="20" t="str">
        <f t="shared" ref="X1988" si="1080">IFERROR(W1988*J1987,"-")</f>
        <v>-</v>
      </c>
      <c r="Z1988" s="85">
        <v>45189</v>
      </c>
    </row>
    <row r="1989" spans="1:26" ht="6.95" customHeight="1" x14ac:dyDescent="0.3">
      <c r="A1989" s="5"/>
      <c r="B1989" s="157"/>
      <c r="C1989" s="158"/>
      <c r="D1989" s="161"/>
      <c r="E1989" s="162"/>
      <c r="F1989" s="163"/>
      <c r="G1989" s="164"/>
      <c r="H1989" s="165"/>
      <c r="I1989" s="164"/>
      <c r="J1989" s="165"/>
      <c r="K1989" s="164"/>
      <c r="L1989" s="165"/>
      <c r="M1989" s="6"/>
      <c r="N1989" s="32"/>
      <c r="Q1989" s="10" t="str">
        <f>+CONCATENATE(E1987,K1987)</f>
        <v/>
      </c>
      <c r="R1989" s="10">
        <f>+L1987</f>
        <v>0</v>
      </c>
      <c r="S1989" s="11"/>
      <c r="T1989" s="10">
        <f>+E1987</f>
        <v>0</v>
      </c>
      <c r="U1989" s="19" t="str">
        <f>IFERROR(LEFT(K1987,FIND("*",K1987)-1),"-")</f>
        <v>-</v>
      </c>
      <c r="V1989" s="19" t="str">
        <f>IFERROR(RIGHT(K1987,LEN(K1987)-FIND("*",K1987)),"-")</f>
        <v>-</v>
      </c>
      <c r="W1989" s="20" t="str">
        <f t="shared" si="1075"/>
        <v>-</v>
      </c>
      <c r="X1989" s="20" t="str">
        <f>IFERROR(W1989*L1987,"-")</f>
        <v>-</v>
      </c>
      <c r="Z1989" s="85">
        <v>45189</v>
      </c>
    </row>
    <row r="1990" spans="1:26" ht="21" customHeight="1" thickBot="1" x14ac:dyDescent="0.35">
      <c r="A1990" s="5"/>
      <c r="B1990" s="159"/>
      <c r="C1990" s="160"/>
      <c r="D1990" s="166" t="s">
        <v>43</v>
      </c>
      <c r="E1990" s="167"/>
      <c r="F1990" s="167"/>
      <c r="G1990" s="168" t="s">
        <v>208</v>
      </c>
      <c r="H1990" s="168"/>
      <c r="I1990" s="168"/>
      <c r="J1990" s="168"/>
      <c r="K1990" s="168"/>
      <c r="L1990" s="168"/>
      <c r="M1990" s="7"/>
      <c r="N1990" s="32"/>
      <c r="Z1990" s="85">
        <v>45189</v>
      </c>
    </row>
    <row r="1991" spans="1:26" ht="9.9499999999999993" customHeight="1" thickBot="1" x14ac:dyDescent="0.35">
      <c r="B1991" s="9"/>
      <c r="C1991" s="109">
        <v>980</v>
      </c>
      <c r="D1991" s="51"/>
      <c r="E1991" s="12"/>
      <c r="F1991" s="51"/>
      <c r="G1991" s="14"/>
      <c r="H1991" s="14"/>
      <c r="I1991" s="14"/>
      <c r="J1991" s="14"/>
      <c r="K1991" s="14"/>
      <c r="L1991" s="14"/>
      <c r="M1991" s="9"/>
      <c r="N1991" s="32"/>
      <c r="U1991" s="18"/>
      <c r="V1991" s="18"/>
      <c r="Z1991" s="85">
        <v>45189</v>
      </c>
    </row>
    <row r="1992" spans="1:26" ht="6.95" customHeight="1" x14ac:dyDescent="0.3">
      <c r="A1992" s="154">
        <f>+A1981+1</f>
        <v>981</v>
      </c>
      <c r="B1992" s="155"/>
      <c r="C1992" s="156"/>
      <c r="D1992" s="161" t="s">
        <v>39</v>
      </c>
      <c r="E1992" s="162" t="s">
        <v>293</v>
      </c>
      <c r="F1992" s="163" t="s">
        <v>40</v>
      </c>
      <c r="G1992" s="164">
        <v>150</v>
      </c>
      <c r="H1992" s="165">
        <v>1</v>
      </c>
      <c r="I1992" s="164">
        <v>125</v>
      </c>
      <c r="J1992" s="165">
        <v>1</v>
      </c>
      <c r="K1992" s="164">
        <v>65</v>
      </c>
      <c r="L1992" s="165">
        <v>1</v>
      </c>
      <c r="M1992" s="6"/>
      <c r="N1992" s="32"/>
      <c r="Q1992" s="10" t="str">
        <f>+CONCATENATE(E1992,G1992)</f>
        <v>금속관입상150</v>
      </c>
      <c r="R1992" s="10">
        <f>+H1992</f>
        <v>1</v>
      </c>
      <c r="S1992" s="11"/>
      <c r="T1992" s="10" t="str">
        <f>+E1992</f>
        <v>금속관입상</v>
      </c>
      <c r="U1992" s="19" t="str">
        <f>IFERROR(LEFT(G1992,FIND("*",G1992)-1),"-")</f>
        <v>-</v>
      </c>
      <c r="V1992" s="19" t="str">
        <f>IFERROR(RIGHT(G1992,LEN(G1992)-FIND("*",G1992)),"-")</f>
        <v>-</v>
      </c>
      <c r="W1992" s="20" t="str">
        <f>IFERROR((U1992+V1992)*2/1000,"-")</f>
        <v>-</v>
      </c>
      <c r="X1992" s="20" t="str">
        <f>IFERROR(W1992*H1992,"-")</f>
        <v>-</v>
      </c>
      <c r="Z1992" s="85">
        <v>45189</v>
      </c>
    </row>
    <row r="1993" spans="1:26" ht="6.95" customHeight="1" x14ac:dyDescent="0.3">
      <c r="A1993" s="154"/>
      <c r="B1993" s="157"/>
      <c r="C1993" s="158"/>
      <c r="D1993" s="161"/>
      <c r="E1993" s="162"/>
      <c r="F1993" s="163"/>
      <c r="G1993" s="164"/>
      <c r="H1993" s="165"/>
      <c r="I1993" s="164"/>
      <c r="J1993" s="165"/>
      <c r="K1993" s="164"/>
      <c r="L1993" s="165"/>
      <c r="M1993" s="6"/>
      <c r="N1993" s="32"/>
      <c r="Q1993" s="10" t="str">
        <f>+CONCATENATE(E1992,I1992)</f>
        <v>금속관입상125</v>
      </c>
      <c r="R1993" s="10">
        <f>+J1992</f>
        <v>1</v>
      </c>
      <c r="S1993" s="11"/>
      <c r="T1993" s="10" t="str">
        <f>+E1992</f>
        <v>금속관입상</v>
      </c>
      <c r="U1993" s="19" t="str">
        <f>IFERROR(LEFT(I1992,FIND("*",I1992)-1),"-")</f>
        <v>-</v>
      </c>
      <c r="V1993" s="19" t="str">
        <f>IFERROR(RIGHT(I1992,LEN(I1992)-FIND("*",I1992)),"-")</f>
        <v>-</v>
      </c>
      <c r="W1993" s="20" t="str">
        <f t="shared" ref="W1993:W2000" si="1081">IFERROR((U1993+V1993)*2/1000,"-")</f>
        <v>-</v>
      </c>
      <c r="X1993" s="20" t="str">
        <f>IFERROR(W1993*J1992,"-")</f>
        <v>-</v>
      </c>
      <c r="Z1993" s="85">
        <v>45189</v>
      </c>
    </row>
    <row r="1994" spans="1:26" ht="6.95" customHeight="1" x14ac:dyDescent="0.3">
      <c r="A1994" s="154"/>
      <c r="B1994" s="157"/>
      <c r="C1994" s="158"/>
      <c r="D1994" s="161"/>
      <c r="E1994" s="162"/>
      <c r="F1994" s="163"/>
      <c r="G1994" s="164"/>
      <c r="H1994" s="165"/>
      <c r="I1994" s="164"/>
      <c r="J1994" s="165"/>
      <c r="K1994" s="164"/>
      <c r="L1994" s="165"/>
      <c r="M1994" s="6"/>
      <c r="N1994" s="32"/>
      <c r="Q1994" s="10" t="str">
        <f>+CONCATENATE(E1992,K1992)</f>
        <v>금속관입상65</v>
      </c>
      <c r="R1994" s="10">
        <f>+L1992</f>
        <v>1</v>
      </c>
      <c r="S1994" s="11"/>
      <c r="T1994" s="10" t="str">
        <f>+E1992</f>
        <v>금속관입상</v>
      </c>
      <c r="U1994" s="19" t="str">
        <f>IFERROR(LEFT(K1992,FIND("*",K1992)-1),"-")</f>
        <v>-</v>
      </c>
      <c r="V1994" s="19" t="str">
        <f>IFERROR(RIGHT(K1992,LEN(K1992)-FIND("*",K1992)),"-")</f>
        <v>-</v>
      </c>
      <c r="W1994" s="20" t="str">
        <f t="shared" si="1081"/>
        <v>-</v>
      </c>
      <c r="X1994" s="20" t="str">
        <f>IFERROR(W1994*L1992,"-")</f>
        <v>-</v>
      </c>
      <c r="Z1994" s="85">
        <v>45189</v>
      </c>
    </row>
    <row r="1995" spans="1:26" ht="6.95" customHeight="1" x14ac:dyDescent="0.3">
      <c r="A1995" s="8"/>
      <c r="B1995" s="157"/>
      <c r="C1995" s="158"/>
      <c r="D1995" s="161" t="s">
        <v>39</v>
      </c>
      <c r="E1995" s="162"/>
      <c r="F1995" s="163" t="s">
        <v>40</v>
      </c>
      <c r="G1995" s="164"/>
      <c r="H1995" s="165"/>
      <c r="I1995" s="164"/>
      <c r="J1995" s="165"/>
      <c r="K1995" s="164"/>
      <c r="L1995" s="165"/>
      <c r="M1995" s="6"/>
      <c r="N1995" s="32"/>
      <c r="Q1995" s="10" t="str">
        <f>+CONCATENATE(E1995,G1995)</f>
        <v/>
      </c>
      <c r="R1995" s="10">
        <f>+H1995</f>
        <v>0</v>
      </c>
      <c r="S1995" s="11"/>
      <c r="T1995" s="10">
        <f>+E1995</f>
        <v>0</v>
      </c>
      <c r="U1995" s="19" t="str">
        <f t="shared" ref="U1995" si="1082">IFERROR(LEFT(G1995,FIND("*",G1995)-1),"-")</f>
        <v>-</v>
      </c>
      <c r="V1995" s="19" t="str">
        <f t="shared" ref="V1995" si="1083">IFERROR(RIGHT(G1995,LEN(G1995)-FIND("*",G1995)),"-")</f>
        <v>-</v>
      </c>
      <c r="W1995" s="20" t="str">
        <f t="shared" si="1081"/>
        <v>-</v>
      </c>
      <c r="X1995" s="20" t="str">
        <f>IFERROR(W1995*H1995,"-")</f>
        <v>-</v>
      </c>
      <c r="Z1995" s="85">
        <v>45189</v>
      </c>
    </row>
    <row r="1996" spans="1:26" ht="6.95" customHeight="1" x14ac:dyDescent="0.3">
      <c r="A1996" s="5"/>
      <c r="B1996" s="157"/>
      <c r="C1996" s="158"/>
      <c r="D1996" s="161"/>
      <c r="E1996" s="162"/>
      <c r="F1996" s="163"/>
      <c r="G1996" s="164"/>
      <c r="H1996" s="165"/>
      <c r="I1996" s="164"/>
      <c r="J1996" s="165"/>
      <c r="K1996" s="164"/>
      <c r="L1996" s="165"/>
      <c r="M1996" s="6"/>
      <c r="N1996" s="32"/>
      <c r="Q1996" s="10" t="str">
        <f>+CONCATENATE(E1995,I1995)</f>
        <v/>
      </c>
      <c r="R1996" s="10">
        <f>+J1995</f>
        <v>0</v>
      </c>
      <c r="S1996" s="11"/>
      <c r="T1996" s="10">
        <f>+E1995</f>
        <v>0</v>
      </c>
      <c r="U1996" s="19" t="str">
        <f>IFERROR(LEFT(I1995,FIND("*",I1995)-1),"-")</f>
        <v>-</v>
      </c>
      <c r="V1996" s="19" t="str">
        <f>IFERROR(RIGHT(I1995,LEN(I1995)-FIND("*",I1995)),"-")</f>
        <v>-</v>
      </c>
      <c r="W1996" s="20" t="str">
        <f t="shared" si="1081"/>
        <v>-</v>
      </c>
      <c r="X1996" s="20" t="str">
        <f>IFERROR(W1996*J1995,"-")</f>
        <v>-</v>
      </c>
      <c r="Z1996" s="85">
        <v>45189</v>
      </c>
    </row>
    <row r="1997" spans="1:26" ht="6.95" customHeight="1" x14ac:dyDescent="0.3">
      <c r="A1997" s="5"/>
      <c r="B1997" s="157"/>
      <c r="C1997" s="158"/>
      <c r="D1997" s="161"/>
      <c r="E1997" s="162"/>
      <c r="F1997" s="163"/>
      <c r="G1997" s="164"/>
      <c r="H1997" s="165"/>
      <c r="I1997" s="164"/>
      <c r="J1997" s="165"/>
      <c r="K1997" s="164"/>
      <c r="L1997" s="165"/>
      <c r="M1997" s="6"/>
      <c r="N1997" s="32"/>
      <c r="Q1997" s="10" t="str">
        <f>+CONCATENATE(E1995,K1995)</f>
        <v/>
      </c>
      <c r="R1997" s="10">
        <f>+L1995</f>
        <v>0</v>
      </c>
      <c r="S1997" s="11"/>
      <c r="T1997" s="10">
        <f>+E1995</f>
        <v>0</v>
      </c>
      <c r="U1997" s="19" t="str">
        <f>IFERROR(LEFT(K1995,FIND("*",K1995)-1),"-")</f>
        <v>-</v>
      </c>
      <c r="V1997" s="19" t="str">
        <f>IFERROR(RIGHT(K1995,LEN(K1995)-FIND("*",K1995)),"-")</f>
        <v>-</v>
      </c>
      <c r="W1997" s="20" t="str">
        <f t="shared" si="1081"/>
        <v>-</v>
      </c>
      <c r="X1997" s="20" t="str">
        <f>IFERROR(W1997*L1995,"-")</f>
        <v>-</v>
      </c>
      <c r="Z1997" s="85">
        <v>45189</v>
      </c>
    </row>
    <row r="1998" spans="1:26" ht="6.95" customHeight="1" x14ac:dyDescent="0.3">
      <c r="A1998" s="8"/>
      <c r="B1998" s="157"/>
      <c r="C1998" s="158"/>
      <c r="D1998" s="161" t="s">
        <v>39</v>
      </c>
      <c r="E1998" s="162"/>
      <c r="F1998" s="163" t="s">
        <v>40</v>
      </c>
      <c r="G1998" s="164"/>
      <c r="H1998" s="165"/>
      <c r="I1998" s="164"/>
      <c r="J1998" s="165"/>
      <c r="K1998" s="164"/>
      <c r="L1998" s="165"/>
      <c r="M1998" s="6"/>
      <c r="N1998" s="32"/>
      <c r="Q1998" s="10" t="str">
        <f>+CONCATENATE(E1998,G1998)</f>
        <v/>
      </c>
      <c r="R1998" s="10">
        <f>+H1998</f>
        <v>0</v>
      </c>
      <c r="S1998" s="11"/>
      <c r="T1998" s="10">
        <f>+E1998</f>
        <v>0</v>
      </c>
      <c r="U1998" s="19" t="str">
        <f t="shared" ref="U1998" si="1084">IFERROR(LEFT(G1998,FIND("*",G1998)-1),"-")</f>
        <v>-</v>
      </c>
      <c r="V1998" s="19" t="str">
        <f t="shared" ref="V1998" si="1085">IFERROR(RIGHT(G1998,LEN(G1998)-FIND("*",G1998)),"-")</f>
        <v>-</v>
      </c>
      <c r="W1998" s="20" t="str">
        <f t="shared" si="1081"/>
        <v>-</v>
      </c>
      <c r="X1998" s="20" t="str">
        <f>IFERROR(W1998*H1998,"-")</f>
        <v>-</v>
      </c>
      <c r="Z1998" s="85">
        <v>45189</v>
      </c>
    </row>
    <row r="1999" spans="1:26" ht="6.95" customHeight="1" x14ac:dyDescent="0.3">
      <c r="A1999" s="5"/>
      <c r="B1999" s="157"/>
      <c r="C1999" s="158"/>
      <c r="D1999" s="161"/>
      <c r="E1999" s="162"/>
      <c r="F1999" s="163"/>
      <c r="G1999" s="164"/>
      <c r="H1999" s="165"/>
      <c r="I1999" s="164"/>
      <c r="J1999" s="165"/>
      <c r="K1999" s="164"/>
      <c r="L1999" s="165"/>
      <c r="M1999" s="6"/>
      <c r="N1999" s="32"/>
      <c r="Q1999" s="10" t="str">
        <f>+CONCATENATE(E1998,I1998)</f>
        <v/>
      </c>
      <c r="R1999" s="10">
        <f>+J1998</f>
        <v>0</v>
      </c>
      <c r="S1999" s="11"/>
      <c r="T1999" s="10">
        <f>+E1998</f>
        <v>0</v>
      </c>
      <c r="U1999" s="19" t="str">
        <f>IFERROR(LEFT(I1998,FIND("*",I1998)-1),"-")</f>
        <v>-</v>
      </c>
      <c r="V1999" s="19" t="str">
        <f>IFERROR(RIGHT(I1998,LEN(I1998)-FIND("*",I1998)),"-")</f>
        <v>-</v>
      </c>
      <c r="W1999" s="20" t="str">
        <f t="shared" si="1081"/>
        <v>-</v>
      </c>
      <c r="X1999" s="20" t="str">
        <f t="shared" ref="X1999" si="1086">IFERROR(W1999*J1998,"-")</f>
        <v>-</v>
      </c>
      <c r="Z1999" s="85">
        <v>45189</v>
      </c>
    </row>
    <row r="2000" spans="1:26" ht="6.95" customHeight="1" x14ac:dyDescent="0.3">
      <c r="A2000" s="5"/>
      <c r="B2000" s="157"/>
      <c r="C2000" s="158"/>
      <c r="D2000" s="161"/>
      <c r="E2000" s="162"/>
      <c r="F2000" s="163"/>
      <c r="G2000" s="164"/>
      <c r="H2000" s="165"/>
      <c r="I2000" s="164"/>
      <c r="J2000" s="165"/>
      <c r="K2000" s="164"/>
      <c r="L2000" s="165"/>
      <c r="M2000" s="6"/>
      <c r="N2000" s="32"/>
      <c r="Q2000" s="10" t="str">
        <f>+CONCATENATE(E1998,K1998)</f>
        <v/>
      </c>
      <c r="R2000" s="10">
        <f>+L1998</f>
        <v>0</v>
      </c>
      <c r="S2000" s="11"/>
      <c r="T2000" s="10">
        <f>+E1998</f>
        <v>0</v>
      </c>
      <c r="U2000" s="19" t="str">
        <f>IFERROR(LEFT(K1998,FIND("*",K1998)-1),"-")</f>
        <v>-</v>
      </c>
      <c r="V2000" s="19" t="str">
        <f>IFERROR(RIGHT(K1998,LEN(K1998)-FIND("*",K1998)),"-")</f>
        <v>-</v>
      </c>
      <c r="W2000" s="20" t="str">
        <f t="shared" si="1081"/>
        <v>-</v>
      </c>
      <c r="X2000" s="20" t="str">
        <f>IFERROR(W2000*L1998,"-")</f>
        <v>-</v>
      </c>
      <c r="Z2000" s="85">
        <v>45189</v>
      </c>
    </row>
    <row r="2001" spans="1:26" ht="21" customHeight="1" thickBot="1" x14ac:dyDescent="0.35">
      <c r="A2001" s="5"/>
      <c r="B2001" s="159"/>
      <c r="C2001" s="160"/>
      <c r="D2001" s="166" t="s">
        <v>43</v>
      </c>
      <c r="E2001" s="167"/>
      <c r="F2001" s="167"/>
      <c r="G2001" s="168" t="s">
        <v>208</v>
      </c>
      <c r="H2001" s="168"/>
      <c r="I2001" s="168"/>
      <c r="J2001" s="168"/>
      <c r="K2001" s="168"/>
      <c r="L2001" s="168"/>
      <c r="M2001" s="7"/>
      <c r="N2001" s="32"/>
      <c r="Z2001" s="85">
        <v>45189</v>
      </c>
    </row>
    <row r="2002" spans="1:26" ht="9.9499999999999993" customHeight="1" thickBot="1" x14ac:dyDescent="0.35">
      <c r="B2002" s="9"/>
      <c r="C2002" s="109">
        <v>981</v>
      </c>
      <c r="D2002" s="51"/>
      <c r="E2002" s="12"/>
      <c r="F2002" s="51"/>
      <c r="G2002" s="14"/>
      <c r="H2002" s="14"/>
      <c r="I2002" s="14"/>
      <c r="J2002" s="14"/>
      <c r="K2002" s="14"/>
      <c r="L2002" s="14"/>
      <c r="M2002" s="9"/>
      <c r="N2002" s="32"/>
      <c r="U2002" s="18"/>
      <c r="V2002" s="18"/>
      <c r="Z2002" s="85">
        <v>45189</v>
      </c>
    </row>
    <row r="2003" spans="1:26" ht="6.95" customHeight="1" x14ac:dyDescent="0.3">
      <c r="A2003" s="154">
        <f>+A1992+1</f>
        <v>982</v>
      </c>
      <c r="B2003" s="155"/>
      <c r="C2003" s="156"/>
      <c r="D2003" s="161" t="s">
        <v>39</v>
      </c>
      <c r="E2003" s="162" t="s">
        <v>293</v>
      </c>
      <c r="F2003" s="163" t="s">
        <v>40</v>
      </c>
      <c r="G2003" s="164">
        <v>32</v>
      </c>
      <c r="H2003" s="165">
        <v>1</v>
      </c>
      <c r="I2003" s="164"/>
      <c r="J2003" s="165"/>
      <c r="K2003" s="164"/>
      <c r="L2003" s="165"/>
      <c r="M2003" s="6"/>
      <c r="N2003" s="32"/>
      <c r="Q2003" s="10" t="str">
        <f>+CONCATENATE(E2003,G2003)</f>
        <v>금속관입상32</v>
      </c>
      <c r="R2003" s="10">
        <f>+H2003</f>
        <v>1</v>
      </c>
      <c r="S2003" s="11"/>
      <c r="T2003" s="10" t="str">
        <f>+E2003</f>
        <v>금속관입상</v>
      </c>
      <c r="U2003" s="19" t="str">
        <f>IFERROR(LEFT(G2003,FIND("*",G2003)-1),"-")</f>
        <v>-</v>
      </c>
      <c r="V2003" s="19" t="str">
        <f>IFERROR(RIGHT(G2003,LEN(G2003)-FIND("*",G2003)),"-")</f>
        <v>-</v>
      </c>
      <c r="W2003" s="20" t="str">
        <f>IFERROR((U2003+V2003)*2/1000,"-")</f>
        <v>-</v>
      </c>
      <c r="X2003" s="20" t="str">
        <f>IFERROR(W2003*H2003,"-")</f>
        <v>-</v>
      </c>
      <c r="Z2003" s="85">
        <v>45189</v>
      </c>
    </row>
    <row r="2004" spans="1:26" ht="6.95" customHeight="1" x14ac:dyDescent="0.3">
      <c r="A2004" s="154"/>
      <c r="B2004" s="157"/>
      <c r="C2004" s="158"/>
      <c r="D2004" s="161"/>
      <c r="E2004" s="162"/>
      <c r="F2004" s="163"/>
      <c r="G2004" s="164"/>
      <c r="H2004" s="165"/>
      <c r="I2004" s="164"/>
      <c r="J2004" s="165"/>
      <c r="K2004" s="164"/>
      <c r="L2004" s="165"/>
      <c r="M2004" s="6"/>
      <c r="N2004" s="32"/>
      <c r="Q2004" s="10" t="str">
        <f>+CONCATENATE(E2003,I2003)</f>
        <v>금속관입상</v>
      </c>
      <c r="R2004" s="10">
        <f>+J2003</f>
        <v>0</v>
      </c>
      <c r="S2004" s="11"/>
      <c r="T2004" s="10" t="str">
        <f>+E2003</f>
        <v>금속관입상</v>
      </c>
      <c r="U2004" s="19" t="str">
        <f>IFERROR(LEFT(I2003,FIND("*",I2003)-1),"-")</f>
        <v>-</v>
      </c>
      <c r="V2004" s="19" t="str">
        <f>IFERROR(RIGHT(I2003,LEN(I2003)-FIND("*",I2003)),"-")</f>
        <v>-</v>
      </c>
      <c r="W2004" s="20" t="str">
        <f t="shared" ref="W2004:W2011" si="1087">IFERROR((U2004+V2004)*2/1000,"-")</f>
        <v>-</v>
      </c>
      <c r="X2004" s="20" t="str">
        <f>IFERROR(W2004*J2003,"-")</f>
        <v>-</v>
      </c>
      <c r="Z2004" s="85">
        <v>45189</v>
      </c>
    </row>
    <row r="2005" spans="1:26" ht="6.95" customHeight="1" x14ac:dyDescent="0.3">
      <c r="A2005" s="154"/>
      <c r="B2005" s="157"/>
      <c r="C2005" s="158"/>
      <c r="D2005" s="161"/>
      <c r="E2005" s="162"/>
      <c r="F2005" s="163"/>
      <c r="G2005" s="164"/>
      <c r="H2005" s="165"/>
      <c r="I2005" s="164"/>
      <c r="J2005" s="165"/>
      <c r="K2005" s="164"/>
      <c r="L2005" s="165"/>
      <c r="M2005" s="6"/>
      <c r="N2005" s="32"/>
      <c r="Q2005" s="10" t="str">
        <f>+CONCATENATE(E2003,K2003)</f>
        <v>금속관입상</v>
      </c>
      <c r="R2005" s="10">
        <f>+L2003</f>
        <v>0</v>
      </c>
      <c r="S2005" s="11"/>
      <c r="T2005" s="10" t="str">
        <f>+E2003</f>
        <v>금속관입상</v>
      </c>
      <c r="U2005" s="19" t="str">
        <f>IFERROR(LEFT(K2003,FIND("*",K2003)-1),"-")</f>
        <v>-</v>
      </c>
      <c r="V2005" s="19" t="str">
        <f>IFERROR(RIGHT(K2003,LEN(K2003)-FIND("*",K2003)),"-")</f>
        <v>-</v>
      </c>
      <c r="W2005" s="20" t="str">
        <f t="shared" si="1087"/>
        <v>-</v>
      </c>
      <c r="X2005" s="20" t="str">
        <f>IFERROR(W2005*L2003,"-")</f>
        <v>-</v>
      </c>
      <c r="Z2005" s="85">
        <v>45189</v>
      </c>
    </row>
    <row r="2006" spans="1:26" ht="6.95" customHeight="1" x14ac:dyDescent="0.3">
      <c r="A2006" s="8"/>
      <c r="B2006" s="157"/>
      <c r="C2006" s="158"/>
      <c r="D2006" s="161" t="s">
        <v>39</v>
      </c>
      <c r="E2006" s="162"/>
      <c r="F2006" s="163" t="s">
        <v>40</v>
      </c>
      <c r="G2006" s="164"/>
      <c r="H2006" s="165"/>
      <c r="I2006" s="164"/>
      <c r="J2006" s="165"/>
      <c r="K2006" s="164"/>
      <c r="L2006" s="165"/>
      <c r="M2006" s="6"/>
      <c r="N2006" s="32"/>
      <c r="Q2006" s="10" t="str">
        <f>+CONCATENATE(E2006,G2006)</f>
        <v/>
      </c>
      <c r="R2006" s="10">
        <f>+H2006</f>
        <v>0</v>
      </c>
      <c r="S2006" s="11"/>
      <c r="T2006" s="10">
        <f>+E2006</f>
        <v>0</v>
      </c>
      <c r="U2006" s="19" t="str">
        <f t="shared" ref="U2006" si="1088">IFERROR(LEFT(G2006,FIND("*",G2006)-1),"-")</f>
        <v>-</v>
      </c>
      <c r="V2006" s="19" t="str">
        <f t="shared" ref="V2006" si="1089">IFERROR(RIGHT(G2006,LEN(G2006)-FIND("*",G2006)),"-")</f>
        <v>-</v>
      </c>
      <c r="W2006" s="20" t="str">
        <f t="shared" si="1087"/>
        <v>-</v>
      </c>
      <c r="X2006" s="20" t="str">
        <f>IFERROR(W2006*H2006,"-")</f>
        <v>-</v>
      </c>
      <c r="Z2006" s="85">
        <v>45189</v>
      </c>
    </row>
    <row r="2007" spans="1:26" ht="6.95" customHeight="1" x14ac:dyDescent="0.3">
      <c r="A2007" s="5"/>
      <c r="B2007" s="157"/>
      <c r="C2007" s="158"/>
      <c r="D2007" s="161"/>
      <c r="E2007" s="162"/>
      <c r="F2007" s="163"/>
      <c r="G2007" s="164"/>
      <c r="H2007" s="165"/>
      <c r="I2007" s="164"/>
      <c r="J2007" s="165"/>
      <c r="K2007" s="164"/>
      <c r="L2007" s="165"/>
      <c r="M2007" s="6"/>
      <c r="N2007" s="32"/>
      <c r="Q2007" s="10" t="str">
        <f>+CONCATENATE(E2006,I2006)</f>
        <v/>
      </c>
      <c r="R2007" s="10">
        <f>+J2006</f>
        <v>0</v>
      </c>
      <c r="S2007" s="11"/>
      <c r="T2007" s="10">
        <f>+E2006</f>
        <v>0</v>
      </c>
      <c r="U2007" s="19" t="str">
        <f>IFERROR(LEFT(I2006,FIND("*",I2006)-1),"-")</f>
        <v>-</v>
      </c>
      <c r="V2007" s="19" t="str">
        <f>IFERROR(RIGHT(I2006,LEN(I2006)-FIND("*",I2006)),"-")</f>
        <v>-</v>
      </c>
      <c r="W2007" s="20" t="str">
        <f t="shared" si="1087"/>
        <v>-</v>
      </c>
      <c r="X2007" s="20" t="str">
        <f>IFERROR(W2007*J2006,"-")</f>
        <v>-</v>
      </c>
      <c r="Z2007" s="85">
        <v>45189</v>
      </c>
    </row>
    <row r="2008" spans="1:26" ht="6.95" customHeight="1" x14ac:dyDescent="0.3">
      <c r="A2008" s="5"/>
      <c r="B2008" s="157"/>
      <c r="C2008" s="158"/>
      <c r="D2008" s="161"/>
      <c r="E2008" s="162"/>
      <c r="F2008" s="163"/>
      <c r="G2008" s="164"/>
      <c r="H2008" s="165"/>
      <c r="I2008" s="164"/>
      <c r="J2008" s="165"/>
      <c r="K2008" s="164"/>
      <c r="L2008" s="165"/>
      <c r="M2008" s="6"/>
      <c r="N2008" s="32"/>
      <c r="Q2008" s="10" t="str">
        <f>+CONCATENATE(E2006,K2006)</f>
        <v/>
      </c>
      <c r="R2008" s="10">
        <f>+L2006</f>
        <v>0</v>
      </c>
      <c r="S2008" s="11"/>
      <c r="T2008" s="10">
        <f>+E2006</f>
        <v>0</v>
      </c>
      <c r="U2008" s="19" t="str">
        <f>IFERROR(LEFT(K2006,FIND("*",K2006)-1),"-")</f>
        <v>-</v>
      </c>
      <c r="V2008" s="19" t="str">
        <f>IFERROR(RIGHT(K2006,LEN(K2006)-FIND("*",K2006)),"-")</f>
        <v>-</v>
      </c>
      <c r="W2008" s="20" t="str">
        <f t="shared" si="1087"/>
        <v>-</v>
      </c>
      <c r="X2008" s="20" t="str">
        <f>IFERROR(W2008*L2006,"-")</f>
        <v>-</v>
      </c>
      <c r="Z2008" s="85">
        <v>45189</v>
      </c>
    </row>
    <row r="2009" spans="1:26" ht="6.95" customHeight="1" x14ac:dyDescent="0.3">
      <c r="A2009" s="8"/>
      <c r="B2009" s="157"/>
      <c r="C2009" s="158"/>
      <c r="D2009" s="161" t="s">
        <v>39</v>
      </c>
      <c r="E2009" s="162"/>
      <c r="F2009" s="163" t="s">
        <v>40</v>
      </c>
      <c r="G2009" s="164"/>
      <c r="H2009" s="165"/>
      <c r="I2009" s="164"/>
      <c r="J2009" s="165"/>
      <c r="K2009" s="164"/>
      <c r="L2009" s="165"/>
      <c r="M2009" s="6"/>
      <c r="N2009" s="32"/>
      <c r="Q2009" s="10" t="str">
        <f>+CONCATENATE(E2009,G2009)</f>
        <v/>
      </c>
      <c r="R2009" s="10">
        <f>+H2009</f>
        <v>0</v>
      </c>
      <c r="S2009" s="11"/>
      <c r="T2009" s="10">
        <f>+E2009</f>
        <v>0</v>
      </c>
      <c r="U2009" s="19" t="str">
        <f t="shared" ref="U2009" si="1090">IFERROR(LEFT(G2009,FIND("*",G2009)-1),"-")</f>
        <v>-</v>
      </c>
      <c r="V2009" s="19" t="str">
        <f t="shared" ref="V2009" si="1091">IFERROR(RIGHT(G2009,LEN(G2009)-FIND("*",G2009)),"-")</f>
        <v>-</v>
      </c>
      <c r="W2009" s="20" t="str">
        <f t="shared" si="1087"/>
        <v>-</v>
      </c>
      <c r="X2009" s="20" t="str">
        <f>IFERROR(W2009*H2009,"-")</f>
        <v>-</v>
      </c>
      <c r="Z2009" s="85">
        <v>45189</v>
      </c>
    </row>
    <row r="2010" spans="1:26" ht="6.95" customHeight="1" x14ac:dyDescent="0.3">
      <c r="A2010" s="5"/>
      <c r="B2010" s="157"/>
      <c r="C2010" s="158"/>
      <c r="D2010" s="161"/>
      <c r="E2010" s="162"/>
      <c r="F2010" s="163"/>
      <c r="G2010" s="164"/>
      <c r="H2010" s="165"/>
      <c r="I2010" s="164"/>
      <c r="J2010" s="165"/>
      <c r="K2010" s="164"/>
      <c r="L2010" s="165"/>
      <c r="M2010" s="6"/>
      <c r="N2010" s="32"/>
      <c r="Q2010" s="10" t="str">
        <f>+CONCATENATE(E2009,I2009)</f>
        <v/>
      </c>
      <c r="R2010" s="10">
        <f>+J2009</f>
        <v>0</v>
      </c>
      <c r="S2010" s="11"/>
      <c r="T2010" s="10">
        <f>+E2009</f>
        <v>0</v>
      </c>
      <c r="U2010" s="19" t="str">
        <f>IFERROR(LEFT(I2009,FIND("*",I2009)-1),"-")</f>
        <v>-</v>
      </c>
      <c r="V2010" s="19" t="str">
        <f>IFERROR(RIGHT(I2009,LEN(I2009)-FIND("*",I2009)),"-")</f>
        <v>-</v>
      </c>
      <c r="W2010" s="20" t="str">
        <f t="shared" si="1087"/>
        <v>-</v>
      </c>
      <c r="X2010" s="20" t="str">
        <f t="shared" ref="X2010" si="1092">IFERROR(W2010*J2009,"-")</f>
        <v>-</v>
      </c>
      <c r="Z2010" s="85">
        <v>45189</v>
      </c>
    </row>
    <row r="2011" spans="1:26" ht="6.95" customHeight="1" x14ac:dyDescent="0.3">
      <c r="A2011" s="5"/>
      <c r="B2011" s="157"/>
      <c r="C2011" s="158"/>
      <c r="D2011" s="161"/>
      <c r="E2011" s="162"/>
      <c r="F2011" s="163"/>
      <c r="G2011" s="164"/>
      <c r="H2011" s="165"/>
      <c r="I2011" s="164"/>
      <c r="J2011" s="165"/>
      <c r="K2011" s="164"/>
      <c r="L2011" s="165"/>
      <c r="M2011" s="6"/>
      <c r="N2011" s="32"/>
      <c r="Q2011" s="10" t="str">
        <f>+CONCATENATE(E2009,K2009)</f>
        <v/>
      </c>
      <c r="R2011" s="10">
        <f>+L2009</f>
        <v>0</v>
      </c>
      <c r="S2011" s="11"/>
      <c r="T2011" s="10">
        <f>+E2009</f>
        <v>0</v>
      </c>
      <c r="U2011" s="19" t="str">
        <f>IFERROR(LEFT(K2009,FIND("*",K2009)-1),"-")</f>
        <v>-</v>
      </c>
      <c r="V2011" s="19" t="str">
        <f>IFERROR(RIGHT(K2009,LEN(K2009)-FIND("*",K2009)),"-")</f>
        <v>-</v>
      </c>
      <c r="W2011" s="20" t="str">
        <f t="shared" si="1087"/>
        <v>-</v>
      </c>
      <c r="X2011" s="20" t="str">
        <f>IFERROR(W2011*L2009,"-")</f>
        <v>-</v>
      </c>
      <c r="Z2011" s="85">
        <v>45189</v>
      </c>
    </row>
    <row r="2012" spans="1:26" ht="21" customHeight="1" thickBot="1" x14ac:dyDescent="0.35">
      <c r="A2012" s="5"/>
      <c r="B2012" s="159"/>
      <c r="C2012" s="160"/>
      <c r="D2012" s="166" t="s">
        <v>43</v>
      </c>
      <c r="E2012" s="167"/>
      <c r="F2012" s="167"/>
      <c r="G2012" s="168" t="s">
        <v>208</v>
      </c>
      <c r="H2012" s="168"/>
      <c r="I2012" s="168"/>
      <c r="J2012" s="168"/>
      <c r="K2012" s="168"/>
      <c r="L2012" s="168"/>
      <c r="M2012" s="7"/>
      <c r="N2012" s="32"/>
      <c r="Z2012" s="85">
        <v>45189</v>
      </c>
    </row>
    <row r="2013" spans="1:26" ht="9.9499999999999993" customHeight="1" thickBot="1" x14ac:dyDescent="0.35">
      <c r="B2013" s="9"/>
      <c r="C2013" s="109">
        <v>982</v>
      </c>
      <c r="D2013" s="51"/>
      <c r="E2013" s="12"/>
      <c r="F2013" s="51"/>
      <c r="G2013" s="14"/>
      <c r="H2013" s="14"/>
      <c r="I2013" s="14"/>
      <c r="J2013" s="14"/>
      <c r="K2013" s="14"/>
      <c r="L2013" s="14"/>
      <c r="M2013" s="9"/>
      <c r="N2013" s="32"/>
      <c r="U2013" s="18"/>
      <c r="V2013" s="18"/>
      <c r="Z2013" s="85">
        <v>45189</v>
      </c>
    </row>
    <row r="2014" spans="1:26" ht="6.95" customHeight="1" x14ac:dyDescent="0.3">
      <c r="A2014" s="154">
        <f>+A2003+1</f>
        <v>983</v>
      </c>
      <c r="B2014" s="155"/>
      <c r="C2014" s="156"/>
      <c r="D2014" s="161" t="s">
        <v>39</v>
      </c>
      <c r="E2014" s="162" t="s">
        <v>186</v>
      </c>
      <c r="F2014" s="163" t="s">
        <v>40</v>
      </c>
      <c r="G2014" s="164">
        <v>150</v>
      </c>
      <c r="H2014" s="165">
        <v>0.5</v>
      </c>
      <c r="I2014" s="164"/>
      <c r="J2014" s="165"/>
      <c r="K2014" s="164"/>
      <c r="L2014" s="165"/>
      <c r="M2014" s="6"/>
      <c r="N2014" s="32"/>
      <c r="Q2014" s="10" t="str">
        <f>+CONCATENATE(E2014,G2014)</f>
        <v>금속관벽체150</v>
      </c>
      <c r="R2014" s="10">
        <f>+H2014</f>
        <v>0.5</v>
      </c>
      <c r="S2014" s="11"/>
      <c r="T2014" s="10" t="str">
        <f>+E2014</f>
        <v>금속관벽체</v>
      </c>
      <c r="U2014" s="19" t="str">
        <f>IFERROR(LEFT(G2014,FIND("*",G2014)-1),"-")</f>
        <v>-</v>
      </c>
      <c r="V2014" s="19" t="str">
        <f>IFERROR(RIGHT(G2014,LEN(G2014)-FIND("*",G2014)),"-")</f>
        <v>-</v>
      </c>
      <c r="W2014" s="20" t="str">
        <f>IFERROR((U2014+V2014)*2/1000,"-")</f>
        <v>-</v>
      </c>
      <c r="X2014" s="20" t="str">
        <f>IFERROR(W2014*H2014,"-")</f>
        <v>-</v>
      </c>
      <c r="Z2014" s="85">
        <v>45189</v>
      </c>
    </row>
    <row r="2015" spans="1:26" ht="6.95" customHeight="1" x14ac:dyDescent="0.3">
      <c r="A2015" s="154"/>
      <c r="B2015" s="157"/>
      <c r="C2015" s="158"/>
      <c r="D2015" s="161"/>
      <c r="E2015" s="162"/>
      <c r="F2015" s="163"/>
      <c r="G2015" s="164"/>
      <c r="H2015" s="165"/>
      <c r="I2015" s="164"/>
      <c r="J2015" s="165"/>
      <c r="K2015" s="164"/>
      <c r="L2015" s="165"/>
      <c r="M2015" s="6"/>
      <c r="N2015" s="32"/>
      <c r="Q2015" s="10" t="str">
        <f>+CONCATENATE(E2014,I2014)</f>
        <v>금속관벽체</v>
      </c>
      <c r="R2015" s="10">
        <f>+J2014</f>
        <v>0</v>
      </c>
      <c r="S2015" s="11"/>
      <c r="T2015" s="10" t="str">
        <f>+E2014</f>
        <v>금속관벽체</v>
      </c>
      <c r="U2015" s="19" t="str">
        <f>IFERROR(LEFT(I2014,FIND("*",I2014)-1),"-")</f>
        <v>-</v>
      </c>
      <c r="V2015" s="19" t="str">
        <f>IFERROR(RIGHT(I2014,LEN(I2014)-FIND("*",I2014)),"-")</f>
        <v>-</v>
      </c>
      <c r="W2015" s="20" t="str">
        <f t="shared" ref="W2015:W2022" si="1093">IFERROR((U2015+V2015)*2/1000,"-")</f>
        <v>-</v>
      </c>
      <c r="X2015" s="20" t="str">
        <f>IFERROR(W2015*J2014,"-")</f>
        <v>-</v>
      </c>
      <c r="Z2015" s="85">
        <v>45189</v>
      </c>
    </row>
    <row r="2016" spans="1:26" ht="6.95" customHeight="1" x14ac:dyDescent="0.3">
      <c r="A2016" s="154"/>
      <c r="B2016" s="157"/>
      <c r="C2016" s="158"/>
      <c r="D2016" s="161"/>
      <c r="E2016" s="162"/>
      <c r="F2016" s="163"/>
      <c r="G2016" s="164"/>
      <c r="H2016" s="165"/>
      <c r="I2016" s="164"/>
      <c r="J2016" s="165"/>
      <c r="K2016" s="164"/>
      <c r="L2016" s="165"/>
      <c r="M2016" s="6"/>
      <c r="N2016" s="32"/>
      <c r="Q2016" s="10" t="str">
        <f>+CONCATENATE(E2014,K2014)</f>
        <v>금속관벽체</v>
      </c>
      <c r="R2016" s="10">
        <f>+L2014</f>
        <v>0</v>
      </c>
      <c r="S2016" s="11"/>
      <c r="T2016" s="10" t="str">
        <f>+E2014</f>
        <v>금속관벽체</v>
      </c>
      <c r="U2016" s="19" t="str">
        <f>IFERROR(LEFT(K2014,FIND("*",K2014)-1),"-")</f>
        <v>-</v>
      </c>
      <c r="V2016" s="19" t="str">
        <f>IFERROR(RIGHT(K2014,LEN(K2014)-FIND("*",K2014)),"-")</f>
        <v>-</v>
      </c>
      <c r="W2016" s="20" t="str">
        <f t="shared" si="1093"/>
        <v>-</v>
      </c>
      <c r="X2016" s="20" t="str">
        <f>IFERROR(W2016*L2014,"-")</f>
        <v>-</v>
      </c>
      <c r="Z2016" s="85">
        <v>45189</v>
      </c>
    </row>
    <row r="2017" spans="1:26" ht="6.95" customHeight="1" x14ac:dyDescent="0.3">
      <c r="A2017" s="8"/>
      <c r="B2017" s="157"/>
      <c r="C2017" s="158"/>
      <c r="D2017" s="161" t="s">
        <v>39</v>
      </c>
      <c r="E2017" s="162"/>
      <c r="F2017" s="163" t="s">
        <v>40</v>
      </c>
      <c r="G2017" s="164"/>
      <c r="H2017" s="165"/>
      <c r="I2017" s="164"/>
      <c r="J2017" s="165"/>
      <c r="K2017" s="164"/>
      <c r="L2017" s="165"/>
      <c r="M2017" s="6"/>
      <c r="N2017" s="32"/>
      <c r="Q2017" s="10" t="str">
        <f>+CONCATENATE(E2017,G2017)</f>
        <v/>
      </c>
      <c r="R2017" s="10">
        <f>+H2017</f>
        <v>0</v>
      </c>
      <c r="S2017" s="11"/>
      <c r="T2017" s="10">
        <f>+E2017</f>
        <v>0</v>
      </c>
      <c r="U2017" s="19" t="str">
        <f t="shared" ref="U2017" si="1094">IFERROR(LEFT(G2017,FIND("*",G2017)-1),"-")</f>
        <v>-</v>
      </c>
      <c r="V2017" s="19" t="str">
        <f t="shared" ref="V2017" si="1095">IFERROR(RIGHT(G2017,LEN(G2017)-FIND("*",G2017)),"-")</f>
        <v>-</v>
      </c>
      <c r="W2017" s="20" t="str">
        <f t="shared" si="1093"/>
        <v>-</v>
      </c>
      <c r="X2017" s="20" t="str">
        <f>IFERROR(W2017*H2017,"-")</f>
        <v>-</v>
      </c>
      <c r="Z2017" s="85">
        <v>45189</v>
      </c>
    </row>
    <row r="2018" spans="1:26" ht="6.95" customHeight="1" x14ac:dyDescent="0.3">
      <c r="A2018" s="5"/>
      <c r="B2018" s="157"/>
      <c r="C2018" s="158"/>
      <c r="D2018" s="161"/>
      <c r="E2018" s="162"/>
      <c r="F2018" s="163"/>
      <c r="G2018" s="164"/>
      <c r="H2018" s="165"/>
      <c r="I2018" s="164"/>
      <c r="J2018" s="165"/>
      <c r="K2018" s="164"/>
      <c r="L2018" s="165"/>
      <c r="M2018" s="6"/>
      <c r="N2018" s="32"/>
      <c r="Q2018" s="10" t="str">
        <f>+CONCATENATE(E2017,I2017)</f>
        <v/>
      </c>
      <c r="R2018" s="10">
        <f>+J2017</f>
        <v>0</v>
      </c>
      <c r="S2018" s="11"/>
      <c r="T2018" s="10">
        <f>+E2017</f>
        <v>0</v>
      </c>
      <c r="U2018" s="19" t="str">
        <f>IFERROR(LEFT(I2017,FIND("*",I2017)-1),"-")</f>
        <v>-</v>
      </c>
      <c r="V2018" s="19" t="str">
        <f>IFERROR(RIGHT(I2017,LEN(I2017)-FIND("*",I2017)),"-")</f>
        <v>-</v>
      </c>
      <c r="W2018" s="20" t="str">
        <f t="shared" si="1093"/>
        <v>-</v>
      </c>
      <c r="X2018" s="20" t="str">
        <f>IFERROR(W2018*J2017,"-")</f>
        <v>-</v>
      </c>
      <c r="Z2018" s="85">
        <v>45189</v>
      </c>
    </row>
    <row r="2019" spans="1:26" ht="6.95" customHeight="1" x14ac:dyDescent="0.3">
      <c r="A2019" s="5"/>
      <c r="B2019" s="157"/>
      <c r="C2019" s="158"/>
      <c r="D2019" s="161"/>
      <c r="E2019" s="162"/>
      <c r="F2019" s="163"/>
      <c r="G2019" s="164"/>
      <c r="H2019" s="165"/>
      <c r="I2019" s="164"/>
      <c r="J2019" s="165"/>
      <c r="K2019" s="164"/>
      <c r="L2019" s="165"/>
      <c r="M2019" s="6"/>
      <c r="N2019" s="32"/>
      <c r="Q2019" s="10" t="str">
        <f>+CONCATENATE(E2017,K2017)</f>
        <v/>
      </c>
      <c r="R2019" s="10">
        <f>+L2017</f>
        <v>0</v>
      </c>
      <c r="S2019" s="11"/>
      <c r="T2019" s="10">
        <f>+E2017</f>
        <v>0</v>
      </c>
      <c r="U2019" s="19" t="str">
        <f>IFERROR(LEFT(K2017,FIND("*",K2017)-1),"-")</f>
        <v>-</v>
      </c>
      <c r="V2019" s="19" t="str">
        <f>IFERROR(RIGHT(K2017,LEN(K2017)-FIND("*",K2017)),"-")</f>
        <v>-</v>
      </c>
      <c r="W2019" s="20" t="str">
        <f t="shared" si="1093"/>
        <v>-</v>
      </c>
      <c r="X2019" s="20" t="str">
        <f>IFERROR(W2019*L2017,"-")</f>
        <v>-</v>
      </c>
      <c r="Z2019" s="85">
        <v>45189</v>
      </c>
    </row>
    <row r="2020" spans="1:26" ht="6.95" customHeight="1" x14ac:dyDescent="0.3">
      <c r="A2020" s="8"/>
      <c r="B2020" s="157"/>
      <c r="C2020" s="158"/>
      <c r="D2020" s="161" t="s">
        <v>39</v>
      </c>
      <c r="E2020" s="162"/>
      <c r="F2020" s="163" t="s">
        <v>40</v>
      </c>
      <c r="G2020" s="164"/>
      <c r="H2020" s="165"/>
      <c r="I2020" s="164"/>
      <c r="J2020" s="165"/>
      <c r="K2020" s="164"/>
      <c r="L2020" s="165"/>
      <c r="M2020" s="6"/>
      <c r="N2020" s="32"/>
      <c r="Q2020" s="10" t="str">
        <f>+CONCATENATE(E2020,G2020)</f>
        <v/>
      </c>
      <c r="R2020" s="10">
        <f>+H2020</f>
        <v>0</v>
      </c>
      <c r="S2020" s="11"/>
      <c r="T2020" s="10">
        <f>+E2020</f>
        <v>0</v>
      </c>
      <c r="U2020" s="19" t="str">
        <f t="shared" ref="U2020" si="1096">IFERROR(LEFT(G2020,FIND("*",G2020)-1),"-")</f>
        <v>-</v>
      </c>
      <c r="V2020" s="19" t="str">
        <f t="shared" ref="V2020" si="1097">IFERROR(RIGHT(G2020,LEN(G2020)-FIND("*",G2020)),"-")</f>
        <v>-</v>
      </c>
      <c r="W2020" s="20" t="str">
        <f t="shared" si="1093"/>
        <v>-</v>
      </c>
      <c r="X2020" s="20" t="str">
        <f>IFERROR(W2020*H2020,"-")</f>
        <v>-</v>
      </c>
      <c r="Z2020" s="85">
        <v>45189</v>
      </c>
    </row>
    <row r="2021" spans="1:26" ht="6.95" customHeight="1" x14ac:dyDescent="0.3">
      <c r="A2021" s="5"/>
      <c r="B2021" s="157"/>
      <c r="C2021" s="158"/>
      <c r="D2021" s="161"/>
      <c r="E2021" s="162"/>
      <c r="F2021" s="163"/>
      <c r="G2021" s="164"/>
      <c r="H2021" s="165"/>
      <c r="I2021" s="164"/>
      <c r="J2021" s="165"/>
      <c r="K2021" s="164"/>
      <c r="L2021" s="165"/>
      <c r="M2021" s="6"/>
      <c r="N2021" s="32"/>
      <c r="Q2021" s="10" t="str">
        <f>+CONCATENATE(E2020,I2020)</f>
        <v/>
      </c>
      <c r="R2021" s="10">
        <f>+J2020</f>
        <v>0</v>
      </c>
      <c r="S2021" s="11"/>
      <c r="T2021" s="10">
        <f>+E2020</f>
        <v>0</v>
      </c>
      <c r="U2021" s="19" t="str">
        <f>IFERROR(LEFT(I2020,FIND("*",I2020)-1),"-")</f>
        <v>-</v>
      </c>
      <c r="V2021" s="19" t="str">
        <f>IFERROR(RIGHT(I2020,LEN(I2020)-FIND("*",I2020)),"-")</f>
        <v>-</v>
      </c>
      <c r="W2021" s="20" t="str">
        <f t="shared" si="1093"/>
        <v>-</v>
      </c>
      <c r="X2021" s="20" t="str">
        <f t="shared" ref="X2021" si="1098">IFERROR(W2021*J2020,"-")</f>
        <v>-</v>
      </c>
      <c r="Z2021" s="85">
        <v>45189</v>
      </c>
    </row>
    <row r="2022" spans="1:26" ht="6.95" customHeight="1" x14ac:dyDescent="0.3">
      <c r="A2022" s="5"/>
      <c r="B2022" s="157"/>
      <c r="C2022" s="158"/>
      <c r="D2022" s="161"/>
      <c r="E2022" s="162"/>
      <c r="F2022" s="163"/>
      <c r="G2022" s="164"/>
      <c r="H2022" s="165"/>
      <c r="I2022" s="164"/>
      <c r="J2022" s="165"/>
      <c r="K2022" s="164"/>
      <c r="L2022" s="165"/>
      <c r="M2022" s="6"/>
      <c r="N2022" s="32"/>
      <c r="Q2022" s="10" t="str">
        <f>+CONCATENATE(E2020,K2020)</f>
        <v/>
      </c>
      <c r="R2022" s="10">
        <f>+L2020</f>
        <v>0</v>
      </c>
      <c r="S2022" s="11"/>
      <c r="T2022" s="10">
        <f>+E2020</f>
        <v>0</v>
      </c>
      <c r="U2022" s="19" t="str">
        <f>IFERROR(LEFT(K2020,FIND("*",K2020)-1),"-")</f>
        <v>-</v>
      </c>
      <c r="V2022" s="19" t="str">
        <f>IFERROR(RIGHT(K2020,LEN(K2020)-FIND("*",K2020)),"-")</f>
        <v>-</v>
      </c>
      <c r="W2022" s="20" t="str">
        <f t="shared" si="1093"/>
        <v>-</v>
      </c>
      <c r="X2022" s="20" t="str">
        <f>IFERROR(W2022*L2020,"-")</f>
        <v>-</v>
      </c>
      <c r="Z2022" s="85">
        <v>45189</v>
      </c>
    </row>
    <row r="2023" spans="1:26" ht="21" customHeight="1" thickBot="1" x14ac:dyDescent="0.35">
      <c r="A2023" s="5"/>
      <c r="B2023" s="159"/>
      <c r="C2023" s="160"/>
      <c r="D2023" s="166" t="s">
        <v>43</v>
      </c>
      <c r="E2023" s="167"/>
      <c r="F2023" s="167"/>
      <c r="G2023" s="168" t="s">
        <v>208</v>
      </c>
      <c r="H2023" s="168"/>
      <c r="I2023" s="168"/>
      <c r="J2023" s="168"/>
      <c r="K2023" s="168"/>
      <c r="L2023" s="168"/>
      <c r="M2023" s="7"/>
      <c r="N2023" s="32"/>
      <c r="Z2023" s="85">
        <v>45189</v>
      </c>
    </row>
    <row r="2024" spans="1:26" ht="9.9499999999999993" customHeight="1" thickBot="1" x14ac:dyDescent="0.35">
      <c r="B2024" s="9"/>
      <c r="C2024" s="109">
        <v>983</v>
      </c>
      <c r="D2024" s="51"/>
      <c r="E2024" s="12"/>
      <c r="F2024" s="51"/>
      <c r="G2024" s="14"/>
      <c r="H2024" s="14"/>
      <c r="I2024" s="14"/>
      <c r="J2024" s="14"/>
      <c r="K2024" s="14"/>
      <c r="L2024" s="14"/>
      <c r="M2024" s="9"/>
      <c r="N2024" s="32"/>
      <c r="U2024" s="18"/>
      <c r="V2024" s="18"/>
      <c r="Z2024" s="85">
        <v>45189</v>
      </c>
    </row>
    <row r="2025" spans="1:26" ht="6.95" customHeight="1" x14ac:dyDescent="0.3">
      <c r="A2025" s="154">
        <f>+A2014+1</f>
        <v>984</v>
      </c>
      <c r="B2025" s="155"/>
      <c r="C2025" s="156"/>
      <c r="D2025" s="161" t="s">
        <v>39</v>
      </c>
      <c r="E2025" s="162" t="s">
        <v>293</v>
      </c>
      <c r="F2025" s="163" t="s">
        <v>40</v>
      </c>
      <c r="G2025" s="164">
        <v>150</v>
      </c>
      <c r="H2025" s="165">
        <v>1</v>
      </c>
      <c r="I2025" s="164">
        <v>100</v>
      </c>
      <c r="J2025" s="165">
        <v>1</v>
      </c>
      <c r="K2025" s="164">
        <v>65</v>
      </c>
      <c r="L2025" s="165">
        <v>1</v>
      </c>
      <c r="M2025" s="6"/>
      <c r="N2025" s="32"/>
      <c r="Q2025" s="10" t="str">
        <f>+CONCATENATE(E2025,G2025)</f>
        <v>금속관입상150</v>
      </c>
      <c r="R2025" s="10">
        <f>+H2025</f>
        <v>1</v>
      </c>
      <c r="S2025" s="11"/>
      <c r="T2025" s="10" t="str">
        <f>+E2025</f>
        <v>금속관입상</v>
      </c>
      <c r="U2025" s="19" t="str">
        <f>IFERROR(LEFT(G2025,FIND("*",G2025)-1),"-")</f>
        <v>-</v>
      </c>
      <c r="V2025" s="19" t="str">
        <f>IFERROR(RIGHT(G2025,LEN(G2025)-FIND("*",G2025)),"-")</f>
        <v>-</v>
      </c>
      <c r="W2025" s="20" t="str">
        <f>IFERROR((U2025+V2025)*2/1000,"-")</f>
        <v>-</v>
      </c>
      <c r="X2025" s="20" t="str">
        <f>IFERROR(W2025*H2025,"-")</f>
        <v>-</v>
      </c>
      <c r="Z2025" s="85">
        <v>45189</v>
      </c>
    </row>
    <row r="2026" spans="1:26" ht="6.95" customHeight="1" x14ac:dyDescent="0.3">
      <c r="A2026" s="154"/>
      <c r="B2026" s="157"/>
      <c r="C2026" s="158"/>
      <c r="D2026" s="161"/>
      <c r="E2026" s="162"/>
      <c r="F2026" s="163"/>
      <c r="G2026" s="164"/>
      <c r="H2026" s="165"/>
      <c r="I2026" s="164"/>
      <c r="J2026" s="165"/>
      <c r="K2026" s="164"/>
      <c r="L2026" s="165"/>
      <c r="M2026" s="6"/>
      <c r="N2026" s="32"/>
      <c r="Q2026" s="10" t="str">
        <f>+CONCATENATE(E2025,I2025)</f>
        <v>금속관입상100</v>
      </c>
      <c r="R2026" s="10">
        <f>+J2025</f>
        <v>1</v>
      </c>
      <c r="S2026" s="11"/>
      <c r="T2026" s="10" t="str">
        <f>+E2025</f>
        <v>금속관입상</v>
      </c>
      <c r="U2026" s="19" t="str">
        <f>IFERROR(LEFT(I2025,FIND("*",I2025)-1),"-")</f>
        <v>-</v>
      </c>
      <c r="V2026" s="19" t="str">
        <f>IFERROR(RIGHT(I2025,LEN(I2025)-FIND("*",I2025)),"-")</f>
        <v>-</v>
      </c>
      <c r="W2026" s="20" t="str">
        <f t="shared" ref="W2026:W2033" si="1099">IFERROR((U2026+V2026)*2/1000,"-")</f>
        <v>-</v>
      </c>
      <c r="X2026" s="20" t="str">
        <f>IFERROR(W2026*J2025,"-")</f>
        <v>-</v>
      </c>
      <c r="Z2026" s="85">
        <v>45189</v>
      </c>
    </row>
    <row r="2027" spans="1:26" ht="6.95" customHeight="1" x14ac:dyDescent="0.3">
      <c r="A2027" s="154"/>
      <c r="B2027" s="157"/>
      <c r="C2027" s="158"/>
      <c r="D2027" s="161"/>
      <c r="E2027" s="162"/>
      <c r="F2027" s="163"/>
      <c r="G2027" s="164"/>
      <c r="H2027" s="165"/>
      <c r="I2027" s="164"/>
      <c r="J2027" s="165"/>
      <c r="K2027" s="164"/>
      <c r="L2027" s="165"/>
      <c r="M2027" s="6"/>
      <c r="N2027" s="32"/>
      <c r="Q2027" s="10" t="str">
        <f>+CONCATENATE(E2025,K2025)</f>
        <v>금속관입상65</v>
      </c>
      <c r="R2027" s="10">
        <f>+L2025</f>
        <v>1</v>
      </c>
      <c r="S2027" s="11"/>
      <c r="T2027" s="10" t="str">
        <f>+E2025</f>
        <v>금속관입상</v>
      </c>
      <c r="U2027" s="19" t="str">
        <f>IFERROR(LEFT(K2025,FIND("*",K2025)-1),"-")</f>
        <v>-</v>
      </c>
      <c r="V2027" s="19" t="str">
        <f>IFERROR(RIGHT(K2025,LEN(K2025)-FIND("*",K2025)),"-")</f>
        <v>-</v>
      </c>
      <c r="W2027" s="20" t="str">
        <f t="shared" si="1099"/>
        <v>-</v>
      </c>
      <c r="X2027" s="20" t="str">
        <f>IFERROR(W2027*L2025,"-")</f>
        <v>-</v>
      </c>
      <c r="Z2027" s="85">
        <v>45189</v>
      </c>
    </row>
    <row r="2028" spans="1:26" ht="6.95" customHeight="1" x14ac:dyDescent="0.3">
      <c r="A2028" s="8"/>
      <c r="B2028" s="157"/>
      <c r="C2028" s="158"/>
      <c r="D2028" s="161" t="s">
        <v>39</v>
      </c>
      <c r="E2028" s="162"/>
      <c r="F2028" s="163" t="s">
        <v>40</v>
      </c>
      <c r="G2028" s="164"/>
      <c r="H2028" s="165"/>
      <c r="I2028" s="164"/>
      <c r="J2028" s="165"/>
      <c r="K2028" s="164"/>
      <c r="L2028" s="165"/>
      <c r="M2028" s="6"/>
      <c r="N2028" s="32"/>
      <c r="Q2028" s="10" t="str">
        <f>+CONCATENATE(E2028,G2028)</f>
        <v/>
      </c>
      <c r="R2028" s="10">
        <f>+H2028</f>
        <v>0</v>
      </c>
      <c r="S2028" s="11"/>
      <c r="T2028" s="10">
        <f>+E2028</f>
        <v>0</v>
      </c>
      <c r="U2028" s="19" t="str">
        <f t="shared" ref="U2028" si="1100">IFERROR(LEFT(G2028,FIND("*",G2028)-1),"-")</f>
        <v>-</v>
      </c>
      <c r="V2028" s="19" t="str">
        <f t="shared" ref="V2028" si="1101">IFERROR(RIGHT(G2028,LEN(G2028)-FIND("*",G2028)),"-")</f>
        <v>-</v>
      </c>
      <c r="W2028" s="20" t="str">
        <f t="shared" si="1099"/>
        <v>-</v>
      </c>
      <c r="X2028" s="20" t="str">
        <f>IFERROR(W2028*H2028,"-")</f>
        <v>-</v>
      </c>
      <c r="Z2028" s="85">
        <v>45189</v>
      </c>
    </row>
    <row r="2029" spans="1:26" ht="6.95" customHeight="1" x14ac:dyDescent="0.3">
      <c r="A2029" s="5"/>
      <c r="B2029" s="157"/>
      <c r="C2029" s="158"/>
      <c r="D2029" s="161"/>
      <c r="E2029" s="162"/>
      <c r="F2029" s="163"/>
      <c r="G2029" s="164"/>
      <c r="H2029" s="165"/>
      <c r="I2029" s="164"/>
      <c r="J2029" s="165"/>
      <c r="K2029" s="164"/>
      <c r="L2029" s="165"/>
      <c r="M2029" s="6"/>
      <c r="N2029" s="32"/>
      <c r="Q2029" s="10" t="str">
        <f>+CONCATENATE(E2028,I2028)</f>
        <v/>
      </c>
      <c r="R2029" s="10">
        <f>+J2028</f>
        <v>0</v>
      </c>
      <c r="S2029" s="11"/>
      <c r="T2029" s="10">
        <f>+E2028</f>
        <v>0</v>
      </c>
      <c r="U2029" s="19" t="str">
        <f>IFERROR(LEFT(I2028,FIND("*",I2028)-1),"-")</f>
        <v>-</v>
      </c>
      <c r="V2029" s="19" t="str">
        <f>IFERROR(RIGHT(I2028,LEN(I2028)-FIND("*",I2028)),"-")</f>
        <v>-</v>
      </c>
      <c r="W2029" s="20" t="str">
        <f t="shared" si="1099"/>
        <v>-</v>
      </c>
      <c r="X2029" s="20" t="str">
        <f>IFERROR(W2029*J2028,"-")</f>
        <v>-</v>
      </c>
      <c r="Z2029" s="85">
        <v>45189</v>
      </c>
    </row>
    <row r="2030" spans="1:26" ht="6.95" customHeight="1" x14ac:dyDescent="0.3">
      <c r="A2030" s="5"/>
      <c r="B2030" s="157"/>
      <c r="C2030" s="158"/>
      <c r="D2030" s="161"/>
      <c r="E2030" s="162"/>
      <c r="F2030" s="163"/>
      <c r="G2030" s="164"/>
      <c r="H2030" s="165"/>
      <c r="I2030" s="164"/>
      <c r="J2030" s="165"/>
      <c r="K2030" s="164"/>
      <c r="L2030" s="165"/>
      <c r="M2030" s="6"/>
      <c r="N2030" s="32"/>
      <c r="Q2030" s="10" t="str">
        <f>+CONCATENATE(E2028,K2028)</f>
        <v/>
      </c>
      <c r="R2030" s="10">
        <f>+L2028</f>
        <v>0</v>
      </c>
      <c r="S2030" s="11"/>
      <c r="T2030" s="10">
        <f>+E2028</f>
        <v>0</v>
      </c>
      <c r="U2030" s="19" t="str">
        <f>IFERROR(LEFT(K2028,FIND("*",K2028)-1),"-")</f>
        <v>-</v>
      </c>
      <c r="V2030" s="19" t="str">
        <f>IFERROR(RIGHT(K2028,LEN(K2028)-FIND("*",K2028)),"-")</f>
        <v>-</v>
      </c>
      <c r="W2030" s="20" t="str">
        <f t="shared" si="1099"/>
        <v>-</v>
      </c>
      <c r="X2030" s="20" t="str">
        <f>IFERROR(W2030*L2028,"-")</f>
        <v>-</v>
      </c>
      <c r="Z2030" s="85">
        <v>45189</v>
      </c>
    </row>
    <row r="2031" spans="1:26" ht="6.95" customHeight="1" x14ac:dyDescent="0.3">
      <c r="A2031" s="8"/>
      <c r="B2031" s="157"/>
      <c r="C2031" s="158"/>
      <c r="D2031" s="161" t="s">
        <v>39</v>
      </c>
      <c r="E2031" s="162"/>
      <c r="F2031" s="163" t="s">
        <v>40</v>
      </c>
      <c r="G2031" s="164"/>
      <c r="H2031" s="165"/>
      <c r="I2031" s="164"/>
      <c r="J2031" s="165"/>
      <c r="K2031" s="164"/>
      <c r="L2031" s="165"/>
      <c r="M2031" s="6"/>
      <c r="N2031" s="32"/>
      <c r="Q2031" s="10" t="str">
        <f>+CONCATENATE(E2031,G2031)</f>
        <v/>
      </c>
      <c r="R2031" s="10">
        <f>+H2031</f>
        <v>0</v>
      </c>
      <c r="S2031" s="11"/>
      <c r="T2031" s="10">
        <f>+E2031</f>
        <v>0</v>
      </c>
      <c r="U2031" s="19" t="str">
        <f t="shared" ref="U2031" si="1102">IFERROR(LEFT(G2031,FIND("*",G2031)-1),"-")</f>
        <v>-</v>
      </c>
      <c r="V2031" s="19" t="str">
        <f t="shared" ref="V2031" si="1103">IFERROR(RIGHT(G2031,LEN(G2031)-FIND("*",G2031)),"-")</f>
        <v>-</v>
      </c>
      <c r="W2031" s="20" t="str">
        <f t="shared" si="1099"/>
        <v>-</v>
      </c>
      <c r="X2031" s="20" t="str">
        <f>IFERROR(W2031*H2031,"-")</f>
        <v>-</v>
      </c>
      <c r="Z2031" s="85">
        <v>45189</v>
      </c>
    </row>
    <row r="2032" spans="1:26" ht="6.95" customHeight="1" x14ac:dyDescent="0.3">
      <c r="A2032" s="5"/>
      <c r="B2032" s="157"/>
      <c r="C2032" s="158"/>
      <c r="D2032" s="161"/>
      <c r="E2032" s="162"/>
      <c r="F2032" s="163"/>
      <c r="G2032" s="164"/>
      <c r="H2032" s="165"/>
      <c r="I2032" s="164"/>
      <c r="J2032" s="165"/>
      <c r="K2032" s="164"/>
      <c r="L2032" s="165"/>
      <c r="M2032" s="6"/>
      <c r="N2032" s="32"/>
      <c r="Q2032" s="10" t="str">
        <f>+CONCATENATE(E2031,I2031)</f>
        <v/>
      </c>
      <c r="R2032" s="10">
        <f>+J2031</f>
        <v>0</v>
      </c>
      <c r="S2032" s="11"/>
      <c r="T2032" s="10">
        <f>+E2031</f>
        <v>0</v>
      </c>
      <c r="U2032" s="19" t="str">
        <f>IFERROR(LEFT(I2031,FIND("*",I2031)-1),"-")</f>
        <v>-</v>
      </c>
      <c r="V2032" s="19" t="str">
        <f>IFERROR(RIGHT(I2031,LEN(I2031)-FIND("*",I2031)),"-")</f>
        <v>-</v>
      </c>
      <c r="W2032" s="20" t="str">
        <f t="shared" si="1099"/>
        <v>-</v>
      </c>
      <c r="X2032" s="20" t="str">
        <f t="shared" ref="X2032" si="1104">IFERROR(W2032*J2031,"-")</f>
        <v>-</v>
      </c>
      <c r="Z2032" s="85">
        <v>45189</v>
      </c>
    </row>
    <row r="2033" spans="1:26" ht="6.95" customHeight="1" x14ac:dyDescent="0.3">
      <c r="A2033" s="5"/>
      <c r="B2033" s="157"/>
      <c r="C2033" s="158"/>
      <c r="D2033" s="161"/>
      <c r="E2033" s="162"/>
      <c r="F2033" s="163"/>
      <c r="G2033" s="164"/>
      <c r="H2033" s="165"/>
      <c r="I2033" s="164"/>
      <c r="J2033" s="165"/>
      <c r="K2033" s="164"/>
      <c r="L2033" s="165"/>
      <c r="M2033" s="6"/>
      <c r="N2033" s="32"/>
      <c r="Q2033" s="10" t="str">
        <f>+CONCATENATE(E2031,K2031)</f>
        <v/>
      </c>
      <c r="R2033" s="10">
        <f>+L2031</f>
        <v>0</v>
      </c>
      <c r="S2033" s="11"/>
      <c r="T2033" s="10">
        <f>+E2031</f>
        <v>0</v>
      </c>
      <c r="U2033" s="19" t="str">
        <f>IFERROR(LEFT(K2031,FIND("*",K2031)-1),"-")</f>
        <v>-</v>
      </c>
      <c r="V2033" s="19" t="str">
        <f>IFERROR(RIGHT(K2031,LEN(K2031)-FIND("*",K2031)),"-")</f>
        <v>-</v>
      </c>
      <c r="W2033" s="20" t="str">
        <f t="shared" si="1099"/>
        <v>-</v>
      </c>
      <c r="X2033" s="20" t="str">
        <f>IFERROR(W2033*L2031,"-")</f>
        <v>-</v>
      </c>
      <c r="Z2033" s="85">
        <v>45189</v>
      </c>
    </row>
    <row r="2034" spans="1:26" ht="21" customHeight="1" thickBot="1" x14ac:dyDescent="0.35">
      <c r="A2034" s="5"/>
      <c r="B2034" s="159"/>
      <c r="C2034" s="160"/>
      <c r="D2034" s="166" t="s">
        <v>43</v>
      </c>
      <c r="E2034" s="167"/>
      <c r="F2034" s="167"/>
      <c r="G2034" s="168" t="s">
        <v>208</v>
      </c>
      <c r="H2034" s="168"/>
      <c r="I2034" s="168"/>
      <c r="J2034" s="168"/>
      <c r="K2034" s="168"/>
      <c r="L2034" s="168"/>
      <c r="M2034" s="7"/>
      <c r="N2034" s="32"/>
      <c r="Z2034" s="85">
        <v>45189</v>
      </c>
    </row>
    <row r="2035" spans="1:26" ht="9.9499999999999993" customHeight="1" thickBot="1" x14ac:dyDescent="0.35">
      <c r="B2035" s="9"/>
      <c r="C2035" s="109">
        <v>984</v>
      </c>
      <c r="D2035" s="51"/>
      <c r="E2035" s="12"/>
      <c r="F2035" s="51"/>
      <c r="G2035" s="14"/>
      <c r="H2035" s="14"/>
      <c r="I2035" s="14"/>
      <c r="J2035" s="14"/>
      <c r="K2035" s="14"/>
      <c r="L2035" s="14"/>
      <c r="M2035" s="9"/>
      <c r="N2035" s="32"/>
      <c r="U2035" s="18"/>
      <c r="V2035" s="18"/>
      <c r="Z2035" s="85">
        <v>45189</v>
      </c>
    </row>
    <row r="2036" spans="1:26" ht="6.95" customHeight="1" x14ac:dyDescent="0.3">
      <c r="A2036" s="154">
        <f>+A2025+1</f>
        <v>985</v>
      </c>
      <c r="B2036" s="155"/>
      <c r="C2036" s="156"/>
      <c r="D2036" s="161" t="s">
        <v>39</v>
      </c>
      <c r="E2036" s="162" t="s">
        <v>186</v>
      </c>
      <c r="F2036" s="163" t="s">
        <v>40</v>
      </c>
      <c r="G2036" s="164">
        <v>150</v>
      </c>
      <c r="H2036" s="165">
        <v>2</v>
      </c>
      <c r="I2036" s="164"/>
      <c r="J2036" s="165"/>
      <c r="K2036" s="164"/>
      <c r="L2036" s="165"/>
      <c r="M2036" s="6"/>
      <c r="N2036" s="32"/>
      <c r="Q2036" s="10" t="str">
        <f>+CONCATENATE(E2036,G2036)</f>
        <v>금속관벽체150</v>
      </c>
      <c r="R2036" s="10">
        <f>+H2036</f>
        <v>2</v>
      </c>
      <c r="S2036" s="11"/>
      <c r="T2036" s="10" t="str">
        <f>+E2036</f>
        <v>금속관벽체</v>
      </c>
      <c r="U2036" s="19" t="str">
        <f>IFERROR(LEFT(G2036,FIND("*",G2036)-1),"-")</f>
        <v>-</v>
      </c>
      <c r="V2036" s="19" t="str">
        <f>IFERROR(RIGHT(G2036,LEN(G2036)-FIND("*",G2036)),"-")</f>
        <v>-</v>
      </c>
      <c r="W2036" s="20" t="str">
        <f>IFERROR((U2036+V2036)*2/1000,"-")</f>
        <v>-</v>
      </c>
      <c r="X2036" s="20" t="str">
        <f>IFERROR(W2036*H2036,"-")</f>
        <v>-</v>
      </c>
      <c r="Z2036" s="85">
        <v>45189</v>
      </c>
    </row>
    <row r="2037" spans="1:26" ht="6.95" customHeight="1" x14ac:dyDescent="0.3">
      <c r="A2037" s="154"/>
      <c r="B2037" s="157"/>
      <c r="C2037" s="158"/>
      <c r="D2037" s="161"/>
      <c r="E2037" s="162"/>
      <c r="F2037" s="163"/>
      <c r="G2037" s="164"/>
      <c r="H2037" s="165"/>
      <c r="I2037" s="164"/>
      <c r="J2037" s="165"/>
      <c r="K2037" s="164"/>
      <c r="L2037" s="165"/>
      <c r="M2037" s="6"/>
      <c r="N2037" s="32"/>
      <c r="Q2037" s="10" t="str">
        <f>+CONCATENATE(E2036,I2036)</f>
        <v>금속관벽체</v>
      </c>
      <c r="R2037" s="10">
        <f>+J2036</f>
        <v>0</v>
      </c>
      <c r="S2037" s="11"/>
      <c r="T2037" s="10" t="str">
        <f>+E2036</f>
        <v>금속관벽체</v>
      </c>
      <c r="U2037" s="19" t="str">
        <f>IFERROR(LEFT(I2036,FIND("*",I2036)-1),"-")</f>
        <v>-</v>
      </c>
      <c r="V2037" s="19" t="str">
        <f>IFERROR(RIGHT(I2036,LEN(I2036)-FIND("*",I2036)),"-")</f>
        <v>-</v>
      </c>
      <c r="W2037" s="20" t="str">
        <f t="shared" ref="W2037:W2044" si="1105">IFERROR((U2037+V2037)*2/1000,"-")</f>
        <v>-</v>
      </c>
      <c r="X2037" s="20" t="str">
        <f>IFERROR(W2037*J2036,"-")</f>
        <v>-</v>
      </c>
      <c r="Z2037" s="85">
        <v>45189</v>
      </c>
    </row>
    <row r="2038" spans="1:26" ht="6.95" customHeight="1" x14ac:dyDescent="0.3">
      <c r="A2038" s="154"/>
      <c r="B2038" s="157"/>
      <c r="C2038" s="158"/>
      <c r="D2038" s="161"/>
      <c r="E2038" s="162"/>
      <c r="F2038" s="163"/>
      <c r="G2038" s="164"/>
      <c r="H2038" s="165"/>
      <c r="I2038" s="164"/>
      <c r="J2038" s="165"/>
      <c r="K2038" s="164"/>
      <c r="L2038" s="165"/>
      <c r="M2038" s="6"/>
      <c r="N2038" s="32"/>
      <c r="Q2038" s="10" t="str">
        <f>+CONCATENATE(E2036,K2036)</f>
        <v>금속관벽체</v>
      </c>
      <c r="R2038" s="10">
        <f>+L2036</f>
        <v>0</v>
      </c>
      <c r="S2038" s="11"/>
      <c r="T2038" s="10" t="str">
        <f>+E2036</f>
        <v>금속관벽체</v>
      </c>
      <c r="U2038" s="19" t="str">
        <f>IFERROR(LEFT(K2036,FIND("*",K2036)-1),"-")</f>
        <v>-</v>
      </c>
      <c r="V2038" s="19" t="str">
        <f>IFERROR(RIGHT(K2036,LEN(K2036)-FIND("*",K2036)),"-")</f>
        <v>-</v>
      </c>
      <c r="W2038" s="20" t="str">
        <f t="shared" si="1105"/>
        <v>-</v>
      </c>
      <c r="X2038" s="20" t="str">
        <f>IFERROR(W2038*L2036,"-")</f>
        <v>-</v>
      </c>
      <c r="Z2038" s="85">
        <v>45189</v>
      </c>
    </row>
    <row r="2039" spans="1:26" ht="6.95" customHeight="1" x14ac:dyDescent="0.3">
      <c r="A2039" s="8"/>
      <c r="B2039" s="157"/>
      <c r="C2039" s="158"/>
      <c r="D2039" s="161" t="s">
        <v>39</v>
      </c>
      <c r="E2039" s="162"/>
      <c r="F2039" s="163" t="s">
        <v>40</v>
      </c>
      <c r="G2039" s="164"/>
      <c r="H2039" s="165"/>
      <c r="I2039" s="164"/>
      <c r="J2039" s="165"/>
      <c r="K2039" s="164"/>
      <c r="L2039" s="165"/>
      <c r="M2039" s="6"/>
      <c r="N2039" s="32"/>
      <c r="Q2039" s="10" t="str">
        <f>+CONCATENATE(E2039,G2039)</f>
        <v/>
      </c>
      <c r="R2039" s="10">
        <f>+H2039</f>
        <v>0</v>
      </c>
      <c r="S2039" s="11"/>
      <c r="T2039" s="10">
        <f>+E2039</f>
        <v>0</v>
      </c>
      <c r="U2039" s="19" t="str">
        <f t="shared" ref="U2039" si="1106">IFERROR(LEFT(G2039,FIND("*",G2039)-1),"-")</f>
        <v>-</v>
      </c>
      <c r="V2039" s="19" t="str">
        <f t="shared" ref="V2039" si="1107">IFERROR(RIGHT(G2039,LEN(G2039)-FIND("*",G2039)),"-")</f>
        <v>-</v>
      </c>
      <c r="W2039" s="20" t="str">
        <f t="shared" si="1105"/>
        <v>-</v>
      </c>
      <c r="X2039" s="20" t="str">
        <f>IFERROR(W2039*H2039,"-")</f>
        <v>-</v>
      </c>
      <c r="Z2039" s="85">
        <v>45189</v>
      </c>
    </row>
    <row r="2040" spans="1:26" ht="6.95" customHeight="1" x14ac:dyDescent="0.3">
      <c r="A2040" s="5"/>
      <c r="B2040" s="157"/>
      <c r="C2040" s="158"/>
      <c r="D2040" s="161"/>
      <c r="E2040" s="162"/>
      <c r="F2040" s="163"/>
      <c r="G2040" s="164"/>
      <c r="H2040" s="165"/>
      <c r="I2040" s="164"/>
      <c r="J2040" s="165"/>
      <c r="K2040" s="164"/>
      <c r="L2040" s="165"/>
      <c r="M2040" s="6"/>
      <c r="N2040" s="32"/>
      <c r="Q2040" s="10" t="str">
        <f>+CONCATENATE(E2039,I2039)</f>
        <v/>
      </c>
      <c r="R2040" s="10">
        <f>+J2039</f>
        <v>0</v>
      </c>
      <c r="S2040" s="11"/>
      <c r="T2040" s="10">
        <f>+E2039</f>
        <v>0</v>
      </c>
      <c r="U2040" s="19" t="str">
        <f>IFERROR(LEFT(I2039,FIND("*",I2039)-1),"-")</f>
        <v>-</v>
      </c>
      <c r="V2040" s="19" t="str">
        <f>IFERROR(RIGHT(I2039,LEN(I2039)-FIND("*",I2039)),"-")</f>
        <v>-</v>
      </c>
      <c r="W2040" s="20" t="str">
        <f t="shared" si="1105"/>
        <v>-</v>
      </c>
      <c r="X2040" s="20" t="str">
        <f>IFERROR(W2040*J2039,"-")</f>
        <v>-</v>
      </c>
      <c r="Z2040" s="85">
        <v>45189</v>
      </c>
    </row>
    <row r="2041" spans="1:26" ht="6.95" customHeight="1" x14ac:dyDescent="0.3">
      <c r="A2041" s="5"/>
      <c r="B2041" s="157"/>
      <c r="C2041" s="158"/>
      <c r="D2041" s="161"/>
      <c r="E2041" s="162"/>
      <c r="F2041" s="163"/>
      <c r="G2041" s="164"/>
      <c r="H2041" s="165"/>
      <c r="I2041" s="164"/>
      <c r="J2041" s="165"/>
      <c r="K2041" s="164"/>
      <c r="L2041" s="165"/>
      <c r="M2041" s="6"/>
      <c r="N2041" s="32"/>
      <c r="Q2041" s="10" t="str">
        <f>+CONCATENATE(E2039,K2039)</f>
        <v/>
      </c>
      <c r="R2041" s="10">
        <f>+L2039</f>
        <v>0</v>
      </c>
      <c r="S2041" s="11"/>
      <c r="T2041" s="10">
        <f>+E2039</f>
        <v>0</v>
      </c>
      <c r="U2041" s="19" t="str">
        <f>IFERROR(LEFT(K2039,FIND("*",K2039)-1),"-")</f>
        <v>-</v>
      </c>
      <c r="V2041" s="19" t="str">
        <f>IFERROR(RIGHT(K2039,LEN(K2039)-FIND("*",K2039)),"-")</f>
        <v>-</v>
      </c>
      <c r="W2041" s="20" t="str">
        <f t="shared" si="1105"/>
        <v>-</v>
      </c>
      <c r="X2041" s="20" t="str">
        <f>IFERROR(W2041*L2039,"-")</f>
        <v>-</v>
      </c>
      <c r="Z2041" s="85">
        <v>45189</v>
      </c>
    </row>
    <row r="2042" spans="1:26" ht="6.95" customHeight="1" x14ac:dyDescent="0.3">
      <c r="A2042" s="8"/>
      <c r="B2042" s="157"/>
      <c r="C2042" s="158"/>
      <c r="D2042" s="161" t="s">
        <v>39</v>
      </c>
      <c r="E2042" s="162"/>
      <c r="F2042" s="163" t="s">
        <v>40</v>
      </c>
      <c r="G2042" s="164"/>
      <c r="H2042" s="165"/>
      <c r="I2042" s="164"/>
      <c r="J2042" s="165"/>
      <c r="K2042" s="164"/>
      <c r="L2042" s="165"/>
      <c r="M2042" s="6"/>
      <c r="N2042" s="32"/>
      <c r="Q2042" s="10" t="str">
        <f>+CONCATENATE(E2042,G2042)</f>
        <v/>
      </c>
      <c r="R2042" s="10">
        <f>+H2042</f>
        <v>0</v>
      </c>
      <c r="S2042" s="11"/>
      <c r="T2042" s="10">
        <f>+E2042</f>
        <v>0</v>
      </c>
      <c r="U2042" s="19" t="str">
        <f t="shared" ref="U2042" si="1108">IFERROR(LEFT(G2042,FIND("*",G2042)-1),"-")</f>
        <v>-</v>
      </c>
      <c r="V2042" s="19" t="str">
        <f t="shared" ref="V2042" si="1109">IFERROR(RIGHT(G2042,LEN(G2042)-FIND("*",G2042)),"-")</f>
        <v>-</v>
      </c>
      <c r="W2042" s="20" t="str">
        <f t="shared" si="1105"/>
        <v>-</v>
      </c>
      <c r="X2042" s="20" t="str">
        <f>IFERROR(W2042*H2042,"-")</f>
        <v>-</v>
      </c>
      <c r="Z2042" s="85">
        <v>45189</v>
      </c>
    </row>
    <row r="2043" spans="1:26" ht="6.95" customHeight="1" x14ac:dyDescent="0.3">
      <c r="A2043" s="5"/>
      <c r="B2043" s="157"/>
      <c r="C2043" s="158"/>
      <c r="D2043" s="161"/>
      <c r="E2043" s="162"/>
      <c r="F2043" s="163"/>
      <c r="G2043" s="164"/>
      <c r="H2043" s="165"/>
      <c r="I2043" s="164"/>
      <c r="J2043" s="165"/>
      <c r="K2043" s="164"/>
      <c r="L2043" s="165"/>
      <c r="M2043" s="6"/>
      <c r="N2043" s="32"/>
      <c r="Q2043" s="10" t="str">
        <f>+CONCATENATE(E2042,I2042)</f>
        <v/>
      </c>
      <c r="R2043" s="10">
        <f>+J2042</f>
        <v>0</v>
      </c>
      <c r="S2043" s="11"/>
      <c r="T2043" s="10">
        <f>+E2042</f>
        <v>0</v>
      </c>
      <c r="U2043" s="19" t="str">
        <f>IFERROR(LEFT(I2042,FIND("*",I2042)-1),"-")</f>
        <v>-</v>
      </c>
      <c r="V2043" s="19" t="str">
        <f>IFERROR(RIGHT(I2042,LEN(I2042)-FIND("*",I2042)),"-")</f>
        <v>-</v>
      </c>
      <c r="W2043" s="20" t="str">
        <f t="shared" si="1105"/>
        <v>-</v>
      </c>
      <c r="X2043" s="20" t="str">
        <f t="shared" ref="X2043" si="1110">IFERROR(W2043*J2042,"-")</f>
        <v>-</v>
      </c>
      <c r="Z2043" s="85">
        <v>45189</v>
      </c>
    </row>
    <row r="2044" spans="1:26" ht="6.95" customHeight="1" x14ac:dyDescent="0.3">
      <c r="A2044" s="5"/>
      <c r="B2044" s="157"/>
      <c r="C2044" s="158"/>
      <c r="D2044" s="161"/>
      <c r="E2044" s="162"/>
      <c r="F2044" s="163"/>
      <c r="G2044" s="164"/>
      <c r="H2044" s="165"/>
      <c r="I2044" s="164"/>
      <c r="J2044" s="165"/>
      <c r="K2044" s="164"/>
      <c r="L2044" s="165"/>
      <c r="M2044" s="6"/>
      <c r="N2044" s="32"/>
      <c r="Q2044" s="10" t="str">
        <f>+CONCATENATE(E2042,K2042)</f>
        <v/>
      </c>
      <c r="R2044" s="10">
        <f>+L2042</f>
        <v>0</v>
      </c>
      <c r="S2044" s="11"/>
      <c r="T2044" s="10">
        <f>+E2042</f>
        <v>0</v>
      </c>
      <c r="U2044" s="19" t="str">
        <f>IFERROR(LEFT(K2042,FIND("*",K2042)-1),"-")</f>
        <v>-</v>
      </c>
      <c r="V2044" s="19" t="str">
        <f>IFERROR(RIGHT(K2042,LEN(K2042)-FIND("*",K2042)),"-")</f>
        <v>-</v>
      </c>
      <c r="W2044" s="20" t="str">
        <f t="shared" si="1105"/>
        <v>-</v>
      </c>
      <c r="X2044" s="20" t="str">
        <f>IFERROR(W2044*L2042,"-")</f>
        <v>-</v>
      </c>
      <c r="Z2044" s="85">
        <v>45189</v>
      </c>
    </row>
    <row r="2045" spans="1:26" ht="21" customHeight="1" thickBot="1" x14ac:dyDescent="0.35">
      <c r="A2045" s="5"/>
      <c r="B2045" s="159"/>
      <c r="C2045" s="160"/>
      <c r="D2045" s="166" t="s">
        <v>43</v>
      </c>
      <c r="E2045" s="167"/>
      <c r="F2045" s="167"/>
      <c r="G2045" s="168" t="s">
        <v>208</v>
      </c>
      <c r="H2045" s="168"/>
      <c r="I2045" s="168"/>
      <c r="J2045" s="168"/>
      <c r="K2045" s="168"/>
      <c r="L2045" s="168"/>
      <c r="M2045" s="7"/>
      <c r="N2045" s="32"/>
      <c r="Z2045" s="85">
        <v>45189</v>
      </c>
    </row>
    <row r="2046" spans="1:26" ht="9.9499999999999993" customHeight="1" thickBot="1" x14ac:dyDescent="0.35">
      <c r="B2046" s="9"/>
      <c r="C2046" s="109">
        <v>985</v>
      </c>
      <c r="D2046" s="51"/>
      <c r="E2046" s="12"/>
      <c r="F2046" s="51"/>
      <c r="G2046" s="14"/>
      <c r="H2046" s="14"/>
      <c r="I2046" s="14"/>
      <c r="J2046" s="14"/>
      <c r="K2046" s="14"/>
      <c r="L2046" s="14"/>
      <c r="M2046" s="9"/>
      <c r="N2046" s="32"/>
      <c r="U2046" s="18"/>
      <c r="V2046" s="18"/>
      <c r="Z2046" s="85">
        <v>45189</v>
      </c>
    </row>
    <row r="2047" spans="1:26" ht="6.95" customHeight="1" x14ac:dyDescent="0.3">
      <c r="A2047" s="154">
        <f>+A2036+1</f>
        <v>986</v>
      </c>
      <c r="B2047" s="155"/>
      <c r="C2047" s="156"/>
      <c r="D2047" s="161" t="s">
        <v>39</v>
      </c>
      <c r="E2047" s="162" t="s">
        <v>186</v>
      </c>
      <c r="F2047" s="163" t="s">
        <v>40</v>
      </c>
      <c r="G2047" s="164">
        <v>150</v>
      </c>
      <c r="H2047" s="165">
        <v>1</v>
      </c>
      <c r="I2047" s="164">
        <v>80</v>
      </c>
      <c r="J2047" s="165">
        <v>0.5</v>
      </c>
      <c r="K2047" s="164"/>
      <c r="L2047" s="165"/>
      <c r="M2047" s="6"/>
      <c r="N2047" s="32"/>
      <c r="Q2047" s="10" t="str">
        <f>+CONCATENATE(E2047,G2047)</f>
        <v>금속관벽체150</v>
      </c>
      <c r="R2047" s="10">
        <f>+H2047</f>
        <v>1</v>
      </c>
      <c r="S2047" s="11"/>
      <c r="T2047" s="10" t="str">
        <f>+E2047</f>
        <v>금속관벽체</v>
      </c>
      <c r="U2047" s="19" t="str">
        <f>IFERROR(LEFT(G2047,FIND("*",G2047)-1),"-")</f>
        <v>-</v>
      </c>
      <c r="V2047" s="19" t="str">
        <f>IFERROR(RIGHT(G2047,LEN(G2047)-FIND("*",G2047)),"-")</f>
        <v>-</v>
      </c>
      <c r="W2047" s="20" t="str">
        <f>IFERROR((U2047+V2047)*2/1000,"-")</f>
        <v>-</v>
      </c>
      <c r="X2047" s="20" t="str">
        <f>IFERROR(W2047*H2047,"-")</f>
        <v>-</v>
      </c>
      <c r="Z2047" s="85">
        <v>45189</v>
      </c>
    </row>
    <row r="2048" spans="1:26" ht="6.95" customHeight="1" x14ac:dyDescent="0.3">
      <c r="A2048" s="154"/>
      <c r="B2048" s="157"/>
      <c r="C2048" s="158"/>
      <c r="D2048" s="161"/>
      <c r="E2048" s="162"/>
      <c r="F2048" s="163"/>
      <c r="G2048" s="164"/>
      <c r="H2048" s="165"/>
      <c r="I2048" s="164"/>
      <c r="J2048" s="165"/>
      <c r="K2048" s="164"/>
      <c r="L2048" s="165"/>
      <c r="M2048" s="6"/>
      <c r="N2048" s="32"/>
      <c r="Q2048" s="10" t="str">
        <f>+CONCATENATE(E2047,I2047)</f>
        <v>금속관벽체80</v>
      </c>
      <c r="R2048" s="10">
        <f>+J2047</f>
        <v>0.5</v>
      </c>
      <c r="S2048" s="11"/>
      <c r="T2048" s="10" t="str">
        <f>+E2047</f>
        <v>금속관벽체</v>
      </c>
      <c r="U2048" s="19" t="str">
        <f>IFERROR(LEFT(I2047,FIND("*",I2047)-1),"-")</f>
        <v>-</v>
      </c>
      <c r="V2048" s="19" t="str">
        <f>IFERROR(RIGHT(I2047,LEN(I2047)-FIND("*",I2047)),"-")</f>
        <v>-</v>
      </c>
      <c r="W2048" s="20" t="str">
        <f t="shared" ref="W2048:W2055" si="1111">IFERROR((U2048+V2048)*2/1000,"-")</f>
        <v>-</v>
      </c>
      <c r="X2048" s="20" t="str">
        <f>IFERROR(W2048*J2047,"-")</f>
        <v>-</v>
      </c>
      <c r="Z2048" s="85">
        <v>45189</v>
      </c>
    </row>
    <row r="2049" spans="1:26" ht="6.95" customHeight="1" x14ac:dyDescent="0.3">
      <c r="A2049" s="154"/>
      <c r="B2049" s="157"/>
      <c r="C2049" s="158"/>
      <c r="D2049" s="161"/>
      <c r="E2049" s="162"/>
      <c r="F2049" s="163"/>
      <c r="G2049" s="164"/>
      <c r="H2049" s="165"/>
      <c r="I2049" s="164"/>
      <c r="J2049" s="165"/>
      <c r="K2049" s="164"/>
      <c r="L2049" s="165"/>
      <c r="M2049" s="6"/>
      <c r="N2049" s="32"/>
      <c r="Q2049" s="10" t="str">
        <f>+CONCATENATE(E2047,K2047)</f>
        <v>금속관벽체</v>
      </c>
      <c r="R2049" s="10">
        <f>+L2047</f>
        <v>0</v>
      </c>
      <c r="S2049" s="11"/>
      <c r="T2049" s="10" t="str">
        <f>+E2047</f>
        <v>금속관벽체</v>
      </c>
      <c r="U2049" s="19" t="str">
        <f>IFERROR(LEFT(K2047,FIND("*",K2047)-1),"-")</f>
        <v>-</v>
      </c>
      <c r="V2049" s="19" t="str">
        <f>IFERROR(RIGHT(K2047,LEN(K2047)-FIND("*",K2047)),"-")</f>
        <v>-</v>
      </c>
      <c r="W2049" s="20" t="str">
        <f t="shared" si="1111"/>
        <v>-</v>
      </c>
      <c r="X2049" s="20" t="str">
        <f>IFERROR(W2049*L2047,"-")</f>
        <v>-</v>
      </c>
      <c r="Z2049" s="85">
        <v>45189</v>
      </c>
    </row>
    <row r="2050" spans="1:26" ht="6.95" customHeight="1" x14ac:dyDescent="0.3">
      <c r="A2050" s="8"/>
      <c r="B2050" s="157"/>
      <c r="C2050" s="158"/>
      <c r="D2050" s="161" t="s">
        <v>39</v>
      </c>
      <c r="E2050" s="162"/>
      <c r="F2050" s="163" t="s">
        <v>40</v>
      </c>
      <c r="G2050" s="164"/>
      <c r="H2050" s="165"/>
      <c r="I2050" s="164"/>
      <c r="J2050" s="165"/>
      <c r="K2050" s="164"/>
      <c r="L2050" s="165"/>
      <c r="M2050" s="6"/>
      <c r="N2050" s="32"/>
      <c r="Q2050" s="10" t="str">
        <f>+CONCATENATE(E2050,G2050)</f>
        <v/>
      </c>
      <c r="R2050" s="10">
        <f>+H2050</f>
        <v>0</v>
      </c>
      <c r="S2050" s="11"/>
      <c r="T2050" s="10">
        <f>+E2050</f>
        <v>0</v>
      </c>
      <c r="U2050" s="19" t="str">
        <f t="shared" ref="U2050" si="1112">IFERROR(LEFT(G2050,FIND("*",G2050)-1),"-")</f>
        <v>-</v>
      </c>
      <c r="V2050" s="19" t="str">
        <f t="shared" ref="V2050" si="1113">IFERROR(RIGHT(G2050,LEN(G2050)-FIND("*",G2050)),"-")</f>
        <v>-</v>
      </c>
      <c r="W2050" s="20" t="str">
        <f t="shared" si="1111"/>
        <v>-</v>
      </c>
      <c r="X2050" s="20" t="str">
        <f>IFERROR(W2050*H2050,"-")</f>
        <v>-</v>
      </c>
      <c r="Z2050" s="85">
        <v>45189</v>
      </c>
    </row>
    <row r="2051" spans="1:26" ht="6.95" customHeight="1" x14ac:dyDescent="0.3">
      <c r="A2051" s="5"/>
      <c r="B2051" s="157"/>
      <c r="C2051" s="158"/>
      <c r="D2051" s="161"/>
      <c r="E2051" s="162"/>
      <c r="F2051" s="163"/>
      <c r="G2051" s="164"/>
      <c r="H2051" s="165"/>
      <c r="I2051" s="164"/>
      <c r="J2051" s="165"/>
      <c r="K2051" s="164"/>
      <c r="L2051" s="165"/>
      <c r="M2051" s="6"/>
      <c r="N2051" s="32"/>
      <c r="Q2051" s="10" t="str">
        <f>+CONCATENATE(E2050,I2050)</f>
        <v/>
      </c>
      <c r="R2051" s="10">
        <f>+J2050</f>
        <v>0</v>
      </c>
      <c r="S2051" s="11"/>
      <c r="T2051" s="10">
        <f>+E2050</f>
        <v>0</v>
      </c>
      <c r="U2051" s="19" t="str">
        <f>IFERROR(LEFT(I2050,FIND("*",I2050)-1),"-")</f>
        <v>-</v>
      </c>
      <c r="V2051" s="19" t="str">
        <f>IFERROR(RIGHT(I2050,LEN(I2050)-FIND("*",I2050)),"-")</f>
        <v>-</v>
      </c>
      <c r="W2051" s="20" t="str">
        <f t="shared" si="1111"/>
        <v>-</v>
      </c>
      <c r="X2051" s="20" t="str">
        <f>IFERROR(W2051*J2050,"-")</f>
        <v>-</v>
      </c>
      <c r="Z2051" s="85">
        <v>45189</v>
      </c>
    </row>
    <row r="2052" spans="1:26" ht="6.95" customHeight="1" x14ac:dyDescent="0.3">
      <c r="A2052" s="5"/>
      <c r="B2052" s="157"/>
      <c r="C2052" s="158"/>
      <c r="D2052" s="161"/>
      <c r="E2052" s="162"/>
      <c r="F2052" s="163"/>
      <c r="G2052" s="164"/>
      <c r="H2052" s="165"/>
      <c r="I2052" s="164"/>
      <c r="J2052" s="165"/>
      <c r="K2052" s="164"/>
      <c r="L2052" s="165"/>
      <c r="M2052" s="6"/>
      <c r="N2052" s="32"/>
      <c r="Q2052" s="10" t="str">
        <f>+CONCATENATE(E2050,K2050)</f>
        <v/>
      </c>
      <c r="R2052" s="10">
        <f>+L2050</f>
        <v>0</v>
      </c>
      <c r="S2052" s="11"/>
      <c r="T2052" s="10">
        <f>+E2050</f>
        <v>0</v>
      </c>
      <c r="U2052" s="19" t="str">
        <f>IFERROR(LEFT(K2050,FIND("*",K2050)-1),"-")</f>
        <v>-</v>
      </c>
      <c r="V2052" s="19" t="str">
        <f>IFERROR(RIGHT(K2050,LEN(K2050)-FIND("*",K2050)),"-")</f>
        <v>-</v>
      </c>
      <c r="W2052" s="20" t="str">
        <f t="shared" si="1111"/>
        <v>-</v>
      </c>
      <c r="X2052" s="20" t="str">
        <f>IFERROR(W2052*L2050,"-")</f>
        <v>-</v>
      </c>
      <c r="Z2052" s="85">
        <v>45189</v>
      </c>
    </row>
    <row r="2053" spans="1:26" ht="6.95" customHeight="1" x14ac:dyDescent="0.3">
      <c r="A2053" s="8"/>
      <c r="B2053" s="157"/>
      <c r="C2053" s="158"/>
      <c r="D2053" s="161" t="s">
        <v>39</v>
      </c>
      <c r="E2053" s="162"/>
      <c r="F2053" s="163" t="s">
        <v>40</v>
      </c>
      <c r="G2053" s="164"/>
      <c r="H2053" s="165"/>
      <c r="I2053" s="164"/>
      <c r="J2053" s="165"/>
      <c r="K2053" s="164"/>
      <c r="L2053" s="165"/>
      <c r="M2053" s="6"/>
      <c r="N2053" s="32"/>
      <c r="Q2053" s="10" t="str">
        <f>+CONCATENATE(E2053,G2053)</f>
        <v/>
      </c>
      <c r="R2053" s="10">
        <f>+H2053</f>
        <v>0</v>
      </c>
      <c r="S2053" s="11"/>
      <c r="T2053" s="10">
        <f>+E2053</f>
        <v>0</v>
      </c>
      <c r="U2053" s="19" t="str">
        <f t="shared" ref="U2053" si="1114">IFERROR(LEFT(G2053,FIND("*",G2053)-1),"-")</f>
        <v>-</v>
      </c>
      <c r="V2053" s="19" t="str">
        <f t="shared" ref="V2053" si="1115">IFERROR(RIGHT(G2053,LEN(G2053)-FIND("*",G2053)),"-")</f>
        <v>-</v>
      </c>
      <c r="W2053" s="20" t="str">
        <f t="shared" si="1111"/>
        <v>-</v>
      </c>
      <c r="X2053" s="20" t="str">
        <f>IFERROR(W2053*H2053,"-")</f>
        <v>-</v>
      </c>
      <c r="Z2053" s="85">
        <v>45189</v>
      </c>
    </row>
    <row r="2054" spans="1:26" ht="6.95" customHeight="1" x14ac:dyDescent="0.3">
      <c r="A2054" s="5"/>
      <c r="B2054" s="157"/>
      <c r="C2054" s="158"/>
      <c r="D2054" s="161"/>
      <c r="E2054" s="162"/>
      <c r="F2054" s="163"/>
      <c r="G2054" s="164"/>
      <c r="H2054" s="165"/>
      <c r="I2054" s="164"/>
      <c r="J2054" s="165"/>
      <c r="K2054" s="164"/>
      <c r="L2054" s="165"/>
      <c r="M2054" s="6"/>
      <c r="N2054" s="32"/>
      <c r="Q2054" s="10" t="str">
        <f>+CONCATENATE(E2053,I2053)</f>
        <v/>
      </c>
      <c r="R2054" s="10">
        <f>+J2053</f>
        <v>0</v>
      </c>
      <c r="S2054" s="11"/>
      <c r="T2054" s="10">
        <f>+E2053</f>
        <v>0</v>
      </c>
      <c r="U2054" s="19" t="str">
        <f>IFERROR(LEFT(I2053,FIND("*",I2053)-1),"-")</f>
        <v>-</v>
      </c>
      <c r="V2054" s="19" t="str">
        <f>IFERROR(RIGHT(I2053,LEN(I2053)-FIND("*",I2053)),"-")</f>
        <v>-</v>
      </c>
      <c r="W2054" s="20" t="str">
        <f t="shared" si="1111"/>
        <v>-</v>
      </c>
      <c r="X2054" s="20" t="str">
        <f t="shared" ref="X2054" si="1116">IFERROR(W2054*J2053,"-")</f>
        <v>-</v>
      </c>
      <c r="Z2054" s="85">
        <v>45189</v>
      </c>
    </row>
    <row r="2055" spans="1:26" ht="6.95" customHeight="1" x14ac:dyDescent="0.3">
      <c r="A2055" s="5"/>
      <c r="B2055" s="157"/>
      <c r="C2055" s="158"/>
      <c r="D2055" s="161"/>
      <c r="E2055" s="162"/>
      <c r="F2055" s="163"/>
      <c r="G2055" s="164"/>
      <c r="H2055" s="165"/>
      <c r="I2055" s="164"/>
      <c r="J2055" s="165"/>
      <c r="K2055" s="164"/>
      <c r="L2055" s="165"/>
      <c r="M2055" s="6"/>
      <c r="N2055" s="32"/>
      <c r="Q2055" s="10" t="str">
        <f>+CONCATENATE(E2053,K2053)</f>
        <v/>
      </c>
      <c r="R2055" s="10">
        <f>+L2053</f>
        <v>0</v>
      </c>
      <c r="S2055" s="11"/>
      <c r="T2055" s="10">
        <f>+E2053</f>
        <v>0</v>
      </c>
      <c r="U2055" s="19" t="str">
        <f>IFERROR(LEFT(K2053,FIND("*",K2053)-1),"-")</f>
        <v>-</v>
      </c>
      <c r="V2055" s="19" t="str">
        <f>IFERROR(RIGHT(K2053,LEN(K2053)-FIND("*",K2053)),"-")</f>
        <v>-</v>
      </c>
      <c r="W2055" s="20" t="str">
        <f t="shared" si="1111"/>
        <v>-</v>
      </c>
      <c r="X2055" s="20" t="str">
        <f>IFERROR(W2055*L2053,"-")</f>
        <v>-</v>
      </c>
      <c r="Z2055" s="85">
        <v>45189</v>
      </c>
    </row>
    <row r="2056" spans="1:26" ht="21" customHeight="1" thickBot="1" x14ac:dyDescent="0.35">
      <c r="A2056" s="5"/>
      <c r="B2056" s="159"/>
      <c r="C2056" s="160"/>
      <c r="D2056" s="166" t="s">
        <v>43</v>
      </c>
      <c r="E2056" s="167"/>
      <c r="F2056" s="167"/>
      <c r="G2056" s="168" t="s">
        <v>208</v>
      </c>
      <c r="H2056" s="168"/>
      <c r="I2056" s="168"/>
      <c r="J2056" s="168"/>
      <c r="K2056" s="168"/>
      <c r="L2056" s="168"/>
      <c r="M2056" s="7"/>
      <c r="N2056" s="32"/>
      <c r="Z2056" s="85">
        <v>45189</v>
      </c>
    </row>
    <row r="2057" spans="1:26" ht="9.9499999999999993" customHeight="1" thickBot="1" x14ac:dyDescent="0.35">
      <c r="B2057" s="9"/>
      <c r="C2057" s="109">
        <v>986</v>
      </c>
      <c r="D2057" s="51"/>
      <c r="E2057" s="12"/>
      <c r="F2057" s="51"/>
      <c r="G2057" s="14"/>
      <c r="H2057" s="14"/>
      <c r="I2057" s="14"/>
      <c r="J2057" s="14"/>
      <c r="K2057" s="14"/>
      <c r="L2057" s="14"/>
      <c r="M2057" s="9"/>
      <c r="N2057" s="32"/>
      <c r="U2057" s="18"/>
      <c r="V2057" s="18"/>
      <c r="Z2057" s="85">
        <v>45189</v>
      </c>
    </row>
    <row r="2058" spans="1:26" ht="6.95" customHeight="1" x14ac:dyDescent="0.3">
      <c r="A2058" s="154">
        <f>+A2047+1</f>
        <v>987</v>
      </c>
      <c r="B2058" s="155"/>
      <c r="C2058" s="156"/>
      <c r="D2058" s="161" t="s">
        <v>39</v>
      </c>
      <c r="E2058" s="162" t="s">
        <v>293</v>
      </c>
      <c r="F2058" s="163" t="s">
        <v>40</v>
      </c>
      <c r="G2058" s="164">
        <v>32</v>
      </c>
      <c r="H2058" s="165">
        <v>1</v>
      </c>
      <c r="I2058" s="164"/>
      <c r="J2058" s="165"/>
      <c r="K2058" s="164"/>
      <c r="L2058" s="165"/>
      <c r="M2058" s="6"/>
      <c r="N2058" s="32"/>
      <c r="Q2058" s="10" t="str">
        <f>+CONCATENATE(E2058,G2058)</f>
        <v>금속관입상32</v>
      </c>
      <c r="R2058" s="10">
        <f>+H2058</f>
        <v>1</v>
      </c>
      <c r="S2058" s="11"/>
      <c r="T2058" s="10" t="str">
        <f>+E2058</f>
        <v>금속관입상</v>
      </c>
      <c r="U2058" s="19" t="str">
        <f>IFERROR(LEFT(G2058,FIND("*",G2058)-1),"-")</f>
        <v>-</v>
      </c>
      <c r="V2058" s="19" t="str">
        <f>IFERROR(RIGHT(G2058,LEN(G2058)-FIND("*",G2058)),"-")</f>
        <v>-</v>
      </c>
      <c r="W2058" s="20" t="str">
        <f>IFERROR((U2058+V2058)*2/1000,"-")</f>
        <v>-</v>
      </c>
      <c r="X2058" s="20" t="str">
        <f>IFERROR(W2058*H2058,"-")</f>
        <v>-</v>
      </c>
      <c r="Z2058" s="85">
        <v>45189</v>
      </c>
    </row>
    <row r="2059" spans="1:26" ht="6.95" customHeight="1" x14ac:dyDescent="0.3">
      <c r="A2059" s="154"/>
      <c r="B2059" s="157"/>
      <c r="C2059" s="158"/>
      <c r="D2059" s="161"/>
      <c r="E2059" s="162"/>
      <c r="F2059" s="163"/>
      <c r="G2059" s="164"/>
      <c r="H2059" s="165"/>
      <c r="I2059" s="164"/>
      <c r="J2059" s="165"/>
      <c r="K2059" s="164"/>
      <c r="L2059" s="165"/>
      <c r="M2059" s="6"/>
      <c r="N2059" s="32"/>
      <c r="Q2059" s="10" t="str">
        <f>+CONCATENATE(E2058,I2058)</f>
        <v>금속관입상</v>
      </c>
      <c r="R2059" s="10">
        <f>+J2058</f>
        <v>0</v>
      </c>
      <c r="S2059" s="11"/>
      <c r="T2059" s="10" t="str">
        <f>+E2058</f>
        <v>금속관입상</v>
      </c>
      <c r="U2059" s="19" t="str">
        <f>IFERROR(LEFT(I2058,FIND("*",I2058)-1),"-")</f>
        <v>-</v>
      </c>
      <c r="V2059" s="19" t="str">
        <f>IFERROR(RIGHT(I2058,LEN(I2058)-FIND("*",I2058)),"-")</f>
        <v>-</v>
      </c>
      <c r="W2059" s="20" t="str">
        <f t="shared" ref="W2059:W2066" si="1117">IFERROR((U2059+V2059)*2/1000,"-")</f>
        <v>-</v>
      </c>
      <c r="X2059" s="20" t="str">
        <f>IFERROR(W2059*J2058,"-")</f>
        <v>-</v>
      </c>
      <c r="Z2059" s="85">
        <v>45189</v>
      </c>
    </row>
    <row r="2060" spans="1:26" ht="6.95" customHeight="1" x14ac:dyDescent="0.3">
      <c r="A2060" s="154"/>
      <c r="B2060" s="157"/>
      <c r="C2060" s="158"/>
      <c r="D2060" s="161"/>
      <c r="E2060" s="162"/>
      <c r="F2060" s="163"/>
      <c r="G2060" s="164"/>
      <c r="H2060" s="165"/>
      <c r="I2060" s="164"/>
      <c r="J2060" s="165"/>
      <c r="K2060" s="164"/>
      <c r="L2060" s="165"/>
      <c r="M2060" s="6"/>
      <c r="N2060" s="32"/>
      <c r="Q2060" s="10" t="str">
        <f>+CONCATENATE(E2058,K2058)</f>
        <v>금속관입상</v>
      </c>
      <c r="R2060" s="10">
        <f>+L2058</f>
        <v>0</v>
      </c>
      <c r="S2060" s="11"/>
      <c r="T2060" s="10" t="str">
        <f>+E2058</f>
        <v>금속관입상</v>
      </c>
      <c r="U2060" s="19" t="str">
        <f>IFERROR(LEFT(K2058,FIND("*",K2058)-1),"-")</f>
        <v>-</v>
      </c>
      <c r="V2060" s="19" t="str">
        <f>IFERROR(RIGHT(K2058,LEN(K2058)-FIND("*",K2058)),"-")</f>
        <v>-</v>
      </c>
      <c r="W2060" s="20" t="str">
        <f t="shared" si="1117"/>
        <v>-</v>
      </c>
      <c r="X2060" s="20" t="str">
        <f>IFERROR(W2060*L2058,"-")</f>
        <v>-</v>
      </c>
      <c r="Z2060" s="85">
        <v>45189</v>
      </c>
    </row>
    <row r="2061" spans="1:26" ht="6.95" customHeight="1" x14ac:dyDescent="0.3">
      <c r="A2061" s="8"/>
      <c r="B2061" s="157"/>
      <c r="C2061" s="158"/>
      <c r="D2061" s="161" t="s">
        <v>39</v>
      </c>
      <c r="E2061" s="162"/>
      <c r="F2061" s="163" t="s">
        <v>40</v>
      </c>
      <c r="G2061" s="164"/>
      <c r="H2061" s="165"/>
      <c r="I2061" s="164"/>
      <c r="J2061" s="165"/>
      <c r="K2061" s="164"/>
      <c r="L2061" s="165"/>
      <c r="M2061" s="6"/>
      <c r="N2061" s="32"/>
      <c r="Q2061" s="10" t="str">
        <f>+CONCATENATE(E2061,G2061)</f>
        <v/>
      </c>
      <c r="R2061" s="10">
        <f>+H2061</f>
        <v>0</v>
      </c>
      <c r="S2061" s="11"/>
      <c r="T2061" s="10">
        <f>+E2061</f>
        <v>0</v>
      </c>
      <c r="U2061" s="19" t="str">
        <f t="shared" ref="U2061" si="1118">IFERROR(LEFT(G2061,FIND("*",G2061)-1),"-")</f>
        <v>-</v>
      </c>
      <c r="V2061" s="19" t="str">
        <f t="shared" ref="V2061" si="1119">IFERROR(RIGHT(G2061,LEN(G2061)-FIND("*",G2061)),"-")</f>
        <v>-</v>
      </c>
      <c r="W2061" s="20" t="str">
        <f t="shared" si="1117"/>
        <v>-</v>
      </c>
      <c r="X2061" s="20" t="str">
        <f>IFERROR(W2061*H2061,"-")</f>
        <v>-</v>
      </c>
      <c r="Z2061" s="85">
        <v>45189</v>
      </c>
    </row>
    <row r="2062" spans="1:26" ht="6.95" customHeight="1" x14ac:dyDescent="0.3">
      <c r="A2062" s="5"/>
      <c r="B2062" s="157"/>
      <c r="C2062" s="158"/>
      <c r="D2062" s="161"/>
      <c r="E2062" s="162"/>
      <c r="F2062" s="163"/>
      <c r="G2062" s="164"/>
      <c r="H2062" s="165"/>
      <c r="I2062" s="164"/>
      <c r="J2062" s="165"/>
      <c r="K2062" s="164"/>
      <c r="L2062" s="165"/>
      <c r="M2062" s="6"/>
      <c r="N2062" s="32"/>
      <c r="Q2062" s="10" t="str">
        <f>+CONCATENATE(E2061,I2061)</f>
        <v/>
      </c>
      <c r="R2062" s="10">
        <f>+J2061</f>
        <v>0</v>
      </c>
      <c r="S2062" s="11"/>
      <c r="T2062" s="10">
        <f>+E2061</f>
        <v>0</v>
      </c>
      <c r="U2062" s="19" t="str">
        <f>IFERROR(LEFT(I2061,FIND("*",I2061)-1),"-")</f>
        <v>-</v>
      </c>
      <c r="V2062" s="19" t="str">
        <f>IFERROR(RIGHT(I2061,LEN(I2061)-FIND("*",I2061)),"-")</f>
        <v>-</v>
      </c>
      <c r="W2062" s="20" t="str">
        <f t="shared" si="1117"/>
        <v>-</v>
      </c>
      <c r="X2062" s="20" t="str">
        <f>IFERROR(W2062*J2061,"-")</f>
        <v>-</v>
      </c>
      <c r="Z2062" s="85">
        <v>45189</v>
      </c>
    </row>
    <row r="2063" spans="1:26" ht="6.95" customHeight="1" x14ac:dyDescent="0.3">
      <c r="A2063" s="5"/>
      <c r="B2063" s="157"/>
      <c r="C2063" s="158"/>
      <c r="D2063" s="161"/>
      <c r="E2063" s="162"/>
      <c r="F2063" s="163"/>
      <c r="G2063" s="164"/>
      <c r="H2063" s="165"/>
      <c r="I2063" s="164"/>
      <c r="J2063" s="165"/>
      <c r="K2063" s="164"/>
      <c r="L2063" s="165"/>
      <c r="M2063" s="6"/>
      <c r="N2063" s="32"/>
      <c r="Q2063" s="10" t="str">
        <f>+CONCATENATE(E2061,K2061)</f>
        <v/>
      </c>
      <c r="R2063" s="10">
        <f>+L2061</f>
        <v>0</v>
      </c>
      <c r="S2063" s="11"/>
      <c r="T2063" s="10">
        <f>+E2061</f>
        <v>0</v>
      </c>
      <c r="U2063" s="19" t="str">
        <f>IFERROR(LEFT(K2061,FIND("*",K2061)-1),"-")</f>
        <v>-</v>
      </c>
      <c r="V2063" s="19" t="str">
        <f>IFERROR(RIGHT(K2061,LEN(K2061)-FIND("*",K2061)),"-")</f>
        <v>-</v>
      </c>
      <c r="W2063" s="20" t="str">
        <f t="shared" si="1117"/>
        <v>-</v>
      </c>
      <c r="X2063" s="20" t="str">
        <f>IFERROR(W2063*L2061,"-")</f>
        <v>-</v>
      </c>
      <c r="Z2063" s="85">
        <v>45189</v>
      </c>
    </row>
    <row r="2064" spans="1:26" ht="6.95" customHeight="1" x14ac:dyDescent="0.3">
      <c r="A2064" s="8"/>
      <c r="B2064" s="157"/>
      <c r="C2064" s="158"/>
      <c r="D2064" s="161" t="s">
        <v>39</v>
      </c>
      <c r="E2064" s="162"/>
      <c r="F2064" s="163" t="s">
        <v>40</v>
      </c>
      <c r="G2064" s="164"/>
      <c r="H2064" s="165"/>
      <c r="I2064" s="164"/>
      <c r="J2064" s="165"/>
      <c r="K2064" s="164"/>
      <c r="L2064" s="165"/>
      <c r="M2064" s="6"/>
      <c r="N2064" s="32"/>
      <c r="Q2064" s="10" t="str">
        <f>+CONCATENATE(E2064,G2064)</f>
        <v/>
      </c>
      <c r="R2064" s="10">
        <f>+H2064</f>
        <v>0</v>
      </c>
      <c r="S2064" s="11"/>
      <c r="T2064" s="10">
        <f>+E2064</f>
        <v>0</v>
      </c>
      <c r="U2064" s="19" t="str">
        <f t="shared" ref="U2064" si="1120">IFERROR(LEFT(G2064,FIND("*",G2064)-1),"-")</f>
        <v>-</v>
      </c>
      <c r="V2064" s="19" t="str">
        <f t="shared" ref="V2064" si="1121">IFERROR(RIGHT(G2064,LEN(G2064)-FIND("*",G2064)),"-")</f>
        <v>-</v>
      </c>
      <c r="W2064" s="20" t="str">
        <f t="shared" si="1117"/>
        <v>-</v>
      </c>
      <c r="X2064" s="20" t="str">
        <f>IFERROR(W2064*H2064,"-")</f>
        <v>-</v>
      </c>
      <c r="Z2064" s="85">
        <v>45189</v>
      </c>
    </row>
    <row r="2065" spans="1:26" ht="6.95" customHeight="1" x14ac:dyDescent="0.3">
      <c r="A2065" s="5"/>
      <c r="B2065" s="157"/>
      <c r="C2065" s="158"/>
      <c r="D2065" s="161"/>
      <c r="E2065" s="162"/>
      <c r="F2065" s="163"/>
      <c r="G2065" s="164"/>
      <c r="H2065" s="165"/>
      <c r="I2065" s="164"/>
      <c r="J2065" s="165"/>
      <c r="K2065" s="164"/>
      <c r="L2065" s="165"/>
      <c r="M2065" s="6"/>
      <c r="N2065" s="32"/>
      <c r="Q2065" s="10" t="str">
        <f>+CONCATENATE(E2064,I2064)</f>
        <v/>
      </c>
      <c r="R2065" s="10">
        <f>+J2064</f>
        <v>0</v>
      </c>
      <c r="S2065" s="11"/>
      <c r="T2065" s="10">
        <f>+E2064</f>
        <v>0</v>
      </c>
      <c r="U2065" s="19" t="str">
        <f>IFERROR(LEFT(I2064,FIND("*",I2064)-1),"-")</f>
        <v>-</v>
      </c>
      <c r="V2065" s="19" t="str">
        <f>IFERROR(RIGHT(I2064,LEN(I2064)-FIND("*",I2064)),"-")</f>
        <v>-</v>
      </c>
      <c r="W2065" s="20" t="str">
        <f t="shared" si="1117"/>
        <v>-</v>
      </c>
      <c r="X2065" s="20" t="str">
        <f t="shared" ref="X2065" si="1122">IFERROR(W2065*J2064,"-")</f>
        <v>-</v>
      </c>
      <c r="Z2065" s="85">
        <v>45189</v>
      </c>
    </row>
    <row r="2066" spans="1:26" ht="6.95" customHeight="1" x14ac:dyDescent="0.3">
      <c r="A2066" s="5"/>
      <c r="B2066" s="157"/>
      <c r="C2066" s="158"/>
      <c r="D2066" s="161"/>
      <c r="E2066" s="162"/>
      <c r="F2066" s="163"/>
      <c r="G2066" s="164"/>
      <c r="H2066" s="165"/>
      <c r="I2066" s="164"/>
      <c r="J2066" s="165"/>
      <c r="K2066" s="164"/>
      <c r="L2066" s="165"/>
      <c r="M2066" s="6"/>
      <c r="N2066" s="32"/>
      <c r="Q2066" s="10" t="str">
        <f>+CONCATENATE(E2064,K2064)</f>
        <v/>
      </c>
      <c r="R2066" s="10">
        <f>+L2064</f>
        <v>0</v>
      </c>
      <c r="S2066" s="11"/>
      <c r="T2066" s="10">
        <f>+E2064</f>
        <v>0</v>
      </c>
      <c r="U2066" s="19" t="str">
        <f>IFERROR(LEFT(K2064,FIND("*",K2064)-1),"-")</f>
        <v>-</v>
      </c>
      <c r="V2066" s="19" t="str">
        <f>IFERROR(RIGHT(K2064,LEN(K2064)-FIND("*",K2064)),"-")</f>
        <v>-</v>
      </c>
      <c r="W2066" s="20" t="str">
        <f t="shared" si="1117"/>
        <v>-</v>
      </c>
      <c r="X2066" s="20" t="str">
        <f>IFERROR(W2066*L2064,"-")</f>
        <v>-</v>
      </c>
      <c r="Z2066" s="85">
        <v>45189</v>
      </c>
    </row>
    <row r="2067" spans="1:26" ht="21" customHeight="1" thickBot="1" x14ac:dyDescent="0.35">
      <c r="A2067" s="5"/>
      <c r="B2067" s="159"/>
      <c r="C2067" s="160"/>
      <c r="D2067" s="166" t="s">
        <v>43</v>
      </c>
      <c r="E2067" s="167"/>
      <c r="F2067" s="167"/>
      <c r="G2067" s="168" t="s">
        <v>208</v>
      </c>
      <c r="H2067" s="168"/>
      <c r="I2067" s="168"/>
      <c r="J2067" s="168"/>
      <c r="K2067" s="168"/>
      <c r="L2067" s="168"/>
      <c r="M2067" s="7"/>
      <c r="N2067" s="32"/>
      <c r="Z2067" s="85">
        <v>45189</v>
      </c>
    </row>
    <row r="2068" spans="1:26" ht="9.9499999999999993" customHeight="1" thickBot="1" x14ac:dyDescent="0.35">
      <c r="B2068" s="9"/>
      <c r="C2068" s="109">
        <v>987</v>
      </c>
      <c r="D2068" s="51"/>
      <c r="E2068" s="12"/>
      <c r="F2068" s="51"/>
      <c r="G2068" s="14"/>
      <c r="H2068" s="14"/>
      <c r="I2068" s="14"/>
      <c r="J2068" s="14"/>
      <c r="K2068" s="14"/>
      <c r="L2068" s="14"/>
      <c r="M2068" s="9"/>
      <c r="N2068" s="32"/>
      <c r="U2068" s="18"/>
      <c r="V2068" s="18"/>
      <c r="Z2068" s="85">
        <v>45189</v>
      </c>
    </row>
    <row r="2069" spans="1:26" ht="6.95" customHeight="1" x14ac:dyDescent="0.3">
      <c r="A2069" s="154">
        <f>+A2058+1</f>
        <v>988</v>
      </c>
      <c r="B2069" s="155"/>
      <c r="C2069" s="156"/>
      <c r="D2069" s="161" t="s">
        <v>39</v>
      </c>
      <c r="E2069" s="162" t="s">
        <v>115</v>
      </c>
      <c r="F2069" s="163" t="s">
        <v>40</v>
      </c>
      <c r="G2069" s="164" t="s">
        <v>231</v>
      </c>
      <c r="H2069" s="165">
        <v>0.5</v>
      </c>
      <c r="I2069" s="164"/>
      <c r="J2069" s="165"/>
      <c r="K2069" s="164"/>
      <c r="L2069" s="165"/>
      <c r="M2069" s="6"/>
      <c r="N2069" s="32"/>
      <c r="Q2069" s="10" t="str">
        <f>+CONCATENATE(E2069,G2069)</f>
        <v>무보온덕트벽체700*300</v>
      </c>
      <c r="R2069" s="10">
        <f>+H2069</f>
        <v>0.5</v>
      </c>
      <c r="S2069" s="11"/>
      <c r="T2069" s="10" t="str">
        <f>+E2069</f>
        <v>무보온덕트벽체</v>
      </c>
      <c r="U2069" s="19" t="str">
        <f>IFERROR(LEFT(G2069,FIND("*",G2069)-1),"-")</f>
        <v>700</v>
      </c>
      <c r="V2069" s="19" t="str">
        <f>IFERROR(RIGHT(G2069,LEN(G2069)-FIND("*",G2069)),"-")</f>
        <v>300</v>
      </c>
      <c r="W2069" s="20">
        <f>IFERROR((U2069+V2069)*2/1000,"-")</f>
        <v>2</v>
      </c>
      <c r="X2069" s="20">
        <f>IFERROR(W2069*H2069,"-")</f>
        <v>1</v>
      </c>
      <c r="Z2069" s="85">
        <v>45189</v>
      </c>
    </row>
    <row r="2070" spans="1:26" ht="6.95" customHeight="1" x14ac:dyDescent="0.3">
      <c r="A2070" s="154"/>
      <c r="B2070" s="157"/>
      <c r="C2070" s="158"/>
      <c r="D2070" s="161"/>
      <c r="E2070" s="162"/>
      <c r="F2070" s="163"/>
      <c r="G2070" s="164"/>
      <c r="H2070" s="165"/>
      <c r="I2070" s="164"/>
      <c r="J2070" s="165"/>
      <c r="K2070" s="164"/>
      <c r="L2070" s="165"/>
      <c r="M2070" s="6"/>
      <c r="N2070" s="32"/>
      <c r="Q2070" s="10" t="str">
        <f>+CONCATENATE(E2069,I2069)</f>
        <v>무보온덕트벽체</v>
      </c>
      <c r="R2070" s="10">
        <f>+J2069</f>
        <v>0</v>
      </c>
      <c r="S2070" s="11"/>
      <c r="T2070" s="10" t="str">
        <f>+E2069</f>
        <v>무보온덕트벽체</v>
      </c>
      <c r="U2070" s="19" t="str">
        <f>IFERROR(LEFT(I2069,FIND("*",I2069)-1),"-")</f>
        <v>-</v>
      </c>
      <c r="V2070" s="19" t="str">
        <f>IFERROR(RIGHT(I2069,LEN(I2069)-FIND("*",I2069)),"-")</f>
        <v>-</v>
      </c>
      <c r="W2070" s="20" t="str">
        <f t="shared" ref="W2070:W2077" si="1123">IFERROR((U2070+V2070)*2/1000,"-")</f>
        <v>-</v>
      </c>
      <c r="X2070" s="20" t="str">
        <f>IFERROR(W2070*J2069,"-")</f>
        <v>-</v>
      </c>
      <c r="Z2070" s="85">
        <v>45189</v>
      </c>
    </row>
    <row r="2071" spans="1:26" ht="6.95" customHeight="1" x14ac:dyDescent="0.3">
      <c r="A2071" s="154"/>
      <c r="B2071" s="157"/>
      <c r="C2071" s="158"/>
      <c r="D2071" s="161"/>
      <c r="E2071" s="162"/>
      <c r="F2071" s="163"/>
      <c r="G2071" s="164"/>
      <c r="H2071" s="165"/>
      <c r="I2071" s="164"/>
      <c r="J2071" s="165"/>
      <c r="K2071" s="164"/>
      <c r="L2071" s="165"/>
      <c r="M2071" s="6"/>
      <c r="N2071" s="32"/>
      <c r="Q2071" s="10" t="str">
        <f>+CONCATENATE(E2069,K2069)</f>
        <v>무보온덕트벽체</v>
      </c>
      <c r="R2071" s="10">
        <f>+L2069</f>
        <v>0</v>
      </c>
      <c r="S2071" s="11"/>
      <c r="T2071" s="10" t="str">
        <f>+E2069</f>
        <v>무보온덕트벽체</v>
      </c>
      <c r="U2071" s="19" t="str">
        <f>IFERROR(LEFT(K2069,FIND("*",K2069)-1),"-")</f>
        <v>-</v>
      </c>
      <c r="V2071" s="19" t="str">
        <f>IFERROR(RIGHT(K2069,LEN(K2069)-FIND("*",K2069)),"-")</f>
        <v>-</v>
      </c>
      <c r="W2071" s="20" t="str">
        <f t="shared" si="1123"/>
        <v>-</v>
      </c>
      <c r="X2071" s="20" t="str">
        <f>IFERROR(W2071*L2069,"-")</f>
        <v>-</v>
      </c>
      <c r="Z2071" s="85">
        <v>45189</v>
      </c>
    </row>
    <row r="2072" spans="1:26" ht="6.95" customHeight="1" x14ac:dyDescent="0.3">
      <c r="A2072" s="8"/>
      <c r="B2072" s="157"/>
      <c r="C2072" s="158"/>
      <c r="D2072" s="161" t="s">
        <v>39</v>
      </c>
      <c r="E2072" s="162" t="s">
        <v>188</v>
      </c>
      <c r="F2072" s="163" t="s">
        <v>40</v>
      </c>
      <c r="G2072" s="164" t="s">
        <v>231</v>
      </c>
      <c r="H2072" s="165">
        <v>0.5</v>
      </c>
      <c r="I2072" s="164"/>
      <c r="J2072" s="165"/>
      <c r="K2072" s="164"/>
      <c r="L2072" s="165"/>
      <c r="M2072" s="6"/>
      <c r="N2072" s="32"/>
      <c r="Q2072" s="10" t="str">
        <f>+CONCATENATE(E2072,G2072)</f>
        <v>차열재마감700*300</v>
      </c>
      <c r="R2072" s="10">
        <f>+H2072</f>
        <v>0.5</v>
      </c>
      <c r="S2072" s="11"/>
      <c r="T2072" s="10" t="str">
        <f>+E2072</f>
        <v>차열재마감</v>
      </c>
      <c r="U2072" s="19" t="str">
        <f t="shared" ref="U2072" si="1124">IFERROR(LEFT(G2072,FIND("*",G2072)-1),"-")</f>
        <v>700</v>
      </c>
      <c r="V2072" s="19" t="str">
        <f t="shared" ref="V2072" si="1125">IFERROR(RIGHT(G2072,LEN(G2072)-FIND("*",G2072)),"-")</f>
        <v>300</v>
      </c>
      <c r="W2072" s="20">
        <f t="shared" si="1123"/>
        <v>2</v>
      </c>
      <c r="X2072" s="20">
        <f>IFERROR(W2072*H2072,"-")</f>
        <v>1</v>
      </c>
      <c r="Z2072" s="85">
        <v>45189</v>
      </c>
    </row>
    <row r="2073" spans="1:26" ht="6.95" customHeight="1" x14ac:dyDescent="0.3">
      <c r="A2073" s="5"/>
      <c r="B2073" s="157"/>
      <c r="C2073" s="158"/>
      <c r="D2073" s="161"/>
      <c r="E2073" s="162"/>
      <c r="F2073" s="163"/>
      <c r="G2073" s="164"/>
      <c r="H2073" s="165"/>
      <c r="I2073" s="164"/>
      <c r="J2073" s="165"/>
      <c r="K2073" s="164"/>
      <c r="L2073" s="165"/>
      <c r="M2073" s="6"/>
      <c r="N2073" s="32"/>
      <c r="Q2073" s="10" t="str">
        <f>+CONCATENATE(E2072,I2072)</f>
        <v>차열재마감</v>
      </c>
      <c r="R2073" s="10">
        <f>+J2072</f>
        <v>0</v>
      </c>
      <c r="S2073" s="11"/>
      <c r="T2073" s="10" t="str">
        <f>+E2072</f>
        <v>차열재마감</v>
      </c>
      <c r="U2073" s="19" t="str">
        <f>IFERROR(LEFT(I2072,FIND("*",I2072)-1),"-")</f>
        <v>-</v>
      </c>
      <c r="V2073" s="19" t="str">
        <f>IFERROR(RIGHT(I2072,LEN(I2072)-FIND("*",I2072)),"-")</f>
        <v>-</v>
      </c>
      <c r="W2073" s="20" t="str">
        <f t="shared" si="1123"/>
        <v>-</v>
      </c>
      <c r="X2073" s="20" t="str">
        <f>IFERROR(W2073*J2072,"-")</f>
        <v>-</v>
      </c>
      <c r="Z2073" s="85">
        <v>45189</v>
      </c>
    </row>
    <row r="2074" spans="1:26" ht="6.95" customHeight="1" x14ac:dyDescent="0.3">
      <c r="A2074" s="5"/>
      <c r="B2074" s="157"/>
      <c r="C2074" s="158"/>
      <c r="D2074" s="161"/>
      <c r="E2074" s="162"/>
      <c r="F2074" s="163"/>
      <c r="G2074" s="164"/>
      <c r="H2074" s="165"/>
      <c r="I2074" s="164"/>
      <c r="J2074" s="165"/>
      <c r="K2074" s="164"/>
      <c r="L2074" s="165"/>
      <c r="M2074" s="6"/>
      <c r="N2074" s="32"/>
      <c r="Q2074" s="10" t="str">
        <f>+CONCATENATE(E2072,K2072)</f>
        <v>차열재마감</v>
      </c>
      <c r="R2074" s="10">
        <f>+L2072</f>
        <v>0</v>
      </c>
      <c r="S2074" s="11"/>
      <c r="T2074" s="10" t="str">
        <f>+E2072</f>
        <v>차열재마감</v>
      </c>
      <c r="U2074" s="19" t="str">
        <f>IFERROR(LEFT(K2072,FIND("*",K2072)-1),"-")</f>
        <v>-</v>
      </c>
      <c r="V2074" s="19" t="str">
        <f>IFERROR(RIGHT(K2072,LEN(K2072)-FIND("*",K2072)),"-")</f>
        <v>-</v>
      </c>
      <c r="W2074" s="20" t="str">
        <f t="shared" si="1123"/>
        <v>-</v>
      </c>
      <c r="X2074" s="20" t="str">
        <f>IFERROR(W2074*L2072,"-")</f>
        <v>-</v>
      </c>
      <c r="Z2074" s="85">
        <v>45189</v>
      </c>
    </row>
    <row r="2075" spans="1:26" ht="6.95" customHeight="1" x14ac:dyDescent="0.3">
      <c r="A2075" s="8"/>
      <c r="B2075" s="157"/>
      <c r="C2075" s="158"/>
      <c r="D2075" s="161" t="s">
        <v>39</v>
      </c>
      <c r="E2075" s="162"/>
      <c r="F2075" s="163" t="s">
        <v>40</v>
      </c>
      <c r="G2075" s="164"/>
      <c r="H2075" s="165"/>
      <c r="I2075" s="164"/>
      <c r="J2075" s="165"/>
      <c r="K2075" s="164"/>
      <c r="L2075" s="165"/>
      <c r="M2075" s="6"/>
      <c r="N2075" s="32"/>
      <c r="Q2075" s="10" t="str">
        <f>+CONCATENATE(E2075,G2075)</f>
        <v/>
      </c>
      <c r="R2075" s="10">
        <f>+H2075</f>
        <v>0</v>
      </c>
      <c r="S2075" s="11"/>
      <c r="T2075" s="10">
        <f>+E2075</f>
        <v>0</v>
      </c>
      <c r="U2075" s="19" t="str">
        <f t="shared" ref="U2075" si="1126">IFERROR(LEFT(G2075,FIND("*",G2075)-1),"-")</f>
        <v>-</v>
      </c>
      <c r="V2075" s="19" t="str">
        <f t="shared" ref="V2075" si="1127">IFERROR(RIGHT(G2075,LEN(G2075)-FIND("*",G2075)),"-")</f>
        <v>-</v>
      </c>
      <c r="W2075" s="20" t="str">
        <f t="shared" si="1123"/>
        <v>-</v>
      </c>
      <c r="X2075" s="20" t="str">
        <f>IFERROR(W2075*H2075,"-")</f>
        <v>-</v>
      </c>
      <c r="Z2075" s="85">
        <v>45189</v>
      </c>
    </row>
    <row r="2076" spans="1:26" ht="6.95" customHeight="1" x14ac:dyDescent="0.3">
      <c r="A2076" s="5"/>
      <c r="B2076" s="157"/>
      <c r="C2076" s="158"/>
      <c r="D2076" s="161"/>
      <c r="E2076" s="162"/>
      <c r="F2076" s="163"/>
      <c r="G2076" s="164"/>
      <c r="H2076" s="165"/>
      <c r="I2076" s="164"/>
      <c r="J2076" s="165"/>
      <c r="K2076" s="164"/>
      <c r="L2076" s="165"/>
      <c r="M2076" s="6"/>
      <c r="N2076" s="32"/>
      <c r="Q2076" s="10" t="str">
        <f>+CONCATENATE(E2075,I2075)</f>
        <v/>
      </c>
      <c r="R2076" s="10">
        <f>+J2075</f>
        <v>0</v>
      </c>
      <c r="S2076" s="11"/>
      <c r="T2076" s="10">
        <f>+E2075</f>
        <v>0</v>
      </c>
      <c r="U2076" s="19" t="str">
        <f>IFERROR(LEFT(I2075,FIND("*",I2075)-1),"-")</f>
        <v>-</v>
      </c>
      <c r="V2076" s="19" t="str">
        <f>IFERROR(RIGHT(I2075,LEN(I2075)-FIND("*",I2075)),"-")</f>
        <v>-</v>
      </c>
      <c r="W2076" s="20" t="str">
        <f t="shared" si="1123"/>
        <v>-</v>
      </c>
      <c r="X2076" s="20" t="str">
        <f t="shared" ref="X2076" si="1128">IFERROR(W2076*J2075,"-")</f>
        <v>-</v>
      </c>
      <c r="Z2076" s="85">
        <v>45189</v>
      </c>
    </row>
    <row r="2077" spans="1:26" ht="6.95" customHeight="1" x14ac:dyDescent="0.3">
      <c r="A2077" s="5"/>
      <c r="B2077" s="157"/>
      <c r="C2077" s="158"/>
      <c r="D2077" s="161"/>
      <c r="E2077" s="162"/>
      <c r="F2077" s="163"/>
      <c r="G2077" s="164"/>
      <c r="H2077" s="165"/>
      <c r="I2077" s="164"/>
      <c r="J2077" s="165"/>
      <c r="K2077" s="164"/>
      <c r="L2077" s="165"/>
      <c r="M2077" s="6"/>
      <c r="N2077" s="32"/>
      <c r="Q2077" s="10" t="str">
        <f>+CONCATENATE(E2075,K2075)</f>
        <v/>
      </c>
      <c r="R2077" s="10">
        <f>+L2075</f>
        <v>0</v>
      </c>
      <c r="S2077" s="11"/>
      <c r="T2077" s="10">
        <f>+E2075</f>
        <v>0</v>
      </c>
      <c r="U2077" s="19" t="str">
        <f>IFERROR(LEFT(K2075,FIND("*",K2075)-1),"-")</f>
        <v>-</v>
      </c>
      <c r="V2077" s="19" t="str">
        <f>IFERROR(RIGHT(K2075,LEN(K2075)-FIND("*",K2075)),"-")</f>
        <v>-</v>
      </c>
      <c r="W2077" s="20" t="str">
        <f t="shared" si="1123"/>
        <v>-</v>
      </c>
      <c r="X2077" s="20" t="str">
        <f>IFERROR(W2077*L2075,"-")</f>
        <v>-</v>
      </c>
      <c r="Z2077" s="85">
        <v>45189</v>
      </c>
    </row>
    <row r="2078" spans="1:26" ht="21" customHeight="1" thickBot="1" x14ac:dyDescent="0.35">
      <c r="A2078" s="5"/>
      <c r="B2078" s="159"/>
      <c r="C2078" s="160"/>
      <c r="D2078" s="166" t="s">
        <v>43</v>
      </c>
      <c r="E2078" s="167"/>
      <c r="F2078" s="167"/>
      <c r="G2078" s="168" t="s">
        <v>208</v>
      </c>
      <c r="H2078" s="168"/>
      <c r="I2078" s="168"/>
      <c r="J2078" s="168"/>
      <c r="K2078" s="168"/>
      <c r="L2078" s="168"/>
      <c r="M2078" s="7"/>
      <c r="N2078" s="32"/>
      <c r="Z2078" s="85">
        <v>45189</v>
      </c>
    </row>
    <row r="2079" spans="1:26" ht="9.9499999999999993" customHeight="1" thickBot="1" x14ac:dyDescent="0.35">
      <c r="B2079" s="9"/>
      <c r="C2079" s="109">
        <v>988</v>
      </c>
      <c r="D2079" s="51"/>
      <c r="E2079" s="12"/>
      <c r="F2079" s="51"/>
      <c r="G2079" s="14"/>
      <c r="H2079" s="14"/>
      <c r="I2079" s="14"/>
      <c r="J2079" s="14"/>
      <c r="K2079" s="14"/>
      <c r="L2079" s="14"/>
      <c r="M2079" s="9"/>
      <c r="N2079" s="32"/>
      <c r="U2079" s="18"/>
      <c r="V2079" s="18"/>
      <c r="Z2079" s="85">
        <v>45189</v>
      </c>
    </row>
    <row r="2080" spans="1:26" ht="6.95" customHeight="1" x14ac:dyDescent="0.3">
      <c r="A2080" s="154">
        <f>+A2069+1</f>
        <v>989</v>
      </c>
      <c r="B2080" s="155"/>
      <c r="C2080" s="156"/>
      <c r="D2080" s="161" t="s">
        <v>39</v>
      </c>
      <c r="E2080" s="162" t="s">
        <v>186</v>
      </c>
      <c r="F2080" s="163" t="s">
        <v>40</v>
      </c>
      <c r="G2080" s="164">
        <v>150</v>
      </c>
      <c r="H2080" s="165">
        <v>1</v>
      </c>
      <c r="I2080" s="164">
        <v>40</v>
      </c>
      <c r="J2080" s="165">
        <v>0.5</v>
      </c>
      <c r="K2080" s="164"/>
      <c r="L2080" s="165"/>
      <c r="M2080" s="6"/>
      <c r="N2080" s="32"/>
      <c r="Q2080" s="10" t="str">
        <f>+CONCATENATE(E2080,G2080)</f>
        <v>금속관벽체150</v>
      </c>
      <c r="R2080" s="10">
        <f>+H2080</f>
        <v>1</v>
      </c>
      <c r="S2080" s="11"/>
      <c r="T2080" s="10" t="str">
        <f>+E2080</f>
        <v>금속관벽체</v>
      </c>
      <c r="U2080" s="19" t="str">
        <f>IFERROR(LEFT(G2080,FIND("*",G2080)-1),"-")</f>
        <v>-</v>
      </c>
      <c r="V2080" s="19" t="str">
        <f>IFERROR(RIGHT(G2080,LEN(G2080)-FIND("*",G2080)),"-")</f>
        <v>-</v>
      </c>
      <c r="W2080" s="20" t="str">
        <f>IFERROR((U2080+V2080)*2/1000,"-")</f>
        <v>-</v>
      </c>
      <c r="X2080" s="20" t="str">
        <f>IFERROR(W2080*H2080,"-")</f>
        <v>-</v>
      </c>
      <c r="Z2080" s="85">
        <v>45189</v>
      </c>
    </row>
    <row r="2081" spans="1:26" ht="6.95" customHeight="1" x14ac:dyDescent="0.3">
      <c r="A2081" s="154"/>
      <c r="B2081" s="157"/>
      <c r="C2081" s="158"/>
      <c r="D2081" s="161"/>
      <c r="E2081" s="162"/>
      <c r="F2081" s="163"/>
      <c r="G2081" s="164"/>
      <c r="H2081" s="165"/>
      <c r="I2081" s="164"/>
      <c r="J2081" s="165"/>
      <c r="K2081" s="164"/>
      <c r="L2081" s="165"/>
      <c r="M2081" s="6"/>
      <c r="N2081" s="32"/>
      <c r="Q2081" s="10" t="str">
        <f>+CONCATENATE(E2080,I2080)</f>
        <v>금속관벽체40</v>
      </c>
      <c r="R2081" s="10">
        <f>+J2080</f>
        <v>0.5</v>
      </c>
      <c r="S2081" s="11"/>
      <c r="T2081" s="10" t="str">
        <f>+E2080</f>
        <v>금속관벽체</v>
      </c>
      <c r="U2081" s="19" t="str">
        <f>IFERROR(LEFT(I2080,FIND("*",I2080)-1),"-")</f>
        <v>-</v>
      </c>
      <c r="V2081" s="19" t="str">
        <f>IFERROR(RIGHT(I2080,LEN(I2080)-FIND("*",I2080)),"-")</f>
        <v>-</v>
      </c>
      <c r="W2081" s="20" t="str">
        <f t="shared" ref="W2081:W2088" si="1129">IFERROR((U2081+V2081)*2/1000,"-")</f>
        <v>-</v>
      </c>
      <c r="X2081" s="20" t="str">
        <f>IFERROR(W2081*J2080,"-")</f>
        <v>-</v>
      </c>
      <c r="Z2081" s="85">
        <v>45189</v>
      </c>
    </row>
    <row r="2082" spans="1:26" ht="6.95" customHeight="1" x14ac:dyDescent="0.3">
      <c r="A2082" s="154"/>
      <c r="B2082" s="157"/>
      <c r="C2082" s="158"/>
      <c r="D2082" s="161"/>
      <c r="E2082" s="162"/>
      <c r="F2082" s="163"/>
      <c r="G2082" s="164"/>
      <c r="H2082" s="165"/>
      <c r="I2082" s="164"/>
      <c r="J2082" s="165"/>
      <c r="K2082" s="164"/>
      <c r="L2082" s="165"/>
      <c r="M2082" s="6"/>
      <c r="N2082" s="32"/>
      <c r="Q2082" s="10" t="str">
        <f>+CONCATENATE(E2080,K2080)</f>
        <v>금속관벽체</v>
      </c>
      <c r="R2082" s="10">
        <f>+L2080</f>
        <v>0</v>
      </c>
      <c r="S2082" s="11"/>
      <c r="T2082" s="10" t="str">
        <f>+E2080</f>
        <v>금속관벽체</v>
      </c>
      <c r="U2082" s="19" t="str">
        <f>IFERROR(LEFT(K2080,FIND("*",K2080)-1),"-")</f>
        <v>-</v>
      </c>
      <c r="V2082" s="19" t="str">
        <f>IFERROR(RIGHT(K2080,LEN(K2080)-FIND("*",K2080)),"-")</f>
        <v>-</v>
      </c>
      <c r="W2082" s="20" t="str">
        <f t="shared" si="1129"/>
        <v>-</v>
      </c>
      <c r="X2082" s="20" t="str">
        <f>IFERROR(W2082*L2080,"-")</f>
        <v>-</v>
      </c>
      <c r="Z2082" s="85">
        <v>45189</v>
      </c>
    </row>
    <row r="2083" spans="1:26" ht="6.95" customHeight="1" x14ac:dyDescent="0.3">
      <c r="A2083" s="8"/>
      <c r="B2083" s="157"/>
      <c r="C2083" s="158"/>
      <c r="D2083" s="161" t="s">
        <v>39</v>
      </c>
      <c r="E2083" s="162"/>
      <c r="F2083" s="163" t="s">
        <v>40</v>
      </c>
      <c r="G2083" s="164"/>
      <c r="H2083" s="165"/>
      <c r="I2083" s="164"/>
      <c r="J2083" s="165"/>
      <c r="K2083" s="164"/>
      <c r="L2083" s="165"/>
      <c r="M2083" s="6"/>
      <c r="N2083" s="32"/>
      <c r="Q2083" s="10" t="str">
        <f>+CONCATENATE(E2083,G2083)</f>
        <v/>
      </c>
      <c r="R2083" s="10">
        <f>+H2083</f>
        <v>0</v>
      </c>
      <c r="S2083" s="11"/>
      <c r="T2083" s="10">
        <f>+E2083</f>
        <v>0</v>
      </c>
      <c r="U2083" s="19" t="str">
        <f t="shared" ref="U2083" si="1130">IFERROR(LEFT(G2083,FIND("*",G2083)-1),"-")</f>
        <v>-</v>
      </c>
      <c r="V2083" s="19" t="str">
        <f t="shared" ref="V2083" si="1131">IFERROR(RIGHT(G2083,LEN(G2083)-FIND("*",G2083)),"-")</f>
        <v>-</v>
      </c>
      <c r="W2083" s="20" t="str">
        <f t="shared" si="1129"/>
        <v>-</v>
      </c>
      <c r="X2083" s="20" t="str">
        <f>IFERROR(W2083*H2083,"-")</f>
        <v>-</v>
      </c>
      <c r="Z2083" s="85">
        <v>45189</v>
      </c>
    </row>
    <row r="2084" spans="1:26" ht="6.95" customHeight="1" x14ac:dyDescent="0.3">
      <c r="A2084" s="5"/>
      <c r="B2084" s="157"/>
      <c r="C2084" s="158"/>
      <c r="D2084" s="161"/>
      <c r="E2084" s="162"/>
      <c r="F2084" s="163"/>
      <c r="G2084" s="164"/>
      <c r="H2084" s="165"/>
      <c r="I2084" s="164"/>
      <c r="J2084" s="165"/>
      <c r="K2084" s="164"/>
      <c r="L2084" s="165"/>
      <c r="M2084" s="6"/>
      <c r="N2084" s="32"/>
      <c r="Q2084" s="10" t="str">
        <f>+CONCATENATE(E2083,I2083)</f>
        <v/>
      </c>
      <c r="R2084" s="10">
        <f>+J2083</f>
        <v>0</v>
      </c>
      <c r="S2084" s="11"/>
      <c r="T2084" s="10">
        <f>+E2083</f>
        <v>0</v>
      </c>
      <c r="U2084" s="19" t="str">
        <f>IFERROR(LEFT(I2083,FIND("*",I2083)-1),"-")</f>
        <v>-</v>
      </c>
      <c r="V2084" s="19" t="str">
        <f>IFERROR(RIGHT(I2083,LEN(I2083)-FIND("*",I2083)),"-")</f>
        <v>-</v>
      </c>
      <c r="W2084" s="20" t="str">
        <f t="shared" si="1129"/>
        <v>-</v>
      </c>
      <c r="X2084" s="20" t="str">
        <f>IFERROR(W2084*J2083,"-")</f>
        <v>-</v>
      </c>
      <c r="Z2084" s="85">
        <v>45189</v>
      </c>
    </row>
    <row r="2085" spans="1:26" ht="6.95" customHeight="1" x14ac:dyDescent="0.3">
      <c r="A2085" s="5"/>
      <c r="B2085" s="157"/>
      <c r="C2085" s="158"/>
      <c r="D2085" s="161"/>
      <c r="E2085" s="162"/>
      <c r="F2085" s="163"/>
      <c r="G2085" s="164"/>
      <c r="H2085" s="165"/>
      <c r="I2085" s="164"/>
      <c r="J2085" s="165"/>
      <c r="K2085" s="164"/>
      <c r="L2085" s="165"/>
      <c r="M2085" s="6"/>
      <c r="N2085" s="32"/>
      <c r="Q2085" s="10" t="str">
        <f>+CONCATENATE(E2083,K2083)</f>
        <v/>
      </c>
      <c r="R2085" s="10">
        <f>+L2083</f>
        <v>0</v>
      </c>
      <c r="S2085" s="11"/>
      <c r="T2085" s="10">
        <f>+E2083</f>
        <v>0</v>
      </c>
      <c r="U2085" s="19" t="str">
        <f>IFERROR(LEFT(K2083,FIND("*",K2083)-1),"-")</f>
        <v>-</v>
      </c>
      <c r="V2085" s="19" t="str">
        <f>IFERROR(RIGHT(K2083,LEN(K2083)-FIND("*",K2083)),"-")</f>
        <v>-</v>
      </c>
      <c r="W2085" s="20" t="str">
        <f t="shared" si="1129"/>
        <v>-</v>
      </c>
      <c r="X2085" s="20" t="str">
        <f>IFERROR(W2085*L2083,"-")</f>
        <v>-</v>
      </c>
      <c r="Z2085" s="85">
        <v>45189</v>
      </c>
    </row>
    <row r="2086" spans="1:26" ht="6.95" customHeight="1" x14ac:dyDescent="0.3">
      <c r="A2086" s="8"/>
      <c r="B2086" s="157"/>
      <c r="C2086" s="158"/>
      <c r="D2086" s="161" t="s">
        <v>39</v>
      </c>
      <c r="E2086" s="162"/>
      <c r="F2086" s="163" t="s">
        <v>40</v>
      </c>
      <c r="G2086" s="164"/>
      <c r="H2086" s="165"/>
      <c r="I2086" s="164"/>
      <c r="J2086" s="165"/>
      <c r="K2086" s="164"/>
      <c r="L2086" s="165"/>
      <c r="M2086" s="6"/>
      <c r="N2086" s="32"/>
      <c r="Q2086" s="10" t="str">
        <f>+CONCATENATE(E2086,G2086)</f>
        <v/>
      </c>
      <c r="R2086" s="10">
        <f>+H2086</f>
        <v>0</v>
      </c>
      <c r="S2086" s="11"/>
      <c r="T2086" s="10">
        <f>+E2086</f>
        <v>0</v>
      </c>
      <c r="U2086" s="19" t="str">
        <f t="shared" ref="U2086" si="1132">IFERROR(LEFT(G2086,FIND("*",G2086)-1),"-")</f>
        <v>-</v>
      </c>
      <c r="V2086" s="19" t="str">
        <f t="shared" ref="V2086" si="1133">IFERROR(RIGHT(G2086,LEN(G2086)-FIND("*",G2086)),"-")</f>
        <v>-</v>
      </c>
      <c r="W2086" s="20" t="str">
        <f t="shared" si="1129"/>
        <v>-</v>
      </c>
      <c r="X2086" s="20" t="str">
        <f>IFERROR(W2086*H2086,"-")</f>
        <v>-</v>
      </c>
      <c r="Z2086" s="85">
        <v>45189</v>
      </c>
    </row>
    <row r="2087" spans="1:26" ht="6.95" customHeight="1" x14ac:dyDescent="0.3">
      <c r="A2087" s="5"/>
      <c r="B2087" s="157"/>
      <c r="C2087" s="158"/>
      <c r="D2087" s="161"/>
      <c r="E2087" s="162"/>
      <c r="F2087" s="163"/>
      <c r="G2087" s="164"/>
      <c r="H2087" s="165"/>
      <c r="I2087" s="164"/>
      <c r="J2087" s="165"/>
      <c r="K2087" s="164"/>
      <c r="L2087" s="165"/>
      <c r="M2087" s="6"/>
      <c r="N2087" s="32"/>
      <c r="Q2087" s="10" t="str">
        <f>+CONCATENATE(E2086,I2086)</f>
        <v/>
      </c>
      <c r="R2087" s="10">
        <f>+J2086</f>
        <v>0</v>
      </c>
      <c r="S2087" s="11"/>
      <c r="T2087" s="10">
        <f>+E2086</f>
        <v>0</v>
      </c>
      <c r="U2087" s="19" t="str">
        <f>IFERROR(LEFT(I2086,FIND("*",I2086)-1),"-")</f>
        <v>-</v>
      </c>
      <c r="V2087" s="19" t="str">
        <f>IFERROR(RIGHT(I2086,LEN(I2086)-FIND("*",I2086)),"-")</f>
        <v>-</v>
      </c>
      <c r="W2087" s="20" t="str">
        <f t="shared" si="1129"/>
        <v>-</v>
      </c>
      <c r="X2087" s="20" t="str">
        <f t="shared" ref="X2087" si="1134">IFERROR(W2087*J2086,"-")</f>
        <v>-</v>
      </c>
      <c r="Z2087" s="85">
        <v>45189</v>
      </c>
    </row>
    <row r="2088" spans="1:26" ht="6.95" customHeight="1" x14ac:dyDescent="0.3">
      <c r="A2088" s="5"/>
      <c r="B2088" s="157"/>
      <c r="C2088" s="158"/>
      <c r="D2088" s="161"/>
      <c r="E2088" s="162"/>
      <c r="F2088" s="163"/>
      <c r="G2088" s="164"/>
      <c r="H2088" s="165"/>
      <c r="I2088" s="164"/>
      <c r="J2088" s="165"/>
      <c r="K2088" s="164"/>
      <c r="L2088" s="165"/>
      <c r="M2088" s="6"/>
      <c r="N2088" s="32"/>
      <c r="Q2088" s="10" t="str">
        <f>+CONCATENATE(E2086,K2086)</f>
        <v/>
      </c>
      <c r="R2088" s="10">
        <f>+L2086</f>
        <v>0</v>
      </c>
      <c r="S2088" s="11"/>
      <c r="T2088" s="10">
        <f>+E2086</f>
        <v>0</v>
      </c>
      <c r="U2088" s="19" t="str">
        <f>IFERROR(LEFT(K2086,FIND("*",K2086)-1),"-")</f>
        <v>-</v>
      </c>
      <c r="V2088" s="19" t="str">
        <f>IFERROR(RIGHT(K2086,LEN(K2086)-FIND("*",K2086)),"-")</f>
        <v>-</v>
      </c>
      <c r="W2088" s="20" t="str">
        <f t="shared" si="1129"/>
        <v>-</v>
      </c>
      <c r="X2088" s="20" t="str">
        <f>IFERROR(W2088*L2086,"-")</f>
        <v>-</v>
      </c>
      <c r="Z2088" s="85">
        <v>45189</v>
      </c>
    </row>
    <row r="2089" spans="1:26" ht="21" customHeight="1" thickBot="1" x14ac:dyDescent="0.35">
      <c r="A2089" s="5"/>
      <c r="B2089" s="159"/>
      <c r="C2089" s="160"/>
      <c r="D2089" s="166" t="s">
        <v>43</v>
      </c>
      <c r="E2089" s="167"/>
      <c r="F2089" s="167"/>
      <c r="G2089" s="168" t="s">
        <v>208</v>
      </c>
      <c r="H2089" s="168"/>
      <c r="I2089" s="168"/>
      <c r="J2089" s="168"/>
      <c r="K2089" s="168"/>
      <c r="L2089" s="168"/>
      <c r="M2089" s="7"/>
      <c r="N2089" s="32"/>
      <c r="Z2089" s="85">
        <v>45189</v>
      </c>
    </row>
    <row r="2090" spans="1:26" ht="9.9499999999999993" customHeight="1" thickBot="1" x14ac:dyDescent="0.35">
      <c r="B2090" s="9"/>
      <c r="C2090" s="109">
        <v>989</v>
      </c>
      <c r="D2090" s="51"/>
      <c r="E2090" s="12"/>
      <c r="F2090" s="51"/>
      <c r="G2090" s="14"/>
      <c r="H2090" s="14"/>
      <c r="I2090" s="14"/>
      <c r="J2090" s="14"/>
      <c r="K2090" s="14"/>
      <c r="L2090" s="14"/>
      <c r="M2090" s="9"/>
      <c r="N2090" s="32"/>
      <c r="U2090" s="18"/>
      <c r="V2090" s="18"/>
      <c r="Z2090" s="85">
        <v>45189</v>
      </c>
    </row>
    <row r="2091" spans="1:26" ht="6.95" customHeight="1" x14ac:dyDescent="0.3">
      <c r="A2091" s="154">
        <f>+A2080+1</f>
        <v>990</v>
      </c>
      <c r="B2091" s="155"/>
      <c r="C2091" s="156"/>
      <c r="D2091" s="161" t="s">
        <v>39</v>
      </c>
      <c r="E2091" s="162" t="s">
        <v>186</v>
      </c>
      <c r="F2091" s="163" t="s">
        <v>40</v>
      </c>
      <c r="G2091" s="164">
        <v>150</v>
      </c>
      <c r="H2091" s="165">
        <v>0.5</v>
      </c>
      <c r="I2091" s="164">
        <v>50</v>
      </c>
      <c r="J2091" s="165">
        <v>0.5</v>
      </c>
      <c r="K2091" s="164"/>
      <c r="L2091" s="165"/>
      <c r="M2091" s="6"/>
      <c r="N2091" s="32"/>
      <c r="Q2091" s="10" t="str">
        <f>+CONCATENATE(E2091,G2091)</f>
        <v>금속관벽체150</v>
      </c>
      <c r="R2091" s="10">
        <f>+H2091</f>
        <v>0.5</v>
      </c>
      <c r="S2091" s="11"/>
      <c r="T2091" s="10" t="str">
        <f>+E2091</f>
        <v>금속관벽체</v>
      </c>
      <c r="U2091" s="19" t="str">
        <f>IFERROR(LEFT(G2091,FIND("*",G2091)-1),"-")</f>
        <v>-</v>
      </c>
      <c r="V2091" s="19" t="str">
        <f>IFERROR(RIGHT(G2091,LEN(G2091)-FIND("*",G2091)),"-")</f>
        <v>-</v>
      </c>
      <c r="W2091" s="20" t="str">
        <f>IFERROR((U2091+V2091)*2/1000,"-")</f>
        <v>-</v>
      </c>
      <c r="X2091" s="20" t="str">
        <f>IFERROR(W2091*H2091,"-")</f>
        <v>-</v>
      </c>
      <c r="Z2091" s="85">
        <v>45189</v>
      </c>
    </row>
    <row r="2092" spans="1:26" ht="6.95" customHeight="1" x14ac:dyDescent="0.3">
      <c r="A2092" s="154"/>
      <c r="B2092" s="157"/>
      <c r="C2092" s="158"/>
      <c r="D2092" s="161"/>
      <c r="E2092" s="162"/>
      <c r="F2092" s="163"/>
      <c r="G2092" s="164"/>
      <c r="H2092" s="165"/>
      <c r="I2092" s="164"/>
      <c r="J2092" s="165"/>
      <c r="K2092" s="164"/>
      <c r="L2092" s="165"/>
      <c r="M2092" s="6"/>
      <c r="N2092" s="32"/>
      <c r="Q2092" s="10" t="str">
        <f>+CONCATENATE(E2091,I2091)</f>
        <v>금속관벽체50</v>
      </c>
      <c r="R2092" s="10">
        <f>+J2091</f>
        <v>0.5</v>
      </c>
      <c r="S2092" s="11"/>
      <c r="T2092" s="10" t="str">
        <f>+E2091</f>
        <v>금속관벽체</v>
      </c>
      <c r="U2092" s="19" t="str">
        <f>IFERROR(LEFT(I2091,FIND("*",I2091)-1),"-")</f>
        <v>-</v>
      </c>
      <c r="V2092" s="19" t="str">
        <f>IFERROR(RIGHT(I2091,LEN(I2091)-FIND("*",I2091)),"-")</f>
        <v>-</v>
      </c>
      <c r="W2092" s="20" t="str">
        <f t="shared" ref="W2092:W2099" si="1135">IFERROR((U2092+V2092)*2/1000,"-")</f>
        <v>-</v>
      </c>
      <c r="X2092" s="20" t="str">
        <f>IFERROR(W2092*J2091,"-")</f>
        <v>-</v>
      </c>
      <c r="Z2092" s="85">
        <v>45189</v>
      </c>
    </row>
    <row r="2093" spans="1:26" ht="6.95" customHeight="1" x14ac:dyDescent="0.3">
      <c r="A2093" s="154"/>
      <c r="B2093" s="157"/>
      <c r="C2093" s="158"/>
      <c r="D2093" s="161"/>
      <c r="E2093" s="162"/>
      <c r="F2093" s="163"/>
      <c r="G2093" s="164"/>
      <c r="H2093" s="165"/>
      <c r="I2093" s="164"/>
      <c r="J2093" s="165"/>
      <c r="K2093" s="164"/>
      <c r="L2093" s="165"/>
      <c r="M2093" s="6"/>
      <c r="N2093" s="32"/>
      <c r="Q2093" s="10" t="str">
        <f>+CONCATENATE(E2091,K2091)</f>
        <v>금속관벽체</v>
      </c>
      <c r="R2093" s="10">
        <f>+L2091</f>
        <v>0</v>
      </c>
      <c r="S2093" s="11"/>
      <c r="T2093" s="10" t="str">
        <f>+E2091</f>
        <v>금속관벽체</v>
      </c>
      <c r="U2093" s="19" t="str">
        <f>IFERROR(LEFT(K2091,FIND("*",K2091)-1),"-")</f>
        <v>-</v>
      </c>
      <c r="V2093" s="19" t="str">
        <f>IFERROR(RIGHT(K2091,LEN(K2091)-FIND("*",K2091)),"-")</f>
        <v>-</v>
      </c>
      <c r="W2093" s="20" t="str">
        <f t="shared" si="1135"/>
        <v>-</v>
      </c>
      <c r="X2093" s="20" t="str">
        <f>IFERROR(W2093*L2091,"-")</f>
        <v>-</v>
      </c>
      <c r="Z2093" s="85">
        <v>45189</v>
      </c>
    </row>
    <row r="2094" spans="1:26" ht="6.95" customHeight="1" x14ac:dyDescent="0.3">
      <c r="A2094" s="8"/>
      <c r="B2094" s="157"/>
      <c r="C2094" s="158"/>
      <c r="D2094" s="161" t="s">
        <v>39</v>
      </c>
      <c r="E2094" s="162"/>
      <c r="F2094" s="163" t="s">
        <v>40</v>
      </c>
      <c r="G2094" s="164"/>
      <c r="H2094" s="165"/>
      <c r="I2094" s="164"/>
      <c r="J2094" s="165"/>
      <c r="K2094" s="164"/>
      <c r="L2094" s="165"/>
      <c r="M2094" s="6"/>
      <c r="N2094" s="32"/>
      <c r="Q2094" s="10" t="str">
        <f>+CONCATENATE(E2094,G2094)</f>
        <v/>
      </c>
      <c r="R2094" s="10">
        <f>+H2094</f>
        <v>0</v>
      </c>
      <c r="S2094" s="11"/>
      <c r="T2094" s="10">
        <f>+E2094</f>
        <v>0</v>
      </c>
      <c r="U2094" s="19" t="str">
        <f t="shared" ref="U2094" si="1136">IFERROR(LEFT(G2094,FIND("*",G2094)-1),"-")</f>
        <v>-</v>
      </c>
      <c r="V2094" s="19" t="str">
        <f t="shared" ref="V2094" si="1137">IFERROR(RIGHT(G2094,LEN(G2094)-FIND("*",G2094)),"-")</f>
        <v>-</v>
      </c>
      <c r="W2094" s="20" t="str">
        <f t="shared" si="1135"/>
        <v>-</v>
      </c>
      <c r="X2094" s="20" t="str">
        <f>IFERROR(W2094*H2094,"-")</f>
        <v>-</v>
      </c>
      <c r="Z2094" s="85">
        <v>45189</v>
      </c>
    </row>
    <row r="2095" spans="1:26" ht="6.95" customHeight="1" x14ac:dyDescent="0.3">
      <c r="A2095" s="5"/>
      <c r="B2095" s="157"/>
      <c r="C2095" s="158"/>
      <c r="D2095" s="161"/>
      <c r="E2095" s="162"/>
      <c r="F2095" s="163"/>
      <c r="G2095" s="164"/>
      <c r="H2095" s="165"/>
      <c r="I2095" s="164"/>
      <c r="J2095" s="165"/>
      <c r="K2095" s="164"/>
      <c r="L2095" s="165"/>
      <c r="M2095" s="6"/>
      <c r="N2095" s="32"/>
      <c r="Q2095" s="10" t="str">
        <f>+CONCATENATE(E2094,I2094)</f>
        <v/>
      </c>
      <c r="R2095" s="10">
        <f>+J2094</f>
        <v>0</v>
      </c>
      <c r="S2095" s="11"/>
      <c r="T2095" s="10">
        <f>+E2094</f>
        <v>0</v>
      </c>
      <c r="U2095" s="19" t="str">
        <f>IFERROR(LEFT(I2094,FIND("*",I2094)-1),"-")</f>
        <v>-</v>
      </c>
      <c r="V2095" s="19" t="str">
        <f>IFERROR(RIGHT(I2094,LEN(I2094)-FIND("*",I2094)),"-")</f>
        <v>-</v>
      </c>
      <c r="W2095" s="20" t="str">
        <f t="shared" si="1135"/>
        <v>-</v>
      </c>
      <c r="X2095" s="20" t="str">
        <f>IFERROR(W2095*J2094,"-")</f>
        <v>-</v>
      </c>
      <c r="Z2095" s="85">
        <v>45189</v>
      </c>
    </row>
    <row r="2096" spans="1:26" ht="6.95" customHeight="1" x14ac:dyDescent="0.3">
      <c r="A2096" s="5"/>
      <c r="B2096" s="157"/>
      <c r="C2096" s="158"/>
      <c r="D2096" s="161"/>
      <c r="E2096" s="162"/>
      <c r="F2096" s="163"/>
      <c r="G2096" s="164"/>
      <c r="H2096" s="165"/>
      <c r="I2096" s="164"/>
      <c r="J2096" s="165"/>
      <c r="K2096" s="164"/>
      <c r="L2096" s="165"/>
      <c r="M2096" s="6"/>
      <c r="N2096" s="32"/>
      <c r="Q2096" s="10" t="str">
        <f>+CONCATENATE(E2094,K2094)</f>
        <v/>
      </c>
      <c r="R2096" s="10">
        <f>+L2094</f>
        <v>0</v>
      </c>
      <c r="S2096" s="11"/>
      <c r="T2096" s="10">
        <f>+E2094</f>
        <v>0</v>
      </c>
      <c r="U2096" s="19" t="str">
        <f>IFERROR(LEFT(K2094,FIND("*",K2094)-1),"-")</f>
        <v>-</v>
      </c>
      <c r="V2096" s="19" t="str">
        <f>IFERROR(RIGHT(K2094,LEN(K2094)-FIND("*",K2094)),"-")</f>
        <v>-</v>
      </c>
      <c r="W2096" s="20" t="str">
        <f t="shared" si="1135"/>
        <v>-</v>
      </c>
      <c r="X2096" s="20" t="str">
        <f>IFERROR(W2096*L2094,"-")</f>
        <v>-</v>
      </c>
      <c r="Z2096" s="85">
        <v>45189</v>
      </c>
    </row>
    <row r="2097" spans="1:26" ht="6.95" customHeight="1" x14ac:dyDescent="0.3">
      <c r="A2097" s="8"/>
      <c r="B2097" s="157"/>
      <c r="C2097" s="158"/>
      <c r="D2097" s="161" t="s">
        <v>39</v>
      </c>
      <c r="E2097" s="162"/>
      <c r="F2097" s="163" t="s">
        <v>40</v>
      </c>
      <c r="G2097" s="164"/>
      <c r="H2097" s="165"/>
      <c r="I2097" s="164"/>
      <c r="J2097" s="165"/>
      <c r="K2097" s="164"/>
      <c r="L2097" s="165"/>
      <c r="M2097" s="6"/>
      <c r="N2097" s="32"/>
      <c r="Q2097" s="10" t="str">
        <f>+CONCATENATE(E2097,G2097)</f>
        <v/>
      </c>
      <c r="R2097" s="10">
        <f>+H2097</f>
        <v>0</v>
      </c>
      <c r="S2097" s="11"/>
      <c r="T2097" s="10">
        <f>+E2097</f>
        <v>0</v>
      </c>
      <c r="U2097" s="19" t="str">
        <f t="shared" ref="U2097" si="1138">IFERROR(LEFT(G2097,FIND("*",G2097)-1),"-")</f>
        <v>-</v>
      </c>
      <c r="V2097" s="19" t="str">
        <f t="shared" ref="V2097" si="1139">IFERROR(RIGHT(G2097,LEN(G2097)-FIND("*",G2097)),"-")</f>
        <v>-</v>
      </c>
      <c r="W2097" s="20" t="str">
        <f t="shared" si="1135"/>
        <v>-</v>
      </c>
      <c r="X2097" s="20" t="str">
        <f>IFERROR(W2097*H2097,"-")</f>
        <v>-</v>
      </c>
      <c r="Z2097" s="85">
        <v>45189</v>
      </c>
    </row>
    <row r="2098" spans="1:26" ht="6.95" customHeight="1" x14ac:dyDescent="0.3">
      <c r="A2098" s="5"/>
      <c r="B2098" s="157"/>
      <c r="C2098" s="158"/>
      <c r="D2098" s="161"/>
      <c r="E2098" s="162"/>
      <c r="F2098" s="163"/>
      <c r="G2098" s="164"/>
      <c r="H2098" s="165"/>
      <c r="I2098" s="164"/>
      <c r="J2098" s="165"/>
      <c r="K2098" s="164"/>
      <c r="L2098" s="165"/>
      <c r="M2098" s="6"/>
      <c r="N2098" s="32"/>
      <c r="Q2098" s="10" t="str">
        <f>+CONCATENATE(E2097,I2097)</f>
        <v/>
      </c>
      <c r="R2098" s="10">
        <f>+J2097</f>
        <v>0</v>
      </c>
      <c r="S2098" s="11"/>
      <c r="T2098" s="10">
        <f>+E2097</f>
        <v>0</v>
      </c>
      <c r="U2098" s="19" t="str">
        <f>IFERROR(LEFT(I2097,FIND("*",I2097)-1),"-")</f>
        <v>-</v>
      </c>
      <c r="V2098" s="19" t="str">
        <f>IFERROR(RIGHT(I2097,LEN(I2097)-FIND("*",I2097)),"-")</f>
        <v>-</v>
      </c>
      <c r="W2098" s="20" t="str">
        <f t="shared" si="1135"/>
        <v>-</v>
      </c>
      <c r="X2098" s="20" t="str">
        <f t="shared" ref="X2098" si="1140">IFERROR(W2098*J2097,"-")</f>
        <v>-</v>
      </c>
      <c r="Z2098" s="85">
        <v>45189</v>
      </c>
    </row>
    <row r="2099" spans="1:26" ht="6.95" customHeight="1" x14ac:dyDescent="0.3">
      <c r="A2099" s="5"/>
      <c r="B2099" s="157"/>
      <c r="C2099" s="158"/>
      <c r="D2099" s="161"/>
      <c r="E2099" s="162"/>
      <c r="F2099" s="163"/>
      <c r="G2099" s="164"/>
      <c r="H2099" s="165"/>
      <c r="I2099" s="164"/>
      <c r="J2099" s="165"/>
      <c r="K2099" s="164"/>
      <c r="L2099" s="165"/>
      <c r="M2099" s="6"/>
      <c r="N2099" s="32"/>
      <c r="Q2099" s="10" t="str">
        <f>+CONCATENATE(E2097,K2097)</f>
        <v/>
      </c>
      <c r="R2099" s="10">
        <f>+L2097</f>
        <v>0</v>
      </c>
      <c r="S2099" s="11"/>
      <c r="T2099" s="10">
        <f>+E2097</f>
        <v>0</v>
      </c>
      <c r="U2099" s="19" t="str">
        <f>IFERROR(LEFT(K2097,FIND("*",K2097)-1),"-")</f>
        <v>-</v>
      </c>
      <c r="V2099" s="19" t="str">
        <f>IFERROR(RIGHT(K2097,LEN(K2097)-FIND("*",K2097)),"-")</f>
        <v>-</v>
      </c>
      <c r="W2099" s="20" t="str">
        <f t="shared" si="1135"/>
        <v>-</v>
      </c>
      <c r="X2099" s="20" t="str">
        <f>IFERROR(W2099*L2097,"-")</f>
        <v>-</v>
      </c>
      <c r="Z2099" s="85">
        <v>45189</v>
      </c>
    </row>
    <row r="2100" spans="1:26" ht="21" customHeight="1" thickBot="1" x14ac:dyDescent="0.35">
      <c r="A2100" s="5"/>
      <c r="B2100" s="159"/>
      <c r="C2100" s="160"/>
      <c r="D2100" s="166" t="s">
        <v>43</v>
      </c>
      <c r="E2100" s="167"/>
      <c r="F2100" s="167"/>
      <c r="G2100" s="168" t="s">
        <v>208</v>
      </c>
      <c r="H2100" s="168"/>
      <c r="I2100" s="168"/>
      <c r="J2100" s="168"/>
      <c r="K2100" s="168"/>
      <c r="L2100" s="168"/>
      <c r="M2100" s="7"/>
      <c r="N2100" s="32"/>
      <c r="Z2100" s="85">
        <v>45189</v>
      </c>
    </row>
    <row r="2101" spans="1:26" ht="9.9499999999999993" customHeight="1" thickBot="1" x14ac:dyDescent="0.35">
      <c r="B2101" s="9"/>
      <c r="C2101" s="109">
        <v>990</v>
      </c>
      <c r="D2101" s="51"/>
      <c r="E2101" s="12"/>
      <c r="F2101" s="51"/>
      <c r="G2101" s="14"/>
      <c r="H2101" s="14"/>
      <c r="I2101" s="14"/>
      <c r="J2101" s="14"/>
      <c r="K2101" s="14"/>
      <c r="L2101" s="14"/>
      <c r="M2101" s="9"/>
      <c r="N2101" s="32"/>
      <c r="U2101" s="18"/>
      <c r="V2101" s="18"/>
      <c r="Z2101" s="85">
        <v>45189</v>
      </c>
    </row>
    <row r="2102" spans="1:26" ht="6.95" customHeight="1" x14ac:dyDescent="0.3">
      <c r="A2102" s="154">
        <f>+A2091+1</f>
        <v>991</v>
      </c>
      <c r="B2102" s="155"/>
      <c r="C2102" s="156"/>
      <c r="D2102" s="161" t="s">
        <v>39</v>
      </c>
      <c r="E2102" s="162" t="s">
        <v>186</v>
      </c>
      <c r="F2102" s="163" t="s">
        <v>40</v>
      </c>
      <c r="G2102" s="164">
        <v>150</v>
      </c>
      <c r="H2102" s="165">
        <v>1</v>
      </c>
      <c r="I2102" s="164">
        <v>40</v>
      </c>
      <c r="J2102" s="165">
        <v>0.5</v>
      </c>
      <c r="K2102" s="164"/>
      <c r="L2102" s="165"/>
      <c r="M2102" s="6"/>
      <c r="N2102" s="32"/>
      <c r="Q2102" s="10" t="str">
        <f>+CONCATENATE(E2102,G2102)</f>
        <v>금속관벽체150</v>
      </c>
      <c r="R2102" s="10">
        <f>+H2102</f>
        <v>1</v>
      </c>
      <c r="S2102" s="11"/>
      <c r="T2102" s="10" t="str">
        <f>+E2102</f>
        <v>금속관벽체</v>
      </c>
      <c r="U2102" s="19" t="str">
        <f>IFERROR(LEFT(G2102,FIND("*",G2102)-1),"-")</f>
        <v>-</v>
      </c>
      <c r="V2102" s="19" t="str">
        <f>IFERROR(RIGHT(G2102,LEN(G2102)-FIND("*",G2102)),"-")</f>
        <v>-</v>
      </c>
      <c r="W2102" s="20" t="str">
        <f>IFERROR((U2102+V2102)*2/1000,"-")</f>
        <v>-</v>
      </c>
      <c r="X2102" s="20" t="str">
        <f>IFERROR(W2102*H2102,"-")</f>
        <v>-</v>
      </c>
      <c r="Z2102" s="85">
        <v>45189</v>
      </c>
    </row>
    <row r="2103" spans="1:26" ht="6.95" customHeight="1" x14ac:dyDescent="0.3">
      <c r="A2103" s="154"/>
      <c r="B2103" s="157"/>
      <c r="C2103" s="158"/>
      <c r="D2103" s="161"/>
      <c r="E2103" s="162"/>
      <c r="F2103" s="163"/>
      <c r="G2103" s="164"/>
      <c r="H2103" s="165"/>
      <c r="I2103" s="164"/>
      <c r="J2103" s="165"/>
      <c r="K2103" s="164"/>
      <c r="L2103" s="165"/>
      <c r="M2103" s="6"/>
      <c r="N2103" s="32"/>
      <c r="Q2103" s="10" t="str">
        <f>+CONCATENATE(E2102,I2102)</f>
        <v>금속관벽체40</v>
      </c>
      <c r="R2103" s="10">
        <f>+J2102</f>
        <v>0.5</v>
      </c>
      <c r="S2103" s="11"/>
      <c r="T2103" s="10" t="str">
        <f>+E2102</f>
        <v>금속관벽체</v>
      </c>
      <c r="U2103" s="19" t="str">
        <f>IFERROR(LEFT(I2102,FIND("*",I2102)-1),"-")</f>
        <v>-</v>
      </c>
      <c r="V2103" s="19" t="str">
        <f>IFERROR(RIGHT(I2102,LEN(I2102)-FIND("*",I2102)),"-")</f>
        <v>-</v>
      </c>
      <c r="W2103" s="20" t="str">
        <f t="shared" ref="W2103:W2110" si="1141">IFERROR((U2103+V2103)*2/1000,"-")</f>
        <v>-</v>
      </c>
      <c r="X2103" s="20" t="str">
        <f>IFERROR(W2103*J2102,"-")</f>
        <v>-</v>
      </c>
      <c r="Z2103" s="85">
        <v>45189</v>
      </c>
    </row>
    <row r="2104" spans="1:26" ht="6.95" customHeight="1" x14ac:dyDescent="0.3">
      <c r="A2104" s="154"/>
      <c r="B2104" s="157"/>
      <c r="C2104" s="158"/>
      <c r="D2104" s="161"/>
      <c r="E2104" s="162"/>
      <c r="F2104" s="163"/>
      <c r="G2104" s="164"/>
      <c r="H2104" s="165"/>
      <c r="I2104" s="164"/>
      <c r="J2104" s="165"/>
      <c r="K2104" s="164"/>
      <c r="L2104" s="165"/>
      <c r="M2104" s="6"/>
      <c r="N2104" s="32"/>
      <c r="Q2104" s="10" t="str">
        <f>+CONCATENATE(E2102,K2102)</f>
        <v>금속관벽체</v>
      </c>
      <c r="R2104" s="10">
        <f>+L2102</f>
        <v>0</v>
      </c>
      <c r="S2104" s="11"/>
      <c r="T2104" s="10" t="str">
        <f>+E2102</f>
        <v>금속관벽체</v>
      </c>
      <c r="U2104" s="19" t="str">
        <f>IFERROR(LEFT(K2102,FIND("*",K2102)-1),"-")</f>
        <v>-</v>
      </c>
      <c r="V2104" s="19" t="str">
        <f>IFERROR(RIGHT(K2102,LEN(K2102)-FIND("*",K2102)),"-")</f>
        <v>-</v>
      </c>
      <c r="W2104" s="20" t="str">
        <f t="shared" si="1141"/>
        <v>-</v>
      </c>
      <c r="X2104" s="20" t="str">
        <f>IFERROR(W2104*L2102,"-")</f>
        <v>-</v>
      </c>
      <c r="Z2104" s="85">
        <v>45189</v>
      </c>
    </row>
    <row r="2105" spans="1:26" ht="6.95" customHeight="1" x14ac:dyDescent="0.3">
      <c r="A2105" s="8"/>
      <c r="B2105" s="157"/>
      <c r="C2105" s="158"/>
      <c r="D2105" s="161" t="s">
        <v>39</v>
      </c>
      <c r="E2105" s="162"/>
      <c r="F2105" s="163" t="s">
        <v>40</v>
      </c>
      <c r="G2105" s="164"/>
      <c r="H2105" s="165"/>
      <c r="I2105" s="164"/>
      <c r="J2105" s="165"/>
      <c r="K2105" s="164"/>
      <c r="L2105" s="165"/>
      <c r="M2105" s="6"/>
      <c r="N2105" s="32"/>
      <c r="Q2105" s="10" t="str">
        <f>+CONCATENATE(E2105,G2105)</f>
        <v/>
      </c>
      <c r="R2105" s="10">
        <f>+H2105</f>
        <v>0</v>
      </c>
      <c r="S2105" s="11"/>
      <c r="T2105" s="10">
        <f>+E2105</f>
        <v>0</v>
      </c>
      <c r="U2105" s="19" t="str">
        <f t="shared" ref="U2105" si="1142">IFERROR(LEFT(G2105,FIND("*",G2105)-1),"-")</f>
        <v>-</v>
      </c>
      <c r="V2105" s="19" t="str">
        <f t="shared" ref="V2105" si="1143">IFERROR(RIGHT(G2105,LEN(G2105)-FIND("*",G2105)),"-")</f>
        <v>-</v>
      </c>
      <c r="W2105" s="20" t="str">
        <f t="shared" si="1141"/>
        <v>-</v>
      </c>
      <c r="X2105" s="20" t="str">
        <f>IFERROR(W2105*H2105,"-")</f>
        <v>-</v>
      </c>
      <c r="Z2105" s="85">
        <v>45189</v>
      </c>
    </row>
    <row r="2106" spans="1:26" ht="6.95" customHeight="1" x14ac:dyDescent="0.3">
      <c r="A2106" s="5"/>
      <c r="B2106" s="157"/>
      <c r="C2106" s="158"/>
      <c r="D2106" s="161"/>
      <c r="E2106" s="162"/>
      <c r="F2106" s="163"/>
      <c r="G2106" s="164"/>
      <c r="H2106" s="165"/>
      <c r="I2106" s="164"/>
      <c r="J2106" s="165"/>
      <c r="K2106" s="164"/>
      <c r="L2106" s="165"/>
      <c r="M2106" s="6"/>
      <c r="N2106" s="32"/>
      <c r="Q2106" s="10" t="str">
        <f>+CONCATENATE(E2105,I2105)</f>
        <v/>
      </c>
      <c r="R2106" s="10">
        <f>+J2105</f>
        <v>0</v>
      </c>
      <c r="S2106" s="11"/>
      <c r="T2106" s="10">
        <f>+E2105</f>
        <v>0</v>
      </c>
      <c r="U2106" s="19" t="str">
        <f>IFERROR(LEFT(I2105,FIND("*",I2105)-1),"-")</f>
        <v>-</v>
      </c>
      <c r="V2106" s="19" t="str">
        <f>IFERROR(RIGHT(I2105,LEN(I2105)-FIND("*",I2105)),"-")</f>
        <v>-</v>
      </c>
      <c r="W2106" s="20" t="str">
        <f t="shared" si="1141"/>
        <v>-</v>
      </c>
      <c r="X2106" s="20" t="str">
        <f>IFERROR(W2106*J2105,"-")</f>
        <v>-</v>
      </c>
      <c r="Z2106" s="85">
        <v>45189</v>
      </c>
    </row>
    <row r="2107" spans="1:26" ht="6.95" customHeight="1" x14ac:dyDescent="0.3">
      <c r="A2107" s="5"/>
      <c r="B2107" s="157"/>
      <c r="C2107" s="158"/>
      <c r="D2107" s="161"/>
      <c r="E2107" s="162"/>
      <c r="F2107" s="163"/>
      <c r="G2107" s="164"/>
      <c r="H2107" s="165"/>
      <c r="I2107" s="164"/>
      <c r="J2107" s="165"/>
      <c r="K2107" s="164"/>
      <c r="L2107" s="165"/>
      <c r="M2107" s="6"/>
      <c r="N2107" s="32"/>
      <c r="Q2107" s="10" t="str">
        <f>+CONCATENATE(E2105,K2105)</f>
        <v/>
      </c>
      <c r="R2107" s="10">
        <f>+L2105</f>
        <v>0</v>
      </c>
      <c r="S2107" s="11"/>
      <c r="T2107" s="10">
        <f>+E2105</f>
        <v>0</v>
      </c>
      <c r="U2107" s="19" t="str">
        <f>IFERROR(LEFT(K2105,FIND("*",K2105)-1),"-")</f>
        <v>-</v>
      </c>
      <c r="V2107" s="19" t="str">
        <f>IFERROR(RIGHT(K2105,LEN(K2105)-FIND("*",K2105)),"-")</f>
        <v>-</v>
      </c>
      <c r="W2107" s="20" t="str">
        <f t="shared" si="1141"/>
        <v>-</v>
      </c>
      <c r="X2107" s="20" t="str">
        <f>IFERROR(W2107*L2105,"-")</f>
        <v>-</v>
      </c>
      <c r="Z2107" s="85">
        <v>45189</v>
      </c>
    </row>
    <row r="2108" spans="1:26" ht="6.95" customHeight="1" x14ac:dyDescent="0.3">
      <c r="A2108" s="8"/>
      <c r="B2108" s="157"/>
      <c r="C2108" s="158"/>
      <c r="D2108" s="161" t="s">
        <v>39</v>
      </c>
      <c r="E2108" s="162"/>
      <c r="F2108" s="163" t="s">
        <v>40</v>
      </c>
      <c r="G2108" s="164"/>
      <c r="H2108" s="165"/>
      <c r="I2108" s="164"/>
      <c r="J2108" s="165"/>
      <c r="K2108" s="164"/>
      <c r="L2108" s="165"/>
      <c r="M2108" s="6"/>
      <c r="N2108" s="32"/>
      <c r="Q2108" s="10" t="str">
        <f>+CONCATENATE(E2108,G2108)</f>
        <v/>
      </c>
      <c r="R2108" s="10">
        <f>+H2108</f>
        <v>0</v>
      </c>
      <c r="S2108" s="11"/>
      <c r="T2108" s="10">
        <f>+E2108</f>
        <v>0</v>
      </c>
      <c r="U2108" s="19" t="str">
        <f t="shared" ref="U2108" si="1144">IFERROR(LEFT(G2108,FIND("*",G2108)-1),"-")</f>
        <v>-</v>
      </c>
      <c r="V2108" s="19" t="str">
        <f t="shared" ref="V2108" si="1145">IFERROR(RIGHT(G2108,LEN(G2108)-FIND("*",G2108)),"-")</f>
        <v>-</v>
      </c>
      <c r="W2108" s="20" t="str">
        <f t="shared" si="1141"/>
        <v>-</v>
      </c>
      <c r="X2108" s="20" t="str">
        <f>IFERROR(W2108*H2108,"-")</f>
        <v>-</v>
      </c>
      <c r="Z2108" s="85">
        <v>45189</v>
      </c>
    </row>
    <row r="2109" spans="1:26" ht="6.95" customHeight="1" x14ac:dyDescent="0.3">
      <c r="A2109" s="5"/>
      <c r="B2109" s="157"/>
      <c r="C2109" s="158"/>
      <c r="D2109" s="161"/>
      <c r="E2109" s="162"/>
      <c r="F2109" s="163"/>
      <c r="G2109" s="164"/>
      <c r="H2109" s="165"/>
      <c r="I2109" s="164"/>
      <c r="J2109" s="165"/>
      <c r="K2109" s="164"/>
      <c r="L2109" s="165"/>
      <c r="M2109" s="6"/>
      <c r="N2109" s="32"/>
      <c r="Q2109" s="10" t="str">
        <f>+CONCATENATE(E2108,I2108)</f>
        <v/>
      </c>
      <c r="R2109" s="10">
        <f>+J2108</f>
        <v>0</v>
      </c>
      <c r="S2109" s="11"/>
      <c r="T2109" s="10">
        <f>+E2108</f>
        <v>0</v>
      </c>
      <c r="U2109" s="19" t="str">
        <f>IFERROR(LEFT(I2108,FIND("*",I2108)-1),"-")</f>
        <v>-</v>
      </c>
      <c r="V2109" s="19" t="str">
        <f>IFERROR(RIGHT(I2108,LEN(I2108)-FIND("*",I2108)),"-")</f>
        <v>-</v>
      </c>
      <c r="W2109" s="20" t="str">
        <f t="shared" si="1141"/>
        <v>-</v>
      </c>
      <c r="X2109" s="20" t="str">
        <f t="shared" ref="X2109" si="1146">IFERROR(W2109*J2108,"-")</f>
        <v>-</v>
      </c>
      <c r="Z2109" s="85">
        <v>45189</v>
      </c>
    </row>
    <row r="2110" spans="1:26" ht="6.95" customHeight="1" x14ac:dyDescent="0.3">
      <c r="A2110" s="5"/>
      <c r="B2110" s="157"/>
      <c r="C2110" s="158"/>
      <c r="D2110" s="161"/>
      <c r="E2110" s="162"/>
      <c r="F2110" s="163"/>
      <c r="G2110" s="164"/>
      <c r="H2110" s="165"/>
      <c r="I2110" s="164"/>
      <c r="J2110" s="165"/>
      <c r="K2110" s="164"/>
      <c r="L2110" s="165"/>
      <c r="M2110" s="6"/>
      <c r="N2110" s="32"/>
      <c r="Q2110" s="10" t="str">
        <f>+CONCATENATE(E2108,K2108)</f>
        <v/>
      </c>
      <c r="R2110" s="10">
        <f>+L2108</f>
        <v>0</v>
      </c>
      <c r="S2110" s="11"/>
      <c r="T2110" s="10">
        <f>+E2108</f>
        <v>0</v>
      </c>
      <c r="U2110" s="19" t="str">
        <f>IFERROR(LEFT(K2108,FIND("*",K2108)-1),"-")</f>
        <v>-</v>
      </c>
      <c r="V2110" s="19" t="str">
        <f>IFERROR(RIGHT(K2108,LEN(K2108)-FIND("*",K2108)),"-")</f>
        <v>-</v>
      </c>
      <c r="W2110" s="20" t="str">
        <f t="shared" si="1141"/>
        <v>-</v>
      </c>
      <c r="X2110" s="20" t="str">
        <f>IFERROR(W2110*L2108,"-")</f>
        <v>-</v>
      </c>
      <c r="Z2110" s="85">
        <v>45189</v>
      </c>
    </row>
    <row r="2111" spans="1:26" ht="21" customHeight="1" thickBot="1" x14ac:dyDescent="0.35">
      <c r="A2111" s="5"/>
      <c r="B2111" s="159"/>
      <c r="C2111" s="160"/>
      <c r="D2111" s="166" t="s">
        <v>43</v>
      </c>
      <c r="E2111" s="167"/>
      <c r="F2111" s="167"/>
      <c r="G2111" s="168" t="s">
        <v>208</v>
      </c>
      <c r="H2111" s="168"/>
      <c r="I2111" s="168"/>
      <c r="J2111" s="168"/>
      <c r="K2111" s="168"/>
      <c r="L2111" s="168"/>
      <c r="M2111" s="7"/>
      <c r="N2111" s="32"/>
      <c r="Z2111" s="85">
        <v>45189</v>
      </c>
    </row>
    <row r="2112" spans="1:26" ht="9.9499999999999993" customHeight="1" thickBot="1" x14ac:dyDescent="0.35">
      <c r="B2112" s="9"/>
      <c r="C2112" s="109">
        <v>991</v>
      </c>
      <c r="D2112" s="51"/>
      <c r="E2112" s="12"/>
      <c r="F2112" s="51"/>
      <c r="G2112" s="14"/>
      <c r="H2112" s="14"/>
      <c r="I2112" s="14"/>
      <c r="J2112" s="14"/>
      <c r="K2112" s="14"/>
      <c r="L2112" s="14"/>
      <c r="M2112" s="9"/>
      <c r="N2112" s="32"/>
      <c r="U2112" s="18"/>
      <c r="V2112" s="18"/>
      <c r="Z2112" s="85">
        <v>45189</v>
      </c>
    </row>
    <row r="2113" spans="1:26" ht="6.95" customHeight="1" x14ac:dyDescent="0.3">
      <c r="A2113" s="154">
        <f>+A2102+1</f>
        <v>992</v>
      </c>
      <c r="B2113" s="155"/>
      <c r="C2113" s="156"/>
      <c r="D2113" s="161" t="s">
        <v>39</v>
      </c>
      <c r="E2113" s="162" t="s">
        <v>186</v>
      </c>
      <c r="F2113" s="163" t="s">
        <v>40</v>
      </c>
      <c r="G2113" s="164">
        <v>100</v>
      </c>
      <c r="H2113" s="165">
        <v>2</v>
      </c>
      <c r="I2113" s="164">
        <v>40</v>
      </c>
      <c r="J2113" s="165">
        <v>0.5</v>
      </c>
      <c r="K2113" s="164"/>
      <c r="L2113" s="165"/>
      <c r="M2113" s="6"/>
      <c r="N2113" s="32"/>
      <c r="Q2113" s="10" t="str">
        <f>+CONCATENATE(E2113,G2113)</f>
        <v>금속관벽체100</v>
      </c>
      <c r="R2113" s="10">
        <f>+H2113</f>
        <v>2</v>
      </c>
      <c r="S2113" s="11"/>
      <c r="T2113" s="10" t="str">
        <f>+E2113</f>
        <v>금속관벽체</v>
      </c>
      <c r="U2113" s="19" t="str">
        <f>IFERROR(LEFT(G2113,FIND("*",G2113)-1),"-")</f>
        <v>-</v>
      </c>
      <c r="V2113" s="19" t="str">
        <f>IFERROR(RIGHT(G2113,LEN(G2113)-FIND("*",G2113)),"-")</f>
        <v>-</v>
      </c>
      <c r="W2113" s="20" t="str">
        <f>IFERROR((U2113+V2113)*2/1000,"-")</f>
        <v>-</v>
      </c>
      <c r="X2113" s="20" t="str">
        <f>IFERROR(W2113*H2113,"-")</f>
        <v>-</v>
      </c>
      <c r="Z2113" s="85">
        <v>45189</v>
      </c>
    </row>
    <row r="2114" spans="1:26" ht="6.95" customHeight="1" x14ac:dyDescent="0.3">
      <c r="A2114" s="154"/>
      <c r="B2114" s="157"/>
      <c r="C2114" s="158"/>
      <c r="D2114" s="161"/>
      <c r="E2114" s="162"/>
      <c r="F2114" s="163"/>
      <c r="G2114" s="164"/>
      <c r="H2114" s="165"/>
      <c r="I2114" s="164"/>
      <c r="J2114" s="165"/>
      <c r="K2114" s="164"/>
      <c r="L2114" s="165"/>
      <c r="M2114" s="6"/>
      <c r="N2114" s="32"/>
      <c r="Q2114" s="10" t="str">
        <f>+CONCATENATE(E2113,I2113)</f>
        <v>금속관벽체40</v>
      </c>
      <c r="R2114" s="10">
        <f>+J2113</f>
        <v>0.5</v>
      </c>
      <c r="S2114" s="11"/>
      <c r="T2114" s="10" t="str">
        <f>+E2113</f>
        <v>금속관벽체</v>
      </c>
      <c r="U2114" s="19" t="str">
        <f>IFERROR(LEFT(I2113,FIND("*",I2113)-1),"-")</f>
        <v>-</v>
      </c>
      <c r="V2114" s="19" t="str">
        <f>IFERROR(RIGHT(I2113,LEN(I2113)-FIND("*",I2113)),"-")</f>
        <v>-</v>
      </c>
      <c r="W2114" s="20" t="str">
        <f t="shared" ref="W2114:W2121" si="1147">IFERROR((U2114+V2114)*2/1000,"-")</f>
        <v>-</v>
      </c>
      <c r="X2114" s="20" t="str">
        <f>IFERROR(W2114*J2113,"-")</f>
        <v>-</v>
      </c>
      <c r="Z2114" s="85">
        <v>45189</v>
      </c>
    </row>
    <row r="2115" spans="1:26" ht="6.95" customHeight="1" x14ac:dyDescent="0.3">
      <c r="A2115" s="154"/>
      <c r="B2115" s="157"/>
      <c r="C2115" s="158"/>
      <c r="D2115" s="161"/>
      <c r="E2115" s="162"/>
      <c r="F2115" s="163"/>
      <c r="G2115" s="164"/>
      <c r="H2115" s="165"/>
      <c r="I2115" s="164"/>
      <c r="J2115" s="165"/>
      <c r="K2115" s="164"/>
      <c r="L2115" s="165"/>
      <c r="M2115" s="6"/>
      <c r="N2115" s="32"/>
      <c r="Q2115" s="10" t="str">
        <f>+CONCATENATE(E2113,K2113)</f>
        <v>금속관벽체</v>
      </c>
      <c r="R2115" s="10">
        <f>+L2113</f>
        <v>0</v>
      </c>
      <c r="S2115" s="11"/>
      <c r="T2115" s="10" t="str">
        <f>+E2113</f>
        <v>금속관벽체</v>
      </c>
      <c r="U2115" s="19" t="str">
        <f>IFERROR(LEFT(K2113,FIND("*",K2113)-1),"-")</f>
        <v>-</v>
      </c>
      <c r="V2115" s="19" t="str">
        <f>IFERROR(RIGHT(K2113,LEN(K2113)-FIND("*",K2113)),"-")</f>
        <v>-</v>
      </c>
      <c r="W2115" s="20" t="str">
        <f t="shared" si="1147"/>
        <v>-</v>
      </c>
      <c r="X2115" s="20" t="str">
        <f>IFERROR(W2115*L2113,"-")</f>
        <v>-</v>
      </c>
      <c r="Z2115" s="85">
        <v>45189</v>
      </c>
    </row>
    <row r="2116" spans="1:26" ht="6.95" customHeight="1" x14ac:dyDescent="0.3">
      <c r="A2116" s="8"/>
      <c r="B2116" s="157"/>
      <c r="C2116" s="158"/>
      <c r="D2116" s="161" t="s">
        <v>39</v>
      </c>
      <c r="E2116" s="162"/>
      <c r="F2116" s="163" t="s">
        <v>40</v>
      </c>
      <c r="G2116" s="164"/>
      <c r="H2116" s="165"/>
      <c r="I2116" s="164"/>
      <c r="J2116" s="165"/>
      <c r="K2116" s="164"/>
      <c r="L2116" s="165"/>
      <c r="M2116" s="6"/>
      <c r="N2116" s="32"/>
      <c r="Q2116" s="10" t="str">
        <f>+CONCATENATE(E2116,G2116)</f>
        <v/>
      </c>
      <c r="R2116" s="10">
        <f>+H2116</f>
        <v>0</v>
      </c>
      <c r="S2116" s="11"/>
      <c r="T2116" s="10">
        <f>+E2116</f>
        <v>0</v>
      </c>
      <c r="U2116" s="19" t="str">
        <f t="shared" ref="U2116" si="1148">IFERROR(LEFT(G2116,FIND("*",G2116)-1),"-")</f>
        <v>-</v>
      </c>
      <c r="V2116" s="19" t="str">
        <f t="shared" ref="V2116" si="1149">IFERROR(RIGHT(G2116,LEN(G2116)-FIND("*",G2116)),"-")</f>
        <v>-</v>
      </c>
      <c r="W2116" s="20" t="str">
        <f t="shared" si="1147"/>
        <v>-</v>
      </c>
      <c r="X2116" s="20" t="str">
        <f>IFERROR(W2116*H2116,"-")</f>
        <v>-</v>
      </c>
      <c r="Z2116" s="85">
        <v>45189</v>
      </c>
    </row>
    <row r="2117" spans="1:26" ht="6.95" customHeight="1" x14ac:dyDescent="0.3">
      <c r="A2117" s="5"/>
      <c r="B2117" s="157"/>
      <c r="C2117" s="158"/>
      <c r="D2117" s="161"/>
      <c r="E2117" s="162"/>
      <c r="F2117" s="163"/>
      <c r="G2117" s="164"/>
      <c r="H2117" s="165"/>
      <c r="I2117" s="164"/>
      <c r="J2117" s="165"/>
      <c r="K2117" s="164"/>
      <c r="L2117" s="165"/>
      <c r="M2117" s="6"/>
      <c r="N2117" s="32"/>
      <c r="Q2117" s="10" t="str">
        <f>+CONCATENATE(E2116,I2116)</f>
        <v/>
      </c>
      <c r="R2117" s="10">
        <f>+J2116</f>
        <v>0</v>
      </c>
      <c r="S2117" s="11"/>
      <c r="T2117" s="10">
        <f>+E2116</f>
        <v>0</v>
      </c>
      <c r="U2117" s="19" t="str">
        <f>IFERROR(LEFT(I2116,FIND("*",I2116)-1),"-")</f>
        <v>-</v>
      </c>
      <c r="V2117" s="19" t="str">
        <f>IFERROR(RIGHT(I2116,LEN(I2116)-FIND("*",I2116)),"-")</f>
        <v>-</v>
      </c>
      <c r="W2117" s="20" t="str">
        <f t="shared" si="1147"/>
        <v>-</v>
      </c>
      <c r="X2117" s="20" t="str">
        <f>IFERROR(W2117*J2116,"-")</f>
        <v>-</v>
      </c>
      <c r="Z2117" s="85">
        <v>45189</v>
      </c>
    </row>
    <row r="2118" spans="1:26" ht="6.95" customHeight="1" x14ac:dyDescent="0.3">
      <c r="A2118" s="5"/>
      <c r="B2118" s="157"/>
      <c r="C2118" s="158"/>
      <c r="D2118" s="161"/>
      <c r="E2118" s="162"/>
      <c r="F2118" s="163"/>
      <c r="G2118" s="164"/>
      <c r="H2118" s="165"/>
      <c r="I2118" s="164"/>
      <c r="J2118" s="165"/>
      <c r="K2118" s="164"/>
      <c r="L2118" s="165"/>
      <c r="M2118" s="6"/>
      <c r="N2118" s="32"/>
      <c r="Q2118" s="10" t="str">
        <f>+CONCATENATE(E2116,K2116)</f>
        <v/>
      </c>
      <c r="R2118" s="10">
        <f>+L2116</f>
        <v>0</v>
      </c>
      <c r="S2118" s="11"/>
      <c r="T2118" s="10">
        <f>+E2116</f>
        <v>0</v>
      </c>
      <c r="U2118" s="19" t="str">
        <f>IFERROR(LEFT(K2116,FIND("*",K2116)-1),"-")</f>
        <v>-</v>
      </c>
      <c r="V2118" s="19" t="str">
        <f>IFERROR(RIGHT(K2116,LEN(K2116)-FIND("*",K2116)),"-")</f>
        <v>-</v>
      </c>
      <c r="W2118" s="20" t="str">
        <f t="shared" si="1147"/>
        <v>-</v>
      </c>
      <c r="X2118" s="20" t="str">
        <f>IFERROR(W2118*L2116,"-")</f>
        <v>-</v>
      </c>
      <c r="Z2118" s="85">
        <v>45189</v>
      </c>
    </row>
    <row r="2119" spans="1:26" ht="6.95" customHeight="1" x14ac:dyDescent="0.3">
      <c r="A2119" s="8"/>
      <c r="B2119" s="157"/>
      <c r="C2119" s="158"/>
      <c r="D2119" s="161" t="s">
        <v>39</v>
      </c>
      <c r="E2119" s="162"/>
      <c r="F2119" s="163" t="s">
        <v>40</v>
      </c>
      <c r="G2119" s="164"/>
      <c r="H2119" s="165"/>
      <c r="I2119" s="164"/>
      <c r="J2119" s="165"/>
      <c r="K2119" s="164"/>
      <c r="L2119" s="165"/>
      <c r="M2119" s="6"/>
      <c r="N2119" s="32"/>
      <c r="Q2119" s="10" t="str">
        <f>+CONCATENATE(E2119,G2119)</f>
        <v/>
      </c>
      <c r="R2119" s="10">
        <f>+H2119</f>
        <v>0</v>
      </c>
      <c r="S2119" s="11"/>
      <c r="T2119" s="10">
        <f>+E2119</f>
        <v>0</v>
      </c>
      <c r="U2119" s="19" t="str">
        <f t="shared" ref="U2119" si="1150">IFERROR(LEFT(G2119,FIND("*",G2119)-1),"-")</f>
        <v>-</v>
      </c>
      <c r="V2119" s="19" t="str">
        <f t="shared" ref="V2119" si="1151">IFERROR(RIGHT(G2119,LEN(G2119)-FIND("*",G2119)),"-")</f>
        <v>-</v>
      </c>
      <c r="W2119" s="20" t="str">
        <f t="shared" si="1147"/>
        <v>-</v>
      </c>
      <c r="X2119" s="20" t="str">
        <f>IFERROR(W2119*H2119,"-")</f>
        <v>-</v>
      </c>
      <c r="Z2119" s="85">
        <v>45189</v>
      </c>
    </row>
    <row r="2120" spans="1:26" ht="6.95" customHeight="1" x14ac:dyDescent="0.3">
      <c r="A2120" s="5"/>
      <c r="B2120" s="157"/>
      <c r="C2120" s="158"/>
      <c r="D2120" s="161"/>
      <c r="E2120" s="162"/>
      <c r="F2120" s="163"/>
      <c r="G2120" s="164"/>
      <c r="H2120" s="165"/>
      <c r="I2120" s="164"/>
      <c r="J2120" s="165"/>
      <c r="K2120" s="164"/>
      <c r="L2120" s="165"/>
      <c r="M2120" s="6"/>
      <c r="N2120" s="32"/>
      <c r="Q2120" s="10" t="str">
        <f>+CONCATENATE(E2119,I2119)</f>
        <v/>
      </c>
      <c r="R2120" s="10">
        <f>+J2119</f>
        <v>0</v>
      </c>
      <c r="S2120" s="11"/>
      <c r="T2120" s="10">
        <f>+E2119</f>
        <v>0</v>
      </c>
      <c r="U2120" s="19" t="str">
        <f>IFERROR(LEFT(I2119,FIND("*",I2119)-1),"-")</f>
        <v>-</v>
      </c>
      <c r="V2120" s="19" t="str">
        <f>IFERROR(RIGHT(I2119,LEN(I2119)-FIND("*",I2119)),"-")</f>
        <v>-</v>
      </c>
      <c r="W2120" s="20" t="str">
        <f t="shared" si="1147"/>
        <v>-</v>
      </c>
      <c r="X2120" s="20" t="str">
        <f t="shared" ref="X2120" si="1152">IFERROR(W2120*J2119,"-")</f>
        <v>-</v>
      </c>
      <c r="Z2120" s="85">
        <v>45189</v>
      </c>
    </row>
    <row r="2121" spans="1:26" ht="6.95" customHeight="1" x14ac:dyDescent="0.3">
      <c r="A2121" s="5"/>
      <c r="B2121" s="157"/>
      <c r="C2121" s="158"/>
      <c r="D2121" s="161"/>
      <c r="E2121" s="162"/>
      <c r="F2121" s="163"/>
      <c r="G2121" s="164"/>
      <c r="H2121" s="165"/>
      <c r="I2121" s="164"/>
      <c r="J2121" s="165"/>
      <c r="K2121" s="164"/>
      <c r="L2121" s="165"/>
      <c r="M2121" s="6"/>
      <c r="N2121" s="32"/>
      <c r="Q2121" s="10" t="str">
        <f>+CONCATENATE(E2119,K2119)</f>
        <v/>
      </c>
      <c r="R2121" s="10">
        <f>+L2119</f>
        <v>0</v>
      </c>
      <c r="S2121" s="11"/>
      <c r="T2121" s="10">
        <f>+E2119</f>
        <v>0</v>
      </c>
      <c r="U2121" s="19" t="str">
        <f>IFERROR(LEFT(K2119,FIND("*",K2119)-1),"-")</f>
        <v>-</v>
      </c>
      <c r="V2121" s="19" t="str">
        <f>IFERROR(RIGHT(K2119,LEN(K2119)-FIND("*",K2119)),"-")</f>
        <v>-</v>
      </c>
      <c r="W2121" s="20" t="str">
        <f t="shared" si="1147"/>
        <v>-</v>
      </c>
      <c r="X2121" s="20" t="str">
        <f>IFERROR(W2121*L2119,"-")</f>
        <v>-</v>
      </c>
      <c r="Z2121" s="85">
        <v>45189</v>
      </c>
    </row>
    <row r="2122" spans="1:26" ht="21" customHeight="1" thickBot="1" x14ac:dyDescent="0.35">
      <c r="A2122" s="5"/>
      <c r="B2122" s="159"/>
      <c r="C2122" s="160"/>
      <c r="D2122" s="166" t="s">
        <v>43</v>
      </c>
      <c r="E2122" s="167"/>
      <c r="F2122" s="167"/>
      <c r="G2122" s="168" t="s">
        <v>208</v>
      </c>
      <c r="H2122" s="168"/>
      <c r="I2122" s="168"/>
      <c r="J2122" s="168"/>
      <c r="K2122" s="168"/>
      <c r="L2122" s="168"/>
      <c r="M2122" s="7"/>
      <c r="N2122" s="32"/>
      <c r="Z2122" s="85">
        <v>45189</v>
      </c>
    </row>
    <row r="2123" spans="1:26" ht="9.9499999999999993" customHeight="1" thickBot="1" x14ac:dyDescent="0.35">
      <c r="B2123" s="9"/>
      <c r="C2123" s="109">
        <v>992</v>
      </c>
      <c r="D2123" s="51"/>
      <c r="E2123" s="12"/>
      <c r="F2123" s="51"/>
      <c r="G2123" s="14"/>
      <c r="H2123" s="14"/>
      <c r="I2123" s="14"/>
      <c r="J2123" s="14"/>
      <c r="K2123" s="14"/>
      <c r="L2123" s="14"/>
      <c r="M2123" s="9"/>
      <c r="N2123" s="32"/>
      <c r="U2123" s="18"/>
      <c r="V2123" s="18"/>
      <c r="Z2123" s="85">
        <v>45189</v>
      </c>
    </row>
    <row r="2124" spans="1:26" ht="6.95" customHeight="1" x14ac:dyDescent="0.3">
      <c r="A2124" s="154">
        <f>+A2113+1</f>
        <v>993</v>
      </c>
      <c r="B2124" s="155"/>
      <c r="C2124" s="156"/>
      <c r="D2124" s="161" t="s">
        <v>39</v>
      </c>
      <c r="E2124" s="162" t="s">
        <v>186</v>
      </c>
      <c r="F2124" s="163" t="s">
        <v>40</v>
      </c>
      <c r="G2124" s="164">
        <v>40</v>
      </c>
      <c r="H2124" s="165">
        <v>0.5</v>
      </c>
      <c r="I2124" s="164"/>
      <c r="J2124" s="165"/>
      <c r="K2124" s="164"/>
      <c r="L2124" s="165"/>
      <c r="M2124" s="6"/>
      <c r="N2124" s="32"/>
      <c r="Q2124" s="10" t="str">
        <f>+CONCATENATE(E2124,G2124)</f>
        <v>금속관벽체40</v>
      </c>
      <c r="R2124" s="10">
        <f>+H2124</f>
        <v>0.5</v>
      </c>
      <c r="S2124" s="11"/>
      <c r="T2124" s="10" t="str">
        <f>+E2124</f>
        <v>금속관벽체</v>
      </c>
      <c r="U2124" s="19" t="str">
        <f>IFERROR(LEFT(G2124,FIND("*",G2124)-1),"-")</f>
        <v>-</v>
      </c>
      <c r="V2124" s="19" t="str">
        <f>IFERROR(RIGHT(G2124,LEN(G2124)-FIND("*",G2124)),"-")</f>
        <v>-</v>
      </c>
      <c r="W2124" s="20" t="str">
        <f>IFERROR((U2124+V2124)*2/1000,"-")</f>
        <v>-</v>
      </c>
      <c r="X2124" s="20" t="str">
        <f>IFERROR(W2124*H2124,"-")</f>
        <v>-</v>
      </c>
      <c r="Z2124" s="85">
        <v>45189</v>
      </c>
    </row>
    <row r="2125" spans="1:26" ht="6.95" customHeight="1" x14ac:dyDescent="0.3">
      <c r="A2125" s="154"/>
      <c r="B2125" s="157"/>
      <c r="C2125" s="158"/>
      <c r="D2125" s="161"/>
      <c r="E2125" s="162"/>
      <c r="F2125" s="163"/>
      <c r="G2125" s="164"/>
      <c r="H2125" s="165"/>
      <c r="I2125" s="164"/>
      <c r="J2125" s="165"/>
      <c r="K2125" s="164"/>
      <c r="L2125" s="165"/>
      <c r="M2125" s="6"/>
      <c r="N2125" s="32"/>
      <c r="Q2125" s="10" t="str">
        <f>+CONCATENATE(E2124,I2124)</f>
        <v>금속관벽체</v>
      </c>
      <c r="R2125" s="10">
        <f>+J2124</f>
        <v>0</v>
      </c>
      <c r="S2125" s="11"/>
      <c r="T2125" s="10" t="str">
        <f>+E2124</f>
        <v>금속관벽체</v>
      </c>
      <c r="U2125" s="19" t="str">
        <f>IFERROR(LEFT(I2124,FIND("*",I2124)-1),"-")</f>
        <v>-</v>
      </c>
      <c r="V2125" s="19" t="str">
        <f>IFERROR(RIGHT(I2124,LEN(I2124)-FIND("*",I2124)),"-")</f>
        <v>-</v>
      </c>
      <c r="W2125" s="20" t="str">
        <f t="shared" ref="W2125:W2132" si="1153">IFERROR((U2125+V2125)*2/1000,"-")</f>
        <v>-</v>
      </c>
      <c r="X2125" s="20" t="str">
        <f>IFERROR(W2125*J2124,"-")</f>
        <v>-</v>
      </c>
      <c r="Z2125" s="85">
        <v>45189</v>
      </c>
    </row>
    <row r="2126" spans="1:26" ht="6.95" customHeight="1" x14ac:dyDescent="0.3">
      <c r="A2126" s="154"/>
      <c r="B2126" s="157"/>
      <c r="C2126" s="158"/>
      <c r="D2126" s="161"/>
      <c r="E2126" s="162"/>
      <c r="F2126" s="163"/>
      <c r="G2126" s="164"/>
      <c r="H2126" s="165"/>
      <c r="I2126" s="164"/>
      <c r="J2126" s="165"/>
      <c r="K2126" s="164"/>
      <c r="L2126" s="165"/>
      <c r="M2126" s="6"/>
      <c r="N2126" s="32"/>
      <c r="Q2126" s="10" t="str">
        <f>+CONCATENATE(E2124,K2124)</f>
        <v>금속관벽체</v>
      </c>
      <c r="R2126" s="10">
        <f>+L2124</f>
        <v>0</v>
      </c>
      <c r="S2126" s="11"/>
      <c r="T2126" s="10" t="str">
        <f>+E2124</f>
        <v>금속관벽체</v>
      </c>
      <c r="U2126" s="19" t="str">
        <f>IFERROR(LEFT(K2124,FIND("*",K2124)-1),"-")</f>
        <v>-</v>
      </c>
      <c r="V2126" s="19" t="str">
        <f>IFERROR(RIGHT(K2124,LEN(K2124)-FIND("*",K2124)),"-")</f>
        <v>-</v>
      </c>
      <c r="W2126" s="20" t="str">
        <f t="shared" si="1153"/>
        <v>-</v>
      </c>
      <c r="X2126" s="20" t="str">
        <f>IFERROR(W2126*L2124,"-")</f>
        <v>-</v>
      </c>
      <c r="Z2126" s="85">
        <v>45189</v>
      </c>
    </row>
    <row r="2127" spans="1:26" ht="6.95" customHeight="1" x14ac:dyDescent="0.3">
      <c r="A2127" s="8"/>
      <c r="B2127" s="157"/>
      <c r="C2127" s="158"/>
      <c r="D2127" s="161" t="s">
        <v>39</v>
      </c>
      <c r="E2127" s="162"/>
      <c r="F2127" s="163" t="s">
        <v>40</v>
      </c>
      <c r="G2127" s="164"/>
      <c r="H2127" s="165"/>
      <c r="I2127" s="164"/>
      <c r="J2127" s="165"/>
      <c r="K2127" s="164"/>
      <c r="L2127" s="165"/>
      <c r="M2127" s="6"/>
      <c r="N2127" s="32"/>
      <c r="Q2127" s="10" t="str">
        <f>+CONCATENATE(E2127,G2127)</f>
        <v/>
      </c>
      <c r="R2127" s="10">
        <f>+H2127</f>
        <v>0</v>
      </c>
      <c r="S2127" s="11"/>
      <c r="T2127" s="10">
        <f>+E2127</f>
        <v>0</v>
      </c>
      <c r="U2127" s="19" t="str">
        <f t="shared" ref="U2127" si="1154">IFERROR(LEFT(G2127,FIND("*",G2127)-1),"-")</f>
        <v>-</v>
      </c>
      <c r="V2127" s="19" t="str">
        <f t="shared" ref="V2127" si="1155">IFERROR(RIGHT(G2127,LEN(G2127)-FIND("*",G2127)),"-")</f>
        <v>-</v>
      </c>
      <c r="W2127" s="20" t="str">
        <f t="shared" si="1153"/>
        <v>-</v>
      </c>
      <c r="X2127" s="20" t="str">
        <f>IFERROR(W2127*H2127,"-")</f>
        <v>-</v>
      </c>
      <c r="Z2127" s="85">
        <v>45189</v>
      </c>
    </row>
    <row r="2128" spans="1:26" ht="6.95" customHeight="1" x14ac:dyDescent="0.3">
      <c r="A2128" s="5"/>
      <c r="B2128" s="157"/>
      <c r="C2128" s="158"/>
      <c r="D2128" s="161"/>
      <c r="E2128" s="162"/>
      <c r="F2128" s="163"/>
      <c r="G2128" s="164"/>
      <c r="H2128" s="165"/>
      <c r="I2128" s="164"/>
      <c r="J2128" s="165"/>
      <c r="K2128" s="164"/>
      <c r="L2128" s="165"/>
      <c r="M2128" s="6"/>
      <c r="N2128" s="32"/>
      <c r="Q2128" s="10" t="str">
        <f>+CONCATENATE(E2127,I2127)</f>
        <v/>
      </c>
      <c r="R2128" s="10">
        <f>+J2127</f>
        <v>0</v>
      </c>
      <c r="S2128" s="11"/>
      <c r="T2128" s="10">
        <f>+E2127</f>
        <v>0</v>
      </c>
      <c r="U2128" s="19" t="str">
        <f>IFERROR(LEFT(I2127,FIND("*",I2127)-1),"-")</f>
        <v>-</v>
      </c>
      <c r="V2128" s="19" t="str">
        <f>IFERROR(RIGHT(I2127,LEN(I2127)-FIND("*",I2127)),"-")</f>
        <v>-</v>
      </c>
      <c r="W2128" s="20" t="str">
        <f t="shared" si="1153"/>
        <v>-</v>
      </c>
      <c r="X2128" s="20" t="str">
        <f>IFERROR(W2128*J2127,"-")</f>
        <v>-</v>
      </c>
      <c r="Z2128" s="85">
        <v>45189</v>
      </c>
    </row>
    <row r="2129" spans="1:26" ht="6.95" customHeight="1" x14ac:dyDescent="0.3">
      <c r="A2129" s="5"/>
      <c r="B2129" s="157"/>
      <c r="C2129" s="158"/>
      <c r="D2129" s="161"/>
      <c r="E2129" s="162"/>
      <c r="F2129" s="163"/>
      <c r="G2129" s="164"/>
      <c r="H2129" s="165"/>
      <c r="I2129" s="164"/>
      <c r="J2129" s="165"/>
      <c r="K2129" s="164"/>
      <c r="L2129" s="165"/>
      <c r="M2129" s="6"/>
      <c r="N2129" s="32"/>
      <c r="Q2129" s="10" t="str">
        <f>+CONCATENATE(E2127,K2127)</f>
        <v/>
      </c>
      <c r="R2129" s="10">
        <f>+L2127</f>
        <v>0</v>
      </c>
      <c r="S2129" s="11"/>
      <c r="T2129" s="10">
        <f>+E2127</f>
        <v>0</v>
      </c>
      <c r="U2129" s="19" t="str">
        <f>IFERROR(LEFT(K2127,FIND("*",K2127)-1),"-")</f>
        <v>-</v>
      </c>
      <c r="V2129" s="19" t="str">
        <f>IFERROR(RIGHT(K2127,LEN(K2127)-FIND("*",K2127)),"-")</f>
        <v>-</v>
      </c>
      <c r="W2129" s="20" t="str">
        <f t="shared" si="1153"/>
        <v>-</v>
      </c>
      <c r="X2129" s="20" t="str">
        <f>IFERROR(W2129*L2127,"-")</f>
        <v>-</v>
      </c>
      <c r="Z2129" s="85">
        <v>45189</v>
      </c>
    </row>
    <row r="2130" spans="1:26" ht="6.95" customHeight="1" x14ac:dyDescent="0.3">
      <c r="A2130" s="8"/>
      <c r="B2130" s="157"/>
      <c r="C2130" s="158"/>
      <c r="D2130" s="161" t="s">
        <v>39</v>
      </c>
      <c r="E2130" s="162"/>
      <c r="F2130" s="163" t="s">
        <v>40</v>
      </c>
      <c r="G2130" s="164"/>
      <c r="H2130" s="165"/>
      <c r="I2130" s="164"/>
      <c r="J2130" s="165"/>
      <c r="K2130" s="164"/>
      <c r="L2130" s="165"/>
      <c r="M2130" s="6"/>
      <c r="N2130" s="32"/>
      <c r="Q2130" s="10" t="str">
        <f>+CONCATENATE(E2130,G2130)</f>
        <v/>
      </c>
      <c r="R2130" s="10">
        <f>+H2130</f>
        <v>0</v>
      </c>
      <c r="S2130" s="11"/>
      <c r="T2130" s="10">
        <f>+E2130</f>
        <v>0</v>
      </c>
      <c r="U2130" s="19" t="str">
        <f t="shared" ref="U2130" si="1156">IFERROR(LEFT(G2130,FIND("*",G2130)-1),"-")</f>
        <v>-</v>
      </c>
      <c r="V2130" s="19" t="str">
        <f t="shared" ref="V2130" si="1157">IFERROR(RIGHT(G2130,LEN(G2130)-FIND("*",G2130)),"-")</f>
        <v>-</v>
      </c>
      <c r="W2130" s="20" t="str">
        <f t="shared" si="1153"/>
        <v>-</v>
      </c>
      <c r="X2130" s="20" t="str">
        <f>IFERROR(W2130*H2130,"-")</f>
        <v>-</v>
      </c>
      <c r="Z2130" s="85">
        <v>45189</v>
      </c>
    </row>
    <row r="2131" spans="1:26" ht="6.95" customHeight="1" x14ac:dyDescent="0.3">
      <c r="A2131" s="5"/>
      <c r="B2131" s="157"/>
      <c r="C2131" s="158"/>
      <c r="D2131" s="161"/>
      <c r="E2131" s="162"/>
      <c r="F2131" s="163"/>
      <c r="G2131" s="164"/>
      <c r="H2131" s="165"/>
      <c r="I2131" s="164"/>
      <c r="J2131" s="165"/>
      <c r="K2131" s="164"/>
      <c r="L2131" s="165"/>
      <c r="M2131" s="6"/>
      <c r="N2131" s="32"/>
      <c r="Q2131" s="10" t="str">
        <f>+CONCATENATE(E2130,I2130)</f>
        <v/>
      </c>
      <c r="R2131" s="10">
        <f>+J2130</f>
        <v>0</v>
      </c>
      <c r="S2131" s="11"/>
      <c r="T2131" s="10">
        <f>+E2130</f>
        <v>0</v>
      </c>
      <c r="U2131" s="19" t="str">
        <f>IFERROR(LEFT(I2130,FIND("*",I2130)-1),"-")</f>
        <v>-</v>
      </c>
      <c r="V2131" s="19" t="str">
        <f>IFERROR(RIGHT(I2130,LEN(I2130)-FIND("*",I2130)),"-")</f>
        <v>-</v>
      </c>
      <c r="W2131" s="20" t="str">
        <f t="shared" si="1153"/>
        <v>-</v>
      </c>
      <c r="X2131" s="20" t="str">
        <f t="shared" ref="X2131" si="1158">IFERROR(W2131*J2130,"-")</f>
        <v>-</v>
      </c>
      <c r="Z2131" s="85">
        <v>45189</v>
      </c>
    </row>
    <row r="2132" spans="1:26" ht="6.95" customHeight="1" x14ac:dyDescent="0.3">
      <c r="A2132" s="5"/>
      <c r="B2132" s="157"/>
      <c r="C2132" s="158"/>
      <c r="D2132" s="161"/>
      <c r="E2132" s="162"/>
      <c r="F2132" s="163"/>
      <c r="G2132" s="164"/>
      <c r="H2132" s="165"/>
      <c r="I2132" s="164"/>
      <c r="J2132" s="165"/>
      <c r="K2132" s="164"/>
      <c r="L2132" s="165"/>
      <c r="M2132" s="6"/>
      <c r="N2132" s="32"/>
      <c r="Q2132" s="10" t="str">
        <f>+CONCATENATE(E2130,K2130)</f>
        <v/>
      </c>
      <c r="R2132" s="10">
        <f>+L2130</f>
        <v>0</v>
      </c>
      <c r="S2132" s="11"/>
      <c r="T2132" s="10">
        <f>+E2130</f>
        <v>0</v>
      </c>
      <c r="U2132" s="19" t="str">
        <f>IFERROR(LEFT(K2130,FIND("*",K2130)-1),"-")</f>
        <v>-</v>
      </c>
      <c r="V2132" s="19" t="str">
        <f>IFERROR(RIGHT(K2130,LEN(K2130)-FIND("*",K2130)),"-")</f>
        <v>-</v>
      </c>
      <c r="W2132" s="20" t="str">
        <f t="shared" si="1153"/>
        <v>-</v>
      </c>
      <c r="X2132" s="20" t="str">
        <f>IFERROR(W2132*L2130,"-")</f>
        <v>-</v>
      </c>
      <c r="Z2132" s="85">
        <v>45189</v>
      </c>
    </row>
    <row r="2133" spans="1:26" ht="21" customHeight="1" thickBot="1" x14ac:dyDescent="0.35">
      <c r="A2133" s="5"/>
      <c r="B2133" s="159"/>
      <c r="C2133" s="160"/>
      <c r="D2133" s="166" t="s">
        <v>43</v>
      </c>
      <c r="E2133" s="167"/>
      <c r="F2133" s="167"/>
      <c r="G2133" s="168" t="s">
        <v>208</v>
      </c>
      <c r="H2133" s="168"/>
      <c r="I2133" s="168"/>
      <c r="J2133" s="168"/>
      <c r="K2133" s="168"/>
      <c r="L2133" s="168"/>
      <c r="M2133" s="7"/>
      <c r="N2133" s="32"/>
      <c r="Z2133" s="85">
        <v>45189</v>
      </c>
    </row>
    <row r="2134" spans="1:26" ht="9.9499999999999993" customHeight="1" thickBot="1" x14ac:dyDescent="0.35">
      <c r="B2134" s="9"/>
      <c r="C2134" s="109">
        <v>993</v>
      </c>
      <c r="D2134" s="51"/>
      <c r="E2134" s="12"/>
      <c r="F2134" s="51"/>
      <c r="G2134" s="14"/>
      <c r="H2134" s="14"/>
      <c r="I2134" s="14"/>
      <c r="J2134" s="14"/>
      <c r="K2134" s="14"/>
      <c r="L2134" s="14"/>
      <c r="M2134" s="9"/>
      <c r="N2134" s="32"/>
      <c r="U2134" s="18"/>
      <c r="V2134" s="18"/>
      <c r="Z2134" s="85">
        <v>45189</v>
      </c>
    </row>
    <row r="2135" spans="1:26" ht="6.95" customHeight="1" x14ac:dyDescent="0.3">
      <c r="A2135" s="154">
        <f>+A2124+1</f>
        <v>994</v>
      </c>
      <c r="B2135" s="155"/>
      <c r="C2135" s="156"/>
      <c r="D2135" s="161" t="s">
        <v>39</v>
      </c>
      <c r="E2135" s="162" t="s">
        <v>186</v>
      </c>
      <c r="F2135" s="163" t="s">
        <v>40</v>
      </c>
      <c r="G2135" s="164">
        <v>100</v>
      </c>
      <c r="H2135" s="165">
        <v>0.5</v>
      </c>
      <c r="I2135" s="164"/>
      <c r="J2135" s="165"/>
      <c r="K2135" s="164"/>
      <c r="L2135" s="165"/>
      <c r="M2135" s="6"/>
      <c r="N2135" s="32"/>
      <c r="Q2135" s="10" t="str">
        <f>+CONCATENATE(E2135,G2135)</f>
        <v>금속관벽체100</v>
      </c>
      <c r="R2135" s="10">
        <f>+H2135</f>
        <v>0.5</v>
      </c>
      <c r="S2135" s="11"/>
      <c r="T2135" s="10" t="str">
        <f>+E2135</f>
        <v>금속관벽체</v>
      </c>
      <c r="U2135" s="19" t="str">
        <f>IFERROR(LEFT(G2135,FIND("*",G2135)-1),"-")</f>
        <v>-</v>
      </c>
      <c r="V2135" s="19" t="str">
        <f>IFERROR(RIGHT(G2135,LEN(G2135)-FIND("*",G2135)),"-")</f>
        <v>-</v>
      </c>
      <c r="W2135" s="20" t="str">
        <f>IFERROR((U2135+V2135)*2/1000,"-")</f>
        <v>-</v>
      </c>
      <c r="X2135" s="20" t="str">
        <f>IFERROR(W2135*H2135,"-")</f>
        <v>-</v>
      </c>
      <c r="Z2135" s="85">
        <v>45189</v>
      </c>
    </row>
    <row r="2136" spans="1:26" ht="6.95" customHeight="1" x14ac:dyDescent="0.3">
      <c r="A2136" s="154"/>
      <c r="B2136" s="157"/>
      <c r="C2136" s="158"/>
      <c r="D2136" s="161"/>
      <c r="E2136" s="162"/>
      <c r="F2136" s="163"/>
      <c r="G2136" s="164"/>
      <c r="H2136" s="165"/>
      <c r="I2136" s="164"/>
      <c r="J2136" s="165"/>
      <c r="K2136" s="164"/>
      <c r="L2136" s="165"/>
      <c r="M2136" s="6"/>
      <c r="N2136" s="32"/>
      <c r="Q2136" s="10" t="str">
        <f>+CONCATENATE(E2135,I2135)</f>
        <v>금속관벽체</v>
      </c>
      <c r="R2136" s="10">
        <f>+J2135</f>
        <v>0</v>
      </c>
      <c r="S2136" s="11"/>
      <c r="T2136" s="10" t="str">
        <f>+E2135</f>
        <v>금속관벽체</v>
      </c>
      <c r="U2136" s="19" t="str">
        <f>IFERROR(LEFT(I2135,FIND("*",I2135)-1),"-")</f>
        <v>-</v>
      </c>
      <c r="V2136" s="19" t="str">
        <f>IFERROR(RIGHT(I2135,LEN(I2135)-FIND("*",I2135)),"-")</f>
        <v>-</v>
      </c>
      <c r="W2136" s="20" t="str">
        <f t="shared" ref="W2136:W2143" si="1159">IFERROR((U2136+V2136)*2/1000,"-")</f>
        <v>-</v>
      </c>
      <c r="X2136" s="20" t="str">
        <f>IFERROR(W2136*J2135,"-")</f>
        <v>-</v>
      </c>
      <c r="Z2136" s="85">
        <v>45189</v>
      </c>
    </row>
    <row r="2137" spans="1:26" ht="6.95" customHeight="1" x14ac:dyDescent="0.3">
      <c r="A2137" s="154"/>
      <c r="B2137" s="157"/>
      <c r="C2137" s="158"/>
      <c r="D2137" s="161"/>
      <c r="E2137" s="162"/>
      <c r="F2137" s="163"/>
      <c r="G2137" s="164"/>
      <c r="H2137" s="165"/>
      <c r="I2137" s="164"/>
      <c r="J2137" s="165"/>
      <c r="K2137" s="164"/>
      <c r="L2137" s="165"/>
      <c r="M2137" s="6"/>
      <c r="N2137" s="32"/>
      <c r="Q2137" s="10" t="str">
        <f>+CONCATENATE(E2135,K2135)</f>
        <v>금속관벽체</v>
      </c>
      <c r="R2137" s="10">
        <f>+L2135</f>
        <v>0</v>
      </c>
      <c r="S2137" s="11"/>
      <c r="T2137" s="10" t="str">
        <f>+E2135</f>
        <v>금속관벽체</v>
      </c>
      <c r="U2137" s="19" t="str">
        <f>IFERROR(LEFT(K2135,FIND("*",K2135)-1),"-")</f>
        <v>-</v>
      </c>
      <c r="V2137" s="19" t="str">
        <f>IFERROR(RIGHT(K2135,LEN(K2135)-FIND("*",K2135)),"-")</f>
        <v>-</v>
      </c>
      <c r="W2137" s="20" t="str">
        <f t="shared" si="1159"/>
        <v>-</v>
      </c>
      <c r="X2137" s="20" t="str">
        <f>IFERROR(W2137*L2135,"-")</f>
        <v>-</v>
      </c>
      <c r="Z2137" s="85">
        <v>45189</v>
      </c>
    </row>
    <row r="2138" spans="1:26" ht="6.95" customHeight="1" x14ac:dyDescent="0.3">
      <c r="A2138" s="8"/>
      <c r="B2138" s="157"/>
      <c r="C2138" s="158"/>
      <c r="D2138" s="161" t="s">
        <v>39</v>
      </c>
      <c r="E2138" s="162"/>
      <c r="F2138" s="163" t="s">
        <v>40</v>
      </c>
      <c r="G2138" s="164"/>
      <c r="H2138" s="165"/>
      <c r="I2138" s="164"/>
      <c r="J2138" s="165"/>
      <c r="K2138" s="164"/>
      <c r="L2138" s="165"/>
      <c r="M2138" s="6"/>
      <c r="N2138" s="32"/>
      <c r="Q2138" s="10" t="str">
        <f>+CONCATENATE(E2138,G2138)</f>
        <v/>
      </c>
      <c r="R2138" s="10">
        <f>+H2138</f>
        <v>0</v>
      </c>
      <c r="S2138" s="11"/>
      <c r="T2138" s="10">
        <f>+E2138</f>
        <v>0</v>
      </c>
      <c r="U2138" s="19" t="str">
        <f t="shared" ref="U2138" si="1160">IFERROR(LEFT(G2138,FIND("*",G2138)-1),"-")</f>
        <v>-</v>
      </c>
      <c r="V2138" s="19" t="str">
        <f t="shared" ref="V2138" si="1161">IFERROR(RIGHT(G2138,LEN(G2138)-FIND("*",G2138)),"-")</f>
        <v>-</v>
      </c>
      <c r="W2138" s="20" t="str">
        <f t="shared" si="1159"/>
        <v>-</v>
      </c>
      <c r="X2138" s="20" t="str">
        <f>IFERROR(W2138*H2138,"-")</f>
        <v>-</v>
      </c>
      <c r="Z2138" s="85">
        <v>45189</v>
      </c>
    </row>
    <row r="2139" spans="1:26" ht="6.95" customHeight="1" x14ac:dyDescent="0.3">
      <c r="A2139" s="5"/>
      <c r="B2139" s="157"/>
      <c r="C2139" s="158"/>
      <c r="D2139" s="161"/>
      <c r="E2139" s="162"/>
      <c r="F2139" s="163"/>
      <c r="G2139" s="164"/>
      <c r="H2139" s="165"/>
      <c r="I2139" s="164"/>
      <c r="J2139" s="165"/>
      <c r="K2139" s="164"/>
      <c r="L2139" s="165"/>
      <c r="M2139" s="6"/>
      <c r="N2139" s="32"/>
      <c r="Q2139" s="10" t="str">
        <f>+CONCATENATE(E2138,I2138)</f>
        <v/>
      </c>
      <c r="R2139" s="10">
        <f>+J2138</f>
        <v>0</v>
      </c>
      <c r="S2139" s="11"/>
      <c r="T2139" s="10">
        <f>+E2138</f>
        <v>0</v>
      </c>
      <c r="U2139" s="19" t="str">
        <f>IFERROR(LEFT(I2138,FIND("*",I2138)-1),"-")</f>
        <v>-</v>
      </c>
      <c r="V2139" s="19" t="str">
        <f>IFERROR(RIGHT(I2138,LEN(I2138)-FIND("*",I2138)),"-")</f>
        <v>-</v>
      </c>
      <c r="W2139" s="20" t="str">
        <f t="shared" si="1159"/>
        <v>-</v>
      </c>
      <c r="X2139" s="20" t="str">
        <f>IFERROR(W2139*J2138,"-")</f>
        <v>-</v>
      </c>
      <c r="Z2139" s="85">
        <v>45189</v>
      </c>
    </row>
    <row r="2140" spans="1:26" ht="6.95" customHeight="1" x14ac:dyDescent="0.3">
      <c r="A2140" s="5"/>
      <c r="B2140" s="157"/>
      <c r="C2140" s="158"/>
      <c r="D2140" s="161"/>
      <c r="E2140" s="162"/>
      <c r="F2140" s="163"/>
      <c r="G2140" s="164"/>
      <c r="H2140" s="165"/>
      <c r="I2140" s="164"/>
      <c r="J2140" s="165"/>
      <c r="K2140" s="164"/>
      <c r="L2140" s="165"/>
      <c r="M2140" s="6"/>
      <c r="N2140" s="32"/>
      <c r="Q2140" s="10" t="str">
        <f>+CONCATENATE(E2138,K2138)</f>
        <v/>
      </c>
      <c r="R2140" s="10">
        <f>+L2138</f>
        <v>0</v>
      </c>
      <c r="S2140" s="11"/>
      <c r="T2140" s="10">
        <f>+E2138</f>
        <v>0</v>
      </c>
      <c r="U2140" s="19" t="str">
        <f>IFERROR(LEFT(K2138,FIND("*",K2138)-1),"-")</f>
        <v>-</v>
      </c>
      <c r="V2140" s="19" t="str">
        <f>IFERROR(RIGHT(K2138,LEN(K2138)-FIND("*",K2138)),"-")</f>
        <v>-</v>
      </c>
      <c r="W2140" s="20" t="str">
        <f t="shared" si="1159"/>
        <v>-</v>
      </c>
      <c r="X2140" s="20" t="str">
        <f>IFERROR(W2140*L2138,"-")</f>
        <v>-</v>
      </c>
      <c r="Z2140" s="85">
        <v>45189</v>
      </c>
    </row>
    <row r="2141" spans="1:26" ht="6.95" customHeight="1" x14ac:dyDescent="0.3">
      <c r="A2141" s="8"/>
      <c r="B2141" s="157"/>
      <c r="C2141" s="158"/>
      <c r="D2141" s="161" t="s">
        <v>39</v>
      </c>
      <c r="E2141" s="162"/>
      <c r="F2141" s="163" t="s">
        <v>40</v>
      </c>
      <c r="G2141" s="164"/>
      <c r="H2141" s="165"/>
      <c r="I2141" s="164"/>
      <c r="J2141" s="165"/>
      <c r="K2141" s="164"/>
      <c r="L2141" s="165"/>
      <c r="M2141" s="6"/>
      <c r="N2141" s="32"/>
      <c r="Q2141" s="10" t="str">
        <f>+CONCATENATE(E2141,G2141)</f>
        <v/>
      </c>
      <c r="R2141" s="10">
        <f>+H2141</f>
        <v>0</v>
      </c>
      <c r="S2141" s="11"/>
      <c r="T2141" s="10">
        <f>+E2141</f>
        <v>0</v>
      </c>
      <c r="U2141" s="19" t="str">
        <f t="shared" ref="U2141" si="1162">IFERROR(LEFT(G2141,FIND("*",G2141)-1),"-")</f>
        <v>-</v>
      </c>
      <c r="V2141" s="19" t="str">
        <f t="shared" ref="V2141" si="1163">IFERROR(RIGHT(G2141,LEN(G2141)-FIND("*",G2141)),"-")</f>
        <v>-</v>
      </c>
      <c r="W2141" s="20" t="str">
        <f t="shared" si="1159"/>
        <v>-</v>
      </c>
      <c r="X2141" s="20" t="str">
        <f>IFERROR(W2141*H2141,"-")</f>
        <v>-</v>
      </c>
      <c r="Z2141" s="85">
        <v>45189</v>
      </c>
    </row>
    <row r="2142" spans="1:26" ht="6.95" customHeight="1" x14ac:dyDescent="0.3">
      <c r="A2142" s="5"/>
      <c r="B2142" s="157"/>
      <c r="C2142" s="158"/>
      <c r="D2142" s="161"/>
      <c r="E2142" s="162"/>
      <c r="F2142" s="163"/>
      <c r="G2142" s="164"/>
      <c r="H2142" s="165"/>
      <c r="I2142" s="164"/>
      <c r="J2142" s="165"/>
      <c r="K2142" s="164"/>
      <c r="L2142" s="165"/>
      <c r="M2142" s="6"/>
      <c r="N2142" s="32"/>
      <c r="Q2142" s="10" t="str">
        <f>+CONCATENATE(E2141,I2141)</f>
        <v/>
      </c>
      <c r="R2142" s="10">
        <f>+J2141</f>
        <v>0</v>
      </c>
      <c r="S2142" s="11"/>
      <c r="T2142" s="10">
        <f>+E2141</f>
        <v>0</v>
      </c>
      <c r="U2142" s="19" t="str">
        <f>IFERROR(LEFT(I2141,FIND("*",I2141)-1),"-")</f>
        <v>-</v>
      </c>
      <c r="V2142" s="19" t="str">
        <f>IFERROR(RIGHT(I2141,LEN(I2141)-FIND("*",I2141)),"-")</f>
        <v>-</v>
      </c>
      <c r="W2142" s="20" t="str">
        <f t="shared" si="1159"/>
        <v>-</v>
      </c>
      <c r="X2142" s="20" t="str">
        <f t="shared" ref="X2142" si="1164">IFERROR(W2142*J2141,"-")</f>
        <v>-</v>
      </c>
      <c r="Z2142" s="85">
        <v>45189</v>
      </c>
    </row>
    <row r="2143" spans="1:26" ht="6.95" customHeight="1" x14ac:dyDescent="0.3">
      <c r="A2143" s="5"/>
      <c r="B2143" s="157"/>
      <c r="C2143" s="158"/>
      <c r="D2143" s="161"/>
      <c r="E2143" s="162"/>
      <c r="F2143" s="163"/>
      <c r="G2143" s="164"/>
      <c r="H2143" s="165"/>
      <c r="I2143" s="164"/>
      <c r="J2143" s="165"/>
      <c r="K2143" s="164"/>
      <c r="L2143" s="165"/>
      <c r="M2143" s="6"/>
      <c r="N2143" s="32"/>
      <c r="Q2143" s="10" t="str">
        <f>+CONCATENATE(E2141,K2141)</f>
        <v/>
      </c>
      <c r="R2143" s="10">
        <f>+L2141</f>
        <v>0</v>
      </c>
      <c r="S2143" s="11"/>
      <c r="T2143" s="10">
        <f>+E2141</f>
        <v>0</v>
      </c>
      <c r="U2143" s="19" t="str">
        <f>IFERROR(LEFT(K2141,FIND("*",K2141)-1),"-")</f>
        <v>-</v>
      </c>
      <c r="V2143" s="19" t="str">
        <f>IFERROR(RIGHT(K2141,LEN(K2141)-FIND("*",K2141)),"-")</f>
        <v>-</v>
      </c>
      <c r="W2143" s="20" t="str">
        <f t="shared" si="1159"/>
        <v>-</v>
      </c>
      <c r="X2143" s="20" t="str">
        <f>IFERROR(W2143*L2141,"-")</f>
        <v>-</v>
      </c>
      <c r="Z2143" s="85">
        <v>45189</v>
      </c>
    </row>
    <row r="2144" spans="1:26" ht="21" customHeight="1" thickBot="1" x14ac:dyDescent="0.35">
      <c r="A2144" s="5"/>
      <c r="B2144" s="159"/>
      <c r="C2144" s="160"/>
      <c r="D2144" s="166" t="s">
        <v>43</v>
      </c>
      <c r="E2144" s="167"/>
      <c r="F2144" s="167"/>
      <c r="G2144" s="168" t="s">
        <v>208</v>
      </c>
      <c r="H2144" s="168"/>
      <c r="I2144" s="168"/>
      <c r="J2144" s="168"/>
      <c r="K2144" s="168"/>
      <c r="L2144" s="168"/>
      <c r="M2144" s="7"/>
      <c r="N2144" s="32"/>
      <c r="Z2144" s="85">
        <v>45189</v>
      </c>
    </row>
    <row r="2145" spans="1:26" ht="9.9499999999999993" customHeight="1" thickBot="1" x14ac:dyDescent="0.35">
      <c r="B2145" s="9"/>
      <c r="C2145" s="109">
        <v>994</v>
      </c>
      <c r="D2145" s="51"/>
      <c r="E2145" s="12"/>
      <c r="F2145" s="51"/>
      <c r="G2145" s="14"/>
      <c r="H2145" s="14"/>
      <c r="I2145" s="14"/>
      <c r="J2145" s="14"/>
      <c r="K2145" s="14"/>
      <c r="L2145" s="14"/>
      <c r="M2145" s="9"/>
      <c r="N2145" s="32"/>
      <c r="U2145" s="18"/>
      <c r="V2145" s="18"/>
      <c r="Z2145" s="85">
        <v>45189</v>
      </c>
    </row>
    <row r="2146" spans="1:26" ht="6.95" customHeight="1" x14ac:dyDescent="0.3">
      <c r="A2146" s="154">
        <f>+A2135+1</f>
        <v>995</v>
      </c>
      <c r="B2146" s="155"/>
      <c r="C2146" s="156"/>
      <c r="D2146" s="161" t="s">
        <v>39</v>
      </c>
      <c r="E2146" s="162" t="s">
        <v>115</v>
      </c>
      <c r="F2146" s="163" t="s">
        <v>40</v>
      </c>
      <c r="G2146" s="164" t="s">
        <v>294</v>
      </c>
      <c r="H2146" s="165">
        <v>0.5</v>
      </c>
      <c r="I2146" s="164"/>
      <c r="J2146" s="165"/>
      <c r="K2146" s="164"/>
      <c r="L2146" s="165"/>
      <c r="M2146" s="6"/>
      <c r="N2146" s="32"/>
      <c r="Q2146" s="10" t="str">
        <f>+CONCATENATE(E2146,G2146)</f>
        <v>무보온덕트벽체800*500</v>
      </c>
      <c r="R2146" s="10">
        <f>+H2146</f>
        <v>0.5</v>
      </c>
      <c r="S2146" s="11"/>
      <c r="T2146" s="10" t="str">
        <f>+E2146</f>
        <v>무보온덕트벽체</v>
      </c>
      <c r="U2146" s="19" t="str">
        <f>IFERROR(LEFT(G2146,FIND("*",G2146)-1),"-")</f>
        <v>800</v>
      </c>
      <c r="V2146" s="19" t="str">
        <f>IFERROR(RIGHT(G2146,LEN(G2146)-FIND("*",G2146)),"-")</f>
        <v>500</v>
      </c>
      <c r="W2146" s="20">
        <f>IFERROR((U2146+V2146)*2/1000,"-")</f>
        <v>2.6</v>
      </c>
      <c r="X2146" s="20">
        <f>IFERROR(W2146*H2146,"-")</f>
        <v>1.3</v>
      </c>
      <c r="Z2146" s="85">
        <v>45189</v>
      </c>
    </row>
    <row r="2147" spans="1:26" ht="6.95" customHeight="1" x14ac:dyDescent="0.3">
      <c r="A2147" s="154"/>
      <c r="B2147" s="157"/>
      <c r="C2147" s="158"/>
      <c r="D2147" s="161"/>
      <c r="E2147" s="162"/>
      <c r="F2147" s="163"/>
      <c r="G2147" s="164"/>
      <c r="H2147" s="165"/>
      <c r="I2147" s="164"/>
      <c r="J2147" s="165"/>
      <c r="K2147" s="164"/>
      <c r="L2147" s="165"/>
      <c r="M2147" s="6"/>
      <c r="N2147" s="32"/>
      <c r="Q2147" s="10" t="str">
        <f>+CONCATENATE(E2146,I2146)</f>
        <v>무보온덕트벽체</v>
      </c>
      <c r="R2147" s="10">
        <f>+J2146</f>
        <v>0</v>
      </c>
      <c r="S2147" s="11"/>
      <c r="T2147" s="10" t="str">
        <f>+E2146</f>
        <v>무보온덕트벽체</v>
      </c>
      <c r="U2147" s="19" t="str">
        <f>IFERROR(LEFT(I2146,FIND("*",I2146)-1),"-")</f>
        <v>-</v>
      </c>
      <c r="V2147" s="19" t="str">
        <f>IFERROR(RIGHT(I2146,LEN(I2146)-FIND("*",I2146)),"-")</f>
        <v>-</v>
      </c>
      <c r="W2147" s="20" t="str">
        <f t="shared" ref="W2147:W2154" si="1165">IFERROR((U2147+V2147)*2/1000,"-")</f>
        <v>-</v>
      </c>
      <c r="X2147" s="20" t="str">
        <f>IFERROR(W2147*J2146,"-")</f>
        <v>-</v>
      </c>
      <c r="Z2147" s="85">
        <v>45189</v>
      </c>
    </row>
    <row r="2148" spans="1:26" ht="6.95" customHeight="1" x14ac:dyDescent="0.3">
      <c r="A2148" s="154"/>
      <c r="B2148" s="157"/>
      <c r="C2148" s="158"/>
      <c r="D2148" s="161"/>
      <c r="E2148" s="162"/>
      <c r="F2148" s="163"/>
      <c r="G2148" s="164"/>
      <c r="H2148" s="165"/>
      <c r="I2148" s="164"/>
      <c r="J2148" s="165"/>
      <c r="K2148" s="164"/>
      <c r="L2148" s="165"/>
      <c r="M2148" s="6"/>
      <c r="N2148" s="32"/>
      <c r="Q2148" s="10" t="str">
        <f>+CONCATENATE(E2146,K2146)</f>
        <v>무보온덕트벽체</v>
      </c>
      <c r="R2148" s="10">
        <f>+L2146</f>
        <v>0</v>
      </c>
      <c r="S2148" s="11"/>
      <c r="T2148" s="10" t="str">
        <f>+E2146</f>
        <v>무보온덕트벽체</v>
      </c>
      <c r="U2148" s="19" t="str">
        <f>IFERROR(LEFT(K2146,FIND("*",K2146)-1),"-")</f>
        <v>-</v>
      </c>
      <c r="V2148" s="19" t="str">
        <f>IFERROR(RIGHT(K2146,LEN(K2146)-FIND("*",K2146)),"-")</f>
        <v>-</v>
      </c>
      <c r="W2148" s="20" t="str">
        <f t="shared" si="1165"/>
        <v>-</v>
      </c>
      <c r="X2148" s="20" t="str">
        <f>IFERROR(W2148*L2146,"-")</f>
        <v>-</v>
      </c>
      <c r="Z2148" s="85">
        <v>45189</v>
      </c>
    </row>
    <row r="2149" spans="1:26" ht="6.95" customHeight="1" x14ac:dyDescent="0.3">
      <c r="A2149" s="8"/>
      <c r="B2149" s="157"/>
      <c r="C2149" s="158"/>
      <c r="D2149" s="161" t="s">
        <v>39</v>
      </c>
      <c r="E2149" s="162" t="s">
        <v>188</v>
      </c>
      <c r="F2149" s="163" t="s">
        <v>40</v>
      </c>
      <c r="G2149" s="164" t="s">
        <v>294</v>
      </c>
      <c r="H2149" s="165">
        <v>0.5</v>
      </c>
      <c r="I2149" s="164"/>
      <c r="J2149" s="165"/>
      <c r="K2149" s="164"/>
      <c r="L2149" s="165"/>
      <c r="M2149" s="6"/>
      <c r="N2149" s="32"/>
      <c r="Q2149" s="10" t="str">
        <f>+CONCATENATE(E2149,G2149)</f>
        <v>차열재마감800*500</v>
      </c>
      <c r="R2149" s="10">
        <f>+H2149</f>
        <v>0.5</v>
      </c>
      <c r="S2149" s="11"/>
      <c r="T2149" s="10" t="str">
        <f>+E2149</f>
        <v>차열재마감</v>
      </c>
      <c r="U2149" s="19" t="str">
        <f t="shared" ref="U2149" si="1166">IFERROR(LEFT(G2149,FIND("*",G2149)-1),"-")</f>
        <v>800</v>
      </c>
      <c r="V2149" s="19" t="str">
        <f t="shared" ref="V2149" si="1167">IFERROR(RIGHT(G2149,LEN(G2149)-FIND("*",G2149)),"-")</f>
        <v>500</v>
      </c>
      <c r="W2149" s="20">
        <f t="shared" si="1165"/>
        <v>2.6</v>
      </c>
      <c r="X2149" s="20">
        <f>IFERROR(W2149*H2149,"-")</f>
        <v>1.3</v>
      </c>
      <c r="Z2149" s="85">
        <v>45189</v>
      </c>
    </row>
    <row r="2150" spans="1:26" ht="6.95" customHeight="1" x14ac:dyDescent="0.3">
      <c r="A2150" s="5"/>
      <c r="B2150" s="157"/>
      <c r="C2150" s="158"/>
      <c r="D2150" s="161"/>
      <c r="E2150" s="162"/>
      <c r="F2150" s="163"/>
      <c r="G2150" s="164"/>
      <c r="H2150" s="165"/>
      <c r="I2150" s="164"/>
      <c r="J2150" s="165"/>
      <c r="K2150" s="164"/>
      <c r="L2150" s="165"/>
      <c r="M2150" s="6"/>
      <c r="N2150" s="32"/>
      <c r="Q2150" s="10" t="str">
        <f>+CONCATENATE(E2149,I2149)</f>
        <v>차열재마감</v>
      </c>
      <c r="R2150" s="10">
        <f>+J2149</f>
        <v>0</v>
      </c>
      <c r="S2150" s="11"/>
      <c r="T2150" s="10" t="str">
        <f>+E2149</f>
        <v>차열재마감</v>
      </c>
      <c r="U2150" s="19" t="str">
        <f>IFERROR(LEFT(I2149,FIND("*",I2149)-1),"-")</f>
        <v>-</v>
      </c>
      <c r="V2150" s="19" t="str">
        <f>IFERROR(RIGHT(I2149,LEN(I2149)-FIND("*",I2149)),"-")</f>
        <v>-</v>
      </c>
      <c r="W2150" s="20" t="str">
        <f t="shared" si="1165"/>
        <v>-</v>
      </c>
      <c r="X2150" s="20" t="str">
        <f>IFERROR(W2150*J2149,"-")</f>
        <v>-</v>
      </c>
      <c r="Z2150" s="85">
        <v>45189</v>
      </c>
    </row>
    <row r="2151" spans="1:26" ht="6.95" customHeight="1" x14ac:dyDescent="0.3">
      <c r="A2151" s="5"/>
      <c r="B2151" s="157"/>
      <c r="C2151" s="158"/>
      <c r="D2151" s="161"/>
      <c r="E2151" s="162"/>
      <c r="F2151" s="163"/>
      <c r="G2151" s="164"/>
      <c r="H2151" s="165"/>
      <c r="I2151" s="164"/>
      <c r="J2151" s="165"/>
      <c r="K2151" s="164"/>
      <c r="L2151" s="165"/>
      <c r="M2151" s="6"/>
      <c r="N2151" s="32"/>
      <c r="Q2151" s="10" t="str">
        <f>+CONCATENATE(E2149,K2149)</f>
        <v>차열재마감</v>
      </c>
      <c r="R2151" s="10">
        <f>+L2149</f>
        <v>0</v>
      </c>
      <c r="S2151" s="11"/>
      <c r="T2151" s="10" t="str">
        <f>+E2149</f>
        <v>차열재마감</v>
      </c>
      <c r="U2151" s="19" t="str">
        <f>IFERROR(LEFT(K2149,FIND("*",K2149)-1),"-")</f>
        <v>-</v>
      </c>
      <c r="V2151" s="19" t="str">
        <f>IFERROR(RIGHT(K2149,LEN(K2149)-FIND("*",K2149)),"-")</f>
        <v>-</v>
      </c>
      <c r="W2151" s="20" t="str">
        <f t="shared" si="1165"/>
        <v>-</v>
      </c>
      <c r="X2151" s="20" t="str">
        <f>IFERROR(W2151*L2149,"-")</f>
        <v>-</v>
      </c>
      <c r="Z2151" s="85">
        <v>45189</v>
      </c>
    </row>
    <row r="2152" spans="1:26" ht="6.95" customHeight="1" x14ac:dyDescent="0.3">
      <c r="A2152" s="8"/>
      <c r="B2152" s="157"/>
      <c r="C2152" s="158"/>
      <c r="D2152" s="161" t="s">
        <v>39</v>
      </c>
      <c r="E2152" s="162"/>
      <c r="F2152" s="163" t="s">
        <v>40</v>
      </c>
      <c r="G2152" s="164"/>
      <c r="H2152" s="165"/>
      <c r="I2152" s="164"/>
      <c r="J2152" s="165"/>
      <c r="K2152" s="164"/>
      <c r="L2152" s="165"/>
      <c r="M2152" s="6"/>
      <c r="N2152" s="32"/>
      <c r="Q2152" s="10" t="str">
        <f>+CONCATENATE(E2152,G2152)</f>
        <v/>
      </c>
      <c r="R2152" s="10">
        <f>+H2152</f>
        <v>0</v>
      </c>
      <c r="S2152" s="11"/>
      <c r="T2152" s="10">
        <f>+E2152</f>
        <v>0</v>
      </c>
      <c r="U2152" s="19" t="str">
        <f t="shared" ref="U2152" si="1168">IFERROR(LEFT(G2152,FIND("*",G2152)-1),"-")</f>
        <v>-</v>
      </c>
      <c r="V2152" s="19" t="str">
        <f t="shared" ref="V2152" si="1169">IFERROR(RIGHT(G2152,LEN(G2152)-FIND("*",G2152)),"-")</f>
        <v>-</v>
      </c>
      <c r="W2152" s="20" t="str">
        <f t="shared" si="1165"/>
        <v>-</v>
      </c>
      <c r="X2152" s="20" t="str">
        <f>IFERROR(W2152*H2152,"-")</f>
        <v>-</v>
      </c>
      <c r="Z2152" s="85">
        <v>45189</v>
      </c>
    </row>
    <row r="2153" spans="1:26" ht="6.95" customHeight="1" x14ac:dyDescent="0.3">
      <c r="A2153" s="5"/>
      <c r="B2153" s="157"/>
      <c r="C2153" s="158"/>
      <c r="D2153" s="161"/>
      <c r="E2153" s="162"/>
      <c r="F2153" s="163"/>
      <c r="G2153" s="164"/>
      <c r="H2153" s="165"/>
      <c r="I2153" s="164"/>
      <c r="J2153" s="165"/>
      <c r="K2153" s="164"/>
      <c r="L2153" s="165"/>
      <c r="M2153" s="6"/>
      <c r="N2153" s="32"/>
      <c r="Q2153" s="10" t="str">
        <f>+CONCATENATE(E2152,I2152)</f>
        <v/>
      </c>
      <c r="R2153" s="10">
        <f>+J2152</f>
        <v>0</v>
      </c>
      <c r="S2153" s="11"/>
      <c r="T2153" s="10">
        <f>+E2152</f>
        <v>0</v>
      </c>
      <c r="U2153" s="19" t="str">
        <f>IFERROR(LEFT(I2152,FIND("*",I2152)-1),"-")</f>
        <v>-</v>
      </c>
      <c r="V2153" s="19" t="str">
        <f>IFERROR(RIGHT(I2152,LEN(I2152)-FIND("*",I2152)),"-")</f>
        <v>-</v>
      </c>
      <c r="W2153" s="20" t="str">
        <f t="shared" si="1165"/>
        <v>-</v>
      </c>
      <c r="X2153" s="20" t="str">
        <f t="shared" ref="X2153" si="1170">IFERROR(W2153*J2152,"-")</f>
        <v>-</v>
      </c>
      <c r="Z2153" s="85">
        <v>45189</v>
      </c>
    </row>
    <row r="2154" spans="1:26" ht="6.95" customHeight="1" x14ac:dyDescent="0.3">
      <c r="A2154" s="5"/>
      <c r="B2154" s="157"/>
      <c r="C2154" s="158"/>
      <c r="D2154" s="161"/>
      <c r="E2154" s="162"/>
      <c r="F2154" s="163"/>
      <c r="G2154" s="164"/>
      <c r="H2154" s="165"/>
      <c r="I2154" s="164"/>
      <c r="J2154" s="165"/>
      <c r="K2154" s="164"/>
      <c r="L2154" s="165"/>
      <c r="M2154" s="6"/>
      <c r="N2154" s="32"/>
      <c r="Q2154" s="10" t="str">
        <f>+CONCATENATE(E2152,K2152)</f>
        <v/>
      </c>
      <c r="R2154" s="10">
        <f>+L2152</f>
        <v>0</v>
      </c>
      <c r="S2154" s="11"/>
      <c r="T2154" s="10">
        <f>+E2152</f>
        <v>0</v>
      </c>
      <c r="U2154" s="19" t="str">
        <f>IFERROR(LEFT(K2152,FIND("*",K2152)-1),"-")</f>
        <v>-</v>
      </c>
      <c r="V2154" s="19" t="str">
        <f>IFERROR(RIGHT(K2152,LEN(K2152)-FIND("*",K2152)),"-")</f>
        <v>-</v>
      </c>
      <c r="W2154" s="20" t="str">
        <f t="shared" si="1165"/>
        <v>-</v>
      </c>
      <c r="X2154" s="20" t="str">
        <f>IFERROR(W2154*L2152,"-")</f>
        <v>-</v>
      </c>
      <c r="Z2154" s="85">
        <v>45189</v>
      </c>
    </row>
    <row r="2155" spans="1:26" ht="21" customHeight="1" thickBot="1" x14ac:dyDescent="0.35">
      <c r="A2155" s="5"/>
      <c r="B2155" s="159"/>
      <c r="C2155" s="160"/>
      <c r="D2155" s="166" t="s">
        <v>43</v>
      </c>
      <c r="E2155" s="167"/>
      <c r="F2155" s="167"/>
      <c r="G2155" s="168" t="s">
        <v>208</v>
      </c>
      <c r="H2155" s="168"/>
      <c r="I2155" s="168"/>
      <c r="J2155" s="168"/>
      <c r="K2155" s="168"/>
      <c r="L2155" s="168"/>
      <c r="M2155" s="7"/>
      <c r="N2155" s="32"/>
      <c r="Z2155" s="85">
        <v>45189</v>
      </c>
    </row>
    <row r="2156" spans="1:26" ht="9.9499999999999993" customHeight="1" thickBot="1" x14ac:dyDescent="0.35">
      <c r="B2156" s="9"/>
      <c r="C2156" s="109">
        <v>995</v>
      </c>
      <c r="D2156" s="51"/>
      <c r="E2156" s="12"/>
      <c r="F2156" s="51"/>
      <c r="G2156" s="14"/>
      <c r="H2156" s="14"/>
      <c r="I2156" s="14"/>
      <c r="J2156" s="14"/>
      <c r="K2156" s="14"/>
      <c r="L2156" s="14"/>
      <c r="M2156" s="9"/>
      <c r="N2156" s="32"/>
      <c r="U2156" s="18"/>
      <c r="V2156" s="18"/>
      <c r="Z2156" s="85">
        <v>45189</v>
      </c>
    </row>
    <row r="2157" spans="1:26" ht="6.95" customHeight="1" x14ac:dyDescent="0.3">
      <c r="A2157" s="154">
        <f>+A2146+1</f>
        <v>996</v>
      </c>
      <c r="B2157" s="155"/>
      <c r="C2157" s="156"/>
      <c r="D2157" s="161" t="s">
        <v>39</v>
      </c>
      <c r="E2157" s="162" t="s">
        <v>111</v>
      </c>
      <c r="F2157" s="163" t="s">
        <v>40</v>
      </c>
      <c r="G2157" s="164" t="s">
        <v>254</v>
      </c>
      <c r="H2157" s="165">
        <v>0.5</v>
      </c>
      <c r="I2157" s="164"/>
      <c r="J2157" s="165"/>
      <c r="K2157" s="164"/>
      <c r="L2157" s="165"/>
      <c r="M2157" s="6"/>
      <c r="N2157" s="32"/>
      <c r="Q2157" s="10" t="str">
        <f>+CONCATENATE(E2157,G2157)</f>
        <v>보온덕트벽체700*400</v>
      </c>
      <c r="R2157" s="10">
        <f>+H2157</f>
        <v>0.5</v>
      </c>
      <c r="S2157" s="11"/>
      <c r="T2157" s="10" t="str">
        <f>+E2157</f>
        <v>보온덕트벽체</v>
      </c>
      <c r="U2157" s="19" t="str">
        <f>IFERROR(LEFT(G2157,FIND("*",G2157)-1),"-")</f>
        <v>700</v>
      </c>
      <c r="V2157" s="19" t="str">
        <f>IFERROR(RIGHT(G2157,LEN(G2157)-FIND("*",G2157)),"-")</f>
        <v>400</v>
      </c>
      <c r="W2157" s="20">
        <f>IFERROR((U2157+V2157)*2/1000,"-")</f>
        <v>2.2000000000000002</v>
      </c>
      <c r="X2157" s="20">
        <f>IFERROR(W2157*H2157,"-")</f>
        <v>1.1000000000000001</v>
      </c>
      <c r="Z2157" s="85">
        <v>45189</v>
      </c>
    </row>
    <row r="2158" spans="1:26" ht="6.95" customHeight="1" x14ac:dyDescent="0.3">
      <c r="A2158" s="154"/>
      <c r="B2158" s="157"/>
      <c r="C2158" s="158"/>
      <c r="D2158" s="161"/>
      <c r="E2158" s="162"/>
      <c r="F2158" s="163"/>
      <c r="G2158" s="164"/>
      <c r="H2158" s="165"/>
      <c r="I2158" s="164"/>
      <c r="J2158" s="165"/>
      <c r="K2158" s="164"/>
      <c r="L2158" s="165"/>
      <c r="M2158" s="6"/>
      <c r="N2158" s="32"/>
      <c r="Q2158" s="10" t="str">
        <f>+CONCATENATE(E2157,I2157)</f>
        <v>보온덕트벽체</v>
      </c>
      <c r="R2158" s="10">
        <f>+J2157</f>
        <v>0</v>
      </c>
      <c r="S2158" s="11"/>
      <c r="T2158" s="10" t="str">
        <f>+E2157</f>
        <v>보온덕트벽체</v>
      </c>
      <c r="U2158" s="19" t="str">
        <f>IFERROR(LEFT(I2157,FIND("*",I2157)-1),"-")</f>
        <v>-</v>
      </c>
      <c r="V2158" s="19" t="str">
        <f>IFERROR(RIGHT(I2157,LEN(I2157)-FIND("*",I2157)),"-")</f>
        <v>-</v>
      </c>
      <c r="W2158" s="20" t="str">
        <f t="shared" ref="W2158:W2165" si="1171">IFERROR((U2158+V2158)*2/1000,"-")</f>
        <v>-</v>
      </c>
      <c r="X2158" s="20" t="str">
        <f>IFERROR(W2158*J2157,"-")</f>
        <v>-</v>
      </c>
      <c r="Z2158" s="85">
        <v>45189</v>
      </c>
    </row>
    <row r="2159" spans="1:26" ht="6.95" customHeight="1" x14ac:dyDescent="0.3">
      <c r="A2159" s="154"/>
      <c r="B2159" s="157"/>
      <c r="C2159" s="158"/>
      <c r="D2159" s="161"/>
      <c r="E2159" s="162"/>
      <c r="F2159" s="163"/>
      <c r="G2159" s="164"/>
      <c r="H2159" s="165"/>
      <c r="I2159" s="164"/>
      <c r="J2159" s="165"/>
      <c r="K2159" s="164"/>
      <c r="L2159" s="165"/>
      <c r="M2159" s="6"/>
      <c r="N2159" s="32"/>
      <c r="Q2159" s="10" t="str">
        <f>+CONCATENATE(E2157,K2157)</f>
        <v>보온덕트벽체</v>
      </c>
      <c r="R2159" s="10">
        <f>+L2157</f>
        <v>0</v>
      </c>
      <c r="S2159" s="11"/>
      <c r="T2159" s="10" t="str">
        <f>+E2157</f>
        <v>보온덕트벽체</v>
      </c>
      <c r="U2159" s="19" t="str">
        <f>IFERROR(LEFT(K2157,FIND("*",K2157)-1),"-")</f>
        <v>-</v>
      </c>
      <c r="V2159" s="19" t="str">
        <f>IFERROR(RIGHT(K2157,LEN(K2157)-FIND("*",K2157)),"-")</f>
        <v>-</v>
      </c>
      <c r="W2159" s="20" t="str">
        <f t="shared" si="1171"/>
        <v>-</v>
      </c>
      <c r="X2159" s="20" t="str">
        <f>IFERROR(W2159*L2157,"-")</f>
        <v>-</v>
      </c>
      <c r="Z2159" s="85">
        <v>45189</v>
      </c>
    </row>
    <row r="2160" spans="1:26" ht="6.95" customHeight="1" x14ac:dyDescent="0.3">
      <c r="A2160" s="8"/>
      <c r="B2160" s="157"/>
      <c r="C2160" s="158"/>
      <c r="D2160" s="161" t="s">
        <v>39</v>
      </c>
      <c r="E2160" s="162" t="s">
        <v>188</v>
      </c>
      <c r="F2160" s="163" t="s">
        <v>40</v>
      </c>
      <c r="G2160" s="164" t="s">
        <v>254</v>
      </c>
      <c r="H2160" s="165">
        <v>1</v>
      </c>
      <c r="I2160" s="164"/>
      <c r="J2160" s="165"/>
      <c r="K2160" s="164"/>
      <c r="L2160" s="165"/>
      <c r="M2160" s="6"/>
      <c r="N2160" s="32"/>
      <c r="Q2160" s="10" t="str">
        <f>+CONCATENATE(E2160,G2160)</f>
        <v>차열재마감700*400</v>
      </c>
      <c r="R2160" s="10">
        <f>+H2160</f>
        <v>1</v>
      </c>
      <c r="S2160" s="11"/>
      <c r="T2160" s="10" t="str">
        <f>+E2160</f>
        <v>차열재마감</v>
      </c>
      <c r="U2160" s="19" t="str">
        <f t="shared" ref="U2160" si="1172">IFERROR(LEFT(G2160,FIND("*",G2160)-1),"-")</f>
        <v>700</v>
      </c>
      <c r="V2160" s="19" t="str">
        <f t="shared" ref="V2160" si="1173">IFERROR(RIGHT(G2160,LEN(G2160)-FIND("*",G2160)),"-")</f>
        <v>400</v>
      </c>
      <c r="W2160" s="20">
        <f t="shared" si="1171"/>
        <v>2.2000000000000002</v>
      </c>
      <c r="X2160" s="20">
        <f>IFERROR(W2160*H2160,"-")</f>
        <v>2.2000000000000002</v>
      </c>
      <c r="Z2160" s="85">
        <v>45189</v>
      </c>
    </row>
    <row r="2161" spans="1:26" ht="6.95" customHeight="1" x14ac:dyDescent="0.3">
      <c r="A2161" s="5"/>
      <c r="B2161" s="157"/>
      <c r="C2161" s="158"/>
      <c r="D2161" s="161"/>
      <c r="E2161" s="162"/>
      <c r="F2161" s="163"/>
      <c r="G2161" s="164"/>
      <c r="H2161" s="165"/>
      <c r="I2161" s="164"/>
      <c r="J2161" s="165"/>
      <c r="K2161" s="164"/>
      <c r="L2161" s="165"/>
      <c r="M2161" s="6"/>
      <c r="N2161" s="32"/>
      <c r="Q2161" s="10" t="str">
        <f>+CONCATENATE(E2160,I2160)</f>
        <v>차열재마감</v>
      </c>
      <c r="R2161" s="10">
        <f>+J2160</f>
        <v>0</v>
      </c>
      <c r="S2161" s="11"/>
      <c r="T2161" s="10" t="str">
        <f>+E2160</f>
        <v>차열재마감</v>
      </c>
      <c r="U2161" s="19" t="str">
        <f>IFERROR(LEFT(I2160,FIND("*",I2160)-1),"-")</f>
        <v>-</v>
      </c>
      <c r="V2161" s="19" t="str">
        <f>IFERROR(RIGHT(I2160,LEN(I2160)-FIND("*",I2160)),"-")</f>
        <v>-</v>
      </c>
      <c r="W2161" s="20" t="str">
        <f t="shared" si="1171"/>
        <v>-</v>
      </c>
      <c r="X2161" s="20" t="str">
        <f>IFERROR(W2161*J2160,"-")</f>
        <v>-</v>
      </c>
      <c r="Z2161" s="85">
        <v>45189</v>
      </c>
    </row>
    <row r="2162" spans="1:26" ht="6.95" customHeight="1" x14ac:dyDescent="0.3">
      <c r="A2162" s="5"/>
      <c r="B2162" s="157"/>
      <c r="C2162" s="158"/>
      <c r="D2162" s="161"/>
      <c r="E2162" s="162"/>
      <c r="F2162" s="163"/>
      <c r="G2162" s="164"/>
      <c r="H2162" s="165"/>
      <c r="I2162" s="164"/>
      <c r="J2162" s="165"/>
      <c r="K2162" s="164"/>
      <c r="L2162" s="165"/>
      <c r="M2162" s="6"/>
      <c r="N2162" s="32"/>
      <c r="Q2162" s="10" t="str">
        <f>+CONCATENATE(E2160,K2160)</f>
        <v>차열재마감</v>
      </c>
      <c r="R2162" s="10">
        <f>+L2160</f>
        <v>0</v>
      </c>
      <c r="S2162" s="11"/>
      <c r="T2162" s="10" t="str">
        <f>+E2160</f>
        <v>차열재마감</v>
      </c>
      <c r="U2162" s="19" t="str">
        <f>IFERROR(LEFT(K2160,FIND("*",K2160)-1),"-")</f>
        <v>-</v>
      </c>
      <c r="V2162" s="19" t="str">
        <f>IFERROR(RIGHT(K2160,LEN(K2160)-FIND("*",K2160)),"-")</f>
        <v>-</v>
      </c>
      <c r="W2162" s="20" t="str">
        <f t="shared" si="1171"/>
        <v>-</v>
      </c>
      <c r="X2162" s="20" t="str">
        <f>IFERROR(W2162*L2160,"-")</f>
        <v>-</v>
      </c>
      <c r="Z2162" s="85">
        <v>45189</v>
      </c>
    </row>
    <row r="2163" spans="1:26" ht="6.95" customHeight="1" x14ac:dyDescent="0.3">
      <c r="A2163" s="8"/>
      <c r="B2163" s="157"/>
      <c r="C2163" s="158"/>
      <c r="D2163" s="161" t="s">
        <v>39</v>
      </c>
      <c r="E2163" s="162"/>
      <c r="F2163" s="163" t="s">
        <v>40</v>
      </c>
      <c r="G2163" s="164"/>
      <c r="H2163" s="165"/>
      <c r="I2163" s="164"/>
      <c r="J2163" s="165"/>
      <c r="K2163" s="164"/>
      <c r="L2163" s="165"/>
      <c r="M2163" s="6"/>
      <c r="N2163" s="32"/>
      <c r="Q2163" s="10" t="str">
        <f>+CONCATENATE(E2163,G2163)</f>
        <v/>
      </c>
      <c r="R2163" s="10">
        <f>+H2163</f>
        <v>0</v>
      </c>
      <c r="S2163" s="11"/>
      <c r="T2163" s="10">
        <f>+E2163</f>
        <v>0</v>
      </c>
      <c r="U2163" s="19" t="str">
        <f t="shared" ref="U2163" si="1174">IFERROR(LEFT(G2163,FIND("*",G2163)-1),"-")</f>
        <v>-</v>
      </c>
      <c r="V2163" s="19" t="str">
        <f t="shared" ref="V2163" si="1175">IFERROR(RIGHT(G2163,LEN(G2163)-FIND("*",G2163)),"-")</f>
        <v>-</v>
      </c>
      <c r="W2163" s="20" t="str">
        <f t="shared" si="1171"/>
        <v>-</v>
      </c>
      <c r="X2163" s="20" t="str">
        <f>IFERROR(W2163*H2163,"-")</f>
        <v>-</v>
      </c>
      <c r="Z2163" s="85">
        <v>45189</v>
      </c>
    </row>
    <row r="2164" spans="1:26" ht="6.95" customHeight="1" x14ac:dyDescent="0.3">
      <c r="A2164" s="5"/>
      <c r="B2164" s="157"/>
      <c r="C2164" s="158"/>
      <c r="D2164" s="161"/>
      <c r="E2164" s="162"/>
      <c r="F2164" s="163"/>
      <c r="G2164" s="164"/>
      <c r="H2164" s="165"/>
      <c r="I2164" s="164"/>
      <c r="J2164" s="165"/>
      <c r="K2164" s="164"/>
      <c r="L2164" s="165"/>
      <c r="M2164" s="6"/>
      <c r="N2164" s="32"/>
      <c r="Q2164" s="10" t="str">
        <f>+CONCATENATE(E2163,I2163)</f>
        <v/>
      </c>
      <c r="R2164" s="10">
        <f>+J2163</f>
        <v>0</v>
      </c>
      <c r="S2164" s="11"/>
      <c r="T2164" s="10">
        <f>+E2163</f>
        <v>0</v>
      </c>
      <c r="U2164" s="19" t="str">
        <f>IFERROR(LEFT(I2163,FIND("*",I2163)-1),"-")</f>
        <v>-</v>
      </c>
      <c r="V2164" s="19" t="str">
        <f>IFERROR(RIGHT(I2163,LEN(I2163)-FIND("*",I2163)),"-")</f>
        <v>-</v>
      </c>
      <c r="W2164" s="20" t="str">
        <f t="shared" si="1171"/>
        <v>-</v>
      </c>
      <c r="X2164" s="20" t="str">
        <f t="shared" ref="X2164" si="1176">IFERROR(W2164*J2163,"-")</f>
        <v>-</v>
      </c>
      <c r="Z2164" s="85">
        <v>45189</v>
      </c>
    </row>
    <row r="2165" spans="1:26" ht="6.95" customHeight="1" x14ac:dyDescent="0.3">
      <c r="A2165" s="5"/>
      <c r="B2165" s="157"/>
      <c r="C2165" s="158"/>
      <c r="D2165" s="161"/>
      <c r="E2165" s="162"/>
      <c r="F2165" s="163"/>
      <c r="G2165" s="164"/>
      <c r="H2165" s="165"/>
      <c r="I2165" s="164"/>
      <c r="J2165" s="165"/>
      <c r="K2165" s="164"/>
      <c r="L2165" s="165"/>
      <c r="M2165" s="6"/>
      <c r="N2165" s="32"/>
      <c r="Q2165" s="10" t="str">
        <f>+CONCATENATE(E2163,K2163)</f>
        <v/>
      </c>
      <c r="R2165" s="10">
        <f>+L2163</f>
        <v>0</v>
      </c>
      <c r="S2165" s="11"/>
      <c r="T2165" s="10">
        <f>+E2163</f>
        <v>0</v>
      </c>
      <c r="U2165" s="19" t="str">
        <f>IFERROR(LEFT(K2163,FIND("*",K2163)-1),"-")</f>
        <v>-</v>
      </c>
      <c r="V2165" s="19" t="str">
        <f>IFERROR(RIGHT(K2163,LEN(K2163)-FIND("*",K2163)),"-")</f>
        <v>-</v>
      </c>
      <c r="W2165" s="20" t="str">
        <f t="shared" si="1171"/>
        <v>-</v>
      </c>
      <c r="X2165" s="20" t="str">
        <f>IFERROR(W2165*L2163,"-")</f>
        <v>-</v>
      </c>
      <c r="Z2165" s="85">
        <v>45189</v>
      </c>
    </row>
    <row r="2166" spans="1:26" ht="21" customHeight="1" thickBot="1" x14ac:dyDescent="0.35">
      <c r="A2166" s="5"/>
      <c r="B2166" s="159"/>
      <c r="C2166" s="160"/>
      <c r="D2166" s="166" t="s">
        <v>43</v>
      </c>
      <c r="E2166" s="167"/>
      <c r="F2166" s="167"/>
      <c r="G2166" s="168" t="s">
        <v>288</v>
      </c>
      <c r="H2166" s="168"/>
      <c r="I2166" s="168"/>
      <c r="J2166" s="168"/>
      <c r="K2166" s="168"/>
      <c r="L2166" s="168"/>
      <c r="M2166" s="7"/>
      <c r="N2166" s="32"/>
      <c r="Z2166" s="85">
        <v>45189</v>
      </c>
    </row>
    <row r="2167" spans="1:26" ht="9.9499999999999993" customHeight="1" thickBot="1" x14ac:dyDescent="0.35">
      <c r="B2167" s="9"/>
      <c r="C2167" s="109">
        <v>996</v>
      </c>
      <c r="D2167" s="51"/>
      <c r="E2167" s="12"/>
      <c r="F2167" s="51"/>
      <c r="G2167" s="14"/>
      <c r="H2167" s="14"/>
      <c r="I2167" s="14"/>
      <c r="J2167" s="14"/>
      <c r="K2167" s="14"/>
      <c r="L2167" s="14"/>
      <c r="M2167" s="9"/>
      <c r="N2167" s="32"/>
      <c r="U2167" s="18"/>
      <c r="V2167" s="18"/>
      <c r="Z2167" s="85">
        <v>45189</v>
      </c>
    </row>
    <row r="2168" spans="1:26" ht="6.95" customHeight="1" x14ac:dyDescent="0.3">
      <c r="A2168" s="154">
        <f>+A2157+1</f>
        <v>997</v>
      </c>
      <c r="B2168" s="155"/>
      <c r="C2168" s="156"/>
      <c r="D2168" s="161" t="s">
        <v>39</v>
      </c>
      <c r="E2168" s="162" t="s">
        <v>186</v>
      </c>
      <c r="F2168" s="163" t="s">
        <v>40</v>
      </c>
      <c r="G2168" s="164">
        <v>150</v>
      </c>
      <c r="H2168" s="165">
        <v>1</v>
      </c>
      <c r="I2168" s="164"/>
      <c r="J2168" s="165"/>
      <c r="K2168" s="164"/>
      <c r="L2168" s="165"/>
      <c r="M2168" s="6"/>
      <c r="N2168" s="32"/>
      <c r="Q2168" s="10" t="str">
        <f>+CONCATENATE(E2168,G2168)</f>
        <v>금속관벽체150</v>
      </c>
      <c r="R2168" s="10">
        <f>+H2168</f>
        <v>1</v>
      </c>
      <c r="S2168" s="11"/>
      <c r="T2168" s="10" t="str">
        <f>+E2168</f>
        <v>금속관벽체</v>
      </c>
      <c r="U2168" s="19" t="str">
        <f>IFERROR(LEFT(G2168,FIND("*",G2168)-1),"-")</f>
        <v>-</v>
      </c>
      <c r="V2168" s="19" t="str">
        <f>IFERROR(RIGHT(G2168,LEN(G2168)-FIND("*",G2168)),"-")</f>
        <v>-</v>
      </c>
      <c r="W2168" s="20" t="str">
        <f>IFERROR((U2168+V2168)*2/1000,"-")</f>
        <v>-</v>
      </c>
      <c r="X2168" s="20" t="str">
        <f>IFERROR(W2168*H2168,"-")</f>
        <v>-</v>
      </c>
      <c r="Z2168" s="85">
        <v>45189</v>
      </c>
    </row>
    <row r="2169" spans="1:26" ht="6.95" customHeight="1" x14ac:dyDescent="0.3">
      <c r="A2169" s="154"/>
      <c r="B2169" s="157"/>
      <c r="C2169" s="158"/>
      <c r="D2169" s="161"/>
      <c r="E2169" s="162"/>
      <c r="F2169" s="163"/>
      <c r="G2169" s="164"/>
      <c r="H2169" s="165"/>
      <c r="I2169" s="164"/>
      <c r="J2169" s="165"/>
      <c r="K2169" s="164"/>
      <c r="L2169" s="165"/>
      <c r="M2169" s="6"/>
      <c r="N2169" s="32"/>
      <c r="Q2169" s="10" t="str">
        <f>+CONCATENATE(E2168,I2168)</f>
        <v>금속관벽체</v>
      </c>
      <c r="R2169" s="10">
        <f>+J2168</f>
        <v>0</v>
      </c>
      <c r="S2169" s="11"/>
      <c r="T2169" s="10" t="str">
        <f>+E2168</f>
        <v>금속관벽체</v>
      </c>
      <c r="U2169" s="19" t="str">
        <f>IFERROR(LEFT(I2168,FIND("*",I2168)-1),"-")</f>
        <v>-</v>
      </c>
      <c r="V2169" s="19" t="str">
        <f>IFERROR(RIGHT(I2168,LEN(I2168)-FIND("*",I2168)),"-")</f>
        <v>-</v>
      </c>
      <c r="W2169" s="20" t="str">
        <f t="shared" ref="W2169:W2176" si="1177">IFERROR((U2169+V2169)*2/1000,"-")</f>
        <v>-</v>
      </c>
      <c r="X2169" s="20" t="str">
        <f>IFERROR(W2169*J2168,"-")</f>
        <v>-</v>
      </c>
      <c r="Z2169" s="85">
        <v>45189</v>
      </c>
    </row>
    <row r="2170" spans="1:26" ht="6.95" customHeight="1" x14ac:dyDescent="0.3">
      <c r="A2170" s="154"/>
      <c r="B2170" s="157"/>
      <c r="C2170" s="158"/>
      <c r="D2170" s="161"/>
      <c r="E2170" s="162"/>
      <c r="F2170" s="163"/>
      <c r="G2170" s="164"/>
      <c r="H2170" s="165"/>
      <c r="I2170" s="164"/>
      <c r="J2170" s="165"/>
      <c r="K2170" s="164"/>
      <c r="L2170" s="165"/>
      <c r="M2170" s="6"/>
      <c r="N2170" s="32"/>
      <c r="Q2170" s="10" t="str">
        <f>+CONCATENATE(E2168,K2168)</f>
        <v>금속관벽체</v>
      </c>
      <c r="R2170" s="10">
        <f>+L2168</f>
        <v>0</v>
      </c>
      <c r="S2170" s="11"/>
      <c r="T2170" s="10" t="str">
        <f>+E2168</f>
        <v>금속관벽체</v>
      </c>
      <c r="U2170" s="19" t="str">
        <f>IFERROR(LEFT(K2168,FIND("*",K2168)-1),"-")</f>
        <v>-</v>
      </c>
      <c r="V2170" s="19" t="str">
        <f>IFERROR(RIGHT(K2168,LEN(K2168)-FIND("*",K2168)),"-")</f>
        <v>-</v>
      </c>
      <c r="W2170" s="20" t="str">
        <f t="shared" si="1177"/>
        <v>-</v>
      </c>
      <c r="X2170" s="20" t="str">
        <f>IFERROR(W2170*L2168,"-")</f>
        <v>-</v>
      </c>
      <c r="Z2170" s="85">
        <v>45189</v>
      </c>
    </row>
    <row r="2171" spans="1:26" ht="6.95" customHeight="1" x14ac:dyDescent="0.3">
      <c r="A2171" s="8"/>
      <c r="B2171" s="157"/>
      <c r="C2171" s="158"/>
      <c r="D2171" s="161" t="s">
        <v>39</v>
      </c>
      <c r="E2171" s="162"/>
      <c r="F2171" s="163" t="s">
        <v>40</v>
      </c>
      <c r="G2171" s="164"/>
      <c r="H2171" s="165"/>
      <c r="I2171" s="164"/>
      <c r="J2171" s="165"/>
      <c r="K2171" s="164"/>
      <c r="L2171" s="165"/>
      <c r="M2171" s="6"/>
      <c r="N2171" s="32"/>
      <c r="Q2171" s="10" t="str">
        <f>+CONCATENATE(E2171,G2171)</f>
        <v/>
      </c>
      <c r="R2171" s="10">
        <f>+H2171</f>
        <v>0</v>
      </c>
      <c r="S2171" s="11"/>
      <c r="T2171" s="10">
        <f>+E2171</f>
        <v>0</v>
      </c>
      <c r="U2171" s="19" t="str">
        <f t="shared" ref="U2171" si="1178">IFERROR(LEFT(G2171,FIND("*",G2171)-1),"-")</f>
        <v>-</v>
      </c>
      <c r="V2171" s="19" t="str">
        <f t="shared" ref="V2171" si="1179">IFERROR(RIGHT(G2171,LEN(G2171)-FIND("*",G2171)),"-")</f>
        <v>-</v>
      </c>
      <c r="W2171" s="20" t="str">
        <f t="shared" si="1177"/>
        <v>-</v>
      </c>
      <c r="X2171" s="20" t="str">
        <f>IFERROR(W2171*H2171,"-")</f>
        <v>-</v>
      </c>
      <c r="Z2171" s="85">
        <v>45189</v>
      </c>
    </row>
    <row r="2172" spans="1:26" ht="6.95" customHeight="1" x14ac:dyDescent="0.3">
      <c r="A2172" s="5"/>
      <c r="B2172" s="157"/>
      <c r="C2172" s="158"/>
      <c r="D2172" s="161"/>
      <c r="E2172" s="162"/>
      <c r="F2172" s="163"/>
      <c r="G2172" s="164"/>
      <c r="H2172" s="165"/>
      <c r="I2172" s="164"/>
      <c r="J2172" s="165"/>
      <c r="K2172" s="164"/>
      <c r="L2172" s="165"/>
      <c r="M2172" s="6"/>
      <c r="N2172" s="32"/>
      <c r="Q2172" s="10" t="str">
        <f>+CONCATENATE(E2171,I2171)</f>
        <v/>
      </c>
      <c r="R2172" s="10">
        <f>+J2171</f>
        <v>0</v>
      </c>
      <c r="S2172" s="11"/>
      <c r="T2172" s="10">
        <f>+E2171</f>
        <v>0</v>
      </c>
      <c r="U2172" s="19" t="str">
        <f>IFERROR(LEFT(I2171,FIND("*",I2171)-1),"-")</f>
        <v>-</v>
      </c>
      <c r="V2172" s="19" t="str">
        <f>IFERROR(RIGHT(I2171,LEN(I2171)-FIND("*",I2171)),"-")</f>
        <v>-</v>
      </c>
      <c r="W2172" s="20" t="str">
        <f t="shared" si="1177"/>
        <v>-</v>
      </c>
      <c r="X2172" s="20" t="str">
        <f>IFERROR(W2172*J2171,"-")</f>
        <v>-</v>
      </c>
      <c r="Z2172" s="85">
        <v>45189</v>
      </c>
    </row>
    <row r="2173" spans="1:26" ht="6.95" customHeight="1" x14ac:dyDescent="0.3">
      <c r="A2173" s="5"/>
      <c r="B2173" s="157"/>
      <c r="C2173" s="158"/>
      <c r="D2173" s="161"/>
      <c r="E2173" s="162"/>
      <c r="F2173" s="163"/>
      <c r="G2173" s="164"/>
      <c r="H2173" s="165"/>
      <c r="I2173" s="164"/>
      <c r="J2173" s="165"/>
      <c r="K2173" s="164"/>
      <c r="L2173" s="165"/>
      <c r="M2173" s="6"/>
      <c r="N2173" s="32"/>
      <c r="Q2173" s="10" t="str">
        <f>+CONCATENATE(E2171,K2171)</f>
        <v/>
      </c>
      <c r="R2173" s="10">
        <f>+L2171</f>
        <v>0</v>
      </c>
      <c r="S2173" s="11"/>
      <c r="T2173" s="10">
        <f>+E2171</f>
        <v>0</v>
      </c>
      <c r="U2173" s="19" t="str">
        <f>IFERROR(LEFT(K2171,FIND("*",K2171)-1),"-")</f>
        <v>-</v>
      </c>
      <c r="V2173" s="19" t="str">
        <f>IFERROR(RIGHT(K2171,LEN(K2171)-FIND("*",K2171)),"-")</f>
        <v>-</v>
      </c>
      <c r="W2173" s="20" t="str">
        <f t="shared" si="1177"/>
        <v>-</v>
      </c>
      <c r="X2173" s="20" t="str">
        <f>IFERROR(W2173*L2171,"-")</f>
        <v>-</v>
      </c>
      <c r="Z2173" s="85">
        <v>45189</v>
      </c>
    </row>
    <row r="2174" spans="1:26" ht="6.95" customHeight="1" x14ac:dyDescent="0.3">
      <c r="A2174" s="8"/>
      <c r="B2174" s="157"/>
      <c r="C2174" s="158"/>
      <c r="D2174" s="161" t="s">
        <v>39</v>
      </c>
      <c r="E2174" s="162"/>
      <c r="F2174" s="163" t="s">
        <v>40</v>
      </c>
      <c r="G2174" s="164"/>
      <c r="H2174" s="165"/>
      <c r="I2174" s="164"/>
      <c r="J2174" s="165"/>
      <c r="K2174" s="164"/>
      <c r="L2174" s="165"/>
      <c r="M2174" s="6"/>
      <c r="N2174" s="32"/>
      <c r="Q2174" s="10" t="str">
        <f>+CONCATENATE(E2174,G2174)</f>
        <v/>
      </c>
      <c r="R2174" s="10">
        <f>+H2174</f>
        <v>0</v>
      </c>
      <c r="S2174" s="11"/>
      <c r="T2174" s="10">
        <f>+E2174</f>
        <v>0</v>
      </c>
      <c r="U2174" s="19" t="str">
        <f t="shared" ref="U2174" si="1180">IFERROR(LEFT(G2174,FIND("*",G2174)-1),"-")</f>
        <v>-</v>
      </c>
      <c r="V2174" s="19" t="str">
        <f t="shared" ref="V2174" si="1181">IFERROR(RIGHT(G2174,LEN(G2174)-FIND("*",G2174)),"-")</f>
        <v>-</v>
      </c>
      <c r="W2174" s="20" t="str">
        <f t="shared" si="1177"/>
        <v>-</v>
      </c>
      <c r="X2174" s="20" t="str">
        <f>IFERROR(W2174*H2174,"-")</f>
        <v>-</v>
      </c>
      <c r="Z2174" s="85">
        <v>45189</v>
      </c>
    </row>
    <row r="2175" spans="1:26" ht="6.95" customHeight="1" x14ac:dyDescent="0.3">
      <c r="A2175" s="5"/>
      <c r="B2175" s="157"/>
      <c r="C2175" s="158"/>
      <c r="D2175" s="161"/>
      <c r="E2175" s="162"/>
      <c r="F2175" s="163"/>
      <c r="G2175" s="164"/>
      <c r="H2175" s="165"/>
      <c r="I2175" s="164"/>
      <c r="J2175" s="165"/>
      <c r="K2175" s="164"/>
      <c r="L2175" s="165"/>
      <c r="M2175" s="6"/>
      <c r="N2175" s="32"/>
      <c r="Q2175" s="10" t="str">
        <f>+CONCATENATE(E2174,I2174)</f>
        <v/>
      </c>
      <c r="R2175" s="10">
        <f>+J2174</f>
        <v>0</v>
      </c>
      <c r="S2175" s="11"/>
      <c r="T2175" s="10">
        <f>+E2174</f>
        <v>0</v>
      </c>
      <c r="U2175" s="19" t="str">
        <f>IFERROR(LEFT(I2174,FIND("*",I2174)-1),"-")</f>
        <v>-</v>
      </c>
      <c r="V2175" s="19" t="str">
        <f>IFERROR(RIGHT(I2174,LEN(I2174)-FIND("*",I2174)),"-")</f>
        <v>-</v>
      </c>
      <c r="W2175" s="20" t="str">
        <f t="shared" si="1177"/>
        <v>-</v>
      </c>
      <c r="X2175" s="20" t="str">
        <f t="shared" ref="X2175" si="1182">IFERROR(W2175*J2174,"-")</f>
        <v>-</v>
      </c>
      <c r="Z2175" s="85">
        <v>45189</v>
      </c>
    </row>
    <row r="2176" spans="1:26" ht="6.95" customHeight="1" x14ac:dyDescent="0.3">
      <c r="A2176" s="5"/>
      <c r="B2176" s="157"/>
      <c r="C2176" s="158"/>
      <c r="D2176" s="161"/>
      <c r="E2176" s="162"/>
      <c r="F2176" s="163"/>
      <c r="G2176" s="164"/>
      <c r="H2176" s="165"/>
      <c r="I2176" s="164"/>
      <c r="J2176" s="165"/>
      <c r="K2176" s="164"/>
      <c r="L2176" s="165"/>
      <c r="M2176" s="6"/>
      <c r="N2176" s="32"/>
      <c r="Q2176" s="10" t="str">
        <f>+CONCATENATE(E2174,K2174)</f>
        <v/>
      </c>
      <c r="R2176" s="10">
        <f>+L2174</f>
        <v>0</v>
      </c>
      <c r="S2176" s="11"/>
      <c r="T2176" s="10">
        <f>+E2174</f>
        <v>0</v>
      </c>
      <c r="U2176" s="19" t="str">
        <f>IFERROR(LEFT(K2174,FIND("*",K2174)-1),"-")</f>
        <v>-</v>
      </c>
      <c r="V2176" s="19" t="str">
        <f>IFERROR(RIGHT(K2174,LEN(K2174)-FIND("*",K2174)),"-")</f>
        <v>-</v>
      </c>
      <c r="W2176" s="20" t="str">
        <f t="shared" si="1177"/>
        <v>-</v>
      </c>
      <c r="X2176" s="20" t="str">
        <f>IFERROR(W2176*L2174,"-")</f>
        <v>-</v>
      </c>
      <c r="Z2176" s="85">
        <v>45189</v>
      </c>
    </row>
    <row r="2177" spans="1:26" ht="21" customHeight="1" thickBot="1" x14ac:dyDescent="0.35">
      <c r="A2177" s="5"/>
      <c r="B2177" s="159"/>
      <c r="C2177" s="160"/>
      <c r="D2177" s="166" t="s">
        <v>43</v>
      </c>
      <c r="E2177" s="167"/>
      <c r="F2177" s="167"/>
      <c r="G2177" s="168" t="s">
        <v>288</v>
      </c>
      <c r="H2177" s="168"/>
      <c r="I2177" s="168"/>
      <c r="J2177" s="168"/>
      <c r="K2177" s="168"/>
      <c r="L2177" s="168"/>
      <c r="M2177" s="7"/>
      <c r="N2177" s="32"/>
      <c r="Z2177" s="85">
        <v>45189</v>
      </c>
    </row>
    <row r="2178" spans="1:26" ht="9.9499999999999993" customHeight="1" thickBot="1" x14ac:dyDescent="0.35">
      <c r="B2178" s="9"/>
      <c r="C2178" s="109">
        <v>997</v>
      </c>
      <c r="D2178" s="51"/>
      <c r="E2178" s="12"/>
      <c r="F2178" s="51"/>
      <c r="G2178" s="14"/>
      <c r="H2178" s="14"/>
      <c r="I2178" s="14"/>
      <c r="J2178" s="14"/>
      <c r="K2178" s="14"/>
      <c r="L2178" s="14"/>
      <c r="M2178" s="9"/>
      <c r="N2178" s="32"/>
      <c r="U2178" s="18"/>
      <c r="V2178" s="18"/>
      <c r="Z2178" s="85">
        <v>45189</v>
      </c>
    </row>
    <row r="2179" spans="1:26" ht="6.95" customHeight="1" x14ac:dyDescent="0.3">
      <c r="A2179" s="154">
        <f>+A2168+1</f>
        <v>998</v>
      </c>
      <c r="B2179" s="155"/>
      <c r="C2179" s="156"/>
      <c r="D2179" s="161" t="s">
        <v>39</v>
      </c>
      <c r="E2179" s="162" t="s">
        <v>293</v>
      </c>
      <c r="F2179" s="163" t="s">
        <v>40</v>
      </c>
      <c r="G2179" s="164">
        <v>150</v>
      </c>
      <c r="H2179" s="165">
        <v>1</v>
      </c>
      <c r="I2179" s="164">
        <v>100</v>
      </c>
      <c r="J2179" s="165">
        <v>1</v>
      </c>
      <c r="K2179" s="164"/>
      <c r="L2179" s="165"/>
      <c r="M2179" s="6"/>
      <c r="N2179" s="32"/>
      <c r="Q2179" s="10" t="str">
        <f>+CONCATENATE(E2179,G2179)</f>
        <v>금속관입상150</v>
      </c>
      <c r="R2179" s="10">
        <f>+H2179</f>
        <v>1</v>
      </c>
      <c r="S2179" s="11"/>
      <c r="T2179" s="10" t="str">
        <f>+E2179</f>
        <v>금속관입상</v>
      </c>
      <c r="U2179" s="19" t="str">
        <f>IFERROR(LEFT(G2179,FIND("*",G2179)-1),"-")</f>
        <v>-</v>
      </c>
      <c r="V2179" s="19" t="str">
        <f>IFERROR(RIGHT(G2179,LEN(G2179)-FIND("*",G2179)),"-")</f>
        <v>-</v>
      </c>
      <c r="W2179" s="20" t="str">
        <f>IFERROR((U2179+V2179)*2/1000,"-")</f>
        <v>-</v>
      </c>
      <c r="X2179" s="20" t="str">
        <f>IFERROR(W2179*H2179,"-")</f>
        <v>-</v>
      </c>
      <c r="Z2179" s="85">
        <v>45189</v>
      </c>
    </row>
    <row r="2180" spans="1:26" ht="6.95" customHeight="1" x14ac:dyDescent="0.3">
      <c r="A2180" s="154"/>
      <c r="B2180" s="157"/>
      <c r="C2180" s="158"/>
      <c r="D2180" s="161"/>
      <c r="E2180" s="162"/>
      <c r="F2180" s="163"/>
      <c r="G2180" s="164"/>
      <c r="H2180" s="165"/>
      <c r="I2180" s="164"/>
      <c r="J2180" s="165"/>
      <c r="K2180" s="164"/>
      <c r="L2180" s="165"/>
      <c r="M2180" s="6"/>
      <c r="N2180" s="32"/>
      <c r="Q2180" s="10" t="str">
        <f>+CONCATENATE(E2179,I2179)</f>
        <v>금속관입상100</v>
      </c>
      <c r="R2180" s="10">
        <f>+J2179</f>
        <v>1</v>
      </c>
      <c r="S2180" s="11"/>
      <c r="T2180" s="10" t="str">
        <f>+E2179</f>
        <v>금속관입상</v>
      </c>
      <c r="U2180" s="19" t="str">
        <f>IFERROR(LEFT(I2179,FIND("*",I2179)-1),"-")</f>
        <v>-</v>
      </c>
      <c r="V2180" s="19" t="str">
        <f>IFERROR(RIGHT(I2179,LEN(I2179)-FIND("*",I2179)),"-")</f>
        <v>-</v>
      </c>
      <c r="W2180" s="20" t="str">
        <f t="shared" ref="W2180:W2187" si="1183">IFERROR((U2180+V2180)*2/1000,"-")</f>
        <v>-</v>
      </c>
      <c r="X2180" s="20" t="str">
        <f>IFERROR(W2180*J2179,"-")</f>
        <v>-</v>
      </c>
      <c r="Z2180" s="85">
        <v>45189</v>
      </c>
    </row>
    <row r="2181" spans="1:26" ht="6.95" customHeight="1" x14ac:dyDescent="0.3">
      <c r="A2181" s="154"/>
      <c r="B2181" s="157"/>
      <c r="C2181" s="158"/>
      <c r="D2181" s="161"/>
      <c r="E2181" s="162"/>
      <c r="F2181" s="163"/>
      <c r="G2181" s="164"/>
      <c r="H2181" s="165"/>
      <c r="I2181" s="164"/>
      <c r="J2181" s="165"/>
      <c r="K2181" s="164"/>
      <c r="L2181" s="165"/>
      <c r="M2181" s="6"/>
      <c r="N2181" s="32"/>
      <c r="Q2181" s="10" t="str">
        <f>+CONCATENATE(E2179,K2179)</f>
        <v>금속관입상</v>
      </c>
      <c r="R2181" s="10">
        <f>+L2179</f>
        <v>0</v>
      </c>
      <c r="S2181" s="11"/>
      <c r="T2181" s="10" t="str">
        <f>+E2179</f>
        <v>금속관입상</v>
      </c>
      <c r="U2181" s="19" t="str">
        <f>IFERROR(LEFT(K2179,FIND("*",K2179)-1),"-")</f>
        <v>-</v>
      </c>
      <c r="V2181" s="19" t="str">
        <f>IFERROR(RIGHT(K2179,LEN(K2179)-FIND("*",K2179)),"-")</f>
        <v>-</v>
      </c>
      <c r="W2181" s="20" t="str">
        <f t="shared" si="1183"/>
        <v>-</v>
      </c>
      <c r="X2181" s="20" t="str">
        <f>IFERROR(W2181*L2179,"-")</f>
        <v>-</v>
      </c>
      <c r="Z2181" s="85">
        <v>45189</v>
      </c>
    </row>
    <row r="2182" spans="1:26" ht="6.95" customHeight="1" x14ac:dyDescent="0.3">
      <c r="A2182" s="8"/>
      <c r="B2182" s="157"/>
      <c r="C2182" s="158"/>
      <c r="D2182" s="161" t="s">
        <v>39</v>
      </c>
      <c r="E2182" s="162"/>
      <c r="F2182" s="163" t="s">
        <v>40</v>
      </c>
      <c r="G2182" s="164"/>
      <c r="H2182" s="165"/>
      <c r="I2182" s="164"/>
      <c r="J2182" s="165"/>
      <c r="K2182" s="164"/>
      <c r="L2182" s="165"/>
      <c r="M2182" s="6"/>
      <c r="N2182" s="32"/>
      <c r="Q2182" s="10" t="str">
        <f>+CONCATENATE(E2182,G2182)</f>
        <v/>
      </c>
      <c r="R2182" s="10">
        <f>+H2182</f>
        <v>0</v>
      </c>
      <c r="S2182" s="11"/>
      <c r="T2182" s="10">
        <f>+E2182</f>
        <v>0</v>
      </c>
      <c r="U2182" s="19" t="str">
        <f t="shared" ref="U2182" si="1184">IFERROR(LEFT(G2182,FIND("*",G2182)-1),"-")</f>
        <v>-</v>
      </c>
      <c r="V2182" s="19" t="str">
        <f t="shared" ref="V2182" si="1185">IFERROR(RIGHT(G2182,LEN(G2182)-FIND("*",G2182)),"-")</f>
        <v>-</v>
      </c>
      <c r="W2182" s="20" t="str">
        <f t="shared" si="1183"/>
        <v>-</v>
      </c>
      <c r="X2182" s="20" t="str">
        <f>IFERROR(W2182*H2182,"-")</f>
        <v>-</v>
      </c>
      <c r="Z2182" s="85">
        <v>45189</v>
      </c>
    </row>
    <row r="2183" spans="1:26" ht="6.95" customHeight="1" x14ac:dyDescent="0.3">
      <c r="A2183" s="5"/>
      <c r="B2183" s="157"/>
      <c r="C2183" s="158"/>
      <c r="D2183" s="161"/>
      <c r="E2183" s="162"/>
      <c r="F2183" s="163"/>
      <c r="G2183" s="164"/>
      <c r="H2183" s="165"/>
      <c r="I2183" s="164"/>
      <c r="J2183" s="165"/>
      <c r="K2183" s="164"/>
      <c r="L2183" s="165"/>
      <c r="M2183" s="6"/>
      <c r="N2183" s="32"/>
      <c r="Q2183" s="10" t="str">
        <f>+CONCATENATE(E2182,I2182)</f>
        <v/>
      </c>
      <c r="R2183" s="10">
        <f>+J2182</f>
        <v>0</v>
      </c>
      <c r="S2183" s="11"/>
      <c r="T2183" s="10">
        <f>+E2182</f>
        <v>0</v>
      </c>
      <c r="U2183" s="19" t="str">
        <f>IFERROR(LEFT(I2182,FIND("*",I2182)-1),"-")</f>
        <v>-</v>
      </c>
      <c r="V2183" s="19" t="str">
        <f>IFERROR(RIGHT(I2182,LEN(I2182)-FIND("*",I2182)),"-")</f>
        <v>-</v>
      </c>
      <c r="W2183" s="20" t="str">
        <f t="shared" si="1183"/>
        <v>-</v>
      </c>
      <c r="X2183" s="20" t="str">
        <f>IFERROR(W2183*J2182,"-")</f>
        <v>-</v>
      </c>
      <c r="Z2183" s="85">
        <v>45189</v>
      </c>
    </row>
    <row r="2184" spans="1:26" ht="6.95" customHeight="1" x14ac:dyDescent="0.3">
      <c r="A2184" s="5"/>
      <c r="B2184" s="157"/>
      <c r="C2184" s="158"/>
      <c r="D2184" s="161"/>
      <c r="E2184" s="162"/>
      <c r="F2184" s="163"/>
      <c r="G2184" s="164"/>
      <c r="H2184" s="165"/>
      <c r="I2184" s="164"/>
      <c r="J2184" s="165"/>
      <c r="K2184" s="164"/>
      <c r="L2184" s="165"/>
      <c r="M2184" s="6"/>
      <c r="N2184" s="32"/>
      <c r="Q2184" s="10" t="str">
        <f>+CONCATENATE(E2182,K2182)</f>
        <v/>
      </c>
      <c r="R2184" s="10">
        <f>+L2182</f>
        <v>0</v>
      </c>
      <c r="S2184" s="11"/>
      <c r="T2184" s="10">
        <f>+E2182</f>
        <v>0</v>
      </c>
      <c r="U2184" s="19" t="str">
        <f>IFERROR(LEFT(K2182,FIND("*",K2182)-1),"-")</f>
        <v>-</v>
      </c>
      <c r="V2184" s="19" t="str">
        <f>IFERROR(RIGHT(K2182,LEN(K2182)-FIND("*",K2182)),"-")</f>
        <v>-</v>
      </c>
      <c r="W2184" s="20" t="str">
        <f t="shared" si="1183"/>
        <v>-</v>
      </c>
      <c r="X2184" s="20" t="str">
        <f>IFERROR(W2184*L2182,"-")</f>
        <v>-</v>
      </c>
      <c r="Z2184" s="85">
        <v>45189</v>
      </c>
    </row>
    <row r="2185" spans="1:26" ht="6.95" customHeight="1" x14ac:dyDescent="0.3">
      <c r="A2185" s="8"/>
      <c r="B2185" s="157"/>
      <c r="C2185" s="158"/>
      <c r="D2185" s="161" t="s">
        <v>39</v>
      </c>
      <c r="E2185" s="162"/>
      <c r="F2185" s="163" t="s">
        <v>40</v>
      </c>
      <c r="G2185" s="164"/>
      <c r="H2185" s="165"/>
      <c r="I2185" s="164"/>
      <c r="J2185" s="165"/>
      <c r="K2185" s="164"/>
      <c r="L2185" s="165"/>
      <c r="M2185" s="6"/>
      <c r="N2185" s="32"/>
      <c r="Q2185" s="10" t="str">
        <f>+CONCATENATE(E2185,G2185)</f>
        <v/>
      </c>
      <c r="R2185" s="10">
        <f>+H2185</f>
        <v>0</v>
      </c>
      <c r="S2185" s="11"/>
      <c r="T2185" s="10">
        <f>+E2185</f>
        <v>0</v>
      </c>
      <c r="U2185" s="19" t="str">
        <f t="shared" ref="U2185" si="1186">IFERROR(LEFT(G2185,FIND("*",G2185)-1),"-")</f>
        <v>-</v>
      </c>
      <c r="V2185" s="19" t="str">
        <f t="shared" ref="V2185" si="1187">IFERROR(RIGHT(G2185,LEN(G2185)-FIND("*",G2185)),"-")</f>
        <v>-</v>
      </c>
      <c r="W2185" s="20" t="str">
        <f t="shared" si="1183"/>
        <v>-</v>
      </c>
      <c r="X2185" s="20" t="str">
        <f>IFERROR(W2185*H2185,"-")</f>
        <v>-</v>
      </c>
      <c r="Z2185" s="85">
        <v>45189</v>
      </c>
    </row>
    <row r="2186" spans="1:26" ht="6.95" customHeight="1" x14ac:dyDescent="0.3">
      <c r="A2186" s="5"/>
      <c r="B2186" s="157"/>
      <c r="C2186" s="158"/>
      <c r="D2186" s="161"/>
      <c r="E2186" s="162"/>
      <c r="F2186" s="163"/>
      <c r="G2186" s="164"/>
      <c r="H2186" s="165"/>
      <c r="I2186" s="164"/>
      <c r="J2186" s="165"/>
      <c r="K2186" s="164"/>
      <c r="L2186" s="165"/>
      <c r="M2186" s="6"/>
      <c r="N2186" s="32"/>
      <c r="Q2186" s="10" t="str">
        <f>+CONCATENATE(E2185,I2185)</f>
        <v/>
      </c>
      <c r="R2186" s="10">
        <f>+J2185</f>
        <v>0</v>
      </c>
      <c r="S2186" s="11"/>
      <c r="T2186" s="10">
        <f>+E2185</f>
        <v>0</v>
      </c>
      <c r="U2186" s="19" t="str">
        <f>IFERROR(LEFT(I2185,FIND("*",I2185)-1),"-")</f>
        <v>-</v>
      </c>
      <c r="V2186" s="19" t="str">
        <f>IFERROR(RIGHT(I2185,LEN(I2185)-FIND("*",I2185)),"-")</f>
        <v>-</v>
      </c>
      <c r="W2186" s="20" t="str">
        <f t="shared" si="1183"/>
        <v>-</v>
      </c>
      <c r="X2186" s="20" t="str">
        <f t="shared" ref="X2186" si="1188">IFERROR(W2186*J2185,"-")</f>
        <v>-</v>
      </c>
      <c r="Z2186" s="85">
        <v>45189</v>
      </c>
    </row>
    <row r="2187" spans="1:26" ht="6.95" customHeight="1" x14ac:dyDescent="0.3">
      <c r="A2187" s="5"/>
      <c r="B2187" s="157"/>
      <c r="C2187" s="158"/>
      <c r="D2187" s="161"/>
      <c r="E2187" s="162"/>
      <c r="F2187" s="163"/>
      <c r="G2187" s="164"/>
      <c r="H2187" s="165"/>
      <c r="I2187" s="164"/>
      <c r="J2187" s="165"/>
      <c r="K2187" s="164"/>
      <c r="L2187" s="165"/>
      <c r="M2187" s="6"/>
      <c r="N2187" s="32"/>
      <c r="Q2187" s="10" t="str">
        <f>+CONCATENATE(E2185,K2185)</f>
        <v/>
      </c>
      <c r="R2187" s="10">
        <f>+L2185</f>
        <v>0</v>
      </c>
      <c r="S2187" s="11"/>
      <c r="T2187" s="10">
        <f>+E2185</f>
        <v>0</v>
      </c>
      <c r="U2187" s="19" t="str">
        <f>IFERROR(LEFT(K2185,FIND("*",K2185)-1),"-")</f>
        <v>-</v>
      </c>
      <c r="V2187" s="19" t="str">
        <f>IFERROR(RIGHT(K2185,LEN(K2185)-FIND("*",K2185)),"-")</f>
        <v>-</v>
      </c>
      <c r="W2187" s="20" t="str">
        <f t="shared" si="1183"/>
        <v>-</v>
      </c>
      <c r="X2187" s="20" t="str">
        <f>IFERROR(W2187*L2185,"-")</f>
        <v>-</v>
      </c>
      <c r="Z2187" s="85">
        <v>45189</v>
      </c>
    </row>
    <row r="2188" spans="1:26" ht="21" customHeight="1" thickBot="1" x14ac:dyDescent="0.35">
      <c r="A2188" s="5"/>
      <c r="B2188" s="159"/>
      <c r="C2188" s="160"/>
      <c r="D2188" s="166" t="s">
        <v>43</v>
      </c>
      <c r="E2188" s="167"/>
      <c r="F2188" s="167"/>
      <c r="G2188" s="168" t="s">
        <v>288</v>
      </c>
      <c r="H2188" s="168"/>
      <c r="I2188" s="168"/>
      <c r="J2188" s="168"/>
      <c r="K2188" s="168"/>
      <c r="L2188" s="168"/>
      <c r="M2188" s="7"/>
      <c r="N2188" s="32"/>
      <c r="Z2188" s="85">
        <v>45189</v>
      </c>
    </row>
    <row r="2189" spans="1:26" ht="9.9499999999999993" customHeight="1" thickBot="1" x14ac:dyDescent="0.35">
      <c r="B2189" s="9"/>
      <c r="C2189" s="109">
        <v>998</v>
      </c>
      <c r="D2189" s="51"/>
      <c r="E2189" s="12"/>
      <c r="F2189" s="51"/>
      <c r="G2189" s="14"/>
      <c r="H2189" s="14"/>
      <c r="I2189" s="14"/>
      <c r="J2189" s="14"/>
      <c r="K2189" s="14"/>
      <c r="L2189" s="14"/>
      <c r="M2189" s="9"/>
      <c r="N2189" s="32"/>
      <c r="U2189" s="18"/>
      <c r="V2189" s="18"/>
      <c r="Z2189" s="85">
        <v>45189</v>
      </c>
    </row>
    <row r="2190" spans="1:26" ht="6.95" customHeight="1" x14ac:dyDescent="0.3">
      <c r="A2190" s="154">
        <f>+A2179+1</f>
        <v>999</v>
      </c>
      <c r="B2190" s="155"/>
      <c r="C2190" s="156"/>
      <c r="D2190" s="161" t="s">
        <v>39</v>
      </c>
      <c r="E2190" s="162" t="s">
        <v>186</v>
      </c>
      <c r="F2190" s="163" t="s">
        <v>40</v>
      </c>
      <c r="G2190" s="164">
        <v>150</v>
      </c>
      <c r="H2190" s="165">
        <v>0.5</v>
      </c>
      <c r="I2190" s="164">
        <v>100</v>
      </c>
      <c r="J2190" s="165">
        <v>0.5</v>
      </c>
      <c r="K2190" s="164"/>
      <c r="L2190" s="165"/>
      <c r="M2190" s="6"/>
      <c r="N2190" s="32"/>
      <c r="Q2190" s="10" t="str">
        <f>+CONCATENATE(E2190,G2190)</f>
        <v>금속관벽체150</v>
      </c>
      <c r="R2190" s="10">
        <f>+H2190</f>
        <v>0.5</v>
      </c>
      <c r="S2190" s="11"/>
      <c r="T2190" s="10" t="str">
        <f>+E2190</f>
        <v>금속관벽체</v>
      </c>
      <c r="U2190" s="19" t="str">
        <f>IFERROR(LEFT(G2190,FIND("*",G2190)-1),"-")</f>
        <v>-</v>
      </c>
      <c r="V2190" s="19" t="str">
        <f>IFERROR(RIGHT(G2190,LEN(G2190)-FIND("*",G2190)),"-")</f>
        <v>-</v>
      </c>
      <c r="W2190" s="20" t="str">
        <f>IFERROR((U2190+V2190)*2/1000,"-")</f>
        <v>-</v>
      </c>
      <c r="X2190" s="20" t="str">
        <f>IFERROR(W2190*H2190,"-")</f>
        <v>-</v>
      </c>
      <c r="Z2190" s="85">
        <v>45189</v>
      </c>
    </row>
    <row r="2191" spans="1:26" ht="6.95" customHeight="1" x14ac:dyDescent="0.3">
      <c r="A2191" s="154"/>
      <c r="B2191" s="157"/>
      <c r="C2191" s="158"/>
      <c r="D2191" s="161"/>
      <c r="E2191" s="162"/>
      <c r="F2191" s="163"/>
      <c r="G2191" s="164"/>
      <c r="H2191" s="165"/>
      <c r="I2191" s="164"/>
      <c r="J2191" s="165"/>
      <c r="K2191" s="164"/>
      <c r="L2191" s="165"/>
      <c r="M2191" s="6"/>
      <c r="N2191" s="32"/>
      <c r="Q2191" s="10" t="str">
        <f>+CONCATENATE(E2190,I2190)</f>
        <v>금속관벽체100</v>
      </c>
      <c r="R2191" s="10">
        <f>+J2190</f>
        <v>0.5</v>
      </c>
      <c r="S2191" s="11"/>
      <c r="T2191" s="10" t="str">
        <f>+E2190</f>
        <v>금속관벽체</v>
      </c>
      <c r="U2191" s="19" t="str">
        <f>IFERROR(LEFT(I2190,FIND("*",I2190)-1),"-")</f>
        <v>-</v>
      </c>
      <c r="V2191" s="19" t="str">
        <f>IFERROR(RIGHT(I2190,LEN(I2190)-FIND("*",I2190)),"-")</f>
        <v>-</v>
      </c>
      <c r="W2191" s="20" t="str">
        <f t="shared" ref="W2191:W2198" si="1189">IFERROR((U2191+V2191)*2/1000,"-")</f>
        <v>-</v>
      </c>
      <c r="X2191" s="20" t="str">
        <f>IFERROR(W2191*J2190,"-")</f>
        <v>-</v>
      </c>
      <c r="Z2191" s="85">
        <v>45189</v>
      </c>
    </row>
    <row r="2192" spans="1:26" ht="6.95" customHeight="1" x14ac:dyDescent="0.3">
      <c r="A2192" s="154"/>
      <c r="B2192" s="157"/>
      <c r="C2192" s="158"/>
      <c r="D2192" s="161"/>
      <c r="E2192" s="162"/>
      <c r="F2192" s="163"/>
      <c r="G2192" s="164"/>
      <c r="H2192" s="165"/>
      <c r="I2192" s="164"/>
      <c r="J2192" s="165"/>
      <c r="K2192" s="164"/>
      <c r="L2192" s="165"/>
      <c r="M2192" s="6"/>
      <c r="N2192" s="32"/>
      <c r="Q2192" s="10" t="str">
        <f>+CONCATENATE(E2190,K2190)</f>
        <v>금속관벽체</v>
      </c>
      <c r="R2192" s="10">
        <f>+L2190</f>
        <v>0</v>
      </c>
      <c r="S2192" s="11"/>
      <c r="T2192" s="10" t="str">
        <f>+E2190</f>
        <v>금속관벽체</v>
      </c>
      <c r="U2192" s="19" t="str">
        <f>IFERROR(LEFT(K2190,FIND("*",K2190)-1),"-")</f>
        <v>-</v>
      </c>
      <c r="V2192" s="19" t="str">
        <f>IFERROR(RIGHT(K2190,LEN(K2190)-FIND("*",K2190)),"-")</f>
        <v>-</v>
      </c>
      <c r="W2192" s="20" t="str">
        <f t="shared" si="1189"/>
        <v>-</v>
      </c>
      <c r="X2192" s="20" t="str">
        <f>IFERROR(W2192*L2190,"-")</f>
        <v>-</v>
      </c>
      <c r="Z2192" s="85">
        <v>45189</v>
      </c>
    </row>
    <row r="2193" spans="1:26" ht="6.95" customHeight="1" x14ac:dyDescent="0.3">
      <c r="A2193" s="8"/>
      <c r="B2193" s="157"/>
      <c r="C2193" s="158"/>
      <c r="D2193" s="161" t="s">
        <v>39</v>
      </c>
      <c r="E2193" s="162"/>
      <c r="F2193" s="163" t="s">
        <v>40</v>
      </c>
      <c r="G2193" s="164"/>
      <c r="H2193" s="165"/>
      <c r="I2193" s="164"/>
      <c r="J2193" s="165"/>
      <c r="K2193" s="164"/>
      <c r="L2193" s="165"/>
      <c r="M2193" s="6"/>
      <c r="N2193" s="32"/>
      <c r="Q2193" s="10" t="str">
        <f>+CONCATENATE(E2193,G2193)</f>
        <v/>
      </c>
      <c r="R2193" s="10">
        <f>+H2193</f>
        <v>0</v>
      </c>
      <c r="S2193" s="11"/>
      <c r="T2193" s="10">
        <f>+E2193</f>
        <v>0</v>
      </c>
      <c r="U2193" s="19" t="str">
        <f t="shared" ref="U2193" si="1190">IFERROR(LEFT(G2193,FIND("*",G2193)-1),"-")</f>
        <v>-</v>
      </c>
      <c r="V2193" s="19" t="str">
        <f t="shared" ref="V2193" si="1191">IFERROR(RIGHT(G2193,LEN(G2193)-FIND("*",G2193)),"-")</f>
        <v>-</v>
      </c>
      <c r="W2193" s="20" t="str">
        <f t="shared" si="1189"/>
        <v>-</v>
      </c>
      <c r="X2193" s="20" t="str">
        <f>IFERROR(W2193*H2193,"-")</f>
        <v>-</v>
      </c>
      <c r="Z2193" s="85">
        <v>45189</v>
      </c>
    </row>
    <row r="2194" spans="1:26" ht="6.95" customHeight="1" x14ac:dyDescent="0.3">
      <c r="A2194" s="5"/>
      <c r="B2194" s="157"/>
      <c r="C2194" s="158"/>
      <c r="D2194" s="161"/>
      <c r="E2194" s="162"/>
      <c r="F2194" s="163"/>
      <c r="G2194" s="164"/>
      <c r="H2194" s="165"/>
      <c r="I2194" s="164"/>
      <c r="J2194" s="165"/>
      <c r="K2194" s="164"/>
      <c r="L2194" s="165"/>
      <c r="M2194" s="6"/>
      <c r="N2194" s="32"/>
      <c r="Q2194" s="10" t="str">
        <f>+CONCATENATE(E2193,I2193)</f>
        <v/>
      </c>
      <c r="R2194" s="10">
        <f>+J2193</f>
        <v>0</v>
      </c>
      <c r="S2194" s="11"/>
      <c r="T2194" s="10">
        <f>+E2193</f>
        <v>0</v>
      </c>
      <c r="U2194" s="19" t="str">
        <f>IFERROR(LEFT(I2193,FIND("*",I2193)-1),"-")</f>
        <v>-</v>
      </c>
      <c r="V2194" s="19" t="str">
        <f>IFERROR(RIGHT(I2193,LEN(I2193)-FIND("*",I2193)),"-")</f>
        <v>-</v>
      </c>
      <c r="W2194" s="20" t="str">
        <f t="shared" si="1189"/>
        <v>-</v>
      </c>
      <c r="X2194" s="20" t="str">
        <f>IFERROR(W2194*J2193,"-")</f>
        <v>-</v>
      </c>
      <c r="Z2194" s="85">
        <v>45189</v>
      </c>
    </row>
    <row r="2195" spans="1:26" ht="6.95" customHeight="1" x14ac:dyDescent="0.3">
      <c r="A2195" s="5"/>
      <c r="B2195" s="157"/>
      <c r="C2195" s="158"/>
      <c r="D2195" s="161"/>
      <c r="E2195" s="162"/>
      <c r="F2195" s="163"/>
      <c r="G2195" s="164"/>
      <c r="H2195" s="165"/>
      <c r="I2195" s="164"/>
      <c r="J2195" s="165"/>
      <c r="K2195" s="164"/>
      <c r="L2195" s="165"/>
      <c r="M2195" s="6"/>
      <c r="N2195" s="32"/>
      <c r="Q2195" s="10" t="str">
        <f>+CONCATENATE(E2193,K2193)</f>
        <v/>
      </c>
      <c r="R2195" s="10">
        <f>+L2193</f>
        <v>0</v>
      </c>
      <c r="S2195" s="11"/>
      <c r="T2195" s="10">
        <f>+E2193</f>
        <v>0</v>
      </c>
      <c r="U2195" s="19" t="str">
        <f>IFERROR(LEFT(K2193,FIND("*",K2193)-1),"-")</f>
        <v>-</v>
      </c>
      <c r="V2195" s="19" t="str">
        <f>IFERROR(RIGHT(K2193,LEN(K2193)-FIND("*",K2193)),"-")</f>
        <v>-</v>
      </c>
      <c r="W2195" s="20" t="str">
        <f t="shared" si="1189"/>
        <v>-</v>
      </c>
      <c r="X2195" s="20" t="str">
        <f>IFERROR(W2195*L2193,"-")</f>
        <v>-</v>
      </c>
      <c r="Z2195" s="85">
        <v>45189</v>
      </c>
    </row>
    <row r="2196" spans="1:26" ht="6.95" customHeight="1" x14ac:dyDescent="0.3">
      <c r="A2196" s="8"/>
      <c r="B2196" s="157"/>
      <c r="C2196" s="158"/>
      <c r="D2196" s="161" t="s">
        <v>39</v>
      </c>
      <c r="E2196" s="162"/>
      <c r="F2196" s="163" t="s">
        <v>40</v>
      </c>
      <c r="G2196" s="164"/>
      <c r="H2196" s="165"/>
      <c r="I2196" s="164"/>
      <c r="J2196" s="165"/>
      <c r="K2196" s="164"/>
      <c r="L2196" s="165"/>
      <c r="M2196" s="6"/>
      <c r="N2196" s="32"/>
      <c r="Q2196" s="10" t="str">
        <f>+CONCATENATE(E2196,G2196)</f>
        <v/>
      </c>
      <c r="R2196" s="10">
        <f>+H2196</f>
        <v>0</v>
      </c>
      <c r="S2196" s="11"/>
      <c r="T2196" s="10">
        <f>+E2196</f>
        <v>0</v>
      </c>
      <c r="U2196" s="19" t="str">
        <f t="shared" ref="U2196" si="1192">IFERROR(LEFT(G2196,FIND("*",G2196)-1),"-")</f>
        <v>-</v>
      </c>
      <c r="V2196" s="19" t="str">
        <f t="shared" ref="V2196" si="1193">IFERROR(RIGHT(G2196,LEN(G2196)-FIND("*",G2196)),"-")</f>
        <v>-</v>
      </c>
      <c r="W2196" s="20" t="str">
        <f t="shared" si="1189"/>
        <v>-</v>
      </c>
      <c r="X2196" s="20" t="str">
        <f>IFERROR(W2196*H2196,"-")</f>
        <v>-</v>
      </c>
      <c r="Z2196" s="85">
        <v>45189</v>
      </c>
    </row>
    <row r="2197" spans="1:26" ht="6.95" customHeight="1" x14ac:dyDescent="0.3">
      <c r="A2197" s="5"/>
      <c r="B2197" s="157"/>
      <c r="C2197" s="158"/>
      <c r="D2197" s="161"/>
      <c r="E2197" s="162"/>
      <c r="F2197" s="163"/>
      <c r="G2197" s="164"/>
      <c r="H2197" s="165"/>
      <c r="I2197" s="164"/>
      <c r="J2197" s="165"/>
      <c r="K2197" s="164"/>
      <c r="L2197" s="165"/>
      <c r="M2197" s="6"/>
      <c r="N2197" s="32"/>
      <c r="Q2197" s="10" t="str">
        <f>+CONCATENATE(E2196,I2196)</f>
        <v/>
      </c>
      <c r="R2197" s="10">
        <f>+J2196</f>
        <v>0</v>
      </c>
      <c r="S2197" s="11"/>
      <c r="T2197" s="10">
        <f>+E2196</f>
        <v>0</v>
      </c>
      <c r="U2197" s="19" t="str">
        <f>IFERROR(LEFT(I2196,FIND("*",I2196)-1),"-")</f>
        <v>-</v>
      </c>
      <c r="V2197" s="19" t="str">
        <f>IFERROR(RIGHT(I2196,LEN(I2196)-FIND("*",I2196)),"-")</f>
        <v>-</v>
      </c>
      <c r="W2197" s="20" t="str">
        <f t="shared" si="1189"/>
        <v>-</v>
      </c>
      <c r="X2197" s="20" t="str">
        <f t="shared" ref="X2197" si="1194">IFERROR(W2197*J2196,"-")</f>
        <v>-</v>
      </c>
      <c r="Z2197" s="85">
        <v>45189</v>
      </c>
    </row>
    <row r="2198" spans="1:26" ht="6.95" customHeight="1" x14ac:dyDescent="0.3">
      <c r="A2198" s="5"/>
      <c r="B2198" s="157"/>
      <c r="C2198" s="158"/>
      <c r="D2198" s="161"/>
      <c r="E2198" s="162"/>
      <c r="F2198" s="163"/>
      <c r="G2198" s="164"/>
      <c r="H2198" s="165"/>
      <c r="I2198" s="164"/>
      <c r="J2198" s="165"/>
      <c r="K2198" s="164"/>
      <c r="L2198" s="165"/>
      <c r="M2198" s="6"/>
      <c r="N2198" s="32"/>
      <c r="Q2198" s="10" t="str">
        <f>+CONCATENATE(E2196,K2196)</f>
        <v/>
      </c>
      <c r="R2198" s="10">
        <f>+L2196</f>
        <v>0</v>
      </c>
      <c r="S2198" s="11"/>
      <c r="T2198" s="10">
        <f>+E2196</f>
        <v>0</v>
      </c>
      <c r="U2198" s="19" t="str">
        <f>IFERROR(LEFT(K2196,FIND("*",K2196)-1),"-")</f>
        <v>-</v>
      </c>
      <c r="V2198" s="19" t="str">
        <f>IFERROR(RIGHT(K2196,LEN(K2196)-FIND("*",K2196)),"-")</f>
        <v>-</v>
      </c>
      <c r="W2198" s="20" t="str">
        <f t="shared" si="1189"/>
        <v>-</v>
      </c>
      <c r="X2198" s="20" t="str">
        <f>IFERROR(W2198*L2196,"-")</f>
        <v>-</v>
      </c>
      <c r="Z2198" s="85">
        <v>45189</v>
      </c>
    </row>
    <row r="2199" spans="1:26" ht="21" customHeight="1" thickBot="1" x14ac:dyDescent="0.35">
      <c r="A2199" s="5"/>
      <c r="B2199" s="159"/>
      <c r="C2199" s="160"/>
      <c r="D2199" s="166" t="s">
        <v>43</v>
      </c>
      <c r="E2199" s="167"/>
      <c r="F2199" s="167"/>
      <c r="G2199" s="168" t="s">
        <v>288</v>
      </c>
      <c r="H2199" s="168"/>
      <c r="I2199" s="168"/>
      <c r="J2199" s="168"/>
      <c r="K2199" s="168"/>
      <c r="L2199" s="168"/>
      <c r="M2199" s="7"/>
      <c r="N2199" s="32"/>
      <c r="Z2199" s="85">
        <v>45189</v>
      </c>
    </row>
    <row r="2200" spans="1:26" ht="9.9499999999999993" customHeight="1" thickBot="1" x14ac:dyDescent="0.35">
      <c r="B2200" s="9"/>
      <c r="C2200" s="109">
        <v>999</v>
      </c>
      <c r="D2200" s="51"/>
      <c r="E2200" s="12"/>
      <c r="F2200" s="51"/>
      <c r="G2200" s="14"/>
      <c r="H2200" s="14"/>
      <c r="I2200" s="14"/>
      <c r="J2200" s="14"/>
      <c r="K2200" s="14"/>
      <c r="L2200" s="14"/>
      <c r="M2200" s="9"/>
      <c r="N2200" s="32"/>
      <c r="U2200" s="18"/>
      <c r="V2200" s="18"/>
      <c r="Z2200" s="85">
        <v>45189</v>
      </c>
    </row>
    <row r="2201" spans="1:26" ht="6.95" customHeight="1" x14ac:dyDescent="0.3">
      <c r="A2201" s="154">
        <f>+A2190+1</f>
        <v>1000</v>
      </c>
      <c r="B2201" s="155"/>
      <c r="C2201" s="156"/>
      <c r="D2201" s="161" t="s">
        <v>39</v>
      </c>
      <c r="E2201" s="162" t="s">
        <v>111</v>
      </c>
      <c r="F2201" s="163" t="s">
        <v>40</v>
      </c>
      <c r="G2201" s="164" t="s">
        <v>295</v>
      </c>
      <c r="H2201" s="165">
        <v>0.5</v>
      </c>
      <c r="I2201" s="164"/>
      <c r="J2201" s="165"/>
      <c r="K2201" s="164"/>
      <c r="L2201" s="165"/>
      <c r="M2201" s="6"/>
      <c r="N2201" s="32"/>
      <c r="Q2201" s="10" t="str">
        <f>+CONCATENATE(E2201,G2201)</f>
        <v>보온덕트벽체2000*1200</v>
      </c>
      <c r="R2201" s="10">
        <f>+H2201</f>
        <v>0.5</v>
      </c>
      <c r="S2201" s="11"/>
      <c r="T2201" s="10" t="str">
        <f>+E2201</f>
        <v>보온덕트벽체</v>
      </c>
      <c r="U2201" s="19" t="str">
        <f>IFERROR(LEFT(G2201,FIND("*",G2201)-1),"-")</f>
        <v>2000</v>
      </c>
      <c r="V2201" s="19" t="str">
        <f>IFERROR(RIGHT(G2201,LEN(G2201)-FIND("*",G2201)),"-")</f>
        <v>1200</v>
      </c>
      <c r="W2201" s="20">
        <f>IFERROR((U2201+V2201)*2/1000,"-")</f>
        <v>6.4</v>
      </c>
      <c r="X2201" s="20">
        <f>IFERROR(W2201*H2201,"-")</f>
        <v>3.2</v>
      </c>
      <c r="Z2201" s="85">
        <v>45189</v>
      </c>
    </row>
    <row r="2202" spans="1:26" ht="6.95" customHeight="1" x14ac:dyDescent="0.3">
      <c r="A2202" s="154"/>
      <c r="B2202" s="157"/>
      <c r="C2202" s="158"/>
      <c r="D2202" s="161"/>
      <c r="E2202" s="162"/>
      <c r="F2202" s="163"/>
      <c r="G2202" s="164"/>
      <c r="H2202" s="165"/>
      <c r="I2202" s="164"/>
      <c r="J2202" s="165"/>
      <c r="K2202" s="164"/>
      <c r="L2202" s="165"/>
      <c r="M2202" s="6"/>
      <c r="N2202" s="32"/>
      <c r="Q2202" s="10" t="str">
        <f>+CONCATENATE(E2201,I2201)</f>
        <v>보온덕트벽체</v>
      </c>
      <c r="R2202" s="10">
        <f>+J2201</f>
        <v>0</v>
      </c>
      <c r="S2202" s="11"/>
      <c r="T2202" s="10" t="str">
        <f>+E2201</f>
        <v>보온덕트벽체</v>
      </c>
      <c r="U2202" s="19" t="str">
        <f>IFERROR(LEFT(I2201,FIND("*",I2201)-1),"-")</f>
        <v>-</v>
      </c>
      <c r="V2202" s="19" t="str">
        <f>IFERROR(RIGHT(I2201,LEN(I2201)-FIND("*",I2201)),"-")</f>
        <v>-</v>
      </c>
      <c r="W2202" s="20" t="str">
        <f t="shared" ref="W2202:W2209" si="1195">IFERROR((U2202+V2202)*2/1000,"-")</f>
        <v>-</v>
      </c>
      <c r="X2202" s="20" t="str">
        <f>IFERROR(W2202*J2201,"-")</f>
        <v>-</v>
      </c>
      <c r="Z2202" s="85">
        <v>45189</v>
      </c>
    </row>
    <row r="2203" spans="1:26" ht="6.95" customHeight="1" x14ac:dyDescent="0.3">
      <c r="A2203" s="154"/>
      <c r="B2203" s="157"/>
      <c r="C2203" s="158"/>
      <c r="D2203" s="161"/>
      <c r="E2203" s="162"/>
      <c r="F2203" s="163"/>
      <c r="G2203" s="164"/>
      <c r="H2203" s="165"/>
      <c r="I2203" s="164"/>
      <c r="J2203" s="165"/>
      <c r="K2203" s="164"/>
      <c r="L2203" s="165"/>
      <c r="M2203" s="6"/>
      <c r="N2203" s="32"/>
      <c r="Q2203" s="10" t="str">
        <f>+CONCATENATE(E2201,K2201)</f>
        <v>보온덕트벽체</v>
      </c>
      <c r="R2203" s="10">
        <f>+L2201</f>
        <v>0</v>
      </c>
      <c r="S2203" s="11"/>
      <c r="T2203" s="10" t="str">
        <f>+E2201</f>
        <v>보온덕트벽체</v>
      </c>
      <c r="U2203" s="19" t="str">
        <f>IFERROR(LEFT(K2201,FIND("*",K2201)-1),"-")</f>
        <v>-</v>
      </c>
      <c r="V2203" s="19" t="str">
        <f>IFERROR(RIGHT(K2201,LEN(K2201)-FIND("*",K2201)),"-")</f>
        <v>-</v>
      </c>
      <c r="W2203" s="20" t="str">
        <f t="shared" si="1195"/>
        <v>-</v>
      </c>
      <c r="X2203" s="20" t="str">
        <f>IFERROR(W2203*L2201,"-")</f>
        <v>-</v>
      </c>
      <c r="Z2203" s="85">
        <v>45189</v>
      </c>
    </row>
    <row r="2204" spans="1:26" ht="6.95" customHeight="1" x14ac:dyDescent="0.3">
      <c r="A2204" s="8"/>
      <c r="B2204" s="157"/>
      <c r="C2204" s="158"/>
      <c r="D2204" s="161" t="s">
        <v>39</v>
      </c>
      <c r="E2204" s="162" t="s">
        <v>188</v>
      </c>
      <c r="F2204" s="163" t="s">
        <v>40</v>
      </c>
      <c r="G2204" s="164" t="s">
        <v>295</v>
      </c>
      <c r="H2204" s="165">
        <v>1</v>
      </c>
      <c r="I2204" s="164" t="s">
        <v>296</v>
      </c>
      <c r="J2204" s="165">
        <v>0.5</v>
      </c>
      <c r="K2204" s="164"/>
      <c r="L2204" s="165"/>
      <c r="M2204" s="6"/>
      <c r="N2204" s="32"/>
      <c r="Q2204" s="10" t="str">
        <f>+CONCATENATE(E2204,G2204)</f>
        <v>차열재마감2000*1200</v>
      </c>
      <c r="R2204" s="10">
        <f>+H2204</f>
        <v>1</v>
      </c>
      <c r="S2204" s="11"/>
      <c r="T2204" s="10" t="str">
        <f>+E2204</f>
        <v>차열재마감</v>
      </c>
      <c r="U2204" s="19" t="str">
        <f t="shared" ref="U2204" si="1196">IFERROR(LEFT(G2204,FIND("*",G2204)-1),"-")</f>
        <v>2000</v>
      </c>
      <c r="V2204" s="19" t="str">
        <f t="shared" ref="V2204" si="1197">IFERROR(RIGHT(G2204,LEN(G2204)-FIND("*",G2204)),"-")</f>
        <v>1200</v>
      </c>
      <c r="W2204" s="20">
        <f t="shared" si="1195"/>
        <v>6.4</v>
      </c>
      <c r="X2204" s="20">
        <f>IFERROR(W2204*H2204,"-")</f>
        <v>6.4</v>
      </c>
      <c r="Z2204" s="85">
        <v>45189</v>
      </c>
    </row>
    <row r="2205" spans="1:26" ht="6.95" customHeight="1" x14ac:dyDescent="0.3">
      <c r="A2205" s="5"/>
      <c r="B2205" s="157"/>
      <c r="C2205" s="158"/>
      <c r="D2205" s="161"/>
      <c r="E2205" s="162"/>
      <c r="F2205" s="163"/>
      <c r="G2205" s="164"/>
      <c r="H2205" s="165"/>
      <c r="I2205" s="164"/>
      <c r="J2205" s="165"/>
      <c r="K2205" s="164"/>
      <c r="L2205" s="165"/>
      <c r="M2205" s="6"/>
      <c r="N2205" s="32"/>
      <c r="Q2205" s="10" t="str">
        <f>+CONCATENATE(E2204,I2204)</f>
        <v>차열재마감2100*1000</v>
      </c>
      <c r="R2205" s="10">
        <f>+J2204</f>
        <v>0.5</v>
      </c>
      <c r="S2205" s="11"/>
      <c r="T2205" s="10" t="str">
        <f>+E2204</f>
        <v>차열재마감</v>
      </c>
      <c r="U2205" s="19" t="str">
        <f>IFERROR(LEFT(I2204,FIND("*",I2204)-1),"-")</f>
        <v>2100</v>
      </c>
      <c r="V2205" s="19" t="str">
        <f>IFERROR(RIGHT(I2204,LEN(I2204)-FIND("*",I2204)),"-")</f>
        <v>1000</v>
      </c>
      <c r="W2205" s="20">
        <f t="shared" si="1195"/>
        <v>6.2</v>
      </c>
      <c r="X2205" s="20">
        <f>IFERROR(W2205*J2204,"-")</f>
        <v>3.1</v>
      </c>
      <c r="Z2205" s="85">
        <v>45189</v>
      </c>
    </row>
    <row r="2206" spans="1:26" ht="6.95" customHeight="1" x14ac:dyDescent="0.3">
      <c r="A2206" s="5"/>
      <c r="B2206" s="157"/>
      <c r="C2206" s="158"/>
      <c r="D2206" s="161"/>
      <c r="E2206" s="162"/>
      <c r="F2206" s="163"/>
      <c r="G2206" s="164"/>
      <c r="H2206" s="165"/>
      <c r="I2206" s="164"/>
      <c r="J2206" s="165"/>
      <c r="K2206" s="164"/>
      <c r="L2206" s="165"/>
      <c r="M2206" s="6"/>
      <c r="N2206" s="32"/>
      <c r="Q2206" s="10" t="str">
        <f>+CONCATENATE(E2204,K2204)</f>
        <v>차열재마감</v>
      </c>
      <c r="R2206" s="10">
        <f>+L2204</f>
        <v>0</v>
      </c>
      <c r="S2206" s="11"/>
      <c r="T2206" s="10" t="str">
        <f>+E2204</f>
        <v>차열재마감</v>
      </c>
      <c r="U2206" s="19" t="str">
        <f>IFERROR(LEFT(K2204,FIND("*",K2204)-1),"-")</f>
        <v>-</v>
      </c>
      <c r="V2206" s="19" t="str">
        <f>IFERROR(RIGHT(K2204,LEN(K2204)-FIND("*",K2204)),"-")</f>
        <v>-</v>
      </c>
      <c r="W2206" s="20" t="str">
        <f t="shared" si="1195"/>
        <v>-</v>
      </c>
      <c r="X2206" s="20" t="str">
        <f>IFERROR(W2206*L2204,"-")</f>
        <v>-</v>
      </c>
      <c r="Z2206" s="85">
        <v>45189</v>
      </c>
    </row>
    <row r="2207" spans="1:26" ht="6.95" customHeight="1" x14ac:dyDescent="0.3">
      <c r="A2207" s="8"/>
      <c r="B2207" s="157"/>
      <c r="C2207" s="158"/>
      <c r="D2207" s="161" t="s">
        <v>39</v>
      </c>
      <c r="E2207" s="162" t="s">
        <v>115</v>
      </c>
      <c r="F2207" s="163" t="s">
        <v>40</v>
      </c>
      <c r="G2207" s="164" t="s">
        <v>296</v>
      </c>
      <c r="H2207" s="165">
        <v>0.5</v>
      </c>
      <c r="I2207" s="164"/>
      <c r="J2207" s="165"/>
      <c r="K2207" s="164"/>
      <c r="L2207" s="165"/>
      <c r="M2207" s="6"/>
      <c r="N2207" s="32"/>
      <c r="Q2207" s="10" t="str">
        <f>+CONCATENATE(E2207,G2207)</f>
        <v>무보온덕트벽체2100*1000</v>
      </c>
      <c r="R2207" s="10">
        <f>+H2207</f>
        <v>0.5</v>
      </c>
      <c r="S2207" s="11"/>
      <c r="T2207" s="10" t="str">
        <f>+E2207</f>
        <v>무보온덕트벽체</v>
      </c>
      <c r="U2207" s="19" t="str">
        <f t="shared" ref="U2207" si="1198">IFERROR(LEFT(G2207,FIND("*",G2207)-1),"-")</f>
        <v>2100</v>
      </c>
      <c r="V2207" s="19" t="str">
        <f t="shared" ref="V2207" si="1199">IFERROR(RIGHT(G2207,LEN(G2207)-FIND("*",G2207)),"-")</f>
        <v>1000</v>
      </c>
      <c r="W2207" s="20">
        <f t="shared" si="1195"/>
        <v>6.2</v>
      </c>
      <c r="X2207" s="20">
        <f>IFERROR(W2207*H2207,"-")</f>
        <v>3.1</v>
      </c>
      <c r="Z2207" s="85">
        <v>45189</v>
      </c>
    </row>
    <row r="2208" spans="1:26" ht="6.95" customHeight="1" x14ac:dyDescent="0.3">
      <c r="A2208" s="5"/>
      <c r="B2208" s="157"/>
      <c r="C2208" s="158"/>
      <c r="D2208" s="161"/>
      <c r="E2208" s="162"/>
      <c r="F2208" s="163"/>
      <c r="G2208" s="164"/>
      <c r="H2208" s="165"/>
      <c r="I2208" s="164"/>
      <c r="J2208" s="165"/>
      <c r="K2208" s="164"/>
      <c r="L2208" s="165"/>
      <c r="M2208" s="6"/>
      <c r="N2208" s="32"/>
      <c r="Q2208" s="10" t="str">
        <f>+CONCATENATE(E2207,I2207)</f>
        <v>무보온덕트벽체</v>
      </c>
      <c r="R2208" s="10">
        <f>+J2207</f>
        <v>0</v>
      </c>
      <c r="S2208" s="11"/>
      <c r="T2208" s="10" t="str">
        <f>+E2207</f>
        <v>무보온덕트벽체</v>
      </c>
      <c r="U2208" s="19" t="str">
        <f>IFERROR(LEFT(I2207,FIND("*",I2207)-1),"-")</f>
        <v>-</v>
      </c>
      <c r="V2208" s="19" t="str">
        <f>IFERROR(RIGHT(I2207,LEN(I2207)-FIND("*",I2207)),"-")</f>
        <v>-</v>
      </c>
      <c r="W2208" s="20" t="str">
        <f t="shared" si="1195"/>
        <v>-</v>
      </c>
      <c r="X2208" s="20" t="str">
        <f t="shared" ref="X2208" si="1200">IFERROR(W2208*J2207,"-")</f>
        <v>-</v>
      </c>
      <c r="Z2208" s="85">
        <v>45189</v>
      </c>
    </row>
    <row r="2209" spans="1:26" ht="6.95" customHeight="1" x14ac:dyDescent="0.3">
      <c r="A2209" s="5"/>
      <c r="B2209" s="157"/>
      <c r="C2209" s="158"/>
      <c r="D2209" s="161"/>
      <c r="E2209" s="162"/>
      <c r="F2209" s="163"/>
      <c r="G2209" s="164"/>
      <c r="H2209" s="165"/>
      <c r="I2209" s="164"/>
      <c r="J2209" s="165"/>
      <c r="K2209" s="164"/>
      <c r="L2209" s="165"/>
      <c r="M2209" s="6"/>
      <c r="N2209" s="32"/>
      <c r="Q2209" s="10" t="str">
        <f>+CONCATENATE(E2207,K2207)</f>
        <v>무보온덕트벽체</v>
      </c>
      <c r="R2209" s="10">
        <f>+L2207</f>
        <v>0</v>
      </c>
      <c r="S2209" s="11"/>
      <c r="T2209" s="10" t="str">
        <f>+E2207</f>
        <v>무보온덕트벽체</v>
      </c>
      <c r="U2209" s="19" t="str">
        <f>IFERROR(LEFT(K2207,FIND("*",K2207)-1),"-")</f>
        <v>-</v>
      </c>
      <c r="V2209" s="19" t="str">
        <f>IFERROR(RIGHT(K2207,LEN(K2207)-FIND("*",K2207)),"-")</f>
        <v>-</v>
      </c>
      <c r="W2209" s="20" t="str">
        <f t="shared" si="1195"/>
        <v>-</v>
      </c>
      <c r="X2209" s="20" t="str">
        <f>IFERROR(W2209*L2207,"-")</f>
        <v>-</v>
      </c>
      <c r="Z2209" s="85">
        <v>45189</v>
      </c>
    </row>
    <row r="2210" spans="1:26" ht="21" customHeight="1" thickBot="1" x14ac:dyDescent="0.35">
      <c r="A2210" s="5"/>
      <c r="B2210" s="159"/>
      <c r="C2210" s="160"/>
      <c r="D2210" s="166" t="s">
        <v>43</v>
      </c>
      <c r="E2210" s="167"/>
      <c r="F2210" s="167"/>
      <c r="G2210" s="168" t="s">
        <v>288</v>
      </c>
      <c r="H2210" s="168"/>
      <c r="I2210" s="168"/>
      <c r="J2210" s="168"/>
      <c r="K2210" s="168"/>
      <c r="L2210" s="168"/>
      <c r="M2210" s="7"/>
      <c r="N2210" s="32"/>
      <c r="Z2210" s="85">
        <v>45189</v>
      </c>
    </row>
    <row r="2211" spans="1:26" ht="9.9499999999999993" customHeight="1" thickBot="1" x14ac:dyDescent="0.35">
      <c r="B2211" s="9"/>
      <c r="C2211" s="109">
        <v>1000</v>
      </c>
      <c r="D2211" s="51"/>
      <c r="E2211" s="12"/>
      <c r="F2211" s="51"/>
      <c r="G2211" s="14"/>
      <c r="H2211" s="14"/>
      <c r="I2211" s="14"/>
      <c r="J2211" s="14"/>
      <c r="K2211" s="14"/>
      <c r="L2211" s="14"/>
      <c r="M2211" s="9"/>
      <c r="N2211" s="32"/>
      <c r="U2211" s="18"/>
      <c r="V2211" s="18"/>
      <c r="Z2211" s="85">
        <v>45189</v>
      </c>
    </row>
    <row r="2212" spans="1:26" ht="6.95" customHeight="1" x14ac:dyDescent="0.3">
      <c r="A2212" s="154">
        <f>+A2201+1</f>
        <v>1001</v>
      </c>
      <c r="B2212" s="155"/>
      <c r="C2212" s="156"/>
      <c r="D2212" s="161" t="s">
        <v>39</v>
      </c>
      <c r="E2212" s="162" t="s">
        <v>186</v>
      </c>
      <c r="F2212" s="163" t="s">
        <v>40</v>
      </c>
      <c r="G2212" s="164">
        <v>150</v>
      </c>
      <c r="H2212" s="165">
        <v>1</v>
      </c>
      <c r="I2212" s="164"/>
      <c r="J2212" s="165"/>
      <c r="K2212" s="164"/>
      <c r="L2212" s="165"/>
      <c r="M2212" s="6"/>
      <c r="N2212" s="32"/>
      <c r="Q2212" s="10" t="str">
        <f>+CONCATENATE(E2212,G2212)</f>
        <v>금속관벽체150</v>
      </c>
      <c r="R2212" s="10">
        <f>+H2212</f>
        <v>1</v>
      </c>
      <c r="S2212" s="11"/>
      <c r="T2212" s="10" t="str">
        <f>+E2212</f>
        <v>금속관벽체</v>
      </c>
      <c r="U2212" s="19" t="str">
        <f>IFERROR(LEFT(G2212,FIND("*",G2212)-1),"-")</f>
        <v>-</v>
      </c>
      <c r="V2212" s="19" t="str">
        <f>IFERROR(RIGHT(G2212,LEN(G2212)-FIND("*",G2212)),"-")</f>
        <v>-</v>
      </c>
      <c r="W2212" s="20" t="str">
        <f>IFERROR((U2212+V2212)*2/1000,"-")</f>
        <v>-</v>
      </c>
      <c r="X2212" s="20" t="str">
        <f>IFERROR(W2212*H2212,"-")</f>
        <v>-</v>
      </c>
      <c r="Z2212" s="85">
        <v>45189</v>
      </c>
    </row>
    <row r="2213" spans="1:26" ht="6.95" customHeight="1" x14ac:dyDescent="0.3">
      <c r="A2213" s="154"/>
      <c r="B2213" s="157"/>
      <c r="C2213" s="158"/>
      <c r="D2213" s="161"/>
      <c r="E2213" s="162"/>
      <c r="F2213" s="163"/>
      <c r="G2213" s="164"/>
      <c r="H2213" s="165"/>
      <c r="I2213" s="164"/>
      <c r="J2213" s="165"/>
      <c r="K2213" s="164"/>
      <c r="L2213" s="165"/>
      <c r="M2213" s="6"/>
      <c r="N2213" s="32"/>
      <c r="Q2213" s="10" t="str">
        <f>+CONCATENATE(E2212,I2212)</f>
        <v>금속관벽체</v>
      </c>
      <c r="R2213" s="10">
        <f>+J2212</f>
        <v>0</v>
      </c>
      <c r="S2213" s="11"/>
      <c r="T2213" s="10" t="str">
        <f>+E2212</f>
        <v>금속관벽체</v>
      </c>
      <c r="U2213" s="19" t="str">
        <f>IFERROR(LEFT(I2212,FIND("*",I2212)-1),"-")</f>
        <v>-</v>
      </c>
      <c r="V2213" s="19" t="str">
        <f>IFERROR(RIGHT(I2212,LEN(I2212)-FIND("*",I2212)),"-")</f>
        <v>-</v>
      </c>
      <c r="W2213" s="20" t="str">
        <f t="shared" ref="W2213:W2220" si="1201">IFERROR((U2213+V2213)*2/1000,"-")</f>
        <v>-</v>
      </c>
      <c r="X2213" s="20" t="str">
        <f>IFERROR(W2213*J2212,"-")</f>
        <v>-</v>
      </c>
      <c r="Z2213" s="85">
        <v>45189</v>
      </c>
    </row>
    <row r="2214" spans="1:26" ht="6.95" customHeight="1" x14ac:dyDescent="0.3">
      <c r="A2214" s="154"/>
      <c r="B2214" s="157"/>
      <c r="C2214" s="158"/>
      <c r="D2214" s="161"/>
      <c r="E2214" s="162"/>
      <c r="F2214" s="163"/>
      <c r="G2214" s="164"/>
      <c r="H2214" s="165"/>
      <c r="I2214" s="164"/>
      <c r="J2214" s="165"/>
      <c r="K2214" s="164"/>
      <c r="L2214" s="165"/>
      <c r="M2214" s="6"/>
      <c r="N2214" s="32"/>
      <c r="Q2214" s="10" t="str">
        <f>+CONCATENATE(E2212,K2212)</f>
        <v>금속관벽체</v>
      </c>
      <c r="R2214" s="10">
        <f>+L2212</f>
        <v>0</v>
      </c>
      <c r="S2214" s="11"/>
      <c r="T2214" s="10" t="str">
        <f>+E2212</f>
        <v>금속관벽체</v>
      </c>
      <c r="U2214" s="19" t="str">
        <f>IFERROR(LEFT(K2212,FIND("*",K2212)-1),"-")</f>
        <v>-</v>
      </c>
      <c r="V2214" s="19" t="str">
        <f>IFERROR(RIGHT(K2212,LEN(K2212)-FIND("*",K2212)),"-")</f>
        <v>-</v>
      </c>
      <c r="W2214" s="20" t="str">
        <f t="shared" si="1201"/>
        <v>-</v>
      </c>
      <c r="X2214" s="20" t="str">
        <f>IFERROR(W2214*L2212,"-")</f>
        <v>-</v>
      </c>
      <c r="Z2214" s="85">
        <v>45189</v>
      </c>
    </row>
    <row r="2215" spans="1:26" ht="6.95" customHeight="1" x14ac:dyDescent="0.3">
      <c r="A2215" s="8"/>
      <c r="B2215" s="157"/>
      <c r="C2215" s="158"/>
      <c r="D2215" s="161" t="s">
        <v>39</v>
      </c>
      <c r="E2215" s="162"/>
      <c r="F2215" s="163" t="s">
        <v>40</v>
      </c>
      <c r="G2215" s="164"/>
      <c r="H2215" s="165"/>
      <c r="I2215" s="164"/>
      <c r="J2215" s="165"/>
      <c r="K2215" s="164"/>
      <c r="L2215" s="165"/>
      <c r="M2215" s="6"/>
      <c r="N2215" s="32"/>
      <c r="Q2215" s="10" t="str">
        <f>+CONCATENATE(E2215,G2215)</f>
        <v/>
      </c>
      <c r="R2215" s="10">
        <f>+H2215</f>
        <v>0</v>
      </c>
      <c r="S2215" s="11"/>
      <c r="T2215" s="10">
        <f>+E2215</f>
        <v>0</v>
      </c>
      <c r="U2215" s="19" t="str">
        <f t="shared" ref="U2215" si="1202">IFERROR(LEFT(G2215,FIND("*",G2215)-1),"-")</f>
        <v>-</v>
      </c>
      <c r="V2215" s="19" t="str">
        <f t="shared" ref="V2215" si="1203">IFERROR(RIGHT(G2215,LEN(G2215)-FIND("*",G2215)),"-")</f>
        <v>-</v>
      </c>
      <c r="W2215" s="20" t="str">
        <f t="shared" si="1201"/>
        <v>-</v>
      </c>
      <c r="X2215" s="20" t="str">
        <f>IFERROR(W2215*H2215,"-")</f>
        <v>-</v>
      </c>
      <c r="Z2215" s="85">
        <v>45189</v>
      </c>
    </row>
    <row r="2216" spans="1:26" ht="6.95" customHeight="1" x14ac:dyDescent="0.3">
      <c r="A2216" s="5"/>
      <c r="B2216" s="157"/>
      <c r="C2216" s="158"/>
      <c r="D2216" s="161"/>
      <c r="E2216" s="162"/>
      <c r="F2216" s="163"/>
      <c r="G2216" s="164"/>
      <c r="H2216" s="165"/>
      <c r="I2216" s="164"/>
      <c r="J2216" s="165"/>
      <c r="K2216" s="164"/>
      <c r="L2216" s="165"/>
      <c r="M2216" s="6"/>
      <c r="N2216" s="32"/>
      <c r="Q2216" s="10" t="str">
        <f>+CONCATENATE(E2215,I2215)</f>
        <v/>
      </c>
      <c r="R2216" s="10">
        <f>+J2215</f>
        <v>0</v>
      </c>
      <c r="S2216" s="11"/>
      <c r="T2216" s="10">
        <f>+E2215</f>
        <v>0</v>
      </c>
      <c r="U2216" s="19" t="str">
        <f>IFERROR(LEFT(I2215,FIND("*",I2215)-1),"-")</f>
        <v>-</v>
      </c>
      <c r="V2216" s="19" t="str">
        <f>IFERROR(RIGHT(I2215,LEN(I2215)-FIND("*",I2215)),"-")</f>
        <v>-</v>
      </c>
      <c r="W2216" s="20" t="str">
        <f t="shared" si="1201"/>
        <v>-</v>
      </c>
      <c r="X2216" s="20" t="str">
        <f>IFERROR(W2216*J2215,"-")</f>
        <v>-</v>
      </c>
      <c r="Z2216" s="85">
        <v>45189</v>
      </c>
    </row>
    <row r="2217" spans="1:26" ht="6.95" customHeight="1" x14ac:dyDescent="0.3">
      <c r="A2217" s="5"/>
      <c r="B2217" s="157"/>
      <c r="C2217" s="158"/>
      <c r="D2217" s="161"/>
      <c r="E2217" s="162"/>
      <c r="F2217" s="163"/>
      <c r="G2217" s="164"/>
      <c r="H2217" s="165"/>
      <c r="I2217" s="164"/>
      <c r="J2217" s="165"/>
      <c r="K2217" s="164"/>
      <c r="L2217" s="165"/>
      <c r="M2217" s="6"/>
      <c r="N2217" s="32"/>
      <c r="Q2217" s="10" t="str">
        <f>+CONCATENATE(E2215,K2215)</f>
        <v/>
      </c>
      <c r="R2217" s="10">
        <f>+L2215</f>
        <v>0</v>
      </c>
      <c r="S2217" s="11"/>
      <c r="T2217" s="10">
        <f>+E2215</f>
        <v>0</v>
      </c>
      <c r="U2217" s="19" t="str">
        <f>IFERROR(LEFT(K2215,FIND("*",K2215)-1),"-")</f>
        <v>-</v>
      </c>
      <c r="V2217" s="19" t="str">
        <f>IFERROR(RIGHT(K2215,LEN(K2215)-FIND("*",K2215)),"-")</f>
        <v>-</v>
      </c>
      <c r="W2217" s="20" t="str">
        <f t="shared" si="1201"/>
        <v>-</v>
      </c>
      <c r="X2217" s="20" t="str">
        <f>IFERROR(W2217*L2215,"-")</f>
        <v>-</v>
      </c>
      <c r="Z2217" s="85">
        <v>45189</v>
      </c>
    </row>
    <row r="2218" spans="1:26" ht="6.95" customHeight="1" x14ac:dyDescent="0.3">
      <c r="A2218" s="8"/>
      <c r="B2218" s="157"/>
      <c r="C2218" s="158"/>
      <c r="D2218" s="161" t="s">
        <v>39</v>
      </c>
      <c r="E2218" s="162"/>
      <c r="F2218" s="163" t="s">
        <v>40</v>
      </c>
      <c r="G2218" s="164"/>
      <c r="H2218" s="165"/>
      <c r="I2218" s="164"/>
      <c r="J2218" s="165"/>
      <c r="K2218" s="164"/>
      <c r="L2218" s="165"/>
      <c r="M2218" s="6"/>
      <c r="N2218" s="32"/>
      <c r="Q2218" s="10" t="str">
        <f>+CONCATENATE(E2218,G2218)</f>
        <v/>
      </c>
      <c r="R2218" s="10">
        <f>+H2218</f>
        <v>0</v>
      </c>
      <c r="S2218" s="11"/>
      <c r="T2218" s="10">
        <f>+E2218</f>
        <v>0</v>
      </c>
      <c r="U2218" s="19" t="str">
        <f t="shared" ref="U2218" si="1204">IFERROR(LEFT(G2218,FIND("*",G2218)-1),"-")</f>
        <v>-</v>
      </c>
      <c r="V2218" s="19" t="str">
        <f t="shared" ref="V2218" si="1205">IFERROR(RIGHT(G2218,LEN(G2218)-FIND("*",G2218)),"-")</f>
        <v>-</v>
      </c>
      <c r="W2218" s="20" t="str">
        <f t="shared" si="1201"/>
        <v>-</v>
      </c>
      <c r="X2218" s="20" t="str">
        <f>IFERROR(W2218*H2218,"-")</f>
        <v>-</v>
      </c>
      <c r="Z2218" s="85">
        <v>45189</v>
      </c>
    </row>
    <row r="2219" spans="1:26" ht="6.95" customHeight="1" x14ac:dyDescent="0.3">
      <c r="A2219" s="5"/>
      <c r="B2219" s="157"/>
      <c r="C2219" s="158"/>
      <c r="D2219" s="161"/>
      <c r="E2219" s="162"/>
      <c r="F2219" s="163"/>
      <c r="G2219" s="164"/>
      <c r="H2219" s="165"/>
      <c r="I2219" s="164"/>
      <c r="J2219" s="165"/>
      <c r="K2219" s="164"/>
      <c r="L2219" s="165"/>
      <c r="M2219" s="6"/>
      <c r="N2219" s="32"/>
      <c r="Q2219" s="10" t="str">
        <f>+CONCATENATE(E2218,I2218)</f>
        <v/>
      </c>
      <c r="R2219" s="10">
        <f>+J2218</f>
        <v>0</v>
      </c>
      <c r="S2219" s="11"/>
      <c r="T2219" s="10">
        <f>+E2218</f>
        <v>0</v>
      </c>
      <c r="U2219" s="19" t="str">
        <f>IFERROR(LEFT(I2218,FIND("*",I2218)-1),"-")</f>
        <v>-</v>
      </c>
      <c r="V2219" s="19" t="str">
        <f>IFERROR(RIGHT(I2218,LEN(I2218)-FIND("*",I2218)),"-")</f>
        <v>-</v>
      </c>
      <c r="W2219" s="20" t="str">
        <f t="shared" si="1201"/>
        <v>-</v>
      </c>
      <c r="X2219" s="20" t="str">
        <f t="shared" ref="X2219" si="1206">IFERROR(W2219*J2218,"-")</f>
        <v>-</v>
      </c>
      <c r="Z2219" s="85">
        <v>45189</v>
      </c>
    </row>
    <row r="2220" spans="1:26" ht="6.95" customHeight="1" x14ac:dyDescent="0.3">
      <c r="A2220" s="5"/>
      <c r="B2220" s="157"/>
      <c r="C2220" s="158"/>
      <c r="D2220" s="161"/>
      <c r="E2220" s="162"/>
      <c r="F2220" s="163"/>
      <c r="G2220" s="164"/>
      <c r="H2220" s="165"/>
      <c r="I2220" s="164"/>
      <c r="J2220" s="165"/>
      <c r="K2220" s="164"/>
      <c r="L2220" s="165"/>
      <c r="M2220" s="6"/>
      <c r="N2220" s="32"/>
      <c r="Q2220" s="10" t="str">
        <f>+CONCATENATE(E2218,K2218)</f>
        <v/>
      </c>
      <c r="R2220" s="10">
        <f>+L2218</f>
        <v>0</v>
      </c>
      <c r="S2220" s="11"/>
      <c r="T2220" s="10">
        <f>+E2218</f>
        <v>0</v>
      </c>
      <c r="U2220" s="19" t="str">
        <f>IFERROR(LEFT(K2218,FIND("*",K2218)-1),"-")</f>
        <v>-</v>
      </c>
      <c r="V2220" s="19" t="str">
        <f>IFERROR(RIGHT(K2218,LEN(K2218)-FIND("*",K2218)),"-")</f>
        <v>-</v>
      </c>
      <c r="W2220" s="20" t="str">
        <f t="shared" si="1201"/>
        <v>-</v>
      </c>
      <c r="X2220" s="20" t="str">
        <f>IFERROR(W2220*L2218,"-")</f>
        <v>-</v>
      </c>
      <c r="Z2220" s="85">
        <v>45189</v>
      </c>
    </row>
    <row r="2221" spans="1:26" ht="21" customHeight="1" thickBot="1" x14ac:dyDescent="0.35">
      <c r="A2221" s="5"/>
      <c r="B2221" s="159"/>
      <c r="C2221" s="160"/>
      <c r="D2221" s="166" t="s">
        <v>43</v>
      </c>
      <c r="E2221" s="167"/>
      <c r="F2221" s="167"/>
      <c r="G2221" s="168" t="s">
        <v>288</v>
      </c>
      <c r="H2221" s="168"/>
      <c r="I2221" s="168"/>
      <c r="J2221" s="168"/>
      <c r="K2221" s="168"/>
      <c r="L2221" s="168"/>
      <c r="M2221" s="7"/>
      <c r="N2221" s="32"/>
      <c r="Z2221" s="85">
        <v>45189</v>
      </c>
    </row>
    <row r="2222" spans="1:26" ht="9.9499999999999993" customHeight="1" thickBot="1" x14ac:dyDescent="0.35">
      <c r="B2222" s="9"/>
      <c r="C2222" s="109">
        <v>1001</v>
      </c>
      <c r="D2222" s="51"/>
      <c r="E2222" s="12"/>
      <c r="F2222" s="51"/>
      <c r="G2222" s="14"/>
      <c r="H2222" s="14"/>
      <c r="I2222" s="14"/>
      <c r="J2222" s="14"/>
      <c r="K2222" s="14"/>
      <c r="L2222" s="14"/>
      <c r="M2222" s="9"/>
      <c r="N2222" s="32"/>
      <c r="U2222" s="18"/>
      <c r="V2222" s="18"/>
      <c r="Z2222" s="85">
        <v>45189</v>
      </c>
    </row>
    <row r="2223" spans="1:26" ht="6.95" customHeight="1" x14ac:dyDescent="0.3">
      <c r="A2223" s="154">
        <f>+A2212+1</f>
        <v>1002</v>
      </c>
      <c r="B2223" s="155"/>
      <c r="C2223" s="156"/>
      <c r="D2223" s="161" t="s">
        <v>39</v>
      </c>
      <c r="E2223" s="162" t="s">
        <v>115</v>
      </c>
      <c r="F2223" s="163" t="s">
        <v>40</v>
      </c>
      <c r="G2223" s="164" t="s">
        <v>195</v>
      </c>
      <c r="H2223" s="165">
        <v>1</v>
      </c>
      <c r="I2223" s="164"/>
      <c r="J2223" s="165"/>
      <c r="K2223" s="164"/>
      <c r="L2223" s="165"/>
      <c r="M2223" s="6"/>
      <c r="N2223" s="32"/>
      <c r="Q2223" s="10" t="str">
        <f>+CONCATENATE(E2223,G2223)</f>
        <v>무보온덕트벽체600*400</v>
      </c>
      <c r="R2223" s="10">
        <f>+H2223</f>
        <v>1</v>
      </c>
      <c r="S2223" s="11"/>
      <c r="T2223" s="10" t="str">
        <f>+E2223</f>
        <v>무보온덕트벽체</v>
      </c>
      <c r="U2223" s="19" t="str">
        <f>IFERROR(LEFT(G2223,FIND("*",G2223)-1),"-")</f>
        <v>600</v>
      </c>
      <c r="V2223" s="19" t="str">
        <f>IFERROR(RIGHT(G2223,LEN(G2223)-FIND("*",G2223)),"-")</f>
        <v>400</v>
      </c>
      <c r="W2223" s="20">
        <f>IFERROR((U2223+V2223)*2/1000,"-")</f>
        <v>2</v>
      </c>
      <c r="X2223" s="20">
        <f>IFERROR(W2223*H2223,"-")</f>
        <v>2</v>
      </c>
      <c r="Z2223" s="85">
        <v>45189</v>
      </c>
    </row>
    <row r="2224" spans="1:26" ht="6.95" customHeight="1" x14ac:dyDescent="0.3">
      <c r="A2224" s="154"/>
      <c r="B2224" s="157"/>
      <c r="C2224" s="158"/>
      <c r="D2224" s="161"/>
      <c r="E2224" s="162"/>
      <c r="F2224" s="163"/>
      <c r="G2224" s="164"/>
      <c r="H2224" s="165"/>
      <c r="I2224" s="164"/>
      <c r="J2224" s="165"/>
      <c r="K2224" s="164"/>
      <c r="L2224" s="165"/>
      <c r="M2224" s="6"/>
      <c r="N2224" s="32"/>
      <c r="Q2224" s="10" t="str">
        <f>+CONCATENATE(E2223,I2223)</f>
        <v>무보온덕트벽체</v>
      </c>
      <c r="R2224" s="10">
        <f>+J2223</f>
        <v>0</v>
      </c>
      <c r="S2224" s="11"/>
      <c r="T2224" s="10" t="str">
        <f>+E2223</f>
        <v>무보온덕트벽체</v>
      </c>
      <c r="U2224" s="19" t="str">
        <f>IFERROR(LEFT(I2223,FIND("*",I2223)-1),"-")</f>
        <v>-</v>
      </c>
      <c r="V2224" s="19" t="str">
        <f>IFERROR(RIGHT(I2223,LEN(I2223)-FIND("*",I2223)),"-")</f>
        <v>-</v>
      </c>
      <c r="W2224" s="20" t="str">
        <f t="shared" ref="W2224:W2231" si="1207">IFERROR((U2224+V2224)*2/1000,"-")</f>
        <v>-</v>
      </c>
      <c r="X2224" s="20" t="str">
        <f>IFERROR(W2224*J2223,"-")</f>
        <v>-</v>
      </c>
      <c r="Z2224" s="85">
        <v>45189</v>
      </c>
    </row>
    <row r="2225" spans="1:26" ht="6.95" customHeight="1" x14ac:dyDescent="0.3">
      <c r="A2225" s="154"/>
      <c r="B2225" s="157"/>
      <c r="C2225" s="158"/>
      <c r="D2225" s="161"/>
      <c r="E2225" s="162"/>
      <c r="F2225" s="163"/>
      <c r="G2225" s="164"/>
      <c r="H2225" s="165"/>
      <c r="I2225" s="164"/>
      <c r="J2225" s="165"/>
      <c r="K2225" s="164"/>
      <c r="L2225" s="165"/>
      <c r="M2225" s="6"/>
      <c r="N2225" s="32"/>
      <c r="Q2225" s="10" t="str">
        <f>+CONCATENATE(E2223,K2223)</f>
        <v>무보온덕트벽체</v>
      </c>
      <c r="R2225" s="10">
        <f>+L2223</f>
        <v>0</v>
      </c>
      <c r="S2225" s="11"/>
      <c r="T2225" s="10" t="str">
        <f>+E2223</f>
        <v>무보온덕트벽체</v>
      </c>
      <c r="U2225" s="19" t="str">
        <f>IFERROR(LEFT(K2223,FIND("*",K2223)-1),"-")</f>
        <v>-</v>
      </c>
      <c r="V2225" s="19" t="str">
        <f>IFERROR(RIGHT(K2223,LEN(K2223)-FIND("*",K2223)),"-")</f>
        <v>-</v>
      </c>
      <c r="W2225" s="20" t="str">
        <f t="shared" si="1207"/>
        <v>-</v>
      </c>
      <c r="X2225" s="20" t="str">
        <f>IFERROR(W2225*L2223,"-")</f>
        <v>-</v>
      </c>
      <c r="Z2225" s="85">
        <v>45189</v>
      </c>
    </row>
    <row r="2226" spans="1:26" ht="6.95" customHeight="1" x14ac:dyDescent="0.3">
      <c r="A2226" s="8"/>
      <c r="B2226" s="157"/>
      <c r="C2226" s="158"/>
      <c r="D2226" s="161" t="s">
        <v>39</v>
      </c>
      <c r="E2226" s="162" t="s">
        <v>188</v>
      </c>
      <c r="F2226" s="163" t="s">
        <v>40</v>
      </c>
      <c r="G2226" s="164" t="s">
        <v>195</v>
      </c>
      <c r="H2226" s="165">
        <v>1</v>
      </c>
      <c r="I2226" s="164"/>
      <c r="J2226" s="165"/>
      <c r="K2226" s="164"/>
      <c r="L2226" s="165"/>
      <c r="M2226" s="6"/>
      <c r="N2226" s="32"/>
      <c r="Q2226" s="10" t="str">
        <f>+CONCATENATE(E2226,G2226)</f>
        <v>차열재마감600*400</v>
      </c>
      <c r="R2226" s="10">
        <f>+H2226</f>
        <v>1</v>
      </c>
      <c r="S2226" s="11"/>
      <c r="T2226" s="10" t="str">
        <f>+E2226</f>
        <v>차열재마감</v>
      </c>
      <c r="U2226" s="19" t="str">
        <f t="shared" ref="U2226" si="1208">IFERROR(LEFT(G2226,FIND("*",G2226)-1),"-")</f>
        <v>600</v>
      </c>
      <c r="V2226" s="19" t="str">
        <f t="shared" ref="V2226" si="1209">IFERROR(RIGHT(G2226,LEN(G2226)-FIND("*",G2226)),"-")</f>
        <v>400</v>
      </c>
      <c r="W2226" s="20">
        <f t="shared" si="1207"/>
        <v>2</v>
      </c>
      <c r="X2226" s="20">
        <f>IFERROR(W2226*H2226,"-")</f>
        <v>2</v>
      </c>
      <c r="Z2226" s="85">
        <v>45189</v>
      </c>
    </row>
    <row r="2227" spans="1:26" ht="6.95" customHeight="1" x14ac:dyDescent="0.3">
      <c r="A2227" s="5"/>
      <c r="B2227" s="157"/>
      <c r="C2227" s="158"/>
      <c r="D2227" s="161"/>
      <c r="E2227" s="162"/>
      <c r="F2227" s="163"/>
      <c r="G2227" s="164"/>
      <c r="H2227" s="165"/>
      <c r="I2227" s="164"/>
      <c r="J2227" s="165"/>
      <c r="K2227" s="164"/>
      <c r="L2227" s="165"/>
      <c r="M2227" s="6"/>
      <c r="N2227" s="32"/>
      <c r="Q2227" s="10" t="str">
        <f>+CONCATENATE(E2226,I2226)</f>
        <v>차열재마감</v>
      </c>
      <c r="R2227" s="10">
        <f>+J2226</f>
        <v>0</v>
      </c>
      <c r="S2227" s="11"/>
      <c r="T2227" s="10" t="str">
        <f>+E2226</f>
        <v>차열재마감</v>
      </c>
      <c r="U2227" s="19" t="str">
        <f>IFERROR(LEFT(I2226,FIND("*",I2226)-1),"-")</f>
        <v>-</v>
      </c>
      <c r="V2227" s="19" t="str">
        <f>IFERROR(RIGHT(I2226,LEN(I2226)-FIND("*",I2226)),"-")</f>
        <v>-</v>
      </c>
      <c r="W2227" s="20" t="str">
        <f t="shared" si="1207"/>
        <v>-</v>
      </c>
      <c r="X2227" s="20" t="str">
        <f>IFERROR(W2227*J2226,"-")</f>
        <v>-</v>
      </c>
      <c r="Z2227" s="85">
        <v>45189</v>
      </c>
    </row>
    <row r="2228" spans="1:26" ht="6.95" customHeight="1" x14ac:dyDescent="0.3">
      <c r="A2228" s="5"/>
      <c r="B2228" s="157"/>
      <c r="C2228" s="158"/>
      <c r="D2228" s="161"/>
      <c r="E2228" s="162"/>
      <c r="F2228" s="163"/>
      <c r="G2228" s="164"/>
      <c r="H2228" s="165"/>
      <c r="I2228" s="164"/>
      <c r="J2228" s="165"/>
      <c r="K2228" s="164"/>
      <c r="L2228" s="165"/>
      <c r="M2228" s="6"/>
      <c r="N2228" s="32"/>
      <c r="Q2228" s="10" t="str">
        <f>+CONCATENATE(E2226,K2226)</f>
        <v>차열재마감</v>
      </c>
      <c r="R2228" s="10">
        <f>+L2226</f>
        <v>0</v>
      </c>
      <c r="S2228" s="11"/>
      <c r="T2228" s="10" t="str">
        <f>+E2226</f>
        <v>차열재마감</v>
      </c>
      <c r="U2228" s="19" t="str">
        <f>IFERROR(LEFT(K2226,FIND("*",K2226)-1),"-")</f>
        <v>-</v>
      </c>
      <c r="V2228" s="19" t="str">
        <f>IFERROR(RIGHT(K2226,LEN(K2226)-FIND("*",K2226)),"-")</f>
        <v>-</v>
      </c>
      <c r="W2228" s="20" t="str">
        <f t="shared" si="1207"/>
        <v>-</v>
      </c>
      <c r="X2228" s="20" t="str">
        <f>IFERROR(W2228*L2226,"-")</f>
        <v>-</v>
      </c>
      <c r="Z2228" s="85">
        <v>45189</v>
      </c>
    </row>
    <row r="2229" spans="1:26" ht="6.95" customHeight="1" x14ac:dyDescent="0.3">
      <c r="A2229" s="8"/>
      <c r="B2229" s="157"/>
      <c r="C2229" s="158"/>
      <c r="D2229" s="161" t="s">
        <v>39</v>
      </c>
      <c r="E2229" s="162"/>
      <c r="F2229" s="163" t="s">
        <v>40</v>
      </c>
      <c r="G2229" s="164"/>
      <c r="H2229" s="165"/>
      <c r="I2229" s="164"/>
      <c r="J2229" s="165"/>
      <c r="K2229" s="164"/>
      <c r="L2229" s="165"/>
      <c r="M2229" s="6"/>
      <c r="N2229" s="32"/>
      <c r="Q2229" s="10" t="str">
        <f>+CONCATENATE(E2229,G2229)</f>
        <v/>
      </c>
      <c r="R2229" s="10">
        <f>+H2229</f>
        <v>0</v>
      </c>
      <c r="S2229" s="11"/>
      <c r="T2229" s="10">
        <f>+E2229</f>
        <v>0</v>
      </c>
      <c r="U2229" s="19" t="str">
        <f t="shared" ref="U2229" si="1210">IFERROR(LEFT(G2229,FIND("*",G2229)-1),"-")</f>
        <v>-</v>
      </c>
      <c r="V2229" s="19" t="str">
        <f t="shared" ref="V2229" si="1211">IFERROR(RIGHT(G2229,LEN(G2229)-FIND("*",G2229)),"-")</f>
        <v>-</v>
      </c>
      <c r="W2229" s="20" t="str">
        <f t="shared" si="1207"/>
        <v>-</v>
      </c>
      <c r="X2229" s="20" t="str">
        <f>IFERROR(W2229*H2229,"-")</f>
        <v>-</v>
      </c>
      <c r="Z2229" s="85">
        <v>45189</v>
      </c>
    </row>
    <row r="2230" spans="1:26" ht="6.95" customHeight="1" x14ac:dyDescent="0.3">
      <c r="A2230" s="5"/>
      <c r="B2230" s="157"/>
      <c r="C2230" s="158"/>
      <c r="D2230" s="161"/>
      <c r="E2230" s="162"/>
      <c r="F2230" s="163"/>
      <c r="G2230" s="164"/>
      <c r="H2230" s="165"/>
      <c r="I2230" s="164"/>
      <c r="J2230" s="165"/>
      <c r="K2230" s="164"/>
      <c r="L2230" s="165"/>
      <c r="M2230" s="6"/>
      <c r="N2230" s="32"/>
      <c r="Q2230" s="10" t="str">
        <f>+CONCATENATE(E2229,I2229)</f>
        <v/>
      </c>
      <c r="R2230" s="10">
        <f>+J2229</f>
        <v>0</v>
      </c>
      <c r="S2230" s="11"/>
      <c r="T2230" s="10">
        <f>+E2229</f>
        <v>0</v>
      </c>
      <c r="U2230" s="19" t="str">
        <f>IFERROR(LEFT(I2229,FIND("*",I2229)-1),"-")</f>
        <v>-</v>
      </c>
      <c r="V2230" s="19" t="str">
        <f>IFERROR(RIGHT(I2229,LEN(I2229)-FIND("*",I2229)),"-")</f>
        <v>-</v>
      </c>
      <c r="W2230" s="20" t="str">
        <f t="shared" si="1207"/>
        <v>-</v>
      </c>
      <c r="X2230" s="20" t="str">
        <f t="shared" ref="X2230" si="1212">IFERROR(W2230*J2229,"-")</f>
        <v>-</v>
      </c>
      <c r="Z2230" s="85">
        <v>45189</v>
      </c>
    </row>
    <row r="2231" spans="1:26" ht="6.95" customHeight="1" x14ac:dyDescent="0.3">
      <c r="A2231" s="5"/>
      <c r="B2231" s="157"/>
      <c r="C2231" s="158"/>
      <c r="D2231" s="161"/>
      <c r="E2231" s="162"/>
      <c r="F2231" s="163"/>
      <c r="G2231" s="164"/>
      <c r="H2231" s="165"/>
      <c r="I2231" s="164"/>
      <c r="J2231" s="165"/>
      <c r="K2231" s="164"/>
      <c r="L2231" s="165"/>
      <c r="M2231" s="6"/>
      <c r="N2231" s="32"/>
      <c r="Q2231" s="10" t="str">
        <f>+CONCATENATE(E2229,K2229)</f>
        <v/>
      </c>
      <c r="R2231" s="10">
        <f>+L2229</f>
        <v>0</v>
      </c>
      <c r="S2231" s="11"/>
      <c r="T2231" s="10">
        <f>+E2229</f>
        <v>0</v>
      </c>
      <c r="U2231" s="19" t="str">
        <f>IFERROR(LEFT(K2229,FIND("*",K2229)-1),"-")</f>
        <v>-</v>
      </c>
      <c r="V2231" s="19" t="str">
        <f>IFERROR(RIGHT(K2229,LEN(K2229)-FIND("*",K2229)),"-")</f>
        <v>-</v>
      </c>
      <c r="W2231" s="20" t="str">
        <f t="shared" si="1207"/>
        <v>-</v>
      </c>
      <c r="X2231" s="20" t="str">
        <f>IFERROR(W2231*L2229,"-")</f>
        <v>-</v>
      </c>
      <c r="Z2231" s="85">
        <v>45189</v>
      </c>
    </row>
    <row r="2232" spans="1:26" ht="21" customHeight="1" thickBot="1" x14ac:dyDescent="0.35">
      <c r="A2232" s="5"/>
      <c r="B2232" s="159"/>
      <c r="C2232" s="160"/>
      <c r="D2232" s="166" t="s">
        <v>43</v>
      </c>
      <c r="E2232" s="167"/>
      <c r="F2232" s="167"/>
      <c r="G2232" s="168" t="s">
        <v>288</v>
      </c>
      <c r="H2232" s="168"/>
      <c r="I2232" s="168"/>
      <c r="J2232" s="168"/>
      <c r="K2232" s="168"/>
      <c r="L2232" s="168"/>
      <c r="M2232" s="7"/>
      <c r="N2232" s="33">
        <v>45189</v>
      </c>
      <c r="Z2232" s="85">
        <v>45189</v>
      </c>
    </row>
    <row r="2233" spans="1:26" ht="9.9499999999999993" customHeight="1" thickBot="1" x14ac:dyDescent="0.35">
      <c r="B2233" s="9"/>
      <c r="C2233" s="109">
        <v>1002</v>
      </c>
      <c r="D2233" s="51"/>
      <c r="E2233" s="12"/>
      <c r="F2233" s="51"/>
      <c r="G2233" s="14"/>
      <c r="H2233" s="14"/>
      <c r="I2233" s="14"/>
      <c r="J2233" s="14"/>
      <c r="K2233" s="14"/>
      <c r="L2233" s="14"/>
      <c r="M2233" s="9"/>
      <c r="N2233" s="32"/>
      <c r="U2233" s="18"/>
      <c r="V2233" s="18"/>
      <c r="Z2233" s="85">
        <v>45190</v>
      </c>
    </row>
    <row r="2234" spans="1:26" ht="6.95" customHeight="1" x14ac:dyDescent="0.3">
      <c r="A2234" s="154">
        <f>+A2223+1</f>
        <v>1003</v>
      </c>
      <c r="B2234" s="155"/>
      <c r="C2234" s="156"/>
      <c r="D2234" s="161" t="s">
        <v>39</v>
      </c>
      <c r="E2234" s="162" t="s">
        <v>111</v>
      </c>
      <c r="F2234" s="163" t="s">
        <v>40</v>
      </c>
      <c r="G2234" s="164" t="s">
        <v>254</v>
      </c>
      <c r="H2234" s="165">
        <v>1</v>
      </c>
      <c r="I2234" s="164"/>
      <c r="J2234" s="165"/>
      <c r="K2234" s="164"/>
      <c r="L2234" s="165"/>
      <c r="M2234" s="6"/>
      <c r="N2234" s="32"/>
      <c r="Q2234" s="10" t="str">
        <f>+CONCATENATE(E2234,G2234)</f>
        <v>보온덕트벽체700*400</v>
      </c>
      <c r="R2234" s="10">
        <f>+H2234</f>
        <v>1</v>
      </c>
      <c r="S2234" s="11"/>
      <c r="T2234" s="10" t="str">
        <f>+E2234</f>
        <v>보온덕트벽체</v>
      </c>
      <c r="U2234" s="19" t="str">
        <f>IFERROR(LEFT(G2234,FIND("*",G2234)-1),"-")</f>
        <v>700</v>
      </c>
      <c r="V2234" s="19" t="str">
        <f>IFERROR(RIGHT(G2234,LEN(G2234)-FIND("*",G2234)),"-")</f>
        <v>400</v>
      </c>
      <c r="W2234" s="20">
        <f>IFERROR((U2234+V2234)*2/1000,"-")</f>
        <v>2.2000000000000002</v>
      </c>
      <c r="X2234" s="20">
        <f>IFERROR(W2234*H2234,"-")</f>
        <v>2.2000000000000002</v>
      </c>
      <c r="Z2234" s="85">
        <v>45190</v>
      </c>
    </row>
    <row r="2235" spans="1:26" ht="6.95" customHeight="1" x14ac:dyDescent="0.3">
      <c r="A2235" s="154"/>
      <c r="B2235" s="157"/>
      <c r="C2235" s="158"/>
      <c r="D2235" s="161"/>
      <c r="E2235" s="162"/>
      <c r="F2235" s="163"/>
      <c r="G2235" s="164"/>
      <c r="H2235" s="165"/>
      <c r="I2235" s="164"/>
      <c r="J2235" s="165"/>
      <c r="K2235" s="164"/>
      <c r="L2235" s="165"/>
      <c r="M2235" s="6"/>
      <c r="N2235" s="32"/>
      <c r="Q2235" s="10" t="str">
        <f>+CONCATENATE(E2234,I2234)</f>
        <v>보온덕트벽체</v>
      </c>
      <c r="R2235" s="10">
        <f>+J2234</f>
        <v>0</v>
      </c>
      <c r="S2235" s="11"/>
      <c r="T2235" s="10" t="str">
        <f>+E2234</f>
        <v>보온덕트벽체</v>
      </c>
      <c r="U2235" s="19" t="str">
        <f>IFERROR(LEFT(I2234,FIND("*",I2234)-1),"-")</f>
        <v>-</v>
      </c>
      <c r="V2235" s="19" t="str">
        <f>IFERROR(RIGHT(I2234,LEN(I2234)-FIND("*",I2234)),"-")</f>
        <v>-</v>
      </c>
      <c r="W2235" s="20" t="str">
        <f t="shared" ref="W2235:W2242" si="1213">IFERROR((U2235+V2235)*2/1000,"-")</f>
        <v>-</v>
      </c>
      <c r="X2235" s="20" t="str">
        <f>IFERROR(W2235*J2234,"-")</f>
        <v>-</v>
      </c>
      <c r="Z2235" s="85">
        <v>45190</v>
      </c>
    </row>
    <row r="2236" spans="1:26" ht="6.95" customHeight="1" x14ac:dyDescent="0.3">
      <c r="A2236" s="154"/>
      <c r="B2236" s="157"/>
      <c r="C2236" s="158"/>
      <c r="D2236" s="161"/>
      <c r="E2236" s="162"/>
      <c r="F2236" s="163"/>
      <c r="G2236" s="164"/>
      <c r="H2236" s="165"/>
      <c r="I2236" s="164"/>
      <c r="J2236" s="165"/>
      <c r="K2236" s="164"/>
      <c r="L2236" s="165"/>
      <c r="M2236" s="6"/>
      <c r="N2236" s="32"/>
      <c r="Q2236" s="10" t="str">
        <f>+CONCATENATE(E2234,K2234)</f>
        <v>보온덕트벽체</v>
      </c>
      <c r="R2236" s="10">
        <f>+L2234</f>
        <v>0</v>
      </c>
      <c r="S2236" s="11"/>
      <c r="T2236" s="10" t="str">
        <f>+E2234</f>
        <v>보온덕트벽체</v>
      </c>
      <c r="U2236" s="19" t="str">
        <f>IFERROR(LEFT(K2234,FIND("*",K2234)-1),"-")</f>
        <v>-</v>
      </c>
      <c r="V2236" s="19" t="str">
        <f>IFERROR(RIGHT(K2234,LEN(K2234)-FIND("*",K2234)),"-")</f>
        <v>-</v>
      </c>
      <c r="W2236" s="20" t="str">
        <f t="shared" si="1213"/>
        <v>-</v>
      </c>
      <c r="X2236" s="20" t="str">
        <f>IFERROR(W2236*L2234,"-")</f>
        <v>-</v>
      </c>
      <c r="Z2236" s="85">
        <v>45190</v>
      </c>
    </row>
    <row r="2237" spans="1:26" ht="6.95" customHeight="1" x14ac:dyDescent="0.3">
      <c r="A2237" s="8"/>
      <c r="B2237" s="157"/>
      <c r="C2237" s="158"/>
      <c r="D2237" s="161" t="s">
        <v>39</v>
      </c>
      <c r="E2237" s="162" t="s">
        <v>188</v>
      </c>
      <c r="F2237" s="163" t="s">
        <v>40</v>
      </c>
      <c r="G2237" s="164" t="s">
        <v>254</v>
      </c>
      <c r="H2237" s="165">
        <v>2</v>
      </c>
      <c r="I2237" s="164"/>
      <c r="J2237" s="165"/>
      <c r="K2237" s="164"/>
      <c r="L2237" s="165"/>
      <c r="M2237" s="6"/>
      <c r="N2237" s="32"/>
      <c r="Q2237" s="10" t="str">
        <f>+CONCATENATE(E2237,G2237)</f>
        <v>차열재마감700*400</v>
      </c>
      <c r="R2237" s="10">
        <f>+H2237</f>
        <v>2</v>
      </c>
      <c r="S2237" s="11"/>
      <c r="T2237" s="10" t="str">
        <f>+E2237</f>
        <v>차열재마감</v>
      </c>
      <c r="U2237" s="19" t="str">
        <f t="shared" ref="U2237" si="1214">IFERROR(LEFT(G2237,FIND("*",G2237)-1),"-")</f>
        <v>700</v>
      </c>
      <c r="V2237" s="19" t="str">
        <f t="shared" ref="V2237" si="1215">IFERROR(RIGHT(G2237,LEN(G2237)-FIND("*",G2237)),"-")</f>
        <v>400</v>
      </c>
      <c r="W2237" s="20">
        <f t="shared" si="1213"/>
        <v>2.2000000000000002</v>
      </c>
      <c r="X2237" s="20">
        <f>IFERROR(W2237*H2237,"-")</f>
        <v>4.4000000000000004</v>
      </c>
      <c r="Z2237" s="85">
        <v>45190</v>
      </c>
    </row>
    <row r="2238" spans="1:26" ht="6.95" customHeight="1" x14ac:dyDescent="0.3">
      <c r="A2238" s="5"/>
      <c r="B2238" s="157"/>
      <c r="C2238" s="158"/>
      <c r="D2238" s="161"/>
      <c r="E2238" s="162"/>
      <c r="F2238" s="163"/>
      <c r="G2238" s="164"/>
      <c r="H2238" s="165"/>
      <c r="I2238" s="164"/>
      <c r="J2238" s="165"/>
      <c r="K2238" s="164"/>
      <c r="L2238" s="165"/>
      <c r="M2238" s="6"/>
      <c r="N2238" s="32"/>
      <c r="Q2238" s="10" t="str">
        <f>+CONCATENATE(E2237,I2237)</f>
        <v>차열재마감</v>
      </c>
      <c r="R2238" s="10">
        <f>+J2237</f>
        <v>0</v>
      </c>
      <c r="S2238" s="11"/>
      <c r="T2238" s="10" t="str">
        <f>+E2237</f>
        <v>차열재마감</v>
      </c>
      <c r="U2238" s="19" t="str">
        <f>IFERROR(LEFT(I2237,FIND("*",I2237)-1),"-")</f>
        <v>-</v>
      </c>
      <c r="V2238" s="19" t="str">
        <f>IFERROR(RIGHT(I2237,LEN(I2237)-FIND("*",I2237)),"-")</f>
        <v>-</v>
      </c>
      <c r="W2238" s="20" t="str">
        <f t="shared" si="1213"/>
        <v>-</v>
      </c>
      <c r="X2238" s="20" t="str">
        <f>IFERROR(W2238*J2237,"-")</f>
        <v>-</v>
      </c>
      <c r="Z2238" s="85">
        <v>45190</v>
      </c>
    </row>
    <row r="2239" spans="1:26" ht="6.95" customHeight="1" x14ac:dyDescent="0.3">
      <c r="A2239" s="5"/>
      <c r="B2239" s="157"/>
      <c r="C2239" s="158"/>
      <c r="D2239" s="161"/>
      <c r="E2239" s="162"/>
      <c r="F2239" s="163"/>
      <c r="G2239" s="164"/>
      <c r="H2239" s="165"/>
      <c r="I2239" s="164"/>
      <c r="J2239" s="165"/>
      <c r="K2239" s="164"/>
      <c r="L2239" s="165"/>
      <c r="M2239" s="6"/>
      <c r="N2239" s="32"/>
      <c r="Q2239" s="10" t="str">
        <f>+CONCATENATE(E2237,K2237)</f>
        <v>차열재마감</v>
      </c>
      <c r="R2239" s="10">
        <f>+L2237</f>
        <v>0</v>
      </c>
      <c r="S2239" s="11"/>
      <c r="T2239" s="10" t="str">
        <f>+E2237</f>
        <v>차열재마감</v>
      </c>
      <c r="U2239" s="19" t="str">
        <f>IFERROR(LEFT(K2237,FIND("*",K2237)-1),"-")</f>
        <v>-</v>
      </c>
      <c r="V2239" s="19" t="str">
        <f>IFERROR(RIGHT(K2237,LEN(K2237)-FIND("*",K2237)),"-")</f>
        <v>-</v>
      </c>
      <c r="W2239" s="20" t="str">
        <f t="shared" si="1213"/>
        <v>-</v>
      </c>
      <c r="X2239" s="20" t="str">
        <f>IFERROR(W2239*L2237,"-")</f>
        <v>-</v>
      </c>
      <c r="Z2239" s="85">
        <v>45190</v>
      </c>
    </row>
    <row r="2240" spans="1:26" ht="6.95" customHeight="1" x14ac:dyDescent="0.3">
      <c r="A2240" s="8"/>
      <c r="B2240" s="157"/>
      <c r="C2240" s="158"/>
      <c r="D2240" s="161" t="s">
        <v>39</v>
      </c>
      <c r="E2240" s="162"/>
      <c r="F2240" s="163" t="s">
        <v>40</v>
      </c>
      <c r="G2240" s="164"/>
      <c r="H2240" s="165"/>
      <c r="I2240" s="164"/>
      <c r="J2240" s="165"/>
      <c r="K2240" s="164"/>
      <c r="L2240" s="165"/>
      <c r="M2240" s="6"/>
      <c r="N2240" s="32"/>
      <c r="Q2240" s="10" t="str">
        <f>+CONCATENATE(E2240,G2240)</f>
        <v/>
      </c>
      <c r="R2240" s="10">
        <f>+H2240</f>
        <v>0</v>
      </c>
      <c r="S2240" s="11"/>
      <c r="T2240" s="10">
        <f>+E2240</f>
        <v>0</v>
      </c>
      <c r="U2240" s="19" t="str">
        <f t="shared" ref="U2240" si="1216">IFERROR(LEFT(G2240,FIND("*",G2240)-1),"-")</f>
        <v>-</v>
      </c>
      <c r="V2240" s="19" t="str">
        <f t="shared" ref="V2240" si="1217">IFERROR(RIGHT(G2240,LEN(G2240)-FIND("*",G2240)),"-")</f>
        <v>-</v>
      </c>
      <c r="W2240" s="20" t="str">
        <f t="shared" si="1213"/>
        <v>-</v>
      </c>
      <c r="X2240" s="20" t="str">
        <f>IFERROR(W2240*H2240,"-")</f>
        <v>-</v>
      </c>
      <c r="Z2240" s="85">
        <v>45190</v>
      </c>
    </row>
    <row r="2241" spans="1:26" ht="6.95" customHeight="1" x14ac:dyDescent="0.3">
      <c r="A2241" s="5"/>
      <c r="B2241" s="157"/>
      <c r="C2241" s="158"/>
      <c r="D2241" s="161"/>
      <c r="E2241" s="162"/>
      <c r="F2241" s="163"/>
      <c r="G2241" s="164"/>
      <c r="H2241" s="165"/>
      <c r="I2241" s="164"/>
      <c r="J2241" s="165"/>
      <c r="K2241" s="164"/>
      <c r="L2241" s="165"/>
      <c r="M2241" s="6"/>
      <c r="N2241" s="32"/>
      <c r="Q2241" s="10" t="str">
        <f>+CONCATENATE(E2240,I2240)</f>
        <v/>
      </c>
      <c r="R2241" s="10">
        <f>+J2240</f>
        <v>0</v>
      </c>
      <c r="S2241" s="11"/>
      <c r="T2241" s="10">
        <f>+E2240</f>
        <v>0</v>
      </c>
      <c r="U2241" s="19" t="str">
        <f>IFERROR(LEFT(I2240,FIND("*",I2240)-1),"-")</f>
        <v>-</v>
      </c>
      <c r="V2241" s="19" t="str">
        <f>IFERROR(RIGHT(I2240,LEN(I2240)-FIND("*",I2240)),"-")</f>
        <v>-</v>
      </c>
      <c r="W2241" s="20" t="str">
        <f t="shared" si="1213"/>
        <v>-</v>
      </c>
      <c r="X2241" s="20" t="str">
        <f t="shared" ref="X2241" si="1218">IFERROR(W2241*J2240,"-")</f>
        <v>-</v>
      </c>
      <c r="Z2241" s="85">
        <v>45190</v>
      </c>
    </row>
    <row r="2242" spans="1:26" ht="6.95" customHeight="1" x14ac:dyDescent="0.3">
      <c r="A2242" s="5"/>
      <c r="B2242" s="157"/>
      <c r="C2242" s="158"/>
      <c r="D2242" s="161"/>
      <c r="E2242" s="162"/>
      <c r="F2242" s="163"/>
      <c r="G2242" s="164"/>
      <c r="H2242" s="165"/>
      <c r="I2242" s="164"/>
      <c r="J2242" s="165"/>
      <c r="K2242" s="164"/>
      <c r="L2242" s="165"/>
      <c r="M2242" s="6"/>
      <c r="N2242" s="32"/>
      <c r="Q2242" s="10" t="str">
        <f>+CONCATENATE(E2240,K2240)</f>
        <v/>
      </c>
      <c r="R2242" s="10">
        <f>+L2240</f>
        <v>0</v>
      </c>
      <c r="S2242" s="11"/>
      <c r="T2242" s="10">
        <f>+E2240</f>
        <v>0</v>
      </c>
      <c r="U2242" s="19" t="str">
        <f>IFERROR(LEFT(K2240,FIND("*",K2240)-1),"-")</f>
        <v>-</v>
      </c>
      <c r="V2242" s="19" t="str">
        <f>IFERROR(RIGHT(K2240,LEN(K2240)-FIND("*",K2240)),"-")</f>
        <v>-</v>
      </c>
      <c r="W2242" s="20" t="str">
        <f t="shared" si="1213"/>
        <v>-</v>
      </c>
      <c r="X2242" s="20" t="str">
        <f>IFERROR(W2242*L2240,"-")</f>
        <v>-</v>
      </c>
      <c r="Z2242" s="85">
        <v>45190</v>
      </c>
    </row>
    <row r="2243" spans="1:26" ht="21" customHeight="1" thickBot="1" x14ac:dyDescent="0.35">
      <c r="A2243" s="5"/>
      <c r="B2243" s="159"/>
      <c r="C2243" s="160"/>
      <c r="D2243" s="166" t="s">
        <v>43</v>
      </c>
      <c r="E2243" s="167"/>
      <c r="F2243" s="167"/>
      <c r="G2243" s="168" t="s">
        <v>297</v>
      </c>
      <c r="H2243" s="168"/>
      <c r="I2243" s="168"/>
      <c r="J2243" s="168"/>
      <c r="K2243" s="168"/>
      <c r="L2243" s="168"/>
      <c r="M2243" s="7"/>
      <c r="N2243" s="32"/>
      <c r="Z2243" s="85">
        <v>45190</v>
      </c>
    </row>
    <row r="2244" spans="1:26" ht="9.9499999999999993" customHeight="1" thickBot="1" x14ac:dyDescent="0.35">
      <c r="B2244" s="9"/>
      <c r="C2244" s="109">
        <v>1003</v>
      </c>
      <c r="D2244" s="51"/>
      <c r="E2244" s="12"/>
      <c r="F2244" s="51"/>
      <c r="G2244" s="14"/>
      <c r="H2244" s="14"/>
      <c r="I2244" s="14"/>
      <c r="J2244" s="14"/>
      <c r="K2244" s="14"/>
      <c r="L2244" s="14"/>
      <c r="M2244" s="9"/>
      <c r="N2244" s="32"/>
      <c r="U2244" s="18"/>
      <c r="V2244" s="18"/>
      <c r="Z2244" s="85">
        <v>45190</v>
      </c>
    </row>
    <row r="2245" spans="1:26" ht="6.95" customHeight="1" x14ac:dyDescent="0.3">
      <c r="A2245" s="154">
        <f>+A2234+1</f>
        <v>1004</v>
      </c>
      <c r="B2245" s="155"/>
      <c r="C2245" s="156"/>
      <c r="D2245" s="161" t="s">
        <v>39</v>
      </c>
      <c r="E2245" s="162" t="s">
        <v>111</v>
      </c>
      <c r="F2245" s="163" t="s">
        <v>40</v>
      </c>
      <c r="G2245" s="164" t="s">
        <v>295</v>
      </c>
      <c r="H2245" s="165">
        <v>0.5</v>
      </c>
      <c r="I2245" s="164"/>
      <c r="J2245" s="165"/>
      <c r="K2245" s="164"/>
      <c r="L2245" s="165"/>
      <c r="M2245" s="6"/>
      <c r="N2245" s="32"/>
      <c r="Q2245" s="10" t="str">
        <f>+CONCATENATE(E2245,G2245)</f>
        <v>보온덕트벽체2000*1200</v>
      </c>
      <c r="R2245" s="10">
        <f>+H2245</f>
        <v>0.5</v>
      </c>
      <c r="S2245" s="11"/>
      <c r="T2245" s="10" t="str">
        <f>+E2245</f>
        <v>보온덕트벽체</v>
      </c>
      <c r="U2245" s="19" t="str">
        <f>IFERROR(LEFT(G2245,FIND("*",G2245)-1),"-")</f>
        <v>2000</v>
      </c>
      <c r="V2245" s="19" t="str">
        <f>IFERROR(RIGHT(G2245,LEN(G2245)-FIND("*",G2245)),"-")</f>
        <v>1200</v>
      </c>
      <c r="W2245" s="20">
        <f>IFERROR((U2245+V2245)*2/1000,"-")</f>
        <v>6.4</v>
      </c>
      <c r="X2245" s="20">
        <f>IFERROR(W2245*H2245,"-")</f>
        <v>3.2</v>
      </c>
      <c r="Z2245" s="85">
        <v>45190</v>
      </c>
    </row>
    <row r="2246" spans="1:26" ht="6.95" customHeight="1" x14ac:dyDescent="0.3">
      <c r="A2246" s="154"/>
      <c r="B2246" s="157"/>
      <c r="C2246" s="158"/>
      <c r="D2246" s="161"/>
      <c r="E2246" s="162"/>
      <c r="F2246" s="163"/>
      <c r="G2246" s="164"/>
      <c r="H2246" s="165"/>
      <c r="I2246" s="164"/>
      <c r="J2246" s="165"/>
      <c r="K2246" s="164"/>
      <c r="L2246" s="165"/>
      <c r="M2246" s="6"/>
      <c r="N2246" s="32"/>
      <c r="Q2246" s="10" t="str">
        <f>+CONCATENATE(E2245,I2245)</f>
        <v>보온덕트벽체</v>
      </c>
      <c r="R2246" s="10">
        <f>+J2245</f>
        <v>0</v>
      </c>
      <c r="S2246" s="11"/>
      <c r="T2246" s="10" t="str">
        <f>+E2245</f>
        <v>보온덕트벽체</v>
      </c>
      <c r="U2246" s="19" t="str">
        <f>IFERROR(LEFT(I2245,FIND("*",I2245)-1),"-")</f>
        <v>-</v>
      </c>
      <c r="V2246" s="19" t="str">
        <f>IFERROR(RIGHT(I2245,LEN(I2245)-FIND("*",I2245)),"-")</f>
        <v>-</v>
      </c>
      <c r="W2246" s="20" t="str">
        <f t="shared" ref="W2246:W2253" si="1219">IFERROR((U2246+V2246)*2/1000,"-")</f>
        <v>-</v>
      </c>
      <c r="X2246" s="20" t="str">
        <f>IFERROR(W2246*J2245,"-")</f>
        <v>-</v>
      </c>
      <c r="Z2246" s="85">
        <v>45190</v>
      </c>
    </row>
    <row r="2247" spans="1:26" ht="6.95" customHeight="1" x14ac:dyDescent="0.3">
      <c r="A2247" s="154"/>
      <c r="B2247" s="157"/>
      <c r="C2247" s="158"/>
      <c r="D2247" s="161"/>
      <c r="E2247" s="162"/>
      <c r="F2247" s="163"/>
      <c r="G2247" s="164"/>
      <c r="H2247" s="165"/>
      <c r="I2247" s="164"/>
      <c r="J2247" s="165"/>
      <c r="K2247" s="164"/>
      <c r="L2247" s="165"/>
      <c r="M2247" s="6"/>
      <c r="N2247" s="32"/>
      <c r="Q2247" s="10" t="str">
        <f>+CONCATENATE(E2245,K2245)</f>
        <v>보온덕트벽체</v>
      </c>
      <c r="R2247" s="10">
        <f>+L2245</f>
        <v>0</v>
      </c>
      <c r="S2247" s="11"/>
      <c r="T2247" s="10" t="str">
        <f>+E2245</f>
        <v>보온덕트벽체</v>
      </c>
      <c r="U2247" s="19" t="str">
        <f>IFERROR(LEFT(K2245,FIND("*",K2245)-1),"-")</f>
        <v>-</v>
      </c>
      <c r="V2247" s="19" t="str">
        <f>IFERROR(RIGHT(K2245,LEN(K2245)-FIND("*",K2245)),"-")</f>
        <v>-</v>
      </c>
      <c r="W2247" s="20" t="str">
        <f t="shared" si="1219"/>
        <v>-</v>
      </c>
      <c r="X2247" s="20" t="str">
        <f>IFERROR(W2247*L2245,"-")</f>
        <v>-</v>
      </c>
      <c r="Z2247" s="85">
        <v>45190</v>
      </c>
    </row>
    <row r="2248" spans="1:26" ht="6.95" customHeight="1" x14ac:dyDescent="0.3">
      <c r="A2248" s="8"/>
      <c r="B2248" s="157"/>
      <c r="C2248" s="158"/>
      <c r="D2248" s="161" t="s">
        <v>39</v>
      </c>
      <c r="E2248" s="162" t="s">
        <v>188</v>
      </c>
      <c r="F2248" s="163" t="s">
        <v>40</v>
      </c>
      <c r="G2248" s="164" t="s">
        <v>295</v>
      </c>
      <c r="H2248" s="165">
        <v>1</v>
      </c>
      <c r="I2248" s="164" t="s">
        <v>296</v>
      </c>
      <c r="J2248" s="165">
        <v>0.5</v>
      </c>
      <c r="K2248" s="164"/>
      <c r="L2248" s="165"/>
      <c r="M2248" s="6"/>
      <c r="N2248" s="32"/>
      <c r="Q2248" s="10" t="str">
        <f>+CONCATENATE(E2248,G2248)</f>
        <v>차열재마감2000*1200</v>
      </c>
      <c r="R2248" s="10">
        <f>+H2248</f>
        <v>1</v>
      </c>
      <c r="S2248" s="11"/>
      <c r="T2248" s="10" t="str">
        <f>+E2248</f>
        <v>차열재마감</v>
      </c>
      <c r="U2248" s="19" t="str">
        <f t="shared" ref="U2248" si="1220">IFERROR(LEFT(G2248,FIND("*",G2248)-1),"-")</f>
        <v>2000</v>
      </c>
      <c r="V2248" s="19" t="str">
        <f t="shared" ref="V2248" si="1221">IFERROR(RIGHT(G2248,LEN(G2248)-FIND("*",G2248)),"-")</f>
        <v>1200</v>
      </c>
      <c r="W2248" s="20">
        <f t="shared" si="1219"/>
        <v>6.4</v>
      </c>
      <c r="X2248" s="20">
        <f>IFERROR(W2248*H2248,"-")</f>
        <v>6.4</v>
      </c>
      <c r="Z2248" s="85">
        <v>45190</v>
      </c>
    </row>
    <row r="2249" spans="1:26" ht="6.95" customHeight="1" x14ac:dyDescent="0.3">
      <c r="A2249" s="5"/>
      <c r="B2249" s="157"/>
      <c r="C2249" s="158"/>
      <c r="D2249" s="161"/>
      <c r="E2249" s="162"/>
      <c r="F2249" s="163"/>
      <c r="G2249" s="164"/>
      <c r="H2249" s="165"/>
      <c r="I2249" s="164"/>
      <c r="J2249" s="165"/>
      <c r="K2249" s="164"/>
      <c r="L2249" s="165"/>
      <c r="M2249" s="6"/>
      <c r="N2249" s="32"/>
      <c r="Q2249" s="10" t="str">
        <f>+CONCATENATE(E2248,I2248)</f>
        <v>차열재마감2100*1000</v>
      </c>
      <c r="R2249" s="10">
        <f>+J2248</f>
        <v>0.5</v>
      </c>
      <c r="S2249" s="11"/>
      <c r="T2249" s="10" t="str">
        <f>+E2248</f>
        <v>차열재마감</v>
      </c>
      <c r="U2249" s="19" t="str">
        <f>IFERROR(LEFT(I2248,FIND("*",I2248)-1),"-")</f>
        <v>2100</v>
      </c>
      <c r="V2249" s="19" t="str">
        <f>IFERROR(RIGHT(I2248,LEN(I2248)-FIND("*",I2248)),"-")</f>
        <v>1000</v>
      </c>
      <c r="W2249" s="20">
        <f t="shared" si="1219"/>
        <v>6.2</v>
      </c>
      <c r="X2249" s="20">
        <f>IFERROR(W2249*J2248,"-")</f>
        <v>3.1</v>
      </c>
      <c r="Z2249" s="85">
        <v>45190</v>
      </c>
    </row>
    <row r="2250" spans="1:26" ht="6.95" customHeight="1" x14ac:dyDescent="0.3">
      <c r="A2250" s="5"/>
      <c r="B2250" s="157"/>
      <c r="C2250" s="158"/>
      <c r="D2250" s="161"/>
      <c r="E2250" s="162"/>
      <c r="F2250" s="163"/>
      <c r="G2250" s="164"/>
      <c r="H2250" s="165"/>
      <c r="I2250" s="164"/>
      <c r="J2250" s="165"/>
      <c r="K2250" s="164"/>
      <c r="L2250" s="165"/>
      <c r="M2250" s="6"/>
      <c r="N2250" s="32"/>
      <c r="Q2250" s="10" t="str">
        <f>+CONCATENATE(E2248,K2248)</f>
        <v>차열재마감</v>
      </c>
      <c r="R2250" s="10">
        <f>+L2248</f>
        <v>0</v>
      </c>
      <c r="S2250" s="11"/>
      <c r="T2250" s="10" t="str">
        <f>+E2248</f>
        <v>차열재마감</v>
      </c>
      <c r="U2250" s="19" t="str">
        <f>IFERROR(LEFT(K2248,FIND("*",K2248)-1),"-")</f>
        <v>-</v>
      </c>
      <c r="V2250" s="19" t="str">
        <f>IFERROR(RIGHT(K2248,LEN(K2248)-FIND("*",K2248)),"-")</f>
        <v>-</v>
      </c>
      <c r="W2250" s="20" t="str">
        <f t="shared" si="1219"/>
        <v>-</v>
      </c>
      <c r="X2250" s="20" t="str">
        <f>IFERROR(W2250*L2248,"-")</f>
        <v>-</v>
      </c>
      <c r="Z2250" s="85">
        <v>45190</v>
      </c>
    </row>
    <row r="2251" spans="1:26" ht="6.95" customHeight="1" x14ac:dyDescent="0.3">
      <c r="A2251" s="8"/>
      <c r="B2251" s="157"/>
      <c r="C2251" s="158"/>
      <c r="D2251" s="161" t="s">
        <v>39</v>
      </c>
      <c r="E2251" s="162" t="s">
        <v>115</v>
      </c>
      <c r="F2251" s="163" t="s">
        <v>40</v>
      </c>
      <c r="G2251" s="164" t="s">
        <v>296</v>
      </c>
      <c r="H2251" s="165">
        <v>0.5</v>
      </c>
      <c r="I2251" s="164"/>
      <c r="J2251" s="165"/>
      <c r="K2251" s="164"/>
      <c r="L2251" s="165"/>
      <c r="M2251" s="6"/>
      <c r="N2251" s="32"/>
      <c r="Q2251" s="10" t="str">
        <f>+CONCATENATE(E2251,G2251)</f>
        <v>무보온덕트벽체2100*1000</v>
      </c>
      <c r="R2251" s="10">
        <f>+H2251</f>
        <v>0.5</v>
      </c>
      <c r="S2251" s="11"/>
      <c r="T2251" s="10" t="str">
        <f>+E2251</f>
        <v>무보온덕트벽체</v>
      </c>
      <c r="U2251" s="19" t="str">
        <f t="shared" ref="U2251" si="1222">IFERROR(LEFT(G2251,FIND("*",G2251)-1),"-")</f>
        <v>2100</v>
      </c>
      <c r="V2251" s="19" t="str">
        <f t="shared" ref="V2251" si="1223">IFERROR(RIGHT(G2251,LEN(G2251)-FIND("*",G2251)),"-")</f>
        <v>1000</v>
      </c>
      <c r="W2251" s="20">
        <f t="shared" si="1219"/>
        <v>6.2</v>
      </c>
      <c r="X2251" s="20">
        <f>IFERROR(W2251*H2251,"-")</f>
        <v>3.1</v>
      </c>
      <c r="Z2251" s="85">
        <v>45190</v>
      </c>
    </row>
    <row r="2252" spans="1:26" ht="6.95" customHeight="1" x14ac:dyDescent="0.3">
      <c r="A2252" s="5"/>
      <c r="B2252" s="157"/>
      <c r="C2252" s="158"/>
      <c r="D2252" s="161"/>
      <c r="E2252" s="162"/>
      <c r="F2252" s="163"/>
      <c r="G2252" s="164"/>
      <c r="H2252" s="165"/>
      <c r="I2252" s="164"/>
      <c r="J2252" s="165"/>
      <c r="K2252" s="164"/>
      <c r="L2252" s="165"/>
      <c r="M2252" s="6"/>
      <c r="N2252" s="32"/>
      <c r="Q2252" s="10" t="str">
        <f>+CONCATENATE(E2251,I2251)</f>
        <v>무보온덕트벽체</v>
      </c>
      <c r="R2252" s="10">
        <f>+J2251</f>
        <v>0</v>
      </c>
      <c r="S2252" s="11"/>
      <c r="T2252" s="10" t="str">
        <f>+E2251</f>
        <v>무보온덕트벽체</v>
      </c>
      <c r="U2252" s="19" t="str">
        <f>IFERROR(LEFT(I2251,FIND("*",I2251)-1),"-")</f>
        <v>-</v>
      </c>
      <c r="V2252" s="19" t="str">
        <f>IFERROR(RIGHT(I2251,LEN(I2251)-FIND("*",I2251)),"-")</f>
        <v>-</v>
      </c>
      <c r="W2252" s="20" t="str">
        <f t="shared" si="1219"/>
        <v>-</v>
      </c>
      <c r="X2252" s="20" t="str">
        <f t="shared" ref="X2252" si="1224">IFERROR(W2252*J2251,"-")</f>
        <v>-</v>
      </c>
      <c r="Z2252" s="85">
        <v>45190</v>
      </c>
    </row>
    <row r="2253" spans="1:26" ht="6.95" customHeight="1" x14ac:dyDescent="0.3">
      <c r="A2253" s="5"/>
      <c r="B2253" s="157"/>
      <c r="C2253" s="158"/>
      <c r="D2253" s="161"/>
      <c r="E2253" s="162"/>
      <c r="F2253" s="163"/>
      <c r="G2253" s="164"/>
      <c r="H2253" s="165"/>
      <c r="I2253" s="164"/>
      <c r="J2253" s="165"/>
      <c r="K2253" s="164"/>
      <c r="L2253" s="165"/>
      <c r="M2253" s="6"/>
      <c r="N2253" s="32"/>
      <c r="Q2253" s="10" t="str">
        <f>+CONCATENATE(E2251,K2251)</f>
        <v>무보온덕트벽체</v>
      </c>
      <c r="R2253" s="10">
        <f>+L2251</f>
        <v>0</v>
      </c>
      <c r="S2253" s="11"/>
      <c r="T2253" s="10" t="str">
        <f>+E2251</f>
        <v>무보온덕트벽체</v>
      </c>
      <c r="U2253" s="19" t="str">
        <f>IFERROR(LEFT(K2251,FIND("*",K2251)-1),"-")</f>
        <v>-</v>
      </c>
      <c r="V2253" s="19" t="str">
        <f>IFERROR(RIGHT(K2251,LEN(K2251)-FIND("*",K2251)),"-")</f>
        <v>-</v>
      </c>
      <c r="W2253" s="20" t="str">
        <f t="shared" si="1219"/>
        <v>-</v>
      </c>
      <c r="X2253" s="20" t="str">
        <f>IFERROR(W2253*L2251,"-")</f>
        <v>-</v>
      </c>
      <c r="Z2253" s="85">
        <v>45190</v>
      </c>
    </row>
    <row r="2254" spans="1:26" ht="21" customHeight="1" thickBot="1" x14ac:dyDescent="0.35">
      <c r="A2254" s="5"/>
      <c r="B2254" s="159"/>
      <c r="C2254" s="160"/>
      <c r="D2254" s="166" t="s">
        <v>43</v>
      </c>
      <c r="E2254" s="167"/>
      <c r="F2254" s="167"/>
      <c r="G2254" s="168" t="s">
        <v>297</v>
      </c>
      <c r="H2254" s="168"/>
      <c r="I2254" s="168"/>
      <c r="J2254" s="168"/>
      <c r="K2254" s="168"/>
      <c r="L2254" s="168"/>
      <c r="M2254" s="7"/>
      <c r="N2254" s="32"/>
      <c r="Z2254" s="85">
        <v>45190</v>
      </c>
    </row>
    <row r="2255" spans="1:26" ht="9.9499999999999993" customHeight="1" thickBot="1" x14ac:dyDescent="0.35">
      <c r="B2255" s="9"/>
      <c r="C2255" s="109">
        <v>1004</v>
      </c>
      <c r="D2255" s="51"/>
      <c r="E2255" s="12"/>
      <c r="F2255" s="51"/>
      <c r="G2255" s="14"/>
      <c r="H2255" s="14"/>
      <c r="I2255" s="14"/>
      <c r="J2255" s="14"/>
      <c r="K2255" s="14"/>
      <c r="L2255" s="14"/>
      <c r="M2255" s="9"/>
      <c r="N2255" s="32"/>
      <c r="U2255" s="18"/>
      <c r="V2255" s="18"/>
      <c r="Z2255" s="85">
        <v>45190</v>
      </c>
    </row>
    <row r="2256" spans="1:26" ht="6.95" customHeight="1" x14ac:dyDescent="0.3">
      <c r="A2256" s="154">
        <f>+A2245+1</f>
        <v>1005</v>
      </c>
      <c r="B2256" s="155"/>
      <c r="C2256" s="156"/>
      <c r="D2256" s="161" t="s">
        <v>39</v>
      </c>
      <c r="E2256" s="162" t="s">
        <v>109</v>
      </c>
      <c r="F2256" s="163" t="s">
        <v>40</v>
      </c>
      <c r="G2256" s="164" t="s">
        <v>254</v>
      </c>
      <c r="H2256" s="165">
        <v>0.5</v>
      </c>
      <c r="I2256" s="164"/>
      <c r="J2256" s="165"/>
      <c r="K2256" s="164"/>
      <c r="L2256" s="165"/>
      <c r="M2256" s="6"/>
      <c r="N2256" s="32"/>
      <c r="Q2256" s="10" t="str">
        <f>+CONCATENATE(E2256,G2256)</f>
        <v>보온덕트입상700*400</v>
      </c>
      <c r="R2256" s="10">
        <f>+H2256</f>
        <v>0.5</v>
      </c>
      <c r="S2256" s="11"/>
      <c r="T2256" s="10" t="str">
        <f>+E2256</f>
        <v>보온덕트입상</v>
      </c>
      <c r="U2256" s="19" t="str">
        <f>IFERROR(LEFT(G2256,FIND("*",G2256)-1),"-")</f>
        <v>700</v>
      </c>
      <c r="V2256" s="19" t="str">
        <f>IFERROR(RIGHT(G2256,LEN(G2256)-FIND("*",G2256)),"-")</f>
        <v>400</v>
      </c>
      <c r="W2256" s="20">
        <f>IFERROR((U2256+V2256)*2/1000,"-")</f>
        <v>2.2000000000000002</v>
      </c>
      <c r="X2256" s="20">
        <f>IFERROR(W2256*H2256,"-")</f>
        <v>1.1000000000000001</v>
      </c>
      <c r="Z2256" s="85">
        <v>45190</v>
      </c>
    </row>
    <row r="2257" spans="1:26" ht="6.95" customHeight="1" x14ac:dyDescent="0.3">
      <c r="A2257" s="154"/>
      <c r="B2257" s="157"/>
      <c r="C2257" s="158"/>
      <c r="D2257" s="161"/>
      <c r="E2257" s="162"/>
      <c r="F2257" s="163"/>
      <c r="G2257" s="164"/>
      <c r="H2257" s="165"/>
      <c r="I2257" s="164"/>
      <c r="J2257" s="165"/>
      <c r="K2257" s="164"/>
      <c r="L2257" s="165"/>
      <c r="M2257" s="6"/>
      <c r="N2257" s="32"/>
      <c r="Q2257" s="10" t="str">
        <f>+CONCATENATE(E2256,I2256)</f>
        <v>보온덕트입상</v>
      </c>
      <c r="R2257" s="10">
        <f>+J2256</f>
        <v>0</v>
      </c>
      <c r="S2257" s="11"/>
      <c r="T2257" s="10" t="str">
        <f>+E2256</f>
        <v>보온덕트입상</v>
      </c>
      <c r="U2257" s="19" t="str">
        <f>IFERROR(LEFT(I2256,FIND("*",I2256)-1),"-")</f>
        <v>-</v>
      </c>
      <c r="V2257" s="19" t="str">
        <f>IFERROR(RIGHT(I2256,LEN(I2256)-FIND("*",I2256)),"-")</f>
        <v>-</v>
      </c>
      <c r="W2257" s="20" t="str">
        <f t="shared" ref="W2257:W2264" si="1225">IFERROR((U2257+V2257)*2/1000,"-")</f>
        <v>-</v>
      </c>
      <c r="X2257" s="20" t="str">
        <f>IFERROR(W2257*J2256,"-")</f>
        <v>-</v>
      </c>
      <c r="Z2257" s="85">
        <v>45190</v>
      </c>
    </row>
    <row r="2258" spans="1:26" ht="6.95" customHeight="1" x14ac:dyDescent="0.3">
      <c r="A2258" s="154"/>
      <c r="B2258" s="157"/>
      <c r="C2258" s="158"/>
      <c r="D2258" s="161"/>
      <c r="E2258" s="162"/>
      <c r="F2258" s="163"/>
      <c r="G2258" s="164"/>
      <c r="H2258" s="165"/>
      <c r="I2258" s="164"/>
      <c r="J2258" s="165"/>
      <c r="K2258" s="164"/>
      <c r="L2258" s="165"/>
      <c r="M2258" s="6"/>
      <c r="N2258" s="32"/>
      <c r="Q2258" s="10" t="str">
        <f>+CONCATENATE(E2256,K2256)</f>
        <v>보온덕트입상</v>
      </c>
      <c r="R2258" s="10">
        <f>+L2256</f>
        <v>0</v>
      </c>
      <c r="S2258" s="11"/>
      <c r="T2258" s="10" t="str">
        <f>+E2256</f>
        <v>보온덕트입상</v>
      </c>
      <c r="U2258" s="19" t="str">
        <f>IFERROR(LEFT(K2256,FIND("*",K2256)-1),"-")</f>
        <v>-</v>
      </c>
      <c r="V2258" s="19" t="str">
        <f>IFERROR(RIGHT(K2256,LEN(K2256)-FIND("*",K2256)),"-")</f>
        <v>-</v>
      </c>
      <c r="W2258" s="20" t="str">
        <f t="shared" si="1225"/>
        <v>-</v>
      </c>
      <c r="X2258" s="20" t="str">
        <f>IFERROR(W2258*L2256,"-")</f>
        <v>-</v>
      </c>
      <c r="Z2258" s="85">
        <v>45190</v>
      </c>
    </row>
    <row r="2259" spans="1:26" ht="6.95" customHeight="1" x14ac:dyDescent="0.3">
      <c r="A2259" s="8"/>
      <c r="B2259" s="157"/>
      <c r="C2259" s="158"/>
      <c r="D2259" s="161" t="s">
        <v>39</v>
      </c>
      <c r="E2259" s="162" t="s">
        <v>113</v>
      </c>
      <c r="F2259" s="163" t="s">
        <v>40</v>
      </c>
      <c r="G2259" s="164" t="s">
        <v>254</v>
      </c>
      <c r="H2259" s="165">
        <v>0.5</v>
      </c>
      <c r="I2259" s="164"/>
      <c r="J2259" s="165"/>
      <c r="K2259" s="164"/>
      <c r="L2259" s="165"/>
      <c r="M2259" s="6"/>
      <c r="N2259" s="32"/>
      <c r="Q2259" s="10" t="str">
        <f>+CONCATENATE(E2259,G2259)</f>
        <v>무보온덕트입상700*400</v>
      </c>
      <c r="R2259" s="10">
        <f>+H2259</f>
        <v>0.5</v>
      </c>
      <c r="S2259" s="11"/>
      <c r="T2259" s="10" t="str">
        <f>+E2259</f>
        <v>무보온덕트입상</v>
      </c>
      <c r="U2259" s="19" t="str">
        <f t="shared" ref="U2259" si="1226">IFERROR(LEFT(G2259,FIND("*",G2259)-1),"-")</f>
        <v>700</v>
      </c>
      <c r="V2259" s="19" t="str">
        <f t="shared" ref="V2259" si="1227">IFERROR(RIGHT(G2259,LEN(G2259)-FIND("*",G2259)),"-")</f>
        <v>400</v>
      </c>
      <c r="W2259" s="20">
        <f t="shared" si="1225"/>
        <v>2.2000000000000002</v>
      </c>
      <c r="X2259" s="20">
        <f>IFERROR(W2259*H2259,"-")</f>
        <v>1.1000000000000001</v>
      </c>
      <c r="Z2259" s="85">
        <v>45190</v>
      </c>
    </row>
    <row r="2260" spans="1:26" ht="6.95" customHeight="1" x14ac:dyDescent="0.3">
      <c r="A2260" s="5"/>
      <c r="B2260" s="157"/>
      <c r="C2260" s="158"/>
      <c r="D2260" s="161"/>
      <c r="E2260" s="162"/>
      <c r="F2260" s="163"/>
      <c r="G2260" s="164"/>
      <c r="H2260" s="165"/>
      <c r="I2260" s="164"/>
      <c r="J2260" s="165"/>
      <c r="K2260" s="164"/>
      <c r="L2260" s="165"/>
      <c r="M2260" s="6"/>
      <c r="N2260" s="32"/>
      <c r="Q2260" s="10" t="str">
        <f>+CONCATENATE(E2259,I2259)</f>
        <v>무보온덕트입상</v>
      </c>
      <c r="R2260" s="10">
        <f>+J2259</f>
        <v>0</v>
      </c>
      <c r="S2260" s="11"/>
      <c r="T2260" s="10" t="str">
        <f>+E2259</f>
        <v>무보온덕트입상</v>
      </c>
      <c r="U2260" s="19" t="str">
        <f>IFERROR(LEFT(I2259,FIND("*",I2259)-1),"-")</f>
        <v>-</v>
      </c>
      <c r="V2260" s="19" t="str">
        <f>IFERROR(RIGHT(I2259,LEN(I2259)-FIND("*",I2259)),"-")</f>
        <v>-</v>
      </c>
      <c r="W2260" s="20" t="str">
        <f t="shared" si="1225"/>
        <v>-</v>
      </c>
      <c r="X2260" s="20" t="str">
        <f>IFERROR(W2260*J2259,"-")</f>
        <v>-</v>
      </c>
      <c r="Z2260" s="85">
        <v>45190</v>
      </c>
    </row>
    <row r="2261" spans="1:26" ht="6.95" customHeight="1" x14ac:dyDescent="0.3">
      <c r="A2261" s="5"/>
      <c r="B2261" s="157"/>
      <c r="C2261" s="158"/>
      <c r="D2261" s="161"/>
      <c r="E2261" s="162"/>
      <c r="F2261" s="163"/>
      <c r="G2261" s="164"/>
      <c r="H2261" s="165"/>
      <c r="I2261" s="164"/>
      <c r="J2261" s="165"/>
      <c r="K2261" s="164"/>
      <c r="L2261" s="165"/>
      <c r="M2261" s="6"/>
      <c r="N2261" s="32"/>
      <c r="Q2261" s="10" t="str">
        <f>+CONCATENATE(E2259,K2259)</f>
        <v>무보온덕트입상</v>
      </c>
      <c r="R2261" s="10">
        <f>+L2259</f>
        <v>0</v>
      </c>
      <c r="S2261" s="11"/>
      <c r="T2261" s="10" t="str">
        <f>+E2259</f>
        <v>무보온덕트입상</v>
      </c>
      <c r="U2261" s="19" t="str">
        <f>IFERROR(LEFT(K2259,FIND("*",K2259)-1),"-")</f>
        <v>-</v>
      </c>
      <c r="V2261" s="19" t="str">
        <f>IFERROR(RIGHT(K2259,LEN(K2259)-FIND("*",K2259)),"-")</f>
        <v>-</v>
      </c>
      <c r="W2261" s="20" t="str">
        <f t="shared" si="1225"/>
        <v>-</v>
      </c>
      <c r="X2261" s="20" t="str">
        <f>IFERROR(W2261*L2259,"-")</f>
        <v>-</v>
      </c>
      <c r="Z2261" s="85">
        <v>45190</v>
      </c>
    </row>
    <row r="2262" spans="1:26" ht="6.95" customHeight="1" x14ac:dyDescent="0.3">
      <c r="A2262" s="8"/>
      <c r="B2262" s="157"/>
      <c r="C2262" s="158"/>
      <c r="D2262" s="161" t="s">
        <v>39</v>
      </c>
      <c r="E2262" s="162" t="s">
        <v>188</v>
      </c>
      <c r="F2262" s="163" t="s">
        <v>40</v>
      </c>
      <c r="G2262" s="164" t="s">
        <v>254</v>
      </c>
      <c r="H2262" s="165">
        <v>6</v>
      </c>
      <c r="I2262" s="164"/>
      <c r="J2262" s="165"/>
      <c r="K2262" s="164"/>
      <c r="L2262" s="165"/>
      <c r="M2262" s="6"/>
      <c r="N2262" s="32"/>
      <c r="Q2262" s="10" t="str">
        <f>+CONCATENATE(E2262,G2262)</f>
        <v>차열재마감700*400</v>
      </c>
      <c r="R2262" s="10">
        <f>+H2262</f>
        <v>6</v>
      </c>
      <c r="S2262" s="11"/>
      <c r="T2262" s="10" t="str">
        <f>+E2262</f>
        <v>차열재마감</v>
      </c>
      <c r="U2262" s="19" t="str">
        <f t="shared" ref="U2262" si="1228">IFERROR(LEFT(G2262,FIND("*",G2262)-1),"-")</f>
        <v>700</v>
      </c>
      <c r="V2262" s="19" t="str">
        <f t="shared" ref="V2262" si="1229">IFERROR(RIGHT(G2262,LEN(G2262)-FIND("*",G2262)),"-")</f>
        <v>400</v>
      </c>
      <c r="W2262" s="20">
        <f t="shared" si="1225"/>
        <v>2.2000000000000002</v>
      </c>
      <c r="X2262" s="20">
        <f>IFERROR(W2262*H2262,"-")</f>
        <v>13.200000000000001</v>
      </c>
      <c r="Z2262" s="85">
        <v>45190</v>
      </c>
    </row>
    <row r="2263" spans="1:26" ht="6.95" customHeight="1" x14ac:dyDescent="0.3">
      <c r="A2263" s="5"/>
      <c r="B2263" s="157"/>
      <c r="C2263" s="158"/>
      <c r="D2263" s="161"/>
      <c r="E2263" s="162"/>
      <c r="F2263" s="163"/>
      <c r="G2263" s="164"/>
      <c r="H2263" s="165"/>
      <c r="I2263" s="164"/>
      <c r="J2263" s="165"/>
      <c r="K2263" s="164"/>
      <c r="L2263" s="165"/>
      <c r="M2263" s="6"/>
      <c r="N2263" s="32"/>
      <c r="Q2263" s="10" t="str">
        <f>+CONCATENATE(E2262,I2262)</f>
        <v>차열재마감</v>
      </c>
      <c r="R2263" s="10">
        <f>+J2262</f>
        <v>0</v>
      </c>
      <c r="S2263" s="11"/>
      <c r="T2263" s="10" t="str">
        <f>+E2262</f>
        <v>차열재마감</v>
      </c>
      <c r="U2263" s="19" t="str">
        <f>IFERROR(LEFT(I2262,FIND("*",I2262)-1),"-")</f>
        <v>-</v>
      </c>
      <c r="V2263" s="19" t="str">
        <f>IFERROR(RIGHT(I2262,LEN(I2262)-FIND("*",I2262)),"-")</f>
        <v>-</v>
      </c>
      <c r="W2263" s="20" t="str">
        <f t="shared" si="1225"/>
        <v>-</v>
      </c>
      <c r="X2263" s="20" t="str">
        <f t="shared" ref="X2263" si="1230">IFERROR(W2263*J2262,"-")</f>
        <v>-</v>
      </c>
      <c r="Z2263" s="85">
        <v>45190</v>
      </c>
    </row>
    <row r="2264" spans="1:26" ht="6.95" customHeight="1" x14ac:dyDescent="0.3">
      <c r="A2264" s="5"/>
      <c r="B2264" s="157"/>
      <c r="C2264" s="158"/>
      <c r="D2264" s="161"/>
      <c r="E2264" s="162"/>
      <c r="F2264" s="163"/>
      <c r="G2264" s="164"/>
      <c r="H2264" s="165"/>
      <c r="I2264" s="164"/>
      <c r="J2264" s="165"/>
      <c r="K2264" s="164"/>
      <c r="L2264" s="165"/>
      <c r="M2264" s="6"/>
      <c r="N2264" s="32"/>
      <c r="Q2264" s="10" t="str">
        <f>+CONCATENATE(E2262,K2262)</f>
        <v>차열재마감</v>
      </c>
      <c r="R2264" s="10">
        <f>+L2262</f>
        <v>0</v>
      </c>
      <c r="S2264" s="11"/>
      <c r="T2264" s="10" t="str">
        <f>+E2262</f>
        <v>차열재마감</v>
      </c>
      <c r="U2264" s="19" t="str">
        <f>IFERROR(LEFT(K2262,FIND("*",K2262)-1),"-")</f>
        <v>-</v>
      </c>
      <c r="V2264" s="19" t="str">
        <f>IFERROR(RIGHT(K2262,LEN(K2262)-FIND("*",K2262)),"-")</f>
        <v>-</v>
      </c>
      <c r="W2264" s="20" t="str">
        <f t="shared" si="1225"/>
        <v>-</v>
      </c>
      <c r="X2264" s="20" t="str">
        <f>IFERROR(W2264*L2262,"-")</f>
        <v>-</v>
      </c>
      <c r="Z2264" s="85">
        <v>45190</v>
      </c>
    </row>
    <row r="2265" spans="1:26" ht="21" customHeight="1" thickBot="1" x14ac:dyDescent="0.35">
      <c r="A2265" s="5"/>
      <c r="B2265" s="159"/>
      <c r="C2265" s="160"/>
      <c r="D2265" s="166" t="s">
        <v>43</v>
      </c>
      <c r="E2265" s="167"/>
      <c r="F2265" s="167"/>
      <c r="G2265" s="168" t="s">
        <v>297</v>
      </c>
      <c r="H2265" s="168"/>
      <c r="I2265" s="168"/>
      <c r="J2265" s="168"/>
      <c r="K2265" s="168"/>
      <c r="L2265" s="168"/>
      <c r="M2265" s="7"/>
      <c r="N2265" s="32"/>
      <c r="Z2265" s="85">
        <v>45190</v>
      </c>
    </row>
    <row r="2266" spans="1:26" ht="9.9499999999999993" customHeight="1" thickBot="1" x14ac:dyDescent="0.35">
      <c r="B2266" s="9"/>
      <c r="C2266" s="109">
        <v>1005</v>
      </c>
      <c r="D2266" s="51"/>
      <c r="E2266" s="12"/>
      <c r="F2266" s="51"/>
      <c r="G2266" s="14"/>
      <c r="H2266" s="14"/>
      <c r="I2266" s="14"/>
      <c r="J2266" s="14"/>
      <c r="K2266" s="14"/>
      <c r="L2266" s="14"/>
      <c r="M2266" s="9"/>
      <c r="N2266" s="32"/>
      <c r="U2266" s="18"/>
      <c r="V2266" s="18"/>
      <c r="Z2266" s="85">
        <v>45190</v>
      </c>
    </row>
    <row r="2267" spans="1:26" ht="6.95" customHeight="1" x14ac:dyDescent="0.3">
      <c r="A2267" s="154">
        <f>+A2256+1</f>
        <v>1006</v>
      </c>
      <c r="B2267" s="155"/>
      <c r="C2267" s="156"/>
      <c r="D2267" s="161" t="s">
        <v>39</v>
      </c>
      <c r="E2267" s="162" t="s">
        <v>113</v>
      </c>
      <c r="F2267" s="163" t="s">
        <v>40</v>
      </c>
      <c r="G2267" s="164" t="s">
        <v>197</v>
      </c>
      <c r="H2267" s="165">
        <v>0.5</v>
      </c>
      <c r="I2267" s="164"/>
      <c r="J2267" s="165"/>
      <c r="K2267" s="164"/>
      <c r="L2267" s="165"/>
      <c r="M2267" s="6"/>
      <c r="N2267" s="32"/>
      <c r="Q2267" s="10" t="str">
        <f>+CONCATENATE(E2267,G2267)</f>
        <v>무보온덕트입상2000*600</v>
      </c>
      <c r="R2267" s="10">
        <f>+H2267</f>
        <v>0.5</v>
      </c>
      <c r="S2267" s="11"/>
      <c r="T2267" s="10" t="str">
        <f>+E2267</f>
        <v>무보온덕트입상</v>
      </c>
      <c r="U2267" s="19" t="str">
        <f>IFERROR(LEFT(G2267,FIND("*",G2267)-1),"-")</f>
        <v>2000</v>
      </c>
      <c r="V2267" s="19" t="str">
        <f>IFERROR(RIGHT(G2267,LEN(G2267)-FIND("*",G2267)),"-")</f>
        <v>600</v>
      </c>
      <c r="W2267" s="20">
        <f>IFERROR((U2267+V2267)*2/1000,"-")</f>
        <v>5.2</v>
      </c>
      <c r="X2267" s="20">
        <f>IFERROR(W2267*H2267,"-")</f>
        <v>2.6</v>
      </c>
      <c r="Z2267" s="85">
        <v>45190</v>
      </c>
    </row>
    <row r="2268" spans="1:26" ht="6.95" customHeight="1" x14ac:dyDescent="0.3">
      <c r="A2268" s="154"/>
      <c r="B2268" s="157"/>
      <c r="C2268" s="158"/>
      <c r="D2268" s="161"/>
      <c r="E2268" s="162"/>
      <c r="F2268" s="163"/>
      <c r="G2268" s="164"/>
      <c r="H2268" s="165"/>
      <c r="I2268" s="164"/>
      <c r="J2268" s="165"/>
      <c r="K2268" s="164"/>
      <c r="L2268" s="165"/>
      <c r="M2268" s="6"/>
      <c r="N2268" s="32"/>
      <c r="Q2268" s="10" t="str">
        <f>+CONCATENATE(E2267,I2267)</f>
        <v>무보온덕트입상</v>
      </c>
      <c r="R2268" s="10">
        <f>+J2267</f>
        <v>0</v>
      </c>
      <c r="S2268" s="11"/>
      <c r="T2268" s="10" t="str">
        <f>+E2267</f>
        <v>무보온덕트입상</v>
      </c>
      <c r="U2268" s="19" t="str">
        <f>IFERROR(LEFT(I2267,FIND("*",I2267)-1),"-")</f>
        <v>-</v>
      </c>
      <c r="V2268" s="19" t="str">
        <f>IFERROR(RIGHT(I2267,LEN(I2267)-FIND("*",I2267)),"-")</f>
        <v>-</v>
      </c>
      <c r="W2268" s="20" t="str">
        <f t="shared" ref="W2268:W2275" si="1231">IFERROR((U2268+V2268)*2/1000,"-")</f>
        <v>-</v>
      </c>
      <c r="X2268" s="20" t="str">
        <f>IFERROR(W2268*J2267,"-")</f>
        <v>-</v>
      </c>
      <c r="Z2268" s="85">
        <v>45190</v>
      </c>
    </row>
    <row r="2269" spans="1:26" ht="6.95" customHeight="1" x14ac:dyDescent="0.3">
      <c r="A2269" s="154"/>
      <c r="B2269" s="157"/>
      <c r="C2269" s="158"/>
      <c r="D2269" s="161"/>
      <c r="E2269" s="162"/>
      <c r="F2269" s="163"/>
      <c r="G2269" s="164"/>
      <c r="H2269" s="165"/>
      <c r="I2269" s="164"/>
      <c r="J2269" s="165"/>
      <c r="K2269" s="164"/>
      <c r="L2269" s="165"/>
      <c r="M2269" s="6"/>
      <c r="N2269" s="32"/>
      <c r="Q2269" s="10" t="str">
        <f>+CONCATENATE(E2267,K2267)</f>
        <v>무보온덕트입상</v>
      </c>
      <c r="R2269" s="10">
        <f>+L2267</f>
        <v>0</v>
      </c>
      <c r="S2269" s="11"/>
      <c r="T2269" s="10" t="str">
        <f>+E2267</f>
        <v>무보온덕트입상</v>
      </c>
      <c r="U2269" s="19" t="str">
        <f>IFERROR(LEFT(K2267,FIND("*",K2267)-1),"-")</f>
        <v>-</v>
      </c>
      <c r="V2269" s="19" t="str">
        <f>IFERROR(RIGHT(K2267,LEN(K2267)-FIND("*",K2267)),"-")</f>
        <v>-</v>
      </c>
      <c r="W2269" s="20" t="str">
        <f t="shared" si="1231"/>
        <v>-</v>
      </c>
      <c r="X2269" s="20" t="str">
        <f>IFERROR(W2269*L2267,"-")</f>
        <v>-</v>
      </c>
      <c r="Z2269" s="85">
        <v>45190</v>
      </c>
    </row>
    <row r="2270" spans="1:26" ht="6.95" customHeight="1" x14ac:dyDescent="0.3">
      <c r="A2270" s="8"/>
      <c r="B2270" s="157"/>
      <c r="C2270" s="158"/>
      <c r="D2270" s="161" t="s">
        <v>39</v>
      </c>
      <c r="E2270" s="162" t="s">
        <v>188</v>
      </c>
      <c r="F2270" s="163" t="s">
        <v>40</v>
      </c>
      <c r="G2270" s="164" t="s">
        <v>197</v>
      </c>
      <c r="H2270" s="165">
        <v>1</v>
      </c>
      <c r="I2270" s="164"/>
      <c r="J2270" s="165"/>
      <c r="K2270" s="164"/>
      <c r="L2270" s="165"/>
      <c r="M2270" s="6"/>
      <c r="N2270" s="32"/>
      <c r="Q2270" s="10" t="str">
        <f>+CONCATENATE(E2270,G2270)</f>
        <v>차열재마감2000*600</v>
      </c>
      <c r="R2270" s="10">
        <f>+H2270</f>
        <v>1</v>
      </c>
      <c r="S2270" s="11"/>
      <c r="T2270" s="10" t="str">
        <f>+E2270</f>
        <v>차열재마감</v>
      </c>
      <c r="U2270" s="19" t="str">
        <f t="shared" ref="U2270" si="1232">IFERROR(LEFT(G2270,FIND("*",G2270)-1),"-")</f>
        <v>2000</v>
      </c>
      <c r="V2270" s="19" t="str">
        <f t="shared" ref="V2270" si="1233">IFERROR(RIGHT(G2270,LEN(G2270)-FIND("*",G2270)),"-")</f>
        <v>600</v>
      </c>
      <c r="W2270" s="20">
        <f t="shared" si="1231"/>
        <v>5.2</v>
      </c>
      <c r="X2270" s="20">
        <f>IFERROR(W2270*H2270,"-")</f>
        <v>5.2</v>
      </c>
      <c r="Z2270" s="85">
        <v>45190</v>
      </c>
    </row>
    <row r="2271" spans="1:26" ht="6.95" customHeight="1" x14ac:dyDescent="0.3">
      <c r="A2271" s="5"/>
      <c r="B2271" s="157"/>
      <c r="C2271" s="158"/>
      <c r="D2271" s="161"/>
      <c r="E2271" s="162"/>
      <c r="F2271" s="163"/>
      <c r="G2271" s="164"/>
      <c r="H2271" s="165"/>
      <c r="I2271" s="164"/>
      <c r="J2271" s="165"/>
      <c r="K2271" s="164"/>
      <c r="L2271" s="165"/>
      <c r="M2271" s="6"/>
      <c r="N2271" s="32"/>
      <c r="Q2271" s="10" t="str">
        <f>+CONCATENATE(E2270,I2270)</f>
        <v>차열재마감</v>
      </c>
      <c r="R2271" s="10">
        <f>+J2270</f>
        <v>0</v>
      </c>
      <c r="S2271" s="11"/>
      <c r="T2271" s="10" t="str">
        <f>+E2270</f>
        <v>차열재마감</v>
      </c>
      <c r="U2271" s="19" t="str">
        <f>IFERROR(LEFT(I2270,FIND("*",I2270)-1),"-")</f>
        <v>-</v>
      </c>
      <c r="V2271" s="19" t="str">
        <f>IFERROR(RIGHT(I2270,LEN(I2270)-FIND("*",I2270)),"-")</f>
        <v>-</v>
      </c>
      <c r="W2271" s="20" t="str">
        <f t="shared" si="1231"/>
        <v>-</v>
      </c>
      <c r="X2271" s="20" t="str">
        <f>IFERROR(W2271*J2270,"-")</f>
        <v>-</v>
      </c>
      <c r="Z2271" s="85">
        <v>45190</v>
      </c>
    </row>
    <row r="2272" spans="1:26" ht="6.95" customHeight="1" x14ac:dyDescent="0.3">
      <c r="A2272" s="5"/>
      <c r="B2272" s="157"/>
      <c r="C2272" s="158"/>
      <c r="D2272" s="161"/>
      <c r="E2272" s="162"/>
      <c r="F2272" s="163"/>
      <c r="G2272" s="164"/>
      <c r="H2272" s="165"/>
      <c r="I2272" s="164"/>
      <c r="J2272" s="165"/>
      <c r="K2272" s="164"/>
      <c r="L2272" s="165"/>
      <c r="M2272" s="6"/>
      <c r="N2272" s="32"/>
      <c r="Q2272" s="10" t="str">
        <f>+CONCATENATE(E2270,K2270)</f>
        <v>차열재마감</v>
      </c>
      <c r="R2272" s="10">
        <f>+L2270</f>
        <v>0</v>
      </c>
      <c r="S2272" s="11"/>
      <c r="T2272" s="10" t="str">
        <f>+E2270</f>
        <v>차열재마감</v>
      </c>
      <c r="U2272" s="19" t="str">
        <f>IFERROR(LEFT(K2270,FIND("*",K2270)-1),"-")</f>
        <v>-</v>
      </c>
      <c r="V2272" s="19" t="str">
        <f>IFERROR(RIGHT(K2270,LEN(K2270)-FIND("*",K2270)),"-")</f>
        <v>-</v>
      </c>
      <c r="W2272" s="20" t="str">
        <f t="shared" si="1231"/>
        <v>-</v>
      </c>
      <c r="X2272" s="20" t="str">
        <f>IFERROR(W2272*L2270,"-")</f>
        <v>-</v>
      </c>
      <c r="Z2272" s="85">
        <v>45190</v>
      </c>
    </row>
    <row r="2273" spans="1:26" ht="6.95" customHeight="1" x14ac:dyDescent="0.3">
      <c r="A2273" s="8"/>
      <c r="B2273" s="157"/>
      <c r="C2273" s="158"/>
      <c r="D2273" s="161" t="s">
        <v>39</v>
      </c>
      <c r="E2273" s="162"/>
      <c r="F2273" s="163" t="s">
        <v>40</v>
      </c>
      <c r="G2273" s="164"/>
      <c r="H2273" s="165"/>
      <c r="I2273" s="164"/>
      <c r="J2273" s="165"/>
      <c r="K2273" s="164"/>
      <c r="L2273" s="165"/>
      <c r="M2273" s="6"/>
      <c r="N2273" s="32"/>
      <c r="Q2273" s="10" t="str">
        <f>+CONCATENATE(E2273,G2273)</f>
        <v/>
      </c>
      <c r="R2273" s="10">
        <f>+H2273</f>
        <v>0</v>
      </c>
      <c r="S2273" s="11"/>
      <c r="T2273" s="10">
        <f>+E2273</f>
        <v>0</v>
      </c>
      <c r="U2273" s="19" t="str">
        <f t="shared" ref="U2273" si="1234">IFERROR(LEFT(G2273,FIND("*",G2273)-1),"-")</f>
        <v>-</v>
      </c>
      <c r="V2273" s="19" t="str">
        <f t="shared" ref="V2273" si="1235">IFERROR(RIGHT(G2273,LEN(G2273)-FIND("*",G2273)),"-")</f>
        <v>-</v>
      </c>
      <c r="W2273" s="20" t="str">
        <f t="shared" si="1231"/>
        <v>-</v>
      </c>
      <c r="X2273" s="20" t="str">
        <f>IFERROR(W2273*H2273,"-")</f>
        <v>-</v>
      </c>
      <c r="Z2273" s="85">
        <v>45190</v>
      </c>
    </row>
    <row r="2274" spans="1:26" ht="6.95" customHeight="1" x14ac:dyDescent="0.3">
      <c r="A2274" s="5"/>
      <c r="B2274" s="157"/>
      <c r="C2274" s="158"/>
      <c r="D2274" s="161"/>
      <c r="E2274" s="162"/>
      <c r="F2274" s="163"/>
      <c r="G2274" s="164"/>
      <c r="H2274" s="165"/>
      <c r="I2274" s="164"/>
      <c r="J2274" s="165"/>
      <c r="K2274" s="164"/>
      <c r="L2274" s="165"/>
      <c r="M2274" s="6"/>
      <c r="N2274" s="32"/>
      <c r="Q2274" s="10" t="str">
        <f>+CONCATENATE(E2273,I2273)</f>
        <v/>
      </c>
      <c r="R2274" s="10">
        <f>+J2273</f>
        <v>0</v>
      </c>
      <c r="S2274" s="11"/>
      <c r="T2274" s="10">
        <f>+E2273</f>
        <v>0</v>
      </c>
      <c r="U2274" s="19" t="str">
        <f>IFERROR(LEFT(I2273,FIND("*",I2273)-1),"-")</f>
        <v>-</v>
      </c>
      <c r="V2274" s="19" t="str">
        <f>IFERROR(RIGHT(I2273,LEN(I2273)-FIND("*",I2273)),"-")</f>
        <v>-</v>
      </c>
      <c r="W2274" s="20" t="str">
        <f t="shared" si="1231"/>
        <v>-</v>
      </c>
      <c r="X2274" s="20" t="str">
        <f t="shared" ref="X2274" si="1236">IFERROR(W2274*J2273,"-")</f>
        <v>-</v>
      </c>
      <c r="Z2274" s="85">
        <v>45190</v>
      </c>
    </row>
    <row r="2275" spans="1:26" ht="6.95" customHeight="1" x14ac:dyDescent="0.3">
      <c r="A2275" s="5"/>
      <c r="B2275" s="157"/>
      <c r="C2275" s="158"/>
      <c r="D2275" s="161"/>
      <c r="E2275" s="162"/>
      <c r="F2275" s="163"/>
      <c r="G2275" s="164"/>
      <c r="H2275" s="165"/>
      <c r="I2275" s="164"/>
      <c r="J2275" s="165"/>
      <c r="K2275" s="164"/>
      <c r="L2275" s="165"/>
      <c r="M2275" s="6"/>
      <c r="N2275" s="32"/>
      <c r="Q2275" s="10" t="str">
        <f>+CONCATENATE(E2273,K2273)</f>
        <v/>
      </c>
      <c r="R2275" s="10">
        <f>+L2273</f>
        <v>0</v>
      </c>
      <c r="S2275" s="11"/>
      <c r="T2275" s="10">
        <f>+E2273</f>
        <v>0</v>
      </c>
      <c r="U2275" s="19" t="str">
        <f>IFERROR(LEFT(K2273,FIND("*",K2273)-1),"-")</f>
        <v>-</v>
      </c>
      <c r="V2275" s="19" t="str">
        <f>IFERROR(RIGHT(K2273,LEN(K2273)-FIND("*",K2273)),"-")</f>
        <v>-</v>
      </c>
      <c r="W2275" s="20" t="str">
        <f t="shared" si="1231"/>
        <v>-</v>
      </c>
      <c r="X2275" s="20" t="str">
        <f>IFERROR(W2275*L2273,"-")</f>
        <v>-</v>
      </c>
      <c r="Z2275" s="85">
        <v>45190</v>
      </c>
    </row>
    <row r="2276" spans="1:26" ht="21" customHeight="1" thickBot="1" x14ac:dyDescent="0.35">
      <c r="A2276" s="5"/>
      <c r="B2276" s="159"/>
      <c r="C2276" s="160"/>
      <c r="D2276" s="166" t="s">
        <v>43</v>
      </c>
      <c r="E2276" s="167"/>
      <c r="F2276" s="167"/>
      <c r="G2276" s="168" t="s">
        <v>208</v>
      </c>
      <c r="H2276" s="168"/>
      <c r="I2276" s="168"/>
      <c r="J2276" s="168"/>
      <c r="K2276" s="168"/>
      <c r="L2276" s="168"/>
      <c r="M2276" s="7"/>
      <c r="N2276" s="32"/>
      <c r="Z2276" s="85">
        <v>45190</v>
      </c>
    </row>
    <row r="2277" spans="1:26" ht="9.9499999999999993" customHeight="1" thickBot="1" x14ac:dyDescent="0.35">
      <c r="B2277" s="9"/>
      <c r="C2277" s="109">
        <v>1006</v>
      </c>
      <c r="D2277" s="51"/>
      <c r="E2277" s="12"/>
      <c r="F2277" s="51"/>
      <c r="G2277" s="14"/>
      <c r="H2277" s="14"/>
      <c r="I2277" s="14"/>
      <c r="J2277" s="14"/>
      <c r="K2277" s="14"/>
      <c r="L2277" s="14"/>
      <c r="M2277" s="9"/>
      <c r="N2277" s="32"/>
      <c r="U2277" s="18"/>
      <c r="V2277" s="18"/>
      <c r="Z2277" s="85">
        <v>45190</v>
      </c>
    </row>
    <row r="2278" spans="1:26" ht="6.95" customHeight="1" x14ac:dyDescent="0.3">
      <c r="A2278" s="154">
        <f>+A2267+1</f>
        <v>1007</v>
      </c>
      <c r="B2278" s="155"/>
      <c r="C2278" s="156"/>
      <c r="D2278" s="161" t="s">
        <v>39</v>
      </c>
      <c r="E2278" s="162" t="s">
        <v>113</v>
      </c>
      <c r="F2278" s="163" t="s">
        <v>40</v>
      </c>
      <c r="G2278" s="164" t="s">
        <v>197</v>
      </c>
      <c r="H2278" s="165">
        <v>1</v>
      </c>
      <c r="I2278" s="164"/>
      <c r="J2278" s="165"/>
      <c r="K2278" s="164"/>
      <c r="L2278" s="165"/>
      <c r="M2278" s="6"/>
      <c r="N2278" s="32"/>
      <c r="Q2278" s="10" t="str">
        <f>+CONCATENATE(E2278,G2278)</f>
        <v>무보온덕트입상2000*600</v>
      </c>
      <c r="R2278" s="10">
        <f>+H2278</f>
        <v>1</v>
      </c>
      <c r="S2278" s="11"/>
      <c r="T2278" s="10" t="str">
        <f>+E2278</f>
        <v>무보온덕트입상</v>
      </c>
      <c r="U2278" s="19" t="str">
        <f>IFERROR(LEFT(G2278,FIND("*",G2278)-1),"-")</f>
        <v>2000</v>
      </c>
      <c r="V2278" s="19" t="str">
        <f>IFERROR(RIGHT(G2278,LEN(G2278)-FIND("*",G2278)),"-")</f>
        <v>600</v>
      </c>
      <c r="W2278" s="20">
        <f>IFERROR((U2278+V2278)*2/1000,"-")</f>
        <v>5.2</v>
      </c>
      <c r="X2278" s="20">
        <f>IFERROR(W2278*H2278,"-")</f>
        <v>5.2</v>
      </c>
      <c r="Z2278" s="85">
        <v>45190</v>
      </c>
    </row>
    <row r="2279" spans="1:26" ht="6.95" customHeight="1" x14ac:dyDescent="0.3">
      <c r="A2279" s="154"/>
      <c r="B2279" s="157"/>
      <c r="C2279" s="158"/>
      <c r="D2279" s="161"/>
      <c r="E2279" s="162"/>
      <c r="F2279" s="163"/>
      <c r="G2279" s="164"/>
      <c r="H2279" s="165"/>
      <c r="I2279" s="164"/>
      <c r="J2279" s="165"/>
      <c r="K2279" s="164"/>
      <c r="L2279" s="165"/>
      <c r="M2279" s="6"/>
      <c r="N2279" s="32"/>
      <c r="Q2279" s="10" t="str">
        <f>+CONCATENATE(E2278,I2278)</f>
        <v>무보온덕트입상</v>
      </c>
      <c r="R2279" s="10">
        <f>+J2278</f>
        <v>0</v>
      </c>
      <c r="S2279" s="11"/>
      <c r="T2279" s="10" t="str">
        <f>+E2278</f>
        <v>무보온덕트입상</v>
      </c>
      <c r="U2279" s="19" t="str">
        <f>IFERROR(LEFT(I2278,FIND("*",I2278)-1),"-")</f>
        <v>-</v>
      </c>
      <c r="V2279" s="19" t="str">
        <f>IFERROR(RIGHT(I2278,LEN(I2278)-FIND("*",I2278)),"-")</f>
        <v>-</v>
      </c>
      <c r="W2279" s="20" t="str">
        <f t="shared" ref="W2279:W2286" si="1237">IFERROR((U2279+V2279)*2/1000,"-")</f>
        <v>-</v>
      </c>
      <c r="X2279" s="20" t="str">
        <f>IFERROR(W2279*J2278,"-")</f>
        <v>-</v>
      </c>
      <c r="Z2279" s="85">
        <v>45190</v>
      </c>
    </row>
    <row r="2280" spans="1:26" ht="6.95" customHeight="1" x14ac:dyDescent="0.3">
      <c r="A2280" s="154"/>
      <c r="B2280" s="157"/>
      <c r="C2280" s="158"/>
      <c r="D2280" s="161"/>
      <c r="E2280" s="162"/>
      <c r="F2280" s="163"/>
      <c r="G2280" s="164"/>
      <c r="H2280" s="165"/>
      <c r="I2280" s="164"/>
      <c r="J2280" s="165"/>
      <c r="K2280" s="164"/>
      <c r="L2280" s="165"/>
      <c r="M2280" s="6"/>
      <c r="N2280" s="32"/>
      <c r="Q2280" s="10" t="str">
        <f>+CONCATENATE(E2278,K2278)</f>
        <v>무보온덕트입상</v>
      </c>
      <c r="R2280" s="10">
        <f>+L2278</f>
        <v>0</v>
      </c>
      <c r="S2280" s="11"/>
      <c r="T2280" s="10" t="str">
        <f>+E2278</f>
        <v>무보온덕트입상</v>
      </c>
      <c r="U2280" s="19" t="str">
        <f>IFERROR(LEFT(K2278,FIND("*",K2278)-1),"-")</f>
        <v>-</v>
      </c>
      <c r="V2280" s="19" t="str">
        <f>IFERROR(RIGHT(K2278,LEN(K2278)-FIND("*",K2278)),"-")</f>
        <v>-</v>
      </c>
      <c r="W2280" s="20" t="str">
        <f t="shared" si="1237"/>
        <v>-</v>
      </c>
      <c r="X2280" s="20" t="str">
        <f>IFERROR(W2280*L2278,"-")</f>
        <v>-</v>
      </c>
      <c r="Z2280" s="85">
        <v>45190</v>
      </c>
    </row>
    <row r="2281" spans="1:26" ht="6.95" customHeight="1" x14ac:dyDescent="0.3">
      <c r="A2281" s="8"/>
      <c r="B2281" s="157"/>
      <c r="C2281" s="158"/>
      <c r="D2281" s="161" t="s">
        <v>39</v>
      </c>
      <c r="E2281" s="162" t="s">
        <v>188</v>
      </c>
      <c r="F2281" s="163" t="s">
        <v>40</v>
      </c>
      <c r="G2281" s="164" t="s">
        <v>197</v>
      </c>
      <c r="H2281" s="165">
        <v>2</v>
      </c>
      <c r="I2281" s="164"/>
      <c r="J2281" s="165"/>
      <c r="K2281" s="164"/>
      <c r="L2281" s="165"/>
      <c r="M2281" s="6"/>
      <c r="N2281" s="32"/>
      <c r="Q2281" s="10" t="str">
        <f>+CONCATENATE(E2281,G2281)</f>
        <v>차열재마감2000*600</v>
      </c>
      <c r="R2281" s="10">
        <f>+H2281</f>
        <v>2</v>
      </c>
      <c r="S2281" s="11"/>
      <c r="T2281" s="10" t="str">
        <f>+E2281</f>
        <v>차열재마감</v>
      </c>
      <c r="U2281" s="19" t="str">
        <f t="shared" ref="U2281" si="1238">IFERROR(LEFT(G2281,FIND("*",G2281)-1),"-")</f>
        <v>2000</v>
      </c>
      <c r="V2281" s="19" t="str">
        <f t="shared" ref="V2281" si="1239">IFERROR(RIGHT(G2281,LEN(G2281)-FIND("*",G2281)),"-")</f>
        <v>600</v>
      </c>
      <c r="W2281" s="20">
        <f t="shared" si="1237"/>
        <v>5.2</v>
      </c>
      <c r="X2281" s="20">
        <f>IFERROR(W2281*H2281,"-")</f>
        <v>10.4</v>
      </c>
      <c r="Z2281" s="85">
        <v>45190</v>
      </c>
    </row>
    <row r="2282" spans="1:26" ht="6.95" customHeight="1" x14ac:dyDescent="0.3">
      <c r="A2282" s="5"/>
      <c r="B2282" s="157"/>
      <c r="C2282" s="158"/>
      <c r="D2282" s="161"/>
      <c r="E2282" s="162"/>
      <c r="F2282" s="163"/>
      <c r="G2282" s="164"/>
      <c r="H2282" s="165"/>
      <c r="I2282" s="164"/>
      <c r="J2282" s="165"/>
      <c r="K2282" s="164"/>
      <c r="L2282" s="165"/>
      <c r="M2282" s="6"/>
      <c r="N2282" s="32"/>
      <c r="Q2282" s="10" t="str">
        <f>+CONCATENATE(E2281,I2281)</f>
        <v>차열재마감</v>
      </c>
      <c r="R2282" s="10">
        <f>+J2281</f>
        <v>0</v>
      </c>
      <c r="S2282" s="11"/>
      <c r="T2282" s="10" t="str">
        <f>+E2281</f>
        <v>차열재마감</v>
      </c>
      <c r="U2282" s="19" t="str">
        <f>IFERROR(LEFT(I2281,FIND("*",I2281)-1),"-")</f>
        <v>-</v>
      </c>
      <c r="V2282" s="19" t="str">
        <f>IFERROR(RIGHT(I2281,LEN(I2281)-FIND("*",I2281)),"-")</f>
        <v>-</v>
      </c>
      <c r="W2282" s="20" t="str">
        <f t="shared" si="1237"/>
        <v>-</v>
      </c>
      <c r="X2282" s="20" t="str">
        <f>IFERROR(W2282*J2281,"-")</f>
        <v>-</v>
      </c>
      <c r="Z2282" s="85">
        <v>45190</v>
      </c>
    </row>
    <row r="2283" spans="1:26" ht="6.95" customHeight="1" x14ac:dyDescent="0.3">
      <c r="A2283" s="5"/>
      <c r="B2283" s="157"/>
      <c r="C2283" s="158"/>
      <c r="D2283" s="161"/>
      <c r="E2283" s="162"/>
      <c r="F2283" s="163"/>
      <c r="G2283" s="164"/>
      <c r="H2283" s="165"/>
      <c r="I2283" s="164"/>
      <c r="J2283" s="165"/>
      <c r="K2283" s="164"/>
      <c r="L2283" s="165"/>
      <c r="M2283" s="6"/>
      <c r="N2283" s="32"/>
      <c r="Q2283" s="10" t="str">
        <f>+CONCATENATE(E2281,K2281)</f>
        <v>차열재마감</v>
      </c>
      <c r="R2283" s="10">
        <f>+L2281</f>
        <v>0</v>
      </c>
      <c r="S2283" s="11"/>
      <c r="T2283" s="10" t="str">
        <f>+E2281</f>
        <v>차열재마감</v>
      </c>
      <c r="U2283" s="19" t="str">
        <f>IFERROR(LEFT(K2281,FIND("*",K2281)-1),"-")</f>
        <v>-</v>
      </c>
      <c r="V2283" s="19" t="str">
        <f>IFERROR(RIGHT(K2281,LEN(K2281)-FIND("*",K2281)),"-")</f>
        <v>-</v>
      </c>
      <c r="W2283" s="20" t="str">
        <f t="shared" si="1237"/>
        <v>-</v>
      </c>
      <c r="X2283" s="20" t="str">
        <f>IFERROR(W2283*L2281,"-")</f>
        <v>-</v>
      </c>
      <c r="Z2283" s="85">
        <v>45190</v>
      </c>
    </row>
    <row r="2284" spans="1:26" ht="6.95" customHeight="1" x14ac:dyDescent="0.3">
      <c r="A2284" s="8"/>
      <c r="B2284" s="157"/>
      <c r="C2284" s="158"/>
      <c r="D2284" s="161" t="s">
        <v>39</v>
      </c>
      <c r="E2284" s="162"/>
      <c r="F2284" s="163" t="s">
        <v>40</v>
      </c>
      <c r="G2284" s="164"/>
      <c r="H2284" s="165"/>
      <c r="I2284" s="164"/>
      <c r="J2284" s="165"/>
      <c r="K2284" s="164"/>
      <c r="L2284" s="165"/>
      <c r="M2284" s="6"/>
      <c r="N2284" s="32"/>
      <c r="Q2284" s="10" t="str">
        <f>+CONCATENATE(E2284,G2284)</f>
        <v/>
      </c>
      <c r="R2284" s="10">
        <f>+H2284</f>
        <v>0</v>
      </c>
      <c r="S2284" s="11"/>
      <c r="T2284" s="10">
        <f>+E2284</f>
        <v>0</v>
      </c>
      <c r="U2284" s="19" t="str">
        <f t="shared" ref="U2284" si="1240">IFERROR(LEFT(G2284,FIND("*",G2284)-1),"-")</f>
        <v>-</v>
      </c>
      <c r="V2284" s="19" t="str">
        <f t="shared" ref="V2284" si="1241">IFERROR(RIGHT(G2284,LEN(G2284)-FIND("*",G2284)),"-")</f>
        <v>-</v>
      </c>
      <c r="W2284" s="20" t="str">
        <f t="shared" si="1237"/>
        <v>-</v>
      </c>
      <c r="X2284" s="20" t="str">
        <f>IFERROR(W2284*H2284,"-")</f>
        <v>-</v>
      </c>
      <c r="Z2284" s="85">
        <v>45190</v>
      </c>
    </row>
    <row r="2285" spans="1:26" ht="6.95" customHeight="1" x14ac:dyDescent="0.3">
      <c r="A2285" s="5"/>
      <c r="B2285" s="157"/>
      <c r="C2285" s="158"/>
      <c r="D2285" s="161"/>
      <c r="E2285" s="162"/>
      <c r="F2285" s="163"/>
      <c r="G2285" s="164"/>
      <c r="H2285" s="165"/>
      <c r="I2285" s="164"/>
      <c r="J2285" s="165"/>
      <c r="K2285" s="164"/>
      <c r="L2285" s="165"/>
      <c r="M2285" s="6"/>
      <c r="N2285" s="32"/>
      <c r="Q2285" s="10" t="str">
        <f>+CONCATENATE(E2284,I2284)</f>
        <v/>
      </c>
      <c r="R2285" s="10">
        <f>+J2284</f>
        <v>0</v>
      </c>
      <c r="S2285" s="11"/>
      <c r="T2285" s="10">
        <f>+E2284</f>
        <v>0</v>
      </c>
      <c r="U2285" s="19" t="str">
        <f>IFERROR(LEFT(I2284,FIND("*",I2284)-1),"-")</f>
        <v>-</v>
      </c>
      <c r="V2285" s="19" t="str">
        <f>IFERROR(RIGHT(I2284,LEN(I2284)-FIND("*",I2284)),"-")</f>
        <v>-</v>
      </c>
      <c r="W2285" s="20" t="str">
        <f t="shared" si="1237"/>
        <v>-</v>
      </c>
      <c r="X2285" s="20" t="str">
        <f t="shared" ref="X2285" si="1242">IFERROR(W2285*J2284,"-")</f>
        <v>-</v>
      </c>
      <c r="Z2285" s="85">
        <v>45190</v>
      </c>
    </row>
    <row r="2286" spans="1:26" ht="6.95" customHeight="1" x14ac:dyDescent="0.3">
      <c r="A2286" s="5"/>
      <c r="B2286" s="157"/>
      <c r="C2286" s="158"/>
      <c r="D2286" s="161"/>
      <c r="E2286" s="162"/>
      <c r="F2286" s="163"/>
      <c r="G2286" s="164"/>
      <c r="H2286" s="165"/>
      <c r="I2286" s="164"/>
      <c r="J2286" s="165"/>
      <c r="K2286" s="164"/>
      <c r="L2286" s="165"/>
      <c r="M2286" s="6"/>
      <c r="N2286" s="32"/>
      <c r="Q2286" s="10" t="str">
        <f>+CONCATENATE(E2284,K2284)</f>
        <v/>
      </c>
      <c r="R2286" s="10">
        <f>+L2284</f>
        <v>0</v>
      </c>
      <c r="S2286" s="11"/>
      <c r="T2286" s="10">
        <f>+E2284</f>
        <v>0</v>
      </c>
      <c r="U2286" s="19" t="str">
        <f>IFERROR(LEFT(K2284,FIND("*",K2284)-1),"-")</f>
        <v>-</v>
      </c>
      <c r="V2286" s="19" t="str">
        <f>IFERROR(RIGHT(K2284,LEN(K2284)-FIND("*",K2284)),"-")</f>
        <v>-</v>
      </c>
      <c r="W2286" s="20" t="str">
        <f t="shared" si="1237"/>
        <v>-</v>
      </c>
      <c r="X2286" s="20" t="str">
        <f>IFERROR(W2286*L2284,"-")</f>
        <v>-</v>
      </c>
      <c r="Z2286" s="85">
        <v>45190</v>
      </c>
    </row>
    <row r="2287" spans="1:26" ht="21" customHeight="1" thickBot="1" x14ac:dyDescent="0.35">
      <c r="A2287" s="5"/>
      <c r="B2287" s="159"/>
      <c r="C2287" s="160"/>
      <c r="D2287" s="166" t="s">
        <v>43</v>
      </c>
      <c r="E2287" s="167"/>
      <c r="F2287" s="167"/>
      <c r="G2287" s="168" t="s">
        <v>208</v>
      </c>
      <c r="H2287" s="168"/>
      <c r="I2287" s="168"/>
      <c r="J2287" s="168"/>
      <c r="K2287" s="168"/>
      <c r="L2287" s="168"/>
      <c r="M2287" s="7"/>
      <c r="N2287" s="33">
        <v>45190</v>
      </c>
      <c r="Z2287" s="85">
        <v>45190</v>
      </c>
    </row>
    <row r="2288" spans="1:26" ht="9.9499999999999993" customHeight="1" thickBot="1" x14ac:dyDescent="0.35">
      <c r="B2288" s="9"/>
      <c r="C2288" s="109">
        <v>1007</v>
      </c>
      <c r="D2288" s="51"/>
      <c r="E2288" s="12"/>
      <c r="F2288" s="51"/>
      <c r="G2288" s="14"/>
      <c r="H2288" s="14"/>
      <c r="I2288" s="14"/>
      <c r="J2288" s="14"/>
      <c r="K2288" s="14"/>
      <c r="L2288" s="14"/>
      <c r="M2288" s="9"/>
      <c r="N2288" s="32"/>
      <c r="U2288" s="18"/>
      <c r="V2288" s="18"/>
      <c r="Z2288" s="85">
        <v>45192</v>
      </c>
    </row>
    <row r="2289" spans="1:26" ht="6.95" customHeight="1" x14ac:dyDescent="0.3">
      <c r="A2289" s="154">
        <f>+A2278+1</f>
        <v>1008</v>
      </c>
      <c r="B2289" s="155"/>
      <c r="C2289" s="156"/>
      <c r="D2289" s="161" t="s">
        <v>39</v>
      </c>
      <c r="E2289" s="162" t="s">
        <v>115</v>
      </c>
      <c r="F2289" s="163" t="s">
        <v>40</v>
      </c>
      <c r="G2289" s="164" t="s">
        <v>298</v>
      </c>
      <c r="H2289" s="165">
        <v>1</v>
      </c>
      <c r="I2289" s="164"/>
      <c r="J2289" s="165"/>
      <c r="K2289" s="164"/>
      <c r="L2289" s="165"/>
      <c r="M2289" s="6"/>
      <c r="N2289" s="32"/>
      <c r="Q2289" s="10" t="str">
        <f>+CONCATENATE(E2289,G2289)</f>
        <v>무보온덕트벽체2200*600</v>
      </c>
      <c r="R2289" s="10">
        <f>+H2289</f>
        <v>1</v>
      </c>
      <c r="S2289" s="11"/>
      <c r="T2289" s="10" t="str">
        <f>+E2289</f>
        <v>무보온덕트벽체</v>
      </c>
      <c r="U2289" s="19" t="str">
        <f>IFERROR(LEFT(G2289,FIND("*",G2289)-1),"-")</f>
        <v>2200</v>
      </c>
      <c r="V2289" s="19" t="str">
        <f>IFERROR(RIGHT(G2289,LEN(G2289)-FIND("*",G2289)),"-")</f>
        <v>600</v>
      </c>
      <c r="W2289" s="20">
        <f>IFERROR((U2289+V2289)*2/1000,"-")</f>
        <v>5.6</v>
      </c>
      <c r="X2289" s="20">
        <f>IFERROR(W2289*H2289,"-")</f>
        <v>5.6</v>
      </c>
      <c r="Z2289" s="85">
        <v>45192</v>
      </c>
    </row>
    <row r="2290" spans="1:26" ht="6.95" customHeight="1" x14ac:dyDescent="0.3">
      <c r="A2290" s="154"/>
      <c r="B2290" s="157"/>
      <c r="C2290" s="158"/>
      <c r="D2290" s="161"/>
      <c r="E2290" s="162"/>
      <c r="F2290" s="163"/>
      <c r="G2290" s="164"/>
      <c r="H2290" s="165"/>
      <c r="I2290" s="164"/>
      <c r="J2290" s="165"/>
      <c r="K2290" s="164"/>
      <c r="L2290" s="165"/>
      <c r="M2290" s="6"/>
      <c r="N2290" s="32"/>
      <c r="Q2290" s="10" t="str">
        <f>+CONCATENATE(E2289,I2289)</f>
        <v>무보온덕트벽체</v>
      </c>
      <c r="R2290" s="10">
        <f>+J2289</f>
        <v>0</v>
      </c>
      <c r="S2290" s="11"/>
      <c r="T2290" s="10" t="str">
        <f>+E2289</f>
        <v>무보온덕트벽체</v>
      </c>
      <c r="U2290" s="19" t="str">
        <f>IFERROR(LEFT(I2289,FIND("*",I2289)-1),"-")</f>
        <v>-</v>
      </c>
      <c r="V2290" s="19" t="str">
        <f>IFERROR(RIGHT(I2289,LEN(I2289)-FIND("*",I2289)),"-")</f>
        <v>-</v>
      </c>
      <c r="W2290" s="20" t="str">
        <f t="shared" ref="W2290:W2297" si="1243">IFERROR((U2290+V2290)*2/1000,"-")</f>
        <v>-</v>
      </c>
      <c r="X2290" s="20" t="str">
        <f>IFERROR(W2290*J2289,"-")</f>
        <v>-</v>
      </c>
      <c r="Z2290" s="85">
        <v>45192</v>
      </c>
    </row>
    <row r="2291" spans="1:26" ht="6.95" customHeight="1" x14ac:dyDescent="0.3">
      <c r="A2291" s="154"/>
      <c r="B2291" s="157"/>
      <c r="C2291" s="158"/>
      <c r="D2291" s="161"/>
      <c r="E2291" s="162"/>
      <c r="F2291" s="163"/>
      <c r="G2291" s="164"/>
      <c r="H2291" s="165"/>
      <c r="I2291" s="164"/>
      <c r="J2291" s="165"/>
      <c r="K2291" s="164"/>
      <c r="L2291" s="165"/>
      <c r="M2291" s="6"/>
      <c r="N2291" s="32"/>
      <c r="Q2291" s="10" t="str">
        <f>+CONCATENATE(E2289,K2289)</f>
        <v>무보온덕트벽체</v>
      </c>
      <c r="R2291" s="10">
        <f>+L2289</f>
        <v>0</v>
      </c>
      <c r="S2291" s="11"/>
      <c r="T2291" s="10" t="str">
        <f>+E2289</f>
        <v>무보온덕트벽체</v>
      </c>
      <c r="U2291" s="19" t="str">
        <f>IFERROR(LEFT(K2289,FIND("*",K2289)-1),"-")</f>
        <v>-</v>
      </c>
      <c r="V2291" s="19" t="str">
        <f>IFERROR(RIGHT(K2289,LEN(K2289)-FIND("*",K2289)),"-")</f>
        <v>-</v>
      </c>
      <c r="W2291" s="20" t="str">
        <f t="shared" si="1243"/>
        <v>-</v>
      </c>
      <c r="X2291" s="20" t="str">
        <f>IFERROR(W2291*L2289,"-")</f>
        <v>-</v>
      </c>
      <c r="Z2291" s="85">
        <v>45192</v>
      </c>
    </row>
    <row r="2292" spans="1:26" ht="6.95" customHeight="1" x14ac:dyDescent="0.3">
      <c r="A2292" s="8"/>
      <c r="B2292" s="157"/>
      <c r="C2292" s="158"/>
      <c r="D2292" s="161" t="s">
        <v>39</v>
      </c>
      <c r="E2292" s="162" t="s">
        <v>111</v>
      </c>
      <c r="F2292" s="163" t="s">
        <v>40</v>
      </c>
      <c r="G2292" s="164" t="s">
        <v>298</v>
      </c>
      <c r="H2292" s="165">
        <v>1</v>
      </c>
      <c r="I2292" s="164"/>
      <c r="J2292" s="165"/>
      <c r="K2292" s="164"/>
      <c r="L2292" s="165"/>
      <c r="M2292" s="6"/>
      <c r="N2292" s="32"/>
      <c r="Q2292" s="10" t="str">
        <f>+CONCATENATE(E2292,G2292)</f>
        <v>보온덕트벽체2200*600</v>
      </c>
      <c r="R2292" s="10">
        <f>+H2292</f>
        <v>1</v>
      </c>
      <c r="S2292" s="11"/>
      <c r="T2292" s="10" t="str">
        <f>+E2292</f>
        <v>보온덕트벽체</v>
      </c>
      <c r="U2292" s="19" t="str">
        <f t="shared" ref="U2292" si="1244">IFERROR(LEFT(G2292,FIND("*",G2292)-1),"-")</f>
        <v>2200</v>
      </c>
      <c r="V2292" s="19" t="str">
        <f t="shared" ref="V2292" si="1245">IFERROR(RIGHT(G2292,LEN(G2292)-FIND("*",G2292)),"-")</f>
        <v>600</v>
      </c>
      <c r="W2292" s="20">
        <f t="shared" si="1243"/>
        <v>5.6</v>
      </c>
      <c r="X2292" s="20">
        <f>IFERROR(W2292*H2292,"-")</f>
        <v>5.6</v>
      </c>
      <c r="Z2292" s="85">
        <v>45192</v>
      </c>
    </row>
    <row r="2293" spans="1:26" ht="6.95" customHeight="1" x14ac:dyDescent="0.3">
      <c r="A2293" s="5"/>
      <c r="B2293" s="157"/>
      <c r="C2293" s="158"/>
      <c r="D2293" s="161"/>
      <c r="E2293" s="162"/>
      <c r="F2293" s="163"/>
      <c r="G2293" s="164"/>
      <c r="H2293" s="165"/>
      <c r="I2293" s="164"/>
      <c r="J2293" s="165"/>
      <c r="K2293" s="164"/>
      <c r="L2293" s="165"/>
      <c r="M2293" s="6"/>
      <c r="N2293" s="32"/>
      <c r="Q2293" s="10" t="str">
        <f>+CONCATENATE(E2292,I2292)</f>
        <v>보온덕트벽체</v>
      </c>
      <c r="R2293" s="10">
        <f>+J2292</f>
        <v>0</v>
      </c>
      <c r="S2293" s="11"/>
      <c r="T2293" s="10" t="str">
        <f>+E2292</f>
        <v>보온덕트벽체</v>
      </c>
      <c r="U2293" s="19" t="str">
        <f>IFERROR(LEFT(I2292,FIND("*",I2292)-1),"-")</f>
        <v>-</v>
      </c>
      <c r="V2293" s="19" t="str">
        <f>IFERROR(RIGHT(I2292,LEN(I2292)-FIND("*",I2292)),"-")</f>
        <v>-</v>
      </c>
      <c r="W2293" s="20" t="str">
        <f t="shared" si="1243"/>
        <v>-</v>
      </c>
      <c r="X2293" s="20" t="str">
        <f>IFERROR(W2293*J2292,"-")</f>
        <v>-</v>
      </c>
      <c r="Z2293" s="85">
        <v>45192</v>
      </c>
    </row>
    <row r="2294" spans="1:26" ht="6.95" customHeight="1" x14ac:dyDescent="0.3">
      <c r="A2294" s="5"/>
      <c r="B2294" s="157"/>
      <c r="C2294" s="158"/>
      <c r="D2294" s="161"/>
      <c r="E2294" s="162"/>
      <c r="F2294" s="163"/>
      <c r="G2294" s="164"/>
      <c r="H2294" s="165"/>
      <c r="I2294" s="164"/>
      <c r="J2294" s="165"/>
      <c r="K2294" s="164"/>
      <c r="L2294" s="165"/>
      <c r="M2294" s="6"/>
      <c r="N2294" s="32"/>
      <c r="Q2294" s="10" t="str">
        <f>+CONCATENATE(E2292,K2292)</f>
        <v>보온덕트벽체</v>
      </c>
      <c r="R2294" s="10">
        <f>+L2292</f>
        <v>0</v>
      </c>
      <c r="S2294" s="11"/>
      <c r="T2294" s="10" t="str">
        <f>+E2292</f>
        <v>보온덕트벽체</v>
      </c>
      <c r="U2294" s="19" t="str">
        <f>IFERROR(LEFT(K2292,FIND("*",K2292)-1),"-")</f>
        <v>-</v>
      </c>
      <c r="V2294" s="19" t="str">
        <f>IFERROR(RIGHT(K2292,LEN(K2292)-FIND("*",K2292)),"-")</f>
        <v>-</v>
      </c>
      <c r="W2294" s="20" t="str">
        <f t="shared" si="1243"/>
        <v>-</v>
      </c>
      <c r="X2294" s="20" t="str">
        <f>IFERROR(W2294*L2292,"-")</f>
        <v>-</v>
      </c>
      <c r="Z2294" s="85">
        <v>45192</v>
      </c>
    </row>
    <row r="2295" spans="1:26" ht="6.95" customHeight="1" x14ac:dyDescent="0.3">
      <c r="A2295" s="8"/>
      <c r="B2295" s="157"/>
      <c r="C2295" s="158"/>
      <c r="D2295" s="161" t="s">
        <v>39</v>
      </c>
      <c r="E2295" s="162" t="s">
        <v>188</v>
      </c>
      <c r="F2295" s="163" t="s">
        <v>40</v>
      </c>
      <c r="G2295" s="164" t="s">
        <v>298</v>
      </c>
      <c r="H2295" s="165">
        <v>3</v>
      </c>
      <c r="I2295" s="164"/>
      <c r="J2295" s="165"/>
      <c r="K2295" s="164"/>
      <c r="L2295" s="165"/>
      <c r="M2295" s="6"/>
      <c r="N2295" s="32"/>
      <c r="Q2295" s="10" t="str">
        <f>+CONCATENATE(E2295,G2295)</f>
        <v>차열재마감2200*600</v>
      </c>
      <c r="R2295" s="10">
        <f>+H2295</f>
        <v>3</v>
      </c>
      <c r="S2295" s="11"/>
      <c r="T2295" s="10" t="str">
        <f>+E2295</f>
        <v>차열재마감</v>
      </c>
      <c r="U2295" s="19" t="str">
        <f t="shared" ref="U2295" si="1246">IFERROR(LEFT(G2295,FIND("*",G2295)-1),"-")</f>
        <v>2200</v>
      </c>
      <c r="V2295" s="19" t="str">
        <f t="shared" ref="V2295" si="1247">IFERROR(RIGHT(G2295,LEN(G2295)-FIND("*",G2295)),"-")</f>
        <v>600</v>
      </c>
      <c r="W2295" s="20">
        <f t="shared" si="1243"/>
        <v>5.6</v>
      </c>
      <c r="X2295" s="20">
        <f>IFERROR(W2295*H2295,"-")</f>
        <v>16.799999999999997</v>
      </c>
      <c r="Z2295" s="85">
        <v>45192</v>
      </c>
    </row>
    <row r="2296" spans="1:26" ht="6.95" customHeight="1" x14ac:dyDescent="0.3">
      <c r="A2296" s="5"/>
      <c r="B2296" s="157"/>
      <c r="C2296" s="158"/>
      <c r="D2296" s="161"/>
      <c r="E2296" s="162"/>
      <c r="F2296" s="163"/>
      <c r="G2296" s="164"/>
      <c r="H2296" s="165"/>
      <c r="I2296" s="164"/>
      <c r="J2296" s="165"/>
      <c r="K2296" s="164"/>
      <c r="L2296" s="165"/>
      <c r="M2296" s="6"/>
      <c r="N2296" s="32"/>
      <c r="Q2296" s="10" t="str">
        <f>+CONCATENATE(E2295,I2295)</f>
        <v>차열재마감</v>
      </c>
      <c r="R2296" s="10">
        <f>+J2295</f>
        <v>0</v>
      </c>
      <c r="S2296" s="11"/>
      <c r="T2296" s="10" t="str">
        <f>+E2295</f>
        <v>차열재마감</v>
      </c>
      <c r="U2296" s="19" t="str">
        <f>IFERROR(LEFT(I2295,FIND("*",I2295)-1),"-")</f>
        <v>-</v>
      </c>
      <c r="V2296" s="19" t="str">
        <f>IFERROR(RIGHT(I2295,LEN(I2295)-FIND("*",I2295)),"-")</f>
        <v>-</v>
      </c>
      <c r="W2296" s="20" t="str">
        <f t="shared" si="1243"/>
        <v>-</v>
      </c>
      <c r="X2296" s="20" t="str">
        <f t="shared" ref="X2296" si="1248">IFERROR(W2296*J2295,"-")</f>
        <v>-</v>
      </c>
      <c r="Z2296" s="85">
        <v>45192</v>
      </c>
    </row>
    <row r="2297" spans="1:26" ht="6.95" customHeight="1" x14ac:dyDescent="0.3">
      <c r="A2297" s="5"/>
      <c r="B2297" s="157"/>
      <c r="C2297" s="158"/>
      <c r="D2297" s="161"/>
      <c r="E2297" s="162"/>
      <c r="F2297" s="163"/>
      <c r="G2297" s="164"/>
      <c r="H2297" s="165"/>
      <c r="I2297" s="164"/>
      <c r="J2297" s="165"/>
      <c r="K2297" s="164"/>
      <c r="L2297" s="165"/>
      <c r="M2297" s="6"/>
      <c r="N2297" s="32"/>
      <c r="Q2297" s="10" t="str">
        <f>+CONCATENATE(E2295,K2295)</f>
        <v>차열재마감</v>
      </c>
      <c r="R2297" s="10">
        <f>+L2295</f>
        <v>0</v>
      </c>
      <c r="S2297" s="11"/>
      <c r="T2297" s="10" t="str">
        <f>+E2295</f>
        <v>차열재마감</v>
      </c>
      <c r="U2297" s="19" t="str">
        <f>IFERROR(LEFT(K2295,FIND("*",K2295)-1),"-")</f>
        <v>-</v>
      </c>
      <c r="V2297" s="19" t="str">
        <f>IFERROR(RIGHT(K2295,LEN(K2295)-FIND("*",K2295)),"-")</f>
        <v>-</v>
      </c>
      <c r="W2297" s="20" t="str">
        <f t="shared" si="1243"/>
        <v>-</v>
      </c>
      <c r="X2297" s="20" t="str">
        <f>IFERROR(W2297*L2295,"-")</f>
        <v>-</v>
      </c>
      <c r="Z2297" s="85">
        <v>45192</v>
      </c>
    </row>
    <row r="2298" spans="1:26" ht="21" customHeight="1" thickBot="1" x14ac:dyDescent="0.35">
      <c r="A2298" s="5"/>
      <c r="B2298" s="159"/>
      <c r="C2298" s="160"/>
      <c r="D2298" s="166" t="s">
        <v>43</v>
      </c>
      <c r="E2298" s="167"/>
      <c r="F2298" s="167"/>
      <c r="G2298" s="168" t="s">
        <v>208</v>
      </c>
      <c r="H2298" s="168"/>
      <c r="I2298" s="168"/>
      <c r="J2298" s="168"/>
      <c r="K2298" s="168"/>
      <c r="L2298" s="168"/>
      <c r="M2298" s="7"/>
      <c r="N2298" s="32"/>
      <c r="Z2298" s="85">
        <v>45192</v>
      </c>
    </row>
    <row r="2299" spans="1:26" ht="9.9499999999999993" customHeight="1" thickBot="1" x14ac:dyDescent="0.35">
      <c r="B2299" s="9"/>
      <c r="C2299" s="109">
        <v>1008</v>
      </c>
      <c r="D2299" s="51"/>
      <c r="E2299" s="12"/>
      <c r="F2299" s="51"/>
      <c r="G2299" s="14"/>
      <c r="H2299" s="14"/>
      <c r="I2299" s="14"/>
      <c r="J2299" s="14"/>
      <c r="K2299" s="14"/>
      <c r="L2299" s="14"/>
      <c r="M2299" s="9"/>
      <c r="N2299" s="32"/>
      <c r="U2299" s="18"/>
      <c r="V2299" s="18"/>
      <c r="Z2299" s="85">
        <v>45192</v>
      </c>
    </row>
    <row r="2300" spans="1:26" ht="6.95" customHeight="1" x14ac:dyDescent="0.3">
      <c r="A2300" s="154">
        <f>+A2289+1</f>
        <v>1009</v>
      </c>
      <c r="B2300" s="155"/>
      <c r="C2300" s="156"/>
      <c r="D2300" s="161" t="s">
        <v>39</v>
      </c>
      <c r="E2300" s="162" t="s">
        <v>111</v>
      </c>
      <c r="F2300" s="163" t="s">
        <v>40</v>
      </c>
      <c r="G2300" s="164" t="s">
        <v>298</v>
      </c>
      <c r="H2300" s="165">
        <v>1</v>
      </c>
      <c r="I2300" s="164" t="s">
        <v>196</v>
      </c>
      <c r="J2300" s="165">
        <v>1</v>
      </c>
      <c r="K2300" s="164"/>
      <c r="L2300" s="165"/>
      <c r="M2300" s="6"/>
      <c r="N2300" s="32"/>
      <c r="Q2300" s="10" t="str">
        <f>+CONCATENATE(E2300,G2300)</f>
        <v>보온덕트벽체2200*600</v>
      </c>
      <c r="R2300" s="10">
        <f>+H2300</f>
        <v>1</v>
      </c>
      <c r="S2300" s="11"/>
      <c r="T2300" s="10" t="str">
        <f>+E2300</f>
        <v>보온덕트벽체</v>
      </c>
      <c r="U2300" s="19" t="str">
        <f>IFERROR(LEFT(G2300,FIND("*",G2300)-1),"-")</f>
        <v>2200</v>
      </c>
      <c r="V2300" s="19" t="str">
        <f>IFERROR(RIGHT(G2300,LEN(G2300)-FIND("*",G2300)),"-")</f>
        <v>600</v>
      </c>
      <c r="W2300" s="20">
        <f>IFERROR((U2300+V2300)*2/1000,"-")</f>
        <v>5.6</v>
      </c>
      <c r="X2300" s="20">
        <f>IFERROR(W2300*H2300,"-")</f>
        <v>5.6</v>
      </c>
      <c r="Z2300" s="85">
        <v>45192</v>
      </c>
    </row>
    <row r="2301" spans="1:26" ht="6.95" customHeight="1" x14ac:dyDescent="0.3">
      <c r="A2301" s="154"/>
      <c r="B2301" s="157"/>
      <c r="C2301" s="158"/>
      <c r="D2301" s="161"/>
      <c r="E2301" s="162"/>
      <c r="F2301" s="163"/>
      <c r="G2301" s="164"/>
      <c r="H2301" s="165"/>
      <c r="I2301" s="164"/>
      <c r="J2301" s="165"/>
      <c r="K2301" s="164"/>
      <c r="L2301" s="165"/>
      <c r="M2301" s="6"/>
      <c r="N2301" s="32"/>
      <c r="Q2301" s="10" t="str">
        <f>+CONCATENATE(E2300,I2300)</f>
        <v>보온덕트벽체800*600</v>
      </c>
      <c r="R2301" s="10">
        <f>+J2300</f>
        <v>1</v>
      </c>
      <c r="S2301" s="11"/>
      <c r="T2301" s="10" t="str">
        <f>+E2300</f>
        <v>보온덕트벽체</v>
      </c>
      <c r="U2301" s="19" t="str">
        <f>IFERROR(LEFT(I2300,FIND("*",I2300)-1),"-")</f>
        <v>800</v>
      </c>
      <c r="V2301" s="19" t="str">
        <f>IFERROR(RIGHT(I2300,LEN(I2300)-FIND("*",I2300)),"-")</f>
        <v>600</v>
      </c>
      <c r="W2301" s="20">
        <f t="shared" ref="W2301:W2308" si="1249">IFERROR((U2301+V2301)*2/1000,"-")</f>
        <v>2.8</v>
      </c>
      <c r="X2301" s="20">
        <f>IFERROR(W2301*J2300,"-")</f>
        <v>2.8</v>
      </c>
      <c r="Z2301" s="85">
        <v>45192</v>
      </c>
    </row>
    <row r="2302" spans="1:26" ht="6.95" customHeight="1" x14ac:dyDescent="0.3">
      <c r="A2302" s="154"/>
      <c r="B2302" s="157"/>
      <c r="C2302" s="158"/>
      <c r="D2302" s="161"/>
      <c r="E2302" s="162"/>
      <c r="F2302" s="163"/>
      <c r="G2302" s="164"/>
      <c r="H2302" s="165"/>
      <c r="I2302" s="164"/>
      <c r="J2302" s="165"/>
      <c r="K2302" s="164"/>
      <c r="L2302" s="165"/>
      <c r="M2302" s="6"/>
      <c r="N2302" s="32"/>
      <c r="Q2302" s="10" t="str">
        <f>+CONCATENATE(E2300,K2300)</f>
        <v>보온덕트벽체</v>
      </c>
      <c r="R2302" s="10">
        <f>+L2300</f>
        <v>0</v>
      </c>
      <c r="S2302" s="11"/>
      <c r="T2302" s="10" t="str">
        <f>+E2300</f>
        <v>보온덕트벽체</v>
      </c>
      <c r="U2302" s="19" t="str">
        <f>IFERROR(LEFT(K2300,FIND("*",K2300)-1),"-")</f>
        <v>-</v>
      </c>
      <c r="V2302" s="19" t="str">
        <f>IFERROR(RIGHT(K2300,LEN(K2300)-FIND("*",K2300)),"-")</f>
        <v>-</v>
      </c>
      <c r="W2302" s="20" t="str">
        <f t="shared" si="1249"/>
        <v>-</v>
      </c>
      <c r="X2302" s="20" t="str">
        <f>IFERROR(W2302*L2300,"-")</f>
        <v>-</v>
      </c>
      <c r="Z2302" s="85">
        <v>45192</v>
      </c>
    </row>
    <row r="2303" spans="1:26" ht="6.95" customHeight="1" x14ac:dyDescent="0.3">
      <c r="A2303" s="8"/>
      <c r="B2303" s="157"/>
      <c r="C2303" s="158"/>
      <c r="D2303" s="161" t="s">
        <v>39</v>
      </c>
      <c r="E2303" s="162" t="s">
        <v>188</v>
      </c>
      <c r="F2303" s="163" t="s">
        <v>40</v>
      </c>
      <c r="G2303" s="164" t="s">
        <v>298</v>
      </c>
      <c r="H2303" s="165">
        <v>2</v>
      </c>
      <c r="I2303" s="164" t="s">
        <v>196</v>
      </c>
      <c r="J2303" s="165">
        <v>2</v>
      </c>
      <c r="K2303" s="164"/>
      <c r="L2303" s="165"/>
      <c r="M2303" s="6"/>
      <c r="N2303" s="32"/>
      <c r="Q2303" s="10" t="str">
        <f>+CONCATENATE(E2303,G2303)</f>
        <v>차열재마감2200*600</v>
      </c>
      <c r="R2303" s="10">
        <f>+H2303</f>
        <v>2</v>
      </c>
      <c r="S2303" s="11"/>
      <c r="T2303" s="10" t="str">
        <f>+E2303</f>
        <v>차열재마감</v>
      </c>
      <c r="U2303" s="19" t="str">
        <f t="shared" ref="U2303" si="1250">IFERROR(LEFT(G2303,FIND("*",G2303)-1),"-")</f>
        <v>2200</v>
      </c>
      <c r="V2303" s="19" t="str">
        <f t="shared" ref="V2303" si="1251">IFERROR(RIGHT(G2303,LEN(G2303)-FIND("*",G2303)),"-")</f>
        <v>600</v>
      </c>
      <c r="W2303" s="20">
        <f t="shared" si="1249"/>
        <v>5.6</v>
      </c>
      <c r="X2303" s="20">
        <f>IFERROR(W2303*H2303,"-")</f>
        <v>11.2</v>
      </c>
      <c r="Z2303" s="85">
        <v>45192</v>
      </c>
    </row>
    <row r="2304" spans="1:26" ht="6.95" customHeight="1" x14ac:dyDescent="0.3">
      <c r="A2304" s="5"/>
      <c r="B2304" s="157"/>
      <c r="C2304" s="158"/>
      <c r="D2304" s="161"/>
      <c r="E2304" s="162"/>
      <c r="F2304" s="163"/>
      <c r="G2304" s="164"/>
      <c r="H2304" s="165"/>
      <c r="I2304" s="164"/>
      <c r="J2304" s="165"/>
      <c r="K2304" s="164"/>
      <c r="L2304" s="165"/>
      <c r="M2304" s="6"/>
      <c r="N2304" s="32"/>
      <c r="Q2304" s="10" t="str">
        <f>+CONCATENATE(E2303,I2303)</f>
        <v>차열재마감800*600</v>
      </c>
      <c r="R2304" s="10">
        <f>+J2303</f>
        <v>2</v>
      </c>
      <c r="S2304" s="11"/>
      <c r="T2304" s="10" t="str">
        <f>+E2303</f>
        <v>차열재마감</v>
      </c>
      <c r="U2304" s="19" t="str">
        <f>IFERROR(LEFT(I2303,FIND("*",I2303)-1),"-")</f>
        <v>800</v>
      </c>
      <c r="V2304" s="19" t="str">
        <f>IFERROR(RIGHT(I2303,LEN(I2303)-FIND("*",I2303)),"-")</f>
        <v>600</v>
      </c>
      <c r="W2304" s="20">
        <f t="shared" si="1249"/>
        <v>2.8</v>
      </c>
      <c r="X2304" s="20">
        <f>IFERROR(W2304*J2303,"-")</f>
        <v>5.6</v>
      </c>
      <c r="Z2304" s="85">
        <v>45192</v>
      </c>
    </row>
    <row r="2305" spans="1:26" ht="6.95" customHeight="1" x14ac:dyDescent="0.3">
      <c r="A2305" s="5"/>
      <c r="B2305" s="157"/>
      <c r="C2305" s="158"/>
      <c r="D2305" s="161"/>
      <c r="E2305" s="162"/>
      <c r="F2305" s="163"/>
      <c r="G2305" s="164"/>
      <c r="H2305" s="165"/>
      <c r="I2305" s="164"/>
      <c r="J2305" s="165"/>
      <c r="K2305" s="164"/>
      <c r="L2305" s="165"/>
      <c r="M2305" s="6"/>
      <c r="N2305" s="32"/>
      <c r="Q2305" s="10" t="str">
        <f>+CONCATENATE(E2303,K2303)</f>
        <v>차열재마감</v>
      </c>
      <c r="R2305" s="10">
        <f>+L2303</f>
        <v>0</v>
      </c>
      <c r="S2305" s="11"/>
      <c r="T2305" s="10" t="str">
        <f>+E2303</f>
        <v>차열재마감</v>
      </c>
      <c r="U2305" s="19" t="str">
        <f>IFERROR(LEFT(K2303,FIND("*",K2303)-1),"-")</f>
        <v>-</v>
      </c>
      <c r="V2305" s="19" t="str">
        <f>IFERROR(RIGHT(K2303,LEN(K2303)-FIND("*",K2303)),"-")</f>
        <v>-</v>
      </c>
      <c r="W2305" s="20" t="str">
        <f t="shared" si="1249"/>
        <v>-</v>
      </c>
      <c r="X2305" s="20" t="str">
        <f>IFERROR(W2305*L2303,"-")</f>
        <v>-</v>
      </c>
      <c r="Z2305" s="85">
        <v>45192</v>
      </c>
    </row>
    <row r="2306" spans="1:26" ht="6.95" customHeight="1" x14ac:dyDescent="0.3">
      <c r="A2306" s="8"/>
      <c r="B2306" s="157"/>
      <c r="C2306" s="158"/>
      <c r="D2306" s="161" t="s">
        <v>39</v>
      </c>
      <c r="E2306" s="162"/>
      <c r="F2306" s="163" t="s">
        <v>40</v>
      </c>
      <c r="G2306" s="164"/>
      <c r="H2306" s="165"/>
      <c r="I2306" s="164"/>
      <c r="J2306" s="165"/>
      <c r="K2306" s="164"/>
      <c r="L2306" s="165"/>
      <c r="M2306" s="6"/>
      <c r="N2306" s="32"/>
      <c r="Q2306" s="10" t="str">
        <f>+CONCATENATE(E2306,G2306)</f>
        <v/>
      </c>
      <c r="R2306" s="10">
        <f>+H2306</f>
        <v>0</v>
      </c>
      <c r="S2306" s="11"/>
      <c r="T2306" s="10">
        <f>+E2306</f>
        <v>0</v>
      </c>
      <c r="U2306" s="19" t="str">
        <f t="shared" ref="U2306" si="1252">IFERROR(LEFT(G2306,FIND("*",G2306)-1),"-")</f>
        <v>-</v>
      </c>
      <c r="V2306" s="19" t="str">
        <f t="shared" ref="V2306" si="1253">IFERROR(RIGHT(G2306,LEN(G2306)-FIND("*",G2306)),"-")</f>
        <v>-</v>
      </c>
      <c r="W2306" s="20" t="str">
        <f t="shared" si="1249"/>
        <v>-</v>
      </c>
      <c r="X2306" s="20" t="str">
        <f>IFERROR(W2306*H2306,"-")</f>
        <v>-</v>
      </c>
      <c r="Z2306" s="85">
        <v>45192</v>
      </c>
    </row>
    <row r="2307" spans="1:26" ht="6.95" customHeight="1" x14ac:dyDescent="0.3">
      <c r="A2307" s="5"/>
      <c r="B2307" s="157"/>
      <c r="C2307" s="158"/>
      <c r="D2307" s="161"/>
      <c r="E2307" s="162"/>
      <c r="F2307" s="163"/>
      <c r="G2307" s="164"/>
      <c r="H2307" s="165"/>
      <c r="I2307" s="164"/>
      <c r="J2307" s="165"/>
      <c r="K2307" s="164"/>
      <c r="L2307" s="165"/>
      <c r="M2307" s="6"/>
      <c r="N2307" s="32"/>
      <c r="Q2307" s="10" t="str">
        <f>+CONCATENATE(E2306,I2306)</f>
        <v/>
      </c>
      <c r="R2307" s="10">
        <f>+J2306</f>
        <v>0</v>
      </c>
      <c r="S2307" s="11"/>
      <c r="T2307" s="10">
        <f>+E2306</f>
        <v>0</v>
      </c>
      <c r="U2307" s="19" t="str">
        <f>IFERROR(LEFT(I2306,FIND("*",I2306)-1),"-")</f>
        <v>-</v>
      </c>
      <c r="V2307" s="19" t="str">
        <f>IFERROR(RIGHT(I2306,LEN(I2306)-FIND("*",I2306)),"-")</f>
        <v>-</v>
      </c>
      <c r="W2307" s="20" t="str">
        <f t="shared" si="1249"/>
        <v>-</v>
      </c>
      <c r="X2307" s="20" t="str">
        <f t="shared" ref="X2307" si="1254">IFERROR(W2307*J2306,"-")</f>
        <v>-</v>
      </c>
      <c r="Z2307" s="85">
        <v>45192</v>
      </c>
    </row>
    <row r="2308" spans="1:26" ht="6.95" customHeight="1" x14ac:dyDescent="0.3">
      <c r="A2308" s="5"/>
      <c r="B2308" s="157"/>
      <c r="C2308" s="158"/>
      <c r="D2308" s="161"/>
      <c r="E2308" s="162"/>
      <c r="F2308" s="163"/>
      <c r="G2308" s="164"/>
      <c r="H2308" s="165"/>
      <c r="I2308" s="164"/>
      <c r="J2308" s="165"/>
      <c r="K2308" s="164"/>
      <c r="L2308" s="165"/>
      <c r="M2308" s="6"/>
      <c r="N2308" s="32"/>
      <c r="Q2308" s="10" t="str">
        <f>+CONCATENATE(E2306,K2306)</f>
        <v/>
      </c>
      <c r="R2308" s="10">
        <f>+L2306</f>
        <v>0</v>
      </c>
      <c r="S2308" s="11"/>
      <c r="T2308" s="10">
        <f>+E2306</f>
        <v>0</v>
      </c>
      <c r="U2308" s="19" t="str">
        <f>IFERROR(LEFT(K2306,FIND("*",K2306)-1),"-")</f>
        <v>-</v>
      </c>
      <c r="V2308" s="19" t="str">
        <f>IFERROR(RIGHT(K2306,LEN(K2306)-FIND("*",K2306)),"-")</f>
        <v>-</v>
      </c>
      <c r="W2308" s="20" t="str">
        <f t="shared" si="1249"/>
        <v>-</v>
      </c>
      <c r="X2308" s="20" t="str">
        <f>IFERROR(W2308*L2306,"-")</f>
        <v>-</v>
      </c>
      <c r="Z2308" s="85">
        <v>45192</v>
      </c>
    </row>
    <row r="2309" spans="1:26" ht="21" customHeight="1" thickBot="1" x14ac:dyDescent="0.35">
      <c r="A2309" s="5"/>
      <c r="B2309" s="159"/>
      <c r="C2309" s="160"/>
      <c r="D2309" s="166" t="s">
        <v>43</v>
      </c>
      <c r="E2309" s="167"/>
      <c r="F2309" s="167"/>
      <c r="G2309" s="168" t="s">
        <v>208</v>
      </c>
      <c r="H2309" s="168"/>
      <c r="I2309" s="168"/>
      <c r="J2309" s="168"/>
      <c r="K2309" s="168"/>
      <c r="L2309" s="168"/>
      <c r="M2309" s="7"/>
      <c r="N2309" s="32"/>
      <c r="Z2309" s="85">
        <v>45192</v>
      </c>
    </row>
    <row r="2310" spans="1:26" ht="9.9499999999999993" customHeight="1" thickBot="1" x14ac:dyDescent="0.35">
      <c r="B2310" s="9"/>
      <c r="C2310" s="109">
        <v>1009</v>
      </c>
      <c r="D2310" s="51"/>
      <c r="E2310" s="12"/>
      <c r="F2310" s="51"/>
      <c r="G2310" s="14"/>
      <c r="H2310" s="14"/>
      <c r="I2310" s="14"/>
      <c r="J2310" s="14"/>
      <c r="K2310" s="14"/>
      <c r="L2310" s="14"/>
      <c r="M2310" s="9"/>
      <c r="N2310" s="32"/>
      <c r="U2310" s="18"/>
      <c r="V2310" s="18"/>
      <c r="Z2310" s="85">
        <v>45192</v>
      </c>
    </row>
    <row r="2311" spans="1:26" ht="6.95" customHeight="1" x14ac:dyDescent="0.3">
      <c r="A2311" s="154">
        <f>+A2300+1</f>
        <v>1010</v>
      </c>
      <c r="B2311" s="155"/>
      <c r="C2311" s="156"/>
      <c r="D2311" s="161" t="s">
        <v>39</v>
      </c>
      <c r="E2311" s="162" t="s">
        <v>111</v>
      </c>
      <c r="F2311" s="163" t="s">
        <v>40</v>
      </c>
      <c r="G2311" s="164" t="s">
        <v>298</v>
      </c>
      <c r="H2311" s="165">
        <v>1</v>
      </c>
      <c r="I2311" s="164"/>
      <c r="J2311" s="165"/>
      <c r="K2311" s="164"/>
      <c r="L2311" s="165"/>
      <c r="M2311" s="6"/>
      <c r="N2311" s="32"/>
      <c r="Q2311" s="10" t="str">
        <f>+CONCATENATE(E2311,G2311)</f>
        <v>보온덕트벽체2200*600</v>
      </c>
      <c r="R2311" s="10">
        <f>+H2311</f>
        <v>1</v>
      </c>
      <c r="S2311" s="11"/>
      <c r="T2311" s="10" t="str">
        <f>+E2311</f>
        <v>보온덕트벽체</v>
      </c>
      <c r="U2311" s="19" t="str">
        <f>IFERROR(LEFT(G2311,FIND("*",G2311)-1),"-")</f>
        <v>2200</v>
      </c>
      <c r="V2311" s="19" t="str">
        <f>IFERROR(RIGHT(G2311,LEN(G2311)-FIND("*",G2311)),"-")</f>
        <v>600</v>
      </c>
      <c r="W2311" s="20">
        <f>IFERROR((U2311+V2311)*2/1000,"-")</f>
        <v>5.6</v>
      </c>
      <c r="X2311" s="20">
        <f>IFERROR(W2311*H2311,"-")</f>
        <v>5.6</v>
      </c>
      <c r="Z2311" s="85">
        <v>45192</v>
      </c>
    </row>
    <row r="2312" spans="1:26" ht="6.95" customHeight="1" x14ac:dyDescent="0.3">
      <c r="A2312" s="154"/>
      <c r="B2312" s="157"/>
      <c r="C2312" s="158"/>
      <c r="D2312" s="161"/>
      <c r="E2312" s="162"/>
      <c r="F2312" s="163"/>
      <c r="G2312" s="164"/>
      <c r="H2312" s="165"/>
      <c r="I2312" s="164"/>
      <c r="J2312" s="165"/>
      <c r="K2312" s="164"/>
      <c r="L2312" s="165"/>
      <c r="M2312" s="6"/>
      <c r="N2312" s="32"/>
      <c r="Q2312" s="10" t="str">
        <f>+CONCATENATE(E2311,I2311)</f>
        <v>보온덕트벽체</v>
      </c>
      <c r="R2312" s="10">
        <f>+J2311</f>
        <v>0</v>
      </c>
      <c r="S2312" s="11"/>
      <c r="T2312" s="10" t="str">
        <f>+E2311</f>
        <v>보온덕트벽체</v>
      </c>
      <c r="U2312" s="19" t="str">
        <f>IFERROR(LEFT(I2311,FIND("*",I2311)-1),"-")</f>
        <v>-</v>
      </c>
      <c r="V2312" s="19" t="str">
        <f>IFERROR(RIGHT(I2311,LEN(I2311)-FIND("*",I2311)),"-")</f>
        <v>-</v>
      </c>
      <c r="W2312" s="20" t="str">
        <f t="shared" ref="W2312:W2319" si="1255">IFERROR((U2312+V2312)*2/1000,"-")</f>
        <v>-</v>
      </c>
      <c r="X2312" s="20" t="str">
        <f>IFERROR(W2312*J2311,"-")</f>
        <v>-</v>
      </c>
      <c r="Z2312" s="85">
        <v>45192</v>
      </c>
    </row>
    <row r="2313" spans="1:26" ht="6.95" customHeight="1" x14ac:dyDescent="0.3">
      <c r="A2313" s="154"/>
      <c r="B2313" s="157"/>
      <c r="C2313" s="158"/>
      <c r="D2313" s="161"/>
      <c r="E2313" s="162"/>
      <c r="F2313" s="163"/>
      <c r="G2313" s="164"/>
      <c r="H2313" s="165"/>
      <c r="I2313" s="164"/>
      <c r="J2313" s="165"/>
      <c r="K2313" s="164"/>
      <c r="L2313" s="165"/>
      <c r="M2313" s="6"/>
      <c r="N2313" s="32"/>
      <c r="Q2313" s="10" t="str">
        <f>+CONCATENATE(E2311,K2311)</f>
        <v>보온덕트벽체</v>
      </c>
      <c r="R2313" s="10">
        <f>+L2311</f>
        <v>0</v>
      </c>
      <c r="S2313" s="11"/>
      <c r="T2313" s="10" t="str">
        <f>+E2311</f>
        <v>보온덕트벽체</v>
      </c>
      <c r="U2313" s="19" t="str">
        <f>IFERROR(LEFT(K2311,FIND("*",K2311)-1),"-")</f>
        <v>-</v>
      </c>
      <c r="V2313" s="19" t="str">
        <f>IFERROR(RIGHT(K2311,LEN(K2311)-FIND("*",K2311)),"-")</f>
        <v>-</v>
      </c>
      <c r="W2313" s="20" t="str">
        <f t="shared" si="1255"/>
        <v>-</v>
      </c>
      <c r="X2313" s="20" t="str">
        <f>IFERROR(W2313*L2311,"-")</f>
        <v>-</v>
      </c>
      <c r="Z2313" s="85">
        <v>45192</v>
      </c>
    </row>
    <row r="2314" spans="1:26" ht="6.95" customHeight="1" x14ac:dyDescent="0.3">
      <c r="A2314" s="8"/>
      <c r="B2314" s="157"/>
      <c r="C2314" s="158"/>
      <c r="D2314" s="161" t="s">
        <v>39</v>
      </c>
      <c r="E2314" s="162" t="s">
        <v>188</v>
      </c>
      <c r="F2314" s="163" t="s">
        <v>40</v>
      </c>
      <c r="G2314" s="164" t="s">
        <v>298</v>
      </c>
      <c r="H2314" s="165">
        <v>2</v>
      </c>
      <c r="I2314" s="164"/>
      <c r="J2314" s="165"/>
      <c r="K2314" s="164"/>
      <c r="L2314" s="165"/>
      <c r="M2314" s="6"/>
      <c r="N2314" s="32"/>
      <c r="Q2314" s="10" t="str">
        <f>+CONCATENATE(E2314,G2314)</f>
        <v>차열재마감2200*600</v>
      </c>
      <c r="R2314" s="10">
        <f>+H2314</f>
        <v>2</v>
      </c>
      <c r="S2314" s="11"/>
      <c r="T2314" s="10" t="str">
        <f>+E2314</f>
        <v>차열재마감</v>
      </c>
      <c r="U2314" s="19" t="str">
        <f t="shared" ref="U2314" si="1256">IFERROR(LEFT(G2314,FIND("*",G2314)-1),"-")</f>
        <v>2200</v>
      </c>
      <c r="V2314" s="19" t="str">
        <f t="shared" ref="V2314" si="1257">IFERROR(RIGHT(G2314,LEN(G2314)-FIND("*",G2314)),"-")</f>
        <v>600</v>
      </c>
      <c r="W2314" s="20">
        <f t="shared" si="1255"/>
        <v>5.6</v>
      </c>
      <c r="X2314" s="20">
        <f>IFERROR(W2314*H2314,"-")</f>
        <v>11.2</v>
      </c>
      <c r="Z2314" s="85">
        <v>45192</v>
      </c>
    </row>
    <row r="2315" spans="1:26" ht="6.95" customHeight="1" x14ac:dyDescent="0.3">
      <c r="A2315" s="5"/>
      <c r="B2315" s="157"/>
      <c r="C2315" s="158"/>
      <c r="D2315" s="161"/>
      <c r="E2315" s="162"/>
      <c r="F2315" s="163"/>
      <c r="G2315" s="164"/>
      <c r="H2315" s="165"/>
      <c r="I2315" s="164"/>
      <c r="J2315" s="165"/>
      <c r="K2315" s="164"/>
      <c r="L2315" s="165"/>
      <c r="M2315" s="6"/>
      <c r="N2315" s="32"/>
      <c r="Q2315" s="10" t="str">
        <f>+CONCATENATE(E2314,I2314)</f>
        <v>차열재마감</v>
      </c>
      <c r="R2315" s="10">
        <f>+J2314</f>
        <v>0</v>
      </c>
      <c r="S2315" s="11"/>
      <c r="T2315" s="10" t="str">
        <f>+E2314</f>
        <v>차열재마감</v>
      </c>
      <c r="U2315" s="19" t="str">
        <f>IFERROR(LEFT(I2314,FIND("*",I2314)-1),"-")</f>
        <v>-</v>
      </c>
      <c r="V2315" s="19" t="str">
        <f>IFERROR(RIGHT(I2314,LEN(I2314)-FIND("*",I2314)),"-")</f>
        <v>-</v>
      </c>
      <c r="W2315" s="20" t="str">
        <f t="shared" si="1255"/>
        <v>-</v>
      </c>
      <c r="X2315" s="20" t="str">
        <f>IFERROR(W2315*J2314,"-")</f>
        <v>-</v>
      </c>
      <c r="Z2315" s="85">
        <v>45192</v>
      </c>
    </row>
    <row r="2316" spans="1:26" ht="6.95" customHeight="1" x14ac:dyDescent="0.3">
      <c r="A2316" s="5"/>
      <c r="B2316" s="157"/>
      <c r="C2316" s="158"/>
      <c r="D2316" s="161"/>
      <c r="E2316" s="162"/>
      <c r="F2316" s="163"/>
      <c r="G2316" s="164"/>
      <c r="H2316" s="165"/>
      <c r="I2316" s="164"/>
      <c r="J2316" s="165"/>
      <c r="K2316" s="164"/>
      <c r="L2316" s="165"/>
      <c r="M2316" s="6"/>
      <c r="N2316" s="32"/>
      <c r="Q2316" s="10" t="str">
        <f>+CONCATENATE(E2314,K2314)</f>
        <v>차열재마감</v>
      </c>
      <c r="R2316" s="10">
        <f>+L2314</f>
        <v>0</v>
      </c>
      <c r="S2316" s="11"/>
      <c r="T2316" s="10" t="str">
        <f>+E2314</f>
        <v>차열재마감</v>
      </c>
      <c r="U2316" s="19" t="str">
        <f>IFERROR(LEFT(K2314,FIND("*",K2314)-1),"-")</f>
        <v>-</v>
      </c>
      <c r="V2316" s="19" t="str">
        <f>IFERROR(RIGHT(K2314,LEN(K2314)-FIND("*",K2314)),"-")</f>
        <v>-</v>
      </c>
      <c r="W2316" s="20" t="str">
        <f t="shared" si="1255"/>
        <v>-</v>
      </c>
      <c r="X2316" s="20" t="str">
        <f>IFERROR(W2316*L2314,"-")</f>
        <v>-</v>
      </c>
      <c r="Z2316" s="85">
        <v>45192</v>
      </c>
    </row>
    <row r="2317" spans="1:26" ht="6.95" customHeight="1" x14ac:dyDescent="0.3">
      <c r="A2317" s="8"/>
      <c r="B2317" s="157"/>
      <c r="C2317" s="158"/>
      <c r="D2317" s="161" t="s">
        <v>39</v>
      </c>
      <c r="E2317" s="162" t="s">
        <v>186</v>
      </c>
      <c r="F2317" s="163" t="s">
        <v>40</v>
      </c>
      <c r="G2317" s="164">
        <v>100</v>
      </c>
      <c r="H2317" s="165">
        <v>1</v>
      </c>
      <c r="I2317" s="164">
        <v>50</v>
      </c>
      <c r="J2317" s="165">
        <v>1</v>
      </c>
      <c r="K2317" s="164"/>
      <c r="L2317" s="165"/>
      <c r="M2317" s="6"/>
      <c r="N2317" s="32"/>
      <c r="Q2317" s="10" t="str">
        <f>+CONCATENATE(E2317,G2317)</f>
        <v>금속관벽체100</v>
      </c>
      <c r="R2317" s="10">
        <f>+H2317</f>
        <v>1</v>
      </c>
      <c r="S2317" s="11"/>
      <c r="T2317" s="10" t="str">
        <f>+E2317</f>
        <v>금속관벽체</v>
      </c>
      <c r="U2317" s="19" t="str">
        <f t="shared" ref="U2317" si="1258">IFERROR(LEFT(G2317,FIND("*",G2317)-1),"-")</f>
        <v>-</v>
      </c>
      <c r="V2317" s="19" t="str">
        <f t="shared" ref="V2317" si="1259">IFERROR(RIGHT(G2317,LEN(G2317)-FIND("*",G2317)),"-")</f>
        <v>-</v>
      </c>
      <c r="W2317" s="20" t="str">
        <f t="shared" si="1255"/>
        <v>-</v>
      </c>
      <c r="X2317" s="20" t="str">
        <f>IFERROR(W2317*H2317,"-")</f>
        <v>-</v>
      </c>
      <c r="Z2317" s="85">
        <v>45192</v>
      </c>
    </row>
    <row r="2318" spans="1:26" ht="6.95" customHeight="1" x14ac:dyDescent="0.3">
      <c r="A2318" s="5"/>
      <c r="B2318" s="157"/>
      <c r="C2318" s="158"/>
      <c r="D2318" s="161"/>
      <c r="E2318" s="162"/>
      <c r="F2318" s="163"/>
      <c r="G2318" s="164"/>
      <c r="H2318" s="165"/>
      <c r="I2318" s="164"/>
      <c r="J2318" s="165"/>
      <c r="K2318" s="164"/>
      <c r="L2318" s="165"/>
      <c r="M2318" s="6"/>
      <c r="N2318" s="32"/>
      <c r="Q2318" s="10" t="str">
        <f>+CONCATENATE(E2317,I2317)</f>
        <v>금속관벽체50</v>
      </c>
      <c r="R2318" s="10">
        <f>+J2317</f>
        <v>1</v>
      </c>
      <c r="S2318" s="11"/>
      <c r="T2318" s="10" t="str">
        <f>+E2317</f>
        <v>금속관벽체</v>
      </c>
      <c r="U2318" s="19" t="str">
        <f>IFERROR(LEFT(I2317,FIND("*",I2317)-1),"-")</f>
        <v>-</v>
      </c>
      <c r="V2318" s="19" t="str">
        <f>IFERROR(RIGHT(I2317,LEN(I2317)-FIND("*",I2317)),"-")</f>
        <v>-</v>
      </c>
      <c r="W2318" s="20" t="str">
        <f t="shared" si="1255"/>
        <v>-</v>
      </c>
      <c r="X2318" s="20" t="str">
        <f t="shared" ref="X2318" si="1260">IFERROR(W2318*J2317,"-")</f>
        <v>-</v>
      </c>
      <c r="Z2318" s="85">
        <v>45192</v>
      </c>
    </row>
    <row r="2319" spans="1:26" ht="6.95" customHeight="1" x14ac:dyDescent="0.3">
      <c r="A2319" s="5"/>
      <c r="B2319" s="157"/>
      <c r="C2319" s="158"/>
      <c r="D2319" s="161"/>
      <c r="E2319" s="162"/>
      <c r="F2319" s="163"/>
      <c r="G2319" s="164"/>
      <c r="H2319" s="165"/>
      <c r="I2319" s="164"/>
      <c r="J2319" s="165"/>
      <c r="K2319" s="164"/>
      <c r="L2319" s="165"/>
      <c r="M2319" s="6"/>
      <c r="N2319" s="32"/>
      <c r="Q2319" s="10" t="str">
        <f>+CONCATENATE(E2317,K2317)</f>
        <v>금속관벽체</v>
      </c>
      <c r="R2319" s="10">
        <f>+L2317</f>
        <v>0</v>
      </c>
      <c r="S2319" s="11"/>
      <c r="T2319" s="10" t="str">
        <f>+E2317</f>
        <v>금속관벽체</v>
      </c>
      <c r="U2319" s="19" t="str">
        <f>IFERROR(LEFT(K2317,FIND("*",K2317)-1),"-")</f>
        <v>-</v>
      </c>
      <c r="V2319" s="19" t="str">
        <f>IFERROR(RIGHT(K2317,LEN(K2317)-FIND("*",K2317)),"-")</f>
        <v>-</v>
      </c>
      <c r="W2319" s="20" t="str">
        <f t="shared" si="1255"/>
        <v>-</v>
      </c>
      <c r="X2319" s="20" t="str">
        <f>IFERROR(W2319*L2317,"-")</f>
        <v>-</v>
      </c>
      <c r="Z2319" s="85">
        <v>45192</v>
      </c>
    </row>
    <row r="2320" spans="1:26" ht="21" customHeight="1" thickBot="1" x14ac:dyDescent="0.35">
      <c r="A2320" s="5"/>
      <c r="B2320" s="159"/>
      <c r="C2320" s="160"/>
      <c r="D2320" s="166" t="s">
        <v>43</v>
      </c>
      <c r="E2320" s="167"/>
      <c r="F2320" s="167"/>
      <c r="G2320" s="168" t="s">
        <v>208</v>
      </c>
      <c r="H2320" s="168"/>
      <c r="I2320" s="168"/>
      <c r="J2320" s="168"/>
      <c r="K2320" s="168"/>
      <c r="L2320" s="168"/>
      <c r="M2320" s="7"/>
      <c r="N2320" s="32"/>
      <c r="Z2320" s="85">
        <v>45192</v>
      </c>
    </row>
    <row r="2321" spans="1:26" ht="9.9499999999999993" customHeight="1" thickBot="1" x14ac:dyDescent="0.35">
      <c r="B2321" s="9"/>
      <c r="C2321" s="109">
        <v>1010</v>
      </c>
      <c r="D2321" s="51"/>
      <c r="E2321" s="12"/>
      <c r="F2321" s="51"/>
      <c r="G2321" s="14"/>
      <c r="H2321" s="14"/>
      <c r="I2321" s="14"/>
      <c r="J2321" s="14"/>
      <c r="K2321" s="14"/>
      <c r="L2321" s="14"/>
      <c r="M2321" s="9"/>
      <c r="N2321" s="32"/>
      <c r="U2321" s="18"/>
      <c r="V2321" s="18"/>
      <c r="Z2321" s="85">
        <v>45192</v>
      </c>
    </row>
    <row r="2322" spans="1:26" ht="6.95" customHeight="1" x14ac:dyDescent="0.3">
      <c r="A2322" s="154">
        <f>+A2311+1</f>
        <v>1011</v>
      </c>
      <c r="B2322" s="155"/>
      <c r="C2322" s="156"/>
      <c r="D2322" s="161" t="s">
        <v>39</v>
      </c>
      <c r="E2322" s="162" t="s">
        <v>186</v>
      </c>
      <c r="F2322" s="163" t="s">
        <v>40</v>
      </c>
      <c r="G2322" s="164">
        <v>100</v>
      </c>
      <c r="H2322" s="165">
        <v>1</v>
      </c>
      <c r="I2322" s="164">
        <v>50</v>
      </c>
      <c r="J2322" s="165">
        <v>1</v>
      </c>
      <c r="K2322" s="164"/>
      <c r="L2322" s="165"/>
      <c r="M2322" s="6"/>
      <c r="N2322" s="32"/>
      <c r="Q2322" s="10" t="str">
        <f>+CONCATENATE(E2322,G2322)</f>
        <v>금속관벽체100</v>
      </c>
      <c r="R2322" s="10">
        <f>+H2322</f>
        <v>1</v>
      </c>
      <c r="S2322" s="11"/>
      <c r="T2322" s="10" t="str">
        <f>+E2322</f>
        <v>금속관벽체</v>
      </c>
      <c r="U2322" s="19" t="str">
        <f>IFERROR(LEFT(G2322,FIND("*",G2322)-1),"-")</f>
        <v>-</v>
      </c>
      <c r="V2322" s="19" t="str">
        <f>IFERROR(RIGHT(G2322,LEN(G2322)-FIND("*",G2322)),"-")</f>
        <v>-</v>
      </c>
      <c r="W2322" s="20" t="str">
        <f>IFERROR((U2322+V2322)*2/1000,"-")</f>
        <v>-</v>
      </c>
      <c r="X2322" s="20" t="str">
        <f>IFERROR(W2322*H2322,"-")</f>
        <v>-</v>
      </c>
      <c r="Z2322" s="85">
        <v>45192</v>
      </c>
    </row>
    <row r="2323" spans="1:26" ht="6.95" customHeight="1" x14ac:dyDescent="0.3">
      <c r="A2323" s="154"/>
      <c r="B2323" s="157"/>
      <c r="C2323" s="158"/>
      <c r="D2323" s="161"/>
      <c r="E2323" s="162"/>
      <c r="F2323" s="163"/>
      <c r="G2323" s="164"/>
      <c r="H2323" s="165"/>
      <c r="I2323" s="164"/>
      <c r="J2323" s="165"/>
      <c r="K2323" s="164"/>
      <c r="L2323" s="165"/>
      <c r="M2323" s="6"/>
      <c r="N2323" s="32"/>
      <c r="Q2323" s="10" t="str">
        <f>+CONCATENATE(E2322,I2322)</f>
        <v>금속관벽체50</v>
      </c>
      <c r="R2323" s="10">
        <f>+J2322</f>
        <v>1</v>
      </c>
      <c r="S2323" s="11"/>
      <c r="T2323" s="10" t="str">
        <f>+E2322</f>
        <v>금속관벽체</v>
      </c>
      <c r="U2323" s="19" t="str">
        <f>IFERROR(LEFT(I2322,FIND("*",I2322)-1),"-")</f>
        <v>-</v>
      </c>
      <c r="V2323" s="19" t="str">
        <f>IFERROR(RIGHT(I2322,LEN(I2322)-FIND("*",I2322)),"-")</f>
        <v>-</v>
      </c>
      <c r="W2323" s="20" t="str">
        <f t="shared" ref="W2323:W2330" si="1261">IFERROR((U2323+V2323)*2/1000,"-")</f>
        <v>-</v>
      </c>
      <c r="X2323" s="20" t="str">
        <f>IFERROR(W2323*J2322,"-")</f>
        <v>-</v>
      </c>
      <c r="Z2323" s="85">
        <v>45192</v>
      </c>
    </row>
    <row r="2324" spans="1:26" ht="6.95" customHeight="1" x14ac:dyDescent="0.3">
      <c r="A2324" s="154"/>
      <c r="B2324" s="157"/>
      <c r="C2324" s="158"/>
      <c r="D2324" s="161"/>
      <c r="E2324" s="162"/>
      <c r="F2324" s="163"/>
      <c r="G2324" s="164"/>
      <c r="H2324" s="165"/>
      <c r="I2324" s="164"/>
      <c r="J2324" s="165"/>
      <c r="K2324" s="164"/>
      <c r="L2324" s="165"/>
      <c r="M2324" s="6"/>
      <c r="N2324" s="32"/>
      <c r="Q2324" s="10" t="str">
        <f>+CONCATENATE(E2322,K2322)</f>
        <v>금속관벽체</v>
      </c>
      <c r="R2324" s="10">
        <f>+L2322</f>
        <v>0</v>
      </c>
      <c r="S2324" s="11"/>
      <c r="T2324" s="10" t="str">
        <f>+E2322</f>
        <v>금속관벽체</v>
      </c>
      <c r="U2324" s="19" t="str">
        <f>IFERROR(LEFT(K2322,FIND("*",K2322)-1),"-")</f>
        <v>-</v>
      </c>
      <c r="V2324" s="19" t="str">
        <f>IFERROR(RIGHT(K2322,LEN(K2322)-FIND("*",K2322)),"-")</f>
        <v>-</v>
      </c>
      <c r="W2324" s="20" t="str">
        <f t="shared" si="1261"/>
        <v>-</v>
      </c>
      <c r="X2324" s="20" t="str">
        <f>IFERROR(W2324*L2322,"-")</f>
        <v>-</v>
      </c>
      <c r="Z2324" s="85">
        <v>45192</v>
      </c>
    </row>
    <row r="2325" spans="1:26" ht="6.95" customHeight="1" x14ac:dyDescent="0.3">
      <c r="A2325" s="8"/>
      <c r="B2325" s="157"/>
      <c r="C2325" s="158"/>
      <c r="D2325" s="161" t="s">
        <v>39</v>
      </c>
      <c r="E2325" s="162"/>
      <c r="F2325" s="163" t="s">
        <v>40</v>
      </c>
      <c r="G2325" s="164"/>
      <c r="H2325" s="165"/>
      <c r="I2325" s="164"/>
      <c r="J2325" s="165"/>
      <c r="K2325" s="164"/>
      <c r="L2325" s="165"/>
      <c r="M2325" s="6"/>
      <c r="N2325" s="32"/>
      <c r="Q2325" s="10" t="str">
        <f>+CONCATENATE(E2325,G2325)</f>
        <v/>
      </c>
      <c r="R2325" s="10">
        <f>+H2325</f>
        <v>0</v>
      </c>
      <c r="S2325" s="11"/>
      <c r="T2325" s="10">
        <f>+E2325</f>
        <v>0</v>
      </c>
      <c r="U2325" s="19" t="str">
        <f t="shared" ref="U2325" si="1262">IFERROR(LEFT(G2325,FIND("*",G2325)-1),"-")</f>
        <v>-</v>
      </c>
      <c r="V2325" s="19" t="str">
        <f t="shared" ref="V2325" si="1263">IFERROR(RIGHT(G2325,LEN(G2325)-FIND("*",G2325)),"-")</f>
        <v>-</v>
      </c>
      <c r="W2325" s="20" t="str">
        <f t="shared" si="1261"/>
        <v>-</v>
      </c>
      <c r="X2325" s="20" t="str">
        <f>IFERROR(W2325*H2325,"-")</f>
        <v>-</v>
      </c>
      <c r="Z2325" s="85">
        <v>45192</v>
      </c>
    </row>
    <row r="2326" spans="1:26" ht="6.95" customHeight="1" x14ac:dyDescent="0.3">
      <c r="A2326" s="5"/>
      <c r="B2326" s="157"/>
      <c r="C2326" s="158"/>
      <c r="D2326" s="161"/>
      <c r="E2326" s="162"/>
      <c r="F2326" s="163"/>
      <c r="G2326" s="164"/>
      <c r="H2326" s="165"/>
      <c r="I2326" s="164"/>
      <c r="J2326" s="165"/>
      <c r="K2326" s="164"/>
      <c r="L2326" s="165"/>
      <c r="M2326" s="6"/>
      <c r="N2326" s="32"/>
      <c r="Q2326" s="10" t="str">
        <f>+CONCATENATE(E2325,I2325)</f>
        <v/>
      </c>
      <c r="R2326" s="10">
        <f>+J2325</f>
        <v>0</v>
      </c>
      <c r="S2326" s="11"/>
      <c r="T2326" s="10">
        <f>+E2325</f>
        <v>0</v>
      </c>
      <c r="U2326" s="19" t="str">
        <f>IFERROR(LEFT(I2325,FIND("*",I2325)-1),"-")</f>
        <v>-</v>
      </c>
      <c r="V2326" s="19" t="str">
        <f>IFERROR(RIGHT(I2325,LEN(I2325)-FIND("*",I2325)),"-")</f>
        <v>-</v>
      </c>
      <c r="W2326" s="20" t="str">
        <f t="shared" si="1261"/>
        <v>-</v>
      </c>
      <c r="X2326" s="20" t="str">
        <f>IFERROR(W2326*J2325,"-")</f>
        <v>-</v>
      </c>
      <c r="Z2326" s="85">
        <v>45192</v>
      </c>
    </row>
    <row r="2327" spans="1:26" ht="6.95" customHeight="1" x14ac:dyDescent="0.3">
      <c r="A2327" s="5"/>
      <c r="B2327" s="157"/>
      <c r="C2327" s="158"/>
      <c r="D2327" s="161"/>
      <c r="E2327" s="162"/>
      <c r="F2327" s="163"/>
      <c r="G2327" s="164"/>
      <c r="H2327" s="165"/>
      <c r="I2327" s="164"/>
      <c r="J2327" s="165"/>
      <c r="K2327" s="164"/>
      <c r="L2327" s="165"/>
      <c r="M2327" s="6"/>
      <c r="N2327" s="32"/>
      <c r="Q2327" s="10" t="str">
        <f>+CONCATENATE(E2325,K2325)</f>
        <v/>
      </c>
      <c r="R2327" s="10">
        <f>+L2325</f>
        <v>0</v>
      </c>
      <c r="S2327" s="11"/>
      <c r="T2327" s="10">
        <f>+E2325</f>
        <v>0</v>
      </c>
      <c r="U2327" s="19" t="str">
        <f>IFERROR(LEFT(K2325,FIND("*",K2325)-1),"-")</f>
        <v>-</v>
      </c>
      <c r="V2327" s="19" t="str">
        <f>IFERROR(RIGHT(K2325,LEN(K2325)-FIND("*",K2325)),"-")</f>
        <v>-</v>
      </c>
      <c r="W2327" s="20" t="str">
        <f t="shared" si="1261"/>
        <v>-</v>
      </c>
      <c r="X2327" s="20" t="str">
        <f>IFERROR(W2327*L2325,"-")</f>
        <v>-</v>
      </c>
      <c r="Z2327" s="85">
        <v>45192</v>
      </c>
    </row>
    <row r="2328" spans="1:26" ht="6.95" customHeight="1" x14ac:dyDescent="0.3">
      <c r="A2328" s="8"/>
      <c r="B2328" s="157"/>
      <c r="C2328" s="158"/>
      <c r="D2328" s="161" t="s">
        <v>39</v>
      </c>
      <c r="E2328" s="162"/>
      <c r="F2328" s="163" t="s">
        <v>40</v>
      </c>
      <c r="G2328" s="164"/>
      <c r="H2328" s="165"/>
      <c r="I2328" s="164"/>
      <c r="J2328" s="165"/>
      <c r="K2328" s="164"/>
      <c r="L2328" s="165"/>
      <c r="M2328" s="6"/>
      <c r="N2328" s="32"/>
      <c r="Q2328" s="10" t="str">
        <f>+CONCATENATE(E2328,G2328)</f>
        <v/>
      </c>
      <c r="R2328" s="10">
        <f>+H2328</f>
        <v>0</v>
      </c>
      <c r="S2328" s="11"/>
      <c r="T2328" s="10">
        <f>+E2328</f>
        <v>0</v>
      </c>
      <c r="U2328" s="19" t="str">
        <f t="shared" ref="U2328" si="1264">IFERROR(LEFT(G2328,FIND("*",G2328)-1),"-")</f>
        <v>-</v>
      </c>
      <c r="V2328" s="19" t="str">
        <f t="shared" ref="V2328" si="1265">IFERROR(RIGHT(G2328,LEN(G2328)-FIND("*",G2328)),"-")</f>
        <v>-</v>
      </c>
      <c r="W2328" s="20" t="str">
        <f t="shared" si="1261"/>
        <v>-</v>
      </c>
      <c r="X2328" s="20" t="str">
        <f>IFERROR(W2328*H2328,"-")</f>
        <v>-</v>
      </c>
      <c r="Z2328" s="85">
        <v>45192</v>
      </c>
    </row>
    <row r="2329" spans="1:26" ht="6.95" customHeight="1" x14ac:dyDescent="0.3">
      <c r="A2329" s="5"/>
      <c r="B2329" s="157"/>
      <c r="C2329" s="158"/>
      <c r="D2329" s="161"/>
      <c r="E2329" s="162"/>
      <c r="F2329" s="163"/>
      <c r="G2329" s="164"/>
      <c r="H2329" s="165"/>
      <c r="I2329" s="164"/>
      <c r="J2329" s="165"/>
      <c r="K2329" s="164"/>
      <c r="L2329" s="165"/>
      <c r="M2329" s="6"/>
      <c r="N2329" s="32"/>
      <c r="Q2329" s="10" t="str">
        <f>+CONCATENATE(E2328,I2328)</f>
        <v/>
      </c>
      <c r="R2329" s="10">
        <f>+J2328</f>
        <v>0</v>
      </c>
      <c r="S2329" s="11"/>
      <c r="T2329" s="10">
        <f>+E2328</f>
        <v>0</v>
      </c>
      <c r="U2329" s="19" t="str">
        <f>IFERROR(LEFT(I2328,FIND("*",I2328)-1),"-")</f>
        <v>-</v>
      </c>
      <c r="V2329" s="19" t="str">
        <f>IFERROR(RIGHT(I2328,LEN(I2328)-FIND("*",I2328)),"-")</f>
        <v>-</v>
      </c>
      <c r="W2329" s="20" t="str">
        <f t="shared" si="1261"/>
        <v>-</v>
      </c>
      <c r="X2329" s="20" t="str">
        <f t="shared" ref="X2329" si="1266">IFERROR(W2329*J2328,"-")</f>
        <v>-</v>
      </c>
      <c r="Z2329" s="85">
        <v>45192</v>
      </c>
    </row>
    <row r="2330" spans="1:26" ht="6.95" customHeight="1" x14ac:dyDescent="0.3">
      <c r="A2330" s="5"/>
      <c r="B2330" s="157"/>
      <c r="C2330" s="158"/>
      <c r="D2330" s="161"/>
      <c r="E2330" s="162"/>
      <c r="F2330" s="163"/>
      <c r="G2330" s="164"/>
      <c r="H2330" s="165"/>
      <c r="I2330" s="164"/>
      <c r="J2330" s="165"/>
      <c r="K2330" s="164"/>
      <c r="L2330" s="165"/>
      <c r="M2330" s="6"/>
      <c r="N2330" s="32"/>
      <c r="Q2330" s="10" t="str">
        <f>+CONCATENATE(E2328,K2328)</f>
        <v/>
      </c>
      <c r="R2330" s="10">
        <f>+L2328</f>
        <v>0</v>
      </c>
      <c r="S2330" s="11"/>
      <c r="T2330" s="10">
        <f>+E2328</f>
        <v>0</v>
      </c>
      <c r="U2330" s="19" t="str">
        <f>IFERROR(LEFT(K2328,FIND("*",K2328)-1),"-")</f>
        <v>-</v>
      </c>
      <c r="V2330" s="19" t="str">
        <f>IFERROR(RIGHT(K2328,LEN(K2328)-FIND("*",K2328)),"-")</f>
        <v>-</v>
      </c>
      <c r="W2330" s="20" t="str">
        <f t="shared" si="1261"/>
        <v>-</v>
      </c>
      <c r="X2330" s="20" t="str">
        <f>IFERROR(W2330*L2328,"-")</f>
        <v>-</v>
      </c>
      <c r="Z2330" s="85">
        <v>45192</v>
      </c>
    </row>
    <row r="2331" spans="1:26" ht="21" customHeight="1" thickBot="1" x14ac:dyDescent="0.35">
      <c r="A2331" s="5"/>
      <c r="B2331" s="159"/>
      <c r="C2331" s="160"/>
      <c r="D2331" s="166" t="s">
        <v>43</v>
      </c>
      <c r="E2331" s="167"/>
      <c r="F2331" s="167"/>
      <c r="G2331" s="168" t="s">
        <v>208</v>
      </c>
      <c r="H2331" s="168"/>
      <c r="I2331" s="168"/>
      <c r="J2331" s="168"/>
      <c r="K2331" s="168"/>
      <c r="L2331" s="168"/>
      <c r="M2331" s="7"/>
      <c r="N2331" s="32"/>
      <c r="Z2331" s="85">
        <v>45192</v>
      </c>
    </row>
    <row r="2332" spans="1:26" ht="9.9499999999999993" customHeight="1" thickBot="1" x14ac:dyDescent="0.35">
      <c r="B2332" s="9"/>
      <c r="C2332" s="109">
        <v>1011</v>
      </c>
      <c r="D2332" s="51"/>
      <c r="E2332" s="12"/>
      <c r="F2332" s="51"/>
      <c r="G2332" s="14"/>
      <c r="H2332" s="14"/>
      <c r="I2332" s="14"/>
      <c r="J2332" s="14"/>
      <c r="K2332" s="14"/>
      <c r="L2332" s="14"/>
      <c r="M2332" s="9"/>
      <c r="N2332" s="32"/>
      <c r="U2332" s="18"/>
      <c r="V2332" s="18"/>
      <c r="Z2332" s="85">
        <v>45192</v>
      </c>
    </row>
    <row r="2333" spans="1:26" ht="6.95" customHeight="1" x14ac:dyDescent="0.3">
      <c r="A2333" s="154">
        <f>+A2322+1</f>
        <v>1012</v>
      </c>
      <c r="B2333" s="155"/>
      <c r="C2333" s="156"/>
      <c r="D2333" s="161" t="s">
        <v>39</v>
      </c>
      <c r="E2333" s="162" t="s">
        <v>111</v>
      </c>
      <c r="F2333" s="163" t="s">
        <v>40</v>
      </c>
      <c r="G2333" s="164" t="s">
        <v>235</v>
      </c>
      <c r="H2333" s="165">
        <v>1</v>
      </c>
      <c r="I2333" s="164"/>
      <c r="J2333" s="165"/>
      <c r="K2333" s="164"/>
      <c r="L2333" s="165"/>
      <c r="M2333" s="6"/>
      <c r="N2333" s="32"/>
      <c r="Q2333" s="10" t="str">
        <f>+CONCATENATE(E2333,G2333)</f>
        <v>보온덕트벽체1000*400</v>
      </c>
      <c r="R2333" s="10">
        <f>+H2333</f>
        <v>1</v>
      </c>
      <c r="S2333" s="11"/>
      <c r="T2333" s="10" t="str">
        <f>+E2333</f>
        <v>보온덕트벽체</v>
      </c>
      <c r="U2333" s="19" t="str">
        <f>IFERROR(LEFT(G2333,FIND("*",G2333)-1),"-")</f>
        <v>1000</v>
      </c>
      <c r="V2333" s="19" t="str">
        <f>IFERROR(RIGHT(G2333,LEN(G2333)-FIND("*",G2333)),"-")</f>
        <v>400</v>
      </c>
      <c r="W2333" s="20">
        <f>IFERROR((U2333+V2333)*2/1000,"-")</f>
        <v>2.8</v>
      </c>
      <c r="X2333" s="20">
        <f>IFERROR(W2333*H2333,"-")</f>
        <v>2.8</v>
      </c>
      <c r="Z2333" s="85">
        <v>45192</v>
      </c>
    </row>
    <row r="2334" spans="1:26" ht="6.95" customHeight="1" x14ac:dyDescent="0.3">
      <c r="A2334" s="154"/>
      <c r="B2334" s="157"/>
      <c r="C2334" s="158"/>
      <c r="D2334" s="161"/>
      <c r="E2334" s="162"/>
      <c r="F2334" s="163"/>
      <c r="G2334" s="164"/>
      <c r="H2334" s="165"/>
      <c r="I2334" s="164"/>
      <c r="J2334" s="165"/>
      <c r="K2334" s="164"/>
      <c r="L2334" s="165"/>
      <c r="M2334" s="6"/>
      <c r="N2334" s="32"/>
      <c r="Q2334" s="10" t="str">
        <f>+CONCATENATE(E2333,I2333)</f>
        <v>보온덕트벽체</v>
      </c>
      <c r="R2334" s="10">
        <f>+J2333</f>
        <v>0</v>
      </c>
      <c r="S2334" s="11"/>
      <c r="T2334" s="10" t="str">
        <f>+E2333</f>
        <v>보온덕트벽체</v>
      </c>
      <c r="U2334" s="19" t="str">
        <f>IFERROR(LEFT(I2333,FIND("*",I2333)-1),"-")</f>
        <v>-</v>
      </c>
      <c r="V2334" s="19" t="str">
        <f>IFERROR(RIGHT(I2333,LEN(I2333)-FIND("*",I2333)),"-")</f>
        <v>-</v>
      </c>
      <c r="W2334" s="20" t="str">
        <f t="shared" ref="W2334:W2341" si="1267">IFERROR((U2334+V2334)*2/1000,"-")</f>
        <v>-</v>
      </c>
      <c r="X2334" s="20" t="str">
        <f>IFERROR(W2334*J2333,"-")</f>
        <v>-</v>
      </c>
      <c r="Z2334" s="85">
        <v>45192</v>
      </c>
    </row>
    <row r="2335" spans="1:26" ht="6.95" customHeight="1" x14ac:dyDescent="0.3">
      <c r="A2335" s="154"/>
      <c r="B2335" s="157"/>
      <c r="C2335" s="158"/>
      <c r="D2335" s="161"/>
      <c r="E2335" s="162"/>
      <c r="F2335" s="163"/>
      <c r="G2335" s="164"/>
      <c r="H2335" s="165"/>
      <c r="I2335" s="164"/>
      <c r="J2335" s="165"/>
      <c r="K2335" s="164"/>
      <c r="L2335" s="165"/>
      <c r="M2335" s="6"/>
      <c r="N2335" s="32"/>
      <c r="Q2335" s="10" t="str">
        <f>+CONCATENATE(E2333,K2333)</f>
        <v>보온덕트벽체</v>
      </c>
      <c r="R2335" s="10">
        <f>+L2333</f>
        <v>0</v>
      </c>
      <c r="S2335" s="11"/>
      <c r="T2335" s="10" t="str">
        <f>+E2333</f>
        <v>보온덕트벽체</v>
      </c>
      <c r="U2335" s="19" t="str">
        <f>IFERROR(LEFT(K2333,FIND("*",K2333)-1),"-")</f>
        <v>-</v>
      </c>
      <c r="V2335" s="19" t="str">
        <f>IFERROR(RIGHT(K2333,LEN(K2333)-FIND("*",K2333)),"-")</f>
        <v>-</v>
      </c>
      <c r="W2335" s="20" t="str">
        <f t="shared" si="1267"/>
        <v>-</v>
      </c>
      <c r="X2335" s="20" t="str">
        <f>IFERROR(W2335*L2333,"-")</f>
        <v>-</v>
      </c>
      <c r="Z2335" s="85">
        <v>45192</v>
      </c>
    </row>
    <row r="2336" spans="1:26" ht="6.95" customHeight="1" x14ac:dyDescent="0.3">
      <c r="A2336" s="8"/>
      <c r="B2336" s="157"/>
      <c r="C2336" s="158"/>
      <c r="D2336" s="161" t="s">
        <v>39</v>
      </c>
      <c r="E2336" s="162" t="s">
        <v>188</v>
      </c>
      <c r="F2336" s="163" t="s">
        <v>40</v>
      </c>
      <c r="G2336" s="164" t="s">
        <v>235</v>
      </c>
      <c r="H2336" s="165">
        <v>2</v>
      </c>
      <c r="I2336" s="164"/>
      <c r="J2336" s="165"/>
      <c r="K2336" s="164"/>
      <c r="L2336" s="165"/>
      <c r="M2336" s="6"/>
      <c r="N2336" s="32"/>
      <c r="Q2336" s="10" t="str">
        <f>+CONCATENATE(E2336,G2336)</f>
        <v>차열재마감1000*400</v>
      </c>
      <c r="R2336" s="10">
        <f>+H2336</f>
        <v>2</v>
      </c>
      <c r="S2336" s="11"/>
      <c r="T2336" s="10" t="str">
        <f>+E2336</f>
        <v>차열재마감</v>
      </c>
      <c r="U2336" s="19" t="str">
        <f t="shared" ref="U2336" si="1268">IFERROR(LEFT(G2336,FIND("*",G2336)-1),"-")</f>
        <v>1000</v>
      </c>
      <c r="V2336" s="19" t="str">
        <f t="shared" ref="V2336" si="1269">IFERROR(RIGHT(G2336,LEN(G2336)-FIND("*",G2336)),"-")</f>
        <v>400</v>
      </c>
      <c r="W2336" s="20">
        <f t="shared" si="1267"/>
        <v>2.8</v>
      </c>
      <c r="X2336" s="20">
        <f>IFERROR(W2336*H2336,"-")</f>
        <v>5.6</v>
      </c>
      <c r="Z2336" s="85">
        <v>45192</v>
      </c>
    </row>
    <row r="2337" spans="1:26" ht="6.95" customHeight="1" x14ac:dyDescent="0.3">
      <c r="A2337" s="5"/>
      <c r="B2337" s="157"/>
      <c r="C2337" s="158"/>
      <c r="D2337" s="161"/>
      <c r="E2337" s="162"/>
      <c r="F2337" s="163"/>
      <c r="G2337" s="164"/>
      <c r="H2337" s="165"/>
      <c r="I2337" s="164"/>
      <c r="J2337" s="165"/>
      <c r="K2337" s="164"/>
      <c r="L2337" s="165"/>
      <c r="M2337" s="6"/>
      <c r="N2337" s="32"/>
      <c r="Q2337" s="10" t="str">
        <f>+CONCATENATE(E2336,I2336)</f>
        <v>차열재마감</v>
      </c>
      <c r="R2337" s="10">
        <f>+J2336</f>
        <v>0</v>
      </c>
      <c r="S2337" s="11"/>
      <c r="T2337" s="10" t="str">
        <f>+E2336</f>
        <v>차열재마감</v>
      </c>
      <c r="U2337" s="19" t="str">
        <f>IFERROR(LEFT(I2336,FIND("*",I2336)-1),"-")</f>
        <v>-</v>
      </c>
      <c r="V2337" s="19" t="str">
        <f>IFERROR(RIGHT(I2336,LEN(I2336)-FIND("*",I2336)),"-")</f>
        <v>-</v>
      </c>
      <c r="W2337" s="20" t="str">
        <f t="shared" si="1267"/>
        <v>-</v>
      </c>
      <c r="X2337" s="20" t="str">
        <f>IFERROR(W2337*J2336,"-")</f>
        <v>-</v>
      </c>
      <c r="Z2337" s="85">
        <v>45192</v>
      </c>
    </row>
    <row r="2338" spans="1:26" ht="6.95" customHeight="1" x14ac:dyDescent="0.3">
      <c r="A2338" s="5"/>
      <c r="B2338" s="157"/>
      <c r="C2338" s="158"/>
      <c r="D2338" s="161"/>
      <c r="E2338" s="162"/>
      <c r="F2338" s="163"/>
      <c r="G2338" s="164"/>
      <c r="H2338" s="165"/>
      <c r="I2338" s="164"/>
      <c r="J2338" s="165"/>
      <c r="K2338" s="164"/>
      <c r="L2338" s="165"/>
      <c r="M2338" s="6"/>
      <c r="N2338" s="32"/>
      <c r="Q2338" s="10" t="str">
        <f>+CONCATENATE(E2336,K2336)</f>
        <v>차열재마감</v>
      </c>
      <c r="R2338" s="10">
        <f>+L2336</f>
        <v>0</v>
      </c>
      <c r="S2338" s="11"/>
      <c r="T2338" s="10" t="str">
        <f>+E2336</f>
        <v>차열재마감</v>
      </c>
      <c r="U2338" s="19" t="str">
        <f>IFERROR(LEFT(K2336,FIND("*",K2336)-1),"-")</f>
        <v>-</v>
      </c>
      <c r="V2338" s="19" t="str">
        <f>IFERROR(RIGHT(K2336,LEN(K2336)-FIND("*",K2336)),"-")</f>
        <v>-</v>
      </c>
      <c r="W2338" s="20" t="str">
        <f t="shared" si="1267"/>
        <v>-</v>
      </c>
      <c r="X2338" s="20" t="str">
        <f>IFERROR(W2338*L2336,"-")</f>
        <v>-</v>
      </c>
      <c r="Z2338" s="85">
        <v>45192</v>
      </c>
    </row>
    <row r="2339" spans="1:26" ht="6.95" customHeight="1" x14ac:dyDescent="0.3">
      <c r="A2339" s="8"/>
      <c r="B2339" s="157"/>
      <c r="C2339" s="158"/>
      <c r="D2339" s="161" t="s">
        <v>39</v>
      </c>
      <c r="E2339" s="162" t="s">
        <v>186</v>
      </c>
      <c r="F2339" s="163" t="s">
        <v>40</v>
      </c>
      <c r="G2339" s="164">
        <v>100</v>
      </c>
      <c r="H2339" s="165">
        <v>1</v>
      </c>
      <c r="I2339" s="164">
        <v>50</v>
      </c>
      <c r="J2339" s="165">
        <v>3</v>
      </c>
      <c r="K2339" s="164"/>
      <c r="L2339" s="165"/>
      <c r="M2339" s="6"/>
      <c r="N2339" s="32"/>
      <c r="Q2339" s="10" t="str">
        <f>+CONCATENATE(E2339,G2339)</f>
        <v>금속관벽체100</v>
      </c>
      <c r="R2339" s="10">
        <f>+H2339</f>
        <v>1</v>
      </c>
      <c r="S2339" s="11"/>
      <c r="T2339" s="10" t="str">
        <f>+E2339</f>
        <v>금속관벽체</v>
      </c>
      <c r="U2339" s="19" t="str">
        <f t="shared" ref="U2339" si="1270">IFERROR(LEFT(G2339,FIND("*",G2339)-1),"-")</f>
        <v>-</v>
      </c>
      <c r="V2339" s="19" t="str">
        <f t="shared" ref="V2339" si="1271">IFERROR(RIGHT(G2339,LEN(G2339)-FIND("*",G2339)),"-")</f>
        <v>-</v>
      </c>
      <c r="W2339" s="20" t="str">
        <f t="shared" si="1267"/>
        <v>-</v>
      </c>
      <c r="X2339" s="20" t="str">
        <f>IFERROR(W2339*H2339,"-")</f>
        <v>-</v>
      </c>
      <c r="Z2339" s="85">
        <v>45192</v>
      </c>
    </row>
    <row r="2340" spans="1:26" ht="6.95" customHeight="1" x14ac:dyDescent="0.3">
      <c r="A2340" s="5"/>
      <c r="B2340" s="157"/>
      <c r="C2340" s="158"/>
      <c r="D2340" s="161"/>
      <c r="E2340" s="162"/>
      <c r="F2340" s="163"/>
      <c r="G2340" s="164"/>
      <c r="H2340" s="165"/>
      <c r="I2340" s="164"/>
      <c r="J2340" s="165"/>
      <c r="K2340" s="164"/>
      <c r="L2340" s="165"/>
      <c r="M2340" s="6"/>
      <c r="N2340" s="32"/>
      <c r="Q2340" s="10" t="str">
        <f>+CONCATENATE(E2339,I2339)</f>
        <v>금속관벽체50</v>
      </c>
      <c r="R2340" s="10">
        <f>+J2339</f>
        <v>3</v>
      </c>
      <c r="S2340" s="11"/>
      <c r="T2340" s="10" t="str">
        <f>+E2339</f>
        <v>금속관벽체</v>
      </c>
      <c r="U2340" s="19" t="str">
        <f>IFERROR(LEFT(I2339,FIND("*",I2339)-1),"-")</f>
        <v>-</v>
      </c>
      <c r="V2340" s="19" t="str">
        <f>IFERROR(RIGHT(I2339,LEN(I2339)-FIND("*",I2339)),"-")</f>
        <v>-</v>
      </c>
      <c r="W2340" s="20" t="str">
        <f t="shared" si="1267"/>
        <v>-</v>
      </c>
      <c r="X2340" s="20" t="str">
        <f t="shared" ref="X2340" si="1272">IFERROR(W2340*J2339,"-")</f>
        <v>-</v>
      </c>
      <c r="Z2340" s="85">
        <v>45192</v>
      </c>
    </row>
    <row r="2341" spans="1:26" ht="6.95" customHeight="1" x14ac:dyDescent="0.3">
      <c r="A2341" s="5"/>
      <c r="B2341" s="157"/>
      <c r="C2341" s="158"/>
      <c r="D2341" s="161"/>
      <c r="E2341" s="162"/>
      <c r="F2341" s="163"/>
      <c r="G2341" s="164"/>
      <c r="H2341" s="165"/>
      <c r="I2341" s="164"/>
      <c r="J2341" s="165"/>
      <c r="K2341" s="164"/>
      <c r="L2341" s="165"/>
      <c r="M2341" s="6"/>
      <c r="N2341" s="32"/>
      <c r="Q2341" s="10" t="str">
        <f>+CONCATENATE(E2339,K2339)</f>
        <v>금속관벽체</v>
      </c>
      <c r="R2341" s="10">
        <f>+L2339</f>
        <v>0</v>
      </c>
      <c r="S2341" s="11"/>
      <c r="T2341" s="10" t="str">
        <f>+E2339</f>
        <v>금속관벽체</v>
      </c>
      <c r="U2341" s="19" t="str">
        <f>IFERROR(LEFT(K2339,FIND("*",K2339)-1),"-")</f>
        <v>-</v>
      </c>
      <c r="V2341" s="19" t="str">
        <f>IFERROR(RIGHT(K2339,LEN(K2339)-FIND("*",K2339)),"-")</f>
        <v>-</v>
      </c>
      <c r="W2341" s="20" t="str">
        <f t="shared" si="1267"/>
        <v>-</v>
      </c>
      <c r="X2341" s="20" t="str">
        <f>IFERROR(W2341*L2339,"-")</f>
        <v>-</v>
      </c>
      <c r="Z2341" s="85">
        <v>45192</v>
      </c>
    </row>
    <row r="2342" spans="1:26" ht="21" customHeight="1" thickBot="1" x14ac:dyDescent="0.35">
      <c r="A2342" s="5"/>
      <c r="B2342" s="159"/>
      <c r="C2342" s="160"/>
      <c r="D2342" s="166" t="s">
        <v>43</v>
      </c>
      <c r="E2342" s="167"/>
      <c r="F2342" s="167"/>
      <c r="G2342" s="168" t="s">
        <v>208</v>
      </c>
      <c r="H2342" s="168"/>
      <c r="I2342" s="168"/>
      <c r="J2342" s="168"/>
      <c r="K2342" s="168"/>
      <c r="L2342" s="168"/>
      <c r="M2342" s="7"/>
      <c r="N2342" s="32"/>
      <c r="Z2342" s="85">
        <v>45192</v>
      </c>
    </row>
    <row r="2343" spans="1:26" ht="9.9499999999999993" customHeight="1" thickBot="1" x14ac:dyDescent="0.35">
      <c r="B2343" s="9"/>
      <c r="C2343" s="109">
        <v>1012</v>
      </c>
      <c r="D2343" s="51"/>
      <c r="E2343" s="12"/>
      <c r="F2343" s="51"/>
      <c r="G2343" s="14"/>
      <c r="H2343" s="14"/>
      <c r="I2343" s="14"/>
      <c r="J2343" s="14"/>
      <c r="K2343" s="14"/>
      <c r="L2343" s="14"/>
      <c r="M2343" s="9"/>
      <c r="N2343" s="32"/>
      <c r="U2343" s="18"/>
      <c r="V2343" s="18"/>
      <c r="Z2343" s="85">
        <v>45192</v>
      </c>
    </row>
    <row r="2344" spans="1:26" ht="6.95" customHeight="1" x14ac:dyDescent="0.3">
      <c r="A2344" s="154">
        <f>+A2333+1</f>
        <v>1013</v>
      </c>
      <c r="B2344" s="155"/>
      <c r="C2344" s="156"/>
      <c r="D2344" s="161" t="s">
        <v>39</v>
      </c>
      <c r="E2344" s="162" t="s">
        <v>115</v>
      </c>
      <c r="F2344" s="163" t="s">
        <v>40</v>
      </c>
      <c r="G2344" s="164" t="s">
        <v>272</v>
      </c>
      <c r="H2344" s="165">
        <v>1</v>
      </c>
      <c r="I2344" s="164"/>
      <c r="J2344" s="165"/>
      <c r="K2344" s="164"/>
      <c r="L2344" s="165"/>
      <c r="M2344" s="6"/>
      <c r="N2344" s="32"/>
      <c r="Q2344" s="10" t="str">
        <f>+CONCATENATE(E2344,G2344)</f>
        <v>무보온덕트벽체1200*400</v>
      </c>
      <c r="R2344" s="10">
        <f>+H2344</f>
        <v>1</v>
      </c>
      <c r="S2344" s="11"/>
      <c r="T2344" s="10" t="str">
        <f>+E2344</f>
        <v>무보온덕트벽체</v>
      </c>
      <c r="U2344" s="19" t="str">
        <f>IFERROR(LEFT(G2344,FIND("*",G2344)-1),"-")</f>
        <v>1200</v>
      </c>
      <c r="V2344" s="19" t="str">
        <f>IFERROR(RIGHT(G2344,LEN(G2344)-FIND("*",G2344)),"-")</f>
        <v>400</v>
      </c>
      <c r="W2344" s="20">
        <f>IFERROR((U2344+V2344)*2/1000,"-")</f>
        <v>3.2</v>
      </c>
      <c r="X2344" s="20">
        <f>IFERROR(W2344*H2344,"-")</f>
        <v>3.2</v>
      </c>
      <c r="Z2344" s="85">
        <v>45192</v>
      </c>
    </row>
    <row r="2345" spans="1:26" ht="6.95" customHeight="1" x14ac:dyDescent="0.3">
      <c r="A2345" s="154"/>
      <c r="B2345" s="157"/>
      <c r="C2345" s="158"/>
      <c r="D2345" s="161"/>
      <c r="E2345" s="162"/>
      <c r="F2345" s="163"/>
      <c r="G2345" s="164"/>
      <c r="H2345" s="165"/>
      <c r="I2345" s="164"/>
      <c r="J2345" s="165"/>
      <c r="K2345" s="164"/>
      <c r="L2345" s="165"/>
      <c r="M2345" s="6"/>
      <c r="N2345" s="32"/>
      <c r="Q2345" s="10" t="str">
        <f>+CONCATENATE(E2344,I2344)</f>
        <v>무보온덕트벽체</v>
      </c>
      <c r="R2345" s="10">
        <f>+J2344</f>
        <v>0</v>
      </c>
      <c r="S2345" s="11"/>
      <c r="T2345" s="10" t="str">
        <f>+E2344</f>
        <v>무보온덕트벽체</v>
      </c>
      <c r="U2345" s="19" t="str">
        <f>IFERROR(LEFT(I2344,FIND("*",I2344)-1),"-")</f>
        <v>-</v>
      </c>
      <c r="V2345" s="19" t="str">
        <f>IFERROR(RIGHT(I2344,LEN(I2344)-FIND("*",I2344)),"-")</f>
        <v>-</v>
      </c>
      <c r="W2345" s="20" t="str">
        <f t="shared" ref="W2345:W2355" si="1273">IFERROR((U2345+V2345)*2/1000,"-")</f>
        <v>-</v>
      </c>
      <c r="X2345" s="20" t="str">
        <f>IFERROR(W2345*J2344,"-")</f>
        <v>-</v>
      </c>
      <c r="Z2345" s="85">
        <v>45192</v>
      </c>
    </row>
    <row r="2346" spans="1:26" ht="6.95" customHeight="1" x14ac:dyDescent="0.3">
      <c r="A2346" s="154"/>
      <c r="B2346" s="157"/>
      <c r="C2346" s="158"/>
      <c r="D2346" s="161"/>
      <c r="E2346" s="162"/>
      <c r="F2346" s="163"/>
      <c r="G2346" s="164"/>
      <c r="H2346" s="165"/>
      <c r="I2346" s="164"/>
      <c r="J2346" s="165"/>
      <c r="K2346" s="164"/>
      <c r="L2346" s="165"/>
      <c r="M2346" s="6"/>
      <c r="N2346" s="32"/>
      <c r="Q2346" s="10" t="str">
        <f>+CONCATENATE(E2344,K2344)</f>
        <v>무보온덕트벽체</v>
      </c>
      <c r="R2346" s="10">
        <f>+L2344</f>
        <v>0</v>
      </c>
      <c r="S2346" s="11"/>
      <c r="T2346" s="10" t="str">
        <f>+E2344</f>
        <v>무보온덕트벽체</v>
      </c>
      <c r="U2346" s="19" t="str">
        <f>IFERROR(LEFT(K2344,FIND("*",K2344)-1),"-")</f>
        <v>-</v>
      </c>
      <c r="V2346" s="19" t="str">
        <f>IFERROR(RIGHT(K2344,LEN(K2344)-FIND("*",K2344)),"-")</f>
        <v>-</v>
      </c>
      <c r="W2346" s="20" t="str">
        <f t="shared" si="1273"/>
        <v>-</v>
      </c>
      <c r="X2346" s="20" t="str">
        <f>IFERROR(W2346*L2344,"-")</f>
        <v>-</v>
      </c>
      <c r="Z2346" s="85">
        <v>45192</v>
      </c>
    </row>
    <row r="2347" spans="1:26" ht="6.95" customHeight="1" x14ac:dyDescent="0.3">
      <c r="A2347" s="8"/>
      <c r="B2347" s="157"/>
      <c r="C2347" s="158"/>
      <c r="D2347" s="161" t="s">
        <v>39</v>
      </c>
      <c r="E2347" s="162" t="s">
        <v>111</v>
      </c>
      <c r="F2347" s="163" t="s">
        <v>40</v>
      </c>
      <c r="G2347" s="164" t="s">
        <v>191</v>
      </c>
      <c r="H2347" s="165">
        <v>1</v>
      </c>
      <c r="I2347" s="164"/>
      <c r="J2347" s="165"/>
      <c r="K2347" s="164"/>
      <c r="L2347" s="165"/>
      <c r="M2347" s="6"/>
      <c r="N2347" s="32"/>
      <c r="Q2347" s="10" t="str">
        <f>+CONCATENATE(E2347,G2347)</f>
        <v>보온덕트벽체800*400</v>
      </c>
      <c r="R2347" s="10">
        <f>+H2347</f>
        <v>1</v>
      </c>
      <c r="S2347" s="11"/>
      <c r="T2347" s="10" t="str">
        <f>+E2347</f>
        <v>보온덕트벽체</v>
      </c>
      <c r="U2347" s="19" t="str">
        <f t="shared" ref="U2347" si="1274">IFERROR(LEFT(G2347,FIND("*",G2347)-1),"-")</f>
        <v>800</v>
      </c>
      <c r="V2347" s="19" t="str">
        <f t="shared" ref="V2347" si="1275">IFERROR(RIGHT(G2347,LEN(G2347)-FIND("*",G2347)),"-")</f>
        <v>400</v>
      </c>
      <c r="W2347" s="20">
        <f t="shared" si="1273"/>
        <v>2.4</v>
      </c>
      <c r="X2347" s="20">
        <f>IFERROR(W2347*H2347,"-")</f>
        <v>2.4</v>
      </c>
      <c r="Z2347" s="85">
        <v>45192</v>
      </c>
    </row>
    <row r="2348" spans="1:26" ht="6.95" customHeight="1" x14ac:dyDescent="0.3">
      <c r="A2348" s="5"/>
      <c r="B2348" s="157"/>
      <c r="C2348" s="158"/>
      <c r="D2348" s="161"/>
      <c r="E2348" s="162"/>
      <c r="F2348" s="163"/>
      <c r="G2348" s="164"/>
      <c r="H2348" s="165"/>
      <c r="I2348" s="164"/>
      <c r="J2348" s="165"/>
      <c r="K2348" s="164"/>
      <c r="L2348" s="165"/>
      <c r="M2348" s="6"/>
      <c r="N2348" s="32"/>
      <c r="Q2348" s="10" t="str">
        <f>+CONCATENATE(E2347,I2347)</f>
        <v>보온덕트벽체</v>
      </c>
      <c r="R2348" s="10">
        <f>+J2347</f>
        <v>0</v>
      </c>
      <c r="S2348" s="11"/>
      <c r="T2348" s="10" t="str">
        <f>+E2347</f>
        <v>보온덕트벽체</v>
      </c>
      <c r="U2348" s="19" t="str">
        <f>IFERROR(LEFT(I2347,FIND("*",I2347)-1),"-")</f>
        <v>-</v>
      </c>
      <c r="V2348" s="19" t="str">
        <f>IFERROR(RIGHT(I2347,LEN(I2347)-FIND("*",I2347)),"-")</f>
        <v>-</v>
      </c>
      <c r="W2348" s="20" t="str">
        <f t="shared" si="1273"/>
        <v>-</v>
      </c>
      <c r="X2348" s="20" t="str">
        <f>IFERROR(W2348*J2347,"-")</f>
        <v>-</v>
      </c>
      <c r="Z2348" s="85">
        <v>45192</v>
      </c>
    </row>
    <row r="2349" spans="1:26" ht="6.95" customHeight="1" x14ac:dyDescent="0.3">
      <c r="A2349" s="5"/>
      <c r="B2349" s="157"/>
      <c r="C2349" s="158"/>
      <c r="D2349" s="161"/>
      <c r="E2349" s="162"/>
      <c r="F2349" s="163"/>
      <c r="G2349" s="164"/>
      <c r="H2349" s="165"/>
      <c r="I2349" s="164"/>
      <c r="J2349" s="165"/>
      <c r="K2349" s="164"/>
      <c r="L2349" s="165"/>
      <c r="M2349" s="6"/>
      <c r="N2349" s="32"/>
      <c r="Q2349" s="10" t="str">
        <f>+CONCATENATE(E2347,K2347)</f>
        <v>보온덕트벽체</v>
      </c>
      <c r="R2349" s="10">
        <f>+L2347</f>
        <v>0</v>
      </c>
      <c r="S2349" s="11"/>
      <c r="T2349" s="10" t="str">
        <f>+E2347</f>
        <v>보온덕트벽체</v>
      </c>
      <c r="U2349" s="19" t="str">
        <f>IFERROR(LEFT(K2347,FIND("*",K2347)-1),"-")</f>
        <v>-</v>
      </c>
      <c r="V2349" s="19" t="str">
        <f>IFERROR(RIGHT(K2347,LEN(K2347)-FIND("*",K2347)),"-")</f>
        <v>-</v>
      </c>
      <c r="W2349" s="20" t="str">
        <f t="shared" si="1273"/>
        <v>-</v>
      </c>
      <c r="X2349" s="20" t="str">
        <f>IFERROR(W2349*L2347,"-")</f>
        <v>-</v>
      </c>
      <c r="Z2349" s="85">
        <v>45192</v>
      </c>
    </row>
    <row r="2350" spans="1:26" ht="6.95" customHeight="1" x14ac:dyDescent="0.3">
      <c r="A2350" s="8"/>
      <c r="B2350" s="157"/>
      <c r="C2350" s="158"/>
      <c r="D2350" s="161" t="s">
        <v>39</v>
      </c>
      <c r="E2350" s="162" t="s">
        <v>188</v>
      </c>
      <c r="F2350" s="163" t="s">
        <v>40</v>
      </c>
      <c r="G2350" s="164" t="s">
        <v>272</v>
      </c>
      <c r="H2350" s="165">
        <v>1</v>
      </c>
      <c r="I2350" s="164" t="s">
        <v>191</v>
      </c>
      <c r="J2350" s="165">
        <v>2</v>
      </c>
      <c r="K2350" s="164"/>
      <c r="L2350" s="165"/>
      <c r="M2350" s="6"/>
      <c r="N2350" s="32"/>
      <c r="Q2350" s="10" t="str">
        <f>+CONCATENATE(E2350,G2350)</f>
        <v>차열재마감1200*400</v>
      </c>
      <c r="R2350" s="10">
        <f>+H2350</f>
        <v>1</v>
      </c>
      <c r="S2350" s="11"/>
      <c r="T2350" s="10" t="str">
        <f>+E2350</f>
        <v>차열재마감</v>
      </c>
      <c r="U2350" s="19" t="str">
        <f t="shared" ref="U2350" si="1276">IFERROR(LEFT(G2350,FIND("*",G2350)-1),"-")</f>
        <v>1200</v>
      </c>
      <c r="V2350" s="19" t="str">
        <f t="shared" ref="V2350" si="1277">IFERROR(RIGHT(G2350,LEN(G2350)-FIND("*",G2350)),"-")</f>
        <v>400</v>
      </c>
      <c r="W2350" s="20">
        <f t="shared" ref="W2350:W2352" si="1278">IFERROR((U2350+V2350)*2/1000,"-")</f>
        <v>3.2</v>
      </c>
      <c r="X2350" s="20">
        <f>IFERROR(W2350*H2350,"-")</f>
        <v>3.2</v>
      </c>
      <c r="Z2350" s="85">
        <v>45192</v>
      </c>
    </row>
    <row r="2351" spans="1:26" ht="6.95" customHeight="1" x14ac:dyDescent="0.3">
      <c r="A2351" s="5"/>
      <c r="B2351" s="157"/>
      <c r="C2351" s="158"/>
      <c r="D2351" s="161"/>
      <c r="E2351" s="162"/>
      <c r="F2351" s="163"/>
      <c r="G2351" s="164"/>
      <c r="H2351" s="165"/>
      <c r="I2351" s="164"/>
      <c r="J2351" s="165"/>
      <c r="K2351" s="164"/>
      <c r="L2351" s="165"/>
      <c r="M2351" s="6"/>
      <c r="N2351" s="32"/>
      <c r="Q2351" s="10" t="str">
        <f>+CONCATENATE(E2350,I2350)</f>
        <v>차열재마감800*400</v>
      </c>
      <c r="R2351" s="10">
        <f>+J2350</f>
        <v>2</v>
      </c>
      <c r="S2351" s="11"/>
      <c r="T2351" s="10" t="str">
        <f>+E2350</f>
        <v>차열재마감</v>
      </c>
      <c r="U2351" s="19" t="str">
        <f>IFERROR(LEFT(I2350,FIND("*",I2350)-1),"-")</f>
        <v>800</v>
      </c>
      <c r="V2351" s="19" t="str">
        <f>IFERROR(RIGHT(I2350,LEN(I2350)-FIND("*",I2350)),"-")</f>
        <v>400</v>
      </c>
      <c r="W2351" s="20">
        <f t="shared" si="1278"/>
        <v>2.4</v>
      </c>
      <c r="X2351" s="20">
        <f>IFERROR(W2351*J2350,"-")</f>
        <v>4.8</v>
      </c>
      <c r="Z2351" s="85">
        <v>45192</v>
      </c>
    </row>
    <row r="2352" spans="1:26" ht="6.95" customHeight="1" x14ac:dyDescent="0.3">
      <c r="A2352" s="5"/>
      <c r="B2352" s="157"/>
      <c r="C2352" s="158"/>
      <c r="D2352" s="161"/>
      <c r="E2352" s="162"/>
      <c r="F2352" s="163"/>
      <c r="G2352" s="164"/>
      <c r="H2352" s="165"/>
      <c r="I2352" s="164"/>
      <c r="J2352" s="165"/>
      <c r="K2352" s="164"/>
      <c r="L2352" s="165"/>
      <c r="M2352" s="6"/>
      <c r="N2352" s="32"/>
      <c r="Q2352" s="10" t="str">
        <f>+CONCATENATE(E2350,K2350)</f>
        <v>차열재마감</v>
      </c>
      <c r="R2352" s="10">
        <f>+L2350</f>
        <v>0</v>
      </c>
      <c r="S2352" s="11"/>
      <c r="T2352" s="10" t="str">
        <f>+E2350</f>
        <v>차열재마감</v>
      </c>
      <c r="U2352" s="19" t="str">
        <f>IFERROR(LEFT(K2350,FIND("*",K2350)-1),"-")</f>
        <v>-</v>
      </c>
      <c r="V2352" s="19" t="str">
        <f>IFERROR(RIGHT(K2350,LEN(K2350)-FIND("*",K2350)),"-")</f>
        <v>-</v>
      </c>
      <c r="W2352" s="20" t="str">
        <f t="shared" si="1278"/>
        <v>-</v>
      </c>
      <c r="X2352" s="20" t="str">
        <f>IFERROR(W2352*L2350,"-")</f>
        <v>-</v>
      </c>
      <c r="Z2352" s="85">
        <v>45192</v>
      </c>
    </row>
    <row r="2353" spans="1:26" ht="6.95" customHeight="1" x14ac:dyDescent="0.3">
      <c r="A2353" s="8"/>
      <c r="B2353" s="157"/>
      <c r="C2353" s="158"/>
      <c r="D2353" s="161" t="s">
        <v>39</v>
      </c>
      <c r="E2353" s="162" t="s">
        <v>186</v>
      </c>
      <c r="F2353" s="163" t="s">
        <v>40</v>
      </c>
      <c r="G2353" s="164">
        <v>100</v>
      </c>
      <c r="H2353" s="165">
        <v>2</v>
      </c>
      <c r="I2353" s="164"/>
      <c r="J2353" s="165"/>
      <c r="K2353" s="164"/>
      <c r="L2353" s="165"/>
      <c r="M2353" s="6"/>
      <c r="N2353" s="32"/>
      <c r="Q2353" s="10" t="str">
        <f>+CONCATENATE(E2353,G2353)</f>
        <v>금속관벽체100</v>
      </c>
      <c r="R2353" s="10">
        <f>+H2353</f>
        <v>2</v>
      </c>
      <c r="S2353" s="11"/>
      <c r="T2353" s="10" t="str">
        <f>+E2353</f>
        <v>금속관벽체</v>
      </c>
      <c r="U2353" s="19" t="str">
        <f t="shared" ref="U2353" si="1279">IFERROR(LEFT(G2353,FIND("*",G2353)-1),"-")</f>
        <v>-</v>
      </c>
      <c r="V2353" s="19" t="str">
        <f t="shared" ref="V2353" si="1280">IFERROR(RIGHT(G2353,LEN(G2353)-FIND("*",G2353)),"-")</f>
        <v>-</v>
      </c>
      <c r="W2353" s="20" t="str">
        <f t="shared" si="1273"/>
        <v>-</v>
      </c>
      <c r="X2353" s="20" t="str">
        <f>IFERROR(W2353*H2353,"-")</f>
        <v>-</v>
      </c>
      <c r="Z2353" s="85">
        <v>45192</v>
      </c>
    </row>
    <row r="2354" spans="1:26" ht="6.95" customHeight="1" x14ac:dyDescent="0.3">
      <c r="A2354" s="5"/>
      <c r="B2354" s="157"/>
      <c r="C2354" s="158"/>
      <c r="D2354" s="161"/>
      <c r="E2354" s="162"/>
      <c r="F2354" s="163"/>
      <c r="G2354" s="164"/>
      <c r="H2354" s="165"/>
      <c r="I2354" s="164"/>
      <c r="J2354" s="165"/>
      <c r="K2354" s="164"/>
      <c r="L2354" s="165"/>
      <c r="M2354" s="6"/>
      <c r="N2354" s="32"/>
      <c r="Q2354" s="10" t="str">
        <f>+CONCATENATE(E2353,I2353)</f>
        <v>금속관벽체</v>
      </c>
      <c r="R2354" s="10">
        <f>+J2353</f>
        <v>0</v>
      </c>
      <c r="S2354" s="11"/>
      <c r="T2354" s="10" t="str">
        <f>+E2353</f>
        <v>금속관벽체</v>
      </c>
      <c r="U2354" s="19" t="str">
        <f>IFERROR(LEFT(I2353,FIND("*",I2353)-1),"-")</f>
        <v>-</v>
      </c>
      <c r="V2354" s="19" t="str">
        <f>IFERROR(RIGHT(I2353,LEN(I2353)-FIND("*",I2353)),"-")</f>
        <v>-</v>
      </c>
      <c r="W2354" s="20" t="str">
        <f t="shared" si="1273"/>
        <v>-</v>
      </c>
      <c r="X2354" s="20" t="str">
        <f t="shared" ref="X2354" si="1281">IFERROR(W2354*J2353,"-")</f>
        <v>-</v>
      </c>
      <c r="Z2354" s="85">
        <v>45192</v>
      </c>
    </row>
    <row r="2355" spans="1:26" ht="6.95" customHeight="1" x14ac:dyDescent="0.3">
      <c r="A2355" s="5"/>
      <c r="B2355" s="157"/>
      <c r="C2355" s="158"/>
      <c r="D2355" s="161"/>
      <c r="E2355" s="162"/>
      <c r="F2355" s="163"/>
      <c r="G2355" s="164"/>
      <c r="H2355" s="165"/>
      <c r="I2355" s="164"/>
      <c r="J2355" s="165"/>
      <c r="K2355" s="164"/>
      <c r="L2355" s="165"/>
      <c r="M2355" s="6"/>
      <c r="N2355" s="32"/>
      <c r="Q2355" s="10" t="str">
        <f>+CONCATENATE(E2353,K2353)</f>
        <v>금속관벽체</v>
      </c>
      <c r="R2355" s="10">
        <f>+L2353</f>
        <v>0</v>
      </c>
      <c r="S2355" s="11"/>
      <c r="T2355" s="10" t="str">
        <f>+E2353</f>
        <v>금속관벽체</v>
      </c>
      <c r="U2355" s="19" t="str">
        <f>IFERROR(LEFT(K2353,FIND("*",K2353)-1),"-")</f>
        <v>-</v>
      </c>
      <c r="V2355" s="19" t="str">
        <f>IFERROR(RIGHT(K2353,LEN(K2353)-FIND("*",K2353)),"-")</f>
        <v>-</v>
      </c>
      <c r="W2355" s="20" t="str">
        <f t="shared" si="1273"/>
        <v>-</v>
      </c>
      <c r="X2355" s="20" t="str">
        <f>IFERROR(W2355*L2353,"-")</f>
        <v>-</v>
      </c>
      <c r="Z2355" s="85">
        <v>45192</v>
      </c>
    </row>
    <row r="2356" spans="1:26" ht="21" customHeight="1" thickBot="1" x14ac:dyDescent="0.35">
      <c r="A2356" s="5"/>
      <c r="B2356" s="159"/>
      <c r="C2356" s="160"/>
      <c r="D2356" s="166" t="s">
        <v>43</v>
      </c>
      <c r="E2356" s="167"/>
      <c r="F2356" s="167"/>
      <c r="G2356" s="168" t="s">
        <v>208</v>
      </c>
      <c r="H2356" s="168"/>
      <c r="I2356" s="168"/>
      <c r="J2356" s="168"/>
      <c r="K2356" s="168"/>
      <c r="L2356" s="168"/>
      <c r="M2356" s="7"/>
      <c r="N2356" s="33">
        <v>45192</v>
      </c>
      <c r="Z2356" s="85">
        <v>45192</v>
      </c>
    </row>
    <row r="2357" spans="1:26" ht="9.9499999999999993" customHeight="1" thickBot="1" x14ac:dyDescent="0.35">
      <c r="B2357" s="9"/>
      <c r="C2357" s="109">
        <v>1013</v>
      </c>
      <c r="D2357" s="51"/>
      <c r="E2357" s="12"/>
      <c r="F2357" s="51"/>
      <c r="G2357" s="14"/>
      <c r="H2357" s="14"/>
      <c r="I2357" s="14"/>
      <c r="J2357" s="14"/>
      <c r="K2357" s="14"/>
      <c r="L2357" s="14"/>
      <c r="M2357" s="9"/>
      <c r="N2357" s="32"/>
      <c r="U2357" s="18"/>
      <c r="V2357" s="18"/>
      <c r="Z2357" s="85">
        <v>45193</v>
      </c>
    </row>
    <row r="2358" spans="1:26" ht="6.95" customHeight="1" x14ac:dyDescent="0.3">
      <c r="A2358" s="154">
        <f>+A2344+1</f>
        <v>1014</v>
      </c>
      <c r="B2358" s="155"/>
      <c r="C2358" s="156"/>
      <c r="D2358" s="161" t="s">
        <v>39</v>
      </c>
      <c r="E2358" s="162" t="s">
        <v>111</v>
      </c>
      <c r="F2358" s="163" t="s">
        <v>40</v>
      </c>
      <c r="G2358" s="164" t="s">
        <v>299</v>
      </c>
      <c r="H2358" s="165">
        <v>1</v>
      </c>
      <c r="I2358" s="164"/>
      <c r="J2358" s="165"/>
      <c r="K2358" s="164"/>
      <c r="L2358" s="165"/>
      <c r="M2358" s="6"/>
      <c r="N2358" s="32"/>
      <c r="Q2358" s="10" t="str">
        <f>+CONCATENATE(E2358,G2358)</f>
        <v>보온덕트벽체1400*1200</v>
      </c>
      <c r="R2358" s="10">
        <f>+H2358</f>
        <v>1</v>
      </c>
      <c r="S2358" s="11"/>
      <c r="T2358" s="10" t="str">
        <f>+E2358</f>
        <v>보온덕트벽체</v>
      </c>
      <c r="U2358" s="19" t="str">
        <f>IFERROR(LEFT(G2358,FIND("*",G2358)-1),"-")</f>
        <v>1400</v>
      </c>
      <c r="V2358" s="19" t="str">
        <f>IFERROR(RIGHT(G2358,LEN(G2358)-FIND("*",G2358)),"-")</f>
        <v>1200</v>
      </c>
      <c r="W2358" s="20">
        <f>IFERROR((U2358+V2358)*2/1000,"-")</f>
        <v>5.2</v>
      </c>
      <c r="X2358" s="20">
        <f>IFERROR(W2358*H2358,"-")</f>
        <v>5.2</v>
      </c>
      <c r="Z2358" s="85">
        <v>45193</v>
      </c>
    </row>
    <row r="2359" spans="1:26" ht="6.95" customHeight="1" x14ac:dyDescent="0.3">
      <c r="A2359" s="154"/>
      <c r="B2359" s="157"/>
      <c r="C2359" s="158"/>
      <c r="D2359" s="161"/>
      <c r="E2359" s="162"/>
      <c r="F2359" s="163"/>
      <c r="G2359" s="164"/>
      <c r="H2359" s="165"/>
      <c r="I2359" s="164"/>
      <c r="J2359" s="165"/>
      <c r="K2359" s="164"/>
      <c r="L2359" s="165"/>
      <c r="M2359" s="6"/>
      <c r="N2359" s="32"/>
      <c r="Q2359" s="10" t="str">
        <f>+CONCATENATE(E2358,I2358)</f>
        <v>보온덕트벽체</v>
      </c>
      <c r="R2359" s="10">
        <f>+J2358</f>
        <v>0</v>
      </c>
      <c r="S2359" s="11"/>
      <c r="T2359" s="10" t="str">
        <f>+E2358</f>
        <v>보온덕트벽체</v>
      </c>
      <c r="U2359" s="19" t="str">
        <f>IFERROR(LEFT(I2358,FIND("*",I2358)-1),"-")</f>
        <v>-</v>
      </c>
      <c r="V2359" s="19" t="str">
        <f>IFERROR(RIGHT(I2358,LEN(I2358)-FIND("*",I2358)),"-")</f>
        <v>-</v>
      </c>
      <c r="W2359" s="20" t="str">
        <f t="shared" ref="W2359:W2366" si="1282">IFERROR((U2359+V2359)*2/1000,"-")</f>
        <v>-</v>
      </c>
      <c r="X2359" s="20" t="str">
        <f>IFERROR(W2359*J2358,"-")</f>
        <v>-</v>
      </c>
      <c r="Z2359" s="85">
        <v>45193</v>
      </c>
    </row>
    <row r="2360" spans="1:26" ht="6.95" customHeight="1" x14ac:dyDescent="0.3">
      <c r="A2360" s="154"/>
      <c r="B2360" s="157"/>
      <c r="C2360" s="158"/>
      <c r="D2360" s="161"/>
      <c r="E2360" s="162"/>
      <c r="F2360" s="163"/>
      <c r="G2360" s="164"/>
      <c r="H2360" s="165"/>
      <c r="I2360" s="164"/>
      <c r="J2360" s="165"/>
      <c r="K2360" s="164"/>
      <c r="L2360" s="165"/>
      <c r="M2360" s="6"/>
      <c r="N2360" s="32"/>
      <c r="Q2360" s="10" t="str">
        <f>+CONCATENATE(E2358,K2358)</f>
        <v>보온덕트벽체</v>
      </c>
      <c r="R2360" s="10">
        <f>+L2358</f>
        <v>0</v>
      </c>
      <c r="S2360" s="11"/>
      <c r="T2360" s="10" t="str">
        <f>+E2358</f>
        <v>보온덕트벽체</v>
      </c>
      <c r="U2360" s="19" t="str">
        <f>IFERROR(LEFT(K2358,FIND("*",K2358)-1),"-")</f>
        <v>-</v>
      </c>
      <c r="V2360" s="19" t="str">
        <f>IFERROR(RIGHT(K2358,LEN(K2358)-FIND("*",K2358)),"-")</f>
        <v>-</v>
      </c>
      <c r="W2360" s="20" t="str">
        <f t="shared" si="1282"/>
        <v>-</v>
      </c>
      <c r="X2360" s="20" t="str">
        <f>IFERROR(W2360*L2358,"-")</f>
        <v>-</v>
      </c>
      <c r="Z2360" s="85">
        <v>45193</v>
      </c>
    </row>
    <row r="2361" spans="1:26" ht="6.95" customHeight="1" x14ac:dyDescent="0.3">
      <c r="A2361" s="8"/>
      <c r="B2361" s="157"/>
      <c r="C2361" s="158"/>
      <c r="D2361" s="161" t="s">
        <v>39</v>
      </c>
      <c r="E2361" s="162" t="s">
        <v>188</v>
      </c>
      <c r="F2361" s="163" t="s">
        <v>40</v>
      </c>
      <c r="G2361" s="164" t="s">
        <v>299</v>
      </c>
      <c r="H2361" s="165">
        <v>2</v>
      </c>
      <c r="I2361" s="164"/>
      <c r="J2361" s="165"/>
      <c r="K2361" s="164"/>
      <c r="L2361" s="165"/>
      <c r="M2361" s="6"/>
      <c r="N2361" s="32"/>
      <c r="Q2361" s="10" t="str">
        <f>+CONCATENATE(E2361,G2361)</f>
        <v>차열재마감1400*1200</v>
      </c>
      <c r="R2361" s="10">
        <f>+H2361</f>
        <v>2</v>
      </c>
      <c r="S2361" s="11"/>
      <c r="T2361" s="10" t="str">
        <f>+E2361</f>
        <v>차열재마감</v>
      </c>
      <c r="U2361" s="19" t="str">
        <f t="shared" ref="U2361" si="1283">IFERROR(LEFT(G2361,FIND("*",G2361)-1),"-")</f>
        <v>1400</v>
      </c>
      <c r="V2361" s="19" t="str">
        <f t="shared" ref="V2361" si="1284">IFERROR(RIGHT(G2361,LEN(G2361)-FIND("*",G2361)),"-")</f>
        <v>1200</v>
      </c>
      <c r="W2361" s="20">
        <f t="shared" si="1282"/>
        <v>5.2</v>
      </c>
      <c r="X2361" s="20">
        <f>IFERROR(W2361*H2361,"-")</f>
        <v>10.4</v>
      </c>
      <c r="Z2361" s="85">
        <v>45193</v>
      </c>
    </row>
    <row r="2362" spans="1:26" ht="6.95" customHeight="1" x14ac:dyDescent="0.3">
      <c r="A2362" s="5"/>
      <c r="B2362" s="157"/>
      <c r="C2362" s="158"/>
      <c r="D2362" s="161"/>
      <c r="E2362" s="162"/>
      <c r="F2362" s="163"/>
      <c r="G2362" s="164"/>
      <c r="H2362" s="165"/>
      <c r="I2362" s="164"/>
      <c r="J2362" s="165"/>
      <c r="K2362" s="164"/>
      <c r="L2362" s="165"/>
      <c r="M2362" s="6"/>
      <c r="N2362" s="32"/>
      <c r="Q2362" s="10" t="str">
        <f>+CONCATENATE(E2361,I2361)</f>
        <v>차열재마감</v>
      </c>
      <c r="R2362" s="10">
        <f>+J2361</f>
        <v>0</v>
      </c>
      <c r="S2362" s="11"/>
      <c r="T2362" s="10" t="str">
        <f>+E2361</f>
        <v>차열재마감</v>
      </c>
      <c r="U2362" s="19" t="str">
        <f>IFERROR(LEFT(I2361,FIND("*",I2361)-1),"-")</f>
        <v>-</v>
      </c>
      <c r="V2362" s="19" t="str">
        <f>IFERROR(RIGHT(I2361,LEN(I2361)-FIND("*",I2361)),"-")</f>
        <v>-</v>
      </c>
      <c r="W2362" s="20" t="str">
        <f t="shared" si="1282"/>
        <v>-</v>
      </c>
      <c r="X2362" s="20" t="str">
        <f>IFERROR(W2362*J2361,"-")</f>
        <v>-</v>
      </c>
      <c r="Z2362" s="85">
        <v>45193</v>
      </c>
    </row>
    <row r="2363" spans="1:26" ht="6.95" customHeight="1" x14ac:dyDescent="0.3">
      <c r="A2363" s="5"/>
      <c r="B2363" s="157"/>
      <c r="C2363" s="158"/>
      <c r="D2363" s="161"/>
      <c r="E2363" s="162"/>
      <c r="F2363" s="163"/>
      <c r="G2363" s="164"/>
      <c r="H2363" s="165"/>
      <c r="I2363" s="164"/>
      <c r="J2363" s="165"/>
      <c r="K2363" s="164"/>
      <c r="L2363" s="165"/>
      <c r="M2363" s="6"/>
      <c r="N2363" s="32"/>
      <c r="Q2363" s="10" t="str">
        <f>+CONCATENATE(E2361,K2361)</f>
        <v>차열재마감</v>
      </c>
      <c r="R2363" s="10">
        <f>+L2361</f>
        <v>0</v>
      </c>
      <c r="S2363" s="11"/>
      <c r="T2363" s="10" t="str">
        <f>+E2361</f>
        <v>차열재마감</v>
      </c>
      <c r="U2363" s="19" t="str">
        <f>IFERROR(LEFT(K2361,FIND("*",K2361)-1),"-")</f>
        <v>-</v>
      </c>
      <c r="V2363" s="19" t="str">
        <f>IFERROR(RIGHT(K2361,LEN(K2361)-FIND("*",K2361)),"-")</f>
        <v>-</v>
      </c>
      <c r="W2363" s="20" t="str">
        <f t="shared" si="1282"/>
        <v>-</v>
      </c>
      <c r="X2363" s="20" t="str">
        <f>IFERROR(W2363*L2361,"-")</f>
        <v>-</v>
      </c>
      <c r="Z2363" s="85">
        <v>45193</v>
      </c>
    </row>
    <row r="2364" spans="1:26" ht="6.95" customHeight="1" x14ac:dyDescent="0.3">
      <c r="A2364" s="8"/>
      <c r="B2364" s="157"/>
      <c r="C2364" s="158"/>
      <c r="D2364" s="161" t="s">
        <v>39</v>
      </c>
      <c r="E2364" s="162"/>
      <c r="F2364" s="163" t="s">
        <v>40</v>
      </c>
      <c r="G2364" s="164"/>
      <c r="H2364" s="165"/>
      <c r="I2364" s="164"/>
      <c r="J2364" s="165"/>
      <c r="K2364" s="164"/>
      <c r="L2364" s="165"/>
      <c r="M2364" s="6"/>
      <c r="N2364" s="32"/>
      <c r="Q2364" s="10" t="str">
        <f>+CONCATENATE(E2364,G2364)</f>
        <v/>
      </c>
      <c r="R2364" s="10">
        <f>+H2364</f>
        <v>0</v>
      </c>
      <c r="S2364" s="11"/>
      <c r="T2364" s="10">
        <f>+E2364</f>
        <v>0</v>
      </c>
      <c r="U2364" s="19" t="str">
        <f t="shared" ref="U2364" si="1285">IFERROR(LEFT(G2364,FIND("*",G2364)-1),"-")</f>
        <v>-</v>
      </c>
      <c r="V2364" s="19" t="str">
        <f t="shared" ref="V2364" si="1286">IFERROR(RIGHT(G2364,LEN(G2364)-FIND("*",G2364)),"-")</f>
        <v>-</v>
      </c>
      <c r="W2364" s="20" t="str">
        <f t="shared" si="1282"/>
        <v>-</v>
      </c>
      <c r="X2364" s="20" t="str">
        <f>IFERROR(W2364*H2364,"-")</f>
        <v>-</v>
      </c>
      <c r="Z2364" s="85">
        <v>45193</v>
      </c>
    </row>
    <row r="2365" spans="1:26" ht="6.95" customHeight="1" x14ac:dyDescent="0.3">
      <c r="A2365" s="5"/>
      <c r="B2365" s="157"/>
      <c r="C2365" s="158"/>
      <c r="D2365" s="161"/>
      <c r="E2365" s="162"/>
      <c r="F2365" s="163"/>
      <c r="G2365" s="164"/>
      <c r="H2365" s="165"/>
      <c r="I2365" s="164"/>
      <c r="J2365" s="165"/>
      <c r="K2365" s="164"/>
      <c r="L2365" s="165"/>
      <c r="M2365" s="6"/>
      <c r="N2365" s="32"/>
      <c r="Q2365" s="10" t="str">
        <f>+CONCATENATE(E2364,I2364)</f>
        <v/>
      </c>
      <c r="R2365" s="10">
        <f>+J2364</f>
        <v>0</v>
      </c>
      <c r="S2365" s="11"/>
      <c r="T2365" s="10">
        <f>+E2364</f>
        <v>0</v>
      </c>
      <c r="U2365" s="19" t="str">
        <f>IFERROR(LEFT(I2364,FIND("*",I2364)-1),"-")</f>
        <v>-</v>
      </c>
      <c r="V2365" s="19" t="str">
        <f>IFERROR(RIGHT(I2364,LEN(I2364)-FIND("*",I2364)),"-")</f>
        <v>-</v>
      </c>
      <c r="W2365" s="20" t="str">
        <f t="shared" si="1282"/>
        <v>-</v>
      </c>
      <c r="X2365" s="20" t="str">
        <f t="shared" ref="X2365" si="1287">IFERROR(W2365*J2364,"-")</f>
        <v>-</v>
      </c>
      <c r="Z2365" s="85">
        <v>45193</v>
      </c>
    </row>
    <row r="2366" spans="1:26" ht="6.95" customHeight="1" x14ac:dyDescent="0.3">
      <c r="A2366" s="5"/>
      <c r="B2366" s="157"/>
      <c r="C2366" s="158"/>
      <c r="D2366" s="161"/>
      <c r="E2366" s="162"/>
      <c r="F2366" s="163"/>
      <c r="G2366" s="164"/>
      <c r="H2366" s="165"/>
      <c r="I2366" s="164"/>
      <c r="J2366" s="165"/>
      <c r="K2366" s="164"/>
      <c r="L2366" s="165"/>
      <c r="M2366" s="6"/>
      <c r="N2366" s="32"/>
      <c r="Q2366" s="10" t="str">
        <f>+CONCATENATE(E2364,K2364)</f>
        <v/>
      </c>
      <c r="R2366" s="10">
        <f>+L2364</f>
        <v>0</v>
      </c>
      <c r="S2366" s="11"/>
      <c r="T2366" s="10">
        <f>+E2364</f>
        <v>0</v>
      </c>
      <c r="U2366" s="19" t="str">
        <f>IFERROR(LEFT(K2364,FIND("*",K2364)-1),"-")</f>
        <v>-</v>
      </c>
      <c r="V2366" s="19" t="str">
        <f>IFERROR(RIGHT(K2364,LEN(K2364)-FIND("*",K2364)),"-")</f>
        <v>-</v>
      </c>
      <c r="W2366" s="20" t="str">
        <f t="shared" si="1282"/>
        <v>-</v>
      </c>
      <c r="X2366" s="20" t="str">
        <f>IFERROR(W2366*L2364,"-")</f>
        <v>-</v>
      </c>
      <c r="Z2366" s="85">
        <v>45193</v>
      </c>
    </row>
    <row r="2367" spans="1:26" ht="21" customHeight="1" thickBot="1" x14ac:dyDescent="0.35">
      <c r="A2367" s="5"/>
      <c r="B2367" s="159"/>
      <c r="C2367" s="160"/>
      <c r="D2367" s="166" t="s">
        <v>43</v>
      </c>
      <c r="E2367" s="167"/>
      <c r="F2367" s="167"/>
      <c r="G2367" s="168" t="s">
        <v>206</v>
      </c>
      <c r="H2367" s="168"/>
      <c r="I2367" s="168"/>
      <c r="J2367" s="168"/>
      <c r="K2367" s="168"/>
      <c r="L2367" s="168"/>
      <c r="M2367" s="7"/>
      <c r="N2367" s="32"/>
      <c r="Z2367" s="85">
        <v>45193</v>
      </c>
    </row>
    <row r="2368" spans="1:26" ht="9.9499999999999993" customHeight="1" thickBot="1" x14ac:dyDescent="0.35">
      <c r="B2368" s="9"/>
      <c r="C2368" s="109">
        <v>1014</v>
      </c>
      <c r="D2368" s="51"/>
      <c r="E2368" s="12"/>
      <c r="F2368" s="51"/>
      <c r="G2368" s="14"/>
      <c r="H2368" s="14"/>
      <c r="I2368" s="14"/>
      <c r="J2368" s="14"/>
      <c r="K2368" s="14"/>
      <c r="L2368" s="14"/>
      <c r="M2368" s="9"/>
      <c r="N2368" s="32"/>
      <c r="U2368" s="18"/>
      <c r="V2368" s="18"/>
      <c r="Z2368" s="85">
        <v>45193</v>
      </c>
    </row>
    <row r="2369" spans="1:26" ht="6.95" customHeight="1" x14ac:dyDescent="0.3">
      <c r="A2369" s="154">
        <f>+A2358+1</f>
        <v>1015</v>
      </c>
      <c r="B2369" s="155"/>
      <c r="C2369" s="156"/>
      <c r="D2369" s="161" t="s">
        <v>39</v>
      </c>
      <c r="E2369" s="162" t="s">
        <v>111</v>
      </c>
      <c r="F2369" s="163" t="s">
        <v>40</v>
      </c>
      <c r="G2369" s="164" t="s">
        <v>299</v>
      </c>
      <c r="H2369" s="165">
        <v>1</v>
      </c>
      <c r="I2369" s="164"/>
      <c r="J2369" s="165"/>
      <c r="K2369" s="164"/>
      <c r="L2369" s="165"/>
      <c r="M2369" s="6"/>
      <c r="N2369" s="32"/>
      <c r="Q2369" s="10" t="str">
        <f>+CONCATENATE(E2369,G2369)</f>
        <v>보온덕트벽체1400*1200</v>
      </c>
      <c r="R2369" s="10">
        <f>+H2369</f>
        <v>1</v>
      </c>
      <c r="S2369" s="11"/>
      <c r="T2369" s="10" t="str">
        <f>+E2369</f>
        <v>보온덕트벽체</v>
      </c>
      <c r="U2369" s="19" t="str">
        <f>IFERROR(LEFT(G2369,FIND("*",G2369)-1),"-")</f>
        <v>1400</v>
      </c>
      <c r="V2369" s="19" t="str">
        <f>IFERROR(RIGHT(G2369,LEN(G2369)-FIND("*",G2369)),"-")</f>
        <v>1200</v>
      </c>
      <c r="W2369" s="20">
        <f>IFERROR((U2369+V2369)*2/1000,"-")</f>
        <v>5.2</v>
      </c>
      <c r="X2369" s="20">
        <f>IFERROR(W2369*H2369,"-")</f>
        <v>5.2</v>
      </c>
      <c r="Z2369" s="85">
        <v>45193</v>
      </c>
    </row>
    <row r="2370" spans="1:26" ht="6.95" customHeight="1" x14ac:dyDescent="0.3">
      <c r="A2370" s="154"/>
      <c r="B2370" s="157"/>
      <c r="C2370" s="158"/>
      <c r="D2370" s="161"/>
      <c r="E2370" s="162"/>
      <c r="F2370" s="163"/>
      <c r="G2370" s="164"/>
      <c r="H2370" s="165"/>
      <c r="I2370" s="164"/>
      <c r="J2370" s="165"/>
      <c r="K2370" s="164"/>
      <c r="L2370" s="165"/>
      <c r="M2370" s="6"/>
      <c r="N2370" s="32"/>
      <c r="Q2370" s="10" t="str">
        <f>+CONCATENATE(E2369,I2369)</f>
        <v>보온덕트벽체</v>
      </c>
      <c r="R2370" s="10">
        <f>+J2369</f>
        <v>0</v>
      </c>
      <c r="S2370" s="11"/>
      <c r="T2370" s="10" t="str">
        <f>+E2369</f>
        <v>보온덕트벽체</v>
      </c>
      <c r="U2370" s="19" t="str">
        <f>IFERROR(LEFT(I2369,FIND("*",I2369)-1),"-")</f>
        <v>-</v>
      </c>
      <c r="V2370" s="19" t="str">
        <f>IFERROR(RIGHT(I2369,LEN(I2369)-FIND("*",I2369)),"-")</f>
        <v>-</v>
      </c>
      <c r="W2370" s="20" t="str">
        <f t="shared" ref="W2370:W2377" si="1288">IFERROR((U2370+V2370)*2/1000,"-")</f>
        <v>-</v>
      </c>
      <c r="X2370" s="20" t="str">
        <f>IFERROR(W2370*J2369,"-")</f>
        <v>-</v>
      </c>
      <c r="Z2370" s="85">
        <v>45193</v>
      </c>
    </row>
    <row r="2371" spans="1:26" ht="6.95" customHeight="1" x14ac:dyDescent="0.3">
      <c r="A2371" s="154"/>
      <c r="B2371" s="157"/>
      <c r="C2371" s="158"/>
      <c r="D2371" s="161"/>
      <c r="E2371" s="162"/>
      <c r="F2371" s="163"/>
      <c r="G2371" s="164"/>
      <c r="H2371" s="165"/>
      <c r="I2371" s="164"/>
      <c r="J2371" s="165"/>
      <c r="K2371" s="164"/>
      <c r="L2371" s="165"/>
      <c r="M2371" s="6"/>
      <c r="N2371" s="32"/>
      <c r="Q2371" s="10" t="str">
        <f>+CONCATENATE(E2369,K2369)</f>
        <v>보온덕트벽체</v>
      </c>
      <c r="R2371" s="10">
        <f>+L2369</f>
        <v>0</v>
      </c>
      <c r="S2371" s="11"/>
      <c r="T2371" s="10" t="str">
        <f>+E2369</f>
        <v>보온덕트벽체</v>
      </c>
      <c r="U2371" s="19" t="str">
        <f>IFERROR(LEFT(K2369,FIND("*",K2369)-1),"-")</f>
        <v>-</v>
      </c>
      <c r="V2371" s="19" t="str">
        <f>IFERROR(RIGHT(K2369,LEN(K2369)-FIND("*",K2369)),"-")</f>
        <v>-</v>
      </c>
      <c r="W2371" s="20" t="str">
        <f t="shared" si="1288"/>
        <v>-</v>
      </c>
      <c r="X2371" s="20" t="str">
        <f>IFERROR(W2371*L2369,"-")</f>
        <v>-</v>
      </c>
      <c r="Z2371" s="85">
        <v>45193</v>
      </c>
    </row>
    <row r="2372" spans="1:26" ht="6.95" customHeight="1" x14ac:dyDescent="0.3">
      <c r="A2372" s="8"/>
      <c r="B2372" s="157"/>
      <c r="C2372" s="158"/>
      <c r="D2372" s="161" t="s">
        <v>39</v>
      </c>
      <c r="E2372" s="162" t="s">
        <v>188</v>
      </c>
      <c r="F2372" s="163" t="s">
        <v>40</v>
      </c>
      <c r="G2372" s="164" t="s">
        <v>299</v>
      </c>
      <c r="H2372" s="165">
        <v>2</v>
      </c>
      <c r="I2372" s="164"/>
      <c r="J2372" s="165"/>
      <c r="K2372" s="164"/>
      <c r="L2372" s="165"/>
      <c r="M2372" s="6"/>
      <c r="N2372" s="32"/>
      <c r="Q2372" s="10" t="str">
        <f>+CONCATENATE(E2372,G2372)</f>
        <v>차열재마감1400*1200</v>
      </c>
      <c r="R2372" s="10">
        <f>+H2372</f>
        <v>2</v>
      </c>
      <c r="S2372" s="11"/>
      <c r="T2372" s="10" t="str">
        <f>+E2372</f>
        <v>차열재마감</v>
      </c>
      <c r="U2372" s="19" t="str">
        <f t="shared" ref="U2372" si="1289">IFERROR(LEFT(G2372,FIND("*",G2372)-1),"-")</f>
        <v>1400</v>
      </c>
      <c r="V2372" s="19" t="str">
        <f t="shared" ref="V2372" si="1290">IFERROR(RIGHT(G2372,LEN(G2372)-FIND("*",G2372)),"-")</f>
        <v>1200</v>
      </c>
      <c r="W2372" s="20">
        <f t="shared" si="1288"/>
        <v>5.2</v>
      </c>
      <c r="X2372" s="20">
        <f>IFERROR(W2372*H2372,"-")</f>
        <v>10.4</v>
      </c>
      <c r="Z2372" s="85">
        <v>45193</v>
      </c>
    </row>
    <row r="2373" spans="1:26" ht="6.95" customHeight="1" x14ac:dyDescent="0.3">
      <c r="A2373" s="5"/>
      <c r="B2373" s="157"/>
      <c r="C2373" s="158"/>
      <c r="D2373" s="161"/>
      <c r="E2373" s="162"/>
      <c r="F2373" s="163"/>
      <c r="G2373" s="164"/>
      <c r="H2373" s="165"/>
      <c r="I2373" s="164"/>
      <c r="J2373" s="165"/>
      <c r="K2373" s="164"/>
      <c r="L2373" s="165"/>
      <c r="M2373" s="6"/>
      <c r="N2373" s="32"/>
      <c r="Q2373" s="10" t="str">
        <f>+CONCATENATE(E2372,I2372)</f>
        <v>차열재마감</v>
      </c>
      <c r="R2373" s="10">
        <f>+J2372</f>
        <v>0</v>
      </c>
      <c r="S2373" s="11"/>
      <c r="T2373" s="10" t="str">
        <f>+E2372</f>
        <v>차열재마감</v>
      </c>
      <c r="U2373" s="19" t="str">
        <f>IFERROR(LEFT(I2372,FIND("*",I2372)-1),"-")</f>
        <v>-</v>
      </c>
      <c r="V2373" s="19" t="str">
        <f>IFERROR(RIGHT(I2372,LEN(I2372)-FIND("*",I2372)),"-")</f>
        <v>-</v>
      </c>
      <c r="W2373" s="20" t="str">
        <f t="shared" si="1288"/>
        <v>-</v>
      </c>
      <c r="X2373" s="20" t="str">
        <f>IFERROR(W2373*J2372,"-")</f>
        <v>-</v>
      </c>
      <c r="Z2373" s="85">
        <v>45193</v>
      </c>
    </row>
    <row r="2374" spans="1:26" ht="6.95" customHeight="1" x14ac:dyDescent="0.3">
      <c r="A2374" s="5"/>
      <c r="B2374" s="157"/>
      <c r="C2374" s="158"/>
      <c r="D2374" s="161"/>
      <c r="E2374" s="162"/>
      <c r="F2374" s="163"/>
      <c r="G2374" s="164"/>
      <c r="H2374" s="165"/>
      <c r="I2374" s="164"/>
      <c r="J2374" s="165"/>
      <c r="K2374" s="164"/>
      <c r="L2374" s="165"/>
      <c r="M2374" s="6"/>
      <c r="N2374" s="32"/>
      <c r="Q2374" s="10" t="str">
        <f>+CONCATENATE(E2372,K2372)</f>
        <v>차열재마감</v>
      </c>
      <c r="R2374" s="10">
        <f>+L2372</f>
        <v>0</v>
      </c>
      <c r="S2374" s="11"/>
      <c r="T2374" s="10" t="str">
        <f>+E2372</f>
        <v>차열재마감</v>
      </c>
      <c r="U2374" s="19" t="str">
        <f>IFERROR(LEFT(K2372,FIND("*",K2372)-1),"-")</f>
        <v>-</v>
      </c>
      <c r="V2374" s="19" t="str">
        <f>IFERROR(RIGHT(K2372,LEN(K2372)-FIND("*",K2372)),"-")</f>
        <v>-</v>
      </c>
      <c r="W2374" s="20" t="str">
        <f t="shared" si="1288"/>
        <v>-</v>
      </c>
      <c r="X2374" s="20" t="str">
        <f>IFERROR(W2374*L2372,"-")</f>
        <v>-</v>
      </c>
      <c r="Z2374" s="85">
        <v>45193</v>
      </c>
    </row>
    <row r="2375" spans="1:26" ht="6.95" customHeight="1" x14ac:dyDescent="0.3">
      <c r="A2375" s="8"/>
      <c r="B2375" s="157"/>
      <c r="C2375" s="158"/>
      <c r="D2375" s="161" t="s">
        <v>39</v>
      </c>
      <c r="E2375" s="162"/>
      <c r="F2375" s="163" t="s">
        <v>40</v>
      </c>
      <c r="G2375" s="164"/>
      <c r="H2375" s="165"/>
      <c r="I2375" s="164"/>
      <c r="J2375" s="165"/>
      <c r="K2375" s="164"/>
      <c r="L2375" s="165"/>
      <c r="M2375" s="6"/>
      <c r="N2375" s="32"/>
      <c r="Q2375" s="10" t="str">
        <f>+CONCATENATE(E2375,G2375)</f>
        <v/>
      </c>
      <c r="R2375" s="10">
        <f>+H2375</f>
        <v>0</v>
      </c>
      <c r="S2375" s="11"/>
      <c r="T2375" s="10">
        <f>+E2375</f>
        <v>0</v>
      </c>
      <c r="U2375" s="19" t="str">
        <f t="shared" ref="U2375" si="1291">IFERROR(LEFT(G2375,FIND("*",G2375)-1),"-")</f>
        <v>-</v>
      </c>
      <c r="V2375" s="19" t="str">
        <f t="shared" ref="V2375" si="1292">IFERROR(RIGHT(G2375,LEN(G2375)-FIND("*",G2375)),"-")</f>
        <v>-</v>
      </c>
      <c r="W2375" s="20" t="str">
        <f t="shared" si="1288"/>
        <v>-</v>
      </c>
      <c r="X2375" s="20" t="str">
        <f>IFERROR(W2375*H2375,"-")</f>
        <v>-</v>
      </c>
      <c r="Z2375" s="85">
        <v>45193</v>
      </c>
    </row>
    <row r="2376" spans="1:26" ht="6.95" customHeight="1" x14ac:dyDescent="0.3">
      <c r="A2376" s="5"/>
      <c r="B2376" s="157"/>
      <c r="C2376" s="158"/>
      <c r="D2376" s="161"/>
      <c r="E2376" s="162"/>
      <c r="F2376" s="163"/>
      <c r="G2376" s="164"/>
      <c r="H2376" s="165"/>
      <c r="I2376" s="164"/>
      <c r="J2376" s="165"/>
      <c r="K2376" s="164"/>
      <c r="L2376" s="165"/>
      <c r="M2376" s="6"/>
      <c r="N2376" s="32"/>
      <c r="Q2376" s="10" t="str">
        <f>+CONCATENATE(E2375,I2375)</f>
        <v/>
      </c>
      <c r="R2376" s="10">
        <f>+J2375</f>
        <v>0</v>
      </c>
      <c r="S2376" s="11"/>
      <c r="T2376" s="10">
        <f>+E2375</f>
        <v>0</v>
      </c>
      <c r="U2376" s="19" t="str">
        <f>IFERROR(LEFT(I2375,FIND("*",I2375)-1),"-")</f>
        <v>-</v>
      </c>
      <c r="V2376" s="19" t="str">
        <f>IFERROR(RIGHT(I2375,LEN(I2375)-FIND("*",I2375)),"-")</f>
        <v>-</v>
      </c>
      <c r="W2376" s="20" t="str">
        <f t="shared" si="1288"/>
        <v>-</v>
      </c>
      <c r="X2376" s="20" t="str">
        <f t="shared" ref="X2376" si="1293">IFERROR(W2376*J2375,"-")</f>
        <v>-</v>
      </c>
      <c r="Z2376" s="85">
        <v>45193</v>
      </c>
    </row>
    <row r="2377" spans="1:26" ht="6.95" customHeight="1" x14ac:dyDescent="0.3">
      <c r="A2377" s="5"/>
      <c r="B2377" s="157"/>
      <c r="C2377" s="158"/>
      <c r="D2377" s="161"/>
      <c r="E2377" s="162"/>
      <c r="F2377" s="163"/>
      <c r="G2377" s="164"/>
      <c r="H2377" s="165"/>
      <c r="I2377" s="164"/>
      <c r="J2377" s="165"/>
      <c r="K2377" s="164"/>
      <c r="L2377" s="165"/>
      <c r="M2377" s="6"/>
      <c r="N2377" s="32"/>
      <c r="Q2377" s="10" t="str">
        <f>+CONCATENATE(E2375,K2375)</f>
        <v/>
      </c>
      <c r="R2377" s="10">
        <f>+L2375</f>
        <v>0</v>
      </c>
      <c r="S2377" s="11"/>
      <c r="T2377" s="10">
        <f>+E2375</f>
        <v>0</v>
      </c>
      <c r="U2377" s="19" t="str">
        <f>IFERROR(LEFT(K2375,FIND("*",K2375)-1),"-")</f>
        <v>-</v>
      </c>
      <c r="V2377" s="19" t="str">
        <f>IFERROR(RIGHT(K2375,LEN(K2375)-FIND("*",K2375)),"-")</f>
        <v>-</v>
      </c>
      <c r="W2377" s="20" t="str">
        <f t="shared" si="1288"/>
        <v>-</v>
      </c>
      <c r="X2377" s="20" t="str">
        <f>IFERROR(W2377*L2375,"-")</f>
        <v>-</v>
      </c>
      <c r="Z2377" s="85">
        <v>45193</v>
      </c>
    </row>
    <row r="2378" spans="1:26" ht="21" customHeight="1" thickBot="1" x14ac:dyDescent="0.35">
      <c r="A2378" s="5"/>
      <c r="B2378" s="159"/>
      <c r="C2378" s="160"/>
      <c r="D2378" s="166" t="s">
        <v>43</v>
      </c>
      <c r="E2378" s="167"/>
      <c r="F2378" s="167"/>
      <c r="G2378" s="168" t="s">
        <v>206</v>
      </c>
      <c r="H2378" s="168"/>
      <c r="I2378" s="168"/>
      <c r="J2378" s="168"/>
      <c r="K2378" s="168"/>
      <c r="L2378" s="168"/>
      <c r="M2378" s="7"/>
      <c r="N2378" s="32"/>
      <c r="Z2378" s="85">
        <v>45193</v>
      </c>
    </row>
    <row r="2379" spans="1:26" ht="9.9499999999999993" customHeight="1" thickBot="1" x14ac:dyDescent="0.35">
      <c r="B2379" s="9"/>
      <c r="C2379" s="109">
        <v>1015</v>
      </c>
      <c r="D2379" s="51"/>
      <c r="E2379" s="12"/>
      <c r="F2379" s="51"/>
      <c r="G2379" s="14"/>
      <c r="H2379" s="14"/>
      <c r="I2379" s="14"/>
      <c r="J2379" s="14"/>
      <c r="K2379" s="14"/>
      <c r="L2379" s="14"/>
      <c r="M2379" s="9"/>
      <c r="N2379" s="32"/>
      <c r="U2379" s="18"/>
      <c r="V2379" s="18"/>
      <c r="Z2379" s="85">
        <v>45193</v>
      </c>
    </row>
    <row r="2380" spans="1:26" ht="6.95" customHeight="1" x14ac:dyDescent="0.3">
      <c r="A2380" s="154">
        <f>+A2369+1</f>
        <v>1016</v>
      </c>
      <c r="B2380" s="155"/>
      <c r="C2380" s="156"/>
      <c r="D2380" s="161" t="s">
        <v>39</v>
      </c>
      <c r="E2380" s="162" t="s">
        <v>111</v>
      </c>
      <c r="F2380" s="163" t="s">
        <v>40</v>
      </c>
      <c r="G2380" s="164" t="s">
        <v>250</v>
      </c>
      <c r="H2380" s="165">
        <v>1</v>
      </c>
      <c r="I2380" s="164"/>
      <c r="J2380" s="165"/>
      <c r="K2380" s="164"/>
      <c r="L2380" s="165"/>
      <c r="M2380" s="6"/>
      <c r="N2380" s="32"/>
      <c r="Q2380" s="10" t="str">
        <f>+CONCATENATE(E2380,G2380)</f>
        <v>보온덕트벽체2000*800</v>
      </c>
      <c r="R2380" s="10">
        <f>+H2380</f>
        <v>1</v>
      </c>
      <c r="S2380" s="11"/>
      <c r="T2380" s="10" t="str">
        <f>+E2380</f>
        <v>보온덕트벽체</v>
      </c>
      <c r="U2380" s="19" t="str">
        <f>IFERROR(LEFT(G2380,FIND("*",G2380)-1),"-")</f>
        <v>2000</v>
      </c>
      <c r="V2380" s="19" t="str">
        <f>IFERROR(RIGHT(G2380,LEN(G2380)-FIND("*",G2380)),"-")</f>
        <v>800</v>
      </c>
      <c r="W2380" s="20">
        <f>IFERROR((U2380+V2380)*2/1000,"-")</f>
        <v>5.6</v>
      </c>
      <c r="X2380" s="20">
        <f>IFERROR(W2380*H2380,"-")</f>
        <v>5.6</v>
      </c>
      <c r="Z2380" s="85">
        <v>45193</v>
      </c>
    </row>
    <row r="2381" spans="1:26" ht="6.95" customHeight="1" x14ac:dyDescent="0.3">
      <c r="A2381" s="154"/>
      <c r="B2381" s="157"/>
      <c r="C2381" s="158"/>
      <c r="D2381" s="161"/>
      <c r="E2381" s="162"/>
      <c r="F2381" s="163"/>
      <c r="G2381" s="164"/>
      <c r="H2381" s="165"/>
      <c r="I2381" s="164"/>
      <c r="J2381" s="165"/>
      <c r="K2381" s="164"/>
      <c r="L2381" s="165"/>
      <c r="M2381" s="6"/>
      <c r="N2381" s="32"/>
      <c r="Q2381" s="10" t="str">
        <f>+CONCATENATE(E2380,I2380)</f>
        <v>보온덕트벽체</v>
      </c>
      <c r="R2381" s="10">
        <f>+J2380</f>
        <v>0</v>
      </c>
      <c r="S2381" s="11"/>
      <c r="T2381" s="10" t="str">
        <f>+E2380</f>
        <v>보온덕트벽체</v>
      </c>
      <c r="U2381" s="19" t="str">
        <f>IFERROR(LEFT(I2380,FIND("*",I2380)-1),"-")</f>
        <v>-</v>
      </c>
      <c r="V2381" s="19" t="str">
        <f>IFERROR(RIGHT(I2380,LEN(I2380)-FIND("*",I2380)),"-")</f>
        <v>-</v>
      </c>
      <c r="W2381" s="20" t="str">
        <f t="shared" ref="W2381:W2388" si="1294">IFERROR((U2381+V2381)*2/1000,"-")</f>
        <v>-</v>
      </c>
      <c r="X2381" s="20" t="str">
        <f>IFERROR(W2381*J2380,"-")</f>
        <v>-</v>
      </c>
      <c r="Z2381" s="85">
        <v>45193</v>
      </c>
    </row>
    <row r="2382" spans="1:26" ht="6.95" customHeight="1" x14ac:dyDescent="0.3">
      <c r="A2382" s="154"/>
      <c r="B2382" s="157"/>
      <c r="C2382" s="158"/>
      <c r="D2382" s="161"/>
      <c r="E2382" s="162"/>
      <c r="F2382" s="163"/>
      <c r="G2382" s="164"/>
      <c r="H2382" s="165"/>
      <c r="I2382" s="164"/>
      <c r="J2382" s="165"/>
      <c r="K2382" s="164"/>
      <c r="L2382" s="165"/>
      <c r="M2382" s="6"/>
      <c r="N2382" s="32"/>
      <c r="Q2382" s="10" t="str">
        <f>+CONCATENATE(E2380,K2380)</f>
        <v>보온덕트벽체</v>
      </c>
      <c r="R2382" s="10">
        <f>+L2380</f>
        <v>0</v>
      </c>
      <c r="S2382" s="11"/>
      <c r="T2382" s="10" t="str">
        <f>+E2380</f>
        <v>보온덕트벽체</v>
      </c>
      <c r="U2382" s="19" t="str">
        <f>IFERROR(LEFT(K2380,FIND("*",K2380)-1),"-")</f>
        <v>-</v>
      </c>
      <c r="V2382" s="19" t="str">
        <f>IFERROR(RIGHT(K2380,LEN(K2380)-FIND("*",K2380)),"-")</f>
        <v>-</v>
      </c>
      <c r="W2382" s="20" t="str">
        <f t="shared" si="1294"/>
        <v>-</v>
      </c>
      <c r="X2382" s="20" t="str">
        <f>IFERROR(W2382*L2380,"-")</f>
        <v>-</v>
      </c>
      <c r="Z2382" s="85">
        <v>45193</v>
      </c>
    </row>
    <row r="2383" spans="1:26" ht="6.95" customHeight="1" x14ac:dyDescent="0.3">
      <c r="A2383" s="8"/>
      <c r="B2383" s="157"/>
      <c r="C2383" s="158"/>
      <c r="D2383" s="161" t="s">
        <v>39</v>
      </c>
      <c r="E2383" s="162" t="s">
        <v>188</v>
      </c>
      <c r="F2383" s="163" t="s">
        <v>40</v>
      </c>
      <c r="G2383" s="164" t="s">
        <v>250</v>
      </c>
      <c r="H2383" s="165">
        <v>2</v>
      </c>
      <c r="I2383" s="164"/>
      <c r="J2383" s="165"/>
      <c r="K2383" s="164"/>
      <c r="L2383" s="165"/>
      <c r="M2383" s="6"/>
      <c r="N2383" s="32"/>
      <c r="Q2383" s="10" t="str">
        <f>+CONCATENATE(E2383,G2383)</f>
        <v>차열재마감2000*800</v>
      </c>
      <c r="R2383" s="10">
        <f>+H2383</f>
        <v>2</v>
      </c>
      <c r="S2383" s="11"/>
      <c r="T2383" s="10" t="str">
        <f>+E2383</f>
        <v>차열재마감</v>
      </c>
      <c r="U2383" s="19" t="str">
        <f t="shared" ref="U2383" si="1295">IFERROR(LEFT(G2383,FIND("*",G2383)-1),"-")</f>
        <v>2000</v>
      </c>
      <c r="V2383" s="19" t="str">
        <f t="shared" ref="V2383" si="1296">IFERROR(RIGHT(G2383,LEN(G2383)-FIND("*",G2383)),"-")</f>
        <v>800</v>
      </c>
      <c r="W2383" s="20">
        <f t="shared" si="1294"/>
        <v>5.6</v>
      </c>
      <c r="X2383" s="20">
        <f>IFERROR(W2383*H2383,"-")</f>
        <v>11.2</v>
      </c>
      <c r="Z2383" s="85">
        <v>45193</v>
      </c>
    </row>
    <row r="2384" spans="1:26" ht="6.95" customHeight="1" x14ac:dyDescent="0.3">
      <c r="A2384" s="5"/>
      <c r="B2384" s="157"/>
      <c r="C2384" s="158"/>
      <c r="D2384" s="161"/>
      <c r="E2384" s="162"/>
      <c r="F2384" s="163"/>
      <c r="G2384" s="164"/>
      <c r="H2384" s="165"/>
      <c r="I2384" s="164"/>
      <c r="J2384" s="165"/>
      <c r="K2384" s="164"/>
      <c r="L2384" s="165"/>
      <c r="M2384" s="6"/>
      <c r="N2384" s="32"/>
      <c r="Q2384" s="10" t="str">
        <f>+CONCATENATE(E2383,I2383)</f>
        <v>차열재마감</v>
      </c>
      <c r="R2384" s="10">
        <f>+J2383</f>
        <v>0</v>
      </c>
      <c r="S2384" s="11"/>
      <c r="T2384" s="10" t="str">
        <f>+E2383</f>
        <v>차열재마감</v>
      </c>
      <c r="U2384" s="19" t="str">
        <f>IFERROR(LEFT(I2383,FIND("*",I2383)-1),"-")</f>
        <v>-</v>
      </c>
      <c r="V2384" s="19" t="str">
        <f>IFERROR(RIGHT(I2383,LEN(I2383)-FIND("*",I2383)),"-")</f>
        <v>-</v>
      </c>
      <c r="W2384" s="20" t="str">
        <f t="shared" si="1294"/>
        <v>-</v>
      </c>
      <c r="X2384" s="20" t="str">
        <f>IFERROR(W2384*J2383,"-")</f>
        <v>-</v>
      </c>
      <c r="Z2384" s="85">
        <v>45193</v>
      </c>
    </row>
    <row r="2385" spans="1:26" ht="6.95" customHeight="1" x14ac:dyDescent="0.3">
      <c r="A2385" s="5"/>
      <c r="B2385" s="157"/>
      <c r="C2385" s="158"/>
      <c r="D2385" s="161"/>
      <c r="E2385" s="162"/>
      <c r="F2385" s="163"/>
      <c r="G2385" s="164"/>
      <c r="H2385" s="165"/>
      <c r="I2385" s="164"/>
      <c r="J2385" s="165"/>
      <c r="K2385" s="164"/>
      <c r="L2385" s="165"/>
      <c r="M2385" s="6"/>
      <c r="N2385" s="32"/>
      <c r="Q2385" s="10" t="str">
        <f>+CONCATENATE(E2383,K2383)</f>
        <v>차열재마감</v>
      </c>
      <c r="R2385" s="10">
        <f>+L2383</f>
        <v>0</v>
      </c>
      <c r="S2385" s="11"/>
      <c r="T2385" s="10" t="str">
        <f>+E2383</f>
        <v>차열재마감</v>
      </c>
      <c r="U2385" s="19" t="str">
        <f>IFERROR(LEFT(K2383,FIND("*",K2383)-1),"-")</f>
        <v>-</v>
      </c>
      <c r="V2385" s="19" t="str">
        <f>IFERROR(RIGHT(K2383,LEN(K2383)-FIND("*",K2383)),"-")</f>
        <v>-</v>
      </c>
      <c r="W2385" s="20" t="str">
        <f t="shared" si="1294"/>
        <v>-</v>
      </c>
      <c r="X2385" s="20" t="str">
        <f>IFERROR(W2385*L2383,"-")</f>
        <v>-</v>
      </c>
      <c r="Z2385" s="85">
        <v>45193</v>
      </c>
    </row>
    <row r="2386" spans="1:26" ht="6.95" customHeight="1" x14ac:dyDescent="0.3">
      <c r="A2386" s="8"/>
      <c r="B2386" s="157"/>
      <c r="C2386" s="158"/>
      <c r="D2386" s="161" t="s">
        <v>39</v>
      </c>
      <c r="E2386" s="162"/>
      <c r="F2386" s="163" t="s">
        <v>40</v>
      </c>
      <c r="G2386" s="164"/>
      <c r="H2386" s="165"/>
      <c r="I2386" s="164"/>
      <c r="J2386" s="165"/>
      <c r="K2386" s="164"/>
      <c r="L2386" s="165"/>
      <c r="M2386" s="6"/>
      <c r="N2386" s="32"/>
      <c r="Q2386" s="10" t="str">
        <f>+CONCATENATE(E2386,G2386)</f>
        <v/>
      </c>
      <c r="R2386" s="10">
        <f>+H2386</f>
        <v>0</v>
      </c>
      <c r="S2386" s="11"/>
      <c r="T2386" s="10">
        <f>+E2386</f>
        <v>0</v>
      </c>
      <c r="U2386" s="19" t="str">
        <f t="shared" ref="U2386" si="1297">IFERROR(LEFT(G2386,FIND("*",G2386)-1),"-")</f>
        <v>-</v>
      </c>
      <c r="V2386" s="19" t="str">
        <f t="shared" ref="V2386" si="1298">IFERROR(RIGHT(G2386,LEN(G2386)-FIND("*",G2386)),"-")</f>
        <v>-</v>
      </c>
      <c r="W2386" s="20" t="str">
        <f t="shared" si="1294"/>
        <v>-</v>
      </c>
      <c r="X2386" s="20" t="str">
        <f>IFERROR(W2386*H2386,"-")</f>
        <v>-</v>
      </c>
      <c r="Z2386" s="85">
        <v>45193</v>
      </c>
    </row>
    <row r="2387" spans="1:26" ht="6.95" customHeight="1" x14ac:dyDescent="0.3">
      <c r="A2387" s="5"/>
      <c r="B2387" s="157"/>
      <c r="C2387" s="158"/>
      <c r="D2387" s="161"/>
      <c r="E2387" s="162"/>
      <c r="F2387" s="163"/>
      <c r="G2387" s="164"/>
      <c r="H2387" s="165"/>
      <c r="I2387" s="164"/>
      <c r="J2387" s="165"/>
      <c r="K2387" s="164"/>
      <c r="L2387" s="165"/>
      <c r="M2387" s="6"/>
      <c r="N2387" s="32"/>
      <c r="Q2387" s="10" t="str">
        <f>+CONCATENATE(E2386,I2386)</f>
        <v/>
      </c>
      <c r="R2387" s="10">
        <f>+J2386</f>
        <v>0</v>
      </c>
      <c r="S2387" s="11"/>
      <c r="T2387" s="10">
        <f>+E2386</f>
        <v>0</v>
      </c>
      <c r="U2387" s="19" t="str">
        <f>IFERROR(LEFT(I2386,FIND("*",I2386)-1),"-")</f>
        <v>-</v>
      </c>
      <c r="V2387" s="19" t="str">
        <f>IFERROR(RIGHT(I2386,LEN(I2386)-FIND("*",I2386)),"-")</f>
        <v>-</v>
      </c>
      <c r="W2387" s="20" t="str">
        <f t="shared" si="1294"/>
        <v>-</v>
      </c>
      <c r="X2387" s="20" t="str">
        <f t="shared" ref="X2387" si="1299">IFERROR(W2387*J2386,"-")</f>
        <v>-</v>
      </c>
      <c r="Z2387" s="85">
        <v>45193</v>
      </c>
    </row>
    <row r="2388" spans="1:26" ht="6.95" customHeight="1" x14ac:dyDescent="0.3">
      <c r="A2388" s="5"/>
      <c r="B2388" s="157"/>
      <c r="C2388" s="158"/>
      <c r="D2388" s="161"/>
      <c r="E2388" s="162"/>
      <c r="F2388" s="163"/>
      <c r="G2388" s="164"/>
      <c r="H2388" s="165"/>
      <c r="I2388" s="164"/>
      <c r="J2388" s="165"/>
      <c r="K2388" s="164"/>
      <c r="L2388" s="165"/>
      <c r="M2388" s="6"/>
      <c r="N2388" s="32"/>
      <c r="Q2388" s="10" t="str">
        <f>+CONCATENATE(E2386,K2386)</f>
        <v/>
      </c>
      <c r="R2388" s="10">
        <f>+L2386</f>
        <v>0</v>
      </c>
      <c r="S2388" s="11"/>
      <c r="T2388" s="10">
        <f>+E2386</f>
        <v>0</v>
      </c>
      <c r="U2388" s="19" t="str">
        <f>IFERROR(LEFT(K2386,FIND("*",K2386)-1),"-")</f>
        <v>-</v>
      </c>
      <c r="V2388" s="19" t="str">
        <f>IFERROR(RIGHT(K2386,LEN(K2386)-FIND("*",K2386)),"-")</f>
        <v>-</v>
      </c>
      <c r="W2388" s="20" t="str">
        <f t="shared" si="1294"/>
        <v>-</v>
      </c>
      <c r="X2388" s="20" t="str">
        <f>IFERROR(W2388*L2386,"-")</f>
        <v>-</v>
      </c>
      <c r="Z2388" s="85">
        <v>45193</v>
      </c>
    </row>
    <row r="2389" spans="1:26" ht="21" customHeight="1" thickBot="1" x14ac:dyDescent="0.35">
      <c r="A2389" s="5"/>
      <c r="B2389" s="159"/>
      <c r="C2389" s="160"/>
      <c r="D2389" s="166" t="s">
        <v>43</v>
      </c>
      <c r="E2389" s="167"/>
      <c r="F2389" s="167"/>
      <c r="G2389" s="168" t="s">
        <v>206</v>
      </c>
      <c r="H2389" s="168"/>
      <c r="I2389" s="168"/>
      <c r="J2389" s="168"/>
      <c r="K2389" s="168"/>
      <c r="L2389" s="168"/>
      <c r="M2389" s="7"/>
      <c r="N2389" s="33"/>
      <c r="Z2389" s="85">
        <v>45193</v>
      </c>
    </row>
    <row r="2390" spans="1:26" ht="9.9499999999999993" customHeight="1" thickBot="1" x14ac:dyDescent="0.35">
      <c r="B2390" s="9"/>
      <c r="C2390" s="109">
        <v>1016</v>
      </c>
      <c r="D2390" s="51"/>
      <c r="E2390" s="12"/>
      <c r="F2390" s="51"/>
      <c r="G2390" s="14"/>
      <c r="H2390" s="14"/>
      <c r="I2390" s="14"/>
      <c r="J2390" s="14"/>
      <c r="K2390" s="14"/>
      <c r="L2390" s="14"/>
      <c r="M2390" s="9"/>
      <c r="N2390" s="32"/>
      <c r="U2390" s="18"/>
      <c r="V2390" s="18"/>
      <c r="Z2390" s="85">
        <v>45193</v>
      </c>
    </row>
    <row r="2391" spans="1:26" ht="6.95" customHeight="1" x14ac:dyDescent="0.3">
      <c r="A2391" s="154">
        <f>+A2380+1</f>
        <v>1017</v>
      </c>
      <c r="B2391" s="155"/>
      <c r="C2391" s="156"/>
      <c r="D2391" s="161" t="s">
        <v>39</v>
      </c>
      <c r="E2391" s="162" t="s">
        <v>115</v>
      </c>
      <c r="F2391" s="163" t="s">
        <v>40</v>
      </c>
      <c r="G2391" s="164" t="s">
        <v>298</v>
      </c>
      <c r="H2391" s="165">
        <v>1</v>
      </c>
      <c r="I2391" s="164"/>
      <c r="J2391" s="165"/>
      <c r="K2391" s="164"/>
      <c r="L2391" s="165"/>
      <c r="M2391" s="6"/>
      <c r="N2391" s="32"/>
      <c r="Q2391" s="10" t="str">
        <f>+CONCATENATE(E2391,G2391)</f>
        <v>무보온덕트벽체2200*600</v>
      </c>
      <c r="R2391" s="10">
        <f>+H2391</f>
        <v>1</v>
      </c>
      <c r="S2391" s="11"/>
      <c r="T2391" s="10" t="str">
        <f>+E2391</f>
        <v>무보온덕트벽체</v>
      </c>
      <c r="U2391" s="19" t="str">
        <f>IFERROR(LEFT(G2391,FIND("*",G2391)-1),"-")</f>
        <v>2200</v>
      </c>
      <c r="V2391" s="19" t="str">
        <f>IFERROR(RIGHT(G2391,LEN(G2391)-FIND("*",G2391)),"-")</f>
        <v>600</v>
      </c>
      <c r="W2391" s="20">
        <f>IFERROR((U2391+V2391)*2/1000,"-")</f>
        <v>5.6</v>
      </c>
      <c r="X2391" s="20">
        <f>IFERROR(W2391*H2391,"-")</f>
        <v>5.6</v>
      </c>
      <c r="Z2391" s="85">
        <v>45193</v>
      </c>
    </row>
    <row r="2392" spans="1:26" ht="6.95" customHeight="1" x14ac:dyDescent="0.3">
      <c r="A2392" s="154"/>
      <c r="B2392" s="157"/>
      <c r="C2392" s="158"/>
      <c r="D2392" s="161"/>
      <c r="E2392" s="162"/>
      <c r="F2392" s="163"/>
      <c r="G2392" s="164"/>
      <c r="H2392" s="165"/>
      <c r="I2392" s="164"/>
      <c r="J2392" s="165"/>
      <c r="K2392" s="164"/>
      <c r="L2392" s="165"/>
      <c r="M2392" s="6"/>
      <c r="N2392" s="32"/>
      <c r="Q2392" s="10" t="str">
        <f>+CONCATENATE(E2391,I2391)</f>
        <v>무보온덕트벽체</v>
      </c>
      <c r="R2392" s="10">
        <f>+J2391</f>
        <v>0</v>
      </c>
      <c r="S2392" s="11"/>
      <c r="T2392" s="10" t="str">
        <f>+E2391</f>
        <v>무보온덕트벽체</v>
      </c>
      <c r="U2392" s="19" t="str">
        <f>IFERROR(LEFT(I2391,FIND("*",I2391)-1),"-")</f>
        <v>-</v>
      </c>
      <c r="V2392" s="19" t="str">
        <f>IFERROR(RIGHT(I2391,LEN(I2391)-FIND("*",I2391)),"-")</f>
        <v>-</v>
      </c>
      <c r="W2392" s="20" t="str">
        <f t="shared" ref="W2392:W2399" si="1300">IFERROR((U2392+V2392)*2/1000,"-")</f>
        <v>-</v>
      </c>
      <c r="X2392" s="20" t="str">
        <f>IFERROR(W2392*J2391,"-")</f>
        <v>-</v>
      </c>
      <c r="Z2392" s="85">
        <v>45193</v>
      </c>
    </row>
    <row r="2393" spans="1:26" ht="6.95" customHeight="1" x14ac:dyDescent="0.3">
      <c r="A2393" s="154"/>
      <c r="B2393" s="157"/>
      <c r="C2393" s="158"/>
      <c r="D2393" s="161"/>
      <c r="E2393" s="162"/>
      <c r="F2393" s="163"/>
      <c r="G2393" s="164"/>
      <c r="H2393" s="165"/>
      <c r="I2393" s="164"/>
      <c r="J2393" s="165"/>
      <c r="K2393" s="164"/>
      <c r="L2393" s="165"/>
      <c r="M2393" s="6"/>
      <c r="N2393" s="32"/>
      <c r="Q2393" s="10" t="str">
        <f>+CONCATENATE(E2391,K2391)</f>
        <v>무보온덕트벽체</v>
      </c>
      <c r="R2393" s="10">
        <f>+L2391</f>
        <v>0</v>
      </c>
      <c r="S2393" s="11"/>
      <c r="T2393" s="10" t="str">
        <f>+E2391</f>
        <v>무보온덕트벽체</v>
      </c>
      <c r="U2393" s="19" t="str">
        <f>IFERROR(LEFT(K2391,FIND("*",K2391)-1),"-")</f>
        <v>-</v>
      </c>
      <c r="V2393" s="19" t="str">
        <f>IFERROR(RIGHT(K2391,LEN(K2391)-FIND("*",K2391)),"-")</f>
        <v>-</v>
      </c>
      <c r="W2393" s="20" t="str">
        <f t="shared" si="1300"/>
        <v>-</v>
      </c>
      <c r="X2393" s="20" t="str">
        <f>IFERROR(W2393*L2391,"-")</f>
        <v>-</v>
      </c>
      <c r="Z2393" s="85">
        <v>45193</v>
      </c>
    </row>
    <row r="2394" spans="1:26" ht="6.95" customHeight="1" x14ac:dyDescent="0.3">
      <c r="A2394" s="8"/>
      <c r="B2394" s="157"/>
      <c r="C2394" s="158"/>
      <c r="D2394" s="161" t="s">
        <v>39</v>
      </c>
      <c r="E2394" s="162" t="s">
        <v>188</v>
      </c>
      <c r="F2394" s="163" t="s">
        <v>40</v>
      </c>
      <c r="G2394" s="164" t="s">
        <v>298</v>
      </c>
      <c r="H2394" s="165">
        <v>1</v>
      </c>
      <c r="I2394" s="164"/>
      <c r="J2394" s="165"/>
      <c r="K2394" s="164"/>
      <c r="L2394" s="165"/>
      <c r="M2394" s="6"/>
      <c r="N2394" s="32"/>
      <c r="Q2394" s="10" t="str">
        <f>+CONCATENATE(E2394,G2394)</f>
        <v>차열재마감2200*600</v>
      </c>
      <c r="R2394" s="10">
        <f>+H2394</f>
        <v>1</v>
      </c>
      <c r="S2394" s="11"/>
      <c r="T2394" s="10" t="str">
        <f>+E2394</f>
        <v>차열재마감</v>
      </c>
      <c r="U2394" s="19" t="str">
        <f t="shared" ref="U2394" si="1301">IFERROR(LEFT(G2394,FIND("*",G2394)-1),"-")</f>
        <v>2200</v>
      </c>
      <c r="V2394" s="19" t="str">
        <f t="shared" ref="V2394" si="1302">IFERROR(RIGHT(G2394,LEN(G2394)-FIND("*",G2394)),"-")</f>
        <v>600</v>
      </c>
      <c r="W2394" s="20">
        <f t="shared" si="1300"/>
        <v>5.6</v>
      </c>
      <c r="X2394" s="20">
        <f>IFERROR(W2394*H2394,"-")</f>
        <v>5.6</v>
      </c>
      <c r="Z2394" s="85">
        <v>45193</v>
      </c>
    </row>
    <row r="2395" spans="1:26" ht="6.95" customHeight="1" x14ac:dyDescent="0.3">
      <c r="A2395" s="5"/>
      <c r="B2395" s="157"/>
      <c r="C2395" s="158"/>
      <c r="D2395" s="161"/>
      <c r="E2395" s="162"/>
      <c r="F2395" s="163"/>
      <c r="G2395" s="164"/>
      <c r="H2395" s="165"/>
      <c r="I2395" s="164"/>
      <c r="J2395" s="165"/>
      <c r="K2395" s="164"/>
      <c r="L2395" s="165"/>
      <c r="M2395" s="6"/>
      <c r="N2395" s="32"/>
      <c r="Q2395" s="10" t="str">
        <f>+CONCATENATE(E2394,I2394)</f>
        <v>차열재마감</v>
      </c>
      <c r="R2395" s="10">
        <f>+J2394</f>
        <v>0</v>
      </c>
      <c r="S2395" s="11"/>
      <c r="T2395" s="10" t="str">
        <f>+E2394</f>
        <v>차열재마감</v>
      </c>
      <c r="U2395" s="19" t="str">
        <f>IFERROR(LEFT(I2394,FIND("*",I2394)-1),"-")</f>
        <v>-</v>
      </c>
      <c r="V2395" s="19" t="str">
        <f>IFERROR(RIGHT(I2394,LEN(I2394)-FIND("*",I2394)),"-")</f>
        <v>-</v>
      </c>
      <c r="W2395" s="20" t="str">
        <f t="shared" si="1300"/>
        <v>-</v>
      </c>
      <c r="X2395" s="20" t="str">
        <f>IFERROR(W2395*J2394,"-")</f>
        <v>-</v>
      </c>
      <c r="Z2395" s="85">
        <v>45193</v>
      </c>
    </row>
    <row r="2396" spans="1:26" ht="6.95" customHeight="1" x14ac:dyDescent="0.3">
      <c r="A2396" s="5"/>
      <c r="B2396" s="157"/>
      <c r="C2396" s="158"/>
      <c r="D2396" s="161"/>
      <c r="E2396" s="162"/>
      <c r="F2396" s="163"/>
      <c r="G2396" s="164"/>
      <c r="H2396" s="165"/>
      <c r="I2396" s="164"/>
      <c r="J2396" s="165"/>
      <c r="K2396" s="164"/>
      <c r="L2396" s="165"/>
      <c r="M2396" s="6"/>
      <c r="N2396" s="32"/>
      <c r="Q2396" s="10" t="str">
        <f>+CONCATENATE(E2394,K2394)</f>
        <v>차열재마감</v>
      </c>
      <c r="R2396" s="10">
        <f>+L2394</f>
        <v>0</v>
      </c>
      <c r="S2396" s="11"/>
      <c r="T2396" s="10" t="str">
        <f>+E2394</f>
        <v>차열재마감</v>
      </c>
      <c r="U2396" s="19" t="str">
        <f>IFERROR(LEFT(K2394,FIND("*",K2394)-1),"-")</f>
        <v>-</v>
      </c>
      <c r="V2396" s="19" t="str">
        <f>IFERROR(RIGHT(K2394,LEN(K2394)-FIND("*",K2394)),"-")</f>
        <v>-</v>
      </c>
      <c r="W2396" s="20" t="str">
        <f t="shared" si="1300"/>
        <v>-</v>
      </c>
      <c r="X2396" s="20" t="str">
        <f>IFERROR(W2396*L2394,"-")</f>
        <v>-</v>
      </c>
      <c r="Z2396" s="85">
        <v>45193</v>
      </c>
    </row>
    <row r="2397" spans="1:26" ht="6.95" customHeight="1" x14ac:dyDescent="0.3">
      <c r="A2397" s="8"/>
      <c r="B2397" s="157"/>
      <c r="C2397" s="158"/>
      <c r="D2397" s="161" t="s">
        <v>39</v>
      </c>
      <c r="E2397" s="162"/>
      <c r="F2397" s="163" t="s">
        <v>40</v>
      </c>
      <c r="G2397" s="164"/>
      <c r="H2397" s="165"/>
      <c r="I2397" s="164"/>
      <c r="J2397" s="165"/>
      <c r="K2397" s="164"/>
      <c r="L2397" s="165"/>
      <c r="M2397" s="6"/>
      <c r="N2397" s="32"/>
      <c r="Q2397" s="10" t="str">
        <f>+CONCATENATE(E2397,G2397)</f>
        <v/>
      </c>
      <c r="R2397" s="10">
        <f>+H2397</f>
        <v>0</v>
      </c>
      <c r="S2397" s="11"/>
      <c r="T2397" s="10">
        <f>+E2397</f>
        <v>0</v>
      </c>
      <c r="U2397" s="19" t="str">
        <f t="shared" ref="U2397" si="1303">IFERROR(LEFT(G2397,FIND("*",G2397)-1),"-")</f>
        <v>-</v>
      </c>
      <c r="V2397" s="19" t="str">
        <f t="shared" ref="V2397" si="1304">IFERROR(RIGHT(G2397,LEN(G2397)-FIND("*",G2397)),"-")</f>
        <v>-</v>
      </c>
      <c r="W2397" s="20" t="str">
        <f t="shared" si="1300"/>
        <v>-</v>
      </c>
      <c r="X2397" s="20" t="str">
        <f>IFERROR(W2397*H2397,"-")</f>
        <v>-</v>
      </c>
      <c r="Z2397" s="85">
        <v>45193</v>
      </c>
    </row>
    <row r="2398" spans="1:26" ht="6.95" customHeight="1" x14ac:dyDescent="0.3">
      <c r="A2398" s="5"/>
      <c r="B2398" s="157"/>
      <c r="C2398" s="158"/>
      <c r="D2398" s="161"/>
      <c r="E2398" s="162"/>
      <c r="F2398" s="163"/>
      <c r="G2398" s="164"/>
      <c r="H2398" s="165"/>
      <c r="I2398" s="164"/>
      <c r="J2398" s="165"/>
      <c r="K2398" s="164"/>
      <c r="L2398" s="165"/>
      <c r="M2398" s="6"/>
      <c r="N2398" s="32"/>
      <c r="Q2398" s="10" t="str">
        <f>+CONCATENATE(E2397,I2397)</f>
        <v/>
      </c>
      <c r="R2398" s="10">
        <f>+J2397</f>
        <v>0</v>
      </c>
      <c r="S2398" s="11"/>
      <c r="T2398" s="10">
        <f>+E2397</f>
        <v>0</v>
      </c>
      <c r="U2398" s="19" t="str">
        <f>IFERROR(LEFT(I2397,FIND("*",I2397)-1),"-")</f>
        <v>-</v>
      </c>
      <c r="V2398" s="19" t="str">
        <f>IFERROR(RIGHT(I2397,LEN(I2397)-FIND("*",I2397)),"-")</f>
        <v>-</v>
      </c>
      <c r="W2398" s="20" t="str">
        <f t="shared" si="1300"/>
        <v>-</v>
      </c>
      <c r="X2398" s="20" t="str">
        <f t="shared" ref="X2398" si="1305">IFERROR(W2398*J2397,"-")</f>
        <v>-</v>
      </c>
      <c r="Z2398" s="85">
        <v>45193</v>
      </c>
    </row>
    <row r="2399" spans="1:26" ht="6.95" customHeight="1" x14ac:dyDescent="0.3">
      <c r="A2399" s="5"/>
      <c r="B2399" s="157"/>
      <c r="C2399" s="158"/>
      <c r="D2399" s="161"/>
      <c r="E2399" s="162"/>
      <c r="F2399" s="163"/>
      <c r="G2399" s="164"/>
      <c r="H2399" s="165"/>
      <c r="I2399" s="164"/>
      <c r="J2399" s="165"/>
      <c r="K2399" s="164"/>
      <c r="L2399" s="165"/>
      <c r="M2399" s="6"/>
      <c r="N2399" s="32"/>
      <c r="Q2399" s="10" t="str">
        <f>+CONCATENATE(E2397,K2397)</f>
        <v/>
      </c>
      <c r="R2399" s="10">
        <f>+L2397</f>
        <v>0</v>
      </c>
      <c r="S2399" s="11"/>
      <c r="T2399" s="10">
        <f>+E2397</f>
        <v>0</v>
      </c>
      <c r="U2399" s="19" t="str">
        <f>IFERROR(LEFT(K2397,FIND("*",K2397)-1),"-")</f>
        <v>-</v>
      </c>
      <c r="V2399" s="19" t="str">
        <f>IFERROR(RIGHT(K2397,LEN(K2397)-FIND("*",K2397)),"-")</f>
        <v>-</v>
      </c>
      <c r="W2399" s="20" t="str">
        <f t="shared" si="1300"/>
        <v>-</v>
      </c>
      <c r="X2399" s="20" t="str">
        <f>IFERROR(W2399*L2397,"-")</f>
        <v>-</v>
      </c>
      <c r="Z2399" s="85">
        <v>45193</v>
      </c>
    </row>
    <row r="2400" spans="1:26" ht="21" customHeight="1" thickBot="1" x14ac:dyDescent="0.35">
      <c r="A2400" s="5"/>
      <c r="B2400" s="159"/>
      <c r="C2400" s="160"/>
      <c r="D2400" s="166" t="s">
        <v>43</v>
      </c>
      <c r="E2400" s="167"/>
      <c r="F2400" s="167"/>
      <c r="G2400" s="168" t="s">
        <v>208</v>
      </c>
      <c r="H2400" s="168"/>
      <c r="I2400" s="168"/>
      <c r="J2400" s="168"/>
      <c r="K2400" s="168"/>
      <c r="L2400" s="168"/>
      <c r="M2400" s="7"/>
      <c r="N2400" s="32"/>
      <c r="Z2400" s="85">
        <v>45193</v>
      </c>
    </row>
    <row r="2401" spans="1:26" ht="9.9499999999999993" customHeight="1" thickBot="1" x14ac:dyDescent="0.35">
      <c r="B2401" s="9"/>
      <c r="C2401" s="109">
        <v>1017</v>
      </c>
      <c r="D2401" s="51"/>
      <c r="E2401" s="12"/>
      <c r="F2401" s="51"/>
      <c r="G2401" s="14"/>
      <c r="H2401" s="14"/>
      <c r="I2401" s="14"/>
      <c r="J2401" s="14"/>
      <c r="K2401" s="14"/>
      <c r="L2401" s="14"/>
      <c r="M2401" s="9"/>
      <c r="N2401" s="32"/>
      <c r="U2401" s="18"/>
      <c r="V2401" s="18"/>
      <c r="Z2401" s="85">
        <v>45193</v>
      </c>
    </row>
    <row r="2402" spans="1:26" ht="6.95" customHeight="1" x14ac:dyDescent="0.3">
      <c r="A2402" s="154">
        <f>+A2391+1</f>
        <v>1018</v>
      </c>
      <c r="B2402" s="155"/>
      <c r="C2402" s="156"/>
      <c r="D2402" s="161" t="s">
        <v>39</v>
      </c>
      <c r="E2402" s="162" t="s">
        <v>111</v>
      </c>
      <c r="F2402" s="163" t="s">
        <v>40</v>
      </c>
      <c r="G2402" s="164" t="s">
        <v>300</v>
      </c>
      <c r="H2402" s="165">
        <v>1</v>
      </c>
      <c r="I2402" s="164"/>
      <c r="J2402" s="165"/>
      <c r="K2402" s="164"/>
      <c r="L2402" s="165"/>
      <c r="M2402" s="6"/>
      <c r="N2402" s="32"/>
      <c r="Q2402" s="10" t="str">
        <f>+CONCATENATE(E2402,G2402)</f>
        <v>보온덕트벽체600*800</v>
      </c>
      <c r="R2402" s="10">
        <f>+H2402</f>
        <v>1</v>
      </c>
      <c r="S2402" s="11"/>
      <c r="T2402" s="10" t="str">
        <f>+E2402</f>
        <v>보온덕트벽체</v>
      </c>
      <c r="U2402" s="19" t="str">
        <f>IFERROR(LEFT(G2402,FIND("*",G2402)-1),"-")</f>
        <v>600</v>
      </c>
      <c r="V2402" s="19" t="str">
        <f>IFERROR(RIGHT(G2402,LEN(G2402)-FIND("*",G2402)),"-")</f>
        <v>800</v>
      </c>
      <c r="W2402" s="20">
        <f>IFERROR((U2402+V2402)*2/1000,"-")</f>
        <v>2.8</v>
      </c>
      <c r="X2402" s="20">
        <f>IFERROR(W2402*H2402,"-")</f>
        <v>2.8</v>
      </c>
      <c r="Z2402" s="85">
        <v>45193</v>
      </c>
    </row>
    <row r="2403" spans="1:26" ht="6.95" customHeight="1" x14ac:dyDescent="0.3">
      <c r="A2403" s="154"/>
      <c r="B2403" s="157"/>
      <c r="C2403" s="158"/>
      <c r="D2403" s="161"/>
      <c r="E2403" s="162"/>
      <c r="F2403" s="163"/>
      <c r="G2403" s="164"/>
      <c r="H2403" s="165"/>
      <c r="I2403" s="164"/>
      <c r="J2403" s="165"/>
      <c r="K2403" s="164"/>
      <c r="L2403" s="165"/>
      <c r="M2403" s="6"/>
      <c r="N2403" s="32"/>
      <c r="Q2403" s="10" t="str">
        <f>+CONCATENATE(E2402,I2402)</f>
        <v>보온덕트벽체</v>
      </c>
      <c r="R2403" s="10">
        <f>+J2402</f>
        <v>0</v>
      </c>
      <c r="S2403" s="11"/>
      <c r="T2403" s="10" t="str">
        <f>+E2402</f>
        <v>보온덕트벽체</v>
      </c>
      <c r="U2403" s="19" t="str">
        <f>IFERROR(LEFT(I2402,FIND("*",I2402)-1),"-")</f>
        <v>-</v>
      </c>
      <c r="V2403" s="19" t="str">
        <f>IFERROR(RIGHT(I2402,LEN(I2402)-FIND("*",I2402)),"-")</f>
        <v>-</v>
      </c>
      <c r="W2403" s="20" t="str">
        <f t="shared" ref="W2403:W2410" si="1306">IFERROR((U2403+V2403)*2/1000,"-")</f>
        <v>-</v>
      </c>
      <c r="X2403" s="20" t="str">
        <f>IFERROR(W2403*J2402,"-")</f>
        <v>-</v>
      </c>
      <c r="Z2403" s="85">
        <v>45193</v>
      </c>
    </row>
    <row r="2404" spans="1:26" ht="6.95" customHeight="1" x14ac:dyDescent="0.3">
      <c r="A2404" s="154"/>
      <c r="B2404" s="157"/>
      <c r="C2404" s="158"/>
      <c r="D2404" s="161"/>
      <c r="E2404" s="162"/>
      <c r="F2404" s="163"/>
      <c r="G2404" s="164"/>
      <c r="H2404" s="165"/>
      <c r="I2404" s="164"/>
      <c r="J2404" s="165"/>
      <c r="K2404" s="164"/>
      <c r="L2404" s="165"/>
      <c r="M2404" s="6"/>
      <c r="N2404" s="32"/>
      <c r="Q2404" s="10" t="str">
        <f>+CONCATENATE(E2402,K2402)</f>
        <v>보온덕트벽체</v>
      </c>
      <c r="R2404" s="10">
        <f>+L2402</f>
        <v>0</v>
      </c>
      <c r="S2404" s="11"/>
      <c r="T2404" s="10" t="str">
        <f>+E2402</f>
        <v>보온덕트벽체</v>
      </c>
      <c r="U2404" s="19" t="str">
        <f>IFERROR(LEFT(K2402,FIND("*",K2402)-1),"-")</f>
        <v>-</v>
      </c>
      <c r="V2404" s="19" t="str">
        <f>IFERROR(RIGHT(K2402,LEN(K2402)-FIND("*",K2402)),"-")</f>
        <v>-</v>
      </c>
      <c r="W2404" s="20" t="str">
        <f t="shared" si="1306"/>
        <v>-</v>
      </c>
      <c r="X2404" s="20" t="str">
        <f>IFERROR(W2404*L2402,"-")</f>
        <v>-</v>
      </c>
      <c r="Z2404" s="85">
        <v>45193</v>
      </c>
    </row>
    <row r="2405" spans="1:26" ht="6.95" customHeight="1" x14ac:dyDescent="0.3">
      <c r="A2405" s="8"/>
      <c r="B2405" s="157"/>
      <c r="C2405" s="158"/>
      <c r="D2405" s="161" t="s">
        <v>39</v>
      </c>
      <c r="E2405" s="162" t="s">
        <v>188</v>
      </c>
      <c r="F2405" s="163" t="s">
        <v>40</v>
      </c>
      <c r="G2405" s="164" t="s">
        <v>300</v>
      </c>
      <c r="H2405" s="165">
        <v>2</v>
      </c>
      <c r="I2405" s="164"/>
      <c r="J2405" s="165"/>
      <c r="K2405" s="164"/>
      <c r="L2405" s="165"/>
      <c r="M2405" s="6"/>
      <c r="N2405" s="32"/>
      <c r="Q2405" s="10" t="str">
        <f>+CONCATENATE(E2405,G2405)</f>
        <v>차열재마감600*800</v>
      </c>
      <c r="R2405" s="10">
        <f>+H2405</f>
        <v>2</v>
      </c>
      <c r="S2405" s="11"/>
      <c r="T2405" s="10" t="str">
        <f>+E2405</f>
        <v>차열재마감</v>
      </c>
      <c r="U2405" s="19" t="str">
        <f t="shared" ref="U2405" si="1307">IFERROR(LEFT(G2405,FIND("*",G2405)-1),"-")</f>
        <v>600</v>
      </c>
      <c r="V2405" s="19" t="str">
        <f t="shared" ref="V2405" si="1308">IFERROR(RIGHT(G2405,LEN(G2405)-FIND("*",G2405)),"-")</f>
        <v>800</v>
      </c>
      <c r="W2405" s="20">
        <f t="shared" si="1306"/>
        <v>2.8</v>
      </c>
      <c r="X2405" s="20">
        <f>IFERROR(W2405*H2405,"-")</f>
        <v>5.6</v>
      </c>
      <c r="Z2405" s="85">
        <v>45193</v>
      </c>
    </row>
    <row r="2406" spans="1:26" ht="6.95" customHeight="1" x14ac:dyDescent="0.3">
      <c r="A2406" s="5"/>
      <c r="B2406" s="157"/>
      <c r="C2406" s="158"/>
      <c r="D2406" s="161"/>
      <c r="E2406" s="162"/>
      <c r="F2406" s="163"/>
      <c r="G2406" s="164"/>
      <c r="H2406" s="165"/>
      <c r="I2406" s="164"/>
      <c r="J2406" s="165"/>
      <c r="K2406" s="164"/>
      <c r="L2406" s="165"/>
      <c r="M2406" s="6"/>
      <c r="N2406" s="32"/>
      <c r="Q2406" s="10" t="str">
        <f>+CONCATENATE(E2405,I2405)</f>
        <v>차열재마감</v>
      </c>
      <c r="R2406" s="10">
        <f>+J2405</f>
        <v>0</v>
      </c>
      <c r="S2406" s="11"/>
      <c r="T2406" s="10" t="str">
        <f>+E2405</f>
        <v>차열재마감</v>
      </c>
      <c r="U2406" s="19" t="str">
        <f>IFERROR(LEFT(I2405,FIND("*",I2405)-1),"-")</f>
        <v>-</v>
      </c>
      <c r="V2406" s="19" t="str">
        <f>IFERROR(RIGHT(I2405,LEN(I2405)-FIND("*",I2405)),"-")</f>
        <v>-</v>
      </c>
      <c r="W2406" s="20" t="str">
        <f t="shared" si="1306"/>
        <v>-</v>
      </c>
      <c r="X2406" s="20" t="str">
        <f>IFERROR(W2406*J2405,"-")</f>
        <v>-</v>
      </c>
      <c r="Z2406" s="85">
        <v>45193</v>
      </c>
    </row>
    <row r="2407" spans="1:26" ht="6.95" customHeight="1" x14ac:dyDescent="0.3">
      <c r="A2407" s="5"/>
      <c r="B2407" s="157"/>
      <c r="C2407" s="158"/>
      <c r="D2407" s="161"/>
      <c r="E2407" s="162"/>
      <c r="F2407" s="163"/>
      <c r="G2407" s="164"/>
      <c r="H2407" s="165"/>
      <c r="I2407" s="164"/>
      <c r="J2407" s="165"/>
      <c r="K2407" s="164"/>
      <c r="L2407" s="165"/>
      <c r="M2407" s="6"/>
      <c r="N2407" s="32"/>
      <c r="Q2407" s="10" t="str">
        <f>+CONCATENATE(E2405,K2405)</f>
        <v>차열재마감</v>
      </c>
      <c r="R2407" s="10">
        <f>+L2405</f>
        <v>0</v>
      </c>
      <c r="S2407" s="11"/>
      <c r="T2407" s="10" t="str">
        <f>+E2405</f>
        <v>차열재마감</v>
      </c>
      <c r="U2407" s="19" t="str">
        <f>IFERROR(LEFT(K2405,FIND("*",K2405)-1),"-")</f>
        <v>-</v>
      </c>
      <c r="V2407" s="19" t="str">
        <f>IFERROR(RIGHT(K2405,LEN(K2405)-FIND("*",K2405)),"-")</f>
        <v>-</v>
      </c>
      <c r="W2407" s="20" t="str">
        <f t="shared" si="1306"/>
        <v>-</v>
      </c>
      <c r="X2407" s="20" t="str">
        <f>IFERROR(W2407*L2405,"-")</f>
        <v>-</v>
      </c>
      <c r="Z2407" s="85">
        <v>45193</v>
      </c>
    </row>
    <row r="2408" spans="1:26" ht="6.95" customHeight="1" x14ac:dyDescent="0.3">
      <c r="A2408" s="8"/>
      <c r="B2408" s="157"/>
      <c r="C2408" s="158"/>
      <c r="D2408" s="161" t="s">
        <v>39</v>
      </c>
      <c r="E2408" s="162"/>
      <c r="F2408" s="163" t="s">
        <v>40</v>
      </c>
      <c r="G2408" s="164"/>
      <c r="H2408" s="165"/>
      <c r="I2408" s="164"/>
      <c r="J2408" s="165"/>
      <c r="K2408" s="164"/>
      <c r="L2408" s="165"/>
      <c r="M2408" s="6"/>
      <c r="N2408" s="32"/>
      <c r="Q2408" s="10" t="str">
        <f>+CONCATENATE(E2408,G2408)</f>
        <v/>
      </c>
      <c r="R2408" s="10">
        <f>+H2408</f>
        <v>0</v>
      </c>
      <c r="S2408" s="11"/>
      <c r="T2408" s="10">
        <f>+E2408</f>
        <v>0</v>
      </c>
      <c r="U2408" s="19" t="str">
        <f t="shared" ref="U2408" si="1309">IFERROR(LEFT(G2408,FIND("*",G2408)-1),"-")</f>
        <v>-</v>
      </c>
      <c r="V2408" s="19" t="str">
        <f t="shared" ref="V2408" si="1310">IFERROR(RIGHT(G2408,LEN(G2408)-FIND("*",G2408)),"-")</f>
        <v>-</v>
      </c>
      <c r="W2408" s="20" t="str">
        <f t="shared" si="1306"/>
        <v>-</v>
      </c>
      <c r="X2408" s="20" t="str">
        <f>IFERROR(W2408*H2408,"-")</f>
        <v>-</v>
      </c>
      <c r="Z2408" s="85">
        <v>45193</v>
      </c>
    </row>
    <row r="2409" spans="1:26" ht="6.95" customHeight="1" x14ac:dyDescent="0.3">
      <c r="A2409" s="5"/>
      <c r="B2409" s="157"/>
      <c r="C2409" s="158"/>
      <c r="D2409" s="161"/>
      <c r="E2409" s="162"/>
      <c r="F2409" s="163"/>
      <c r="G2409" s="164"/>
      <c r="H2409" s="165"/>
      <c r="I2409" s="164"/>
      <c r="J2409" s="165"/>
      <c r="K2409" s="164"/>
      <c r="L2409" s="165"/>
      <c r="M2409" s="6"/>
      <c r="N2409" s="32"/>
      <c r="Q2409" s="10" t="str">
        <f>+CONCATENATE(E2408,I2408)</f>
        <v/>
      </c>
      <c r="R2409" s="10">
        <f>+J2408</f>
        <v>0</v>
      </c>
      <c r="S2409" s="11"/>
      <c r="T2409" s="10">
        <f>+E2408</f>
        <v>0</v>
      </c>
      <c r="U2409" s="19" t="str">
        <f>IFERROR(LEFT(I2408,FIND("*",I2408)-1),"-")</f>
        <v>-</v>
      </c>
      <c r="V2409" s="19" t="str">
        <f>IFERROR(RIGHT(I2408,LEN(I2408)-FIND("*",I2408)),"-")</f>
        <v>-</v>
      </c>
      <c r="W2409" s="20" t="str">
        <f t="shared" si="1306"/>
        <v>-</v>
      </c>
      <c r="X2409" s="20" t="str">
        <f t="shared" ref="X2409" si="1311">IFERROR(W2409*J2408,"-")</f>
        <v>-</v>
      </c>
      <c r="Z2409" s="85">
        <v>45193</v>
      </c>
    </row>
    <row r="2410" spans="1:26" ht="6.95" customHeight="1" x14ac:dyDescent="0.3">
      <c r="A2410" s="5"/>
      <c r="B2410" s="157"/>
      <c r="C2410" s="158"/>
      <c r="D2410" s="161"/>
      <c r="E2410" s="162"/>
      <c r="F2410" s="163"/>
      <c r="G2410" s="164"/>
      <c r="H2410" s="165"/>
      <c r="I2410" s="164"/>
      <c r="J2410" s="165"/>
      <c r="K2410" s="164"/>
      <c r="L2410" s="165"/>
      <c r="M2410" s="6"/>
      <c r="N2410" s="32"/>
      <c r="Q2410" s="10" t="str">
        <f>+CONCATENATE(E2408,K2408)</f>
        <v/>
      </c>
      <c r="R2410" s="10">
        <f>+L2408</f>
        <v>0</v>
      </c>
      <c r="S2410" s="11"/>
      <c r="T2410" s="10">
        <f>+E2408</f>
        <v>0</v>
      </c>
      <c r="U2410" s="19" t="str">
        <f>IFERROR(LEFT(K2408,FIND("*",K2408)-1),"-")</f>
        <v>-</v>
      </c>
      <c r="V2410" s="19" t="str">
        <f>IFERROR(RIGHT(K2408,LEN(K2408)-FIND("*",K2408)),"-")</f>
        <v>-</v>
      </c>
      <c r="W2410" s="20" t="str">
        <f t="shared" si="1306"/>
        <v>-</v>
      </c>
      <c r="X2410" s="20" t="str">
        <f>IFERROR(W2410*L2408,"-")</f>
        <v>-</v>
      </c>
      <c r="Z2410" s="85">
        <v>45193</v>
      </c>
    </row>
    <row r="2411" spans="1:26" ht="21" customHeight="1" thickBot="1" x14ac:dyDescent="0.35">
      <c r="A2411" s="5"/>
      <c r="B2411" s="159"/>
      <c r="C2411" s="160"/>
      <c r="D2411" s="166" t="s">
        <v>43</v>
      </c>
      <c r="E2411" s="167"/>
      <c r="F2411" s="167"/>
      <c r="G2411" s="168" t="s">
        <v>208</v>
      </c>
      <c r="H2411" s="168"/>
      <c r="I2411" s="168"/>
      <c r="J2411" s="168"/>
      <c r="K2411" s="168"/>
      <c r="L2411" s="168"/>
      <c r="M2411" s="7"/>
      <c r="N2411" s="32"/>
      <c r="Z2411" s="85">
        <v>45193</v>
      </c>
    </row>
    <row r="2412" spans="1:26" ht="9.9499999999999993" customHeight="1" x14ac:dyDescent="0.3">
      <c r="B2412" s="9"/>
      <c r="C2412" s="109">
        <v>1018</v>
      </c>
      <c r="D2412" s="51"/>
      <c r="E2412" s="12"/>
      <c r="F2412" s="51"/>
      <c r="G2412" s="14"/>
      <c r="H2412" s="14"/>
      <c r="I2412" s="14"/>
      <c r="J2412" s="14"/>
      <c r="K2412" s="14"/>
      <c r="L2412" s="14"/>
      <c r="M2412" s="9"/>
      <c r="N2412" s="32"/>
      <c r="U2412" s="18"/>
      <c r="V2412" s="18"/>
      <c r="Z2412" s="85">
        <v>45193</v>
      </c>
    </row>
    <row r="2413" spans="1:26" ht="9.9499999999999993" customHeight="1" x14ac:dyDescent="0.3">
      <c r="B2413" s="9"/>
      <c r="C2413" s="109">
        <v>1018</v>
      </c>
      <c r="D2413" s="51"/>
      <c r="E2413" s="12"/>
      <c r="F2413" s="51"/>
      <c r="G2413" s="14"/>
      <c r="H2413" s="14"/>
      <c r="I2413" s="14"/>
      <c r="J2413" s="14"/>
      <c r="K2413" s="14"/>
      <c r="L2413" s="14"/>
      <c r="M2413" s="9"/>
      <c r="N2413" s="32"/>
      <c r="U2413" s="18"/>
      <c r="V2413" s="18"/>
      <c r="Z2413" s="85">
        <v>45193</v>
      </c>
    </row>
    <row r="2414" spans="1:26" ht="9.9499999999999993" customHeight="1" x14ac:dyDescent="0.3">
      <c r="B2414" s="9"/>
      <c r="C2414" s="109">
        <v>1018</v>
      </c>
      <c r="D2414" s="51"/>
      <c r="E2414" s="12"/>
      <c r="F2414" s="51"/>
      <c r="G2414" s="14"/>
      <c r="H2414" s="14"/>
      <c r="I2414" s="14"/>
      <c r="J2414" s="14"/>
      <c r="K2414" s="14"/>
      <c r="L2414" s="14"/>
      <c r="M2414" s="9"/>
      <c r="N2414" s="32"/>
      <c r="U2414" s="18"/>
      <c r="V2414" s="18"/>
      <c r="Z2414" s="85">
        <v>45193</v>
      </c>
    </row>
    <row r="2415" spans="1:26" ht="9.9499999999999993" customHeight="1" x14ac:dyDescent="0.3">
      <c r="B2415" s="9"/>
      <c r="C2415" s="109">
        <v>1018</v>
      </c>
      <c r="D2415" s="51"/>
      <c r="E2415" s="12"/>
      <c r="F2415" s="51"/>
      <c r="G2415" s="14"/>
      <c r="H2415" s="14"/>
      <c r="I2415" s="14"/>
      <c r="J2415" s="14"/>
      <c r="K2415" s="14"/>
      <c r="L2415" s="14"/>
      <c r="M2415" s="9"/>
      <c r="N2415" s="32"/>
      <c r="U2415" s="18"/>
      <c r="V2415" s="18"/>
      <c r="Z2415" s="85">
        <v>45193</v>
      </c>
    </row>
    <row r="2416" spans="1:26" ht="9.9499999999999993" customHeight="1" x14ac:dyDescent="0.3">
      <c r="B2416" s="9"/>
      <c r="C2416" s="109">
        <v>1018</v>
      </c>
      <c r="D2416" s="51"/>
      <c r="E2416" s="12"/>
      <c r="F2416" s="51"/>
      <c r="G2416" s="14"/>
      <c r="H2416" s="14"/>
      <c r="I2416" s="14"/>
      <c r="J2416" s="14"/>
      <c r="K2416" s="14"/>
      <c r="L2416" s="14"/>
      <c r="M2416" s="9"/>
      <c r="N2416" s="32"/>
      <c r="U2416" s="18"/>
      <c r="V2416" s="18"/>
      <c r="Z2416" s="85">
        <v>45193</v>
      </c>
    </row>
    <row r="2417" spans="1:26" ht="9.9499999999999993" customHeight="1" x14ac:dyDescent="0.3">
      <c r="B2417" s="9"/>
      <c r="C2417" s="109">
        <v>1018</v>
      </c>
      <c r="D2417" s="51"/>
      <c r="E2417" s="12"/>
      <c r="F2417" s="51"/>
      <c r="G2417" s="14"/>
      <c r="H2417" s="14"/>
      <c r="I2417" s="14"/>
      <c r="J2417" s="14"/>
      <c r="K2417" s="14"/>
      <c r="L2417" s="14"/>
      <c r="M2417" s="9"/>
      <c r="N2417" s="32"/>
      <c r="U2417" s="18"/>
      <c r="V2417" s="18"/>
      <c r="Z2417" s="85">
        <v>45193</v>
      </c>
    </row>
    <row r="2418" spans="1:26" ht="9.9499999999999993" customHeight="1" x14ac:dyDescent="0.3">
      <c r="B2418" s="9"/>
      <c r="C2418" s="109">
        <v>1018</v>
      </c>
      <c r="D2418" s="51"/>
      <c r="E2418" s="12"/>
      <c r="F2418" s="51"/>
      <c r="G2418" s="14"/>
      <c r="H2418" s="14"/>
      <c r="I2418" s="14"/>
      <c r="J2418" s="14"/>
      <c r="K2418" s="14"/>
      <c r="L2418" s="14"/>
      <c r="M2418" s="9"/>
      <c r="N2418" s="32"/>
      <c r="U2418" s="18"/>
      <c r="V2418" s="18"/>
      <c r="Z2418" s="85">
        <v>45193</v>
      </c>
    </row>
    <row r="2419" spans="1:26" ht="9.9499999999999993" customHeight="1" thickBot="1" x14ac:dyDescent="0.35">
      <c r="B2419" s="9"/>
      <c r="C2419" s="109">
        <v>1018</v>
      </c>
      <c r="D2419" s="51"/>
      <c r="E2419" s="12"/>
      <c r="F2419" s="51"/>
      <c r="G2419" s="14"/>
      <c r="H2419" s="14"/>
      <c r="I2419" s="14"/>
      <c r="J2419" s="14"/>
      <c r="K2419" s="14"/>
      <c r="L2419" s="14"/>
      <c r="M2419" s="9"/>
      <c r="N2419" s="32"/>
      <c r="U2419" s="18"/>
      <c r="V2419" s="18"/>
      <c r="Z2419" s="85">
        <v>45193</v>
      </c>
    </row>
    <row r="2420" spans="1:26" ht="6.95" customHeight="1" x14ac:dyDescent="0.3">
      <c r="A2420" s="154">
        <f>+A2402+1</f>
        <v>1019</v>
      </c>
      <c r="B2420" s="155"/>
      <c r="C2420" s="156"/>
      <c r="D2420" s="161" t="s">
        <v>39</v>
      </c>
      <c r="E2420" s="162" t="s">
        <v>111</v>
      </c>
      <c r="F2420" s="163" t="s">
        <v>40</v>
      </c>
      <c r="G2420" s="164" t="s">
        <v>300</v>
      </c>
      <c r="H2420" s="165">
        <v>1</v>
      </c>
      <c r="I2420" s="164"/>
      <c r="J2420" s="165"/>
      <c r="K2420" s="164"/>
      <c r="L2420" s="165"/>
      <c r="M2420" s="6"/>
      <c r="N2420" s="32"/>
      <c r="Q2420" s="10" t="str">
        <f>+CONCATENATE(E2420,G2420)</f>
        <v>보온덕트벽체600*800</v>
      </c>
      <c r="R2420" s="10">
        <f>+H2420</f>
        <v>1</v>
      </c>
      <c r="S2420" s="11"/>
      <c r="T2420" s="10" t="str">
        <f>+E2420</f>
        <v>보온덕트벽체</v>
      </c>
      <c r="U2420" s="19" t="str">
        <f>IFERROR(LEFT(G2420,FIND("*",G2420)-1),"-")</f>
        <v>600</v>
      </c>
      <c r="V2420" s="19" t="str">
        <f>IFERROR(RIGHT(G2420,LEN(G2420)-FIND("*",G2420)),"-")</f>
        <v>800</v>
      </c>
      <c r="W2420" s="20">
        <f>IFERROR((U2420+V2420)*2/1000,"-")</f>
        <v>2.8</v>
      </c>
      <c r="X2420" s="20">
        <f>IFERROR(W2420*H2420,"-")</f>
        <v>2.8</v>
      </c>
      <c r="Z2420" s="85">
        <v>45193</v>
      </c>
    </row>
    <row r="2421" spans="1:26" ht="6.95" customHeight="1" x14ac:dyDescent="0.3">
      <c r="A2421" s="154"/>
      <c r="B2421" s="157"/>
      <c r="C2421" s="158"/>
      <c r="D2421" s="161"/>
      <c r="E2421" s="162"/>
      <c r="F2421" s="163"/>
      <c r="G2421" s="164"/>
      <c r="H2421" s="165"/>
      <c r="I2421" s="164"/>
      <c r="J2421" s="165"/>
      <c r="K2421" s="164"/>
      <c r="L2421" s="165"/>
      <c r="M2421" s="6"/>
      <c r="N2421" s="32"/>
      <c r="Q2421" s="10" t="str">
        <f>+CONCATENATE(E2420,I2420)</f>
        <v>보온덕트벽체</v>
      </c>
      <c r="R2421" s="10">
        <f>+J2420</f>
        <v>0</v>
      </c>
      <c r="S2421" s="11"/>
      <c r="T2421" s="10" t="str">
        <f>+E2420</f>
        <v>보온덕트벽체</v>
      </c>
      <c r="U2421" s="19" t="str">
        <f>IFERROR(LEFT(I2420,FIND("*",I2420)-1),"-")</f>
        <v>-</v>
      </c>
      <c r="V2421" s="19" t="str">
        <f>IFERROR(RIGHT(I2420,LEN(I2420)-FIND("*",I2420)),"-")</f>
        <v>-</v>
      </c>
      <c r="W2421" s="20" t="str">
        <f t="shared" ref="W2421:W2428" si="1312">IFERROR((U2421+V2421)*2/1000,"-")</f>
        <v>-</v>
      </c>
      <c r="X2421" s="20" t="str">
        <f>IFERROR(W2421*J2420,"-")</f>
        <v>-</v>
      </c>
      <c r="Z2421" s="85">
        <v>45193</v>
      </c>
    </row>
    <row r="2422" spans="1:26" ht="6.95" customHeight="1" x14ac:dyDescent="0.3">
      <c r="A2422" s="154"/>
      <c r="B2422" s="157"/>
      <c r="C2422" s="158"/>
      <c r="D2422" s="161"/>
      <c r="E2422" s="162"/>
      <c r="F2422" s="163"/>
      <c r="G2422" s="164"/>
      <c r="H2422" s="165"/>
      <c r="I2422" s="164"/>
      <c r="J2422" s="165"/>
      <c r="K2422" s="164"/>
      <c r="L2422" s="165"/>
      <c r="M2422" s="6"/>
      <c r="N2422" s="32"/>
      <c r="Q2422" s="10" t="str">
        <f>+CONCATENATE(E2420,K2420)</f>
        <v>보온덕트벽체</v>
      </c>
      <c r="R2422" s="10">
        <f>+L2420</f>
        <v>0</v>
      </c>
      <c r="S2422" s="11"/>
      <c r="T2422" s="10" t="str">
        <f>+E2420</f>
        <v>보온덕트벽체</v>
      </c>
      <c r="U2422" s="19" t="str">
        <f>IFERROR(LEFT(K2420,FIND("*",K2420)-1),"-")</f>
        <v>-</v>
      </c>
      <c r="V2422" s="19" t="str">
        <f>IFERROR(RIGHT(K2420,LEN(K2420)-FIND("*",K2420)),"-")</f>
        <v>-</v>
      </c>
      <c r="W2422" s="20" t="str">
        <f t="shared" si="1312"/>
        <v>-</v>
      </c>
      <c r="X2422" s="20" t="str">
        <f>IFERROR(W2422*L2420,"-")</f>
        <v>-</v>
      </c>
      <c r="Z2422" s="85">
        <v>45193</v>
      </c>
    </row>
    <row r="2423" spans="1:26" ht="6.95" customHeight="1" x14ac:dyDescent="0.3">
      <c r="A2423" s="8"/>
      <c r="B2423" s="157"/>
      <c r="C2423" s="158"/>
      <c r="D2423" s="161" t="s">
        <v>39</v>
      </c>
      <c r="E2423" s="162" t="s">
        <v>188</v>
      </c>
      <c r="F2423" s="163" t="s">
        <v>40</v>
      </c>
      <c r="G2423" s="164" t="s">
        <v>300</v>
      </c>
      <c r="H2423" s="165">
        <v>2</v>
      </c>
      <c r="I2423" s="164"/>
      <c r="J2423" s="165"/>
      <c r="K2423" s="164"/>
      <c r="L2423" s="165"/>
      <c r="M2423" s="6"/>
      <c r="N2423" s="32"/>
      <c r="Q2423" s="10" t="str">
        <f>+CONCATENATE(E2423,G2423)</f>
        <v>차열재마감600*800</v>
      </c>
      <c r="R2423" s="10">
        <f>+H2423</f>
        <v>2</v>
      </c>
      <c r="S2423" s="11"/>
      <c r="T2423" s="10" t="str">
        <f>+E2423</f>
        <v>차열재마감</v>
      </c>
      <c r="U2423" s="19" t="str">
        <f t="shared" ref="U2423" si="1313">IFERROR(LEFT(G2423,FIND("*",G2423)-1),"-")</f>
        <v>600</v>
      </c>
      <c r="V2423" s="19" t="str">
        <f t="shared" ref="V2423" si="1314">IFERROR(RIGHT(G2423,LEN(G2423)-FIND("*",G2423)),"-")</f>
        <v>800</v>
      </c>
      <c r="W2423" s="20">
        <f t="shared" si="1312"/>
        <v>2.8</v>
      </c>
      <c r="X2423" s="20">
        <f>IFERROR(W2423*H2423,"-")</f>
        <v>5.6</v>
      </c>
      <c r="Z2423" s="85">
        <v>45193</v>
      </c>
    </row>
    <row r="2424" spans="1:26" ht="6.95" customHeight="1" x14ac:dyDescent="0.3">
      <c r="A2424" s="5"/>
      <c r="B2424" s="157"/>
      <c r="C2424" s="158"/>
      <c r="D2424" s="161"/>
      <c r="E2424" s="162"/>
      <c r="F2424" s="163"/>
      <c r="G2424" s="164"/>
      <c r="H2424" s="165"/>
      <c r="I2424" s="164"/>
      <c r="J2424" s="165"/>
      <c r="K2424" s="164"/>
      <c r="L2424" s="165"/>
      <c r="M2424" s="6"/>
      <c r="N2424" s="32"/>
      <c r="Q2424" s="10" t="str">
        <f>+CONCATENATE(E2423,I2423)</f>
        <v>차열재마감</v>
      </c>
      <c r="R2424" s="10">
        <f>+J2423</f>
        <v>0</v>
      </c>
      <c r="S2424" s="11"/>
      <c r="T2424" s="10" t="str">
        <f>+E2423</f>
        <v>차열재마감</v>
      </c>
      <c r="U2424" s="19" t="str">
        <f>IFERROR(LEFT(I2423,FIND("*",I2423)-1),"-")</f>
        <v>-</v>
      </c>
      <c r="V2424" s="19" t="str">
        <f>IFERROR(RIGHT(I2423,LEN(I2423)-FIND("*",I2423)),"-")</f>
        <v>-</v>
      </c>
      <c r="W2424" s="20" t="str">
        <f t="shared" si="1312"/>
        <v>-</v>
      </c>
      <c r="X2424" s="20" t="str">
        <f>IFERROR(W2424*J2423,"-")</f>
        <v>-</v>
      </c>
      <c r="Z2424" s="85">
        <v>45193</v>
      </c>
    </row>
    <row r="2425" spans="1:26" ht="6.95" customHeight="1" x14ac:dyDescent="0.3">
      <c r="A2425" s="5"/>
      <c r="B2425" s="157"/>
      <c r="C2425" s="158"/>
      <c r="D2425" s="161"/>
      <c r="E2425" s="162"/>
      <c r="F2425" s="163"/>
      <c r="G2425" s="164"/>
      <c r="H2425" s="165"/>
      <c r="I2425" s="164"/>
      <c r="J2425" s="165"/>
      <c r="K2425" s="164"/>
      <c r="L2425" s="165"/>
      <c r="M2425" s="6"/>
      <c r="N2425" s="32"/>
      <c r="Q2425" s="10" t="str">
        <f>+CONCATENATE(E2423,K2423)</f>
        <v>차열재마감</v>
      </c>
      <c r="R2425" s="10">
        <f>+L2423</f>
        <v>0</v>
      </c>
      <c r="S2425" s="11"/>
      <c r="T2425" s="10" t="str">
        <f>+E2423</f>
        <v>차열재마감</v>
      </c>
      <c r="U2425" s="19" t="str">
        <f>IFERROR(LEFT(K2423,FIND("*",K2423)-1),"-")</f>
        <v>-</v>
      </c>
      <c r="V2425" s="19" t="str">
        <f>IFERROR(RIGHT(K2423,LEN(K2423)-FIND("*",K2423)),"-")</f>
        <v>-</v>
      </c>
      <c r="W2425" s="20" t="str">
        <f t="shared" si="1312"/>
        <v>-</v>
      </c>
      <c r="X2425" s="20" t="str">
        <f>IFERROR(W2425*L2423,"-")</f>
        <v>-</v>
      </c>
      <c r="Z2425" s="85">
        <v>45193</v>
      </c>
    </row>
    <row r="2426" spans="1:26" ht="6.95" customHeight="1" x14ac:dyDescent="0.3">
      <c r="A2426" s="8"/>
      <c r="B2426" s="157"/>
      <c r="C2426" s="158"/>
      <c r="D2426" s="161" t="s">
        <v>39</v>
      </c>
      <c r="E2426" s="162"/>
      <c r="F2426" s="163" t="s">
        <v>40</v>
      </c>
      <c r="G2426" s="164"/>
      <c r="H2426" s="165"/>
      <c r="I2426" s="164"/>
      <c r="J2426" s="165"/>
      <c r="K2426" s="164"/>
      <c r="L2426" s="165"/>
      <c r="M2426" s="6"/>
      <c r="N2426" s="32"/>
      <c r="Q2426" s="10" t="str">
        <f>+CONCATENATE(E2426,G2426)</f>
        <v/>
      </c>
      <c r="R2426" s="10">
        <f>+H2426</f>
        <v>0</v>
      </c>
      <c r="S2426" s="11"/>
      <c r="T2426" s="10">
        <f>+E2426</f>
        <v>0</v>
      </c>
      <c r="U2426" s="19" t="str">
        <f t="shared" ref="U2426" si="1315">IFERROR(LEFT(G2426,FIND("*",G2426)-1),"-")</f>
        <v>-</v>
      </c>
      <c r="V2426" s="19" t="str">
        <f t="shared" ref="V2426" si="1316">IFERROR(RIGHT(G2426,LEN(G2426)-FIND("*",G2426)),"-")</f>
        <v>-</v>
      </c>
      <c r="W2426" s="20" t="str">
        <f t="shared" si="1312"/>
        <v>-</v>
      </c>
      <c r="X2426" s="20" t="str">
        <f>IFERROR(W2426*H2426,"-")</f>
        <v>-</v>
      </c>
      <c r="Z2426" s="85">
        <v>45193</v>
      </c>
    </row>
    <row r="2427" spans="1:26" ht="6.95" customHeight="1" x14ac:dyDescent="0.3">
      <c r="A2427" s="5"/>
      <c r="B2427" s="157"/>
      <c r="C2427" s="158"/>
      <c r="D2427" s="161"/>
      <c r="E2427" s="162"/>
      <c r="F2427" s="163"/>
      <c r="G2427" s="164"/>
      <c r="H2427" s="165"/>
      <c r="I2427" s="164"/>
      <c r="J2427" s="165"/>
      <c r="K2427" s="164"/>
      <c r="L2427" s="165"/>
      <c r="M2427" s="6"/>
      <c r="N2427" s="32"/>
      <c r="Q2427" s="10" t="str">
        <f>+CONCATENATE(E2426,I2426)</f>
        <v/>
      </c>
      <c r="R2427" s="10">
        <f>+J2426</f>
        <v>0</v>
      </c>
      <c r="S2427" s="11"/>
      <c r="T2427" s="10">
        <f>+E2426</f>
        <v>0</v>
      </c>
      <c r="U2427" s="19" t="str">
        <f>IFERROR(LEFT(I2426,FIND("*",I2426)-1),"-")</f>
        <v>-</v>
      </c>
      <c r="V2427" s="19" t="str">
        <f>IFERROR(RIGHT(I2426,LEN(I2426)-FIND("*",I2426)),"-")</f>
        <v>-</v>
      </c>
      <c r="W2427" s="20" t="str">
        <f t="shared" si="1312"/>
        <v>-</v>
      </c>
      <c r="X2427" s="20" t="str">
        <f t="shared" ref="X2427" si="1317">IFERROR(W2427*J2426,"-")</f>
        <v>-</v>
      </c>
      <c r="Z2427" s="85">
        <v>45193</v>
      </c>
    </row>
    <row r="2428" spans="1:26" ht="6.95" customHeight="1" x14ac:dyDescent="0.3">
      <c r="A2428" s="5"/>
      <c r="B2428" s="157"/>
      <c r="C2428" s="158"/>
      <c r="D2428" s="161"/>
      <c r="E2428" s="162"/>
      <c r="F2428" s="163"/>
      <c r="G2428" s="164"/>
      <c r="H2428" s="165"/>
      <c r="I2428" s="164"/>
      <c r="J2428" s="165"/>
      <c r="K2428" s="164"/>
      <c r="L2428" s="165"/>
      <c r="M2428" s="6"/>
      <c r="N2428" s="32"/>
      <c r="Q2428" s="10" t="str">
        <f>+CONCATENATE(E2426,K2426)</f>
        <v/>
      </c>
      <c r="R2428" s="10">
        <f>+L2426</f>
        <v>0</v>
      </c>
      <c r="S2428" s="11"/>
      <c r="T2428" s="10">
        <f>+E2426</f>
        <v>0</v>
      </c>
      <c r="U2428" s="19" t="str">
        <f>IFERROR(LEFT(K2426,FIND("*",K2426)-1),"-")</f>
        <v>-</v>
      </c>
      <c r="V2428" s="19" t="str">
        <f>IFERROR(RIGHT(K2426,LEN(K2426)-FIND("*",K2426)),"-")</f>
        <v>-</v>
      </c>
      <c r="W2428" s="20" t="str">
        <f t="shared" si="1312"/>
        <v>-</v>
      </c>
      <c r="X2428" s="20" t="str">
        <f>IFERROR(W2428*L2426,"-")</f>
        <v>-</v>
      </c>
      <c r="Z2428" s="85">
        <v>45193</v>
      </c>
    </row>
    <row r="2429" spans="1:26" ht="21" customHeight="1" thickBot="1" x14ac:dyDescent="0.35">
      <c r="A2429" s="5"/>
      <c r="B2429" s="159"/>
      <c r="C2429" s="160"/>
      <c r="D2429" s="166" t="s">
        <v>43</v>
      </c>
      <c r="E2429" s="167"/>
      <c r="F2429" s="167"/>
      <c r="G2429" s="168" t="s">
        <v>208</v>
      </c>
      <c r="H2429" s="168"/>
      <c r="I2429" s="168"/>
      <c r="J2429" s="168"/>
      <c r="K2429" s="168"/>
      <c r="L2429" s="168"/>
      <c r="M2429" s="7"/>
      <c r="N2429" s="32"/>
      <c r="Z2429" s="85">
        <v>45193</v>
      </c>
    </row>
    <row r="2430" spans="1:26" ht="9.9499999999999993" customHeight="1" thickBot="1" x14ac:dyDescent="0.35">
      <c r="B2430" s="9"/>
      <c r="C2430" s="109">
        <v>1019</v>
      </c>
      <c r="D2430" s="51"/>
      <c r="E2430" s="12"/>
      <c r="F2430" s="51"/>
      <c r="G2430" s="14"/>
      <c r="H2430" s="14"/>
      <c r="I2430" s="14"/>
      <c r="J2430" s="14"/>
      <c r="K2430" s="14"/>
      <c r="L2430" s="14"/>
      <c r="M2430" s="9"/>
      <c r="N2430" s="32"/>
      <c r="U2430" s="18"/>
      <c r="V2430" s="18"/>
      <c r="Z2430" s="85">
        <v>45193</v>
      </c>
    </row>
    <row r="2431" spans="1:26" ht="6.95" customHeight="1" x14ac:dyDescent="0.3">
      <c r="A2431" s="154">
        <f>+A2420+1</f>
        <v>1020</v>
      </c>
      <c r="B2431" s="155"/>
      <c r="C2431" s="156"/>
      <c r="D2431" s="161" t="s">
        <v>39</v>
      </c>
      <c r="E2431" s="162" t="s">
        <v>186</v>
      </c>
      <c r="F2431" s="163" t="s">
        <v>40</v>
      </c>
      <c r="G2431" s="164">
        <v>100</v>
      </c>
      <c r="H2431" s="165">
        <v>2</v>
      </c>
      <c r="I2431" s="164"/>
      <c r="J2431" s="165"/>
      <c r="K2431" s="164"/>
      <c r="L2431" s="165"/>
      <c r="M2431" s="6"/>
      <c r="N2431" s="32"/>
      <c r="Q2431" s="10" t="str">
        <f>+CONCATENATE(E2431,G2431)</f>
        <v>금속관벽체100</v>
      </c>
      <c r="R2431" s="10">
        <f>+H2431</f>
        <v>2</v>
      </c>
      <c r="S2431" s="11"/>
      <c r="T2431" s="10" t="str">
        <f>+E2431</f>
        <v>금속관벽체</v>
      </c>
      <c r="U2431" s="19" t="str">
        <f>IFERROR(LEFT(G2431,FIND("*",G2431)-1),"-")</f>
        <v>-</v>
      </c>
      <c r="V2431" s="19" t="str">
        <f>IFERROR(RIGHT(G2431,LEN(G2431)-FIND("*",G2431)),"-")</f>
        <v>-</v>
      </c>
      <c r="W2431" s="20" t="str">
        <f>IFERROR((U2431+V2431)*2/1000,"-")</f>
        <v>-</v>
      </c>
      <c r="X2431" s="20" t="str">
        <f>IFERROR(W2431*H2431,"-")</f>
        <v>-</v>
      </c>
      <c r="Z2431" s="85">
        <v>45193</v>
      </c>
    </row>
    <row r="2432" spans="1:26" ht="6.95" customHeight="1" x14ac:dyDescent="0.3">
      <c r="A2432" s="154"/>
      <c r="B2432" s="157"/>
      <c r="C2432" s="158"/>
      <c r="D2432" s="161"/>
      <c r="E2432" s="162"/>
      <c r="F2432" s="163"/>
      <c r="G2432" s="164"/>
      <c r="H2432" s="165"/>
      <c r="I2432" s="164"/>
      <c r="J2432" s="165"/>
      <c r="K2432" s="164"/>
      <c r="L2432" s="165"/>
      <c r="M2432" s="6"/>
      <c r="N2432" s="32"/>
      <c r="Q2432" s="10" t="str">
        <f>+CONCATENATE(E2431,I2431)</f>
        <v>금속관벽체</v>
      </c>
      <c r="R2432" s="10">
        <f>+J2431</f>
        <v>0</v>
      </c>
      <c r="S2432" s="11"/>
      <c r="T2432" s="10" t="str">
        <f>+E2431</f>
        <v>금속관벽체</v>
      </c>
      <c r="U2432" s="19" t="str">
        <f>IFERROR(LEFT(I2431,FIND("*",I2431)-1),"-")</f>
        <v>-</v>
      </c>
      <c r="V2432" s="19" t="str">
        <f>IFERROR(RIGHT(I2431,LEN(I2431)-FIND("*",I2431)),"-")</f>
        <v>-</v>
      </c>
      <c r="W2432" s="20" t="str">
        <f t="shared" ref="W2432:W2439" si="1318">IFERROR((U2432+V2432)*2/1000,"-")</f>
        <v>-</v>
      </c>
      <c r="X2432" s="20" t="str">
        <f>IFERROR(W2432*J2431,"-")</f>
        <v>-</v>
      </c>
      <c r="Z2432" s="85">
        <v>45193</v>
      </c>
    </row>
    <row r="2433" spans="1:26" ht="6.95" customHeight="1" x14ac:dyDescent="0.3">
      <c r="A2433" s="154"/>
      <c r="B2433" s="157"/>
      <c r="C2433" s="158"/>
      <c r="D2433" s="161"/>
      <c r="E2433" s="162"/>
      <c r="F2433" s="163"/>
      <c r="G2433" s="164"/>
      <c r="H2433" s="165"/>
      <c r="I2433" s="164"/>
      <c r="J2433" s="165"/>
      <c r="K2433" s="164"/>
      <c r="L2433" s="165"/>
      <c r="M2433" s="6"/>
      <c r="N2433" s="32"/>
      <c r="Q2433" s="10" t="str">
        <f>+CONCATENATE(E2431,K2431)</f>
        <v>금속관벽체</v>
      </c>
      <c r="R2433" s="10">
        <f>+L2431</f>
        <v>0</v>
      </c>
      <c r="S2433" s="11"/>
      <c r="T2433" s="10" t="str">
        <f>+E2431</f>
        <v>금속관벽체</v>
      </c>
      <c r="U2433" s="19" t="str">
        <f>IFERROR(LEFT(K2431,FIND("*",K2431)-1),"-")</f>
        <v>-</v>
      </c>
      <c r="V2433" s="19" t="str">
        <f>IFERROR(RIGHT(K2431,LEN(K2431)-FIND("*",K2431)),"-")</f>
        <v>-</v>
      </c>
      <c r="W2433" s="20" t="str">
        <f t="shared" si="1318"/>
        <v>-</v>
      </c>
      <c r="X2433" s="20" t="str">
        <f>IFERROR(W2433*L2431,"-")</f>
        <v>-</v>
      </c>
      <c r="Z2433" s="85">
        <v>45193</v>
      </c>
    </row>
    <row r="2434" spans="1:26" ht="6.95" customHeight="1" x14ac:dyDescent="0.3">
      <c r="A2434" s="8"/>
      <c r="B2434" s="157"/>
      <c r="C2434" s="158"/>
      <c r="D2434" s="161" t="s">
        <v>39</v>
      </c>
      <c r="E2434" s="162"/>
      <c r="F2434" s="163" t="s">
        <v>40</v>
      </c>
      <c r="G2434" s="164"/>
      <c r="H2434" s="165"/>
      <c r="I2434" s="164"/>
      <c r="J2434" s="165"/>
      <c r="K2434" s="164"/>
      <c r="L2434" s="165"/>
      <c r="M2434" s="6"/>
      <c r="N2434" s="32"/>
      <c r="Q2434" s="10" t="str">
        <f>+CONCATENATE(E2434,G2434)</f>
        <v/>
      </c>
      <c r="R2434" s="10">
        <f>+H2434</f>
        <v>0</v>
      </c>
      <c r="S2434" s="11"/>
      <c r="T2434" s="10">
        <f>+E2434</f>
        <v>0</v>
      </c>
      <c r="U2434" s="19" t="str">
        <f t="shared" ref="U2434" si="1319">IFERROR(LEFT(G2434,FIND("*",G2434)-1),"-")</f>
        <v>-</v>
      </c>
      <c r="V2434" s="19" t="str">
        <f t="shared" ref="V2434" si="1320">IFERROR(RIGHT(G2434,LEN(G2434)-FIND("*",G2434)),"-")</f>
        <v>-</v>
      </c>
      <c r="W2434" s="20" t="str">
        <f t="shared" si="1318"/>
        <v>-</v>
      </c>
      <c r="X2434" s="20" t="str">
        <f>IFERROR(W2434*H2434,"-")</f>
        <v>-</v>
      </c>
      <c r="Z2434" s="85">
        <v>45193</v>
      </c>
    </row>
    <row r="2435" spans="1:26" ht="6.95" customHeight="1" x14ac:dyDescent="0.3">
      <c r="A2435" s="5"/>
      <c r="B2435" s="157"/>
      <c r="C2435" s="158"/>
      <c r="D2435" s="161"/>
      <c r="E2435" s="162"/>
      <c r="F2435" s="163"/>
      <c r="G2435" s="164"/>
      <c r="H2435" s="165"/>
      <c r="I2435" s="164"/>
      <c r="J2435" s="165"/>
      <c r="K2435" s="164"/>
      <c r="L2435" s="165"/>
      <c r="M2435" s="6"/>
      <c r="N2435" s="32"/>
      <c r="Q2435" s="10" t="str">
        <f>+CONCATENATE(E2434,I2434)</f>
        <v/>
      </c>
      <c r="R2435" s="10">
        <f>+J2434</f>
        <v>0</v>
      </c>
      <c r="S2435" s="11"/>
      <c r="T2435" s="10">
        <f>+E2434</f>
        <v>0</v>
      </c>
      <c r="U2435" s="19" t="str">
        <f>IFERROR(LEFT(I2434,FIND("*",I2434)-1),"-")</f>
        <v>-</v>
      </c>
      <c r="V2435" s="19" t="str">
        <f>IFERROR(RIGHT(I2434,LEN(I2434)-FIND("*",I2434)),"-")</f>
        <v>-</v>
      </c>
      <c r="W2435" s="20" t="str">
        <f t="shared" si="1318"/>
        <v>-</v>
      </c>
      <c r="X2435" s="20" t="str">
        <f>IFERROR(W2435*J2434,"-")</f>
        <v>-</v>
      </c>
      <c r="Z2435" s="85">
        <v>45193</v>
      </c>
    </row>
    <row r="2436" spans="1:26" ht="6.95" customHeight="1" x14ac:dyDescent="0.3">
      <c r="A2436" s="5"/>
      <c r="B2436" s="157"/>
      <c r="C2436" s="158"/>
      <c r="D2436" s="161"/>
      <c r="E2436" s="162"/>
      <c r="F2436" s="163"/>
      <c r="G2436" s="164"/>
      <c r="H2436" s="165"/>
      <c r="I2436" s="164"/>
      <c r="J2436" s="165"/>
      <c r="K2436" s="164"/>
      <c r="L2436" s="165"/>
      <c r="M2436" s="6"/>
      <c r="N2436" s="32"/>
      <c r="Q2436" s="10" t="str">
        <f>+CONCATENATE(E2434,K2434)</f>
        <v/>
      </c>
      <c r="R2436" s="10">
        <f>+L2434</f>
        <v>0</v>
      </c>
      <c r="S2436" s="11"/>
      <c r="T2436" s="10">
        <f>+E2434</f>
        <v>0</v>
      </c>
      <c r="U2436" s="19" t="str">
        <f>IFERROR(LEFT(K2434,FIND("*",K2434)-1),"-")</f>
        <v>-</v>
      </c>
      <c r="V2436" s="19" t="str">
        <f>IFERROR(RIGHT(K2434,LEN(K2434)-FIND("*",K2434)),"-")</f>
        <v>-</v>
      </c>
      <c r="W2436" s="20" t="str">
        <f t="shared" si="1318"/>
        <v>-</v>
      </c>
      <c r="X2436" s="20" t="str">
        <f>IFERROR(W2436*L2434,"-")</f>
        <v>-</v>
      </c>
      <c r="Z2436" s="85">
        <v>45193</v>
      </c>
    </row>
    <row r="2437" spans="1:26" ht="6.95" customHeight="1" x14ac:dyDescent="0.3">
      <c r="A2437" s="8"/>
      <c r="B2437" s="157"/>
      <c r="C2437" s="158"/>
      <c r="D2437" s="161" t="s">
        <v>39</v>
      </c>
      <c r="E2437" s="162"/>
      <c r="F2437" s="163" t="s">
        <v>40</v>
      </c>
      <c r="G2437" s="164"/>
      <c r="H2437" s="165"/>
      <c r="I2437" s="164"/>
      <c r="J2437" s="165"/>
      <c r="K2437" s="164"/>
      <c r="L2437" s="165"/>
      <c r="M2437" s="6"/>
      <c r="N2437" s="32"/>
      <c r="Q2437" s="10" t="str">
        <f>+CONCATENATE(E2437,G2437)</f>
        <v/>
      </c>
      <c r="R2437" s="10">
        <f>+H2437</f>
        <v>0</v>
      </c>
      <c r="S2437" s="11"/>
      <c r="T2437" s="10">
        <f>+E2437</f>
        <v>0</v>
      </c>
      <c r="U2437" s="19" t="str">
        <f t="shared" ref="U2437" si="1321">IFERROR(LEFT(G2437,FIND("*",G2437)-1),"-")</f>
        <v>-</v>
      </c>
      <c r="V2437" s="19" t="str">
        <f t="shared" ref="V2437" si="1322">IFERROR(RIGHT(G2437,LEN(G2437)-FIND("*",G2437)),"-")</f>
        <v>-</v>
      </c>
      <c r="W2437" s="20" t="str">
        <f t="shared" si="1318"/>
        <v>-</v>
      </c>
      <c r="X2437" s="20" t="str">
        <f>IFERROR(W2437*H2437,"-")</f>
        <v>-</v>
      </c>
      <c r="Z2437" s="85">
        <v>45193</v>
      </c>
    </row>
    <row r="2438" spans="1:26" ht="6.95" customHeight="1" x14ac:dyDescent="0.3">
      <c r="A2438" s="5"/>
      <c r="B2438" s="157"/>
      <c r="C2438" s="158"/>
      <c r="D2438" s="161"/>
      <c r="E2438" s="162"/>
      <c r="F2438" s="163"/>
      <c r="G2438" s="164"/>
      <c r="H2438" s="165"/>
      <c r="I2438" s="164"/>
      <c r="J2438" s="165"/>
      <c r="K2438" s="164"/>
      <c r="L2438" s="165"/>
      <c r="M2438" s="6"/>
      <c r="N2438" s="32"/>
      <c r="Q2438" s="10" t="str">
        <f>+CONCATENATE(E2437,I2437)</f>
        <v/>
      </c>
      <c r="R2438" s="10">
        <f>+J2437</f>
        <v>0</v>
      </c>
      <c r="S2438" s="11"/>
      <c r="T2438" s="10">
        <f>+E2437</f>
        <v>0</v>
      </c>
      <c r="U2438" s="19" t="str">
        <f>IFERROR(LEFT(I2437,FIND("*",I2437)-1),"-")</f>
        <v>-</v>
      </c>
      <c r="V2438" s="19" t="str">
        <f>IFERROR(RIGHT(I2437,LEN(I2437)-FIND("*",I2437)),"-")</f>
        <v>-</v>
      </c>
      <c r="W2438" s="20" t="str">
        <f t="shared" si="1318"/>
        <v>-</v>
      </c>
      <c r="X2438" s="20" t="str">
        <f t="shared" ref="X2438" si="1323">IFERROR(W2438*J2437,"-")</f>
        <v>-</v>
      </c>
      <c r="Z2438" s="85">
        <v>45193</v>
      </c>
    </row>
    <row r="2439" spans="1:26" ht="6.95" customHeight="1" x14ac:dyDescent="0.3">
      <c r="A2439" s="5"/>
      <c r="B2439" s="157"/>
      <c r="C2439" s="158"/>
      <c r="D2439" s="161"/>
      <c r="E2439" s="162"/>
      <c r="F2439" s="163"/>
      <c r="G2439" s="164"/>
      <c r="H2439" s="165"/>
      <c r="I2439" s="164"/>
      <c r="J2439" s="165"/>
      <c r="K2439" s="164"/>
      <c r="L2439" s="165"/>
      <c r="M2439" s="6"/>
      <c r="N2439" s="32"/>
      <c r="Q2439" s="10" t="str">
        <f>+CONCATENATE(E2437,K2437)</f>
        <v/>
      </c>
      <c r="R2439" s="10">
        <f>+L2437</f>
        <v>0</v>
      </c>
      <c r="S2439" s="11"/>
      <c r="T2439" s="10">
        <f>+E2437</f>
        <v>0</v>
      </c>
      <c r="U2439" s="19" t="str">
        <f>IFERROR(LEFT(K2437,FIND("*",K2437)-1),"-")</f>
        <v>-</v>
      </c>
      <c r="V2439" s="19" t="str">
        <f>IFERROR(RIGHT(K2437,LEN(K2437)-FIND("*",K2437)),"-")</f>
        <v>-</v>
      </c>
      <c r="W2439" s="20" t="str">
        <f t="shared" si="1318"/>
        <v>-</v>
      </c>
      <c r="X2439" s="20" t="str">
        <f>IFERROR(W2439*L2437,"-")</f>
        <v>-</v>
      </c>
      <c r="Z2439" s="85">
        <v>45193</v>
      </c>
    </row>
    <row r="2440" spans="1:26" ht="21" customHeight="1" thickBot="1" x14ac:dyDescent="0.35">
      <c r="A2440" s="5"/>
      <c r="B2440" s="159"/>
      <c r="C2440" s="160"/>
      <c r="D2440" s="166" t="s">
        <v>43</v>
      </c>
      <c r="E2440" s="167"/>
      <c r="F2440" s="167"/>
      <c r="G2440" s="168" t="s">
        <v>208</v>
      </c>
      <c r="H2440" s="168"/>
      <c r="I2440" s="168"/>
      <c r="J2440" s="168"/>
      <c r="K2440" s="168"/>
      <c r="L2440" s="168"/>
      <c r="M2440" s="7"/>
      <c r="N2440" s="32"/>
      <c r="Z2440" s="85">
        <v>45193</v>
      </c>
    </row>
    <row r="2441" spans="1:26" ht="9.9499999999999993" customHeight="1" thickBot="1" x14ac:dyDescent="0.35">
      <c r="B2441" s="9"/>
      <c r="C2441" s="109">
        <v>1020</v>
      </c>
      <c r="D2441" s="51"/>
      <c r="E2441" s="12"/>
      <c r="F2441" s="51"/>
      <c r="G2441" s="14"/>
      <c r="H2441" s="14"/>
      <c r="I2441" s="14"/>
      <c r="J2441" s="14"/>
      <c r="K2441" s="14"/>
      <c r="L2441" s="14"/>
      <c r="M2441" s="9"/>
      <c r="N2441" s="32"/>
      <c r="U2441" s="18"/>
      <c r="V2441" s="18"/>
      <c r="Z2441" s="85">
        <v>45193</v>
      </c>
    </row>
    <row r="2442" spans="1:26" ht="6.95" customHeight="1" x14ac:dyDescent="0.3">
      <c r="A2442" s="154">
        <f>+A2431+1</f>
        <v>1021</v>
      </c>
      <c r="B2442" s="155"/>
      <c r="C2442" s="156"/>
      <c r="D2442" s="161" t="s">
        <v>39</v>
      </c>
      <c r="E2442" s="162" t="s">
        <v>186</v>
      </c>
      <c r="F2442" s="163" t="s">
        <v>40</v>
      </c>
      <c r="G2442" s="164">
        <v>100</v>
      </c>
      <c r="H2442" s="165">
        <v>2</v>
      </c>
      <c r="I2442" s="164"/>
      <c r="J2442" s="165"/>
      <c r="K2442" s="164"/>
      <c r="L2442" s="165"/>
      <c r="M2442" s="6"/>
      <c r="N2442" s="32"/>
      <c r="Q2442" s="10" t="str">
        <f>+CONCATENATE(E2442,G2442)</f>
        <v>금속관벽체100</v>
      </c>
      <c r="R2442" s="10">
        <f>+H2442</f>
        <v>2</v>
      </c>
      <c r="S2442" s="11"/>
      <c r="T2442" s="10" t="str">
        <f>+E2442</f>
        <v>금속관벽체</v>
      </c>
      <c r="U2442" s="19" t="str">
        <f>IFERROR(LEFT(G2442,FIND("*",G2442)-1),"-")</f>
        <v>-</v>
      </c>
      <c r="V2442" s="19" t="str">
        <f>IFERROR(RIGHT(G2442,LEN(G2442)-FIND("*",G2442)),"-")</f>
        <v>-</v>
      </c>
      <c r="W2442" s="20" t="str">
        <f>IFERROR((U2442+V2442)*2/1000,"-")</f>
        <v>-</v>
      </c>
      <c r="X2442" s="20" t="str">
        <f>IFERROR(W2442*H2442,"-")</f>
        <v>-</v>
      </c>
      <c r="Z2442" s="85">
        <v>45193</v>
      </c>
    </row>
    <row r="2443" spans="1:26" ht="6.95" customHeight="1" x14ac:dyDescent="0.3">
      <c r="A2443" s="154"/>
      <c r="B2443" s="157"/>
      <c r="C2443" s="158"/>
      <c r="D2443" s="161"/>
      <c r="E2443" s="162"/>
      <c r="F2443" s="163"/>
      <c r="G2443" s="164"/>
      <c r="H2443" s="165"/>
      <c r="I2443" s="164"/>
      <c r="J2443" s="165"/>
      <c r="K2443" s="164"/>
      <c r="L2443" s="165"/>
      <c r="M2443" s="6"/>
      <c r="N2443" s="32"/>
      <c r="Q2443" s="10" t="str">
        <f>+CONCATENATE(E2442,I2442)</f>
        <v>금속관벽체</v>
      </c>
      <c r="R2443" s="10">
        <f>+J2442</f>
        <v>0</v>
      </c>
      <c r="S2443" s="11"/>
      <c r="T2443" s="10" t="str">
        <f>+E2442</f>
        <v>금속관벽체</v>
      </c>
      <c r="U2443" s="19" t="str">
        <f>IFERROR(LEFT(I2442,FIND("*",I2442)-1),"-")</f>
        <v>-</v>
      </c>
      <c r="V2443" s="19" t="str">
        <f>IFERROR(RIGHT(I2442,LEN(I2442)-FIND("*",I2442)),"-")</f>
        <v>-</v>
      </c>
      <c r="W2443" s="20" t="str">
        <f t="shared" ref="W2443:W2450" si="1324">IFERROR((U2443+V2443)*2/1000,"-")</f>
        <v>-</v>
      </c>
      <c r="X2443" s="20" t="str">
        <f>IFERROR(W2443*J2442,"-")</f>
        <v>-</v>
      </c>
      <c r="Z2443" s="85">
        <v>45193</v>
      </c>
    </row>
    <row r="2444" spans="1:26" ht="6.95" customHeight="1" x14ac:dyDescent="0.3">
      <c r="A2444" s="154"/>
      <c r="B2444" s="157"/>
      <c r="C2444" s="158"/>
      <c r="D2444" s="161"/>
      <c r="E2444" s="162"/>
      <c r="F2444" s="163"/>
      <c r="G2444" s="164"/>
      <c r="H2444" s="165"/>
      <c r="I2444" s="164"/>
      <c r="J2444" s="165"/>
      <c r="K2444" s="164"/>
      <c r="L2444" s="165"/>
      <c r="M2444" s="6"/>
      <c r="N2444" s="32"/>
      <c r="Q2444" s="10" t="str">
        <f>+CONCATENATE(E2442,K2442)</f>
        <v>금속관벽체</v>
      </c>
      <c r="R2444" s="10">
        <f>+L2442</f>
        <v>0</v>
      </c>
      <c r="S2444" s="11"/>
      <c r="T2444" s="10" t="str">
        <f>+E2442</f>
        <v>금속관벽체</v>
      </c>
      <c r="U2444" s="19" t="str">
        <f>IFERROR(LEFT(K2442,FIND("*",K2442)-1),"-")</f>
        <v>-</v>
      </c>
      <c r="V2444" s="19" t="str">
        <f>IFERROR(RIGHT(K2442,LEN(K2442)-FIND("*",K2442)),"-")</f>
        <v>-</v>
      </c>
      <c r="W2444" s="20" t="str">
        <f t="shared" si="1324"/>
        <v>-</v>
      </c>
      <c r="X2444" s="20" t="str">
        <f>IFERROR(W2444*L2442,"-")</f>
        <v>-</v>
      </c>
      <c r="Z2444" s="85">
        <v>45193</v>
      </c>
    </row>
    <row r="2445" spans="1:26" ht="6.95" customHeight="1" x14ac:dyDescent="0.3">
      <c r="A2445" s="8"/>
      <c r="B2445" s="157"/>
      <c r="C2445" s="158"/>
      <c r="D2445" s="161" t="s">
        <v>39</v>
      </c>
      <c r="E2445" s="162"/>
      <c r="F2445" s="163" t="s">
        <v>40</v>
      </c>
      <c r="G2445" s="164"/>
      <c r="H2445" s="165"/>
      <c r="I2445" s="164"/>
      <c r="J2445" s="165"/>
      <c r="K2445" s="164"/>
      <c r="L2445" s="165"/>
      <c r="M2445" s="6"/>
      <c r="N2445" s="32"/>
      <c r="Q2445" s="10" t="str">
        <f>+CONCATENATE(E2445,G2445)</f>
        <v/>
      </c>
      <c r="R2445" s="10">
        <f>+H2445</f>
        <v>0</v>
      </c>
      <c r="S2445" s="11"/>
      <c r="T2445" s="10">
        <f>+E2445</f>
        <v>0</v>
      </c>
      <c r="U2445" s="19" t="str">
        <f t="shared" ref="U2445" si="1325">IFERROR(LEFT(G2445,FIND("*",G2445)-1),"-")</f>
        <v>-</v>
      </c>
      <c r="V2445" s="19" t="str">
        <f t="shared" ref="V2445" si="1326">IFERROR(RIGHT(G2445,LEN(G2445)-FIND("*",G2445)),"-")</f>
        <v>-</v>
      </c>
      <c r="W2445" s="20" t="str">
        <f t="shared" si="1324"/>
        <v>-</v>
      </c>
      <c r="X2445" s="20" t="str">
        <f>IFERROR(W2445*H2445,"-")</f>
        <v>-</v>
      </c>
      <c r="Z2445" s="85">
        <v>45193</v>
      </c>
    </row>
    <row r="2446" spans="1:26" ht="6.95" customHeight="1" x14ac:dyDescent="0.3">
      <c r="A2446" s="5"/>
      <c r="B2446" s="157"/>
      <c r="C2446" s="158"/>
      <c r="D2446" s="161"/>
      <c r="E2446" s="162"/>
      <c r="F2446" s="163"/>
      <c r="G2446" s="164"/>
      <c r="H2446" s="165"/>
      <c r="I2446" s="164"/>
      <c r="J2446" s="165"/>
      <c r="K2446" s="164"/>
      <c r="L2446" s="165"/>
      <c r="M2446" s="6"/>
      <c r="N2446" s="32"/>
      <c r="Q2446" s="10" t="str">
        <f>+CONCATENATE(E2445,I2445)</f>
        <v/>
      </c>
      <c r="R2446" s="10">
        <f>+J2445</f>
        <v>0</v>
      </c>
      <c r="S2446" s="11"/>
      <c r="T2446" s="10">
        <f>+E2445</f>
        <v>0</v>
      </c>
      <c r="U2446" s="19" t="str">
        <f>IFERROR(LEFT(I2445,FIND("*",I2445)-1),"-")</f>
        <v>-</v>
      </c>
      <c r="V2446" s="19" t="str">
        <f>IFERROR(RIGHT(I2445,LEN(I2445)-FIND("*",I2445)),"-")</f>
        <v>-</v>
      </c>
      <c r="W2446" s="20" t="str">
        <f t="shared" si="1324"/>
        <v>-</v>
      </c>
      <c r="X2446" s="20" t="str">
        <f>IFERROR(W2446*J2445,"-")</f>
        <v>-</v>
      </c>
      <c r="Z2446" s="85">
        <v>45193</v>
      </c>
    </row>
    <row r="2447" spans="1:26" ht="6.95" customHeight="1" x14ac:dyDescent="0.3">
      <c r="A2447" s="5"/>
      <c r="B2447" s="157"/>
      <c r="C2447" s="158"/>
      <c r="D2447" s="161"/>
      <c r="E2447" s="162"/>
      <c r="F2447" s="163"/>
      <c r="G2447" s="164"/>
      <c r="H2447" s="165"/>
      <c r="I2447" s="164"/>
      <c r="J2447" s="165"/>
      <c r="K2447" s="164"/>
      <c r="L2447" s="165"/>
      <c r="M2447" s="6"/>
      <c r="N2447" s="32"/>
      <c r="Q2447" s="10" t="str">
        <f>+CONCATENATE(E2445,K2445)</f>
        <v/>
      </c>
      <c r="R2447" s="10">
        <f>+L2445</f>
        <v>0</v>
      </c>
      <c r="S2447" s="11"/>
      <c r="T2447" s="10">
        <f>+E2445</f>
        <v>0</v>
      </c>
      <c r="U2447" s="19" t="str">
        <f>IFERROR(LEFT(K2445,FIND("*",K2445)-1),"-")</f>
        <v>-</v>
      </c>
      <c r="V2447" s="19" t="str">
        <f>IFERROR(RIGHT(K2445,LEN(K2445)-FIND("*",K2445)),"-")</f>
        <v>-</v>
      </c>
      <c r="W2447" s="20" t="str">
        <f t="shared" si="1324"/>
        <v>-</v>
      </c>
      <c r="X2447" s="20" t="str">
        <f>IFERROR(W2447*L2445,"-")</f>
        <v>-</v>
      </c>
      <c r="Z2447" s="85">
        <v>45193</v>
      </c>
    </row>
    <row r="2448" spans="1:26" ht="6.95" customHeight="1" x14ac:dyDescent="0.3">
      <c r="A2448" s="8"/>
      <c r="B2448" s="157"/>
      <c r="C2448" s="158"/>
      <c r="D2448" s="161" t="s">
        <v>39</v>
      </c>
      <c r="E2448" s="162"/>
      <c r="F2448" s="163" t="s">
        <v>40</v>
      </c>
      <c r="G2448" s="164"/>
      <c r="H2448" s="165"/>
      <c r="I2448" s="164"/>
      <c r="J2448" s="165"/>
      <c r="K2448" s="164"/>
      <c r="L2448" s="165"/>
      <c r="M2448" s="6"/>
      <c r="N2448" s="32"/>
      <c r="Q2448" s="10" t="str">
        <f>+CONCATENATE(E2448,G2448)</f>
        <v/>
      </c>
      <c r="R2448" s="10">
        <f>+H2448</f>
        <v>0</v>
      </c>
      <c r="S2448" s="11"/>
      <c r="T2448" s="10">
        <f>+E2448</f>
        <v>0</v>
      </c>
      <c r="U2448" s="19" t="str">
        <f t="shared" ref="U2448" si="1327">IFERROR(LEFT(G2448,FIND("*",G2448)-1),"-")</f>
        <v>-</v>
      </c>
      <c r="V2448" s="19" t="str">
        <f t="shared" ref="V2448" si="1328">IFERROR(RIGHT(G2448,LEN(G2448)-FIND("*",G2448)),"-")</f>
        <v>-</v>
      </c>
      <c r="W2448" s="20" t="str">
        <f t="shared" si="1324"/>
        <v>-</v>
      </c>
      <c r="X2448" s="20" t="str">
        <f>IFERROR(W2448*H2448,"-")</f>
        <v>-</v>
      </c>
      <c r="Z2448" s="85">
        <v>45193</v>
      </c>
    </row>
    <row r="2449" spans="1:26" ht="6.95" customHeight="1" x14ac:dyDescent="0.3">
      <c r="A2449" s="5"/>
      <c r="B2449" s="157"/>
      <c r="C2449" s="158"/>
      <c r="D2449" s="161"/>
      <c r="E2449" s="162"/>
      <c r="F2449" s="163"/>
      <c r="G2449" s="164"/>
      <c r="H2449" s="165"/>
      <c r="I2449" s="164"/>
      <c r="J2449" s="165"/>
      <c r="K2449" s="164"/>
      <c r="L2449" s="165"/>
      <c r="M2449" s="6"/>
      <c r="N2449" s="32"/>
      <c r="Q2449" s="10" t="str">
        <f>+CONCATENATE(E2448,I2448)</f>
        <v/>
      </c>
      <c r="R2449" s="10">
        <f>+J2448</f>
        <v>0</v>
      </c>
      <c r="S2449" s="11"/>
      <c r="T2449" s="10">
        <f>+E2448</f>
        <v>0</v>
      </c>
      <c r="U2449" s="19" t="str">
        <f>IFERROR(LEFT(I2448,FIND("*",I2448)-1),"-")</f>
        <v>-</v>
      </c>
      <c r="V2449" s="19" t="str">
        <f>IFERROR(RIGHT(I2448,LEN(I2448)-FIND("*",I2448)),"-")</f>
        <v>-</v>
      </c>
      <c r="W2449" s="20" t="str">
        <f t="shared" si="1324"/>
        <v>-</v>
      </c>
      <c r="X2449" s="20" t="str">
        <f t="shared" ref="X2449" si="1329">IFERROR(W2449*J2448,"-")</f>
        <v>-</v>
      </c>
      <c r="Z2449" s="85">
        <v>45193</v>
      </c>
    </row>
    <row r="2450" spans="1:26" ht="6.95" customHeight="1" x14ac:dyDescent="0.3">
      <c r="A2450" s="5"/>
      <c r="B2450" s="157"/>
      <c r="C2450" s="158"/>
      <c r="D2450" s="161"/>
      <c r="E2450" s="162"/>
      <c r="F2450" s="163"/>
      <c r="G2450" s="164"/>
      <c r="H2450" s="165"/>
      <c r="I2450" s="164"/>
      <c r="J2450" s="165"/>
      <c r="K2450" s="164"/>
      <c r="L2450" s="165"/>
      <c r="M2450" s="6"/>
      <c r="N2450" s="32"/>
      <c r="Q2450" s="10" t="str">
        <f>+CONCATENATE(E2448,K2448)</f>
        <v/>
      </c>
      <c r="R2450" s="10">
        <f>+L2448</f>
        <v>0</v>
      </c>
      <c r="S2450" s="11"/>
      <c r="T2450" s="10">
        <f>+E2448</f>
        <v>0</v>
      </c>
      <c r="U2450" s="19" t="str">
        <f>IFERROR(LEFT(K2448,FIND("*",K2448)-1),"-")</f>
        <v>-</v>
      </c>
      <c r="V2450" s="19" t="str">
        <f>IFERROR(RIGHT(K2448,LEN(K2448)-FIND("*",K2448)),"-")</f>
        <v>-</v>
      </c>
      <c r="W2450" s="20" t="str">
        <f t="shared" si="1324"/>
        <v>-</v>
      </c>
      <c r="X2450" s="20" t="str">
        <f>IFERROR(W2450*L2448,"-")</f>
        <v>-</v>
      </c>
      <c r="Z2450" s="85">
        <v>45193</v>
      </c>
    </row>
    <row r="2451" spans="1:26" ht="21" customHeight="1" thickBot="1" x14ac:dyDescent="0.35">
      <c r="A2451" s="5"/>
      <c r="B2451" s="159"/>
      <c r="C2451" s="160"/>
      <c r="D2451" s="166" t="s">
        <v>43</v>
      </c>
      <c r="E2451" s="167"/>
      <c r="F2451" s="167"/>
      <c r="G2451" s="168" t="s">
        <v>208</v>
      </c>
      <c r="H2451" s="168"/>
      <c r="I2451" s="168"/>
      <c r="J2451" s="168"/>
      <c r="K2451" s="168"/>
      <c r="L2451" s="168"/>
      <c r="M2451" s="7"/>
      <c r="N2451" s="33">
        <v>45193</v>
      </c>
      <c r="Z2451" s="85">
        <v>45193</v>
      </c>
    </row>
    <row r="2452" spans="1:26" ht="9.9499999999999993" customHeight="1" thickBot="1" x14ac:dyDescent="0.35">
      <c r="B2452" s="9"/>
      <c r="C2452" s="109">
        <v>1021</v>
      </c>
      <c r="D2452" s="51"/>
      <c r="E2452" s="12"/>
      <c r="F2452" s="51"/>
      <c r="G2452" s="14"/>
      <c r="H2452" s="14"/>
      <c r="I2452" s="14"/>
      <c r="J2452" s="14"/>
      <c r="K2452" s="14"/>
      <c r="L2452" s="14"/>
      <c r="M2452" s="9"/>
      <c r="N2452" s="32"/>
      <c r="U2452" s="18"/>
      <c r="V2452" s="18"/>
      <c r="Z2452" s="85">
        <v>45194</v>
      </c>
    </row>
    <row r="2453" spans="1:26" ht="6.95" customHeight="1" x14ac:dyDescent="0.3">
      <c r="A2453" s="154">
        <f>+A2442+1</f>
        <v>1022</v>
      </c>
      <c r="B2453" s="155"/>
      <c r="C2453" s="156"/>
      <c r="D2453" s="161" t="s">
        <v>39</v>
      </c>
      <c r="E2453" s="162" t="s">
        <v>293</v>
      </c>
      <c r="F2453" s="163" t="s">
        <v>40</v>
      </c>
      <c r="G2453" s="164">
        <v>150</v>
      </c>
      <c r="H2453" s="165">
        <v>2</v>
      </c>
      <c r="I2453" s="164"/>
      <c r="J2453" s="165"/>
      <c r="K2453" s="164"/>
      <c r="L2453" s="165"/>
      <c r="M2453" s="6"/>
      <c r="N2453" s="32"/>
      <c r="Q2453" s="10" t="str">
        <f>+CONCATENATE(E2453,G2453)</f>
        <v>금속관입상150</v>
      </c>
      <c r="R2453" s="10">
        <f>+H2453</f>
        <v>2</v>
      </c>
      <c r="S2453" s="11"/>
      <c r="T2453" s="10" t="str">
        <f>+E2453</f>
        <v>금속관입상</v>
      </c>
      <c r="U2453" s="19" t="str">
        <f>IFERROR(LEFT(G2453,FIND("*",G2453)-1),"-")</f>
        <v>-</v>
      </c>
      <c r="V2453" s="19" t="str">
        <f>IFERROR(RIGHT(G2453,LEN(G2453)-FIND("*",G2453)),"-")</f>
        <v>-</v>
      </c>
      <c r="W2453" s="20" t="str">
        <f>IFERROR((U2453+V2453)*2/1000,"-")</f>
        <v>-</v>
      </c>
      <c r="X2453" s="20" t="str">
        <f>IFERROR(W2453*H2453,"-")</f>
        <v>-</v>
      </c>
      <c r="Z2453" s="85">
        <v>45194</v>
      </c>
    </row>
    <row r="2454" spans="1:26" ht="6.95" customHeight="1" x14ac:dyDescent="0.3">
      <c r="A2454" s="154"/>
      <c r="B2454" s="157"/>
      <c r="C2454" s="158"/>
      <c r="D2454" s="161"/>
      <c r="E2454" s="162"/>
      <c r="F2454" s="163"/>
      <c r="G2454" s="164"/>
      <c r="H2454" s="165"/>
      <c r="I2454" s="164"/>
      <c r="J2454" s="165"/>
      <c r="K2454" s="164"/>
      <c r="L2454" s="165"/>
      <c r="M2454" s="6"/>
      <c r="N2454" s="32"/>
      <c r="Q2454" s="10" t="str">
        <f>+CONCATENATE(E2453,I2453)</f>
        <v>금속관입상</v>
      </c>
      <c r="R2454" s="10">
        <f>+J2453</f>
        <v>0</v>
      </c>
      <c r="S2454" s="11"/>
      <c r="T2454" s="10" t="str">
        <f>+E2453</f>
        <v>금속관입상</v>
      </c>
      <c r="U2454" s="19" t="str">
        <f>IFERROR(LEFT(I2453,FIND("*",I2453)-1),"-")</f>
        <v>-</v>
      </c>
      <c r="V2454" s="19" t="str">
        <f>IFERROR(RIGHT(I2453,LEN(I2453)-FIND("*",I2453)),"-")</f>
        <v>-</v>
      </c>
      <c r="W2454" s="20" t="str">
        <f t="shared" ref="W2454:W2461" si="1330">IFERROR((U2454+V2454)*2/1000,"-")</f>
        <v>-</v>
      </c>
      <c r="X2454" s="20" t="str">
        <f>IFERROR(W2454*J2453,"-")</f>
        <v>-</v>
      </c>
      <c r="Z2454" s="85">
        <v>45194</v>
      </c>
    </row>
    <row r="2455" spans="1:26" ht="6.95" customHeight="1" x14ac:dyDescent="0.3">
      <c r="A2455" s="154"/>
      <c r="B2455" s="157"/>
      <c r="C2455" s="158"/>
      <c r="D2455" s="161"/>
      <c r="E2455" s="162"/>
      <c r="F2455" s="163"/>
      <c r="G2455" s="164"/>
      <c r="H2455" s="165"/>
      <c r="I2455" s="164"/>
      <c r="J2455" s="165"/>
      <c r="K2455" s="164"/>
      <c r="L2455" s="165"/>
      <c r="M2455" s="6"/>
      <c r="N2455" s="32"/>
      <c r="Q2455" s="10" t="str">
        <f>+CONCATENATE(E2453,K2453)</f>
        <v>금속관입상</v>
      </c>
      <c r="R2455" s="10">
        <f>+L2453</f>
        <v>0</v>
      </c>
      <c r="S2455" s="11"/>
      <c r="T2455" s="10" t="str">
        <f>+E2453</f>
        <v>금속관입상</v>
      </c>
      <c r="U2455" s="19" t="str">
        <f>IFERROR(LEFT(K2453,FIND("*",K2453)-1),"-")</f>
        <v>-</v>
      </c>
      <c r="V2455" s="19" t="str">
        <f>IFERROR(RIGHT(K2453,LEN(K2453)-FIND("*",K2453)),"-")</f>
        <v>-</v>
      </c>
      <c r="W2455" s="20" t="str">
        <f t="shared" si="1330"/>
        <v>-</v>
      </c>
      <c r="X2455" s="20" t="str">
        <f>IFERROR(W2455*L2453,"-")</f>
        <v>-</v>
      </c>
      <c r="Z2455" s="85">
        <v>45194</v>
      </c>
    </row>
    <row r="2456" spans="1:26" ht="6.95" customHeight="1" x14ac:dyDescent="0.3">
      <c r="A2456" s="8"/>
      <c r="B2456" s="157"/>
      <c r="C2456" s="158"/>
      <c r="D2456" s="161" t="s">
        <v>39</v>
      </c>
      <c r="E2456" s="162"/>
      <c r="F2456" s="163" t="s">
        <v>40</v>
      </c>
      <c r="G2456" s="164"/>
      <c r="H2456" s="165"/>
      <c r="I2456" s="164"/>
      <c r="J2456" s="165"/>
      <c r="K2456" s="164"/>
      <c r="L2456" s="165"/>
      <c r="M2456" s="6"/>
      <c r="N2456" s="32"/>
      <c r="Q2456" s="10" t="str">
        <f>+CONCATENATE(E2456,G2456)</f>
        <v/>
      </c>
      <c r="R2456" s="10">
        <f>+H2456</f>
        <v>0</v>
      </c>
      <c r="S2456" s="11"/>
      <c r="T2456" s="10">
        <f>+E2456</f>
        <v>0</v>
      </c>
      <c r="U2456" s="19" t="str">
        <f t="shared" ref="U2456" si="1331">IFERROR(LEFT(G2456,FIND("*",G2456)-1),"-")</f>
        <v>-</v>
      </c>
      <c r="V2456" s="19" t="str">
        <f t="shared" ref="V2456" si="1332">IFERROR(RIGHT(G2456,LEN(G2456)-FIND("*",G2456)),"-")</f>
        <v>-</v>
      </c>
      <c r="W2456" s="20" t="str">
        <f t="shared" si="1330"/>
        <v>-</v>
      </c>
      <c r="X2456" s="20" t="str">
        <f>IFERROR(W2456*H2456,"-")</f>
        <v>-</v>
      </c>
      <c r="Z2456" s="85">
        <v>45194</v>
      </c>
    </row>
    <row r="2457" spans="1:26" ht="6.95" customHeight="1" x14ac:dyDescent="0.3">
      <c r="A2457" s="5"/>
      <c r="B2457" s="157"/>
      <c r="C2457" s="158"/>
      <c r="D2457" s="161"/>
      <c r="E2457" s="162"/>
      <c r="F2457" s="163"/>
      <c r="G2457" s="164"/>
      <c r="H2457" s="165"/>
      <c r="I2457" s="164"/>
      <c r="J2457" s="165"/>
      <c r="K2457" s="164"/>
      <c r="L2457" s="165"/>
      <c r="M2457" s="6"/>
      <c r="N2457" s="32"/>
      <c r="Q2457" s="10" t="str">
        <f>+CONCATENATE(E2456,I2456)</f>
        <v/>
      </c>
      <c r="R2457" s="10">
        <f>+J2456</f>
        <v>0</v>
      </c>
      <c r="S2457" s="11"/>
      <c r="T2457" s="10">
        <f>+E2456</f>
        <v>0</v>
      </c>
      <c r="U2457" s="19" t="str">
        <f>IFERROR(LEFT(I2456,FIND("*",I2456)-1),"-")</f>
        <v>-</v>
      </c>
      <c r="V2457" s="19" t="str">
        <f>IFERROR(RIGHT(I2456,LEN(I2456)-FIND("*",I2456)),"-")</f>
        <v>-</v>
      </c>
      <c r="W2457" s="20" t="str">
        <f t="shared" si="1330"/>
        <v>-</v>
      </c>
      <c r="X2457" s="20" t="str">
        <f>IFERROR(W2457*J2456,"-")</f>
        <v>-</v>
      </c>
      <c r="Z2457" s="85">
        <v>45194</v>
      </c>
    </row>
    <row r="2458" spans="1:26" ht="6.95" customHeight="1" x14ac:dyDescent="0.3">
      <c r="A2458" s="5"/>
      <c r="B2458" s="157"/>
      <c r="C2458" s="158"/>
      <c r="D2458" s="161"/>
      <c r="E2458" s="162"/>
      <c r="F2458" s="163"/>
      <c r="G2458" s="164"/>
      <c r="H2458" s="165"/>
      <c r="I2458" s="164"/>
      <c r="J2458" s="165"/>
      <c r="K2458" s="164"/>
      <c r="L2458" s="165"/>
      <c r="M2458" s="6"/>
      <c r="N2458" s="32"/>
      <c r="Q2458" s="10" t="str">
        <f>+CONCATENATE(E2456,K2456)</f>
        <v/>
      </c>
      <c r="R2458" s="10">
        <f>+L2456</f>
        <v>0</v>
      </c>
      <c r="S2458" s="11"/>
      <c r="T2458" s="10">
        <f>+E2456</f>
        <v>0</v>
      </c>
      <c r="U2458" s="19" t="str">
        <f>IFERROR(LEFT(K2456,FIND("*",K2456)-1),"-")</f>
        <v>-</v>
      </c>
      <c r="V2458" s="19" t="str">
        <f>IFERROR(RIGHT(K2456,LEN(K2456)-FIND("*",K2456)),"-")</f>
        <v>-</v>
      </c>
      <c r="W2458" s="20" t="str">
        <f t="shared" si="1330"/>
        <v>-</v>
      </c>
      <c r="X2458" s="20" t="str">
        <f>IFERROR(W2458*L2456,"-")</f>
        <v>-</v>
      </c>
      <c r="Z2458" s="85">
        <v>45194</v>
      </c>
    </row>
    <row r="2459" spans="1:26" ht="6.95" customHeight="1" x14ac:dyDescent="0.3">
      <c r="A2459" s="8"/>
      <c r="B2459" s="157"/>
      <c r="C2459" s="158"/>
      <c r="D2459" s="161" t="s">
        <v>39</v>
      </c>
      <c r="E2459" s="162"/>
      <c r="F2459" s="163" t="s">
        <v>40</v>
      </c>
      <c r="G2459" s="164"/>
      <c r="H2459" s="165"/>
      <c r="I2459" s="164"/>
      <c r="J2459" s="165"/>
      <c r="K2459" s="164"/>
      <c r="L2459" s="165"/>
      <c r="M2459" s="6"/>
      <c r="N2459" s="32"/>
      <c r="Q2459" s="10" t="str">
        <f>+CONCATENATE(E2459,G2459)</f>
        <v/>
      </c>
      <c r="R2459" s="10">
        <f>+H2459</f>
        <v>0</v>
      </c>
      <c r="S2459" s="11"/>
      <c r="T2459" s="10">
        <f>+E2459</f>
        <v>0</v>
      </c>
      <c r="U2459" s="19" t="str">
        <f t="shared" ref="U2459" si="1333">IFERROR(LEFT(G2459,FIND("*",G2459)-1),"-")</f>
        <v>-</v>
      </c>
      <c r="V2459" s="19" t="str">
        <f t="shared" ref="V2459" si="1334">IFERROR(RIGHT(G2459,LEN(G2459)-FIND("*",G2459)),"-")</f>
        <v>-</v>
      </c>
      <c r="W2459" s="20" t="str">
        <f t="shared" si="1330"/>
        <v>-</v>
      </c>
      <c r="X2459" s="20" t="str">
        <f>IFERROR(W2459*H2459,"-")</f>
        <v>-</v>
      </c>
      <c r="Z2459" s="85">
        <v>45194</v>
      </c>
    </row>
    <row r="2460" spans="1:26" ht="6.95" customHeight="1" x14ac:dyDescent="0.3">
      <c r="A2460" s="5"/>
      <c r="B2460" s="157"/>
      <c r="C2460" s="158"/>
      <c r="D2460" s="161"/>
      <c r="E2460" s="162"/>
      <c r="F2460" s="163"/>
      <c r="G2460" s="164"/>
      <c r="H2460" s="165"/>
      <c r="I2460" s="164"/>
      <c r="J2460" s="165"/>
      <c r="K2460" s="164"/>
      <c r="L2460" s="165"/>
      <c r="M2460" s="6"/>
      <c r="N2460" s="32"/>
      <c r="Q2460" s="10" t="str">
        <f>+CONCATENATE(E2459,I2459)</f>
        <v/>
      </c>
      <c r="R2460" s="10">
        <f>+J2459</f>
        <v>0</v>
      </c>
      <c r="S2460" s="11"/>
      <c r="T2460" s="10">
        <f>+E2459</f>
        <v>0</v>
      </c>
      <c r="U2460" s="19" t="str">
        <f>IFERROR(LEFT(I2459,FIND("*",I2459)-1),"-")</f>
        <v>-</v>
      </c>
      <c r="V2460" s="19" t="str">
        <f>IFERROR(RIGHT(I2459,LEN(I2459)-FIND("*",I2459)),"-")</f>
        <v>-</v>
      </c>
      <c r="W2460" s="20" t="str">
        <f t="shared" si="1330"/>
        <v>-</v>
      </c>
      <c r="X2460" s="20" t="str">
        <f t="shared" ref="X2460" si="1335">IFERROR(W2460*J2459,"-")</f>
        <v>-</v>
      </c>
      <c r="Z2460" s="85">
        <v>45194</v>
      </c>
    </row>
    <row r="2461" spans="1:26" ht="6.95" customHeight="1" x14ac:dyDescent="0.3">
      <c r="A2461" s="5"/>
      <c r="B2461" s="157"/>
      <c r="C2461" s="158"/>
      <c r="D2461" s="161"/>
      <c r="E2461" s="162"/>
      <c r="F2461" s="163"/>
      <c r="G2461" s="164"/>
      <c r="H2461" s="165"/>
      <c r="I2461" s="164"/>
      <c r="J2461" s="165"/>
      <c r="K2461" s="164"/>
      <c r="L2461" s="165"/>
      <c r="M2461" s="6"/>
      <c r="N2461" s="32"/>
      <c r="Q2461" s="10" t="str">
        <f>+CONCATENATE(E2459,K2459)</f>
        <v/>
      </c>
      <c r="R2461" s="10">
        <f>+L2459</f>
        <v>0</v>
      </c>
      <c r="S2461" s="11"/>
      <c r="T2461" s="10">
        <f>+E2459</f>
        <v>0</v>
      </c>
      <c r="U2461" s="19" t="str">
        <f>IFERROR(LEFT(K2459,FIND("*",K2459)-1),"-")</f>
        <v>-</v>
      </c>
      <c r="V2461" s="19" t="str">
        <f>IFERROR(RIGHT(K2459,LEN(K2459)-FIND("*",K2459)),"-")</f>
        <v>-</v>
      </c>
      <c r="W2461" s="20" t="str">
        <f t="shared" si="1330"/>
        <v>-</v>
      </c>
      <c r="X2461" s="20" t="str">
        <f>IFERROR(W2461*L2459,"-")</f>
        <v>-</v>
      </c>
      <c r="Z2461" s="85">
        <v>45194</v>
      </c>
    </row>
    <row r="2462" spans="1:26" ht="21" customHeight="1" thickBot="1" x14ac:dyDescent="0.35">
      <c r="A2462" s="5"/>
      <c r="B2462" s="159"/>
      <c r="C2462" s="160"/>
      <c r="D2462" s="166" t="s">
        <v>43</v>
      </c>
      <c r="E2462" s="167"/>
      <c r="F2462" s="167"/>
      <c r="G2462" s="168" t="s">
        <v>206</v>
      </c>
      <c r="H2462" s="168"/>
      <c r="I2462" s="168"/>
      <c r="J2462" s="168"/>
      <c r="K2462" s="168"/>
      <c r="L2462" s="168"/>
      <c r="M2462" s="7"/>
      <c r="N2462" s="32"/>
      <c r="Z2462" s="85">
        <v>45194</v>
      </c>
    </row>
    <row r="2463" spans="1:26" ht="9.9499999999999993" customHeight="1" thickBot="1" x14ac:dyDescent="0.35">
      <c r="B2463" s="9"/>
      <c r="C2463" s="109">
        <v>1022</v>
      </c>
      <c r="D2463" s="51"/>
      <c r="E2463" s="12"/>
      <c r="F2463" s="51"/>
      <c r="G2463" s="14"/>
      <c r="H2463" s="14"/>
      <c r="I2463" s="14"/>
      <c r="J2463" s="14"/>
      <c r="K2463" s="14"/>
      <c r="L2463" s="14"/>
      <c r="M2463" s="9"/>
      <c r="N2463" s="32"/>
      <c r="U2463" s="18"/>
      <c r="V2463" s="18"/>
      <c r="Z2463" s="85">
        <v>45194</v>
      </c>
    </row>
    <row r="2464" spans="1:26" ht="6.95" customHeight="1" x14ac:dyDescent="0.3">
      <c r="A2464" s="154">
        <f>+A2453+1</f>
        <v>1023</v>
      </c>
      <c r="B2464" s="155"/>
      <c r="C2464" s="156"/>
      <c r="D2464" s="161" t="s">
        <v>39</v>
      </c>
      <c r="E2464" s="162" t="s">
        <v>111</v>
      </c>
      <c r="F2464" s="163" t="s">
        <v>40</v>
      </c>
      <c r="G2464" s="164" t="s">
        <v>195</v>
      </c>
      <c r="H2464" s="165">
        <v>0.5</v>
      </c>
      <c r="I2464" s="164"/>
      <c r="J2464" s="165"/>
      <c r="K2464" s="164"/>
      <c r="L2464" s="165"/>
      <c r="M2464" s="6"/>
      <c r="N2464" s="32"/>
      <c r="Q2464" s="10" t="str">
        <f>+CONCATENATE(E2464,G2464)</f>
        <v>보온덕트벽체600*400</v>
      </c>
      <c r="R2464" s="10">
        <f>+H2464</f>
        <v>0.5</v>
      </c>
      <c r="S2464" s="11"/>
      <c r="T2464" s="10" t="str">
        <f>+E2464</f>
        <v>보온덕트벽체</v>
      </c>
      <c r="U2464" s="19" t="str">
        <f>IFERROR(LEFT(G2464,FIND("*",G2464)-1),"-")</f>
        <v>600</v>
      </c>
      <c r="V2464" s="19" t="str">
        <f>IFERROR(RIGHT(G2464,LEN(G2464)-FIND("*",G2464)),"-")</f>
        <v>400</v>
      </c>
      <c r="W2464" s="20">
        <f>IFERROR((U2464+V2464)*2/1000,"-")</f>
        <v>2</v>
      </c>
      <c r="X2464" s="20">
        <f>IFERROR(W2464*H2464,"-")</f>
        <v>1</v>
      </c>
      <c r="Z2464" s="85">
        <v>45194</v>
      </c>
    </row>
    <row r="2465" spans="1:26" ht="6.95" customHeight="1" x14ac:dyDescent="0.3">
      <c r="A2465" s="154"/>
      <c r="B2465" s="157"/>
      <c r="C2465" s="158"/>
      <c r="D2465" s="161"/>
      <c r="E2465" s="162"/>
      <c r="F2465" s="163"/>
      <c r="G2465" s="164"/>
      <c r="H2465" s="165"/>
      <c r="I2465" s="164"/>
      <c r="J2465" s="165"/>
      <c r="K2465" s="164"/>
      <c r="L2465" s="165"/>
      <c r="M2465" s="6"/>
      <c r="N2465" s="32"/>
      <c r="Q2465" s="10" t="str">
        <f>+CONCATENATE(E2464,I2464)</f>
        <v>보온덕트벽체</v>
      </c>
      <c r="R2465" s="10">
        <f>+J2464</f>
        <v>0</v>
      </c>
      <c r="S2465" s="11"/>
      <c r="T2465" s="10" t="str">
        <f>+E2464</f>
        <v>보온덕트벽체</v>
      </c>
      <c r="U2465" s="19" t="str">
        <f>IFERROR(LEFT(I2464,FIND("*",I2464)-1),"-")</f>
        <v>-</v>
      </c>
      <c r="V2465" s="19" t="str">
        <f>IFERROR(RIGHT(I2464,LEN(I2464)-FIND("*",I2464)),"-")</f>
        <v>-</v>
      </c>
      <c r="W2465" s="20" t="str">
        <f t="shared" ref="W2465:W2472" si="1336">IFERROR((U2465+V2465)*2/1000,"-")</f>
        <v>-</v>
      </c>
      <c r="X2465" s="20" t="str">
        <f>IFERROR(W2465*J2464,"-")</f>
        <v>-</v>
      </c>
      <c r="Z2465" s="85">
        <v>45194</v>
      </c>
    </row>
    <row r="2466" spans="1:26" ht="6.95" customHeight="1" x14ac:dyDescent="0.3">
      <c r="A2466" s="154"/>
      <c r="B2466" s="157"/>
      <c r="C2466" s="158"/>
      <c r="D2466" s="161"/>
      <c r="E2466" s="162"/>
      <c r="F2466" s="163"/>
      <c r="G2466" s="164"/>
      <c r="H2466" s="165"/>
      <c r="I2466" s="164"/>
      <c r="J2466" s="165"/>
      <c r="K2466" s="164"/>
      <c r="L2466" s="165"/>
      <c r="M2466" s="6"/>
      <c r="N2466" s="32"/>
      <c r="Q2466" s="10" t="str">
        <f>+CONCATENATE(E2464,K2464)</f>
        <v>보온덕트벽체</v>
      </c>
      <c r="R2466" s="10">
        <f>+L2464</f>
        <v>0</v>
      </c>
      <c r="S2466" s="11"/>
      <c r="T2466" s="10" t="str">
        <f>+E2464</f>
        <v>보온덕트벽체</v>
      </c>
      <c r="U2466" s="19" t="str">
        <f>IFERROR(LEFT(K2464,FIND("*",K2464)-1),"-")</f>
        <v>-</v>
      </c>
      <c r="V2466" s="19" t="str">
        <f>IFERROR(RIGHT(K2464,LEN(K2464)-FIND("*",K2464)),"-")</f>
        <v>-</v>
      </c>
      <c r="W2466" s="20" t="str">
        <f t="shared" si="1336"/>
        <v>-</v>
      </c>
      <c r="X2466" s="20" t="str">
        <f>IFERROR(W2466*L2464,"-")</f>
        <v>-</v>
      </c>
      <c r="Z2466" s="85">
        <v>45194</v>
      </c>
    </row>
    <row r="2467" spans="1:26" ht="6.95" customHeight="1" x14ac:dyDescent="0.3">
      <c r="A2467" s="8"/>
      <c r="B2467" s="157"/>
      <c r="C2467" s="158"/>
      <c r="D2467" s="161" t="s">
        <v>39</v>
      </c>
      <c r="E2467" s="162" t="s">
        <v>188</v>
      </c>
      <c r="F2467" s="163" t="s">
        <v>40</v>
      </c>
      <c r="G2467" s="164" t="s">
        <v>195</v>
      </c>
      <c r="H2467" s="165">
        <v>1</v>
      </c>
      <c r="I2467" s="164"/>
      <c r="J2467" s="165"/>
      <c r="K2467" s="164"/>
      <c r="L2467" s="165"/>
      <c r="M2467" s="6"/>
      <c r="N2467" s="32"/>
      <c r="Q2467" s="10" t="str">
        <f>+CONCATENATE(E2467,G2467)</f>
        <v>차열재마감600*400</v>
      </c>
      <c r="R2467" s="10">
        <f>+H2467</f>
        <v>1</v>
      </c>
      <c r="S2467" s="11"/>
      <c r="T2467" s="10" t="str">
        <f>+E2467</f>
        <v>차열재마감</v>
      </c>
      <c r="U2467" s="19" t="str">
        <f t="shared" ref="U2467" si="1337">IFERROR(LEFT(G2467,FIND("*",G2467)-1),"-")</f>
        <v>600</v>
      </c>
      <c r="V2467" s="19" t="str">
        <f t="shared" ref="V2467" si="1338">IFERROR(RIGHT(G2467,LEN(G2467)-FIND("*",G2467)),"-")</f>
        <v>400</v>
      </c>
      <c r="W2467" s="20">
        <f t="shared" si="1336"/>
        <v>2</v>
      </c>
      <c r="X2467" s="20">
        <f>IFERROR(W2467*H2467,"-")</f>
        <v>2</v>
      </c>
      <c r="Z2467" s="85">
        <v>45194</v>
      </c>
    </row>
    <row r="2468" spans="1:26" ht="6.95" customHeight="1" x14ac:dyDescent="0.3">
      <c r="A2468" s="5"/>
      <c r="B2468" s="157"/>
      <c r="C2468" s="158"/>
      <c r="D2468" s="161"/>
      <c r="E2468" s="162"/>
      <c r="F2468" s="163"/>
      <c r="G2468" s="164"/>
      <c r="H2468" s="165"/>
      <c r="I2468" s="164"/>
      <c r="J2468" s="165"/>
      <c r="K2468" s="164"/>
      <c r="L2468" s="165"/>
      <c r="M2468" s="6"/>
      <c r="N2468" s="32"/>
      <c r="Q2468" s="10" t="str">
        <f>+CONCATENATE(E2467,I2467)</f>
        <v>차열재마감</v>
      </c>
      <c r="R2468" s="10">
        <f>+J2467</f>
        <v>0</v>
      </c>
      <c r="S2468" s="11"/>
      <c r="T2468" s="10" t="str">
        <f>+E2467</f>
        <v>차열재마감</v>
      </c>
      <c r="U2468" s="19" t="str">
        <f>IFERROR(LEFT(I2467,FIND("*",I2467)-1),"-")</f>
        <v>-</v>
      </c>
      <c r="V2468" s="19" t="str">
        <f>IFERROR(RIGHT(I2467,LEN(I2467)-FIND("*",I2467)),"-")</f>
        <v>-</v>
      </c>
      <c r="W2468" s="20" t="str">
        <f t="shared" si="1336"/>
        <v>-</v>
      </c>
      <c r="X2468" s="20" t="str">
        <f>IFERROR(W2468*J2467,"-")</f>
        <v>-</v>
      </c>
      <c r="Z2468" s="85">
        <v>45194</v>
      </c>
    </row>
    <row r="2469" spans="1:26" ht="6.95" customHeight="1" x14ac:dyDescent="0.3">
      <c r="A2469" s="5"/>
      <c r="B2469" s="157"/>
      <c r="C2469" s="158"/>
      <c r="D2469" s="161"/>
      <c r="E2469" s="162"/>
      <c r="F2469" s="163"/>
      <c r="G2469" s="164"/>
      <c r="H2469" s="165"/>
      <c r="I2469" s="164"/>
      <c r="J2469" s="165"/>
      <c r="K2469" s="164"/>
      <c r="L2469" s="165"/>
      <c r="M2469" s="6"/>
      <c r="N2469" s="32"/>
      <c r="Q2469" s="10" t="str">
        <f>+CONCATENATE(E2467,K2467)</f>
        <v>차열재마감</v>
      </c>
      <c r="R2469" s="10">
        <f>+L2467</f>
        <v>0</v>
      </c>
      <c r="S2469" s="11"/>
      <c r="T2469" s="10" t="str">
        <f>+E2467</f>
        <v>차열재마감</v>
      </c>
      <c r="U2469" s="19" t="str">
        <f>IFERROR(LEFT(K2467,FIND("*",K2467)-1),"-")</f>
        <v>-</v>
      </c>
      <c r="V2469" s="19" t="str">
        <f>IFERROR(RIGHT(K2467,LEN(K2467)-FIND("*",K2467)),"-")</f>
        <v>-</v>
      </c>
      <c r="W2469" s="20" t="str">
        <f t="shared" si="1336"/>
        <v>-</v>
      </c>
      <c r="X2469" s="20" t="str">
        <f>IFERROR(W2469*L2467,"-")</f>
        <v>-</v>
      </c>
      <c r="Z2469" s="85">
        <v>45194</v>
      </c>
    </row>
    <row r="2470" spans="1:26" ht="6.95" customHeight="1" x14ac:dyDescent="0.3">
      <c r="A2470" s="8"/>
      <c r="B2470" s="157"/>
      <c r="C2470" s="158"/>
      <c r="D2470" s="161" t="s">
        <v>39</v>
      </c>
      <c r="E2470" s="162" t="s">
        <v>186</v>
      </c>
      <c r="F2470" s="163" t="s">
        <v>40</v>
      </c>
      <c r="G2470" s="164">
        <v>50</v>
      </c>
      <c r="H2470" s="165">
        <v>1</v>
      </c>
      <c r="I2470" s="164"/>
      <c r="J2470" s="165"/>
      <c r="K2470" s="164"/>
      <c r="L2470" s="165"/>
      <c r="M2470" s="6"/>
      <c r="N2470" s="32"/>
      <c r="Q2470" s="10" t="str">
        <f>+CONCATENATE(E2470,G2470)</f>
        <v>금속관벽체50</v>
      </c>
      <c r="R2470" s="10">
        <f>+H2470</f>
        <v>1</v>
      </c>
      <c r="S2470" s="11"/>
      <c r="T2470" s="10" t="str">
        <f>+E2470</f>
        <v>금속관벽체</v>
      </c>
      <c r="U2470" s="19" t="str">
        <f t="shared" ref="U2470" si="1339">IFERROR(LEFT(G2470,FIND("*",G2470)-1),"-")</f>
        <v>-</v>
      </c>
      <c r="V2470" s="19" t="str">
        <f t="shared" ref="V2470" si="1340">IFERROR(RIGHT(G2470,LEN(G2470)-FIND("*",G2470)),"-")</f>
        <v>-</v>
      </c>
      <c r="W2470" s="20" t="str">
        <f t="shared" si="1336"/>
        <v>-</v>
      </c>
      <c r="X2470" s="20" t="str">
        <f>IFERROR(W2470*H2470,"-")</f>
        <v>-</v>
      </c>
      <c r="Z2470" s="85">
        <v>45194</v>
      </c>
    </row>
    <row r="2471" spans="1:26" ht="6.95" customHeight="1" x14ac:dyDescent="0.3">
      <c r="A2471" s="5"/>
      <c r="B2471" s="157"/>
      <c r="C2471" s="158"/>
      <c r="D2471" s="161"/>
      <c r="E2471" s="162"/>
      <c r="F2471" s="163"/>
      <c r="G2471" s="164"/>
      <c r="H2471" s="165"/>
      <c r="I2471" s="164"/>
      <c r="J2471" s="165"/>
      <c r="K2471" s="164"/>
      <c r="L2471" s="165"/>
      <c r="M2471" s="6"/>
      <c r="N2471" s="32"/>
      <c r="Q2471" s="10" t="str">
        <f>+CONCATENATE(E2470,I2470)</f>
        <v>금속관벽체</v>
      </c>
      <c r="R2471" s="10">
        <f>+J2470</f>
        <v>0</v>
      </c>
      <c r="S2471" s="11"/>
      <c r="T2471" s="10" t="str">
        <f>+E2470</f>
        <v>금속관벽체</v>
      </c>
      <c r="U2471" s="19" t="str">
        <f>IFERROR(LEFT(I2470,FIND("*",I2470)-1),"-")</f>
        <v>-</v>
      </c>
      <c r="V2471" s="19" t="str">
        <f>IFERROR(RIGHT(I2470,LEN(I2470)-FIND("*",I2470)),"-")</f>
        <v>-</v>
      </c>
      <c r="W2471" s="20" t="str">
        <f t="shared" si="1336"/>
        <v>-</v>
      </c>
      <c r="X2471" s="20" t="str">
        <f t="shared" ref="X2471" si="1341">IFERROR(W2471*J2470,"-")</f>
        <v>-</v>
      </c>
      <c r="Z2471" s="85">
        <v>45194</v>
      </c>
    </row>
    <row r="2472" spans="1:26" ht="6.95" customHeight="1" x14ac:dyDescent="0.3">
      <c r="A2472" s="5"/>
      <c r="B2472" s="157"/>
      <c r="C2472" s="158"/>
      <c r="D2472" s="161"/>
      <c r="E2472" s="162"/>
      <c r="F2472" s="163"/>
      <c r="G2472" s="164"/>
      <c r="H2472" s="165"/>
      <c r="I2472" s="164"/>
      <c r="J2472" s="165"/>
      <c r="K2472" s="164"/>
      <c r="L2472" s="165"/>
      <c r="M2472" s="6"/>
      <c r="N2472" s="32"/>
      <c r="Q2472" s="10" t="str">
        <f>+CONCATENATE(E2470,K2470)</f>
        <v>금속관벽체</v>
      </c>
      <c r="R2472" s="10">
        <f>+L2470</f>
        <v>0</v>
      </c>
      <c r="S2472" s="11"/>
      <c r="T2472" s="10" t="str">
        <f>+E2470</f>
        <v>금속관벽체</v>
      </c>
      <c r="U2472" s="19" t="str">
        <f>IFERROR(LEFT(K2470,FIND("*",K2470)-1),"-")</f>
        <v>-</v>
      </c>
      <c r="V2472" s="19" t="str">
        <f>IFERROR(RIGHT(K2470,LEN(K2470)-FIND("*",K2470)),"-")</f>
        <v>-</v>
      </c>
      <c r="W2472" s="20" t="str">
        <f t="shared" si="1336"/>
        <v>-</v>
      </c>
      <c r="X2472" s="20" t="str">
        <f>IFERROR(W2472*L2470,"-")</f>
        <v>-</v>
      </c>
      <c r="Z2472" s="85">
        <v>45194</v>
      </c>
    </row>
    <row r="2473" spans="1:26" ht="21" customHeight="1" thickBot="1" x14ac:dyDescent="0.35">
      <c r="A2473" s="5"/>
      <c r="B2473" s="159"/>
      <c r="C2473" s="160"/>
      <c r="D2473" s="166" t="s">
        <v>43</v>
      </c>
      <c r="E2473" s="167"/>
      <c r="F2473" s="167"/>
      <c r="G2473" s="168" t="s">
        <v>206</v>
      </c>
      <c r="H2473" s="168"/>
      <c r="I2473" s="168"/>
      <c r="J2473" s="168"/>
      <c r="K2473" s="168"/>
      <c r="L2473" s="168"/>
      <c r="M2473" s="7"/>
      <c r="N2473" s="32"/>
      <c r="Z2473" s="85">
        <v>45194</v>
      </c>
    </row>
    <row r="2474" spans="1:26" ht="9.9499999999999993" customHeight="1" thickBot="1" x14ac:dyDescent="0.35">
      <c r="B2474" s="9"/>
      <c r="C2474" s="109">
        <v>1023</v>
      </c>
      <c r="D2474" s="51"/>
      <c r="E2474" s="12"/>
      <c r="F2474" s="51"/>
      <c r="G2474" s="14"/>
      <c r="H2474" s="14"/>
      <c r="I2474" s="14"/>
      <c r="J2474" s="14"/>
      <c r="K2474" s="14"/>
      <c r="L2474" s="14"/>
      <c r="M2474" s="9"/>
      <c r="N2474" s="32"/>
      <c r="U2474" s="18"/>
      <c r="V2474" s="18"/>
      <c r="Z2474" s="85">
        <v>45194</v>
      </c>
    </row>
    <row r="2475" spans="1:26" ht="6.95" customHeight="1" x14ac:dyDescent="0.3">
      <c r="A2475" s="154">
        <f>+A2464+1</f>
        <v>1024</v>
      </c>
      <c r="B2475" s="155"/>
      <c r="C2475" s="156"/>
      <c r="D2475" s="161" t="s">
        <v>39</v>
      </c>
      <c r="E2475" s="162" t="s">
        <v>186</v>
      </c>
      <c r="F2475" s="163" t="s">
        <v>40</v>
      </c>
      <c r="G2475" s="164">
        <v>50</v>
      </c>
      <c r="H2475" s="165">
        <v>1</v>
      </c>
      <c r="I2475" s="164">
        <v>150</v>
      </c>
      <c r="J2475" s="165">
        <v>1</v>
      </c>
      <c r="K2475" s="164"/>
      <c r="L2475" s="165"/>
      <c r="M2475" s="6"/>
      <c r="N2475" s="32"/>
      <c r="Q2475" s="10" t="str">
        <f>+CONCATENATE(E2475,G2475)</f>
        <v>금속관벽체50</v>
      </c>
      <c r="R2475" s="10">
        <f>+H2475</f>
        <v>1</v>
      </c>
      <c r="S2475" s="11"/>
      <c r="T2475" s="10" t="str">
        <f>+E2475</f>
        <v>금속관벽체</v>
      </c>
      <c r="U2475" s="19" t="str">
        <f>IFERROR(LEFT(G2475,FIND("*",G2475)-1),"-")</f>
        <v>-</v>
      </c>
      <c r="V2475" s="19" t="str">
        <f>IFERROR(RIGHT(G2475,LEN(G2475)-FIND("*",G2475)),"-")</f>
        <v>-</v>
      </c>
      <c r="W2475" s="20" t="str">
        <f>IFERROR((U2475+V2475)*2/1000,"-")</f>
        <v>-</v>
      </c>
      <c r="X2475" s="20" t="str">
        <f>IFERROR(W2475*H2475,"-")</f>
        <v>-</v>
      </c>
      <c r="Z2475" s="85">
        <v>45194</v>
      </c>
    </row>
    <row r="2476" spans="1:26" ht="6.95" customHeight="1" x14ac:dyDescent="0.3">
      <c r="A2476" s="154"/>
      <c r="B2476" s="157"/>
      <c r="C2476" s="158"/>
      <c r="D2476" s="161"/>
      <c r="E2476" s="162"/>
      <c r="F2476" s="163"/>
      <c r="G2476" s="164"/>
      <c r="H2476" s="165"/>
      <c r="I2476" s="164"/>
      <c r="J2476" s="165"/>
      <c r="K2476" s="164"/>
      <c r="L2476" s="165"/>
      <c r="M2476" s="6"/>
      <c r="N2476" s="32"/>
      <c r="Q2476" s="10" t="str">
        <f>+CONCATENATE(E2475,I2475)</f>
        <v>금속관벽체150</v>
      </c>
      <c r="R2476" s="10">
        <f>+J2475</f>
        <v>1</v>
      </c>
      <c r="S2476" s="11"/>
      <c r="T2476" s="10" t="str">
        <f>+E2475</f>
        <v>금속관벽체</v>
      </c>
      <c r="U2476" s="19" t="str">
        <f>IFERROR(LEFT(I2475,FIND("*",I2475)-1),"-")</f>
        <v>-</v>
      </c>
      <c r="V2476" s="19" t="str">
        <f>IFERROR(RIGHT(I2475,LEN(I2475)-FIND("*",I2475)),"-")</f>
        <v>-</v>
      </c>
      <c r="W2476" s="20" t="str">
        <f t="shared" ref="W2476:W2483" si="1342">IFERROR((U2476+V2476)*2/1000,"-")</f>
        <v>-</v>
      </c>
      <c r="X2476" s="20" t="str">
        <f>IFERROR(W2476*J2475,"-")</f>
        <v>-</v>
      </c>
      <c r="Z2476" s="85">
        <v>45194</v>
      </c>
    </row>
    <row r="2477" spans="1:26" ht="6.95" customHeight="1" x14ac:dyDescent="0.3">
      <c r="A2477" s="154"/>
      <c r="B2477" s="157"/>
      <c r="C2477" s="158"/>
      <c r="D2477" s="161"/>
      <c r="E2477" s="162"/>
      <c r="F2477" s="163"/>
      <c r="G2477" s="164"/>
      <c r="H2477" s="165"/>
      <c r="I2477" s="164"/>
      <c r="J2477" s="165"/>
      <c r="K2477" s="164"/>
      <c r="L2477" s="165"/>
      <c r="M2477" s="6"/>
      <c r="N2477" s="32"/>
      <c r="Q2477" s="10" t="str">
        <f>+CONCATENATE(E2475,K2475)</f>
        <v>금속관벽체</v>
      </c>
      <c r="R2477" s="10">
        <f>+L2475</f>
        <v>0</v>
      </c>
      <c r="S2477" s="11"/>
      <c r="T2477" s="10" t="str">
        <f>+E2475</f>
        <v>금속관벽체</v>
      </c>
      <c r="U2477" s="19" t="str">
        <f>IFERROR(LEFT(K2475,FIND("*",K2475)-1),"-")</f>
        <v>-</v>
      </c>
      <c r="V2477" s="19" t="str">
        <f>IFERROR(RIGHT(K2475,LEN(K2475)-FIND("*",K2475)),"-")</f>
        <v>-</v>
      </c>
      <c r="W2477" s="20" t="str">
        <f t="shared" si="1342"/>
        <v>-</v>
      </c>
      <c r="X2477" s="20" t="str">
        <f>IFERROR(W2477*L2475,"-")</f>
        <v>-</v>
      </c>
      <c r="Z2477" s="85">
        <v>45194</v>
      </c>
    </row>
    <row r="2478" spans="1:26" ht="6.95" customHeight="1" x14ac:dyDescent="0.3">
      <c r="A2478" s="8"/>
      <c r="B2478" s="157"/>
      <c r="C2478" s="158"/>
      <c r="D2478" s="161" t="s">
        <v>39</v>
      </c>
      <c r="E2478" s="162"/>
      <c r="F2478" s="163" t="s">
        <v>40</v>
      </c>
      <c r="G2478" s="164"/>
      <c r="H2478" s="165"/>
      <c r="I2478" s="164"/>
      <c r="J2478" s="165"/>
      <c r="K2478" s="164"/>
      <c r="L2478" s="165"/>
      <c r="M2478" s="6"/>
      <c r="N2478" s="32"/>
      <c r="Q2478" s="10" t="str">
        <f>+CONCATENATE(E2478,G2478)</f>
        <v/>
      </c>
      <c r="R2478" s="10">
        <f>+H2478</f>
        <v>0</v>
      </c>
      <c r="S2478" s="11"/>
      <c r="T2478" s="10">
        <f>+E2478</f>
        <v>0</v>
      </c>
      <c r="U2478" s="19" t="str">
        <f t="shared" ref="U2478" si="1343">IFERROR(LEFT(G2478,FIND("*",G2478)-1),"-")</f>
        <v>-</v>
      </c>
      <c r="V2478" s="19" t="str">
        <f t="shared" ref="V2478" si="1344">IFERROR(RIGHT(G2478,LEN(G2478)-FIND("*",G2478)),"-")</f>
        <v>-</v>
      </c>
      <c r="W2478" s="20" t="str">
        <f t="shared" si="1342"/>
        <v>-</v>
      </c>
      <c r="X2478" s="20" t="str">
        <f>IFERROR(W2478*H2478,"-")</f>
        <v>-</v>
      </c>
      <c r="Z2478" s="85">
        <v>45194</v>
      </c>
    </row>
    <row r="2479" spans="1:26" ht="6.95" customHeight="1" x14ac:dyDescent="0.3">
      <c r="A2479" s="5"/>
      <c r="B2479" s="157"/>
      <c r="C2479" s="158"/>
      <c r="D2479" s="161"/>
      <c r="E2479" s="162"/>
      <c r="F2479" s="163"/>
      <c r="G2479" s="164"/>
      <c r="H2479" s="165"/>
      <c r="I2479" s="164"/>
      <c r="J2479" s="165"/>
      <c r="K2479" s="164"/>
      <c r="L2479" s="165"/>
      <c r="M2479" s="6"/>
      <c r="N2479" s="32"/>
      <c r="Q2479" s="10" t="str">
        <f>+CONCATENATE(E2478,I2478)</f>
        <v/>
      </c>
      <c r="R2479" s="10">
        <f>+J2478</f>
        <v>0</v>
      </c>
      <c r="S2479" s="11"/>
      <c r="T2479" s="10">
        <f>+E2478</f>
        <v>0</v>
      </c>
      <c r="U2479" s="19" t="str">
        <f>IFERROR(LEFT(I2478,FIND("*",I2478)-1),"-")</f>
        <v>-</v>
      </c>
      <c r="V2479" s="19" t="str">
        <f>IFERROR(RIGHT(I2478,LEN(I2478)-FIND("*",I2478)),"-")</f>
        <v>-</v>
      </c>
      <c r="W2479" s="20" t="str">
        <f t="shared" si="1342"/>
        <v>-</v>
      </c>
      <c r="X2479" s="20" t="str">
        <f>IFERROR(W2479*J2478,"-")</f>
        <v>-</v>
      </c>
      <c r="Z2479" s="85">
        <v>45194</v>
      </c>
    </row>
    <row r="2480" spans="1:26" ht="6.95" customHeight="1" x14ac:dyDescent="0.3">
      <c r="A2480" s="5"/>
      <c r="B2480" s="157"/>
      <c r="C2480" s="158"/>
      <c r="D2480" s="161"/>
      <c r="E2480" s="162"/>
      <c r="F2480" s="163"/>
      <c r="G2480" s="164"/>
      <c r="H2480" s="165"/>
      <c r="I2480" s="164"/>
      <c r="J2480" s="165"/>
      <c r="K2480" s="164"/>
      <c r="L2480" s="165"/>
      <c r="M2480" s="6"/>
      <c r="N2480" s="32"/>
      <c r="Q2480" s="10" t="str">
        <f>+CONCATENATE(E2478,K2478)</f>
        <v/>
      </c>
      <c r="R2480" s="10">
        <f>+L2478</f>
        <v>0</v>
      </c>
      <c r="S2480" s="11"/>
      <c r="T2480" s="10">
        <f>+E2478</f>
        <v>0</v>
      </c>
      <c r="U2480" s="19" t="str">
        <f>IFERROR(LEFT(K2478,FIND("*",K2478)-1),"-")</f>
        <v>-</v>
      </c>
      <c r="V2480" s="19" t="str">
        <f>IFERROR(RIGHT(K2478,LEN(K2478)-FIND("*",K2478)),"-")</f>
        <v>-</v>
      </c>
      <c r="W2480" s="20" t="str">
        <f t="shared" si="1342"/>
        <v>-</v>
      </c>
      <c r="X2480" s="20" t="str">
        <f>IFERROR(W2480*L2478,"-")</f>
        <v>-</v>
      </c>
      <c r="Z2480" s="85">
        <v>45194</v>
      </c>
    </row>
    <row r="2481" spans="1:26" ht="6.95" customHeight="1" x14ac:dyDescent="0.3">
      <c r="A2481" s="8"/>
      <c r="B2481" s="157"/>
      <c r="C2481" s="158"/>
      <c r="D2481" s="161" t="s">
        <v>39</v>
      </c>
      <c r="E2481" s="162"/>
      <c r="F2481" s="163" t="s">
        <v>40</v>
      </c>
      <c r="G2481" s="164"/>
      <c r="H2481" s="165"/>
      <c r="I2481" s="164"/>
      <c r="J2481" s="165"/>
      <c r="K2481" s="164"/>
      <c r="L2481" s="165"/>
      <c r="M2481" s="6"/>
      <c r="N2481" s="32"/>
      <c r="Q2481" s="10" t="str">
        <f>+CONCATENATE(E2481,G2481)</f>
        <v/>
      </c>
      <c r="R2481" s="10">
        <f>+H2481</f>
        <v>0</v>
      </c>
      <c r="S2481" s="11"/>
      <c r="T2481" s="10">
        <f>+E2481</f>
        <v>0</v>
      </c>
      <c r="U2481" s="19" t="str">
        <f t="shared" ref="U2481" si="1345">IFERROR(LEFT(G2481,FIND("*",G2481)-1),"-")</f>
        <v>-</v>
      </c>
      <c r="V2481" s="19" t="str">
        <f t="shared" ref="V2481" si="1346">IFERROR(RIGHT(G2481,LEN(G2481)-FIND("*",G2481)),"-")</f>
        <v>-</v>
      </c>
      <c r="W2481" s="20" t="str">
        <f t="shared" si="1342"/>
        <v>-</v>
      </c>
      <c r="X2481" s="20" t="str">
        <f>IFERROR(W2481*H2481,"-")</f>
        <v>-</v>
      </c>
      <c r="Z2481" s="85">
        <v>45194</v>
      </c>
    </row>
    <row r="2482" spans="1:26" ht="6.95" customHeight="1" x14ac:dyDescent="0.3">
      <c r="A2482" s="5"/>
      <c r="B2482" s="157"/>
      <c r="C2482" s="158"/>
      <c r="D2482" s="161"/>
      <c r="E2482" s="162"/>
      <c r="F2482" s="163"/>
      <c r="G2482" s="164"/>
      <c r="H2482" s="165"/>
      <c r="I2482" s="164"/>
      <c r="J2482" s="165"/>
      <c r="K2482" s="164"/>
      <c r="L2482" s="165"/>
      <c r="M2482" s="6"/>
      <c r="N2482" s="32"/>
      <c r="Q2482" s="10" t="str">
        <f>+CONCATENATE(E2481,I2481)</f>
        <v/>
      </c>
      <c r="R2482" s="10">
        <f>+J2481</f>
        <v>0</v>
      </c>
      <c r="S2482" s="11"/>
      <c r="T2482" s="10">
        <f>+E2481</f>
        <v>0</v>
      </c>
      <c r="U2482" s="19" t="str">
        <f>IFERROR(LEFT(I2481,FIND("*",I2481)-1),"-")</f>
        <v>-</v>
      </c>
      <c r="V2482" s="19" t="str">
        <f>IFERROR(RIGHT(I2481,LEN(I2481)-FIND("*",I2481)),"-")</f>
        <v>-</v>
      </c>
      <c r="W2482" s="20" t="str">
        <f t="shared" si="1342"/>
        <v>-</v>
      </c>
      <c r="X2482" s="20" t="str">
        <f t="shared" ref="X2482" si="1347">IFERROR(W2482*J2481,"-")</f>
        <v>-</v>
      </c>
      <c r="Z2482" s="85">
        <v>45194</v>
      </c>
    </row>
    <row r="2483" spans="1:26" ht="6.95" customHeight="1" x14ac:dyDescent="0.3">
      <c r="A2483" s="5"/>
      <c r="B2483" s="157"/>
      <c r="C2483" s="158"/>
      <c r="D2483" s="161"/>
      <c r="E2483" s="162"/>
      <c r="F2483" s="163"/>
      <c r="G2483" s="164"/>
      <c r="H2483" s="165"/>
      <c r="I2483" s="164"/>
      <c r="J2483" s="165"/>
      <c r="K2483" s="164"/>
      <c r="L2483" s="165"/>
      <c r="M2483" s="6"/>
      <c r="N2483" s="32"/>
      <c r="Q2483" s="10" t="str">
        <f>+CONCATENATE(E2481,K2481)</f>
        <v/>
      </c>
      <c r="R2483" s="10">
        <f>+L2481</f>
        <v>0</v>
      </c>
      <c r="S2483" s="11"/>
      <c r="T2483" s="10">
        <f>+E2481</f>
        <v>0</v>
      </c>
      <c r="U2483" s="19" t="str">
        <f>IFERROR(LEFT(K2481,FIND("*",K2481)-1),"-")</f>
        <v>-</v>
      </c>
      <c r="V2483" s="19" t="str">
        <f>IFERROR(RIGHT(K2481,LEN(K2481)-FIND("*",K2481)),"-")</f>
        <v>-</v>
      </c>
      <c r="W2483" s="20" t="str">
        <f t="shared" si="1342"/>
        <v>-</v>
      </c>
      <c r="X2483" s="20" t="str">
        <f>IFERROR(W2483*L2481,"-")</f>
        <v>-</v>
      </c>
      <c r="Z2483" s="85">
        <v>45194</v>
      </c>
    </row>
    <row r="2484" spans="1:26" ht="21" customHeight="1" thickBot="1" x14ac:dyDescent="0.35">
      <c r="A2484" s="5"/>
      <c r="B2484" s="159"/>
      <c r="C2484" s="160"/>
      <c r="D2484" s="166" t="s">
        <v>43</v>
      </c>
      <c r="E2484" s="167"/>
      <c r="F2484" s="167"/>
      <c r="G2484" s="168" t="s">
        <v>202</v>
      </c>
      <c r="H2484" s="168"/>
      <c r="I2484" s="168"/>
      <c r="J2484" s="168"/>
      <c r="K2484" s="168"/>
      <c r="L2484" s="168"/>
      <c r="M2484" s="7"/>
      <c r="N2484" s="32"/>
      <c r="Z2484" s="85">
        <v>45194</v>
      </c>
    </row>
    <row r="2485" spans="1:26" ht="9.9499999999999993" customHeight="1" thickBot="1" x14ac:dyDescent="0.35">
      <c r="B2485" s="9"/>
      <c r="C2485" s="109">
        <v>1024</v>
      </c>
      <c r="D2485" s="51"/>
      <c r="E2485" s="12"/>
      <c r="F2485" s="51"/>
      <c r="G2485" s="14"/>
      <c r="H2485" s="14"/>
      <c r="I2485" s="14"/>
      <c r="J2485" s="14"/>
      <c r="K2485" s="14"/>
      <c r="L2485" s="14"/>
      <c r="M2485" s="9"/>
      <c r="N2485" s="32"/>
      <c r="U2485" s="18"/>
      <c r="V2485" s="18"/>
      <c r="Z2485" s="85">
        <v>45194</v>
      </c>
    </row>
    <row r="2486" spans="1:26" ht="6.95" customHeight="1" x14ac:dyDescent="0.3">
      <c r="A2486" s="154">
        <f>+A2475+1</f>
        <v>1025</v>
      </c>
      <c r="B2486" s="155"/>
      <c r="C2486" s="156"/>
      <c r="D2486" s="161" t="s">
        <v>39</v>
      </c>
      <c r="E2486" s="162" t="s">
        <v>186</v>
      </c>
      <c r="F2486" s="163" t="s">
        <v>40</v>
      </c>
      <c r="G2486" s="164">
        <v>150</v>
      </c>
      <c r="H2486" s="165">
        <v>1</v>
      </c>
      <c r="I2486" s="164"/>
      <c r="J2486" s="165"/>
      <c r="K2486" s="164"/>
      <c r="L2486" s="165"/>
      <c r="M2486" s="6"/>
      <c r="N2486" s="32"/>
      <c r="Q2486" s="10" t="str">
        <f>+CONCATENATE(E2486,G2486)</f>
        <v>금속관벽체150</v>
      </c>
      <c r="R2486" s="10">
        <f>+H2486</f>
        <v>1</v>
      </c>
      <c r="S2486" s="11"/>
      <c r="T2486" s="10" t="str">
        <f>+E2486</f>
        <v>금속관벽체</v>
      </c>
      <c r="U2486" s="19" t="str">
        <f>IFERROR(LEFT(G2486,FIND("*",G2486)-1),"-")</f>
        <v>-</v>
      </c>
      <c r="V2486" s="19" t="str">
        <f>IFERROR(RIGHT(G2486,LEN(G2486)-FIND("*",G2486)),"-")</f>
        <v>-</v>
      </c>
      <c r="W2486" s="20" t="str">
        <f>IFERROR((U2486+V2486)*2/1000,"-")</f>
        <v>-</v>
      </c>
      <c r="X2486" s="20" t="str">
        <f>IFERROR(W2486*H2486,"-")</f>
        <v>-</v>
      </c>
      <c r="Z2486" s="85">
        <v>45194</v>
      </c>
    </row>
    <row r="2487" spans="1:26" ht="6.95" customHeight="1" x14ac:dyDescent="0.3">
      <c r="A2487" s="154"/>
      <c r="B2487" s="157"/>
      <c r="C2487" s="158"/>
      <c r="D2487" s="161"/>
      <c r="E2487" s="162"/>
      <c r="F2487" s="163"/>
      <c r="G2487" s="164"/>
      <c r="H2487" s="165"/>
      <c r="I2487" s="164"/>
      <c r="J2487" s="165"/>
      <c r="K2487" s="164"/>
      <c r="L2487" s="165"/>
      <c r="M2487" s="6"/>
      <c r="N2487" s="32"/>
      <c r="Q2487" s="10" t="str">
        <f>+CONCATENATE(E2486,I2486)</f>
        <v>금속관벽체</v>
      </c>
      <c r="R2487" s="10">
        <f>+J2486</f>
        <v>0</v>
      </c>
      <c r="S2487" s="11"/>
      <c r="T2487" s="10" t="str">
        <f>+E2486</f>
        <v>금속관벽체</v>
      </c>
      <c r="U2487" s="19" t="str">
        <f>IFERROR(LEFT(I2486,FIND("*",I2486)-1),"-")</f>
        <v>-</v>
      </c>
      <c r="V2487" s="19" t="str">
        <f>IFERROR(RIGHT(I2486,LEN(I2486)-FIND("*",I2486)),"-")</f>
        <v>-</v>
      </c>
      <c r="W2487" s="20" t="str">
        <f t="shared" ref="W2487:W2494" si="1348">IFERROR((U2487+V2487)*2/1000,"-")</f>
        <v>-</v>
      </c>
      <c r="X2487" s="20" t="str">
        <f>IFERROR(W2487*J2486,"-")</f>
        <v>-</v>
      </c>
      <c r="Z2487" s="85">
        <v>45194</v>
      </c>
    </row>
    <row r="2488" spans="1:26" ht="6.95" customHeight="1" x14ac:dyDescent="0.3">
      <c r="A2488" s="154"/>
      <c r="B2488" s="157"/>
      <c r="C2488" s="158"/>
      <c r="D2488" s="161"/>
      <c r="E2488" s="162"/>
      <c r="F2488" s="163"/>
      <c r="G2488" s="164"/>
      <c r="H2488" s="165"/>
      <c r="I2488" s="164"/>
      <c r="J2488" s="165"/>
      <c r="K2488" s="164"/>
      <c r="L2488" s="165"/>
      <c r="M2488" s="6"/>
      <c r="N2488" s="32"/>
      <c r="Q2488" s="10" t="str">
        <f>+CONCATENATE(E2486,K2486)</f>
        <v>금속관벽체</v>
      </c>
      <c r="R2488" s="10">
        <f>+L2486</f>
        <v>0</v>
      </c>
      <c r="S2488" s="11"/>
      <c r="T2488" s="10" t="str">
        <f>+E2486</f>
        <v>금속관벽체</v>
      </c>
      <c r="U2488" s="19" t="str">
        <f>IFERROR(LEFT(K2486,FIND("*",K2486)-1),"-")</f>
        <v>-</v>
      </c>
      <c r="V2488" s="19" t="str">
        <f>IFERROR(RIGHT(K2486,LEN(K2486)-FIND("*",K2486)),"-")</f>
        <v>-</v>
      </c>
      <c r="W2488" s="20" t="str">
        <f t="shared" si="1348"/>
        <v>-</v>
      </c>
      <c r="X2488" s="20" t="str">
        <f>IFERROR(W2488*L2486,"-")</f>
        <v>-</v>
      </c>
      <c r="Z2488" s="85">
        <v>45194</v>
      </c>
    </row>
    <row r="2489" spans="1:26" ht="6.95" customHeight="1" x14ac:dyDescent="0.3">
      <c r="A2489" s="8"/>
      <c r="B2489" s="157"/>
      <c r="C2489" s="158"/>
      <c r="D2489" s="161" t="s">
        <v>39</v>
      </c>
      <c r="E2489" s="162"/>
      <c r="F2489" s="163" t="s">
        <v>40</v>
      </c>
      <c r="G2489" s="164"/>
      <c r="H2489" s="165"/>
      <c r="I2489" s="164"/>
      <c r="J2489" s="165"/>
      <c r="K2489" s="164"/>
      <c r="L2489" s="165"/>
      <c r="M2489" s="6"/>
      <c r="N2489" s="32"/>
      <c r="Q2489" s="10" t="str">
        <f>+CONCATENATE(E2489,G2489)</f>
        <v/>
      </c>
      <c r="R2489" s="10">
        <f>+H2489</f>
        <v>0</v>
      </c>
      <c r="S2489" s="11"/>
      <c r="T2489" s="10">
        <f>+E2489</f>
        <v>0</v>
      </c>
      <c r="U2489" s="19" t="str">
        <f t="shared" ref="U2489" si="1349">IFERROR(LEFT(G2489,FIND("*",G2489)-1),"-")</f>
        <v>-</v>
      </c>
      <c r="V2489" s="19" t="str">
        <f t="shared" ref="V2489" si="1350">IFERROR(RIGHT(G2489,LEN(G2489)-FIND("*",G2489)),"-")</f>
        <v>-</v>
      </c>
      <c r="W2489" s="20" t="str">
        <f t="shared" si="1348"/>
        <v>-</v>
      </c>
      <c r="X2489" s="20" t="str">
        <f>IFERROR(W2489*H2489,"-")</f>
        <v>-</v>
      </c>
      <c r="Z2489" s="85">
        <v>45194</v>
      </c>
    </row>
    <row r="2490" spans="1:26" ht="6.95" customHeight="1" x14ac:dyDescent="0.3">
      <c r="A2490" s="5"/>
      <c r="B2490" s="157"/>
      <c r="C2490" s="158"/>
      <c r="D2490" s="161"/>
      <c r="E2490" s="162"/>
      <c r="F2490" s="163"/>
      <c r="G2490" s="164"/>
      <c r="H2490" s="165"/>
      <c r="I2490" s="164"/>
      <c r="J2490" s="165"/>
      <c r="K2490" s="164"/>
      <c r="L2490" s="165"/>
      <c r="M2490" s="6"/>
      <c r="N2490" s="32"/>
      <c r="Q2490" s="10" t="str">
        <f>+CONCATENATE(E2489,I2489)</f>
        <v/>
      </c>
      <c r="R2490" s="10">
        <f>+J2489</f>
        <v>0</v>
      </c>
      <c r="S2490" s="11"/>
      <c r="T2490" s="10">
        <f>+E2489</f>
        <v>0</v>
      </c>
      <c r="U2490" s="19" t="str">
        <f>IFERROR(LEFT(I2489,FIND("*",I2489)-1),"-")</f>
        <v>-</v>
      </c>
      <c r="V2490" s="19" t="str">
        <f>IFERROR(RIGHT(I2489,LEN(I2489)-FIND("*",I2489)),"-")</f>
        <v>-</v>
      </c>
      <c r="W2490" s="20" t="str">
        <f t="shared" si="1348"/>
        <v>-</v>
      </c>
      <c r="X2490" s="20" t="str">
        <f>IFERROR(W2490*J2489,"-")</f>
        <v>-</v>
      </c>
      <c r="Z2490" s="85">
        <v>45194</v>
      </c>
    </row>
    <row r="2491" spans="1:26" ht="6.95" customHeight="1" x14ac:dyDescent="0.3">
      <c r="A2491" s="5"/>
      <c r="B2491" s="157"/>
      <c r="C2491" s="158"/>
      <c r="D2491" s="161"/>
      <c r="E2491" s="162"/>
      <c r="F2491" s="163"/>
      <c r="G2491" s="164"/>
      <c r="H2491" s="165"/>
      <c r="I2491" s="164"/>
      <c r="J2491" s="165"/>
      <c r="K2491" s="164"/>
      <c r="L2491" s="165"/>
      <c r="M2491" s="6"/>
      <c r="N2491" s="32"/>
      <c r="Q2491" s="10" t="str">
        <f>+CONCATENATE(E2489,K2489)</f>
        <v/>
      </c>
      <c r="R2491" s="10">
        <f>+L2489</f>
        <v>0</v>
      </c>
      <c r="S2491" s="11"/>
      <c r="T2491" s="10">
        <f>+E2489</f>
        <v>0</v>
      </c>
      <c r="U2491" s="19" t="str">
        <f>IFERROR(LEFT(K2489,FIND("*",K2489)-1),"-")</f>
        <v>-</v>
      </c>
      <c r="V2491" s="19" t="str">
        <f>IFERROR(RIGHT(K2489,LEN(K2489)-FIND("*",K2489)),"-")</f>
        <v>-</v>
      </c>
      <c r="W2491" s="20" t="str">
        <f t="shared" si="1348"/>
        <v>-</v>
      </c>
      <c r="X2491" s="20" t="str">
        <f>IFERROR(W2491*L2489,"-")</f>
        <v>-</v>
      </c>
      <c r="Z2491" s="85">
        <v>45194</v>
      </c>
    </row>
    <row r="2492" spans="1:26" ht="6.95" customHeight="1" x14ac:dyDescent="0.3">
      <c r="A2492" s="8"/>
      <c r="B2492" s="157"/>
      <c r="C2492" s="158"/>
      <c r="D2492" s="161" t="s">
        <v>39</v>
      </c>
      <c r="E2492" s="162"/>
      <c r="F2492" s="163" t="s">
        <v>40</v>
      </c>
      <c r="G2492" s="164"/>
      <c r="H2492" s="165"/>
      <c r="I2492" s="164"/>
      <c r="J2492" s="165"/>
      <c r="K2492" s="164"/>
      <c r="L2492" s="165"/>
      <c r="M2492" s="6"/>
      <c r="N2492" s="32"/>
      <c r="Q2492" s="10" t="str">
        <f>+CONCATENATE(E2492,G2492)</f>
        <v/>
      </c>
      <c r="R2492" s="10">
        <f>+H2492</f>
        <v>0</v>
      </c>
      <c r="S2492" s="11"/>
      <c r="T2492" s="10">
        <f>+E2492</f>
        <v>0</v>
      </c>
      <c r="U2492" s="19" t="str">
        <f t="shared" ref="U2492" si="1351">IFERROR(LEFT(G2492,FIND("*",G2492)-1),"-")</f>
        <v>-</v>
      </c>
      <c r="V2492" s="19" t="str">
        <f t="shared" ref="V2492" si="1352">IFERROR(RIGHT(G2492,LEN(G2492)-FIND("*",G2492)),"-")</f>
        <v>-</v>
      </c>
      <c r="W2492" s="20" t="str">
        <f t="shared" si="1348"/>
        <v>-</v>
      </c>
      <c r="X2492" s="20" t="str">
        <f>IFERROR(W2492*H2492,"-")</f>
        <v>-</v>
      </c>
      <c r="Z2492" s="85">
        <v>45194</v>
      </c>
    </row>
    <row r="2493" spans="1:26" ht="6.95" customHeight="1" x14ac:dyDescent="0.3">
      <c r="A2493" s="5"/>
      <c r="B2493" s="157"/>
      <c r="C2493" s="158"/>
      <c r="D2493" s="161"/>
      <c r="E2493" s="162"/>
      <c r="F2493" s="163"/>
      <c r="G2493" s="164"/>
      <c r="H2493" s="165"/>
      <c r="I2493" s="164"/>
      <c r="J2493" s="165"/>
      <c r="K2493" s="164"/>
      <c r="L2493" s="165"/>
      <c r="M2493" s="6"/>
      <c r="N2493" s="32"/>
      <c r="Q2493" s="10" t="str">
        <f>+CONCATENATE(E2492,I2492)</f>
        <v/>
      </c>
      <c r="R2493" s="10">
        <f>+J2492</f>
        <v>0</v>
      </c>
      <c r="S2493" s="11"/>
      <c r="T2493" s="10">
        <f>+E2492</f>
        <v>0</v>
      </c>
      <c r="U2493" s="19" t="str">
        <f>IFERROR(LEFT(I2492,FIND("*",I2492)-1),"-")</f>
        <v>-</v>
      </c>
      <c r="V2493" s="19" t="str">
        <f>IFERROR(RIGHT(I2492,LEN(I2492)-FIND("*",I2492)),"-")</f>
        <v>-</v>
      </c>
      <c r="W2493" s="20" t="str">
        <f t="shared" si="1348"/>
        <v>-</v>
      </c>
      <c r="X2493" s="20" t="str">
        <f t="shared" ref="X2493" si="1353">IFERROR(W2493*J2492,"-")</f>
        <v>-</v>
      </c>
      <c r="Z2493" s="85">
        <v>45194</v>
      </c>
    </row>
    <row r="2494" spans="1:26" ht="6.95" customHeight="1" x14ac:dyDescent="0.3">
      <c r="A2494" s="5"/>
      <c r="B2494" s="157"/>
      <c r="C2494" s="158"/>
      <c r="D2494" s="161"/>
      <c r="E2494" s="162"/>
      <c r="F2494" s="163"/>
      <c r="G2494" s="164"/>
      <c r="H2494" s="165"/>
      <c r="I2494" s="164"/>
      <c r="J2494" s="165"/>
      <c r="K2494" s="164"/>
      <c r="L2494" s="165"/>
      <c r="M2494" s="6"/>
      <c r="N2494" s="32"/>
      <c r="Q2494" s="10" t="str">
        <f>+CONCATENATE(E2492,K2492)</f>
        <v/>
      </c>
      <c r="R2494" s="10">
        <f>+L2492</f>
        <v>0</v>
      </c>
      <c r="S2494" s="11"/>
      <c r="T2494" s="10">
        <f>+E2492</f>
        <v>0</v>
      </c>
      <c r="U2494" s="19" t="str">
        <f>IFERROR(LEFT(K2492,FIND("*",K2492)-1),"-")</f>
        <v>-</v>
      </c>
      <c r="V2494" s="19" t="str">
        <f>IFERROR(RIGHT(K2492,LEN(K2492)-FIND("*",K2492)),"-")</f>
        <v>-</v>
      </c>
      <c r="W2494" s="20" t="str">
        <f t="shared" si="1348"/>
        <v>-</v>
      </c>
      <c r="X2494" s="20" t="str">
        <f>IFERROR(W2494*L2492,"-")</f>
        <v>-</v>
      </c>
      <c r="Z2494" s="85">
        <v>45194</v>
      </c>
    </row>
    <row r="2495" spans="1:26" ht="21" customHeight="1" thickBot="1" x14ac:dyDescent="0.35">
      <c r="A2495" s="5"/>
      <c r="B2495" s="159"/>
      <c r="C2495" s="160"/>
      <c r="D2495" s="166" t="s">
        <v>43</v>
      </c>
      <c r="E2495" s="167"/>
      <c r="F2495" s="167"/>
      <c r="G2495" s="168" t="s">
        <v>202</v>
      </c>
      <c r="H2495" s="168"/>
      <c r="I2495" s="168"/>
      <c r="J2495" s="168"/>
      <c r="K2495" s="168"/>
      <c r="L2495" s="168"/>
      <c r="M2495" s="7"/>
      <c r="N2495" s="32"/>
      <c r="Z2495" s="85">
        <v>45194</v>
      </c>
    </row>
    <row r="2496" spans="1:26" ht="9.9499999999999993" customHeight="1" thickBot="1" x14ac:dyDescent="0.35">
      <c r="B2496" s="9"/>
      <c r="C2496" s="109">
        <v>1025</v>
      </c>
      <c r="D2496" s="51"/>
      <c r="E2496" s="12"/>
      <c r="F2496" s="51"/>
      <c r="G2496" s="14"/>
      <c r="H2496" s="14"/>
      <c r="I2496" s="14"/>
      <c r="J2496" s="14"/>
      <c r="K2496" s="14"/>
      <c r="L2496" s="14"/>
      <c r="M2496" s="9"/>
      <c r="N2496" s="32"/>
      <c r="U2496" s="18"/>
      <c r="V2496" s="18"/>
      <c r="Z2496" s="85">
        <v>45194</v>
      </c>
    </row>
    <row r="2497" spans="1:26" ht="6.95" customHeight="1" x14ac:dyDescent="0.3">
      <c r="A2497" s="154">
        <f>+A2486+1</f>
        <v>1026</v>
      </c>
      <c r="B2497" s="155"/>
      <c r="C2497" s="156"/>
      <c r="D2497" s="161" t="s">
        <v>39</v>
      </c>
      <c r="E2497" s="162" t="s">
        <v>186</v>
      </c>
      <c r="F2497" s="163" t="s">
        <v>40</v>
      </c>
      <c r="G2497" s="164">
        <v>150</v>
      </c>
      <c r="H2497" s="165">
        <v>0.5</v>
      </c>
      <c r="I2497" s="164"/>
      <c r="J2497" s="165"/>
      <c r="K2497" s="164"/>
      <c r="L2497" s="165"/>
      <c r="M2497" s="6"/>
      <c r="N2497" s="32"/>
      <c r="Q2497" s="10" t="str">
        <f>+CONCATENATE(E2497,G2497)</f>
        <v>금속관벽체150</v>
      </c>
      <c r="R2497" s="10">
        <f>+H2497</f>
        <v>0.5</v>
      </c>
      <c r="S2497" s="11"/>
      <c r="T2497" s="10" t="str">
        <f>+E2497</f>
        <v>금속관벽체</v>
      </c>
      <c r="U2497" s="19" t="str">
        <f>IFERROR(LEFT(G2497,FIND("*",G2497)-1),"-")</f>
        <v>-</v>
      </c>
      <c r="V2497" s="19" t="str">
        <f>IFERROR(RIGHT(G2497,LEN(G2497)-FIND("*",G2497)),"-")</f>
        <v>-</v>
      </c>
      <c r="W2497" s="20" t="str">
        <f>IFERROR((U2497+V2497)*2/1000,"-")</f>
        <v>-</v>
      </c>
      <c r="X2497" s="20" t="str">
        <f>IFERROR(W2497*H2497,"-")</f>
        <v>-</v>
      </c>
      <c r="Z2497" s="85">
        <v>45194</v>
      </c>
    </row>
    <row r="2498" spans="1:26" ht="6.95" customHeight="1" x14ac:dyDescent="0.3">
      <c r="A2498" s="154"/>
      <c r="B2498" s="157"/>
      <c r="C2498" s="158"/>
      <c r="D2498" s="161"/>
      <c r="E2498" s="162"/>
      <c r="F2498" s="163"/>
      <c r="G2498" s="164"/>
      <c r="H2498" s="165"/>
      <c r="I2498" s="164"/>
      <c r="J2498" s="165"/>
      <c r="K2498" s="164"/>
      <c r="L2498" s="165"/>
      <c r="M2498" s="6"/>
      <c r="N2498" s="32"/>
      <c r="Q2498" s="10" t="str">
        <f>+CONCATENATE(E2497,I2497)</f>
        <v>금속관벽체</v>
      </c>
      <c r="R2498" s="10">
        <f>+J2497</f>
        <v>0</v>
      </c>
      <c r="S2498" s="11"/>
      <c r="T2498" s="10" t="str">
        <f>+E2497</f>
        <v>금속관벽체</v>
      </c>
      <c r="U2498" s="19" t="str">
        <f>IFERROR(LEFT(I2497,FIND("*",I2497)-1),"-")</f>
        <v>-</v>
      </c>
      <c r="V2498" s="19" t="str">
        <f>IFERROR(RIGHT(I2497,LEN(I2497)-FIND("*",I2497)),"-")</f>
        <v>-</v>
      </c>
      <c r="W2498" s="20" t="str">
        <f t="shared" ref="W2498:W2505" si="1354">IFERROR((U2498+V2498)*2/1000,"-")</f>
        <v>-</v>
      </c>
      <c r="X2498" s="20" t="str">
        <f>IFERROR(W2498*J2497,"-")</f>
        <v>-</v>
      </c>
      <c r="Z2498" s="85">
        <v>45194</v>
      </c>
    </row>
    <row r="2499" spans="1:26" ht="6.95" customHeight="1" x14ac:dyDescent="0.3">
      <c r="A2499" s="154"/>
      <c r="B2499" s="157"/>
      <c r="C2499" s="158"/>
      <c r="D2499" s="161"/>
      <c r="E2499" s="162"/>
      <c r="F2499" s="163"/>
      <c r="G2499" s="164"/>
      <c r="H2499" s="165"/>
      <c r="I2499" s="164"/>
      <c r="J2499" s="165"/>
      <c r="K2499" s="164"/>
      <c r="L2499" s="165"/>
      <c r="M2499" s="6"/>
      <c r="N2499" s="32"/>
      <c r="Q2499" s="10" t="str">
        <f>+CONCATENATE(E2497,K2497)</f>
        <v>금속관벽체</v>
      </c>
      <c r="R2499" s="10">
        <f>+L2497</f>
        <v>0</v>
      </c>
      <c r="S2499" s="11"/>
      <c r="T2499" s="10" t="str">
        <f>+E2497</f>
        <v>금속관벽체</v>
      </c>
      <c r="U2499" s="19" t="str">
        <f>IFERROR(LEFT(K2497,FIND("*",K2497)-1),"-")</f>
        <v>-</v>
      </c>
      <c r="V2499" s="19" t="str">
        <f>IFERROR(RIGHT(K2497,LEN(K2497)-FIND("*",K2497)),"-")</f>
        <v>-</v>
      </c>
      <c r="W2499" s="20" t="str">
        <f t="shared" si="1354"/>
        <v>-</v>
      </c>
      <c r="X2499" s="20" t="str">
        <f>IFERROR(W2499*L2497,"-")</f>
        <v>-</v>
      </c>
      <c r="Z2499" s="85">
        <v>45194</v>
      </c>
    </row>
    <row r="2500" spans="1:26" ht="6.95" customHeight="1" x14ac:dyDescent="0.3">
      <c r="A2500" s="8"/>
      <c r="B2500" s="157"/>
      <c r="C2500" s="158"/>
      <c r="D2500" s="161" t="s">
        <v>39</v>
      </c>
      <c r="E2500" s="162"/>
      <c r="F2500" s="163" t="s">
        <v>40</v>
      </c>
      <c r="G2500" s="164"/>
      <c r="H2500" s="165"/>
      <c r="I2500" s="164"/>
      <c r="J2500" s="165"/>
      <c r="K2500" s="164"/>
      <c r="L2500" s="165"/>
      <c r="M2500" s="6"/>
      <c r="N2500" s="32"/>
      <c r="Q2500" s="10" t="str">
        <f>+CONCATENATE(E2500,G2500)</f>
        <v/>
      </c>
      <c r="R2500" s="10">
        <f>+H2500</f>
        <v>0</v>
      </c>
      <c r="S2500" s="11"/>
      <c r="T2500" s="10">
        <f>+E2500</f>
        <v>0</v>
      </c>
      <c r="U2500" s="19" t="str">
        <f t="shared" ref="U2500" si="1355">IFERROR(LEFT(G2500,FIND("*",G2500)-1),"-")</f>
        <v>-</v>
      </c>
      <c r="V2500" s="19" t="str">
        <f t="shared" ref="V2500" si="1356">IFERROR(RIGHT(G2500,LEN(G2500)-FIND("*",G2500)),"-")</f>
        <v>-</v>
      </c>
      <c r="W2500" s="20" t="str">
        <f t="shared" si="1354"/>
        <v>-</v>
      </c>
      <c r="X2500" s="20" t="str">
        <f>IFERROR(W2500*H2500,"-")</f>
        <v>-</v>
      </c>
      <c r="Z2500" s="85">
        <v>45194</v>
      </c>
    </row>
    <row r="2501" spans="1:26" ht="6.95" customHeight="1" x14ac:dyDescent="0.3">
      <c r="A2501" s="5"/>
      <c r="B2501" s="157"/>
      <c r="C2501" s="158"/>
      <c r="D2501" s="161"/>
      <c r="E2501" s="162"/>
      <c r="F2501" s="163"/>
      <c r="G2501" s="164"/>
      <c r="H2501" s="165"/>
      <c r="I2501" s="164"/>
      <c r="J2501" s="165"/>
      <c r="K2501" s="164"/>
      <c r="L2501" s="165"/>
      <c r="M2501" s="6"/>
      <c r="N2501" s="32"/>
      <c r="Q2501" s="10" t="str">
        <f>+CONCATENATE(E2500,I2500)</f>
        <v/>
      </c>
      <c r="R2501" s="10">
        <f>+J2500</f>
        <v>0</v>
      </c>
      <c r="S2501" s="11"/>
      <c r="T2501" s="10">
        <f>+E2500</f>
        <v>0</v>
      </c>
      <c r="U2501" s="19" t="str">
        <f>IFERROR(LEFT(I2500,FIND("*",I2500)-1),"-")</f>
        <v>-</v>
      </c>
      <c r="V2501" s="19" t="str">
        <f>IFERROR(RIGHT(I2500,LEN(I2500)-FIND("*",I2500)),"-")</f>
        <v>-</v>
      </c>
      <c r="W2501" s="20" t="str">
        <f t="shared" si="1354"/>
        <v>-</v>
      </c>
      <c r="X2501" s="20" t="str">
        <f>IFERROR(W2501*J2500,"-")</f>
        <v>-</v>
      </c>
      <c r="Z2501" s="85">
        <v>45194</v>
      </c>
    </row>
    <row r="2502" spans="1:26" ht="6.95" customHeight="1" x14ac:dyDescent="0.3">
      <c r="A2502" s="5"/>
      <c r="B2502" s="157"/>
      <c r="C2502" s="158"/>
      <c r="D2502" s="161"/>
      <c r="E2502" s="162"/>
      <c r="F2502" s="163"/>
      <c r="G2502" s="164"/>
      <c r="H2502" s="165"/>
      <c r="I2502" s="164"/>
      <c r="J2502" s="165"/>
      <c r="K2502" s="164"/>
      <c r="L2502" s="165"/>
      <c r="M2502" s="6"/>
      <c r="N2502" s="32"/>
      <c r="Q2502" s="10" t="str">
        <f>+CONCATENATE(E2500,K2500)</f>
        <v/>
      </c>
      <c r="R2502" s="10">
        <f>+L2500</f>
        <v>0</v>
      </c>
      <c r="S2502" s="11"/>
      <c r="T2502" s="10">
        <f>+E2500</f>
        <v>0</v>
      </c>
      <c r="U2502" s="19" t="str">
        <f>IFERROR(LEFT(K2500,FIND("*",K2500)-1),"-")</f>
        <v>-</v>
      </c>
      <c r="V2502" s="19" t="str">
        <f>IFERROR(RIGHT(K2500,LEN(K2500)-FIND("*",K2500)),"-")</f>
        <v>-</v>
      </c>
      <c r="W2502" s="20" t="str">
        <f t="shared" si="1354"/>
        <v>-</v>
      </c>
      <c r="X2502" s="20" t="str">
        <f>IFERROR(W2502*L2500,"-")</f>
        <v>-</v>
      </c>
      <c r="Z2502" s="85">
        <v>45194</v>
      </c>
    </row>
    <row r="2503" spans="1:26" ht="6.95" customHeight="1" x14ac:dyDescent="0.3">
      <c r="A2503" s="8"/>
      <c r="B2503" s="157"/>
      <c r="C2503" s="158"/>
      <c r="D2503" s="161" t="s">
        <v>39</v>
      </c>
      <c r="E2503" s="162"/>
      <c r="F2503" s="163" t="s">
        <v>40</v>
      </c>
      <c r="G2503" s="164"/>
      <c r="H2503" s="165"/>
      <c r="I2503" s="164"/>
      <c r="J2503" s="165"/>
      <c r="K2503" s="164"/>
      <c r="L2503" s="165"/>
      <c r="M2503" s="6"/>
      <c r="N2503" s="32"/>
      <c r="Q2503" s="10" t="str">
        <f>+CONCATENATE(E2503,G2503)</f>
        <v/>
      </c>
      <c r="R2503" s="10">
        <f>+H2503</f>
        <v>0</v>
      </c>
      <c r="S2503" s="11"/>
      <c r="T2503" s="10">
        <f>+E2503</f>
        <v>0</v>
      </c>
      <c r="U2503" s="19" t="str">
        <f t="shared" ref="U2503" si="1357">IFERROR(LEFT(G2503,FIND("*",G2503)-1),"-")</f>
        <v>-</v>
      </c>
      <c r="V2503" s="19" t="str">
        <f t="shared" ref="V2503" si="1358">IFERROR(RIGHT(G2503,LEN(G2503)-FIND("*",G2503)),"-")</f>
        <v>-</v>
      </c>
      <c r="W2503" s="20" t="str">
        <f t="shared" si="1354"/>
        <v>-</v>
      </c>
      <c r="X2503" s="20" t="str">
        <f>IFERROR(W2503*H2503,"-")</f>
        <v>-</v>
      </c>
      <c r="Z2503" s="85">
        <v>45194</v>
      </c>
    </row>
    <row r="2504" spans="1:26" ht="6.95" customHeight="1" x14ac:dyDescent="0.3">
      <c r="A2504" s="5"/>
      <c r="B2504" s="157"/>
      <c r="C2504" s="158"/>
      <c r="D2504" s="161"/>
      <c r="E2504" s="162"/>
      <c r="F2504" s="163"/>
      <c r="G2504" s="164"/>
      <c r="H2504" s="165"/>
      <c r="I2504" s="164"/>
      <c r="J2504" s="165"/>
      <c r="K2504" s="164"/>
      <c r="L2504" s="165"/>
      <c r="M2504" s="6"/>
      <c r="N2504" s="32"/>
      <c r="Q2504" s="10" t="str">
        <f>+CONCATENATE(E2503,I2503)</f>
        <v/>
      </c>
      <c r="R2504" s="10">
        <f>+J2503</f>
        <v>0</v>
      </c>
      <c r="S2504" s="11"/>
      <c r="T2504" s="10">
        <f>+E2503</f>
        <v>0</v>
      </c>
      <c r="U2504" s="19" t="str">
        <f>IFERROR(LEFT(I2503,FIND("*",I2503)-1),"-")</f>
        <v>-</v>
      </c>
      <c r="V2504" s="19" t="str">
        <f>IFERROR(RIGHT(I2503,LEN(I2503)-FIND("*",I2503)),"-")</f>
        <v>-</v>
      </c>
      <c r="W2504" s="20" t="str">
        <f t="shared" si="1354"/>
        <v>-</v>
      </c>
      <c r="X2504" s="20" t="str">
        <f t="shared" ref="X2504" si="1359">IFERROR(W2504*J2503,"-")</f>
        <v>-</v>
      </c>
      <c r="Z2504" s="85">
        <v>45194</v>
      </c>
    </row>
    <row r="2505" spans="1:26" ht="6.95" customHeight="1" x14ac:dyDescent="0.3">
      <c r="A2505" s="5"/>
      <c r="B2505" s="157"/>
      <c r="C2505" s="158"/>
      <c r="D2505" s="161"/>
      <c r="E2505" s="162"/>
      <c r="F2505" s="163"/>
      <c r="G2505" s="164"/>
      <c r="H2505" s="165"/>
      <c r="I2505" s="164"/>
      <c r="J2505" s="165"/>
      <c r="K2505" s="164"/>
      <c r="L2505" s="165"/>
      <c r="M2505" s="6"/>
      <c r="N2505" s="32"/>
      <c r="Q2505" s="10" t="str">
        <f>+CONCATENATE(E2503,K2503)</f>
        <v/>
      </c>
      <c r="R2505" s="10">
        <f>+L2503</f>
        <v>0</v>
      </c>
      <c r="S2505" s="11"/>
      <c r="T2505" s="10">
        <f>+E2503</f>
        <v>0</v>
      </c>
      <c r="U2505" s="19" t="str">
        <f>IFERROR(LEFT(K2503,FIND("*",K2503)-1),"-")</f>
        <v>-</v>
      </c>
      <c r="V2505" s="19" t="str">
        <f>IFERROR(RIGHT(K2503,LEN(K2503)-FIND("*",K2503)),"-")</f>
        <v>-</v>
      </c>
      <c r="W2505" s="20" t="str">
        <f t="shared" si="1354"/>
        <v>-</v>
      </c>
      <c r="X2505" s="20" t="str">
        <f>IFERROR(W2505*L2503,"-")</f>
        <v>-</v>
      </c>
      <c r="Z2505" s="85">
        <v>45194</v>
      </c>
    </row>
    <row r="2506" spans="1:26" ht="21" customHeight="1" thickBot="1" x14ac:dyDescent="0.35">
      <c r="A2506" s="5"/>
      <c r="B2506" s="159"/>
      <c r="C2506" s="160"/>
      <c r="D2506" s="166" t="s">
        <v>43</v>
      </c>
      <c r="E2506" s="167"/>
      <c r="F2506" s="167"/>
      <c r="G2506" s="168" t="s">
        <v>202</v>
      </c>
      <c r="H2506" s="168"/>
      <c r="I2506" s="168"/>
      <c r="J2506" s="168"/>
      <c r="K2506" s="168"/>
      <c r="L2506" s="168"/>
      <c r="M2506" s="7"/>
      <c r="N2506" s="32"/>
      <c r="Z2506" s="85">
        <v>45194</v>
      </c>
    </row>
    <row r="2507" spans="1:26" ht="9.9499999999999993" customHeight="1" thickBot="1" x14ac:dyDescent="0.35">
      <c r="B2507" s="9"/>
      <c r="C2507" s="109">
        <v>1026</v>
      </c>
      <c r="D2507" s="51"/>
      <c r="E2507" s="12"/>
      <c r="F2507" s="51"/>
      <c r="G2507" s="14"/>
      <c r="H2507" s="14"/>
      <c r="I2507" s="14"/>
      <c r="J2507" s="14"/>
      <c r="K2507" s="14"/>
      <c r="L2507" s="14"/>
      <c r="M2507" s="9"/>
      <c r="N2507" s="32"/>
      <c r="U2507" s="18"/>
      <c r="V2507" s="18"/>
      <c r="Z2507" s="85">
        <v>45194</v>
      </c>
    </row>
    <row r="2508" spans="1:26" ht="6.95" customHeight="1" x14ac:dyDescent="0.3">
      <c r="A2508" s="154">
        <f>+A2497+1</f>
        <v>1027</v>
      </c>
      <c r="B2508" s="155"/>
      <c r="C2508" s="156"/>
      <c r="D2508" s="161" t="s">
        <v>39</v>
      </c>
      <c r="E2508" s="162" t="s">
        <v>186</v>
      </c>
      <c r="F2508" s="163" t="s">
        <v>40</v>
      </c>
      <c r="G2508" s="164">
        <v>50</v>
      </c>
      <c r="H2508" s="165">
        <v>0.5</v>
      </c>
      <c r="I2508" s="164">
        <v>150</v>
      </c>
      <c r="J2508" s="165">
        <v>1.5</v>
      </c>
      <c r="K2508" s="164"/>
      <c r="L2508" s="165"/>
      <c r="M2508" s="6"/>
      <c r="N2508" s="32"/>
      <c r="Q2508" s="10" t="str">
        <f>+CONCATENATE(E2508,G2508)</f>
        <v>금속관벽체50</v>
      </c>
      <c r="R2508" s="10">
        <f>+H2508</f>
        <v>0.5</v>
      </c>
      <c r="S2508" s="11"/>
      <c r="T2508" s="10" t="str">
        <f>+E2508</f>
        <v>금속관벽체</v>
      </c>
      <c r="U2508" s="19" t="str">
        <f>IFERROR(LEFT(G2508,FIND("*",G2508)-1),"-")</f>
        <v>-</v>
      </c>
      <c r="V2508" s="19" t="str">
        <f>IFERROR(RIGHT(G2508,LEN(G2508)-FIND("*",G2508)),"-")</f>
        <v>-</v>
      </c>
      <c r="W2508" s="20" t="str">
        <f>IFERROR((U2508+V2508)*2/1000,"-")</f>
        <v>-</v>
      </c>
      <c r="X2508" s="20" t="str">
        <f>IFERROR(W2508*H2508,"-")</f>
        <v>-</v>
      </c>
      <c r="Z2508" s="85">
        <v>45194</v>
      </c>
    </row>
    <row r="2509" spans="1:26" ht="6.95" customHeight="1" x14ac:dyDescent="0.3">
      <c r="A2509" s="154"/>
      <c r="B2509" s="157"/>
      <c r="C2509" s="158"/>
      <c r="D2509" s="161"/>
      <c r="E2509" s="162"/>
      <c r="F2509" s="163"/>
      <c r="G2509" s="164"/>
      <c r="H2509" s="165"/>
      <c r="I2509" s="164"/>
      <c r="J2509" s="165"/>
      <c r="K2509" s="164"/>
      <c r="L2509" s="165"/>
      <c r="M2509" s="6"/>
      <c r="N2509" s="32"/>
      <c r="Q2509" s="10" t="str">
        <f>+CONCATENATE(E2508,I2508)</f>
        <v>금속관벽체150</v>
      </c>
      <c r="R2509" s="10">
        <f>+J2508</f>
        <v>1.5</v>
      </c>
      <c r="S2509" s="11"/>
      <c r="T2509" s="10" t="str">
        <f>+E2508</f>
        <v>금속관벽체</v>
      </c>
      <c r="U2509" s="19" t="str">
        <f>IFERROR(LEFT(I2508,FIND("*",I2508)-1),"-")</f>
        <v>-</v>
      </c>
      <c r="V2509" s="19" t="str">
        <f>IFERROR(RIGHT(I2508,LEN(I2508)-FIND("*",I2508)),"-")</f>
        <v>-</v>
      </c>
      <c r="W2509" s="20" t="str">
        <f t="shared" ref="W2509:W2516" si="1360">IFERROR((U2509+V2509)*2/1000,"-")</f>
        <v>-</v>
      </c>
      <c r="X2509" s="20" t="str">
        <f>IFERROR(W2509*J2508,"-")</f>
        <v>-</v>
      </c>
      <c r="Z2509" s="85">
        <v>45194</v>
      </c>
    </row>
    <row r="2510" spans="1:26" ht="6.95" customHeight="1" x14ac:dyDescent="0.3">
      <c r="A2510" s="154"/>
      <c r="B2510" s="157"/>
      <c r="C2510" s="158"/>
      <c r="D2510" s="161"/>
      <c r="E2510" s="162"/>
      <c r="F2510" s="163"/>
      <c r="G2510" s="164"/>
      <c r="H2510" s="165"/>
      <c r="I2510" s="164"/>
      <c r="J2510" s="165"/>
      <c r="K2510" s="164"/>
      <c r="L2510" s="165"/>
      <c r="M2510" s="6"/>
      <c r="N2510" s="32"/>
      <c r="Q2510" s="10" t="str">
        <f>+CONCATENATE(E2508,K2508)</f>
        <v>금속관벽체</v>
      </c>
      <c r="R2510" s="10">
        <f>+L2508</f>
        <v>0</v>
      </c>
      <c r="S2510" s="11"/>
      <c r="T2510" s="10" t="str">
        <f>+E2508</f>
        <v>금속관벽체</v>
      </c>
      <c r="U2510" s="19" t="str">
        <f>IFERROR(LEFT(K2508,FIND("*",K2508)-1),"-")</f>
        <v>-</v>
      </c>
      <c r="V2510" s="19" t="str">
        <f>IFERROR(RIGHT(K2508,LEN(K2508)-FIND("*",K2508)),"-")</f>
        <v>-</v>
      </c>
      <c r="W2510" s="20" t="str">
        <f t="shared" si="1360"/>
        <v>-</v>
      </c>
      <c r="X2510" s="20" t="str">
        <f>IFERROR(W2510*L2508,"-")</f>
        <v>-</v>
      </c>
      <c r="Z2510" s="85">
        <v>45194</v>
      </c>
    </row>
    <row r="2511" spans="1:26" ht="6.95" customHeight="1" x14ac:dyDescent="0.3">
      <c r="A2511" s="8"/>
      <c r="B2511" s="157"/>
      <c r="C2511" s="158"/>
      <c r="D2511" s="161" t="s">
        <v>39</v>
      </c>
      <c r="E2511" s="162"/>
      <c r="F2511" s="163" t="s">
        <v>40</v>
      </c>
      <c r="G2511" s="164"/>
      <c r="H2511" s="165"/>
      <c r="I2511" s="164"/>
      <c r="J2511" s="165"/>
      <c r="K2511" s="164"/>
      <c r="L2511" s="165"/>
      <c r="M2511" s="6"/>
      <c r="N2511" s="32"/>
      <c r="Q2511" s="10" t="str">
        <f>+CONCATENATE(E2511,G2511)</f>
        <v/>
      </c>
      <c r="R2511" s="10">
        <f>+H2511</f>
        <v>0</v>
      </c>
      <c r="S2511" s="11"/>
      <c r="T2511" s="10">
        <f>+E2511</f>
        <v>0</v>
      </c>
      <c r="U2511" s="19" t="str">
        <f t="shared" ref="U2511" si="1361">IFERROR(LEFT(G2511,FIND("*",G2511)-1),"-")</f>
        <v>-</v>
      </c>
      <c r="V2511" s="19" t="str">
        <f t="shared" ref="V2511" si="1362">IFERROR(RIGHT(G2511,LEN(G2511)-FIND("*",G2511)),"-")</f>
        <v>-</v>
      </c>
      <c r="W2511" s="20" t="str">
        <f t="shared" si="1360"/>
        <v>-</v>
      </c>
      <c r="X2511" s="20" t="str">
        <f>IFERROR(W2511*H2511,"-")</f>
        <v>-</v>
      </c>
      <c r="Z2511" s="85">
        <v>45194</v>
      </c>
    </row>
    <row r="2512" spans="1:26" ht="6.95" customHeight="1" x14ac:dyDescent="0.3">
      <c r="A2512" s="5"/>
      <c r="B2512" s="157"/>
      <c r="C2512" s="158"/>
      <c r="D2512" s="161"/>
      <c r="E2512" s="162"/>
      <c r="F2512" s="163"/>
      <c r="G2512" s="164"/>
      <c r="H2512" s="165"/>
      <c r="I2512" s="164"/>
      <c r="J2512" s="165"/>
      <c r="K2512" s="164"/>
      <c r="L2512" s="165"/>
      <c r="M2512" s="6"/>
      <c r="N2512" s="32"/>
      <c r="Q2512" s="10" t="str">
        <f>+CONCATENATE(E2511,I2511)</f>
        <v/>
      </c>
      <c r="R2512" s="10">
        <f>+J2511</f>
        <v>0</v>
      </c>
      <c r="S2512" s="11"/>
      <c r="T2512" s="10">
        <f>+E2511</f>
        <v>0</v>
      </c>
      <c r="U2512" s="19" t="str">
        <f>IFERROR(LEFT(I2511,FIND("*",I2511)-1),"-")</f>
        <v>-</v>
      </c>
      <c r="V2512" s="19" t="str">
        <f>IFERROR(RIGHT(I2511,LEN(I2511)-FIND("*",I2511)),"-")</f>
        <v>-</v>
      </c>
      <c r="W2512" s="20" t="str">
        <f t="shared" si="1360"/>
        <v>-</v>
      </c>
      <c r="X2512" s="20" t="str">
        <f>IFERROR(W2512*J2511,"-")</f>
        <v>-</v>
      </c>
      <c r="Z2512" s="85">
        <v>45194</v>
      </c>
    </row>
    <row r="2513" spans="1:26" ht="6.95" customHeight="1" x14ac:dyDescent="0.3">
      <c r="A2513" s="5"/>
      <c r="B2513" s="157"/>
      <c r="C2513" s="158"/>
      <c r="D2513" s="161"/>
      <c r="E2513" s="162"/>
      <c r="F2513" s="163"/>
      <c r="G2513" s="164"/>
      <c r="H2513" s="165"/>
      <c r="I2513" s="164"/>
      <c r="J2513" s="165"/>
      <c r="K2513" s="164"/>
      <c r="L2513" s="165"/>
      <c r="M2513" s="6"/>
      <c r="N2513" s="32"/>
      <c r="Q2513" s="10" t="str">
        <f>+CONCATENATE(E2511,K2511)</f>
        <v/>
      </c>
      <c r="R2513" s="10">
        <f>+L2511</f>
        <v>0</v>
      </c>
      <c r="S2513" s="11"/>
      <c r="T2513" s="10">
        <f>+E2511</f>
        <v>0</v>
      </c>
      <c r="U2513" s="19" t="str">
        <f>IFERROR(LEFT(K2511,FIND("*",K2511)-1),"-")</f>
        <v>-</v>
      </c>
      <c r="V2513" s="19" t="str">
        <f>IFERROR(RIGHT(K2511,LEN(K2511)-FIND("*",K2511)),"-")</f>
        <v>-</v>
      </c>
      <c r="W2513" s="20" t="str">
        <f t="shared" si="1360"/>
        <v>-</v>
      </c>
      <c r="X2513" s="20" t="str">
        <f>IFERROR(W2513*L2511,"-")</f>
        <v>-</v>
      </c>
      <c r="Z2513" s="85">
        <v>45194</v>
      </c>
    </row>
    <row r="2514" spans="1:26" ht="6.95" customHeight="1" x14ac:dyDescent="0.3">
      <c r="A2514" s="8"/>
      <c r="B2514" s="157"/>
      <c r="C2514" s="158"/>
      <c r="D2514" s="161" t="s">
        <v>39</v>
      </c>
      <c r="E2514" s="162"/>
      <c r="F2514" s="163" t="s">
        <v>40</v>
      </c>
      <c r="G2514" s="164"/>
      <c r="H2514" s="165"/>
      <c r="I2514" s="164"/>
      <c r="J2514" s="165"/>
      <c r="K2514" s="164"/>
      <c r="L2514" s="165"/>
      <c r="M2514" s="6"/>
      <c r="N2514" s="32"/>
      <c r="Q2514" s="10" t="str">
        <f>+CONCATENATE(E2514,G2514)</f>
        <v/>
      </c>
      <c r="R2514" s="10">
        <f>+H2514</f>
        <v>0</v>
      </c>
      <c r="S2514" s="11"/>
      <c r="T2514" s="10">
        <f>+E2514</f>
        <v>0</v>
      </c>
      <c r="U2514" s="19" t="str">
        <f t="shared" ref="U2514" si="1363">IFERROR(LEFT(G2514,FIND("*",G2514)-1),"-")</f>
        <v>-</v>
      </c>
      <c r="V2514" s="19" t="str">
        <f t="shared" ref="V2514" si="1364">IFERROR(RIGHT(G2514,LEN(G2514)-FIND("*",G2514)),"-")</f>
        <v>-</v>
      </c>
      <c r="W2514" s="20" t="str">
        <f t="shared" si="1360"/>
        <v>-</v>
      </c>
      <c r="X2514" s="20" t="str">
        <f>IFERROR(W2514*H2514,"-")</f>
        <v>-</v>
      </c>
      <c r="Z2514" s="85">
        <v>45194</v>
      </c>
    </row>
    <row r="2515" spans="1:26" ht="6.95" customHeight="1" x14ac:dyDescent="0.3">
      <c r="A2515" s="5"/>
      <c r="B2515" s="157"/>
      <c r="C2515" s="158"/>
      <c r="D2515" s="161"/>
      <c r="E2515" s="162"/>
      <c r="F2515" s="163"/>
      <c r="G2515" s="164"/>
      <c r="H2515" s="165"/>
      <c r="I2515" s="164"/>
      <c r="J2515" s="165"/>
      <c r="K2515" s="164"/>
      <c r="L2515" s="165"/>
      <c r="M2515" s="6"/>
      <c r="N2515" s="32"/>
      <c r="Q2515" s="10" t="str">
        <f>+CONCATENATE(E2514,I2514)</f>
        <v/>
      </c>
      <c r="R2515" s="10">
        <f>+J2514</f>
        <v>0</v>
      </c>
      <c r="S2515" s="11"/>
      <c r="T2515" s="10">
        <f>+E2514</f>
        <v>0</v>
      </c>
      <c r="U2515" s="19" t="str">
        <f>IFERROR(LEFT(I2514,FIND("*",I2514)-1),"-")</f>
        <v>-</v>
      </c>
      <c r="V2515" s="19" t="str">
        <f>IFERROR(RIGHT(I2514,LEN(I2514)-FIND("*",I2514)),"-")</f>
        <v>-</v>
      </c>
      <c r="W2515" s="20" t="str">
        <f t="shared" si="1360"/>
        <v>-</v>
      </c>
      <c r="X2515" s="20" t="str">
        <f t="shared" ref="X2515" si="1365">IFERROR(W2515*J2514,"-")</f>
        <v>-</v>
      </c>
      <c r="Z2515" s="85">
        <v>45194</v>
      </c>
    </row>
    <row r="2516" spans="1:26" ht="6.95" customHeight="1" x14ac:dyDescent="0.3">
      <c r="A2516" s="5"/>
      <c r="B2516" s="157"/>
      <c r="C2516" s="158"/>
      <c r="D2516" s="161"/>
      <c r="E2516" s="162"/>
      <c r="F2516" s="163"/>
      <c r="G2516" s="164"/>
      <c r="H2516" s="165"/>
      <c r="I2516" s="164"/>
      <c r="J2516" s="165"/>
      <c r="K2516" s="164"/>
      <c r="L2516" s="165"/>
      <c r="M2516" s="6"/>
      <c r="N2516" s="32"/>
      <c r="Q2516" s="10" t="str">
        <f>+CONCATENATE(E2514,K2514)</f>
        <v/>
      </c>
      <c r="R2516" s="10">
        <f>+L2514</f>
        <v>0</v>
      </c>
      <c r="S2516" s="11"/>
      <c r="T2516" s="10">
        <f>+E2514</f>
        <v>0</v>
      </c>
      <c r="U2516" s="19" t="str">
        <f>IFERROR(LEFT(K2514,FIND("*",K2514)-1),"-")</f>
        <v>-</v>
      </c>
      <c r="V2516" s="19" t="str">
        <f>IFERROR(RIGHT(K2514,LEN(K2514)-FIND("*",K2514)),"-")</f>
        <v>-</v>
      </c>
      <c r="W2516" s="20" t="str">
        <f t="shared" si="1360"/>
        <v>-</v>
      </c>
      <c r="X2516" s="20" t="str">
        <f>IFERROR(W2516*L2514,"-")</f>
        <v>-</v>
      </c>
      <c r="Z2516" s="85">
        <v>45194</v>
      </c>
    </row>
    <row r="2517" spans="1:26" ht="21" customHeight="1" thickBot="1" x14ac:dyDescent="0.35">
      <c r="A2517" s="5"/>
      <c r="B2517" s="159"/>
      <c r="C2517" s="160"/>
      <c r="D2517" s="166" t="s">
        <v>43</v>
      </c>
      <c r="E2517" s="167"/>
      <c r="F2517" s="167"/>
      <c r="G2517" s="168" t="s">
        <v>202</v>
      </c>
      <c r="H2517" s="168"/>
      <c r="I2517" s="168"/>
      <c r="J2517" s="168"/>
      <c r="K2517" s="168"/>
      <c r="L2517" s="168"/>
      <c r="M2517" s="7"/>
      <c r="N2517" s="32"/>
      <c r="Z2517" s="85">
        <v>45194</v>
      </c>
    </row>
    <row r="2518" spans="1:26" ht="9.9499999999999993" customHeight="1" thickBot="1" x14ac:dyDescent="0.35">
      <c r="B2518" s="9"/>
      <c r="C2518" s="109">
        <v>1027</v>
      </c>
      <c r="D2518" s="51"/>
      <c r="E2518" s="12"/>
      <c r="F2518" s="51"/>
      <c r="G2518" s="14"/>
      <c r="H2518" s="14"/>
      <c r="I2518" s="14"/>
      <c r="J2518" s="14"/>
      <c r="K2518" s="14"/>
      <c r="L2518" s="14"/>
      <c r="M2518" s="9"/>
      <c r="N2518" s="32"/>
      <c r="U2518" s="18"/>
      <c r="V2518" s="18"/>
      <c r="Z2518" s="85">
        <v>45194</v>
      </c>
    </row>
    <row r="2519" spans="1:26" ht="6.95" customHeight="1" x14ac:dyDescent="0.3">
      <c r="A2519" s="154">
        <f>+A2508+1</f>
        <v>1028</v>
      </c>
      <c r="B2519" s="155"/>
      <c r="C2519" s="156"/>
      <c r="D2519" s="161" t="s">
        <v>39</v>
      </c>
      <c r="E2519" s="162" t="s">
        <v>293</v>
      </c>
      <c r="F2519" s="163" t="s">
        <v>40</v>
      </c>
      <c r="G2519" s="164">
        <v>150</v>
      </c>
      <c r="H2519" s="165">
        <v>2</v>
      </c>
      <c r="I2519" s="164">
        <v>50</v>
      </c>
      <c r="J2519" s="165">
        <v>1</v>
      </c>
      <c r="K2519" s="164"/>
      <c r="L2519" s="165"/>
      <c r="M2519" s="6"/>
      <c r="N2519" s="32"/>
      <c r="Q2519" s="10" t="str">
        <f>+CONCATENATE(E2519,G2519)</f>
        <v>금속관입상150</v>
      </c>
      <c r="R2519" s="10">
        <f>+H2519</f>
        <v>2</v>
      </c>
      <c r="S2519" s="11"/>
      <c r="T2519" s="10" t="str">
        <f>+E2519</f>
        <v>금속관입상</v>
      </c>
      <c r="U2519" s="19" t="str">
        <f>IFERROR(LEFT(G2519,FIND("*",G2519)-1),"-")</f>
        <v>-</v>
      </c>
      <c r="V2519" s="19" t="str">
        <f>IFERROR(RIGHT(G2519,LEN(G2519)-FIND("*",G2519)),"-")</f>
        <v>-</v>
      </c>
      <c r="W2519" s="20" t="str">
        <f>IFERROR((U2519+V2519)*2/1000,"-")</f>
        <v>-</v>
      </c>
      <c r="X2519" s="20" t="str">
        <f>IFERROR(W2519*H2519,"-")</f>
        <v>-</v>
      </c>
      <c r="Z2519" s="85">
        <v>45194</v>
      </c>
    </row>
    <row r="2520" spans="1:26" ht="6.95" customHeight="1" x14ac:dyDescent="0.3">
      <c r="A2520" s="154"/>
      <c r="B2520" s="157"/>
      <c r="C2520" s="158"/>
      <c r="D2520" s="161"/>
      <c r="E2520" s="162"/>
      <c r="F2520" s="163"/>
      <c r="G2520" s="164"/>
      <c r="H2520" s="165"/>
      <c r="I2520" s="164"/>
      <c r="J2520" s="165"/>
      <c r="K2520" s="164"/>
      <c r="L2520" s="165"/>
      <c r="M2520" s="6"/>
      <c r="N2520" s="32"/>
      <c r="Q2520" s="10" t="str">
        <f>+CONCATENATE(E2519,I2519)</f>
        <v>금속관입상50</v>
      </c>
      <c r="R2520" s="10">
        <f>+J2519</f>
        <v>1</v>
      </c>
      <c r="S2520" s="11"/>
      <c r="T2520" s="10" t="str">
        <f>+E2519</f>
        <v>금속관입상</v>
      </c>
      <c r="U2520" s="19" t="str">
        <f>IFERROR(LEFT(I2519,FIND("*",I2519)-1),"-")</f>
        <v>-</v>
      </c>
      <c r="V2520" s="19" t="str">
        <f>IFERROR(RIGHT(I2519,LEN(I2519)-FIND("*",I2519)),"-")</f>
        <v>-</v>
      </c>
      <c r="W2520" s="20" t="str">
        <f t="shared" ref="W2520:W2527" si="1366">IFERROR((U2520+V2520)*2/1000,"-")</f>
        <v>-</v>
      </c>
      <c r="X2520" s="20" t="str">
        <f>IFERROR(W2520*J2519,"-")</f>
        <v>-</v>
      </c>
      <c r="Z2520" s="85">
        <v>45194</v>
      </c>
    </row>
    <row r="2521" spans="1:26" ht="6.95" customHeight="1" x14ac:dyDescent="0.3">
      <c r="A2521" s="154"/>
      <c r="B2521" s="157"/>
      <c r="C2521" s="158"/>
      <c r="D2521" s="161"/>
      <c r="E2521" s="162"/>
      <c r="F2521" s="163"/>
      <c r="G2521" s="164"/>
      <c r="H2521" s="165"/>
      <c r="I2521" s="164"/>
      <c r="J2521" s="165"/>
      <c r="K2521" s="164"/>
      <c r="L2521" s="165"/>
      <c r="M2521" s="6"/>
      <c r="N2521" s="32"/>
      <c r="Q2521" s="10" t="str">
        <f>+CONCATENATE(E2519,K2519)</f>
        <v>금속관입상</v>
      </c>
      <c r="R2521" s="10">
        <f>+L2519</f>
        <v>0</v>
      </c>
      <c r="S2521" s="11"/>
      <c r="T2521" s="10" t="str">
        <f>+E2519</f>
        <v>금속관입상</v>
      </c>
      <c r="U2521" s="19" t="str">
        <f>IFERROR(LEFT(K2519,FIND("*",K2519)-1),"-")</f>
        <v>-</v>
      </c>
      <c r="V2521" s="19" t="str">
        <f>IFERROR(RIGHT(K2519,LEN(K2519)-FIND("*",K2519)),"-")</f>
        <v>-</v>
      </c>
      <c r="W2521" s="20" t="str">
        <f t="shared" si="1366"/>
        <v>-</v>
      </c>
      <c r="X2521" s="20" t="str">
        <f>IFERROR(W2521*L2519,"-")</f>
        <v>-</v>
      </c>
      <c r="Z2521" s="85">
        <v>45194</v>
      </c>
    </row>
    <row r="2522" spans="1:26" ht="6.95" customHeight="1" x14ac:dyDescent="0.3">
      <c r="A2522" s="8"/>
      <c r="B2522" s="157"/>
      <c r="C2522" s="158"/>
      <c r="D2522" s="161" t="s">
        <v>39</v>
      </c>
      <c r="E2522" s="162"/>
      <c r="F2522" s="163" t="s">
        <v>40</v>
      </c>
      <c r="G2522" s="164"/>
      <c r="H2522" s="165"/>
      <c r="I2522" s="164"/>
      <c r="J2522" s="165"/>
      <c r="K2522" s="164"/>
      <c r="L2522" s="165"/>
      <c r="M2522" s="6"/>
      <c r="N2522" s="32"/>
      <c r="Q2522" s="10" t="str">
        <f>+CONCATENATE(E2522,G2522)</f>
        <v/>
      </c>
      <c r="R2522" s="10">
        <f>+H2522</f>
        <v>0</v>
      </c>
      <c r="S2522" s="11"/>
      <c r="T2522" s="10">
        <f>+E2522</f>
        <v>0</v>
      </c>
      <c r="U2522" s="19" t="str">
        <f t="shared" ref="U2522" si="1367">IFERROR(LEFT(G2522,FIND("*",G2522)-1),"-")</f>
        <v>-</v>
      </c>
      <c r="V2522" s="19" t="str">
        <f t="shared" ref="V2522" si="1368">IFERROR(RIGHT(G2522,LEN(G2522)-FIND("*",G2522)),"-")</f>
        <v>-</v>
      </c>
      <c r="W2522" s="20" t="str">
        <f t="shared" si="1366"/>
        <v>-</v>
      </c>
      <c r="X2522" s="20" t="str">
        <f>IFERROR(W2522*H2522,"-")</f>
        <v>-</v>
      </c>
      <c r="Z2522" s="85">
        <v>45194</v>
      </c>
    </row>
    <row r="2523" spans="1:26" ht="6.95" customHeight="1" x14ac:dyDescent="0.3">
      <c r="A2523" s="5"/>
      <c r="B2523" s="157"/>
      <c r="C2523" s="158"/>
      <c r="D2523" s="161"/>
      <c r="E2523" s="162"/>
      <c r="F2523" s="163"/>
      <c r="G2523" s="164"/>
      <c r="H2523" s="165"/>
      <c r="I2523" s="164"/>
      <c r="J2523" s="165"/>
      <c r="K2523" s="164"/>
      <c r="L2523" s="165"/>
      <c r="M2523" s="6"/>
      <c r="N2523" s="32"/>
      <c r="Q2523" s="10" t="str">
        <f>+CONCATENATE(E2522,I2522)</f>
        <v/>
      </c>
      <c r="R2523" s="10">
        <f>+J2522</f>
        <v>0</v>
      </c>
      <c r="S2523" s="11"/>
      <c r="T2523" s="10">
        <f>+E2522</f>
        <v>0</v>
      </c>
      <c r="U2523" s="19" t="str">
        <f>IFERROR(LEFT(I2522,FIND("*",I2522)-1),"-")</f>
        <v>-</v>
      </c>
      <c r="V2523" s="19" t="str">
        <f>IFERROR(RIGHT(I2522,LEN(I2522)-FIND("*",I2522)),"-")</f>
        <v>-</v>
      </c>
      <c r="W2523" s="20" t="str">
        <f t="shared" si="1366"/>
        <v>-</v>
      </c>
      <c r="X2523" s="20" t="str">
        <f>IFERROR(W2523*J2522,"-")</f>
        <v>-</v>
      </c>
      <c r="Z2523" s="85">
        <v>45194</v>
      </c>
    </row>
    <row r="2524" spans="1:26" ht="6.95" customHeight="1" x14ac:dyDescent="0.3">
      <c r="A2524" s="5"/>
      <c r="B2524" s="157"/>
      <c r="C2524" s="158"/>
      <c r="D2524" s="161"/>
      <c r="E2524" s="162"/>
      <c r="F2524" s="163"/>
      <c r="G2524" s="164"/>
      <c r="H2524" s="165"/>
      <c r="I2524" s="164"/>
      <c r="J2524" s="165"/>
      <c r="K2524" s="164"/>
      <c r="L2524" s="165"/>
      <c r="M2524" s="6"/>
      <c r="N2524" s="32"/>
      <c r="Q2524" s="10" t="str">
        <f>+CONCATENATE(E2522,K2522)</f>
        <v/>
      </c>
      <c r="R2524" s="10">
        <f>+L2522</f>
        <v>0</v>
      </c>
      <c r="S2524" s="11"/>
      <c r="T2524" s="10">
        <f>+E2522</f>
        <v>0</v>
      </c>
      <c r="U2524" s="19" t="str">
        <f>IFERROR(LEFT(K2522,FIND("*",K2522)-1),"-")</f>
        <v>-</v>
      </c>
      <c r="V2524" s="19" t="str">
        <f>IFERROR(RIGHT(K2522,LEN(K2522)-FIND("*",K2522)),"-")</f>
        <v>-</v>
      </c>
      <c r="W2524" s="20" t="str">
        <f t="shared" si="1366"/>
        <v>-</v>
      </c>
      <c r="X2524" s="20" t="str">
        <f>IFERROR(W2524*L2522,"-")</f>
        <v>-</v>
      </c>
      <c r="Z2524" s="85">
        <v>45194</v>
      </c>
    </row>
    <row r="2525" spans="1:26" ht="6.95" customHeight="1" x14ac:dyDescent="0.3">
      <c r="A2525" s="8"/>
      <c r="B2525" s="157"/>
      <c r="C2525" s="158"/>
      <c r="D2525" s="161" t="s">
        <v>39</v>
      </c>
      <c r="E2525" s="162"/>
      <c r="F2525" s="163" t="s">
        <v>40</v>
      </c>
      <c r="G2525" s="164"/>
      <c r="H2525" s="165"/>
      <c r="I2525" s="164"/>
      <c r="J2525" s="165"/>
      <c r="K2525" s="164"/>
      <c r="L2525" s="165"/>
      <c r="M2525" s="6"/>
      <c r="N2525" s="32"/>
      <c r="Q2525" s="10" t="str">
        <f>+CONCATENATE(E2525,G2525)</f>
        <v/>
      </c>
      <c r="R2525" s="10">
        <f>+H2525</f>
        <v>0</v>
      </c>
      <c r="S2525" s="11"/>
      <c r="T2525" s="10">
        <f>+E2525</f>
        <v>0</v>
      </c>
      <c r="U2525" s="19" t="str">
        <f t="shared" ref="U2525" si="1369">IFERROR(LEFT(G2525,FIND("*",G2525)-1),"-")</f>
        <v>-</v>
      </c>
      <c r="V2525" s="19" t="str">
        <f t="shared" ref="V2525" si="1370">IFERROR(RIGHT(G2525,LEN(G2525)-FIND("*",G2525)),"-")</f>
        <v>-</v>
      </c>
      <c r="W2525" s="20" t="str">
        <f t="shared" si="1366"/>
        <v>-</v>
      </c>
      <c r="X2525" s="20" t="str">
        <f>IFERROR(W2525*H2525,"-")</f>
        <v>-</v>
      </c>
      <c r="Z2525" s="85">
        <v>45194</v>
      </c>
    </row>
    <row r="2526" spans="1:26" ht="6.95" customHeight="1" x14ac:dyDescent="0.3">
      <c r="A2526" s="5"/>
      <c r="B2526" s="157"/>
      <c r="C2526" s="158"/>
      <c r="D2526" s="161"/>
      <c r="E2526" s="162"/>
      <c r="F2526" s="163"/>
      <c r="G2526" s="164"/>
      <c r="H2526" s="165"/>
      <c r="I2526" s="164"/>
      <c r="J2526" s="165"/>
      <c r="K2526" s="164"/>
      <c r="L2526" s="165"/>
      <c r="M2526" s="6"/>
      <c r="N2526" s="32"/>
      <c r="Q2526" s="10" t="str">
        <f>+CONCATENATE(E2525,I2525)</f>
        <v/>
      </c>
      <c r="R2526" s="10">
        <f>+J2525</f>
        <v>0</v>
      </c>
      <c r="S2526" s="11"/>
      <c r="T2526" s="10">
        <f>+E2525</f>
        <v>0</v>
      </c>
      <c r="U2526" s="19" t="str">
        <f>IFERROR(LEFT(I2525,FIND("*",I2525)-1),"-")</f>
        <v>-</v>
      </c>
      <c r="V2526" s="19" t="str">
        <f>IFERROR(RIGHT(I2525,LEN(I2525)-FIND("*",I2525)),"-")</f>
        <v>-</v>
      </c>
      <c r="W2526" s="20" t="str">
        <f t="shared" si="1366"/>
        <v>-</v>
      </c>
      <c r="X2526" s="20" t="str">
        <f t="shared" ref="X2526" si="1371">IFERROR(W2526*J2525,"-")</f>
        <v>-</v>
      </c>
      <c r="Z2526" s="85">
        <v>45194</v>
      </c>
    </row>
    <row r="2527" spans="1:26" ht="6.95" customHeight="1" x14ac:dyDescent="0.3">
      <c r="A2527" s="5"/>
      <c r="B2527" s="157"/>
      <c r="C2527" s="158"/>
      <c r="D2527" s="161"/>
      <c r="E2527" s="162"/>
      <c r="F2527" s="163"/>
      <c r="G2527" s="164"/>
      <c r="H2527" s="165"/>
      <c r="I2527" s="164"/>
      <c r="J2527" s="165"/>
      <c r="K2527" s="164"/>
      <c r="L2527" s="165"/>
      <c r="M2527" s="6"/>
      <c r="N2527" s="32"/>
      <c r="Q2527" s="10" t="str">
        <f>+CONCATENATE(E2525,K2525)</f>
        <v/>
      </c>
      <c r="R2527" s="10">
        <f>+L2525</f>
        <v>0</v>
      </c>
      <c r="S2527" s="11"/>
      <c r="T2527" s="10">
        <f>+E2525</f>
        <v>0</v>
      </c>
      <c r="U2527" s="19" t="str">
        <f>IFERROR(LEFT(K2525,FIND("*",K2525)-1),"-")</f>
        <v>-</v>
      </c>
      <c r="V2527" s="19" t="str">
        <f>IFERROR(RIGHT(K2525,LEN(K2525)-FIND("*",K2525)),"-")</f>
        <v>-</v>
      </c>
      <c r="W2527" s="20" t="str">
        <f t="shared" si="1366"/>
        <v>-</v>
      </c>
      <c r="X2527" s="20" t="str">
        <f>IFERROR(W2527*L2525,"-")</f>
        <v>-</v>
      </c>
      <c r="Z2527" s="85">
        <v>45194</v>
      </c>
    </row>
    <row r="2528" spans="1:26" ht="21" customHeight="1" thickBot="1" x14ac:dyDescent="0.35">
      <c r="A2528" s="5"/>
      <c r="B2528" s="159"/>
      <c r="C2528" s="160"/>
      <c r="D2528" s="166" t="s">
        <v>43</v>
      </c>
      <c r="E2528" s="167"/>
      <c r="F2528" s="167"/>
      <c r="G2528" s="168" t="s">
        <v>202</v>
      </c>
      <c r="H2528" s="168"/>
      <c r="I2528" s="168"/>
      <c r="J2528" s="168"/>
      <c r="K2528" s="168"/>
      <c r="L2528" s="168"/>
      <c r="M2528" s="7"/>
      <c r="N2528" s="32"/>
      <c r="Z2528" s="85">
        <v>45194</v>
      </c>
    </row>
    <row r="2529" spans="1:26" ht="9.9499999999999993" customHeight="1" thickBot="1" x14ac:dyDescent="0.35">
      <c r="B2529" s="9"/>
      <c r="C2529" s="109">
        <v>1028</v>
      </c>
      <c r="D2529" s="51"/>
      <c r="E2529" s="12"/>
      <c r="F2529" s="51"/>
      <c r="G2529" s="14"/>
      <c r="H2529" s="14"/>
      <c r="I2529" s="14"/>
      <c r="J2529" s="14"/>
      <c r="K2529" s="14"/>
      <c r="L2529" s="14"/>
      <c r="M2529" s="9"/>
      <c r="N2529" s="32"/>
      <c r="U2529" s="18"/>
      <c r="V2529" s="18"/>
      <c r="Z2529" s="85">
        <v>45194</v>
      </c>
    </row>
    <row r="2530" spans="1:26" ht="6.95" customHeight="1" x14ac:dyDescent="0.3">
      <c r="A2530" s="154">
        <f>+A2519+1</f>
        <v>1029</v>
      </c>
      <c r="B2530" s="155"/>
      <c r="C2530" s="156"/>
      <c r="D2530" s="161" t="s">
        <v>39</v>
      </c>
      <c r="E2530" s="162" t="s">
        <v>293</v>
      </c>
      <c r="F2530" s="163" t="s">
        <v>40</v>
      </c>
      <c r="G2530" s="164">
        <v>150</v>
      </c>
      <c r="H2530" s="165">
        <v>4</v>
      </c>
      <c r="I2530" s="164">
        <v>50</v>
      </c>
      <c r="J2530" s="165">
        <v>1</v>
      </c>
      <c r="K2530" s="164"/>
      <c r="L2530" s="165"/>
      <c r="M2530" s="6"/>
      <c r="N2530" s="32"/>
      <c r="Q2530" s="10" t="str">
        <f>+CONCATENATE(E2530,G2530)</f>
        <v>금속관입상150</v>
      </c>
      <c r="R2530" s="10">
        <f>+H2530</f>
        <v>4</v>
      </c>
      <c r="S2530" s="11"/>
      <c r="T2530" s="10" t="str">
        <f>+E2530</f>
        <v>금속관입상</v>
      </c>
      <c r="U2530" s="19" t="str">
        <f>IFERROR(LEFT(G2530,FIND("*",G2530)-1),"-")</f>
        <v>-</v>
      </c>
      <c r="V2530" s="19" t="str">
        <f>IFERROR(RIGHT(G2530,LEN(G2530)-FIND("*",G2530)),"-")</f>
        <v>-</v>
      </c>
      <c r="W2530" s="20" t="str">
        <f>IFERROR((U2530+V2530)*2/1000,"-")</f>
        <v>-</v>
      </c>
      <c r="X2530" s="20" t="str">
        <f>IFERROR(W2530*H2530,"-")</f>
        <v>-</v>
      </c>
      <c r="Z2530" s="85">
        <v>45194</v>
      </c>
    </row>
    <row r="2531" spans="1:26" ht="6.95" customHeight="1" x14ac:dyDescent="0.3">
      <c r="A2531" s="154"/>
      <c r="B2531" s="157"/>
      <c r="C2531" s="158"/>
      <c r="D2531" s="161"/>
      <c r="E2531" s="162"/>
      <c r="F2531" s="163"/>
      <c r="G2531" s="164"/>
      <c r="H2531" s="165"/>
      <c r="I2531" s="164"/>
      <c r="J2531" s="165"/>
      <c r="K2531" s="164"/>
      <c r="L2531" s="165"/>
      <c r="M2531" s="6"/>
      <c r="N2531" s="32"/>
      <c r="Q2531" s="10" t="str">
        <f>+CONCATENATE(E2530,I2530)</f>
        <v>금속관입상50</v>
      </c>
      <c r="R2531" s="10">
        <f>+J2530</f>
        <v>1</v>
      </c>
      <c r="S2531" s="11"/>
      <c r="T2531" s="10" t="str">
        <f>+E2530</f>
        <v>금속관입상</v>
      </c>
      <c r="U2531" s="19" t="str">
        <f>IFERROR(LEFT(I2530,FIND("*",I2530)-1),"-")</f>
        <v>-</v>
      </c>
      <c r="V2531" s="19" t="str">
        <f>IFERROR(RIGHT(I2530,LEN(I2530)-FIND("*",I2530)),"-")</f>
        <v>-</v>
      </c>
      <c r="W2531" s="20" t="str">
        <f t="shared" ref="W2531:W2538" si="1372">IFERROR((U2531+V2531)*2/1000,"-")</f>
        <v>-</v>
      </c>
      <c r="X2531" s="20" t="str">
        <f>IFERROR(W2531*J2530,"-")</f>
        <v>-</v>
      </c>
      <c r="Z2531" s="85">
        <v>45194</v>
      </c>
    </row>
    <row r="2532" spans="1:26" ht="6.95" customHeight="1" x14ac:dyDescent="0.3">
      <c r="A2532" s="154"/>
      <c r="B2532" s="157"/>
      <c r="C2532" s="158"/>
      <c r="D2532" s="161"/>
      <c r="E2532" s="162"/>
      <c r="F2532" s="163"/>
      <c r="G2532" s="164"/>
      <c r="H2532" s="165"/>
      <c r="I2532" s="164"/>
      <c r="J2532" s="165"/>
      <c r="K2532" s="164"/>
      <c r="L2532" s="165"/>
      <c r="M2532" s="6"/>
      <c r="N2532" s="32"/>
      <c r="Q2532" s="10" t="str">
        <f>+CONCATENATE(E2530,K2530)</f>
        <v>금속관입상</v>
      </c>
      <c r="R2532" s="10">
        <f>+L2530</f>
        <v>0</v>
      </c>
      <c r="S2532" s="11"/>
      <c r="T2532" s="10" t="str">
        <f>+E2530</f>
        <v>금속관입상</v>
      </c>
      <c r="U2532" s="19" t="str">
        <f>IFERROR(LEFT(K2530,FIND("*",K2530)-1),"-")</f>
        <v>-</v>
      </c>
      <c r="V2532" s="19" t="str">
        <f>IFERROR(RIGHT(K2530,LEN(K2530)-FIND("*",K2530)),"-")</f>
        <v>-</v>
      </c>
      <c r="W2532" s="20" t="str">
        <f t="shared" si="1372"/>
        <v>-</v>
      </c>
      <c r="X2532" s="20" t="str">
        <f>IFERROR(W2532*L2530,"-")</f>
        <v>-</v>
      </c>
      <c r="Z2532" s="85">
        <v>45194</v>
      </c>
    </row>
    <row r="2533" spans="1:26" ht="6.95" customHeight="1" x14ac:dyDescent="0.3">
      <c r="A2533" s="8"/>
      <c r="B2533" s="157"/>
      <c r="C2533" s="158"/>
      <c r="D2533" s="161" t="s">
        <v>39</v>
      </c>
      <c r="E2533" s="162"/>
      <c r="F2533" s="163" t="s">
        <v>40</v>
      </c>
      <c r="G2533" s="164"/>
      <c r="H2533" s="165"/>
      <c r="I2533" s="164"/>
      <c r="J2533" s="165"/>
      <c r="K2533" s="164"/>
      <c r="L2533" s="165"/>
      <c r="M2533" s="6"/>
      <c r="N2533" s="32"/>
      <c r="Q2533" s="10" t="str">
        <f>+CONCATENATE(E2533,G2533)</f>
        <v/>
      </c>
      <c r="R2533" s="10">
        <f>+H2533</f>
        <v>0</v>
      </c>
      <c r="S2533" s="11"/>
      <c r="T2533" s="10">
        <f>+E2533</f>
        <v>0</v>
      </c>
      <c r="U2533" s="19" t="str">
        <f t="shared" ref="U2533" si="1373">IFERROR(LEFT(G2533,FIND("*",G2533)-1),"-")</f>
        <v>-</v>
      </c>
      <c r="V2533" s="19" t="str">
        <f t="shared" ref="V2533" si="1374">IFERROR(RIGHT(G2533,LEN(G2533)-FIND("*",G2533)),"-")</f>
        <v>-</v>
      </c>
      <c r="W2533" s="20" t="str">
        <f t="shared" si="1372"/>
        <v>-</v>
      </c>
      <c r="X2533" s="20" t="str">
        <f>IFERROR(W2533*H2533,"-")</f>
        <v>-</v>
      </c>
      <c r="Z2533" s="85">
        <v>45194</v>
      </c>
    </row>
    <row r="2534" spans="1:26" ht="6.95" customHeight="1" x14ac:dyDescent="0.3">
      <c r="A2534" s="5"/>
      <c r="B2534" s="157"/>
      <c r="C2534" s="158"/>
      <c r="D2534" s="161"/>
      <c r="E2534" s="162"/>
      <c r="F2534" s="163"/>
      <c r="G2534" s="164"/>
      <c r="H2534" s="165"/>
      <c r="I2534" s="164"/>
      <c r="J2534" s="165"/>
      <c r="K2534" s="164"/>
      <c r="L2534" s="165"/>
      <c r="M2534" s="6"/>
      <c r="N2534" s="32"/>
      <c r="Q2534" s="10" t="str">
        <f>+CONCATENATE(E2533,I2533)</f>
        <v/>
      </c>
      <c r="R2534" s="10">
        <f>+J2533</f>
        <v>0</v>
      </c>
      <c r="S2534" s="11"/>
      <c r="T2534" s="10">
        <f>+E2533</f>
        <v>0</v>
      </c>
      <c r="U2534" s="19" t="str">
        <f>IFERROR(LEFT(I2533,FIND("*",I2533)-1),"-")</f>
        <v>-</v>
      </c>
      <c r="V2534" s="19" t="str">
        <f>IFERROR(RIGHT(I2533,LEN(I2533)-FIND("*",I2533)),"-")</f>
        <v>-</v>
      </c>
      <c r="W2534" s="20" t="str">
        <f t="shared" si="1372"/>
        <v>-</v>
      </c>
      <c r="X2534" s="20" t="str">
        <f>IFERROR(W2534*J2533,"-")</f>
        <v>-</v>
      </c>
      <c r="Z2534" s="85">
        <v>45194</v>
      </c>
    </row>
    <row r="2535" spans="1:26" ht="6.95" customHeight="1" x14ac:dyDescent="0.3">
      <c r="A2535" s="5"/>
      <c r="B2535" s="157"/>
      <c r="C2535" s="158"/>
      <c r="D2535" s="161"/>
      <c r="E2535" s="162"/>
      <c r="F2535" s="163"/>
      <c r="G2535" s="164"/>
      <c r="H2535" s="165"/>
      <c r="I2535" s="164"/>
      <c r="J2535" s="165"/>
      <c r="K2535" s="164"/>
      <c r="L2535" s="165"/>
      <c r="M2535" s="6"/>
      <c r="N2535" s="32"/>
      <c r="Q2535" s="10" t="str">
        <f>+CONCATENATE(E2533,K2533)</f>
        <v/>
      </c>
      <c r="R2535" s="10">
        <f>+L2533</f>
        <v>0</v>
      </c>
      <c r="S2535" s="11"/>
      <c r="T2535" s="10">
        <f>+E2533</f>
        <v>0</v>
      </c>
      <c r="U2535" s="19" t="str">
        <f>IFERROR(LEFT(K2533,FIND("*",K2533)-1),"-")</f>
        <v>-</v>
      </c>
      <c r="V2535" s="19" t="str">
        <f>IFERROR(RIGHT(K2533,LEN(K2533)-FIND("*",K2533)),"-")</f>
        <v>-</v>
      </c>
      <c r="W2535" s="20" t="str">
        <f t="shared" si="1372"/>
        <v>-</v>
      </c>
      <c r="X2535" s="20" t="str">
        <f>IFERROR(W2535*L2533,"-")</f>
        <v>-</v>
      </c>
      <c r="Z2535" s="85">
        <v>45194</v>
      </c>
    </row>
    <row r="2536" spans="1:26" ht="6.95" customHeight="1" x14ac:dyDescent="0.3">
      <c r="A2536" s="8"/>
      <c r="B2536" s="157"/>
      <c r="C2536" s="158"/>
      <c r="D2536" s="161" t="s">
        <v>39</v>
      </c>
      <c r="E2536" s="162"/>
      <c r="F2536" s="163" t="s">
        <v>40</v>
      </c>
      <c r="G2536" s="164"/>
      <c r="H2536" s="165"/>
      <c r="I2536" s="164"/>
      <c r="J2536" s="165"/>
      <c r="K2536" s="164"/>
      <c r="L2536" s="165"/>
      <c r="M2536" s="6"/>
      <c r="N2536" s="32"/>
      <c r="Q2536" s="10" t="str">
        <f>+CONCATENATE(E2536,G2536)</f>
        <v/>
      </c>
      <c r="R2536" s="10">
        <f>+H2536</f>
        <v>0</v>
      </c>
      <c r="S2536" s="11"/>
      <c r="T2536" s="10">
        <f>+E2536</f>
        <v>0</v>
      </c>
      <c r="U2536" s="19" t="str">
        <f t="shared" ref="U2536" si="1375">IFERROR(LEFT(G2536,FIND("*",G2536)-1),"-")</f>
        <v>-</v>
      </c>
      <c r="V2536" s="19" t="str">
        <f t="shared" ref="V2536" si="1376">IFERROR(RIGHT(G2536,LEN(G2536)-FIND("*",G2536)),"-")</f>
        <v>-</v>
      </c>
      <c r="W2536" s="20" t="str">
        <f t="shared" si="1372"/>
        <v>-</v>
      </c>
      <c r="X2536" s="20" t="str">
        <f>IFERROR(W2536*H2536,"-")</f>
        <v>-</v>
      </c>
      <c r="Z2536" s="85">
        <v>45194</v>
      </c>
    </row>
    <row r="2537" spans="1:26" ht="6.95" customHeight="1" x14ac:dyDescent="0.3">
      <c r="A2537" s="5"/>
      <c r="B2537" s="157"/>
      <c r="C2537" s="158"/>
      <c r="D2537" s="161"/>
      <c r="E2537" s="162"/>
      <c r="F2537" s="163"/>
      <c r="G2537" s="164"/>
      <c r="H2537" s="165"/>
      <c r="I2537" s="164"/>
      <c r="J2537" s="165"/>
      <c r="K2537" s="164"/>
      <c r="L2537" s="165"/>
      <c r="M2537" s="6"/>
      <c r="N2537" s="32"/>
      <c r="Q2537" s="10" t="str">
        <f>+CONCATENATE(E2536,I2536)</f>
        <v/>
      </c>
      <c r="R2537" s="10">
        <f>+J2536</f>
        <v>0</v>
      </c>
      <c r="S2537" s="11"/>
      <c r="T2537" s="10">
        <f>+E2536</f>
        <v>0</v>
      </c>
      <c r="U2537" s="19" t="str">
        <f>IFERROR(LEFT(I2536,FIND("*",I2536)-1),"-")</f>
        <v>-</v>
      </c>
      <c r="V2537" s="19" t="str">
        <f>IFERROR(RIGHT(I2536,LEN(I2536)-FIND("*",I2536)),"-")</f>
        <v>-</v>
      </c>
      <c r="W2537" s="20" t="str">
        <f t="shared" si="1372"/>
        <v>-</v>
      </c>
      <c r="X2537" s="20" t="str">
        <f t="shared" ref="X2537" si="1377">IFERROR(W2537*J2536,"-")</f>
        <v>-</v>
      </c>
      <c r="Z2537" s="85">
        <v>45194</v>
      </c>
    </row>
    <row r="2538" spans="1:26" ht="6.95" customHeight="1" x14ac:dyDescent="0.3">
      <c r="A2538" s="5"/>
      <c r="B2538" s="157"/>
      <c r="C2538" s="158"/>
      <c r="D2538" s="161"/>
      <c r="E2538" s="162"/>
      <c r="F2538" s="163"/>
      <c r="G2538" s="164"/>
      <c r="H2538" s="165"/>
      <c r="I2538" s="164"/>
      <c r="J2538" s="165"/>
      <c r="K2538" s="164"/>
      <c r="L2538" s="165"/>
      <c r="M2538" s="6"/>
      <c r="N2538" s="32"/>
      <c r="Q2538" s="10" t="str">
        <f>+CONCATENATE(E2536,K2536)</f>
        <v/>
      </c>
      <c r="R2538" s="10">
        <f>+L2536</f>
        <v>0</v>
      </c>
      <c r="S2538" s="11"/>
      <c r="T2538" s="10">
        <f>+E2536</f>
        <v>0</v>
      </c>
      <c r="U2538" s="19" t="str">
        <f>IFERROR(LEFT(K2536,FIND("*",K2536)-1),"-")</f>
        <v>-</v>
      </c>
      <c r="V2538" s="19" t="str">
        <f>IFERROR(RIGHT(K2536,LEN(K2536)-FIND("*",K2536)),"-")</f>
        <v>-</v>
      </c>
      <c r="W2538" s="20" t="str">
        <f t="shared" si="1372"/>
        <v>-</v>
      </c>
      <c r="X2538" s="20" t="str">
        <f>IFERROR(W2538*L2536,"-")</f>
        <v>-</v>
      </c>
      <c r="Z2538" s="85">
        <v>45194</v>
      </c>
    </row>
    <row r="2539" spans="1:26" ht="21" customHeight="1" thickBot="1" x14ac:dyDescent="0.35">
      <c r="A2539" s="5"/>
      <c r="B2539" s="159"/>
      <c r="C2539" s="160"/>
      <c r="D2539" s="166" t="s">
        <v>43</v>
      </c>
      <c r="E2539" s="167"/>
      <c r="F2539" s="167"/>
      <c r="G2539" s="168" t="s">
        <v>206</v>
      </c>
      <c r="H2539" s="168"/>
      <c r="I2539" s="168"/>
      <c r="J2539" s="168"/>
      <c r="K2539" s="168"/>
      <c r="L2539" s="168"/>
      <c r="M2539" s="7"/>
      <c r="N2539" s="32"/>
      <c r="Z2539" s="85">
        <v>45194</v>
      </c>
    </row>
    <row r="2540" spans="1:26" ht="9.9499999999999993" customHeight="1" thickBot="1" x14ac:dyDescent="0.35">
      <c r="B2540" s="9"/>
      <c r="C2540" s="109">
        <v>1029</v>
      </c>
      <c r="D2540" s="51"/>
      <c r="E2540" s="12"/>
      <c r="F2540" s="51"/>
      <c r="G2540" s="14"/>
      <c r="H2540" s="14"/>
      <c r="I2540" s="14"/>
      <c r="J2540" s="14"/>
      <c r="K2540" s="14"/>
      <c r="L2540" s="14"/>
      <c r="M2540" s="9"/>
      <c r="N2540" s="32"/>
      <c r="U2540" s="18"/>
      <c r="V2540" s="18"/>
      <c r="Z2540" s="85">
        <v>45194</v>
      </c>
    </row>
    <row r="2541" spans="1:26" ht="6.95" customHeight="1" x14ac:dyDescent="0.3">
      <c r="A2541" s="154">
        <f>+A2530+1</f>
        <v>1030</v>
      </c>
      <c r="B2541" s="155"/>
      <c r="C2541" s="156"/>
      <c r="D2541" s="161" t="s">
        <v>39</v>
      </c>
      <c r="E2541" s="162" t="s">
        <v>111</v>
      </c>
      <c r="F2541" s="163" t="s">
        <v>40</v>
      </c>
      <c r="G2541" s="164" t="s">
        <v>301</v>
      </c>
      <c r="H2541" s="165">
        <v>2</v>
      </c>
      <c r="I2541" s="164"/>
      <c r="J2541" s="165"/>
      <c r="K2541" s="164"/>
      <c r="L2541" s="165"/>
      <c r="M2541" s="6"/>
      <c r="N2541" s="32"/>
      <c r="Q2541" s="10" t="str">
        <f>+CONCATENATE(E2541,G2541)</f>
        <v>보온덕트벽체1200*900</v>
      </c>
      <c r="R2541" s="10">
        <f>+H2541</f>
        <v>2</v>
      </c>
      <c r="S2541" s="11"/>
      <c r="T2541" s="10" t="str">
        <f>+E2541</f>
        <v>보온덕트벽체</v>
      </c>
      <c r="U2541" s="19" t="str">
        <f>IFERROR(LEFT(G2541,FIND("*",G2541)-1),"-")</f>
        <v>1200</v>
      </c>
      <c r="V2541" s="19" t="str">
        <f>IFERROR(RIGHT(G2541,LEN(G2541)-FIND("*",G2541)),"-")</f>
        <v>900</v>
      </c>
      <c r="W2541" s="20">
        <f>IFERROR((U2541+V2541)*2/1000,"-")</f>
        <v>4.2</v>
      </c>
      <c r="X2541" s="20">
        <f>IFERROR(W2541*H2541,"-")</f>
        <v>8.4</v>
      </c>
      <c r="Z2541" s="85">
        <v>45194</v>
      </c>
    </row>
    <row r="2542" spans="1:26" ht="6.95" customHeight="1" x14ac:dyDescent="0.3">
      <c r="A2542" s="154"/>
      <c r="B2542" s="157"/>
      <c r="C2542" s="158"/>
      <c r="D2542" s="161"/>
      <c r="E2542" s="162"/>
      <c r="F2542" s="163"/>
      <c r="G2542" s="164"/>
      <c r="H2542" s="165"/>
      <c r="I2542" s="164"/>
      <c r="J2542" s="165"/>
      <c r="K2542" s="164"/>
      <c r="L2542" s="165"/>
      <c r="M2542" s="6"/>
      <c r="N2542" s="32"/>
      <c r="Q2542" s="10" t="str">
        <f>+CONCATENATE(E2541,I2541)</f>
        <v>보온덕트벽체</v>
      </c>
      <c r="R2542" s="10">
        <f>+J2541</f>
        <v>0</v>
      </c>
      <c r="S2542" s="11"/>
      <c r="T2542" s="10" t="str">
        <f>+E2541</f>
        <v>보온덕트벽체</v>
      </c>
      <c r="U2542" s="19" t="str">
        <f>IFERROR(LEFT(I2541,FIND("*",I2541)-1),"-")</f>
        <v>-</v>
      </c>
      <c r="V2542" s="19" t="str">
        <f>IFERROR(RIGHT(I2541,LEN(I2541)-FIND("*",I2541)),"-")</f>
        <v>-</v>
      </c>
      <c r="W2542" s="20" t="str">
        <f t="shared" ref="W2542:W2549" si="1378">IFERROR((U2542+V2542)*2/1000,"-")</f>
        <v>-</v>
      </c>
      <c r="X2542" s="20" t="str">
        <f>IFERROR(W2542*J2541,"-")</f>
        <v>-</v>
      </c>
      <c r="Z2542" s="85">
        <v>45194</v>
      </c>
    </row>
    <row r="2543" spans="1:26" ht="6.95" customHeight="1" x14ac:dyDescent="0.3">
      <c r="A2543" s="154"/>
      <c r="B2543" s="157"/>
      <c r="C2543" s="158"/>
      <c r="D2543" s="161"/>
      <c r="E2543" s="162"/>
      <c r="F2543" s="163"/>
      <c r="G2543" s="164"/>
      <c r="H2543" s="165"/>
      <c r="I2543" s="164"/>
      <c r="J2543" s="165"/>
      <c r="K2543" s="164"/>
      <c r="L2543" s="165"/>
      <c r="M2543" s="6"/>
      <c r="N2543" s="32"/>
      <c r="Q2543" s="10" t="str">
        <f>+CONCATENATE(E2541,K2541)</f>
        <v>보온덕트벽체</v>
      </c>
      <c r="R2543" s="10">
        <f>+L2541</f>
        <v>0</v>
      </c>
      <c r="S2543" s="11"/>
      <c r="T2543" s="10" t="str">
        <f>+E2541</f>
        <v>보온덕트벽체</v>
      </c>
      <c r="U2543" s="19" t="str">
        <f>IFERROR(LEFT(K2541,FIND("*",K2541)-1),"-")</f>
        <v>-</v>
      </c>
      <c r="V2543" s="19" t="str">
        <f>IFERROR(RIGHT(K2541,LEN(K2541)-FIND("*",K2541)),"-")</f>
        <v>-</v>
      </c>
      <c r="W2543" s="20" t="str">
        <f t="shared" si="1378"/>
        <v>-</v>
      </c>
      <c r="X2543" s="20" t="str">
        <f>IFERROR(W2543*L2541,"-")</f>
        <v>-</v>
      </c>
      <c r="Z2543" s="85">
        <v>45194</v>
      </c>
    </row>
    <row r="2544" spans="1:26" ht="6.95" customHeight="1" x14ac:dyDescent="0.3">
      <c r="A2544" s="8"/>
      <c r="B2544" s="157"/>
      <c r="C2544" s="158"/>
      <c r="D2544" s="161" t="s">
        <v>39</v>
      </c>
      <c r="E2544" s="162" t="s">
        <v>188</v>
      </c>
      <c r="F2544" s="163" t="s">
        <v>40</v>
      </c>
      <c r="G2544" s="164" t="s">
        <v>301</v>
      </c>
      <c r="H2544" s="165">
        <v>4</v>
      </c>
      <c r="I2544" s="164"/>
      <c r="J2544" s="165"/>
      <c r="K2544" s="164"/>
      <c r="L2544" s="165"/>
      <c r="M2544" s="6"/>
      <c r="N2544" s="32"/>
      <c r="Q2544" s="10" t="str">
        <f>+CONCATENATE(E2544,G2544)</f>
        <v>차열재마감1200*900</v>
      </c>
      <c r="R2544" s="10">
        <f>+H2544</f>
        <v>4</v>
      </c>
      <c r="S2544" s="11"/>
      <c r="T2544" s="10" t="str">
        <f>+E2544</f>
        <v>차열재마감</v>
      </c>
      <c r="U2544" s="19" t="str">
        <f t="shared" ref="U2544" si="1379">IFERROR(LEFT(G2544,FIND("*",G2544)-1),"-")</f>
        <v>1200</v>
      </c>
      <c r="V2544" s="19" t="str">
        <f t="shared" ref="V2544" si="1380">IFERROR(RIGHT(G2544,LEN(G2544)-FIND("*",G2544)),"-")</f>
        <v>900</v>
      </c>
      <c r="W2544" s="20">
        <f t="shared" si="1378"/>
        <v>4.2</v>
      </c>
      <c r="X2544" s="20">
        <f>IFERROR(W2544*H2544,"-")</f>
        <v>16.8</v>
      </c>
      <c r="Z2544" s="85">
        <v>45194</v>
      </c>
    </row>
    <row r="2545" spans="1:26" ht="6.95" customHeight="1" x14ac:dyDescent="0.3">
      <c r="A2545" s="5"/>
      <c r="B2545" s="157"/>
      <c r="C2545" s="158"/>
      <c r="D2545" s="161"/>
      <c r="E2545" s="162"/>
      <c r="F2545" s="163"/>
      <c r="G2545" s="164"/>
      <c r="H2545" s="165"/>
      <c r="I2545" s="164"/>
      <c r="J2545" s="165"/>
      <c r="K2545" s="164"/>
      <c r="L2545" s="165"/>
      <c r="M2545" s="6"/>
      <c r="N2545" s="32"/>
      <c r="Q2545" s="10" t="str">
        <f>+CONCATENATE(E2544,I2544)</f>
        <v>차열재마감</v>
      </c>
      <c r="R2545" s="10">
        <f>+J2544</f>
        <v>0</v>
      </c>
      <c r="S2545" s="11"/>
      <c r="T2545" s="10" t="str">
        <f>+E2544</f>
        <v>차열재마감</v>
      </c>
      <c r="U2545" s="19" t="str">
        <f>IFERROR(LEFT(I2544,FIND("*",I2544)-1),"-")</f>
        <v>-</v>
      </c>
      <c r="V2545" s="19" t="str">
        <f>IFERROR(RIGHT(I2544,LEN(I2544)-FIND("*",I2544)),"-")</f>
        <v>-</v>
      </c>
      <c r="W2545" s="20" t="str">
        <f t="shared" si="1378"/>
        <v>-</v>
      </c>
      <c r="X2545" s="20" t="str">
        <f>IFERROR(W2545*J2544,"-")</f>
        <v>-</v>
      </c>
      <c r="Z2545" s="85">
        <v>45194</v>
      </c>
    </row>
    <row r="2546" spans="1:26" ht="6.95" customHeight="1" x14ac:dyDescent="0.3">
      <c r="A2546" s="5"/>
      <c r="B2546" s="157"/>
      <c r="C2546" s="158"/>
      <c r="D2546" s="161"/>
      <c r="E2546" s="162"/>
      <c r="F2546" s="163"/>
      <c r="G2546" s="164"/>
      <c r="H2546" s="165"/>
      <c r="I2546" s="164"/>
      <c r="J2546" s="165"/>
      <c r="K2546" s="164"/>
      <c r="L2546" s="165"/>
      <c r="M2546" s="6"/>
      <c r="N2546" s="32"/>
      <c r="Q2546" s="10" t="str">
        <f>+CONCATENATE(E2544,K2544)</f>
        <v>차열재마감</v>
      </c>
      <c r="R2546" s="10">
        <f>+L2544</f>
        <v>0</v>
      </c>
      <c r="S2546" s="11"/>
      <c r="T2546" s="10" t="str">
        <f>+E2544</f>
        <v>차열재마감</v>
      </c>
      <c r="U2546" s="19" t="str">
        <f>IFERROR(LEFT(K2544,FIND("*",K2544)-1),"-")</f>
        <v>-</v>
      </c>
      <c r="V2546" s="19" t="str">
        <f>IFERROR(RIGHT(K2544,LEN(K2544)-FIND("*",K2544)),"-")</f>
        <v>-</v>
      </c>
      <c r="W2546" s="20" t="str">
        <f t="shared" si="1378"/>
        <v>-</v>
      </c>
      <c r="X2546" s="20" t="str">
        <f>IFERROR(W2546*L2544,"-")</f>
        <v>-</v>
      </c>
      <c r="Z2546" s="85">
        <v>45194</v>
      </c>
    </row>
    <row r="2547" spans="1:26" ht="6.95" customHeight="1" x14ac:dyDescent="0.3">
      <c r="A2547" s="8"/>
      <c r="B2547" s="157"/>
      <c r="C2547" s="158"/>
      <c r="D2547" s="161" t="s">
        <v>39</v>
      </c>
      <c r="E2547" s="162"/>
      <c r="F2547" s="163" t="s">
        <v>40</v>
      </c>
      <c r="G2547" s="164"/>
      <c r="H2547" s="165"/>
      <c r="I2547" s="164"/>
      <c r="J2547" s="165"/>
      <c r="K2547" s="164"/>
      <c r="L2547" s="165"/>
      <c r="M2547" s="6"/>
      <c r="N2547" s="32"/>
      <c r="Q2547" s="10" t="str">
        <f>+CONCATENATE(E2547,G2547)</f>
        <v/>
      </c>
      <c r="R2547" s="10">
        <f>+H2547</f>
        <v>0</v>
      </c>
      <c r="S2547" s="11"/>
      <c r="T2547" s="10">
        <f>+E2547</f>
        <v>0</v>
      </c>
      <c r="U2547" s="19" t="str">
        <f t="shared" ref="U2547" si="1381">IFERROR(LEFT(G2547,FIND("*",G2547)-1),"-")</f>
        <v>-</v>
      </c>
      <c r="V2547" s="19" t="str">
        <f t="shared" ref="V2547" si="1382">IFERROR(RIGHT(G2547,LEN(G2547)-FIND("*",G2547)),"-")</f>
        <v>-</v>
      </c>
      <c r="W2547" s="20" t="str">
        <f t="shared" si="1378"/>
        <v>-</v>
      </c>
      <c r="X2547" s="20" t="str">
        <f>IFERROR(W2547*H2547,"-")</f>
        <v>-</v>
      </c>
      <c r="Z2547" s="85">
        <v>45194</v>
      </c>
    </row>
    <row r="2548" spans="1:26" ht="6.95" customHeight="1" x14ac:dyDescent="0.3">
      <c r="A2548" s="5"/>
      <c r="B2548" s="157"/>
      <c r="C2548" s="158"/>
      <c r="D2548" s="161"/>
      <c r="E2548" s="162"/>
      <c r="F2548" s="163"/>
      <c r="G2548" s="164"/>
      <c r="H2548" s="165"/>
      <c r="I2548" s="164"/>
      <c r="J2548" s="165"/>
      <c r="K2548" s="164"/>
      <c r="L2548" s="165"/>
      <c r="M2548" s="6"/>
      <c r="N2548" s="32"/>
      <c r="Q2548" s="10" t="str">
        <f>+CONCATENATE(E2547,I2547)</f>
        <v/>
      </c>
      <c r="R2548" s="10">
        <f>+J2547</f>
        <v>0</v>
      </c>
      <c r="S2548" s="11"/>
      <c r="T2548" s="10">
        <f>+E2547</f>
        <v>0</v>
      </c>
      <c r="U2548" s="19" t="str">
        <f>IFERROR(LEFT(I2547,FIND("*",I2547)-1),"-")</f>
        <v>-</v>
      </c>
      <c r="V2548" s="19" t="str">
        <f>IFERROR(RIGHT(I2547,LEN(I2547)-FIND("*",I2547)),"-")</f>
        <v>-</v>
      </c>
      <c r="W2548" s="20" t="str">
        <f t="shared" si="1378"/>
        <v>-</v>
      </c>
      <c r="X2548" s="20" t="str">
        <f t="shared" ref="X2548" si="1383">IFERROR(W2548*J2547,"-")</f>
        <v>-</v>
      </c>
      <c r="Z2548" s="85">
        <v>45194</v>
      </c>
    </row>
    <row r="2549" spans="1:26" ht="6.95" customHeight="1" x14ac:dyDescent="0.3">
      <c r="A2549" s="5"/>
      <c r="B2549" s="157"/>
      <c r="C2549" s="158"/>
      <c r="D2549" s="161"/>
      <c r="E2549" s="162"/>
      <c r="F2549" s="163"/>
      <c r="G2549" s="164"/>
      <c r="H2549" s="165"/>
      <c r="I2549" s="164"/>
      <c r="J2549" s="165"/>
      <c r="K2549" s="164"/>
      <c r="L2549" s="165"/>
      <c r="M2549" s="6"/>
      <c r="N2549" s="32"/>
      <c r="Q2549" s="10" t="str">
        <f>+CONCATENATE(E2547,K2547)</f>
        <v/>
      </c>
      <c r="R2549" s="10">
        <f>+L2547</f>
        <v>0</v>
      </c>
      <c r="S2549" s="11"/>
      <c r="T2549" s="10">
        <f>+E2547</f>
        <v>0</v>
      </c>
      <c r="U2549" s="19" t="str">
        <f>IFERROR(LEFT(K2547,FIND("*",K2547)-1),"-")</f>
        <v>-</v>
      </c>
      <c r="V2549" s="19" t="str">
        <f>IFERROR(RIGHT(K2547,LEN(K2547)-FIND("*",K2547)),"-")</f>
        <v>-</v>
      </c>
      <c r="W2549" s="20" t="str">
        <f t="shared" si="1378"/>
        <v>-</v>
      </c>
      <c r="X2549" s="20" t="str">
        <f>IFERROR(W2549*L2547,"-")</f>
        <v>-</v>
      </c>
      <c r="Z2549" s="85">
        <v>45194</v>
      </c>
    </row>
    <row r="2550" spans="1:26" ht="21" customHeight="1" thickBot="1" x14ac:dyDescent="0.35">
      <c r="A2550" s="5"/>
      <c r="B2550" s="159"/>
      <c r="C2550" s="160"/>
      <c r="D2550" s="166" t="s">
        <v>43</v>
      </c>
      <c r="E2550" s="167"/>
      <c r="F2550" s="167"/>
      <c r="G2550" s="168" t="s">
        <v>206</v>
      </c>
      <c r="H2550" s="168"/>
      <c r="I2550" s="168"/>
      <c r="J2550" s="168"/>
      <c r="K2550" s="168"/>
      <c r="L2550" s="168"/>
      <c r="M2550" s="7"/>
      <c r="N2550" s="33">
        <v>45194</v>
      </c>
      <c r="Z2550" s="85">
        <v>45194</v>
      </c>
    </row>
    <row r="2551" spans="1:26" ht="9.9499999999999993" customHeight="1" thickBot="1" x14ac:dyDescent="0.35">
      <c r="B2551" s="9"/>
      <c r="C2551" s="109">
        <v>1030</v>
      </c>
      <c r="D2551" s="51"/>
      <c r="E2551" s="12"/>
      <c r="F2551" s="51"/>
      <c r="G2551" s="14"/>
      <c r="H2551" s="14"/>
      <c r="I2551" s="14"/>
      <c r="J2551" s="14"/>
      <c r="K2551" s="14"/>
      <c r="L2551" s="14"/>
      <c r="M2551" s="9"/>
      <c r="N2551" s="32"/>
      <c r="U2551" s="18"/>
      <c r="V2551" s="18"/>
      <c r="Z2551" s="85" t="s">
        <v>82</v>
      </c>
    </row>
    <row r="2552" spans="1:26" ht="6.95" customHeight="1" x14ac:dyDescent="0.3">
      <c r="A2552" s="154">
        <f>+A2541+1</f>
        <v>1031</v>
      </c>
      <c r="B2552" s="155"/>
      <c r="C2552" s="156"/>
      <c r="D2552" s="161" t="s">
        <v>39</v>
      </c>
      <c r="E2552" s="162"/>
      <c r="F2552" s="163" t="s">
        <v>40</v>
      </c>
      <c r="G2552" s="164"/>
      <c r="H2552" s="165"/>
      <c r="I2552" s="164"/>
      <c r="J2552" s="165"/>
      <c r="K2552" s="164"/>
      <c r="L2552" s="165"/>
      <c r="M2552" s="6"/>
      <c r="N2552" s="32"/>
      <c r="Q2552" s="10" t="str">
        <f>+CONCATENATE(E2552,G2552)</f>
        <v/>
      </c>
      <c r="R2552" s="10">
        <f>+H2552</f>
        <v>0</v>
      </c>
      <c r="S2552" s="11"/>
      <c r="T2552" s="10">
        <f>+E2552</f>
        <v>0</v>
      </c>
      <c r="U2552" s="19" t="str">
        <f>IFERROR(LEFT(G2552,FIND("*",G2552)-1),"-")</f>
        <v>-</v>
      </c>
      <c r="V2552" s="19" t="str">
        <f>IFERROR(RIGHT(G2552,LEN(G2552)-FIND("*",G2552)),"-")</f>
        <v>-</v>
      </c>
      <c r="W2552" s="20" t="str">
        <f>IFERROR((U2552+V2552)*2/1000,"-")</f>
        <v>-</v>
      </c>
      <c r="X2552" s="20" t="str">
        <f>IFERROR(W2552*H2552,"-")</f>
        <v>-</v>
      </c>
      <c r="Z2552" s="85" t="s">
        <v>82</v>
      </c>
    </row>
    <row r="2553" spans="1:26" ht="6.95" customHeight="1" x14ac:dyDescent="0.3">
      <c r="A2553" s="154"/>
      <c r="B2553" s="157"/>
      <c r="C2553" s="158"/>
      <c r="D2553" s="161"/>
      <c r="E2553" s="162"/>
      <c r="F2553" s="163"/>
      <c r="G2553" s="164"/>
      <c r="H2553" s="165"/>
      <c r="I2553" s="164"/>
      <c r="J2553" s="165"/>
      <c r="K2553" s="164"/>
      <c r="L2553" s="165"/>
      <c r="M2553" s="6"/>
      <c r="N2553" s="32"/>
      <c r="Q2553" s="10" t="str">
        <f>+CONCATENATE(E2552,I2552)</f>
        <v/>
      </c>
      <c r="R2553" s="10">
        <f>+J2552</f>
        <v>0</v>
      </c>
      <c r="S2553" s="11"/>
      <c r="T2553" s="10">
        <f>+E2552</f>
        <v>0</v>
      </c>
      <c r="U2553" s="19" t="str">
        <f>IFERROR(LEFT(I2552,FIND("*",I2552)-1),"-")</f>
        <v>-</v>
      </c>
      <c r="V2553" s="19" t="str">
        <f>IFERROR(RIGHT(I2552,LEN(I2552)-FIND("*",I2552)),"-")</f>
        <v>-</v>
      </c>
      <c r="W2553" s="20" t="str">
        <f t="shared" ref="W2553:W2560" si="1384">IFERROR((U2553+V2553)*2/1000,"-")</f>
        <v>-</v>
      </c>
      <c r="X2553" s="20" t="str">
        <f>IFERROR(W2553*J2552,"-")</f>
        <v>-</v>
      </c>
      <c r="Z2553" s="85" t="s">
        <v>82</v>
      </c>
    </row>
    <row r="2554" spans="1:26" ht="6.95" customHeight="1" x14ac:dyDescent="0.3">
      <c r="A2554" s="154"/>
      <c r="B2554" s="157"/>
      <c r="C2554" s="158"/>
      <c r="D2554" s="161"/>
      <c r="E2554" s="162"/>
      <c r="F2554" s="163"/>
      <c r="G2554" s="164"/>
      <c r="H2554" s="165"/>
      <c r="I2554" s="164"/>
      <c r="J2554" s="165"/>
      <c r="K2554" s="164"/>
      <c r="L2554" s="165"/>
      <c r="M2554" s="6"/>
      <c r="N2554" s="32"/>
      <c r="Q2554" s="10" t="str">
        <f>+CONCATENATE(E2552,K2552)</f>
        <v/>
      </c>
      <c r="R2554" s="10">
        <f>+L2552</f>
        <v>0</v>
      </c>
      <c r="S2554" s="11"/>
      <c r="T2554" s="10">
        <f>+E2552</f>
        <v>0</v>
      </c>
      <c r="U2554" s="19" t="str">
        <f>IFERROR(LEFT(K2552,FIND("*",K2552)-1),"-")</f>
        <v>-</v>
      </c>
      <c r="V2554" s="19" t="str">
        <f>IFERROR(RIGHT(K2552,LEN(K2552)-FIND("*",K2552)),"-")</f>
        <v>-</v>
      </c>
      <c r="W2554" s="20" t="str">
        <f t="shared" si="1384"/>
        <v>-</v>
      </c>
      <c r="X2554" s="20" t="str">
        <f>IFERROR(W2554*L2552,"-")</f>
        <v>-</v>
      </c>
      <c r="Z2554" s="85" t="s">
        <v>82</v>
      </c>
    </row>
    <row r="2555" spans="1:26" ht="6.95" customHeight="1" x14ac:dyDescent="0.3">
      <c r="A2555" s="8"/>
      <c r="B2555" s="157"/>
      <c r="C2555" s="158"/>
      <c r="D2555" s="161" t="s">
        <v>39</v>
      </c>
      <c r="E2555" s="162"/>
      <c r="F2555" s="163" t="s">
        <v>40</v>
      </c>
      <c r="G2555" s="164"/>
      <c r="H2555" s="165"/>
      <c r="I2555" s="164"/>
      <c r="J2555" s="165"/>
      <c r="K2555" s="164"/>
      <c r="L2555" s="165"/>
      <c r="M2555" s="6"/>
      <c r="N2555" s="32"/>
      <c r="Q2555" s="10" t="str">
        <f>+CONCATENATE(E2555,G2555)</f>
        <v/>
      </c>
      <c r="R2555" s="10">
        <f>+H2555</f>
        <v>0</v>
      </c>
      <c r="S2555" s="11"/>
      <c r="T2555" s="10">
        <f>+E2555</f>
        <v>0</v>
      </c>
      <c r="U2555" s="19" t="str">
        <f t="shared" ref="U2555" si="1385">IFERROR(LEFT(G2555,FIND("*",G2555)-1),"-")</f>
        <v>-</v>
      </c>
      <c r="V2555" s="19" t="str">
        <f t="shared" ref="V2555" si="1386">IFERROR(RIGHT(G2555,LEN(G2555)-FIND("*",G2555)),"-")</f>
        <v>-</v>
      </c>
      <c r="W2555" s="20" t="str">
        <f t="shared" si="1384"/>
        <v>-</v>
      </c>
      <c r="X2555" s="20" t="str">
        <f>IFERROR(W2555*H2555,"-")</f>
        <v>-</v>
      </c>
      <c r="Z2555" s="85" t="s">
        <v>82</v>
      </c>
    </row>
    <row r="2556" spans="1:26" ht="6.95" customHeight="1" x14ac:dyDescent="0.3">
      <c r="A2556" s="5"/>
      <c r="B2556" s="157"/>
      <c r="C2556" s="158"/>
      <c r="D2556" s="161"/>
      <c r="E2556" s="162"/>
      <c r="F2556" s="163"/>
      <c r="G2556" s="164"/>
      <c r="H2556" s="165"/>
      <c r="I2556" s="164"/>
      <c r="J2556" s="165"/>
      <c r="K2556" s="164"/>
      <c r="L2556" s="165"/>
      <c r="M2556" s="6"/>
      <c r="N2556" s="32"/>
      <c r="Q2556" s="10" t="str">
        <f>+CONCATENATE(E2555,I2555)</f>
        <v/>
      </c>
      <c r="R2556" s="10">
        <f>+J2555</f>
        <v>0</v>
      </c>
      <c r="S2556" s="11"/>
      <c r="T2556" s="10">
        <f>+E2555</f>
        <v>0</v>
      </c>
      <c r="U2556" s="19" t="str">
        <f>IFERROR(LEFT(I2555,FIND("*",I2555)-1),"-")</f>
        <v>-</v>
      </c>
      <c r="V2556" s="19" t="str">
        <f>IFERROR(RIGHT(I2555,LEN(I2555)-FIND("*",I2555)),"-")</f>
        <v>-</v>
      </c>
      <c r="W2556" s="20" t="str">
        <f t="shared" si="1384"/>
        <v>-</v>
      </c>
      <c r="X2556" s="20" t="str">
        <f>IFERROR(W2556*J2555,"-")</f>
        <v>-</v>
      </c>
      <c r="Z2556" s="85" t="s">
        <v>82</v>
      </c>
    </row>
    <row r="2557" spans="1:26" ht="6.95" customHeight="1" x14ac:dyDescent="0.3">
      <c r="A2557" s="5"/>
      <c r="B2557" s="157"/>
      <c r="C2557" s="158"/>
      <c r="D2557" s="161"/>
      <c r="E2557" s="162"/>
      <c r="F2557" s="163"/>
      <c r="G2557" s="164"/>
      <c r="H2557" s="165"/>
      <c r="I2557" s="164"/>
      <c r="J2557" s="165"/>
      <c r="K2557" s="164"/>
      <c r="L2557" s="165"/>
      <c r="M2557" s="6"/>
      <c r="N2557" s="32"/>
      <c r="Q2557" s="10" t="str">
        <f>+CONCATENATE(E2555,K2555)</f>
        <v/>
      </c>
      <c r="R2557" s="10">
        <f>+L2555</f>
        <v>0</v>
      </c>
      <c r="S2557" s="11"/>
      <c r="T2557" s="10">
        <f>+E2555</f>
        <v>0</v>
      </c>
      <c r="U2557" s="19" t="str">
        <f>IFERROR(LEFT(K2555,FIND("*",K2555)-1),"-")</f>
        <v>-</v>
      </c>
      <c r="V2557" s="19" t="str">
        <f>IFERROR(RIGHT(K2555,LEN(K2555)-FIND("*",K2555)),"-")</f>
        <v>-</v>
      </c>
      <c r="W2557" s="20" t="str">
        <f t="shared" si="1384"/>
        <v>-</v>
      </c>
      <c r="X2557" s="20" t="str">
        <f>IFERROR(W2557*L2555,"-")</f>
        <v>-</v>
      </c>
      <c r="Z2557" s="85" t="s">
        <v>82</v>
      </c>
    </row>
    <row r="2558" spans="1:26" ht="6.95" customHeight="1" x14ac:dyDescent="0.3">
      <c r="A2558" s="8"/>
      <c r="B2558" s="157"/>
      <c r="C2558" s="158"/>
      <c r="D2558" s="161" t="s">
        <v>39</v>
      </c>
      <c r="E2558" s="162"/>
      <c r="F2558" s="163" t="s">
        <v>40</v>
      </c>
      <c r="G2558" s="164"/>
      <c r="H2558" s="165"/>
      <c r="I2558" s="164"/>
      <c r="J2558" s="165"/>
      <c r="K2558" s="164"/>
      <c r="L2558" s="165"/>
      <c r="M2558" s="6"/>
      <c r="N2558" s="32"/>
      <c r="Q2558" s="10" t="str">
        <f>+CONCATENATE(E2558,G2558)</f>
        <v/>
      </c>
      <c r="R2558" s="10">
        <f>+H2558</f>
        <v>0</v>
      </c>
      <c r="S2558" s="11"/>
      <c r="T2558" s="10">
        <f>+E2558</f>
        <v>0</v>
      </c>
      <c r="U2558" s="19" t="str">
        <f t="shared" ref="U2558" si="1387">IFERROR(LEFT(G2558,FIND("*",G2558)-1),"-")</f>
        <v>-</v>
      </c>
      <c r="V2558" s="19" t="str">
        <f t="shared" ref="V2558" si="1388">IFERROR(RIGHT(G2558,LEN(G2558)-FIND("*",G2558)),"-")</f>
        <v>-</v>
      </c>
      <c r="W2558" s="20" t="str">
        <f t="shared" si="1384"/>
        <v>-</v>
      </c>
      <c r="X2558" s="20" t="str">
        <f>IFERROR(W2558*H2558,"-")</f>
        <v>-</v>
      </c>
      <c r="Z2558" s="85" t="s">
        <v>82</v>
      </c>
    </row>
    <row r="2559" spans="1:26" ht="6.95" customHeight="1" x14ac:dyDescent="0.3">
      <c r="A2559" s="5"/>
      <c r="B2559" s="157"/>
      <c r="C2559" s="158"/>
      <c r="D2559" s="161"/>
      <c r="E2559" s="162"/>
      <c r="F2559" s="163"/>
      <c r="G2559" s="164"/>
      <c r="H2559" s="165"/>
      <c r="I2559" s="164"/>
      <c r="J2559" s="165"/>
      <c r="K2559" s="164"/>
      <c r="L2559" s="165"/>
      <c r="M2559" s="6"/>
      <c r="N2559" s="32"/>
      <c r="Q2559" s="10" t="str">
        <f>+CONCATENATE(E2558,I2558)</f>
        <v/>
      </c>
      <c r="R2559" s="10">
        <f>+J2558</f>
        <v>0</v>
      </c>
      <c r="S2559" s="11"/>
      <c r="T2559" s="10">
        <f>+E2558</f>
        <v>0</v>
      </c>
      <c r="U2559" s="19" t="str">
        <f>IFERROR(LEFT(I2558,FIND("*",I2558)-1),"-")</f>
        <v>-</v>
      </c>
      <c r="V2559" s="19" t="str">
        <f>IFERROR(RIGHT(I2558,LEN(I2558)-FIND("*",I2558)),"-")</f>
        <v>-</v>
      </c>
      <c r="W2559" s="20" t="str">
        <f t="shared" si="1384"/>
        <v>-</v>
      </c>
      <c r="X2559" s="20" t="str">
        <f t="shared" ref="X2559" si="1389">IFERROR(W2559*J2558,"-")</f>
        <v>-</v>
      </c>
      <c r="Z2559" s="85" t="s">
        <v>82</v>
      </c>
    </row>
    <row r="2560" spans="1:26" ht="6.95" customHeight="1" x14ac:dyDescent="0.3">
      <c r="A2560" s="5"/>
      <c r="B2560" s="157"/>
      <c r="C2560" s="158"/>
      <c r="D2560" s="161"/>
      <c r="E2560" s="162"/>
      <c r="F2560" s="163"/>
      <c r="G2560" s="164"/>
      <c r="H2560" s="165"/>
      <c r="I2560" s="164"/>
      <c r="J2560" s="165"/>
      <c r="K2560" s="164"/>
      <c r="L2560" s="165"/>
      <c r="M2560" s="6"/>
      <c r="N2560" s="32"/>
      <c r="Q2560" s="10" t="str">
        <f>+CONCATENATE(E2558,K2558)</f>
        <v/>
      </c>
      <c r="R2560" s="10">
        <f>+L2558</f>
        <v>0</v>
      </c>
      <c r="S2560" s="11"/>
      <c r="T2560" s="10">
        <f>+E2558</f>
        <v>0</v>
      </c>
      <c r="U2560" s="19" t="str">
        <f>IFERROR(LEFT(K2558,FIND("*",K2558)-1),"-")</f>
        <v>-</v>
      </c>
      <c r="V2560" s="19" t="str">
        <f>IFERROR(RIGHT(K2558,LEN(K2558)-FIND("*",K2558)),"-")</f>
        <v>-</v>
      </c>
      <c r="W2560" s="20" t="str">
        <f t="shared" si="1384"/>
        <v>-</v>
      </c>
      <c r="X2560" s="20" t="str">
        <f>IFERROR(W2560*L2558,"-")</f>
        <v>-</v>
      </c>
      <c r="Z2560" s="85" t="s">
        <v>82</v>
      </c>
    </row>
    <row r="2561" spans="1:26" ht="21" customHeight="1" thickBot="1" x14ac:dyDescent="0.35">
      <c r="A2561" s="5"/>
      <c r="B2561" s="159"/>
      <c r="C2561" s="160"/>
      <c r="D2561" s="166" t="s">
        <v>43</v>
      </c>
      <c r="E2561" s="167"/>
      <c r="F2561" s="167"/>
      <c r="G2561" s="168"/>
      <c r="H2561" s="168"/>
      <c r="I2561" s="168"/>
      <c r="J2561" s="168"/>
      <c r="K2561" s="168"/>
      <c r="L2561" s="168"/>
      <c r="M2561" s="7"/>
      <c r="N2561" s="32"/>
      <c r="Z2561" s="86" t="s">
        <v>81</v>
      </c>
    </row>
    <row r="2562" spans="1:26" ht="9.9499999999999993" customHeight="1" thickBot="1" x14ac:dyDescent="0.35">
      <c r="B2562" s="9"/>
      <c r="C2562" s="109"/>
      <c r="D2562" s="51"/>
      <c r="E2562" s="12"/>
      <c r="F2562" s="51"/>
      <c r="G2562" s="14"/>
      <c r="H2562" s="14"/>
      <c r="I2562" s="14"/>
      <c r="J2562" s="14"/>
      <c r="K2562" s="14"/>
      <c r="L2562" s="14"/>
      <c r="M2562" s="9"/>
      <c r="N2562" s="32"/>
      <c r="U2562" s="18"/>
      <c r="V2562" s="18"/>
      <c r="Z2562" s="85" t="s">
        <v>82</v>
      </c>
    </row>
    <row r="2563" spans="1:26" ht="6.95" customHeight="1" x14ac:dyDescent="0.3">
      <c r="A2563" s="154">
        <f>+A2552+1</f>
        <v>1032</v>
      </c>
      <c r="B2563" s="155"/>
      <c r="C2563" s="156"/>
      <c r="D2563" s="161" t="s">
        <v>39</v>
      </c>
      <c r="E2563" s="162"/>
      <c r="F2563" s="163" t="s">
        <v>40</v>
      </c>
      <c r="G2563" s="164"/>
      <c r="H2563" s="165"/>
      <c r="I2563" s="164"/>
      <c r="J2563" s="165"/>
      <c r="K2563" s="164"/>
      <c r="L2563" s="165"/>
      <c r="M2563" s="6"/>
      <c r="N2563" s="32"/>
      <c r="Q2563" s="10" t="str">
        <f>+CONCATENATE(E2563,G2563)</f>
        <v/>
      </c>
      <c r="R2563" s="10">
        <f>+H2563</f>
        <v>0</v>
      </c>
      <c r="S2563" s="11"/>
      <c r="T2563" s="10">
        <f>+E2563</f>
        <v>0</v>
      </c>
      <c r="U2563" s="19" t="str">
        <f>IFERROR(LEFT(G2563,FIND("*",G2563)-1),"-")</f>
        <v>-</v>
      </c>
      <c r="V2563" s="19" t="str">
        <f>IFERROR(RIGHT(G2563,LEN(G2563)-FIND("*",G2563)),"-")</f>
        <v>-</v>
      </c>
      <c r="W2563" s="20" t="str">
        <f>IFERROR((U2563+V2563)*2/1000,"-")</f>
        <v>-</v>
      </c>
      <c r="X2563" s="20" t="str">
        <f>IFERROR(W2563*H2563,"-")</f>
        <v>-</v>
      </c>
      <c r="Z2563" s="85" t="s">
        <v>82</v>
      </c>
    </row>
    <row r="2564" spans="1:26" ht="6.95" customHeight="1" x14ac:dyDescent="0.3">
      <c r="A2564" s="154"/>
      <c r="B2564" s="157"/>
      <c r="C2564" s="158"/>
      <c r="D2564" s="161"/>
      <c r="E2564" s="162"/>
      <c r="F2564" s="163"/>
      <c r="G2564" s="164"/>
      <c r="H2564" s="165"/>
      <c r="I2564" s="164"/>
      <c r="J2564" s="165"/>
      <c r="K2564" s="164"/>
      <c r="L2564" s="165"/>
      <c r="M2564" s="6"/>
      <c r="N2564" s="32"/>
      <c r="Q2564" s="10" t="str">
        <f>+CONCATENATE(E2563,I2563)</f>
        <v/>
      </c>
      <c r="R2564" s="10">
        <f>+J2563</f>
        <v>0</v>
      </c>
      <c r="S2564" s="11"/>
      <c r="T2564" s="10">
        <f>+E2563</f>
        <v>0</v>
      </c>
      <c r="U2564" s="19" t="str">
        <f>IFERROR(LEFT(I2563,FIND("*",I2563)-1),"-")</f>
        <v>-</v>
      </c>
      <c r="V2564" s="19" t="str">
        <f>IFERROR(RIGHT(I2563,LEN(I2563)-FIND("*",I2563)),"-")</f>
        <v>-</v>
      </c>
      <c r="W2564" s="20" t="str">
        <f t="shared" ref="W2564:W2571" si="1390">IFERROR((U2564+V2564)*2/1000,"-")</f>
        <v>-</v>
      </c>
      <c r="X2564" s="20" t="str">
        <f>IFERROR(W2564*J2563,"-")</f>
        <v>-</v>
      </c>
      <c r="Z2564" s="85" t="s">
        <v>82</v>
      </c>
    </row>
    <row r="2565" spans="1:26" ht="6.95" customHeight="1" x14ac:dyDescent="0.3">
      <c r="A2565" s="154"/>
      <c r="B2565" s="157"/>
      <c r="C2565" s="158"/>
      <c r="D2565" s="161"/>
      <c r="E2565" s="162"/>
      <c r="F2565" s="163"/>
      <c r="G2565" s="164"/>
      <c r="H2565" s="165"/>
      <c r="I2565" s="164"/>
      <c r="J2565" s="165"/>
      <c r="K2565" s="164"/>
      <c r="L2565" s="165"/>
      <c r="M2565" s="6"/>
      <c r="N2565" s="32"/>
      <c r="Q2565" s="10" t="str">
        <f>+CONCATENATE(E2563,K2563)</f>
        <v/>
      </c>
      <c r="R2565" s="10">
        <f>+L2563</f>
        <v>0</v>
      </c>
      <c r="S2565" s="11"/>
      <c r="T2565" s="10">
        <f>+E2563</f>
        <v>0</v>
      </c>
      <c r="U2565" s="19" t="str">
        <f>IFERROR(LEFT(K2563,FIND("*",K2563)-1),"-")</f>
        <v>-</v>
      </c>
      <c r="V2565" s="19" t="str">
        <f>IFERROR(RIGHT(K2563,LEN(K2563)-FIND("*",K2563)),"-")</f>
        <v>-</v>
      </c>
      <c r="W2565" s="20" t="str">
        <f t="shared" si="1390"/>
        <v>-</v>
      </c>
      <c r="X2565" s="20" t="str">
        <f>IFERROR(W2565*L2563,"-")</f>
        <v>-</v>
      </c>
      <c r="Z2565" s="85" t="s">
        <v>82</v>
      </c>
    </row>
    <row r="2566" spans="1:26" ht="6.95" customHeight="1" x14ac:dyDescent="0.3">
      <c r="A2566" s="8"/>
      <c r="B2566" s="157"/>
      <c r="C2566" s="158"/>
      <c r="D2566" s="161" t="s">
        <v>39</v>
      </c>
      <c r="E2566" s="162"/>
      <c r="F2566" s="163" t="s">
        <v>40</v>
      </c>
      <c r="G2566" s="164"/>
      <c r="H2566" s="165"/>
      <c r="I2566" s="164"/>
      <c r="J2566" s="165"/>
      <c r="K2566" s="164"/>
      <c r="L2566" s="165"/>
      <c r="M2566" s="6"/>
      <c r="N2566" s="32"/>
      <c r="Q2566" s="10" t="str">
        <f>+CONCATENATE(E2566,G2566)</f>
        <v/>
      </c>
      <c r="R2566" s="10">
        <f>+H2566</f>
        <v>0</v>
      </c>
      <c r="S2566" s="11"/>
      <c r="T2566" s="10">
        <f>+E2566</f>
        <v>0</v>
      </c>
      <c r="U2566" s="19" t="str">
        <f t="shared" ref="U2566" si="1391">IFERROR(LEFT(G2566,FIND("*",G2566)-1),"-")</f>
        <v>-</v>
      </c>
      <c r="V2566" s="19" t="str">
        <f t="shared" ref="V2566" si="1392">IFERROR(RIGHT(G2566,LEN(G2566)-FIND("*",G2566)),"-")</f>
        <v>-</v>
      </c>
      <c r="W2566" s="20" t="str">
        <f t="shared" si="1390"/>
        <v>-</v>
      </c>
      <c r="X2566" s="20" t="str">
        <f>IFERROR(W2566*H2566,"-")</f>
        <v>-</v>
      </c>
      <c r="Z2566" s="85" t="s">
        <v>82</v>
      </c>
    </row>
    <row r="2567" spans="1:26" ht="6.95" customHeight="1" x14ac:dyDescent="0.3">
      <c r="A2567" s="5"/>
      <c r="B2567" s="157"/>
      <c r="C2567" s="158"/>
      <c r="D2567" s="161"/>
      <c r="E2567" s="162"/>
      <c r="F2567" s="163"/>
      <c r="G2567" s="164"/>
      <c r="H2567" s="165"/>
      <c r="I2567" s="164"/>
      <c r="J2567" s="165"/>
      <c r="K2567" s="164"/>
      <c r="L2567" s="165"/>
      <c r="M2567" s="6"/>
      <c r="N2567" s="32"/>
      <c r="Q2567" s="10" t="str">
        <f>+CONCATENATE(E2566,I2566)</f>
        <v/>
      </c>
      <c r="R2567" s="10">
        <f>+J2566</f>
        <v>0</v>
      </c>
      <c r="S2567" s="11"/>
      <c r="T2567" s="10">
        <f>+E2566</f>
        <v>0</v>
      </c>
      <c r="U2567" s="19" t="str">
        <f>IFERROR(LEFT(I2566,FIND("*",I2566)-1),"-")</f>
        <v>-</v>
      </c>
      <c r="V2567" s="19" t="str">
        <f>IFERROR(RIGHT(I2566,LEN(I2566)-FIND("*",I2566)),"-")</f>
        <v>-</v>
      </c>
      <c r="W2567" s="20" t="str">
        <f t="shared" si="1390"/>
        <v>-</v>
      </c>
      <c r="X2567" s="20" t="str">
        <f>IFERROR(W2567*J2566,"-")</f>
        <v>-</v>
      </c>
      <c r="Z2567" s="85" t="s">
        <v>82</v>
      </c>
    </row>
    <row r="2568" spans="1:26" ht="6.95" customHeight="1" x14ac:dyDescent="0.3">
      <c r="A2568" s="5"/>
      <c r="B2568" s="157"/>
      <c r="C2568" s="158"/>
      <c r="D2568" s="161"/>
      <c r="E2568" s="162"/>
      <c r="F2568" s="163"/>
      <c r="G2568" s="164"/>
      <c r="H2568" s="165"/>
      <c r="I2568" s="164"/>
      <c r="J2568" s="165"/>
      <c r="K2568" s="164"/>
      <c r="L2568" s="165"/>
      <c r="M2568" s="6"/>
      <c r="N2568" s="32"/>
      <c r="Q2568" s="10" t="str">
        <f>+CONCATENATE(E2566,K2566)</f>
        <v/>
      </c>
      <c r="R2568" s="10">
        <f>+L2566</f>
        <v>0</v>
      </c>
      <c r="S2568" s="11"/>
      <c r="T2568" s="10">
        <f>+E2566</f>
        <v>0</v>
      </c>
      <c r="U2568" s="19" t="str">
        <f>IFERROR(LEFT(K2566,FIND("*",K2566)-1),"-")</f>
        <v>-</v>
      </c>
      <c r="V2568" s="19" t="str">
        <f>IFERROR(RIGHT(K2566,LEN(K2566)-FIND("*",K2566)),"-")</f>
        <v>-</v>
      </c>
      <c r="W2568" s="20" t="str">
        <f t="shared" si="1390"/>
        <v>-</v>
      </c>
      <c r="X2568" s="20" t="str">
        <f>IFERROR(W2568*L2566,"-")</f>
        <v>-</v>
      </c>
      <c r="Z2568" s="85" t="s">
        <v>82</v>
      </c>
    </row>
    <row r="2569" spans="1:26" ht="6.95" customHeight="1" x14ac:dyDescent="0.3">
      <c r="A2569" s="8"/>
      <c r="B2569" s="157"/>
      <c r="C2569" s="158"/>
      <c r="D2569" s="161" t="s">
        <v>39</v>
      </c>
      <c r="E2569" s="162"/>
      <c r="F2569" s="163" t="s">
        <v>40</v>
      </c>
      <c r="G2569" s="164"/>
      <c r="H2569" s="165"/>
      <c r="I2569" s="164"/>
      <c r="J2569" s="165"/>
      <c r="K2569" s="164"/>
      <c r="L2569" s="165"/>
      <c r="M2569" s="6"/>
      <c r="N2569" s="32"/>
      <c r="Q2569" s="10" t="str">
        <f>+CONCATENATE(E2569,G2569)</f>
        <v/>
      </c>
      <c r="R2569" s="10">
        <f>+H2569</f>
        <v>0</v>
      </c>
      <c r="S2569" s="11"/>
      <c r="T2569" s="10">
        <f>+E2569</f>
        <v>0</v>
      </c>
      <c r="U2569" s="19" t="str">
        <f t="shared" ref="U2569" si="1393">IFERROR(LEFT(G2569,FIND("*",G2569)-1),"-")</f>
        <v>-</v>
      </c>
      <c r="V2569" s="19" t="str">
        <f t="shared" ref="V2569" si="1394">IFERROR(RIGHT(G2569,LEN(G2569)-FIND("*",G2569)),"-")</f>
        <v>-</v>
      </c>
      <c r="W2569" s="20" t="str">
        <f t="shared" si="1390"/>
        <v>-</v>
      </c>
      <c r="X2569" s="20" t="str">
        <f>IFERROR(W2569*H2569,"-")</f>
        <v>-</v>
      </c>
      <c r="Z2569" s="85" t="s">
        <v>82</v>
      </c>
    </row>
    <row r="2570" spans="1:26" ht="6.95" customHeight="1" x14ac:dyDescent="0.3">
      <c r="A2570" s="5"/>
      <c r="B2570" s="157"/>
      <c r="C2570" s="158"/>
      <c r="D2570" s="161"/>
      <c r="E2570" s="162"/>
      <c r="F2570" s="163"/>
      <c r="G2570" s="164"/>
      <c r="H2570" s="165"/>
      <c r="I2570" s="164"/>
      <c r="J2570" s="165"/>
      <c r="K2570" s="164"/>
      <c r="L2570" s="165"/>
      <c r="M2570" s="6"/>
      <c r="N2570" s="32"/>
      <c r="Q2570" s="10" t="str">
        <f>+CONCATENATE(E2569,I2569)</f>
        <v/>
      </c>
      <c r="R2570" s="10">
        <f>+J2569</f>
        <v>0</v>
      </c>
      <c r="S2570" s="11"/>
      <c r="T2570" s="10">
        <f>+E2569</f>
        <v>0</v>
      </c>
      <c r="U2570" s="19" t="str">
        <f>IFERROR(LEFT(I2569,FIND("*",I2569)-1),"-")</f>
        <v>-</v>
      </c>
      <c r="V2570" s="19" t="str">
        <f>IFERROR(RIGHT(I2569,LEN(I2569)-FIND("*",I2569)),"-")</f>
        <v>-</v>
      </c>
      <c r="W2570" s="20" t="str">
        <f t="shared" si="1390"/>
        <v>-</v>
      </c>
      <c r="X2570" s="20" t="str">
        <f t="shared" ref="X2570" si="1395">IFERROR(W2570*J2569,"-")</f>
        <v>-</v>
      </c>
      <c r="Z2570" s="85" t="s">
        <v>82</v>
      </c>
    </row>
    <row r="2571" spans="1:26" ht="6.95" customHeight="1" x14ac:dyDescent="0.3">
      <c r="A2571" s="5"/>
      <c r="B2571" s="157"/>
      <c r="C2571" s="158"/>
      <c r="D2571" s="161"/>
      <c r="E2571" s="162"/>
      <c r="F2571" s="163"/>
      <c r="G2571" s="164"/>
      <c r="H2571" s="165"/>
      <c r="I2571" s="164"/>
      <c r="J2571" s="165"/>
      <c r="K2571" s="164"/>
      <c r="L2571" s="165"/>
      <c r="M2571" s="6"/>
      <c r="N2571" s="32"/>
      <c r="Q2571" s="10" t="str">
        <f>+CONCATENATE(E2569,K2569)</f>
        <v/>
      </c>
      <c r="R2571" s="10">
        <f>+L2569</f>
        <v>0</v>
      </c>
      <c r="S2571" s="11"/>
      <c r="T2571" s="10">
        <f>+E2569</f>
        <v>0</v>
      </c>
      <c r="U2571" s="19" t="str">
        <f>IFERROR(LEFT(K2569,FIND("*",K2569)-1),"-")</f>
        <v>-</v>
      </c>
      <c r="V2571" s="19" t="str">
        <f>IFERROR(RIGHT(K2569,LEN(K2569)-FIND("*",K2569)),"-")</f>
        <v>-</v>
      </c>
      <c r="W2571" s="20" t="str">
        <f t="shared" si="1390"/>
        <v>-</v>
      </c>
      <c r="X2571" s="20" t="str">
        <f>IFERROR(W2571*L2569,"-")</f>
        <v>-</v>
      </c>
      <c r="Z2571" s="85" t="s">
        <v>82</v>
      </c>
    </row>
    <row r="2572" spans="1:26" ht="21" customHeight="1" thickBot="1" x14ac:dyDescent="0.35">
      <c r="A2572" s="5"/>
      <c r="B2572" s="159"/>
      <c r="C2572" s="160"/>
      <c r="D2572" s="166" t="s">
        <v>43</v>
      </c>
      <c r="E2572" s="167"/>
      <c r="F2572" s="167"/>
      <c r="G2572" s="168"/>
      <c r="H2572" s="168"/>
      <c r="I2572" s="168"/>
      <c r="J2572" s="168"/>
      <c r="K2572" s="168"/>
      <c r="L2572" s="168"/>
      <c r="M2572" s="7"/>
      <c r="N2572" s="32"/>
      <c r="Z2572" s="86" t="s">
        <v>81</v>
      </c>
    </row>
    <row r="2573" spans="1:26" ht="9.9499999999999993" customHeight="1" thickBot="1" x14ac:dyDescent="0.35">
      <c r="B2573" s="9"/>
      <c r="C2573" s="109"/>
      <c r="D2573" s="51"/>
      <c r="E2573" s="12"/>
      <c r="F2573" s="51"/>
      <c r="G2573" s="14"/>
      <c r="H2573" s="14"/>
      <c r="I2573" s="14"/>
      <c r="J2573" s="14"/>
      <c r="K2573" s="14"/>
      <c r="L2573" s="14"/>
      <c r="M2573" s="9"/>
      <c r="N2573" s="32"/>
      <c r="U2573" s="18"/>
      <c r="V2573" s="18"/>
      <c r="Z2573" s="85" t="s">
        <v>82</v>
      </c>
    </row>
    <row r="2574" spans="1:26" ht="6.95" customHeight="1" x14ac:dyDescent="0.3">
      <c r="A2574" s="154">
        <f>+A2563+1</f>
        <v>1033</v>
      </c>
      <c r="B2574" s="155"/>
      <c r="C2574" s="156"/>
      <c r="D2574" s="161" t="s">
        <v>39</v>
      </c>
      <c r="E2574" s="162"/>
      <c r="F2574" s="163" t="s">
        <v>40</v>
      </c>
      <c r="G2574" s="164"/>
      <c r="H2574" s="165"/>
      <c r="I2574" s="164"/>
      <c r="J2574" s="165"/>
      <c r="K2574" s="164"/>
      <c r="L2574" s="165"/>
      <c r="M2574" s="6"/>
      <c r="N2574" s="32"/>
      <c r="Q2574" s="10" t="str">
        <f>+CONCATENATE(E2574,G2574)</f>
        <v/>
      </c>
      <c r="R2574" s="10">
        <f>+H2574</f>
        <v>0</v>
      </c>
      <c r="S2574" s="11"/>
      <c r="T2574" s="10">
        <f>+E2574</f>
        <v>0</v>
      </c>
      <c r="U2574" s="19" t="str">
        <f>IFERROR(LEFT(G2574,FIND("*",G2574)-1),"-")</f>
        <v>-</v>
      </c>
      <c r="V2574" s="19" t="str">
        <f>IFERROR(RIGHT(G2574,LEN(G2574)-FIND("*",G2574)),"-")</f>
        <v>-</v>
      </c>
      <c r="W2574" s="20" t="str">
        <f>IFERROR((U2574+V2574)*2/1000,"-")</f>
        <v>-</v>
      </c>
      <c r="X2574" s="20" t="str">
        <f>IFERROR(W2574*H2574,"-")</f>
        <v>-</v>
      </c>
      <c r="Z2574" s="85" t="s">
        <v>82</v>
      </c>
    </row>
    <row r="2575" spans="1:26" ht="6.95" customHeight="1" x14ac:dyDescent="0.3">
      <c r="A2575" s="154"/>
      <c r="B2575" s="157"/>
      <c r="C2575" s="158"/>
      <c r="D2575" s="161"/>
      <c r="E2575" s="162"/>
      <c r="F2575" s="163"/>
      <c r="G2575" s="164"/>
      <c r="H2575" s="165"/>
      <c r="I2575" s="164"/>
      <c r="J2575" s="165"/>
      <c r="K2575" s="164"/>
      <c r="L2575" s="165"/>
      <c r="M2575" s="6"/>
      <c r="N2575" s="32"/>
      <c r="Q2575" s="10" t="str">
        <f>+CONCATENATE(E2574,I2574)</f>
        <v/>
      </c>
      <c r="R2575" s="10">
        <f>+J2574</f>
        <v>0</v>
      </c>
      <c r="S2575" s="11"/>
      <c r="T2575" s="10">
        <f>+E2574</f>
        <v>0</v>
      </c>
      <c r="U2575" s="19" t="str">
        <f>IFERROR(LEFT(I2574,FIND("*",I2574)-1),"-")</f>
        <v>-</v>
      </c>
      <c r="V2575" s="19" t="str">
        <f>IFERROR(RIGHT(I2574,LEN(I2574)-FIND("*",I2574)),"-")</f>
        <v>-</v>
      </c>
      <c r="W2575" s="20" t="str">
        <f t="shared" ref="W2575:W2582" si="1396">IFERROR((U2575+V2575)*2/1000,"-")</f>
        <v>-</v>
      </c>
      <c r="X2575" s="20" t="str">
        <f>IFERROR(W2575*J2574,"-")</f>
        <v>-</v>
      </c>
      <c r="Z2575" s="85" t="s">
        <v>82</v>
      </c>
    </row>
    <row r="2576" spans="1:26" ht="6.95" customHeight="1" x14ac:dyDescent="0.3">
      <c r="A2576" s="154"/>
      <c r="B2576" s="157"/>
      <c r="C2576" s="158"/>
      <c r="D2576" s="161"/>
      <c r="E2576" s="162"/>
      <c r="F2576" s="163"/>
      <c r="G2576" s="164"/>
      <c r="H2576" s="165"/>
      <c r="I2576" s="164"/>
      <c r="J2576" s="165"/>
      <c r="K2576" s="164"/>
      <c r="L2576" s="165"/>
      <c r="M2576" s="6"/>
      <c r="N2576" s="32"/>
      <c r="Q2576" s="10" t="str">
        <f>+CONCATENATE(E2574,K2574)</f>
        <v/>
      </c>
      <c r="R2576" s="10">
        <f>+L2574</f>
        <v>0</v>
      </c>
      <c r="S2576" s="11"/>
      <c r="T2576" s="10">
        <f>+E2574</f>
        <v>0</v>
      </c>
      <c r="U2576" s="19" t="str">
        <f>IFERROR(LEFT(K2574,FIND("*",K2574)-1),"-")</f>
        <v>-</v>
      </c>
      <c r="V2576" s="19" t="str">
        <f>IFERROR(RIGHT(K2574,LEN(K2574)-FIND("*",K2574)),"-")</f>
        <v>-</v>
      </c>
      <c r="W2576" s="20" t="str">
        <f t="shared" si="1396"/>
        <v>-</v>
      </c>
      <c r="X2576" s="20" t="str">
        <f>IFERROR(W2576*L2574,"-")</f>
        <v>-</v>
      </c>
      <c r="Z2576" s="85" t="s">
        <v>82</v>
      </c>
    </row>
    <row r="2577" spans="1:26" ht="6.95" customHeight="1" x14ac:dyDescent="0.3">
      <c r="A2577" s="8"/>
      <c r="B2577" s="157"/>
      <c r="C2577" s="158"/>
      <c r="D2577" s="161" t="s">
        <v>39</v>
      </c>
      <c r="E2577" s="162"/>
      <c r="F2577" s="163" t="s">
        <v>40</v>
      </c>
      <c r="G2577" s="164"/>
      <c r="H2577" s="165"/>
      <c r="I2577" s="164"/>
      <c r="J2577" s="165"/>
      <c r="K2577" s="164"/>
      <c r="L2577" s="165"/>
      <c r="M2577" s="6"/>
      <c r="N2577" s="32"/>
      <c r="Q2577" s="10" t="str">
        <f>+CONCATENATE(E2577,G2577)</f>
        <v/>
      </c>
      <c r="R2577" s="10">
        <f>+H2577</f>
        <v>0</v>
      </c>
      <c r="S2577" s="11"/>
      <c r="T2577" s="10">
        <f>+E2577</f>
        <v>0</v>
      </c>
      <c r="U2577" s="19" t="str">
        <f t="shared" ref="U2577" si="1397">IFERROR(LEFT(G2577,FIND("*",G2577)-1),"-")</f>
        <v>-</v>
      </c>
      <c r="V2577" s="19" t="str">
        <f t="shared" ref="V2577" si="1398">IFERROR(RIGHT(G2577,LEN(G2577)-FIND("*",G2577)),"-")</f>
        <v>-</v>
      </c>
      <c r="W2577" s="20" t="str">
        <f t="shared" si="1396"/>
        <v>-</v>
      </c>
      <c r="X2577" s="20" t="str">
        <f>IFERROR(W2577*H2577,"-")</f>
        <v>-</v>
      </c>
      <c r="Z2577" s="85" t="s">
        <v>82</v>
      </c>
    </row>
    <row r="2578" spans="1:26" ht="6.95" customHeight="1" x14ac:dyDescent="0.3">
      <c r="A2578" s="5"/>
      <c r="B2578" s="157"/>
      <c r="C2578" s="158"/>
      <c r="D2578" s="161"/>
      <c r="E2578" s="162"/>
      <c r="F2578" s="163"/>
      <c r="G2578" s="164"/>
      <c r="H2578" s="165"/>
      <c r="I2578" s="164"/>
      <c r="J2578" s="165"/>
      <c r="K2578" s="164"/>
      <c r="L2578" s="165"/>
      <c r="M2578" s="6"/>
      <c r="N2578" s="32"/>
      <c r="Q2578" s="10" t="str">
        <f>+CONCATENATE(E2577,I2577)</f>
        <v/>
      </c>
      <c r="R2578" s="10">
        <f>+J2577</f>
        <v>0</v>
      </c>
      <c r="S2578" s="11"/>
      <c r="T2578" s="10">
        <f>+E2577</f>
        <v>0</v>
      </c>
      <c r="U2578" s="19" t="str">
        <f>IFERROR(LEFT(I2577,FIND("*",I2577)-1),"-")</f>
        <v>-</v>
      </c>
      <c r="V2578" s="19" t="str">
        <f>IFERROR(RIGHT(I2577,LEN(I2577)-FIND("*",I2577)),"-")</f>
        <v>-</v>
      </c>
      <c r="W2578" s="20" t="str">
        <f t="shared" si="1396"/>
        <v>-</v>
      </c>
      <c r="X2578" s="20" t="str">
        <f>IFERROR(W2578*J2577,"-")</f>
        <v>-</v>
      </c>
      <c r="Z2578" s="85" t="s">
        <v>82</v>
      </c>
    </row>
    <row r="2579" spans="1:26" ht="6.95" customHeight="1" x14ac:dyDescent="0.3">
      <c r="A2579" s="5"/>
      <c r="B2579" s="157"/>
      <c r="C2579" s="158"/>
      <c r="D2579" s="161"/>
      <c r="E2579" s="162"/>
      <c r="F2579" s="163"/>
      <c r="G2579" s="164"/>
      <c r="H2579" s="165"/>
      <c r="I2579" s="164"/>
      <c r="J2579" s="165"/>
      <c r="K2579" s="164"/>
      <c r="L2579" s="165"/>
      <c r="M2579" s="6"/>
      <c r="N2579" s="32"/>
      <c r="Q2579" s="10" t="str">
        <f>+CONCATENATE(E2577,K2577)</f>
        <v/>
      </c>
      <c r="R2579" s="10">
        <f>+L2577</f>
        <v>0</v>
      </c>
      <c r="S2579" s="11"/>
      <c r="T2579" s="10">
        <f>+E2577</f>
        <v>0</v>
      </c>
      <c r="U2579" s="19" t="str">
        <f>IFERROR(LEFT(K2577,FIND("*",K2577)-1),"-")</f>
        <v>-</v>
      </c>
      <c r="V2579" s="19" t="str">
        <f>IFERROR(RIGHT(K2577,LEN(K2577)-FIND("*",K2577)),"-")</f>
        <v>-</v>
      </c>
      <c r="W2579" s="20" t="str">
        <f t="shared" si="1396"/>
        <v>-</v>
      </c>
      <c r="X2579" s="20" t="str">
        <f>IFERROR(W2579*L2577,"-")</f>
        <v>-</v>
      </c>
      <c r="Z2579" s="85" t="s">
        <v>82</v>
      </c>
    </row>
    <row r="2580" spans="1:26" ht="6.95" customHeight="1" x14ac:dyDescent="0.3">
      <c r="A2580" s="8"/>
      <c r="B2580" s="157"/>
      <c r="C2580" s="158"/>
      <c r="D2580" s="161" t="s">
        <v>39</v>
      </c>
      <c r="E2580" s="162"/>
      <c r="F2580" s="163" t="s">
        <v>40</v>
      </c>
      <c r="G2580" s="164"/>
      <c r="H2580" s="165"/>
      <c r="I2580" s="164"/>
      <c r="J2580" s="165"/>
      <c r="K2580" s="164"/>
      <c r="L2580" s="165"/>
      <c r="M2580" s="6"/>
      <c r="N2580" s="32"/>
      <c r="Q2580" s="10" t="str">
        <f>+CONCATENATE(E2580,G2580)</f>
        <v/>
      </c>
      <c r="R2580" s="10">
        <f>+H2580</f>
        <v>0</v>
      </c>
      <c r="S2580" s="11"/>
      <c r="T2580" s="10">
        <f>+E2580</f>
        <v>0</v>
      </c>
      <c r="U2580" s="19" t="str">
        <f t="shared" ref="U2580" si="1399">IFERROR(LEFT(G2580,FIND("*",G2580)-1),"-")</f>
        <v>-</v>
      </c>
      <c r="V2580" s="19" t="str">
        <f t="shared" ref="V2580" si="1400">IFERROR(RIGHT(G2580,LEN(G2580)-FIND("*",G2580)),"-")</f>
        <v>-</v>
      </c>
      <c r="W2580" s="20" t="str">
        <f t="shared" si="1396"/>
        <v>-</v>
      </c>
      <c r="X2580" s="20" t="str">
        <f>IFERROR(W2580*H2580,"-")</f>
        <v>-</v>
      </c>
      <c r="Z2580" s="85" t="s">
        <v>82</v>
      </c>
    </row>
    <row r="2581" spans="1:26" ht="6.95" customHeight="1" x14ac:dyDescent="0.3">
      <c r="A2581" s="5"/>
      <c r="B2581" s="157"/>
      <c r="C2581" s="158"/>
      <c r="D2581" s="161"/>
      <c r="E2581" s="162"/>
      <c r="F2581" s="163"/>
      <c r="G2581" s="164"/>
      <c r="H2581" s="165"/>
      <c r="I2581" s="164"/>
      <c r="J2581" s="165"/>
      <c r="K2581" s="164"/>
      <c r="L2581" s="165"/>
      <c r="M2581" s="6"/>
      <c r="N2581" s="32"/>
      <c r="Q2581" s="10" t="str">
        <f>+CONCATENATE(E2580,I2580)</f>
        <v/>
      </c>
      <c r="R2581" s="10">
        <f>+J2580</f>
        <v>0</v>
      </c>
      <c r="S2581" s="11"/>
      <c r="T2581" s="10">
        <f>+E2580</f>
        <v>0</v>
      </c>
      <c r="U2581" s="19" t="str">
        <f>IFERROR(LEFT(I2580,FIND("*",I2580)-1),"-")</f>
        <v>-</v>
      </c>
      <c r="V2581" s="19" t="str">
        <f>IFERROR(RIGHT(I2580,LEN(I2580)-FIND("*",I2580)),"-")</f>
        <v>-</v>
      </c>
      <c r="W2581" s="20" t="str">
        <f t="shared" si="1396"/>
        <v>-</v>
      </c>
      <c r="X2581" s="20" t="str">
        <f t="shared" ref="X2581" si="1401">IFERROR(W2581*J2580,"-")</f>
        <v>-</v>
      </c>
      <c r="Z2581" s="85" t="s">
        <v>82</v>
      </c>
    </row>
    <row r="2582" spans="1:26" ht="6.95" customHeight="1" x14ac:dyDescent="0.3">
      <c r="A2582" s="5"/>
      <c r="B2582" s="157"/>
      <c r="C2582" s="158"/>
      <c r="D2582" s="161"/>
      <c r="E2582" s="162"/>
      <c r="F2582" s="163"/>
      <c r="G2582" s="164"/>
      <c r="H2582" s="165"/>
      <c r="I2582" s="164"/>
      <c r="J2582" s="165"/>
      <c r="K2582" s="164"/>
      <c r="L2582" s="165"/>
      <c r="M2582" s="6"/>
      <c r="N2582" s="32"/>
      <c r="Q2582" s="10" t="str">
        <f>+CONCATENATE(E2580,K2580)</f>
        <v/>
      </c>
      <c r="R2582" s="10">
        <f>+L2580</f>
        <v>0</v>
      </c>
      <c r="S2582" s="11"/>
      <c r="T2582" s="10">
        <f>+E2580</f>
        <v>0</v>
      </c>
      <c r="U2582" s="19" t="str">
        <f>IFERROR(LEFT(K2580,FIND("*",K2580)-1),"-")</f>
        <v>-</v>
      </c>
      <c r="V2582" s="19" t="str">
        <f>IFERROR(RIGHT(K2580,LEN(K2580)-FIND("*",K2580)),"-")</f>
        <v>-</v>
      </c>
      <c r="W2582" s="20" t="str">
        <f t="shared" si="1396"/>
        <v>-</v>
      </c>
      <c r="X2582" s="20" t="str">
        <f>IFERROR(W2582*L2580,"-")</f>
        <v>-</v>
      </c>
      <c r="Z2582" s="85" t="s">
        <v>82</v>
      </c>
    </row>
    <row r="2583" spans="1:26" ht="21" customHeight="1" thickBot="1" x14ac:dyDescent="0.35">
      <c r="A2583" s="5"/>
      <c r="B2583" s="159"/>
      <c r="C2583" s="160"/>
      <c r="D2583" s="166" t="s">
        <v>43</v>
      </c>
      <c r="E2583" s="167"/>
      <c r="F2583" s="167"/>
      <c r="G2583" s="168"/>
      <c r="H2583" s="168"/>
      <c r="I2583" s="168"/>
      <c r="J2583" s="168"/>
      <c r="K2583" s="168"/>
      <c r="L2583" s="168"/>
      <c r="M2583" s="7"/>
      <c r="N2583" s="32"/>
      <c r="Z2583" s="86" t="s">
        <v>81</v>
      </c>
    </row>
    <row r="2584" spans="1:26" ht="9.9499999999999993" customHeight="1" thickBot="1" x14ac:dyDescent="0.35">
      <c r="B2584" s="9"/>
      <c r="C2584" s="109"/>
      <c r="D2584" s="51"/>
      <c r="E2584" s="12"/>
      <c r="F2584" s="51"/>
      <c r="G2584" s="14"/>
      <c r="H2584" s="14"/>
      <c r="I2584" s="14"/>
      <c r="J2584" s="14"/>
      <c r="K2584" s="14"/>
      <c r="L2584" s="14"/>
      <c r="M2584" s="9"/>
      <c r="N2584" s="32"/>
      <c r="U2584" s="18"/>
      <c r="V2584" s="18"/>
      <c r="Z2584" s="85" t="s">
        <v>82</v>
      </c>
    </row>
    <row r="2585" spans="1:26" ht="6.95" customHeight="1" x14ac:dyDescent="0.3">
      <c r="A2585" s="154">
        <f>+A2574+1</f>
        <v>1034</v>
      </c>
      <c r="B2585" s="155"/>
      <c r="C2585" s="156"/>
      <c r="D2585" s="161" t="s">
        <v>39</v>
      </c>
      <c r="E2585" s="162"/>
      <c r="F2585" s="163" t="s">
        <v>40</v>
      </c>
      <c r="G2585" s="164"/>
      <c r="H2585" s="165"/>
      <c r="I2585" s="164"/>
      <c r="J2585" s="165"/>
      <c r="K2585" s="164"/>
      <c r="L2585" s="165"/>
      <c r="M2585" s="6"/>
      <c r="N2585" s="32"/>
      <c r="Q2585" s="10" t="str">
        <f>+CONCATENATE(E2585,G2585)</f>
        <v/>
      </c>
      <c r="R2585" s="10">
        <f>+H2585</f>
        <v>0</v>
      </c>
      <c r="S2585" s="11"/>
      <c r="T2585" s="10">
        <f>+E2585</f>
        <v>0</v>
      </c>
      <c r="U2585" s="19" t="str">
        <f>IFERROR(LEFT(G2585,FIND("*",G2585)-1),"-")</f>
        <v>-</v>
      </c>
      <c r="V2585" s="19" t="str">
        <f>IFERROR(RIGHT(G2585,LEN(G2585)-FIND("*",G2585)),"-")</f>
        <v>-</v>
      </c>
      <c r="W2585" s="20" t="str">
        <f>IFERROR((U2585+V2585)*2/1000,"-")</f>
        <v>-</v>
      </c>
      <c r="X2585" s="20" t="str">
        <f>IFERROR(W2585*H2585,"-")</f>
        <v>-</v>
      </c>
      <c r="Z2585" s="85" t="s">
        <v>82</v>
      </c>
    </row>
    <row r="2586" spans="1:26" ht="6.95" customHeight="1" x14ac:dyDescent="0.3">
      <c r="A2586" s="154"/>
      <c r="B2586" s="157"/>
      <c r="C2586" s="158"/>
      <c r="D2586" s="161"/>
      <c r="E2586" s="162"/>
      <c r="F2586" s="163"/>
      <c r="G2586" s="164"/>
      <c r="H2586" s="165"/>
      <c r="I2586" s="164"/>
      <c r="J2586" s="165"/>
      <c r="K2586" s="164"/>
      <c r="L2586" s="165"/>
      <c r="M2586" s="6"/>
      <c r="N2586" s="32"/>
      <c r="Q2586" s="10" t="str">
        <f>+CONCATENATE(E2585,I2585)</f>
        <v/>
      </c>
      <c r="R2586" s="10">
        <f>+J2585</f>
        <v>0</v>
      </c>
      <c r="S2586" s="11"/>
      <c r="T2586" s="10">
        <f>+E2585</f>
        <v>0</v>
      </c>
      <c r="U2586" s="19" t="str">
        <f>IFERROR(LEFT(I2585,FIND("*",I2585)-1),"-")</f>
        <v>-</v>
      </c>
      <c r="V2586" s="19" t="str">
        <f>IFERROR(RIGHT(I2585,LEN(I2585)-FIND("*",I2585)),"-")</f>
        <v>-</v>
      </c>
      <c r="W2586" s="20" t="str">
        <f t="shared" ref="W2586:W2593" si="1402">IFERROR((U2586+V2586)*2/1000,"-")</f>
        <v>-</v>
      </c>
      <c r="X2586" s="20" t="str">
        <f>IFERROR(W2586*J2585,"-")</f>
        <v>-</v>
      </c>
      <c r="Z2586" s="85" t="s">
        <v>82</v>
      </c>
    </row>
    <row r="2587" spans="1:26" ht="6.95" customHeight="1" x14ac:dyDescent="0.3">
      <c r="A2587" s="154"/>
      <c r="B2587" s="157"/>
      <c r="C2587" s="158"/>
      <c r="D2587" s="161"/>
      <c r="E2587" s="162"/>
      <c r="F2587" s="163"/>
      <c r="G2587" s="164"/>
      <c r="H2587" s="165"/>
      <c r="I2587" s="164"/>
      <c r="J2587" s="165"/>
      <c r="K2587" s="164"/>
      <c r="L2587" s="165"/>
      <c r="M2587" s="6"/>
      <c r="N2587" s="32"/>
      <c r="Q2587" s="10" t="str">
        <f>+CONCATENATE(E2585,K2585)</f>
        <v/>
      </c>
      <c r="R2587" s="10">
        <f>+L2585</f>
        <v>0</v>
      </c>
      <c r="S2587" s="11"/>
      <c r="T2587" s="10">
        <f>+E2585</f>
        <v>0</v>
      </c>
      <c r="U2587" s="19" t="str">
        <f>IFERROR(LEFT(K2585,FIND("*",K2585)-1),"-")</f>
        <v>-</v>
      </c>
      <c r="V2587" s="19" t="str">
        <f>IFERROR(RIGHT(K2585,LEN(K2585)-FIND("*",K2585)),"-")</f>
        <v>-</v>
      </c>
      <c r="W2587" s="20" t="str">
        <f t="shared" si="1402"/>
        <v>-</v>
      </c>
      <c r="X2587" s="20" t="str">
        <f>IFERROR(W2587*L2585,"-")</f>
        <v>-</v>
      </c>
      <c r="Z2587" s="85" t="s">
        <v>82</v>
      </c>
    </row>
    <row r="2588" spans="1:26" ht="6.95" customHeight="1" x14ac:dyDescent="0.3">
      <c r="A2588" s="8"/>
      <c r="B2588" s="157"/>
      <c r="C2588" s="158"/>
      <c r="D2588" s="161" t="s">
        <v>39</v>
      </c>
      <c r="E2588" s="162"/>
      <c r="F2588" s="163" t="s">
        <v>40</v>
      </c>
      <c r="G2588" s="164"/>
      <c r="H2588" s="165"/>
      <c r="I2588" s="164"/>
      <c r="J2588" s="165"/>
      <c r="K2588" s="164"/>
      <c r="L2588" s="165"/>
      <c r="M2588" s="6"/>
      <c r="N2588" s="32"/>
      <c r="Q2588" s="10" t="str">
        <f>+CONCATENATE(E2588,G2588)</f>
        <v/>
      </c>
      <c r="R2588" s="10">
        <f>+H2588</f>
        <v>0</v>
      </c>
      <c r="S2588" s="11"/>
      <c r="T2588" s="10">
        <f>+E2588</f>
        <v>0</v>
      </c>
      <c r="U2588" s="19" t="str">
        <f t="shared" ref="U2588" si="1403">IFERROR(LEFT(G2588,FIND("*",G2588)-1),"-")</f>
        <v>-</v>
      </c>
      <c r="V2588" s="19" t="str">
        <f t="shared" ref="V2588" si="1404">IFERROR(RIGHT(G2588,LEN(G2588)-FIND("*",G2588)),"-")</f>
        <v>-</v>
      </c>
      <c r="W2588" s="20" t="str">
        <f t="shared" si="1402"/>
        <v>-</v>
      </c>
      <c r="X2588" s="20" t="str">
        <f>IFERROR(W2588*H2588,"-")</f>
        <v>-</v>
      </c>
      <c r="Z2588" s="85" t="s">
        <v>82</v>
      </c>
    </row>
    <row r="2589" spans="1:26" ht="6.95" customHeight="1" x14ac:dyDescent="0.3">
      <c r="A2589" s="5"/>
      <c r="B2589" s="157"/>
      <c r="C2589" s="158"/>
      <c r="D2589" s="161"/>
      <c r="E2589" s="162"/>
      <c r="F2589" s="163"/>
      <c r="G2589" s="164"/>
      <c r="H2589" s="165"/>
      <c r="I2589" s="164"/>
      <c r="J2589" s="165"/>
      <c r="K2589" s="164"/>
      <c r="L2589" s="165"/>
      <c r="M2589" s="6"/>
      <c r="N2589" s="32"/>
      <c r="Q2589" s="10" t="str">
        <f>+CONCATENATE(E2588,I2588)</f>
        <v/>
      </c>
      <c r="R2589" s="10">
        <f>+J2588</f>
        <v>0</v>
      </c>
      <c r="S2589" s="11"/>
      <c r="T2589" s="10">
        <f>+E2588</f>
        <v>0</v>
      </c>
      <c r="U2589" s="19" t="str">
        <f>IFERROR(LEFT(I2588,FIND("*",I2588)-1),"-")</f>
        <v>-</v>
      </c>
      <c r="V2589" s="19" t="str">
        <f>IFERROR(RIGHT(I2588,LEN(I2588)-FIND("*",I2588)),"-")</f>
        <v>-</v>
      </c>
      <c r="W2589" s="20" t="str">
        <f t="shared" si="1402"/>
        <v>-</v>
      </c>
      <c r="X2589" s="20" t="str">
        <f>IFERROR(W2589*J2588,"-")</f>
        <v>-</v>
      </c>
      <c r="Z2589" s="85" t="s">
        <v>82</v>
      </c>
    </row>
    <row r="2590" spans="1:26" ht="6.95" customHeight="1" x14ac:dyDescent="0.3">
      <c r="A2590" s="5"/>
      <c r="B2590" s="157"/>
      <c r="C2590" s="158"/>
      <c r="D2590" s="161"/>
      <c r="E2590" s="162"/>
      <c r="F2590" s="163"/>
      <c r="G2590" s="164"/>
      <c r="H2590" s="165"/>
      <c r="I2590" s="164"/>
      <c r="J2590" s="165"/>
      <c r="K2590" s="164"/>
      <c r="L2590" s="165"/>
      <c r="M2590" s="6"/>
      <c r="N2590" s="32"/>
      <c r="Q2590" s="10" t="str">
        <f>+CONCATENATE(E2588,K2588)</f>
        <v/>
      </c>
      <c r="R2590" s="10">
        <f>+L2588</f>
        <v>0</v>
      </c>
      <c r="S2590" s="11"/>
      <c r="T2590" s="10">
        <f>+E2588</f>
        <v>0</v>
      </c>
      <c r="U2590" s="19" t="str">
        <f>IFERROR(LEFT(K2588,FIND("*",K2588)-1),"-")</f>
        <v>-</v>
      </c>
      <c r="V2590" s="19" t="str">
        <f>IFERROR(RIGHT(K2588,LEN(K2588)-FIND("*",K2588)),"-")</f>
        <v>-</v>
      </c>
      <c r="W2590" s="20" t="str">
        <f t="shared" si="1402"/>
        <v>-</v>
      </c>
      <c r="X2590" s="20" t="str">
        <f>IFERROR(W2590*L2588,"-")</f>
        <v>-</v>
      </c>
      <c r="Z2590" s="85" t="s">
        <v>82</v>
      </c>
    </row>
    <row r="2591" spans="1:26" ht="6.95" customHeight="1" x14ac:dyDescent="0.3">
      <c r="A2591" s="8"/>
      <c r="B2591" s="157"/>
      <c r="C2591" s="158"/>
      <c r="D2591" s="161" t="s">
        <v>39</v>
      </c>
      <c r="E2591" s="162"/>
      <c r="F2591" s="163" t="s">
        <v>40</v>
      </c>
      <c r="G2591" s="164"/>
      <c r="H2591" s="165"/>
      <c r="I2591" s="164"/>
      <c r="J2591" s="165"/>
      <c r="K2591" s="164"/>
      <c r="L2591" s="165"/>
      <c r="M2591" s="6"/>
      <c r="N2591" s="32"/>
      <c r="Q2591" s="10" t="str">
        <f>+CONCATENATE(E2591,G2591)</f>
        <v/>
      </c>
      <c r="R2591" s="10">
        <f>+H2591</f>
        <v>0</v>
      </c>
      <c r="S2591" s="11"/>
      <c r="T2591" s="10">
        <f>+E2591</f>
        <v>0</v>
      </c>
      <c r="U2591" s="19" t="str">
        <f t="shared" ref="U2591" si="1405">IFERROR(LEFT(G2591,FIND("*",G2591)-1),"-")</f>
        <v>-</v>
      </c>
      <c r="V2591" s="19" t="str">
        <f t="shared" ref="V2591" si="1406">IFERROR(RIGHT(G2591,LEN(G2591)-FIND("*",G2591)),"-")</f>
        <v>-</v>
      </c>
      <c r="W2591" s="20" t="str">
        <f t="shared" si="1402"/>
        <v>-</v>
      </c>
      <c r="X2591" s="20" t="str">
        <f>IFERROR(W2591*H2591,"-")</f>
        <v>-</v>
      </c>
      <c r="Z2591" s="85" t="s">
        <v>82</v>
      </c>
    </row>
    <row r="2592" spans="1:26" ht="6.95" customHeight="1" x14ac:dyDescent="0.3">
      <c r="A2592" s="5"/>
      <c r="B2592" s="157"/>
      <c r="C2592" s="158"/>
      <c r="D2592" s="161"/>
      <c r="E2592" s="162"/>
      <c r="F2592" s="163"/>
      <c r="G2592" s="164"/>
      <c r="H2592" s="165"/>
      <c r="I2592" s="164"/>
      <c r="J2592" s="165"/>
      <c r="K2592" s="164"/>
      <c r="L2592" s="165"/>
      <c r="M2592" s="6"/>
      <c r="N2592" s="32"/>
      <c r="Q2592" s="10" t="str">
        <f>+CONCATENATE(E2591,I2591)</f>
        <v/>
      </c>
      <c r="R2592" s="10">
        <f>+J2591</f>
        <v>0</v>
      </c>
      <c r="S2592" s="11"/>
      <c r="T2592" s="10">
        <f>+E2591</f>
        <v>0</v>
      </c>
      <c r="U2592" s="19" t="str">
        <f>IFERROR(LEFT(I2591,FIND("*",I2591)-1),"-")</f>
        <v>-</v>
      </c>
      <c r="V2592" s="19" t="str">
        <f>IFERROR(RIGHT(I2591,LEN(I2591)-FIND("*",I2591)),"-")</f>
        <v>-</v>
      </c>
      <c r="W2592" s="20" t="str">
        <f t="shared" si="1402"/>
        <v>-</v>
      </c>
      <c r="X2592" s="20" t="str">
        <f t="shared" ref="X2592" si="1407">IFERROR(W2592*J2591,"-")</f>
        <v>-</v>
      </c>
      <c r="Z2592" s="85" t="s">
        <v>82</v>
      </c>
    </row>
    <row r="2593" spans="1:26" ht="6.95" customHeight="1" x14ac:dyDescent="0.3">
      <c r="A2593" s="5"/>
      <c r="B2593" s="157"/>
      <c r="C2593" s="158"/>
      <c r="D2593" s="161"/>
      <c r="E2593" s="162"/>
      <c r="F2593" s="163"/>
      <c r="G2593" s="164"/>
      <c r="H2593" s="165"/>
      <c r="I2593" s="164"/>
      <c r="J2593" s="165"/>
      <c r="K2593" s="164"/>
      <c r="L2593" s="165"/>
      <c r="M2593" s="6"/>
      <c r="N2593" s="32"/>
      <c r="Q2593" s="10" t="str">
        <f>+CONCATENATE(E2591,K2591)</f>
        <v/>
      </c>
      <c r="R2593" s="10">
        <f>+L2591</f>
        <v>0</v>
      </c>
      <c r="S2593" s="11"/>
      <c r="T2593" s="10">
        <f>+E2591</f>
        <v>0</v>
      </c>
      <c r="U2593" s="19" t="str">
        <f>IFERROR(LEFT(K2591,FIND("*",K2591)-1),"-")</f>
        <v>-</v>
      </c>
      <c r="V2593" s="19" t="str">
        <f>IFERROR(RIGHT(K2591,LEN(K2591)-FIND("*",K2591)),"-")</f>
        <v>-</v>
      </c>
      <c r="W2593" s="20" t="str">
        <f t="shared" si="1402"/>
        <v>-</v>
      </c>
      <c r="X2593" s="20" t="str">
        <f>IFERROR(W2593*L2591,"-")</f>
        <v>-</v>
      </c>
      <c r="Z2593" s="85" t="s">
        <v>82</v>
      </c>
    </row>
    <row r="2594" spans="1:26" ht="21" customHeight="1" thickBot="1" x14ac:dyDescent="0.35">
      <c r="A2594" s="5"/>
      <c r="B2594" s="159"/>
      <c r="C2594" s="160"/>
      <c r="D2594" s="166" t="s">
        <v>43</v>
      </c>
      <c r="E2594" s="167"/>
      <c r="F2594" s="167"/>
      <c r="G2594" s="168"/>
      <c r="H2594" s="168"/>
      <c r="I2594" s="168"/>
      <c r="J2594" s="168"/>
      <c r="K2594" s="168"/>
      <c r="L2594" s="168"/>
      <c r="M2594" s="7"/>
      <c r="N2594" s="32"/>
      <c r="Z2594" s="86" t="s">
        <v>81</v>
      </c>
    </row>
    <row r="2595" spans="1:26" ht="9.9499999999999993" customHeight="1" thickBot="1" x14ac:dyDescent="0.35">
      <c r="B2595" s="9"/>
      <c r="C2595" s="109"/>
      <c r="D2595" s="51"/>
      <c r="E2595" s="12"/>
      <c r="F2595" s="51"/>
      <c r="G2595" s="14"/>
      <c r="H2595" s="14"/>
      <c r="I2595" s="14"/>
      <c r="J2595" s="14"/>
      <c r="K2595" s="14"/>
      <c r="L2595" s="14"/>
      <c r="M2595" s="9"/>
      <c r="N2595" s="32"/>
      <c r="U2595" s="18"/>
      <c r="V2595" s="18"/>
      <c r="Z2595" s="85" t="s">
        <v>82</v>
      </c>
    </row>
    <row r="2596" spans="1:26" ht="6.95" customHeight="1" x14ac:dyDescent="0.3">
      <c r="A2596" s="154">
        <f>+A2585+1</f>
        <v>1035</v>
      </c>
      <c r="B2596" s="155"/>
      <c r="C2596" s="156"/>
      <c r="D2596" s="161" t="s">
        <v>39</v>
      </c>
      <c r="E2596" s="162"/>
      <c r="F2596" s="163" t="s">
        <v>40</v>
      </c>
      <c r="G2596" s="164"/>
      <c r="H2596" s="165"/>
      <c r="I2596" s="164"/>
      <c r="J2596" s="165"/>
      <c r="K2596" s="164"/>
      <c r="L2596" s="165"/>
      <c r="M2596" s="6"/>
      <c r="N2596" s="32"/>
      <c r="Q2596" s="10" t="str">
        <f>+CONCATENATE(E2596,G2596)</f>
        <v/>
      </c>
      <c r="R2596" s="10">
        <f>+H2596</f>
        <v>0</v>
      </c>
      <c r="S2596" s="11"/>
      <c r="T2596" s="10">
        <f>+E2596</f>
        <v>0</v>
      </c>
      <c r="U2596" s="19" t="str">
        <f>IFERROR(LEFT(G2596,FIND("*",G2596)-1),"-")</f>
        <v>-</v>
      </c>
      <c r="V2596" s="19" t="str">
        <f>IFERROR(RIGHT(G2596,LEN(G2596)-FIND("*",G2596)),"-")</f>
        <v>-</v>
      </c>
      <c r="W2596" s="20" t="str">
        <f>IFERROR((U2596+V2596)*2/1000,"-")</f>
        <v>-</v>
      </c>
      <c r="X2596" s="20" t="str">
        <f>IFERROR(W2596*H2596,"-")</f>
        <v>-</v>
      </c>
      <c r="Z2596" s="85" t="s">
        <v>82</v>
      </c>
    </row>
    <row r="2597" spans="1:26" ht="6.95" customHeight="1" x14ac:dyDescent="0.3">
      <c r="A2597" s="154"/>
      <c r="B2597" s="157"/>
      <c r="C2597" s="158"/>
      <c r="D2597" s="161"/>
      <c r="E2597" s="162"/>
      <c r="F2597" s="163"/>
      <c r="G2597" s="164"/>
      <c r="H2597" s="165"/>
      <c r="I2597" s="164"/>
      <c r="J2597" s="165"/>
      <c r="K2597" s="164"/>
      <c r="L2597" s="165"/>
      <c r="M2597" s="6"/>
      <c r="N2597" s="32"/>
      <c r="Q2597" s="10" t="str">
        <f>+CONCATENATE(E2596,I2596)</f>
        <v/>
      </c>
      <c r="R2597" s="10">
        <f>+J2596</f>
        <v>0</v>
      </c>
      <c r="S2597" s="11"/>
      <c r="T2597" s="10">
        <f>+E2596</f>
        <v>0</v>
      </c>
      <c r="U2597" s="19" t="str">
        <f>IFERROR(LEFT(I2596,FIND("*",I2596)-1),"-")</f>
        <v>-</v>
      </c>
      <c r="V2597" s="19" t="str">
        <f>IFERROR(RIGHT(I2596,LEN(I2596)-FIND("*",I2596)),"-")</f>
        <v>-</v>
      </c>
      <c r="W2597" s="20" t="str">
        <f t="shared" ref="W2597:W2604" si="1408">IFERROR((U2597+V2597)*2/1000,"-")</f>
        <v>-</v>
      </c>
      <c r="X2597" s="20" t="str">
        <f>IFERROR(W2597*J2596,"-")</f>
        <v>-</v>
      </c>
      <c r="Z2597" s="85" t="s">
        <v>82</v>
      </c>
    </row>
    <row r="2598" spans="1:26" ht="6.95" customHeight="1" x14ac:dyDescent="0.3">
      <c r="A2598" s="154"/>
      <c r="B2598" s="157"/>
      <c r="C2598" s="158"/>
      <c r="D2598" s="161"/>
      <c r="E2598" s="162"/>
      <c r="F2598" s="163"/>
      <c r="G2598" s="164"/>
      <c r="H2598" s="165"/>
      <c r="I2598" s="164"/>
      <c r="J2598" s="165"/>
      <c r="K2598" s="164"/>
      <c r="L2598" s="165"/>
      <c r="M2598" s="6"/>
      <c r="N2598" s="32"/>
      <c r="Q2598" s="10" t="str">
        <f>+CONCATENATE(E2596,K2596)</f>
        <v/>
      </c>
      <c r="R2598" s="10">
        <f>+L2596</f>
        <v>0</v>
      </c>
      <c r="S2598" s="11"/>
      <c r="T2598" s="10">
        <f>+E2596</f>
        <v>0</v>
      </c>
      <c r="U2598" s="19" t="str">
        <f>IFERROR(LEFT(K2596,FIND("*",K2596)-1),"-")</f>
        <v>-</v>
      </c>
      <c r="V2598" s="19" t="str">
        <f>IFERROR(RIGHT(K2596,LEN(K2596)-FIND("*",K2596)),"-")</f>
        <v>-</v>
      </c>
      <c r="W2598" s="20" t="str">
        <f t="shared" si="1408"/>
        <v>-</v>
      </c>
      <c r="X2598" s="20" t="str">
        <f>IFERROR(W2598*L2596,"-")</f>
        <v>-</v>
      </c>
      <c r="Z2598" s="85" t="s">
        <v>82</v>
      </c>
    </row>
    <row r="2599" spans="1:26" ht="6.95" customHeight="1" x14ac:dyDescent="0.3">
      <c r="A2599" s="8"/>
      <c r="B2599" s="157"/>
      <c r="C2599" s="158"/>
      <c r="D2599" s="161" t="s">
        <v>39</v>
      </c>
      <c r="E2599" s="162"/>
      <c r="F2599" s="163" t="s">
        <v>40</v>
      </c>
      <c r="G2599" s="164"/>
      <c r="H2599" s="165"/>
      <c r="I2599" s="164"/>
      <c r="J2599" s="165"/>
      <c r="K2599" s="164"/>
      <c r="L2599" s="165"/>
      <c r="M2599" s="6"/>
      <c r="N2599" s="32"/>
      <c r="Q2599" s="10" t="str">
        <f>+CONCATENATE(E2599,G2599)</f>
        <v/>
      </c>
      <c r="R2599" s="10">
        <f>+H2599</f>
        <v>0</v>
      </c>
      <c r="S2599" s="11"/>
      <c r="T2599" s="10">
        <f>+E2599</f>
        <v>0</v>
      </c>
      <c r="U2599" s="19" t="str">
        <f t="shared" ref="U2599" si="1409">IFERROR(LEFT(G2599,FIND("*",G2599)-1),"-")</f>
        <v>-</v>
      </c>
      <c r="V2599" s="19" t="str">
        <f t="shared" ref="V2599" si="1410">IFERROR(RIGHT(G2599,LEN(G2599)-FIND("*",G2599)),"-")</f>
        <v>-</v>
      </c>
      <c r="W2599" s="20" t="str">
        <f t="shared" si="1408"/>
        <v>-</v>
      </c>
      <c r="X2599" s="20" t="str">
        <f>IFERROR(W2599*H2599,"-")</f>
        <v>-</v>
      </c>
      <c r="Z2599" s="85" t="s">
        <v>82</v>
      </c>
    </row>
    <row r="2600" spans="1:26" ht="6.95" customHeight="1" x14ac:dyDescent="0.3">
      <c r="A2600" s="5"/>
      <c r="B2600" s="157"/>
      <c r="C2600" s="158"/>
      <c r="D2600" s="161"/>
      <c r="E2600" s="162"/>
      <c r="F2600" s="163"/>
      <c r="G2600" s="164"/>
      <c r="H2600" s="165"/>
      <c r="I2600" s="164"/>
      <c r="J2600" s="165"/>
      <c r="K2600" s="164"/>
      <c r="L2600" s="165"/>
      <c r="M2600" s="6"/>
      <c r="N2600" s="32"/>
      <c r="Q2600" s="10" t="str">
        <f>+CONCATENATE(E2599,I2599)</f>
        <v/>
      </c>
      <c r="R2600" s="10">
        <f>+J2599</f>
        <v>0</v>
      </c>
      <c r="S2600" s="11"/>
      <c r="T2600" s="10">
        <f>+E2599</f>
        <v>0</v>
      </c>
      <c r="U2600" s="19" t="str">
        <f>IFERROR(LEFT(I2599,FIND("*",I2599)-1),"-")</f>
        <v>-</v>
      </c>
      <c r="V2600" s="19" t="str">
        <f>IFERROR(RIGHT(I2599,LEN(I2599)-FIND("*",I2599)),"-")</f>
        <v>-</v>
      </c>
      <c r="W2600" s="20" t="str">
        <f t="shared" si="1408"/>
        <v>-</v>
      </c>
      <c r="X2600" s="20" t="str">
        <f>IFERROR(W2600*J2599,"-")</f>
        <v>-</v>
      </c>
      <c r="Z2600" s="85" t="s">
        <v>82</v>
      </c>
    </row>
    <row r="2601" spans="1:26" ht="6.95" customHeight="1" x14ac:dyDescent="0.3">
      <c r="A2601" s="5"/>
      <c r="B2601" s="157"/>
      <c r="C2601" s="158"/>
      <c r="D2601" s="161"/>
      <c r="E2601" s="162"/>
      <c r="F2601" s="163"/>
      <c r="G2601" s="164"/>
      <c r="H2601" s="165"/>
      <c r="I2601" s="164"/>
      <c r="J2601" s="165"/>
      <c r="K2601" s="164"/>
      <c r="L2601" s="165"/>
      <c r="M2601" s="6"/>
      <c r="N2601" s="32"/>
      <c r="Q2601" s="10" t="str">
        <f>+CONCATENATE(E2599,K2599)</f>
        <v/>
      </c>
      <c r="R2601" s="10">
        <f>+L2599</f>
        <v>0</v>
      </c>
      <c r="S2601" s="11"/>
      <c r="T2601" s="10">
        <f>+E2599</f>
        <v>0</v>
      </c>
      <c r="U2601" s="19" t="str">
        <f>IFERROR(LEFT(K2599,FIND("*",K2599)-1),"-")</f>
        <v>-</v>
      </c>
      <c r="V2601" s="19" t="str">
        <f>IFERROR(RIGHT(K2599,LEN(K2599)-FIND("*",K2599)),"-")</f>
        <v>-</v>
      </c>
      <c r="W2601" s="20" t="str">
        <f t="shared" si="1408"/>
        <v>-</v>
      </c>
      <c r="X2601" s="20" t="str">
        <f>IFERROR(W2601*L2599,"-")</f>
        <v>-</v>
      </c>
      <c r="Z2601" s="85" t="s">
        <v>82</v>
      </c>
    </row>
    <row r="2602" spans="1:26" ht="6.95" customHeight="1" x14ac:dyDescent="0.3">
      <c r="A2602" s="8"/>
      <c r="B2602" s="157"/>
      <c r="C2602" s="158"/>
      <c r="D2602" s="161" t="s">
        <v>39</v>
      </c>
      <c r="E2602" s="162"/>
      <c r="F2602" s="163" t="s">
        <v>40</v>
      </c>
      <c r="G2602" s="164"/>
      <c r="H2602" s="165"/>
      <c r="I2602" s="164"/>
      <c r="J2602" s="165"/>
      <c r="K2602" s="164"/>
      <c r="L2602" s="165"/>
      <c r="M2602" s="6"/>
      <c r="N2602" s="32"/>
      <c r="Q2602" s="10" t="str">
        <f>+CONCATENATE(E2602,G2602)</f>
        <v/>
      </c>
      <c r="R2602" s="10">
        <f>+H2602</f>
        <v>0</v>
      </c>
      <c r="S2602" s="11"/>
      <c r="T2602" s="10">
        <f>+E2602</f>
        <v>0</v>
      </c>
      <c r="U2602" s="19" t="str">
        <f t="shared" ref="U2602" si="1411">IFERROR(LEFT(G2602,FIND("*",G2602)-1),"-")</f>
        <v>-</v>
      </c>
      <c r="V2602" s="19" t="str">
        <f t="shared" ref="V2602" si="1412">IFERROR(RIGHT(G2602,LEN(G2602)-FIND("*",G2602)),"-")</f>
        <v>-</v>
      </c>
      <c r="W2602" s="20" t="str">
        <f t="shared" si="1408"/>
        <v>-</v>
      </c>
      <c r="X2602" s="20" t="str">
        <f>IFERROR(W2602*H2602,"-")</f>
        <v>-</v>
      </c>
      <c r="Z2602" s="85" t="s">
        <v>82</v>
      </c>
    </row>
    <row r="2603" spans="1:26" ht="6.95" customHeight="1" x14ac:dyDescent="0.3">
      <c r="A2603" s="5"/>
      <c r="B2603" s="157"/>
      <c r="C2603" s="158"/>
      <c r="D2603" s="161"/>
      <c r="E2603" s="162"/>
      <c r="F2603" s="163"/>
      <c r="G2603" s="164"/>
      <c r="H2603" s="165"/>
      <c r="I2603" s="164"/>
      <c r="J2603" s="165"/>
      <c r="K2603" s="164"/>
      <c r="L2603" s="165"/>
      <c r="M2603" s="6"/>
      <c r="N2603" s="32"/>
      <c r="Q2603" s="10" t="str">
        <f>+CONCATENATE(E2602,I2602)</f>
        <v/>
      </c>
      <c r="R2603" s="10">
        <f>+J2602</f>
        <v>0</v>
      </c>
      <c r="S2603" s="11"/>
      <c r="T2603" s="10">
        <f>+E2602</f>
        <v>0</v>
      </c>
      <c r="U2603" s="19" t="str">
        <f>IFERROR(LEFT(I2602,FIND("*",I2602)-1),"-")</f>
        <v>-</v>
      </c>
      <c r="V2603" s="19" t="str">
        <f>IFERROR(RIGHT(I2602,LEN(I2602)-FIND("*",I2602)),"-")</f>
        <v>-</v>
      </c>
      <c r="W2603" s="20" t="str">
        <f t="shared" si="1408"/>
        <v>-</v>
      </c>
      <c r="X2603" s="20" t="str">
        <f t="shared" ref="X2603" si="1413">IFERROR(W2603*J2602,"-")</f>
        <v>-</v>
      </c>
      <c r="Z2603" s="85" t="s">
        <v>82</v>
      </c>
    </row>
    <row r="2604" spans="1:26" ht="6.95" customHeight="1" x14ac:dyDescent="0.3">
      <c r="A2604" s="5"/>
      <c r="B2604" s="157"/>
      <c r="C2604" s="158"/>
      <c r="D2604" s="161"/>
      <c r="E2604" s="162"/>
      <c r="F2604" s="163"/>
      <c r="G2604" s="164"/>
      <c r="H2604" s="165"/>
      <c r="I2604" s="164"/>
      <c r="J2604" s="165"/>
      <c r="K2604" s="164"/>
      <c r="L2604" s="165"/>
      <c r="M2604" s="6"/>
      <c r="N2604" s="32"/>
      <c r="Q2604" s="10" t="str">
        <f>+CONCATENATE(E2602,K2602)</f>
        <v/>
      </c>
      <c r="R2604" s="10">
        <f>+L2602</f>
        <v>0</v>
      </c>
      <c r="S2604" s="11"/>
      <c r="T2604" s="10">
        <f>+E2602</f>
        <v>0</v>
      </c>
      <c r="U2604" s="19" t="str">
        <f>IFERROR(LEFT(K2602,FIND("*",K2602)-1),"-")</f>
        <v>-</v>
      </c>
      <c r="V2604" s="19" t="str">
        <f>IFERROR(RIGHT(K2602,LEN(K2602)-FIND("*",K2602)),"-")</f>
        <v>-</v>
      </c>
      <c r="W2604" s="20" t="str">
        <f t="shared" si="1408"/>
        <v>-</v>
      </c>
      <c r="X2604" s="20" t="str">
        <f>IFERROR(W2604*L2602,"-")</f>
        <v>-</v>
      </c>
      <c r="Z2604" s="85" t="s">
        <v>82</v>
      </c>
    </row>
    <row r="2605" spans="1:26" ht="21" customHeight="1" thickBot="1" x14ac:dyDescent="0.35">
      <c r="A2605" s="5"/>
      <c r="B2605" s="159"/>
      <c r="C2605" s="160"/>
      <c r="D2605" s="166" t="s">
        <v>43</v>
      </c>
      <c r="E2605" s="167"/>
      <c r="F2605" s="167"/>
      <c r="G2605" s="168"/>
      <c r="H2605" s="168"/>
      <c r="I2605" s="168"/>
      <c r="J2605" s="168"/>
      <c r="K2605" s="168"/>
      <c r="L2605" s="168"/>
      <c r="M2605" s="7"/>
      <c r="N2605" s="32"/>
      <c r="Z2605" s="86" t="s">
        <v>81</v>
      </c>
    </row>
    <row r="2606" spans="1:26" ht="9.9499999999999993" customHeight="1" thickBot="1" x14ac:dyDescent="0.35">
      <c r="B2606" s="9"/>
      <c r="C2606" s="109"/>
      <c r="D2606" s="51"/>
      <c r="E2606" s="12"/>
      <c r="F2606" s="51"/>
      <c r="G2606" s="14"/>
      <c r="H2606" s="14"/>
      <c r="I2606" s="14"/>
      <c r="J2606" s="14"/>
      <c r="K2606" s="14"/>
      <c r="L2606" s="14"/>
      <c r="M2606" s="9"/>
      <c r="N2606" s="32"/>
      <c r="U2606" s="18"/>
      <c r="V2606" s="18"/>
      <c r="Z2606" s="85" t="s">
        <v>82</v>
      </c>
    </row>
    <row r="2607" spans="1:26" ht="6.95" customHeight="1" x14ac:dyDescent="0.3">
      <c r="A2607" s="154">
        <f>+A2596+1</f>
        <v>1036</v>
      </c>
      <c r="B2607" s="155"/>
      <c r="C2607" s="156"/>
      <c r="D2607" s="161" t="s">
        <v>39</v>
      </c>
      <c r="E2607" s="162"/>
      <c r="F2607" s="163" t="s">
        <v>40</v>
      </c>
      <c r="G2607" s="164"/>
      <c r="H2607" s="165"/>
      <c r="I2607" s="164"/>
      <c r="J2607" s="165"/>
      <c r="K2607" s="164"/>
      <c r="L2607" s="165"/>
      <c r="M2607" s="6"/>
      <c r="N2607" s="32"/>
      <c r="Q2607" s="10" t="str">
        <f>+CONCATENATE(E2607,G2607)</f>
        <v/>
      </c>
      <c r="R2607" s="10">
        <f>+H2607</f>
        <v>0</v>
      </c>
      <c r="S2607" s="11"/>
      <c r="T2607" s="10">
        <f>+E2607</f>
        <v>0</v>
      </c>
      <c r="U2607" s="19" t="str">
        <f>IFERROR(LEFT(G2607,FIND("*",G2607)-1),"-")</f>
        <v>-</v>
      </c>
      <c r="V2607" s="19" t="str">
        <f>IFERROR(RIGHT(G2607,LEN(G2607)-FIND("*",G2607)),"-")</f>
        <v>-</v>
      </c>
      <c r="W2607" s="20" t="str">
        <f>IFERROR((U2607+V2607)*2/1000,"-")</f>
        <v>-</v>
      </c>
      <c r="X2607" s="20" t="str">
        <f>IFERROR(W2607*H2607,"-")</f>
        <v>-</v>
      </c>
      <c r="Z2607" s="85" t="s">
        <v>82</v>
      </c>
    </row>
    <row r="2608" spans="1:26" ht="6.95" customHeight="1" x14ac:dyDescent="0.3">
      <c r="A2608" s="154"/>
      <c r="B2608" s="157"/>
      <c r="C2608" s="158"/>
      <c r="D2608" s="161"/>
      <c r="E2608" s="162"/>
      <c r="F2608" s="163"/>
      <c r="G2608" s="164"/>
      <c r="H2608" s="165"/>
      <c r="I2608" s="164"/>
      <c r="J2608" s="165"/>
      <c r="K2608" s="164"/>
      <c r="L2608" s="165"/>
      <c r="M2608" s="6"/>
      <c r="N2608" s="32"/>
      <c r="Q2608" s="10" t="str">
        <f>+CONCATENATE(E2607,I2607)</f>
        <v/>
      </c>
      <c r="R2608" s="10">
        <f>+J2607</f>
        <v>0</v>
      </c>
      <c r="S2608" s="11"/>
      <c r="T2608" s="10">
        <f>+E2607</f>
        <v>0</v>
      </c>
      <c r="U2608" s="19" t="str">
        <f>IFERROR(LEFT(I2607,FIND("*",I2607)-1),"-")</f>
        <v>-</v>
      </c>
      <c r="V2608" s="19" t="str">
        <f>IFERROR(RIGHT(I2607,LEN(I2607)-FIND("*",I2607)),"-")</f>
        <v>-</v>
      </c>
      <c r="W2608" s="20" t="str">
        <f t="shared" ref="W2608:W2615" si="1414">IFERROR((U2608+V2608)*2/1000,"-")</f>
        <v>-</v>
      </c>
      <c r="X2608" s="20" t="str">
        <f>IFERROR(W2608*J2607,"-")</f>
        <v>-</v>
      </c>
      <c r="Z2608" s="85" t="s">
        <v>82</v>
      </c>
    </row>
    <row r="2609" spans="1:26" ht="6.95" customHeight="1" x14ac:dyDescent="0.3">
      <c r="A2609" s="154"/>
      <c r="B2609" s="157"/>
      <c r="C2609" s="158"/>
      <c r="D2609" s="161"/>
      <c r="E2609" s="162"/>
      <c r="F2609" s="163"/>
      <c r="G2609" s="164"/>
      <c r="H2609" s="165"/>
      <c r="I2609" s="164"/>
      <c r="J2609" s="165"/>
      <c r="K2609" s="164"/>
      <c r="L2609" s="165"/>
      <c r="M2609" s="6"/>
      <c r="N2609" s="32"/>
      <c r="Q2609" s="10" t="str">
        <f>+CONCATENATE(E2607,K2607)</f>
        <v/>
      </c>
      <c r="R2609" s="10">
        <f>+L2607</f>
        <v>0</v>
      </c>
      <c r="S2609" s="11"/>
      <c r="T2609" s="10">
        <f>+E2607</f>
        <v>0</v>
      </c>
      <c r="U2609" s="19" t="str">
        <f>IFERROR(LEFT(K2607,FIND("*",K2607)-1),"-")</f>
        <v>-</v>
      </c>
      <c r="V2609" s="19" t="str">
        <f>IFERROR(RIGHT(K2607,LEN(K2607)-FIND("*",K2607)),"-")</f>
        <v>-</v>
      </c>
      <c r="W2609" s="20" t="str">
        <f t="shared" si="1414"/>
        <v>-</v>
      </c>
      <c r="X2609" s="20" t="str">
        <f>IFERROR(W2609*L2607,"-")</f>
        <v>-</v>
      </c>
      <c r="Z2609" s="85" t="s">
        <v>82</v>
      </c>
    </row>
    <row r="2610" spans="1:26" ht="6.95" customHeight="1" x14ac:dyDescent="0.3">
      <c r="A2610" s="8"/>
      <c r="B2610" s="157"/>
      <c r="C2610" s="158"/>
      <c r="D2610" s="161" t="s">
        <v>39</v>
      </c>
      <c r="E2610" s="162"/>
      <c r="F2610" s="163" t="s">
        <v>40</v>
      </c>
      <c r="G2610" s="164"/>
      <c r="H2610" s="165"/>
      <c r="I2610" s="164"/>
      <c r="J2610" s="165"/>
      <c r="K2610" s="164"/>
      <c r="L2610" s="165"/>
      <c r="M2610" s="6"/>
      <c r="N2610" s="32"/>
      <c r="Q2610" s="10" t="str">
        <f>+CONCATENATE(E2610,G2610)</f>
        <v/>
      </c>
      <c r="R2610" s="10">
        <f>+H2610</f>
        <v>0</v>
      </c>
      <c r="S2610" s="11"/>
      <c r="T2610" s="10">
        <f>+E2610</f>
        <v>0</v>
      </c>
      <c r="U2610" s="19" t="str">
        <f t="shared" ref="U2610" si="1415">IFERROR(LEFT(G2610,FIND("*",G2610)-1),"-")</f>
        <v>-</v>
      </c>
      <c r="V2610" s="19" t="str">
        <f t="shared" ref="V2610" si="1416">IFERROR(RIGHT(G2610,LEN(G2610)-FIND("*",G2610)),"-")</f>
        <v>-</v>
      </c>
      <c r="W2610" s="20" t="str">
        <f t="shared" si="1414"/>
        <v>-</v>
      </c>
      <c r="X2610" s="20" t="str">
        <f>IFERROR(W2610*H2610,"-")</f>
        <v>-</v>
      </c>
      <c r="Z2610" s="85" t="s">
        <v>82</v>
      </c>
    </row>
    <row r="2611" spans="1:26" ht="6.95" customHeight="1" x14ac:dyDescent="0.3">
      <c r="A2611" s="5"/>
      <c r="B2611" s="157"/>
      <c r="C2611" s="158"/>
      <c r="D2611" s="161"/>
      <c r="E2611" s="162"/>
      <c r="F2611" s="163"/>
      <c r="G2611" s="164"/>
      <c r="H2611" s="165"/>
      <c r="I2611" s="164"/>
      <c r="J2611" s="165"/>
      <c r="K2611" s="164"/>
      <c r="L2611" s="165"/>
      <c r="M2611" s="6"/>
      <c r="N2611" s="32"/>
      <c r="Q2611" s="10" t="str">
        <f>+CONCATENATE(E2610,I2610)</f>
        <v/>
      </c>
      <c r="R2611" s="10">
        <f>+J2610</f>
        <v>0</v>
      </c>
      <c r="S2611" s="11"/>
      <c r="T2611" s="10">
        <f>+E2610</f>
        <v>0</v>
      </c>
      <c r="U2611" s="19" t="str">
        <f>IFERROR(LEFT(I2610,FIND("*",I2610)-1),"-")</f>
        <v>-</v>
      </c>
      <c r="V2611" s="19" t="str">
        <f>IFERROR(RIGHT(I2610,LEN(I2610)-FIND("*",I2610)),"-")</f>
        <v>-</v>
      </c>
      <c r="W2611" s="20" t="str">
        <f t="shared" si="1414"/>
        <v>-</v>
      </c>
      <c r="X2611" s="20" t="str">
        <f>IFERROR(W2611*J2610,"-")</f>
        <v>-</v>
      </c>
      <c r="Z2611" s="85" t="s">
        <v>82</v>
      </c>
    </row>
    <row r="2612" spans="1:26" ht="6.95" customHeight="1" x14ac:dyDescent="0.3">
      <c r="A2612" s="5"/>
      <c r="B2612" s="157"/>
      <c r="C2612" s="158"/>
      <c r="D2612" s="161"/>
      <c r="E2612" s="162"/>
      <c r="F2612" s="163"/>
      <c r="G2612" s="164"/>
      <c r="H2612" s="165"/>
      <c r="I2612" s="164"/>
      <c r="J2612" s="165"/>
      <c r="K2612" s="164"/>
      <c r="L2612" s="165"/>
      <c r="M2612" s="6"/>
      <c r="N2612" s="32"/>
      <c r="Q2612" s="10" t="str">
        <f>+CONCATENATE(E2610,K2610)</f>
        <v/>
      </c>
      <c r="R2612" s="10">
        <f>+L2610</f>
        <v>0</v>
      </c>
      <c r="S2612" s="11"/>
      <c r="T2612" s="10">
        <f>+E2610</f>
        <v>0</v>
      </c>
      <c r="U2612" s="19" t="str">
        <f>IFERROR(LEFT(K2610,FIND("*",K2610)-1),"-")</f>
        <v>-</v>
      </c>
      <c r="V2612" s="19" t="str">
        <f>IFERROR(RIGHT(K2610,LEN(K2610)-FIND("*",K2610)),"-")</f>
        <v>-</v>
      </c>
      <c r="W2612" s="20" t="str">
        <f t="shared" si="1414"/>
        <v>-</v>
      </c>
      <c r="X2612" s="20" t="str">
        <f>IFERROR(W2612*L2610,"-")</f>
        <v>-</v>
      </c>
      <c r="Z2612" s="85" t="s">
        <v>82</v>
      </c>
    </row>
    <row r="2613" spans="1:26" ht="6.95" customHeight="1" x14ac:dyDescent="0.3">
      <c r="A2613" s="8"/>
      <c r="B2613" s="157"/>
      <c r="C2613" s="158"/>
      <c r="D2613" s="161" t="s">
        <v>39</v>
      </c>
      <c r="E2613" s="162"/>
      <c r="F2613" s="163" t="s">
        <v>40</v>
      </c>
      <c r="G2613" s="164"/>
      <c r="H2613" s="165"/>
      <c r="I2613" s="164"/>
      <c r="J2613" s="165"/>
      <c r="K2613" s="164"/>
      <c r="L2613" s="165"/>
      <c r="M2613" s="6"/>
      <c r="N2613" s="32"/>
      <c r="Q2613" s="10" t="str">
        <f>+CONCATENATE(E2613,G2613)</f>
        <v/>
      </c>
      <c r="R2613" s="10">
        <f>+H2613</f>
        <v>0</v>
      </c>
      <c r="S2613" s="11"/>
      <c r="T2613" s="10">
        <f>+E2613</f>
        <v>0</v>
      </c>
      <c r="U2613" s="19" t="str">
        <f t="shared" ref="U2613" si="1417">IFERROR(LEFT(G2613,FIND("*",G2613)-1),"-")</f>
        <v>-</v>
      </c>
      <c r="V2613" s="19" t="str">
        <f t="shared" ref="V2613" si="1418">IFERROR(RIGHT(G2613,LEN(G2613)-FIND("*",G2613)),"-")</f>
        <v>-</v>
      </c>
      <c r="W2613" s="20" t="str">
        <f t="shared" si="1414"/>
        <v>-</v>
      </c>
      <c r="X2613" s="20" t="str">
        <f>IFERROR(W2613*H2613,"-")</f>
        <v>-</v>
      </c>
      <c r="Z2613" s="85" t="s">
        <v>82</v>
      </c>
    </row>
    <row r="2614" spans="1:26" ht="6.95" customHeight="1" x14ac:dyDescent="0.3">
      <c r="A2614" s="5"/>
      <c r="B2614" s="157"/>
      <c r="C2614" s="158"/>
      <c r="D2614" s="161"/>
      <c r="E2614" s="162"/>
      <c r="F2614" s="163"/>
      <c r="G2614" s="164"/>
      <c r="H2614" s="165"/>
      <c r="I2614" s="164"/>
      <c r="J2614" s="165"/>
      <c r="K2614" s="164"/>
      <c r="L2614" s="165"/>
      <c r="M2614" s="6"/>
      <c r="N2614" s="32"/>
      <c r="Q2614" s="10" t="str">
        <f>+CONCATENATE(E2613,I2613)</f>
        <v/>
      </c>
      <c r="R2614" s="10">
        <f>+J2613</f>
        <v>0</v>
      </c>
      <c r="S2614" s="11"/>
      <c r="T2614" s="10">
        <f>+E2613</f>
        <v>0</v>
      </c>
      <c r="U2614" s="19" t="str">
        <f>IFERROR(LEFT(I2613,FIND("*",I2613)-1),"-")</f>
        <v>-</v>
      </c>
      <c r="V2614" s="19" t="str">
        <f>IFERROR(RIGHT(I2613,LEN(I2613)-FIND("*",I2613)),"-")</f>
        <v>-</v>
      </c>
      <c r="W2614" s="20" t="str">
        <f t="shared" si="1414"/>
        <v>-</v>
      </c>
      <c r="X2614" s="20" t="str">
        <f t="shared" ref="X2614" si="1419">IFERROR(W2614*J2613,"-")</f>
        <v>-</v>
      </c>
      <c r="Z2614" s="85" t="s">
        <v>82</v>
      </c>
    </row>
    <row r="2615" spans="1:26" ht="6.95" customHeight="1" x14ac:dyDescent="0.3">
      <c r="A2615" s="5"/>
      <c r="B2615" s="157"/>
      <c r="C2615" s="158"/>
      <c r="D2615" s="161"/>
      <c r="E2615" s="162"/>
      <c r="F2615" s="163"/>
      <c r="G2615" s="164"/>
      <c r="H2615" s="165"/>
      <c r="I2615" s="164"/>
      <c r="J2615" s="165"/>
      <c r="K2615" s="164"/>
      <c r="L2615" s="165"/>
      <c r="M2615" s="6"/>
      <c r="N2615" s="32"/>
      <c r="Q2615" s="10" t="str">
        <f>+CONCATENATE(E2613,K2613)</f>
        <v/>
      </c>
      <c r="R2615" s="10">
        <f>+L2613</f>
        <v>0</v>
      </c>
      <c r="S2615" s="11"/>
      <c r="T2615" s="10">
        <f>+E2613</f>
        <v>0</v>
      </c>
      <c r="U2615" s="19" t="str">
        <f>IFERROR(LEFT(K2613,FIND("*",K2613)-1),"-")</f>
        <v>-</v>
      </c>
      <c r="V2615" s="19" t="str">
        <f>IFERROR(RIGHT(K2613,LEN(K2613)-FIND("*",K2613)),"-")</f>
        <v>-</v>
      </c>
      <c r="W2615" s="20" t="str">
        <f t="shared" si="1414"/>
        <v>-</v>
      </c>
      <c r="X2615" s="20" t="str">
        <f>IFERROR(W2615*L2613,"-")</f>
        <v>-</v>
      </c>
      <c r="Z2615" s="85" t="s">
        <v>82</v>
      </c>
    </row>
    <row r="2616" spans="1:26" ht="21" customHeight="1" thickBot="1" x14ac:dyDescent="0.35">
      <c r="A2616" s="5"/>
      <c r="B2616" s="159"/>
      <c r="C2616" s="160"/>
      <c r="D2616" s="166" t="s">
        <v>43</v>
      </c>
      <c r="E2616" s="167"/>
      <c r="F2616" s="167"/>
      <c r="G2616" s="168"/>
      <c r="H2616" s="168"/>
      <c r="I2616" s="168"/>
      <c r="J2616" s="168"/>
      <c r="K2616" s="168"/>
      <c r="L2616" s="168"/>
      <c r="M2616" s="7"/>
      <c r="N2616" s="32"/>
      <c r="Z2616" s="86" t="s">
        <v>81</v>
      </c>
    </row>
    <row r="2617" spans="1:26" ht="9.9499999999999993" customHeight="1" thickBot="1" x14ac:dyDescent="0.35">
      <c r="B2617" s="9"/>
      <c r="C2617" s="109"/>
      <c r="D2617" s="51"/>
      <c r="E2617" s="12"/>
      <c r="F2617" s="51"/>
      <c r="G2617" s="14"/>
      <c r="H2617" s="14"/>
      <c r="I2617" s="14"/>
      <c r="J2617" s="14"/>
      <c r="K2617" s="14"/>
      <c r="L2617" s="14"/>
      <c r="M2617" s="9"/>
      <c r="N2617" s="32"/>
      <c r="U2617" s="18"/>
      <c r="V2617" s="18"/>
      <c r="Z2617" s="85" t="s">
        <v>82</v>
      </c>
    </row>
    <row r="2618" spans="1:26" ht="6.95" customHeight="1" x14ac:dyDescent="0.3">
      <c r="A2618" s="154">
        <f>+A2607+1</f>
        <v>1037</v>
      </c>
      <c r="B2618" s="155"/>
      <c r="C2618" s="156"/>
      <c r="D2618" s="161" t="s">
        <v>39</v>
      </c>
      <c r="E2618" s="162"/>
      <c r="F2618" s="163" t="s">
        <v>40</v>
      </c>
      <c r="G2618" s="164"/>
      <c r="H2618" s="165"/>
      <c r="I2618" s="164"/>
      <c r="J2618" s="165"/>
      <c r="K2618" s="164"/>
      <c r="L2618" s="165"/>
      <c r="M2618" s="6"/>
      <c r="N2618" s="32"/>
      <c r="Q2618" s="10" t="str">
        <f>+CONCATENATE(E2618,G2618)</f>
        <v/>
      </c>
      <c r="R2618" s="10">
        <f>+H2618</f>
        <v>0</v>
      </c>
      <c r="S2618" s="11"/>
      <c r="T2618" s="10">
        <f>+E2618</f>
        <v>0</v>
      </c>
      <c r="U2618" s="19" t="str">
        <f>IFERROR(LEFT(G2618,FIND("*",G2618)-1),"-")</f>
        <v>-</v>
      </c>
      <c r="V2618" s="19" t="str">
        <f>IFERROR(RIGHT(G2618,LEN(G2618)-FIND("*",G2618)),"-")</f>
        <v>-</v>
      </c>
      <c r="W2618" s="20" t="str">
        <f>IFERROR((U2618+V2618)*2/1000,"-")</f>
        <v>-</v>
      </c>
      <c r="X2618" s="20" t="str">
        <f>IFERROR(W2618*H2618,"-")</f>
        <v>-</v>
      </c>
      <c r="Z2618" s="85" t="s">
        <v>82</v>
      </c>
    </row>
    <row r="2619" spans="1:26" ht="6.95" customHeight="1" x14ac:dyDescent="0.3">
      <c r="A2619" s="154"/>
      <c r="B2619" s="157"/>
      <c r="C2619" s="158"/>
      <c r="D2619" s="161"/>
      <c r="E2619" s="162"/>
      <c r="F2619" s="163"/>
      <c r="G2619" s="164"/>
      <c r="H2619" s="165"/>
      <c r="I2619" s="164"/>
      <c r="J2619" s="165"/>
      <c r="K2619" s="164"/>
      <c r="L2619" s="165"/>
      <c r="M2619" s="6"/>
      <c r="N2619" s="32"/>
      <c r="Q2619" s="10" t="str">
        <f>+CONCATENATE(E2618,I2618)</f>
        <v/>
      </c>
      <c r="R2619" s="10">
        <f>+J2618</f>
        <v>0</v>
      </c>
      <c r="S2619" s="11"/>
      <c r="T2619" s="10">
        <f>+E2618</f>
        <v>0</v>
      </c>
      <c r="U2619" s="19" t="str">
        <f>IFERROR(LEFT(I2618,FIND("*",I2618)-1),"-")</f>
        <v>-</v>
      </c>
      <c r="V2619" s="19" t="str">
        <f>IFERROR(RIGHT(I2618,LEN(I2618)-FIND("*",I2618)),"-")</f>
        <v>-</v>
      </c>
      <c r="W2619" s="20" t="str">
        <f t="shared" ref="W2619:W2626" si="1420">IFERROR((U2619+V2619)*2/1000,"-")</f>
        <v>-</v>
      </c>
      <c r="X2619" s="20" t="str">
        <f>IFERROR(W2619*J2618,"-")</f>
        <v>-</v>
      </c>
      <c r="Z2619" s="85" t="s">
        <v>82</v>
      </c>
    </row>
    <row r="2620" spans="1:26" ht="6.95" customHeight="1" x14ac:dyDescent="0.3">
      <c r="A2620" s="154"/>
      <c r="B2620" s="157"/>
      <c r="C2620" s="158"/>
      <c r="D2620" s="161"/>
      <c r="E2620" s="162"/>
      <c r="F2620" s="163"/>
      <c r="G2620" s="164"/>
      <c r="H2620" s="165"/>
      <c r="I2620" s="164"/>
      <c r="J2620" s="165"/>
      <c r="K2620" s="164"/>
      <c r="L2620" s="165"/>
      <c r="M2620" s="6"/>
      <c r="N2620" s="32"/>
      <c r="Q2620" s="10" t="str">
        <f>+CONCATENATE(E2618,K2618)</f>
        <v/>
      </c>
      <c r="R2620" s="10">
        <f>+L2618</f>
        <v>0</v>
      </c>
      <c r="S2620" s="11"/>
      <c r="T2620" s="10">
        <f>+E2618</f>
        <v>0</v>
      </c>
      <c r="U2620" s="19" t="str">
        <f>IFERROR(LEFT(K2618,FIND("*",K2618)-1),"-")</f>
        <v>-</v>
      </c>
      <c r="V2620" s="19" t="str">
        <f>IFERROR(RIGHT(K2618,LEN(K2618)-FIND("*",K2618)),"-")</f>
        <v>-</v>
      </c>
      <c r="W2620" s="20" t="str">
        <f t="shared" si="1420"/>
        <v>-</v>
      </c>
      <c r="X2620" s="20" t="str">
        <f>IFERROR(W2620*L2618,"-")</f>
        <v>-</v>
      </c>
      <c r="Z2620" s="85" t="s">
        <v>82</v>
      </c>
    </row>
    <row r="2621" spans="1:26" ht="6.95" customHeight="1" x14ac:dyDescent="0.3">
      <c r="A2621" s="8"/>
      <c r="B2621" s="157"/>
      <c r="C2621" s="158"/>
      <c r="D2621" s="161" t="s">
        <v>39</v>
      </c>
      <c r="E2621" s="162"/>
      <c r="F2621" s="163" t="s">
        <v>40</v>
      </c>
      <c r="G2621" s="164"/>
      <c r="H2621" s="165"/>
      <c r="I2621" s="164"/>
      <c r="J2621" s="165"/>
      <c r="K2621" s="164"/>
      <c r="L2621" s="165"/>
      <c r="M2621" s="6"/>
      <c r="N2621" s="32"/>
      <c r="Q2621" s="10" t="str">
        <f>+CONCATENATE(E2621,G2621)</f>
        <v/>
      </c>
      <c r="R2621" s="10">
        <f>+H2621</f>
        <v>0</v>
      </c>
      <c r="S2621" s="11"/>
      <c r="T2621" s="10">
        <f>+E2621</f>
        <v>0</v>
      </c>
      <c r="U2621" s="19" t="str">
        <f t="shared" ref="U2621" si="1421">IFERROR(LEFT(G2621,FIND("*",G2621)-1),"-")</f>
        <v>-</v>
      </c>
      <c r="V2621" s="19" t="str">
        <f t="shared" ref="V2621" si="1422">IFERROR(RIGHT(G2621,LEN(G2621)-FIND("*",G2621)),"-")</f>
        <v>-</v>
      </c>
      <c r="W2621" s="20" t="str">
        <f t="shared" si="1420"/>
        <v>-</v>
      </c>
      <c r="X2621" s="20" t="str">
        <f>IFERROR(W2621*H2621,"-")</f>
        <v>-</v>
      </c>
      <c r="Z2621" s="85" t="s">
        <v>82</v>
      </c>
    </row>
    <row r="2622" spans="1:26" ht="6.95" customHeight="1" x14ac:dyDescent="0.3">
      <c r="A2622" s="5"/>
      <c r="B2622" s="157"/>
      <c r="C2622" s="158"/>
      <c r="D2622" s="161"/>
      <c r="E2622" s="162"/>
      <c r="F2622" s="163"/>
      <c r="G2622" s="164"/>
      <c r="H2622" s="165"/>
      <c r="I2622" s="164"/>
      <c r="J2622" s="165"/>
      <c r="K2622" s="164"/>
      <c r="L2622" s="165"/>
      <c r="M2622" s="6"/>
      <c r="N2622" s="32"/>
      <c r="Q2622" s="10" t="str">
        <f>+CONCATENATE(E2621,I2621)</f>
        <v/>
      </c>
      <c r="R2622" s="10">
        <f>+J2621</f>
        <v>0</v>
      </c>
      <c r="S2622" s="11"/>
      <c r="T2622" s="10">
        <f>+E2621</f>
        <v>0</v>
      </c>
      <c r="U2622" s="19" t="str">
        <f>IFERROR(LEFT(I2621,FIND("*",I2621)-1),"-")</f>
        <v>-</v>
      </c>
      <c r="V2622" s="19" t="str">
        <f>IFERROR(RIGHT(I2621,LEN(I2621)-FIND("*",I2621)),"-")</f>
        <v>-</v>
      </c>
      <c r="W2622" s="20" t="str">
        <f t="shared" si="1420"/>
        <v>-</v>
      </c>
      <c r="X2622" s="20" t="str">
        <f>IFERROR(W2622*J2621,"-")</f>
        <v>-</v>
      </c>
      <c r="Z2622" s="85" t="s">
        <v>82</v>
      </c>
    </row>
    <row r="2623" spans="1:26" ht="6.95" customHeight="1" x14ac:dyDescent="0.3">
      <c r="A2623" s="5"/>
      <c r="B2623" s="157"/>
      <c r="C2623" s="158"/>
      <c r="D2623" s="161"/>
      <c r="E2623" s="162"/>
      <c r="F2623" s="163"/>
      <c r="G2623" s="164"/>
      <c r="H2623" s="165"/>
      <c r="I2623" s="164"/>
      <c r="J2623" s="165"/>
      <c r="K2623" s="164"/>
      <c r="L2623" s="165"/>
      <c r="M2623" s="6"/>
      <c r="N2623" s="32"/>
      <c r="Q2623" s="10" t="str">
        <f>+CONCATENATE(E2621,K2621)</f>
        <v/>
      </c>
      <c r="R2623" s="10">
        <f>+L2621</f>
        <v>0</v>
      </c>
      <c r="S2623" s="11"/>
      <c r="T2623" s="10">
        <f>+E2621</f>
        <v>0</v>
      </c>
      <c r="U2623" s="19" t="str">
        <f>IFERROR(LEFT(K2621,FIND("*",K2621)-1),"-")</f>
        <v>-</v>
      </c>
      <c r="V2623" s="19" t="str">
        <f>IFERROR(RIGHT(K2621,LEN(K2621)-FIND("*",K2621)),"-")</f>
        <v>-</v>
      </c>
      <c r="W2623" s="20" t="str">
        <f t="shared" si="1420"/>
        <v>-</v>
      </c>
      <c r="X2623" s="20" t="str">
        <f>IFERROR(W2623*L2621,"-")</f>
        <v>-</v>
      </c>
      <c r="Z2623" s="85" t="s">
        <v>82</v>
      </c>
    </row>
    <row r="2624" spans="1:26" ht="6.95" customHeight="1" x14ac:dyDescent="0.3">
      <c r="A2624" s="8"/>
      <c r="B2624" s="157"/>
      <c r="C2624" s="158"/>
      <c r="D2624" s="161" t="s">
        <v>39</v>
      </c>
      <c r="E2624" s="162"/>
      <c r="F2624" s="163" t="s">
        <v>40</v>
      </c>
      <c r="G2624" s="164"/>
      <c r="H2624" s="165"/>
      <c r="I2624" s="164"/>
      <c r="J2624" s="165"/>
      <c r="K2624" s="164"/>
      <c r="L2624" s="165"/>
      <c r="M2624" s="6"/>
      <c r="N2624" s="32"/>
      <c r="Q2624" s="10" t="str">
        <f>+CONCATENATE(E2624,G2624)</f>
        <v/>
      </c>
      <c r="R2624" s="10">
        <f>+H2624</f>
        <v>0</v>
      </c>
      <c r="S2624" s="11"/>
      <c r="T2624" s="10">
        <f>+E2624</f>
        <v>0</v>
      </c>
      <c r="U2624" s="19" t="str">
        <f t="shared" ref="U2624" si="1423">IFERROR(LEFT(G2624,FIND("*",G2624)-1),"-")</f>
        <v>-</v>
      </c>
      <c r="V2624" s="19" t="str">
        <f t="shared" ref="V2624" si="1424">IFERROR(RIGHT(G2624,LEN(G2624)-FIND("*",G2624)),"-")</f>
        <v>-</v>
      </c>
      <c r="W2624" s="20" t="str">
        <f t="shared" si="1420"/>
        <v>-</v>
      </c>
      <c r="X2624" s="20" t="str">
        <f>IFERROR(W2624*H2624,"-")</f>
        <v>-</v>
      </c>
      <c r="Z2624" s="85" t="s">
        <v>82</v>
      </c>
    </row>
    <row r="2625" spans="1:26" ht="6.95" customHeight="1" x14ac:dyDescent="0.3">
      <c r="A2625" s="5"/>
      <c r="B2625" s="157"/>
      <c r="C2625" s="158"/>
      <c r="D2625" s="161"/>
      <c r="E2625" s="162"/>
      <c r="F2625" s="163"/>
      <c r="G2625" s="164"/>
      <c r="H2625" s="165"/>
      <c r="I2625" s="164"/>
      <c r="J2625" s="165"/>
      <c r="K2625" s="164"/>
      <c r="L2625" s="165"/>
      <c r="M2625" s="6"/>
      <c r="N2625" s="32"/>
      <c r="Q2625" s="10" t="str">
        <f>+CONCATENATE(E2624,I2624)</f>
        <v/>
      </c>
      <c r="R2625" s="10">
        <f>+J2624</f>
        <v>0</v>
      </c>
      <c r="S2625" s="11"/>
      <c r="T2625" s="10">
        <f>+E2624</f>
        <v>0</v>
      </c>
      <c r="U2625" s="19" t="str">
        <f>IFERROR(LEFT(I2624,FIND("*",I2624)-1),"-")</f>
        <v>-</v>
      </c>
      <c r="V2625" s="19" t="str">
        <f>IFERROR(RIGHT(I2624,LEN(I2624)-FIND("*",I2624)),"-")</f>
        <v>-</v>
      </c>
      <c r="W2625" s="20" t="str">
        <f t="shared" si="1420"/>
        <v>-</v>
      </c>
      <c r="X2625" s="20" t="str">
        <f t="shared" ref="X2625" si="1425">IFERROR(W2625*J2624,"-")</f>
        <v>-</v>
      </c>
      <c r="Z2625" s="85" t="s">
        <v>82</v>
      </c>
    </row>
    <row r="2626" spans="1:26" ht="6.95" customHeight="1" x14ac:dyDescent="0.3">
      <c r="A2626" s="5"/>
      <c r="B2626" s="157"/>
      <c r="C2626" s="158"/>
      <c r="D2626" s="161"/>
      <c r="E2626" s="162"/>
      <c r="F2626" s="163"/>
      <c r="G2626" s="164"/>
      <c r="H2626" s="165"/>
      <c r="I2626" s="164"/>
      <c r="J2626" s="165"/>
      <c r="K2626" s="164"/>
      <c r="L2626" s="165"/>
      <c r="M2626" s="6"/>
      <c r="N2626" s="32"/>
      <c r="Q2626" s="10" t="str">
        <f>+CONCATENATE(E2624,K2624)</f>
        <v/>
      </c>
      <c r="R2626" s="10">
        <f>+L2624</f>
        <v>0</v>
      </c>
      <c r="S2626" s="11"/>
      <c r="T2626" s="10">
        <f>+E2624</f>
        <v>0</v>
      </c>
      <c r="U2626" s="19" t="str">
        <f>IFERROR(LEFT(K2624,FIND("*",K2624)-1),"-")</f>
        <v>-</v>
      </c>
      <c r="V2626" s="19" t="str">
        <f>IFERROR(RIGHT(K2624,LEN(K2624)-FIND("*",K2624)),"-")</f>
        <v>-</v>
      </c>
      <c r="W2626" s="20" t="str">
        <f t="shared" si="1420"/>
        <v>-</v>
      </c>
      <c r="X2626" s="20" t="str">
        <f>IFERROR(W2626*L2624,"-")</f>
        <v>-</v>
      </c>
      <c r="Z2626" s="85" t="s">
        <v>82</v>
      </c>
    </row>
    <row r="2627" spans="1:26" ht="21" customHeight="1" thickBot="1" x14ac:dyDescent="0.35">
      <c r="A2627" s="5"/>
      <c r="B2627" s="159"/>
      <c r="C2627" s="160"/>
      <c r="D2627" s="166" t="s">
        <v>43</v>
      </c>
      <c r="E2627" s="167"/>
      <c r="F2627" s="167"/>
      <c r="G2627" s="168"/>
      <c r="H2627" s="168"/>
      <c r="I2627" s="168"/>
      <c r="J2627" s="168"/>
      <c r="K2627" s="168"/>
      <c r="L2627" s="168"/>
      <c r="M2627" s="7"/>
      <c r="N2627" s="32"/>
      <c r="Z2627" s="86" t="s">
        <v>81</v>
      </c>
    </row>
    <row r="2628" spans="1:26" ht="9.9499999999999993" customHeight="1" thickBot="1" x14ac:dyDescent="0.35">
      <c r="B2628" s="9"/>
      <c r="C2628" s="109"/>
      <c r="D2628" s="51"/>
      <c r="E2628" s="12"/>
      <c r="F2628" s="51"/>
      <c r="G2628" s="14"/>
      <c r="H2628" s="14"/>
      <c r="I2628" s="14"/>
      <c r="J2628" s="14"/>
      <c r="K2628" s="14"/>
      <c r="L2628" s="14"/>
      <c r="M2628" s="9"/>
      <c r="N2628" s="32"/>
      <c r="U2628" s="18"/>
      <c r="V2628" s="18"/>
      <c r="Z2628" s="85" t="s">
        <v>82</v>
      </c>
    </row>
    <row r="2629" spans="1:26" ht="6.95" customHeight="1" x14ac:dyDescent="0.3">
      <c r="A2629" s="154">
        <f>+A2618+1</f>
        <v>1038</v>
      </c>
      <c r="B2629" s="155"/>
      <c r="C2629" s="156"/>
      <c r="D2629" s="161" t="s">
        <v>39</v>
      </c>
      <c r="E2629" s="162"/>
      <c r="F2629" s="163" t="s">
        <v>40</v>
      </c>
      <c r="G2629" s="164"/>
      <c r="H2629" s="165"/>
      <c r="I2629" s="164"/>
      <c r="J2629" s="165"/>
      <c r="K2629" s="164"/>
      <c r="L2629" s="165"/>
      <c r="M2629" s="6"/>
      <c r="N2629" s="32"/>
      <c r="Q2629" s="10" t="str">
        <f>+CONCATENATE(E2629,G2629)</f>
        <v/>
      </c>
      <c r="R2629" s="10">
        <f>+H2629</f>
        <v>0</v>
      </c>
      <c r="S2629" s="11"/>
      <c r="T2629" s="10">
        <f>+E2629</f>
        <v>0</v>
      </c>
      <c r="U2629" s="19" t="str">
        <f>IFERROR(LEFT(G2629,FIND("*",G2629)-1),"-")</f>
        <v>-</v>
      </c>
      <c r="V2629" s="19" t="str">
        <f>IFERROR(RIGHT(G2629,LEN(G2629)-FIND("*",G2629)),"-")</f>
        <v>-</v>
      </c>
      <c r="W2629" s="20" t="str">
        <f>IFERROR((U2629+V2629)*2/1000,"-")</f>
        <v>-</v>
      </c>
      <c r="X2629" s="20" t="str">
        <f>IFERROR(W2629*H2629,"-")</f>
        <v>-</v>
      </c>
      <c r="Z2629" s="85" t="s">
        <v>82</v>
      </c>
    </row>
    <row r="2630" spans="1:26" ht="6.95" customHeight="1" x14ac:dyDescent="0.3">
      <c r="A2630" s="154"/>
      <c r="B2630" s="157"/>
      <c r="C2630" s="158"/>
      <c r="D2630" s="161"/>
      <c r="E2630" s="162"/>
      <c r="F2630" s="163"/>
      <c r="G2630" s="164"/>
      <c r="H2630" s="165"/>
      <c r="I2630" s="164"/>
      <c r="J2630" s="165"/>
      <c r="K2630" s="164"/>
      <c r="L2630" s="165"/>
      <c r="M2630" s="6"/>
      <c r="N2630" s="32"/>
      <c r="Q2630" s="10" t="str">
        <f>+CONCATENATE(E2629,I2629)</f>
        <v/>
      </c>
      <c r="R2630" s="10">
        <f>+J2629</f>
        <v>0</v>
      </c>
      <c r="S2630" s="11"/>
      <c r="T2630" s="10">
        <f>+E2629</f>
        <v>0</v>
      </c>
      <c r="U2630" s="19" t="str">
        <f>IFERROR(LEFT(I2629,FIND("*",I2629)-1),"-")</f>
        <v>-</v>
      </c>
      <c r="V2630" s="19" t="str">
        <f>IFERROR(RIGHT(I2629,LEN(I2629)-FIND("*",I2629)),"-")</f>
        <v>-</v>
      </c>
      <c r="W2630" s="20" t="str">
        <f t="shared" ref="W2630:W2637" si="1426">IFERROR((U2630+V2630)*2/1000,"-")</f>
        <v>-</v>
      </c>
      <c r="X2630" s="20" t="str">
        <f>IFERROR(W2630*J2629,"-")</f>
        <v>-</v>
      </c>
      <c r="Z2630" s="85" t="s">
        <v>82</v>
      </c>
    </row>
    <row r="2631" spans="1:26" ht="6.95" customHeight="1" x14ac:dyDescent="0.3">
      <c r="A2631" s="154"/>
      <c r="B2631" s="157"/>
      <c r="C2631" s="158"/>
      <c r="D2631" s="161"/>
      <c r="E2631" s="162"/>
      <c r="F2631" s="163"/>
      <c r="G2631" s="164"/>
      <c r="H2631" s="165"/>
      <c r="I2631" s="164"/>
      <c r="J2631" s="165"/>
      <c r="K2631" s="164"/>
      <c r="L2631" s="165"/>
      <c r="M2631" s="6"/>
      <c r="N2631" s="32"/>
      <c r="Q2631" s="10" t="str">
        <f>+CONCATENATE(E2629,K2629)</f>
        <v/>
      </c>
      <c r="R2631" s="10">
        <f>+L2629</f>
        <v>0</v>
      </c>
      <c r="S2631" s="11"/>
      <c r="T2631" s="10">
        <f>+E2629</f>
        <v>0</v>
      </c>
      <c r="U2631" s="19" t="str">
        <f>IFERROR(LEFT(K2629,FIND("*",K2629)-1),"-")</f>
        <v>-</v>
      </c>
      <c r="V2631" s="19" t="str">
        <f>IFERROR(RIGHT(K2629,LEN(K2629)-FIND("*",K2629)),"-")</f>
        <v>-</v>
      </c>
      <c r="W2631" s="20" t="str">
        <f t="shared" si="1426"/>
        <v>-</v>
      </c>
      <c r="X2631" s="20" t="str">
        <f>IFERROR(W2631*L2629,"-")</f>
        <v>-</v>
      </c>
      <c r="Z2631" s="85" t="s">
        <v>82</v>
      </c>
    </row>
    <row r="2632" spans="1:26" ht="6.95" customHeight="1" x14ac:dyDescent="0.3">
      <c r="A2632" s="8"/>
      <c r="B2632" s="157"/>
      <c r="C2632" s="158"/>
      <c r="D2632" s="161" t="s">
        <v>39</v>
      </c>
      <c r="E2632" s="162"/>
      <c r="F2632" s="163" t="s">
        <v>40</v>
      </c>
      <c r="G2632" s="164"/>
      <c r="H2632" s="165"/>
      <c r="I2632" s="164"/>
      <c r="J2632" s="165"/>
      <c r="K2632" s="164"/>
      <c r="L2632" s="165"/>
      <c r="M2632" s="6"/>
      <c r="N2632" s="32"/>
      <c r="Q2632" s="10" t="str">
        <f>+CONCATENATE(E2632,G2632)</f>
        <v/>
      </c>
      <c r="R2632" s="10">
        <f>+H2632</f>
        <v>0</v>
      </c>
      <c r="S2632" s="11"/>
      <c r="T2632" s="10">
        <f>+E2632</f>
        <v>0</v>
      </c>
      <c r="U2632" s="19" t="str">
        <f t="shared" ref="U2632" si="1427">IFERROR(LEFT(G2632,FIND("*",G2632)-1),"-")</f>
        <v>-</v>
      </c>
      <c r="V2632" s="19" t="str">
        <f t="shared" ref="V2632" si="1428">IFERROR(RIGHT(G2632,LEN(G2632)-FIND("*",G2632)),"-")</f>
        <v>-</v>
      </c>
      <c r="W2632" s="20" t="str">
        <f t="shared" si="1426"/>
        <v>-</v>
      </c>
      <c r="X2632" s="20" t="str">
        <f>IFERROR(W2632*H2632,"-")</f>
        <v>-</v>
      </c>
      <c r="Z2632" s="85" t="s">
        <v>82</v>
      </c>
    </row>
    <row r="2633" spans="1:26" ht="6.95" customHeight="1" x14ac:dyDescent="0.3">
      <c r="A2633" s="5"/>
      <c r="B2633" s="157"/>
      <c r="C2633" s="158"/>
      <c r="D2633" s="161"/>
      <c r="E2633" s="162"/>
      <c r="F2633" s="163"/>
      <c r="G2633" s="164"/>
      <c r="H2633" s="165"/>
      <c r="I2633" s="164"/>
      <c r="J2633" s="165"/>
      <c r="K2633" s="164"/>
      <c r="L2633" s="165"/>
      <c r="M2633" s="6"/>
      <c r="N2633" s="32"/>
      <c r="Q2633" s="10" t="str">
        <f>+CONCATENATE(E2632,I2632)</f>
        <v/>
      </c>
      <c r="R2633" s="10">
        <f>+J2632</f>
        <v>0</v>
      </c>
      <c r="S2633" s="11"/>
      <c r="T2633" s="10">
        <f>+E2632</f>
        <v>0</v>
      </c>
      <c r="U2633" s="19" t="str">
        <f>IFERROR(LEFT(I2632,FIND("*",I2632)-1),"-")</f>
        <v>-</v>
      </c>
      <c r="V2633" s="19" t="str">
        <f>IFERROR(RIGHT(I2632,LEN(I2632)-FIND("*",I2632)),"-")</f>
        <v>-</v>
      </c>
      <c r="W2633" s="20" t="str">
        <f t="shared" si="1426"/>
        <v>-</v>
      </c>
      <c r="X2633" s="20" t="str">
        <f>IFERROR(W2633*J2632,"-")</f>
        <v>-</v>
      </c>
      <c r="Z2633" s="85" t="s">
        <v>82</v>
      </c>
    </row>
    <row r="2634" spans="1:26" ht="6.95" customHeight="1" x14ac:dyDescent="0.3">
      <c r="A2634" s="5"/>
      <c r="B2634" s="157"/>
      <c r="C2634" s="158"/>
      <c r="D2634" s="161"/>
      <c r="E2634" s="162"/>
      <c r="F2634" s="163"/>
      <c r="G2634" s="164"/>
      <c r="H2634" s="165"/>
      <c r="I2634" s="164"/>
      <c r="J2634" s="165"/>
      <c r="K2634" s="164"/>
      <c r="L2634" s="165"/>
      <c r="M2634" s="6"/>
      <c r="N2634" s="32"/>
      <c r="Q2634" s="10" t="str">
        <f>+CONCATENATE(E2632,K2632)</f>
        <v/>
      </c>
      <c r="R2634" s="10">
        <f>+L2632</f>
        <v>0</v>
      </c>
      <c r="S2634" s="11"/>
      <c r="T2634" s="10">
        <f>+E2632</f>
        <v>0</v>
      </c>
      <c r="U2634" s="19" t="str">
        <f>IFERROR(LEFT(K2632,FIND("*",K2632)-1),"-")</f>
        <v>-</v>
      </c>
      <c r="V2634" s="19" t="str">
        <f>IFERROR(RIGHT(K2632,LEN(K2632)-FIND("*",K2632)),"-")</f>
        <v>-</v>
      </c>
      <c r="W2634" s="20" t="str">
        <f t="shared" si="1426"/>
        <v>-</v>
      </c>
      <c r="X2634" s="20" t="str">
        <f>IFERROR(W2634*L2632,"-")</f>
        <v>-</v>
      </c>
      <c r="Z2634" s="85" t="s">
        <v>82</v>
      </c>
    </row>
    <row r="2635" spans="1:26" ht="6.95" customHeight="1" x14ac:dyDescent="0.3">
      <c r="A2635" s="8"/>
      <c r="B2635" s="157"/>
      <c r="C2635" s="158"/>
      <c r="D2635" s="161" t="s">
        <v>39</v>
      </c>
      <c r="E2635" s="162"/>
      <c r="F2635" s="163" t="s">
        <v>40</v>
      </c>
      <c r="G2635" s="164"/>
      <c r="H2635" s="165"/>
      <c r="I2635" s="164"/>
      <c r="J2635" s="165"/>
      <c r="K2635" s="164"/>
      <c r="L2635" s="165"/>
      <c r="M2635" s="6"/>
      <c r="N2635" s="32"/>
      <c r="Q2635" s="10" t="str">
        <f>+CONCATENATE(E2635,G2635)</f>
        <v/>
      </c>
      <c r="R2635" s="10">
        <f>+H2635</f>
        <v>0</v>
      </c>
      <c r="S2635" s="11"/>
      <c r="T2635" s="10">
        <f>+E2635</f>
        <v>0</v>
      </c>
      <c r="U2635" s="19" t="str">
        <f t="shared" ref="U2635" si="1429">IFERROR(LEFT(G2635,FIND("*",G2635)-1),"-")</f>
        <v>-</v>
      </c>
      <c r="V2635" s="19" t="str">
        <f t="shared" ref="V2635" si="1430">IFERROR(RIGHT(G2635,LEN(G2635)-FIND("*",G2635)),"-")</f>
        <v>-</v>
      </c>
      <c r="W2635" s="20" t="str">
        <f t="shared" si="1426"/>
        <v>-</v>
      </c>
      <c r="X2635" s="20" t="str">
        <f>IFERROR(W2635*H2635,"-")</f>
        <v>-</v>
      </c>
      <c r="Z2635" s="85" t="s">
        <v>82</v>
      </c>
    </row>
    <row r="2636" spans="1:26" ht="6.95" customHeight="1" x14ac:dyDescent="0.3">
      <c r="A2636" s="5"/>
      <c r="B2636" s="157"/>
      <c r="C2636" s="158"/>
      <c r="D2636" s="161"/>
      <c r="E2636" s="162"/>
      <c r="F2636" s="163"/>
      <c r="G2636" s="164"/>
      <c r="H2636" s="165"/>
      <c r="I2636" s="164"/>
      <c r="J2636" s="165"/>
      <c r="K2636" s="164"/>
      <c r="L2636" s="165"/>
      <c r="M2636" s="6"/>
      <c r="N2636" s="32"/>
      <c r="Q2636" s="10" t="str">
        <f>+CONCATENATE(E2635,I2635)</f>
        <v/>
      </c>
      <c r="R2636" s="10">
        <f>+J2635</f>
        <v>0</v>
      </c>
      <c r="S2636" s="11"/>
      <c r="T2636" s="10">
        <f>+E2635</f>
        <v>0</v>
      </c>
      <c r="U2636" s="19" t="str">
        <f>IFERROR(LEFT(I2635,FIND("*",I2635)-1),"-")</f>
        <v>-</v>
      </c>
      <c r="V2636" s="19" t="str">
        <f>IFERROR(RIGHT(I2635,LEN(I2635)-FIND("*",I2635)),"-")</f>
        <v>-</v>
      </c>
      <c r="W2636" s="20" t="str">
        <f t="shared" si="1426"/>
        <v>-</v>
      </c>
      <c r="X2636" s="20" t="str">
        <f t="shared" ref="X2636" si="1431">IFERROR(W2636*J2635,"-")</f>
        <v>-</v>
      </c>
      <c r="Z2636" s="85" t="s">
        <v>82</v>
      </c>
    </row>
    <row r="2637" spans="1:26" ht="6.95" customHeight="1" x14ac:dyDescent="0.3">
      <c r="A2637" s="5"/>
      <c r="B2637" s="157"/>
      <c r="C2637" s="158"/>
      <c r="D2637" s="161"/>
      <c r="E2637" s="162"/>
      <c r="F2637" s="163"/>
      <c r="G2637" s="164"/>
      <c r="H2637" s="165"/>
      <c r="I2637" s="164"/>
      <c r="J2637" s="165"/>
      <c r="K2637" s="164"/>
      <c r="L2637" s="165"/>
      <c r="M2637" s="6"/>
      <c r="N2637" s="32"/>
      <c r="Q2637" s="10" t="str">
        <f>+CONCATENATE(E2635,K2635)</f>
        <v/>
      </c>
      <c r="R2637" s="10">
        <f>+L2635</f>
        <v>0</v>
      </c>
      <c r="S2637" s="11"/>
      <c r="T2637" s="10">
        <f>+E2635</f>
        <v>0</v>
      </c>
      <c r="U2637" s="19" t="str">
        <f>IFERROR(LEFT(K2635,FIND("*",K2635)-1),"-")</f>
        <v>-</v>
      </c>
      <c r="V2637" s="19" t="str">
        <f>IFERROR(RIGHT(K2635,LEN(K2635)-FIND("*",K2635)),"-")</f>
        <v>-</v>
      </c>
      <c r="W2637" s="20" t="str">
        <f t="shared" si="1426"/>
        <v>-</v>
      </c>
      <c r="X2637" s="20" t="str">
        <f>IFERROR(W2637*L2635,"-")</f>
        <v>-</v>
      </c>
      <c r="Z2637" s="85" t="s">
        <v>82</v>
      </c>
    </row>
    <row r="2638" spans="1:26" ht="21" customHeight="1" thickBot="1" x14ac:dyDescent="0.35">
      <c r="A2638" s="5"/>
      <c r="B2638" s="159"/>
      <c r="C2638" s="160"/>
      <c r="D2638" s="166" t="s">
        <v>43</v>
      </c>
      <c r="E2638" s="167"/>
      <c r="F2638" s="167"/>
      <c r="G2638" s="168"/>
      <c r="H2638" s="168"/>
      <c r="I2638" s="168"/>
      <c r="J2638" s="168"/>
      <c r="K2638" s="168"/>
      <c r="L2638" s="168"/>
      <c r="M2638" s="7"/>
      <c r="N2638" s="32"/>
      <c r="Z2638" s="86" t="s">
        <v>81</v>
      </c>
    </row>
    <row r="2639" spans="1:26" ht="9.9499999999999993" customHeight="1" thickBot="1" x14ac:dyDescent="0.35">
      <c r="B2639" s="9"/>
      <c r="C2639" s="109"/>
      <c r="D2639" s="51"/>
      <c r="E2639" s="12"/>
      <c r="F2639" s="51"/>
      <c r="G2639" s="14"/>
      <c r="H2639" s="14"/>
      <c r="I2639" s="14"/>
      <c r="J2639" s="14"/>
      <c r="K2639" s="14"/>
      <c r="L2639" s="14"/>
      <c r="M2639" s="9"/>
      <c r="N2639" s="32"/>
      <c r="U2639" s="18"/>
      <c r="V2639" s="18"/>
      <c r="Z2639" s="85" t="s">
        <v>82</v>
      </c>
    </row>
    <row r="2640" spans="1:26" ht="6.95" customHeight="1" x14ac:dyDescent="0.3">
      <c r="A2640" s="154">
        <f>+A2629+1</f>
        <v>1039</v>
      </c>
      <c r="B2640" s="155"/>
      <c r="C2640" s="156"/>
      <c r="D2640" s="161" t="s">
        <v>39</v>
      </c>
      <c r="E2640" s="162"/>
      <c r="F2640" s="163" t="s">
        <v>40</v>
      </c>
      <c r="G2640" s="164"/>
      <c r="H2640" s="165"/>
      <c r="I2640" s="164"/>
      <c r="J2640" s="165"/>
      <c r="K2640" s="164"/>
      <c r="L2640" s="165"/>
      <c r="M2640" s="6"/>
      <c r="N2640" s="32"/>
      <c r="Q2640" s="10" t="str">
        <f>+CONCATENATE(E2640,G2640)</f>
        <v/>
      </c>
      <c r="R2640" s="10">
        <f>+H2640</f>
        <v>0</v>
      </c>
      <c r="S2640" s="11"/>
      <c r="T2640" s="10">
        <f>+E2640</f>
        <v>0</v>
      </c>
      <c r="U2640" s="19" t="str">
        <f>IFERROR(LEFT(G2640,FIND("*",G2640)-1),"-")</f>
        <v>-</v>
      </c>
      <c r="V2640" s="19" t="str">
        <f>IFERROR(RIGHT(G2640,LEN(G2640)-FIND("*",G2640)),"-")</f>
        <v>-</v>
      </c>
      <c r="W2640" s="20" t="str">
        <f>IFERROR((U2640+V2640)*2/1000,"-")</f>
        <v>-</v>
      </c>
      <c r="X2640" s="20" t="str">
        <f>IFERROR(W2640*H2640,"-")</f>
        <v>-</v>
      </c>
      <c r="Z2640" s="85" t="s">
        <v>82</v>
      </c>
    </row>
    <row r="2641" spans="1:26" ht="6.95" customHeight="1" x14ac:dyDescent="0.3">
      <c r="A2641" s="154"/>
      <c r="B2641" s="157"/>
      <c r="C2641" s="158"/>
      <c r="D2641" s="161"/>
      <c r="E2641" s="162"/>
      <c r="F2641" s="163"/>
      <c r="G2641" s="164"/>
      <c r="H2641" s="165"/>
      <c r="I2641" s="164"/>
      <c r="J2641" s="165"/>
      <c r="K2641" s="164"/>
      <c r="L2641" s="165"/>
      <c r="M2641" s="6"/>
      <c r="N2641" s="32"/>
      <c r="Q2641" s="10" t="str">
        <f>+CONCATENATE(E2640,I2640)</f>
        <v/>
      </c>
      <c r="R2641" s="10">
        <f>+J2640</f>
        <v>0</v>
      </c>
      <c r="S2641" s="11"/>
      <c r="T2641" s="10">
        <f>+E2640</f>
        <v>0</v>
      </c>
      <c r="U2641" s="19" t="str">
        <f>IFERROR(LEFT(I2640,FIND("*",I2640)-1),"-")</f>
        <v>-</v>
      </c>
      <c r="V2641" s="19" t="str">
        <f>IFERROR(RIGHT(I2640,LEN(I2640)-FIND("*",I2640)),"-")</f>
        <v>-</v>
      </c>
      <c r="W2641" s="20" t="str">
        <f t="shared" ref="W2641:W2648" si="1432">IFERROR((U2641+V2641)*2/1000,"-")</f>
        <v>-</v>
      </c>
      <c r="X2641" s="20" t="str">
        <f>IFERROR(W2641*J2640,"-")</f>
        <v>-</v>
      </c>
      <c r="Z2641" s="85" t="s">
        <v>82</v>
      </c>
    </row>
    <row r="2642" spans="1:26" ht="6.95" customHeight="1" x14ac:dyDescent="0.3">
      <c r="A2642" s="154"/>
      <c r="B2642" s="157"/>
      <c r="C2642" s="158"/>
      <c r="D2642" s="161"/>
      <c r="E2642" s="162"/>
      <c r="F2642" s="163"/>
      <c r="G2642" s="164"/>
      <c r="H2642" s="165"/>
      <c r="I2642" s="164"/>
      <c r="J2642" s="165"/>
      <c r="K2642" s="164"/>
      <c r="L2642" s="165"/>
      <c r="M2642" s="6"/>
      <c r="N2642" s="32"/>
      <c r="Q2642" s="10" t="str">
        <f>+CONCATENATE(E2640,K2640)</f>
        <v/>
      </c>
      <c r="R2642" s="10">
        <f>+L2640</f>
        <v>0</v>
      </c>
      <c r="S2642" s="11"/>
      <c r="T2642" s="10">
        <f>+E2640</f>
        <v>0</v>
      </c>
      <c r="U2642" s="19" t="str">
        <f>IFERROR(LEFT(K2640,FIND("*",K2640)-1),"-")</f>
        <v>-</v>
      </c>
      <c r="V2642" s="19" t="str">
        <f>IFERROR(RIGHT(K2640,LEN(K2640)-FIND("*",K2640)),"-")</f>
        <v>-</v>
      </c>
      <c r="W2642" s="20" t="str">
        <f t="shared" si="1432"/>
        <v>-</v>
      </c>
      <c r="X2642" s="20" t="str">
        <f>IFERROR(W2642*L2640,"-")</f>
        <v>-</v>
      </c>
      <c r="Z2642" s="85" t="s">
        <v>82</v>
      </c>
    </row>
    <row r="2643" spans="1:26" ht="6.95" customHeight="1" x14ac:dyDescent="0.3">
      <c r="A2643" s="8"/>
      <c r="B2643" s="157"/>
      <c r="C2643" s="158"/>
      <c r="D2643" s="161" t="s">
        <v>39</v>
      </c>
      <c r="E2643" s="162"/>
      <c r="F2643" s="163" t="s">
        <v>40</v>
      </c>
      <c r="G2643" s="164"/>
      <c r="H2643" s="165"/>
      <c r="I2643" s="164"/>
      <c r="J2643" s="165"/>
      <c r="K2643" s="164"/>
      <c r="L2643" s="165"/>
      <c r="M2643" s="6"/>
      <c r="N2643" s="32"/>
      <c r="Q2643" s="10" t="str">
        <f>+CONCATENATE(E2643,G2643)</f>
        <v/>
      </c>
      <c r="R2643" s="10">
        <f>+H2643</f>
        <v>0</v>
      </c>
      <c r="S2643" s="11"/>
      <c r="T2643" s="10">
        <f>+E2643</f>
        <v>0</v>
      </c>
      <c r="U2643" s="19" t="str">
        <f t="shared" ref="U2643" si="1433">IFERROR(LEFT(G2643,FIND("*",G2643)-1),"-")</f>
        <v>-</v>
      </c>
      <c r="V2643" s="19" t="str">
        <f t="shared" ref="V2643" si="1434">IFERROR(RIGHT(G2643,LEN(G2643)-FIND("*",G2643)),"-")</f>
        <v>-</v>
      </c>
      <c r="W2643" s="20" t="str">
        <f t="shared" si="1432"/>
        <v>-</v>
      </c>
      <c r="X2643" s="20" t="str">
        <f>IFERROR(W2643*H2643,"-")</f>
        <v>-</v>
      </c>
      <c r="Z2643" s="85" t="s">
        <v>82</v>
      </c>
    </row>
    <row r="2644" spans="1:26" ht="6.95" customHeight="1" x14ac:dyDescent="0.3">
      <c r="A2644" s="5"/>
      <c r="B2644" s="157"/>
      <c r="C2644" s="158"/>
      <c r="D2644" s="161"/>
      <c r="E2644" s="162"/>
      <c r="F2644" s="163"/>
      <c r="G2644" s="164"/>
      <c r="H2644" s="165"/>
      <c r="I2644" s="164"/>
      <c r="J2644" s="165"/>
      <c r="K2644" s="164"/>
      <c r="L2644" s="165"/>
      <c r="M2644" s="6"/>
      <c r="N2644" s="32"/>
      <c r="Q2644" s="10" t="str">
        <f>+CONCATENATE(E2643,I2643)</f>
        <v/>
      </c>
      <c r="R2644" s="10">
        <f>+J2643</f>
        <v>0</v>
      </c>
      <c r="S2644" s="11"/>
      <c r="T2644" s="10">
        <f>+E2643</f>
        <v>0</v>
      </c>
      <c r="U2644" s="19" t="str">
        <f>IFERROR(LEFT(I2643,FIND("*",I2643)-1),"-")</f>
        <v>-</v>
      </c>
      <c r="V2644" s="19" t="str">
        <f>IFERROR(RIGHT(I2643,LEN(I2643)-FIND("*",I2643)),"-")</f>
        <v>-</v>
      </c>
      <c r="W2644" s="20" t="str">
        <f t="shared" si="1432"/>
        <v>-</v>
      </c>
      <c r="X2644" s="20" t="str">
        <f>IFERROR(W2644*J2643,"-")</f>
        <v>-</v>
      </c>
      <c r="Z2644" s="85" t="s">
        <v>82</v>
      </c>
    </row>
    <row r="2645" spans="1:26" ht="6.95" customHeight="1" x14ac:dyDescent="0.3">
      <c r="A2645" s="5"/>
      <c r="B2645" s="157"/>
      <c r="C2645" s="158"/>
      <c r="D2645" s="161"/>
      <c r="E2645" s="162"/>
      <c r="F2645" s="163"/>
      <c r="G2645" s="164"/>
      <c r="H2645" s="165"/>
      <c r="I2645" s="164"/>
      <c r="J2645" s="165"/>
      <c r="K2645" s="164"/>
      <c r="L2645" s="165"/>
      <c r="M2645" s="6"/>
      <c r="N2645" s="32"/>
      <c r="Q2645" s="10" t="str">
        <f>+CONCATENATE(E2643,K2643)</f>
        <v/>
      </c>
      <c r="R2645" s="10">
        <f>+L2643</f>
        <v>0</v>
      </c>
      <c r="S2645" s="11"/>
      <c r="T2645" s="10">
        <f>+E2643</f>
        <v>0</v>
      </c>
      <c r="U2645" s="19" t="str">
        <f>IFERROR(LEFT(K2643,FIND("*",K2643)-1),"-")</f>
        <v>-</v>
      </c>
      <c r="V2645" s="19" t="str">
        <f>IFERROR(RIGHT(K2643,LEN(K2643)-FIND("*",K2643)),"-")</f>
        <v>-</v>
      </c>
      <c r="W2645" s="20" t="str">
        <f t="shared" si="1432"/>
        <v>-</v>
      </c>
      <c r="X2645" s="20" t="str">
        <f>IFERROR(W2645*L2643,"-")</f>
        <v>-</v>
      </c>
      <c r="Z2645" s="85" t="s">
        <v>82</v>
      </c>
    </row>
    <row r="2646" spans="1:26" ht="6.95" customHeight="1" x14ac:dyDescent="0.3">
      <c r="A2646" s="8"/>
      <c r="B2646" s="157"/>
      <c r="C2646" s="158"/>
      <c r="D2646" s="161" t="s">
        <v>39</v>
      </c>
      <c r="E2646" s="162"/>
      <c r="F2646" s="163" t="s">
        <v>40</v>
      </c>
      <c r="G2646" s="164"/>
      <c r="H2646" s="165"/>
      <c r="I2646" s="164"/>
      <c r="J2646" s="165"/>
      <c r="K2646" s="164"/>
      <c r="L2646" s="165"/>
      <c r="M2646" s="6"/>
      <c r="N2646" s="32"/>
      <c r="Q2646" s="10" t="str">
        <f>+CONCATENATE(E2646,G2646)</f>
        <v/>
      </c>
      <c r="R2646" s="10">
        <f>+H2646</f>
        <v>0</v>
      </c>
      <c r="S2646" s="11"/>
      <c r="T2646" s="10">
        <f>+E2646</f>
        <v>0</v>
      </c>
      <c r="U2646" s="19" t="str">
        <f t="shared" ref="U2646" si="1435">IFERROR(LEFT(G2646,FIND("*",G2646)-1),"-")</f>
        <v>-</v>
      </c>
      <c r="V2646" s="19" t="str">
        <f t="shared" ref="V2646" si="1436">IFERROR(RIGHT(G2646,LEN(G2646)-FIND("*",G2646)),"-")</f>
        <v>-</v>
      </c>
      <c r="W2646" s="20" t="str">
        <f t="shared" si="1432"/>
        <v>-</v>
      </c>
      <c r="X2646" s="20" t="str">
        <f>IFERROR(W2646*H2646,"-")</f>
        <v>-</v>
      </c>
      <c r="Z2646" s="85" t="s">
        <v>82</v>
      </c>
    </row>
    <row r="2647" spans="1:26" ht="6.95" customHeight="1" x14ac:dyDescent="0.3">
      <c r="A2647" s="5"/>
      <c r="B2647" s="157"/>
      <c r="C2647" s="158"/>
      <c r="D2647" s="161"/>
      <c r="E2647" s="162"/>
      <c r="F2647" s="163"/>
      <c r="G2647" s="164"/>
      <c r="H2647" s="165"/>
      <c r="I2647" s="164"/>
      <c r="J2647" s="165"/>
      <c r="K2647" s="164"/>
      <c r="L2647" s="165"/>
      <c r="M2647" s="6"/>
      <c r="N2647" s="32"/>
      <c r="Q2647" s="10" t="str">
        <f>+CONCATENATE(E2646,I2646)</f>
        <v/>
      </c>
      <c r="R2647" s="10">
        <f>+J2646</f>
        <v>0</v>
      </c>
      <c r="S2647" s="11"/>
      <c r="T2647" s="10">
        <f>+E2646</f>
        <v>0</v>
      </c>
      <c r="U2647" s="19" t="str">
        <f>IFERROR(LEFT(I2646,FIND("*",I2646)-1),"-")</f>
        <v>-</v>
      </c>
      <c r="V2647" s="19" t="str">
        <f>IFERROR(RIGHT(I2646,LEN(I2646)-FIND("*",I2646)),"-")</f>
        <v>-</v>
      </c>
      <c r="W2647" s="20" t="str">
        <f t="shared" si="1432"/>
        <v>-</v>
      </c>
      <c r="X2647" s="20" t="str">
        <f t="shared" ref="X2647" si="1437">IFERROR(W2647*J2646,"-")</f>
        <v>-</v>
      </c>
      <c r="Z2647" s="85" t="s">
        <v>82</v>
      </c>
    </row>
    <row r="2648" spans="1:26" ht="6.95" customHeight="1" x14ac:dyDescent="0.3">
      <c r="A2648" s="5"/>
      <c r="B2648" s="157"/>
      <c r="C2648" s="158"/>
      <c r="D2648" s="161"/>
      <c r="E2648" s="162"/>
      <c r="F2648" s="163"/>
      <c r="G2648" s="164"/>
      <c r="H2648" s="165"/>
      <c r="I2648" s="164"/>
      <c r="J2648" s="165"/>
      <c r="K2648" s="164"/>
      <c r="L2648" s="165"/>
      <c r="M2648" s="6"/>
      <c r="N2648" s="32"/>
      <c r="Q2648" s="10" t="str">
        <f>+CONCATENATE(E2646,K2646)</f>
        <v/>
      </c>
      <c r="R2648" s="10">
        <f>+L2646</f>
        <v>0</v>
      </c>
      <c r="S2648" s="11"/>
      <c r="T2648" s="10">
        <f>+E2646</f>
        <v>0</v>
      </c>
      <c r="U2648" s="19" t="str">
        <f>IFERROR(LEFT(K2646,FIND("*",K2646)-1),"-")</f>
        <v>-</v>
      </c>
      <c r="V2648" s="19" t="str">
        <f>IFERROR(RIGHT(K2646,LEN(K2646)-FIND("*",K2646)),"-")</f>
        <v>-</v>
      </c>
      <c r="W2648" s="20" t="str">
        <f t="shared" si="1432"/>
        <v>-</v>
      </c>
      <c r="X2648" s="20" t="str">
        <f>IFERROR(W2648*L2646,"-")</f>
        <v>-</v>
      </c>
      <c r="Z2648" s="85" t="s">
        <v>82</v>
      </c>
    </row>
    <row r="2649" spans="1:26" ht="21" customHeight="1" thickBot="1" x14ac:dyDescent="0.35">
      <c r="A2649" s="5"/>
      <c r="B2649" s="159"/>
      <c r="C2649" s="160"/>
      <c r="D2649" s="166" t="s">
        <v>43</v>
      </c>
      <c r="E2649" s="167"/>
      <c r="F2649" s="167"/>
      <c r="G2649" s="168"/>
      <c r="H2649" s="168"/>
      <c r="I2649" s="168"/>
      <c r="J2649" s="168"/>
      <c r="K2649" s="168"/>
      <c r="L2649" s="168"/>
      <c r="M2649" s="7"/>
      <c r="N2649" s="32"/>
      <c r="Z2649" s="86" t="s">
        <v>81</v>
      </c>
    </row>
    <row r="2650" spans="1:26" ht="9.9499999999999993" customHeight="1" thickBot="1" x14ac:dyDescent="0.35">
      <c r="B2650" s="9"/>
      <c r="C2650" s="109"/>
      <c r="D2650" s="51"/>
      <c r="E2650" s="12"/>
      <c r="F2650" s="51"/>
      <c r="G2650" s="14"/>
      <c r="H2650" s="14"/>
      <c r="I2650" s="14"/>
      <c r="J2650" s="14"/>
      <c r="K2650" s="14"/>
      <c r="L2650" s="14"/>
      <c r="M2650" s="9"/>
      <c r="N2650" s="32"/>
      <c r="U2650" s="18"/>
      <c r="V2650" s="18"/>
      <c r="Z2650" s="85" t="s">
        <v>82</v>
      </c>
    </row>
    <row r="2651" spans="1:26" ht="6.95" customHeight="1" x14ac:dyDescent="0.3">
      <c r="A2651" s="154">
        <f>+A2640+1</f>
        <v>1040</v>
      </c>
      <c r="B2651" s="155"/>
      <c r="C2651" s="156"/>
      <c r="D2651" s="161" t="s">
        <v>39</v>
      </c>
      <c r="E2651" s="162"/>
      <c r="F2651" s="163" t="s">
        <v>40</v>
      </c>
      <c r="G2651" s="164"/>
      <c r="H2651" s="165"/>
      <c r="I2651" s="164"/>
      <c r="J2651" s="165"/>
      <c r="K2651" s="164"/>
      <c r="L2651" s="165"/>
      <c r="M2651" s="6"/>
      <c r="N2651" s="32"/>
      <c r="Q2651" s="10" t="str">
        <f>+CONCATENATE(E2651,G2651)</f>
        <v/>
      </c>
      <c r="R2651" s="10">
        <f>+H2651</f>
        <v>0</v>
      </c>
      <c r="S2651" s="11"/>
      <c r="T2651" s="10">
        <f>+E2651</f>
        <v>0</v>
      </c>
      <c r="U2651" s="19" t="str">
        <f>IFERROR(LEFT(G2651,FIND("*",G2651)-1),"-")</f>
        <v>-</v>
      </c>
      <c r="V2651" s="19" t="str">
        <f>IFERROR(RIGHT(G2651,LEN(G2651)-FIND("*",G2651)),"-")</f>
        <v>-</v>
      </c>
      <c r="W2651" s="20" t="str">
        <f>IFERROR((U2651+V2651)*2/1000,"-")</f>
        <v>-</v>
      </c>
      <c r="X2651" s="20" t="str">
        <f>IFERROR(W2651*H2651,"-")</f>
        <v>-</v>
      </c>
      <c r="Z2651" s="85" t="s">
        <v>82</v>
      </c>
    </row>
    <row r="2652" spans="1:26" ht="6.95" customHeight="1" x14ac:dyDescent="0.3">
      <c r="A2652" s="154"/>
      <c r="B2652" s="157"/>
      <c r="C2652" s="158"/>
      <c r="D2652" s="161"/>
      <c r="E2652" s="162"/>
      <c r="F2652" s="163"/>
      <c r="G2652" s="164"/>
      <c r="H2652" s="165"/>
      <c r="I2652" s="164"/>
      <c r="J2652" s="165"/>
      <c r="K2652" s="164"/>
      <c r="L2652" s="165"/>
      <c r="M2652" s="6"/>
      <c r="N2652" s="32"/>
      <c r="Q2652" s="10" t="str">
        <f>+CONCATENATE(E2651,I2651)</f>
        <v/>
      </c>
      <c r="R2652" s="10">
        <f>+J2651</f>
        <v>0</v>
      </c>
      <c r="S2652" s="11"/>
      <c r="T2652" s="10">
        <f>+E2651</f>
        <v>0</v>
      </c>
      <c r="U2652" s="19" t="str">
        <f>IFERROR(LEFT(I2651,FIND("*",I2651)-1),"-")</f>
        <v>-</v>
      </c>
      <c r="V2652" s="19" t="str">
        <f>IFERROR(RIGHT(I2651,LEN(I2651)-FIND("*",I2651)),"-")</f>
        <v>-</v>
      </c>
      <c r="W2652" s="20" t="str">
        <f t="shared" ref="W2652:W2659" si="1438">IFERROR((U2652+V2652)*2/1000,"-")</f>
        <v>-</v>
      </c>
      <c r="X2652" s="20" t="str">
        <f>IFERROR(W2652*J2651,"-")</f>
        <v>-</v>
      </c>
      <c r="Z2652" s="85" t="s">
        <v>82</v>
      </c>
    </row>
    <row r="2653" spans="1:26" ht="6.95" customHeight="1" x14ac:dyDescent="0.3">
      <c r="A2653" s="154"/>
      <c r="B2653" s="157"/>
      <c r="C2653" s="158"/>
      <c r="D2653" s="161"/>
      <c r="E2653" s="162"/>
      <c r="F2653" s="163"/>
      <c r="G2653" s="164"/>
      <c r="H2653" s="165"/>
      <c r="I2653" s="164"/>
      <c r="J2653" s="165"/>
      <c r="K2653" s="164"/>
      <c r="L2653" s="165"/>
      <c r="M2653" s="6"/>
      <c r="N2653" s="32"/>
      <c r="Q2653" s="10" t="str">
        <f>+CONCATENATE(E2651,K2651)</f>
        <v/>
      </c>
      <c r="R2653" s="10">
        <f>+L2651</f>
        <v>0</v>
      </c>
      <c r="S2653" s="11"/>
      <c r="T2653" s="10">
        <f>+E2651</f>
        <v>0</v>
      </c>
      <c r="U2653" s="19" t="str">
        <f>IFERROR(LEFT(K2651,FIND("*",K2651)-1),"-")</f>
        <v>-</v>
      </c>
      <c r="V2653" s="19" t="str">
        <f>IFERROR(RIGHT(K2651,LEN(K2651)-FIND("*",K2651)),"-")</f>
        <v>-</v>
      </c>
      <c r="W2653" s="20" t="str">
        <f t="shared" si="1438"/>
        <v>-</v>
      </c>
      <c r="X2653" s="20" t="str">
        <f>IFERROR(W2653*L2651,"-")</f>
        <v>-</v>
      </c>
      <c r="Z2653" s="85" t="s">
        <v>82</v>
      </c>
    </row>
    <row r="2654" spans="1:26" ht="6.95" customHeight="1" x14ac:dyDescent="0.3">
      <c r="A2654" s="8"/>
      <c r="B2654" s="157"/>
      <c r="C2654" s="158"/>
      <c r="D2654" s="161" t="s">
        <v>39</v>
      </c>
      <c r="E2654" s="162"/>
      <c r="F2654" s="163" t="s">
        <v>40</v>
      </c>
      <c r="G2654" s="164"/>
      <c r="H2654" s="165"/>
      <c r="I2654" s="164"/>
      <c r="J2654" s="165"/>
      <c r="K2654" s="164"/>
      <c r="L2654" s="165"/>
      <c r="M2654" s="6"/>
      <c r="N2654" s="32"/>
      <c r="Q2654" s="10" t="str">
        <f>+CONCATENATE(E2654,G2654)</f>
        <v/>
      </c>
      <c r="R2654" s="10">
        <f>+H2654</f>
        <v>0</v>
      </c>
      <c r="S2654" s="11"/>
      <c r="T2654" s="10">
        <f>+E2654</f>
        <v>0</v>
      </c>
      <c r="U2654" s="19" t="str">
        <f t="shared" ref="U2654" si="1439">IFERROR(LEFT(G2654,FIND("*",G2654)-1),"-")</f>
        <v>-</v>
      </c>
      <c r="V2654" s="19" t="str">
        <f t="shared" ref="V2654" si="1440">IFERROR(RIGHT(G2654,LEN(G2654)-FIND("*",G2654)),"-")</f>
        <v>-</v>
      </c>
      <c r="W2654" s="20" t="str">
        <f t="shared" si="1438"/>
        <v>-</v>
      </c>
      <c r="X2654" s="20" t="str">
        <f>IFERROR(W2654*H2654,"-")</f>
        <v>-</v>
      </c>
      <c r="Z2654" s="85" t="s">
        <v>82</v>
      </c>
    </row>
    <row r="2655" spans="1:26" ht="6.95" customHeight="1" x14ac:dyDescent="0.3">
      <c r="A2655" s="5"/>
      <c r="B2655" s="157"/>
      <c r="C2655" s="158"/>
      <c r="D2655" s="161"/>
      <c r="E2655" s="162"/>
      <c r="F2655" s="163"/>
      <c r="G2655" s="164"/>
      <c r="H2655" s="165"/>
      <c r="I2655" s="164"/>
      <c r="J2655" s="165"/>
      <c r="K2655" s="164"/>
      <c r="L2655" s="165"/>
      <c r="M2655" s="6"/>
      <c r="N2655" s="32"/>
      <c r="Q2655" s="10" t="str">
        <f>+CONCATENATE(E2654,I2654)</f>
        <v/>
      </c>
      <c r="R2655" s="10">
        <f>+J2654</f>
        <v>0</v>
      </c>
      <c r="S2655" s="11"/>
      <c r="T2655" s="10">
        <f>+E2654</f>
        <v>0</v>
      </c>
      <c r="U2655" s="19" t="str">
        <f>IFERROR(LEFT(I2654,FIND("*",I2654)-1),"-")</f>
        <v>-</v>
      </c>
      <c r="V2655" s="19" t="str">
        <f>IFERROR(RIGHT(I2654,LEN(I2654)-FIND("*",I2654)),"-")</f>
        <v>-</v>
      </c>
      <c r="W2655" s="20" t="str">
        <f t="shared" si="1438"/>
        <v>-</v>
      </c>
      <c r="X2655" s="20" t="str">
        <f>IFERROR(W2655*J2654,"-")</f>
        <v>-</v>
      </c>
      <c r="Z2655" s="85" t="s">
        <v>82</v>
      </c>
    </row>
    <row r="2656" spans="1:26" ht="6.95" customHeight="1" x14ac:dyDescent="0.3">
      <c r="A2656" s="5"/>
      <c r="B2656" s="157"/>
      <c r="C2656" s="158"/>
      <c r="D2656" s="161"/>
      <c r="E2656" s="162"/>
      <c r="F2656" s="163"/>
      <c r="G2656" s="164"/>
      <c r="H2656" s="165"/>
      <c r="I2656" s="164"/>
      <c r="J2656" s="165"/>
      <c r="K2656" s="164"/>
      <c r="L2656" s="165"/>
      <c r="M2656" s="6"/>
      <c r="N2656" s="32"/>
      <c r="Q2656" s="10" t="str">
        <f>+CONCATENATE(E2654,K2654)</f>
        <v/>
      </c>
      <c r="R2656" s="10">
        <f>+L2654</f>
        <v>0</v>
      </c>
      <c r="S2656" s="11"/>
      <c r="T2656" s="10">
        <f>+E2654</f>
        <v>0</v>
      </c>
      <c r="U2656" s="19" t="str">
        <f>IFERROR(LEFT(K2654,FIND("*",K2654)-1),"-")</f>
        <v>-</v>
      </c>
      <c r="V2656" s="19" t="str">
        <f>IFERROR(RIGHT(K2654,LEN(K2654)-FIND("*",K2654)),"-")</f>
        <v>-</v>
      </c>
      <c r="W2656" s="20" t="str">
        <f t="shared" si="1438"/>
        <v>-</v>
      </c>
      <c r="X2656" s="20" t="str">
        <f>IFERROR(W2656*L2654,"-")</f>
        <v>-</v>
      </c>
      <c r="Z2656" s="85" t="s">
        <v>82</v>
      </c>
    </row>
    <row r="2657" spans="1:26" ht="6.95" customHeight="1" x14ac:dyDescent="0.3">
      <c r="A2657" s="8"/>
      <c r="B2657" s="157"/>
      <c r="C2657" s="158"/>
      <c r="D2657" s="161" t="s">
        <v>39</v>
      </c>
      <c r="E2657" s="162"/>
      <c r="F2657" s="163" t="s">
        <v>40</v>
      </c>
      <c r="G2657" s="164"/>
      <c r="H2657" s="165"/>
      <c r="I2657" s="164"/>
      <c r="J2657" s="165"/>
      <c r="K2657" s="164"/>
      <c r="L2657" s="165"/>
      <c r="M2657" s="6"/>
      <c r="N2657" s="32"/>
      <c r="Q2657" s="10" t="str">
        <f>+CONCATENATE(E2657,G2657)</f>
        <v/>
      </c>
      <c r="R2657" s="10">
        <f>+H2657</f>
        <v>0</v>
      </c>
      <c r="S2657" s="11"/>
      <c r="T2657" s="10">
        <f>+E2657</f>
        <v>0</v>
      </c>
      <c r="U2657" s="19" t="str">
        <f t="shared" ref="U2657" si="1441">IFERROR(LEFT(G2657,FIND("*",G2657)-1),"-")</f>
        <v>-</v>
      </c>
      <c r="V2657" s="19" t="str">
        <f t="shared" ref="V2657" si="1442">IFERROR(RIGHT(G2657,LEN(G2657)-FIND("*",G2657)),"-")</f>
        <v>-</v>
      </c>
      <c r="W2657" s="20" t="str">
        <f t="shared" si="1438"/>
        <v>-</v>
      </c>
      <c r="X2657" s="20" t="str">
        <f>IFERROR(W2657*H2657,"-")</f>
        <v>-</v>
      </c>
      <c r="Z2657" s="85" t="s">
        <v>82</v>
      </c>
    </row>
    <row r="2658" spans="1:26" ht="6.95" customHeight="1" x14ac:dyDescent="0.3">
      <c r="A2658" s="5"/>
      <c r="B2658" s="157"/>
      <c r="C2658" s="158"/>
      <c r="D2658" s="161"/>
      <c r="E2658" s="162"/>
      <c r="F2658" s="163"/>
      <c r="G2658" s="164"/>
      <c r="H2658" s="165"/>
      <c r="I2658" s="164"/>
      <c r="J2658" s="165"/>
      <c r="K2658" s="164"/>
      <c r="L2658" s="165"/>
      <c r="M2658" s="6"/>
      <c r="N2658" s="32"/>
      <c r="Q2658" s="10" t="str">
        <f>+CONCATENATE(E2657,I2657)</f>
        <v/>
      </c>
      <c r="R2658" s="10">
        <f>+J2657</f>
        <v>0</v>
      </c>
      <c r="S2658" s="11"/>
      <c r="T2658" s="10">
        <f>+E2657</f>
        <v>0</v>
      </c>
      <c r="U2658" s="19" t="str">
        <f>IFERROR(LEFT(I2657,FIND("*",I2657)-1),"-")</f>
        <v>-</v>
      </c>
      <c r="V2658" s="19" t="str">
        <f>IFERROR(RIGHT(I2657,LEN(I2657)-FIND("*",I2657)),"-")</f>
        <v>-</v>
      </c>
      <c r="W2658" s="20" t="str">
        <f t="shared" si="1438"/>
        <v>-</v>
      </c>
      <c r="X2658" s="20" t="str">
        <f t="shared" ref="X2658" si="1443">IFERROR(W2658*J2657,"-")</f>
        <v>-</v>
      </c>
      <c r="Z2658" s="85" t="s">
        <v>82</v>
      </c>
    </row>
    <row r="2659" spans="1:26" ht="6.95" customHeight="1" x14ac:dyDescent="0.3">
      <c r="A2659" s="5"/>
      <c r="B2659" s="157"/>
      <c r="C2659" s="158"/>
      <c r="D2659" s="161"/>
      <c r="E2659" s="162"/>
      <c r="F2659" s="163"/>
      <c r="G2659" s="164"/>
      <c r="H2659" s="165"/>
      <c r="I2659" s="164"/>
      <c r="J2659" s="165"/>
      <c r="K2659" s="164"/>
      <c r="L2659" s="165"/>
      <c r="M2659" s="6"/>
      <c r="N2659" s="32"/>
      <c r="Q2659" s="10" t="str">
        <f>+CONCATENATE(E2657,K2657)</f>
        <v/>
      </c>
      <c r="R2659" s="10">
        <f>+L2657</f>
        <v>0</v>
      </c>
      <c r="S2659" s="11"/>
      <c r="T2659" s="10">
        <f>+E2657</f>
        <v>0</v>
      </c>
      <c r="U2659" s="19" t="str">
        <f>IFERROR(LEFT(K2657,FIND("*",K2657)-1),"-")</f>
        <v>-</v>
      </c>
      <c r="V2659" s="19" t="str">
        <f>IFERROR(RIGHT(K2657,LEN(K2657)-FIND("*",K2657)),"-")</f>
        <v>-</v>
      </c>
      <c r="W2659" s="20" t="str">
        <f t="shared" si="1438"/>
        <v>-</v>
      </c>
      <c r="X2659" s="20" t="str">
        <f>IFERROR(W2659*L2657,"-")</f>
        <v>-</v>
      </c>
      <c r="Z2659" s="85" t="s">
        <v>82</v>
      </c>
    </row>
    <row r="2660" spans="1:26" ht="21" customHeight="1" thickBot="1" x14ac:dyDescent="0.35">
      <c r="A2660" s="5"/>
      <c r="B2660" s="159"/>
      <c r="C2660" s="160"/>
      <c r="D2660" s="166" t="s">
        <v>43</v>
      </c>
      <c r="E2660" s="167"/>
      <c r="F2660" s="167"/>
      <c r="G2660" s="168"/>
      <c r="H2660" s="168"/>
      <c r="I2660" s="168"/>
      <c r="J2660" s="168"/>
      <c r="K2660" s="168"/>
      <c r="L2660" s="168"/>
      <c r="M2660" s="7"/>
      <c r="N2660" s="32"/>
      <c r="Z2660" s="86" t="s">
        <v>81</v>
      </c>
    </row>
    <row r="2661" spans="1:26" ht="9.9499999999999993" customHeight="1" thickBot="1" x14ac:dyDescent="0.35">
      <c r="B2661" s="9"/>
      <c r="C2661" s="109"/>
      <c r="D2661" s="51"/>
      <c r="E2661" s="12"/>
      <c r="F2661" s="51"/>
      <c r="G2661" s="14"/>
      <c r="H2661" s="14"/>
      <c r="I2661" s="14"/>
      <c r="J2661" s="14"/>
      <c r="K2661" s="14"/>
      <c r="L2661" s="14"/>
      <c r="M2661" s="9"/>
      <c r="N2661" s="32"/>
      <c r="U2661" s="18"/>
      <c r="V2661" s="18"/>
      <c r="Z2661" s="85" t="s">
        <v>82</v>
      </c>
    </row>
    <row r="2662" spans="1:26" ht="6.95" customHeight="1" x14ac:dyDescent="0.3">
      <c r="A2662" s="154">
        <f>+A2651+1</f>
        <v>1041</v>
      </c>
      <c r="B2662" s="155"/>
      <c r="C2662" s="156"/>
      <c r="D2662" s="161" t="s">
        <v>39</v>
      </c>
      <c r="E2662" s="162"/>
      <c r="F2662" s="163" t="s">
        <v>40</v>
      </c>
      <c r="G2662" s="164"/>
      <c r="H2662" s="165"/>
      <c r="I2662" s="164"/>
      <c r="J2662" s="165"/>
      <c r="K2662" s="164"/>
      <c r="L2662" s="165"/>
      <c r="M2662" s="6"/>
      <c r="N2662" s="32"/>
      <c r="Q2662" s="10" t="str">
        <f>+CONCATENATE(E2662,G2662)</f>
        <v/>
      </c>
      <c r="R2662" s="10">
        <f>+H2662</f>
        <v>0</v>
      </c>
      <c r="S2662" s="11"/>
      <c r="T2662" s="10">
        <f>+E2662</f>
        <v>0</v>
      </c>
      <c r="U2662" s="19" t="str">
        <f>IFERROR(LEFT(G2662,FIND("*",G2662)-1),"-")</f>
        <v>-</v>
      </c>
      <c r="V2662" s="19" t="str">
        <f>IFERROR(RIGHT(G2662,LEN(G2662)-FIND("*",G2662)),"-")</f>
        <v>-</v>
      </c>
      <c r="W2662" s="20" t="str">
        <f>IFERROR((U2662+V2662)*2/1000,"-")</f>
        <v>-</v>
      </c>
      <c r="X2662" s="20" t="str">
        <f>IFERROR(W2662*H2662,"-")</f>
        <v>-</v>
      </c>
      <c r="Z2662" s="85" t="s">
        <v>82</v>
      </c>
    </row>
    <row r="2663" spans="1:26" ht="6.95" customHeight="1" x14ac:dyDescent="0.3">
      <c r="A2663" s="154"/>
      <c r="B2663" s="157"/>
      <c r="C2663" s="158"/>
      <c r="D2663" s="161"/>
      <c r="E2663" s="162"/>
      <c r="F2663" s="163"/>
      <c r="G2663" s="164"/>
      <c r="H2663" s="165"/>
      <c r="I2663" s="164"/>
      <c r="J2663" s="165"/>
      <c r="K2663" s="164"/>
      <c r="L2663" s="165"/>
      <c r="M2663" s="6"/>
      <c r="N2663" s="32"/>
      <c r="Q2663" s="10" t="str">
        <f>+CONCATENATE(E2662,I2662)</f>
        <v/>
      </c>
      <c r="R2663" s="10">
        <f>+J2662</f>
        <v>0</v>
      </c>
      <c r="S2663" s="11"/>
      <c r="T2663" s="10">
        <f>+E2662</f>
        <v>0</v>
      </c>
      <c r="U2663" s="19" t="str">
        <f>IFERROR(LEFT(I2662,FIND("*",I2662)-1),"-")</f>
        <v>-</v>
      </c>
      <c r="V2663" s="19" t="str">
        <f>IFERROR(RIGHT(I2662,LEN(I2662)-FIND("*",I2662)),"-")</f>
        <v>-</v>
      </c>
      <c r="W2663" s="20" t="str">
        <f t="shared" ref="W2663:W2670" si="1444">IFERROR((U2663+V2663)*2/1000,"-")</f>
        <v>-</v>
      </c>
      <c r="X2663" s="20" t="str">
        <f>IFERROR(W2663*J2662,"-")</f>
        <v>-</v>
      </c>
      <c r="Z2663" s="85" t="s">
        <v>82</v>
      </c>
    </row>
    <row r="2664" spans="1:26" ht="6.95" customHeight="1" x14ac:dyDescent="0.3">
      <c r="A2664" s="154"/>
      <c r="B2664" s="157"/>
      <c r="C2664" s="158"/>
      <c r="D2664" s="161"/>
      <c r="E2664" s="162"/>
      <c r="F2664" s="163"/>
      <c r="G2664" s="164"/>
      <c r="H2664" s="165"/>
      <c r="I2664" s="164"/>
      <c r="J2664" s="165"/>
      <c r="K2664" s="164"/>
      <c r="L2664" s="165"/>
      <c r="M2664" s="6"/>
      <c r="N2664" s="32"/>
      <c r="Q2664" s="10" t="str">
        <f>+CONCATENATE(E2662,K2662)</f>
        <v/>
      </c>
      <c r="R2664" s="10">
        <f>+L2662</f>
        <v>0</v>
      </c>
      <c r="S2664" s="11"/>
      <c r="T2664" s="10">
        <f>+E2662</f>
        <v>0</v>
      </c>
      <c r="U2664" s="19" t="str">
        <f>IFERROR(LEFT(K2662,FIND("*",K2662)-1),"-")</f>
        <v>-</v>
      </c>
      <c r="V2664" s="19" t="str">
        <f>IFERROR(RIGHT(K2662,LEN(K2662)-FIND("*",K2662)),"-")</f>
        <v>-</v>
      </c>
      <c r="W2664" s="20" t="str">
        <f t="shared" si="1444"/>
        <v>-</v>
      </c>
      <c r="X2664" s="20" t="str">
        <f>IFERROR(W2664*L2662,"-")</f>
        <v>-</v>
      </c>
      <c r="Z2664" s="85" t="s">
        <v>82</v>
      </c>
    </row>
    <row r="2665" spans="1:26" ht="6.95" customHeight="1" x14ac:dyDescent="0.3">
      <c r="A2665" s="8"/>
      <c r="B2665" s="157"/>
      <c r="C2665" s="158"/>
      <c r="D2665" s="161" t="s">
        <v>39</v>
      </c>
      <c r="E2665" s="162"/>
      <c r="F2665" s="163" t="s">
        <v>40</v>
      </c>
      <c r="G2665" s="164"/>
      <c r="H2665" s="165"/>
      <c r="I2665" s="164"/>
      <c r="J2665" s="165"/>
      <c r="K2665" s="164"/>
      <c r="L2665" s="165"/>
      <c r="M2665" s="6"/>
      <c r="N2665" s="32"/>
      <c r="Q2665" s="10" t="str">
        <f>+CONCATENATE(E2665,G2665)</f>
        <v/>
      </c>
      <c r="R2665" s="10">
        <f>+H2665</f>
        <v>0</v>
      </c>
      <c r="S2665" s="11"/>
      <c r="T2665" s="10">
        <f>+E2665</f>
        <v>0</v>
      </c>
      <c r="U2665" s="19" t="str">
        <f t="shared" ref="U2665" si="1445">IFERROR(LEFT(G2665,FIND("*",G2665)-1),"-")</f>
        <v>-</v>
      </c>
      <c r="V2665" s="19" t="str">
        <f t="shared" ref="V2665" si="1446">IFERROR(RIGHT(G2665,LEN(G2665)-FIND("*",G2665)),"-")</f>
        <v>-</v>
      </c>
      <c r="W2665" s="20" t="str">
        <f t="shared" si="1444"/>
        <v>-</v>
      </c>
      <c r="X2665" s="20" t="str">
        <f>IFERROR(W2665*H2665,"-")</f>
        <v>-</v>
      </c>
      <c r="Z2665" s="85" t="s">
        <v>82</v>
      </c>
    </row>
    <row r="2666" spans="1:26" ht="6.95" customHeight="1" x14ac:dyDescent="0.3">
      <c r="A2666" s="5"/>
      <c r="B2666" s="157"/>
      <c r="C2666" s="158"/>
      <c r="D2666" s="161"/>
      <c r="E2666" s="162"/>
      <c r="F2666" s="163"/>
      <c r="G2666" s="164"/>
      <c r="H2666" s="165"/>
      <c r="I2666" s="164"/>
      <c r="J2666" s="165"/>
      <c r="K2666" s="164"/>
      <c r="L2666" s="165"/>
      <c r="M2666" s="6"/>
      <c r="N2666" s="32"/>
      <c r="Q2666" s="10" t="str">
        <f>+CONCATENATE(E2665,I2665)</f>
        <v/>
      </c>
      <c r="R2666" s="10">
        <f>+J2665</f>
        <v>0</v>
      </c>
      <c r="S2666" s="11"/>
      <c r="T2666" s="10">
        <f>+E2665</f>
        <v>0</v>
      </c>
      <c r="U2666" s="19" t="str">
        <f>IFERROR(LEFT(I2665,FIND("*",I2665)-1),"-")</f>
        <v>-</v>
      </c>
      <c r="V2666" s="19" t="str">
        <f>IFERROR(RIGHT(I2665,LEN(I2665)-FIND("*",I2665)),"-")</f>
        <v>-</v>
      </c>
      <c r="W2666" s="20" t="str">
        <f t="shared" si="1444"/>
        <v>-</v>
      </c>
      <c r="X2666" s="20" t="str">
        <f>IFERROR(W2666*J2665,"-")</f>
        <v>-</v>
      </c>
      <c r="Z2666" s="85" t="s">
        <v>82</v>
      </c>
    </row>
    <row r="2667" spans="1:26" ht="6.95" customHeight="1" x14ac:dyDescent="0.3">
      <c r="A2667" s="5"/>
      <c r="B2667" s="157"/>
      <c r="C2667" s="158"/>
      <c r="D2667" s="161"/>
      <c r="E2667" s="162"/>
      <c r="F2667" s="163"/>
      <c r="G2667" s="164"/>
      <c r="H2667" s="165"/>
      <c r="I2667" s="164"/>
      <c r="J2667" s="165"/>
      <c r="K2667" s="164"/>
      <c r="L2667" s="165"/>
      <c r="M2667" s="6"/>
      <c r="N2667" s="32"/>
      <c r="Q2667" s="10" t="str">
        <f>+CONCATENATE(E2665,K2665)</f>
        <v/>
      </c>
      <c r="R2667" s="10">
        <f>+L2665</f>
        <v>0</v>
      </c>
      <c r="S2667" s="11"/>
      <c r="T2667" s="10">
        <f>+E2665</f>
        <v>0</v>
      </c>
      <c r="U2667" s="19" t="str">
        <f>IFERROR(LEFT(K2665,FIND("*",K2665)-1),"-")</f>
        <v>-</v>
      </c>
      <c r="V2667" s="19" t="str">
        <f>IFERROR(RIGHT(K2665,LEN(K2665)-FIND("*",K2665)),"-")</f>
        <v>-</v>
      </c>
      <c r="W2667" s="20" t="str">
        <f t="shared" si="1444"/>
        <v>-</v>
      </c>
      <c r="X2667" s="20" t="str">
        <f>IFERROR(W2667*L2665,"-")</f>
        <v>-</v>
      </c>
      <c r="Z2667" s="85" t="s">
        <v>82</v>
      </c>
    </row>
    <row r="2668" spans="1:26" ht="6.95" customHeight="1" x14ac:dyDescent="0.3">
      <c r="A2668" s="8"/>
      <c r="B2668" s="157"/>
      <c r="C2668" s="158"/>
      <c r="D2668" s="161" t="s">
        <v>39</v>
      </c>
      <c r="E2668" s="162"/>
      <c r="F2668" s="163" t="s">
        <v>40</v>
      </c>
      <c r="G2668" s="164"/>
      <c r="H2668" s="165"/>
      <c r="I2668" s="164"/>
      <c r="J2668" s="165"/>
      <c r="K2668" s="164"/>
      <c r="L2668" s="165"/>
      <c r="M2668" s="6"/>
      <c r="N2668" s="32"/>
      <c r="Q2668" s="10" t="str">
        <f>+CONCATENATE(E2668,G2668)</f>
        <v/>
      </c>
      <c r="R2668" s="10">
        <f>+H2668</f>
        <v>0</v>
      </c>
      <c r="S2668" s="11"/>
      <c r="T2668" s="10">
        <f>+E2668</f>
        <v>0</v>
      </c>
      <c r="U2668" s="19" t="str">
        <f t="shared" ref="U2668" si="1447">IFERROR(LEFT(G2668,FIND("*",G2668)-1),"-")</f>
        <v>-</v>
      </c>
      <c r="V2668" s="19" t="str">
        <f t="shared" ref="V2668" si="1448">IFERROR(RIGHT(G2668,LEN(G2668)-FIND("*",G2668)),"-")</f>
        <v>-</v>
      </c>
      <c r="W2668" s="20" t="str">
        <f t="shared" si="1444"/>
        <v>-</v>
      </c>
      <c r="X2668" s="20" t="str">
        <f>IFERROR(W2668*H2668,"-")</f>
        <v>-</v>
      </c>
      <c r="Z2668" s="85" t="s">
        <v>82</v>
      </c>
    </row>
    <row r="2669" spans="1:26" ht="6.95" customHeight="1" x14ac:dyDescent="0.3">
      <c r="A2669" s="5"/>
      <c r="B2669" s="157"/>
      <c r="C2669" s="158"/>
      <c r="D2669" s="161"/>
      <c r="E2669" s="162"/>
      <c r="F2669" s="163"/>
      <c r="G2669" s="164"/>
      <c r="H2669" s="165"/>
      <c r="I2669" s="164"/>
      <c r="J2669" s="165"/>
      <c r="K2669" s="164"/>
      <c r="L2669" s="165"/>
      <c r="M2669" s="6"/>
      <c r="N2669" s="32"/>
      <c r="Q2669" s="10" t="str">
        <f>+CONCATENATE(E2668,I2668)</f>
        <v/>
      </c>
      <c r="R2669" s="10">
        <f>+J2668</f>
        <v>0</v>
      </c>
      <c r="S2669" s="11"/>
      <c r="T2669" s="10">
        <f>+E2668</f>
        <v>0</v>
      </c>
      <c r="U2669" s="19" t="str">
        <f>IFERROR(LEFT(I2668,FIND("*",I2668)-1),"-")</f>
        <v>-</v>
      </c>
      <c r="V2669" s="19" t="str">
        <f>IFERROR(RIGHT(I2668,LEN(I2668)-FIND("*",I2668)),"-")</f>
        <v>-</v>
      </c>
      <c r="W2669" s="20" t="str">
        <f t="shared" si="1444"/>
        <v>-</v>
      </c>
      <c r="X2669" s="20" t="str">
        <f t="shared" ref="X2669" si="1449">IFERROR(W2669*J2668,"-")</f>
        <v>-</v>
      </c>
      <c r="Z2669" s="85" t="s">
        <v>82</v>
      </c>
    </row>
    <row r="2670" spans="1:26" ht="6.95" customHeight="1" x14ac:dyDescent="0.3">
      <c r="A2670" s="5"/>
      <c r="B2670" s="157"/>
      <c r="C2670" s="158"/>
      <c r="D2670" s="161"/>
      <c r="E2670" s="162"/>
      <c r="F2670" s="163"/>
      <c r="G2670" s="164"/>
      <c r="H2670" s="165"/>
      <c r="I2670" s="164"/>
      <c r="J2670" s="165"/>
      <c r="K2670" s="164"/>
      <c r="L2670" s="165"/>
      <c r="M2670" s="6"/>
      <c r="N2670" s="32"/>
      <c r="Q2670" s="10" t="str">
        <f>+CONCATENATE(E2668,K2668)</f>
        <v/>
      </c>
      <c r="R2670" s="10">
        <f>+L2668</f>
        <v>0</v>
      </c>
      <c r="S2670" s="11"/>
      <c r="T2670" s="10">
        <f>+E2668</f>
        <v>0</v>
      </c>
      <c r="U2670" s="19" t="str">
        <f>IFERROR(LEFT(K2668,FIND("*",K2668)-1),"-")</f>
        <v>-</v>
      </c>
      <c r="V2670" s="19" t="str">
        <f>IFERROR(RIGHT(K2668,LEN(K2668)-FIND("*",K2668)),"-")</f>
        <v>-</v>
      </c>
      <c r="W2670" s="20" t="str">
        <f t="shared" si="1444"/>
        <v>-</v>
      </c>
      <c r="X2670" s="20" t="str">
        <f>IFERROR(W2670*L2668,"-")</f>
        <v>-</v>
      </c>
      <c r="Z2670" s="85" t="s">
        <v>82</v>
      </c>
    </row>
    <row r="2671" spans="1:26" ht="21" customHeight="1" thickBot="1" x14ac:dyDescent="0.35">
      <c r="A2671" s="5"/>
      <c r="B2671" s="159"/>
      <c r="C2671" s="160"/>
      <c r="D2671" s="166" t="s">
        <v>43</v>
      </c>
      <c r="E2671" s="167"/>
      <c r="F2671" s="167"/>
      <c r="G2671" s="168"/>
      <c r="H2671" s="168"/>
      <c r="I2671" s="168"/>
      <c r="J2671" s="168"/>
      <c r="K2671" s="168"/>
      <c r="L2671" s="168"/>
      <c r="M2671" s="7"/>
      <c r="N2671" s="32"/>
      <c r="Z2671" s="86" t="s">
        <v>81</v>
      </c>
    </row>
    <row r="2672" spans="1:26" ht="9.9499999999999993" customHeight="1" thickBot="1" x14ac:dyDescent="0.35">
      <c r="B2672" s="9"/>
      <c r="C2672" s="109"/>
      <c r="D2672" s="51"/>
      <c r="E2672" s="12"/>
      <c r="F2672" s="51"/>
      <c r="G2672" s="14"/>
      <c r="H2672" s="14"/>
      <c r="I2672" s="14"/>
      <c r="J2672" s="14"/>
      <c r="K2672" s="14"/>
      <c r="L2672" s="14"/>
      <c r="M2672" s="9"/>
      <c r="N2672" s="32"/>
      <c r="U2672" s="18"/>
      <c r="V2672" s="18"/>
      <c r="Z2672" s="85" t="s">
        <v>82</v>
      </c>
    </row>
    <row r="2673" spans="1:26" ht="6.95" customHeight="1" x14ac:dyDescent="0.3">
      <c r="A2673" s="154">
        <f>+A2662+1</f>
        <v>1042</v>
      </c>
      <c r="B2673" s="155"/>
      <c r="C2673" s="156"/>
      <c r="D2673" s="161" t="s">
        <v>39</v>
      </c>
      <c r="E2673" s="162"/>
      <c r="F2673" s="163" t="s">
        <v>40</v>
      </c>
      <c r="G2673" s="164"/>
      <c r="H2673" s="165"/>
      <c r="I2673" s="164"/>
      <c r="J2673" s="165"/>
      <c r="K2673" s="164"/>
      <c r="L2673" s="165"/>
      <c r="M2673" s="6"/>
      <c r="N2673" s="32"/>
      <c r="Q2673" s="10" t="str">
        <f>+CONCATENATE(E2673,G2673)</f>
        <v/>
      </c>
      <c r="R2673" s="10">
        <f>+H2673</f>
        <v>0</v>
      </c>
      <c r="S2673" s="11"/>
      <c r="T2673" s="10">
        <f>+E2673</f>
        <v>0</v>
      </c>
      <c r="U2673" s="19" t="str">
        <f>IFERROR(LEFT(G2673,FIND("*",G2673)-1),"-")</f>
        <v>-</v>
      </c>
      <c r="V2673" s="19" t="str">
        <f>IFERROR(RIGHT(G2673,LEN(G2673)-FIND("*",G2673)),"-")</f>
        <v>-</v>
      </c>
      <c r="W2673" s="20" t="str">
        <f>IFERROR((U2673+V2673)*2/1000,"-")</f>
        <v>-</v>
      </c>
      <c r="X2673" s="20" t="str">
        <f>IFERROR(W2673*H2673,"-")</f>
        <v>-</v>
      </c>
      <c r="Z2673" s="85" t="s">
        <v>82</v>
      </c>
    </row>
    <row r="2674" spans="1:26" ht="6.95" customHeight="1" x14ac:dyDescent="0.3">
      <c r="A2674" s="154"/>
      <c r="B2674" s="157"/>
      <c r="C2674" s="158"/>
      <c r="D2674" s="161"/>
      <c r="E2674" s="162"/>
      <c r="F2674" s="163"/>
      <c r="G2674" s="164"/>
      <c r="H2674" s="165"/>
      <c r="I2674" s="164"/>
      <c r="J2674" s="165"/>
      <c r="K2674" s="164"/>
      <c r="L2674" s="165"/>
      <c r="M2674" s="6"/>
      <c r="N2674" s="32"/>
      <c r="Q2674" s="10" t="str">
        <f>+CONCATENATE(E2673,I2673)</f>
        <v/>
      </c>
      <c r="R2674" s="10">
        <f>+J2673</f>
        <v>0</v>
      </c>
      <c r="S2674" s="11"/>
      <c r="T2674" s="10">
        <f>+E2673</f>
        <v>0</v>
      </c>
      <c r="U2674" s="19" t="str">
        <f>IFERROR(LEFT(I2673,FIND("*",I2673)-1),"-")</f>
        <v>-</v>
      </c>
      <c r="V2674" s="19" t="str">
        <f>IFERROR(RIGHT(I2673,LEN(I2673)-FIND("*",I2673)),"-")</f>
        <v>-</v>
      </c>
      <c r="W2674" s="20" t="str">
        <f t="shared" ref="W2674:W2681" si="1450">IFERROR((U2674+V2674)*2/1000,"-")</f>
        <v>-</v>
      </c>
      <c r="X2674" s="20" t="str">
        <f>IFERROR(W2674*J2673,"-")</f>
        <v>-</v>
      </c>
      <c r="Z2674" s="85" t="s">
        <v>82</v>
      </c>
    </row>
    <row r="2675" spans="1:26" ht="6.95" customHeight="1" x14ac:dyDescent="0.3">
      <c r="A2675" s="154"/>
      <c r="B2675" s="157"/>
      <c r="C2675" s="158"/>
      <c r="D2675" s="161"/>
      <c r="E2675" s="162"/>
      <c r="F2675" s="163"/>
      <c r="G2675" s="164"/>
      <c r="H2675" s="165"/>
      <c r="I2675" s="164"/>
      <c r="J2675" s="165"/>
      <c r="K2675" s="164"/>
      <c r="L2675" s="165"/>
      <c r="M2675" s="6"/>
      <c r="N2675" s="32"/>
      <c r="Q2675" s="10" t="str">
        <f>+CONCATENATE(E2673,K2673)</f>
        <v/>
      </c>
      <c r="R2675" s="10">
        <f>+L2673</f>
        <v>0</v>
      </c>
      <c r="S2675" s="11"/>
      <c r="T2675" s="10">
        <f>+E2673</f>
        <v>0</v>
      </c>
      <c r="U2675" s="19" t="str">
        <f>IFERROR(LEFT(K2673,FIND("*",K2673)-1),"-")</f>
        <v>-</v>
      </c>
      <c r="V2675" s="19" t="str">
        <f>IFERROR(RIGHT(K2673,LEN(K2673)-FIND("*",K2673)),"-")</f>
        <v>-</v>
      </c>
      <c r="W2675" s="20" t="str">
        <f t="shared" si="1450"/>
        <v>-</v>
      </c>
      <c r="X2675" s="20" t="str">
        <f>IFERROR(W2675*L2673,"-")</f>
        <v>-</v>
      </c>
      <c r="Z2675" s="85" t="s">
        <v>82</v>
      </c>
    </row>
    <row r="2676" spans="1:26" ht="6.95" customHeight="1" x14ac:dyDescent="0.3">
      <c r="A2676" s="8"/>
      <c r="B2676" s="157"/>
      <c r="C2676" s="158"/>
      <c r="D2676" s="161" t="s">
        <v>39</v>
      </c>
      <c r="E2676" s="162"/>
      <c r="F2676" s="163" t="s">
        <v>40</v>
      </c>
      <c r="G2676" s="164"/>
      <c r="H2676" s="165"/>
      <c r="I2676" s="164"/>
      <c r="J2676" s="165"/>
      <c r="K2676" s="164"/>
      <c r="L2676" s="165"/>
      <c r="M2676" s="6"/>
      <c r="N2676" s="32"/>
      <c r="Q2676" s="10" t="str">
        <f>+CONCATENATE(E2676,G2676)</f>
        <v/>
      </c>
      <c r="R2676" s="10">
        <f>+H2676</f>
        <v>0</v>
      </c>
      <c r="S2676" s="11"/>
      <c r="T2676" s="10">
        <f>+E2676</f>
        <v>0</v>
      </c>
      <c r="U2676" s="19" t="str">
        <f t="shared" ref="U2676" si="1451">IFERROR(LEFT(G2676,FIND("*",G2676)-1),"-")</f>
        <v>-</v>
      </c>
      <c r="V2676" s="19" t="str">
        <f t="shared" ref="V2676" si="1452">IFERROR(RIGHT(G2676,LEN(G2676)-FIND("*",G2676)),"-")</f>
        <v>-</v>
      </c>
      <c r="W2676" s="20" t="str">
        <f t="shared" si="1450"/>
        <v>-</v>
      </c>
      <c r="X2676" s="20" t="str">
        <f>IFERROR(W2676*H2676,"-")</f>
        <v>-</v>
      </c>
      <c r="Z2676" s="85" t="s">
        <v>82</v>
      </c>
    </row>
    <row r="2677" spans="1:26" ht="6.95" customHeight="1" x14ac:dyDescent="0.3">
      <c r="A2677" s="5"/>
      <c r="B2677" s="157"/>
      <c r="C2677" s="158"/>
      <c r="D2677" s="161"/>
      <c r="E2677" s="162"/>
      <c r="F2677" s="163"/>
      <c r="G2677" s="164"/>
      <c r="H2677" s="165"/>
      <c r="I2677" s="164"/>
      <c r="J2677" s="165"/>
      <c r="K2677" s="164"/>
      <c r="L2677" s="165"/>
      <c r="M2677" s="6"/>
      <c r="N2677" s="32"/>
      <c r="Q2677" s="10" t="str">
        <f>+CONCATENATE(E2676,I2676)</f>
        <v/>
      </c>
      <c r="R2677" s="10">
        <f>+J2676</f>
        <v>0</v>
      </c>
      <c r="S2677" s="11"/>
      <c r="T2677" s="10">
        <f>+E2676</f>
        <v>0</v>
      </c>
      <c r="U2677" s="19" t="str">
        <f>IFERROR(LEFT(I2676,FIND("*",I2676)-1),"-")</f>
        <v>-</v>
      </c>
      <c r="V2677" s="19" t="str">
        <f>IFERROR(RIGHT(I2676,LEN(I2676)-FIND("*",I2676)),"-")</f>
        <v>-</v>
      </c>
      <c r="W2677" s="20" t="str">
        <f t="shared" si="1450"/>
        <v>-</v>
      </c>
      <c r="X2677" s="20" t="str">
        <f>IFERROR(W2677*J2676,"-")</f>
        <v>-</v>
      </c>
      <c r="Z2677" s="85" t="s">
        <v>82</v>
      </c>
    </row>
    <row r="2678" spans="1:26" ht="6.95" customHeight="1" x14ac:dyDescent="0.3">
      <c r="A2678" s="5"/>
      <c r="B2678" s="157"/>
      <c r="C2678" s="158"/>
      <c r="D2678" s="161"/>
      <c r="E2678" s="162"/>
      <c r="F2678" s="163"/>
      <c r="G2678" s="164"/>
      <c r="H2678" s="165"/>
      <c r="I2678" s="164"/>
      <c r="J2678" s="165"/>
      <c r="K2678" s="164"/>
      <c r="L2678" s="165"/>
      <c r="M2678" s="6"/>
      <c r="N2678" s="32"/>
      <c r="Q2678" s="10" t="str">
        <f>+CONCATENATE(E2676,K2676)</f>
        <v/>
      </c>
      <c r="R2678" s="10">
        <f>+L2676</f>
        <v>0</v>
      </c>
      <c r="S2678" s="11"/>
      <c r="T2678" s="10">
        <f>+E2676</f>
        <v>0</v>
      </c>
      <c r="U2678" s="19" t="str">
        <f>IFERROR(LEFT(K2676,FIND("*",K2676)-1),"-")</f>
        <v>-</v>
      </c>
      <c r="V2678" s="19" t="str">
        <f>IFERROR(RIGHT(K2676,LEN(K2676)-FIND("*",K2676)),"-")</f>
        <v>-</v>
      </c>
      <c r="W2678" s="20" t="str">
        <f t="shared" si="1450"/>
        <v>-</v>
      </c>
      <c r="X2678" s="20" t="str">
        <f>IFERROR(W2678*L2676,"-")</f>
        <v>-</v>
      </c>
      <c r="Z2678" s="85" t="s">
        <v>82</v>
      </c>
    </row>
    <row r="2679" spans="1:26" ht="6.95" customHeight="1" x14ac:dyDescent="0.3">
      <c r="A2679" s="8"/>
      <c r="B2679" s="157"/>
      <c r="C2679" s="158"/>
      <c r="D2679" s="161" t="s">
        <v>39</v>
      </c>
      <c r="E2679" s="162"/>
      <c r="F2679" s="163" t="s">
        <v>40</v>
      </c>
      <c r="G2679" s="164"/>
      <c r="H2679" s="165"/>
      <c r="I2679" s="164"/>
      <c r="J2679" s="165"/>
      <c r="K2679" s="164"/>
      <c r="L2679" s="165"/>
      <c r="M2679" s="6"/>
      <c r="N2679" s="32"/>
      <c r="Q2679" s="10" t="str">
        <f>+CONCATENATE(E2679,G2679)</f>
        <v/>
      </c>
      <c r="R2679" s="10">
        <f>+H2679</f>
        <v>0</v>
      </c>
      <c r="S2679" s="11"/>
      <c r="T2679" s="10">
        <f>+E2679</f>
        <v>0</v>
      </c>
      <c r="U2679" s="19" t="str">
        <f t="shared" ref="U2679" si="1453">IFERROR(LEFT(G2679,FIND("*",G2679)-1),"-")</f>
        <v>-</v>
      </c>
      <c r="V2679" s="19" t="str">
        <f t="shared" ref="V2679" si="1454">IFERROR(RIGHT(G2679,LEN(G2679)-FIND("*",G2679)),"-")</f>
        <v>-</v>
      </c>
      <c r="W2679" s="20" t="str">
        <f t="shared" si="1450"/>
        <v>-</v>
      </c>
      <c r="X2679" s="20" t="str">
        <f>IFERROR(W2679*H2679,"-")</f>
        <v>-</v>
      </c>
      <c r="Z2679" s="85" t="s">
        <v>82</v>
      </c>
    </row>
    <row r="2680" spans="1:26" ht="6.95" customHeight="1" x14ac:dyDescent="0.3">
      <c r="A2680" s="5"/>
      <c r="B2680" s="157"/>
      <c r="C2680" s="158"/>
      <c r="D2680" s="161"/>
      <c r="E2680" s="162"/>
      <c r="F2680" s="163"/>
      <c r="G2680" s="164"/>
      <c r="H2680" s="165"/>
      <c r="I2680" s="164"/>
      <c r="J2680" s="165"/>
      <c r="K2680" s="164"/>
      <c r="L2680" s="165"/>
      <c r="M2680" s="6"/>
      <c r="N2680" s="32"/>
      <c r="Q2680" s="10" t="str">
        <f>+CONCATENATE(E2679,I2679)</f>
        <v/>
      </c>
      <c r="R2680" s="10">
        <f>+J2679</f>
        <v>0</v>
      </c>
      <c r="S2680" s="11"/>
      <c r="T2680" s="10">
        <f>+E2679</f>
        <v>0</v>
      </c>
      <c r="U2680" s="19" t="str">
        <f>IFERROR(LEFT(I2679,FIND("*",I2679)-1),"-")</f>
        <v>-</v>
      </c>
      <c r="V2680" s="19" t="str">
        <f>IFERROR(RIGHT(I2679,LEN(I2679)-FIND("*",I2679)),"-")</f>
        <v>-</v>
      </c>
      <c r="W2680" s="20" t="str">
        <f t="shared" si="1450"/>
        <v>-</v>
      </c>
      <c r="X2680" s="20" t="str">
        <f t="shared" ref="X2680" si="1455">IFERROR(W2680*J2679,"-")</f>
        <v>-</v>
      </c>
      <c r="Z2680" s="85" t="s">
        <v>82</v>
      </c>
    </row>
    <row r="2681" spans="1:26" ht="6.95" customHeight="1" x14ac:dyDescent="0.3">
      <c r="A2681" s="5"/>
      <c r="B2681" s="157"/>
      <c r="C2681" s="158"/>
      <c r="D2681" s="161"/>
      <c r="E2681" s="162"/>
      <c r="F2681" s="163"/>
      <c r="G2681" s="164"/>
      <c r="H2681" s="165"/>
      <c r="I2681" s="164"/>
      <c r="J2681" s="165"/>
      <c r="K2681" s="164"/>
      <c r="L2681" s="165"/>
      <c r="M2681" s="6"/>
      <c r="N2681" s="32"/>
      <c r="Q2681" s="10" t="str">
        <f>+CONCATENATE(E2679,K2679)</f>
        <v/>
      </c>
      <c r="R2681" s="10">
        <f>+L2679</f>
        <v>0</v>
      </c>
      <c r="S2681" s="11"/>
      <c r="T2681" s="10">
        <f>+E2679</f>
        <v>0</v>
      </c>
      <c r="U2681" s="19" t="str">
        <f>IFERROR(LEFT(K2679,FIND("*",K2679)-1),"-")</f>
        <v>-</v>
      </c>
      <c r="V2681" s="19" t="str">
        <f>IFERROR(RIGHT(K2679,LEN(K2679)-FIND("*",K2679)),"-")</f>
        <v>-</v>
      </c>
      <c r="W2681" s="20" t="str">
        <f t="shared" si="1450"/>
        <v>-</v>
      </c>
      <c r="X2681" s="20" t="str">
        <f>IFERROR(W2681*L2679,"-")</f>
        <v>-</v>
      </c>
      <c r="Z2681" s="85" t="s">
        <v>82</v>
      </c>
    </row>
    <row r="2682" spans="1:26" ht="21" customHeight="1" thickBot="1" x14ac:dyDescent="0.35">
      <c r="A2682" s="5"/>
      <c r="B2682" s="159"/>
      <c r="C2682" s="160"/>
      <c r="D2682" s="166" t="s">
        <v>43</v>
      </c>
      <c r="E2682" s="167"/>
      <c r="F2682" s="167"/>
      <c r="G2682" s="168"/>
      <c r="H2682" s="168"/>
      <c r="I2682" s="168"/>
      <c r="J2682" s="168"/>
      <c r="K2682" s="168"/>
      <c r="L2682" s="168"/>
      <c r="M2682" s="7"/>
      <c r="N2682" s="32"/>
      <c r="Z2682" s="86" t="s">
        <v>81</v>
      </c>
    </row>
    <row r="2683" spans="1:26" ht="9.9499999999999993" customHeight="1" thickBot="1" x14ac:dyDescent="0.35">
      <c r="B2683" s="9"/>
      <c r="C2683" s="109"/>
      <c r="D2683" s="51"/>
      <c r="E2683" s="12"/>
      <c r="F2683" s="51"/>
      <c r="G2683" s="14"/>
      <c r="H2683" s="14"/>
      <c r="I2683" s="14"/>
      <c r="J2683" s="14"/>
      <c r="K2683" s="14"/>
      <c r="L2683" s="14"/>
      <c r="M2683" s="9"/>
      <c r="N2683" s="32"/>
      <c r="U2683" s="18"/>
      <c r="V2683" s="18"/>
      <c r="Z2683" s="85" t="s">
        <v>82</v>
      </c>
    </row>
    <row r="2684" spans="1:26" ht="6.95" customHeight="1" x14ac:dyDescent="0.3">
      <c r="A2684" s="154">
        <f>+A2673+1</f>
        <v>1043</v>
      </c>
      <c r="B2684" s="155"/>
      <c r="C2684" s="156"/>
      <c r="D2684" s="161" t="s">
        <v>39</v>
      </c>
      <c r="E2684" s="162"/>
      <c r="F2684" s="163" t="s">
        <v>40</v>
      </c>
      <c r="G2684" s="164"/>
      <c r="H2684" s="165"/>
      <c r="I2684" s="164"/>
      <c r="J2684" s="165"/>
      <c r="K2684" s="164"/>
      <c r="L2684" s="165"/>
      <c r="M2684" s="6"/>
      <c r="N2684" s="32"/>
      <c r="Q2684" s="10" t="str">
        <f>+CONCATENATE(E2684,G2684)</f>
        <v/>
      </c>
      <c r="R2684" s="10">
        <f>+H2684</f>
        <v>0</v>
      </c>
      <c r="S2684" s="11"/>
      <c r="T2684" s="10">
        <f>+E2684</f>
        <v>0</v>
      </c>
      <c r="U2684" s="19" t="str">
        <f>IFERROR(LEFT(G2684,FIND("*",G2684)-1),"-")</f>
        <v>-</v>
      </c>
      <c r="V2684" s="19" t="str">
        <f>IFERROR(RIGHT(G2684,LEN(G2684)-FIND("*",G2684)),"-")</f>
        <v>-</v>
      </c>
      <c r="W2684" s="20" t="str">
        <f>IFERROR((U2684+V2684)*2/1000,"-")</f>
        <v>-</v>
      </c>
      <c r="X2684" s="20" t="str">
        <f>IFERROR(W2684*H2684,"-")</f>
        <v>-</v>
      </c>
      <c r="Z2684" s="85" t="s">
        <v>82</v>
      </c>
    </row>
    <row r="2685" spans="1:26" ht="6.95" customHeight="1" x14ac:dyDescent="0.3">
      <c r="A2685" s="154"/>
      <c r="B2685" s="157"/>
      <c r="C2685" s="158"/>
      <c r="D2685" s="161"/>
      <c r="E2685" s="162"/>
      <c r="F2685" s="163"/>
      <c r="G2685" s="164"/>
      <c r="H2685" s="165"/>
      <c r="I2685" s="164"/>
      <c r="J2685" s="165"/>
      <c r="K2685" s="164"/>
      <c r="L2685" s="165"/>
      <c r="M2685" s="6"/>
      <c r="N2685" s="32"/>
      <c r="Q2685" s="10" t="str">
        <f>+CONCATENATE(E2684,I2684)</f>
        <v/>
      </c>
      <c r="R2685" s="10">
        <f>+J2684</f>
        <v>0</v>
      </c>
      <c r="S2685" s="11"/>
      <c r="T2685" s="10">
        <f>+E2684</f>
        <v>0</v>
      </c>
      <c r="U2685" s="19" t="str">
        <f>IFERROR(LEFT(I2684,FIND("*",I2684)-1),"-")</f>
        <v>-</v>
      </c>
      <c r="V2685" s="19" t="str">
        <f>IFERROR(RIGHT(I2684,LEN(I2684)-FIND("*",I2684)),"-")</f>
        <v>-</v>
      </c>
      <c r="W2685" s="20" t="str">
        <f t="shared" ref="W2685:W2692" si="1456">IFERROR((U2685+V2685)*2/1000,"-")</f>
        <v>-</v>
      </c>
      <c r="X2685" s="20" t="str">
        <f>IFERROR(W2685*J2684,"-")</f>
        <v>-</v>
      </c>
      <c r="Z2685" s="85" t="s">
        <v>82</v>
      </c>
    </row>
    <row r="2686" spans="1:26" ht="6.95" customHeight="1" x14ac:dyDescent="0.3">
      <c r="A2686" s="154"/>
      <c r="B2686" s="157"/>
      <c r="C2686" s="158"/>
      <c r="D2686" s="161"/>
      <c r="E2686" s="162"/>
      <c r="F2686" s="163"/>
      <c r="G2686" s="164"/>
      <c r="H2686" s="165"/>
      <c r="I2686" s="164"/>
      <c r="J2686" s="165"/>
      <c r="K2686" s="164"/>
      <c r="L2686" s="165"/>
      <c r="M2686" s="6"/>
      <c r="N2686" s="32"/>
      <c r="Q2686" s="10" t="str">
        <f>+CONCATENATE(E2684,K2684)</f>
        <v/>
      </c>
      <c r="R2686" s="10">
        <f>+L2684</f>
        <v>0</v>
      </c>
      <c r="S2686" s="11"/>
      <c r="T2686" s="10">
        <f>+E2684</f>
        <v>0</v>
      </c>
      <c r="U2686" s="19" t="str">
        <f>IFERROR(LEFT(K2684,FIND("*",K2684)-1),"-")</f>
        <v>-</v>
      </c>
      <c r="V2686" s="19" t="str">
        <f>IFERROR(RIGHT(K2684,LEN(K2684)-FIND("*",K2684)),"-")</f>
        <v>-</v>
      </c>
      <c r="W2686" s="20" t="str">
        <f t="shared" si="1456"/>
        <v>-</v>
      </c>
      <c r="X2686" s="20" t="str">
        <f>IFERROR(W2686*L2684,"-")</f>
        <v>-</v>
      </c>
      <c r="Z2686" s="85" t="s">
        <v>82</v>
      </c>
    </row>
    <row r="2687" spans="1:26" ht="6.95" customHeight="1" x14ac:dyDescent="0.3">
      <c r="A2687" s="8"/>
      <c r="B2687" s="157"/>
      <c r="C2687" s="158"/>
      <c r="D2687" s="161" t="s">
        <v>39</v>
      </c>
      <c r="E2687" s="162"/>
      <c r="F2687" s="163" t="s">
        <v>40</v>
      </c>
      <c r="G2687" s="164"/>
      <c r="H2687" s="165"/>
      <c r="I2687" s="164"/>
      <c r="J2687" s="165"/>
      <c r="K2687" s="164"/>
      <c r="L2687" s="165"/>
      <c r="M2687" s="6"/>
      <c r="N2687" s="32"/>
      <c r="Q2687" s="10" t="str">
        <f>+CONCATENATE(E2687,G2687)</f>
        <v/>
      </c>
      <c r="R2687" s="10">
        <f>+H2687</f>
        <v>0</v>
      </c>
      <c r="S2687" s="11"/>
      <c r="T2687" s="10">
        <f>+E2687</f>
        <v>0</v>
      </c>
      <c r="U2687" s="19" t="str">
        <f t="shared" ref="U2687" si="1457">IFERROR(LEFT(G2687,FIND("*",G2687)-1),"-")</f>
        <v>-</v>
      </c>
      <c r="V2687" s="19" t="str">
        <f t="shared" ref="V2687" si="1458">IFERROR(RIGHT(G2687,LEN(G2687)-FIND("*",G2687)),"-")</f>
        <v>-</v>
      </c>
      <c r="W2687" s="20" t="str">
        <f t="shared" si="1456"/>
        <v>-</v>
      </c>
      <c r="X2687" s="20" t="str">
        <f>IFERROR(W2687*H2687,"-")</f>
        <v>-</v>
      </c>
      <c r="Z2687" s="85" t="s">
        <v>82</v>
      </c>
    </row>
    <row r="2688" spans="1:26" ht="6.95" customHeight="1" x14ac:dyDescent="0.3">
      <c r="A2688" s="5"/>
      <c r="B2688" s="157"/>
      <c r="C2688" s="158"/>
      <c r="D2688" s="161"/>
      <c r="E2688" s="162"/>
      <c r="F2688" s="163"/>
      <c r="G2688" s="164"/>
      <c r="H2688" s="165"/>
      <c r="I2688" s="164"/>
      <c r="J2688" s="165"/>
      <c r="K2688" s="164"/>
      <c r="L2688" s="165"/>
      <c r="M2688" s="6"/>
      <c r="N2688" s="32"/>
      <c r="Q2688" s="10" t="str">
        <f>+CONCATENATE(E2687,I2687)</f>
        <v/>
      </c>
      <c r="R2688" s="10">
        <f>+J2687</f>
        <v>0</v>
      </c>
      <c r="S2688" s="11"/>
      <c r="T2688" s="10">
        <f>+E2687</f>
        <v>0</v>
      </c>
      <c r="U2688" s="19" t="str">
        <f>IFERROR(LEFT(I2687,FIND("*",I2687)-1),"-")</f>
        <v>-</v>
      </c>
      <c r="V2688" s="19" t="str">
        <f>IFERROR(RIGHT(I2687,LEN(I2687)-FIND("*",I2687)),"-")</f>
        <v>-</v>
      </c>
      <c r="W2688" s="20" t="str">
        <f t="shared" si="1456"/>
        <v>-</v>
      </c>
      <c r="X2688" s="20" t="str">
        <f>IFERROR(W2688*J2687,"-")</f>
        <v>-</v>
      </c>
      <c r="Z2688" s="85" t="s">
        <v>82</v>
      </c>
    </row>
    <row r="2689" spans="1:26" ht="6.95" customHeight="1" x14ac:dyDescent="0.3">
      <c r="A2689" s="5"/>
      <c r="B2689" s="157"/>
      <c r="C2689" s="158"/>
      <c r="D2689" s="161"/>
      <c r="E2689" s="162"/>
      <c r="F2689" s="163"/>
      <c r="G2689" s="164"/>
      <c r="H2689" s="165"/>
      <c r="I2689" s="164"/>
      <c r="J2689" s="165"/>
      <c r="K2689" s="164"/>
      <c r="L2689" s="165"/>
      <c r="M2689" s="6"/>
      <c r="N2689" s="32"/>
      <c r="Q2689" s="10" t="str">
        <f>+CONCATENATE(E2687,K2687)</f>
        <v/>
      </c>
      <c r="R2689" s="10">
        <f>+L2687</f>
        <v>0</v>
      </c>
      <c r="S2689" s="11"/>
      <c r="T2689" s="10">
        <f>+E2687</f>
        <v>0</v>
      </c>
      <c r="U2689" s="19" t="str">
        <f>IFERROR(LEFT(K2687,FIND("*",K2687)-1),"-")</f>
        <v>-</v>
      </c>
      <c r="V2689" s="19" t="str">
        <f>IFERROR(RIGHT(K2687,LEN(K2687)-FIND("*",K2687)),"-")</f>
        <v>-</v>
      </c>
      <c r="W2689" s="20" t="str">
        <f t="shared" si="1456"/>
        <v>-</v>
      </c>
      <c r="X2689" s="20" t="str">
        <f>IFERROR(W2689*L2687,"-")</f>
        <v>-</v>
      </c>
      <c r="Z2689" s="85" t="s">
        <v>82</v>
      </c>
    </row>
    <row r="2690" spans="1:26" ht="6.95" customHeight="1" x14ac:dyDescent="0.3">
      <c r="A2690" s="8"/>
      <c r="B2690" s="157"/>
      <c r="C2690" s="158"/>
      <c r="D2690" s="161" t="s">
        <v>39</v>
      </c>
      <c r="E2690" s="162"/>
      <c r="F2690" s="163" t="s">
        <v>40</v>
      </c>
      <c r="G2690" s="164"/>
      <c r="H2690" s="165"/>
      <c r="I2690" s="164"/>
      <c r="J2690" s="165"/>
      <c r="K2690" s="164"/>
      <c r="L2690" s="165"/>
      <c r="M2690" s="6"/>
      <c r="N2690" s="32"/>
      <c r="Q2690" s="10" t="str">
        <f>+CONCATENATE(E2690,G2690)</f>
        <v/>
      </c>
      <c r="R2690" s="10">
        <f>+H2690</f>
        <v>0</v>
      </c>
      <c r="S2690" s="11"/>
      <c r="T2690" s="10">
        <f>+E2690</f>
        <v>0</v>
      </c>
      <c r="U2690" s="19" t="str">
        <f t="shared" ref="U2690" si="1459">IFERROR(LEFT(G2690,FIND("*",G2690)-1),"-")</f>
        <v>-</v>
      </c>
      <c r="V2690" s="19" t="str">
        <f t="shared" ref="V2690" si="1460">IFERROR(RIGHT(G2690,LEN(G2690)-FIND("*",G2690)),"-")</f>
        <v>-</v>
      </c>
      <c r="W2690" s="20" t="str">
        <f t="shared" si="1456"/>
        <v>-</v>
      </c>
      <c r="X2690" s="20" t="str">
        <f>IFERROR(W2690*H2690,"-")</f>
        <v>-</v>
      </c>
      <c r="Z2690" s="85" t="s">
        <v>82</v>
      </c>
    </row>
    <row r="2691" spans="1:26" ht="6.95" customHeight="1" x14ac:dyDescent="0.3">
      <c r="A2691" s="5"/>
      <c r="B2691" s="157"/>
      <c r="C2691" s="158"/>
      <c r="D2691" s="161"/>
      <c r="E2691" s="162"/>
      <c r="F2691" s="163"/>
      <c r="G2691" s="164"/>
      <c r="H2691" s="165"/>
      <c r="I2691" s="164"/>
      <c r="J2691" s="165"/>
      <c r="K2691" s="164"/>
      <c r="L2691" s="165"/>
      <c r="M2691" s="6"/>
      <c r="N2691" s="32"/>
      <c r="Q2691" s="10" t="str">
        <f>+CONCATENATE(E2690,I2690)</f>
        <v/>
      </c>
      <c r="R2691" s="10">
        <f>+J2690</f>
        <v>0</v>
      </c>
      <c r="S2691" s="11"/>
      <c r="T2691" s="10">
        <f>+E2690</f>
        <v>0</v>
      </c>
      <c r="U2691" s="19" t="str">
        <f>IFERROR(LEFT(I2690,FIND("*",I2690)-1),"-")</f>
        <v>-</v>
      </c>
      <c r="V2691" s="19" t="str">
        <f>IFERROR(RIGHT(I2690,LEN(I2690)-FIND("*",I2690)),"-")</f>
        <v>-</v>
      </c>
      <c r="W2691" s="20" t="str">
        <f t="shared" si="1456"/>
        <v>-</v>
      </c>
      <c r="X2691" s="20" t="str">
        <f t="shared" ref="X2691" si="1461">IFERROR(W2691*J2690,"-")</f>
        <v>-</v>
      </c>
      <c r="Z2691" s="85" t="s">
        <v>82</v>
      </c>
    </row>
    <row r="2692" spans="1:26" ht="6.95" customHeight="1" x14ac:dyDescent="0.3">
      <c r="A2692" s="5"/>
      <c r="B2692" s="157"/>
      <c r="C2692" s="158"/>
      <c r="D2692" s="161"/>
      <c r="E2692" s="162"/>
      <c r="F2692" s="163"/>
      <c r="G2692" s="164"/>
      <c r="H2692" s="165"/>
      <c r="I2692" s="164"/>
      <c r="J2692" s="165"/>
      <c r="K2692" s="164"/>
      <c r="L2692" s="165"/>
      <c r="M2692" s="6"/>
      <c r="N2692" s="32"/>
      <c r="Q2692" s="10" t="str">
        <f>+CONCATENATE(E2690,K2690)</f>
        <v/>
      </c>
      <c r="R2692" s="10">
        <f>+L2690</f>
        <v>0</v>
      </c>
      <c r="S2692" s="11"/>
      <c r="T2692" s="10">
        <f>+E2690</f>
        <v>0</v>
      </c>
      <c r="U2692" s="19" t="str">
        <f>IFERROR(LEFT(K2690,FIND("*",K2690)-1),"-")</f>
        <v>-</v>
      </c>
      <c r="V2692" s="19" t="str">
        <f>IFERROR(RIGHT(K2690,LEN(K2690)-FIND("*",K2690)),"-")</f>
        <v>-</v>
      </c>
      <c r="W2692" s="20" t="str">
        <f t="shared" si="1456"/>
        <v>-</v>
      </c>
      <c r="X2692" s="20" t="str">
        <f>IFERROR(W2692*L2690,"-")</f>
        <v>-</v>
      </c>
      <c r="Z2692" s="85" t="s">
        <v>82</v>
      </c>
    </row>
    <row r="2693" spans="1:26" ht="21" customHeight="1" thickBot="1" x14ac:dyDescent="0.35">
      <c r="A2693" s="5"/>
      <c r="B2693" s="159"/>
      <c r="C2693" s="160"/>
      <c r="D2693" s="166" t="s">
        <v>43</v>
      </c>
      <c r="E2693" s="167"/>
      <c r="F2693" s="167"/>
      <c r="G2693" s="168"/>
      <c r="H2693" s="168"/>
      <c r="I2693" s="168"/>
      <c r="J2693" s="168"/>
      <c r="K2693" s="168"/>
      <c r="L2693" s="168"/>
      <c r="M2693" s="7"/>
      <c r="N2693" s="32"/>
      <c r="Z2693" s="86" t="s">
        <v>81</v>
      </c>
    </row>
    <row r="2694" spans="1:26" ht="9.9499999999999993" customHeight="1" thickBot="1" x14ac:dyDescent="0.35">
      <c r="B2694" s="9"/>
      <c r="C2694" s="109"/>
      <c r="D2694" s="51"/>
      <c r="E2694" s="12"/>
      <c r="F2694" s="51"/>
      <c r="G2694" s="14"/>
      <c r="H2694" s="14"/>
      <c r="I2694" s="14"/>
      <c r="J2694" s="14"/>
      <c r="K2694" s="14"/>
      <c r="L2694" s="14"/>
      <c r="M2694" s="9"/>
      <c r="N2694" s="32"/>
      <c r="U2694" s="18"/>
      <c r="V2694" s="18"/>
      <c r="Z2694" s="85" t="s">
        <v>82</v>
      </c>
    </row>
    <row r="2695" spans="1:26" ht="6.95" customHeight="1" x14ac:dyDescent="0.3">
      <c r="A2695" s="154">
        <f>+A2684+1</f>
        <v>1044</v>
      </c>
      <c r="B2695" s="155"/>
      <c r="C2695" s="156"/>
      <c r="D2695" s="161" t="s">
        <v>39</v>
      </c>
      <c r="E2695" s="162"/>
      <c r="F2695" s="163" t="s">
        <v>40</v>
      </c>
      <c r="G2695" s="164"/>
      <c r="H2695" s="165"/>
      <c r="I2695" s="164"/>
      <c r="J2695" s="165"/>
      <c r="K2695" s="164"/>
      <c r="L2695" s="165"/>
      <c r="M2695" s="6"/>
      <c r="N2695" s="32"/>
      <c r="Q2695" s="10" t="str">
        <f>+CONCATENATE(E2695,G2695)</f>
        <v/>
      </c>
      <c r="R2695" s="10">
        <f>+H2695</f>
        <v>0</v>
      </c>
      <c r="S2695" s="11"/>
      <c r="T2695" s="10">
        <f>+E2695</f>
        <v>0</v>
      </c>
      <c r="U2695" s="19" t="str">
        <f>IFERROR(LEFT(G2695,FIND("*",G2695)-1),"-")</f>
        <v>-</v>
      </c>
      <c r="V2695" s="19" t="str">
        <f>IFERROR(RIGHT(G2695,LEN(G2695)-FIND("*",G2695)),"-")</f>
        <v>-</v>
      </c>
      <c r="W2695" s="20" t="str">
        <f>IFERROR((U2695+V2695)*2/1000,"-")</f>
        <v>-</v>
      </c>
      <c r="X2695" s="20" t="str">
        <f>IFERROR(W2695*H2695,"-")</f>
        <v>-</v>
      </c>
      <c r="Z2695" s="85" t="s">
        <v>82</v>
      </c>
    </row>
    <row r="2696" spans="1:26" ht="6.95" customHeight="1" x14ac:dyDescent="0.3">
      <c r="A2696" s="154"/>
      <c r="B2696" s="157"/>
      <c r="C2696" s="158"/>
      <c r="D2696" s="161"/>
      <c r="E2696" s="162"/>
      <c r="F2696" s="163"/>
      <c r="G2696" s="164"/>
      <c r="H2696" s="165"/>
      <c r="I2696" s="164"/>
      <c r="J2696" s="165"/>
      <c r="K2696" s="164"/>
      <c r="L2696" s="165"/>
      <c r="M2696" s="6"/>
      <c r="N2696" s="32"/>
      <c r="Q2696" s="10" t="str">
        <f>+CONCATENATE(E2695,I2695)</f>
        <v/>
      </c>
      <c r="R2696" s="10">
        <f>+J2695</f>
        <v>0</v>
      </c>
      <c r="S2696" s="11"/>
      <c r="T2696" s="10">
        <f>+E2695</f>
        <v>0</v>
      </c>
      <c r="U2696" s="19" t="str">
        <f>IFERROR(LEFT(I2695,FIND("*",I2695)-1),"-")</f>
        <v>-</v>
      </c>
      <c r="V2696" s="19" t="str">
        <f>IFERROR(RIGHT(I2695,LEN(I2695)-FIND("*",I2695)),"-")</f>
        <v>-</v>
      </c>
      <c r="W2696" s="20" t="str">
        <f t="shared" ref="W2696:W2703" si="1462">IFERROR((U2696+V2696)*2/1000,"-")</f>
        <v>-</v>
      </c>
      <c r="X2696" s="20" t="str">
        <f>IFERROR(W2696*J2695,"-")</f>
        <v>-</v>
      </c>
      <c r="Z2696" s="85" t="s">
        <v>82</v>
      </c>
    </row>
    <row r="2697" spans="1:26" ht="6.95" customHeight="1" x14ac:dyDescent="0.3">
      <c r="A2697" s="154"/>
      <c r="B2697" s="157"/>
      <c r="C2697" s="158"/>
      <c r="D2697" s="161"/>
      <c r="E2697" s="162"/>
      <c r="F2697" s="163"/>
      <c r="G2697" s="164"/>
      <c r="H2697" s="165"/>
      <c r="I2697" s="164"/>
      <c r="J2697" s="165"/>
      <c r="K2697" s="164"/>
      <c r="L2697" s="165"/>
      <c r="M2697" s="6"/>
      <c r="N2697" s="32"/>
      <c r="Q2697" s="10" t="str">
        <f>+CONCATENATE(E2695,K2695)</f>
        <v/>
      </c>
      <c r="R2697" s="10">
        <f>+L2695</f>
        <v>0</v>
      </c>
      <c r="S2697" s="11"/>
      <c r="T2697" s="10">
        <f>+E2695</f>
        <v>0</v>
      </c>
      <c r="U2697" s="19" t="str">
        <f>IFERROR(LEFT(K2695,FIND("*",K2695)-1),"-")</f>
        <v>-</v>
      </c>
      <c r="V2697" s="19" t="str">
        <f>IFERROR(RIGHT(K2695,LEN(K2695)-FIND("*",K2695)),"-")</f>
        <v>-</v>
      </c>
      <c r="W2697" s="20" t="str">
        <f t="shared" si="1462"/>
        <v>-</v>
      </c>
      <c r="X2697" s="20" t="str">
        <f>IFERROR(W2697*L2695,"-")</f>
        <v>-</v>
      </c>
      <c r="Z2697" s="85" t="s">
        <v>82</v>
      </c>
    </row>
    <row r="2698" spans="1:26" ht="6.95" customHeight="1" x14ac:dyDescent="0.3">
      <c r="A2698" s="8"/>
      <c r="B2698" s="157"/>
      <c r="C2698" s="158"/>
      <c r="D2698" s="161" t="s">
        <v>39</v>
      </c>
      <c r="E2698" s="162"/>
      <c r="F2698" s="163" t="s">
        <v>40</v>
      </c>
      <c r="G2698" s="164"/>
      <c r="H2698" s="165"/>
      <c r="I2698" s="164"/>
      <c r="J2698" s="165"/>
      <c r="K2698" s="164"/>
      <c r="L2698" s="165"/>
      <c r="M2698" s="6"/>
      <c r="N2698" s="32"/>
      <c r="Q2698" s="10" t="str">
        <f>+CONCATENATE(E2698,G2698)</f>
        <v/>
      </c>
      <c r="R2698" s="10">
        <f>+H2698</f>
        <v>0</v>
      </c>
      <c r="S2698" s="11"/>
      <c r="T2698" s="10">
        <f>+E2698</f>
        <v>0</v>
      </c>
      <c r="U2698" s="19" t="str">
        <f t="shared" ref="U2698" si="1463">IFERROR(LEFT(G2698,FIND("*",G2698)-1),"-")</f>
        <v>-</v>
      </c>
      <c r="V2698" s="19" t="str">
        <f t="shared" ref="V2698" si="1464">IFERROR(RIGHT(G2698,LEN(G2698)-FIND("*",G2698)),"-")</f>
        <v>-</v>
      </c>
      <c r="W2698" s="20" t="str">
        <f t="shared" si="1462"/>
        <v>-</v>
      </c>
      <c r="X2698" s="20" t="str">
        <f>IFERROR(W2698*H2698,"-")</f>
        <v>-</v>
      </c>
      <c r="Z2698" s="85" t="s">
        <v>82</v>
      </c>
    </row>
    <row r="2699" spans="1:26" ht="6.95" customHeight="1" x14ac:dyDescent="0.3">
      <c r="A2699" s="5"/>
      <c r="B2699" s="157"/>
      <c r="C2699" s="158"/>
      <c r="D2699" s="161"/>
      <c r="E2699" s="162"/>
      <c r="F2699" s="163"/>
      <c r="G2699" s="164"/>
      <c r="H2699" s="165"/>
      <c r="I2699" s="164"/>
      <c r="J2699" s="165"/>
      <c r="K2699" s="164"/>
      <c r="L2699" s="165"/>
      <c r="M2699" s="6"/>
      <c r="N2699" s="32"/>
      <c r="Q2699" s="10" t="str">
        <f>+CONCATENATE(E2698,I2698)</f>
        <v/>
      </c>
      <c r="R2699" s="10">
        <f>+J2698</f>
        <v>0</v>
      </c>
      <c r="S2699" s="11"/>
      <c r="T2699" s="10">
        <f>+E2698</f>
        <v>0</v>
      </c>
      <c r="U2699" s="19" t="str">
        <f>IFERROR(LEFT(I2698,FIND("*",I2698)-1),"-")</f>
        <v>-</v>
      </c>
      <c r="V2699" s="19" t="str">
        <f>IFERROR(RIGHT(I2698,LEN(I2698)-FIND("*",I2698)),"-")</f>
        <v>-</v>
      </c>
      <c r="W2699" s="20" t="str">
        <f t="shared" si="1462"/>
        <v>-</v>
      </c>
      <c r="X2699" s="20" t="str">
        <f>IFERROR(W2699*J2698,"-")</f>
        <v>-</v>
      </c>
      <c r="Z2699" s="85" t="s">
        <v>82</v>
      </c>
    </row>
    <row r="2700" spans="1:26" ht="6.95" customHeight="1" x14ac:dyDescent="0.3">
      <c r="A2700" s="5"/>
      <c r="B2700" s="157"/>
      <c r="C2700" s="158"/>
      <c r="D2700" s="161"/>
      <c r="E2700" s="162"/>
      <c r="F2700" s="163"/>
      <c r="G2700" s="164"/>
      <c r="H2700" s="165"/>
      <c r="I2700" s="164"/>
      <c r="J2700" s="165"/>
      <c r="K2700" s="164"/>
      <c r="L2700" s="165"/>
      <c r="M2700" s="6"/>
      <c r="N2700" s="32"/>
      <c r="Q2700" s="10" t="str">
        <f>+CONCATENATE(E2698,K2698)</f>
        <v/>
      </c>
      <c r="R2700" s="10">
        <f>+L2698</f>
        <v>0</v>
      </c>
      <c r="S2700" s="11"/>
      <c r="T2700" s="10">
        <f>+E2698</f>
        <v>0</v>
      </c>
      <c r="U2700" s="19" t="str">
        <f>IFERROR(LEFT(K2698,FIND("*",K2698)-1),"-")</f>
        <v>-</v>
      </c>
      <c r="V2700" s="19" t="str">
        <f>IFERROR(RIGHT(K2698,LEN(K2698)-FIND("*",K2698)),"-")</f>
        <v>-</v>
      </c>
      <c r="W2700" s="20" t="str">
        <f t="shared" si="1462"/>
        <v>-</v>
      </c>
      <c r="X2700" s="20" t="str">
        <f>IFERROR(W2700*L2698,"-")</f>
        <v>-</v>
      </c>
      <c r="Z2700" s="85" t="s">
        <v>82</v>
      </c>
    </row>
    <row r="2701" spans="1:26" ht="6.95" customHeight="1" x14ac:dyDescent="0.3">
      <c r="A2701" s="8"/>
      <c r="B2701" s="157"/>
      <c r="C2701" s="158"/>
      <c r="D2701" s="161" t="s">
        <v>39</v>
      </c>
      <c r="E2701" s="162"/>
      <c r="F2701" s="163" t="s">
        <v>40</v>
      </c>
      <c r="G2701" s="164"/>
      <c r="H2701" s="165"/>
      <c r="I2701" s="164"/>
      <c r="J2701" s="165"/>
      <c r="K2701" s="164"/>
      <c r="L2701" s="165"/>
      <c r="M2701" s="6"/>
      <c r="N2701" s="32"/>
      <c r="Q2701" s="10" t="str">
        <f>+CONCATENATE(E2701,G2701)</f>
        <v/>
      </c>
      <c r="R2701" s="10">
        <f>+H2701</f>
        <v>0</v>
      </c>
      <c r="S2701" s="11"/>
      <c r="T2701" s="10">
        <f>+E2701</f>
        <v>0</v>
      </c>
      <c r="U2701" s="19" t="str">
        <f t="shared" ref="U2701" si="1465">IFERROR(LEFT(G2701,FIND("*",G2701)-1),"-")</f>
        <v>-</v>
      </c>
      <c r="V2701" s="19" t="str">
        <f t="shared" ref="V2701" si="1466">IFERROR(RIGHT(G2701,LEN(G2701)-FIND("*",G2701)),"-")</f>
        <v>-</v>
      </c>
      <c r="W2701" s="20" t="str">
        <f t="shared" si="1462"/>
        <v>-</v>
      </c>
      <c r="X2701" s="20" t="str">
        <f>IFERROR(W2701*H2701,"-")</f>
        <v>-</v>
      </c>
      <c r="Z2701" s="85" t="s">
        <v>82</v>
      </c>
    </row>
    <row r="2702" spans="1:26" ht="6.95" customHeight="1" x14ac:dyDescent="0.3">
      <c r="A2702" s="5"/>
      <c r="B2702" s="157"/>
      <c r="C2702" s="158"/>
      <c r="D2702" s="161"/>
      <c r="E2702" s="162"/>
      <c r="F2702" s="163"/>
      <c r="G2702" s="164"/>
      <c r="H2702" s="165"/>
      <c r="I2702" s="164"/>
      <c r="J2702" s="165"/>
      <c r="K2702" s="164"/>
      <c r="L2702" s="165"/>
      <c r="M2702" s="6"/>
      <c r="N2702" s="32"/>
      <c r="Q2702" s="10" t="str">
        <f>+CONCATENATE(E2701,I2701)</f>
        <v/>
      </c>
      <c r="R2702" s="10">
        <f>+J2701</f>
        <v>0</v>
      </c>
      <c r="S2702" s="11"/>
      <c r="T2702" s="10">
        <f>+E2701</f>
        <v>0</v>
      </c>
      <c r="U2702" s="19" t="str">
        <f>IFERROR(LEFT(I2701,FIND("*",I2701)-1),"-")</f>
        <v>-</v>
      </c>
      <c r="V2702" s="19" t="str">
        <f>IFERROR(RIGHT(I2701,LEN(I2701)-FIND("*",I2701)),"-")</f>
        <v>-</v>
      </c>
      <c r="W2702" s="20" t="str">
        <f t="shared" si="1462"/>
        <v>-</v>
      </c>
      <c r="X2702" s="20" t="str">
        <f t="shared" ref="X2702" si="1467">IFERROR(W2702*J2701,"-")</f>
        <v>-</v>
      </c>
      <c r="Z2702" s="85" t="s">
        <v>82</v>
      </c>
    </row>
    <row r="2703" spans="1:26" ht="6.95" customHeight="1" x14ac:dyDescent="0.3">
      <c r="A2703" s="5"/>
      <c r="B2703" s="157"/>
      <c r="C2703" s="158"/>
      <c r="D2703" s="161"/>
      <c r="E2703" s="162"/>
      <c r="F2703" s="163"/>
      <c r="G2703" s="164"/>
      <c r="H2703" s="165"/>
      <c r="I2703" s="164"/>
      <c r="J2703" s="165"/>
      <c r="K2703" s="164"/>
      <c r="L2703" s="165"/>
      <c r="M2703" s="6"/>
      <c r="N2703" s="32"/>
      <c r="Q2703" s="10" t="str">
        <f>+CONCATENATE(E2701,K2701)</f>
        <v/>
      </c>
      <c r="R2703" s="10">
        <f>+L2701</f>
        <v>0</v>
      </c>
      <c r="S2703" s="11"/>
      <c r="T2703" s="10">
        <f>+E2701</f>
        <v>0</v>
      </c>
      <c r="U2703" s="19" t="str">
        <f>IFERROR(LEFT(K2701,FIND("*",K2701)-1),"-")</f>
        <v>-</v>
      </c>
      <c r="V2703" s="19" t="str">
        <f>IFERROR(RIGHT(K2701,LEN(K2701)-FIND("*",K2701)),"-")</f>
        <v>-</v>
      </c>
      <c r="W2703" s="20" t="str">
        <f t="shared" si="1462"/>
        <v>-</v>
      </c>
      <c r="X2703" s="20" t="str">
        <f>IFERROR(W2703*L2701,"-")</f>
        <v>-</v>
      </c>
      <c r="Z2703" s="85" t="s">
        <v>82</v>
      </c>
    </row>
    <row r="2704" spans="1:26" ht="21" customHeight="1" thickBot="1" x14ac:dyDescent="0.35">
      <c r="A2704" s="5"/>
      <c r="B2704" s="159"/>
      <c r="C2704" s="160"/>
      <c r="D2704" s="166" t="s">
        <v>43</v>
      </c>
      <c r="E2704" s="167"/>
      <c r="F2704" s="167"/>
      <c r="G2704" s="168"/>
      <c r="H2704" s="168"/>
      <c r="I2704" s="168"/>
      <c r="J2704" s="168"/>
      <c r="K2704" s="168"/>
      <c r="L2704" s="168"/>
      <c r="M2704" s="7"/>
      <c r="N2704" s="32"/>
      <c r="Z2704" s="86" t="s">
        <v>81</v>
      </c>
    </row>
    <row r="2705" spans="1:26" ht="9.9499999999999993" customHeight="1" thickBot="1" x14ac:dyDescent="0.35">
      <c r="B2705" s="9"/>
      <c r="C2705" s="109"/>
      <c r="D2705" s="51"/>
      <c r="E2705" s="12"/>
      <c r="F2705" s="51"/>
      <c r="G2705" s="14"/>
      <c r="H2705" s="14"/>
      <c r="I2705" s="14"/>
      <c r="J2705" s="14"/>
      <c r="K2705" s="14"/>
      <c r="L2705" s="14"/>
      <c r="M2705" s="9"/>
      <c r="N2705" s="32"/>
      <c r="U2705" s="18"/>
      <c r="V2705" s="18"/>
      <c r="Z2705" s="85" t="s">
        <v>82</v>
      </c>
    </row>
    <row r="2706" spans="1:26" ht="6.95" customHeight="1" x14ac:dyDescent="0.3">
      <c r="A2706" s="154">
        <f>+A2695+1</f>
        <v>1045</v>
      </c>
      <c r="B2706" s="155"/>
      <c r="C2706" s="156"/>
      <c r="D2706" s="161" t="s">
        <v>39</v>
      </c>
      <c r="E2706" s="162"/>
      <c r="F2706" s="163" t="s">
        <v>40</v>
      </c>
      <c r="G2706" s="164"/>
      <c r="H2706" s="165"/>
      <c r="I2706" s="164"/>
      <c r="J2706" s="165"/>
      <c r="K2706" s="164"/>
      <c r="L2706" s="165"/>
      <c r="M2706" s="6"/>
      <c r="N2706" s="32"/>
      <c r="Q2706" s="10" t="str">
        <f>+CONCATENATE(E2706,G2706)</f>
        <v/>
      </c>
      <c r="R2706" s="10">
        <f>+H2706</f>
        <v>0</v>
      </c>
      <c r="S2706" s="11"/>
      <c r="T2706" s="10">
        <f>+E2706</f>
        <v>0</v>
      </c>
      <c r="U2706" s="19" t="str">
        <f>IFERROR(LEFT(G2706,FIND("*",G2706)-1),"-")</f>
        <v>-</v>
      </c>
      <c r="V2706" s="19" t="str">
        <f>IFERROR(RIGHT(G2706,LEN(G2706)-FIND("*",G2706)),"-")</f>
        <v>-</v>
      </c>
      <c r="W2706" s="20" t="str">
        <f>IFERROR((U2706+V2706)*2/1000,"-")</f>
        <v>-</v>
      </c>
      <c r="X2706" s="20" t="str">
        <f>IFERROR(W2706*H2706,"-")</f>
        <v>-</v>
      </c>
      <c r="Z2706" s="85" t="s">
        <v>82</v>
      </c>
    </row>
    <row r="2707" spans="1:26" ht="6.95" customHeight="1" x14ac:dyDescent="0.3">
      <c r="A2707" s="154"/>
      <c r="B2707" s="157"/>
      <c r="C2707" s="158"/>
      <c r="D2707" s="161"/>
      <c r="E2707" s="162"/>
      <c r="F2707" s="163"/>
      <c r="G2707" s="164"/>
      <c r="H2707" s="165"/>
      <c r="I2707" s="164"/>
      <c r="J2707" s="165"/>
      <c r="K2707" s="164"/>
      <c r="L2707" s="165"/>
      <c r="M2707" s="6"/>
      <c r="N2707" s="32"/>
      <c r="Q2707" s="10" t="str">
        <f>+CONCATENATE(E2706,I2706)</f>
        <v/>
      </c>
      <c r="R2707" s="10">
        <f>+J2706</f>
        <v>0</v>
      </c>
      <c r="S2707" s="11"/>
      <c r="T2707" s="10">
        <f>+E2706</f>
        <v>0</v>
      </c>
      <c r="U2707" s="19" t="str">
        <f>IFERROR(LEFT(I2706,FIND("*",I2706)-1),"-")</f>
        <v>-</v>
      </c>
      <c r="V2707" s="19" t="str">
        <f>IFERROR(RIGHT(I2706,LEN(I2706)-FIND("*",I2706)),"-")</f>
        <v>-</v>
      </c>
      <c r="W2707" s="20" t="str">
        <f t="shared" ref="W2707:W2714" si="1468">IFERROR((U2707+V2707)*2/1000,"-")</f>
        <v>-</v>
      </c>
      <c r="X2707" s="20" t="str">
        <f>IFERROR(W2707*J2706,"-")</f>
        <v>-</v>
      </c>
      <c r="Z2707" s="85" t="s">
        <v>82</v>
      </c>
    </row>
    <row r="2708" spans="1:26" ht="6.95" customHeight="1" x14ac:dyDescent="0.3">
      <c r="A2708" s="154"/>
      <c r="B2708" s="157"/>
      <c r="C2708" s="158"/>
      <c r="D2708" s="161"/>
      <c r="E2708" s="162"/>
      <c r="F2708" s="163"/>
      <c r="G2708" s="164"/>
      <c r="H2708" s="165"/>
      <c r="I2708" s="164"/>
      <c r="J2708" s="165"/>
      <c r="K2708" s="164"/>
      <c r="L2708" s="165"/>
      <c r="M2708" s="6"/>
      <c r="N2708" s="32"/>
      <c r="Q2708" s="10" t="str">
        <f>+CONCATENATE(E2706,K2706)</f>
        <v/>
      </c>
      <c r="R2708" s="10">
        <f>+L2706</f>
        <v>0</v>
      </c>
      <c r="S2708" s="11"/>
      <c r="T2708" s="10">
        <f>+E2706</f>
        <v>0</v>
      </c>
      <c r="U2708" s="19" t="str">
        <f>IFERROR(LEFT(K2706,FIND("*",K2706)-1),"-")</f>
        <v>-</v>
      </c>
      <c r="V2708" s="19" t="str">
        <f>IFERROR(RIGHT(K2706,LEN(K2706)-FIND("*",K2706)),"-")</f>
        <v>-</v>
      </c>
      <c r="W2708" s="20" t="str">
        <f t="shared" si="1468"/>
        <v>-</v>
      </c>
      <c r="X2708" s="20" t="str">
        <f>IFERROR(W2708*L2706,"-")</f>
        <v>-</v>
      </c>
      <c r="Z2708" s="85" t="s">
        <v>82</v>
      </c>
    </row>
    <row r="2709" spans="1:26" ht="6.95" customHeight="1" x14ac:dyDescent="0.3">
      <c r="A2709" s="8"/>
      <c r="B2709" s="157"/>
      <c r="C2709" s="158"/>
      <c r="D2709" s="161" t="s">
        <v>39</v>
      </c>
      <c r="E2709" s="162"/>
      <c r="F2709" s="163" t="s">
        <v>40</v>
      </c>
      <c r="G2709" s="164"/>
      <c r="H2709" s="165"/>
      <c r="I2709" s="164"/>
      <c r="J2709" s="165"/>
      <c r="K2709" s="164"/>
      <c r="L2709" s="165"/>
      <c r="M2709" s="6"/>
      <c r="N2709" s="32"/>
      <c r="Q2709" s="10" t="str">
        <f>+CONCATENATE(E2709,G2709)</f>
        <v/>
      </c>
      <c r="R2709" s="10">
        <f>+H2709</f>
        <v>0</v>
      </c>
      <c r="S2709" s="11"/>
      <c r="T2709" s="10">
        <f>+E2709</f>
        <v>0</v>
      </c>
      <c r="U2709" s="19" t="str">
        <f t="shared" ref="U2709" si="1469">IFERROR(LEFT(G2709,FIND("*",G2709)-1),"-")</f>
        <v>-</v>
      </c>
      <c r="V2709" s="19" t="str">
        <f t="shared" ref="V2709" si="1470">IFERROR(RIGHT(G2709,LEN(G2709)-FIND("*",G2709)),"-")</f>
        <v>-</v>
      </c>
      <c r="W2709" s="20" t="str">
        <f t="shared" si="1468"/>
        <v>-</v>
      </c>
      <c r="X2709" s="20" t="str">
        <f>IFERROR(W2709*H2709,"-")</f>
        <v>-</v>
      </c>
      <c r="Z2709" s="85" t="s">
        <v>82</v>
      </c>
    </row>
    <row r="2710" spans="1:26" ht="6.95" customHeight="1" x14ac:dyDescent="0.3">
      <c r="A2710" s="5"/>
      <c r="B2710" s="157"/>
      <c r="C2710" s="158"/>
      <c r="D2710" s="161"/>
      <c r="E2710" s="162"/>
      <c r="F2710" s="163"/>
      <c r="G2710" s="164"/>
      <c r="H2710" s="165"/>
      <c r="I2710" s="164"/>
      <c r="J2710" s="165"/>
      <c r="K2710" s="164"/>
      <c r="L2710" s="165"/>
      <c r="M2710" s="6"/>
      <c r="N2710" s="32"/>
      <c r="Q2710" s="10" t="str">
        <f>+CONCATENATE(E2709,I2709)</f>
        <v/>
      </c>
      <c r="R2710" s="10">
        <f>+J2709</f>
        <v>0</v>
      </c>
      <c r="S2710" s="11"/>
      <c r="T2710" s="10">
        <f>+E2709</f>
        <v>0</v>
      </c>
      <c r="U2710" s="19" t="str">
        <f>IFERROR(LEFT(I2709,FIND("*",I2709)-1),"-")</f>
        <v>-</v>
      </c>
      <c r="V2710" s="19" t="str">
        <f>IFERROR(RIGHT(I2709,LEN(I2709)-FIND("*",I2709)),"-")</f>
        <v>-</v>
      </c>
      <c r="W2710" s="20" t="str">
        <f t="shared" si="1468"/>
        <v>-</v>
      </c>
      <c r="X2710" s="20" t="str">
        <f>IFERROR(W2710*J2709,"-")</f>
        <v>-</v>
      </c>
      <c r="Z2710" s="85" t="s">
        <v>82</v>
      </c>
    </row>
    <row r="2711" spans="1:26" ht="6.95" customHeight="1" x14ac:dyDescent="0.3">
      <c r="A2711" s="5"/>
      <c r="B2711" s="157"/>
      <c r="C2711" s="158"/>
      <c r="D2711" s="161"/>
      <c r="E2711" s="162"/>
      <c r="F2711" s="163"/>
      <c r="G2711" s="164"/>
      <c r="H2711" s="165"/>
      <c r="I2711" s="164"/>
      <c r="J2711" s="165"/>
      <c r="K2711" s="164"/>
      <c r="L2711" s="165"/>
      <c r="M2711" s="6"/>
      <c r="N2711" s="32"/>
      <c r="Q2711" s="10" t="str">
        <f>+CONCATENATE(E2709,K2709)</f>
        <v/>
      </c>
      <c r="R2711" s="10">
        <f>+L2709</f>
        <v>0</v>
      </c>
      <c r="S2711" s="11"/>
      <c r="T2711" s="10">
        <f>+E2709</f>
        <v>0</v>
      </c>
      <c r="U2711" s="19" t="str">
        <f>IFERROR(LEFT(K2709,FIND("*",K2709)-1),"-")</f>
        <v>-</v>
      </c>
      <c r="V2711" s="19" t="str">
        <f>IFERROR(RIGHT(K2709,LEN(K2709)-FIND("*",K2709)),"-")</f>
        <v>-</v>
      </c>
      <c r="W2711" s="20" t="str">
        <f t="shared" si="1468"/>
        <v>-</v>
      </c>
      <c r="X2711" s="20" t="str">
        <f>IFERROR(W2711*L2709,"-")</f>
        <v>-</v>
      </c>
      <c r="Z2711" s="85" t="s">
        <v>82</v>
      </c>
    </row>
    <row r="2712" spans="1:26" ht="6.95" customHeight="1" x14ac:dyDescent="0.3">
      <c r="A2712" s="8"/>
      <c r="B2712" s="157"/>
      <c r="C2712" s="158"/>
      <c r="D2712" s="161" t="s">
        <v>39</v>
      </c>
      <c r="E2712" s="162"/>
      <c r="F2712" s="163" t="s">
        <v>40</v>
      </c>
      <c r="G2712" s="164"/>
      <c r="H2712" s="165"/>
      <c r="I2712" s="164"/>
      <c r="J2712" s="165"/>
      <c r="K2712" s="164"/>
      <c r="L2712" s="165"/>
      <c r="M2712" s="6"/>
      <c r="N2712" s="32"/>
      <c r="Q2712" s="10" t="str">
        <f>+CONCATENATE(E2712,G2712)</f>
        <v/>
      </c>
      <c r="R2712" s="10">
        <f>+H2712</f>
        <v>0</v>
      </c>
      <c r="S2712" s="11"/>
      <c r="T2712" s="10">
        <f>+E2712</f>
        <v>0</v>
      </c>
      <c r="U2712" s="19" t="str">
        <f t="shared" ref="U2712" si="1471">IFERROR(LEFT(G2712,FIND("*",G2712)-1),"-")</f>
        <v>-</v>
      </c>
      <c r="V2712" s="19" t="str">
        <f t="shared" ref="V2712" si="1472">IFERROR(RIGHT(G2712,LEN(G2712)-FIND("*",G2712)),"-")</f>
        <v>-</v>
      </c>
      <c r="W2712" s="20" t="str">
        <f t="shared" si="1468"/>
        <v>-</v>
      </c>
      <c r="X2712" s="20" t="str">
        <f>IFERROR(W2712*H2712,"-")</f>
        <v>-</v>
      </c>
      <c r="Z2712" s="85" t="s">
        <v>82</v>
      </c>
    </row>
    <row r="2713" spans="1:26" ht="6.95" customHeight="1" x14ac:dyDescent="0.3">
      <c r="A2713" s="5"/>
      <c r="B2713" s="157"/>
      <c r="C2713" s="158"/>
      <c r="D2713" s="161"/>
      <c r="E2713" s="162"/>
      <c r="F2713" s="163"/>
      <c r="G2713" s="164"/>
      <c r="H2713" s="165"/>
      <c r="I2713" s="164"/>
      <c r="J2713" s="165"/>
      <c r="K2713" s="164"/>
      <c r="L2713" s="165"/>
      <c r="M2713" s="6"/>
      <c r="N2713" s="32"/>
      <c r="Q2713" s="10" t="str">
        <f>+CONCATENATE(E2712,I2712)</f>
        <v/>
      </c>
      <c r="R2713" s="10">
        <f>+J2712</f>
        <v>0</v>
      </c>
      <c r="S2713" s="11"/>
      <c r="T2713" s="10">
        <f>+E2712</f>
        <v>0</v>
      </c>
      <c r="U2713" s="19" t="str">
        <f>IFERROR(LEFT(I2712,FIND("*",I2712)-1),"-")</f>
        <v>-</v>
      </c>
      <c r="V2713" s="19" t="str">
        <f>IFERROR(RIGHT(I2712,LEN(I2712)-FIND("*",I2712)),"-")</f>
        <v>-</v>
      </c>
      <c r="W2713" s="20" t="str">
        <f t="shared" si="1468"/>
        <v>-</v>
      </c>
      <c r="X2713" s="20" t="str">
        <f t="shared" ref="X2713" si="1473">IFERROR(W2713*J2712,"-")</f>
        <v>-</v>
      </c>
      <c r="Z2713" s="85" t="s">
        <v>82</v>
      </c>
    </row>
    <row r="2714" spans="1:26" ht="6.95" customHeight="1" x14ac:dyDescent="0.3">
      <c r="A2714" s="5"/>
      <c r="B2714" s="157"/>
      <c r="C2714" s="158"/>
      <c r="D2714" s="161"/>
      <c r="E2714" s="162"/>
      <c r="F2714" s="163"/>
      <c r="G2714" s="164"/>
      <c r="H2714" s="165"/>
      <c r="I2714" s="164"/>
      <c r="J2714" s="165"/>
      <c r="K2714" s="164"/>
      <c r="L2714" s="165"/>
      <c r="M2714" s="6"/>
      <c r="N2714" s="32"/>
      <c r="Q2714" s="10" t="str">
        <f>+CONCATENATE(E2712,K2712)</f>
        <v/>
      </c>
      <c r="R2714" s="10">
        <f>+L2712</f>
        <v>0</v>
      </c>
      <c r="S2714" s="11"/>
      <c r="T2714" s="10">
        <f>+E2712</f>
        <v>0</v>
      </c>
      <c r="U2714" s="19" t="str">
        <f>IFERROR(LEFT(K2712,FIND("*",K2712)-1),"-")</f>
        <v>-</v>
      </c>
      <c r="V2714" s="19" t="str">
        <f>IFERROR(RIGHT(K2712,LEN(K2712)-FIND("*",K2712)),"-")</f>
        <v>-</v>
      </c>
      <c r="W2714" s="20" t="str">
        <f t="shared" si="1468"/>
        <v>-</v>
      </c>
      <c r="X2714" s="20" t="str">
        <f>IFERROR(W2714*L2712,"-")</f>
        <v>-</v>
      </c>
      <c r="Z2714" s="85" t="s">
        <v>82</v>
      </c>
    </row>
    <row r="2715" spans="1:26" ht="21" customHeight="1" thickBot="1" x14ac:dyDescent="0.35">
      <c r="A2715" s="5"/>
      <c r="B2715" s="159"/>
      <c r="C2715" s="160"/>
      <c r="D2715" s="166" t="s">
        <v>43</v>
      </c>
      <c r="E2715" s="167"/>
      <c r="F2715" s="167"/>
      <c r="G2715" s="168"/>
      <c r="H2715" s="168"/>
      <c r="I2715" s="168"/>
      <c r="J2715" s="168"/>
      <c r="K2715" s="168"/>
      <c r="L2715" s="168"/>
      <c r="M2715" s="7"/>
      <c r="N2715" s="32"/>
      <c r="Z2715" s="86" t="s">
        <v>81</v>
      </c>
    </row>
    <row r="2716" spans="1:26" ht="9.9499999999999993" customHeight="1" thickBot="1" x14ac:dyDescent="0.35">
      <c r="B2716" s="9"/>
      <c r="C2716" s="109"/>
      <c r="D2716" s="51"/>
      <c r="E2716" s="12"/>
      <c r="F2716" s="51"/>
      <c r="G2716" s="14"/>
      <c r="H2716" s="14"/>
      <c r="I2716" s="14"/>
      <c r="J2716" s="14"/>
      <c r="K2716" s="14"/>
      <c r="L2716" s="14"/>
      <c r="M2716" s="9"/>
      <c r="N2716" s="32"/>
      <c r="U2716" s="18"/>
      <c r="V2716" s="18"/>
      <c r="Z2716" s="85" t="s">
        <v>82</v>
      </c>
    </row>
    <row r="2717" spans="1:26" ht="6.95" customHeight="1" x14ac:dyDescent="0.3">
      <c r="A2717" s="154">
        <f>+A2706+1</f>
        <v>1046</v>
      </c>
      <c r="B2717" s="155"/>
      <c r="C2717" s="156"/>
      <c r="D2717" s="161" t="s">
        <v>39</v>
      </c>
      <c r="E2717" s="162"/>
      <c r="F2717" s="163" t="s">
        <v>40</v>
      </c>
      <c r="G2717" s="164"/>
      <c r="H2717" s="165"/>
      <c r="I2717" s="164"/>
      <c r="J2717" s="165"/>
      <c r="K2717" s="164"/>
      <c r="L2717" s="165"/>
      <c r="M2717" s="6"/>
      <c r="N2717" s="32"/>
      <c r="Q2717" s="10" t="str">
        <f>+CONCATENATE(E2717,G2717)</f>
        <v/>
      </c>
      <c r="R2717" s="10">
        <f>+H2717</f>
        <v>0</v>
      </c>
      <c r="S2717" s="11"/>
      <c r="T2717" s="10">
        <f>+E2717</f>
        <v>0</v>
      </c>
      <c r="U2717" s="19" t="str">
        <f>IFERROR(LEFT(G2717,FIND("*",G2717)-1),"-")</f>
        <v>-</v>
      </c>
      <c r="V2717" s="19" t="str">
        <f>IFERROR(RIGHT(G2717,LEN(G2717)-FIND("*",G2717)),"-")</f>
        <v>-</v>
      </c>
      <c r="W2717" s="20" t="str">
        <f>IFERROR((U2717+V2717)*2/1000,"-")</f>
        <v>-</v>
      </c>
      <c r="X2717" s="20" t="str">
        <f>IFERROR(W2717*H2717,"-")</f>
        <v>-</v>
      </c>
      <c r="Z2717" s="85" t="s">
        <v>82</v>
      </c>
    </row>
    <row r="2718" spans="1:26" ht="6.95" customHeight="1" x14ac:dyDescent="0.3">
      <c r="A2718" s="154"/>
      <c r="B2718" s="157"/>
      <c r="C2718" s="158"/>
      <c r="D2718" s="161"/>
      <c r="E2718" s="162"/>
      <c r="F2718" s="163"/>
      <c r="G2718" s="164"/>
      <c r="H2718" s="165"/>
      <c r="I2718" s="164"/>
      <c r="J2718" s="165"/>
      <c r="K2718" s="164"/>
      <c r="L2718" s="165"/>
      <c r="M2718" s="6"/>
      <c r="N2718" s="32"/>
      <c r="Q2718" s="10" t="str">
        <f>+CONCATENATE(E2717,I2717)</f>
        <v/>
      </c>
      <c r="R2718" s="10">
        <f>+J2717</f>
        <v>0</v>
      </c>
      <c r="S2718" s="11"/>
      <c r="T2718" s="10">
        <f>+E2717</f>
        <v>0</v>
      </c>
      <c r="U2718" s="19" t="str">
        <f>IFERROR(LEFT(I2717,FIND("*",I2717)-1),"-")</f>
        <v>-</v>
      </c>
      <c r="V2718" s="19" t="str">
        <f>IFERROR(RIGHT(I2717,LEN(I2717)-FIND("*",I2717)),"-")</f>
        <v>-</v>
      </c>
      <c r="W2718" s="20" t="str">
        <f t="shared" ref="W2718:W2725" si="1474">IFERROR((U2718+V2718)*2/1000,"-")</f>
        <v>-</v>
      </c>
      <c r="X2718" s="20" t="str">
        <f>IFERROR(W2718*J2717,"-")</f>
        <v>-</v>
      </c>
      <c r="Z2718" s="85" t="s">
        <v>82</v>
      </c>
    </row>
    <row r="2719" spans="1:26" ht="6.95" customHeight="1" x14ac:dyDescent="0.3">
      <c r="A2719" s="154"/>
      <c r="B2719" s="157"/>
      <c r="C2719" s="158"/>
      <c r="D2719" s="161"/>
      <c r="E2719" s="162"/>
      <c r="F2719" s="163"/>
      <c r="G2719" s="164"/>
      <c r="H2719" s="165"/>
      <c r="I2719" s="164"/>
      <c r="J2719" s="165"/>
      <c r="K2719" s="164"/>
      <c r="L2719" s="165"/>
      <c r="M2719" s="6"/>
      <c r="N2719" s="32"/>
      <c r="Q2719" s="10" t="str">
        <f>+CONCATENATE(E2717,K2717)</f>
        <v/>
      </c>
      <c r="R2719" s="10">
        <f>+L2717</f>
        <v>0</v>
      </c>
      <c r="S2719" s="11"/>
      <c r="T2719" s="10">
        <f>+E2717</f>
        <v>0</v>
      </c>
      <c r="U2719" s="19" t="str">
        <f>IFERROR(LEFT(K2717,FIND("*",K2717)-1),"-")</f>
        <v>-</v>
      </c>
      <c r="V2719" s="19" t="str">
        <f>IFERROR(RIGHT(K2717,LEN(K2717)-FIND("*",K2717)),"-")</f>
        <v>-</v>
      </c>
      <c r="W2719" s="20" t="str">
        <f t="shared" si="1474"/>
        <v>-</v>
      </c>
      <c r="X2719" s="20" t="str">
        <f>IFERROR(W2719*L2717,"-")</f>
        <v>-</v>
      </c>
      <c r="Z2719" s="85" t="s">
        <v>82</v>
      </c>
    </row>
    <row r="2720" spans="1:26" ht="6.95" customHeight="1" x14ac:dyDescent="0.3">
      <c r="A2720" s="8"/>
      <c r="B2720" s="157"/>
      <c r="C2720" s="158"/>
      <c r="D2720" s="161" t="s">
        <v>39</v>
      </c>
      <c r="E2720" s="162"/>
      <c r="F2720" s="163" t="s">
        <v>40</v>
      </c>
      <c r="G2720" s="164"/>
      <c r="H2720" s="165"/>
      <c r="I2720" s="164"/>
      <c r="J2720" s="165"/>
      <c r="K2720" s="164"/>
      <c r="L2720" s="165"/>
      <c r="M2720" s="6"/>
      <c r="N2720" s="32"/>
      <c r="Q2720" s="10" t="str">
        <f>+CONCATENATE(E2720,G2720)</f>
        <v/>
      </c>
      <c r="R2720" s="10">
        <f>+H2720</f>
        <v>0</v>
      </c>
      <c r="S2720" s="11"/>
      <c r="T2720" s="10">
        <f>+E2720</f>
        <v>0</v>
      </c>
      <c r="U2720" s="19" t="str">
        <f t="shared" ref="U2720" si="1475">IFERROR(LEFT(G2720,FIND("*",G2720)-1),"-")</f>
        <v>-</v>
      </c>
      <c r="V2720" s="19" t="str">
        <f t="shared" ref="V2720" si="1476">IFERROR(RIGHT(G2720,LEN(G2720)-FIND("*",G2720)),"-")</f>
        <v>-</v>
      </c>
      <c r="W2720" s="20" t="str">
        <f t="shared" si="1474"/>
        <v>-</v>
      </c>
      <c r="X2720" s="20" t="str">
        <f>IFERROR(W2720*H2720,"-")</f>
        <v>-</v>
      </c>
      <c r="Z2720" s="85" t="s">
        <v>82</v>
      </c>
    </row>
    <row r="2721" spans="1:26" ht="6.95" customHeight="1" x14ac:dyDescent="0.3">
      <c r="A2721" s="5"/>
      <c r="B2721" s="157"/>
      <c r="C2721" s="158"/>
      <c r="D2721" s="161"/>
      <c r="E2721" s="162"/>
      <c r="F2721" s="163"/>
      <c r="G2721" s="164"/>
      <c r="H2721" s="165"/>
      <c r="I2721" s="164"/>
      <c r="J2721" s="165"/>
      <c r="K2721" s="164"/>
      <c r="L2721" s="165"/>
      <c r="M2721" s="6"/>
      <c r="N2721" s="32"/>
      <c r="Q2721" s="10" t="str">
        <f>+CONCATENATE(E2720,I2720)</f>
        <v/>
      </c>
      <c r="R2721" s="10">
        <f>+J2720</f>
        <v>0</v>
      </c>
      <c r="S2721" s="11"/>
      <c r="T2721" s="10">
        <f>+E2720</f>
        <v>0</v>
      </c>
      <c r="U2721" s="19" t="str">
        <f>IFERROR(LEFT(I2720,FIND("*",I2720)-1),"-")</f>
        <v>-</v>
      </c>
      <c r="V2721" s="19" t="str">
        <f>IFERROR(RIGHT(I2720,LEN(I2720)-FIND("*",I2720)),"-")</f>
        <v>-</v>
      </c>
      <c r="W2721" s="20" t="str">
        <f t="shared" si="1474"/>
        <v>-</v>
      </c>
      <c r="X2721" s="20" t="str">
        <f>IFERROR(W2721*J2720,"-")</f>
        <v>-</v>
      </c>
      <c r="Z2721" s="85" t="s">
        <v>82</v>
      </c>
    </row>
    <row r="2722" spans="1:26" ht="6.95" customHeight="1" x14ac:dyDescent="0.3">
      <c r="A2722" s="5"/>
      <c r="B2722" s="157"/>
      <c r="C2722" s="158"/>
      <c r="D2722" s="161"/>
      <c r="E2722" s="162"/>
      <c r="F2722" s="163"/>
      <c r="G2722" s="164"/>
      <c r="H2722" s="165"/>
      <c r="I2722" s="164"/>
      <c r="J2722" s="165"/>
      <c r="K2722" s="164"/>
      <c r="L2722" s="165"/>
      <c r="M2722" s="6"/>
      <c r="N2722" s="32"/>
      <c r="Q2722" s="10" t="str">
        <f>+CONCATENATE(E2720,K2720)</f>
        <v/>
      </c>
      <c r="R2722" s="10">
        <f>+L2720</f>
        <v>0</v>
      </c>
      <c r="S2722" s="11"/>
      <c r="T2722" s="10">
        <f>+E2720</f>
        <v>0</v>
      </c>
      <c r="U2722" s="19" t="str">
        <f>IFERROR(LEFT(K2720,FIND("*",K2720)-1),"-")</f>
        <v>-</v>
      </c>
      <c r="V2722" s="19" t="str">
        <f>IFERROR(RIGHT(K2720,LEN(K2720)-FIND("*",K2720)),"-")</f>
        <v>-</v>
      </c>
      <c r="W2722" s="20" t="str">
        <f t="shared" si="1474"/>
        <v>-</v>
      </c>
      <c r="X2722" s="20" t="str">
        <f>IFERROR(W2722*L2720,"-")</f>
        <v>-</v>
      </c>
      <c r="Z2722" s="85" t="s">
        <v>82</v>
      </c>
    </row>
    <row r="2723" spans="1:26" ht="6.95" customHeight="1" x14ac:dyDescent="0.3">
      <c r="A2723" s="8"/>
      <c r="B2723" s="157"/>
      <c r="C2723" s="158"/>
      <c r="D2723" s="161" t="s">
        <v>39</v>
      </c>
      <c r="E2723" s="162"/>
      <c r="F2723" s="163" t="s">
        <v>40</v>
      </c>
      <c r="G2723" s="164"/>
      <c r="H2723" s="165"/>
      <c r="I2723" s="164"/>
      <c r="J2723" s="165"/>
      <c r="K2723" s="164"/>
      <c r="L2723" s="165"/>
      <c r="M2723" s="6"/>
      <c r="N2723" s="32"/>
      <c r="Q2723" s="10" t="str">
        <f>+CONCATENATE(E2723,G2723)</f>
        <v/>
      </c>
      <c r="R2723" s="10">
        <f>+H2723</f>
        <v>0</v>
      </c>
      <c r="S2723" s="11"/>
      <c r="T2723" s="10">
        <f>+E2723</f>
        <v>0</v>
      </c>
      <c r="U2723" s="19" t="str">
        <f t="shared" ref="U2723" si="1477">IFERROR(LEFT(G2723,FIND("*",G2723)-1),"-")</f>
        <v>-</v>
      </c>
      <c r="V2723" s="19" t="str">
        <f t="shared" ref="V2723" si="1478">IFERROR(RIGHT(G2723,LEN(G2723)-FIND("*",G2723)),"-")</f>
        <v>-</v>
      </c>
      <c r="W2723" s="20" t="str">
        <f t="shared" si="1474"/>
        <v>-</v>
      </c>
      <c r="X2723" s="20" t="str">
        <f>IFERROR(W2723*H2723,"-")</f>
        <v>-</v>
      </c>
      <c r="Z2723" s="85" t="s">
        <v>82</v>
      </c>
    </row>
    <row r="2724" spans="1:26" ht="6.95" customHeight="1" x14ac:dyDescent="0.3">
      <c r="A2724" s="5"/>
      <c r="B2724" s="157"/>
      <c r="C2724" s="158"/>
      <c r="D2724" s="161"/>
      <c r="E2724" s="162"/>
      <c r="F2724" s="163"/>
      <c r="G2724" s="164"/>
      <c r="H2724" s="165"/>
      <c r="I2724" s="164"/>
      <c r="J2724" s="165"/>
      <c r="K2724" s="164"/>
      <c r="L2724" s="165"/>
      <c r="M2724" s="6"/>
      <c r="N2724" s="32"/>
      <c r="Q2724" s="10" t="str">
        <f>+CONCATENATE(E2723,I2723)</f>
        <v/>
      </c>
      <c r="R2724" s="10">
        <f>+J2723</f>
        <v>0</v>
      </c>
      <c r="S2724" s="11"/>
      <c r="T2724" s="10">
        <f>+E2723</f>
        <v>0</v>
      </c>
      <c r="U2724" s="19" t="str">
        <f>IFERROR(LEFT(I2723,FIND("*",I2723)-1),"-")</f>
        <v>-</v>
      </c>
      <c r="V2724" s="19" t="str">
        <f>IFERROR(RIGHT(I2723,LEN(I2723)-FIND("*",I2723)),"-")</f>
        <v>-</v>
      </c>
      <c r="W2724" s="20" t="str">
        <f t="shared" si="1474"/>
        <v>-</v>
      </c>
      <c r="X2724" s="20" t="str">
        <f t="shared" ref="X2724" si="1479">IFERROR(W2724*J2723,"-")</f>
        <v>-</v>
      </c>
      <c r="Z2724" s="85" t="s">
        <v>82</v>
      </c>
    </row>
    <row r="2725" spans="1:26" ht="6.95" customHeight="1" x14ac:dyDescent="0.3">
      <c r="A2725" s="5"/>
      <c r="B2725" s="157"/>
      <c r="C2725" s="158"/>
      <c r="D2725" s="161"/>
      <c r="E2725" s="162"/>
      <c r="F2725" s="163"/>
      <c r="G2725" s="164"/>
      <c r="H2725" s="165"/>
      <c r="I2725" s="164"/>
      <c r="J2725" s="165"/>
      <c r="K2725" s="164"/>
      <c r="L2725" s="165"/>
      <c r="M2725" s="6"/>
      <c r="N2725" s="32"/>
      <c r="Q2725" s="10" t="str">
        <f>+CONCATENATE(E2723,K2723)</f>
        <v/>
      </c>
      <c r="R2725" s="10">
        <f>+L2723</f>
        <v>0</v>
      </c>
      <c r="S2725" s="11"/>
      <c r="T2725" s="10">
        <f>+E2723</f>
        <v>0</v>
      </c>
      <c r="U2725" s="19" t="str">
        <f>IFERROR(LEFT(K2723,FIND("*",K2723)-1),"-")</f>
        <v>-</v>
      </c>
      <c r="V2725" s="19" t="str">
        <f>IFERROR(RIGHT(K2723,LEN(K2723)-FIND("*",K2723)),"-")</f>
        <v>-</v>
      </c>
      <c r="W2725" s="20" t="str">
        <f t="shared" si="1474"/>
        <v>-</v>
      </c>
      <c r="X2725" s="20" t="str">
        <f>IFERROR(W2725*L2723,"-")</f>
        <v>-</v>
      </c>
      <c r="Z2725" s="85" t="s">
        <v>82</v>
      </c>
    </row>
    <row r="2726" spans="1:26" ht="21" customHeight="1" thickBot="1" x14ac:dyDescent="0.35">
      <c r="A2726" s="5"/>
      <c r="B2726" s="159"/>
      <c r="C2726" s="160"/>
      <c r="D2726" s="166" t="s">
        <v>43</v>
      </c>
      <c r="E2726" s="167"/>
      <c r="F2726" s="167"/>
      <c r="G2726" s="168"/>
      <c r="H2726" s="168"/>
      <c r="I2726" s="168"/>
      <c r="J2726" s="168"/>
      <c r="K2726" s="168"/>
      <c r="L2726" s="168"/>
      <c r="M2726" s="7"/>
      <c r="N2726" s="32"/>
      <c r="Z2726" s="86" t="s">
        <v>81</v>
      </c>
    </row>
    <row r="2727" spans="1:26" ht="9.9499999999999993" customHeight="1" thickBot="1" x14ac:dyDescent="0.35">
      <c r="B2727" s="9"/>
      <c r="C2727" s="109"/>
      <c r="D2727" s="51"/>
      <c r="E2727" s="12"/>
      <c r="F2727" s="51"/>
      <c r="G2727" s="14"/>
      <c r="H2727" s="14"/>
      <c r="I2727" s="14"/>
      <c r="J2727" s="14"/>
      <c r="K2727" s="14"/>
      <c r="L2727" s="14"/>
      <c r="M2727" s="9"/>
      <c r="N2727" s="32"/>
      <c r="U2727" s="18"/>
      <c r="V2727" s="18"/>
      <c r="Z2727" s="85" t="s">
        <v>82</v>
      </c>
    </row>
    <row r="2728" spans="1:26" ht="6.95" customHeight="1" x14ac:dyDescent="0.3">
      <c r="A2728" s="154">
        <f>+A2717+1</f>
        <v>1047</v>
      </c>
      <c r="B2728" s="155"/>
      <c r="C2728" s="156"/>
      <c r="D2728" s="161" t="s">
        <v>39</v>
      </c>
      <c r="E2728" s="162"/>
      <c r="F2728" s="163" t="s">
        <v>40</v>
      </c>
      <c r="G2728" s="164"/>
      <c r="H2728" s="165"/>
      <c r="I2728" s="164"/>
      <c r="J2728" s="165"/>
      <c r="K2728" s="164"/>
      <c r="L2728" s="165"/>
      <c r="M2728" s="6"/>
      <c r="N2728" s="32"/>
      <c r="Q2728" s="10" t="str">
        <f>+CONCATENATE(E2728,G2728)</f>
        <v/>
      </c>
      <c r="R2728" s="10">
        <f>+H2728</f>
        <v>0</v>
      </c>
      <c r="S2728" s="11"/>
      <c r="T2728" s="10">
        <f>+E2728</f>
        <v>0</v>
      </c>
      <c r="U2728" s="19" t="str">
        <f>IFERROR(LEFT(G2728,FIND("*",G2728)-1),"-")</f>
        <v>-</v>
      </c>
      <c r="V2728" s="19" t="str">
        <f>IFERROR(RIGHT(G2728,LEN(G2728)-FIND("*",G2728)),"-")</f>
        <v>-</v>
      </c>
      <c r="W2728" s="20" t="str">
        <f>IFERROR((U2728+V2728)*2/1000,"-")</f>
        <v>-</v>
      </c>
      <c r="X2728" s="20" t="str">
        <f>IFERROR(W2728*H2728,"-")</f>
        <v>-</v>
      </c>
      <c r="Z2728" s="85" t="s">
        <v>82</v>
      </c>
    </row>
    <row r="2729" spans="1:26" ht="6.95" customHeight="1" x14ac:dyDescent="0.3">
      <c r="A2729" s="154"/>
      <c r="B2729" s="157"/>
      <c r="C2729" s="158"/>
      <c r="D2729" s="161"/>
      <c r="E2729" s="162"/>
      <c r="F2729" s="163"/>
      <c r="G2729" s="164"/>
      <c r="H2729" s="165"/>
      <c r="I2729" s="164"/>
      <c r="J2729" s="165"/>
      <c r="K2729" s="164"/>
      <c r="L2729" s="165"/>
      <c r="M2729" s="6"/>
      <c r="N2729" s="32"/>
      <c r="Q2729" s="10" t="str">
        <f>+CONCATENATE(E2728,I2728)</f>
        <v/>
      </c>
      <c r="R2729" s="10">
        <f>+J2728</f>
        <v>0</v>
      </c>
      <c r="S2729" s="11"/>
      <c r="T2729" s="10">
        <f>+E2728</f>
        <v>0</v>
      </c>
      <c r="U2729" s="19" t="str">
        <f>IFERROR(LEFT(I2728,FIND("*",I2728)-1),"-")</f>
        <v>-</v>
      </c>
      <c r="V2729" s="19" t="str">
        <f>IFERROR(RIGHT(I2728,LEN(I2728)-FIND("*",I2728)),"-")</f>
        <v>-</v>
      </c>
      <c r="W2729" s="20" t="str">
        <f t="shared" ref="W2729:W2736" si="1480">IFERROR((U2729+V2729)*2/1000,"-")</f>
        <v>-</v>
      </c>
      <c r="X2729" s="20" t="str">
        <f>IFERROR(W2729*J2728,"-")</f>
        <v>-</v>
      </c>
      <c r="Z2729" s="85" t="s">
        <v>82</v>
      </c>
    </row>
    <row r="2730" spans="1:26" ht="6.95" customHeight="1" x14ac:dyDescent="0.3">
      <c r="A2730" s="154"/>
      <c r="B2730" s="157"/>
      <c r="C2730" s="158"/>
      <c r="D2730" s="161"/>
      <c r="E2730" s="162"/>
      <c r="F2730" s="163"/>
      <c r="G2730" s="164"/>
      <c r="H2730" s="165"/>
      <c r="I2730" s="164"/>
      <c r="J2730" s="165"/>
      <c r="K2730" s="164"/>
      <c r="L2730" s="165"/>
      <c r="M2730" s="6"/>
      <c r="N2730" s="32"/>
      <c r="Q2730" s="10" t="str">
        <f>+CONCATENATE(E2728,K2728)</f>
        <v/>
      </c>
      <c r="R2730" s="10">
        <f>+L2728</f>
        <v>0</v>
      </c>
      <c r="S2730" s="11"/>
      <c r="T2730" s="10">
        <f>+E2728</f>
        <v>0</v>
      </c>
      <c r="U2730" s="19" t="str">
        <f>IFERROR(LEFT(K2728,FIND("*",K2728)-1),"-")</f>
        <v>-</v>
      </c>
      <c r="V2730" s="19" t="str">
        <f>IFERROR(RIGHT(K2728,LEN(K2728)-FIND("*",K2728)),"-")</f>
        <v>-</v>
      </c>
      <c r="W2730" s="20" t="str">
        <f t="shared" si="1480"/>
        <v>-</v>
      </c>
      <c r="X2730" s="20" t="str">
        <f>IFERROR(W2730*L2728,"-")</f>
        <v>-</v>
      </c>
      <c r="Z2730" s="85" t="s">
        <v>82</v>
      </c>
    </row>
    <row r="2731" spans="1:26" ht="6.95" customHeight="1" x14ac:dyDescent="0.3">
      <c r="A2731" s="8"/>
      <c r="B2731" s="157"/>
      <c r="C2731" s="158"/>
      <c r="D2731" s="161" t="s">
        <v>39</v>
      </c>
      <c r="E2731" s="162"/>
      <c r="F2731" s="163" t="s">
        <v>40</v>
      </c>
      <c r="G2731" s="164"/>
      <c r="H2731" s="165"/>
      <c r="I2731" s="164"/>
      <c r="J2731" s="165"/>
      <c r="K2731" s="164"/>
      <c r="L2731" s="165"/>
      <c r="M2731" s="6"/>
      <c r="N2731" s="32"/>
      <c r="Q2731" s="10" t="str">
        <f>+CONCATENATE(E2731,G2731)</f>
        <v/>
      </c>
      <c r="R2731" s="10">
        <f>+H2731</f>
        <v>0</v>
      </c>
      <c r="S2731" s="11"/>
      <c r="T2731" s="10">
        <f>+E2731</f>
        <v>0</v>
      </c>
      <c r="U2731" s="19" t="str">
        <f t="shared" ref="U2731" si="1481">IFERROR(LEFT(G2731,FIND("*",G2731)-1),"-")</f>
        <v>-</v>
      </c>
      <c r="V2731" s="19" t="str">
        <f t="shared" ref="V2731" si="1482">IFERROR(RIGHT(G2731,LEN(G2731)-FIND("*",G2731)),"-")</f>
        <v>-</v>
      </c>
      <c r="W2731" s="20" t="str">
        <f t="shared" si="1480"/>
        <v>-</v>
      </c>
      <c r="X2731" s="20" t="str">
        <f>IFERROR(W2731*H2731,"-")</f>
        <v>-</v>
      </c>
      <c r="Z2731" s="85" t="s">
        <v>82</v>
      </c>
    </row>
    <row r="2732" spans="1:26" ht="6.95" customHeight="1" x14ac:dyDescent="0.3">
      <c r="A2732" s="5"/>
      <c r="B2732" s="157"/>
      <c r="C2732" s="158"/>
      <c r="D2732" s="161"/>
      <c r="E2732" s="162"/>
      <c r="F2732" s="163"/>
      <c r="G2732" s="164"/>
      <c r="H2732" s="165"/>
      <c r="I2732" s="164"/>
      <c r="J2732" s="165"/>
      <c r="K2732" s="164"/>
      <c r="L2732" s="165"/>
      <c r="M2732" s="6"/>
      <c r="N2732" s="32"/>
      <c r="Q2732" s="10" t="str">
        <f>+CONCATENATE(E2731,I2731)</f>
        <v/>
      </c>
      <c r="R2732" s="10">
        <f>+J2731</f>
        <v>0</v>
      </c>
      <c r="S2732" s="11"/>
      <c r="T2732" s="10">
        <f>+E2731</f>
        <v>0</v>
      </c>
      <c r="U2732" s="19" t="str">
        <f>IFERROR(LEFT(I2731,FIND("*",I2731)-1),"-")</f>
        <v>-</v>
      </c>
      <c r="V2732" s="19" t="str">
        <f>IFERROR(RIGHT(I2731,LEN(I2731)-FIND("*",I2731)),"-")</f>
        <v>-</v>
      </c>
      <c r="W2732" s="20" t="str">
        <f t="shared" si="1480"/>
        <v>-</v>
      </c>
      <c r="X2732" s="20" t="str">
        <f>IFERROR(W2732*J2731,"-")</f>
        <v>-</v>
      </c>
      <c r="Z2732" s="85" t="s">
        <v>82</v>
      </c>
    </row>
    <row r="2733" spans="1:26" ht="6.95" customHeight="1" x14ac:dyDescent="0.3">
      <c r="A2733" s="5"/>
      <c r="B2733" s="157"/>
      <c r="C2733" s="158"/>
      <c r="D2733" s="161"/>
      <c r="E2733" s="162"/>
      <c r="F2733" s="163"/>
      <c r="G2733" s="164"/>
      <c r="H2733" s="165"/>
      <c r="I2733" s="164"/>
      <c r="J2733" s="165"/>
      <c r="K2733" s="164"/>
      <c r="L2733" s="165"/>
      <c r="M2733" s="6"/>
      <c r="N2733" s="32"/>
      <c r="Q2733" s="10" t="str">
        <f>+CONCATENATE(E2731,K2731)</f>
        <v/>
      </c>
      <c r="R2733" s="10">
        <f>+L2731</f>
        <v>0</v>
      </c>
      <c r="S2733" s="11"/>
      <c r="T2733" s="10">
        <f>+E2731</f>
        <v>0</v>
      </c>
      <c r="U2733" s="19" t="str">
        <f>IFERROR(LEFT(K2731,FIND("*",K2731)-1),"-")</f>
        <v>-</v>
      </c>
      <c r="V2733" s="19" t="str">
        <f>IFERROR(RIGHT(K2731,LEN(K2731)-FIND("*",K2731)),"-")</f>
        <v>-</v>
      </c>
      <c r="W2733" s="20" t="str">
        <f t="shared" si="1480"/>
        <v>-</v>
      </c>
      <c r="X2733" s="20" t="str">
        <f>IFERROR(W2733*L2731,"-")</f>
        <v>-</v>
      </c>
      <c r="Z2733" s="85" t="s">
        <v>82</v>
      </c>
    </row>
    <row r="2734" spans="1:26" ht="6.95" customHeight="1" x14ac:dyDescent="0.3">
      <c r="A2734" s="8"/>
      <c r="B2734" s="157"/>
      <c r="C2734" s="158"/>
      <c r="D2734" s="161" t="s">
        <v>39</v>
      </c>
      <c r="E2734" s="162"/>
      <c r="F2734" s="163" t="s">
        <v>40</v>
      </c>
      <c r="G2734" s="164"/>
      <c r="H2734" s="165"/>
      <c r="I2734" s="164"/>
      <c r="J2734" s="165"/>
      <c r="K2734" s="164"/>
      <c r="L2734" s="165"/>
      <c r="M2734" s="6"/>
      <c r="N2734" s="32"/>
      <c r="Q2734" s="10" t="str">
        <f>+CONCATENATE(E2734,G2734)</f>
        <v/>
      </c>
      <c r="R2734" s="10">
        <f>+H2734</f>
        <v>0</v>
      </c>
      <c r="S2734" s="11"/>
      <c r="T2734" s="10">
        <f>+E2734</f>
        <v>0</v>
      </c>
      <c r="U2734" s="19" t="str">
        <f t="shared" ref="U2734" si="1483">IFERROR(LEFT(G2734,FIND("*",G2734)-1),"-")</f>
        <v>-</v>
      </c>
      <c r="V2734" s="19" t="str">
        <f t="shared" ref="V2734" si="1484">IFERROR(RIGHT(G2734,LEN(G2734)-FIND("*",G2734)),"-")</f>
        <v>-</v>
      </c>
      <c r="W2734" s="20" t="str">
        <f t="shared" si="1480"/>
        <v>-</v>
      </c>
      <c r="X2734" s="20" t="str">
        <f>IFERROR(W2734*H2734,"-")</f>
        <v>-</v>
      </c>
      <c r="Z2734" s="85" t="s">
        <v>82</v>
      </c>
    </row>
    <row r="2735" spans="1:26" ht="6.95" customHeight="1" x14ac:dyDescent="0.3">
      <c r="A2735" s="5"/>
      <c r="B2735" s="157"/>
      <c r="C2735" s="158"/>
      <c r="D2735" s="161"/>
      <c r="E2735" s="162"/>
      <c r="F2735" s="163"/>
      <c r="G2735" s="164"/>
      <c r="H2735" s="165"/>
      <c r="I2735" s="164"/>
      <c r="J2735" s="165"/>
      <c r="K2735" s="164"/>
      <c r="L2735" s="165"/>
      <c r="M2735" s="6"/>
      <c r="N2735" s="32"/>
      <c r="Q2735" s="10" t="str">
        <f>+CONCATENATE(E2734,I2734)</f>
        <v/>
      </c>
      <c r="R2735" s="10">
        <f>+J2734</f>
        <v>0</v>
      </c>
      <c r="S2735" s="11"/>
      <c r="T2735" s="10">
        <f>+E2734</f>
        <v>0</v>
      </c>
      <c r="U2735" s="19" t="str">
        <f>IFERROR(LEFT(I2734,FIND("*",I2734)-1),"-")</f>
        <v>-</v>
      </c>
      <c r="V2735" s="19" t="str">
        <f>IFERROR(RIGHT(I2734,LEN(I2734)-FIND("*",I2734)),"-")</f>
        <v>-</v>
      </c>
      <c r="W2735" s="20" t="str">
        <f t="shared" si="1480"/>
        <v>-</v>
      </c>
      <c r="X2735" s="20" t="str">
        <f t="shared" ref="X2735" si="1485">IFERROR(W2735*J2734,"-")</f>
        <v>-</v>
      </c>
      <c r="Z2735" s="85" t="s">
        <v>82</v>
      </c>
    </row>
    <row r="2736" spans="1:26" ht="6.95" customHeight="1" x14ac:dyDescent="0.3">
      <c r="A2736" s="5"/>
      <c r="B2736" s="157"/>
      <c r="C2736" s="158"/>
      <c r="D2736" s="161"/>
      <c r="E2736" s="162"/>
      <c r="F2736" s="163"/>
      <c r="G2736" s="164"/>
      <c r="H2736" s="165"/>
      <c r="I2736" s="164"/>
      <c r="J2736" s="165"/>
      <c r="K2736" s="164"/>
      <c r="L2736" s="165"/>
      <c r="M2736" s="6"/>
      <c r="N2736" s="32"/>
      <c r="Q2736" s="10" t="str">
        <f>+CONCATENATE(E2734,K2734)</f>
        <v/>
      </c>
      <c r="R2736" s="10">
        <f>+L2734</f>
        <v>0</v>
      </c>
      <c r="S2736" s="11"/>
      <c r="T2736" s="10">
        <f>+E2734</f>
        <v>0</v>
      </c>
      <c r="U2736" s="19" t="str">
        <f>IFERROR(LEFT(K2734,FIND("*",K2734)-1),"-")</f>
        <v>-</v>
      </c>
      <c r="V2736" s="19" t="str">
        <f>IFERROR(RIGHT(K2734,LEN(K2734)-FIND("*",K2734)),"-")</f>
        <v>-</v>
      </c>
      <c r="W2736" s="20" t="str">
        <f t="shared" si="1480"/>
        <v>-</v>
      </c>
      <c r="X2736" s="20" t="str">
        <f>IFERROR(W2736*L2734,"-")</f>
        <v>-</v>
      </c>
      <c r="Z2736" s="85" t="s">
        <v>82</v>
      </c>
    </row>
    <row r="2737" spans="1:26" ht="21" customHeight="1" thickBot="1" x14ac:dyDescent="0.35">
      <c r="A2737" s="5"/>
      <c r="B2737" s="159"/>
      <c r="C2737" s="160"/>
      <c r="D2737" s="166" t="s">
        <v>43</v>
      </c>
      <c r="E2737" s="167"/>
      <c r="F2737" s="167"/>
      <c r="G2737" s="168"/>
      <c r="H2737" s="168"/>
      <c r="I2737" s="168"/>
      <c r="J2737" s="168"/>
      <c r="K2737" s="168"/>
      <c r="L2737" s="168"/>
      <c r="M2737" s="7"/>
      <c r="N2737" s="32"/>
      <c r="Z2737" s="86" t="s">
        <v>81</v>
      </c>
    </row>
    <row r="2738" spans="1:26" ht="9.9499999999999993" customHeight="1" thickBot="1" x14ac:dyDescent="0.35">
      <c r="B2738" s="9"/>
      <c r="C2738" s="109"/>
      <c r="D2738" s="51"/>
      <c r="E2738" s="12"/>
      <c r="F2738" s="51"/>
      <c r="G2738" s="14"/>
      <c r="H2738" s="14"/>
      <c r="I2738" s="14"/>
      <c r="J2738" s="14"/>
      <c r="K2738" s="14"/>
      <c r="L2738" s="14"/>
      <c r="M2738" s="9"/>
      <c r="N2738" s="32"/>
      <c r="U2738" s="18"/>
      <c r="V2738" s="18"/>
      <c r="Z2738" s="85" t="s">
        <v>82</v>
      </c>
    </row>
    <row r="2739" spans="1:26" ht="6.95" customHeight="1" x14ac:dyDescent="0.3">
      <c r="A2739" s="154">
        <f>+A2728+1</f>
        <v>1048</v>
      </c>
      <c r="B2739" s="155"/>
      <c r="C2739" s="156"/>
      <c r="D2739" s="161" t="s">
        <v>39</v>
      </c>
      <c r="E2739" s="162"/>
      <c r="F2739" s="163" t="s">
        <v>40</v>
      </c>
      <c r="G2739" s="164"/>
      <c r="H2739" s="165"/>
      <c r="I2739" s="164"/>
      <c r="J2739" s="165"/>
      <c r="K2739" s="164"/>
      <c r="L2739" s="165"/>
      <c r="M2739" s="6"/>
      <c r="N2739" s="32"/>
      <c r="Q2739" s="10" t="str">
        <f>+CONCATENATE(E2739,G2739)</f>
        <v/>
      </c>
      <c r="R2739" s="10">
        <f>+H2739</f>
        <v>0</v>
      </c>
      <c r="S2739" s="11"/>
      <c r="T2739" s="10">
        <f>+E2739</f>
        <v>0</v>
      </c>
      <c r="U2739" s="19" t="str">
        <f>IFERROR(LEFT(G2739,FIND("*",G2739)-1),"-")</f>
        <v>-</v>
      </c>
      <c r="V2739" s="19" t="str">
        <f>IFERROR(RIGHT(G2739,LEN(G2739)-FIND("*",G2739)),"-")</f>
        <v>-</v>
      </c>
      <c r="W2739" s="20" t="str">
        <f>IFERROR((U2739+V2739)*2/1000,"-")</f>
        <v>-</v>
      </c>
      <c r="X2739" s="20" t="str">
        <f>IFERROR(W2739*H2739,"-")</f>
        <v>-</v>
      </c>
      <c r="Z2739" s="85" t="s">
        <v>82</v>
      </c>
    </row>
    <row r="2740" spans="1:26" ht="6.95" customHeight="1" x14ac:dyDescent="0.3">
      <c r="A2740" s="154"/>
      <c r="B2740" s="157"/>
      <c r="C2740" s="158"/>
      <c r="D2740" s="161"/>
      <c r="E2740" s="162"/>
      <c r="F2740" s="163"/>
      <c r="G2740" s="164"/>
      <c r="H2740" s="165"/>
      <c r="I2740" s="164"/>
      <c r="J2740" s="165"/>
      <c r="K2740" s="164"/>
      <c r="L2740" s="165"/>
      <c r="M2740" s="6"/>
      <c r="N2740" s="32"/>
      <c r="Q2740" s="10" t="str">
        <f>+CONCATENATE(E2739,I2739)</f>
        <v/>
      </c>
      <c r="R2740" s="10">
        <f>+J2739</f>
        <v>0</v>
      </c>
      <c r="S2740" s="11"/>
      <c r="T2740" s="10">
        <f>+E2739</f>
        <v>0</v>
      </c>
      <c r="U2740" s="19" t="str">
        <f>IFERROR(LEFT(I2739,FIND("*",I2739)-1),"-")</f>
        <v>-</v>
      </c>
      <c r="V2740" s="19" t="str">
        <f>IFERROR(RIGHT(I2739,LEN(I2739)-FIND("*",I2739)),"-")</f>
        <v>-</v>
      </c>
      <c r="W2740" s="20" t="str">
        <f t="shared" ref="W2740:W2747" si="1486">IFERROR((U2740+V2740)*2/1000,"-")</f>
        <v>-</v>
      </c>
      <c r="X2740" s="20" t="str">
        <f>IFERROR(W2740*J2739,"-")</f>
        <v>-</v>
      </c>
      <c r="Z2740" s="85" t="s">
        <v>82</v>
      </c>
    </row>
    <row r="2741" spans="1:26" ht="6.95" customHeight="1" x14ac:dyDescent="0.3">
      <c r="A2741" s="154"/>
      <c r="B2741" s="157"/>
      <c r="C2741" s="158"/>
      <c r="D2741" s="161"/>
      <c r="E2741" s="162"/>
      <c r="F2741" s="163"/>
      <c r="G2741" s="164"/>
      <c r="H2741" s="165"/>
      <c r="I2741" s="164"/>
      <c r="J2741" s="165"/>
      <c r="K2741" s="164"/>
      <c r="L2741" s="165"/>
      <c r="M2741" s="6"/>
      <c r="N2741" s="32"/>
      <c r="Q2741" s="10" t="str">
        <f>+CONCATENATE(E2739,K2739)</f>
        <v/>
      </c>
      <c r="R2741" s="10">
        <f>+L2739</f>
        <v>0</v>
      </c>
      <c r="S2741" s="11"/>
      <c r="T2741" s="10">
        <f>+E2739</f>
        <v>0</v>
      </c>
      <c r="U2741" s="19" t="str">
        <f>IFERROR(LEFT(K2739,FIND("*",K2739)-1),"-")</f>
        <v>-</v>
      </c>
      <c r="V2741" s="19" t="str">
        <f>IFERROR(RIGHT(K2739,LEN(K2739)-FIND("*",K2739)),"-")</f>
        <v>-</v>
      </c>
      <c r="W2741" s="20" t="str">
        <f t="shared" si="1486"/>
        <v>-</v>
      </c>
      <c r="X2741" s="20" t="str">
        <f>IFERROR(W2741*L2739,"-")</f>
        <v>-</v>
      </c>
      <c r="Z2741" s="85" t="s">
        <v>82</v>
      </c>
    </row>
    <row r="2742" spans="1:26" ht="6.95" customHeight="1" x14ac:dyDescent="0.3">
      <c r="A2742" s="8"/>
      <c r="B2742" s="157"/>
      <c r="C2742" s="158"/>
      <c r="D2742" s="161" t="s">
        <v>39</v>
      </c>
      <c r="E2742" s="162"/>
      <c r="F2742" s="163" t="s">
        <v>40</v>
      </c>
      <c r="G2742" s="164"/>
      <c r="H2742" s="165"/>
      <c r="I2742" s="164"/>
      <c r="J2742" s="165"/>
      <c r="K2742" s="164"/>
      <c r="L2742" s="165"/>
      <c r="M2742" s="6"/>
      <c r="N2742" s="32"/>
      <c r="Q2742" s="10" t="str">
        <f>+CONCATENATE(E2742,G2742)</f>
        <v/>
      </c>
      <c r="R2742" s="10">
        <f>+H2742</f>
        <v>0</v>
      </c>
      <c r="S2742" s="11"/>
      <c r="T2742" s="10">
        <f>+E2742</f>
        <v>0</v>
      </c>
      <c r="U2742" s="19" t="str">
        <f t="shared" ref="U2742" si="1487">IFERROR(LEFT(G2742,FIND("*",G2742)-1),"-")</f>
        <v>-</v>
      </c>
      <c r="V2742" s="19" t="str">
        <f t="shared" ref="V2742" si="1488">IFERROR(RIGHT(G2742,LEN(G2742)-FIND("*",G2742)),"-")</f>
        <v>-</v>
      </c>
      <c r="W2742" s="20" t="str">
        <f t="shared" si="1486"/>
        <v>-</v>
      </c>
      <c r="X2742" s="20" t="str">
        <f>IFERROR(W2742*H2742,"-")</f>
        <v>-</v>
      </c>
      <c r="Z2742" s="85" t="s">
        <v>82</v>
      </c>
    </row>
    <row r="2743" spans="1:26" ht="6.95" customHeight="1" x14ac:dyDescent="0.3">
      <c r="A2743" s="5"/>
      <c r="B2743" s="157"/>
      <c r="C2743" s="158"/>
      <c r="D2743" s="161"/>
      <c r="E2743" s="162"/>
      <c r="F2743" s="163"/>
      <c r="G2743" s="164"/>
      <c r="H2743" s="165"/>
      <c r="I2743" s="164"/>
      <c r="J2743" s="165"/>
      <c r="K2743" s="164"/>
      <c r="L2743" s="165"/>
      <c r="M2743" s="6"/>
      <c r="N2743" s="32"/>
      <c r="Q2743" s="10" t="str">
        <f>+CONCATENATE(E2742,I2742)</f>
        <v/>
      </c>
      <c r="R2743" s="10">
        <f>+J2742</f>
        <v>0</v>
      </c>
      <c r="S2743" s="11"/>
      <c r="T2743" s="10">
        <f>+E2742</f>
        <v>0</v>
      </c>
      <c r="U2743" s="19" t="str">
        <f>IFERROR(LEFT(I2742,FIND("*",I2742)-1),"-")</f>
        <v>-</v>
      </c>
      <c r="V2743" s="19" t="str">
        <f>IFERROR(RIGHT(I2742,LEN(I2742)-FIND("*",I2742)),"-")</f>
        <v>-</v>
      </c>
      <c r="W2743" s="20" t="str">
        <f t="shared" si="1486"/>
        <v>-</v>
      </c>
      <c r="X2743" s="20" t="str">
        <f>IFERROR(W2743*J2742,"-")</f>
        <v>-</v>
      </c>
      <c r="Z2743" s="85" t="s">
        <v>82</v>
      </c>
    </row>
    <row r="2744" spans="1:26" ht="6.95" customHeight="1" x14ac:dyDescent="0.3">
      <c r="A2744" s="5"/>
      <c r="B2744" s="157"/>
      <c r="C2744" s="158"/>
      <c r="D2744" s="161"/>
      <c r="E2744" s="162"/>
      <c r="F2744" s="163"/>
      <c r="G2744" s="164"/>
      <c r="H2744" s="165"/>
      <c r="I2744" s="164"/>
      <c r="J2744" s="165"/>
      <c r="K2744" s="164"/>
      <c r="L2744" s="165"/>
      <c r="M2744" s="6"/>
      <c r="N2744" s="32"/>
      <c r="Q2744" s="10" t="str">
        <f>+CONCATENATE(E2742,K2742)</f>
        <v/>
      </c>
      <c r="R2744" s="10">
        <f>+L2742</f>
        <v>0</v>
      </c>
      <c r="S2744" s="11"/>
      <c r="T2744" s="10">
        <f>+E2742</f>
        <v>0</v>
      </c>
      <c r="U2744" s="19" t="str">
        <f>IFERROR(LEFT(K2742,FIND("*",K2742)-1),"-")</f>
        <v>-</v>
      </c>
      <c r="V2744" s="19" t="str">
        <f>IFERROR(RIGHT(K2742,LEN(K2742)-FIND("*",K2742)),"-")</f>
        <v>-</v>
      </c>
      <c r="W2744" s="20" t="str">
        <f t="shared" si="1486"/>
        <v>-</v>
      </c>
      <c r="X2744" s="20" t="str">
        <f>IFERROR(W2744*L2742,"-")</f>
        <v>-</v>
      </c>
      <c r="Z2744" s="85" t="s">
        <v>82</v>
      </c>
    </row>
    <row r="2745" spans="1:26" ht="6.95" customHeight="1" x14ac:dyDescent="0.3">
      <c r="A2745" s="8"/>
      <c r="B2745" s="157"/>
      <c r="C2745" s="158"/>
      <c r="D2745" s="161" t="s">
        <v>39</v>
      </c>
      <c r="E2745" s="162"/>
      <c r="F2745" s="163" t="s">
        <v>40</v>
      </c>
      <c r="G2745" s="164"/>
      <c r="H2745" s="165"/>
      <c r="I2745" s="164"/>
      <c r="J2745" s="165"/>
      <c r="K2745" s="164"/>
      <c r="L2745" s="165"/>
      <c r="M2745" s="6"/>
      <c r="N2745" s="32"/>
      <c r="Q2745" s="10" t="str">
        <f>+CONCATENATE(E2745,G2745)</f>
        <v/>
      </c>
      <c r="R2745" s="10">
        <f>+H2745</f>
        <v>0</v>
      </c>
      <c r="S2745" s="11"/>
      <c r="T2745" s="10">
        <f>+E2745</f>
        <v>0</v>
      </c>
      <c r="U2745" s="19" t="str">
        <f t="shared" ref="U2745" si="1489">IFERROR(LEFT(G2745,FIND("*",G2745)-1),"-")</f>
        <v>-</v>
      </c>
      <c r="V2745" s="19" t="str">
        <f t="shared" ref="V2745" si="1490">IFERROR(RIGHT(G2745,LEN(G2745)-FIND("*",G2745)),"-")</f>
        <v>-</v>
      </c>
      <c r="W2745" s="20" t="str">
        <f t="shared" si="1486"/>
        <v>-</v>
      </c>
      <c r="X2745" s="20" t="str">
        <f>IFERROR(W2745*H2745,"-")</f>
        <v>-</v>
      </c>
      <c r="Z2745" s="85" t="s">
        <v>82</v>
      </c>
    </row>
    <row r="2746" spans="1:26" ht="6.95" customHeight="1" x14ac:dyDescent="0.3">
      <c r="A2746" s="5"/>
      <c r="B2746" s="157"/>
      <c r="C2746" s="158"/>
      <c r="D2746" s="161"/>
      <c r="E2746" s="162"/>
      <c r="F2746" s="163"/>
      <c r="G2746" s="164"/>
      <c r="H2746" s="165"/>
      <c r="I2746" s="164"/>
      <c r="J2746" s="165"/>
      <c r="K2746" s="164"/>
      <c r="L2746" s="165"/>
      <c r="M2746" s="6"/>
      <c r="N2746" s="32"/>
      <c r="Q2746" s="10" t="str">
        <f>+CONCATENATE(E2745,I2745)</f>
        <v/>
      </c>
      <c r="R2746" s="10">
        <f>+J2745</f>
        <v>0</v>
      </c>
      <c r="S2746" s="11"/>
      <c r="T2746" s="10">
        <f>+E2745</f>
        <v>0</v>
      </c>
      <c r="U2746" s="19" t="str">
        <f>IFERROR(LEFT(I2745,FIND("*",I2745)-1),"-")</f>
        <v>-</v>
      </c>
      <c r="V2746" s="19" t="str">
        <f>IFERROR(RIGHT(I2745,LEN(I2745)-FIND("*",I2745)),"-")</f>
        <v>-</v>
      </c>
      <c r="W2746" s="20" t="str">
        <f t="shared" si="1486"/>
        <v>-</v>
      </c>
      <c r="X2746" s="20" t="str">
        <f t="shared" ref="X2746" si="1491">IFERROR(W2746*J2745,"-")</f>
        <v>-</v>
      </c>
      <c r="Z2746" s="85" t="s">
        <v>82</v>
      </c>
    </row>
    <row r="2747" spans="1:26" ht="6.95" customHeight="1" x14ac:dyDescent="0.3">
      <c r="A2747" s="5"/>
      <c r="B2747" s="157"/>
      <c r="C2747" s="158"/>
      <c r="D2747" s="161"/>
      <c r="E2747" s="162"/>
      <c r="F2747" s="163"/>
      <c r="G2747" s="164"/>
      <c r="H2747" s="165"/>
      <c r="I2747" s="164"/>
      <c r="J2747" s="165"/>
      <c r="K2747" s="164"/>
      <c r="L2747" s="165"/>
      <c r="M2747" s="6"/>
      <c r="N2747" s="32"/>
      <c r="Q2747" s="10" t="str">
        <f>+CONCATENATE(E2745,K2745)</f>
        <v/>
      </c>
      <c r="R2747" s="10">
        <f>+L2745</f>
        <v>0</v>
      </c>
      <c r="S2747" s="11"/>
      <c r="T2747" s="10">
        <f>+E2745</f>
        <v>0</v>
      </c>
      <c r="U2747" s="19" t="str">
        <f>IFERROR(LEFT(K2745,FIND("*",K2745)-1),"-")</f>
        <v>-</v>
      </c>
      <c r="V2747" s="19" t="str">
        <f>IFERROR(RIGHT(K2745,LEN(K2745)-FIND("*",K2745)),"-")</f>
        <v>-</v>
      </c>
      <c r="W2747" s="20" t="str">
        <f t="shared" si="1486"/>
        <v>-</v>
      </c>
      <c r="X2747" s="20" t="str">
        <f>IFERROR(W2747*L2745,"-")</f>
        <v>-</v>
      </c>
      <c r="Z2747" s="85" t="s">
        <v>82</v>
      </c>
    </row>
    <row r="2748" spans="1:26" ht="21" customHeight="1" thickBot="1" x14ac:dyDescent="0.35">
      <c r="A2748" s="5"/>
      <c r="B2748" s="159"/>
      <c r="C2748" s="160"/>
      <c r="D2748" s="166" t="s">
        <v>43</v>
      </c>
      <c r="E2748" s="167"/>
      <c r="F2748" s="167"/>
      <c r="G2748" s="168"/>
      <c r="H2748" s="168"/>
      <c r="I2748" s="168"/>
      <c r="J2748" s="168"/>
      <c r="K2748" s="168"/>
      <c r="L2748" s="168"/>
      <c r="M2748" s="7"/>
      <c r="N2748" s="32"/>
      <c r="Z2748" s="86" t="s">
        <v>81</v>
      </c>
    </row>
    <row r="2749" spans="1:26" ht="9.9499999999999993" customHeight="1" thickBot="1" x14ac:dyDescent="0.35">
      <c r="B2749" s="9"/>
      <c r="C2749" s="109"/>
      <c r="D2749" s="51"/>
      <c r="E2749" s="12"/>
      <c r="F2749" s="51"/>
      <c r="G2749" s="14"/>
      <c r="H2749" s="14"/>
      <c r="I2749" s="14"/>
      <c r="J2749" s="14"/>
      <c r="K2749" s="14"/>
      <c r="L2749" s="14"/>
      <c r="M2749" s="9"/>
      <c r="N2749" s="32"/>
      <c r="U2749" s="18"/>
      <c r="V2749" s="18"/>
      <c r="Z2749" s="85" t="s">
        <v>82</v>
      </c>
    </row>
    <row r="2750" spans="1:26" ht="6.95" customHeight="1" x14ac:dyDescent="0.3">
      <c r="A2750" s="154">
        <f>+A2739+1</f>
        <v>1049</v>
      </c>
      <c r="B2750" s="155"/>
      <c r="C2750" s="156"/>
      <c r="D2750" s="161" t="s">
        <v>39</v>
      </c>
      <c r="E2750" s="162"/>
      <c r="F2750" s="163" t="s">
        <v>40</v>
      </c>
      <c r="G2750" s="164"/>
      <c r="H2750" s="165"/>
      <c r="I2750" s="164"/>
      <c r="J2750" s="165"/>
      <c r="K2750" s="164"/>
      <c r="L2750" s="165"/>
      <c r="M2750" s="6"/>
      <c r="N2750" s="32"/>
      <c r="Q2750" s="10" t="str">
        <f>+CONCATENATE(E2750,G2750)</f>
        <v/>
      </c>
      <c r="R2750" s="10">
        <f>+H2750</f>
        <v>0</v>
      </c>
      <c r="S2750" s="11"/>
      <c r="T2750" s="10">
        <f>+E2750</f>
        <v>0</v>
      </c>
      <c r="U2750" s="19" t="str">
        <f>IFERROR(LEFT(G2750,FIND("*",G2750)-1),"-")</f>
        <v>-</v>
      </c>
      <c r="V2750" s="19" t="str">
        <f>IFERROR(RIGHT(G2750,LEN(G2750)-FIND("*",G2750)),"-")</f>
        <v>-</v>
      </c>
      <c r="W2750" s="20" t="str">
        <f>IFERROR((U2750+V2750)*2/1000,"-")</f>
        <v>-</v>
      </c>
      <c r="X2750" s="20" t="str">
        <f>IFERROR(W2750*H2750,"-")</f>
        <v>-</v>
      </c>
      <c r="Z2750" s="85" t="s">
        <v>82</v>
      </c>
    </row>
    <row r="2751" spans="1:26" ht="6.95" customHeight="1" x14ac:dyDescent="0.3">
      <c r="A2751" s="154"/>
      <c r="B2751" s="157"/>
      <c r="C2751" s="158"/>
      <c r="D2751" s="161"/>
      <c r="E2751" s="162"/>
      <c r="F2751" s="163"/>
      <c r="G2751" s="164"/>
      <c r="H2751" s="165"/>
      <c r="I2751" s="164"/>
      <c r="J2751" s="165"/>
      <c r="K2751" s="164"/>
      <c r="L2751" s="165"/>
      <c r="M2751" s="6"/>
      <c r="N2751" s="32"/>
      <c r="Q2751" s="10" t="str">
        <f>+CONCATENATE(E2750,I2750)</f>
        <v/>
      </c>
      <c r="R2751" s="10">
        <f>+J2750</f>
        <v>0</v>
      </c>
      <c r="S2751" s="11"/>
      <c r="T2751" s="10">
        <f>+E2750</f>
        <v>0</v>
      </c>
      <c r="U2751" s="19" t="str">
        <f>IFERROR(LEFT(I2750,FIND("*",I2750)-1),"-")</f>
        <v>-</v>
      </c>
      <c r="V2751" s="19" t="str">
        <f>IFERROR(RIGHT(I2750,LEN(I2750)-FIND("*",I2750)),"-")</f>
        <v>-</v>
      </c>
      <c r="W2751" s="20" t="str">
        <f t="shared" ref="W2751:W2758" si="1492">IFERROR((U2751+V2751)*2/1000,"-")</f>
        <v>-</v>
      </c>
      <c r="X2751" s="20" t="str">
        <f>IFERROR(W2751*J2750,"-")</f>
        <v>-</v>
      </c>
      <c r="Z2751" s="85" t="s">
        <v>82</v>
      </c>
    </row>
    <row r="2752" spans="1:26" ht="6.95" customHeight="1" x14ac:dyDescent="0.3">
      <c r="A2752" s="154"/>
      <c r="B2752" s="157"/>
      <c r="C2752" s="158"/>
      <c r="D2752" s="161"/>
      <c r="E2752" s="162"/>
      <c r="F2752" s="163"/>
      <c r="G2752" s="164"/>
      <c r="H2752" s="165"/>
      <c r="I2752" s="164"/>
      <c r="J2752" s="165"/>
      <c r="K2752" s="164"/>
      <c r="L2752" s="165"/>
      <c r="M2752" s="6"/>
      <c r="N2752" s="32"/>
      <c r="Q2752" s="10" t="str">
        <f>+CONCATENATE(E2750,K2750)</f>
        <v/>
      </c>
      <c r="R2752" s="10">
        <f>+L2750</f>
        <v>0</v>
      </c>
      <c r="S2752" s="11"/>
      <c r="T2752" s="10">
        <f>+E2750</f>
        <v>0</v>
      </c>
      <c r="U2752" s="19" t="str">
        <f>IFERROR(LEFT(K2750,FIND("*",K2750)-1),"-")</f>
        <v>-</v>
      </c>
      <c r="V2752" s="19" t="str">
        <f>IFERROR(RIGHT(K2750,LEN(K2750)-FIND("*",K2750)),"-")</f>
        <v>-</v>
      </c>
      <c r="W2752" s="20" t="str">
        <f t="shared" si="1492"/>
        <v>-</v>
      </c>
      <c r="X2752" s="20" t="str">
        <f>IFERROR(W2752*L2750,"-")</f>
        <v>-</v>
      </c>
      <c r="Z2752" s="85" t="s">
        <v>82</v>
      </c>
    </row>
    <row r="2753" spans="1:26" ht="6.95" customHeight="1" x14ac:dyDescent="0.3">
      <c r="A2753" s="8"/>
      <c r="B2753" s="157"/>
      <c r="C2753" s="158"/>
      <c r="D2753" s="161" t="s">
        <v>39</v>
      </c>
      <c r="E2753" s="162"/>
      <c r="F2753" s="163" t="s">
        <v>40</v>
      </c>
      <c r="G2753" s="164"/>
      <c r="H2753" s="165"/>
      <c r="I2753" s="164"/>
      <c r="J2753" s="165"/>
      <c r="K2753" s="164"/>
      <c r="L2753" s="165"/>
      <c r="M2753" s="6"/>
      <c r="N2753" s="32"/>
      <c r="Q2753" s="10" t="str">
        <f>+CONCATENATE(E2753,G2753)</f>
        <v/>
      </c>
      <c r="R2753" s="10">
        <f>+H2753</f>
        <v>0</v>
      </c>
      <c r="S2753" s="11"/>
      <c r="T2753" s="10">
        <f>+E2753</f>
        <v>0</v>
      </c>
      <c r="U2753" s="19" t="str">
        <f t="shared" ref="U2753" si="1493">IFERROR(LEFT(G2753,FIND("*",G2753)-1),"-")</f>
        <v>-</v>
      </c>
      <c r="V2753" s="19" t="str">
        <f t="shared" ref="V2753" si="1494">IFERROR(RIGHT(G2753,LEN(G2753)-FIND("*",G2753)),"-")</f>
        <v>-</v>
      </c>
      <c r="W2753" s="20" t="str">
        <f t="shared" si="1492"/>
        <v>-</v>
      </c>
      <c r="X2753" s="20" t="str">
        <f>IFERROR(W2753*H2753,"-")</f>
        <v>-</v>
      </c>
      <c r="Z2753" s="85" t="s">
        <v>82</v>
      </c>
    </row>
    <row r="2754" spans="1:26" ht="6.95" customHeight="1" x14ac:dyDescent="0.3">
      <c r="A2754" s="5"/>
      <c r="B2754" s="157"/>
      <c r="C2754" s="158"/>
      <c r="D2754" s="161"/>
      <c r="E2754" s="162"/>
      <c r="F2754" s="163"/>
      <c r="G2754" s="164"/>
      <c r="H2754" s="165"/>
      <c r="I2754" s="164"/>
      <c r="J2754" s="165"/>
      <c r="K2754" s="164"/>
      <c r="L2754" s="165"/>
      <c r="M2754" s="6"/>
      <c r="N2754" s="32"/>
      <c r="Q2754" s="10" t="str">
        <f>+CONCATENATE(E2753,I2753)</f>
        <v/>
      </c>
      <c r="R2754" s="10">
        <f>+J2753</f>
        <v>0</v>
      </c>
      <c r="S2754" s="11"/>
      <c r="T2754" s="10">
        <f>+E2753</f>
        <v>0</v>
      </c>
      <c r="U2754" s="19" t="str">
        <f>IFERROR(LEFT(I2753,FIND("*",I2753)-1),"-")</f>
        <v>-</v>
      </c>
      <c r="V2754" s="19" t="str">
        <f>IFERROR(RIGHT(I2753,LEN(I2753)-FIND("*",I2753)),"-")</f>
        <v>-</v>
      </c>
      <c r="W2754" s="20" t="str">
        <f t="shared" si="1492"/>
        <v>-</v>
      </c>
      <c r="X2754" s="20" t="str">
        <f>IFERROR(W2754*J2753,"-")</f>
        <v>-</v>
      </c>
      <c r="Z2754" s="85" t="s">
        <v>82</v>
      </c>
    </row>
    <row r="2755" spans="1:26" ht="6.95" customHeight="1" x14ac:dyDescent="0.3">
      <c r="A2755" s="5"/>
      <c r="B2755" s="157"/>
      <c r="C2755" s="158"/>
      <c r="D2755" s="161"/>
      <c r="E2755" s="162"/>
      <c r="F2755" s="163"/>
      <c r="G2755" s="164"/>
      <c r="H2755" s="165"/>
      <c r="I2755" s="164"/>
      <c r="J2755" s="165"/>
      <c r="K2755" s="164"/>
      <c r="L2755" s="165"/>
      <c r="M2755" s="6"/>
      <c r="N2755" s="32"/>
      <c r="Q2755" s="10" t="str">
        <f>+CONCATENATE(E2753,K2753)</f>
        <v/>
      </c>
      <c r="R2755" s="10">
        <f>+L2753</f>
        <v>0</v>
      </c>
      <c r="S2755" s="11"/>
      <c r="T2755" s="10">
        <f>+E2753</f>
        <v>0</v>
      </c>
      <c r="U2755" s="19" t="str">
        <f>IFERROR(LEFT(K2753,FIND("*",K2753)-1),"-")</f>
        <v>-</v>
      </c>
      <c r="V2755" s="19" t="str">
        <f>IFERROR(RIGHT(K2753,LEN(K2753)-FIND("*",K2753)),"-")</f>
        <v>-</v>
      </c>
      <c r="W2755" s="20" t="str">
        <f t="shared" si="1492"/>
        <v>-</v>
      </c>
      <c r="X2755" s="20" t="str">
        <f>IFERROR(W2755*L2753,"-")</f>
        <v>-</v>
      </c>
      <c r="Z2755" s="85" t="s">
        <v>82</v>
      </c>
    </row>
    <row r="2756" spans="1:26" ht="6.95" customHeight="1" x14ac:dyDescent="0.3">
      <c r="A2756" s="8"/>
      <c r="B2756" s="157"/>
      <c r="C2756" s="158"/>
      <c r="D2756" s="161" t="s">
        <v>39</v>
      </c>
      <c r="E2756" s="162"/>
      <c r="F2756" s="163" t="s">
        <v>40</v>
      </c>
      <c r="G2756" s="164"/>
      <c r="H2756" s="165"/>
      <c r="I2756" s="164"/>
      <c r="J2756" s="165"/>
      <c r="K2756" s="164"/>
      <c r="L2756" s="165"/>
      <c r="M2756" s="6"/>
      <c r="N2756" s="32"/>
      <c r="Q2756" s="10" t="str">
        <f>+CONCATENATE(E2756,G2756)</f>
        <v/>
      </c>
      <c r="R2756" s="10">
        <f>+H2756</f>
        <v>0</v>
      </c>
      <c r="S2756" s="11"/>
      <c r="T2756" s="10">
        <f>+E2756</f>
        <v>0</v>
      </c>
      <c r="U2756" s="19" t="str">
        <f t="shared" ref="U2756" si="1495">IFERROR(LEFT(G2756,FIND("*",G2756)-1),"-")</f>
        <v>-</v>
      </c>
      <c r="V2756" s="19" t="str">
        <f t="shared" ref="V2756" si="1496">IFERROR(RIGHT(G2756,LEN(G2756)-FIND("*",G2756)),"-")</f>
        <v>-</v>
      </c>
      <c r="W2756" s="20" t="str">
        <f t="shared" si="1492"/>
        <v>-</v>
      </c>
      <c r="X2756" s="20" t="str">
        <f>IFERROR(W2756*H2756,"-")</f>
        <v>-</v>
      </c>
      <c r="Z2756" s="85" t="s">
        <v>82</v>
      </c>
    </row>
    <row r="2757" spans="1:26" ht="6.95" customHeight="1" x14ac:dyDescent="0.3">
      <c r="A2757" s="5"/>
      <c r="B2757" s="157"/>
      <c r="C2757" s="158"/>
      <c r="D2757" s="161"/>
      <c r="E2757" s="162"/>
      <c r="F2757" s="163"/>
      <c r="G2757" s="164"/>
      <c r="H2757" s="165"/>
      <c r="I2757" s="164"/>
      <c r="J2757" s="165"/>
      <c r="K2757" s="164"/>
      <c r="L2757" s="165"/>
      <c r="M2757" s="6"/>
      <c r="N2757" s="32"/>
      <c r="Q2757" s="10" t="str">
        <f>+CONCATENATE(E2756,I2756)</f>
        <v/>
      </c>
      <c r="R2757" s="10">
        <f>+J2756</f>
        <v>0</v>
      </c>
      <c r="S2757" s="11"/>
      <c r="T2757" s="10">
        <f>+E2756</f>
        <v>0</v>
      </c>
      <c r="U2757" s="19" t="str">
        <f>IFERROR(LEFT(I2756,FIND("*",I2756)-1),"-")</f>
        <v>-</v>
      </c>
      <c r="V2757" s="19" t="str">
        <f>IFERROR(RIGHT(I2756,LEN(I2756)-FIND("*",I2756)),"-")</f>
        <v>-</v>
      </c>
      <c r="W2757" s="20" t="str">
        <f t="shared" si="1492"/>
        <v>-</v>
      </c>
      <c r="X2757" s="20" t="str">
        <f t="shared" ref="X2757" si="1497">IFERROR(W2757*J2756,"-")</f>
        <v>-</v>
      </c>
      <c r="Z2757" s="85" t="s">
        <v>82</v>
      </c>
    </row>
    <row r="2758" spans="1:26" ht="6.95" customHeight="1" x14ac:dyDescent="0.3">
      <c r="A2758" s="5"/>
      <c r="B2758" s="157"/>
      <c r="C2758" s="158"/>
      <c r="D2758" s="161"/>
      <c r="E2758" s="162"/>
      <c r="F2758" s="163"/>
      <c r="G2758" s="164"/>
      <c r="H2758" s="165"/>
      <c r="I2758" s="164"/>
      <c r="J2758" s="165"/>
      <c r="K2758" s="164"/>
      <c r="L2758" s="165"/>
      <c r="M2758" s="6"/>
      <c r="N2758" s="32"/>
      <c r="Q2758" s="10" t="str">
        <f>+CONCATENATE(E2756,K2756)</f>
        <v/>
      </c>
      <c r="R2758" s="10">
        <f>+L2756</f>
        <v>0</v>
      </c>
      <c r="S2758" s="11"/>
      <c r="T2758" s="10">
        <f>+E2756</f>
        <v>0</v>
      </c>
      <c r="U2758" s="19" t="str">
        <f>IFERROR(LEFT(K2756,FIND("*",K2756)-1),"-")</f>
        <v>-</v>
      </c>
      <c r="V2758" s="19" t="str">
        <f>IFERROR(RIGHT(K2756,LEN(K2756)-FIND("*",K2756)),"-")</f>
        <v>-</v>
      </c>
      <c r="W2758" s="20" t="str">
        <f t="shared" si="1492"/>
        <v>-</v>
      </c>
      <c r="X2758" s="20" t="str">
        <f>IFERROR(W2758*L2756,"-")</f>
        <v>-</v>
      </c>
      <c r="Z2758" s="85" t="s">
        <v>82</v>
      </c>
    </row>
    <row r="2759" spans="1:26" ht="21" customHeight="1" thickBot="1" x14ac:dyDescent="0.35">
      <c r="A2759" s="5"/>
      <c r="B2759" s="159"/>
      <c r="C2759" s="160"/>
      <c r="D2759" s="166" t="s">
        <v>43</v>
      </c>
      <c r="E2759" s="167"/>
      <c r="F2759" s="167"/>
      <c r="G2759" s="168"/>
      <c r="H2759" s="168"/>
      <c r="I2759" s="168"/>
      <c r="J2759" s="168"/>
      <c r="K2759" s="168"/>
      <c r="L2759" s="168"/>
      <c r="M2759" s="7"/>
      <c r="N2759" s="32"/>
      <c r="Z2759" s="86" t="s">
        <v>81</v>
      </c>
    </row>
    <row r="2760" spans="1:26" ht="9.9499999999999993" customHeight="1" thickBot="1" x14ac:dyDescent="0.35">
      <c r="B2760" s="9"/>
      <c r="C2760" s="109"/>
      <c r="D2760" s="51"/>
      <c r="E2760" s="12"/>
      <c r="F2760" s="51"/>
      <c r="G2760" s="14"/>
      <c r="H2760" s="14"/>
      <c r="I2760" s="14"/>
      <c r="J2760" s="14"/>
      <c r="K2760" s="14"/>
      <c r="L2760" s="14"/>
      <c r="M2760" s="9"/>
      <c r="N2760" s="32"/>
      <c r="U2760" s="18"/>
      <c r="V2760" s="18"/>
      <c r="Z2760" s="85" t="s">
        <v>82</v>
      </c>
    </row>
    <row r="2761" spans="1:26" ht="6.95" customHeight="1" x14ac:dyDescent="0.3">
      <c r="A2761" s="154">
        <f>+A2750+1</f>
        <v>1050</v>
      </c>
      <c r="B2761" s="155"/>
      <c r="C2761" s="156"/>
      <c r="D2761" s="161" t="s">
        <v>39</v>
      </c>
      <c r="E2761" s="162"/>
      <c r="F2761" s="163" t="s">
        <v>40</v>
      </c>
      <c r="G2761" s="164"/>
      <c r="H2761" s="165"/>
      <c r="I2761" s="164"/>
      <c r="J2761" s="165"/>
      <c r="K2761" s="164"/>
      <c r="L2761" s="165"/>
      <c r="M2761" s="6"/>
      <c r="N2761" s="32"/>
      <c r="Q2761" s="10" t="str">
        <f>+CONCATENATE(E2761,G2761)</f>
        <v/>
      </c>
      <c r="R2761" s="10">
        <f>+H2761</f>
        <v>0</v>
      </c>
      <c r="S2761" s="11"/>
      <c r="T2761" s="10">
        <f>+E2761</f>
        <v>0</v>
      </c>
      <c r="U2761" s="19" t="str">
        <f>IFERROR(LEFT(G2761,FIND("*",G2761)-1),"-")</f>
        <v>-</v>
      </c>
      <c r="V2761" s="19" t="str">
        <f>IFERROR(RIGHT(G2761,LEN(G2761)-FIND("*",G2761)),"-")</f>
        <v>-</v>
      </c>
      <c r="W2761" s="20" t="str">
        <f>IFERROR((U2761+V2761)*2/1000,"-")</f>
        <v>-</v>
      </c>
      <c r="X2761" s="20" t="str">
        <f>IFERROR(W2761*H2761,"-")</f>
        <v>-</v>
      </c>
      <c r="Z2761" s="85" t="s">
        <v>82</v>
      </c>
    </row>
    <row r="2762" spans="1:26" ht="6.95" customHeight="1" x14ac:dyDescent="0.3">
      <c r="A2762" s="154"/>
      <c r="B2762" s="157"/>
      <c r="C2762" s="158"/>
      <c r="D2762" s="161"/>
      <c r="E2762" s="162"/>
      <c r="F2762" s="163"/>
      <c r="G2762" s="164"/>
      <c r="H2762" s="165"/>
      <c r="I2762" s="164"/>
      <c r="J2762" s="165"/>
      <c r="K2762" s="164"/>
      <c r="L2762" s="165"/>
      <c r="M2762" s="6"/>
      <c r="N2762" s="32"/>
      <c r="Q2762" s="10" t="str">
        <f>+CONCATENATE(E2761,I2761)</f>
        <v/>
      </c>
      <c r="R2762" s="10">
        <f>+J2761</f>
        <v>0</v>
      </c>
      <c r="S2762" s="11"/>
      <c r="T2762" s="10">
        <f>+E2761</f>
        <v>0</v>
      </c>
      <c r="U2762" s="19" t="str">
        <f>IFERROR(LEFT(I2761,FIND("*",I2761)-1),"-")</f>
        <v>-</v>
      </c>
      <c r="V2762" s="19" t="str">
        <f>IFERROR(RIGHT(I2761,LEN(I2761)-FIND("*",I2761)),"-")</f>
        <v>-</v>
      </c>
      <c r="W2762" s="20" t="str">
        <f t="shared" ref="W2762:W2769" si="1498">IFERROR((U2762+V2762)*2/1000,"-")</f>
        <v>-</v>
      </c>
      <c r="X2762" s="20" t="str">
        <f>IFERROR(W2762*J2761,"-")</f>
        <v>-</v>
      </c>
      <c r="Z2762" s="85" t="s">
        <v>82</v>
      </c>
    </row>
    <row r="2763" spans="1:26" ht="6.95" customHeight="1" x14ac:dyDescent="0.3">
      <c r="A2763" s="154"/>
      <c r="B2763" s="157"/>
      <c r="C2763" s="158"/>
      <c r="D2763" s="161"/>
      <c r="E2763" s="162"/>
      <c r="F2763" s="163"/>
      <c r="G2763" s="164"/>
      <c r="H2763" s="165"/>
      <c r="I2763" s="164"/>
      <c r="J2763" s="165"/>
      <c r="K2763" s="164"/>
      <c r="L2763" s="165"/>
      <c r="M2763" s="6"/>
      <c r="N2763" s="32"/>
      <c r="Q2763" s="10" t="str">
        <f>+CONCATENATE(E2761,K2761)</f>
        <v/>
      </c>
      <c r="R2763" s="10">
        <f>+L2761</f>
        <v>0</v>
      </c>
      <c r="S2763" s="11"/>
      <c r="T2763" s="10">
        <f>+E2761</f>
        <v>0</v>
      </c>
      <c r="U2763" s="19" t="str">
        <f>IFERROR(LEFT(K2761,FIND("*",K2761)-1),"-")</f>
        <v>-</v>
      </c>
      <c r="V2763" s="19" t="str">
        <f>IFERROR(RIGHT(K2761,LEN(K2761)-FIND("*",K2761)),"-")</f>
        <v>-</v>
      </c>
      <c r="W2763" s="20" t="str">
        <f t="shared" si="1498"/>
        <v>-</v>
      </c>
      <c r="X2763" s="20" t="str">
        <f>IFERROR(W2763*L2761,"-")</f>
        <v>-</v>
      </c>
      <c r="Z2763" s="85" t="s">
        <v>82</v>
      </c>
    </row>
    <row r="2764" spans="1:26" ht="6.95" customHeight="1" x14ac:dyDescent="0.3">
      <c r="A2764" s="8"/>
      <c r="B2764" s="157"/>
      <c r="C2764" s="158"/>
      <c r="D2764" s="161" t="s">
        <v>39</v>
      </c>
      <c r="E2764" s="162"/>
      <c r="F2764" s="163" t="s">
        <v>40</v>
      </c>
      <c r="G2764" s="164"/>
      <c r="H2764" s="165"/>
      <c r="I2764" s="164"/>
      <c r="J2764" s="165"/>
      <c r="K2764" s="164"/>
      <c r="L2764" s="165"/>
      <c r="M2764" s="6"/>
      <c r="N2764" s="32"/>
      <c r="Q2764" s="10" t="str">
        <f>+CONCATENATE(E2764,G2764)</f>
        <v/>
      </c>
      <c r="R2764" s="10">
        <f>+H2764</f>
        <v>0</v>
      </c>
      <c r="S2764" s="11"/>
      <c r="T2764" s="10">
        <f>+E2764</f>
        <v>0</v>
      </c>
      <c r="U2764" s="19" t="str">
        <f t="shared" ref="U2764" si="1499">IFERROR(LEFT(G2764,FIND("*",G2764)-1),"-")</f>
        <v>-</v>
      </c>
      <c r="V2764" s="19" t="str">
        <f t="shared" ref="V2764" si="1500">IFERROR(RIGHT(G2764,LEN(G2764)-FIND("*",G2764)),"-")</f>
        <v>-</v>
      </c>
      <c r="W2764" s="20" t="str">
        <f t="shared" si="1498"/>
        <v>-</v>
      </c>
      <c r="X2764" s="20" t="str">
        <f>IFERROR(W2764*H2764,"-")</f>
        <v>-</v>
      </c>
      <c r="Z2764" s="85" t="s">
        <v>82</v>
      </c>
    </row>
    <row r="2765" spans="1:26" ht="6.95" customHeight="1" x14ac:dyDescent="0.3">
      <c r="A2765" s="5"/>
      <c r="B2765" s="157"/>
      <c r="C2765" s="158"/>
      <c r="D2765" s="161"/>
      <c r="E2765" s="162"/>
      <c r="F2765" s="163"/>
      <c r="G2765" s="164"/>
      <c r="H2765" s="165"/>
      <c r="I2765" s="164"/>
      <c r="J2765" s="165"/>
      <c r="K2765" s="164"/>
      <c r="L2765" s="165"/>
      <c r="M2765" s="6"/>
      <c r="N2765" s="32"/>
      <c r="Q2765" s="10" t="str">
        <f>+CONCATENATE(E2764,I2764)</f>
        <v/>
      </c>
      <c r="R2765" s="10">
        <f>+J2764</f>
        <v>0</v>
      </c>
      <c r="S2765" s="11"/>
      <c r="T2765" s="10">
        <f>+E2764</f>
        <v>0</v>
      </c>
      <c r="U2765" s="19" t="str">
        <f>IFERROR(LEFT(I2764,FIND("*",I2764)-1),"-")</f>
        <v>-</v>
      </c>
      <c r="V2765" s="19" t="str">
        <f>IFERROR(RIGHT(I2764,LEN(I2764)-FIND("*",I2764)),"-")</f>
        <v>-</v>
      </c>
      <c r="W2765" s="20" t="str">
        <f t="shared" si="1498"/>
        <v>-</v>
      </c>
      <c r="X2765" s="20" t="str">
        <f>IFERROR(W2765*J2764,"-")</f>
        <v>-</v>
      </c>
      <c r="Z2765" s="85" t="s">
        <v>82</v>
      </c>
    </row>
    <row r="2766" spans="1:26" ht="6.95" customHeight="1" x14ac:dyDescent="0.3">
      <c r="A2766" s="5"/>
      <c r="B2766" s="157"/>
      <c r="C2766" s="158"/>
      <c r="D2766" s="161"/>
      <c r="E2766" s="162"/>
      <c r="F2766" s="163"/>
      <c r="G2766" s="164"/>
      <c r="H2766" s="165"/>
      <c r="I2766" s="164"/>
      <c r="J2766" s="165"/>
      <c r="K2766" s="164"/>
      <c r="L2766" s="165"/>
      <c r="M2766" s="6"/>
      <c r="N2766" s="32"/>
      <c r="Q2766" s="10" t="str">
        <f>+CONCATENATE(E2764,K2764)</f>
        <v/>
      </c>
      <c r="R2766" s="10">
        <f>+L2764</f>
        <v>0</v>
      </c>
      <c r="S2766" s="11"/>
      <c r="T2766" s="10">
        <f>+E2764</f>
        <v>0</v>
      </c>
      <c r="U2766" s="19" t="str">
        <f>IFERROR(LEFT(K2764,FIND("*",K2764)-1),"-")</f>
        <v>-</v>
      </c>
      <c r="V2766" s="19" t="str">
        <f>IFERROR(RIGHT(K2764,LEN(K2764)-FIND("*",K2764)),"-")</f>
        <v>-</v>
      </c>
      <c r="W2766" s="20" t="str">
        <f t="shared" si="1498"/>
        <v>-</v>
      </c>
      <c r="X2766" s="20" t="str">
        <f>IFERROR(W2766*L2764,"-")</f>
        <v>-</v>
      </c>
      <c r="Z2766" s="85" t="s">
        <v>82</v>
      </c>
    </row>
    <row r="2767" spans="1:26" ht="6.95" customHeight="1" x14ac:dyDescent="0.3">
      <c r="A2767" s="8"/>
      <c r="B2767" s="157"/>
      <c r="C2767" s="158"/>
      <c r="D2767" s="161" t="s">
        <v>39</v>
      </c>
      <c r="E2767" s="162"/>
      <c r="F2767" s="163" t="s">
        <v>40</v>
      </c>
      <c r="G2767" s="164"/>
      <c r="H2767" s="165"/>
      <c r="I2767" s="164"/>
      <c r="J2767" s="165"/>
      <c r="K2767" s="164"/>
      <c r="L2767" s="165"/>
      <c r="M2767" s="6"/>
      <c r="N2767" s="32"/>
      <c r="Q2767" s="10" t="str">
        <f>+CONCATENATE(E2767,G2767)</f>
        <v/>
      </c>
      <c r="R2767" s="10">
        <f>+H2767</f>
        <v>0</v>
      </c>
      <c r="S2767" s="11"/>
      <c r="T2767" s="10">
        <f>+E2767</f>
        <v>0</v>
      </c>
      <c r="U2767" s="19" t="str">
        <f t="shared" ref="U2767" si="1501">IFERROR(LEFT(G2767,FIND("*",G2767)-1),"-")</f>
        <v>-</v>
      </c>
      <c r="V2767" s="19" t="str">
        <f t="shared" ref="V2767" si="1502">IFERROR(RIGHT(G2767,LEN(G2767)-FIND("*",G2767)),"-")</f>
        <v>-</v>
      </c>
      <c r="W2767" s="20" t="str">
        <f t="shared" si="1498"/>
        <v>-</v>
      </c>
      <c r="X2767" s="20" t="str">
        <f>IFERROR(W2767*H2767,"-")</f>
        <v>-</v>
      </c>
      <c r="Z2767" s="85" t="s">
        <v>82</v>
      </c>
    </row>
    <row r="2768" spans="1:26" ht="6.95" customHeight="1" x14ac:dyDescent="0.3">
      <c r="A2768" s="5"/>
      <c r="B2768" s="157"/>
      <c r="C2768" s="158"/>
      <c r="D2768" s="161"/>
      <c r="E2768" s="162"/>
      <c r="F2768" s="163"/>
      <c r="G2768" s="164"/>
      <c r="H2768" s="165"/>
      <c r="I2768" s="164"/>
      <c r="J2768" s="165"/>
      <c r="K2768" s="164"/>
      <c r="L2768" s="165"/>
      <c r="M2768" s="6"/>
      <c r="N2768" s="32"/>
      <c r="Q2768" s="10" t="str">
        <f>+CONCATENATE(E2767,I2767)</f>
        <v/>
      </c>
      <c r="R2768" s="10">
        <f>+J2767</f>
        <v>0</v>
      </c>
      <c r="S2768" s="11"/>
      <c r="T2768" s="10">
        <f>+E2767</f>
        <v>0</v>
      </c>
      <c r="U2768" s="19" t="str">
        <f>IFERROR(LEFT(I2767,FIND("*",I2767)-1),"-")</f>
        <v>-</v>
      </c>
      <c r="V2768" s="19" t="str">
        <f>IFERROR(RIGHT(I2767,LEN(I2767)-FIND("*",I2767)),"-")</f>
        <v>-</v>
      </c>
      <c r="W2768" s="20" t="str">
        <f t="shared" si="1498"/>
        <v>-</v>
      </c>
      <c r="X2768" s="20" t="str">
        <f t="shared" ref="X2768" si="1503">IFERROR(W2768*J2767,"-")</f>
        <v>-</v>
      </c>
      <c r="Z2768" s="85" t="s">
        <v>82</v>
      </c>
    </row>
    <row r="2769" spans="1:26" ht="6.95" customHeight="1" x14ac:dyDescent="0.3">
      <c r="A2769" s="5"/>
      <c r="B2769" s="157"/>
      <c r="C2769" s="158"/>
      <c r="D2769" s="161"/>
      <c r="E2769" s="162"/>
      <c r="F2769" s="163"/>
      <c r="G2769" s="164"/>
      <c r="H2769" s="165"/>
      <c r="I2769" s="164"/>
      <c r="J2769" s="165"/>
      <c r="K2769" s="164"/>
      <c r="L2769" s="165"/>
      <c r="M2769" s="6"/>
      <c r="N2769" s="32"/>
      <c r="Q2769" s="10" t="str">
        <f>+CONCATENATE(E2767,K2767)</f>
        <v/>
      </c>
      <c r="R2769" s="10">
        <f>+L2767</f>
        <v>0</v>
      </c>
      <c r="S2769" s="11"/>
      <c r="T2769" s="10">
        <f>+E2767</f>
        <v>0</v>
      </c>
      <c r="U2769" s="19" t="str">
        <f>IFERROR(LEFT(K2767,FIND("*",K2767)-1),"-")</f>
        <v>-</v>
      </c>
      <c r="V2769" s="19" t="str">
        <f>IFERROR(RIGHT(K2767,LEN(K2767)-FIND("*",K2767)),"-")</f>
        <v>-</v>
      </c>
      <c r="W2769" s="20" t="str">
        <f t="shared" si="1498"/>
        <v>-</v>
      </c>
      <c r="X2769" s="20" t="str">
        <f>IFERROR(W2769*L2767,"-")</f>
        <v>-</v>
      </c>
      <c r="Z2769" s="85" t="s">
        <v>82</v>
      </c>
    </row>
    <row r="2770" spans="1:26" ht="21" customHeight="1" thickBot="1" x14ac:dyDescent="0.35">
      <c r="A2770" s="5"/>
      <c r="B2770" s="159"/>
      <c r="C2770" s="160"/>
      <c r="D2770" s="166" t="s">
        <v>43</v>
      </c>
      <c r="E2770" s="167"/>
      <c r="F2770" s="167"/>
      <c r="G2770" s="168"/>
      <c r="H2770" s="168"/>
      <c r="I2770" s="168"/>
      <c r="J2770" s="168"/>
      <c r="K2770" s="168"/>
      <c r="L2770" s="168"/>
      <c r="M2770" s="7"/>
      <c r="N2770" s="32"/>
      <c r="Z2770" s="86" t="s">
        <v>81</v>
      </c>
    </row>
    <row r="2771" spans="1:26" ht="9.9499999999999993" customHeight="1" thickBot="1" x14ac:dyDescent="0.35">
      <c r="B2771" s="9"/>
      <c r="C2771" s="109"/>
      <c r="D2771" s="51"/>
      <c r="E2771" s="12"/>
      <c r="F2771" s="51"/>
      <c r="G2771" s="14"/>
      <c r="H2771" s="14"/>
      <c r="I2771" s="14"/>
      <c r="J2771" s="14"/>
      <c r="K2771" s="14"/>
      <c r="L2771" s="14"/>
      <c r="M2771" s="9"/>
      <c r="N2771" s="32"/>
      <c r="U2771" s="18"/>
      <c r="V2771" s="18"/>
      <c r="Z2771" s="85" t="s">
        <v>82</v>
      </c>
    </row>
    <row r="2772" spans="1:26" ht="6.95" customHeight="1" x14ac:dyDescent="0.3">
      <c r="A2772" s="154">
        <f>+A2761+1</f>
        <v>1051</v>
      </c>
      <c r="B2772" s="155"/>
      <c r="C2772" s="156"/>
      <c r="D2772" s="161" t="s">
        <v>39</v>
      </c>
      <c r="E2772" s="162"/>
      <c r="F2772" s="163" t="s">
        <v>40</v>
      </c>
      <c r="G2772" s="164"/>
      <c r="H2772" s="165"/>
      <c r="I2772" s="164"/>
      <c r="J2772" s="165"/>
      <c r="K2772" s="164"/>
      <c r="L2772" s="165"/>
      <c r="M2772" s="6"/>
      <c r="N2772" s="32"/>
      <c r="Q2772" s="10" t="str">
        <f>+CONCATENATE(E2772,G2772)</f>
        <v/>
      </c>
      <c r="R2772" s="10">
        <f>+H2772</f>
        <v>0</v>
      </c>
      <c r="S2772" s="11"/>
      <c r="T2772" s="10">
        <f>+E2772</f>
        <v>0</v>
      </c>
      <c r="U2772" s="19" t="str">
        <f>IFERROR(LEFT(G2772,FIND("*",G2772)-1),"-")</f>
        <v>-</v>
      </c>
      <c r="V2772" s="19" t="str">
        <f>IFERROR(RIGHT(G2772,LEN(G2772)-FIND("*",G2772)),"-")</f>
        <v>-</v>
      </c>
      <c r="W2772" s="20" t="str">
        <f>IFERROR((U2772+V2772)*2/1000,"-")</f>
        <v>-</v>
      </c>
      <c r="X2772" s="20" t="str">
        <f>IFERROR(W2772*H2772,"-")</f>
        <v>-</v>
      </c>
      <c r="Z2772" s="85" t="s">
        <v>82</v>
      </c>
    </row>
    <row r="2773" spans="1:26" ht="6.95" customHeight="1" x14ac:dyDescent="0.3">
      <c r="A2773" s="154"/>
      <c r="B2773" s="157"/>
      <c r="C2773" s="158"/>
      <c r="D2773" s="161"/>
      <c r="E2773" s="162"/>
      <c r="F2773" s="163"/>
      <c r="G2773" s="164"/>
      <c r="H2773" s="165"/>
      <c r="I2773" s="164"/>
      <c r="J2773" s="165"/>
      <c r="K2773" s="164"/>
      <c r="L2773" s="165"/>
      <c r="M2773" s="6"/>
      <c r="N2773" s="32"/>
      <c r="Q2773" s="10" t="str">
        <f>+CONCATENATE(E2772,I2772)</f>
        <v/>
      </c>
      <c r="R2773" s="10">
        <f>+J2772</f>
        <v>0</v>
      </c>
      <c r="S2773" s="11"/>
      <c r="T2773" s="10">
        <f>+E2772</f>
        <v>0</v>
      </c>
      <c r="U2773" s="19" t="str">
        <f>IFERROR(LEFT(I2772,FIND("*",I2772)-1),"-")</f>
        <v>-</v>
      </c>
      <c r="V2773" s="19" t="str">
        <f>IFERROR(RIGHT(I2772,LEN(I2772)-FIND("*",I2772)),"-")</f>
        <v>-</v>
      </c>
      <c r="W2773" s="20" t="str">
        <f t="shared" ref="W2773:W2780" si="1504">IFERROR((U2773+V2773)*2/1000,"-")</f>
        <v>-</v>
      </c>
      <c r="X2773" s="20" t="str">
        <f>IFERROR(W2773*J2772,"-")</f>
        <v>-</v>
      </c>
      <c r="Z2773" s="85" t="s">
        <v>82</v>
      </c>
    </row>
    <row r="2774" spans="1:26" ht="6.95" customHeight="1" x14ac:dyDescent="0.3">
      <c r="A2774" s="154"/>
      <c r="B2774" s="157"/>
      <c r="C2774" s="158"/>
      <c r="D2774" s="161"/>
      <c r="E2774" s="162"/>
      <c r="F2774" s="163"/>
      <c r="G2774" s="164"/>
      <c r="H2774" s="165"/>
      <c r="I2774" s="164"/>
      <c r="J2774" s="165"/>
      <c r="K2774" s="164"/>
      <c r="L2774" s="165"/>
      <c r="M2774" s="6"/>
      <c r="N2774" s="32"/>
      <c r="Q2774" s="10" t="str">
        <f>+CONCATENATE(E2772,K2772)</f>
        <v/>
      </c>
      <c r="R2774" s="10">
        <f>+L2772</f>
        <v>0</v>
      </c>
      <c r="S2774" s="11"/>
      <c r="T2774" s="10">
        <f>+E2772</f>
        <v>0</v>
      </c>
      <c r="U2774" s="19" t="str">
        <f>IFERROR(LEFT(K2772,FIND("*",K2772)-1),"-")</f>
        <v>-</v>
      </c>
      <c r="V2774" s="19" t="str">
        <f>IFERROR(RIGHT(K2772,LEN(K2772)-FIND("*",K2772)),"-")</f>
        <v>-</v>
      </c>
      <c r="W2774" s="20" t="str">
        <f t="shared" si="1504"/>
        <v>-</v>
      </c>
      <c r="X2774" s="20" t="str">
        <f>IFERROR(W2774*L2772,"-")</f>
        <v>-</v>
      </c>
      <c r="Z2774" s="85" t="s">
        <v>82</v>
      </c>
    </row>
    <row r="2775" spans="1:26" ht="6.95" customHeight="1" x14ac:dyDescent="0.3">
      <c r="A2775" s="8"/>
      <c r="B2775" s="157"/>
      <c r="C2775" s="158"/>
      <c r="D2775" s="161" t="s">
        <v>39</v>
      </c>
      <c r="E2775" s="162"/>
      <c r="F2775" s="163" t="s">
        <v>40</v>
      </c>
      <c r="G2775" s="164"/>
      <c r="H2775" s="165"/>
      <c r="I2775" s="164"/>
      <c r="J2775" s="165"/>
      <c r="K2775" s="164"/>
      <c r="L2775" s="165"/>
      <c r="M2775" s="6"/>
      <c r="N2775" s="32"/>
      <c r="Q2775" s="10" t="str">
        <f>+CONCATENATE(E2775,G2775)</f>
        <v/>
      </c>
      <c r="R2775" s="10">
        <f>+H2775</f>
        <v>0</v>
      </c>
      <c r="S2775" s="11"/>
      <c r="T2775" s="10">
        <f>+E2775</f>
        <v>0</v>
      </c>
      <c r="U2775" s="19" t="str">
        <f t="shared" ref="U2775" si="1505">IFERROR(LEFT(G2775,FIND("*",G2775)-1),"-")</f>
        <v>-</v>
      </c>
      <c r="V2775" s="19" t="str">
        <f t="shared" ref="V2775" si="1506">IFERROR(RIGHT(G2775,LEN(G2775)-FIND("*",G2775)),"-")</f>
        <v>-</v>
      </c>
      <c r="W2775" s="20" t="str">
        <f t="shared" si="1504"/>
        <v>-</v>
      </c>
      <c r="X2775" s="20" t="str">
        <f>IFERROR(W2775*H2775,"-")</f>
        <v>-</v>
      </c>
      <c r="Z2775" s="85" t="s">
        <v>82</v>
      </c>
    </row>
    <row r="2776" spans="1:26" ht="6.95" customHeight="1" x14ac:dyDescent="0.3">
      <c r="A2776" s="5"/>
      <c r="B2776" s="157"/>
      <c r="C2776" s="158"/>
      <c r="D2776" s="161"/>
      <c r="E2776" s="162"/>
      <c r="F2776" s="163"/>
      <c r="G2776" s="164"/>
      <c r="H2776" s="165"/>
      <c r="I2776" s="164"/>
      <c r="J2776" s="165"/>
      <c r="K2776" s="164"/>
      <c r="L2776" s="165"/>
      <c r="M2776" s="6"/>
      <c r="N2776" s="32"/>
      <c r="Q2776" s="10" t="str">
        <f>+CONCATENATE(E2775,I2775)</f>
        <v/>
      </c>
      <c r="R2776" s="10">
        <f>+J2775</f>
        <v>0</v>
      </c>
      <c r="S2776" s="11"/>
      <c r="T2776" s="10">
        <f>+E2775</f>
        <v>0</v>
      </c>
      <c r="U2776" s="19" t="str">
        <f>IFERROR(LEFT(I2775,FIND("*",I2775)-1),"-")</f>
        <v>-</v>
      </c>
      <c r="V2776" s="19" t="str">
        <f>IFERROR(RIGHT(I2775,LEN(I2775)-FIND("*",I2775)),"-")</f>
        <v>-</v>
      </c>
      <c r="W2776" s="20" t="str">
        <f t="shared" si="1504"/>
        <v>-</v>
      </c>
      <c r="X2776" s="20" t="str">
        <f>IFERROR(W2776*J2775,"-")</f>
        <v>-</v>
      </c>
      <c r="Z2776" s="85" t="s">
        <v>82</v>
      </c>
    </row>
    <row r="2777" spans="1:26" ht="6.95" customHeight="1" x14ac:dyDescent="0.3">
      <c r="A2777" s="5"/>
      <c r="B2777" s="157"/>
      <c r="C2777" s="158"/>
      <c r="D2777" s="161"/>
      <c r="E2777" s="162"/>
      <c r="F2777" s="163"/>
      <c r="G2777" s="164"/>
      <c r="H2777" s="165"/>
      <c r="I2777" s="164"/>
      <c r="J2777" s="165"/>
      <c r="K2777" s="164"/>
      <c r="L2777" s="165"/>
      <c r="M2777" s="6"/>
      <c r="N2777" s="32"/>
      <c r="Q2777" s="10" t="str">
        <f>+CONCATENATE(E2775,K2775)</f>
        <v/>
      </c>
      <c r="R2777" s="10">
        <f>+L2775</f>
        <v>0</v>
      </c>
      <c r="S2777" s="11"/>
      <c r="T2777" s="10">
        <f>+E2775</f>
        <v>0</v>
      </c>
      <c r="U2777" s="19" t="str">
        <f>IFERROR(LEFT(K2775,FIND("*",K2775)-1),"-")</f>
        <v>-</v>
      </c>
      <c r="V2777" s="19" t="str">
        <f>IFERROR(RIGHT(K2775,LEN(K2775)-FIND("*",K2775)),"-")</f>
        <v>-</v>
      </c>
      <c r="W2777" s="20" t="str">
        <f t="shared" si="1504"/>
        <v>-</v>
      </c>
      <c r="X2777" s="20" t="str">
        <f>IFERROR(W2777*L2775,"-")</f>
        <v>-</v>
      </c>
      <c r="Z2777" s="85" t="s">
        <v>82</v>
      </c>
    </row>
    <row r="2778" spans="1:26" ht="6.95" customHeight="1" x14ac:dyDescent="0.3">
      <c r="A2778" s="8"/>
      <c r="B2778" s="157"/>
      <c r="C2778" s="158"/>
      <c r="D2778" s="161" t="s">
        <v>39</v>
      </c>
      <c r="E2778" s="162"/>
      <c r="F2778" s="163" t="s">
        <v>40</v>
      </c>
      <c r="G2778" s="164"/>
      <c r="H2778" s="165"/>
      <c r="I2778" s="164"/>
      <c r="J2778" s="165"/>
      <c r="K2778" s="164"/>
      <c r="L2778" s="165"/>
      <c r="M2778" s="6"/>
      <c r="N2778" s="32"/>
      <c r="Q2778" s="10" t="str">
        <f>+CONCATENATE(E2778,G2778)</f>
        <v/>
      </c>
      <c r="R2778" s="10">
        <f>+H2778</f>
        <v>0</v>
      </c>
      <c r="S2778" s="11"/>
      <c r="T2778" s="10">
        <f>+E2778</f>
        <v>0</v>
      </c>
      <c r="U2778" s="19" t="str">
        <f t="shared" ref="U2778" si="1507">IFERROR(LEFT(G2778,FIND("*",G2778)-1),"-")</f>
        <v>-</v>
      </c>
      <c r="V2778" s="19" t="str">
        <f t="shared" ref="V2778" si="1508">IFERROR(RIGHT(G2778,LEN(G2778)-FIND("*",G2778)),"-")</f>
        <v>-</v>
      </c>
      <c r="W2778" s="20" t="str">
        <f t="shared" si="1504"/>
        <v>-</v>
      </c>
      <c r="X2778" s="20" t="str">
        <f>IFERROR(W2778*H2778,"-")</f>
        <v>-</v>
      </c>
      <c r="Z2778" s="85" t="s">
        <v>82</v>
      </c>
    </row>
    <row r="2779" spans="1:26" ht="6.95" customHeight="1" x14ac:dyDescent="0.3">
      <c r="A2779" s="5"/>
      <c r="B2779" s="157"/>
      <c r="C2779" s="158"/>
      <c r="D2779" s="161"/>
      <c r="E2779" s="162"/>
      <c r="F2779" s="163"/>
      <c r="G2779" s="164"/>
      <c r="H2779" s="165"/>
      <c r="I2779" s="164"/>
      <c r="J2779" s="165"/>
      <c r="K2779" s="164"/>
      <c r="L2779" s="165"/>
      <c r="M2779" s="6"/>
      <c r="N2779" s="32"/>
      <c r="Q2779" s="10" t="str">
        <f>+CONCATENATE(E2778,I2778)</f>
        <v/>
      </c>
      <c r="R2779" s="10">
        <f>+J2778</f>
        <v>0</v>
      </c>
      <c r="S2779" s="11"/>
      <c r="T2779" s="10">
        <f>+E2778</f>
        <v>0</v>
      </c>
      <c r="U2779" s="19" t="str">
        <f>IFERROR(LEFT(I2778,FIND("*",I2778)-1),"-")</f>
        <v>-</v>
      </c>
      <c r="V2779" s="19" t="str">
        <f>IFERROR(RIGHT(I2778,LEN(I2778)-FIND("*",I2778)),"-")</f>
        <v>-</v>
      </c>
      <c r="W2779" s="20" t="str">
        <f t="shared" si="1504"/>
        <v>-</v>
      </c>
      <c r="X2779" s="20" t="str">
        <f t="shared" ref="X2779" si="1509">IFERROR(W2779*J2778,"-")</f>
        <v>-</v>
      </c>
      <c r="Z2779" s="85" t="s">
        <v>82</v>
      </c>
    </row>
    <row r="2780" spans="1:26" ht="6.95" customHeight="1" x14ac:dyDescent="0.3">
      <c r="A2780" s="5"/>
      <c r="B2780" s="157"/>
      <c r="C2780" s="158"/>
      <c r="D2780" s="161"/>
      <c r="E2780" s="162"/>
      <c r="F2780" s="163"/>
      <c r="G2780" s="164"/>
      <c r="H2780" s="165"/>
      <c r="I2780" s="164"/>
      <c r="J2780" s="165"/>
      <c r="K2780" s="164"/>
      <c r="L2780" s="165"/>
      <c r="M2780" s="6"/>
      <c r="N2780" s="32"/>
      <c r="Q2780" s="10" t="str">
        <f>+CONCATENATE(E2778,K2778)</f>
        <v/>
      </c>
      <c r="R2780" s="10">
        <f>+L2778</f>
        <v>0</v>
      </c>
      <c r="S2780" s="11"/>
      <c r="T2780" s="10">
        <f>+E2778</f>
        <v>0</v>
      </c>
      <c r="U2780" s="19" t="str">
        <f>IFERROR(LEFT(K2778,FIND("*",K2778)-1),"-")</f>
        <v>-</v>
      </c>
      <c r="V2780" s="19" t="str">
        <f>IFERROR(RIGHT(K2778,LEN(K2778)-FIND("*",K2778)),"-")</f>
        <v>-</v>
      </c>
      <c r="W2780" s="20" t="str">
        <f t="shared" si="1504"/>
        <v>-</v>
      </c>
      <c r="X2780" s="20" t="str">
        <f>IFERROR(W2780*L2778,"-")</f>
        <v>-</v>
      </c>
      <c r="Z2780" s="85" t="s">
        <v>82</v>
      </c>
    </row>
    <row r="2781" spans="1:26" ht="21" customHeight="1" thickBot="1" x14ac:dyDescent="0.35">
      <c r="A2781" s="5"/>
      <c r="B2781" s="159"/>
      <c r="C2781" s="160"/>
      <c r="D2781" s="166" t="s">
        <v>43</v>
      </c>
      <c r="E2781" s="167"/>
      <c r="F2781" s="167"/>
      <c r="G2781" s="168"/>
      <c r="H2781" s="168"/>
      <c r="I2781" s="168"/>
      <c r="J2781" s="168"/>
      <c r="K2781" s="168"/>
      <c r="L2781" s="168"/>
      <c r="M2781" s="7"/>
      <c r="N2781" s="32"/>
      <c r="Z2781" s="86" t="s">
        <v>81</v>
      </c>
    </row>
    <row r="2782" spans="1:26" ht="9.9499999999999993" customHeight="1" thickBot="1" x14ac:dyDescent="0.35">
      <c r="B2782" s="9"/>
      <c r="C2782" s="109"/>
      <c r="D2782" s="51"/>
      <c r="E2782" s="12"/>
      <c r="F2782" s="51"/>
      <c r="G2782" s="14"/>
      <c r="H2782" s="14"/>
      <c r="I2782" s="14"/>
      <c r="J2782" s="14"/>
      <c r="K2782" s="14"/>
      <c r="L2782" s="14"/>
      <c r="M2782" s="9"/>
      <c r="N2782" s="32"/>
      <c r="U2782" s="18"/>
      <c r="V2782" s="18"/>
      <c r="Z2782" s="85" t="s">
        <v>82</v>
      </c>
    </row>
    <row r="2783" spans="1:26" ht="6.95" customHeight="1" x14ac:dyDescent="0.3">
      <c r="A2783" s="154">
        <f>+A2772+1</f>
        <v>1052</v>
      </c>
      <c r="B2783" s="155"/>
      <c r="C2783" s="156"/>
      <c r="D2783" s="161" t="s">
        <v>39</v>
      </c>
      <c r="E2783" s="162"/>
      <c r="F2783" s="163" t="s">
        <v>40</v>
      </c>
      <c r="G2783" s="164"/>
      <c r="H2783" s="165"/>
      <c r="I2783" s="164"/>
      <c r="J2783" s="165"/>
      <c r="K2783" s="164"/>
      <c r="L2783" s="165"/>
      <c r="M2783" s="6"/>
      <c r="N2783" s="32"/>
      <c r="Q2783" s="10" t="str">
        <f>+CONCATENATE(E2783,G2783)</f>
        <v/>
      </c>
      <c r="R2783" s="10">
        <f>+H2783</f>
        <v>0</v>
      </c>
      <c r="S2783" s="11"/>
      <c r="T2783" s="10">
        <f>+E2783</f>
        <v>0</v>
      </c>
      <c r="U2783" s="19" t="str">
        <f>IFERROR(LEFT(G2783,FIND("*",G2783)-1),"-")</f>
        <v>-</v>
      </c>
      <c r="V2783" s="19" t="str">
        <f>IFERROR(RIGHT(G2783,LEN(G2783)-FIND("*",G2783)),"-")</f>
        <v>-</v>
      </c>
      <c r="W2783" s="20" t="str">
        <f>IFERROR((U2783+V2783)*2/1000,"-")</f>
        <v>-</v>
      </c>
      <c r="X2783" s="20" t="str">
        <f>IFERROR(W2783*H2783,"-")</f>
        <v>-</v>
      </c>
      <c r="Z2783" s="85" t="s">
        <v>82</v>
      </c>
    </row>
    <row r="2784" spans="1:26" ht="6.95" customHeight="1" x14ac:dyDescent="0.3">
      <c r="A2784" s="154"/>
      <c r="B2784" s="157"/>
      <c r="C2784" s="158"/>
      <c r="D2784" s="161"/>
      <c r="E2784" s="162"/>
      <c r="F2784" s="163"/>
      <c r="G2784" s="164"/>
      <c r="H2784" s="165"/>
      <c r="I2784" s="164"/>
      <c r="J2784" s="165"/>
      <c r="K2784" s="164"/>
      <c r="L2784" s="165"/>
      <c r="M2784" s="6"/>
      <c r="N2784" s="32"/>
      <c r="Q2784" s="10" t="str">
        <f>+CONCATENATE(E2783,I2783)</f>
        <v/>
      </c>
      <c r="R2784" s="10">
        <f>+J2783</f>
        <v>0</v>
      </c>
      <c r="S2784" s="11"/>
      <c r="T2784" s="10">
        <f>+E2783</f>
        <v>0</v>
      </c>
      <c r="U2784" s="19" t="str">
        <f>IFERROR(LEFT(I2783,FIND("*",I2783)-1),"-")</f>
        <v>-</v>
      </c>
      <c r="V2784" s="19" t="str">
        <f>IFERROR(RIGHT(I2783,LEN(I2783)-FIND("*",I2783)),"-")</f>
        <v>-</v>
      </c>
      <c r="W2784" s="20" t="str">
        <f t="shared" ref="W2784:W2791" si="1510">IFERROR((U2784+V2784)*2/1000,"-")</f>
        <v>-</v>
      </c>
      <c r="X2784" s="20" t="str">
        <f>IFERROR(W2784*J2783,"-")</f>
        <v>-</v>
      </c>
      <c r="Z2784" s="85" t="s">
        <v>82</v>
      </c>
    </row>
    <row r="2785" spans="1:26" ht="6.95" customHeight="1" x14ac:dyDescent="0.3">
      <c r="A2785" s="154"/>
      <c r="B2785" s="157"/>
      <c r="C2785" s="158"/>
      <c r="D2785" s="161"/>
      <c r="E2785" s="162"/>
      <c r="F2785" s="163"/>
      <c r="G2785" s="164"/>
      <c r="H2785" s="165"/>
      <c r="I2785" s="164"/>
      <c r="J2785" s="165"/>
      <c r="K2785" s="164"/>
      <c r="L2785" s="165"/>
      <c r="M2785" s="6"/>
      <c r="N2785" s="32"/>
      <c r="Q2785" s="10" t="str">
        <f>+CONCATENATE(E2783,K2783)</f>
        <v/>
      </c>
      <c r="R2785" s="10">
        <f>+L2783</f>
        <v>0</v>
      </c>
      <c r="S2785" s="11"/>
      <c r="T2785" s="10">
        <f>+E2783</f>
        <v>0</v>
      </c>
      <c r="U2785" s="19" t="str">
        <f>IFERROR(LEFT(K2783,FIND("*",K2783)-1),"-")</f>
        <v>-</v>
      </c>
      <c r="V2785" s="19" t="str">
        <f>IFERROR(RIGHT(K2783,LEN(K2783)-FIND("*",K2783)),"-")</f>
        <v>-</v>
      </c>
      <c r="W2785" s="20" t="str">
        <f t="shared" si="1510"/>
        <v>-</v>
      </c>
      <c r="X2785" s="20" t="str">
        <f>IFERROR(W2785*L2783,"-")</f>
        <v>-</v>
      </c>
      <c r="Z2785" s="85" t="s">
        <v>82</v>
      </c>
    </row>
    <row r="2786" spans="1:26" ht="6.95" customHeight="1" x14ac:dyDescent="0.3">
      <c r="A2786" s="8"/>
      <c r="B2786" s="157"/>
      <c r="C2786" s="158"/>
      <c r="D2786" s="161" t="s">
        <v>39</v>
      </c>
      <c r="E2786" s="162"/>
      <c r="F2786" s="163" t="s">
        <v>40</v>
      </c>
      <c r="G2786" s="164"/>
      <c r="H2786" s="165"/>
      <c r="I2786" s="164"/>
      <c r="J2786" s="165"/>
      <c r="K2786" s="164"/>
      <c r="L2786" s="165"/>
      <c r="M2786" s="6"/>
      <c r="N2786" s="32"/>
      <c r="Q2786" s="10" t="str">
        <f>+CONCATENATE(E2786,G2786)</f>
        <v/>
      </c>
      <c r="R2786" s="10">
        <f>+H2786</f>
        <v>0</v>
      </c>
      <c r="S2786" s="11"/>
      <c r="T2786" s="10">
        <f>+E2786</f>
        <v>0</v>
      </c>
      <c r="U2786" s="19" t="str">
        <f t="shared" ref="U2786" si="1511">IFERROR(LEFT(G2786,FIND("*",G2786)-1),"-")</f>
        <v>-</v>
      </c>
      <c r="V2786" s="19" t="str">
        <f t="shared" ref="V2786" si="1512">IFERROR(RIGHT(G2786,LEN(G2786)-FIND("*",G2786)),"-")</f>
        <v>-</v>
      </c>
      <c r="W2786" s="20" t="str">
        <f t="shared" si="1510"/>
        <v>-</v>
      </c>
      <c r="X2786" s="20" t="str">
        <f>IFERROR(W2786*H2786,"-")</f>
        <v>-</v>
      </c>
      <c r="Z2786" s="85" t="s">
        <v>82</v>
      </c>
    </row>
    <row r="2787" spans="1:26" ht="6.95" customHeight="1" x14ac:dyDescent="0.3">
      <c r="A2787" s="5"/>
      <c r="B2787" s="157"/>
      <c r="C2787" s="158"/>
      <c r="D2787" s="161"/>
      <c r="E2787" s="162"/>
      <c r="F2787" s="163"/>
      <c r="G2787" s="164"/>
      <c r="H2787" s="165"/>
      <c r="I2787" s="164"/>
      <c r="J2787" s="165"/>
      <c r="K2787" s="164"/>
      <c r="L2787" s="165"/>
      <c r="M2787" s="6"/>
      <c r="N2787" s="32"/>
      <c r="Q2787" s="10" t="str">
        <f>+CONCATENATE(E2786,I2786)</f>
        <v/>
      </c>
      <c r="R2787" s="10">
        <f>+J2786</f>
        <v>0</v>
      </c>
      <c r="S2787" s="11"/>
      <c r="T2787" s="10">
        <f>+E2786</f>
        <v>0</v>
      </c>
      <c r="U2787" s="19" t="str">
        <f>IFERROR(LEFT(I2786,FIND("*",I2786)-1),"-")</f>
        <v>-</v>
      </c>
      <c r="V2787" s="19" t="str">
        <f>IFERROR(RIGHT(I2786,LEN(I2786)-FIND("*",I2786)),"-")</f>
        <v>-</v>
      </c>
      <c r="W2787" s="20" t="str">
        <f t="shared" si="1510"/>
        <v>-</v>
      </c>
      <c r="X2787" s="20" t="str">
        <f>IFERROR(W2787*J2786,"-")</f>
        <v>-</v>
      </c>
      <c r="Z2787" s="85" t="s">
        <v>82</v>
      </c>
    </row>
    <row r="2788" spans="1:26" ht="6.95" customHeight="1" x14ac:dyDescent="0.3">
      <c r="A2788" s="5"/>
      <c r="B2788" s="157"/>
      <c r="C2788" s="158"/>
      <c r="D2788" s="161"/>
      <c r="E2788" s="162"/>
      <c r="F2788" s="163"/>
      <c r="G2788" s="164"/>
      <c r="H2788" s="165"/>
      <c r="I2788" s="164"/>
      <c r="J2788" s="165"/>
      <c r="K2788" s="164"/>
      <c r="L2788" s="165"/>
      <c r="M2788" s="6"/>
      <c r="N2788" s="32"/>
      <c r="Q2788" s="10" t="str">
        <f>+CONCATENATE(E2786,K2786)</f>
        <v/>
      </c>
      <c r="R2788" s="10">
        <f>+L2786</f>
        <v>0</v>
      </c>
      <c r="S2788" s="11"/>
      <c r="T2788" s="10">
        <f>+E2786</f>
        <v>0</v>
      </c>
      <c r="U2788" s="19" t="str">
        <f>IFERROR(LEFT(K2786,FIND("*",K2786)-1),"-")</f>
        <v>-</v>
      </c>
      <c r="V2788" s="19" t="str">
        <f>IFERROR(RIGHT(K2786,LEN(K2786)-FIND("*",K2786)),"-")</f>
        <v>-</v>
      </c>
      <c r="W2788" s="20" t="str">
        <f t="shared" si="1510"/>
        <v>-</v>
      </c>
      <c r="X2788" s="20" t="str">
        <f>IFERROR(W2788*L2786,"-")</f>
        <v>-</v>
      </c>
      <c r="Z2788" s="85" t="s">
        <v>82</v>
      </c>
    </row>
    <row r="2789" spans="1:26" ht="6.95" customHeight="1" x14ac:dyDescent="0.3">
      <c r="A2789" s="8"/>
      <c r="B2789" s="157"/>
      <c r="C2789" s="158"/>
      <c r="D2789" s="161" t="s">
        <v>39</v>
      </c>
      <c r="E2789" s="162"/>
      <c r="F2789" s="163" t="s">
        <v>40</v>
      </c>
      <c r="G2789" s="164"/>
      <c r="H2789" s="165"/>
      <c r="I2789" s="164"/>
      <c r="J2789" s="165"/>
      <c r="K2789" s="164"/>
      <c r="L2789" s="165"/>
      <c r="M2789" s="6"/>
      <c r="N2789" s="32"/>
      <c r="Q2789" s="10" t="str">
        <f>+CONCATENATE(E2789,G2789)</f>
        <v/>
      </c>
      <c r="R2789" s="10">
        <f>+H2789</f>
        <v>0</v>
      </c>
      <c r="S2789" s="11"/>
      <c r="T2789" s="10">
        <f>+E2789</f>
        <v>0</v>
      </c>
      <c r="U2789" s="19" t="str">
        <f t="shared" ref="U2789" si="1513">IFERROR(LEFT(G2789,FIND("*",G2789)-1),"-")</f>
        <v>-</v>
      </c>
      <c r="V2789" s="19" t="str">
        <f t="shared" ref="V2789" si="1514">IFERROR(RIGHT(G2789,LEN(G2789)-FIND("*",G2789)),"-")</f>
        <v>-</v>
      </c>
      <c r="W2789" s="20" t="str">
        <f t="shared" si="1510"/>
        <v>-</v>
      </c>
      <c r="X2789" s="20" t="str">
        <f>IFERROR(W2789*H2789,"-")</f>
        <v>-</v>
      </c>
      <c r="Z2789" s="85" t="s">
        <v>82</v>
      </c>
    </row>
    <row r="2790" spans="1:26" ht="6.95" customHeight="1" x14ac:dyDescent="0.3">
      <c r="A2790" s="5"/>
      <c r="B2790" s="157"/>
      <c r="C2790" s="158"/>
      <c r="D2790" s="161"/>
      <c r="E2790" s="162"/>
      <c r="F2790" s="163"/>
      <c r="G2790" s="164"/>
      <c r="H2790" s="165"/>
      <c r="I2790" s="164"/>
      <c r="J2790" s="165"/>
      <c r="K2790" s="164"/>
      <c r="L2790" s="165"/>
      <c r="M2790" s="6"/>
      <c r="N2790" s="32"/>
      <c r="Q2790" s="10" t="str">
        <f>+CONCATENATE(E2789,I2789)</f>
        <v/>
      </c>
      <c r="R2790" s="10">
        <f>+J2789</f>
        <v>0</v>
      </c>
      <c r="S2790" s="11"/>
      <c r="T2790" s="10">
        <f>+E2789</f>
        <v>0</v>
      </c>
      <c r="U2790" s="19" t="str">
        <f>IFERROR(LEFT(I2789,FIND("*",I2789)-1),"-")</f>
        <v>-</v>
      </c>
      <c r="V2790" s="19" t="str">
        <f>IFERROR(RIGHT(I2789,LEN(I2789)-FIND("*",I2789)),"-")</f>
        <v>-</v>
      </c>
      <c r="W2790" s="20" t="str">
        <f t="shared" si="1510"/>
        <v>-</v>
      </c>
      <c r="X2790" s="20" t="str">
        <f t="shared" ref="X2790" si="1515">IFERROR(W2790*J2789,"-")</f>
        <v>-</v>
      </c>
      <c r="Z2790" s="85" t="s">
        <v>82</v>
      </c>
    </row>
    <row r="2791" spans="1:26" ht="6.95" customHeight="1" x14ac:dyDescent="0.3">
      <c r="A2791" s="5"/>
      <c r="B2791" s="157"/>
      <c r="C2791" s="158"/>
      <c r="D2791" s="161"/>
      <c r="E2791" s="162"/>
      <c r="F2791" s="163"/>
      <c r="G2791" s="164"/>
      <c r="H2791" s="165"/>
      <c r="I2791" s="164"/>
      <c r="J2791" s="165"/>
      <c r="K2791" s="164"/>
      <c r="L2791" s="165"/>
      <c r="M2791" s="6"/>
      <c r="N2791" s="32"/>
      <c r="Q2791" s="10" t="str">
        <f>+CONCATENATE(E2789,K2789)</f>
        <v/>
      </c>
      <c r="R2791" s="10">
        <f>+L2789</f>
        <v>0</v>
      </c>
      <c r="S2791" s="11"/>
      <c r="T2791" s="10">
        <f>+E2789</f>
        <v>0</v>
      </c>
      <c r="U2791" s="19" t="str">
        <f>IFERROR(LEFT(K2789,FIND("*",K2789)-1),"-")</f>
        <v>-</v>
      </c>
      <c r="V2791" s="19" t="str">
        <f>IFERROR(RIGHT(K2789,LEN(K2789)-FIND("*",K2789)),"-")</f>
        <v>-</v>
      </c>
      <c r="W2791" s="20" t="str">
        <f t="shared" si="1510"/>
        <v>-</v>
      </c>
      <c r="X2791" s="20" t="str">
        <f>IFERROR(W2791*L2789,"-")</f>
        <v>-</v>
      </c>
      <c r="Z2791" s="85" t="s">
        <v>82</v>
      </c>
    </row>
    <row r="2792" spans="1:26" ht="21" customHeight="1" thickBot="1" x14ac:dyDescent="0.35">
      <c r="A2792" s="5"/>
      <c r="B2792" s="159"/>
      <c r="C2792" s="160"/>
      <c r="D2792" s="166" t="s">
        <v>43</v>
      </c>
      <c r="E2792" s="167"/>
      <c r="F2792" s="167"/>
      <c r="G2792" s="168"/>
      <c r="H2792" s="168"/>
      <c r="I2792" s="168"/>
      <c r="J2792" s="168"/>
      <c r="K2792" s="168"/>
      <c r="L2792" s="168"/>
      <c r="M2792" s="7"/>
      <c r="N2792" s="32"/>
      <c r="Z2792" s="86" t="s">
        <v>81</v>
      </c>
    </row>
    <row r="2793" spans="1:26" ht="9.9499999999999993" customHeight="1" thickBot="1" x14ac:dyDescent="0.35">
      <c r="B2793" s="9"/>
      <c r="C2793" s="109"/>
      <c r="D2793" s="51"/>
      <c r="E2793" s="12"/>
      <c r="F2793" s="51"/>
      <c r="G2793" s="14"/>
      <c r="H2793" s="14"/>
      <c r="I2793" s="14"/>
      <c r="J2793" s="14"/>
      <c r="K2793" s="14"/>
      <c r="L2793" s="14"/>
      <c r="M2793" s="9"/>
      <c r="N2793" s="32"/>
      <c r="U2793" s="18"/>
      <c r="V2793" s="18"/>
      <c r="Z2793" s="85" t="s">
        <v>82</v>
      </c>
    </row>
    <row r="2794" spans="1:26" ht="6.95" customHeight="1" x14ac:dyDescent="0.3">
      <c r="A2794" s="154">
        <f>+A2783+1</f>
        <v>1053</v>
      </c>
      <c r="B2794" s="155"/>
      <c r="C2794" s="156"/>
      <c r="D2794" s="161" t="s">
        <v>39</v>
      </c>
      <c r="E2794" s="162"/>
      <c r="F2794" s="163" t="s">
        <v>40</v>
      </c>
      <c r="G2794" s="164"/>
      <c r="H2794" s="165"/>
      <c r="I2794" s="164"/>
      <c r="J2794" s="165"/>
      <c r="K2794" s="164"/>
      <c r="L2794" s="165"/>
      <c r="M2794" s="6"/>
      <c r="N2794" s="32"/>
      <c r="Q2794" s="10" t="str">
        <f>+CONCATENATE(E2794,G2794)</f>
        <v/>
      </c>
      <c r="R2794" s="10">
        <f>+H2794</f>
        <v>0</v>
      </c>
      <c r="S2794" s="11"/>
      <c r="T2794" s="10">
        <f>+E2794</f>
        <v>0</v>
      </c>
      <c r="U2794" s="19" t="str">
        <f>IFERROR(LEFT(G2794,FIND("*",G2794)-1),"-")</f>
        <v>-</v>
      </c>
      <c r="V2794" s="19" t="str">
        <f>IFERROR(RIGHT(G2794,LEN(G2794)-FIND("*",G2794)),"-")</f>
        <v>-</v>
      </c>
      <c r="W2794" s="20" t="str">
        <f>IFERROR((U2794+V2794)*2/1000,"-")</f>
        <v>-</v>
      </c>
      <c r="X2794" s="20" t="str">
        <f>IFERROR(W2794*H2794,"-")</f>
        <v>-</v>
      </c>
      <c r="Z2794" s="85" t="s">
        <v>82</v>
      </c>
    </row>
    <row r="2795" spans="1:26" ht="6.95" customHeight="1" x14ac:dyDescent="0.3">
      <c r="A2795" s="154"/>
      <c r="B2795" s="157"/>
      <c r="C2795" s="158"/>
      <c r="D2795" s="161"/>
      <c r="E2795" s="162"/>
      <c r="F2795" s="163"/>
      <c r="G2795" s="164"/>
      <c r="H2795" s="165"/>
      <c r="I2795" s="164"/>
      <c r="J2795" s="165"/>
      <c r="K2795" s="164"/>
      <c r="L2795" s="165"/>
      <c r="M2795" s="6"/>
      <c r="N2795" s="32"/>
      <c r="Q2795" s="10" t="str">
        <f>+CONCATENATE(E2794,I2794)</f>
        <v/>
      </c>
      <c r="R2795" s="10">
        <f>+J2794</f>
        <v>0</v>
      </c>
      <c r="S2795" s="11"/>
      <c r="T2795" s="10">
        <f>+E2794</f>
        <v>0</v>
      </c>
      <c r="U2795" s="19" t="str">
        <f>IFERROR(LEFT(I2794,FIND("*",I2794)-1),"-")</f>
        <v>-</v>
      </c>
      <c r="V2795" s="19" t="str">
        <f>IFERROR(RIGHT(I2794,LEN(I2794)-FIND("*",I2794)),"-")</f>
        <v>-</v>
      </c>
      <c r="W2795" s="20" t="str">
        <f t="shared" ref="W2795:W2802" si="1516">IFERROR((U2795+V2795)*2/1000,"-")</f>
        <v>-</v>
      </c>
      <c r="X2795" s="20" t="str">
        <f>IFERROR(W2795*J2794,"-")</f>
        <v>-</v>
      </c>
      <c r="Z2795" s="85" t="s">
        <v>82</v>
      </c>
    </row>
    <row r="2796" spans="1:26" ht="6.95" customHeight="1" x14ac:dyDescent="0.3">
      <c r="A2796" s="154"/>
      <c r="B2796" s="157"/>
      <c r="C2796" s="158"/>
      <c r="D2796" s="161"/>
      <c r="E2796" s="162"/>
      <c r="F2796" s="163"/>
      <c r="G2796" s="164"/>
      <c r="H2796" s="165"/>
      <c r="I2796" s="164"/>
      <c r="J2796" s="165"/>
      <c r="K2796" s="164"/>
      <c r="L2796" s="165"/>
      <c r="M2796" s="6"/>
      <c r="N2796" s="32"/>
      <c r="Q2796" s="10" t="str">
        <f>+CONCATENATE(E2794,K2794)</f>
        <v/>
      </c>
      <c r="R2796" s="10">
        <f>+L2794</f>
        <v>0</v>
      </c>
      <c r="S2796" s="11"/>
      <c r="T2796" s="10">
        <f>+E2794</f>
        <v>0</v>
      </c>
      <c r="U2796" s="19" t="str">
        <f>IFERROR(LEFT(K2794,FIND("*",K2794)-1),"-")</f>
        <v>-</v>
      </c>
      <c r="V2796" s="19" t="str">
        <f>IFERROR(RIGHT(K2794,LEN(K2794)-FIND("*",K2794)),"-")</f>
        <v>-</v>
      </c>
      <c r="W2796" s="20" t="str">
        <f t="shared" si="1516"/>
        <v>-</v>
      </c>
      <c r="X2796" s="20" t="str">
        <f>IFERROR(W2796*L2794,"-")</f>
        <v>-</v>
      </c>
      <c r="Z2796" s="85" t="s">
        <v>82</v>
      </c>
    </row>
    <row r="2797" spans="1:26" ht="6.95" customHeight="1" x14ac:dyDescent="0.3">
      <c r="A2797" s="8"/>
      <c r="B2797" s="157"/>
      <c r="C2797" s="158"/>
      <c r="D2797" s="161" t="s">
        <v>39</v>
      </c>
      <c r="E2797" s="162"/>
      <c r="F2797" s="163" t="s">
        <v>40</v>
      </c>
      <c r="G2797" s="164"/>
      <c r="H2797" s="165"/>
      <c r="I2797" s="164"/>
      <c r="J2797" s="165"/>
      <c r="K2797" s="164"/>
      <c r="L2797" s="165"/>
      <c r="M2797" s="6"/>
      <c r="N2797" s="32"/>
      <c r="Q2797" s="10" t="str">
        <f>+CONCATENATE(E2797,G2797)</f>
        <v/>
      </c>
      <c r="R2797" s="10">
        <f>+H2797</f>
        <v>0</v>
      </c>
      <c r="S2797" s="11"/>
      <c r="T2797" s="10">
        <f>+E2797</f>
        <v>0</v>
      </c>
      <c r="U2797" s="19" t="str">
        <f t="shared" ref="U2797" si="1517">IFERROR(LEFT(G2797,FIND("*",G2797)-1),"-")</f>
        <v>-</v>
      </c>
      <c r="V2797" s="19" t="str">
        <f t="shared" ref="V2797" si="1518">IFERROR(RIGHT(G2797,LEN(G2797)-FIND("*",G2797)),"-")</f>
        <v>-</v>
      </c>
      <c r="W2797" s="20" t="str">
        <f t="shared" si="1516"/>
        <v>-</v>
      </c>
      <c r="X2797" s="20" t="str">
        <f>IFERROR(W2797*H2797,"-")</f>
        <v>-</v>
      </c>
      <c r="Z2797" s="85" t="s">
        <v>82</v>
      </c>
    </row>
    <row r="2798" spans="1:26" ht="6.95" customHeight="1" x14ac:dyDescent="0.3">
      <c r="A2798" s="5"/>
      <c r="B2798" s="157"/>
      <c r="C2798" s="158"/>
      <c r="D2798" s="161"/>
      <c r="E2798" s="162"/>
      <c r="F2798" s="163"/>
      <c r="G2798" s="164"/>
      <c r="H2798" s="165"/>
      <c r="I2798" s="164"/>
      <c r="J2798" s="165"/>
      <c r="K2798" s="164"/>
      <c r="L2798" s="165"/>
      <c r="M2798" s="6"/>
      <c r="N2798" s="32"/>
      <c r="Q2798" s="10" t="str">
        <f>+CONCATENATE(E2797,I2797)</f>
        <v/>
      </c>
      <c r="R2798" s="10">
        <f>+J2797</f>
        <v>0</v>
      </c>
      <c r="S2798" s="11"/>
      <c r="T2798" s="10">
        <f>+E2797</f>
        <v>0</v>
      </c>
      <c r="U2798" s="19" t="str">
        <f>IFERROR(LEFT(I2797,FIND("*",I2797)-1),"-")</f>
        <v>-</v>
      </c>
      <c r="V2798" s="19" t="str">
        <f>IFERROR(RIGHT(I2797,LEN(I2797)-FIND("*",I2797)),"-")</f>
        <v>-</v>
      </c>
      <c r="W2798" s="20" t="str">
        <f t="shared" si="1516"/>
        <v>-</v>
      </c>
      <c r="X2798" s="20" t="str">
        <f>IFERROR(W2798*J2797,"-")</f>
        <v>-</v>
      </c>
      <c r="Z2798" s="85" t="s">
        <v>82</v>
      </c>
    </row>
    <row r="2799" spans="1:26" ht="6.95" customHeight="1" x14ac:dyDescent="0.3">
      <c r="A2799" s="5"/>
      <c r="B2799" s="157"/>
      <c r="C2799" s="158"/>
      <c r="D2799" s="161"/>
      <c r="E2799" s="162"/>
      <c r="F2799" s="163"/>
      <c r="G2799" s="164"/>
      <c r="H2799" s="165"/>
      <c r="I2799" s="164"/>
      <c r="J2799" s="165"/>
      <c r="K2799" s="164"/>
      <c r="L2799" s="165"/>
      <c r="M2799" s="6"/>
      <c r="N2799" s="32"/>
      <c r="Q2799" s="10" t="str">
        <f>+CONCATENATE(E2797,K2797)</f>
        <v/>
      </c>
      <c r="R2799" s="10">
        <f>+L2797</f>
        <v>0</v>
      </c>
      <c r="S2799" s="11"/>
      <c r="T2799" s="10">
        <f>+E2797</f>
        <v>0</v>
      </c>
      <c r="U2799" s="19" t="str">
        <f>IFERROR(LEFT(K2797,FIND("*",K2797)-1),"-")</f>
        <v>-</v>
      </c>
      <c r="V2799" s="19" t="str">
        <f>IFERROR(RIGHT(K2797,LEN(K2797)-FIND("*",K2797)),"-")</f>
        <v>-</v>
      </c>
      <c r="W2799" s="20" t="str">
        <f t="shared" si="1516"/>
        <v>-</v>
      </c>
      <c r="X2799" s="20" t="str">
        <f>IFERROR(W2799*L2797,"-")</f>
        <v>-</v>
      </c>
      <c r="Z2799" s="85" t="s">
        <v>82</v>
      </c>
    </row>
    <row r="2800" spans="1:26" ht="6.95" customHeight="1" x14ac:dyDescent="0.3">
      <c r="A2800" s="8"/>
      <c r="B2800" s="157"/>
      <c r="C2800" s="158"/>
      <c r="D2800" s="161" t="s">
        <v>39</v>
      </c>
      <c r="E2800" s="162"/>
      <c r="F2800" s="163" t="s">
        <v>40</v>
      </c>
      <c r="G2800" s="164"/>
      <c r="H2800" s="165"/>
      <c r="I2800" s="164"/>
      <c r="J2800" s="165"/>
      <c r="K2800" s="164"/>
      <c r="L2800" s="165"/>
      <c r="M2800" s="6"/>
      <c r="N2800" s="32"/>
      <c r="Q2800" s="10" t="str">
        <f>+CONCATENATE(E2800,G2800)</f>
        <v/>
      </c>
      <c r="R2800" s="10">
        <f>+H2800</f>
        <v>0</v>
      </c>
      <c r="S2800" s="11"/>
      <c r="T2800" s="10">
        <f>+E2800</f>
        <v>0</v>
      </c>
      <c r="U2800" s="19" t="str">
        <f t="shared" ref="U2800" si="1519">IFERROR(LEFT(G2800,FIND("*",G2800)-1),"-")</f>
        <v>-</v>
      </c>
      <c r="V2800" s="19" t="str">
        <f t="shared" ref="V2800" si="1520">IFERROR(RIGHT(G2800,LEN(G2800)-FIND("*",G2800)),"-")</f>
        <v>-</v>
      </c>
      <c r="W2800" s="20" t="str">
        <f t="shared" si="1516"/>
        <v>-</v>
      </c>
      <c r="X2800" s="20" t="str">
        <f>IFERROR(W2800*H2800,"-")</f>
        <v>-</v>
      </c>
      <c r="Z2800" s="85" t="s">
        <v>82</v>
      </c>
    </row>
    <row r="2801" spans="1:26" ht="6.95" customHeight="1" x14ac:dyDescent="0.3">
      <c r="A2801" s="5"/>
      <c r="B2801" s="157"/>
      <c r="C2801" s="158"/>
      <c r="D2801" s="161"/>
      <c r="E2801" s="162"/>
      <c r="F2801" s="163"/>
      <c r="G2801" s="164"/>
      <c r="H2801" s="165"/>
      <c r="I2801" s="164"/>
      <c r="J2801" s="165"/>
      <c r="K2801" s="164"/>
      <c r="L2801" s="165"/>
      <c r="M2801" s="6"/>
      <c r="N2801" s="32"/>
      <c r="Q2801" s="10" t="str">
        <f>+CONCATENATE(E2800,I2800)</f>
        <v/>
      </c>
      <c r="R2801" s="10">
        <f>+J2800</f>
        <v>0</v>
      </c>
      <c r="S2801" s="11"/>
      <c r="T2801" s="10">
        <f>+E2800</f>
        <v>0</v>
      </c>
      <c r="U2801" s="19" t="str">
        <f>IFERROR(LEFT(I2800,FIND("*",I2800)-1),"-")</f>
        <v>-</v>
      </c>
      <c r="V2801" s="19" t="str">
        <f>IFERROR(RIGHT(I2800,LEN(I2800)-FIND("*",I2800)),"-")</f>
        <v>-</v>
      </c>
      <c r="W2801" s="20" t="str">
        <f t="shared" si="1516"/>
        <v>-</v>
      </c>
      <c r="X2801" s="20" t="str">
        <f t="shared" ref="X2801" si="1521">IFERROR(W2801*J2800,"-")</f>
        <v>-</v>
      </c>
      <c r="Z2801" s="85" t="s">
        <v>82</v>
      </c>
    </row>
    <row r="2802" spans="1:26" ht="6.95" customHeight="1" x14ac:dyDescent="0.3">
      <c r="A2802" s="5"/>
      <c r="B2802" s="157"/>
      <c r="C2802" s="158"/>
      <c r="D2802" s="161"/>
      <c r="E2802" s="162"/>
      <c r="F2802" s="163"/>
      <c r="G2802" s="164"/>
      <c r="H2802" s="165"/>
      <c r="I2802" s="164"/>
      <c r="J2802" s="165"/>
      <c r="K2802" s="164"/>
      <c r="L2802" s="165"/>
      <c r="M2802" s="6"/>
      <c r="N2802" s="32"/>
      <c r="Q2802" s="10" t="str">
        <f>+CONCATENATE(E2800,K2800)</f>
        <v/>
      </c>
      <c r="R2802" s="10">
        <f>+L2800</f>
        <v>0</v>
      </c>
      <c r="S2802" s="11"/>
      <c r="T2802" s="10">
        <f>+E2800</f>
        <v>0</v>
      </c>
      <c r="U2802" s="19" t="str">
        <f>IFERROR(LEFT(K2800,FIND("*",K2800)-1),"-")</f>
        <v>-</v>
      </c>
      <c r="V2802" s="19" t="str">
        <f>IFERROR(RIGHT(K2800,LEN(K2800)-FIND("*",K2800)),"-")</f>
        <v>-</v>
      </c>
      <c r="W2802" s="20" t="str">
        <f t="shared" si="1516"/>
        <v>-</v>
      </c>
      <c r="X2802" s="20" t="str">
        <f>IFERROR(W2802*L2800,"-")</f>
        <v>-</v>
      </c>
      <c r="Z2802" s="85" t="s">
        <v>82</v>
      </c>
    </row>
    <row r="2803" spans="1:26" ht="21" customHeight="1" thickBot="1" x14ac:dyDescent="0.35">
      <c r="A2803" s="5"/>
      <c r="B2803" s="159"/>
      <c r="C2803" s="160"/>
      <c r="D2803" s="166" t="s">
        <v>43</v>
      </c>
      <c r="E2803" s="167"/>
      <c r="F2803" s="167"/>
      <c r="G2803" s="168"/>
      <c r="H2803" s="168"/>
      <c r="I2803" s="168"/>
      <c r="J2803" s="168"/>
      <c r="K2803" s="168"/>
      <c r="L2803" s="168"/>
      <c r="M2803" s="7"/>
      <c r="N2803" s="32"/>
      <c r="Z2803" s="86" t="s">
        <v>81</v>
      </c>
    </row>
    <row r="2804" spans="1:26" ht="9.9499999999999993" customHeight="1" thickBot="1" x14ac:dyDescent="0.35">
      <c r="B2804" s="9"/>
      <c r="C2804" s="109"/>
      <c r="D2804" s="51"/>
      <c r="E2804" s="12"/>
      <c r="F2804" s="51"/>
      <c r="G2804" s="14"/>
      <c r="H2804" s="14"/>
      <c r="I2804" s="14"/>
      <c r="J2804" s="14"/>
      <c r="K2804" s="14"/>
      <c r="L2804" s="14"/>
      <c r="M2804" s="9"/>
      <c r="N2804" s="32"/>
      <c r="U2804" s="18"/>
      <c r="V2804" s="18"/>
      <c r="Z2804" s="85" t="s">
        <v>82</v>
      </c>
    </row>
    <row r="2805" spans="1:26" ht="6.95" customHeight="1" x14ac:dyDescent="0.3">
      <c r="A2805" s="154">
        <f>+A2794+1</f>
        <v>1054</v>
      </c>
      <c r="B2805" s="155"/>
      <c r="C2805" s="156"/>
      <c r="D2805" s="161" t="s">
        <v>39</v>
      </c>
      <c r="E2805" s="162"/>
      <c r="F2805" s="163" t="s">
        <v>40</v>
      </c>
      <c r="G2805" s="164"/>
      <c r="H2805" s="165"/>
      <c r="I2805" s="164"/>
      <c r="J2805" s="165"/>
      <c r="K2805" s="164"/>
      <c r="L2805" s="165"/>
      <c r="M2805" s="6"/>
      <c r="N2805" s="32"/>
      <c r="Q2805" s="10" t="str">
        <f>+CONCATENATE(E2805,G2805)</f>
        <v/>
      </c>
      <c r="R2805" s="10">
        <f>+H2805</f>
        <v>0</v>
      </c>
      <c r="S2805" s="11"/>
      <c r="T2805" s="10">
        <f>+E2805</f>
        <v>0</v>
      </c>
      <c r="U2805" s="19" t="str">
        <f>IFERROR(LEFT(G2805,FIND("*",G2805)-1),"-")</f>
        <v>-</v>
      </c>
      <c r="V2805" s="19" t="str">
        <f>IFERROR(RIGHT(G2805,LEN(G2805)-FIND("*",G2805)),"-")</f>
        <v>-</v>
      </c>
      <c r="W2805" s="20" t="str">
        <f>IFERROR((U2805+V2805)*2/1000,"-")</f>
        <v>-</v>
      </c>
      <c r="X2805" s="20" t="str">
        <f>IFERROR(W2805*H2805,"-")</f>
        <v>-</v>
      </c>
      <c r="Z2805" s="85" t="s">
        <v>82</v>
      </c>
    </row>
    <row r="2806" spans="1:26" ht="6.95" customHeight="1" x14ac:dyDescent="0.3">
      <c r="A2806" s="154"/>
      <c r="B2806" s="157"/>
      <c r="C2806" s="158"/>
      <c r="D2806" s="161"/>
      <c r="E2806" s="162"/>
      <c r="F2806" s="163"/>
      <c r="G2806" s="164"/>
      <c r="H2806" s="165"/>
      <c r="I2806" s="164"/>
      <c r="J2806" s="165"/>
      <c r="K2806" s="164"/>
      <c r="L2806" s="165"/>
      <c r="M2806" s="6"/>
      <c r="N2806" s="32"/>
      <c r="Q2806" s="10" t="str">
        <f>+CONCATENATE(E2805,I2805)</f>
        <v/>
      </c>
      <c r="R2806" s="10">
        <f>+J2805</f>
        <v>0</v>
      </c>
      <c r="S2806" s="11"/>
      <c r="T2806" s="10">
        <f>+E2805</f>
        <v>0</v>
      </c>
      <c r="U2806" s="19" t="str">
        <f>IFERROR(LEFT(I2805,FIND("*",I2805)-1),"-")</f>
        <v>-</v>
      </c>
      <c r="V2806" s="19" t="str">
        <f>IFERROR(RIGHT(I2805,LEN(I2805)-FIND("*",I2805)),"-")</f>
        <v>-</v>
      </c>
      <c r="W2806" s="20" t="str">
        <f t="shared" ref="W2806:W2813" si="1522">IFERROR((U2806+V2806)*2/1000,"-")</f>
        <v>-</v>
      </c>
      <c r="X2806" s="20" t="str">
        <f>IFERROR(W2806*J2805,"-")</f>
        <v>-</v>
      </c>
      <c r="Z2806" s="85" t="s">
        <v>82</v>
      </c>
    </row>
    <row r="2807" spans="1:26" ht="6.95" customHeight="1" x14ac:dyDescent="0.3">
      <c r="A2807" s="154"/>
      <c r="B2807" s="157"/>
      <c r="C2807" s="158"/>
      <c r="D2807" s="161"/>
      <c r="E2807" s="162"/>
      <c r="F2807" s="163"/>
      <c r="G2807" s="164"/>
      <c r="H2807" s="165"/>
      <c r="I2807" s="164"/>
      <c r="J2807" s="165"/>
      <c r="K2807" s="164"/>
      <c r="L2807" s="165"/>
      <c r="M2807" s="6"/>
      <c r="N2807" s="32"/>
      <c r="Q2807" s="10" t="str">
        <f>+CONCATENATE(E2805,K2805)</f>
        <v/>
      </c>
      <c r="R2807" s="10">
        <f>+L2805</f>
        <v>0</v>
      </c>
      <c r="S2807" s="11"/>
      <c r="T2807" s="10">
        <f>+E2805</f>
        <v>0</v>
      </c>
      <c r="U2807" s="19" t="str">
        <f>IFERROR(LEFT(K2805,FIND("*",K2805)-1),"-")</f>
        <v>-</v>
      </c>
      <c r="V2807" s="19" t="str">
        <f>IFERROR(RIGHT(K2805,LEN(K2805)-FIND("*",K2805)),"-")</f>
        <v>-</v>
      </c>
      <c r="W2807" s="20" t="str">
        <f t="shared" si="1522"/>
        <v>-</v>
      </c>
      <c r="X2807" s="20" t="str">
        <f>IFERROR(W2807*L2805,"-")</f>
        <v>-</v>
      </c>
      <c r="Z2807" s="85" t="s">
        <v>82</v>
      </c>
    </row>
    <row r="2808" spans="1:26" ht="6.95" customHeight="1" x14ac:dyDescent="0.3">
      <c r="A2808" s="8"/>
      <c r="B2808" s="157"/>
      <c r="C2808" s="158"/>
      <c r="D2808" s="161" t="s">
        <v>39</v>
      </c>
      <c r="E2808" s="162"/>
      <c r="F2808" s="163" t="s">
        <v>40</v>
      </c>
      <c r="G2808" s="164"/>
      <c r="H2808" s="165"/>
      <c r="I2808" s="164"/>
      <c r="J2808" s="165"/>
      <c r="K2808" s="164"/>
      <c r="L2808" s="165"/>
      <c r="M2808" s="6"/>
      <c r="N2808" s="32"/>
      <c r="Q2808" s="10" t="str">
        <f>+CONCATENATE(E2808,G2808)</f>
        <v/>
      </c>
      <c r="R2808" s="10">
        <f>+H2808</f>
        <v>0</v>
      </c>
      <c r="S2808" s="11"/>
      <c r="T2808" s="10">
        <f>+E2808</f>
        <v>0</v>
      </c>
      <c r="U2808" s="19" t="str">
        <f t="shared" ref="U2808" si="1523">IFERROR(LEFT(G2808,FIND("*",G2808)-1),"-")</f>
        <v>-</v>
      </c>
      <c r="V2808" s="19" t="str">
        <f t="shared" ref="V2808" si="1524">IFERROR(RIGHT(G2808,LEN(G2808)-FIND("*",G2808)),"-")</f>
        <v>-</v>
      </c>
      <c r="W2808" s="20" t="str">
        <f t="shared" si="1522"/>
        <v>-</v>
      </c>
      <c r="X2808" s="20" t="str">
        <f>IFERROR(W2808*H2808,"-")</f>
        <v>-</v>
      </c>
      <c r="Z2808" s="85" t="s">
        <v>82</v>
      </c>
    </row>
    <row r="2809" spans="1:26" ht="6.95" customHeight="1" x14ac:dyDescent="0.3">
      <c r="A2809" s="5"/>
      <c r="B2809" s="157"/>
      <c r="C2809" s="158"/>
      <c r="D2809" s="161"/>
      <c r="E2809" s="162"/>
      <c r="F2809" s="163"/>
      <c r="G2809" s="164"/>
      <c r="H2809" s="165"/>
      <c r="I2809" s="164"/>
      <c r="J2809" s="165"/>
      <c r="K2809" s="164"/>
      <c r="L2809" s="165"/>
      <c r="M2809" s="6"/>
      <c r="N2809" s="32"/>
      <c r="Q2809" s="10" t="str">
        <f>+CONCATENATE(E2808,I2808)</f>
        <v/>
      </c>
      <c r="R2809" s="10">
        <f>+J2808</f>
        <v>0</v>
      </c>
      <c r="S2809" s="11"/>
      <c r="T2809" s="10">
        <f>+E2808</f>
        <v>0</v>
      </c>
      <c r="U2809" s="19" t="str">
        <f>IFERROR(LEFT(I2808,FIND("*",I2808)-1),"-")</f>
        <v>-</v>
      </c>
      <c r="V2809" s="19" t="str">
        <f>IFERROR(RIGHT(I2808,LEN(I2808)-FIND("*",I2808)),"-")</f>
        <v>-</v>
      </c>
      <c r="W2809" s="20" t="str">
        <f t="shared" si="1522"/>
        <v>-</v>
      </c>
      <c r="X2809" s="20" t="str">
        <f>IFERROR(W2809*J2808,"-")</f>
        <v>-</v>
      </c>
      <c r="Z2809" s="85" t="s">
        <v>82</v>
      </c>
    </row>
    <row r="2810" spans="1:26" ht="6.95" customHeight="1" x14ac:dyDescent="0.3">
      <c r="A2810" s="5"/>
      <c r="B2810" s="157"/>
      <c r="C2810" s="158"/>
      <c r="D2810" s="161"/>
      <c r="E2810" s="162"/>
      <c r="F2810" s="163"/>
      <c r="G2810" s="164"/>
      <c r="H2810" s="165"/>
      <c r="I2810" s="164"/>
      <c r="J2810" s="165"/>
      <c r="K2810" s="164"/>
      <c r="L2810" s="165"/>
      <c r="M2810" s="6"/>
      <c r="N2810" s="32"/>
      <c r="Q2810" s="10" t="str">
        <f>+CONCATENATE(E2808,K2808)</f>
        <v/>
      </c>
      <c r="R2810" s="10">
        <f>+L2808</f>
        <v>0</v>
      </c>
      <c r="S2810" s="11"/>
      <c r="T2810" s="10">
        <f>+E2808</f>
        <v>0</v>
      </c>
      <c r="U2810" s="19" t="str">
        <f>IFERROR(LEFT(K2808,FIND("*",K2808)-1),"-")</f>
        <v>-</v>
      </c>
      <c r="V2810" s="19" t="str">
        <f>IFERROR(RIGHT(K2808,LEN(K2808)-FIND("*",K2808)),"-")</f>
        <v>-</v>
      </c>
      <c r="W2810" s="20" t="str">
        <f t="shared" si="1522"/>
        <v>-</v>
      </c>
      <c r="X2810" s="20" t="str">
        <f>IFERROR(W2810*L2808,"-")</f>
        <v>-</v>
      </c>
      <c r="Z2810" s="85" t="s">
        <v>82</v>
      </c>
    </row>
    <row r="2811" spans="1:26" ht="6.95" customHeight="1" x14ac:dyDescent="0.3">
      <c r="A2811" s="8"/>
      <c r="B2811" s="157"/>
      <c r="C2811" s="158"/>
      <c r="D2811" s="161" t="s">
        <v>39</v>
      </c>
      <c r="E2811" s="162"/>
      <c r="F2811" s="163" t="s">
        <v>40</v>
      </c>
      <c r="G2811" s="164"/>
      <c r="H2811" s="165"/>
      <c r="I2811" s="164"/>
      <c r="J2811" s="165"/>
      <c r="K2811" s="164"/>
      <c r="L2811" s="165"/>
      <c r="M2811" s="6"/>
      <c r="N2811" s="32"/>
      <c r="Q2811" s="10" t="str">
        <f>+CONCATENATE(E2811,G2811)</f>
        <v/>
      </c>
      <c r="R2811" s="10">
        <f>+H2811</f>
        <v>0</v>
      </c>
      <c r="S2811" s="11"/>
      <c r="T2811" s="10">
        <f>+E2811</f>
        <v>0</v>
      </c>
      <c r="U2811" s="19" t="str">
        <f t="shared" ref="U2811" si="1525">IFERROR(LEFT(G2811,FIND("*",G2811)-1),"-")</f>
        <v>-</v>
      </c>
      <c r="V2811" s="19" t="str">
        <f t="shared" ref="V2811" si="1526">IFERROR(RIGHT(G2811,LEN(G2811)-FIND("*",G2811)),"-")</f>
        <v>-</v>
      </c>
      <c r="W2811" s="20" t="str">
        <f t="shared" si="1522"/>
        <v>-</v>
      </c>
      <c r="X2811" s="20" t="str">
        <f>IFERROR(W2811*H2811,"-")</f>
        <v>-</v>
      </c>
      <c r="Z2811" s="85" t="s">
        <v>82</v>
      </c>
    </row>
    <row r="2812" spans="1:26" ht="6.95" customHeight="1" x14ac:dyDescent="0.3">
      <c r="A2812" s="5"/>
      <c r="B2812" s="157"/>
      <c r="C2812" s="158"/>
      <c r="D2812" s="161"/>
      <c r="E2812" s="162"/>
      <c r="F2812" s="163"/>
      <c r="G2812" s="164"/>
      <c r="H2812" s="165"/>
      <c r="I2812" s="164"/>
      <c r="J2812" s="165"/>
      <c r="K2812" s="164"/>
      <c r="L2812" s="165"/>
      <c r="M2812" s="6"/>
      <c r="N2812" s="32"/>
      <c r="Q2812" s="10" t="str">
        <f>+CONCATENATE(E2811,I2811)</f>
        <v/>
      </c>
      <c r="R2812" s="10">
        <f>+J2811</f>
        <v>0</v>
      </c>
      <c r="S2812" s="11"/>
      <c r="T2812" s="10">
        <f>+E2811</f>
        <v>0</v>
      </c>
      <c r="U2812" s="19" t="str">
        <f>IFERROR(LEFT(I2811,FIND("*",I2811)-1),"-")</f>
        <v>-</v>
      </c>
      <c r="V2812" s="19" t="str">
        <f>IFERROR(RIGHT(I2811,LEN(I2811)-FIND("*",I2811)),"-")</f>
        <v>-</v>
      </c>
      <c r="W2812" s="20" t="str">
        <f t="shared" si="1522"/>
        <v>-</v>
      </c>
      <c r="X2812" s="20" t="str">
        <f t="shared" ref="X2812" si="1527">IFERROR(W2812*J2811,"-")</f>
        <v>-</v>
      </c>
      <c r="Z2812" s="85" t="s">
        <v>82</v>
      </c>
    </row>
    <row r="2813" spans="1:26" ht="6.95" customHeight="1" x14ac:dyDescent="0.3">
      <c r="A2813" s="5"/>
      <c r="B2813" s="157"/>
      <c r="C2813" s="158"/>
      <c r="D2813" s="161"/>
      <c r="E2813" s="162"/>
      <c r="F2813" s="163"/>
      <c r="G2813" s="164"/>
      <c r="H2813" s="165"/>
      <c r="I2813" s="164"/>
      <c r="J2813" s="165"/>
      <c r="K2813" s="164"/>
      <c r="L2813" s="165"/>
      <c r="M2813" s="6"/>
      <c r="N2813" s="32"/>
      <c r="Q2813" s="10" t="str">
        <f>+CONCATENATE(E2811,K2811)</f>
        <v/>
      </c>
      <c r="R2813" s="10">
        <f>+L2811</f>
        <v>0</v>
      </c>
      <c r="S2813" s="11"/>
      <c r="T2813" s="10">
        <f>+E2811</f>
        <v>0</v>
      </c>
      <c r="U2813" s="19" t="str">
        <f>IFERROR(LEFT(K2811,FIND("*",K2811)-1),"-")</f>
        <v>-</v>
      </c>
      <c r="V2813" s="19" t="str">
        <f>IFERROR(RIGHT(K2811,LEN(K2811)-FIND("*",K2811)),"-")</f>
        <v>-</v>
      </c>
      <c r="W2813" s="20" t="str">
        <f t="shared" si="1522"/>
        <v>-</v>
      </c>
      <c r="X2813" s="20" t="str">
        <f>IFERROR(W2813*L2811,"-")</f>
        <v>-</v>
      </c>
      <c r="Z2813" s="85" t="s">
        <v>82</v>
      </c>
    </row>
    <row r="2814" spans="1:26" ht="21" customHeight="1" thickBot="1" x14ac:dyDescent="0.35">
      <c r="A2814" s="5"/>
      <c r="B2814" s="159"/>
      <c r="C2814" s="160"/>
      <c r="D2814" s="166" t="s">
        <v>43</v>
      </c>
      <c r="E2814" s="167"/>
      <c r="F2814" s="167"/>
      <c r="G2814" s="168"/>
      <c r="H2814" s="168"/>
      <c r="I2814" s="168"/>
      <c r="J2814" s="168"/>
      <c r="K2814" s="168"/>
      <c r="L2814" s="168"/>
      <c r="M2814" s="7"/>
      <c r="N2814" s="32"/>
      <c r="Z2814" s="86" t="s">
        <v>81</v>
      </c>
    </row>
    <row r="2815" spans="1:26" ht="9.9499999999999993" customHeight="1" thickBot="1" x14ac:dyDescent="0.35">
      <c r="B2815" s="9"/>
      <c r="C2815" s="109"/>
      <c r="D2815" s="51"/>
      <c r="E2815" s="12"/>
      <c r="F2815" s="51"/>
      <c r="G2815" s="14"/>
      <c r="H2815" s="14"/>
      <c r="I2815" s="14"/>
      <c r="J2815" s="14"/>
      <c r="K2815" s="14"/>
      <c r="L2815" s="14"/>
      <c r="M2815" s="9"/>
      <c r="N2815" s="32"/>
      <c r="U2815" s="18"/>
      <c r="V2815" s="18"/>
      <c r="Z2815" s="85" t="s">
        <v>82</v>
      </c>
    </row>
    <row r="2816" spans="1:26" ht="6.95" customHeight="1" x14ac:dyDescent="0.3">
      <c r="A2816" s="154">
        <f>+A2805+1</f>
        <v>1055</v>
      </c>
      <c r="B2816" s="155"/>
      <c r="C2816" s="156"/>
      <c r="D2816" s="161" t="s">
        <v>39</v>
      </c>
      <c r="E2816" s="162"/>
      <c r="F2816" s="163" t="s">
        <v>40</v>
      </c>
      <c r="G2816" s="164"/>
      <c r="H2816" s="165"/>
      <c r="I2816" s="164"/>
      <c r="J2816" s="165"/>
      <c r="K2816" s="164"/>
      <c r="L2816" s="165"/>
      <c r="M2816" s="6"/>
      <c r="N2816" s="32"/>
      <c r="Q2816" s="10" t="str">
        <f>+CONCATENATE(E2816,G2816)</f>
        <v/>
      </c>
      <c r="R2816" s="10">
        <f>+H2816</f>
        <v>0</v>
      </c>
      <c r="S2816" s="11"/>
      <c r="T2816" s="10">
        <f>+E2816</f>
        <v>0</v>
      </c>
      <c r="U2816" s="19" t="str">
        <f>IFERROR(LEFT(G2816,FIND("*",G2816)-1),"-")</f>
        <v>-</v>
      </c>
      <c r="V2816" s="19" t="str">
        <f>IFERROR(RIGHT(G2816,LEN(G2816)-FIND("*",G2816)),"-")</f>
        <v>-</v>
      </c>
      <c r="W2816" s="20" t="str">
        <f>IFERROR((U2816+V2816)*2/1000,"-")</f>
        <v>-</v>
      </c>
      <c r="X2816" s="20" t="str">
        <f>IFERROR(W2816*H2816,"-")</f>
        <v>-</v>
      </c>
      <c r="Z2816" s="85" t="s">
        <v>82</v>
      </c>
    </row>
    <row r="2817" spans="1:26" ht="6.95" customHeight="1" x14ac:dyDescent="0.3">
      <c r="A2817" s="154"/>
      <c r="B2817" s="157"/>
      <c r="C2817" s="158"/>
      <c r="D2817" s="161"/>
      <c r="E2817" s="162"/>
      <c r="F2817" s="163"/>
      <c r="G2817" s="164"/>
      <c r="H2817" s="165"/>
      <c r="I2817" s="164"/>
      <c r="J2817" s="165"/>
      <c r="K2817" s="164"/>
      <c r="L2817" s="165"/>
      <c r="M2817" s="6"/>
      <c r="N2817" s="32"/>
      <c r="Q2817" s="10" t="str">
        <f>+CONCATENATE(E2816,I2816)</f>
        <v/>
      </c>
      <c r="R2817" s="10">
        <f>+J2816</f>
        <v>0</v>
      </c>
      <c r="S2817" s="11"/>
      <c r="T2817" s="10">
        <f>+E2816</f>
        <v>0</v>
      </c>
      <c r="U2817" s="19" t="str">
        <f>IFERROR(LEFT(I2816,FIND("*",I2816)-1),"-")</f>
        <v>-</v>
      </c>
      <c r="V2817" s="19" t="str">
        <f>IFERROR(RIGHT(I2816,LEN(I2816)-FIND("*",I2816)),"-")</f>
        <v>-</v>
      </c>
      <c r="W2817" s="20" t="str">
        <f t="shared" ref="W2817:W2824" si="1528">IFERROR((U2817+V2817)*2/1000,"-")</f>
        <v>-</v>
      </c>
      <c r="X2817" s="20" t="str">
        <f>IFERROR(W2817*J2816,"-")</f>
        <v>-</v>
      </c>
      <c r="Z2817" s="85" t="s">
        <v>82</v>
      </c>
    </row>
    <row r="2818" spans="1:26" ht="6.95" customHeight="1" x14ac:dyDescent="0.3">
      <c r="A2818" s="154"/>
      <c r="B2818" s="157"/>
      <c r="C2818" s="158"/>
      <c r="D2818" s="161"/>
      <c r="E2818" s="162"/>
      <c r="F2818" s="163"/>
      <c r="G2818" s="164"/>
      <c r="H2818" s="165"/>
      <c r="I2818" s="164"/>
      <c r="J2818" s="165"/>
      <c r="K2818" s="164"/>
      <c r="L2818" s="165"/>
      <c r="M2818" s="6"/>
      <c r="N2818" s="32"/>
      <c r="Q2818" s="10" t="str">
        <f>+CONCATENATE(E2816,K2816)</f>
        <v/>
      </c>
      <c r="R2818" s="10">
        <f>+L2816</f>
        <v>0</v>
      </c>
      <c r="S2818" s="11"/>
      <c r="T2818" s="10">
        <f>+E2816</f>
        <v>0</v>
      </c>
      <c r="U2818" s="19" t="str">
        <f>IFERROR(LEFT(K2816,FIND("*",K2816)-1),"-")</f>
        <v>-</v>
      </c>
      <c r="V2818" s="19" t="str">
        <f>IFERROR(RIGHT(K2816,LEN(K2816)-FIND("*",K2816)),"-")</f>
        <v>-</v>
      </c>
      <c r="W2818" s="20" t="str">
        <f t="shared" si="1528"/>
        <v>-</v>
      </c>
      <c r="X2818" s="20" t="str">
        <f>IFERROR(W2818*L2816,"-")</f>
        <v>-</v>
      </c>
      <c r="Z2818" s="85" t="s">
        <v>82</v>
      </c>
    </row>
    <row r="2819" spans="1:26" ht="6.95" customHeight="1" x14ac:dyDescent="0.3">
      <c r="A2819" s="8"/>
      <c r="B2819" s="157"/>
      <c r="C2819" s="158"/>
      <c r="D2819" s="161" t="s">
        <v>39</v>
      </c>
      <c r="E2819" s="162"/>
      <c r="F2819" s="163" t="s">
        <v>40</v>
      </c>
      <c r="G2819" s="164"/>
      <c r="H2819" s="165"/>
      <c r="I2819" s="164"/>
      <c r="J2819" s="165"/>
      <c r="K2819" s="164"/>
      <c r="L2819" s="165"/>
      <c r="M2819" s="6"/>
      <c r="N2819" s="32"/>
      <c r="Q2819" s="10" t="str">
        <f>+CONCATENATE(E2819,G2819)</f>
        <v/>
      </c>
      <c r="R2819" s="10">
        <f>+H2819</f>
        <v>0</v>
      </c>
      <c r="S2819" s="11"/>
      <c r="T2819" s="10">
        <f>+E2819</f>
        <v>0</v>
      </c>
      <c r="U2819" s="19" t="str">
        <f t="shared" ref="U2819" si="1529">IFERROR(LEFT(G2819,FIND("*",G2819)-1),"-")</f>
        <v>-</v>
      </c>
      <c r="V2819" s="19" t="str">
        <f t="shared" ref="V2819" si="1530">IFERROR(RIGHT(G2819,LEN(G2819)-FIND("*",G2819)),"-")</f>
        <v>-</v>
      </c>
      <c r="W2819" s="20" t="str">
        <f t="shared" si="1528"/>
        <v>-</v>
      </c>
      <c r="X2819" s="20" t="str">
        <f>IFERROR(W2819*H2819,"-")</f>
        <v>-</v>
      </c>
      <c r="Z2819" s="85" t="s">
        <v>82</v>
      </c>
    </row>
    <row r="2820" spans="1:26" ht="6.95" customHeight="1" x14ac:dyDescent="0.3">
      <c r="A2820" s="5"/>
      <c r="B2820" s="157"/>
      <c r="C2820" s="158"/>
      <c r="D2820" s="161"/>
      <c r="E2820" s="162"/>
      <c r="F2820" s="163"/>
      <c r="G2820" s="164"/>
      <c r="H2820" s="165"/>
      <c r="I2820" s="164"/>
      <c r="J2820" s="165"/>
      <c r="K2820" s="164"/>
      <c r="L2820" s="165"/>
      <c r="M2820" s="6"/>
      <c r="N2820" s="32"/>
      <c r="Q2820" s="10" t="str">
        <f>+CONCATENATE(E2819,I2819)</f>
        <v/>
      </c>
      <c r="R2820" s="10">
        <f>+J2819</f>
        <v>0</v>
      </c>
      <c r="S2820" s="11"/>
      <c r="T2820" s="10">
        <f>+E2819</f>
        <v>0</v>
      </c>
      <c r="U2820" s="19" t="str">
        <f>IFERROR(LEFT(I2819,FIND("*",I2819)-1),"-")</f>
        <v>-</v>
      </c>
      <c r="V2820" s="19" t="str">
        <f>IFERROR(RIGHT(I2819,LEN(I2819)-FIND("*",I2819)),"-")</f>
        <v>-</v>
      </c>
      <c r="W2820" s="20" t="str">
        <f t="shared" si="1528"/>
        <v>-</v>
      </c>
      <c r="X2820" s="20" t="str">
        <f>IFERROR(W2820*J2819,"-")</f>
        <v>-</v>
      </c>
      <c r="Z2820" s="85" t="s">
        <v>82</v>
      </c>
    </row>
    <row r="2821" spans="1:26" ht="6.95" customHeight="1" x14ac:dyDescent="0.3">
      <c r="A2821" s="5"/>
      <c r="B2821" s="157"/>
      <c r="C2821" s="158"/>
      <c r="D2821" s="161"/>
      <c r="E2821" s="162"/>
      <c r="F2821" s="163"/>
      <c r="G2821" s="164"/>
      <c r="H2821" s="165"/>
      <c r="I2821" s="164"/>
      <c r="J2821" s="165"/>
      <c r="K2821" s="164"/>
      <c r="L2821" s="165"/>
      <c r="M2821" s="6"/>
      <c r="N2821" s="32"/>
      <c r="Q2821" s="10" t="str">
        <f>+CONCATENATE(E2819,K2819)</f>
        <v/>
      </c>
      <c r="R2821" s="10">
        <f>+L2819</f>
        <v>0</v>
      </c>
      <c r="S2821" s="11"/>
      <c r="T2821" s="10">
        <f>+E2819</f>
        <v>0</v>
      </c>
      <c r="U2821" s="19" t="str">
        <f>IFERROR(LEFT(K2819,FIND("*",K2819)-1),"-")</f>
        <v>-</v>
      </c>
      <c r="V2821" s="19" t="str">
        <f>IFERROR(RIGHT(K2819,LEN(K2819)-FIND("*",K2819)),"-")</f>
        <v>-</v>
      </c>
      <c r="W2821" s="20" t="str">
        <f t="shared" si="1528"/>
        <v>-</v>
      </c>
      <c r="X2821" s="20" t="str">
        <f>IFERROR(W2821*L2819,"-")</f>
        <v>-</v>
      </c>
      <c r="Z2821" s="85" t="s">
        <v>82</v>
      </c>
    </row>
    <row r="2822" spans="1:26" ht="6.95" customHeight="1" x14ac:dyDescent="0.3">
      <c r="A2822" s="8"/>
      <c r="B2822" s="157"/>
      <c r="C2822" s="158"/>
      <c r="D2822" s="161" t="s">
        <v>39</v>
      </c>
      <c r="E2822" s="162"/>
      <c r="F2822" s="163" t="s">
        <v>40</v>
      </c>
      <c r="G2822" s="164"/>
      <c r="H2822" s="165"/>
      <c r="I2822" s="164"/>
      <c r="J2822" s="165"/>
      <c r="K2822" s="164"/>
      <c r="L2822" s="165"/>
      <c r="M2822" s="6"/>
      <c r="N2822" s="32"/>
      <c r="Q2822" s="10" t="str">
        <f>+CONCATENATE(E2822,G2822)</f>
        <v/>
      </c>
      <c r="R2822" s="10">
        <f>+H2822</f>
        <v>0</v>
      </c>
      <c r="S2822" s="11"/>
      <c r="T2822" s="10">
        <f>+E2822</f>
        <v>0</v>
      </c>
      <c r="U2822" s="19" t="str">
        <f t="shared" ref="U2822" si="1531">IFERROR(LEFT(G2822,FIND("*",G2822)-1),"-")</f>
        <v>-</v>
      </c>
      <c r="V2822" s="19" t="str">
        <f t="shared" ref="V2822" si="1532">IFERROR(RIGHT(G2822,LEN(G2822)-FIND("*",G2822)),"-")</f>
        <v>-</v>
      </c>
      <c r="W2822" s="20" t="str">
        <f t="shared" si="1528"/>
        <v>-</v>
      </c>
      <c r="X2822" s="20" t="str">
        <f>IFERROR(W2822*H2822,"-")</f>
        <v>-</v>
      </c>
      <c r="Z2822" s="85" t="s">
        <v>82</v>
      </c>
    </row>
    <row r="2823" spans="1:26" ht="6.95" customHeight="1" x14ac:dyDescent="0.3">
      <c r="A2823" s="5"/>
      <c r="B2823" s="157"/>
      <c r="C2823" s="158"/>
      <c r="D2823" s="161"/>
      <c r="E2823" s="162"/>
      <c r="F2823" s="163"/>
      <c r="G2823" s="164"/>
      <c r="H2823" s="165"/>
      <c r="I2823" s="164"/>
      <c r="J2823" s="165"/>
      <c r="K2823" s="164"/>
      <c r="L2823" s="165"/>
      <c r="M2823" s="6"/>
      <c r="N2823" s="32"/>
      <c r="Q2823" s="10" t="str">
        <f>+CONCATENATE(E2822,I2822)</f>
        <v/>
      </c>
      <c r="R2823" s="10">
        <f>+J2822</f>
        <v>0</v>
      </c>
      <c r="S2823" s="11"/>
      <c r="T2823" s="10">
        <f>+E2822</f>
        <v>0</v>
      </c>
      <c r="U2823" s="19" t="str">
        <f>IFERROR(LEFT(I2822,FIND("*",I2822)-1),"-")</f>
        <v>-</v>
      </c>
      <c r="V2823" s="19" t="str">
        <f>IFERROR(RIGHT(I2822,LEN(I2822)-FIND("*",I2822)),"-")</f>
        <v>-</v>
      </c>
      <c r="W2823" s="20" t="str">
        <f t="shared" si="1528"/>
        <v>-</v>
      </c>
      <c r="X2823" s="20" t="str">
        <f t="shared" ref="X2823" si="1533">IFERROR(W2823*J2822,"-")</f>
        <v>-</v>
      </c>
      <c r="Z2823" s="85" t="s">
        <v>82</v>
      </c>
    </row>
    <row r="2824" spans="1:26" ht="6.95" customHeight="1" x14ac:dyDescent="0.3">
      <c r="A2824" s="5"/>
      <c r="B2824" s="157"/>
      <c r="C2824" s="158"/>
      <c r="D2824" s="161"/>
      <c r="E2824" s="162"/>
      <c r="F2824" s="163"/>
      <c r="G2824" s="164"/>
      <c r="H2824" s="165"/>
      <c r="I2824" s="164"/>
      <c r="J2824" s="165"/>
      <c r="K2824" s="164"/>
      <c r="L2824" s="165"/>
      <c r="M2824" s="6"/>
      <c r="N2824" s="32"/>
      <c r="Q2824" s="10" t="str">
        <f>+CONCATENATE(E2822,K2822)</f>
        <v/>
      </c>
      <c r="R2824" s="10">
        <f>+L2822</f>
        <v>0</v>
      </c>
      <c r="S2824" s="11"/>
      <c r="T2824" s="10">
        <f>+E2822</f>
        <v>0</v>
      </c>
      <c r="U2824" s="19" t="str">
        <f>IFERROR(LEFT(K2822,FIND("*",K2822)-1),"-")</f>
        <v>-</v>
      </c>
      <c r="V2824" s="19" t="str">
        <f>IFERROR(RIGHT(K2822,LEN(K2822)-FIND("*",K2822)),"-")</f>
        <v>-</v>
      </c>
      <c r="W2824" s="20" t="str">
        <f t="shared" si="1528"/>
        <v>-</v>
      </c>
      <c r="X2824" s="20" t="str">
        <f>IFERROR(W2824*L2822,"-")</f>
        <v>-</v>
      </c>
      <c r="Z2824" s="85" t="s">
        <v>82</v>
      </c>
    </row>
    <row r="2825" spans="1:26" ht="21" customHeight="1" thickBot="1" x14ac:dyDescent="0.35">
      <c r="A2825" s="5"/>
      <c r="B2825" s="159"/>
      <c r="C2825" s="160"/>
      <c r="D2825" s="166" t="s">
        <v>43</v>
      </c>
      <c r="E2825" s="167"/>
      <c r="F2825" s="167"/>
      <c r="G2825" s="168"/>
      <c r="H2825" s="168"/>
      <c r="I2825" s="168"/>
      <c r="J2825" s="168"/>
      <c r="K2825" s="168"/>
      <c r="L2825" s="168"/>
      <c r="M2825" s="7"/>
      <c r="N2825" s="32"/>
      <c r="Z2825" s="86" t="s">
        <v>81</v>
      </c>
    </row>
    <row r="2826" spans="1:26" ht="9.9499999999999993" customHeight="1" thickBot="1" x14ac:dyDescent="0.35">
      <c r="B2826" s="9"/>
      <c r="C2826" s="109"/>
      <c r="D2826" s="51"/>
      <c r="E2826" s="12"/>
      <c r="F2826" s="51"/>
      <c r="G2826" s="14"/>
      <c r="H2826" s="14"/>
      <c r="I2826" s="14"/>
      <c r="J2826" s="14"/>
      <c r="K2826" s="14"/>
      <c r="L2826" s="14"/>
      <c r="M2826" s="9"/>
      <c r="N2826" s="32"/>
      <c r="U2826" s="18"/>
      <c r="V2826" s="18"/>
      <c r="Z2826" s="85" t="s">
        <v>82</v>
      </c>
    </row>
    <row r="2827" spans="1:26" ht="6.95" customHeight="1" x14ac:dyDescent="0.3">
      <c r="A2827" s="154">
        <f>+A2816+1</f>
        <v>1056</v>
      </c>
      <c r="B2827" s="155"/>
      <c r="C2827" s="156"/>
      <c r="D2827" s="161" t="s">
        <v>39</v>
      </c>
      <c r="E2827" s="162"/>
      <c r="F2827" s="163" t="s">
        <v>40</v>
      </c>
      <c r="G2827" s="164"/>
      <c r="H2827" s="165"/>
      <c r="I2827" s="164"/>
      <c r="J2827" s="165"/>
      <c r="K2827" s="164"/>
      <c r="L2827" s="165"/>
      <c r="M2827" s="6"/>
      <c r="N2827" s="32"/>
      <c r="Q2827" s="10" t="str">
        <f>+CONCATENATE(E2827,G2827)</f>
        <v/>
      </c>
      <c r="R2827" s="10">
        <f>+H2827</f>
        <v>0</v>
      </c>
      <c r="S2827" s="11"/>
      <c r="T2827" s="10">
        <f>+E2827</f>
        <v>0</v>
      </c>
      <c r="U2827" s="19" t="str">
        <f>IFERROR(LEFT(G2827,FIND("*",G2827)-1),"-")</f>
        <v>-</v>
      </c>
      <c r="V2827" s="19" t="str">
        <f>IFERROR(RIGHT(G2827,LEN(G2827)-FIND("*",G2827)),"-")</f>
        <v>-</v>
      </c>
      <c r="W2827" s="20" t="str">
        <f>IFERROR((U2827+V2827)*2/1000,"-")</f>
        <v>-</v>
      </c>
      <c r="X2827" s="20" t="str">
        <f>IFERROR(W2827*H2827,"-")</f>
        <v>-</v>
      </c>
      <c r="Z2827" s="85" t="s">
        <v>82</v>
      </c>
    </row>
    <row r="2828" spans="1:26" ht="6.95" customHeight="1" x14ac:dyDescent="0.3">
      <c r="A2828" s="154"/>
      <c r="B2828" s="157"/>
      <c r="C2828" s="158"/>
      <c r="D2828" s="161"/>
      <c r="E2828" s="162"/>
      <c r="F2828" s="163"/>
      <c r="G2828" s="164"/>
      <c r="H2828" s="165"/>
      <c r="I2828" s="164"/>
      <c r="J2828" s="165"/>
      <c r="K2828" s="164"/>
      <c r="L2828" s="165"/>
      <c r="M2828" s="6"/>
      <c r="N2828" s="32"/>
      <c r="Q2828" s="10" t="str">
        <f>+CONCATENATE(E2827,I2827)</f>
        <v/>
      </c>
      <c r="R2828" s="10">
        <f>+J2827</f>
        <v>0</v>
      </c>
      <c r="S2828" s="11"/>
      <c r="T2828" s="10">
        <f>+E2827</f>
        <v>0</v>
      </c>
      <c r="U2828" s="19" t="str">
        <f>IFERROR(LEFT(I2827,FIND("*",I2827)-1),"-")</f>
        <v>-</v>
      </c>
      <c r="V2828" s="19" t="str">
        <f>IFERROR(RIGHT(I2827,LEN(I2827)-FIND("*",I2827)),"-")</f>
        <v>-</v>
      </c>
      <c r="W2828" s="20" t="str">
        <f t="shared" ref="W2828:W2835" si="1534">IFERROR((U2828+V2828)*2/1000,"-")</f>
        <v>-</v>
      </c>
      <c r="X2828" s="20" t="str">
        <f>IFERROR(W2828*J2827,"-")</f>
        <v>-</v>
      </c>
      <c r="Z2828" s="85" t="s">
        <v>82</v>
      </c>
    </row>
    <row r="2829" spans="1:26" ht="6.95" customHeight="1" x14ac:dyDescent="0.3">
      <c r="A2829" s="154"/>
      <c r="B2829" s="157"/>
      <c r="C2829" s="158"/>
      <c r="D2829" s="161"/>
      <c r="E2829" s="162"/>
      <c r="F2829" s="163"/>
      <c r="G2829" s="164"/>
      <c r="H2829" s="165"/>
      <c r="I2829" s="164"/>
      <c r="J2829" s="165"/>
      <c r="K2829" s="164"/>
      <c r="L2829" s="165"/>
      <c r="M2829" s="6"/>
      <c r="N2829" s="32"/>
      <c r="Q2829" s="10" t="str">
        <f>+CONCATENATE(E2827,K2827)</f>
        <v/>
      </c>
      <c r="R2829" s="10">
        <f>+L2827</f>
        <v>0</v>
      </c>
      <c r="S2829" s="11"/>
      <c r="T2829" s="10">
        <f>+E2827</f>
        <v>0</v>
      </c>
      <c r="U2829" s="19" t="str">
        <f>IFERROR(LEFT(K2827,FIND("*",K2827)-1),"-")</f>
        <v>-</v>
      </c>
      <c r="V2829" s="19" t="str">
        <f>IFERROR(RIGHT(K2827,LEN(K2827)-FIND("*",K2827)),"-")</f>
        <v>-</v>
      </c>
      <c r="W2829" s="20" t="str">
        <f t="shared" si="1534"/>
        <v>-</v>
      </c>
      <c r="X2829" s="20" t="str">
        <f>IFERROR(W2829*L2827,"-")</f>
        <v>-</v>
      </c>
      <c r="Z2829" s="85" t="s">
        <v>82</v>
      </c>
    </row>
    <row r="2830" spans="1:26" ht="6.95" customHeight="1" x14ac:dyDescent="0.3">
      <c r="A2830" s="8"/>
      <c r="B2830" s="157"/>
      <c r="C2830" s="158"/>
      <c r="D2830" s="161" t="s">
        <v>39</v>
      </c>
      <c r="E2830" s="162"/>
      <c r="F2830" s="163" t="s">
        <v>40</v>
      </c>
      <c r="G2830" s="164"/>
      <c r="H2830" s="165"/>
      <c r="I2830" s="164"/>
      <c r="J2830" s="165"/>
      <c r="K2830" s="164"/>
      <c r="L2830" s="165"/>
      <c r="M2830" s="6"/>
      <c r="N2830" s="32"/>
      <c r="Q2830" s="10" t="str">
        <f>+CONCATENATE(E2830,G2830)</f>
        <v/>
      </c>
      <c r="R2830" s="10">
        <f>+H2830</f>
        <v>0</v>
      </c>
      <c r="S2830" s="11"/>
      <c r="T2830" s="10">
        <f>+E2830</f>
        <v>0</v>
      </c>
      <c r="U2830" s="19" t="str">
        <f t="shared" ref="U2830" si="1535">IFERROR(LEFT(G2830,FIND("*",G2830)-1),"-")</f>
        <v>-</v>
      </c>
      <c r="V2830" s="19" t="str">
        <f t="shared" ref="V2830" si="1536">IFERROR(RIGHT(G2830,LEN(G2830)-FIND("*",G2830)),"-")</f>
        <v>-</v>
      </c>
      <c r="W2830" s="20" t="str">
        <f t="shared" si="1534"/>
        <v>-</v>
      </c>
      <c r="X2830" s="20" t="str">
        <f>IFERROR(W2830*H2830,"-")</f>
        <v>-</v>
      </c>
      <c r="Z2830" s="85" t="s">
        <v>82</v>
      </c>
    </row>
    <row r="2831" spans="1:26" ht="6.95" customHeight="1" x14ac:dyDescent="0.3">
      <c r="A2831" s="5"/>
      <c r="B2831" s="157"/>
      <c r="C2831" s="158"/>
      <c r="D2831" s="161"/>
      <c r="E2831" s="162"/>
      <c r="F2831" s="163"/>
      <c r="G2831" s="164"/>
      <c r="H2831" s="165"/>
      <c r="I2831" s="164"/>
      <c r="J2831" s="165"/>
      <c r="K2831" s="164"/>
      <c r="L2831" s="165"/>
      <c r="M2831" s="6"/>
      <c r="N2831" s="32"/>
      <c r="Q2831" s="10" t="str">
        <f>+CONCATENATE(E2830,I2830)</f>
        <v/>
      </c>
      <c r="R2831" s="10">
        <f>+J2830</f>
        <v>0</v>
      </c>
      <c r="S2831" s="11"/>
      <c r="T2831" s="10">
        <f>+E2830</f>
        <v>0</v>
      </c>
      <c r="U2831" s="19" t="str">
        <f>IFERROR(LEFT(I2830,FIND("*",I2830)-1),"-")</f>
        <v>-</v>
      </c>
      <c r="V2831" s="19" t="str">
        <f>IFERROR(RIGHT(I2830,LEN(I2830)-FIND("*",I2830)),"-")</f>
        <v>-</v>
      </c>
      <c r="W2831" s="20" t="str">
        <f t="shared" si="1534"/>
        <v>-</v>
      </c>
      <c r="X2831" s="20" t="str">
        <f>IFERROR(W2831*J2830,"-")</f>
        <v>-</v>
      </c>
      <c r="Z2831" s="85" t="s">
        <v>82</v>
      </c>
    </row>
    <row r="2832" spans="1:26" ht="6.95" customHeight="1" x14ac:dyDescent="0.3">
      <c r="A2832" s="5"/>
      <c r="B2832" s="157"/>
      <c r="C2832" s="158"/>
      <c r="D2832" s="161"/>
      <c r="E2832" s="162"/>
      <c r="F2832" s="163"/>
      <c r="G2832" s="164"/>
      <c r="H2832" s="165"/>
      <c r="I2832" s="164"/>
      <c r="J2832" s="165"/>
      <c r="K2832" s="164"/>
      <c r="L2832" s="165"/>
      <c r="M2832" s="6"/>
      <c r="N2832" s="32"/>
      <c r="Q2832" s="10" t="str">
        <f>+CONCATENATE(E2830,K2830)</f>
        <v/>
      </c>
      <c r="R2832" s="10">
        <f>+L2830</f>
        <v>0</v>
      </c>
      <c r="S2832" s="11"/>
      <c r="T2832" s="10">
        <f>+E2830</f>
        <v>0</v>
      </c>
      <c r="U2832" s="19" t="str">
        <f>IFERROR(LEFT(K2830,FIND("*",K2830)-1),"-")</f>
        <v>-</v>
      </c>
      <c r="V2832" s="19" t="str">
        <f>IFERROR(RIGHT(K2830,LEN(K2830)-FIND("*",K2830)),"-")</f>
        <v>-</v>
      </c>
      <c r="W2832" s="20" t="str">
        <f t="shared" si="1534"/>
        <v>-</v>
      </c>
      <c r="X2832" s="20" t="str">
        <f>IFERROR(W2832*L2830,"-")</f>
        <v>-</v>
      </c>
      <c r="Z2832" s="85" t="s">
        <v>82</v>
      </c>
    </row>
    <row r="2833" spans="1:26" ht="6.95" customHeight="1" x14ac:dyDescent="0.3">
      <c r="A2833" s="8"/>
      <c r="B2833" s="157"/>
      <c r="C2833" s="158"/>
      <c r="D2833" s="161" t="s">
        <v>39</v>
      </c>
      <c r="E2833" s="162"/>
      <c r="F2833" s="163" t="s">
        <v>40</v>
      </c>
      <c r="G2833" s="164"/>
      <c r="H2833" s="165"/>
      <c r="I2833" s="164"/>
      <c r="J2833" s="165"/>
      <c r="K2833" s="164"/>
      <c r="L2833" s="165"/>
      <c r="M2833" s="6"/>
      <c r="N2833" s="32"/>
      <c r="Q2833" s="10" t="str">
        <f>+CONCATENATE(E2833,G2833)</f>
        <v/>
      </c>
      <c r="R2833" s="10">
        <f>+H2833</f>
        <v>0</v>
      </c>
      <c r="S2833" s="11"/>
      <c r="T2833" s="10">
        <f>+E2833</f>
        <v>0</v>
      </c>
      <c r="U2833" s="19" t="str">
        <f t="shared" ref="U2833" si="1537">IFERROR(LEFT(G2833,FIND("*",G2833)-1),"-")</f>
        <v>-</v>
      </c>
      <c r="V2833" s="19" t="str">
        <f t="shared" ref="V2833" si="1538">IFERROR(RIGHT(G2833,LEN(G2833)-FIND("*",G2833)),"-")</f>
        <v>-</v>
      </c>
      <c r="W2833" s="20" t="str">
        <f t="shared" si="1534"/>
        <v>-</v>
      </c>
      <c r="X2833" s="20" t="str">
        <f>IFERROR(W2833*H2833,"-")</f>
        <v>-</v>
      </c>
      <c r="Z2833" s="85" t="s">
        <v>82</v>
      </c>
    </row>
    <row r="2834" spans="1:26" ht="6.95" customHeight="1" x14ac:dyDescent="0.3">
      <c r="A2834" s="5"/>
      <c r="B2834" s="157"/>
      <c r="C2834" s="158"/>
      <c r="D2834" s="161"/>
      <c r="E2834" s="162"/>
      <c r="F2834" s="163"/>
      <c r="G2834" s="164"/>
      <c r="H2834" s="165"/>
      <c r="I2834" s="164"/>
      <c r="J2834" s="165"/>
      <c r="K2834" s="164"/>
      <c r="L2834" s="165"/>
      <c r="M2834" s="6"/>
      <c r="N2834" s="32"/>
      <c r="Q2834" s="10" t="str">
        <f>+CONCATENATE(E2833,I2833)</f>
        <v/>
      </c>
      <c r="R2834" s="10">
        <f>+J2833</f>
        <v>0</v>
      </c>
      <c r="S2834" s="11"/>
      <c r="T2834" s="10">
        <f>+E2833</f>
        <v>0</v>
      </c>
      <c r="U2834" s="19" t="str">
        <f>IFERROR(LEFT(I2833,FIND("*",I2833)-1),"-")</f>
        <v>-</v>
      </c>
      <c r="V2834" s="19" t="str">
        <f>IFERROR(RIGHT(I2833,LEN(I2833)-FIND("*",I2833)),"-")</f>
        <v>-</v>
      </c>
      <c r="W2834" s="20" t="str">
        <f t="shared" si="1534"/>
        <v>-</v>
      </c>
      <c r="X2834" s="20" t="str">
        <f t="shared" ref="X2834" si="1539">IFERROR(W2834*J2833,"-")</f>
        <v>-</v>
      </c>
      <c r="Z2834" s="85" t="s">
        <v>82</v>
      </c>
    </row>
    <row r="2835" spans="1:26" ht="6.95" customHeight="1" x14ac:dyDescent="0.3">
      <c r="A2835" s="5"/>
      <c r="B2835" s="157"/>
      <c r="C2835" s="158"/>
      <c r="D2835" s="161"/>
      <c r="E2835" s="162"/>
      <c r="F2835" s="163"/>
      <c r="G2835" s="164"/>
      <c r="H2835" s="165"/>
      <c r="I2835" s="164"/>
      <c r="J2835" s="165"/>
      <c r="K2835" s="164"/>
      <c r="L2835" s="165"/>
      <c r="M2835" s="6"/>
      <c r="N2835" s="32"/>
      <c r="Q2835" s="10" t="str">
        <f>+CONCATENATE(E2833,K2833)</f>
        <v/>
      </c>
      <c r="R2835" s="10">
        <f>+L2833</f>
        <v>0</v>
      </c>
      <c r="S2835" s="11"/>
      <c r="T2835" s="10">
        <f>+E2833</f>
        <v>0</v>
      </c>
      <c r="U2835" s="19" t="str">
        <f>IFERROR(LEFT(K2833,FIND("*",K2833)-1),"-")</f>
        <v>-</v>
      </c>
      <c r="V2835" s="19" t="str">
        <f>IFERROR(RIGHT(K2833,LEN(K2833)-FIND("*",K2833)),"-")</f>
        <v>-</v>
      </c>
      <c r="W2835" s="20" t="str">
        <f t="shared" si="1534"/>
        <v>-</v>
      </c>
      <c r="X2835" s="20" t="str">
        <f>IFERROR(W2835*L2833,"-")</f>
        <v>-</v>
      </c>
      <c r="Z2835" s="85" t="s">
        <v>82</v>
      </c>
    </row>
    <row r="2836" spans="1:26" ht="21" customHeight="1" thickBot="1" x14ac:dyDescent="0.35">
      <c r="A2836" s="5"/>
      <c r="B2836" s="159"/>
      <c r="C2836" s="160"/>
      <c r="D2836" s="166" t="s">
        <v>43</v>
      </c>
      <c r="E2836" s="167"/>
      <c r="F2836" s="167"/>
      <c r="G2836" s="168"/>
      <c r="H2836" s="168"/>
      <c r="I2836" s="168"/>
      <c r="J2836" s="168"/>
      <c r="K2836" s="168"/>
      <c r="L2836" s="168"/>
      <c r="M2836" s="7"/>
      <c r="N2836" s="32"/>
      <c r="Z2836" s="86" t="s">
        <v>81</v>
      </c>
    </row>
    <row r="2837" spans="1:26" ht="9.9499999999999993" customHeight="1" thickBot="1" x14ac:dyDescent="0.35">
      <c r="B2837" s="9"/>
      <c r="C2837" s="109"/>
      <c r="D2837" s="51"/>
      <c r="E2837" s="12"/>
      <c r="F2837" s="51"/>
      <c r="G2837" s="14"/>
      <c r="H2837" s="14"/>
      <c r="I2837" s="14"/>
      <c r="J2837" s="14"/>
      <c r="K2837" s="14"/>
      <c r="L2837" s="14"/>
      <c r="M2837" s="9"/>
      <c r="N2837" s="32"/>
      <c r="U2837" s="18"/>
      <c r="V2837" s="18"/>
      <c r="Z2837" s="85" t="s">
        <v>82</v>
      </c>
    </row>
    <row r="2838" spans="1:26" ht="6.95" customHeight="1" x14ac:dyDescent="0.3">
      <c r="A2838" s="154">
        <f>+A2827+1</f>
        <v>1057</v>
      </c>
      <c r="B2838" s="155"/>
      <c r="C2838" s="156"/>
      <c r="D2838" s="161" t="s">
        <v>39</v>
      </c>
      <c r="E2838" s="162"/>
      <c r="F2838" s="163" t="s">
        <v>40</v>
      </c>
      <c r="G2838" s="164"/>
      <c r="H2838" s="165"/>
      <c r="I2838" s="164"/>
      <c r="J2838" s="165"/>
      <c r="K2838" s="164"/>
      <c r="L2838" s="165"/>
      <c r="M2838" s="6"/>
      <c r="N2838" s="32"/>
      <c r="Q2838" s="10" t="str">
        <f>+CONCATENATE(E2838,G2838)</f>
        <v/>
      </c>
      <c r="R2838" s="10">
        <f>+H2838</f>
        <v>0</v>
      </c>
      <c r="S2838" s="11"/>
      <c r="T2838" s="10">
        <f>+E2838</f>
        <v>0</v>
      </c>
      <c r="U2838" s="19" t="str">
        <f>IFERROR(LEFT(G2838,FIND("*",G2838)-1),"-")</f>
        <v>-</v>
      </c>
      <c r="V2838" s="19" t="str">
        <f>IFERROR(RIGHT(G2838,LEN(G2838)-FIND("*",G2838)),"-")</f>
        <v>-</v>
      </c>
      <c r="W2838" s="20" t="str">
        <f>IFERROR((U2838+V2838)*2/1000,"-")</f>
        <v>-</v>
      </c>
      <c r="X2838" s="20" t="str">
        <f>IFERROR(W2838*H2838,"-")</f>
        <v>-</v>
      </c>
      <c r="Z2838" s="85" t="s">
        <v>82</v>
      </c>
    </row>
    <row r="2839" spans="1:26" ht="6.95" customHeight="1" x14ac:dyDescent="0.3">
      <c r="A2839" s="154"/>
      <c r="B2839" s="157"/>
      <c r="C2839" s="158"/>
      <c r="D2839" s="161"/>
      <c r="E2839" s="162"/>
      <c r="F2839" s="163"/>
      <c r="G2839" s="164"/>
      <c r="H2839" s="165"/>
      <c r="I2839" s="164"/>
      <c r="J2839" s="165"/>
      <c r="K2839" s="164"/>
      <c r="L2839" s="165"/>
      <c r="M2839" s="6"/>
      <c r="N2839" s="32"/>
      <c r="Q2839" s="10" t="str">
        <f>+CONCATENATE(E2838,I2838)</f>
        <v/>
      </c>
      <c r="R2839" s="10">
        <f>+J2838</f>
        <v>0</v>
      </c>
      <c r="S2839" s="11"/>
      <c r="T2839" s="10">
        <f>+E2838</f>
        <v>0</v>
      </c>
      <c r="U2839" s="19" t="str">
        <f>IFERROR(LEFT(I2838,FIND("*",I2838)-1),"-")</f>
        <v>-</v>
      </c>
      <c r="V2839" s="19" t="str">
        <f>IFERROR(RIGHT(I2838,LEN(I2838)-FIND("*",I2838)),"-")</f>
        <v>-</v>
      </c>
      <c r="W2839" s="20" t="str">
        <f t="shared" ref="W2839:W2846" si="1540">IFERROR((U2839+V2839)*2/1000,"-")</f>
        <v>-</v>
      </c>
      <c r="X2839" s="20" t="str">
        <f>IFERROR(W2839*J2838,"-")</f>
        <v>-</v>
      </c>
      <c r="Z2839" s="85" t="s">
        <v>82</v>
      </c>
    </row>
    <row r="2840" spans="1:26" ht="6.95" customHeight="1" x14ac:dyDescent="0.3">
      <c r="A2840" s="154"/>
      <c r="B2840" s="157"/>
      <c r="C2840" s="158"/>
      <c r="D2840" s="161"/>
      <c r="E2840" s="162"/>
      <c r="F2840" s="163"/>
      <c r="G2840" s="164"/>
      <c r="H2840" s="165"/>
      <c r="I2840" s="164"/>
      <c r="J2840" s="165"/>
      <c r="K2840" s="164"/>
      <c r="L2840" s="165"/>
      <c r="M2840" s="6"/>
      <c r="N2840" s="32"/>
      <c r="Q2840" s="10" t="str">
        <f>+CONCATENATE(E2838,K2838)</f>
        <v/>
      </c>
      <c r="R2840" s="10">
        <f>+L2838</f>
        <v>0</v>
      </c>
      <c r="S2840" s="11"/>
      <c r="T2840" s="10">
        <f>+E2838</f>
        <v>0</v>
      </c>
      <c r="U2840" s="19" t="str">
        <f>IFERROR(LEFT(K2838,FIND("*",K2838)-1),"-")</f>
        <v>-</v>
      </c>
      <c r="V2840" s="19" t="str">
        <f>IFERROR(RIGHT(K2838,LEN(K2838)-FIND("*",K2838)),"-")</f>
        <v>-</v>
      </c>
      <c r="W2840" s="20" t="str">
        <f t="shared" si="1540"/>
        <v>-</v>
      </c>
      <c r="X2840" s="20" t="str">
        <f>IFERROR(W2840*L2838,"-")</f>
        <v>-</v>
      </c>
      <c r="Z2840" s="85" t="s">
        <v>82</v>
      </c>
    </row>
    <row r="2841" spans="1:26" ht="6.95" customHeight="1" x14ac:dyDescent="0.3">
      <c r="A2841" s="8"/>
      <c r="B2841" s="157"/>
      <c r="C2841" s="158"/>
      <c r="D2841" s="161" t="s">
        <v>39</v>
      </c>
      <c r="E2841" s="162"/>
      <c r="F2841" s="163" t="s">
        <v>40</v>
      </c>
      <c r="G2841" s="164"/>
      <c r="H2841" s="165"/>
      <c r="I2841" s="164"/>
      <c r="J2841" s="165"/>
      <c r="K2841" s="164"/>
      <c r="L2841" s="165"/>
      <c r="M2841" s="6"/>
      <c r="N2841" s="32"/>
      <c r="Q2841" s="10" t="str">
        <f>+CONCATENATE(E2841,G2841)</f>
        <v/>
      </c>
      <c r="R2841" s="10">
        <f>+H2841</f>
        <v>0</v>
      </c>
      <c r="S2841" s="11"/>
      <c r="T2841" s="10">
        <f>+E2841</f>
        <v>0</v>
      </c>
      <c r="U2841" s="19" t="str">
        <f t="shared" ref="U2841" si="1541">IFERROR(LEFT(G2841,FIND("*",G2841)-1),"-")</f>
        <v>-</v>
      </c>
      <c r="V2841" s="19" t="str">
        <f t="shared" ref="V2841" si="1542">IFERROR(RIGHT(G2841,LEN(G2841)-FIND("*",G2841)),"-")</f>
        <v>-</v>
      </c>
      <c r="W2841" s="20" t="str">
        <f t="shared" si="1540"/>
        <v>-</v>
      </c>
      <c r="X2841" s="20" t="str">
        <f>IFERROR(W2841*H2841,"-")</f>
        <v>-</v>
      </c>
      <c r="Z2841" s="85" t="s">
        <v>82</v>
      </c>
    </row>
    <row r="2842" spans="1:26" ht="6.95" customHeight="1" x14ac:dyDescent="0.3">
      <c r="A2842" s="5"/>
      <c r="B2842" s="157"/>
      <c r="C2842" s="158"/>
      <c r="D2842" s="161"/>
      <c r="E2842" s="162"/>
      <c r="F2842" s="163"/>
      <c r="G2842" s="164"/>
      <c r="H2842" s="165"/>
      <c r="I2842" s="164"/>
      <c r="J2842" s="165"/>
      <c r="K2842" s="164"/>
      <c r="L2842" s="165"/>
      <c r="M2842" s="6"/>
      <c r="N2842" s="32"/>
      <c r="Q2842" s="10" t="str">
        <f>+CONCATENATE(E2841,I2841)</f>
        <v/>
      </c>
      <c r="R2842" s="10">
        <f>+J2841</f>
        <v>0</v>
      </c>
      <c r="S2842" s="11"/>
      <c r="T2842" s="10">
        <f>+E2841</f>
        <v>0</v>
      </c>
      <c r="U2842" s="19" t="str">
        <f>IFERROR(LEFT(I2841,FIND("*",I2841)-1),"-")</f>
        <v>-</v>
      </c>
      <c r="V2842" s="19" t="str">
        <f>IFERROR(RIGHT(I2841,LEN(I2841)-FIND("*",I2841)),"-")</f>
        <v>-</v>
      </c>
      <c r="W2842" s="20" t="str">
        <f t="shared" si="1540"/>
        <v>-</v>
      </c>
      <c r="X2842" s="20" t="str">
        <f>IFERROR(W2842*J2841,"-")</f>
        <v>-</v>
      </c>
      <c r="Z2842" s="85" t="s">
        <v>82</v>
      </c>
    </row>
    <row r="2843" spans="1:26" ht="6.95" customHeight="1" x14ac:dyDescent="0.3">
      <c r="A2843" s="5"/>
      <c r="B2843" s="157"/>
      <c r="C2843" s="158"/>
      <c r="D2843" s="161"/>
      <c r="E2843" s="162"/>
      <c r="F2843" s="163"/>
      <c r="G2843" s="164"/>
      <c r="H2843" s="165"/>
      <c r="I2843" s="164"/>
      <c r="J2843" s="165"/>
      <c r="K2843" s="164"/>
      <c r="L2843" s="165"/>
      <c r="M2843" s="6"/>
      <c r="N2843" s="32"/>
      <c r="Q2843" s="10" t="str">
        <f>+CONCATENATE(E2841,K2841)</f>
        <v/>
      </c>
      <c r="R2843" s="10">
        <f>+L2841</f>
        <v>0</v>
      </c>
      <c r="S2843" s="11"/>
      <c r="T2843" s="10">
        <f>+E2841</f>
        <v>0</v>
      </c>
      <c r="U2843" s="19" t="str">
        <f>IFERROR(LEFT(K2841,FIND("*",K2841)-1),"-")</f>
        <v>-</v>
      </c>
      <c r="V2843" s="19" t="str">
        <f>IFERROR(RIGHT(K2841,LEN(K2841)-FIND("*",K2841)),"-")</f>
        <v>-</v>
      </c>
      <c r="W2843" s="20" t="str">
        <f t="shared" si="1540"/>
        <v>-</v>
      </c>
      <c r="X2843" s="20" t="str">
        <f>IFERROR(W2843*L2841,"-")</f>
        <v>-</v>
      </c>
      <c r="Z2843" s="85" t="s">
        <v>82</v>
      </c>
    </row>
    <row r="2844" spans="1:26" ht="6.95" customHeight="1" x14ac:dyDescent="0.3">
      <c r="A2844" s="8"/>
      <c r="B2844" s="157"/>
      <c r="C2844" s="158"/>
      <c r="D2844" s="161" t="s">
        <v>39</v>
      </c>
      <c r="E2844" s="162"/>
      <c r="F2844" s="163" t="s">
        <v>40</v>
      </c>
      <c r="G2844" s="164"/>
      <c r="H2844" s="165"/>
      <c r="I2844" s="164"/>
      <c r="J2844" s="165"/>
      <c r="K2844" s="164"/>
      <c r="L2844" s="165"/>
      <c r="M2844" s="6"/>
      <c r="N2844" s="32"/>
      <c r="Q2844" s="10" t="str">
        <f>+CONCATENATE(E2844,G2844)</f>
        <v/>
      </c>
      <c r="R2844" s="10">
        <f>+H2844</f>
        <v>0</v>
      </c>
      <c r="S2844" s="11"/>
      <c r="T2844" s="10">
        <f>+E2844</f>
        <v>0</v>
      </c>
      <c r="U2844" s="19" t="str">
        <f t="shared" ref="U2844" si="1543">IFERROR(LEFT(G2844,FIND("*",G2844)-1),"-")</f>
        <v>-</v>
      </c>
      <c r="V2844" s="19" t="str">
        <f t="shared" ref="V2844" si="1544">IFERROR(RIGHT(G2844,LEN(G2844)-FIND("*",G2844)),"-")</f>
        <v>-</v>
      </c>
      <c r="W2844" s="20" t="str">
        <f t="shared" si="1540"/>
        <v>-</v>
      </c>
      <c r="X2844" s="20" t="str">
        <f>IFERROR(W2844*H2844,"-")</f>
        <v>-</v>
      </c>
      <c r="Z2844" s="85" t="s">
        <v>82</v>
      </c>
    </row>
    <row r="2845" spans="1:26" ht="6.95" customHeight="1" x14ac:dyDescent="0.3">
      <c r="A2845" s="5"/>
      <c r="B2845" s="157"/>
      <c r="C2845" s="158"/>
      <c r="D2845" s="161"/>
      <c r="E2845" s="162"/>
      <c r="F2845" s="163"/>
      <c r="G2845" s="164"/>
      <c r="H2845" s="165"/>
      <c r="I2845" s="164"/>
      <c r="J2845" s="165"/>
      <c r="K2845" s="164"/>
      <c r="L2845" s="165"/>
      <c r="M2845" s="6"/>
      <c r="N2845" s="32"/>
      <c r="Q2845" s="10" t="str">
        <f>+CONCATENATE(E2844,I2844)</f>
        <v/>
      </c>
      <c r="R2845" s="10">
        <f>+J2844</f>
        <v>0</v>
      </c>
      <c r="S2845" s="11"/>
      <c r="T2845" s="10">
        <f>+E2844</f>
        <v>0</v>
      </c>
      <c r="U2845" s="19" t="str">
        <f>IFERROR(LEFT(I2844,FIND("*",I2844)-1),"-")</f>
        <v>-</v>
      </c>
      <c r="V2845" s="19" t="str">
        <f>IFERROR(RIGHT(I2844,LEN(I2844)-FIND("*",I2844)),"-")</f>
        <v>-</v>
      </c>
      <c r="W2845" s="20" t="str">
        <f t="shared" si="1540"/>
        <v>-</v>
      </c>
      <c r="X2845" s="20" t="str">
        <f t="shared" ref="X2845" si="1545">IFERROR(W2845*J2844,"-")</f>
        <v>-</v>
      </c>
      <c r="Z2845" s="85" t="s">
        <v>82</v>
      </c>
    </row>
    <row r="2846" spans="1:26" ht="6.95" customHeight="1" x14ac:dyDescent="0.3">
      <c r="A2846" s="5"/>
      <c r="B2846" s="157"/>
      <c r="C2846" s="158"/>
      <c r="D2846" s="161"/>
      <c r="E2846" s="162"/>
      <c r="F2846" s="163"/>
      <c r="G2846" s="164"/>
      <c r="H2846" s="165"/>
      <c r="I2846" s="164"/>
      <c r="J2846" s="165"/>
      <c r="K2846" s="164"/>
      <c r="L2846" s="165"/>
      <c r="M2846" s="6"/>
      <c r="N2846" s="32"/>
      <c r="Q2846" s="10" t="str">
        <f>+CONCATENATE(E2844,K2844)</f>
        <v/>
      </c>
      <c r="R2846" s="10">
        <f>+L2844</f>
        <v>0</v>
      </c>
      <c r="S2846" s="11"/>
      <c r="T2846" s="10">
        <f>+E2844</f>
        <v>0</v>
      </c>
      <c r="U2846" s="19" t="str">
        <f>IFERROR(LEFT(K2844,FIND("*",K2844)-1),"-")</f>
        <v>-</v>
      </c>
      <c r="V2846" s="19" t="str">
        <f>IFERROR(RIGHT(K2844,LEN(K2844)-FIND("*",K2844)),"-")</f>
        <v>-</v>
      </c>
      <c r="W2846" s="20" t="str">
        <f t="shared" si="1540"/>
        <v>-</v>
      </c>
      <c r="X2846" s="20" t="str">
        <f>IFERROR(W2846*L2844,"-")</f>
        <v>-</v>
      </c>
      <c r="Z2846" s="85" t="s">
        <v>82</v>
      </c>
    </row>
    <row r="2847" spans="1:26" ht="21" customHeight="1" thickBot="1" x14ac:dyDescent="0.35">
      <c r="A2847" s="5"/>
      <c r="B2847" s="159"/>
      <c r="C2847" s="160"/>
      <c r="D2847" s="166" t="s">
        <v>43</v>
      </c>
      <c r="E2847" s="167"/>
      <c r="F2847" s="167"/>
      <c r="G2847" s="168"/>
      <c r="H2847" s="168"/>
      <c r="I2847" s="168"/>
      <c r="J2847" s="168"/>
      <c r="K2847" s="168"/>
      <c r="L2847" s="168"/>
      <c r="M2847" s="7"/>
      <c r="N2847" s="32"/>
      <c r="Z2847" s="86" t="s">
        <v>81</v>
      </c>
    </row>
    <row r="2848" spans="1:26" ht="9.9499999999999993" customHeight="1" thickBot="1" x14ac:dyDescent="0.35">
      <c r="B2848" s="9"/>
      <c r="C2848" s="109"/>
      <c r="D2848" s="51"/>
      <c r="E2848" s="12"/>
      <c r="F2848" s="51"/>
      <c r="G2848" s="14"/>
      <c r="H2848" s="14"/>
      <c r="I2848" s="14"/>
      <c r="J2848" s="14"/>
      <c r="K2848" s="14"/>
      <c r="L2848" s="14"/>
      <c r="M2848" s="9"/>
      <c r="N2848" s="32"/>
      <c r="U2848" s="18"/>
      <c r="V2848" s="18"/>
      <c r="Z2848" s="85" t="s">
        <v>82</v>
      </c>
    </row>
    <row r="2849" spans="1:26" ht="6.95" customHeight="1" x14ac:dyDescent="0.3">
      <c r="A2849" s="154">
        <f>+A2838+1</f>
        <v>1058</v>
      </c>
      <c r="B2849" s="155"/>
      <c r="C2849" s="156"/>
      <c r="D2849" s="161" t="s">
        <v>39</v>
      </c>
      <c r="E2849" s="162"/>
      <c r="F2849" s="163" t="s">
        <v>40</v>
      </c>
      <c r="G2849" s="164"/>
      <c r="H2849" s="165"/>
      <c r="I2849" s="164"/>
      <c r="J2849" s="165"/>
      <c r="K2849" s="164"/>
      <c r="L2849" s="165"/>
      <c r="M2849" s="6"/>
      <c r="N2849" s="32"/>
      <c r="Q2849" s="10" t="str">
        <f>+CONCATENATE(E2849,G2849)</f>
        <v/>
      </c>
      <c r="R2849" s="10">
        <f>+H2849</f>
        <v>0</v>
      </c>
      <c r="S2849" s="11"/>
      <c r="T2849" s="10">
        <f>+E2849</f>
        <v>0</v>
      </c>
      <c r="U2849" s="19" t="str">
        <f>IFERROR(LEFT(G2849,FIND("*",G2849)-1),"-")</f>
        <v>-</v>
      </c>
      <c r="V2849" s="19" t="str">
        <f>IFERROR(RIGHT(G2849,LEN(G2849)-FIND("*",G2849)),"-")</f>
        <v>-</v>
      </c>
      <c r="W2849" s="20" t="str">
        <f>IFERROR((U2849+V2849)*2/1000,"-")</f>
        <v>-</v>
      </c>
      <c r="X2849" s="20" t="str">
        <f>IFERROR(W2849*H2849,"-")</f>
        <v>-</v>
      </c>
      <c r="Z2849" s="85" t="s">
        <v>82</v>
      </c>
    </row>
    <row r="2850" spans="1:26" ht="6.95" customHeight="1" x14ac:dyDescent="0.3">
      <c r="A2850" s="154"/>
      <c r="B2850" s="157"/>
      <c r="C2850" s="158"/>
      <c r="D2850" s="161"/>
      <c r="E2850" s="162"/>
      <c r="F2850" s="163"/>
      <c r="G2850" s="164"/>
      <c r="H2850" s="165"/>
      <c r="I2850" s="164"/>
      <c r="J2850" s="165"/>
      <c r="K2850" s="164"/>
      <c r="L2850" s="165"/>
      <c r="M2850" s="6"/>
      <c r="N2850" s="32"/>
      <c r="Q2850" s="10" t="str">
        <f>+CONCATENATE(E2849,I2849)</f>
        <v/>
      </c>
      <c r="R2850" s="10">
        <f>+J2849</f>
        <v>0</v>
      </c>
      <c r="S2850" s="11"/>
      <c r="T2850" s="10">
        <f>+E2849</f>
        <v>0</v>
      </c>
      <c r="U2850" s="19" t="str">
        <f>IFERROR(LEFT(I2849,FIND("*",I2849)-1),"-")</f>
        <v>-</v>
      </c>
      <c r="V2850" s="19" t="str">
        <f>IFERROR(RIGHT(I2849,LEN(I2849)-FIND("*",I2849)),"-")</f>
        <v>-</v>
      </c>
      <c r="W2850" s="20" t="str">
        <f t="shared" ref="W2850:W2857" si="1546">IFERROR((U2850+V2850)*2/1000,"-")</f>
        <v>-</v>
      </c>
      <c r="X2850" s="20" t="str">
        <f>IFERROR(W2850*J2849,"-")</f>
        <v>-</v>
      </c>
      <c r="Z2850" s="85" t="s">
        <v>82</v>
      </c>
    </row>
    <row r="2851" spans="1:26" ht="6.95" customHeight="1" x14ac:dyDescent="0.3">
      <c r="A2851" s="154"/>
      <c r="B2851" s="157"/>
      <c r="C2851" s="158"/>
      <c r="D2851" s="161"/>
      <c r="E2851" s="162"/>
      <c r="F2851" s="163"/>
      <c r="G2851" s="164"/>
      <c r="H2851" s="165"/>
      <c r="I2851" s="164"/>
      <c r="J2851" s="165"/>
      <c r="K2851" s="164"/>
      <c r="L2851" s="165"/>
      <c r="M2851" s="6"/>
      <c r="N2851" s="32"/>
      <c r="Q2851" s="10" t="str">
        <f>+CONCATENATE(E2849,K2849)</f>
        <v/>
      </c>
      <c r="R2851" s="10">
        <f>+L2849</f>
        <v>0</v>
      </c>
      <c r="S2851" s="11"/>
      <c r="T2851" s="10">
        <f>+E2849</f>
        <v>0</v>
      </c>
      <c r="U2851" s="19" t="str">
        <f>IFERROR(LEFT(K2849,FIND("*",K2849)-1),"-")</f>
        <v>-</v>
      </c>
      <c r="V2851" s="19" t="str">
        <f>IFERROR(RIGHT(K2849,LEN(K2849)-FIND("*",K2849)),"-")</f>
        <v>-</v>
      </c>
      <c r="W2851" s="20" t="str">
        <f t="shared" si="1546"/>
        <v>-</v>
      </c>
      <c r="X2851" s="20" t="str">
        <f>IFERROR(W2851*L2849,"-")</f>
        <v>-</v>
      </c>
      <c r="Z2851" s="85" t="s">
        <v>82</v>
      </c>
    </row>
    <row r="2852" spans="1:26" ht="6.95" customHeight="1" x14ac:dyDescent="0.3">
      <c r="A2852" s="8"/>
      <c r="B2852" s="157"/>
      <c r="C2852" s="158"/>
      <c r="D2852" s="161" t="s">
        <v>39</v>
      </c>
      <c r="E2852" s="162"/>
      <c r="F2852" s="163" t="s">
        <v>40</v>
      </c>
      <c r="G2852" s="164"/>
      <c r="H2852" s="165"/>
      <c r="I2852" s="164"/>
      <c r="J2852" s="165"/>
      <c r="K2852" s="164"/>
      <c r="L2852" s="165"/>
      <c r="M2852" s="6"/>
      <c r="N2852" s="32"/>
      <c r="Q2852" s="10" t="str">
        <f>+CONCATENATE(E2852,G2852)</f>
        <v/>
      </c>
      <c r="R2852" s="10">
        <f>+H2852</f>
        <v>0</v>
      </c>
      <c r="S2852" s="11"/>
      <c r="T2852" s="10">
        <f>+E2852</f>
        <v>0</v>
      </c>
      <c r="U2852" s="19" t="str">
        <f t="shared" ref="U2852" si="1547">IFERROR(LEFT(G2852,FIND("*",G2852)-1),"-")</f>
        <v>-</v>
      </c>
      <c r="V2852" s="19" t="str">
        <f t="shared" ref="V2852" si="1548">IFERROR(RIGHT(G2852,LEN(G2852)-FIND("*",G2852)),"-")</f>
        <v>-</v>
      </c>
      <c r="W2852" s="20" t="str">
        <f t="shared" si="1546"/>
        <v>-</v>
      </c>
      <c r="X2852" s="20" t="str">
        <f>IFERROR(W2852*H2852,"-")</f>
        <v>-</v>
      </c>
      <c r="Z2852" s="85" t="s">
        <v>82</v>
      </c>
    </row>
    <row r="2853" spans="1:26" ht="6.95" customHeight="1" x14ac:dyDescent="0.3">
      <c r="A2853" s="5"/>
      <c r="B2853" s="157"/>
      <c r="C2853" s="158"/>
      <c r="D2853" s="161"/>
      <c r="E2853" s="162"/>
      <c r="F2853" s="163"/>
      <c r="G2853" s="164"/>
      <c r="H2853" s="165"/>
      <c r="I2853" s="164"/>
      <c r="J2853" s="165"/>
      <c r="K2853" s="164"/>
      <c r="L2853" s="165"/>
      <c r="M2853" s="6"/>
      <c r="N2853" s="32"/>
      <c r="Q2853" s="10" t="str">
        <f>+CONCATENATE(E2852,I2852)</f>
        <v/>
      </c>
      <c r="R2853" s="10">
        <f>+J2852</f>
        <v>0</v>
      </c>
      <c r="S2853" s="11"/>
      <c r="T2853" s="10">
        <f>+E2852</f>
        <v>0</v>
      </c>
      <c r="U2853" s="19" t="str">
        <f>IFERROR(LEFT(I2852,FIND("*",I2852)-1),"-")</f>
        <v>-</v>
      </c>
      <c r="V2853" s="19" t="str">
        <f>IFERROR(RIGHT(I2852,LEN(I2852)-FIND("*",I2852)),"-")</f>
        <v>-</v>
      </c>
      <c r="W2853" s="20" t="str">
        <f t="shared" si="1546"/>
        <v>-</v>
      </c>
      <c r="X2853" s="20" t="str">
        <f>IFERROR(W2853*J2852,"-")</f>
        <v>-</v>
      </c>
      <c r="Z2853" s="85" t="s">
        <v>82</v>
      </c>
    </row>
    <row r="2854" spans="1:26" ht="6.95" customHeight="1" x14ac:dyDescent="0.3">
      <c r="A2854" s="5"/>
      <c r="B2854" s="157"/>
      <c r="C2854" s="158"/>
      <c r="D2854" s="161"/>
      <c r="E2854" s="162"/>
      <c r="F2854" s="163"/>
      <c r="G2854" s="164"/>
      <c r="H2854" s="165"/>
      <c r="I2854" s="164"/>
      <c r="J2854" s="165"/>
      <c r="K2854" s="164"/>
      <c r="L2854" s="165"/>
      <c r="M2854" s="6"/>
      <c r="N2854" s="32"/>
      <c r="Q2854" s="10" t="str">
        <f>+CONCATENATE(E2852,K2852)</f>
        <v/>
      </c>
      <c r="R2854" s="10">
        <f>+L2852</f>
        <v>0</v>
      </c>
      <c r="S2854" s="11"/>
      <c r="T2854" s="10">
        <f>+E2852</f>
        <v>0</v>
      </c>
      <c r="U2854" s="19" t="str">
        <f>IFERROR(LEFT(K2852,FIND("*",K2852)-1),"-")</f>
        <v>-</v>
      </c>
      <c r="V2854" s="19" t="str">
        <f>IFERROR(RIGHT(K2852,LEN(K2852)-FIND("*",K2852)),"-")</f>
        <v>-</v>
      </c>
      <c r="W2854" s="20" t="str">
        <f t="shared" si="1546"/>
        <v>-</v>
      </c>
      <c r="X2854" s="20" t="str">
        <f>IFERROR(W2854*L2852,"-")</f>
        <v>-</v>
      </c>
      <c r="Z2854" s="85" t="s">
        <v>82</v>
      </c>
    </row>
    <row r="2855" spans="1:26" ht="6.95" customHeight="1" x14ac:dyDescent="0.3">
      <c r="A2855" s="8"/>
      <c r="B2855" s="157"/>
      <c r="C2855" s="158"/>
      <c r="D2855" s="161" t="s">
        <v>39</v>
      </c>
      <c r="E2855" s="162"/>
      <c r="F2855" s="163" t="s">
        <v>40</v>
      </c>
      <c r="G2855" s="164"/>
      <c r="H2855" s="165"/>
      <c r="I2855" s="164"/>
      <c r="J2855" s="165"/>
      <c r="K2855" s="164"/>
      <c r="L2855" s="165"/>
      <c r="M2855" s="6"/>
      <c r="N2855" s="32"/>
      <c r="Q2855" s="10" t="str">
        <f>+CONCATENATE(E2855,G2855)</f>
        <v/>
      </c>
      <c r="R2855" s="10">
        <f>+H2855</f>
        <v>0</v>
      </c>
      <c r="S2855" s="11"/>
      <c r="T2855" s="10">
        <f>+E2855</f>
        <v>0</v>
      </c>
      <c r="U2855" s="19" t="str">
        <f t="shared" ref="U2855" si="1549">IFERROR(LEFT(G2855,FIND("*",G2855)-1),"-")</f>
        <v>-</v>
      </c>
      <c r="V2855" s="19" t="str">
        <f t="shared" ref="V2855" si="1550">IFERROR(RIGHT(G2855,LEN(G2855)-FIND("*",G2855)),"-")</f>
        <v>-</v>
      </c>
      <c r="W2855" s="20" t="str">
        <f t="shared" si="1546"/>
        <v>-</v>
      </c>
      <c r="X2855" s="20" t="str">
        <f>IFERROR(W2855*H2855,"-")</f>
        <v>-</v>
      </c>
      <c r="Z2855" s="85" t="s">
        <v>82</v>
      </c>
    </row>
    <row r="2856" spans="1:26" ht="6.95" customHeight="1" x14ac:dyDescent="0.3">
      <c r="A2856" s="5"/>
      <c r="B2856" s="157"/>
      <c r="C2856" s="158"/>
      <c r="D2856" s="161"/>
      <c r="E2856" s="162"/>
      <c r="F2856" s="163"/>
      <c r="G2856" s="164"/>
      <c r="H2856" s="165"/>
      <c r="I2856" s="164"/>
      <c r="J2856" s="165"/>
      <c r="K2856" s="164"/>
      <c r="L2856" s="165"/>
      <c r="M2856" s="6"/>
      <c r="N2856" s="32"/>
      <c r="Q2856" s="10" t="str">
        <f>+CONCATENATE(E2855,I2855)</f>
        <v/>
      </c>
      <c r="R2856" s="10">
        <f>+J2855</f>
        <v>0</v>
      </c>
      <c r="S2856" s="11"/>
      <c r="T2856" s="10">
        <f>+E2855</f>
        <v>0</v>
      </c>
      <c r="U2856" s="19" t="str">
        <f>IFERROR(LEFT(I2855,FIND("*",I2855)-1),"-")</f>
        <v>-</v>
      </c>
      <c r="V2856" s="19" t="str">
        <f>IFERROR(RIGHT(I2855,LEN(I2855)-FIND("*",I2855)),"-")</f>
        <v>-</v>
      </c>
      <c r="W2856" s="20" t="str">
        <f t="shared" si="1546"/>
        <v>-</v>
      </c>
      <c r="X2856" s="20" t="str">
        <f t="shared" ref="X2856" si="1551">IFERROR(W2856*J2855,"-")</f>
        <v>-</v>
      </c>
      <c r="Z2856" s="85" t="s">
        <v>82</v>
      </c>
    </row>
    <row r="2857" spans="1:26" ht="6.95" customHeight="1" x14ac:dyDescent="0.3">
      <c r="A2857" s="5"/>
      <c r="B2857" s="157"/>
      <c r="C2857" s="158"/>
      <c r="D2857" s="161"/>
      <c r="E2857" s="162"/>
      <c r="F2857" s="163"/>
      <c r="G2857" s="164"/>
      <c r="H2857" s="165"/>
      <c r="I2857" s="164"/>
      <c r="J2857" s="165"/>
      <c r="K2857" s="164"/>
      <c r="L2857" s="165"/>
      <c r="M2857" s="6"/>
      <c r="N2857" s="32"/>
      <c r="Q2857" s="10" t="str">
        <f>+CONCATENATE(E2855,K2855)</f>
        <v/>
      </c>
      <c r="R2857" s="10">
        <f>+L2855</f>
        <v>0</v>
      </c>
      <c r="S2857" s="11"/>
      <c r="T2857" s="10">
        <f>+E2855</f>
        <v>0</v>
      </c>
      <c r="U2857" s="19" t="str">
        <f>IFERROR(LEFT(K2855,FIND("*",K2855)-1),"-")</f>
        <v>-</v>
      </c>
      <c r="V2857" s="19" t="str">
        <f>IFERROR(RIGHT(K2855,LEN(K2855)-FIND("*",K2855)),"-")</f>
        <v>-</v>
      </c>
      <c r="W2857" s="20" t="str">
        <f t="shared" si="1546"/>
        <v>-</v>
      </c>
      <c r="X2857" s="20" t="str">
        <f>IFERROR(W2857*L2855,"-")</f>
        <v>-</v>
      </c>
      <c r="Z2857" s="85" t="s">
        <v>82</v>
      </c>
    </row>
    <row r="2858" spans="1:26" ht="21" customHeight="1" thickBot="1" x14ac:dyDescent="0.35">
      <c r="A2858" s="5"/>
      <c r="B2858" s="159"/>
      <c r="C2858" s="160"/>
      <c r="D2858" s="166" t="s">
        <v>43</v>
      </c>
      <c r="E2858" s="167"/>
      <c r="F2858" s="167"/>
      <c r="G2858" s="168"/>
      <c r="H2858" s="168"/>
      <c r="I2858" s="168"/>
      <c r="J2858" s="168"/>
      <c r="K2858" s="168"/>
      <c r="L2858" s="168"/>
      <c r="M2858" s="7"/>
      <c r="N2858" s="32"/>
      <c r="Z2858" s="86" t="s">
        <v>81</v>
      </c>
    </row>
    <row r="2859" spans="1:26" ht="9.9499999999999993" customHeight="1" thickBot="1" x14ac:dyDescent="0.35">
      <c r="B2859" s="9"/>
      <c r="C2859" s="109"/>
      <c r="D2859" s="51"/>
      <c r="E2859" s="12"/>
      <c r="F2859" s="51"/>
      <c r="G2859" s="14"/>
      <c r="H2859" s="14"/>
      <c r="I2859" s="14"/>
      <c r="J2859" s="14"/>
      <c r="K2859" s="14"/>
      <c r="L2859" s="14"/>
      <c r="M2859" s="9"/>
      <c r="N2859" s="32"/>
      <c r="U2859" s="18"/>
      <c r="V2859" s="18"/>
      <c r="Z2859" s="85" t="s">
        <v>82</v>
      </c>
    </row>
    <row r="2860" spans="1:26" ht="6.95" customHeight="1" x14ac:dyDescent="0.3">
      <c r="A2860" s="154">
        <f>+A2849+1</f>
        <v>1059</v>
      </c>
      <c r="B2860" s="155"/>
      <c r="C2860" s="156"/>
      <c r="D2860" s="161" t="s">
        <v>39</v>
      </c>
      <c r="E2860" s="162"/>
      <c r="F2860" s="163" t="s">
        <v>40</v>
      </c>
      <c r="G2860" s="164"/>
      <c r="H2860" s="165"/>
      <c r="I2860" s="164"/>
      <c r="J2860" s="165"/>
      <c r="K2860" s="164"/>
      <c r="L2860" s="165"/>
      <c r="M2860" s="6"/>
      <c r="N2860" s="32"/>
      <c r="Q2860" s="10" t="str">
        <f>+CONCATENATE(E2860,G2860)</f>
        <v/>
      </c>
      <c r="R2860" s="10">
        <f>+H2860</f>
        <v>0</v>
      </c>
      <c r="S2860" s="11"/>
      <c r="T2860" s="10">
        <f>+E2860</f>
        <v>0</v>
      </c>
      <c r="U2860" s="19" t="str">
        <f>IFERROR(LEFT(G2860,FIND("*",G2860)-1),"-")</f>
        <v>-</v>
      </c>
      <c r="V2860" s="19" t="str">
        <f>IFERROR(RIGHT(G2860,LEN(G2860)-FIND("*",G2860)),"-")</f>
        <v>-</v>
      </c>
      <c r="W2860" s="20" t="str">
        <f>IFERROR((U2860+V2860)*2/1000,"-")</f>
        <v>-</v>
      </c>
      <c r="X2860" s="20" t="str">
        <f>IFERROR(W2860*H2860,"-")</f>
        <v>-</v>
      </c>
      <c r="Z2860" s="85" t="s">
        <v>82</v>
      </c>
    </row>
    <row r="2861" spans="1:26" ht="6.95" customHeight="1" x14ac:dyDescent="0.3">
      <c r="A2861" s="154"/>
      <c r="B2861" s="157"/>
      <c r="C2861" s="158"/>
      <c r="D2861" s="161"/>
      <c r="E2861" s="162"/>
      <c r="F2861" s="163"/>
      <c r="G2861" s="164"/>
      <c r="H2861" s="165"/>
      <c r="I2861" s="164"/>
      <c r="J2861" s="165"/>
      <c r="K2861" s="164"/>
      <c r="L2861" s="165"/>
      <c r="M2861" s="6"/>
      <c r="N2861" s="32"/>
      <c r="Q2861" s="10" t="str">
        <f>+CONCATENATE(E2860,I2860)</f>
        <v/>
      </c>
      <c r="R2861" s="10">
        <f>+J2860</f>
        <v>0</v>
      </c>
      <c r="S2861" s="11"/>
      <c r="T2861" s="10">
        <f>+E2860</f>
        <v>0</v>
      </c>
      <c r="U2861" s="19" t="str">
        <f>IFERROR(LEFT(I2860,FIND("*",I2860)-1),"-")</f>
        <v>-</v>
      </c>
      <c r="V2861" s="19" t="str">
        <f>IFERROR(RIGHT(I2860,LEN(I2860)-FIND("*",I2860)),"-")</f>
        <v>-</v>
      </c>
      <c r="W2861" s="20" t="str">
        <f t="shared" ref="W2861:W2868" si="1552">IFERROR((U2861+V2861)*2/1000,"-")</f>
        <v>-</v>
      </c>
      <c r="X2861" s="20" t="str">
        <f>IFERROR(W2861*J2860,"-")</f>
        <v>-</v>
      </c>
      <c r="Z2861" s="85" t="s">
        <v>82</v>
      </c>
    </row>
    <row r="2862" spans="1:26" ht="6.95" customHeight="1" x14ac:dyDescent="0.3">
      <c r="A2862" s="154"/>
      <c r="B2862" s="157"/>
      <c r="C2862" s="158"/>
      <c r="D2862" s="161"/>
      <c r="E2862" s="162"/>
      <c r="F2862" s="163"/>
      <c r="G2862" s="164"/>
      <c r="H2862" s="165"/>
      <c r="I2862" s="164"/>
      <c r="J2862" s="165"/>
      <c r="K2862" s="164"/>
      <c r="L2862" s="165"/>
      <c r="M2862" s="6"/>
      <c r="N2862" s="32"/>
      <c r="Q2862" s="10" t="str">
        <f>+CONCATENATE(E2860,K2860)</f>
        <v/>
      </c>
      <c r="R2862" s="10">
        <f>+L2860</f>
        <v>0</v>
      </c>
      <c r="S2862" s="11"/>
      <c r="T2862" s="10">
        <f>+E2860</f>
        <v>0</v>
      </c>
      <c r="U2862" s="19" t="str">
        <f>IFERROR(LEFT(K2860,FIND("*",K2860)-1),"-")</f>
        <v>-</v>
      </c>
      <c r="V2862" s="19" t="str">
        <f>IFERROR(RIGHT(K2860,LEN(K2860)-FIND("*",K2860)),"-")</f>
        <v>-</v>
      </c>
      <c r="W2862" s="20" t="str">
        <f t="shared" si="1552"/>
        <v>-</v>
      </c>
      <c r="X2862" s="20" t="str">
        <f>IFERROR(W2862*L2860,"-")</f>
        <v>-</v>
      </c>
      <c r="Z2862" s="85" t="s">
        <v>82</v>
      </c>
    </row>
    <row r="2863" spans="1:26" ht="6.95" customHeight="1" x14ac:dyDescent="0.3">
      <c r="A2863" s="8"/>
      <c r="B2863" s="157"/>
      <c r="C2863" s="158"/>
      <c r="D2863" s="161" t="s">
        <v>39</v>
      </c>
      <c r="E2863" s="162"/>
      <c r="F2863" s="163" t="s">
        <v>40</v>
      </c>
      <c r="G2863" s="164"/>
      <c r="H2863" s="165"/>
      <c r="I2863" s="164"/>
      <c r="J2863" s="165"/>
      <c r="K2863" s="164"/>
      <c r="L2863" s="165"/>
      <c r="M2863" s="6"/>
      <c r="N2863" s="32"/>
      <c r="Q2863" s="10" t="str">
        <f>+CONCATENATE(E2863,G2863)</f>
        <v/>
      </c>
      <c r="R2863" s="10">
        <f>+H2863</f>
        <v>0</v>
      </c>
      <c r="S2863" s="11"/>
      <c r="T2863" s="10">
        <f>+E2863</f>
        <v>0</v>
      </c>
      <c r="U2863" s="19" t="str">
        <f t="shared" ref="U2863" si="1553">IFERROR(LEFT(G2863,FIND("*",G2863)-1),"-")</f>
        <v>-</v>
      </c>
      <c r="V2863" s="19" t="str">
        <f t="shared" ref="V2863" si="1554">IFERROR(RIGHT(G2863,LEN(G2863)-FIND("*",G2863)),"-")</f>
        <v>-</v>
      </c>
      <c r="W2863" s="20" t="str">
        <f t="shared" si="1552"/>
        <v>-</v>
      </c>
      <c r="X2863" s="20" t="str">
        <f>IFERROR(W2863*H2863,"-")</f>
        <v>-</v>
      </c>
      <c r="Z2863" s="85" t="s">
        <v>82</v>
      </c>
    </row>
    <row r="2864" spans="1:26" ht="6.95" customHeight="1" x14ac:dyDescent="0.3">
      <c r="A2864" s="5"/>
      <c r="B2864" s="157"/>
      <c r="C2864" s="158"/>
      <c r="D2864" s="161"/>
      <c r="E2864" s="162"/>
      <c r="F2864" s="163"/>
      <c r="G2864" s="164"/>
      <c r="H2864" s="165"/>
      <c r="I2864" s="164"/>
      <c r="J2864" s="165"/>
      <c r="K2864" s="164"/>
      <c r="L2864" s="165"/>
      <c r="M2864" s="6"/>
      <c r="N2864" s="32"/>
      <c r="Q2864" s="10" t="str">
        <f>+CONCATENATE(E2863,I2863)</f>
        <v/>
      </c>
      <c r="R2864" s="10">
        <f>+J2863</f>
        <v>0</v>
      </c>
      <c r="S2864" s="11"/>
      <c r="T2864" s="10">
        <f>+E2863</f>
        <v>0</v>
      </c>
      <c r="U2864" s="19" t="str">
        <f>IFERROR(LEFT(I2863,FIND("*",I2863)-1),"-")</f>
        <v>-</v>
      </c>
      <c r="V2864" s="19" t="str">
        <f>IFERROR(RIGHT(I2863,LEN(I2863)-FIND("*",I2863)),"-")</f>
        <v>-</v>
      </c>
      <c r="W2864" s="20" t="str">
        <f t="shared" si="1552"/>
        <v>-</v>
      </c>
      <c r="X2864" s="20" t="str">
        <f>IFERROR(W2864*J2863,"-")</f>
        <v>-</v>
      </c>
      <c r="Z2864" s="85" t="s">
        <v>82</v>
      </c>
    </row>
    <row r="2865" spans="1:26" ht="6.95" customHeight="1" x14ac:dyDescent="0.3">
      <c r="A2865" s="5"/>
      <c r="B2865" s="157"/>
      <c r="C2865" s="158"/>
      <c r="D2865" s="161"/>
      <c r="E2865" s="162"/>
      <c r="F2865" s="163"/>
      <c r="G2865" s="164"/>
      <c r="H2865" s="165"/>
      <c r="I2865" s="164"/>
      <c r="J2865" s="165"/>
      <c r="K2865" s="164"/>
      <c r="L2865" s="165"/>
      <c r="M2865" s="6"/>
      <c r="N2865" s="32"/>
      <c r="Q2865" s="10" t="str">
        <f>+CONCATENATE(E2863,K2863)</f>
        <v/>
      </c>
      <c r="R2865" s="10">
        <f>+L2863</f>
        <v>0</v>
      </c>
      <c r="S2865" s="11"/>
      <c r="T2865" s="10">
        <f>+E2863</f>
        <v>0</v>
      </c>
      <c r="U2865" s="19" t="str">
        <f>IFERROR(LEFT(K2863,FIND("*",K2863)-1),"-")</f>
        <v>-</v>
      </c>
      <c r="V2865" s="19" t="str">
        <f>IFERROR(RIGHT(K2863,LEN(K2863)-FIND("*",K2863)),"-")</f>
        <v>-</v>
      </c>
      <c r="W2865" s="20" t="str">
        <f t="shared" si="1552"/>
        <v>-</v>
      </c>
      <c r="X2865" s="20" t="str">
        <f>IFERROR(W2865*L2863,"-")</f>
        <v>-</v>
      </c>
      <c r="Z2865" s="85" t="s">
        <v>82</v>
      </c>
    </row>
    <row r="2866" spans="1:26" ht="6.95" customHeight="1" x14ac:dyDescent="0.3">
      <c r="A2866" s="8"/>
      <c r="B2866" s="157"/>
      <c r="C2866" s="158"/>
      <c r="D2866" s="161" t="s">
        <v>39</v>
      </c>
      <c r="E2866" s="162"/>
      <c r="F2866" s="163" t="s">
        <v>40</v>
      </c>
      <c r="G2866" s="164"/>
      <c r="H2866" s="165"/>
      <c r="I2866" s="164"/>
      <c r="J2866" s="165"/>
      <c r="K2866" s="164"/>
      <c r="L2866" s="165"/>
      <c r="M2866" s="6"/>
      <c r="N2866" s="32"/>
      <c r="Q2866" s="10" t="str">
        <f>+CONCATENATE(E2866,G2866)</f>
        <v/>
      </c>
      <c r="R2866" s="10">
        <f>+H2866</f>
        <v>0</v>
      </c>
      <c r="S2866" s="11"/>
      <c r="T2866" s="10">
        <f>+E2866</f>
        <v>0</v>
      </c>
      <c r="U2866" s="19" t="str">
        <f t="shared" ref="U2866" si="1555">IFERROR(LEFT(G2866,FIND("*",G2866)-1),"-")</f>
        <v>-</v>
      </c>
      <c r="V2866" s="19" t="str">
        <f t="shared" ref="V2866" si="1556">IFERROR(RIGHT(G2866,LEN(G2866)-FIND("*",G2866)),"-")</f>
        <v>-</v>
      </c>
      <c r="W2866" s="20" t="str">
        <f t="shared" si="1552"/>
        <v>-</v>
      </c>
      <c r="X2866" s="20" t="str">
        <f>IFERROR(W2866*H2866,"-")</f>
        <v>-</v>
      </c>
      <c r="Z2866" s="85" t="s">
        <v>82</v>
      </c>
    </row>
    <row r="2867" spans="1:26" ht="6.95" customHeight="1" x14ac:dyDescent="0.3">
      <c r="A2867" s="5"/>
      <c r="B2867" s="157"/>
      <c r="C2867" s="158"/>
      <c r="D2867" s="161"/>
      <c r="E2867" s="162"/>
      <c r="F2867" s="163"/>
      <c r="G2867" s="164"/>
      <c r="H2867" s="165"/>
      <c r="I2867" s="164"/>
      <c r="J2867" s="165"/>
      <c r="K2867" s="164"/>
      <c r="L2867" s="165"/>
      <c r="M2867" s="6"/>
      <c r="N2867" s="32"/>
      <c r="Q2867" s="10" t="str">
        <f>+CONCATENATE(E2866,I2866)</f>
        <v/>
      </c>
      <c r="R2867" s="10">
        <f>+J2866</f>
        <v>0</v>
      </c>
      <c r="S2867" s="11"/>
      <c r="T2867" s="10">
        <f>+E2866</f>
        <v>0</v>
      </c>
      <c r="U2867" s="19" t="str">
        <f>IFERROR(LEFT(I2866,FIND("*",I2866)-1),"-")</f>
        <v>-</v>
      </c>
      <c r="V2867" s="19" t="str">
        <f>IFERROR(RIGHT(I2866,LEN(I2866)-FIND("*",I2866)),"-")</f>
        <v>-</v>
      </c>
      <c r="W2867" s="20" t="str">
        <f t="shared" si="1552"/>
        <v>-</v>
      </c>
      <c r="X2867" s="20" t="str">
        <f t="shared" ref="X2867" si="1557">IFERROR(W2867*J2866,"-")</f>
        <v>-</v>
      </c>
      <c r="Z2867" s="85" t="s">
        <v>82</v>
      </c>
    </row>
    <row r="2868" spans="1:26" ht="6.95" customHeight="1" x14ac:dyDescent="0.3">
      <c r="A2868" s="5"/>
      <c r="B2868" s="157"/>
      <c r="C2868" s="158"/>
      <c r="D2868" s="161"/>
      <c r="E2868" s="162"/>
      <c r="F2868" s="163"/>
      <c r="G2868" s="164"/>
      <c r="H2868" s="165"/>
      <c r="I2868" s="164"/>
      <c r="J2868" s="165"/>
      <c r="K2868" s="164"/>
      <c r="L2868" s="165"/>
      <c r="M2868" s="6"/>
      <c r="N2868" s="32"/>
      <c r="Q2868" s="10" t="str">
        <f>+CONCATENATE(E2866,K2866)</f>
        <v/>
      </c>
      <c r="R2868" s="10">
        <f>+L2866</f>
        <v>0</v>
      </c>
      <c r="S2868" s="11"/>
      <c r="T2868" s="10">
        <f>+E2866</f>
        <v>0</v>
      </c>
      <c r="U2868" s="19" t="str">
        <f>IFERROR(LEFT(K2866,FIND("*",K2866)-1),"-")</f>
        <v>-</v>
      </c>
      <c r="V2868" s="19" t="str">
        <f>IFERROR(RIGHT(K2866,LEN(K2866)-FIND("*",K2866)),"-")</f>
        <v>-</v>
      </c>
      <c r="W2868" s="20" t="str">
        <f t="shared" si="1552"/>
        <v>-</v>
      </c>
      <c r="X2868" s="20" t="str">
        <f>IFERROR(W2868*L2866,"-")</f>
        <v>-</v>
      </c>
      <c r="Z2868" s="85" t="s">
        <v>82</v>
      </c>
    </row>
    <row r="2869" spans="1:26" ht="21" customHeight="1" thickBot="1" x14ac:dyDescent="0.35">
      <c r="A2869" s="5"/>
      <c r="B2869" s="159"/>
      <c r="C2869" s="160"/>
      <c r="D2869" s="166" t="s">
        <v>43</v>
      </c>
      <c r="E2869" s="167"/>
      <c r="F2869" s="167"/>
      <c r="G2869" s="168"/>
      <c r="H2869" s="168"/>
      <c r="I2869" s="168"/>
      <c r="J2869" s="168"/>
      <c r="K2869" s="168"/>
      <c r="L2869" s="168"/>
      <c r="M2869" s="7"/>
      <c r="N2869" s="32"/>
      <c r="Z2869" s="86" t="s">
        <v>81</v>
      </c>
    </row>
    <row r="2870" spans="1:26" ht="9.9499999999999993" customHeight="1" thickBot="1" x14ac:dyDescent="0.35">
      <c r="B2870" s="9"/>
      <c r="C2870" s="109"/>
      <c r="D2870" s="51"/>
      <c r="E2870" s="12"/>
      <c r="F2870" s="51"/>
      <c r="G2870" s="14"/>
      <c r="H2870" s="14"/>
      <c r="I2870" s="14"/>
      <c r="J2870" s="14"/>
      <c r="K2870" s="14"/>
      <c r="L2870" s="14"/>
      <c r="M2870" s="9"/>
      <c r="N2870" s="32"/>
      <c r="U2870" s="18"/>
      <c r="V2870" s="18"/>
      <c r="Z2870" s="85" t="s">
        <v>82</v>
      </c>
    </row>
    <row r="2871" spans="1:26" ht="6.95" customHeight="1" x14ac:dyDescent="0.3">
      <c r="A2871" s="154">
        <f>+A2860+1</f>
        <v>1060</v>
      </c>
      <c r="B2871" s="155"/>
      <c r="C2871" s="156"/>
      <c r="D2871" s="161" t="s">
        <v>39</v>
      </c>
      <c r="E2871" s="162"/>
      <c r="F2871" s="163" t="s">
        <v>40</v>
      </c>
      <c r="G2871" s="164"/>
      <c r="H2871" s="165"/>
      <c r="I2871" s="164"/>
      <c r="J2871" s="165"/>
      <c r="K2871" s="164"/>
      <c r="L2871" s="165"/>
      <c r="M2871" s="6"/>
      <c r="N2871" s="32"/>
      <c r="Q2871" s="10" t="str">
        <f>+CONCATENATE(E2871,G2871)</f>
        <v/>
      </c>
      <c r="R2871" s="10">
        <f>+H2871</f>
        <v>0</v>
      </c>
      <c r="S2871" s="11"/>
      <c r="T2871" s="10">
        <f>+E2871</f>
        <v>0</v>
      </c>
      <c r="U2871" s="19" t="str">
        <f>IFERROR(LEFT(G2871,FIND("*",G2871)-1),"-")</f>
        <v>-</v>
      </c>
      <c r="V2871" s="19" t="str">
        <f>IFERROR(RIGHT(G2871,LEN(G2871)-FIND("*",G2871)),"-")</f>
        <v>-</v>
      </c>
      <c r="W2871" s="20" t="str">
        <f>IFERROR((U2871+V2871)*2/1000,"-")</f>
        <v>-</v>
      </c>
      <c r="X2871" s="20" t="str">
        <f>IFERROR(W2871*H2871,"-")</f>
        <v>-</v>
      </c>
      <c r="Z2871" s="85" t="s">
        <v>82</v>
      </c>
    </row>
    <row r="2872" spans="1:26" ht="6.95" customHeight="1" x14ac:dyDescent="0.3">
      <c r="A2872" s="154"/>
      <c r="B2872" s="157"/>
      <c r="C2872" s="158"/>
      <c r="D2872" s="161"/>
      <c r="E2872" s="162"/>
      <c r="F2872" s="163"/>
      <c r="G2872" s="164"/>
      <c r="H2872" s="165"/>
      <c r="I2872" s="164"/>
      <c r="J2872" s="165"/>
      <c r="K2872" s="164"/>
      <c r="L2872" s="165"/>
      <c r="M2872" s="6"/>
      <c r="N2872" s="32"/>
      <c r="Q2872" s="10" t="str">
        <f>+CONCATENATE(E2871,I2871)</f>
        <v/>
      </c>
      <c r="R2872" s="10">
        <f>+J2871</f>
        <v>0</v>
      </c>
      <c r="S2872" s="11"/>
      <c r="T2872" s="10">
        <f>+E2871</f>
        <v>0</v>
      </c>
      <c r="U2872" s="19" t="str">
        <f>IFERROR(LEFT(I2871,FIND("*",I2871)-1),"-")</f>
        <v>-</v>
      </c>
      <c r="V2872" s="19" t="str">
        <f>IFERROR(RIGHT(I2871,LEN(I2871)-FIND("*",I2871)),"-")</f>
        <v>-</v>
      </c>
      <c r="W2872" s="20" t="str">
        <f t="shared" ref="W2872:W2879" si="1558">IFERROR((U2872+V2872)*2/1000,"-")</f>
        <v>-</v>
      </c>
      <c r="X2872" s="20" t="str">
        <f>IFERROR(W2872*J2871,"-")</f>
        <v>-</v>
      </c>
      <c r="Z2872" s="85" t="s">
        <v>82</v>
      </c>
    </row>
    <row r="2873" spans="1:26" ht="6.95" customHeight="1" x14ac:dyDescent="0.3">
      <c r="A2873" s="154"/>
      <c r="B2873" s="157"/>
      <c r="C2873" s="158"/>
      <c r="D2873" s="161"/>
      <c r="E2873" s="162"/>
      <c r="F2873" s="163"/>
      <c r="G2873" s="164"/>
      <c r="H2873" s="165"/>
      <c r="I2873" s="164"/>
      <c r="J2873" s="165"/>
      <c r="K2873" s="164"/>
      <c r="L2873" s="165"/>
      <c r="M2873" s="6"/>
      <c r="N2873" s="32"/>
      <c r="Q2873" s="10" t="str">
        <f>+CONCATENATE(E2871,K2871)</f>
        <v/>
      </c>
      <c r="R2873" s="10">
        <f>+L2871</f>
        <v>0</v>
      </c>
      <c r="S2873" s="11"/>
      <c r="T2873" s="10">
        <f>+E2871</f>
        <v>0</v>
      </c>
      <c r="U2873" s="19" t="str">
        <f>IFERROR(LEFT(K2871,FIND("*",K2871)-1),"-")</f>
        <v>-</v>
      </c>
      <c r="V2873" s="19" t="str">
        <f>IFERROR(RIGHT(K2871,LEN(K2871)-FIND("*",K2871)),"-")</f>
        <v>-</v>
      </c>
      <c r="W2873" s="20" t="str">
        <f t="shared" si="1558"/>
        <v>-</v>
      </c>
      <c r="X2873" s="20" t="str">
        <f>IFERROR(W2873*L2871,"-")</f>
        <v>-</v>
      </c>
      <c r="Z2873" s="85" t="s">
        <v>82</v>
      </c>
    </row>
    <row r="2874" spans="1:26" ht="6.95" customHeight="1" x14ac:dyDescent="0.3">
      <c r="A2874" s="8"/>
      <c r="B2874" s="157"/>
      <c r="C2874" s="158"/>
      <c r="D2874" s="161" t="s">
        <v>39</v>
      </c>
      <c r="E2874" s="162"/>
      <c r="F2874" s="163" t="s">
        <v>40</v>
      </c>
      <c r="G2874" s="164"/>
      <c r="H2874" s="165"/>
      <c r="I2874" s="164"/>
      <c r="J2874" s="165"/>
      <c r="K2874" s="164"/>
      <c r="L2874" s="165"/>
      <c r="M2874" s="6"/>
      <c r="N2874" s="32"/>
      <c r="Q2874" s="10" t="str">
        <f>+CONCATENATE(E2874,G2874)</f>
        <v/>
      </c>
      <c r="R2874" s="10">
        <f>+H2874</f>
        <v>0</v>
      </c>
      <c r="S2874" s="11"/>
      <c r="T2874" s="10">
        <f>+E2874</f>
        <v>0</v>
      </c>
      <c r="U2874" s="19" t="str">
        <f t="shared" ref="U2874" si="1559">IFERROR(LEFT(G2874,FIND("*",G2874)-1),"-")</f>
        <v>-</v>
      </c>
      <c r="V2874" s="19" t="str">
        <f t="shared" ref="V2874" si="1560">IFERROR(RIGHT(G2874,LEN(G2874)-FIND("*",G2874)),"-")</f>
        <v>-</v>
      </c>
      <c r="W2874" s="20" t="str">
        <f t="shared" si="1558"/>
        <v>-</v>
      </c>
      <c r="X2874" s="20" t="str">
        <f>IFERROR(W2874*H2874,"-")</f>
        <v>-</v>
      </c>
      <c r="Z2874" s="85" t="s">
        <v>82</v>
      </c>
    </row>
    <row r="2875" spans="1:26" ht="6.95" customHeight="1" x14ac:dyDescent="0.3">
      <c r="A2875" s="5"/>
      <c r="B2875" s="157"/>
      <c r="C2875" s="158"/>
      <c r="D2875" s="161"/>
      <c r="E2875" s="162"/>
      <c r="F2875" s="163"/>
      <c r="G2875" s="164"/>
      <c r="H2875" s="165"/>
      <c r="I2875" s="164"/>
      <c r="J2875" s="165"/>
      <c r="K2875" s="164"/>
      <c r="L2875" s="165"/>
      <c r="M2875" s="6"/>
      <c r="N2875" s="32"/>
      <c r="Q2875" s="10" t="str">
        <f>+CONCATENATE(E2874,I2874)</f>
        <v/>
      </c>
      <c r="R2875" s="10">
        <f>+J2874</f>
        <v>0</v>
      </c>
      <c r="S2875" s="11"/>
      <c r="T2875" s="10">
        <f>+E2874</f>
        <v>0</v>
      </c>
      <c r="U2875" s="19" t="str">
        <f>IFERROR(LEFT(I2874,FIND("*",I2874)-1),"-")</f>
        <v>-</v>
      </c>
      <c r="V2875" s="19" t="str">
        <f>IFERROR(RIGHT(I2874,LEN(I2874)-FIND("*",I2874)),"-")</f>
        <v>-</v>
      </c>
      <c r="W2875" s="20" t="str">
        <f t="shared" si="1558"/>
        <v>-</v>
      </c>
      <c r="X2875" s="20" t="str">
        <f>IFERROR(W2875*J2874,"-")</f>
        <v>-</v>
      </c>
      <c r="Z2875" s="85" t="s">
        <v>82</v>
      </c>
    </row>
    <row r="2876" spans="1:26" ht="6.95" customHeight="1" x14ac:dyDescent="0.3">
      <c r="A2876" s="5"/>
      <c r="B2876" s="157"/>
      <c r="C2876" s="158"/>
      <c r="D2876" s="161"/>
      <c r="E2876" s="162"/>
      <c r="F2876" s="163"/>
      <c r="G2876" s="164"/>
      <c r="H2876" s="165"/>
      <c r="I2876" s="164"/>
      <c r="J2876" s="165"/>
      <c r="K2876" s="164"/>
      <c r="L2876" s="165"/>
      <c r="M2876" s="6"/>
      <c r="N2876" s="32"/>
      <c r="Q2876" s="10" t="str">
        <f>+CONCATENATE(E2874,K2874)</f>
        <v/>
      </c>
      <c r="R2876" s="10">
        <f>+L2874</f>
        <v>0</v>
      </c>
      <c r="S2876" s="11"/>
      <c r="T2876" s="10">
        <f>+E2874</f>
        <v>0</v>
      </c>
      <c r="U2876" s="19" t="str">
        <f>IFERROR(LEFT(K2874,FIND("*",K2874)-1),"-")</f>
        <v>-</v>
      </c>
      <c r="V2876" s="19" t="str">
        <f>IFERROR(RIGHT(K2874,LEN(K2874)-FIND("*",K2874)),"-")</f>
        <v>-</v>
      </c>
      <c r="W2876" s="20" t="str">
        <f t="shared" si="1558"/>
        <v>-</v>
      </c>
      <c r="X2876" s="20" t="str">
        <f>IFERROR(W2876*L2874,"-")</f>
        <v>-</v>
      </c>
      <c r="Z2876" s="85" t="s">
        <v>82</v>
      </c>
    </row>
    <row r="2877" spans="1:26" ht="6.95" customHeight="1" x14ac:dyDescent="0.3">
      <c r="A2877" s="8"/>
      <c r="B2877" s="157"/>
      <c r="C2877" s="158"/>
      <c r="D2877" s="161" t="s">
        <v>39</v>
      </c>
      <c r="E2877" s="162"/>
      <c r="F2877" s="163" t="s">
        <v>40</v>
      </c>
      <c r="G2877" s="164"/>
      <c r="H2877" s="165"/>
      <c r="I2877" s="164"/>
      <c r="J2877" s="165"/>
      <c r="K2877" s="164"/>
      <c r="L2877" s="165"/>
      <c r="M2877" s="6"/>
      <c r="N2877" s="32"/>
      <c r="Q2877" s="10" t="str">
        <f>+CONCATENATE(E2877,G2877)</f>
        <v/>
      </c>
      <c r="R2877" s="10">
        <f>+H2877</f>
        <v>0</v>
      </c>
      <c r="S2877" s="11"/>
      <c r="T2877" s="10">
        <f>+E2877</f>
        <v>0</v>
      </c>
      <c r="U2877" s="19" t="str">
        <f t="shared" ref="U2877" si="1561">IFERROR(LEFT(G2877,FIND("*",G2877)-1),"-")</f>
        <v>-</v>
      </c>
      <c r="V2877" s="19" t="str">
        <f t="shared" ref="V2877" si="1562">IFERROR(RIGHT(G2877,LEN(G2877)-FIND("*",G2877)),"-")</f>
        <v>-</v>
      </c>
      <c r="W2877" s="20" t="str">
        <f t="shared" si="1558"/>
        <v>-</v>
      </c>
      <c r="X2877" s="20" t="str">
        <f>IFERROR(W2877*H2877,"-")</f>
        <v>-</v>
      </c>
      <c r="Z2877" s="85" t="s">
        <v>82</v>
      </c>
    </row>
    <row r="2878" spans="1:26" ht="6.95" customHeight="1" x14ac:dyDescent="0.3">
      <c r="A2878" s="5"/>
      <c r="B2878" s="157"/>
      <c r="C2878" s="158"/>
      <c r="D2878" s="161"/>
      <c r="E2878" s="162"/>
      <c r="F2878" s="163"/>
      <c r="G2878" s="164"/>
      <c r="H2878" s="165"/>
      <c r="I2878" s="164"/>
      <c r="J2878" s="165"/>
      <c r="K2878" s="164"/>
      <c r="L2878" s="165"/>
      <c r="M2878" s="6"/>
      <c r="N2878" s="32"/>
      <c r="Q2878" s="10" t="str">
        <f>+CONCATENATE(E2877,I2877)</f>
        <v/>
      </c>
      <c r="R2878" s="10">
        <f>+J2877</f>
        <v>0</v>
      </c>
      <c r="S2878" s="11"/>
      <c r="T2878" s="10">
        <f>+E2877</f>
        <v>0</v>
      </c>
      <c r="U2878" s="19" t="str">
        <f>IFERROR(LEFT(I2877,FIND("*",I2877)-1),"-")</f>
        <v>-</v>
      </c>
      <c r="V2878" s="19" t="str">
        <f>IFERROR(RIGHT(I2877,LEN(I2877)-FIND("*",I2877)),"-")</f>
        <v>-</v>
      </c>
      <c r="W2878" s="20" t="str">
        <f t="shared" si="1558"/>
        <v>-</v>
      </c>
      <c r="X2878" s="20" t="str">
        <f t="shared" ref="X2878" si="1563">IFERROR(W2878*J2877,"-")</f>
        <v>-</v>
      </c>
      <c r="Z2878" s="85" t="s">
        <v>82</v>
      </c>
    </row>
    <row r="2879" spans="1:26" ht="6.95" customHeight="1" x14ac:dyDescent="0.3">
      <c r="A2879" s="5"/>
      <c r="B2879" s="157"/>
      <c r="C2879" s="158"/>
      <c r="D2879" s="161"/>
      <c r="E2879" s="162"/>
      <c r="F2879" s="163"/>
      <c r="G2879" s="164"/>
      <c r="H2879" s="165"/>
      <c r="I2879" s="164"/>
      <c r="J2879" s="165"/>
      <c r="K2879" s="164"/>
      <c r="L2879" s="165"/>
      <c r="M2879" s="6"/>
      <c r="N2879" s="32"/>
      <c r="Q2879" s="10" t="str">
        <f>+CONCATENATE(E2877,K2877)</f>
        <v/>
      </c>
      <c r="R2879" s="10">
        <f>+L2877</f>
        <v>0</v>
      </c>
      <c r="S2879" s="11"/>
      <c r="T2879" s="10">
        <f>+E2877</f>
        <v>0</v>
      </c>
      <c r="U2879" s="19" t="str">
        <f>IFERROR(LEFT(K2877,FIND("*",K2877)-1),"-")</f>
        <v>-</v>
      </c>
      <c r="V2879" s="19" t="str">
        <f>IFERROR(RIGHT(K2877,LEN(K2877)-FIND("*",K2877)),"-")</f>
        <v>-</v>
      </c>
      <c r="W2879" s="20" t="str">
        <f t="shared" si="1558"/>
        <v>-</v>
      </c>
      <c r="X2879" s="20" t="str">
        <f>IFERROR(W2879*L2877,"-")</f>
        <v>-</v>
      </c>
      <c r="Z2879" s="85" t="s">
        <v>82</v>
      </c>
    </row>
    <row r="2880" spans="1:26" ht="21" customHeight="1" thickBot="1" x14ac:dyDescent="0.35">
      <c r="A2880" s="5"/>
      <c r="B2880" s="159"/>
      <c r="C2880" s="160"/>
      <c r="D2880" s="166" t="s">
        <v>43</v>
      </c>
      <c r="E2880" s="167"/>
      <c r="F2880" s="167"/>
      <c r="G2880" s="168"/>
      <c r="H2880" s="168"/>
      <c r="I2880" s="168"/>
      <c r="J2880" s="168"/>
      <c r="K2880" s="168"/>
      <c r="L2880" s="168"/>
      <c r="M2880" s="7"/>
      <c r="N2880" s="32"/>
      <c r="Z2880" s="86" t="s">
        <v>81</v>
      </c>
    </row>
    <row r="2881" spans="1:26" ht="9.9499999999999993" customHeight="1" thickBot="1" x14ac:dyDescent="0.35">
      <c r="B2881" s="9"/>
      <c r="C2881" s="109"/>
      <c r="D2881" s="51"/>
      <c r="E2881" s="12"/>
      <c r="F2881" s="51"/>
      <c r="G2881" s="14"/>
      <c r="H2881" s="14"/>
      <c r="I2881" s="14"/>
      <c r="J2881" s="14"/>
      <c r="K2881" s="14"/>
      <c r="L2881" s="14"/>
      <c r="M2881" s="9"/>
      <c r="N2881" s="32"/>
      <c r="U2881" s="18"/>
      <c r="V2881" s="18"/>
      <c r="Z2881" s="85" t="s">
        <v>82</v>
      </c>
    </row>
    <row r="2882" spans="1:26" ht="6.95" customHeight="1" x14ac:dyDescent="0.3">
      <c r="A2882" s="154">
        <f>+A2871+1</f>
        <v>1061</v>
      </c>
      <c r="B2882" s="155"/>
      <c r="C2882" s="156"/>
      <c r="D2882" s="161" t="s">
        <v>39</v>
      </c>
      <c r="E2882" s="162"/>
      <c r="F2882" s="163" t="s">
        <v>40</v>
      </c>
      <c r="G2882" s="164"/>
      <c r="H2882" s="165"/>
      <c r="I2882" s="164"/>
      <c r="J2882" s="165"/>
      <c r="K2882" s="164"/>
      <c r="L2882" s="165"/>
      <c r="M2882" s="6"/>
      <c r="N2882" s="32"/>
      <c r="Q2882" s="10" t="str">
        <f>+CONCATENATE(E2882,G2882)</f>
        <v/>
      </c>
      <c r="R2882" s="10">
        <f>+H2882</f>
        <v>0</v>
      </c>
      <c r="S2882" s="11"/>
      <c r="T2882" s="10">
        <f>+E2882</f>
        <v>0</v>
      </c>
      <c r="U2882" s="19" t="str">
        <f>IFERROR(LEFT(G2882,FIND("*",G2882)-1),"-")</f>
        <v>-</v>
      </c>
      <c r="V2882" s="19" t="str">
        <f>IFERROR(RIGHT(G2882,LEN(G2882)-FIND("*",G2882)),"-")</f>
        <v>-</v>
      </c>
      <c r="W2882" s="20" t="str">
        <f>IFERROR((U2882+V2882)*2/1000,"-")</f>
        <v>-</v>
      </c>
      <c r="X2882" s="20" t="str">
        <f>IFERROR(W2882*H2882,"-")</f>
        <v>-</v>
      </c>
      <c r="Z2882" s="85" t="s">
        <v>82</v>
      </c>
    </row>
    <row r="2883" spans="1:26" ht="6.95" customHeight="1" x14ac:dyDescent="0.3">
      <c r="A2883" s="154"/>
      <c r="B2883" s="157"/>
      <c r="C2883" s="158"/>
      <c r="D2883" s="161"/>
      <c r="E2883" s="162"/>
      <c r="F2883" s="163"/>
      <c r="G2883" s="164"/>
      <c r="H2883" s="165"/>
      <c r="I2883" s="164"/>
      <c r="J2883" s="165"/>
      <c r="K2883" s="164"/>
      <c r="L2883" s="165"/>
      <c r="M2883" s="6"/>
      <c r="N2883" s="32"/>
      <c r="Q2883" s="10" t="str">
        <f>+CONCATENATE(E2882,I2882)</f>
        <v/>
      </c>
      <c r="R2883" s="10">
        <f>+J2882</f>
        <v>0</v>
      </c>
      <c r="S2883" s="11"/>
      <c r="T2883" s="10">
        <f>+E2882</f>
        <v>0</v>
      </c>
      <c r="U2883" s="19" t="str">
        <f>IFERROR(LEFT(I2882,FIND("*",I2882)-1),"-")</f>
        <v>-</v>
      </c>
      <c r="V2883" s="19" t="str">
        <f>IFERROR(RIGHT(I2882,LEN(I2882)-FIND("*",I2882)),"-")</f>
        <v>-</v>
      </c>
      <c r="W2883" s="20" t="str">
        <f t="shared" ref="W2883:W2890" si="1564">IFERROR((U2883+V2883)*2/1000,"-")</f>
        <v>-</v>
      </c>
      <c r="X2883" s="20" t="str">
        <f>IFERROR(W2883*J2882,"-")</f>
        <v>-</v>
      </c>
      <c r="Z2883" s="85" t="s">
        <v>82</v>
      </c>
    </row>
    <row r="2884" spans="1:26" ht="6.95" customHeight="1" x14ac:dyDescent="0.3">
      <c r="A2884" s="154"/>
      <c r="B2884" s="157"/>
      <c r="C2884" s="158"/>
      <c r="D2884" s="161"/>
      <c r="E2884" s="162"/>
      <c r="F2884" s="163"/>
      <c r="G2884" s="164"/>
      <c r="H2884" s="165"/>
      <c r="I2884" s="164"/>
      <c r="J2884" s="165"/>
      <c r="K2884" s="164"/>
      <c r="L2884" s="165"/>
      <c r="M2884" s="6"/>
      <c r="N2884" s="32"/>
      <c r="Q2884" s="10" t="str">
        <f>+CONCATENATE(E2882,K2882)</f>
        <v/>
      </c>
      <c r="R2884" s="10">
        <f>+L2882</f>
        <v>0</v>
      </c>
      <c r="S2884" s="11"/>
      <c r="T2884" s="10">
        <f>+E2882</f>
        <v>0</v>
      </c>
      <c r="U2884" s="19" t="str">
        <f>IFERROR(LEFT(K2882,FIND("*",K2882)-1),"-")</f>
        <v>-</v>
      </c>
      <c r="V2884" s="19" t="str">
        <f>IFERROR(RIGHT(K2882,LEN(K2882)-FIND("*",K2882)),"-")</f>
        <v>-</v>
      </c>
      <c r="W2884" s="20" t="str">
        <f t="shared" si="1564"/>
        <v>-</v>
      </c>
      <c r="X2884" s="20" t="str">
        <f>IFERROR(W2884*L2882,"-")</f>
        <v>-</v>
      </c>
      <c r="Z2884" s="85" t="s">
        <v>82</v>
      </c>
    </row>
    <row r="2885" spans="1:26" ht="6.95" customHeight="1" x14ac:dyDescent="0.3">
      <c r="A2885" s="8"/>
      <c r="B2885" s="157"/>
      <c r="C2885" s="158"/>
      <c r="D2885" s="161" t="s">
        <v>39</v>
      </c>
      <c r="E2885" s="162"/>
      <c r="F2885" s="163" t="s">
        <v>40</v>
      </c>
      <c r="G2885" s="164"/>
      <c r="H2885" s="165"/>
      <c r="I2885" s="164"/>
      <c r="J2885" s="165"/>
      <c r="K2885" s="164"/>
      <c r="L2885" s="165"/>
      <c r="M2885" s="6"/>
      <c r="N2885" s="32"/>
      <c r="Q2885" s="10" t="str">
        <f>+CONCATENATE(E2885,G2885)</f>
        <v/>
      </c>
      <c r="R2885" s="10">
        <f>+H2885</f>
        <v>0</v>
      </c>
      <c r="S2885" s="11"/>
      <c r="T2885" s="10">
        <f>+E2885</f>
        <v>0</v>
      </c>
      <c r="U2885" s="19" t="str">
        <f t="shared" ref="U2885" si="1565">IFERROR(LEFT(G2885,FIND("*",G2885)-1),"-")</f>
        <v>-</v>
      </c>
      <c r="V2885" s="19" t="str">
        <f t="shared" ref="V2885" si="1566">IFERROR(RIGHT(G2885,LEN(G2885)-FIND("*",G2885)),"-")</f>
        <v>-</v>
      </c>
      <c r="W2885" s="20" t="str">
        <f t="shared" si="1564"/>
        <v>-</v>
      </c>
      <c r="X2885" s="20" t="str">
        <f>IFERROR(W2885*H2885,"-")</f>
        <v>-</v>
      </c>
      <c r="Z2885" s="85" t="s">
        <v>82</v>
      </c>
    </row>
    <row r="2886" spans="1:26" ht="6.95" customHeight="1" x14ac:dyDescent="0.3">
      <c r="A2886" s="5"/>
      <c r="B2886" s="157"/>
      <c r="C2886" s="158"/>
      <c r="D2886" s="161"/>
      <c r="E2886" s="162"/>
      <c r="F2886" s="163"/>
      <c r="G2886" s="164"/>
      <c r="H2886" s="165"/>
      <c r="I2886" s="164"/>
      <c r="J2886" s="165"/>
      <c r="K2886" s="164"/>
      <c r="L2886" s="165"/>
      <c r="M2886" s="6"/>
      <c r="N2886" s="32"/>
      <c r="Q2886" s="10" t="str">
        <f>+CONCATENATE(E2885,I2885)</f>
        <v/>
      </c>
      <c r="R2886" s="10">
        <f>+J2885</f>
        <v>0</v>
      </c>
      <c r="S2886" s="11"/>
      <c r="T2886" s="10">
        <f>+E2885</f>
        <v>0</v>
      </c>
      <c r="U2886" s="19" t="str">
        <f>IFERROR(LEFT(I2885,FIND("*",I2885)-1),"-")</f>
        <v>-</v>
      </c>
      <c r="V2886" s="19" t="str">
        <f>IFERROR(RIGHT(I2885,LEN(I2885)-FIND("*",I2885)),"-")</f>
        <v>-</v>
      </c>
      <c r="W2886" s="20" t="str">
        <f t="shared" si="1564"/>
        <v>-</v>
      </c>
      <c r="X2886" s="20" t="str">
        <f>IFERROR(W2886*J2885,"-")</f>
        <v>-</v>
      </c>
      <c r="Z2886" s="85" t="s">
        <v>82</v>
      </c>
    </row>
    <row r="2887" spans="1:26" ht="6.95" customHeight="1" x14ac:dyDescent="0.3">
      <c r="A2887" s="5"/>
      <c r="B2887" s="157"/>
      <c r="C2887" s="158"/>
      <c r="D2887" s="161"/>
      <c r="E2887" s="162"/>
      <c r="F2887" s="163"/>
      <c r="G2887" s="164"/>
      <c r="H2887" s="165"/>
      <c r="I2887" s="164"/>
      <c r="J2887" s="165"/>
      <c r="K2887" s="164"/>
      <c r="L2887" s="165"/>
      <c r="M2887" s="6"/>
      <c r="N2887" s="32"/>
      <c r="Q2887" s="10" t="str">
        <f>+CONCATENATE(E2885,K2885)</f>
        <v/>
      </c>
      <c r="R2887" s="10">
        <f>+L2885</f>
        <v>0</v>
      </c>
      <c r="S2887" s="11"/>
      <c r="T2887" s="10">
        <f>+E2885</f>
        <v>0</v>
      </c>
      <c r="U2887" s="19" t="str">
        <f>IFERROR(LEFT(K2885,FIND("*",K2885)-1),"-")</f>
        <v>-</v>
      </c>
      <c r="V2887" s="19" t="str">
        <f>IFERROR(RIGHT(K2885,LEN(K2885)-FIND("*",K2885)),"-")</f>
        <v>-</v>
      </c>
      <c r="W2887" s="20" t="str">
        <f t="shared" si="1564"/>
        <v>-</v>
      </c>
      <c r="X2887" s="20" t="str">
        <f>IFERROR(W2887*L2885,"-")</f>
        <v>-</v>
      </c>
      <c r="Z2887" s="85" t="s">
        <v>82</v>
      </c>
    </row>
    <row r="2888" spans="1:26" ht="6.95" customHeight="1" x14ac:dyDescent="0.3">
      <c r="A2888" s="8"/>
      <c r="B2888" s="157"/>
      <c r="C2888" s="158"/>
      <c r="D2888" s="161" t="s">
        <v>39</v>
      </c>
      <c r="E2888" s="162"/>
      <c r="F2888" s="163" t="s">
        <v>40</v>
      </c>
      <c r="G2888" s="164"/>
      <c r="H2888" s="165"/>
      <c r="I2888" s="164"/>
      <c r="J2888" s="165"/>
      <c r="K2888" s="164"/>
      <c r="L2888" s="165"/>
      <c r="M2888" s="6"/>
      <c r="N2888" s="32"/>
      <c r="Q2888" s="10" t="str">
        <f>+CONCATENATE(E2888,G2888)</f>
        <v/>
      </c>
      <c r="R2888" s="10">
        <f>+H2888</f>
        <v>0</v>
      </c>
      <c r="S2888" s="11"/>
      <c r="T2888" s="10">
        <f>+E2888</f>
        <v>0</v>
      </c>
      <c r="U2888" s="19" t="str">
        <f t="shared" ref="U2888" si="1567">IFERROR(LEFT(G2888,FIND("*",G2888)-1),"-")</f>
        <v>-</v>
      </c>
      <c r="V2888" s="19" t="str">
        <f t="shared" ref="V2888" si="1568">IFERROR(RIGHT(G2888,LEN(G2888)-FIND("*",G2888)),"-")</f>
        <v>-</v>
      </c>
      <c r="W2888" s="20" t="str">
        <f t="shared" si="1564"/>
        <v>-</v>
      </c>
      <c r="X2888" s="20" t="str">
        <f>IFERROR(W2888*H2888,"-")</f>
        <v>-</v>
      </c>
      <c r="Z2888" s="85" t="s">
        <v>82</v>
      </c>
    </row>
    <row r="2889" spans="1:26" ht="6.95" customHeight="1" x14ac:dyDescent="0.3">
      <c r="A2889" s="5"/>
      <c r="B2889" s="157"/>
      <c r="C2889" s="158"/>
      <c r="D2889" s="161"/>
      <c r="E2889" s="162"/>
      <c r="F2889" s="163"/>
      <c r="G2889" s="164"/>
      <c r="H2889" s="165"/>
      <c r="I2889" s="164"/>
      <c r="J2889" s="165"/>
      <c r="K2889" s="164"/>
      <c r="L2889" s="165"/>
      <c r="M2889" s="6"/>
      <c r="N2889" s="32"/>
      <c r="Q2889" s="10" t="str">
        <f>+CONCATENATE(E2888,I2888)</f>
        <v/>
      </c>
      <c r="R2889" s="10">
        <f>+J2888</f>
        <v>0</v>
      </c>
      <c r="S2889" s="11"/>
      <c r="T2889" s="10">
        <f>+E2888</f>
        <v>0</v>
      </c>
      <c r="U2889" s="19" t="str">
        <f>IFERROR(LEFT(I2888,FIND("*",I2888)-1),"-")</f>
        <v>-</v>
      </c>
      <c r="V2889" s="19" t="str">
        <f>IFERROR(RIGHT(I2888,LEN(I2888)-FIND("*",I2888)),"-")</f>
        <v>-</v>
      </c>
      <c r="W2889" s="20" t="str">
        <f t="shared" si="1564"/>
        <v>-</v>
      </c>
      <c r="X2889" s="20" t="str">
        <f t="shared" ref="X2889" si="1569">IFERROR(W2889*J2888,"-")</f>
        <v>-</v>
      </c>
      <c r="Z2889" s="85" t="s">
        <v>82</v>
      </c>
    </row>
    <row r="2890" spans="1:26" ht="6.95" customHeight="1" x14ac:dyDescent="0.3">
      <c r="A2890" s="5"/>
      <c r="B2890" s="157"/>
      <c r="C2890" s="158"/>
      <c r="D2890" s="161"/>
      <c r="E2890" s="162"/>
      <c r="F2890" s="163"/>
      <c r="G2890" s="164"/>
      <c r="H2890" s="165"/>
      <c r="I2890" s="164"/>
      <c r="J2890" s="165"/>
      <c r="K2890" s="164"/>
      <c r="L2890" s="165"/>
      <c r="M2890" s="6"/>
      <c r="N2890" s="32"/>
      <c r="Q2890" s="10" t="str">
        <f>+CONCATENATE(E2888,K2888)</f>
        <v/>
      </c>
      <c r="R2890" s="10">
        <f>+L2888</f>
        <v>0</v>
      </c>
      <c r="S2890" s="11"/>
      <c r="T2890" s="10">
        <f>+E2888</f>
        <v>0</v>
      </c>
      <c r="U2890" s="19" t="str">
        <f>IFERROR(LEFT(K2888,FIND("*",K2888)-1),"-")</f>
        <v>-</v>
      </c>
      <c r="V2890" s="19" t="str">
        <f>IFERROR(RIGHT(K2888,LEN(K2888)-FIND("*",K2888)),"-")</f>
        <v>-</v>
      </c>
      <c r="W2890" s="20" t="str">
        <f t="shared" si="1564"/>
        <v>-</v>
      </c>
      <c r="X2890" s="20" t="str">
        <f>IFERROR(W2890*L2888,"-")</f>
        <v>-</v>
      </c>
      <c r="Z2890" s="85" t="s">
        <v>82</v>
      </c>
    </row>
    <row r="2891" spans="1:26" ht="21" customHeight="1" thickBot="1" x14ac:dyDescent="0.35">
      <c r="A2891" s="5"/>
      <c r="B2891" s="159"/>
      <c r="C2891" s="160"/>
      <c r="D2891" s="166" t="s">
        <v>43</v>
      </c>
      <c r="E2891" s="167"/>
      <c r="F2891" s="167"/>
      <c r="G2891" s="168"/>
      <c r="H2891" s="168"/>
      <c r="I2891" s="168"/>
      <c r="J2891" s="168"/>
      <c r="K2891" s="168"/>
      <c r="L2891" s="168"/>
      <c r="M2891" s="7"/>
      <c r="N2891" s="32"/>
      <c r="Z2891" s="86" t="s">
        <v>81</v>
      </c>
    </row>
    <row r="2892" spans="1:26" ht="9.9499999999999993" customHeight="1" thickBot="1" x14ac:dyDescent="0.35">
      <c r="B2892" s="9"/>
      <c r="C2892" s="109"/>
      <c r="D2892" s="51"/>
      <c r="E2892" s="12"/>
      <c r="F2892" s="51"/>
      <c r="G2892" s="14"/>
      <c r="H2892" s="14"/>
      <c r="I2892" s="14"/>
      <c r="J2892" s="14"/>
      <c r="K2892" s="14"/>
      <c r="L2892" s="14"/>
      <c r="M2892" s="9"/>
      <c r="N2892" s="32"/>
      <c r="U2892" s="18"/>
      <c r="V2892" s="18"/>
      <c r="Z2892" s="85" t="s">
        <v>82</v>
      </c>
    </row>
    <row r="2893" spans="1:26" ht="6.95" customHeight="1" x14ac:dyDescent="0.3">
      <c r="A2893" s="154">
        <f>+A2882+1</f>
        <v>1062</v>
      </c>
      <c r="B2893" s="155"/>
      <c r="C2893" s="156"/>
      <c r="D2893" s="161" t="s">
        <v>39</v>
      </c>
      <c r="E2893" s="162"/>
      <c r="F2893" s="163" t="s">
        <v>40</v>
      </c>
      <c r="G2893" s="164"/>
      <c r="H2893" s="165"/>
      <c r="I2893" s="164"/>
      <c r="J2893" s="165"/>
      <c r="K2893" s="164"/>
      <c r="L2893" s="165"/>
      <c r="M2893" s="6"/>
      <c r="N2893" s="32"/>
      <c r="Q2893" s="10" t="str">
        <f>+CONCATENATE(E2893,G2893)</f>
        <v/>
      </c>
      <c r="R2893" s="10">
        <f>+H2893</f>
        <v>0</v>
      </c>
      <c r="S2893" s="11"/>
      <c r="T2893" s="10">
        <f>+E2893</f>
        <v>0</v>
      </c>
      <c r="U2893" s="19" t="str">
        <f>IFERROR(LEFT(G2893,FIND("*",G2893)-1),"-")</f>
        <v>-</v>
      </c>
      <c r="V2893" s="19" t="str">
        <f>IFERROR(RIGHT(G2893,LEN(G2893)-FIND("*",G2893)),"-")</f>
        <v>-</v>
      </c>
      <c r="W2893" s="20" t="str">
        <f>IFERROR((U2893+V2893)*2/1000,"-")</f>
        <v>-</v>
      </c>
      <c r="X2893" s="20" t="str">
        <f>IFERROR(W2893*H2893,"-")</f>
        <v>-</v>
      </c>
      <c r="Z2893" s="85" t="s">
        <v>82</v>
      </c>
    </row>
    <row r="2894" spans="1:26" ht="6.95" customHeight="1" x14ac:dyDescent="0.3">
      <c r="A2894" s="154"/>
      <c r="B2894" s="157"/>
      <c r="C2894" s="158"/>
      <c r="D2894" s="161"/>
      <c r="E2894" s="162"/>
      <c r="F2894" s="163"/>
      <c r="G2894" s="164"/>
      <c r="H2894" s="165"/>
      <c r="I2894" s="164"/>
      <c r="J2894" s="165"/>
      <c r="K2894" s="164"/>
      <c r="L2894" s="165"/>
      <c r="M2894" s="6"/>
      <c r="N2894" s="32"/>
      <c r="Q2894" s="10" t="str">
        <f>+CONCATENATE(E2893,I2893)</f>
        <v/>
      </c>
      <c r="R2894" s="10">
        <f>+J2893</f>
        <v>0</v>
      </c>
      <c r="S2894" s="11"/>
      <c r="T2894" s="10">
        <f>+E2893</f>
        <v>0</v>
      </c>
      <c r="U2894" s="19" t="str">
        <f>IFERROR(LEFT(I2893,FIND("*",I2893)-1),"-")</f>
        <v>-</v>
      </c>
      <c r="V2894" s="19" t="str">
        <f>IFERROR(RIGHT(I2893,LEN(I2893)-FIND("*",I2893)),"-")</f>
        <v>-</v>
      </c>
      <c r="W2894" s="20" t="str">
        <f t="shared" ref="W2894:W2901" si="1570">IFERROR((U2894+V2894)*2/1000,"-")</f>
        <v>-</v>
      </c>
      <c r="X2894" s="20" t="str">
        <f>IFERROR(W2894*J2893,"-")</f>
        <v>-</v>
      </c>
      <c r="Z2894" s="85" t="s">
        <v>82</v>
      </c>
    </row>
    <row r="2895" spans="1:26" ht="6.95" customHeight="1" x14ac:dyDescent="0.3">
      <c r="A2895" s="154"/>
      <c r="B2895" s="157"/>
      <c r="C2895" s="158"/>
      <c r="D2895" s="161"/>
      <c r="E2895" s="162"/>
      <c r="F2895" s="163"/>
      <c r="G2895" s="164"/>
      <c r="H2895" s="165"/>
      <c r="I2895" s="164"/>
      <c r="J2895" s="165"/>
      <c r="K2895" s="164"/>
      <c r="L2895" s="165"/>
      <c r="M2895" s="6"/>
      <c r="N2895" s="32"/>
      <c r="Q2895" s="10" t="str">
        <f>+CONCATENATE(E2893,K2893)</f>
        <v/>
      </c>
      <c r="R2895" s="10">
        <f>+L2893</f>
        <v>0</v>
      </c>
      <c r="S2895" s="11"/>
      <c r="T2895" s="10">
        <f>+E2893</f>
        <v>0</v>
      </c>
      <c r="U2895" s="19" t="str">
        <f>IFERROR(LEFT(K2893,FIND("*",K2893)-1),"-")</f>
        <v>-</v>
      </c>
      <c r="V2895" s="19" t="str">
        <f>IFERROR(RIGHT(K2893,LEN(K2893)-FIND("*",K2893)),"-")</f>
        <v>-</v>
      </c>
      <c r="W2895" s="20" t="str">
        <f t="shared" si="1570"/>
        <v>-</v>
      </c>
      <c r="X2895" s="20" t="str">
        <f>IFERROR(W2895*L2893,"-")</f>
        <v>-</v>
      </c>
      <c r="Z2895" s="85" t="s">
        <v>82</v>
      </c>
    </row>
    <row r="2896" spans="1:26" ht="6.95" customHeight="1" x14ac:dyDescent="0.3">
      <c r="A2896" s="8"/>
      <c r="B2896" s="157"/>
      <c r="C2896" s="158"/>
      <c r="D2896" s="161" t="s">
        <v>39</v>
      </c>
      <c r="E2896" s="162"/>
      <c r="F2896" s="163" t="s">
        <v>40</v>
      </c>
      <c r="G2896" s="164"/>
      <c r="H2896" s="165"/>
      <c r="I2896" s="164"/>
      <c r="J2896" s="165"/>
      <c r="K2896" s="164"/>
      <c r="L2896" s="165"/>
      <c r="M2896" s="6"/>
      <c r="N2896" s="32"/>
      <c r="Q2896" s="10" t="str">
        <f>+CONCATENATE(E2896,G2896)</f>
        <v/>
      </c>
      <c r="R2896" s="10">
        <f>+H2896</f>
        <v>0</v>
      </c>
      <c r="S2896" s="11"/>
      <c r="T2896" s="10">
        <f>+E2896</f>
        <v>0</v>
      </c>
      <c r="U2896" s="19" t="str">
        <f t="shared" ref="U2896" si="1571">IFERROR(LEFT(G2896,FIND("*",G2896)-1),"-")</f>
        <v>-</v>
      </c>
      <c r="V2896" s="19" t="str">
        <f t="shared" ref="V2896" si="1572">IFERROR(RIGHT(G2896,LEN(G2896)-FIND("*",G2896)),"-")</f>
        <v>-</v>
      </c>
      <c r="W2896" s="20" t="str">
        <f t="shared" si="1570"/>
        <v>-</v>
      </c>
      <c r="X2896" s="20" t="str">
        <f>IFERROR(W2896*H2896,"-")</f>
        <v>-</v>
      </c>
      <c r="Z2896" s="85" t="s">
        <v>82</v>
      </c>
    </row>
    <row r="2897" spans="1:26" ht="6.95" customHeight="1" x14ac:dyDescent="0.3">
      <c r="A2897" s="5"/>
      <c r="B2897" s="157"/>
      <c r="C2897" s="158"/>
      <c r="D2897" s="161"/>
      <c r="E2897" s="162"/>
      <c r="F2897" s="163"/>
      <c r="G2897" s="164"/>
      <c r="H2897" s="165"/>
      <c r="I2897" s="164"/>
      <c r="J2897" s="165"/>
      <c r="K2897" s="164"/>
      <c r="L2897" s="165"/>
      <c r="M2897" s="6"/>
      <c r="N2897" s="32"/>
      <c r="Q2897" s="10" t="str">
        <f>+CONCATENATE(E2896,I2896)</f>
        <v/>
      </c>
      <c r="R2897" s="10">
        <f>+J2896</f>
        <v>0</v>
      </c>
      <c r="S2897" s="11"/>
      <c r="T2897" s="10">
        <f>+E2896</f>
        <v>0</v>
      </c>
      <c r="U2897" s="19" t="str">
        <f>IFERROR(LEFT(I2896,FIND("*",I2896)-1),"-")</f>
        <v>-</v>
      </c>
      <c r="V2897" s="19" t="str">
        <f>IFERROR(RIGHT(I2896,LEN(I2896)-FIND("*",I2896)),"-")</f>
        <v>-</v>
      </c>
      <c r="W2897" s="20" t="str">
        <f t="shared" si="1570"/>
        <v>-</v>
      </c>
      <c r="X2897" s="20" t="str">
        <f>IFERROR(W2897*J2896,"-")</f>
        <v>-</v>
      </c>
      <c r="Z2897" s="85" t="s">
        <v>82</v>
      </c>
    </row>
    <row r="2898" spans="1:26" ht="6.95" customHeight="1" x14ac:dyDescent="0.3">
      <c r="A2898" s="5"/>
      <c r="B2898" s="157"/>
      <c r="C2898" s="158"/>
      <c r="D2898" s="161"/>
      <c r="E2898" s="162"/>
      <c r="F2898" s="163"/>
      <c r="G2898" s="164"/>
      <c r="H2898" s="165"/>
      <c r="I2898" s="164"/>
      <c r="J2898" s="165"/>
      <c r="K2898" s="164"/>
      <c r="L2898" s="165"/>
      <c r="M2898" s="6"/>
      <c r="N2898" s="32"/>
      <c r="Q2898" s="10" t="str">
        <f>+CONCATENATE(E2896,K2896)</f>
        <v/>
      </c>
      <c r="R2898" s="10">
        <f>+L2896</f>
        <v>0</v>
      </c>
      <c r="S2898" s="11"/>
      <c r="T2898" s="10">
        <f>+E2896</f>
        <v>0</v>
      </c>
      <c r="U2898" s="19" t="str">
        <f>IFERROR(LEFT(K2896,FIND("*",K2896)-1),"-")</f>
        <v>-</v>
      </c>
      <c r="V2898" s="19" t="str">
        <f>IFERROR(RIGHT(K2896,LEN(K2896)-FIND("*",K2896)),"-")</f>
        <v>-</v>
      </c>
      <c r="W2898" s="20" t="str">
        <f t="shared" si="1570"/>
        <v>-</v>
      </c>
      <c r="X2898" s="20" t="str">
        <f>IFERROR(W2898*L2896,"-")</f>
        <v>-</v>
      </c>
      <c r="Z2898" s="85" t="s">
        <v>82</v>
      </c>
    </row>
    <row r="2899" spans="1:26" ht="6.95" customHeight="1" x14ac:dyDescent="0.3">
      <c r="A2899" s="8"/>
      <c r="B2899" s="157"/>
      <c r="C2899" s="158"/>
      <c r="D2899" s="161" t="s">
        <v>39</v>
      </c>
      <c r="E2899" s="162"/>
      <c r="F2899" s="163" t="s">
        <v>40</v>
      </c>
      <c r="G2899" s="164"/>
      <c r="H2899" s="165"/>
      <c r="I2899" s="164"/>
      <c r="J2899" s="165"/>
      <c r="K2899" s="164"/>
      <c r="L2899" s="165"/>
      <c r="M2899" s="6"/>
      <c r="N2899" s="32"/>
      <c r="Q2899" s="10" t="str">
        <f>+CONCATENATE(E2899,G2899)</f>
        <v/>
      </c>
      <c r="R2899" s="10">
        <f>+H2899</f>
        <v>0</v>
      </c>
      <c r="S2899" s="11"/>
      <c r="T2899" s="10">
        <f>+E2899</f>
        <v>0</v>
      </c>
      <c r="U2899" s="19" t="str">
        <f t="shared" ref="U2899" si="1573">IFERROR(LEFT(G2899,FIND("*",G2899)-1),"-")</f>
        <v>-</v>
      </c>
      <c r="V2899" s="19" t="str">
        <f t="shared" ref="V2899" si="1574">IFERROR(RIGHT(G2899,LEN(G2899)-FIND("*",G2899)),"-")</f>
        <v>-</v>
      </c>
      <c r="W2899" s="20" t="str">
        <f t="shared" si="1570"/>
        <v>-</v>
      </c>
      <c r="X2899" s="20" t="str">
        <f>IFERROR(W2899*H2899,"-")</f>
        <v>-</v>
      </c>
      <c r="Z2899" s="85" t="s">
        <v>82</v>
      </c>
    </row>
    <row r="2900" spans="1:26" ht="6.95" customHeight="1" x14ac:dyDescent="0.3">
      <c r="A2900" s="5"/>
      <c r="B2900" s="157"/>
      <c r="C2900" s="158"/>
      <c r="D2900" s="161"/>
      <c r="E2900" s="162"/>
      <c r="F2900" s="163"/>
      <c r="G2900" s="164"/>
      <c r="H2900" s="165"/>
      <c r="I2900" s="164"/>
      <c r="J2900" s="165"/>
      <c r="K2900" s="164"/>
      <c r="L2900" s="165"/>
      <c r="M2900" s="6"/>
      <c r="N2900" s="32"/>
      <c r="Q2900" s="10" t="str">
        <f>+CONCATENATE(E2899,I2899)</f>
        <v/>
      </c>
      <c r="R2900" s="10">
        <f>+J2899</f>
        <v>0</v>
      </c>
      <c r="S2900" s="11"/>
      <c r="T2900" s="10">
        <f>+E2899</f>
        <v>0</v>
      </c>
      <c r="U2900" s="19" t="str">
        <f>IFERROR(LEFT(I2899,FIND("*",I2899)-1),"-")</f>
        <v>-</v>
      </c>
      <c r="V2900" s="19" t="str">
        <f>IFERROR(RIGHT(I2899,LEN(I2899)-FIND("*",I2899)),"-")</f>
        <v>-</v>
      </c>
      <c r="W2900" s="20" t="str">
        <f t="shared" si="1570"/>
        <v>-</v>
      </c>
      <c r="X2900" s="20" t="str">
        <f t="shared" ref="X2900" si="1575">IFERROR(W2900*J2899,"-")</f>
        <v>-</v>
      </c>
      <c r="Z2900" s="85" t="s">
        <v>82</v>
      </c>
    </row>
    <row r="2901" spans="1:26" ht="6.95" customHeight="1" x14ac:dyDescent="0.3">
      <c r="A2901" s="5"/>
      <c r="B2901" s="157"/>
      <c r="C2901" s="158"/>
      <c r="D2901" s="161"/>
      <c r="E2901" s="162"/>
      <c r="F2901" s="163"/>
      <c r="G2901" s="164"/>
      <c r="H2901" s="165"/>
      <c r="I2901" s="164"/>
      <c r="J2901" s="165"/>
      <c r="K2901" s="164"/>
      <c r="L2901" s="165"/>
      <c r="M2901" s="6"/>
      <c r="N2901" s="32"/>
      <c r="Q2901" s="10" t="str">
        <f>+CONCATENATE(E2899,K2899)</f>
        <v/>
      </c>
      <c r="R2901" s="10">
        <f>+L2899</f>
        <v>0</v>
      </c>
      <c r="S2901" s="11"/>
      <c r="T2901" s="10">
        <f>+E2899</f>
        <v>0</v>
      </c>
      <c r="U2901" s="19" t="str">
        <f>IFERROR(LEFT(K2899,FIND("*",K2899)-1),"-")</f>
        <v>-</v>
      </c>
      <c r="V2901" s="19" t="str">
        <f>IFERROR(RIGHT(K2899,LEN(K2899)-FIND("*",K2899)),"-")</f>
        <v>-</v>
      </c>
      <c r="W2901" s="20" t="str">
        <f t="shared" si="1570"/>
        <v>-</v>
      </c>
      <c r="X2901" s="20" t="str">
        <f>IFERROR(W2901*L2899,"-")</f>
        <v>-</v>
      </c>
      <c r="Z2901" s="85" t="s">
        <v>82</v>
      </c>
    </row>
    <row r="2902" spans="1:26" ht="21" customHeight="1" thickBot="1" x14ac:dyDescent="0.35">
      <c r="A2902" s="5"/>
      <c r="B2902" s="159"/>
      <c r="C2902" s="160"/>
      <c r="D2902" s="166" t="s">
        <v>43</v>
      </c>
      <c r="E2902" s="167"/>
      <c r="F2902" s="167"/>
      <c r="G2902" s="168"/>
      <c r="H2902" s="168"/>
      <c r="I2902" s="168"/>
      <c r="J2902" s="168"/>
      <c r="K2902" s="168"/>
      <c r="L2902" s="168"/>
      <c r="M2902" s="7"/>
      <c r="N2902" s="32"/>
      <c r="Z2902" s="86" t="s">
        <v>81</v>
      </c>
    </row>
    <row r="2903" spans="1:26" ht="9.9499999999999993" customHeight="1" thickBot="1" x14ac:dyDescent="0.35">
      <c r="B2903" s="9"/>
      <c r="C2903" s="109"/>
      <c r="D2903" s="51"/>
      <c r="E2903" s="12"/>
      <c r="F2903" s="51"/>
      <c r="G2903" s="14"/>
      <c r="H2903" s="14"/>
      <c r="I2903" s="14"/>
      <c r="J2903" s="14"/>
      <c r="K2903" s="14"/>
      <c r="L2903" s="14"/>
      <c r="M2903" s="9"/>
      <c r="N2903" s="32"/>
      <c r="U2903" s="18"/>
      <c r="V2903" s="18"/>
      <c r="Z2903" s="85" t="s">
        <v>82</v>
      </c>
    </row>
    <row r="2904" spans="1:26" ht="6.95" customHeight="1" x14ac:dyDescent="0.3">
      <c r="A2904" s="154">
        <f>+A2893+1</f>
        <v>1063</v>
      </c>
      <c r="B2904" s="155"/>
      <c r="C2904" s="156"/>
      <c r="D2904" s="161" t="s">
        <v>39</v>
      </c>
      <c r="E2904" s="162"/>
      <c r="F2904" s="163" t="s">
        <v>40</v>
      </c>
      <c r="G2904" s="164"/>
      <c r="H2904" s="165"/>
      <c r="I2904" s="164"/>
      <c r="J2904" s="165"/>
      <c r="K2904" s="164"/>
      <c r="L2904" s="165"/>
      <c r="M2904" s="6"/>
      <c r="N2904" s="32"/>
      <c r="Q2904" s="10" t="str">
        <f>+CONCATENATE(E2904,G2904)</f>
        <v/>
      </c>
      <c r="R2904" s="10">
        <f>+H2904</f>
        <v>0</v>
      </c>
      <c r="S2904" s="11"/>
      <c r="T2904" s="10">
        <f>+E2904</f>
        <v>0</v>
      </c>
      <c r="U2904" s="19" t="str">
        <f>IFERROR(LEFT(G2904,FIND("*",G2904)-1),"-")</f>
        <v>-</v>
      </c>
      <c r="V2904" s="19" t="str">
        <f>IFERROR(RIGHT(G2904,LEN(G2904)-FIND("*",G2904)),"-")</f>
        <v>-</v>
      </c>
      <c r="W2904" s="20" t="str">
        <f>IFERROR((U2904+V2904)*2/1000,"-")</f>
        <v>-</v>
      </c>
      <c r="X2904" s="20" t="str">
        <f>IFERROR(W2904*H2904,"-")</f>
        <v>-</v>
      </c>
      <c r="Z2904" s="85" t="s">
        <v>82</v>
      </c>
    </row>
    <row r="2905" spans="1:26" ht="6.95" customHeight="1" x14ac:dyDescent="0.3">
      <c r="A2905" s="154"/>
      <c r="B2905" s="157"/>
      <c r="C2905" s="158"/>
      <c r="D2905" s="161"/>
      <c r="E2905" s="162"/>
      <c r="F2905" s="163"/>
      <c r="G2905" s="164"/>
      <c r="H2905" s="165"/>
      <c r="I2905" s="164"/>
      <c r="J2905" s="165"/>
      <c r="K2905" s="164"/>
      <c r="L2905" s="165"/>
      <c r="M2905" s="6"/>
      <c r="N2905" s="32"/>
      <c r="Q2905" s="10" t="str">
        <f>+CONCATENATE(E2904,I2904)</f>
        <v/>
      </c>
      <c r="R2905" s="10">
        <f>+J2904</f>
        <v>0</v>
      </c>
      <c r="S2905" s="11"/>
      <c r="T2905" s="10">
        <f>+E2904</f>
        <v>0</v>
      </c>
      <c r="U2905" s="19" t="str">
        <f>IFERROR(LEFT(I2904,FIND("*",I2904)-1),"-")</f>
        <v>-</v>
      </c>
      <c r="V2905" s="19" t="str">
        <f>IFERROR(RIGHT(I2904,LEN(I2904)-FIND("*",I2904)),"-")</f>
        <v>-</v>
      </c>
      <c r="W2905" s="20" t="str">
        <f t="shared" ref="W2905:W2912" si="1576">IFERROR((U2905+V2905)*2/1000,"-")</f>
        <v>-</v>
      </c>
      <c r="X2905" s="20" t="str">
        <f>IFERROR(W2905*J2904,"-")</f>
        <v>-</v>
      </c>
      <c r="Z2905" s="85" t="s">
        <v>82</v>
      </c>
    </row>
    <row r="2906" spans="1:26" ht="6.95" customHeight="1" x14ac:dyDescent="0.3">
      <c r="A2906" s="154"/>
      <c r="B2906" s="157"/>
      <c r="C2906" s="158"/>
      <c r="D2906" s="161"/>
      <c r="E2906" s="162"/>
      <c r="F2906" s="163"/>
      <c r="G2906" s="164"/>
      <c r="H2906" s="165"/>
      <c r="I2906" s="164"/>
      <c r="J2906" s="165"/>
      <c r="K2906" s="164"/>
      <c r="L2906" s="165"/>
      <c r="M2906" s="6"/>
      <c r="N2906" s="32"/>
      <c r="Q2906" s="10" t="str">
        <f>+CONCATENATE(E2904,K2904)</f>
        <v/>
      </c>
      <c r="R2906" s="10">
        <f>+L2904</f>
        <v>0</v>
      </c>
      <c r="S2906" s="11"/>
      <c r="T2906" s="10">
        <f>+E2904</f>
        <v>0</v>
      </c>
      <c r="U2906" s="19" t="str">
        <f>IFERROR(LEFT(K2904,FIND("*",K2904)-1),"-")</f>
        <v>-</v>
      </c>
      <c r="V2906" s="19" t="str">
        <f>IFERROR(RIGHT(K2904,LEN(K2904)-FIND("*",K2904)),"-")</f>
        <v>-</v>
      </c>
      <c r="W2906" s="20" t="str">
        <f t="shared" si="1576"/>
        <v>-</v>
      </c>
      <c r="X2906" s="20" t="str">
        <f>IFERROR(W2906*L2904,"-")</f>
        <v>-</v>
      </c>
      <c r="Z2906" s="85" t="s">
        <v>82</v>
      </c>
    </row>
    <row r="2907" spans="1:26" ht="6.95" customHeight="1" x14ac:dyDescent="0.3">
      <c r="A2907" s="8"/>
      <c r="B2907" s="157"/>
      <c r="C2907" s="158"/>
      <c r="D2907" s="161" t="s">
        <v>39</v>
      </c>
      <c r="E2907" s="162"/>
      <c r="F2907" s="163" t="s">
        <v>40</v>
      </c>
      <c r="G2907" s="164"/>
      <c r="H2907" s="165"/>
      <c r="I2907" s="164"/>
      <c r="J2907" s="165"/>
      <c r="K2907" s="164"/>
      <c r="L2907" s="165"/>
      <c r="M2907" s="6"/>
      <c r="N2907" s="32"/>
      <c r="Q2907" s="10" t="str">
        <f>+CONCATENATE(E2907,G2907)</f>
        <v/>
      </c>
      <c r="R2907" s="10">
        <f>+H2907</f>
        <v>0</v>
      </c>
      <c r="S2907" s="11"/>
      <c r="T2907" s="10">
        <f>+E2907</f>
        <v>0</v>
      </c>
      <c r="U2907" s="19" t="str">
        <f t="shared" ref="U2907" si="1577">IFERROR(LEFT(G2907,FIND("*",G2907)-1),"-")</f>
        <v>-</v>
      </c>
      <c r="V2907" s="19" t="str">
        <f t="shared" ref="V2907" si="1578">IFERROR(RIGHT(G2907,LEN(G2907)-FIND("*",G2907)),"-")</f>
        <v>-</v>
      </c>
      <c r="W2907" s="20" t="str">
        <f t="shared" si="1576"/>
        <v>-</v>
      </c>
      <c r="X2907" s="20" t="str">
        <f>IFERROR(W2907*H2907,"-")</f>
        <v>-</v>
      </c>
      <c r="Z2907" s="85" t="s">
        <v>82</v>
      </c>
    </row>
    <row r="2908" spans="1:26" ht="6.95" customHeight="1" x14ac:dyDescent="0.3">
      <c r="A2908" s="5"/>
      <c r="B2908" s="157"/>
      <c r="C2908" s="158"/>
      <c r="D2908" s="161"/>
      <c r="E2908" s="162"/>
      <c r="F2908" s="163"/>
      <c r="G2908" s="164"/>
      <c r="H2908" s="165"/>
      <c r="I2908" s="164"/>
      <c r="J2908" s="165"/>
      <c r="K2908" s="164"/>
      <c r="L2908" s="165"/>
      <c r="M2908" s="6"/>
      <c r="N2908" s="32"/>
      <c r="Q2908" s="10" t="str">
        <f>+CONCATENATE(E2907,I2907)</f>
        <v/>
      </c>
      <c r="R2908" s="10">
        <f>+J2907</f>
        <v>0</v>
      </c>
      <c r="S2908" s="11"/>
      <c r="T2908" s="10">
        <f>+E2907</f>
        <v>0</v>
      </c>
      <c r="U2908" s="19" t="str">
        <f>IFERROR(LEFT(I2907,FIND("*",I2907)-1),"-")</f>
        <v>-</v>
      </c>
      <c r="V2908" s="19" t="str">
        <f>IFERROR(RIGHT(I2907,LEN(I2907)-FIND("*",I2907)),"-")</f>
        <v>-</v>
      </c>
      <c r="W2908" s="20" t="str">
        <f t="shared" si="1576"/>
        <v>-</v>
      </c>
      <c r="X2908" s="20" t="str">
        <f>IFERROR(W2908*J2907,"-")</f>
        <v>-</v>
      </c>
      <c r="Z2908" s="85" t="s">
        <v>82</v>
      </c>
    </row>
    <row r="2909" spans="1:26" ht="6.95" customHeight="1" x14ac:dyDescent="0.3">
      <c r="A2909" s="5"/>
      <c r="B2909" s="157"/>
      <c r="C2909" s="158"/>
      <c r="D2909" s="161"/>
      <c r="E2909" s="162"/>
      <c r="F2909" s="163"/>
      <c r="G2909" s="164"/>
      <c r="H2909" s="165"/>
      <c r="I2909" s="164"/>
      <c r="J2909" s="165"/>
      <c r="K2909" s="164"/>
      <c r="L2909" s="165"/>
      <c r="M2909" s="6"/>
      <c r="N2909" s="32"/>
      <c r="Q2909" s="10" t="str">
        <f>+CONCATENATE(E2907,K2907)</f>
        <v/>
      </c>
      <c r="R2909" s="10">
        <f>+L2907</f>
        <v>0</v>
      </c>
      <c r="S2909" s="11"/>
      <c r="T2909" s="10">
        <f>+E2907</f>
        <v>0</v>
      </c>
      <c r="U2909" s="19" t="str">
        <f>IFERROR(LEFT(K2907,FIND("*",K2907)-1),"-")</f>
        <v>-</v>
      </c>
      <c r="V2909" s="19" t="str">
        <f>IFERROR(RIGHT(K2907,LEN(K2907)-FIND("*",K2907)),"-")</f>
        <v>-</v>
      </c>
      <c r="W2909" s="20" t="str">
        <f t="shared" si="1576"/>
        <v>-</v>
      </c>
      <c r="X2909" s="20" t="str">
        <f>IFERROR(W2909*L2907,"-")</f>
        <v>-</v>
      </c>
      <c r="Z2909" s="85" t="s">
        <v>82</v>
      </c>
    </row>
    <row r="2910" spans="1:26" ht="6.95" customHeight="1" x14ac:dyDescent="0.3">
      <c r="A2910" s="8"/>
      <c r="B2910" s="157"/>
      <c r="C2910" s="158"/>
      <c r="D2910" s="161" t="s">
        <v>39</v>
      </c>
      <c r="E2910" s="162"/>
      <c r="F2910" s="163" t="s">
        <v>40</v>
      </c>
      <c r="G2910" s="164"/>
      <c r="H2910" s="165"/>
      <c r="I2910" s="164"/>
      <c r="J2910" s="165"/>
      <c r="K2910" s="164"/>
      <c r="L2910" s="165"/>
      <c r="M2910" s="6"/>
      <c r="N2910" s="32"/>
      <c r="Q2910" s="10" t="str">
        <f>+CONCATENATE(E2910,G2910)</f>
        <v/>
      </c>
      <c r="R2910" s="10">
        <f>+H2910</f>
        <v>0</v>
      </c>
      <c r="S2910" s="11"/>
      <c r="T2910" s="10">
        <f>+E2910</f>
        <v>0</v>
      </c>
      <c r="U2910" s="19" t="str">
        <f t="shared" ref="U2910" si="1579">IFERROR(LEFT(G2910,FIND("*",G2910)-1),"-")</f>
        <v>-</v>
      </c>
      <c r="V2910" s="19" t="str">
        <f t="shared" ref="V2910" si="1580">IFERROR(RIGHT(G2910,LEN(G2910)-FIND("*",G2910)),"-")</f>
        <v>-</v>
      </c>
      <c r="W2910" s="20" t="str">
        <f t="shared" si="1576"/>
        <v>-</v>
      </c>
      <c r="X2910" s="20" t="str">
        <f>IFERROR(W2910*H2910,"-")</f>
        <v>-</v>
      </c>
      <c r="Z2910" s="85" t="s">
        <v>82</v>
      </c>
    </row>
    <row r="2911" spans="1:26" ht="6.95" customHeight="1" x14ac:dyDescent="0.3">
      <c r="A2911" s="5"/>
      <c r="B2911" s="157"/>
      <c r="C2911" s="158"/>
      <c r="D2911" s="161"/>
      <c r="E2911" s="162"/>
      <c r="F2911" s="163"/>
      <c r="G2911" s="164"/>
      <c r="H2911" s="165"/>
      <c r="I2911" s="164"/>
      <c r="J2911" s="165"/>
      <c r="K2911" s="164"/>
      <c r="L2911" s="165"/>
      <c r="M2911" s="6"/>
      <c r="N2911" s="32"/>
      <c r="Q2911" s="10" t="str">
        <f>+CONCATENATE(E2910,I2910)</f>
        <v/>
      </c>
      <c r="R2911" s="10">
        <f>+J2910</f>
        <v>0</v>
      </c>
      <c r="S2911" s="11"/>
      <c r="T2911" s="10">
        <f>+E2910</f>
        <v>0</v>
      </c>
      <c r="U2911" s="19" t="str">
        <f>IFERROR(LEFT(I2910,FIND("*",I2910)-1),"-")</f>
        <v>-</v>
      </c>
      <c r="V2911" s="19" t="str">
        <f>IFERROR(RIGHT(I2910,LEN(I2910)-FIND("*",I2910)),"-")</f>
        <v>-</v>
      </c>
      <c r="W2911" s="20" t="str">
        <f t="shared" si="1576"/>
        <v>-</v>
      </c>
      <c r="X2911" s="20" t="str">
        <f t="shared" ref="X2911" si="1581">IFERROR(W2911*J2910,"-")</f>
        <v>-</v>
      </c>
      <c r="Z2911" s="85" t="s">
        <v>82</v>
      </c>
    </row>
    <row r="2912" spans="1:26" ht="6.95" customHeight="1" x14ac:dyDescent="0.3">
      <c r="A2912" s="5"/>
      <c r="B2912" s="157"/>
      <c r="C2912" s="158"/>
      <c r="D2912" s="161"/>
      <c r="E2912" s="162"/>
      <c r="F2912" s="163"/>
      <c r="G2912" s="164"/>
      <c r="H2912" s="165"/>
      <c r="I2912" s="164"/>
      <c r="J2912" s="165"/>
      <c r="K2912" s="164"/>
      <c r="L2912" s="165"/>
      <c r="M2912" s="6"/>
      <c r="N2912" s="32"/>
      <c r="Q2912" s="10" t="str">
        <f>+CONCATENATE(E2910,K2910)</f>
        <v/>
      </c>
      <c r="R2912" s="10">
        <f>+L2910</f>
        <v>0</v>
      </c>
      <c r="S2912" s="11"/>
      <c r="T2912" s="10">
        <f>+E2910</f>
        <v>0</v>
      </c>
      <c r="U2912" s="19" t="str">
        <f>IFERROR(LEFT(K2910,FIND("*",K2910)-1),"-")</f>
        <v>-</v>
      </c>
      <c r="V2912" s="19" t="str">
        <f>IFERROR(RIGHT(K2910,LEN(K2910)-FIND("*",K2910)),"-")</f>
        <v>-</v>
      </c>
      <c r="W2912" s="20" t="str">
        <f t="shared" si="1576"/>
        <v>-</v>
      </c>
      <c r="X2912" s="20" t="str">
        <f>IFERROR(W2912*L2910,"-")</f>
        <v>-</v>
      </c>
      <c r="Z2912" s="85" t="s">
        <v>82</v>
      </c>
    </row>
    <row r="2913" spans="1:26" ht="21" customHeight="1" thickBot="1" x14ac:dyDescent="0.35">
      <c r="A2913" s="5"/>
      <c r="B2913" s="159"/>
      <c r="C2913" s="160"/>
      <c r="D2913" s="166" t="s">
        <v>43</v>
      </c>
      <c r="E2913" s="167"/>
      <c r="F2913" s="167"/>
      <c r="G2913" s="168"/>
      <c r="H2913" s="168"/>
      <c r="I2913" s="168"/>
      <c r="J2913" s="168"/>
      <c r="K2913" s="168"/>
      <c r="L2913" s="168"/>
      <c r="M2913" s="7"/>
      <c r="N2913" s="32"/>
      <c r="Z2913" s="86" t="s">
        <v>81</v>
      </c>
    </row>
    <row r="2914" spans="1:26" ht="9.9499999999999993" customHeight="1" thickBot="1" x14ac:dyDescent="0.35">
      <c r="B2914" s="9"/>
      <c r="C2914" s="109"/>
      <c r="D2914" s="51"/>
      <c r="E2914" s="12"/>
      <c r="F2914" s="51"/>
      <c r="G2914" s="14"/>
      <c r="H2914" s="14"/>
      <c r="I2914" s="14"/>
      <c r="J2914" s="14"/>
      <c r="K2914" s="14"/>
      <c r="L2914" s="14"/>
      <c r="M2914" s="9"/>
      <c r="N2914" s="32"/>
      <c r="U2914" s="18"/>
      <c r="V2914" s="18"/>
      <c r="Z2914" s="85" t="s">
        <v>82</v>
      </c>
    </row>
    <row r="2915" spans="1:26" ht="6.95" customHeight="1" x14ac:dyDescent="0.3">
      <c r="A2915" s="154">
        <f>+A2904+1</f>
        <v>1064</v>
      </c>
      <c r="B2915" s="155"/>
      <c r="C2915" s="156"/>
      <c r="D2915" s="161" t="s">
        <v>39</v>
      </c>
      <c r="E2915" s="162"/>
      <c r="F2915" s="163" t="s">
        <v>40</v>
      </c>
      <c r="G2915" s="164"/>
      <c r="H2915" s="165"/>
      <c r="I2915" s="164"/>
      <c r="J2915" s="165"/>
      <c r="K2915" s="164"/>
      <c r="L2915" s="165"/>
      <c r="M2915" s="6"/>
      <c r="N2915" s="32"/>
      <c r="Q2915" s="10" t="str">
        <f>+CONCATENATE(E2915,G2915)</f>
        <v/>
      </c>
      <c r="R2915" s="10">
        <f>+H2915</f>
        <v>0</v>
      </c>
      <c r="S2915" s="11"/>
      <c r="T2915" s="10">
        <f>+E2915</f>
        <v>0</v>
      </c>
      <c r="U2915" s="19" t="str">
        <f>IFERROR(LEFT(G2915,FIND("*",G2915)-1),"-")</f>
        <v>-</v>
      </c>
      <c r="V2915" s="19" t="str">
        <f>IFERROR(RIGHT(G2915,LEN(G2915)-FIND("*",G2915)),"-")</f>
        <v>-</v>
      </c>
      <c r="W2915" s="20" t="str">
        <f>IFERROR((U2915+V2915)*2/1000,"-")</f>
        <v>-</v>
      </c>
      <c r="X2915" s="20" t="str">
        <f>IFERROR(W2915*H2915,"-")</f>
        <v>-</v>
      </c>
      <c r="Z2915" s="85" t="s">
        <v>82</v>
      </c>
    </row>
    <row r="2916" spans="1:26" ht="6.95" customHeight="1" x14ac:dyDescent="0.3">
      <c r="A2916" s="154"/>
      <c r="B2916" s="157"/>
      <c r="C2916" s="158"/>
      <c r="D2916" s="161"/>
      <c r="E2916" s="162"/>
      <c r="F2916" s="163"/>
      <c r="G2916" s="164"/>
      <c r="H2916" s="165"/>
      <c r="I2916" s="164"/>
      <c r="J2916" s="165"/>
      <c r="K2916" s="164"/>
      <c r="L2916" s="165"/>
      <c r="M2916" s="6"/>
      <c r="N2916" s="32"/>
      <c r="Q2916" s="10" t="str">
        <f>+CONCATENATE(E2915,I2915)</f>
        <v/>
      </c>
      <c r="R2916" s="10">
        <f>+J2915</f>
        <v>0</v>
      </c>
      <c r="S2916" s="11"/>
      <c r="T2916" s="10">
        <f>+E2915</f>
        <v>0</v>
      </c>
      <c r="U2916" s="19" t="str">
        <f>IFERROR(LEFT(I2915,FIND("*",I2915)-1),"-")</f>
        <v>-</v>
      </c>
      <c r="V2916" s="19" t="str">
        <f>IFERROR(RIGHT(I2915,LEN(I2915)-FIND("*",I2915)),"-")</f>
        <v>-</v>
      </c>
      <c r="W2916" s="20" t="str">
        <f t="shared" ref="W2916:W2923" si="1582">IFERROR((U2916+V2916)*2/1000,"-")</f>
        <v>-</v>
      </c>
      <c r="X2916" s="20" t="str">
        <f>IFERROR(W2916*J2915,"-")</f>
        <v>-</v>
      </c>
      <c r="Z2916" s="85" t="s">
        <v>82</v>
      </c>
    </row>
    <row r="2917" spans="1:26" ht="6.95" customHeight="1" x14ac:dyDescent="0.3">
      <c r="A2917" s="154"/>
      <c r="B2917" s="157"/>
      <c r="C2917" s="158"/>
      <c r="D2917" s="161"/>
      <c r="E2917" s="162"/>
      <c r="F2917" s="163"/>
      <c r="G2917" s="164"/>
      <c r="H2917" s="165"/>
      <c r="I2917" s="164"/>
      <c r="J2917" s="165"/>
      <c r="K2917" s="164"/>
      <c r="L2917" s="165"/>
      <c r="M2917" s="6"/>
      <c r="N2917" s="32"/>
      <c r="Q2917" s="10" t="str">
        <f>+CONCATENATE(E2915,K2915)</f>
        <v/>
      </c>
      <c r="R2917" s="10">
        <f>+L2915</f>
        <v>0</v>
      </c>
      <c r="S2917" s="11"/>
      <c r="T2917" s="10">
        <f>+E2915</f>
        <v>0</v>
      </c>
      <c r="U2917" s="19" t="str">
        <f>IFERROR(LEFT(K2915,FIND("*",K2915)-1),"-")</f>
        <v>-</v>
      </c>
      <c r="V2917" s="19" t="str">
        <f>IFERROR(RIGHT(K2915,LEN(K2915)-FIND("*",K2915)),"-")</f>
        <v>-</v>
      </c>
      <c r="W2917" s="20" t="str">
        <f t="shared" si="1582"/>
        <v>-</v>
      </c>
      <c r="X2917" s="20" t="str">
        <f>IFERROR(W2917*L2915,"-")</f>
        <v>-</v>
      </c>
      <c r="Z2917" s="85" t="s">
        <v>82</v>
      </c>
    </row>
    <row r="2918" spans="1:26" ht="6.95" customHeight="1" x14ac:dyDescent="0.3">
      <c r="A2918" s="8"/>
      <c r="B2918" s="157"/>
      <c r="C2918" s="158"/>
      <c r="D2918" s="161" t="s">
        <v>39</v>
      </c>
      <c r="E2918" s="162"/>
      <c r="F2918" s="163" t="s">
        <v>40</v>
      </c>
      <c r="G2918" s="164"/>
      <c r="H2918" s="165"/>
      <c r="I2918" s="164"/>
      <c r="J2918" s="165"/>
      <c r="K2918" s="164"/>
      <c r="L2918" s="165"/>
      <c r="M2918" s="6"/>
      <c r="N2918" s="32"/>
      <c r="Q2918" s="10" t="str">
        <f>+CONCATENATE(E2918,G2918)</f>
        <v/>
      </c>
      <c r="R2918" s="10">
        <f>+H2918</f>
        <v>0</v>
      </c>
      <c r="S2918" s="11"/>
      <c r="T2918" s="10">
        <f>+E2918</f>
        <v>0</v>
      </c>
      <c r="U2918" s="19" t="str">
        <f t="shared" ref="U2918" si="1583">IFERROR(LEFT(G2918,FIND("*",G2918)-1),"-")</f>
        <v>-</v>
      </c>
      <c r="V2918" s="19" t="str">
        <f t="shared" ref="V2918" si="1584">IFERROR(RIGHT(G2918,LEN(G2918)-FIND("*",G2918)),"-")</f>
        <v>-</v>
      </c>
      <c r="W2918" s="20" t="str">
        <f t="shared" si="1582"/>
        <v>-</v>
      </c>
      <c r="X2918" s="20" t="str">
        <f>IFERROR(W2918*H2918,"-")</f>
        <v>-</v>
      </c>
      <c r="Z2918" s="85" t="s">
        <v>82</v>
      </c>
    </row>
    <row r="2919" spans="1:26" ht="6.95" customHeight="1" x14ac:dyDescent="0.3">
      <c r="A2919" s="5"/>
      <c r="B2919" s="157"/>
      <c r="C2919" s="158"/>
      <c r="D2919" s="161"/>
      <c r="E2919" s="162"/>
      <c r="F2919" s="163"/>
      <c r="G2919" s="164"/>
      <c r="H2919" s="165"/>
      <c r="I2919" s="164"/>
      <c r="J2919" s="165"/>
      <c r="K2919" s="164"/>
      <c r="L2919" s="165"/>
      <c r="M2919" s="6"/>
      <c r="N2919" s="32"/>
      <c r="Q2919" s="10" t="str">
        <f>+CONCATENATE(E2918,I2918)</f>
        <v/>
      </c>
      <c r="R2919" s="10">
        <f>+J2918</f>
        <v>0</v>
      </c>
      <c r="S2919" s="11"/>
      <c r="T2919" s="10">
        <f>+E2918</f>
        <v>0</v>
      </c>
      <c r="U2919" s="19" t="str">
        <f>IFERROR(LEFT(I2918,FIND("*",I2918)-1),"-")</f>
        <v>-</v>
      </c>
      <c r="V2919" s="19" t="str">
        <f>IFERROR(RIGHT(I2918,LEN(I2918)-FIND("*",I2918)),"-")</f>
        <v>-</v>
      </c>
      <c r="W2919" s="20" t="str">
        <f t="shared" si="1582"/>
        <v>-</v>
      </c>
      <c r="X2919" s="20" t="str">
        <f>IFERROR(W2919*J2918,"-")</f>
        <v>-</v>
      </c>
      <c r="Z2919" s="85" t="s">
        <v>82</v>
      </c>
    </row>
    <row r="2920" spans="1:26" ht="6.95" customHeight="1" x14ac:dyDescent="0.3">
      <c r="A2920" s="5"/>
      <c r="B2920" s="157"/>
      <c r="C2920" s="158"/>
      <c r="D2920" s="161"/>
      <c r="E2920" s="162"/>
      <c r="F2920" s="163"/>
      <c r="G2920" s="164"/>
      <c r="H2920" s="165"/>
      <c r="I2920" s="164"/>
      <c r="J2920" s="165"/>
      <c r="K2920" s="164"/>
      <c r="L2920" s="165"/>
      <c r="M2920" s="6"/>
      <c r="N2920" s="32"/>
      <c r="Q2920" s="10" t="str">
        <f>+CONCATENATE(E2918,K2918)</f>
        <v/>
      </c>
      <c r="R2920" s="10">
        <f>+L2918</f>
        <v>0</v>
      </c>
      <c r="S2920" s="11"/>
      <c r="T2920" s="10">
        <f>+E2918</f>
        <v>0</v>
      </c>
      <c r="U2920" s="19" t="str">
        <f>IFERROR(LEFT(K2918,FIND("*",K2918)-1),"-")</f>
        <v>-</v>
      </c>
      <c r="V2920" s="19" t="str">
        <f>IFERROR(RIGHT(K2918,LEN(K2918)-FIND("*",K2918)),"-")</f>
        <v>-</v>
      </c>
      <c r="W2920" s="20" t="str">
        <f t="shared" si="1582"/>
        <v>-</v>
      </c>
      <c r="X2920" s="20" t="str">
        <f>IFERROR(W2920*L2918,"-")</f>
        <v>-</v>
      </c>
      <c r="Z2920" s="85" t="s">
        <v>82</v>
      </c>
    </row>
    <row r="2921" spans="1:26" ht="6.95" customHeight="1" x14ac:dyDescent="0.3">
      <c r="A2921" s="8"/>
      <c r="B2921" s="157"/>
      <c r="C2921" s="158"/>
      <c r="D2921" s="161" t="s">
        <v>39</v>
      </c>
      <c r="E2921" s="162"/>
      <c r="F2921" s="163" t="s">
        <v>40</v>
      </c>
      <c r="G2921" s="164"/>
      <c r="H2921" s="165"/>
      <c r="I2921" s="164"/>
      <c r="J2921" s="165"/>
      <c r="K2921" s="164"/>
      <c r="L2921" s="165"/>
      <c r="M2921" s="6"/>
      <c r="N2921" s="32"/>
      <c r="Q2921" s="10" t="str">
        <f>+CONCATENATE(E2921,G2921)</f>
        <v/>
      </c>
      <c r="R2921" s="10">
        <f>+H2921</f>
        <v>0</v>
      </c>
      <c r="S2921" s="11"/>
      <c r="T2921" s="10">
        <f>+E2921</f>
        <v>0</v>
      </c>
      <c r="U2921" s="19" t="str">
        <f t="shared" ref="U2921" si="1585">IFERROR(LEFT(G2921,FIND("*",G2921)-1),"-")</f>
        <v>-</v>
      </c>
      <c r="V2921" s="19" t="str">
        <f t="shared" ref="V2921" si="1586">IFERROR(RIGHT(G2921,LEN(G2921)-FIND("*",G2921)),"-")</f>
        <v>-</v>
      </c>
      <c r="W2921" s="20" t="str">
        <f t="shared" si="1582"/>
        <v>-</v>
      </c>
      <c r="X2921" s="20" t="str">
        <f>IFERROR(W2921*H2921,"-")</f>
        <v>-</v>
      </c>
      <c r="Z2921" s="85" t="s">
        <v>82</v>
      </c>
    </row>
    <row r="2922" spans="1:26" ht="6.95" customHeight="1" x14ac:dyDescent="0.3">
      <c r="A2922" s="5"/>
      <c r="B2922" s="157"/>
      <c r="C2922" s="158"/>
      <c r="D2922" s="161"/>
      <c r="E2922" s="162"/>
      <c r="F2922" s="163"/>
      <c r="G2922" s="164"/>
      <c r="H2922" s="165"/>
      <c r="I2922" s="164"/>
      <c r="J2922" s="165"/>
      <c r="K2922" s="164"/>
      <c r="L2922" s="165"/>
      <c r="M2922" s="6"/>
      <c r="N2922" s="32"/>
      <c r="Q2922" s="10" t="str">
        <f>+CONCATENATE(E2921,I2921)</f>
        <v/>
      </c>
      <c r="R2922" s="10">
        <f>+J2921</f>
        <v>0</v>
      </c>
      <c r="S2922" s="11"/>
      <c r="T2922" s="10">
        <f>+E2921</f>
        <v>0</v>
      </c>
      <c r="U2922" s="19" t="str">
        <f>IFERROR(LEFT(I2921,FIND("*",I2921)-1),"-")</f>
        <v>-</v>
      </c>
      <c r="V2922" s="19" t="str">
        <f>IFERROR(RIGHT(I2921,LEN(I2921)-FIND("*",I2921)),"-")</f>
        <v>-</v>
      </c>
      <c r="W2922" s="20" t="str">
        <f t="shared" si="1582"/>
        <v>-</v>
      </c>
      <c r="X2922" s="20" t="str">
        <f t="shared" ref="X2922" si="1587">IFERROR(W2922*J2921,"-")</f>
        <v>-</v>
      </c>
      <c r="Z2922" s="85" t="s">
        <v>82</v>
      </c>
    </row>
    <row r="2923" spans="1:26" ht="6.95" customHeight="1" x14ac:dyDescent="0.3">
      <c r="A2923" s="5"/>
      <c r="B2923" s="157"/>
      <c r="C2923" s="158"/>
      <c r="D2923" s="161"/>
      <c r="E2923" s="162"/>
      <c r="F2923" s="163"/>
      <c r="G2923" s="164"/>
      <c r="H2923" s="165"/>
      <c r="I2923" s="164"/>
      <c r="J2923" s="165"/>
      <c r="K2923" s="164"/>
      <c r="L2923" s="165"/>
      <c r="M2923" s="6"/>
      <c r="N2923" s="32"/>
      <c r="Q2923" s="10" t="str">
        <f>+CONCATENATE(E2921,K2921)</f>
        <v/>
      </c>
      <c r="R2923" s="10">
        <f>+L2921</f>
        <v>0</v>
      </c>
      <c r="S2923" s="11"/>
      <c r="T2923" s="10">
        <f>+E2921</f>
        <v>0</v>
      </c>
      <c r="U2923" s="19" t="str">
        <f>IFERROR(LEFT(K2921,FIND("*",K2921)-1),"-")</f>
        <v>-</v>
      </c>
      <c r="V2923" s="19" t="str">
        <f>IFERROR(RIGHT(K2921,LEN(K2921)-FIND("*",K2921)),"-")</f>
        <v>-</v>
      </c>
      <c r="W2923" s="20" t="str">
        <f t="shared" si="1582"/>
        <v>-</v>
      </c>
      <c r="X2923" s="20" t="str">
        <f>IFERROR(W2923*L2921,"-")</f>
        <v>-</v>
      </c>
      <c r="Z2923" s="85" t="s">
        <v>82</v>
      </c>
    </row>
    <row r="2924" spans="1:26" ht="21" customHeight="1" thickBot="1" x14ac:dyDescent="0.35">
      <c r="A2924" s="5"/>
      <c r="B2924" s="159"/>
      <c r="C2924" s="160"/>
      <c r="D2924" s="166" t="s">
        <v>43</v>
      </c>
      <c r="E2924" s="167"/>
      <c r="F2924" s="167"/>
      <c r="G2924" s="168"/>
      <c r="H2924" s="168"/>
      <c r="I2924" s="168"/>
      <c r="J2924" s="168"/>
      <c r="K2924" s="168"/>
      <c r="L2924" s="168"/>
      <c r="M2924" s="7"/>
      <c r="N2924" s="32"/>
      <c r="Z2924" s="86" t="s">
        <v>81</v>
      </c>
    </row>
    <row r="2925" spans="1:26" ht="9.9499999999999993" customHeight="1" thickBot="1" x14ac:dyDescent="0.35">
      <c r="B2925" s="9"/>
      <c r="C2925" s="109"/>
      <c r="D2925" s="51"/>
      <c r="E2925" s="12"/>
      <c r="F2925" s="51"/>
      <c r="G2925" s="14"/>
      <c r="H2925" s="14"/>
      <c r="I2925" s="14"/>
      <c r="J2925" s="14"/>
      <c r="K2925" s="14"/>
      <c r="L2925" s="14"/>
      <c r="M2925" s="9"/>
      <c r="N2925" s="32"/>
      <c r="U2925" s="18"/>
      <c r="V2925" s="18"/>
      <c r="Z2925" s="85" t="s">
        <v>82</v>
      </c>
    </row>
    <row r="2926" spans="1:26" ht="6.95" customHeight="1" x14ac:dyDescent="0.3">
      <c r="A2926" s="154">
        <f>+A2915+1</f>
        <v>1065</v>
      </c>
      <c r="B2926" s="155"/>
      <c r="C2926" s="156"/>
      <c r="D2926" s="161" t="s">
        <v>39</v>
      </c>
      <c r="E2926" s="162"/>
      <c r="F2926" s="163" t="s">
        <v>40</v>
      </c>
      <c r="G2926" s="164"/>
      <c r="H2926" s="165"/>
      <c r="I2926" s="164"/>
      <c r="J2926" s="165"/>
      <c r="K2926" s="164"/>
      <c r="L2926" s="165"/>
      <c r="M2926" s="6"/>
      <c r="N2926" s="32"/>
      <c r="Q2926" s="10" t="str">
        <f>+CONCATENATE(E2926,G2926)</f>
        <v/>
      </c>
      <c r="R2926" s="10">
        <f>+H2926</f>
        <v>0</v>
      </c>
      <c r="S2926" s="11"/>
      <c r="T2926" s="10">
        <f>+E2926</f>
        <v>0</v>
      </c>
      <c r="U2926" s="19" t="str">
        <f>IFERROR(LEFT(G2926,FIND("*",G2926)-1),"-")</f>
        <v>-</v>
      </c>
      <c r="V2926" s="19" t="str">
        <f>IFERROR(RIGHT(G2926,LEN(G2926)-FIND("*",G2926)),"-")</f>
        <v>-</v>
      </c>
      <c r="W2926" s="20" t="str">
        <f>IFERROR((U2926+V2926)*2/1000,"-")</f>
        <v>-</v>
      </c>
      <c r="X2926" s="20" t="str">
        <f>IFERROR(W2926*H2926,"-")</f>
        <v>-</v>
      </c>
      <c r="Z2926" s="85" t="s">
        <v>82</v>
      </c>
    </row>
    <row r="2927" spans="1:26" ht="6.95" customHeight="1" x14ac:dyDescent="0.3">
      <c r="A2927" s="154"/>
      <c r="B2927" s="157"/>
      <c r="C2927" s="158"/>
      <c r="D2927" s="161"/>
      <c r="E2927" s="162"/>
      <c r="F2927" s="163"/>
      <c r="G2927" s="164"/>
      <c r="H2927" s="165"/>
      <c r="I2927" s="164"/>
      <c r="J2927" s="165"/>
      <c r="K2927" s="164"/>
      <c r="L2927" s="165"/>
      <c r="M2927" s="6"/>
      <c r="N2927" s="32"/>
      <c r="Q2927" s="10" t="str">
        <f>+CONCATENATE(E2926,I2926)</f>
        <v/>
      </c>
      <c r="R2927" s="10">
        <f>+J2926</f>
        <v>0</v>
      </c>
      <c r="S2927" s="11"/>
      <c r="T2927" s="10">
        <f>+E2926</f>
        <v>0</v>
      </c>
      <c r="U2927" s="19" t="str">
        <f>IFERROR(LEFT(I2926,FIND("*",I2926)-1),"-")</f>
        <v>-</v>
      </c>
      <c r="V2927" s="19" t="str">
        <f>IFERROR(RIGHT(I2926,LEN(I2926)-FIND("*",I2926)),"-")</f>
        <v>-</v>
      </c>
      <c r="W2927" s="20" t="str">
        <f t="shared" ref="W2927:W2934" si="1588">IFERROR((U2927+V2927)*2/1000,"-")</f>
        <v>-</v>
      </c>
      <c r="X2927" s="20" t="str">
        <f>IFERROR(W2927*J2926,"-")</f>
        <v>-</v>
      </c>
      <c r="Z2927" s="85" t="s">
        <v>82</v>
      </c>
    </row>
    <row r="2928" spans="1:26" ht="6.95" customHeight="1" x14ac:dyDescent="0.3">
      <c r="A2928" s="154"/>
      <c r="B2928" s="157"/>
      <c r="C2928" s="158"/>
      <c r="D2928" s="161"/>
      <c r="E2928" s="162"/>
      <c r="F2928" s="163"/>
      <c r="G2928" s="164"/>
      <c r="H2928" s="165"/>
      <c r="I2928" s="164"/>
      <c r="J2928" s="165"/>
      <c r="K2928" s="164"/>
      <c r="L2928" s="165"/>
      <c r="M2928" s="6"/>
      <c r="N2928" s="32"/>
      <c r="Q2928" s="10" t="str">
        <f>+CONCATENATE(E2926,K2926)</f>
        <v/>
      </c>
      <c r="R2928" s="10">
        <f>+L2926</f>
        <v>0</v>
      </c>
      <c r="S2928" s="11"/>
      <c r="T2928" s="10">
        <f>+E2926</f>
        <v>0</v>
      </c>
      <c r="U2928" s="19" t="str">
        <f>IFERROR(LEFT(K2926,FIND("*",K2926)-1),"-")</f>
        <v>-</v>
      </c>
      <c r="V2928" s="19" t="str">
        <f>IFERROR(RIGHT(K2926,LEN(K2926)-FIND("*",K2926)),"-")</f>
        <v>-</v>
      </c>
      <c r="W2928" s="20" t="str">
        <f t="shared" si="1588"/>
        <v>-</v>
      </c>
      <c r="X2928" s="20" t="str">
        <f>IFERROR(W2928*L2926,"-")</f>
        <v>-</v>
      </c>
      <c r="Z2928" s="85" t="s">
        <v>82</v>
      </c>
    </row>
    <row r="2929" spans="1:26" ht="6.95" customHeight="1" x14ac:dyDescent="0.3">
      <c r="A2929" s="8"/>
      <c r="B2929" s="157"/>
      <c r="C2929" s="158"/>
      <c r="D2929" s="161" t="s">
        <v>39</v>
      </c>
      <c r="E2929" s="162"/>
      <c r="F2929" s="163" t="s">
        <v>40</v>
      </c>
      <c r="G2929" s="164"/>
      <c r="H2929" s="165"/>
      <c r="I2929" s="164"/>
      <c r="J2929" s="165"/>
      <c r="K2929" s="164"/>
      <c r="L2929" s="165"/>
      <c r="M2929" s="6"/>
      <c r="N2929" s="32"/>
      <c r="Q2929" s="10" t="str">
        <f>+CONCATENATE(E2929,G2929)</f>
        <v/>
      </c>
      <c r="R2929" s="10">
        <f>+H2929</f>
        <v>0</v>
      </c>
      <c r="S2929" s="11"/>
      <c r="T2929" s="10">
        <f>+E2929</f>
        <v>0</v>
      </c>
      <c r="U2929" s="19" t="str">
        <f t="shared" ref="U2929" si="1589">IFERROR(LEFT(G2929,FIND("*",G2929)-1),"-")</f>
        <v>-</v>
      </c>
      <c r="V2929" s="19" t="str">
        <f t="shared" ref="V2929" si="1590">IFERROR(RIGHT(G2929,LEN(G2929)-FIND("*",G2929)),"-")</f>
        <v>-</v>
      </c>
      <c r="W2929" s="20" t="str">
        <f t="shared" si="1588"/>
        <v>-</v>
      </c>
      <c r="X2929" s="20" t="str">
        <f>IFERROR(W2929*H2929,"-")</f>
        <v>-</v>
      </c>
      <c r="Z2929" s="85" t="s">
        <v>82</v>
      </c>
    </row>
    <row r="2930" spans="1:26" ht="6.95" customHeight="1" x14ac:dyDescent="0.3">
      <c r="A2930" s="5"/>
      <c r="B2930" s="157"/>
      <c r="C2930" s="158"/>
      <c r="D2930" s="161"/>
      <c r="E2930" s="162"/>
      <c r="F2930" s="163"/>
      <c r="G2930" s="164"/>
      <c r="H2930" s="165"/>
      <c r="I2930" s="164"/>
      <c r="J2930" s="165"/>
      <c r="K2930" s="164"/>
      <c r="L2930" s="165"/>
      <c r="M2930" s="6"/>
      <c r="N2930" s="32"/>
      <c r="Q2930" s="10" t="str">
        <f>+CONCATENATE(E2929,I2929)</f>
        <v/>
      </c>
      <c r="R2930" s="10">
        <f>+J2929</f>
        <v>0</v>
      </c>
      <c r="S2930" s="11"/>
      <c r="T2930" s="10">
        <f>+E2929</f>
        <v>0</v>
      </c>
      <c r="U2930" s="19" t="str">
        <f>IFERROR(LEFT(I2929,FIND("*",I2929)-1),"-")</f>
        <v>-</v>
      </c>
      <c r="V2930" s="19" t="str">
        <f>IFERROR(RIGHT(I2929,LEN(I2929)-FIND("*",I2929)),"-")</f>
        <v>-</v>
      </c>
      <c r="W2930" s="20" t="str">
        <f t="shared" si="1588"/>
        <v>-</v>
      </c>
      <c r="X2930" s="20" t="str">
        <f>IFERROR(W2930*J2929,"-")</f>
        <v>-</v>
      </c>
      <c r="Z2930" s="85" t="s">
        <v>82</v>
      </c>
    </row>
    <row r="2931" spans="1:26" ht="6.95" customHeight="1" x14ac:dyDescent="0.3">
      <c r="A2931" s="5"/>
      <c r="B2931" s="157"/>
      <c r="C2931" s="158"/>
      <c r="D2931" s="161"/>
      <c r="E2931" s="162"/>
      <c r="F2931" s="163"/>
      <c r="G2931" s="164"/>
      <c r="H2931" s="165"/>
      <c r="I2931" s="164"/>
      <c r="J2931" s="165"/>
      <c r="K2931" s="164"/>
      <c r="L2931" s="165"/>
      <c r="M2931" s="6"/>
      <c r="N2931" s="32"/>
      <c r="Q2931" s="10" t="str">
        <f>+CONCATENATE(E2929,K2929)</f>
        <v/>
      </c>
      <c r="R2931" s="10">
        <f>+L2929</f>
        <v>0</v>
      </c>
      <c r="S2931" s="11"/>
      <c r="T2931" s="10">
        <f>+E2929</f>
        <v>0</v>
      </c>
      <c r="U2931" s="19" t="str">
        <f>IFERROR(LEFT(K2929,FIND("*",K2929)-1),"-")</f>
        <v>-</v>
      </c>
      <c r="V2931" s="19" t="str">
        <f>IFERROR(RIGHT(K2929,LEN(K2929)-FIND("*",K2929)),"-")</f>
        <v>-</v>
      </c>
      <c r="W2931" s="20" t="str">
        <f t="shared" si="1588"/>
        <v>-</v>
      </c>
      <c r="X2931" s="20" t="str">
        <f>IFERROR(W2931*L2929,"-")</f>
        <v>-</v>
      </c>
      <c r="Z2931" s="85" t="s">
        <v>82</v>
      </c>
    </row>
    <row r="2932" spans="1:26" ht="6.95" customHeight="1" x14ac:dyDescent="0.3">
      <c r="A2932" s="8"/>
      <c r="B2932" s="157"/>
      <c r="C2932" s="158"/>
      <c r="D2932" s="161" t="s">
        <v>39</v>
      </c>
      <c r="E2932" s="162"/>
      <c r="F2932" s="163" t="s">
        <v>40</v>
      </c>
      <c r="G2932" s="164"/>
      <c r="H2932" s="165"/>
      <c r="I2932" s="164"/>
      <c r="J2932" s="165"/>
      <c r="K2932" s="164"/>
      <c r="L2932" s="165"/>
      <c r="M2932" s="6"/>
      <c r="N2932" s="32"/>
      <c r="Q2932" s="10" t="str">
        <f>+CONCATENATE(E2932,G2932)</f>
        <v/>
      </c>
      <c r="R2932" s="10">
        <f>+H2932</f>
        <v>0</v>
      </c>
      <c r="S2932" s="11"/>
      <c r="T2932" s="10">
        <f>+E2932</f>
        <v>0</v>
      </c>
      <c r="U2932" s="19" t="str">
        <f t="shared" ref="U2932" si="1591">IFERROR(LEFT(G2932,FIND("*",G2932)-1),"-")</f>
        <v>-</v>
      </c>
      <c r="V2932" s="19" t="str">
        <f t="shared" ref="V2932" si="1592">IFERROR(RIGHT(G2932,LEN(G2932)-FIND("*",G2932)),"-")</f>
        <v>-</v>
      </c>
      <c r="W2932" s="20" t="str">
        <f t="shared" si="1588"/>
        <v>-</v>
      </c>
      <c r="X2932" s="20" t="str">
        <f>IFERROR(W2932*H2932,"-")</f>
        <v>-</v>
      </c>
      <c r="Z2932" s="85" t="s">
        <v>82</v>
      </c>
    </row>
    <row r="2933" spans="1:26" ht="6.95" customHeight="1" x14ac:dyDescent="0.3">
      <c r="A2933" s="5"/>
      <c r="B2933" s="157"/>
      <c r="C2933" s="158"/>
      <c r="D2933" s="161"/>
      <c r="E2933" s="162"/>
      <c r="F2933" s="163"/>
      <c r="G2933" s="164"/>
      <c r="H2933" s="165"/>
      <c r="I2933" s="164"/>
      <c r="J2933" s="165"/>
      <c r="K2933" s="164"/>
      <c r="L2933" s="165"/>
      <c r="M2933" s="6"/>
      <c r="N2933" s="32"/>
      <c r="Q2933" s="10" t="str">
        <f>+CONCATENATE(E2932,I2932)</f>
        <v/>
      </c>
      <c r="R2933" s="10">
        <f>+J2932</f>
        <v>0</v>
      </c>
      <c r="S2933" s="11"/>
      <c r="T2933" s="10">
        <f>+E2932</f>
        <v>0</v>
      </c>
      <c r="U2933" s="19" t="str">
        <f>IFERROR(LEFT(I2932,FIND("*",I2932)-1),"-")</f>
        <v>-</v>
      </c>
      <c r="V2933" s="19" t="str">
        <f>IFERROR(RIGHT(I2932,LEN(I2932)-FIND("*",I2932)),"-")</f>
        <v>-</v>
      </c>
      <c r="W2933" s="20" t="str">
        <f t="shared" si="1588"/>
        <v>-</v>
      </c>
      <c r="X2933" s="20" t="str">
        <f t="shared" ref="X2933" si="1593">IFERROR(W2933*J2932,"-")</f>
        <v>-</v>
      </c>
      <c r="Z2933" s="85" t="s">
        <v>82</v>
      </c>
    </row>
    <row r="2934" spans="1:26" ht="6.95" customHeight="1" x14ac:dyDescent="0.3">
      <c r="A2934" s="5"/>
      <c r="B2934" s="157"/>
      <c r="C2934" s="158"/>
      <c r="D2934" s="161"/>
      <c r="E2934" s="162"/>
      <c r="F2934" s="163"/>
      <c r="G2934" s="164"/>
      <c r="H2934" s="165"/>
      <c r="I2934" s="164"/>
      <c r="J2934" s="165"/>
      <c r="K2934" s="164"/>
      <c r="L2934" s="165"/>
      <c r="M2934" s="6"/>
      <c r="N2934" s="32"/>
      <c r="Q2934" s="10" t="str">
        <f>+CONCATENATE(E2932,K2932)</f>
        <v/>
      </c>
      <c r="R2934" s="10">
        <f>+L2932</f>
        <v>0</v>
      </c>
      <c r="S2934" s="11"/>
      <c r="T2934" s="10">
        <f>+E2932</f>
        <v>0</v>
      </c>
      <c r="U2934" s="19" t="str">
        <f>IFERROR(LEFT(K2932,FIND("*",K2932)-1),"-")</f>
        <v>-</v>
      </c>
      <c r="V2934" s="19" t="str">
        <f>IFERROR(RIGHT(K2932,LEN(K2932)-FIND("*",K2932)),"-")</f>
        <v>-</v>
      </c>
      <c r="W2934" s="20" t="str">
        <f t="shared" si="1588"/>
        <v>-</v>
      </c>
      <c r="X2934" s="20" t="str">
        <f>IFERROR(W2934*L2932,"-")</f>
        <v>-</v>
      </c>
      <c r="Z2934" s="85" t="s">
        <v>82</v>
      </c>
    </row>
    <row r="2935" spans="1:26" ht="21" customHeight="1" thickBot="1" x14ac:dyDescent="0.35">
      <c r="A2935" s="5"/>
      <c r="B2935" s="159"/>
      <c r="C2935" s="160"/>
      <c r="D2935" s="166" t="s">
        <v>43</v>
      </c>
      <c r="E2935" s="167"/>
      <c r="F2935" s="167"/>
      <c r="G2935" s="168"/>
      <c r="H2935" s="168"/>
      <c r="I2935" s="168"/>
      <c r="J2935" s="168"/>
      <c r="K2935" s="168"/>
      <c r="L2935" s="168"/>
      <c r="M2935" s="7"/>
      <c r="N2935" s="32"/>
      <c r="Z2935" s="86" t="s">
        <v>81</v>
      </c>
    </row>
    <row r="2936" spans="1:26" ht="9.9499999999999993" customHeight="1" thickBot="1" x14ac:dyDescent="0.35">
      <c r="B2936" s="9"/>
      <c r="C2936" s="109"/>
      <c r="D2936" s="51"/>
      <c r="E2936" s="12"/>
      <c r="F2936" s="51"/>
      <c r="G2936" s="14"/>
      <c r="H2936" s="14"/>
      <c r="I2936" s="14"/>
      <c r="J2936" s="14"/>
      <c r="K2936" s="14"/>
      <c r="L2936" s="14"/>
      <c r="M2936" s="9"/>
      <c r="N2936" s="32"/>
      <c r="U2936" s="18"/>
      <c r="V2936" s="18"/>
      <c r="Z2936" s="85" t="s">
        <v>82</v>
      </c>
    </row>
    <row r="2937" spans="1:26" ht="6.95" customHeight="1" x14ac:dyDescent="0.3">
      <c r="A2937" s="154">
        <f>+A2926+1</f>
        <v>1066</v>
      </c>
      <c r="B2937" s="155"/>
      <c r="C2937" s="156"/>
      <c r="D2937" s="161" t="s">
        <v>39</v>
      </c>
      <c r="E2937" s="162"/>
      <c r="F2937" s="163" t="s">
        <v>40</v>
      </c>
      <c r="G2937" s="164"/>
      <c r="H2937" s="165"/>
      <c r="I2937" s="164"/>
      <c r="J2937" s="165"/>
      <c r="K2937" s="164"/>
      <c r="L2937" s="165"/>
      <c r="M2937" s="6"/>
      <c r="N2937" s="32"/>
      <c r="Q2937" s="10" t="str">
        <f>+CONCATENATE(E2937,G2937)</f>
        <v/>
      </c>
      <c r="R2937" s="10">
        <f>+H2937</f>
        <v>0</v>
      </c>
      <c r="S2937" s="11"/>
      <c r="T2937" s="10">
        <f>+E2937</f>
        <v>0</v>
      </c>
      <c r="U2937" s="19" t="str">
        <f>IFERROR(LEFT(G2937,FIND("*",G2937)-1),"-")</f>
        <v>-</v>
      </c>
      <c r="V2937" s="19" t="str">
        <f>IFERROR(RIGHT(G2937,LEN(G2937)-FIND("*",G2937)),"-")</f>
        <v>-</v>
      </c>
      <c r="W2937" s="20" t="str">
        <f>IFERROR((U2937+V2937)*2/1000,"-")</f>
        <v>-</v>
      </c>
      <c r="X2937" s="20" t="str">
        <f>IFERROR(W2937*H2937,"-")</f>
        <v>-</v>
      </c>
      <c r="Z2937" s="85" t="s">
        <v>82</v>
      </c>
    </row>
    <row r="2938" spans="1:26" ht="6.95" customHeight="1" x14ac:dyDescent="0.3">
      <c r="A2938" s="154"/>
      <c r="B2938" s="157"/>
      <c r="C2938" s="158"/>
      <c r="D2938" s="161"/>
      <c r="E2938" s="162"/>
      <c r="F2938" s="163"/>
      <c r="G2938" s="164"/>
      <c r="H2938" s="165"/>
      <c r="I2938" s="164"/>
      <c r="J2938" s="165"/>
      <c r="K2938" s="164"/>
      <c r="L2938" s="165"/>
      <c r="M2938" s="6"/>
      <c r="N2938" s="32"/>
      <c r="Q2938" s="10" t="str">
        <f>+CONCATENATE(E2937,I2937)</f>
        <v/>
      </c>
      <c r="R2938" s="10">
        <f>+J2937</f>
        <v>0</v>
      </c>
      <c r="S2938" s="11"/>
      <c r="T2938" s="10">
        <f>+E2937</f>
        <v>0</v>
      </c>
      <c r="U2938" s="19" t="str">
        <f>IFERROR(LEFT(I2937,FIND("*",I2937)-1),"-")</f>
        <v>-</v>
      </c>
      <c r="V2938" s="19" t="str">
        <f>IFERROR(RIGHT(I2937,LEN(I2937)-FIND("*",I2937)),"-")</f>
        <v>-</v>
      </c>
      <c r="W2938" s="20" t="str">
        <f t="shared" ref="W2938:W2945" si="1594">IFERROR((U2938+V2938)*2/1000,"-")</f>
        <v>-</v>
      </c>
      <c r="X2938" s="20" t="str">
        <f>IFERROR(W2938*J2937,"-")</f>
        <v>-</v>
      </c>
      <c r="Z2938" s="85" t="s">
        <v>82</v>
      </c>
    </row>
    <row r="2939" spans="1:26" ht="6.95" customHeight="1" x14ac:dyDescent="0.3">
      <c r="A2939" s="154"/>
      <c r="B2939" s="157"/>
      <c r="C2939" s="158"/>
      <c r="D2939" s="161"/>
      <c r="E2939" s="162"/>
      <c r="F2939" s="163"/>
      <c r="G2939" s="164"/>
      <c r="H2939" s="165"/>
      <c r="I2939" s="164"/>
      <c r="J2939" s="165"/>
      <c r="K2939" s="164"/>
      <c r="L2939" s="165"/>
      <c r="M2939" s="6"/>
      <c r="N2939" s="32"/>
      <c r="Q2939" s="10" t="str">
        <f>+CONCATENATE(E2937,K2937)</f>
        <v/>
      </c>
      <c r="R2939" s="10">
        <f>+L2937</f>
        <v>0</v>
      </c>
      <c r="S2939" s="11"/>
      <c r="T2939" s="10">
        <f>+E2937</f>
        <v>0</v>
      </c>
      <c r="U2939" s="19" t="str">
        <f>IFERROR(LEFT(K2937,FIND("*",K2937)-1),"-")</f>
        <v>-</v>
      </c>
      <c r="V2939" s="19" t="str">
        <f>IFERROR(RIGHT(K2937,LEN(K2937)-FIND("*",K2937)),"-")</f>
        <v>-</v>
      </c>
      <c r="W2939" s="20" t="str">
        <f t="shared" si="1594"/>
        <v>-</v>
      </c>
      <c r="X2939" s="20" t="str">
        <f>IFERROR(W2939*L2937,"-")</f>
        <v>-</v>
      </c>
      <c r="Z2939" s="85" t="s">
        <v>82</v>
      </c>
    </row>
    <row r="2940" spans="1:26" ht="6.95" customHeight="1" x14ac:dyDescent="0.3">
      <c r="A2940" s="8"/>
      <c r="B2940" s="157"/>
      <c r="C2940" s="158"/>
      <c r="D2940" s="161" t="s">
        <v>39</v>
      </c>
      <c r="E2940" s="162"/>
      <c r="F2940" s="163" t="s">
        <v>40</v>
      </c>
      <c r="G2940" s="164"/>
      <c r="H2940" s="165"/>
      <c r="I2940" s="164"/>
      <c r="J2940" s="165"/>
      <c r="K2940" s="164"/>
      <c r="L2940" s="165"/>
      <c r="M2940" s="6"/>
      <c r="N2940" s="32"/>
      <c r="Q2940" s="10" t="str">
        <f>+CONCATENATE(E2940,G2940)</f>
        <v/>
      </c>
      <c r="R2940" s="10">
        <f>+H2940</f>
        <v>0</v>
      </c>
      <c r="S2940" s="11"/>
      <c r="T2940" s="10">
        <f>+E2940</f>
        <v>0</v>
      </c>
      <c r="U2940" s="19" t="str">
        <f t="shared" ref="U2940" si="1595">IFERROR(LEFT(G2940,FIND("*",G2940)-1),"-")</f>
        <v>-</v>
      </c>
      <c r="V2940" s="19" t="str">
        <f t="shared" ref="V2940" si="1596">IFERROR(RIGHT(G2940,LEN(G2940)-FIND("*",G2940)),"-")</f>
        <v>-</v>
      </c>
      <c r="W2940" s="20" t="str">
        <f t="shared" si="1594"/>
        <v>-</v>
      </c>
      <c r="X2940" s="20" t="str">
        <f>IFERROR(W2940*H2940,"-")</f>
        <v>-</v>
      </c>
      <c r="Z2940" s="85" t="s">
        <v>82</v>
      </c>
    </row>
    <row r="2941" spans="1:26" ht="6.95" customHeight="1" x14ac:dyDescent="0.3">
      <c r="A2941" s="5"/>
      <c r="B2941" s="157"/>
      <c r="C2941" s="158"/>
      <c r="D2941" s="161"/>
      <c r="E2941" s="162"/>
      <c r="F2941" s="163"/>
      <c r="G2941" s="164"/>
      <c r="H2941" s="165"/>
      <c r="I2941" s="164"/>
      <c r="J2941" s="165"/>
      <c r="K2941" s="164"/>
      <c r="L2941" s="165"/>
      <c r="M2941" s="6"/>
      <c r="N2941" s="32"/>
      <c r="Q2941" s="10" t="str">
        <f>+CONCATENATE(E2940,I2940)</f>
        <v/>
      </c>
      <c r="R2941" s="10">
        <f>+J2940</f>
        <v>0</v>
      </c>
      <c r="S2941" s="11"/>
      <c r="T2941" s="10">
        <f>+E2940</f>
        <v>0</v>
      </c>
      <c r="U2941" s="19" t="str">
        <f>IFERROR(LEFT(I2940,FIND("*",I2940)-1),"-")</f>
        <v>-</v>
      </c>
      <c r="V2941" s="19" t="str">
        <f>IFERROR(RIGHT(I2940,LEN(I2940)-FIND("*",I2940)),"-")</f>
        <v>-</v>
      </c>
      <c r="W2941" s="20" t="str">
        <f t="shared" si="1594"/>
        <v>-</v>
      </c>
      <c r="X2941" s="20" t="str">
        <f>IFERROR(W2941*J2940,"-")</f>
        <v>-</v>
      </c>
      <c r="Z2941" s="85" t="s">
        <v>82</v>
      </c>
    </row>
    <row r="2942" spans="1:26" ht="6.95" customHeight="1" x14ac:dyDescent="0.3">
      <c r="A2942" s="5"/>
      <c r="B2942" s="157"/>
      <c r="C2942" s="158"/>
      <c r="D2942" s="161"/>
      <c r="E2942" s="162"/>
      <c r="F2942" s="163"/>
      <c r="G2942" s="164"/>
      <c r="H2942" s="165"/>
      <c r="I2942" s="164"/>
      <c r="J2942" s="165"/>
      <c r="K2942" s="164"/>
      <c r="L2942" s="165"/>
      <c r="M2942" s="6"/>
      <c r="N2942" s="32"/>
      <c r="Q2942" s="10" t="str">
        <f>+CONCATENATE(E2940,K2940)</f>
        <v/>
      </c>
      <c r="R2942" s="10">
        <f>+L2940</f>
        <v>0</v>
      </c>
      <c r="S2942" s="11"/>
      <c r="T2942" s="10">
        <f>+E2940</f>
        <v>0</v>
      </c>
      <c r="U2942" s="19" t="str">
        <f>IFERROR(LEFT(K2940,FIND("*",K2940)-1),"-")</f>
        <v>-</v>
      </c>
      <c r="V2942" s="19" t="str">
        <f>IFERROR(RIGHT(K2940,LEN(K2940)-FIND("*",K2940)),"-")</f>
        <v>-</v>
      </c>
      <c r="W2942" s="20" t="str">
        <f t="shared" si="1594"/>
        <v>-</v>
      </c>
      <c r="X2942" s="20" t="str">
        <f>IFERROR(W2942*L2940,"-")</f>
        <v>-</v>
      </c>
      <c r="Z2942" s="85" t="s">
        <v>82</v>
      </c>
    </row>
    <row r="2943" spans="1:26" ht="6.95" customHeight="1" x14ac:dyDescent="0.3">
      <c r="A2943" s="8"/>
      <c r="B2943" s="157"/>
      <c r="C2943" s="158"/>
      <c r="D2943" s="161" t="s">
        <v>39</v>
      </c>
      <c r="E2943" s="162"/>
      <c r="F2943" s="163" t="s">
        <v>40</v>
      </c>
      <c r="G2943" s="164"/>
      <c r="H2943" s="165"/>
      <c r="I2943" s="164"/>
      <c r="J2943" s="165"/>
      <c r="K2943" s="164"/>
      <c r="L2943" s="165"/>
      <c r="M2943" s="6"/>
      <c r="N2943" s="32"/>
      <c r="Q2943" s="10" t="str">
        <f>+CONCATENATE(E2943,G2943)</f>
        <v/>
      </c>
      <c r="R2943" s="10">
        <f>+H2943</f>
        <v>0</v>
      </c>
      <c r="S2943" s="11"/>
      <c r="T2943" s="10">
        <f>+E2943</f>
        <v>0</v>
      </c>
      <c r="U2943" s="19" t="str">
        <f t="shared" ref="U2943" si="1597">IFERROR(LEFT(G2943,FIND("*",G2943)-1),"-")</f>
        <v>-</v>
      </c>
      <c r="V2943" s="19" t="str">
        <f t="shared" ref="V2943" si="1598">IFERROR(RIGHT(G2943,LEN(G2943)-FIND("*",G2943)),"-")</f>
        <v>-</v>
      </c>
      <c r="W2943" s="20" t="str">
        <f t="shared" si="1594"/>
        <v>-</v>
      </c>
      <c r="X2943" s="20" t="str">
        <f>IFERROR(W2943*H2943,"-")</f>
        <v>-</v>
      </c>
      <c r="Z2943" s="85" t="s">
        <v>82</v>
      </c>
    </row>
    <row r="2944" spans="1:26" ht="6.95" customHeight="1" x14ac:dyDescent="0.3">
      <c r="A2944" s="5"/>
      <c r="B2944" s="157"/>
      <c r="C2944" s="158"/>
      <c r="D2944" s="161"/>
      <c r="E2944" s="162"/>
      <c r="F2944" s="163"/>
      <c r="G2944" s="164"/>
      <c r="H2944" s="165"/>
      <c r="I2944" s="164"/>
      <c r="J2944" s="165"/>
      <c r="K2944" s="164"/>
      <c r="L2944" s="165"/>
      <c r="M2944" s="6"/>
      <c r="N2944" s="32"/>
      <c r="Q2944" s="10" t="str">
        <f>+CONCATENATE(E2943,I2943)</f>
        <v/>
      </c>
      <c r="R2944" s="10">
        <f>+J2943</f>
        <v>0</v>
      </c>
      <c r="S2944" s="11"/>
      <c r="T2944" s="10">
        <f>+E2943</f>
        <v>0</v>
      </c>
      <c r="U2944" s="19" t="str">
        <f>IFERROR(LEFT(I2943,FIND("*",I2943)-1),"-")</f>
        <v>-</v>
      </c>
      <c r="V2944" s="19" t="str">
        <f>IFERROR(RIGHT(I2943,LEN(I2943)-FIND("*",I2943)),"-")</f>
        <v>-</v>
      </c>
      <c r="W2944" s="20" t="str">
        <f t="shared" si="1594"/>
        <v>-</v>
      </c>
      <c r="X2944" s="20" t="str">
        <f t="shared" ref="X2944" si="1599">IFERROR(W2944*J2943,"-")</f>
        <v>-</v>
      </c>
      <c r="Z2944" s="85" t="s">
        <v>82</v>
      </c>
    </row>
    <row r="2945" spans="1:26" ht="6.95" customHeight="1" x14ac:dyDescent="0.3">
      <c r="A2945" s="5"/>
      <c r="B2945" s="157"/>
      <c r="C2945" s="158"/>
      <c r="D2945" s="161"/>
      <c r="E2945" s="162"/>
      <c r="F2945" s="163"/>
      <c r="G2945" s="164"/>
      <c r="H2945" s="165"/>
      <c r="I2945" s="164"/>
      <c r="J2945" s="165"/>
      <c r="K2945" s="164"/>
      <c r="L2945" s="165"/>
      <c r="M2945" s="6"/>
      <c r="N2945" s="32"/>
      <c r="Q2945" s="10" t="str">
        <f>+CONCATENATE(E2943,K2943)</f>
        <v/>
      </c>
      <c r="R2945" s="10">
        <f>+L2943</f>
        <v>0</v>
      </c>
      <c r="S2945" s="11"/>
      <c r="T2945" s="10">
        <f>+E2943</f>
        <v>0</v>
      </c>
      <c r="U2945" s="19" t="str">
        <f>IFERROR(LEFT(K2943,FIND("*",K2943)-1),"-")</f>
        <v>-</v>
      </c>
      <c r="V2945" s="19" t="str">
        <f>IFERROR(RIGHT(K2943,LEN(K2943)-FIND("*",K2943)),"-")</f>
        <v>-</v>
      </c>
      <c r="W2945" s="20" t="str">
        <f t="shared" si="1594"/>
        <v>-</v>
      </c>
      <c r="X2945" s="20" t="str">
        <f>IFERROR(W2945*L2943,"-")</f>
        <v>-</v>
      </c>
      <c r="Z2945" s="85" t="s">
        <v>82</v>
      </c>
    </row>
    <row r="2946" spans="1:26" ht="21" customHeight="1" thickBot="1" x14ac:dyDescent="0.35">
      <c r="A2946" s="5"/>
      <c r="B2946" s="159"/>
      <c r="C2946" s="160"/>
      <c r="D2946" s="166" t="s">
        <v>43</v>
      </c>
      <c r="E2946" s="167"/>
      <c r="F2946" s="167"/>
      <c r="G2946" s="168"/>
      <c r="H2946" s="168"/>
      <c r="I2946" s="168"/>
      <c r="J2946" s="168"/>
      <c r="K2946" s="168"/>
      <c r="L2946" s="168"/>
      <c r="M2946" s="7"/>
      <c r="N2946" s="32"/>
      <c r="Z2946" s="86" t="s">
        <v>81</v>
      </c>
    </row>
    <row r="2947" spans="1:26" ht="9.9499999999999993" customHeight="1" thickBot="1" x14ac:dyDescent="0.35">
      <c r="B2947" s="9"/>
      <c r="C2947" s="109"/>
      <c r="D2947" s="51"/>
      <c r="E2947" s="12"/>
      <c r="F2947" s="51"/>
      <c r="G2947" s="14"/>
      <c r="H2947" s="14"/>
      <c r="I2947" s="14"/>
      <c r="J2947" s="14"/>
      <c r="K2947" s="14"/>
      <c r="L2947" s="14"/>
      <c r="M2947" s="9"/>
      <c r="N2947" s="32"/>
      <c r="U2947" s="18"/>
      <c r="V2947" s="18"/>
      <c r="Z2947" s="85" t="s">
        <v>82</v>
      </c>
    </row>
    <row r="2948" spans="1:26" ht="6.95" customHeight="1" x14ac:dyDescent="0.3">
      <c r="A2948" s="154">
        <f>+A2937+1</f>
        <v>1067</v>
      </c>
      <c r="B2948" s="155"/>
      <c r="C2948" s="156"/>
      <c r="D2948" s="161" t="s">
        <v>39</v>
      </c>
      <c r="E2948" s="162"/>
      <c r="F2948" s="163" t="s">
        <v>40</v>
      </c>
      <c r="G2948" s="164"/>
      <c r="H2948" s="165"/>
      <c r="I2948" s="164"/>
      <c r="J2948" s="165"/>
      <c r="K2948" s="164"/>
      <c r="L2948" s="165"/>
      <c r="M2948" s="6"/>
      <c r="N2948" s="32"/>
      <c r="Q2948" s="10" t="str">
        <f>+CONCATENATE(E2948,G2948)</f>
        <v/>
      </c>
      <c r="R2948" s="10">
        <f>+H2948</f>
        <v>0</v>
      </c>
      <c r="S2948" s="11"/>
      <c r="T2948" s="10">
        <f>+E2948</f>
        <v>0</v>
      </c>
      <c r="U2948" s="19" t="str">
        <f>IFERROR(LEFT(G2948,FIND("*",G2948)-1),"-")</f>
        <v>-</v>
      </c>
      <c r="V2948" s="19" t="str">
        <f>IFERROR(RIGHT(G2948,LEN(G2948)-FIND("*",G2948)),"-")</f>
        <v>-</v>
      </c>
      <c r="W2948" s="20" t="str">
        <f>IFERROR((U2948+V2948)*2/1000,"-")</f>
        <v>-</v>
      </c>
      <c r="X2948" s="20" t="str">
        <f>IFERROR(W2948*H2948,"-")</f>
        <v>-</v>
      </c>
      <c r="Z2948" s="85" t="s">
        <v>82</v>
      </c>
    </row>
    <row r="2949" spans="1:26" ht="6.95" customHeight="1" x14ac:dyDescent="0.3">
      <c r="A2949" s="154"/>
      <c r="B2949" s="157"/>
      <c r="C2949" s="158"/>
      <c r="D2949" s="161"/>
      <c r="E2949" s="162"/>
      <c r="F2949" s="163"/>
      <c r="G2949" s="164"/>
      <c r="H2949" s="165"/>
      <c r="I2949" s="164"/>
      <c r="J2949" s="165"/>
      <c r="K2949" s="164"/>
      <c r="L2949" s="165"/>
      <c r="M2949" s="6"/>
      <c r="N2949" s="32"/>
      <c r="Q2949" s="10" t="str">
        <f>+CONCATENATE(E2948,I2948)</f>
        <v/>
      </c>
      <c r="R2949" s="10">
        <f>+J2948</f>
        <v>0</v>
      </c>
      <c r="S2949" s="11"/>
      <c r="T2949" s="10">
        <f>+E2948</f>
        <v>0</v>
      </c>
      <c r="U2949" s="19" t="str">
        <f>IFERROR(LEFT(I2948,FIND("*",I2948)-1),"-")</f>
        <v>-</v>
      </c>
      <c r="V2949" s="19" t="str">
        <f>IFERROR(RIGHT(I2948,LEN(I2948)-FIND("*",I2948)),"-")</f>
        <v>-</v>
      </c>
      <c r="W2949" s="20" t="str">
        <f t="shared" ref="W2949:W2956" si="1600">IFERROR((U2949+V2949)*2/1000,"-")</f>
        <v>-</v>
      </c>
      <c r="X2949" s="20" t="str">
        <f>IFERROR(W2949*J2948,"-")</f>
        <v>-</v>
      </c>
      <c r="Z2949" s="85" t="s">
        <v>82</v>
      </c>
    </row>
    <row r="2950" spans="1:26" ht="6.95" customHeight="1" x14ac:dyDescent="0.3">
      <c r="A2950" s="154"/>
      <c r="B2950" s="157"/>
      <c r="C2950" s="158"/>
      <c r="D2950" s="161"/>
      <c r="E2950" s="162"/>
      <c r="F2950" s="163"/>
      <c r="G2950" s="164"/>
      <c r="H2950" s="165"/>
      <c r="I2950" s="164"/>
      <c r="J2950" s="165"/>
      <c r="K2950" s="164"/>
      <c r="L2950" s="165"/>
      <c r="M2950" s="6"/>
      <c r="N2950" s="32"/>
      <c r="Q2950" s="10" t="str">
        <f>+CONCATENATE(E2948,K2948)</f>
        <v/>
      </c>
      <c r="R2950" s="10">
        <f>+L2948</f>
        <v>0</v>
      </c>
      <c r="S2950" s="11"/>
      <c r="T2950" s="10">
        <f>+E2948</f>
        <v>0</v>
      </c>
      <c r="U2950" s="19" t="str">
        <f>IFERROR(LEFT(K2948,FIND("*",K2948)-1),"-")</f>
        <v>-</v>
      </c>
      <c r="V2950" s="19" t="str">
        <f>IFERROR(RIGHT(K2948,LEN(K2948)-FIND("*",K2948)),"-")</f>
        <v>-</v>
      </c>
      <c r="W2950" s="20" t="str">
        <f t="shared" si="1600"/>
        <v>-</v>
      </c>
      <c r="X2950" s="20" t="str">
        <f>IFERROR(W2950*L2948,"-")</f>
        <v>-</v>
      </c>
      <c r="Z2950" s="85" t="s">
        <v>82</v>
      </c>
    </row>
    <row r="2951" spans="1:26" ht="6.95" customHeight="1" x14ac:dyDescent="0.3">
      <c r="A2951" s="8"/>
      <c r="B2951" s="157"/>
      <c r="C2951" s="158"/>
      <c r="D2951" s="161" t="s">
        <v>39</v>
      </c>
      <c r="E2951" s="162"/>
      <c r="F2951" s="163" t="s">
        <v>40</v>
      </c>
      <c r="G2951" s="164"/>
      <c r="H2951" s="165"/>
      <c r="I2951" s="164"/>
      <c r="J2951" s="165"/>
      <c r="K2951" s="164"/>
      <c r="L2951" s="165"/>
      <c r="M2951" s="6"/>
      <c r="N2951" s="32"/>
      <c r="Q2951" s="10" t="str">
        <f>+CONCATENATE(E2951,G2951)</f>
        <v/>
      </c>
      <c r="R2951" s="10">
        <f>+H2951</f>
        <v>0</v>
      </c>
      <c r="S2951" s="11"/>
      <c r="T2951" s="10">
        <f>+E2951</f>
        <v>0</v>
      </c>
      <c r="U2951" s="19" t="str">
        <f t="shared" ref="U2951" si="1601">IFERROR(LEFT(G2951,FIND("*",G2951)-1),"-")</f>
        <v>-</v>
      </c>
      <c r="V2951" s="19" t="str">
        <f t="shared" ref="V2951" si="1602">IFERROR(RIGHT(G2951,LEN(G2951)-FIND("*",G2951)),"-")</f>
        <v>-</v>
      </c>
      <c r="W2951" s="20" t="str">
        <f t="shared" si="1600"/>
        <v>-</v>
      </c>
      <c r="X2951" s="20" t="str">
        <f>IFERROR(W2951*H2951,"-")</f>
        <v>-</v>
      </c>
      <c r="Z2951" s="85" t="s">
        <v>82</v>
      </c>
    </row>
    <row r="2952" spans="1:26" ht="6.95" customHeight="1" x14ac:dyDescent="0.3">
      <c r="A2952" s="5"/>
      <c r="B2952" s="157"/>
      <c r="C2952" s="158"/>
      <c r="D2952" s="161"/>
      <c r="E2952" s="162"/>
      <c r="F2952" s="163"/>
      <c r="G2952" s="164"/>
      <c r="H2952" s="165"/>
      <c r="I2952" s="164"/>
      <c r="J2952" s="165"/>
      <c r="K2952" s="164"/>
      <c r="L2952" s="165"/>
      <c r="M2952" s="6"/>
      <c r="N2952" s="32"/>
      <c r="Q2952" s="10" t="str">
        <f>+CONCATENATE(E2951,I2951)</f>
        <v/>
      </c>
      <c r="R2952" s="10">
        <f>+J2951</f>
        <v>0</v>
      </c>
      <c r="S2952" s="11"/>
      <c r="T2952" s="10">
        <f>+E2951</f>
        <v>0</v>
      </c>
      <c r="U2952" s="19" t="str">
        <f>IFERROR(LEFT(I2951,FIND("*",I2951)-1),"-")</f>
        <v>-</v>
      </c>
      <c r="V2952" s="19" t="str">
        <f>IFERROR(RIGHT(I2951,LEN(I2951)-FIND("*",I2951)),"-")</f>
        <v>-</v>
      </c>
      <c r="W2952" s="20" t="str">
        <f t="shared" si="1600"/>
        <v>-</v>
      </c>
      <c r="X2952" s="20" t="str">
        <f>IFERROR(W2952*J2951,"-")</f>
        <v>-</v>
      </c>
      <c r="Z2952" s="85" t="s">
        <v>82</v>
      </c>
    </row>
    <row r="2953" spans="1:26" ht="6.95" customHeight="1" x14ac:dyDescent="0.3">
      <c r="A2953" s="5"/>
      <c r="B2953" s="157"/>
      <c r="C2953" s="158"/>
      <c r="D2953" s="161"/>
      <c r="E2953" s="162"/>
      <c r="F2953" s="163"/>
      <c r="G2953" s="164"/>
      <c r="H2953" s="165"/>
      <c r="I2953" s="164"/>
      <c r="J2953" s="165"/>
      <c r="K2953" s="164"/>
      <c r="L2953" s="165"/>
      <c r="M2953" s="6"/>
      <c r="N2953" s="32"/>
      <c r="Q2953" s="10" t="str">
        <f>+CONCATENATE(E2951,K2951)</f>
        <v/>
      </c>
      <c r="R2953" s="10">
        <f>+L2951</f>
        <v>0</v>
      </c>
      <c r="S2953" s="11"/>
      <c r="T2953" s="10">
        <f>+E2951</f>
        <v>0</v>
      </c>
      <c r="U2953" s="19" t="str">
        <f>IFERROR(LEFT(K2951,FIND("*",K2951)-1),"-")</f>
        <v>-</v>
      </c>
      <c r="V2953" s="19" t="str">
        <f>IFERROR(RIGHT(K2951,LEN(K2951)-FIND("*",K2951)),"-")</f>
        <v>-</v>
      </c>
      <c r="W2953" s="20" t="str">
        <f t="shared" si="1600"/>
        <v>-</v>
      </c>
      <c r="X2953" s="20" t="str">
        <f>IFERROR(W2953*L2951,"-")</f>
        <v>-</v>
      </c>
      <c r="Z2953" s="85" t="s">
        <v>82</v>
      </c>
    </row>
    <row r="2954" spans="1:26" ht="6.95" customHeight="1" x14ac:dyDescent="0.3">
      <c r="A2954" s="8"/>
      <c r="B2954" s="157"/>
      <c r="C2954" s="158"/>
      <c r="D2954" s="161" t="s">
        <v>39</v>
      </c>
      <c r="E2954" s="162"/>
      <c r="F2954" s="163" t="s">
        <v>40</v>
      </c>
      <c r="G2954" s="164"/>
      <c r="H2954" s="165"/>
      <c r="I2954" s="164"/>
      <c r="J2954" s="165"/>
      <c r="K2954" s="164"/>
      <c r="L2954" s="165"/>
      <c r="M2954" s="6"/>
      <c r="N2954" s="32"/>
      <c r="Q2954" s="10" t="str">
        <f>+CONCATENATE(E2954,G2954)</f>
        <v/>
      </c>
      <c r="R2954" s="10">
        <f>+H2954</f>
        <v>0</v>
      </c>
      <c r="S2954" s="11"/>
      <c r="T2954" s="10">
        <f>+E2954</f>
        <v>0</v>
      </c>
      <c r="U2954" s="19" t="str">
        <f t="shared" ref="U2954" si="1603">IFERROR(LEFT(G2954,FIND("*",G2954)-1),"-")</f>
        <v>-</v>
      </c>
      <c r="V2954" s="19" t="str">
        <f t="shared" ref="V2954" si="1604">IFERROR(RIGHT(G2954,LEN(G2954)-FIND("*",G2954)),"-")</f>
        <v>-</v>
      </c>
      <c r="W2954" s="20" t="str">
        <f t="shared" si="1600"/>
        <v>-</v>
      </c>
      <c r="X2954" s="20" t="str">
        <f>IFERROR(W2954*H2954,"-")</f>
        <v>-</v>
      </c>
      <c r="Z2954" s="85" t="s">
        <v>82</v>
      </c>
    </row>
    <row r="2955" spans="1:26" ht="6.95" customHeight="1" x14ac:dyDescent="0.3">
      <c r="A2955" s="5"/>
      <c r="B2955" s="157"/>
      <c r="C2955" s="158"/>
      <c r="D2955" s="161"/>
      <c r="E2955" s="162"/>
      <c r="F2955" s="163"/>
      <c r="G2955" s="164"/>
      <c r="H2955" s="165"/>
      <c r="I2955" s="164"/>
      <c r="J2955" s="165"/>
      <c r="K2955" s="164"/>
      <c r="L2955" s="165"/>
      <c r="M2955" s="6"/>
      <c r="N2955" s="32"/>
      <c r="Q2955" s="10" t="str">
        <f>+CONCATENATE(E2954,I2954)</f>
        <v/>
      </c>
      <c r="R2955" s="10">
        <f>+J2954</f>
        <v>0</v>
      </c>
      <c r="S2955" s="11"/>
      <c r="T2955" s="10">
        <f>+E2954</f>
        <v>0</v>
      </c>
      <c r="U2955" s="19" t="str">
        <f>IFERROR(LEFT(I2954,FIND("*",I2954)-1),"-")</f>
        <v>-</v>
      </c>
      <c r="V2955" s="19" t="str">
        <f>IFERROR(RIGHT(I2954,LEN(I2954)-FIND("*",I2954)),"-")</f>
        <v>-</v>
      </c>
      <c r="W2955" s="20" t="str">
        <f t="shared" si="1600"/>
        <v>-</v>
      </c>
      <c r="X2955" s="20" t="str">
        <f t="shared" ref="X2955" si="1605">IFERROR(W2955*J2954,"-")</f>
        <v>-</v>
      </c>
      <c r="Z2955" s="85" t="s">
        <v>82</v>
      </c>
    </row>
    <row r="2956" spans="1:26" ht="6.95" customHeight="1" x14ac:dyDescent="0.3">
      <c r="A2956" s="5"/>
      <c r="B2956" s="157"/>
      <c r="C2956" s="158"/>
      <c r="D2956" s="161"/>
      <c r="E2956" s="162"/>
      <c r="F2956" s="163"/>
      <c r="G2956" s="164"/>
      <c r="H2956" s="165"/>
      <c r="I2956" s="164"/>
      <c r="J2956" s="165"/>
      <c r="K2956" s="164"/>
      <c r="L2956" s="165"/>
      <c r="M2956" s="6"/>
      <c r="N2956" s="32"/>
      <c r="Q2956" s="10" t="str">
        <f>+CONCATENATE(E2954,K2954)</f>
        <v/>
      </c>
      <c r="R2956" s="10">
        <f>+L2954</f>
        <v>0</v>
      </c>
      <c r="S2956" s="11"/>
      <c r="T2956" s="10">
        <f>+E2954</f>
        <v>0</v>
      </c>
      <c r="U2956" s="19" t="str">
        <f>IFERROR(LEFT(K2954,FIND("*",K2954)-1),"-")</f>
        <v>-</v>
      </c>
      <c r="V2956" s="19" t="str">
        <f>IFERROR(RIGHT(K2954,LEN(K2954)-FIND("*",K2954)),"-")</f>
        <v>-</v>
      </c>
      <c r="W2956" s="20" t="str">
        <f t="shared" si="1600"/>
        <v>-</v>
      </c>
      <c r="X2956" s="20" t="str">
        <f>IFERROR(W2956*L2954,"-")</f>
        <v>-</v>
      </c>
      <c r="Z2956" s="85" t="s">
        <v>82</v>
      </c>
    </row>
    <row r="2957" spans="1:26" ht="21" customHeight="1" thickBot="1" x14ac:dyDescent="0.35">
      <c r="A2957" s="5"/>
      <c r="B2957" s="159"/>
      <c r="C2957" s="160"/>
      <c r="D2957" s="166" t="s">
        <v>43</v>
      </c>
      <c r="E2957" s="167"/>
      <c r="F2957" s="167"/>
      <c r="G2957" s="168"/>
      <c r="H2957" s="168"/>
      <c r="I2957" s="168"/>
      <c r="J2957" s="168"/>
      <c r="K2957" s="168"/>
      <c r="L2957" s="168"/>
      <c r="M2957" s="7"/>
      <c r="N2957" s="32"/>
      <c r="Z2957" s="86" t="s">
        <v>81</v>
      </c>
    </row>
    <row r="2958" spans="1:26" ht="9.9499999999999993" customHeight="1" thickBot="1" x14ac:dyDescent="0.35">
      <c r="B2958" s="9"/>
      <c r="C2958" s="109"/>
      <c r="D2958" s="51"/>
      <c r="E2958" s="12"/>
      <c r="F2958" s="51"/>
      <c r="G2958" s="14"/>
      <c r="H2958" s="14"/>
      <c r="I2958" s="14"/>
      <c r="J2958" s="14"/>
      <c r="K2958" s="14"/>
      <c r="L2958" s="14"/>
      <c r="M2958" s="9"/>
      <c r="N2958" s="32"/>
      <c r="U2958" s="18"/>
      <c r="V2958" s="18"/>
      <c r="Z2958" s="85" t="s">
        <v>82</v>
      </c>
    </row>
    <row r="2959" spans="1:26" ht="6.95" customHeight="1" x14ac:dyDescent="0.3">
      <c r="A2959" s="154">
        <f>+A2948+1</f>
        <v>1068</v>
      </c>
      <c r="B2959" s="155"/>
      <c r="C2959" s="156"/>
      <c r="D2959" s="161" t="s">
        <v>39</v>
      </c>
      <c r="E2959" s="162"/>
      <c r="F2959" s="163" t="s">
        <v>40</v>
      </c>
      <c r="G2959" s="164"/>
      <c r="H2959" s="165"/>
      <c r="I2959" s="164"/>
      <c r="J2959" s="165"/>
      <c r="K2959" s="164"/>
      <c r="L2959" s="165"/>
      <c r="M2959" s="6"/>
      <c r="N2959" s="32"/>
      <c r="Q2959" s="10" t="str">
        <f>+CONCATENATE(E2959,G2959)</f>
        <v/>
      </c>
      <c r="R2959" s="10">
        <f>+H2959</f>
        <v>0</v>
      </c>
      <c r="S2959" s="11"/>
      <c r="T2959" s="10">
        <f>+E2959</f>
        <v>0</v>
      </c>
      <c r="U2959" s="19" t="str">
        <f>IFERROR(LEFT(G2959,FIND("*",G2959)-1),"-")</f>
        <v>-</v>
      </c>
      <c r="V2959" s="19" t="str">
        <f>IFERROR(RIGHT(G2959,LEN(G2959)-FIND("*",G2959)),"-")</f>
        <v>-</v>
      </c>
      <c r="W2959" s="20" t="str">
        <f>IFERROR((U2959+V2959)*2/1000,"-")</f>
        <v>-</v>
      </c>
      <c r="X2959" s="20" t="str">
        <f>IFERROR(W2959*H2959,"-")</f>
        <v>-</v>
      </c>
      <c r="Z2959" s="85" t="s">
        <v>82</v>
      </c>
    </row>
    <row r="2960" spans="1:26" ht="6.95" customHeight="1" x14ac:dyDescent="0.3">
      <c r="A2960" s="154"/>
      <c r="B2960" s="157"/>
      <c r="C2960" s="158"/>
      <c r="D2960" s="161"/>
      <c r="E2960" s="162"/>
      <c r="F2960" s="163"/>
      <c r="G2960" s="164"/>
      <c r="H2960" s="165"/>
      <c r="I2960" s="164"/>
      <c r="J2960" s="165"/>
      <c r="K2960" s="164"/>
      <c r="L2960" s="165"/>
      <c r="M2960" s="6"/>
      <c r="N2960" s="32"/>
      <c r="Q2960" s="10" t="str">
        <f>+CONCATENATE(E2959,I2959)</f>
        <v/>
      </c>
      <c r="R2960" s="10">
        <f>+J2959</f>
        <v>0</v>
      </c>
      <c r="S2960" s="11"/>
      <c r="T2960" s="10">
        <f>+E2959</f>
        <v>0</v>
      </c>
      <c r="U2960" s="19" t="str">
        <f>IFERROR(LEFT(I2959,FIND("*",I2959)-1),"-")</f>
        <v>-</v>
      </c>
      <c r="V2960" s="19" t="str">
        <f>IFERROR(RIGHT(I2959,LEN(I2959)-FIND("*",I2959)),"-")</f>
        <v>-</v>
      </c>
      <c r="W2960" s="20" t="str">
        <f t="shared" ref="W2960:W2967" si="1606">IFERROR((U2960+V2960)*2/1000,"-")</f>
        <v>-</v>
      </c>
      <c r="X2960" s="20" t="str">
        <f>IFERROR(W2960*J2959,"-")</f>
        <v>-</v>
      </c>
      <c r="Z2960" s="85" t="s">
        <v>82</v>
      </c>
    </row>
    <row r="2961" spans="1:26" ht="6.95" customHeight="1" x14ac:dyDescent="0.3">
      <c r="A2961" s="154"/>
      <c r="B2961" s="157"/>
      <c r="C2961" s="158"/>
      <c r="D2961" s="161"/>
      <c r="E2961" s="162"/>
      <c r="F2961" s="163"/>
      <c r="G2961" s="164"/>
      <c r="H2961" s="165"/>
      <c r="I2961" s="164"/>
      <c r="J2961" s="165"/>
      <c r="K2961" s="164"/>
      <c r="L2961" s="165"/>
      <c r="M2961" s="6"/>
      <c r="N2961" s="32"/>
      <c r="Q2961" s="10" t="str">
        <f>+CONCATENATE(E2959,K2959)</f>
        <v/>
      </c>
      <c r="R2961" s="10">
        <f>+L2959</f>
        <v>0</v>
      </c>
      <c r="S2961" s="11"/>
      <c r="T2961" s="10">
        <f>+E2959</f>
        <v>0</v>
      </c>
      <c r="U2961" s="19" t="str">
        <f>IFERROR(LEFT(K2959,FIND("*",K2959)-1),"-")</f>
        <v>-</v>
      </c>
      <c r="V2961" s="19" t="str">
        <f>IFERROR(RIGHT(K2959,LEN(K2959)-FIND("*",K2959)),"-")</f>
        <v>-</v>
      </c>
      <c r="W2961" s="20" t="str">
        <f t="shared" si="1606"/>
        <v>-</v>
      </c>
      <c r="X2961" s="20" t="str">
        <f>IFERROR(W2961*L2959,"-")</f>
        <v>-</v>
      </c>
      <c r="Z2961" s="85" t="s">
        <v>82</v>
      </c>
    </row>
    <row r="2962" spans="1:26" ht="6.95" customHeight="1" x14ac:dyDescent="0.3">
      <c r="A2962" s="8"/>
      <c r="B2962" s="157"/>
      <c r="C2962" s="158"/>
      <c r="D2962" s="161" t="s">
        <v>39</v>
      </c>
      <c r="E2962" s="162"/>
      <c r="F2962" s="163" t="s">
        <v>40</v>
      </c>
      <c r="G2962" s="164"/>
      <c r="H2962" s="165"/>
      <c r="I2962" s="164"/>
      <c r="J2962" s="165"/>
      <c r="K2962" s="164"/>
      <c r="L2962" s="165"/>
      <c r="M2962" s="6"/>
      <c r="N2962" s="32"/>
      <c r="Q2962" s="10" t="str">
        <f>+CONCATENATE(E2962,G2962)</f>
        <v/>
      </c>
      <c r="R2962" s="10">
        <f>+H2962</f>
        <v>0</v>
      </c>
      <c r="S2962" s="11"/>
      <c r="T2962" s="10">
        <f>+E2962</f>
        <v>0</v>
      </c>
      <c r="U2962" s="19" t="str">
        <f t="shared" ref="U2962" si="1607">IFERROR(LEFT(G2962,FIND("*",G2962)-1),"-")</f>
        <v>-</v>
      </c>
      <c r="V2962" s="19" t="str">
        <f t="shared" ref="V2962" si="1608">IFERROR(RIGHT(G2962,LEN(G2962)-FIND("*",G2962)),"-")</f>
        <v>-</v>
      </c>
      <c r="W2962" s="20" t="str">
        <f t="shared" si="1606"/>
        <v>-</v>
      </c>
      <c r="X2962" s="20" t="str">
        <f>IFERROR(W2962*H2962,"-")</f>
        <v>-</v>
      </c>
      <c r="Z2962" s="85" t="s">
        <v>82</v>
      </c>
    </row>
    <row r="2963" spans="1:26" ht="6.95" customHeight="1" x14ac:dyDescent="0.3">
      <c r="A2963" s="5"/>
      <c r="B2963" s="157"/>
      <c r="C2963" s="158"/>
      <c r="D2963" s="161"/>
      <c r="E2963" s="162"/>
      <c r="F2963" s="163"/>
      <c r="G2963" s="164"/>
      <c r="H2963" s="165"/>
      <c r="I2963" s="164"/>
      <c r="J2963" s="165"/>
      <c r="K2963" s="164"/>
      <c r="L2963" s="165"/>
      <c r="M2963" s="6"/>
      <c r="N2963" s="32"/>
      <c r="Q2963" s="10" t="str">
        <f>+CONCATENATE(E2962,I2962)</f>
        <v/>
      </c>
      <c r="R2963" s="10">
        <f>+J2962</f>
        <v>0</v>
      </c>
      <c r="S2963" s="11"/>
      <c r="T2963" s="10">
        <f>+E2962</f>
        <v>0</v>
      </c>
      <c r="U2963" s="19" t="str">
        <f>IFERROR(LEFT(I2962,FIND("*",I2962)-1),"-")</f>
        <v>-</v>
      </c>
      <c r="V2963" s="19" t="str">
        <f>IFERROR(RIGHT(I2962,LEN(I2962)-FIND("*",I2962)),"-")</f>
        <v>-</v>
      </c>
      <c r="W2963" s="20" t="str">
        <f t="shared" si="1606"/>
        <v>-</v>
      </c>
      <c r="X2963" s="20" t="str">
        <f>IFERROR(W2963*J2962,"-")</f>
        <v>-</v>
      </c>
      <c r="Z2963" s="85" t="s">
        <v>82</v>
      </c>
    </row>
    <row r="2964" spans="1:26" ht="6.95" customHeight="1" x14ac:dyDescent="0.3">
      <c r="A2964" s="5"/>
      <c r="B2964" s="157"/>
      <c r="C2964" s="158"/>
      <c r="D2964" s="161"/>
      <c r="E2964" s="162"/>
      <c r="F2964" s="163"/>
      <c r="G2964" s="164"/>
      <c r="H2964" s="165"/>
      <c r="I2964" s="164"/>
      <c r="J2964" s="165"/>
      <c r="K2964" s="164"/>
      <c r="L2964" s="165"/>
      <c r="M2964" s="6"/>
      <c r="N2964" s="32"/>
      <c r="Q2964" s="10" t="str">
        <f>+CONCATENATE(E2962,K2962)</f>
        <v/>
      </c>
      <c r="R2964" s="10">
        <f>+L2962</f>
        <v>0</v>
      </c>
      <c r="S2964" s="11"/>
      <c r="T2964" s="10">
        <f>+E2962</f>
        <v>0</v>
      </c>
      <c r="U2964" s="19" t="str">
        <f>IFERROR(LEFT(K2962,FIND("*",K2962)-1),"-")</f>
        <v>-</v>
      </c>
      <c r="V2964" s="19" t="str">
        <f>IFERROR(RIGHT(K2962,LEN(K2962)-FIND("*",K2962)),"-")</f>
        <v>-</v>
      </c>
      <c r="W2964" s="20" t="str">
        <f t="shared" si="1606"/>
        <v>-</v>
      </c>
      <c r="X2964" s="20" t="str">
        <f>IFERROR(W2964*L2962,"-")</f>
        <v>-</v>
      </c>
      <c r="Z2964" s="85" t="s">
        <v>82</v>
      </c>
    </row>
    <row r="2965" spans="1:26" ht="6.95" customHeight="1" x14ac:dyDescent="0.3">
      <c r="A2965" s="8"/>
      <c r="B2965" s="157"/>
      <c r="C2965" s="158"/>
      <c r="D2965" s="161" t="s">
        <v>39</v>
      </c>
      <c r="E2965" s="162"/>
      <c r="F2965" s="163" t="s">
        <v>40</v>
      </c>
      <c r="G2965" s="164"/>
      <c r="H2965" s="165"/>
      <c r="I2965" s="164"/>
      <c r="J2965" s="165"/>
      <c r="K2965" s="164"/>
      <c r="L2965" s="165"/>
      <c r="M2965" s="6"/>
      <c r="N2965" s="32"/>
      <c r="Q2965" s="10" t="str">
        <f>+CONCATENATE(E2965,G2965)</f>
        <v/>
      </c>
      <c r="R2965" s="10">
        <f>+H2965</f>
        <v>0</v>
      </c>
      <c r="S2965" s="11"/>
      <c r="T2965" s="10">
        <f>+E2965</f>
        <v>0</v>
      </c>
      <c r="U2965" s="19" t="str">
        <f t="shared" ref="U2965" si="1609">IFERROR(LEFT(G2965,FIND("*",G2965)-1),"-")</f>
        <v>-</v>
      </c>
      <c r="V2965" s="19" t="str">
        <f t="shared" ref="V2965" si="1610">IFERROR(RIGHT(G2965,LEN(G2965)-FIND("*",G2965)),"-")</f>
        <v>-</v>
      </c>
      <c r="W2965" s="20" t="str">
        <f t="shared" si="1606"/>
        <v>-</v>
      </c>
      <c r="X2965" s="20" t="str">
        <f>IFERROR(W2965*H2965,"-")</f>
        <v>-</v>
      </c>
      <c r="Z2965" s="85" t="s">
        <v>82</v>
      </c>
    </row>
    <row r="2966" spans="1:26" ht="6.95" customHeight="1" x14ac:dyDescent="0.3">
      <c r="A2966" s="5"/>
      <c r="B2966" s="157"/>
      <c r="C2966" s="158"/>
      <c r="D2966" s="161"/>
      <c r="E2966" s="162"/>
      <c r="F2966" s="163"/>
      <c r="G2966" s="164"/>
      <c r="H2966" s="165"/>
      <c r="I2966" s="164"/>
      <c r="J2966" s="165"/>
      <c r="K2966" s="164"/>
      <c r="L2966" s="165"/>
      <c r="M2966" s="6"/>
      <c r="N2966" s="32"/>
      <c r="Q2966" s="10" t="str">
        <f>+CONCATENATE(E2965,I2965)</f>
        <v/>
      </c>
      <c r="R2966" s="10">
        <f>+J2965</f>
        <v>0</v>
      </c>
      <c r="S2966" s="11"/>
      <c r="T2966" s="10">
        <f>+E2965</f>
        <v>0</v>
      </c>
      <c r="U2966" s="19" t="str">
        <f>IFERROR(LEFT(I2965,FIND("*",I2965)-1),"-")</f>
        <v>-</v>
      </c>
      <c r="V2966" s="19" t="str">
        <f>IFERROR(RIGHT(I2965,LEN(I2965)-FIND("*",I2965)),"-")</f>
        <v>-</v>
      </c>
      <c r="W2966" s="20" t="str">
        <f t="shared" si="1606"/>
        <v>-</v>
      </c>
      <c r="X2966" s="20" t="str">
        <f t="shared" ref="X2966" si="1611">IFERROR(W2966*J2965,"-")</f>
        <v>-</v>
      </c>
      <c r="Z2966" s="85" t="s">
        <v>82</v>
      </c>
    </row>
    <row r="2967" spans="1:26" ht="6.95" customHeight="1" x14ac:dyDescent="0.3">
      <c r="A2967" s="5"/>
      <c r="B2967" s="157"/>
      <c r="C2967" s="158"/>
      <c r="D2967" s="161"/>
      <c r="E2967" s="162"/>
      <c r="F2967" s="163"/>
      <c r="G2967" s="164"/>
      <c r="H2967" s="165"/>
      <c r="I2967" s="164"/>
      <c r="J2967" s="165"/>
      <c r="K2967" s="164"/>
      <c r="L2967" s="165"/>
      <c r="M2967" s="6"/>
      <c r="N2967" s="32"/>
      <c r="Q2967" s="10" t="str">
        <f>+CONCATENATE(E2965,K2965)</f>
        <v/>
      </c>
      <c r="R2967" s="10">
        <f>+L2965</f>
        <v>0</v>
      </c>
      <c r="S2967" s="11"/>
      <c r="T2967" s="10">
        <f>+E2965</f>
        <v>0</v>
      </c>
      <c r="U2967" s="19" t="str">
        <f>IFERROR(LEFT(K2965,FIND("*",K2965)-1),"-")</f>
        <v>-</v>
      </c>
      <c r="V2967" s="19" t="str">
        <f>IFERROR(RIGHT(K2965,LEN(K2965)-FIND("*",K2965)),"-")</f>
        <v>-</v>
      </c>
      <c r="W2967" s="20" t="str">
        <f t="shared" si="1606"/>
        <v>-</v>
      </c>
      <c r="X2967" s="20" t="str">
        <f>IFERROR(W2967*L2965,"-")</f>
        <v>-</v>
      </c>
      <c r="Z2967" s="85" t="s">
        <v>82</v>
      </c>
    </row>
    <row r="2968" spans="1:26" ht="21" customHeight="1" thickBot="1" x14ac:dyDescent="0.35">
      <c r="A2968" s="5"/>
      <c r="B2968" s="159"/>
      <c r="C2968" s="160"/>
      <c r="D2968" s="166" t="s">
        <v>43</v>
      </c>
      <c r="E2968" s="167"/>
      <c r="F2968" s="167"/>
      <c r="G2968" s="168"/>
      <c r="H2968" s="168"/>
      <c r="I2968" s="168"/>
      <c r="J2968" s="168"/>
      <c r="K2968" s="168"/>
      <c r="L2968" s="168"/>
      <c r="M2968" s="7"/>
      <c r="N2968" s="32"/>
      <c r="Z2968" s="86" t="s">
        <v>81</v>
      </c>
    </row>
    <row r="2969" spans="1:26" ht="9.9499999999999993" customHeight="1" thickBot="1" x14ac:dyDescent="0.35">
      <c r="B2969" s="9"/>
      <c r="C2969" s="109"/>
      <c r="D2969" s="51"/>
      <c r="E2969" s="12"/>
      <c r="F2969" s="51"/>
      <c r="G2969" s="14"/>
      <c r="H2969" s="14"/>
      <c r="I2969" s="14"/>
      <c r="J2969" s="14"/>
      <c r="K2969" s="14"/>
      <c r="L2969" s="14"/>
      <c r="M2969" s="9"/>
      <c r="N2969" s="32"/>
      <c r="U2969" s="18"/>
      <c r="V2969" s="18"/>
      <c r="Z2969" s="85" t="s">
        <v>82</v>
      </c>
    </row>
    <row r="2970" spans="1:26" ht="6.95" customHeight="1" x14ac:dyDescent="0.3">
      <c r="A2970" s="154">
        <f>+A2959+1</f>
        <v>1069</v>
      </c>
      <c r="B2970" s="155"/>
      <c r="C2970" s="156"/>
      <c r="D2970" s="161" t="s">
        <v>39</v>
      </c>
      <c r="E2970" s="162"/>
      <c r="F2970" s="163" t="s">
        <v>40</v>
      </c>
      <c r="G2970" s="164"/>
      <c r="H2970" s="165"/>
      <c r="I2970" s="164"/>
      <c r="J2970" s="165"/>
      <c r="K2970" s="164"/>
      <c r="L2970" s="165"/>
      <c r="M2970" s="6"/>
      <c r="N2970" s="32"/>
      <c r="Q2970" s="10" t="str">
        <f>+CONCATENATE(E2970,G2970)</f>
        <v/>
      </c>
      <c r="R2970" s="10">
        <f>+H2970</f>
        <v>0</v>
      </c>
      <c r="S2970" s="11"/>
      <c r="T2970" s="10">
        <f>+E2970</f>
        <v>0</v>
      </c>
      <c r="U2970" s="19" t="str">
        <f>IFERROR(LEFT(G2970,FIND("*",G2970)-1),"-")</f>
        <v>-</v>
      </c>
      <c r="V2970" s="19" t="str">
        <f>IFERROR(RIGHT(G2970,LEN(G2970)-FIND("*",G2970)),"-")</f>
        <v>-</v>
      </c>
      <c r="W2970" s="20" t="str">
        <f>IFERROR((U2970+V2970)*2/1000,"-")</f>
        <v>-</v>
      </c>
      <c r="X2970" s="20" t="str">
        <f>IFERROR(W2970*H2970,"-")</f>
        <v>-</v>
      </c>
      <c r="Z2970" s="85" t="s">
        <v>82</v>
      </c>
    </row>
    <row r="2971" spans="1:26" ht="6.95" customHeight="1" x14ac:dyDescent="0.3">
      <c r="A2971" s="154"/>
      <c r="B2971" s="157"/>
      <c r="C2971" s="158"/>
      <c r="D2971" s="161"/>
      <c r="E2971" s="162"/>
      <c r="F2971" s="163"/>
      <c r="G2971" s="164"/>
      <c r="H2971" s="165"/>
      <c r="I2971" s="164"/>
      <c r="J2971" s="165"/>
      <c r="K2971" s="164"/>
      <c r="L2971" s="165"/>
      <c r="M2971" s="6"/>
      <c r="N2971" s="32"/>
      <c r="Q2971" s="10" t="str">
        <f>+CONCATENATE(E2970,I2970)</f>
        <v/>
      </c>
      <c r="R2971" s="10">
        <f>+J2970</f>
        <v>0</v>
      </c>
      <c r="S2971" s="11"/>
      <c r="T2971" s="10">
        <f>+E2970</f>
        <v>0</v>
      </c>
      <c r="U2971" s="19" t="str">
        <f>IFERROR(LEFT(I2970,FIND("*",I2970)-1),"-")</f>
        <v>-</v>
      </c>
      <c r="V2971" s="19" t="str">
        <f>IFERROR(RIGHT(I2970,LEN(I2970)-FIND("*",I2970)),"-")</f>
        <v>-</v>
      </c>
      <c r="W2971" s="20" t="str">
        <f t="shared" ref="W2971:W2978" si="1612">IFERROR((U2971+V2971)*2/1000,"-")</f>
        <v>-</v>
      </c>
      <c r="X2971" s="20" t="str">
        <f>IFERROR(W2971*J2970,"-")</f>
        <v>-</v>
      </c>
      <c r="Z2971" s="85" t="s">
        <v>82</v>
      </c>
    </row>
    <row r="2972" spans="1:26" ht="6.95" customHeight="1" x14ac:dyDescent="0.3">
      <c r="A2972" s="154"/>
      <c r="B2972" s="157"/>
      <c r="C2972" s="158"/>
      <c r="D2972" s="161"/>
      <c r="E2972" s="162"/>
      <c r="F2972" s="163"/>
      <c r="G2972" s="164"/>
      <c r="H2972" s="165"/>
      <c r="I2972" s="164"/>
      <c r="J2972" s="165"/>
      <c r="K2972" s="164"/>
      <c r="L2972" s="165"/>
      <c r="M2972" s="6"/>
      <c r="N2972" s="32"/>
      <c r="Q2972" s="10" t="str">
        <f>+CONCATENATE(E2970,K2970)</f>
        <v/>
      </c>
      <c r="R2972" s="10">
        <f>+L2970</f>
        <v>0</v>
      </c>
      <c r="S2972" s="11"/>
      <c r="T2972" s="10">
        <f>+E2970</f>
        <v>0</v>
      </c>
      <c r="U2972" s="19" t="str">
        <f>IFERROR(LEFT(K2970,FIND("*",K2970)-1),"-")</f>
        <v>-</v>
      </c>
      <c r="V2972" s="19" t="str">
        <f>IFERROR(RIGHT(K2970,LEN(K2970)-FIND("*",K2970)),"-")</f>
        <v>-</v>
      </c>
      <c r="W2972" s="20" t="str">
        <f t="shared" si="1612"/>
        <v>-</v>
      </c>
      <c r="X2972" s="20" t="str">
        <f>IFERROR(W2972*L2970,"-")</f>
        <v>-</v>
      </c>
      <c r="Z2972" s="85" t="s">
        <v>82</v>
      </c>
    </row>
    <row r="2973" spans="1:26" ht="6.95" customHeight="1" x14ac:dyDescent="0.3">
      <c r="A2973" s="8"/>
      <c r="B2973" s="157"/>
      <c r="C2973" s="158"/>
      <c r="D2973" s="161" t="s">
        <v>39</v>
      </c>
      <c r="E2973" s="162"/>
      <c r="F2973" s="163" t="s">
        <v>40</v>
      </c>
      <c r="G2973" s="164"/>
      <c r="H2973" s="165"/>
      <c r="I2973" s="164"/>
      <c r="J2973" s="165"/>
      <c r="K2973" s="164"/>
      <c r="L2973" s="165"/>
      <c r="M2973" s="6"/>
      <c r="N2973" s="32"/>
      <c r="Q2973" s="10" t="str">
        <f>+CONCATENATE(E2973,G2973)</f>
        <v/>
      </c>
      <c r="R2973" s="10">
        <f>+H2973</f>
        <v>0</v>
      </c>
      <c r="S2973" s="11"/>
      <c r="T2973" s="10">
        <f>+E2973</f>
        <v>0</v>
      </c>
      <c r="U2973" s="19" t="str">
        <f t="shared" ref="U2973" si="1613">IFERROR(LEFT(G2973,FIND("*",G2973)-1),"-")</f>
        <v>-</v>
      </c>
      <c r="V2973" s="19" t="str">
        <f t="shared" ref="V2973" si="1614">IFERROR(RIGHT(G2973,LEN(G2973)-FIND("*",G2973)),"-")</f>
        <v>-</v>
      </c>
      <c r="W2973" s="20" t="str">
        <f t="shared" si="1612"/>
        <v>-</v>
      </c>
      <c r="X2973" s="20" t="str">
        <f>IFERROR(W2973*H2973,"-")</f>
        <v>-</v>
      </c>
      <c r="Z2973" s="85" t="s">
        <v>82</v>
      </c>
    </row>
    <row r="2974" spans="1:26" ht="6.95" customHeight="1" x14ac:dyDescent="0.3">
      <c r="A2974" s="5"/>
      <c r="B2974" s="157"/>
      <c r="C2974" s="158"/>
      <c r="D2974" s="161"/>
      <c r="E2974" s="162"/>
      <c r="F2974" s="163"/>
      <c r="G2974" s="164"/>
      <c r="H2974" s="165"/>
      <c r="I2974" s="164"/>
      <c r="J2974" s="165"/>
      <c r="K2974" s="164"/>
      <c r="L2974" s="165"/>
      <c r="M2974" s="6"/>
      <c r="N2974" s="32"/>
      <c r="Q2974" s="10" t="str">
        <f>+CONCATENATE(E2973,I2973)</f>
        <v/>
      </c>
      <c r="R2974" s="10">
        <f>+J2973</f>
        <v>0</v>
      </c>
      <c r="S2974" s="11"/>
      <c r="T2974" s="10">
        <f>+E2973</f>
        <v>0</v>
      </c>
      <c r="U2974" s="19" t="str">
        <f>IFERROR(LEFT(I2973,FIND("*",I2973)-1),"-")</f>
        <v>-</v>
      </c>
      <c r="V2974" s="19" t="str">
        <f>IFERROR(RIGHT(I2973,LEN(I2973)-FIND("*",I2973)),"-")</f>
        <v>-</v>
      </c>
      <c r="W2974" s="20" t="str">
        <f t="shared" si="1612"/>
        <v>-</v>
      </c>
      <c r="X2974" s="20" t="str">
        <f>IFERROR(W2974*J2973,"-")</f>
        <v>-</v>
      </c>
      <c r="Z2974" s="85" t="s">
        <v>82</v>
      </c>
    </row>
    <row r="2975" spans="1:26" ht="6.95" customHeight="1" x14ac:dyDescent="0.3">
      <c r="A2975" s="5"/>
      <c r="B2975" s="157"/>
      <c r="C2975" s="158"/>
      <c r="D2975" s="161"/>
      <c r="E2975" s="162"/>
      <c r="F2975" s="163"/>
      <c r="G2975" s="164"/>
      <c r="H2975" s="165"/>
      <c r="I2975" s="164"/>
      <c r="J2975" s="165"/>
      <c r="K2975" s="164"/>
      <c r="L2975" s="165"/>
      <c r="M2975" s="6"/>
      <c r="N2975" s="32"/>
      <c r="Q2975" s="10" t="str">
        <f>+CONCATENATE(E2973,K2973)</f>
        <v/>
      </c>
      <c r="R2975" s="10">
        <f>+L2973</f>
        <v>0</v>
      </c>
      <c r="S2975" s="11"/>
      <c r="T2975" s="10">
        <f>+E2973</f>
        <v>0</v>
      </c>
      <c r="U2975" s="19" t="str">
        <f>IFERROR(LEFT(K2973,FIND("*",K2973)-1),"-")</f>
        <v>-</v>
      </c>
      <c r="V2975" s="19" t="str">
        <f>IFERROR(RIGHT(K2973,LEN(K2973)-FIND("*",K2973)),"-")</f>
        <v>-</v>
      </c>
      <c r="W2975" s="20" t="str">
        <f t="shared" si="1612"/>
        <v>-</v>
      </c>
      <c r="X2975" s="20" t="str">
        <f>IFERROR(W2975*L2973,"-")</f>
        <v>-</v>
      </c>
      <c r="Z2975" s="85" t="s">
        <v>82</v>
      </c>
    </row>
    <row r="2976" spans="1:26" ht="6.95" customHeight="1" x14ac:dyDescent="0.3">
      <c r="A2976" s="8"/>
      <c r="B2976" s="157"/>
      <c r="C2976" s="158"/>
      <c r="D2976" s="161" t="s">
        <v>39</v>
      </c>
      <c r="E2976" s="162"/>
      <c r="F2976" s="163" t="s">
        <v>40</v>
      </c>
      <c r="G2976" s="164"/>
      <c r="H2976" s="165"/>
      <c r="I2976" s="164"/>
      <c r="J2976" s="165"/>
      <c r="K2976" s="164"/>
      <c r="L2976" s="165"/>
      <c r="M2976" s="6"/>
      <c r="N2976" s="32"/>
      <c r="Q2976" s="10" t="str">
        <f>+CONCATENATE(E2976,G2976)</f>
        <v/>
      </c>
      <c r="R2976" s="10">
        <f>+H2976</f>
        <v>0</v>
      </c>
      <c r="S2976" s="11"/>
      <c r="T2976" s="10">
        <f>+E2976</f>
        <v>0</v>
      </c>
      <c r="U2976" s="19" t="str">
        <f t="shared" ref="U2976" si="1615">IFERROR(LEFT(G2976,FIND("*",G2976)-1),"-")</f>
        <v>-</v>
      </c>
      <c r="V2976" s="19" t="str">
        <f t="shared" ref="V2976" si="1616">IFERROR(RIGHT(G2976,LEN(G2976)-FIND("*",G2976)),"-")</f>
        <v>-</v>
      </c>
      <c r="W2976" s="20" t="str">
        <f t="shared" si="1612"/>
        <v>-</v>
      </c>
      <c r="X2976" s="20" t="str">
        <f>IFERROR(W2976*H2976,"-")</f>
        <v>-</v>
      </c>
      <c r="Z2976" s="85" t="s">
        <v>82</v>
      </c>
    </row>
    <row r="2977" spans="1:26" ht="6.95" customHeight="1" x14ac:dyDescent="0.3">
      <c r="A2977" s="5"/>
      <c r="B2977" s="157"/>
      <c r="C2977" s="158"/>
      <c r="D2977" s="161"/>
      <c r="E2977" s="162"/>
      <c r="F2977" s="163"/>
      <c r="G2977" s="164"/>
      <c r="H2977" s="165"/>
      <c r="I2977" s="164"/>
      <c r="J2977" s="165"/>
      <c r="K2977" s="164"/>
      <c r="L2977" s="165"/>
      <c r="M2977" s="6"/>
      <c r="N2977" s="32"/>
      <c r="Q2977" s="10" t="str">
        <f>+CONCATENATE(E2976,I2976)</f>
        <v/>
      </c>
      <c r="R2977" s="10">
        <f>+J2976</f>
        <v>0</v>
      </c>
      <c r="S2977" s="11"/>
      <c r="T2977" s="10">
        <f>+E2976</f>
        <v>0</v>
      </c>
      <c r="U2977" s="19" t="str">
        <f>IFERROR(LEFT(I2976,FIND("*",I2976)-1),"-")</f>
        <v>-</v>
      </c>
      <c r="V2977" s="19" t="str">
        <f>IFERROR(RIGHT(I2976,LEN(I2976)-FIND("*",I2976)),"-")</f>
        <v>-</v>
      </c>
      <c r="W2977" s="20" t="str">
        <f t="shared" si="1612"/>
        <v>-</v>
      </c>
      <c r="X2977" s="20" t="str">
        <f t="shared" ref="X2977" si="1617">IFERROR(W2977*J2976,"-")</f>
        <v>-</v>
      </c>
      <c r="Z2977" s="85" t="s">
        <v>82</v>
      </c>
    </row>
    <row r="2978" spans="1:26" ht="6.95" customHeight="1" x14ac:dyDescent="0.3">
      <c r="A2978" s="5"/>
      <c r="B2978" s="157"/>
      <c r="C2978" s="158"/>
      <c r="D2978" s="161"/>
      <c r="E2978" s="162"/>
      <c r="F2978" s="163"/>
      <c r="G2978" s="164"/>
      <c r="H2978" s="165"/>
      <c r="I2978" s="164"/>
      <c r="J2978" s="165"/>
      <c r="K2978" s="164"/>
      <c r="L2978" s="165"/>
      <c r="M2978" s="6"/>
      <c r="N2978" s="32"/>
      <c r="Q2978" s="10" t="str">
        <f>+CONCATENATE(E2976,K2976)</f>
        <v/>
      </c>
      <c r="R2978" s="10">
        <f>+L2976</f>
        <v>0</v>
      </c>
      <c r="S2978" s="11"/>
      <c r="T2978" s="10">
        <f>+E2976</f>
        <v>0</v>
      </c>
      <c r="U2978" s="19" t="str">
        <f>IFERROR(LEFT(K2976,FIND("*",K2976)-1),"-")</f>
        <v>-</v>
      </c>
      <c r="V2978" s="19" t="str">
        <f>IFERROR(RIGHT(K2976,LEN(K2976)-FIND("*",K2976)),"-")</f>
        <v>-</v>
      </c>
      <c r="W2978" s="20" t="str">
        <f t="shared" si="1612"/>
        <v>-</v>
      </c>
      <c r="X2978" s="20" t="str">
        <f>IFERROR(W2978*L2976,"-")</f>
        <v>-</v>
      </c>
      <c r="Z2978" s="85" t="s">
        <v>82</v>
      </c>
    </row>
    <row r="2979" spans="1:26" ht="21" customHeight="1" thickBot="1" x14ac:dyDescent="0.35">
      <c r="A2979" s="5"/>
      <c r="B2979" s="159"/>
      <c r="C2979" s="160"/>
      <c r="D2979" s="166" t="s">
        <v>43</v>
      </c>
      <c r="E2979" s="167"/>
      <c r="F2979" s="167"/>
      <c r="G2979" s="168"/>
      <c r="H2979" s="168"/>
      <c r="I2979" s="168"/>
      <c r="J2979" s="168"/>
      <c r="K2979" s="168"/>
      <c r="L2979" s="168"/>
      <c r="M2979" s="7"/>
      <c r="N2979" s="32"/>
      <c r="Z2979" s="86" t="s">
        <v>81</v>
      </c>
    </row>
    <row r="2980" spans="1:26" ht="9.9499999999999993" customHeight="1" thickBot="1" x14ac:dyDescent="0.35">
      <c r="B2980" s="9"/>
      <c r="C2980" s="109"/>
      <c r="D2980" s="51"/>
      <c r="E2980" s="12"/>
      <c r="F2980" s="51"/>
      <c r="G2980" s="14"/>
      <c r="H2980" s="14"/>
      <c r="I2980" s="14"/>
      <c r="J2980" s="14"/>
      <c r="K2980" s="14"/>
      <c r="L2980" s="14"/>
      <c r="M2980" s="9"/>
      <c r="N2980" s="32"/>
      <c r="U2980" s="18"/>
      <c r="V2980" s="18"/>
      <c r="Z2980" s="85" t="s">
        <v>82</v>
      </c>
    </row>
    <row r="2981" spans="1:26" ht="6.95" customHeight="1" x14ac:dyDescent="0.3">
      <c r="A2981" s="154">
        <f>+A2970+1</f>
        <v>1070</v>
      </c>
      <c r="B2981" s="155"/>
      <c r="C2981" s="156"/>
      <c r="D2981" s="161" t="s">
        <v>39</v>
      </c>
      <c r="E2981" s="162"/>
      <c r="F2981" s="163" t="s">
        <v>40</v>
      </c>
      <c r="G2981" s="164"/>
      <c r="H2981" s="165"/>
      <c r="I2981" s="164"/>
      <c r="J2981" s="165"/>
      <c r="K2981" s="164"/>
      <c r="L2981" s="165"/>
      <c r="M2981" s="6"/>
      <c r="N2981" s="32"/>
      <c r="Q2981" s="10" t="str">
        <f>+CONCATENATE(E2981,G2981)</f>
        <v/>
      </c>
      <c r="R2981" s="10">
        <f>+H2981</f>
        <v>0</v>
      </c>
      <c r="S2981" s="11"/>
      <c r="T2981" s="10">
        <f>+E2981</f>
        <v>0</v>
      </c>
      <c r="U2981" s="19" t="str">
        <f>IFERROR(LEFT(G2981,FIND("*",G2981)-1),"-")</f>
        <v>-</v>
      </c>
      <c r="V2981" s="19" t="str">
        <f>IFERROR(RIGHT(G2981,LEN(G2981)-FIND("*",G2981)),"-")</f>
        <v>-</v>
      </c>
      <c r="W2981" s="20" t="str">
        <f>IFERROR((U2981+V2981)*2/1000,"-")</f>
        <v>-</v>
      </c>
      <c r="X2981" s="20" t="str">
        <f>IFERROR(W2981*H2981,"-")</f>
        <v>-</v>
      </c>
      <c r="Z2981" s="85" t="s">
        <v>82</v>
      </c>
    </row>
    <row r="2982" spans="1:26" ht="6.95" customHeight="1" x14ac:dyDescent="0.3">
      <c r="A2982" s="154"/>
      <c r="B2982" s="157"/>
      <c r="C2982" s="158"/>
      <c r="D2982" s="161"/>
      <c r="E2982" s="162"/>
      <c r="F2982" s="163"/>
      <c r="G2982" s="164"/>
      <c r="H2982" s="165"/>
      <c r="I2982" s="164"/>
      <c r="J2982" s="165"/>
      <c r="K2982" s="164"/>
      <c r="L2982" s="165"/>
      <c r="M2982" s="6"/>
      <c r="N2982" s="32"/>
      <c r="Q2982" s="10" t="str">
        <f>+CONCATENATE(E2981,I2981)</f>
        <v/>
      </c>
      <c r="R2982" s="10">
        <f>+J2981</f>
        <v>0</v>
      </c>
      <c r="S2982" s="11"/>
      <c r="T2982" s="10">
        <f>+E2981</f>
        <v>0</v>
      </c>
      <c r="U2982" s="19" t="str">
        <f>IFERROR(LEFT(I2981,FIND("*",I2981)-1),"-")</f>
        <v>-</v>
      </c>
      <c r="V2982" s="19" t="str">
        <f>IFERROR(RIGHT(I2981,LEN(I2981)-FIND("*",I2981)),"-")</f>
        <v>-</v>
      </c>
      <c r="W2982" s="20" t="str">
        <f t="shared" ref="W2982:W2989" si="1618">IFERROR((U2982+V2982)*2/1000,"-")</f>
        <v>-</v>
      </c>
      <c r="X2982" s="20" t="str">
        <f>IFERROR(W2982*J2981,"-")</f>
        <v>-</v>
      </c>
      <c r="Z2982" s="85" t="s">
        <v>82</v>
      </c>
    </row>
    <row r="2983" spans="1:26" ht="6.95" customHeight="1" x14ac:dyDescent="0.3">
      <c r="A2983" s="154"/>
      <c r="B2983" s="157"/>
      <c r="C2983" s="158"/>
      <c r="D2983" s="161"/>
      <c r="E2983" s="162"/>
      <c r="F2983" s="163"/>
      <c r="G2983" s="164"/>
      <c r="H2983" s="165"/>
      <c r="I2983" s="164"/>
      <c r="J2983" s="165"/>
      <c r="K2983" s="164"/>
      <c r="L2983" s="165"/>
      <c r="M2983" s="6"/>
      <c r="N2983" s="32"/>
      <c r="Q2983" s="10" t="str">
        <f>+CONCATENATE(E2981,K2981)</f>
        <v/>
      </c>
      <c r="R2983" s="10">
        <f>+L2981</f>
        <v>0</v>
      </c>
      <c r="S2983" s="11"/>
      <c r="T2983" s="10">
        <f>+E2981</f>
        <v>0</v>
      </c>
      <c r="U2983" s="19" t="str">
        <f>IFERROR(LEFT(K2981,FIND("*",K2981)-1),"-")</f>
        <v>-</v>
      </c>
      <c r="V2983" s="19" t="str">
        <f>IFERROR(RIGHT(K2981,LEN(K2981)-FIND("*",K2981)),"-")</f>
        <v>-</v>
      </c>
      <c r="W2983" s="20" t="str">
        <f t="shared" si="1618"/>
        <v>-</v>
      </c>
      <c r="X2983" s="20" t="str">
        <f>IFERROR(W2983*L2981,"-")</f>
        <v>-</v>
      </c>
      <c r="Z2983" s="85" t="s">
        <v>82</v>
      </c>
    </row>
    <row r="2984" spans="1:26" ht="6.95" customHeight="1" x14ac:dyDescent="0.3">
      <c r="A2984" s="8"/>
      <c r="B2984" s="157"/>
      <c r="C2984" s="158"/>
      <c r="D2984" s="161" t="s">
        <v>39</v>
      </c>
      <c r="E2984" s="162"/>
      <c r="F2984" s="163" t="s">
        <v>40</v>
      </c>
      <c r="G2984" s="164"/>
      <c r="H2984" s="165"/>
      <c r="I2984" s="164"/>
      <c r="J2984" s="165"/>
      <c r="K2984" s="164"/>
      <c r="L2984" s="165"/>
      <c r="M2984" s="6"/>
      <c r="N2984" s="32"/>
      <c r="Q2984" s="10" t="str">
        <f>+CONCATENATE(E2984,G2984)</f>
        <v/>
      </c>
      <c r="R2984" s="10">
        <f>+H2984</f>
        <v>0</v>
      </c>
      <c r="S2984" s="11"/>
      <c r="T2984" s="10">
        <f>+E2984</f>
        <v>0</v>
      </c>
      <c r="U2984" s="19" t="str">
        <f t="shared" ref="U2984" si="1619">IFERROR(LEFT(G2984,FIND("*",G2984)-1),"-")</f>
        <v>-</v>
      </c>
      <c r="V2984" s="19" t="str">
        <f t="shared" ref="V2984" si="1620">IFERROR(RIGHT(G2984,LEN(G2984)-FIND("*",G2984)),"-")</f>
        <v>-</v>
      </c>
      <c r="W2984" s="20" t="str">
        <f t="shared" si="1618"/>
        <v>-</v>
      </c>
      <c r="X2984" s="20" t="str">
        <f>IFERROR(W2984*H2984,"-")</f>
        <v>-</v>
      </c>
      <c r="Z2984" s="85" t="s">
        <v>82</v>
      </c>
    </row>
    <row r="2985" spans="1:26" ht="6.95" customHeight="1" x14ac:dyDescent="0.3">
      <c r="A2985" s="5"/>
      <c r="B2985" s="157"/>
      <c r="C2985" s="158"/>
      <c r="D2985" s="161"/>
      <c r="E2985" s="162"/>
      <c r="F2985" s="163"/>
      <c r="G2985" s="164"/>
      <c r="H2985" s="165"/>
      <c r="I2985" s="164"/>
      <c r="J2985" s="165"/>
      <c r="K2985" s="164"/>
      <c r="L2985" s="165"/>
      <c r="M2985" s="6"/>
      <c r="N2985" s="32"/>
      <c r="Q2985" s="10" t="str">
        <f>+CONCATENATE(E2984,I2984)</f>
        <v/>
      </c>
      <c r="R2985" s="10">
        <f>+J2984</f>
        <v>0</v>
      </c>
      <c r="S2985" s="11"/>
      <c r="T2985" s="10">
        <f>+E2984</f>
        <v>0</v>
      </c>
      <c r="U2985" s="19" t="str">
        <f>IFERROR(LEFT(I2984,FIND("*",I2984)-1),"-")</f>
        <v>-</v>
      </c>
      <c r="V2985" s="19" t="str">
        <f>IFERROR(RIGHT(I2984,LEN(I2984)-FIND("*",I2984)),"-")</f>
        <v>-</v>
      </c>
      <c r="W2985" s="20" t="str">
        <f t="shared" si="1618"/>
        <v>-</v>
      </c>
      <c r="X2985" s="20" t="str">
        <f>IFERROR(W2985*J2984,"-")</f>
        <v>-</v>
      </c>
      <c r="Z2985" s="85" t="s">
        <v>82</v>
      </c>
    </row>
    <row r="2986" spans="1:26" ht="6.95" customHeight="1" x14ac:dyDescent="0.3">
      <c r="A2986" s="5"/>
      <c r="B2986" s="157"/>
      <c r="C2986" s="158"/>
      <c r="D2986" s="161"/>
      <c r="E2986" s="162"/>
      <c r="F2986" s="163"/>
      <c r="G2986" s="164"/>
      <c r="H2986" s="165"/>
      <c r="I2986" s="164"/>
      <c r="J2986" s="165"/>
      <c r="K2986" s="164"/>
      <c r="L2986" s="165"/>
      <c r="M2986" s="6"/>
      <c r="N2986" s="32"/>
      <c r="Q2986" s="10" t="str">
        <f>+CONCATENATE(E2984,K2984)</f>
        <v/>
      </c>
      <c r="R2986" s="10">
        <f>+L2984</f>
        <v>0</v>
      </c>
      <c r="S2986" s="11"/>
      <c r="T2986" s="10">
        <f>+E2984</f>
        <v>0</v>
      </c>
      <c r="U2986" s="19" t="str">
        <f>IFERROR(LEFT(K2984,FIND("*",K2984)-1),"-")</f>
        <v>-</v>
      </c>
      <c r="V2986" s="19" t="str">
        <f>IFERROR(RIGHT(K2984,LEN(K2984)-FIND("*",K2984)),"-")</f>
        <v>-</v>
      </c>
      <c r="W2986" s="20" t="str">
        <f t="shared" si="1618"/>
        <v>-</v>
      </c>
      <c r="X2986" s="20" t="str">
        <f>IFERROR(W2986*L2984,"-")</f>
        <v>-</v>
      </c>
      <c r="Z2986" s="85" t="s">
        <v>82</v>
      </c>
    </row>
    <row r="2987" spans="1:26" ht="6.95" customHeight="1" x14ac:dyDescent="0.3">
      <c r="A2987" s="8"/>
      <c r="B2987" s="157"/>
      <c r="C2987" s="158"/>
      <c r="D2987" s="161" t="s">
        <v>39</v>
      </c>
      <c r="E2987" s="162"/>
      <c r="F2987" s="163" t="s">
        <v>40</v>
      </c>
      <c r="G2987" s="164"/>
      <c r="H2987" s="165"/>
      <c r="I2987" s="164"/>
      <c r="J2987" s="165"/>
      <c r="K2987" s="164"/>
      <c r="L2987" s="165"/>
      <c r="M2987" s="6"/>
      <c r="N2987" s="32"/>
      <c r="Q2987" s="10" t="str">
        <f>+CONCATENATE(E2987,G2987)</f>
        <v/>
      </c>
      <c r="R2987" s="10">
        <f>+H2987</f>
        <v>0</v>
      </c>
      <c r="S2987" s="11"/>
      <c r="T2987" s="10">
        <f>+E2987</f>
        <v>0</v>
      </c>
      <c r="U2987" s="19" t="str">
        <f t="shared" ref="U2987" si="1621">IFERROR(LEFT(G2987,FIND("*",G2987)-1),"-")</f>
        <v>-</v>
      </c>
      <c r="V2987" s="19" t="str">
        <f t="shared" ref="V2987" si="1622">IFERROR(RIGHT(G2987,LEN(G2987)-FIND("*",G2987)),"-")</f>
        <v>-</v>
      </c>
      <c r="W2987" s="20" t="str">
        <f t="shared" si="1618"/>
        <v>-</v>
      </c>
      <c r="X2987" s="20" t="str">
        <f>IFERROR(W2987*H2987,"-")</f>
        <v>-</v>
      </c>
      <c r="Z2987" s="85" t="s">
        <v>82</v>
      </c>
    </row>
    <row r="2988" spans="1:26" ht="6.95" customHeight="1" x14ac:dyDescent="0.3">
      <c r="A2988" s="5"/>
      <c r="B2988" s="157"/>
      <c r="C2988" s="158"/>
      <c r="D2988" s="161"/>
      <c r="E2988" s="162"/>
      <c r="F2988" s="163"/>
      <c r="G2988" s="164"/>
      <c r="H2988" s="165"/>
      <c r="I2988" s="164"/>
      <c r="J2988" s="165"/>
      <c r="K2988" s="164"/>
      <c r="L2988" s="165"/>
      <c r="M2988" s="6"/>
      <c r="N2988" s="32"/>
      <c r="Q2988" s="10" t="str">
        <f>+CONCATENATE(E2987,I2987)</f>
        <v/>
      </c>
      <c r="R2988" s="10">
        <f>+J2987</f>
        <v>0</v>
      </c>
      <c r="S2988" s="11"/>
      <c r="T2988" s="10">
        <f>+E2987</f>
        <v>0</v>
      </c>
      <c r="U2988" s="19" t="str">
        <f>IFERROR(LEFT(I2987,FIND("*",I2987)-1),"-")</f>
        <v>-</v>
      </c>
      <c r="V2988" s="19" t="str">
        <f>IFERROR(RIGHT(I2987,LEN(I2987)-FIND("*",I2987)),"-")</f>
        <v>-</v>
      </c>
      <c r="W2988" s="20" t="str">
        <f t="shared" si="1618"/>
        <v>-</v>
      </c>
      <c r="X2988" s="20" t="str">
        <f t="shared" ref="X2988" si="1623">IFERROR(W2988*J2987,"-")</f>
        <v>-</v>
      </c>
      <c r="Z2988" s="85" t="s">
        <v>82</v>
      </c>
    </row>
    <row r="2989" spans="1:26" ht="6.95" customHeight="1" x14ac:dyDescent="0.3">
      <c r="A2989" s="5"/>
      <c r="B2989" s="157"/>
      <c r="C2989" s="158"/>
      <c r="D2989" s="161"/>
      <c r="E2989" s="162"/>
      <c r="F2989" s="163"/>
      <c r="G2989" s="164"/>
      <c r="H2989" s="165"/>
      <c r="I2989" s="164"/>
      <c r="J2989" s="165"/>
      <c r="K2989" s="164"/>
      <c r="L2989" s="165"/>
      <c r="M2989" s="6"/>
      <c r="N2989" s="32"/>
      <c r="Q2989" s="10" t="str">
        <f>+CONCATENATE(E2987,K2987)</f>
        <v/>
      </c>
      <c r="R2989" s="10">
        <f>+L2987</f>
        <v>0</v>
      </c>
      <c r="S2989" s="11"/>
      <c r="T2989" s="10">
        <f>+E2987</f>
        <v>0</v>
      </c>
      <c r="U2989" s="19" t="str">
        <f>IFERROR(LEFT(K2987,FIND("*",K2987)-1),"-")</f>
        <v>-</v>
      </c>
      <c r="V2989" s="19" t="str">
        <f>IFERROR(RIGHT(K2987,LEN(K2987)-FIND("*",K2987)),"-")</f>
        <v>-</v>
      </c>
      <c r="W2989" s="20" t="str">
        <f t="shared" si="1618"/>
        <v>-</v>
      </c>
      <c r="X2989" s="20" t="str">
        <f>IFERROR(W2989*L2987,"-")</f>
        <v>-</v>
      </c>
      <c r="Z2989" s="85" t="s">
        <v>82</v>
      </c>
    </row>
    <row r="2990" spans="1:26" ht="21" customHeight="1" thickBot="1" x14ac:dyDescent="0.35">
      <c r="A2990" s="5"/>
      <c r="B2990" s="159"/>
      <c r="C2990" s="160"/>
      <c r="D2990" s="166" t="s">
        <v>43</v>
      </c>
      <c r="E2990" s="167"/>
      <c r="F2990" s="167"/>
      <c r="G2990" s="168"/>
      <c r="H2990" s="168"/>
      <c r="I2990" s="168"/>
      <c r="J2990" s="168"/>
      <c r="K2990" s="168"/>
      <c r="L2990" s="168"/>
      <c r="M2990" s="7"/>
      <c r="N2990" s="32"/>
      <c r="Z2990" s="86" t="s">
        <v>81</v>
      </c>
    </row>
    <row r="2991" spans="1:26" ht="9.9499999999999993" customHeight="1" thickBot="1" x14ac:dyDescent="0.35">
      <c r="B2991" s="9"/>
      <c r="C2991" s="109"/>
      <c r="D2991" s="51"/>
      <c r="E2991" s="12"/>
      <c r="F2991" s="51"/>
      <c r="G2991" s="14"/>
      <c r="H2991" s="14"/>
      <c r="I2991" s="14"/>
      <c r="J2991" s="14"/>
      <c r="K2991" s="14"/>
      <c r="L2991" s="14"/>
      <c r="M2991" s="9"/>
      <c r="N2991" s="32"/>
      <c r="U2991" s="18"/>
      <c r="V2991" s="18"/>
      <c r="Z2991" s="85" t="s">
        <v>82</v>
      </c>
    </row>
    <row r="2992" spans="1:26" ht="6.95" customHeight="1" x14ac:dyDescent="0.3">
      <c r="A2992" s="154">
        <f>+A2981+1</f>
        <v>1071</v>
      </c>
      <c r="B2992" s="155"/>
      <c r="C2992" s="156"/>
      <c r="D2992" s="161" t="s">
        <v>39</v>
      </c>
      <c r="E2992" s="162"/>
      <c r="F2992" s="163" t="s">
        <v>40</v>
      </c>
      <c r="G2992" s="164"/>
      <c r="H2992" s="165"/>
      <c r="I2992" s="164"/>
      <c r="J2992" s="165"/>
      <c r="K2992" s="164"/>
      <c r="L2992" s="165"/>
      <c r="M2992" s="6"/>
      <c r="N2992" s="32"/>
      <c r="Q2992" s="10" t="str">
        <f>+CONCATENATE(E2992,G2992)</f>
        <v/>
      </c>
      <c r="R2992" s="10">
        <f>+H2992</f>
        <v>0</v>
      </c>
      <c r="S2992" s="11"/>
      <c r="T2992" s="10">
        <f>+E2992</f>
        <v>0</v>
      </c>
      <c r="U2992" s="19" t="str">
        <f>IFERROR(LEFT(G2992,FIND("*",G2992)-1),"-")</f>
        <v>-</v>
      </c>
      <c r="V2992" s="19" t="str">
        <f>IFERROR(RIGHT(G2992,LEN(G2992)-FIND("*",G2992)),"-")</f>
        <v>-</v>
      </c>
      <c r="W2992" s="20" t="str">
        <f>IFERROR((U2992+V2992)*2/1000,"-")</f>
        <v>-</v>
      </c>
      <c r="X2992" s="20" t="str">
        <f>IFERROR(W2992*H2992,"-")</f>
        <v>-</v>
      </c>
      <c r="Z2992" s="85" t="s">
        <v>82</v>
      </c>
    </row>
    <row r="2993" spans="1:26" ht="6.95" customHeight="1" x14ac:dyDescent="0.3">
      <c r="A2993" s="154"/>
      <c r="B2993" s="157"/>
      <c r="C2993" s="158"/>
      <c r="D2993" s="161"/>
      <c r="E2993" s="162"/>
      <c r="F2993" s="163"/>
      <c r="G2993" s="164"/>
      <c r="H2993" s="165"/>
      <c r="I2993" s="164"/>
      <c r="J2993" s="165"/>
      <c r="K2993" s="164"/>
      <c r="L2993" s="165"/>
      <c r="M2993" s="6"/>
      <c r="N2993" s="32"/>
      <c r="Q2993" s="10" t="str">
        <f>+CONCATENATE(E2992,I2992)</f>
        <v/>
      </c>
      <c r="R2993" s="10">
        <f>+J2992</f>
        <v>0</v>
      </c>
      <c r="S2993" s="11"/>
      <c r="T2993" s="10">
        <f>+E2992</f>
        <v>0</v>
      </c>
      <c r="U2993" s="19" t="str">
        <f>IFERROR(LEFT(I2992,FIND("*",I2992)-1),"-")</f>
        <v>-</v>
      </c>
      <c r="V2993" s="19" t="str">
        <f>IFERROR(RIGHT(I2992,LEN(I2992)-FIND("*",I2992)),"-")</f>
        <v>-</v>
      </c>
      <c r="W2993" s="20" t="str">
        <f t="shared" ref="W2993:W3000" si="1624">IFERROR((U2993+V2993)*2/1000,"-")</f>
        <v>-</v>
      </c>
      <c r="X2993" s="20" t="str">
        <f>IFERROR(W2993*J2992,"-")</f>
        <v>-</v>
      </c>
      <c r="Z2993" s="85" t="s">
        <v>82</v>
      </c>
    </row>
    <row r="2994" spans="1:26" ht="6.95" customHeight="1" x14ac:dyDescent="0.3">
      <c r="A2994" s="154"/>
      <c r="B2994" s="157"/>
      <c r="C2994" s="158"/>
      <c r="D2994" s="161"/>
      <c r="E2994" s="162"/>
      <c r="F2994" s="163"/>
      <c r="G2994" s="164"/>
      <c r="H2994" s="165"/>
      <c r="I2994" s="164"/>
      <c r="J2994" s="165"/>
      <c r="K2994" s="164"/>
      <c r="L2994" s="165"/>
      <c r="M2994" s="6"/>
      <c r="N2994" s="32"/>
      <c r="Q2994" s="10" t="str">
        <f>+CONCATENATE(E2992,K2992)</f>
        <v/>
      </c>
      <c r="R2994" s="10">
        <f>+L2992</f>
        <v>0</v>
      </c>
      <c r="S2994" s="11"/>
      <c r="T2994" s="10">
        <f>+E2992</f>
        <v>0</v>
      </c>
      <c r="U2994" s="19" t="str">
        <f>IFERROR(LEFT(K2992,FIND("*",K2992)-1),"-")</f>
        <v>-</v>
      </c>
      <c r="V2994" s="19" t="str">
        <f>IFERROR(RIGHT(K2992,LEN(K2992)-FIND("*",K2992)),"-")</f>
        <v>-</v>
      </c>
      <c r="W2994" s="20" t="str">
        <f t="shared" si="1624"/>
        <v>-</v>
      </c>
      <c r="X2994" s="20" t="str">
        <f>IFERROR(W2994*L2992,"-")</f>
        <v>-</v>
      </c>
      <c r="Z2994" s="85" t="s">
        <v>82</v>
      </c>
    </row>
    <row r="2995" spans="1:26" ht="6.95" customHeight="1" x14ac:dyDescent="0.3">
      <c r="A2995" s="8"/>
      <c r="B2995" s="157"/>
      <c r="C2995" s="158"/>
      <c r="D2995" s="161" t="s">
        <v>39</v>
      </c>
      <c r="E2995" s="162"/>
      <c r="F2995" s="163" t="s">
        <v>40</v>
      </c>
      <c r="G2995" s="164"/>
      <c r="H2995" s="165"/>
      <c r="I2995" s="164"/>
      <c r="J2995" s="165"/>
      <c r="K2995" s="164"/>
      <c r="L2995" s="165"/>
      <c r="M2995" s="6"/>
      <c r="N2995" s="32"/>
      <c r="Q2995" s="10" t="str">
        <f>+CONCATENATE(E2995,G2995)</f>
        <v/>
      </c>
      <c r="R2995" s="10">
        <f>+H2995</f>
        <v>0</v>
      </c>
      <c r="S2995" s="11"/>
      <c r="T2995" s="10">
        <f>+E2995</f>
        <v>0</v>
      </c>
      <c r="U2995" s="19" t="str">
        <f t="shared" ref="U2995" si="1625">IFERROR(LEFT(G2995,FIND("*",G2995)-1),"-")</f>
        <v>-</v>
      </c>
      <c r="V2995" s="19" t="str">
        <f t="shared" ref="V2995" si="1626">IFERROR(RIGHT(G2995,LEN(G2995)-FIND("*",G2995)),"-")</f>
        <v>-</v>
      </c>
      <c r="W2995" s="20" t="str">
        <f t="shared" si="1624"/>
        <v>-</v>
      </c>
      <c r="X2995" s="20" t="str">
        <f>IFERROR(W2995*H2995,"-")</f>
        <v>-</v>
      </c>
      <c r="Z2995" s="85" t="s">
        <v>82</v>
      </c>
    </row>
    <row r="2996" spans="1:26" ht="6.95" customHeight="1" x14ac:dyDescent="0.3">
      <c r="A2996" s="5"/>
      <c r="B2996" s="157"/>
      <c r="C2996" s="158"/>
      <c r="D2996" s="161"/>
      <c r="E2996" s="162"/>
      <c r="F2996" s="163"/>
      <c r="G2996" s="164"/>
      <c r="H2996" s="165"/>
      <c r="I2996" s="164"/>
      <c r="J2996" s="165"/>
      <c r="K2996" s="164"/>
      <c r="L2996" s="165"/>
      <c r="M2996" s="6"/>
      <c r="N2996" s="32"/>
      <c r="Q2996" s="10" t="str">
        <f>+CONCATENATE(E2995,I2995)</f>
        <v/>
      </c>
      <c r="R2996" s="10">
        <f>+J2995</f>
        <v>0</v>
      </c>
      <c r="S2996" s="11"/>
      <c r="T2996" s="10">
        <f>+E2995</f>
        <v>0</v>
      </c>
      <c r="U2996" s="19" t="str">
        <f>IFERROR(LEFT(I2995,FIND("*",I2995)-1),"-")</f>
        <v>-</v>
      </c>
      <c r="V2996" s="19" t="str">
        <f>IFERROR(RIGHT(I2995,LEN(I2995)-FIND("*",I2995)),"-")</f>
        <v>-</v>
      </c>
      <c r="W2996" s="20" t="str">
        <f t="shared" si="1624"/>
        <v>-</v>
      </c>
      <c r="X2996" s="20" t="str">
        <f>IFERROR(W2996*J2995,"-")</f>
        <v>-</v>
      </c>
      <c r="Z2996" s="85" t="s">
        <v>82</v>
      </c>
    </row>
    <row r="2997" spans="1:26" ht="6.95" customHeight="1" x14ac:dyDescent="0.3">
      <c r="A2997" s="5"/>
      <c r="B2997" s="157"/>
      <c r="C2997" s="158"/>
      <c r="D2997" s="161"/>
      <c r="E2997" s="162"/>
      <c r="F2997" s="163"/>
      <c r="G2997" s="164"/>
      <c r="H2997" s="165"/>
      <c r="I2997" s="164"/>
      <c r="J2997" s="165"/>
      <c r="K2997" s="164"/>
      <c r="L2997" s="165"/>
      <c r="M2997" s="6"/>
      <c r="N2997" s="32"/>
      <c r="Q2997" s="10" t="str">
        <f>+CONCATENATE(E2995,K2995)</f>
        <v/>
      </c>
      <c r="R2997" s="10">
        <f>+L2995</f>
        <v>0</v>
      </c>
      <c r="S2997" s="11"/>
      <c r="T2997" s="10">
        <f>+E2995</f>
        <v>0</v>
      </c>
      <c r="U2997" s="19" t="str">
        <f>IFERROR(LEFT(K2995,FIND("*",K2995)-1),"-")</f>
        <v>-</v>
      </c>
      <c r="V2997" s="19" t="str">
        <f>IFERROR(RIGHT(K2995,LEN(K2995)-FIND("*",K2995)),"-")</f>
        <v>-</v>
      </c>
      <c r="W2997" s="20" t="str">
        <f t="shared" si="1624"/>
        <v>-</v>
      </c>
      <c r="X2997" s="20" t="str">
        <f>IFERROR(W2997*L2995,"-")</f>
        <v>-</v>
      </c>
      <c r="Z2997" s="85" t="s">
        <v>82</v>
      </c>
    </row>
    <row r="2998" spans="1:26" ht="6.95" customHeight="1" x14ac:dyDescent="0.3">
      <c r="A2998" s="8"/>
      <c r="B2998" s="157"/>
      <c r="C2998" s="158"/>
      <c r="D2998" s="161" t="s">
        <v>39</v>
      </c>
      <c r="E2998" s="162"/>
      <c r="F2998" s="163" t="s">
        <v>40</v>
      </c>
      <c r="G2998" s="164"/>
      <c r="H2998" s="165"/>
      <c r="I2998" s="164"/>
      <c r="J2998" s="165"/>
      <c r="K2998" s="164"/>
      <c r="L2998" s="165"/>
      <c r="M2998" s="6"/>
      <c r="N2998" s="32"/>
      <c r="Q2998" s="10" t="str">
        <f>+CONCATENATE(E2998,G2998)</f>
        <v/>
      </c>
      <c r="R2998" s="10">
        <f>+H2998</f>
        <v>0</v>
      </c>
      <c r="S2998" s="11"/>
      <c r="T2998" s="10">
        <f>+E2998</f>
        <v>0</v>
      </c>
      <c r="U2998" s="19" t="str">
        <f t="shared" ref="U2998" si="1627">IFERROR(LEFT(G2998,FIND("*",G2998)-1),"-")</f>
        <v>-</v>
      </c>
      <c r="V2998" s="19" t="str">
        <f t="shared" ref="V2998" si="1628">IFERROR(RIGHT(G2998,LEN(G2998)-FIND("*",G2998)),"-")</f>
        <v>-</v>
      </c>
      <c r="W2998" s="20" t="str">
        <f t="shared" si="1624"/>
        <v>-</v>
      </c>
      <c r="X2998" s="20" t="str">
        <f>IFERROR(W2998*H2998,"-")</f>
        <v>-</v>
      </c>
      <c r="Z2998" s="85" t="s">
        <v>82</v>
      </c>
    </row>
    <row r="2999" spans="1:26" ht="6.95" customHeight="1" x14ac:dyDescent="0.3">
      <c r="A2999" s="5"/>
      <c r="B2999" s="157"/>
      <c r="C2999" s="158"/>
      <c r="D2999" s="161"/>
      <c r="E2999" s="162"/>
      <c r="F2999" s="163"/>
      <c r="G2999" s="164"/>
      <c r="H2999" s="165"/>
      <c r="I2999" s="164"/>
      <c r="J2999" s="165"/>
      <c r="K2999" s="164"/>
      <c r="L2999" s="165"/>
      <c r="M2999" s="6"/>
      <c r="N2999" s="32"/>
      <c r="Q2999" s="10" t="str">
        <f>+CONCATENATE(E2998,I2998)</f>
        <v/>
      </c>
      <c r="R2999" s="10">
        <f>+J2998</f>
        <v>0</v>
      </c>
      <c r="S2999" s="11"/>
      <c r="T2999" s="10">
        <f>+E2998</f>
        <v>0</v>
      </c>
      <c r="U2999" s="19" t="str">
        <f>IFERROR(LEFT(I2998,FIND("*",I2998)-1),"-")</f>
        <v>-</v>
      </c>
      <c r="V2999" s="19" t="str">
        <f>IFERROR(RIGHT(I2998,LEN(I2998)-FIND("*",I2998)),"-")</f>
        <v>-</v>
      </c>
      <c r="W2999" s="20" t="str">
        <f t="shared" si="1624"/>
        <v>-</v>
      </c>
      <c r="X2999" s="20" t="str">
        <f t="shared" ref="X2999" si="1629">IFERROR(W2999*J2998,"-")</f>
        <v>-</v>
      </c>
      <c r="Z2999" s="85" t="s">
        <v>82</v>
      </c>
    </row>
    <row r="3000" spans="1:26" ht="6.95" customHeight="1" x14ac:dyDescent="0.3">
      <c r="A3000" s="5"/>
      <c r="B3000" s="157"/>
      <c r="C3000" s="158"/>
      <c r="D3000" s="161"/>
      <c r="E3000" s="162"/>
      <c r="F3000" s="163"/>
      <c r="G3000" s="164"/>
      <c r="H3000" s="165"/>
      <c r="I3000" s="164"/>
      <c r="J3000" s="165"/>
      <c r="K3000" s="164"/>
      <c r="L3000" s="165"/>
      <c r="M3000" s="6"/>
      <c r="N3000" s="32"/>
      <c r="Q3000" s="10" t="str">
        <f>+CONCATENATE(E2998,K2998)</f>
        <v/>
      </c>
      <c r="R3000" s="10">
        <f>+L2998</f>
        <v>0</v>
      </c>
      <c r="S3000" s="11"/>
      <c r="T3000" s="10">
        <f>+E2998</f>
        <v>0</v>
      </c>
      <c r="U3000" s="19" t="str">
        <f>IFERROR(LEFT(K2998,FIND("*",K2998)-1),"-")</f>
        <v>-</v>
      </c>
      <c r="V3000" s="19" t="str">
        <f>IFERROR(RIGHT(K2998,LEN(K2998)-FIND("*",K2998)),"-")</f>
        <v>-</v>
      </c>
      <c r="W3000" s="20" t="str">
        <f t="shared" si="1624"/>
        <v>-</v>
      </c>
      <c r="X3000" s="20" t="str">
        <f>IFERROR(W3000*L2998,"-")</f>
        <v>-</v>
      </c>
      <c r="Z3000" s="85" t="s">
        <v>82</v>
      </c>
    </row>
    <row r="3001" spans="1:26" ht="21" customHeight="1" thickBot="1" x14ac:dyDescent="0.35">
      <c r="A3001" s="5"/>
      <c r="B3001" s="159"/>
      <c r="C3001" s="160"/>
      <c r="D3001" s="166" t="s">
        <v>43</v>
      </c>
      <c r="E3001" s="167"/>
      <c r="F3001" s="167"/>
      <c r="G3001" s="168"/>
      <c r="H3001" s="168"/>
      <c r="I3001" s="168"/>
      <c r="J3001" s="168"/>
      <c r="K3001" s="168"/>
      <c r="L3001" s="168"/>
      <c r="M3001" s="7"/>
      <c r="N3001" s="32"/>
      <c r="Z3001" s="86" t="s">
        <v>81</v>
      </c>
    </row>
    <row r="3002" spans="1:26" ht="9.9499999999999993" customHeight="1" thickBot="1" x14ac:dyDescent="0.35">
      <c r="B3002" s="9"/>
      <c r="C3002" s="109"/>
      <c r="D3002" s="51"/>
      <c r="E3002" s="12"/>
      <c r="F3002" s="51"/>
      <c r="G3002" s="14"/>
      <c r="H3002" s="14"/>
      <c r="I3002" s="14"/>
      <c r="J3002" s="14"/>
      <c r="K3002" s="14"/>
      <c r="L3002" s="14"/>
      <c r="M3002" s="9"/>
      <c r="N3002" s="32"/>
      <c r="U3002" s="18"/>
      <c r="V3002" s="18"/>
      <c r="Z3002" s="85" t="s">
        <v>82</v>
      </c>
    </row>
    <row r="3003" spans="1:26" ht="6.95" customHeight="1" x14ac:dyDescent="0.3">
      <c r="A3003" s="154">
        <f>+A2992+1</f>
        <v>1072</v>
      </c>
      <c r="B3003" s="155"/>
      <c r="C3003" s="156"/>
      <c r="D3003" s="161" t="s">
        <v>39</v>
      </c>
      <c r="E3003" s="162"/>
      <c r="F3003" s="163" t="s">
        <v>40</v>
      </c>
      <c r="G3003" s="164"/>
      <c r="H3003" s="165"/>
      <c r="I3003" s="164"/>
      <c r="J3003" s="165"/>
      <c r="K3003" s="164"/>
      <c r="L3003" s="165"/>
      <c r="M3003" s="6"/>
      <c r="N3003" s="32"/>
      <c r="Q3003" s="10" t="str">
        <f>+CONCATENATE(E3003,G3003)</f>
        <v/>
      </c>
      <c r="R3003" s="10">
        <f>+H3003</f>
        <v>0</v>
      </c>
      <c r="S3003" s="11"/>
      <c r="T3003" s="10">
        <f>+E3003</f>
        <v>0</v>
      </c>
      <c r="U3003" s="19" t="str">
        <f>IFERROR(LEFT(G3003,FIND("*",G3003)-1),"-")</f>
        <v>-</v>
      </c>
      <c r="V3003" s="19" t="str">
        <f>IFERROR(RIGHT(G3003,LEN(G3003)-FIND("*",G3003)),"-")</f>
        <v>-</v>
      </c>
      <c r="W3003" s="20" t="str">
        <f>IFERROR((U3003+V3003)*2/1000,"-")</f>
        <v>-</v>
      </c>
      <c r="X3003" s="20" t="str">
        <f>IFERROR(W3003*H3003,"-")</f>
        <v>-</v>
      </c>
      <c r="Z3003" s="85" t="s">
        <v>82</v>
      </c>
    </row>
    <row r="3004" spans="1:26" ht="6.95" customHeight="1" x14ac:dyDescent="0.3">
      <c r="A3004" s="154"/>
      <c r="B3004" s="157"/>
      <c r="C3004" s="158"/>
      <c r="D3004" s="161"/>
      <c r="E3004" s="162"/>
      <c r="F3004" s="163"/>
      <c r="G3004" s="164"/>
      <c r="H3004" s="165"/>
      <c r="I3004" s="164"/>
      <c r="J3004" s="165"/>
      <c r="K3004" s="164"/>
      <c r="L3004" s="165"/>
      <c r="M3004" s="6"/>
      <c r="N3004" s="32"/>
      <c r="Q3004" s="10" t="str">
        <f>+CONCATENATE(E3003,I3003)</f>
        <v/>
      </c>
      <c r="R3004" s="10">
        <f>+J3003</f>
        <v>0</v>
      </c>
      <c r="S3004" s="11"/>
      <c r="T3004" s="10">
        <f>+E3003</f>
        <v>0</v>
      </c>
      <c r="U3004" s="19" t="str">
        <f>IFERROR(LEFT(I3003,FIND("*",I3003)-1),"-")</f>
        <v>-</v>
      </c>
      <c r="V3004" s="19" t="str">
        <f>IFERROR(RIGHT(I3003,LEN(I3003)-FIND("*",I3003)),"-")</f>
        <v>-</v>
      </c>
      <c r="W3004" s="20" t="str">
        <f t="shared" ref="W3004:W3011" si="1630">IFERROR((U3004+V3004)*2/1000,"-")</f>
        <v>-</v>
      </c>
      <c r="X3004" s="20" t="str">
        <f>IFERROR(W3004*J3003,"-")</f>
        <v>-</v>
      </c>
      <c r="Z3004" s="85" t="s">
        <v>82</v>
      </c>
    </row>
    <row r="3005" spans="1:26" ht="6.95" customHeight="1" x14ac:dyDescent="0.3">
      <c r="A3005" s="154"/>
      <c r="B3005" s="157"/>
      <c r="C3005" s="158"/>
      <c r="D3005" s="161"/>
      <c r="E3005" s="162"/>
      <c r="F3005" s="163"/>
      <c r="G3005" s="164"/>
      <c r="H3005" s="165"/>
      <c r="I3005" s="164"/>
      <c r="J3005" s="165"/>
      <c r="K3005" s="164"/>
      <c r="L3005" s="165"/>
      <c r="M3005" s="6"/>
      <c r="N3005" s="32"/>
      <c r="Q3005" s="10" t="str">
        <f>+CONCATENATE(E3003,K3003)</f>
        <v/>
      </c>
      <c r="R3005" s="10">
        <f>+L3003</f>
        <v>0</v>
      </c>
      <c r="S3005" s="11"/>
      <c r="T3005" s="10">
        <f>+E3003</f>
        <v>0</v>
      </c>
      <c r="U3005" s="19" t="str">
        <f>IFERROR(LEFT(K3003,FIND("*",K3003)-1),"-")</f>
        <v>-</v>
      </c>
      <c r="V3005" s="19" t="str">
        <f>IFERROR(RIGHT(K3003,LEN(K3003)-FIND("*",K3003)),"-")</f>
        <v>-</v>
      </c>
      <c r="W3005" s="20" t="str">
        <f t="shared" si="1630"/>
        <v>-</v>
      </c>
      <c r="X3005" s="20" t="str">
        <f>IFERROR(W3005*L3003,"-")</f>
        <v>-</v>
      </c>
      <c r="Z3005" s="85" t="s">
        <v>82</v>
      </c>
    </row>
    <row r="3006" spans="1:26" ht="6.95" customHeight="1" x14ac:dyDescent="0.3">
      <c r="A3006" s="8"/>
      <c r="B3006" s="157"/>
      <c r="C3006" s="158"/>
      <c r="D3006" s="161" t="s">
        <v>39</v>
      </c>
      <c r="E3006" s="162"/>
      <c r="F3006" s="163" t="s">
        <v>40</v>
      </c>
      <c r="G3006" s="164"/>
      <c r="H3006" s="165"/>
      <c r="I3006" s="164"/>
      <c r="J3006" s="165"/>
      <c r="K3006" s="164"/>
      <c r="L3006" s="165"/>
      <c r="M3006" s="6"/>
      <c r="N3006" s="32"/>
      <c r="Q3006" s="10" t="str">
        <f>+CONCATENATE(E3006,G3006)</f>
        <v/>
      </c>
      <c r="R3006" s="10">
        <f>+H3006</f>
        <v>0</v>
      </c>
      <c r="S3006" s="11"/>
      <c r="T3006" s="10">
        <f>+E3006</f>
        <v>0</v>
      </c>
      <c r="U3006" s="19" t="str">
        <f t="shared" ref="U3006" si="1631">IFERROR(LEFT(G3006,FIND("*",G3006)-1),"-")</f>
        <v>-</v>
      </c>
      <c r="V3006" s="19" t="str">
        <f t="shared" ref="V3006" si="1632">IFERROR(RIGHT(G3006,LEN(G3006)-FIND("*",G3006)),"-")</f>
        <v>-</v>
      </c>
      <c r="W3006" s="20" t="str">
        <f t="shared" si="1630"/>
        <v>-</v>
      </c>
      <c r="X3006" s="20" t="str">
        <f>IFERROR(W3006*H3006,"-")</f>
        <v>-</v>
      </c>
      <c r="Z3006" s="85" t="s">
        <v>82</v>
      </c>
    </row>
    <row r="3007" spans="1:26" ht="6.95" customHeight="1" x14ac:dyDescent="0.3">
      <c r="A3007" s="5"/>
      <c r="B3007" s="157"/>
      <c r="C3007" s="158"/>
      <c r="D3007" s="161"/>
      <c r="E3007" s="162"/>
      <c r="F3007" s="163"/>
      <c r="G3007" s="164"/>
      <c r="H3007" s="165"/>
      <c r="I3007" s="164"/>
      <c r="J3007" s="165"/>
      <c r="K3007" s="164"/>
      <c r="L3007" s="165"/>
      <c r="M3007" s="6"/>
      <c r="N3007" s="32"/>
      <c r="Q3007" s="10" t="str">
        <f>+CONCATENATE(E3006,I3006)</f>
        <v/>
      </c>
      <c r="R3007" s="10">
        <f>+J3006</f>
        <v>0</v>
      </c>
      <c r="S3007" s="11"/>
      <c r="T3007" s="10">
        <f>+E3006</f>
        <v>0</v>
      </c>
      <c r="U3007" s="19" t="str">
        <f>IFERROR(LEFT(I3006,FIND("*",I3006)-1),"-")</f>
        <v>-</v>
      </c>
      <c r="V3007" s="19" t="str">
        <f>IFERROR(RIGHT(I3006,LEN(I3006)-FIND("*",I3006)),"-")</f>
        <v>-</v>
      </c>
      <c r="W3007" s="20" t="str">
        <f t="shared" si="1630"/>
        <v>-</v>
      </c>
      <c r="X3007" s="20" t="str">
        <f>IFERROR(W3007*J3006,"-")</f>
        <v>-</v>
      </c>
      <c r="Z3007" s="85" t="s">
        <v>82</v>
      </c>
    </row>
    <row r="3008" spans="1:26" ht="6.95" customHeight="1" x14ac:dyDescent="0.3">
      <c r="A3008" s="5"/>
      <c r="B3008" s="157"/>
      <c r="C3008" s="158"/>
      <c r="D3008" s="161"/>
      <c r="E3008" s="162"/>
      <c r="F3008" s="163"/>
      <c r="G3008" s="164"/>
      <c r="H3008" s="165"/>
      <c r="I3008" s="164"/>
      <c r="J3008" s="165"/>
      <c r="K3008" s="164"/>
      <c r="L3008" s="165"/>
      <c r="M3008" s="6"/>
      <c r="N3008" s="32"/>
      <c r="Q3008" s="10" t="str">
        <f>+CONCATENATE(E3006,K3006)</f>
        <v/>
      </c>
      <c r="R3008" s="10">
        <f>+L3006</f>
        <v>0</v>
      </c>
      <c r="S3008" s="11"/>
      <c r="T3008" s="10">
        <f>+E3006</f>
        <v>0</v>
      </c>
      <c r="U3008" s="19" t="str">
        <f>IFERROR(LEFT(K3006,FIND("*",K3006)-1),"-")</f>
        <v>-</v>
      </c>
      <c r="V3008" s="19" t="str">
        <f>IFERROR(RIGHT(K3006,LEN(K3006)-FIND("*",K3006)),"-")</f>
        <v>-</v>
      </c>
      <c r="W3008" s="20" t="str">
        <f t="shared" si="1630"/>
        <v>-</v>
      </c>
      <c r="X3008" s="20" t="str">
        <f>IFERROR(W3008*L3006,"-")</f>
        <v>-</v>
      </c>
      <c r="Z3008" s="85" t="s">
        <v>82</v>
      </c>
    </row>
    <row r="3009" spans="1:26" ht="6.95" customHeight="1" x14ac:dyDescent="0.3">
      <c r="A3009" s="8"/>
      <c r="B3009" s="157"/>
      <c r="C3009" s="158"/>
      <c r="D3009" s="161" t="s">
        <v>39</v>
      </c>
      <c r="E3009" s="162"/>
      <c r="F3009" s="163" t="s">
        <v>40</v>
      </c>
      <c r="G3009" s="164"/>
      <c r="H3009" s="165"/>
      <c r="I3009" s="164"/>
      <c r="J3009" s="165"/>
      <c r="K3009" s="164"/>
      <c r="L3009" s="165"/>
      <c r="M3009" s="6"/>
      <c r="N3009" s="32"/>
      <c r="Q3009" s="10" t="str">
        <f>+CONCATENATE(E3009,G3009)</f>
        <v/>
      </c>
      <c r="R3009" s="10">
        <f>+H3009</f>
        <v>0</v>
      </c>
      <c r="S3009" s="11"/>
      <c r="T3009" s="10">
        <f>+E3009</f>
        <v>0</v>
      </c>
      <c r="U3009" s="19" t="str">
        <f t="shared" ref="U3009" si="1633">IFERROR(LEFT(G3009,FIND("*",G3009)-1),"-")</f>
        <v>-</v>
      </c>
      <c r="V3009" s="19" t="str">
        <f t="shared" ref="V3009" si="1634">IFERROR(RIGHT(G3009,LEN(G3009)-FIND("*",G3009)),"-")</f>
        <v>-</v>
      </c>
      <c r="W3009" s="20" t="str">
        <f t="shared" si="1630"/>
        <v>-</v>
      </c>
      <c r="X3009" s="20" t="str">
        <f>IFERROR(W3009*H3009,"-")</f>
        <v>-</v>
      </c>
      <c r="Z3009" s="85" t="s">
        <v>82</v>
      </c>
    </row>
    <row r="3010" spans="1:26" ht="6.95" customHeight="1" x14ac:dyDescent="0.3">
      <c r="A3010" s="5"/>
      <c r="B3010" s="157"/>
      <c r="C3010" s="158"/>
      <c r="D3010" s="161"/>
      <c r="E3010" s="162"/>
      <c r="F3010" s="163"/>
      <c r="G3010" s="164"/>
      <c r="H3010" s="165"/>
      <c r="I3010" s="164"/>
      <c r="J3010" s="165"/>
      <c r="K3010" s="164"/>
      <c r="L3010" s="165"/>
      <c r="M3010" s="6"/>
      <c r="N3010" s="32"/>
      <c r="Q3010" s="10" t="str">
        <f>+CONCATENATE(E3009,I3009)</f>
        <v/>
      </c>
      <c r="R3010" s="10">
        <f>+J3009</f>
        <v>0</v>
      </c>
      <c r="S3010" s="11"/>
      <c r="T3010" s="10">
        <f>+E3009</f>
        <v>0</v>
      </c>
      <c r="U3010" s="19" t="str">
        <f>IFERROR(LEFT(I3009,FIND("*",I3009)-1),"-")</f>
        <v>-</v>
      </c>
      <c r="V3010" s="19" t="str">
        <f>IFERROR(RIGHT(I3009,LEN(I3009)-FIND("*",I3009)),"-")</f>
        <v>-</v>
      </c>
      <c r="W3010" s="20" t="str">
        <f t="shared" si="1630"/>
        <v>-</v>
      </c>
      <c r="X3010" s="20" t="str">
        <f t="shared" ref="X3010" si="1635">IFERROR(W3010*J3009,"-")</f>
        <v>-</v>
      </c>
      <c r="Z3010" s="85" t="s">
        <v>82</v>
      </c>
    </row>
    <row r="3011" spans="1:26" ht="6.95" customHeight="1" x14ac:dyDescent="0.3">
      <c r="A3011" s="5"/>
      <c r="B3011" s="157"/>
      <c r="C3011" s="158"/>
      <c r="D3011" s="161"/>
      <c r="E3011" s="162"/>
      <c r="F3011" s="163"/>
      <c r="G3011" s="164"/>
      <c r="H3011" s="165"/>
      <c r="I3011" s="164"/>
      <c r="J3011" s="165"/>
      <c r="K3011" s="164"/>
      <c r="L3011" s="165"/>
      <c r="M3011" s="6"/>
      <c r="N3011" s="32"/>
      <c r="Q3011" s="10" t="str">
        <f>+CONCATENATE(E3009,K3009)</f>
        <v/>
      </c>
      <c r="R3011" s="10">
        <f>+L3009</f>
        <v>0</v>
      </c>
      <c r="S3011" s="11"/>
      <c r="T3011" s="10">
        <f>+E3009</f>
        <v>0</v>
      </c>
      <c r="U3011" s="19" t="str">
        <f>IFERROR(LEFT(K3009,FIND("*",K3009)-1),"-")</f>
        <v>-</v>
      </c>
      <c r="V3011" s="19" t="str">
        <f>IFERROR(RIGHT(K3009,LEN(K3009)-FIND("*",K3009)),"-")</f>
        <v>-</v>
      </c>
      <c r="W3011" s="20" t="str">
        <f t="shared" si="1630"/>
        <v>-</v>
      </c>
      <c r="X3011" s="20" t="str">
        <f>IFERROR(W3011*L3009,"-")</f>
        <v>-</v>
      </c>
      <c r="Z3011" s="85" t="s">
        <v>82</v>
      </c>
    </row>
    <row r="3012" spans="1:26" ht="21" customHeight="1" thickBot="1" x14ac:dyDescent="0.35">
      <c r="A3012" s="5"/>
      <c r="B3012" s="159"/>
      <c r="C3012" s="160"/>
      <c r="D3012" s="166" t="s">
        <v>43</v>
      </c>
      <c r="E3012" s="167"/>
      <c r="F3012" s="167"/>
      <c r="G3012" s="168"/>
      <c r="H3012" s="168"/>
      <c r="I3012" s="168"/>
      <c r="J3012" s="168"/>
      <c r="K3012" s="168"/>
      <c r="L3012" s="168"/>
      <c r="M3012" s="7"/>
      <c r="N3012" s="32"/>
      <c r="Z3012" s="86" t="s">
        <v>81</v>
      </c>
    </row>
    <row r="3013" spans="1:26" ht="9.9499999999999993" customHeight="1" thickBot="1" x14ac:dyDescent="0.35">
      <c r="B3013" s="9"/>
      <c r="C3013" s="109"/>
      <c r="D3013" s="51"/>
      <c r="E3013" s="12"/>
      <c r="F3013" s="51"/>
      <c r="G3013" s="14"/>
      <c r="H3013" s="14"/>
      <c r="I3013" s="14"/>
      <c r="J3013" s="14"/>
      <c r="K3013" s="14"/>
      <c r="L3013" s="14"/>
      <c r="M3013" s="9"/>
      <c r="N3013" s="32"/>
      <c r="U3013" s="18"/>
      <c r="V3013" s="18"/>
      <c r="Z3013" s="85" t="s">
        <v>82</v>
      </c>
    </row>
    <row r="3014" spans="1:26" ht="6.95" customHeight="1" x14ac:dyDescent="0.3">
      <c r="A3014" s="154">
        <f>+A3003+1</f>
        <v>1073</v>
      </c>
      <c r="B3014" s="155"/>
      <c r="C3014" s="156"/>
      <c r="D3014" s="161" t="s">
        <v>39</v>
      </c>
      <c r="E3014" s="162"/>
      <c r="F3014" s="163" t="s">
        <v>40</v>
      </c>
      <c r="G3014" s="164"/>
      <c r="H3014" s="165"/>
      <c r="I3014" s="164"/>
      <c r="J3014" s="165"/>
      <c r="K3014" s="164"/>
      <c r="L3014" s="165"/>
      <c r="M3014" s="6"/>
      <c r="N3014" s="32"/>
      <c r="Q3014" s="10" t="str">
        <f>+CONCATENATE(E3014,G3014)</f>
        <v/>
      </c>
      <c r="R3014" s="10">
        <f>+H3014</f>
        <v>0</v>
      </c>
      <c r="S3014" s="11"/>
      <c r="T3014" s="10">
        <f>+E3014</f>
        <v>0</v>
      </c>
      <c r="U3014" s="19" t="str">
        <f>IFERROR(LEFT(G3014,FIND("*",G3014)-1),"-")</f>
        <v>-</v>
      </c>
      <c r="V3014" s="19" t="str">
        <f>IFERROR(RIGHT(G3014,LEN(G3014)-FIND("*",G3014)),"-")</f>
        <v>-</v>
      </c>
      <c r="W3014" s="20" t="str">
        <f>IFERROR((U3014+V3014)*2/1000,"-")</f>
        <v>-</v>
      </c>
      <c r="X3014" s="20" t="str">
        <f>IFERROR(W3014*H3014,"-")</f>
        <v>-</v>
      </c>
      <c r="Z3014" s="85" t="s">
        <v>82</v>
      </c>
    </row>
    <row r="3015" spans="1:26" ht="6.95" customHeight="1" x14ac:dyDescent="0.3">
      <c r="A3015" s="154"/>
      <c r="B3015" s="157"/>
      <c r="C3015" s="158"/>
      <c r="D3015" s="161"/>
      <c r="E3015" s="162"/>
      <c r="F3015" s="163"/>
      <c r="G3015" s="164"/>
      <c r="H3015" s="165"/>
      <c r="I3015" s="164"/>
      <c r="J3015" s="165"/>
      <c r="K3015" s="164"/>
      <c r="L3015" s="165"/>
      <c r="M3015" s="6"/>
      <c r="N3015" s="32"/>
      <c r="Q3015" s="10" t="str">
        <f>+CONCATENATE(E3014,I3014)</f>
        <v/>
      </c>
      <c r="R3015" s="10">
        <f>+J3014</f>
        <v>0</v>
      </c>
      <c r="S3015" s="11"/>
      <c r="T3015" s="10">
        <f>+E3014</f>
        <v>0</v>
      </c>
      <c r="U3015" s="19" t="str">
        <f>IFERROR(LEFT(I3014,FIND("*",I3014)-1),"-")</f>
        <v>-</v>
      </c>
      <c r="V3015" s="19" t="str">
        <f>IFERROR(RIGHT(I3014,LEN(I3014)-FIND("*",I3014)),"-")</f>
        <v>-</v>
      </c>
      <c r="W3015" s="20" t="str">
        <f t="shared" ref="W3015:W3022" si="1636">IFERROR((U3015+V3015)*2/1000,"-")</f>
        <v>-</v>
      </c>
      <c r="X3015" s="20" t="str">
        <f>IFERROR(W3015*J3014,"-")</f>
        <v>-</v>
      </c>
      <c r="Z3015" s="85" t="s">
        <v>82</v>
      </c>
    </row>
    <row r="3016" spans="1:26" ht="6.95" customHeight="1" x14ac:dyDescent="0.3">
      <c r="A3016" s="154"/>
      <c r="B3016" s="157"/>
      <c r="C3016" s="158"/>
      <c r="D3016" s="161"/>
      <c r="E3016" s="162"/>
      <c r="F3016" s="163"/>
      <c r="G3016" s="164"/>
      <c r="H3016" s="165"/>
      <c r="I3016" s="164"/>
      <c r="J3016" s="165"/>
      <c r="K3016" s="164"/>
      <c r="L3016" s="165"/>
      <c r="M3016" s="6"/>
      <c r="N3016" s="32"/>
      <c r="Q3016" s="10" t="str">
        <f>+CONCATENATE(E3014,K3014)</f>
        <v/>
      </c>
      <c r="R3016" s="10">
        <f>+L3014</f>
        <v>0</v>
      </c>
      <c r="S3016" s="11"/>
      <c r="T3016" s="10">
        <f>+E3014</f>
        <v>0</v>
      </c>
      <c r="U3016" s="19" t="str">
        <f>IFERROR(LEFT(K3014,FIND("*",K3014)-1),"-")</f>
        <v>-</v>
      </c>
      <c r="V3016" s="19" t="str">
        <f>IFERROR(RIGHT(K3014,LEN(K3014)-FIND("*",K3014)),"-")</f>
        <v>-</v>
      </c>
      <c r="W3016" s="20" t="str">
        <f t="shared" si="1636"/>
        <v>-</v>
      </c>
      <c r="X3016" s="20" t="str">
        <f>IFERROR(W3016*L3014,"-")</f>
        <v>-</v>
      </c>
      <c r="Z3016" s="85" t="s">
        <v>82</v>
      </c>
    </row>
    <row r="3017" spans="1:26" ht="6.95" customHeight="1" x14ac:dyDescent="0.3">
      <c r="A3017" s="8"/>
      <c r="B3017" s="157"/>
      <c r="C3017" s="158"/>
      <c r="D3017" s="161" t="s">
        <v>39</v>
      </c>
      <c r="E3017" s="162"/>
      <c r="F3017" s="163" t="s">
        <v>40</v>
      </c>
      <c r="G3017" s="164"/>
      <c r="H3017" s="165"/>
      <c r="I3017" s="164"/>
      <c r="J3017" s="165"/>
      <c r="K3017" s="164"/>
      <c r="L3017" s="165"/>
      <c r="M3017" s="6"/>
      <c r="N3017" s="32"/>
      <c r="Q3017" s="10" t="str">
        <f>+CONCATENATE(E3017,G3017)</f>
        <v/>
      </c>
      <c r="R3017" s="10">
        <f>+H3017</f>
        <v>0</v>
      </c>
      <c r="S3017" s="11"/>
      <c r="T3017" s="10">
        <f>+E3017</f>
        <v>0</v>
      </c>
      <c r="U3017" s="19" t="str">
        <f t="shared" ref="U3017" si="1637">IFERROR(LEFT(G3017,FIND("*",G3017)-1),"-")</f>
        <v>-</v>
      </c>
      <c r="V3017" s="19" t="str">
        <f t="shared" ref="V3017" si="1638">IFERROR(RIGHT(G3017,LEN(G3017)-FIND("*",G3017)),"-")</f>
        <v>-</v>
      </c>
      <c r="W3017" s="20" t="str">
        <f t="shared" si="1636"/>
        <v>-</v>
      </c>
      <c r="X3017" s="20" t="str">
        <f>IFERROR(W3017*H3017,"-")</f>
        <v>-</v>
      </c>
      <c r="Z3017" s="85" t="s">
        <v>82</v>
      </c>
    </row>
    <row r="3018" spans="1:26" ht="6.95" customHeight="1" x14ac:dyDescent="0.3">
      <c r="A3018" s="5"/>
      <c r="B3018" s="157"/>
      <c r="C3018" s="158"/>
      <c r="D3018" s="161"/>
      <c r="E3018" s="162"/>
      <c r="F3018" s="163"/>
      <c r="G3018" s="164"/>
      <c r="H3018" s="165"/>
      <c r="I3018" s="164"/>
      <c r="J3018" s="165"/>
      <c r="K3018" s="164"/>
      <c r="L3018" s="165"/>
      <c r="M3018" s="6"/>
      <c r="N3018" s="32"/>
      <c r="Q3018" s="10" t="str">
        <f>+CONCATENATE(E3017,I3017)</f>
        <v/>
      </c>
      <c r="R3018" s="10">
        <f>+J3017</f>
        <v>0</v>
      </c>
      <c r="S3018" s="11"/>
      <c r="T3018" s="10">
        <f>+E3017</f>
        <v>0</v>
      </c>
      <c r="U3018" s="19" t="str">
        <f>IFERROR(LEFT(I3017,FIND("*",I3017)-1),"-")</f>
        <v>-</v>
      </c>
      <c r="V3018" s="19" t="str">
        <f>IFERROR(RIGHT(I3017,LEN(I3017)-FIND("*",I3017)),"-")</f>
        <v>-</v>
      </c>
      <c r="W3018" s="20" t="str">
        <f t="shared" si="1636"/>
        <v>-</v>
      </c>
      <c r="X3018" s="20" t="str">
        <f>IFERROR(W3018*J3017,"-")</f>
        <v>-</v>
      </c>
      <c r="Z3018" s="85" t="s">
        <v>82</v>
      </c>
    </row>
    <row r="3019" spans="1:26" ht="6.95" customHeight="1" x14ac:dyDescent="0.3">
      <c r="A3019" s="5"/>
      <c r="B3019" s="157"/>
      <c r="C3019" s="158"/>
      <c r="D3019" s="161"/>
      <c r="E3019" s="162"/>
      <c r="F3019" s="163"/>
      <c r="G3019" s="164"/>
      <c r="H3019" s="165"/>
      <c r="I3019" s="164"/>
      <c r="J3019" s="165"/>
      <c r="K3019" s="164"/>
      <c r="L3019" s="165"/>
      <c r="M3019" s="6"/>
      <c r="N3019" s="32"/>
      <c r="Q3019" s="10" t="str">
        <f>+CONCATENATE(E3017,K3017)</f>
        <v/>
      </c>
      <c r="R3019" s="10">
        <f>+L3017</f>
        <v>0</v>
      </c>
      <c r="S3019" s="11"/>
      <c r="T3019" s="10">
        <f>+E3017</f>
        <v>0</v>
      </c>
      <c r="U3019" s="19" t="str">
        <f>IFERROR(LEFT(K3017,FIND("*",K3017)-1),"-")</f>
        <v>-</v>
      </c>
      <c r="V3019" s="19" t="str">
        <f>IFERROR(RIGHT(K3017,LEN(K3017)-FIND("*",K3017)),"-")</f>
        <v>-</v>
      </c>
      <c r="W3019" s="20" t="str">
        <f t="shared" si="1636"/>
        <v>-</v>
      </c>
      <c r="X3019" s="20" t="str">
        <f>IFERROR(W3019*L3017,"-")</f>
        <v>-</v>
      </c>
      <c r="Z3019" s="85" t="s">
        <v>82</v>
      </c>
    </row>
    <row r="3020" spans="1:26" ht="6.95" customHeight="1" x14ac:dyDescent="0.3">
      <c r="A3020" s="8"/>
      <c r="B3020" s="157"/>
      <c r="C3020" s="158"/>
      <c r="D3020" s="161" t="s">
        <v>39</v>
      </c>
      <c r="E3020" s="162"/>
      <c r="F3020" s="163" t="s">
        <v>40</v>
      </c>
      <c r="G3020" s="164"/>
      <c r="H3020" s="165"/>
      <c r="I3020" s="164"/>
      <c r="J3020" s="165"/>
      <c r="K3020" s="164"/>
      <c r="L3020" s="165"/>
      <c r="M3020" s="6"/>
      <c r="N3020" s="32"/>
      <c r="Q3020" s="10" t="str">
        <f>+CONCATENATE(E3020,G3020)</f>
        <v/>
      </c>
      <c r="R3020" s="10">
        <f>+H3020</f>
        <v>0</v>
      </c>
      <c r="S3020" s="11"/>
      <c r="T3020" s="10">
        <f>+E3020</f>
        <v>0</v>
      </c>
      <c r="U3020" s="19" t="str">
        <f t="shared" ref="U3020" si="1639">IFERROR(LEFT(G3020,FIND("*",G3020)-1),"-")</f>
        <v>-</v>
      </c>
      <c r="V3020" s="19" t="str">
        <f t="shared" ref="V3020" si="1640">IFERROR(RIGHT(G3020,LEN(G3020)-FIND("*",G3020)),"-")</f>
        <v>-</v>
      </c>
      <c r="W3020" s="20" t="str">
        <f t="shared" si="1636"/>
        <v>-</v>
      </c>
      <c r="X3020" s="20" t="str">
        <f>IFERROR(W3020*H3020,"-")</f>
        <v>-</v>
      </c>
      <c r="Z3020" s="85" t="s">
        <v>82</v>
      </c>
    </row>
    <row r="3021" spans="1:26" ht="6.95" customHeight="1" x14ac:dyDescent="0.3">
      <c r="A3021" s="5"/>
      <c r="B3021" s="157"/>
      <c r="C3021" s="158"/>
      <c r="D3021" s="161"/>
      <c r="E3021" s="162"/>
      <c r="F3021" s="163"/>
      <c r="G3021" s="164"/>
      <c r="H3021" s="165"/>
      <c r="I3021" s="164"/>
      <c r="J3021" s="165"/>
      <c r="K3021" s="164"/>
      <c r="L3021" s="165"/>
      <c r="M3021" s="6"/>
      <c r="N3021" s="32"/>
      <c r="Q3021" s="10" t="str">
        <f>+CONCATENATE(E3020,I3020)</f>
        <v/>
      </c>
      <c r="R3021" s="10">
        <f>+J3020</f>
        <v>0</v>
      </c>
      <c r="S3021" s="11"/>
      <c r="T3021" s="10">
        <f>+E3020</f>
        <v>0</v>
      </c>
      <c r="U3021" s="19" t="str">
        <f>IFERROR(LEFT(I3020,FIND("*",I3020)-1),"-")</f>
        <v>-</v>
      </c>
      <c r="V3021" s="19" t="str">
        <f>IFERROR(RIGHT(I3020,LEN(I3020)-FIND("*",I3020)),"-")</f>
        <v>-</v>
      </c>
      <c r="W3021" s="20" t="str">
        <f t="shared" si="1636"/>
        <v>-</v>
      </c>
      <c r="X3021" s="20" t="str">
        <f t="shared" ref="X3021" si="1641">IFERROR(W3021*J3020,"-")</f>
        <v>-</v>
      </c>
      <c r="Z3021" s="85" t="s">
        <v>82</v>
      </c>
    </row>
    <row r="3022" spans="1:26" ht="6.95" customHeight="1" x14ac:dyDescent="0.3">
      <c r="A3022" s="5"/>
      <c r="B3022" s="157"/>
      <c r="C3022" s="158"/>
      <c r="D3022" s="161"/>
      <c r="E3022" s="162"/>
      <c r="F3022" s="163"/>
      <c r="G3022" s="164"/>
      <c r="H3022" s="165"/>
      <c r="I3022" s="164"/>
      <c r="J3022" s="165"/>
      <c r="K3022" s="164"/>
      <c r="L3022" s="165"/>
      <c r="M3022" s="6"/>
      <c r="N3022" s="32"/>
      <c r="Q3022" s="10" t="str">
        <f>+CONCATENATE(E3020,K3020)</f>
        <v/>
      </c>
      <c r="R3022" s="10">
        <f>+L3020</f>
        <v>0</v>
      </c>
      <c r="S3022" s="11"/>
      <c r="T3022" s="10">
        <f>+E3020</f>
        <v>0</v>
      </c>
      <c r="U3022" s="19" t="str">
        <f>IFERROR(LEFT(K3020,FIND("*",K3020)-1),"-")</f>
        <v>-</v>
      </c>
      <c r="V3022" s="19" t="str">
        <f>IFERROR(RIGHT(K3020,LEN(K3020)-FIND("*",K3020)),"-")</f>
        <v>-</v>
      </c>
      <c r="W3022" s="20" t="str">
        <f t="shared" si="1636"/>
        <v>-</v>
      </c>
      <c r="X3022" s="20" t="str">
        <f>IFERROR(W3022*L3020,"-")</f>
        <v>-</v>
      </c>
      <c r="Z3022" s="85" t="s">
        <v>82</v>
      </c>
    </row>
    <row r="3023" spans="1:26" ht="21" customHeight="1" thickBot="1" x14ac:dyDescent="0.35">
      <c r="A3023" s="5"/>
      <c r="B3023" s="159"/>
      <c r="C3023" s="160"/>
      <c r="D3023" s="166" t="s">
        <v>43</v>
      </c>
      <c r="E3023" s="167"/>
      <c r="F3023" s="167"/>
      <c r="G3023" s="168"/>
      <c r="H3023" s="168"/>
      <c r="I3023" s="168"/>
      <c r="J3023" s="168"/>
      <c r="K3023" s="168"/>
      <c r="L3023" s="168"/>
      <c r="M3023" s="7"/>
      <c r="N3023" s="32"/>
      <c r="Z3023" s="86" t="s">
        <v>81</v>
      </c>
    </row>
    <row r="3024" spans="1:26" ht="9.9499999999999993" customHeight="1" thickBot="1" x14ac:dyDescent="0.35">
      <c r="B3024" s="9"/>
      <c r="C3024" s="109"/>
      <c r="D3024" s="51"/>
      <c r="E3024" s="12"/>
      <c r="F3024" s="51"/>
      <c r="G3024" s="14"/>
      <c r="H3024" s="14"/>
      <c r="I3024" s="14"/>
      <c r="J3024" s="14"/>
      <c r="K3024" s="14"/>
      <c r="L3024" s="14"/>
      <c r="M3024" s="9"/>
      <c r="N3024" s="32"/>
      <c r="U3024" s="18"/>
      <c r="V3024" s="18"/>
      <c r="Z3024" s="85" t="s">
        <v>82</v>
      </c>
    </row>
    <row r="3025" spans="1:26" ht="6.95" customHeight="1" x14ac:dyDescent="0.3">
      <c r="A3025" s="154">
        <f>+A3014+1</f>
        <v>1074</v>
      </c>
      <c r="B3025" s="155"/>
      <c r="C3025" s="156"/>
      <c r="D3025" s="161" t="s">
        <v>39</v>
      </c>
      <c r="E3025" s="162"/>
      <c r="F3025" s="163" t="s">
        <v>40</v>
      </c>
      <c r="G3025" s="164"/>
      <c r="H3025" s="165"/>
      <c r="I3025" s="164"/>
      <c r="J3025" s="165"/>
      <c r="K3025" s="164"/>
      <c r="L3025" s="165"/>
      <c r="M3025" s="6"/>
      <c r="N3025" s="32"/>
      <c r="Q3025" s="10" t="str">
        <f>+CONCATENATE(E3025,G3025)</f>
        <v/>
      </c>
      <c r="R3025" s="10">
        <f>+H3025</f>
        <v>0</v>
      </c>
      <c r="S3025" s="11"/>
      <c r="T3025" s="10">
        <f>+E3025</f>
        <v>0</v>
      </c>
      <c r="U3025" s="19" t="str">
        <f>IFERROR(LEFT(G3025,FIND("*",G3025)-1),"-")</f>
        <v>-</v>
      </c>
      <c r="V3025" s="19" t="str">
        <f>IFERROR(RIGHT(G3025,LEN(G3025)-FIND("*",G3025)),"-")</f>
        <v>-</v>
      </c>
      <c r="W3025" s="20" t="str">
        <f>IFERROR((U3025+V3025)*2/1000,"-")</f>
        <v>-</v>
      </c>
      <c r="X3025" s="20" t="str">
        <f>IFERROR(W3025*H3025,"-")</f>
        <v>-</v>
      </c>
      <c r="Z3025" s="85" t="s">
        <v>82</v>
      </c>
    </row>
    <row r="3026" spans="1:26" ht="6.95" customHeight="1" x14ac:dyDescent="0.3">
      <c r="A3026" s="154"/>
      <c r="B3026" s="157"/>
      <c r="C3026" s="158"/>
      <c r="D3026" s="161"/>
      <c r="E3026" s="162"/>
      <c r="F3026" s="163"/>
      <c r="G3026" s="164"/>
      <c r="H3026" s="165"/>
      <c r="I3026" s="164"/>
      <c r="J3026" s="165"/>
      <c r="K3026" s="164"/>
      <c r="L3026" s="165"/>
      <c r="M3026" s="6"/>
      <c r="N3026" s="32"/>
      <c r="Q3026" s="10" t="str">
        <f>+CONCATENATE(E3025,I3025)</f>
        <v/>
      </c>
      <c r="R3026" s="10">
        <f>+J3025</f>
        <v>0</v>
      </c>
      <c r="S3026" s="11"/>
      <c r="T3026" s="10">
        <f>+E3025</f>
        <v>0</v>
      </c>
      <c r="U3026" s="19" t="str">
        <f>IFERROR(LEFT(I3025,FIND("*",I3025)-1),"-")</f>
        <v>-</v>
      </c>
      <c r="V3026" s="19" t="str">
        <f>IFERROR(RIGHT(I3025,LEN(I3025)-FIND("*",I3025)),"-")</f>
        <v>-</v>
      </c>
      <c r="W3026" s="20" t="str">
        <f t="shared" ref="W3026:W3033" si="1642">IFERROR((U3026+V3026)*2/1000,"-")</f>
        <v>-</v>
      </c>
      <c r="X3026" s="20" t="str">
        <f>IFERROR(W3026*J3025,"-")</f>
        <v>-</v>
      </c>
      <c r="Z3026" s="85" t="s">
        <v>82</v>
      </c>
    </row>
    <row r="3027" spans="1:26" ht="6.95" customHeight="1" x14ac:dyDescent="0.3">
      <c r="A3027" s="154"/>
      <c r="B3027" s="157"/>
      <c r="C3027" s="158"/>
      <c r="D3027" s="161"/>
      <c r="E3027" s="162"/>
      <c r="F3027" s="163"/>
      <c r="G3027" s="164"/>
      <c r="H3027" s="165"/>
      <c r="I3027" s="164"/>
      <c r="J3027" s="165"/>
      <c r="K3027" s="164"/>
      <c r="L3027" s="165"/>
      <c r="M3027" s="6"/>
      <c r="N3027" s="32"/>
      <c r="Q3027" s="10" t="str">
        <f>+CONCATENATE(E3025,K3025)</f>
        <v/>
      </c>
      <c r="R3027" s="10">
        <f>+L3025</f>
        <v>0</v>
      </c>
      <c r="S3027" s="11"/>
      <c r="T3027" s="10">
        <f>+E3025</f>
        <v>0</v>
      </c>
      <c r="U3027" s="19" t="str">
        <f>IFERROR(LEFT(K3025,FIND("*",K3025)-1),"-")</f>
        <v>-</v>
      </c>
      <c r="V3027" s="19" t="str">
        <f>IFERROR(RIGHT(K3025,LEN(K3025)-FIND("*",K3025)),"-")</f>
        <v>-</v>
      </c>
      <c r="W3027" s="20" t="str">
        <f t="shared" si="1642"/>
        <v>-</v>
      </c>
      <c r="X3027" s="20" t="str">
        <f>IFERROR(W3027*L3025,"-")</f>
        <v>-</v>
      </c>
      <c r="Z3027" s="85" t="s">
        <v>82</v>
      </c>
    </row>
    <row r="3028" spans="1:26" ht="6.95" customHeight="1" x14ac:dyDescent="0.3">
      <c r="A3028" s="8"/>
      <c r="B3028" s="157"/>
      <c r="C3028" s="158"/>
      <c r="D3028" s="161" t="s">
        <v>39</v>
      </c>
      <c r="E3028" s="162"/>
      <c r="F3028" s="163" t="s">
        <v>40</v>
      </c>
      <c r="G3028" s="164"/>
      <c r="H3028" s="165"/>
      <c r="I3028" s="164"/>
      <c r="J3028" s="165"/>
      <c r="K3028" s="164"/>
      <c r="L3028" s="165"/>
      <c r="M3028" s="6"/>
      <c r="N3028" s="32"/>
      <c r="Q3028" s="10" t="str">
        <f>+CONCATENATE(E3028,G3028)</f>
        <v/>
      </c>
      <c r="R3028" s="10">
        <f>+H3028</f>
        <v>0</v>
      </c>
      <c r="S3028" s="11"/>
      <c r="T3028" s="10">
        <f>+E3028</f>
        <v>0</v>
      </c>
      <c r="U3028" s="19" t="str">
        <f t="shared" ref="U3028" si="1643">IFERROR(LEFT(G3028,FIND("*",G3028)-1),"-")</f>
        <v>-</v>
      </c>
      <c r="V3028" s="19" t="str">
        <f t="shared" ref="V3028" si="1644">IFERROR(RIGHT(G3028,LEN(G3028)-FIND("*",G3028)),"-")</f>
        <v>-</v>
      </c>
      <c r="W3028" s="20" t="str">
        <f t="shared" si="1642"/>
        <v>-</v>
      </c>
      <c r="X3028" s="20" t="str">
        <f>IFERROR(W3028*H3028,"-")</f>
        <v>-</v>
      </c>
      <c r="Z3028" s="85" t="s">
        <v>82</v>
      </c>
    </row>
    <row r="3029" spans="1:26" ht="6.95" customHeight="1" x14ac:dyDescent="0.3">
      <c r="A3029" s="5"/>
      <c r="B3029" s="157"/>
      <c r="C3029" s="158"/>
      <c r="D3029" s="161"/>
      <c r="E3029" s="162"/>
      <c r="F3029" s="163"/>
      <c r="G3029" s="164"/>
      <c r="H3029" s="165"/>
      <c r="I3029" s="164"/>
      <c r="J3029" s="165"/>
      <c r="K3029" s="164"/>
      <c r="L3029" s="165"/>
      <c r="M3029" s="6"/>
      <c r="N3029" s="32"/>
      <c r="Q3029" s="10" t="str">
        <f>+CONCATENATE(E3028,I3028)</f>
        <v/>
      </c>
      <c r="R3029" s="10">
        <f>+J3028</f>
        <v>0</v>
      </c>
      <c r="S3029" s="11"/>
      <c r="T3029" s="10">
        <f>+E3028</f>
        <v>0</v>
      </c>
      <c r="U3029" s="19" t="str">
        <f>IFERROR(LEFT(I3028,FIND("*",I3028)-1),"-")</f>
        <v>-</v>
      </c>
      <c r="V3029" s="19" t="str">
        <f>IFERROR(RIGHT(I3028,LEN(I3028)-FIND("*",I3028)),"-")</f>
        <v>-</v>
      </c>
      <c r="W3029" s="20" t="str">
        <f t="shared" si="1642"/>
        <v>-</v>
      </c>
      <c r="X3029" s="20" t="str">
        <f>IFERROR(W3029*J3028,"-")</f>
        <v>-</v>
      </c>
      <c r="Z3029" s="85" t="s">
        <v>82</v>
      </c>
    </row>
    <row r="3030" spans="1:26" ht="6.95" customHeight="1" x14ac:dyDescent="0.3">
      <c r="A3030" s="5"/>
      <c r="B3030" s="157"/>
      <c r="C3030" s="158"/>
      <c r="D3030" s="161"/>
      <c r="E3030" s="162"/>
      <c r="F3030" s="163"/>
      <c r="G3030" s="164"/>
      <c r="H3030" s="165"/>
      <c r="I3030" s="164"/>
      <c r="J3030" s="165"/>
      <c r="K3030" s="164"/>
      <c r="L3030" s="165"/>
      <c r="M3030" s="6"/>
      <c r="N3030" s="32"/>
      <c r="Q3030" s="10" t="str">
        <f>+CONCATENATE(E3028,K3028)</f>
        <v/>
      </c>
      <c r="R3030" s="10">
        <f>+L3028</f>
        <v>0</v>
      </c>
      <c r="S3030" s="11"/>
      <c r="T3030" s="10">
        <f>+E3028</f>
        <v>0</v>
      </c>
      <c r="U3030" s="19" t="str">
        <f>IFERROR(LEFT(K3028,FIND("*",K3028)-1),"-")</f>
        <v>-</v>
      </c>
      <c r="V3030" s="19" t="str">
        <f>IFERROR(RIGHT(K3028,LEN(K3028)-FIND("*",K3028)),"-")</f>
        <v>-</v>
      </c>
      <c r="W3030" s="20" t="str">
        <f t="shared" si="1642"/>
        <v>-</v>
      </c>
      <c r="X3030" s="20" t="str">
        <f>IFERROR(W3030*L3028,"-")</f>
        <v>-</v>
      </c>
      <c r="Z3030" s="85" t="s">
        <v>82</v>
      </c>
    </row>
    <row r="3031" spans="1:26" ht="6.95" customHeight="1" x14ac:dyDescent="0.3">
      <c r="A3031" s="8"/>
      <c r="B3031" s="157"/>
      <c r="C3031" s="158"/>
      <c r="D3031" s="161" t="s">
        <v>39</v>
      </c>
      <c r="E3031" s="162"/>
      <c r="F3031" s="163" t="s">
        <v>40</v>
      </c>
      <c r="G3031" s="164"/>
      <c r="H3031" s="165"/>
      <c r="I3031" s="164"/>
      <c r="J3031" s="165"/>
      <c r="K3031" s="164"/>
      <c r="L3031" s="165"/>
      <c r="M3031" s="6"/>
      <c r="N3031" s="32"/>
      <c r="Q3031" s="10" t="str">
        <f>+CONCATENATE(E3031,G3031)</f>
        <v/>
      </c>
      <c r="R3031" s="10">
        <f>+H3031</f>
        <v>0</v>
      </c>
      <c r="S3031" s="11"/>
      <c r="T3031" s="10">
        <f>+E3031</f>
        <v>0</v>
      </c>
      <c r="U3031" s="19" t="str">
        <f t="shared" ref="U3031" si="1645">IFERROR(LEFT(G3031,FIND("*",G3031)-1),"-")</f>
        <v>-</v>
      </c>
      <c r="V3031" s="19" t="str">
        <f t="shared" ref="V3031" si="1646">IFERROR(RIGHT(G3031,LEN(G3031)-FIND("*",G3031)),"-")</f>
        <v>-</v>
      </c>
      <c r="W3031" s="20" t="str">
        <f t="shared" si="1642"/>
        <v>-</v>
      </c>
      <c r="X3031" s="20" t="str">
        <f>IFERROR(W3031*H3031,"-")</f>
        <v>-</v>
      </c>
      <c r="Z3031" s="85" t="s">
        <v>82</v>
      </c>
    </row>
    <row r="3032" spans="1:26" ht="6.95" customHeight="1" x14ac:dyDescent="0.3">
      <c r="A3032" s="5"/>
      <c r="B3032" s="157"/>
      <c r="C3032" s="158"/>
      <c r="D3032" s="161"/>
      <c r="E3032" s="162"/>
      <c r="F3032" s="163"/>
      <c r="G3032" s="164"/>
      <c r="H3032" s="165"/>
      <c r="I3032" s="164"/>
      <c r="J3032" s="165"/>
      <c r="K3032" s="164"/>
      <c r="L3032" s="165"/>
      <c r="M3032" s="6"/>
      <c r="N3032" s="32"/>
      <c r="Q3032" s="10" t="str">
        <f>+CONCATENATE(E3031,I3031)</f>
        <v/>
      </c>
      <c r="R3032" s="10">
        <f>+J3031</f>
        <v>0</v>
      </c>
      <c r="S3032" s="11"/>
      <c r="T3032" s="10">
        <f>+E3031</f>
        <v>0</v>
      </c>
      <c r="U3032" s="19" t="str">
        <f>IFERROR(LEFT(I3031,FIND("*",I3031)-1),"-")</f>
        <v>-</v>
      </c>
      <c r="V3032" s="19" t="str">
        <f>IFERROR(RIGHT(I3031,LEN(I3031)-FIND("*",I3031)),"-")</f>
        <v>-</v>
      </c>
      <c r="W3032" s="20" t="str">
        <f t="shared" si="1642"/>
        <v>-</v>
      </c>
      <c r="X3032" s="20" t="str">
        <f t="shared" ref="X3032" si="1647">IFERROR(W3032*J3031,"-")</f>
        <v>-</v>
      </c>
      <c r="Z3032" s="85" t="s">
        <v>82</v>
      </c>
    </row>
    <row r="3033" spans="1:26" ht="6.95" customHeight="1" x14ac:dyDescent="0.3">
      <c r="A3033" s="5"/>
      <c r="B3033" s="157"/>
      <c r="C3033" s="158"/>
      <c r="D3033" s="161"/>
      <c r="E3033" s="162"/>
      <c r="F3033" s="163"/>
      <c r="G3033" s="164"/>
      <c r="H3033" s="165"/>
      <c r="I3033" s="164"/>
      <c r="J3033" s="165"/>
      <c r="K3033" s="164"/>
      <c r="L3033" s="165"/>
      <c r="M3033" s="6"/>
      <c r="N3033" s="32"/>
      <c r="Q3033" s="10" t="str">
        <f>+CONCATENATE(E3031,K3031)</f>
        <v/>
      </c>
      <c r="R3033" s="10">
        <f>+L3031</f>
        <v>0</v>
      </c>
      <c r="S3033" s="11"/>
      <c r="T3033" s="10">
        <f>+E3031</f>
        <v>0</v>
      </c>
      <c r="U3033" s="19" t="str">
        <f>IFERROR(LEFT(K3031,FIND("*",K3031)-1),"-")</f>
        <v>-</v>
      </c>
      <c r="V3033" s="19" t="str">
        <f>IFERROR(RIGHT(K3031,LEN(K3031)-FIND("*",K3031)),"-")</f>
        <v>-</v>
      </c>
      <c r="W3033" s="20" t="str">
        <f t="shared" si="1642"/>
        <v>-</v>
      </c>
      <c r="X3033" s="20" t="str">
        <f>IFERROR(W3033*L3031,"-")</f>
        <v>-</v>
      </c>
      <c r="Z3033" s="85" t="s">
        <v>82</v>
      </c>
    </row>
    <row r="3034" spans="1:26" ht="21" customHeight="1" thickBot="1" x14ac:dyDescent="0.35">
      <c r="A3034" s="5"/>
      <c r="B3034" s="159"/>
      <c r="C3034" s="160"/>
      <c r="D3034" s="166" t="s">
        <v>43</v>
      </c>
      <c r="E3034" s="167"/>
      <c r="F3034" s="167"/>
      <c r="G3034" s="168"/>
      <c r="H3034" s="168"/>
      <c r="I3034" s="168"/>
      <c r="J3034" s="168"/>
      <c r="K3034" s="168"/>
      <c r="L3034" s="168"/>
      <c r="M3034" s="7"/>
      <c r="N3034" s="32"/>
      <c r="Z3034" s="86" t="s">
        <v>81</v>
      </c>
    </row>
    <row r="3035" spans="1:26" ht="9.9499999999999993" customHeight="1" thickBot="1" x14ac:dyDescent="0.35">
      <c r="B3035" s="9"/>
      <c r="C3035" s="109"/>
      <c r="D3035" s="51"/>
      <c r="E3035" s="12"/>
      <c r="F3035" s="51"/>
      <c r="G3035" s="14"/>
      <c r="H3035" s="14"/>
      <c r="I3035" s="14"/>
      <c r="J3035" s="14"/>
      <c r="K3035" s="14"/>
      <c r="L3035" s="14"/>
      <c r="M3035" s="9"/>
      <c r="N3035" s="32"/>
      <c r="U3035" s="18"/>
      <c r="V3035" s="18"/>
      <c r="Z3035" s="85" t="s">
        <v>82</v>
      </c>
    </row>
    <row r="3036" spans="1:26" ht="6.95" customHeight="1" x14ac:dyDescent="0.3">
      <c r="A3036" s="154">
        <f>+A3025+1</f>
        <v>1075</v>
      </c>
      <c r="B3036" s="155"/>
      <c r="C3036" s="156"/>
      <c r="D3036" s="161" t="s">
        <v>39</v>
      </c>
      <c r="E3036" s="162"/>
      <c r="F3036" s="163" t="s">
        <v>40</v>
      </c>
      <c r="G3036" s="164"/>
      <c r="H3036" s="165"/>
      <c r="I3036" s="164"/>
      <c r="J3036" s="165"/>
      <c r="K3036" s="164"/>
      <c r="L3036" s="165"/>
      <c r="M3036" s="6"/>
      <c r="N3036" s="32"/>
      <c r="Q3036" s="10" t="str">
        <f>+CONCATENATE(E3036,G3036)</f>
        <v/>
      </c>
      <c r="R3036" s="10">
        <f>+H3036</f>
        <v>0</v>
      </c>
      <c r="S3036" s="11"/>
      <c r="T3036" s="10">
        <f>+E3036</f>
        <v>0</v>
      </c>
      <c r="U3036" s="19" t="str">
        <f>IFERROR(LEFT(G3036,FIND("*",G3036)-1),"-")</f>
        <v>-</v>
      </c>
      <c r="V3036" s="19" t="str">
        <f>IFERROR(RIGHT(G3036,LEN(G3036)-FIND("*",G3036)),"-")</f>
        <v>-</v>
      </c>
      <c r="W3036" s="20" t="str">
        <f>IFERROR((U3036+V3036)*2/1000,"-")</f>
        <v>-</v>
      </c>
      <c r="X3036" s="20" t="str">
        <f>IFERROR(W3036*H3036,"-")</f>
        <v>-</v>
      </c>
      <c r="Z3036" s="85" t="s">
        <v>82</v>
      </c>
    </row>
    <row r="3037" spans="1:26" ht="6.95" customHeight="1" x14ac:dyDescent="0.3">
      <c r="A3037" s="154"/>
      <c r="B3037" s="157"/>
      <c r="C3037" s="158"/>
      <c r="D3037" s="161"/>
      <c r="E3037" s="162"/>
      <c r="F3037" s="163"/>
      <c r="G3037" s="164"/>
      <c r="H3037" s="165"/>
      <c r="I3037" s="164"/>
      <c r="J3037" s="165"/>
      <c r="K3037" s="164"/>
      <c r="L3037" s="165"/>
      <c r="M3037" s="6"/>
      <c r="N3037" s="32"/>
      <c r="Q3037" s="10" t="str">
        <f>+CONCATENATE(E3036,I3036)</f>
        <v/>
      </c>
      <c r="R3037" s="10">
        <f>+J3036</f>
        <v>0</v>
      </c>
      <c r="S3037" s="11"/>
      <c r="T3037" s="10">
        <f>+E3036</f>
        <v>0</v>
      </c>
      <c r="U3037" s="19" t="str">
        <f>IFERROR(LEFT(I3036,FIND("*",I3036)-1),"-")</f>
        <v>-</v>
      </c>
      <c r="V3037" s="19" t="str">
        <f>IFERROR(RIGHT(I3036,LEN(I3036)-FIND("*",I3036)),"-")</f>
        <v>-</v>
      </c>
      <c r="W3037" s="20" t="str">
        <f t="shared" ref="W3037:W3044" si="1648">IFERROR((U3037+V3037)*2/1000,"-")</f>
        <v>-</v>
      </c>
      <c r="X3037" s="20" t="str">
        <f>IFERROR(W3037*J3036,"-")</f>
        <v>-</v>
      </c>
      <c r="Z3037" s="85" t="s">
        <v>82</v>
      </c>
    </row>
    <row r="3038" spans="1:26" ht="6.95" customHeight="1" x14ac:dyDescent="0.3">
      <c r="A3038" s="154"/>
      <c r="B3038" s="157"/>
      <c r="C3038" s="158"/>
      <c r="D3038" s="161"/>
      <c r="E3038" s="162"/>
      <c r="F3038" s="163"/>
      <c r="G3038" s="164"/>
      <c r="H3038" s="165"/>
      <c r="I3038" s="164"/>
      <c r="J3038" s="165"/>
      <c r="K3038" s="164"/>
      <c r="L3038" s="165"/>
      <c r="M3038" s="6"/>
      <c r="N3038" s="32"/>
      <c r="Q3038" s="10" t="str">
        <f>+CONCATENATE(E3036,K3036)</f>
        <v/>
      </c>
      <c r="R3038" s="10">
        <f>+L3036</f>
        <v>0</v>
      </c>
      <c r="S3038" s="11"/>
      <c r="T3038" s="10">
        <f>+E3036</f>
        <v>0</v>
      </c>
      <c r="U3038" s="19" t="str">
        <f>IFERROR(LEFT(K3036,FIND("*",K3036)-1),"-")</f>
        <v>-</v>
      </c>
      <c r="V3038" s="19" t="str">
        <f>IFERROR(RIGHT(K3036,LEN(K3036)-FIND("*",K3036)),"-")</f>
        <v>-</v>
      </c>
      <c r="W3038" s="20" t="str">
        <f t="shared" si="1648"/>
        <v>-</v>
      </c>
      <c r="X3038" s="20" t="str">
        <f>IFERROR(W3038*L3036,"-")</f>
        <v>-</v>
      </c>
      <c r="Z3038" s="85" t="s">
        <v>82</v>
      </c>
    </row>
    <row r="3039" spans="1:26" ht="6.95" customHeight="1" x14ac:dyDescent="0.3">
      <c r="A3039" s="8"/>
      <c r="B3039" s="157"/>
      <c r="C3039" s="158"/>
      <c r="D3039" s="161" t="s">
        <v>39</v>
      </c>
      <c r="E3039" s="162"/>
      <c r="F3039" s="163" t="s">
        <v>40</v>
      </c>
      <c r="G3039" s="164"/>
      <c r="H3039" s="165"/>
      <c r="I3039" s="164"/>
      <c r="J3039" s="165"/>
      <c r="K3039" s="164"/>
      <c r="L3039" s="165"/>
      <c r="M3039" s="6"/>
      <c r="N3039" s="32"/>
      <c r="Q3039" s="10" t="str">
        <f>+CONCATENATE(E3039,G3039)</f>
        <v/>
      </c>
      <c r="R3039" s="10">
        <f>+H3039</f>
        <v>0</v>
      </c>
      <c r="S3039" s="11"/>
      <c r="T3039" s="10">
        <f>+E3039</f>
        <v>0</v>
      </c>
      <c r="U3039" s="19" t="str">
        <f t="shared" ref="U3039" si="1649">IFERROR(LEFT(G3039,FIND("*",G3039)-1),"-")</f>
        <v>-</v>
      </c>
      <c r="V3039" s="19" t="str">
        <f t="shared" ref="V3039" si="1650">IFERROR(RIGHT(G3039,LEN(G3039)-FIND("*",G3039)),"-")</f>
        <v>-</v>
      </c>
      <c r="W3039" s="20" t="str">
        <f t="shared" si="1648"/>
        <v>-</v>
      </c>
      <c r="X3039" s="20" t="str">
        <f>IFERROR(W3039*H3039,"-")</f>
        <v>-</v>
      </c>
      <c r="Z3039" s="85" t="s">
        <v>82</v>
      </c>
    </row>
    <row r="3040" spans="1:26" ht="6.95" customHeight="1" x14ac:dyDescent="0.3">
      <c r="A3040" s="5"/>
      <c r="B3040" s="157"/>
      <c r="C3040" s="158"/>
      <c r="D3040" s="161"/>
      <c r="E3040" s="162"/>
      <c r="F3040" s="163"/>
      <c r="G3040" s="164"/>
      <c r="H3040" s="165"/>
      <c r="I3040" s="164"/>
      <c r="J3040" s="165"/>
      <c r="K3040" s="164"/>
      <c r="L3040" s="165"/>
      <c r="M3040" s="6"/>
      <c r="N3040" s="32"/>
      <c r="Q3040" s="10" t="str">
        <f>+CONCATENATE(E3039,I3039)</f>
        <v/>
      </c>
      <c r="R3040" s="10">
        <f>+J3039</f>
        <v>0</v>
      </c>
      <c r="S3040" s="11"/>
      <c r="T3040" s="10">
        <f>+E3039</f>
        <v>0</v>
      </c>
      <c r="U3040" s="19" t="str">
        <f>IFERROR(LEFT(I3039,FIND("*",I3039)-1),"-")</f>
        <v>-</v>
      </c>
      <c r="V3040" s="19" t="str">
        <f>IFERROR(RIGHT(I3039,LEN(I3039)-FIND("*",I3039)),"-")</f>
        <v>-</v>
      </c>
      <c r="W3040" s="20" t="str">
        <f t="shared" si="1648"/>
        <v>-</v>
      </c>
      <c r="X3040" s="20" t="str">
        <f>IFERROR(W3040*J3039,"-")</f>
        <v>-</v>
      </c>
      <c r="Z3040" s="85" t="s">
        <v>82</v>
      </c>
    </row>
    <row r="3041" spans="1:26" ht="6.95" customHeight="1" x14ac:dyDescent="0.3">
      <c r="A3041" s="5"/>
      <c r="B3041" s="157"/>
      <c r="C3041" s="158"/>
      <c r="D3041" s="161"/>
      <c r="E3041" s="162"/>
      <c r="F3041" s="163"/>
      <c r="G3041" s="164"/>
      <c r="H3041" s="165"/>
      <c r="I3041" s="164"/>
      <c r="J3041" s="165"/>
      <c r="K3041" s="164"/>
      <c r="L3041" s="165"/>
      <c r="M3041" s="6"/>
      <c r="N3041" s="32"/>
      <c r="Q3041" s="10" t="str">
        <f>+CONCATENATE(E3039,K3039)</f>
        <v/>
      </c>
      <c r="R3041" s="10">
        <f>+L3039</f>
        <v>0</v>
      </c>
      <c r="S3041" s="11"/>
      <c r="T3041" s="10">
        <f>+E3039</f>
        <v>0</v>
      </c>
      <c r="U3041" s="19" t="str">
        <f>IFERROR(LEFT(K3039,FIND("*",K3039)-1),"-")</f>
        <v>-</v>
      </c>
      <c r="V3041" s="19" t="str">
        <f>IFERROR(RIGHT(K3039,LEN(K3039)-FIND("*",K3039)),"-")</f>
        <v>-</v>
      </c>
      <c r="W3041" s="20" t="str">
        <f t="shared" si="1648"/>
        <v>-</v>
      </c>
      <c r="X3041" s="20" t="str">
        <f>IFERROR(W3041*L3039,"-")</f>
        <v>-</v>
      </c>
      <c r="Z3041" s="85" t="s">
        <v>82</v>
      </c>
    </row>
    <row r="3042" spans="1:26" ht="6.95" customHeight="1" x14ac:dyDescent="0.3">
      <c r="A3042" s="8"/>
      <c r="B3042" s="157"/>
      <c r="C3042" s="158"/>
      <c r="D3042" s="161" t="s">
        <v>39</v>
      </c>
      <c r="E3042" s="162"/>
      <c r="F3042" s="163" t="s">
        <v>40</v>
      </c>
      <c r="G3042" s="164"/>
      <c r="H3042" s="165"/>
      <c r="I3042" s="164"/>
      <c r="J3042" s="165"/>
      <c r="K3042" s="164"/>
      <c r="L3042" s="165"/>
      <c r="M3042" s="6"/>
      <c r="N3042" s="32"/>
      <c r="Q3042" s="10" t="str">
        <f>+CONCATENATE(E3042,G3042)</f>
        <v/>
      </c>
      <c r="R3042" s="10">
        <f>+H3042</f>
        <v>0</v>
      </c>
      <c r="S3042" s="11"/>
      <c r="T3042" s="10">
        <f>+E3042</f>
        <v>0</v>
      </c>
      <c r="U3042" s="19" t="str">
        <f t="shared" ref="U3042" si="1651">IFERROR(LEFT(G3042,FIND("*",G3042)-1),"-")</f>
        <v>-</v>
      </c>
      <c r="V3042" s="19" t="str">
        <f t="shared" ref="V3042" si="1652">IFERROR(RIGHT(G3042,LEN(G3042)-FIND("*",G3042)),"-")</f>
        <v>-</v>
      </c>
      <c r="W3042" s="20" t="str">
        <f t="shared" si="1648"/>
        <v>-</v>
      </c>
      <c r="X3042" s="20" t="str">
        <f>IFERROR(W3042*H3042,"-")</f>
        <v>-</v>
      </c>
      <c r="Z3042" s="85" t="s">
        <v>82</v>
      </c>
    </row>
    <row r="3043" spans="1:26" ht="6.95" customHeight="1" x14ac:dyDescent="0.3">
      <c r="A3043" s="5"/>
      <c r="B3043" s="157"/>
      <c r="C3043" s="158"/>
      <c r="D3043" s="161"/>
      <c r="E3043" s="162"/>
      <c r="F3043" s="163"/>
      <c r="G3043" s="164"/>
      <c r="H3043" s="165"/>
      <c r="I3043" s="164"/>
      <c r="J3043" s="165"/>
      <c r="K3043" s="164"/>
      <c r="L3043" s="165"/>
      <c r="M3043" s="6"/>
      <c r="N3043" s="32"/>
      <c r="Q3043" s="10" t="str">
        <f>+CONCATENATE(E3042,I3042)</f>
        <v/>
      </c>
      <c r="R3043" s="10">
        <f>+J3042</f>
        <v>0</v>
      </c>
      <c r="S3043" s="11"/>
      <c r="T3043" s="10">
        <f>+E3042</f>
        <v>0</v>
      </c>
      <c r="U3043" s="19" t="str">
        <f>IFERROR(LEFT(I3042,FIND("*",I3042)-1),"-")</f>
        <v>-</v>
      </c>
      <c r="V3043" s="19" t="str">
        <f>IFERROR(RIGHT(I3042,LEN(I3042)-FIND("*",I3042)),"-")</f>
        <v>-</v>
      </c>
      <c r="W3043" s="20" t="str">
        <f t="shared" si="1648"/>
        <v>-</v>
      </c>
      <c r="X3043" s="20" t="str">
        <f t="shared" ref="X3043" si="1653">IFERROR(W3043*J3042,"-")</f>
        <v>-</v>
      </c>
      <c r="Z3043" s="85" t="s">
        <v>82</v>
      </c>
    </row>
    <row r="3044" spans="1:26" ht="6.95" customHeight="1" x14ac:dyDescent="0.3">
      <c r="A3044" s="5"/>
      <c r="B3044" s="157"/>
      <c r="C3044" s="158"/>
      <c r="D3044" s="161"/>
      <c r="E3044" s="162"/>
      <c r="F3044" s="163"/>
      <c r="G3044" s="164"/>
      <c r="H3044" s="165"/>
      <c r="I3044" s="164"/>
      <c r="J3044" s="165"/>
      <c r="K3044" s="164"/>
      <c r="L3044" s="165"/>
      <c r="M3044" s="6"/>
      <c r="N3044" s="32"/>
      <c r="Q3044" s="10" t="str">
        <f>+CONCATENATE(E3042,K3042)</f>
        <v/>
      </c>
      <c r="R3044" s="10">
        <f>+L3042</f>
        <v>0</v>
      </c>
      <c r="S3044" s="11"/>
      <c r="T3044" s="10">
        <f>+E3042</f>
        <v>0</v>
      </c>
      <c r="U3044" s="19" t="str">
        <f>IFERROR(LEFT(K3042,FIND("*",K3042)-1),"-")</f>
        <v>-</v>
      </c>
      <c r="V3044" s="19" t="str">
        <f>IFERROR(RIGHT(K3042,LEN(K3042)-FIND("*",K3042)),"-")</f>
        <v>-</v>
      </c>
      <c r="W3044" s="20" t="str">
        <f t="shared" si="1648"/>
        <v>-</v>
      </c>
      <c r="X3044" s="20" t="str">
        <f>IFERROR(W3044*L3042,"-")</f>
        <v>-</v>
      </c>
      <c r="Z3044" s="85" t="s">
        <v>82</v>
      </c>
    </row>
    <row r="3045" spans="1:26" ht="21" customHeight="1" thickBot="1" x14ac:dyDescent="0.35">
      <c r="A3045" s="5"/>
      <c r="B3045" s="159"/>
      <c r="C3045" s="160"/>
      <c r="D3045" s="166" t="s">
        <v>43</v>
      </c>
      <c r="E3045" s="167"/>
      <c r="F3045" s="167"/>
      <c r="G3045" s="168"/>
      <c r="H3045" s="168"/>
      <c r="I3045" s="168"/>
      <c r="J3045" s="168"/>
      <c r="K3045" s="168"/>
      <c r="L3045" s="168"/>
      <c r="M3045" s="7"/>
      <c r="N3045" s="32"/>
      <c r="Z3045" s="86" t="s">
        <v>81</v>
      </c>
    </row>
    <row r="3046" spans="1:26" ht="9.9499999999999993" customHeight="1" thickBot="1" x14ac:dyDescent="0.35">
      <c r="B3046" s="9"/>
      <c r="C3046" s="109"/>
      <c r="D3046" s="51"/>
      <c r="E3046" s="12"/>
      <c r="F3046" s="51"/>
      <c r="G3046" s="14"/>
      <c r="H3046" s="14"/>
      <c r="I3046" s="14"/>
      <c r="J3046" s="14"/>
      <c r="K3046" s="14"/>
      <c r="L3046" s="14"/>
      <c r="M3046" s="9"/>
      <c r="N3046" s="32"/>
      <c r="U3046" s="18"/>
      <c r="V3046" s="18"/>
      <c r="Z3046" s="85" t="s">
        <v>82</v>
      </c>
    </row>
    <row r="3047" spans="1:26" ht="6.95" customHeight="1" x14ac:dyDescent="0.3">
      <c r="A3047" s="154">
        <f>+A3036+1</f>
        <v>1076</v>
      </c>
      <c r="B3047" s="155"/>
      <c r="C3047" s="156"/>
      <c r="D3047" s="161" t="s">
        <v>39</v>
      </c>
      <c r="E3047" s="162"/>
      <c r="F3047" s="163" t="s">
        <v>40</v>
      </c>
      <c r="G3047" s="164"/>
      <c r="H3047" s="165"/>
      <c r="I3047" s="164"/>
      <c r="J3047" s="165"/>
      <c r="K3047" s="164"/>
      <c r="L3047" s="165"/>
      <c r="M3047" s="6"/>
      <c r="N3047" s="32"/>
      <c r="Q3047" s="10" t="str">
        <f>+CONCATENATE(E3047,G3047)</f>
        <v/>
      </c>
      <c r="R3047" s="10">
        <f>+H3047</f>
        <v>0</v>
      </c>
      <c r="S3047" s="11"/>
      <c r="T3047" s="10">
        <f>+E3047</f>
        <v>0</v>
      </c>
      <c r="U3047" s="19" t="str">
        <f>IFERROR(LEFT(G3047,FIND("*",G3047)-1),"-")</f>
        <v>-</v>
      </c>
      <c r="V3047" s="19" t="str">
        <f>IFERROR(RIGHT(G3047,LEN(G3047)-FIND("*",G3047)),"-")</f>
        <v>-</v>
      </c>
      <c r="W3047" s="20" t="str">
        <f>IFERROR((U3047+V3047)*2/1000,"-")</f>
        <v>-</v>
      </c>
      <c r="X3047" s="20" t="str">
        <f>IFERROR(W3047*H3047,"-")</f>
        <v>-</v>
      </c>
      <c r="Z3047" s="85" t="s">
        <v>82</v>
      </c>
    </row>
    <row r="3048" spans="1:26" ht="6.95" customHeight="1" x14ac:dyDescent="0.3">
      <c r="A3048" s="154"/>
      <c r="B3048" s="157"/>
      <c r="C3048" s="158"/>
      <c r="D3048" s="161"/>
      <c r="E3048" s="162"/>
      <c r="F3048" s="163"/>
      <c r="G3048" s="164"/>
      <c r="H3048" s="165"/>
      <c r="I3048" s="164"/>
      <c r="J3048" s="165"/>
      <c r="K3048" s="164"/>
      <c r="L3048" s="165"/>
      <c r="M3048" s="6"/>
      <c r="N3048" s="32"/>
      <c r="Q3048" s="10" t="str">
        <f>+CONCATENATE(E3047,I3047)</f>
        <v/>
      </c>
      <c r="R3048" s="10">
        <f>+J3047</f>
        <v>0</v>
      </c>
      <c r="S3048" s="11"/>
      <c r="T3048" s="10">
        <f>+E3047</f>
        <v>0</v>
      </c>
      <c r="U3048" s="19" t="str">
        <f>IFERROR(LEFT(I3047,FIND("*",I3047)-1),"-")</f>
        <v>-</v>
      </c>
      <c r="V3048" s="19" t="str">
        <f>IFERROR(RIGHT(I3047,LEN(I3047)-FIND("*",I3047)),"-")</f>
        <v>-</v>
      </c>
      <c r="W3048" s="20" t="str">
        <f t="shared" ref="W3048:W3055" si="1654">IFERROR((U3048+V3048)*2/1000,"-")</f>
        <v>-</v>
      </c>
      <c r="X3048" s="20" t="str">
        <f>IFERROR(W3048*J3047,"-")</f>
        <v>-</v>
      </c>
      <c r="Z3048" s="85" t="s">
        <v>82</v>
      </c>
    </row>
    <row r="3049" spans="1:26" ht="6.95" customHeight="1" x14ac:dyDescent="0.3">
      <c r="A3049" s="154"/>
      <c r="B3049" s="157"/>
      <c r="C3049" s="158"/>
      <c r="D3049" s="161"/>
      <c r="E3049" s="162"/>
      <c r="F3049" s="163"/>
      <c r="G3049" s="164"/>
      <c r="H3049" s="165"/>
      <c r="I3049" s="164"/>
      <c r="J3049" s="165"/>
      <c r="K3049" s="164"/>
      <c r="L3049" s="165"/>
      <c r="M3049" s="6"/>
      <c r="N3049" s="32"/>
      <c r="Q3049" s="10" t="str">
        <f>+CONCATENATE(E3047,K3047)</f>
        <v/>
      </c>
      <c r="R3049" s="10">
        <f>+L3047</f>
        <v>0</v>
      </c>
      <c r="S3049" s="11"/>
      <c r="T3049" s="10">
        <f>+E3047</f>
        <v>0</v>
      </c>
      <c r="U3049" s="19" t="str">
        <f>IFERROR(LEFT(K3047,FIND("*",K3047)-1),"-")</f>
        <v>-</v>
      </c>
      <c r="V3049" s="19" t="str">
        <f>IFERROR(RIGHT(K3047,LEN(K3047)-FIND("*",K3047)),"-")</f>
        <v>-</v>
      </c>
      <c r="W3049" s="20" t="str">
        <f t="shared" si="1654"/>
        <v>-</v>
      </c>
      <c r="X3049" s="20" t="str">
        <f>IFERROR(W3049*L3047,"-")</f>
        <v>-</v>
      </c>
      <c r="Z3049" s="85" t="s">
        <v>82</v>
      </c>
    </row>
    <row r="3050" spans="1:26" ht="6.95" customHeight="1" x14ac:dyDescent="0.3">
      <c r="A3050" s="8"/>
      <c r="B3050" s="157"/>
      <c r="C3050" s="158"/>
      <c r="D3050" s="161" t="s">
        <v>39</v>
      </c>
      <c r="E3050" s="162"/>
      <c r="F3050" s="163" t="s">
        <v>40</v>
      </c>
      <c r="G3050" s="164"/>
      <c r="H3050" s="165"/>
      <c r="I3050" s="164"/>
      <c r="J3050" s="165"/>
      <c r="K3050" s="164"/>
      <c r="L3050" s="165"/>
      <c r="M3050" s="6"/>
      <c r="N3050" s="32"/>
      <c r="Q3050" s="10" t="str">
        <f>+CONCATENATE(E3050,G3050)</f>
        <v/>
      </c>
      <c r="R3050" s="10">
        <f>+H3050</f>
        <v>0</v>
      </c>
      <c r="S3050" s="11"/>
      <c r="T3050" s="10">
        <f>+E3050</f>
        <v>0</v>
      </c>
      <c r="U3050" s="19" t="str">
        <f t="shared" ref="U3050" si="1655">IFERROR(LEFT(G3050,FIND("*",G3050)-1),"-")</f>
        <v>-</v>
      </c>
      <c r="V3050" s="19" t="str">
        <f t="shared" ref="V3050" si="1656">IFERROR(RIGHT(G3050,LEN(G3050)-FIND("*",G3050)),"-")</f>
        <v>-</v>
      </c>
      <c r="W3050" s="20" t="str">
        <f t="shared" si="1654"/>
        <v>-</v>
      </c>
      <c r="X3050" s="20" t="str">
        <f>IFERROR(W3050*H3050,"-")</f>
        <v>-</v>
      </c>
      <c r="Z3050" s="85" t="s">
        <v>82</v>
      </c>
    </row>
    <row r="3051" spans="1:26" ht="6.95" customHeight="1" x14ac:dyDescent="0.3">
      <c r="A3051" s="5"/>
      <c r="B3051" s="157"/>
      <c r="C3051" s="158"/>
      <c r="D3051" s="161"/>
      <c r="E3051" s="162"/>
      <c r="F3051" s="163"/>
      <c r="G3051" s="164"/>
      <c r="H3051" s="165"/>
      <c r="I3051" s="164"/>
      <c r="J3051" s="165"/>
      <c r="K3051" s="164"/>
      <c r="L3051" s="165"/>
      <c r="M3051" s="6"/>
      <c r="N3051" s="32"/>
      <c r="Q3051" s="10" t="str">
        <f>+CONCATENATE(E3050,I3050)</f>
        <v/>
      </c>
      <c r="R3051" s="10">
        <f>+J3050</f>
        <v>0</v>
      </c>
      <c r="S3051" s="11"/>
      <c r="T3051" s="10">
        <f>+E3050</f>
        <v>0</v>
      </c>
      <c r="U3051" s="19" t="str">
        <f>IFERROR(LEFT(I3050,FIND("*",I3050)-1),"-")</f>
        <v>-</v>
      </c>
      <c r="V3051" s="19" t="str">
        <f>IFERROR(RIGHT(I3050,LEN(I3050)-FIND("*",I3050)),"-")</f>
        <v>-</v>
      </c>
      <c r="W3051" s="20" t="str">
        <f t="shared" si="1654"/>
        <v>-</v>
      </c>
      <c r="X3051" s="20" t="str">
        <f>IFERROR(W3051*J3050,"-")</f>
        <v>-</v>
      </c>
      <c r="Z3051" s="85" t="s">
        <v>82</v>
      </c>
    </row>
    <row r="3052" spans="1:26" ht="6.95" customHeight="1" x14ac:dyDescent="0.3">
      <c r="A3052" s="5"/>
      <c r="B3052" s="157"/>
      <c r="C3052" s="158"/>
      <c r="D3052" s="161"/>
      <c r="E3052" s="162"/>
      <c r="F3052" s="163"/>
      <c r="G3052" s="164"/>
      <c r="H3052" s="165"/>
      <c r="I3052" s="164"/>
      <c r="J3052" s="165"/>
      <c r="K3052" s="164"/>
      <c r="L3052" s="165"/>
      <c r="M3052" s="6"/>
      <c r="N3052" s="32"/>
      <c r="Q3052" s="10" t="str">
        <f>+CONCATENATE(E3050,K3050)</f>
        <v/>
      </c>
      <c r="R3052" s="10">
        <f>+L3050</f>
        <v>0</v>
      </c>
      <c r="S3052" s="11"/>
      <c r="T3052" s="10">
        <f>+E3050</f>
        <v>0</v>
      </c>
      <c r="U3052" s="19" t="str">
        <f>IFERROR(LEFT(K3050,FIND("*",K3050)-1),"-")</f>
        <v>-</v>
      </c>
      <c r="V3052" s="19" t="str">
        <f>IFERROR(RIGHT(K3050,LEN(K3050)-FIND("*",K3050)),"-")</f>
        <v>-</v>
      </c>
      <c r="W3052" s="20" t="str">
        <f t="shared" si="1654"/>
        <v>-</v>
      </c>
      <c r="X3052" s="20" t="str">
        <f>IFERROR(W3052*L3050,"-")</f>
        <v>-</v>
      </c>
      <c r="Z3052" s="85" t="s">
        <v>82</v>
      </c>
    </row>
    <row r="3053" spans="1:26" ht="6.95" customHeight="1" x14ac:dyDescent="0.3">
      <c r="A3053" s="8"/>
      <c r="B3053" s="157"/>
      <c r="C3053" s="158"/>
      <c r="D3053" s="161" t="s">
        <v>39</v>
      </c>
      <c r="E3053" s="162"/>
      <c r="F3053" s="163" t="s">
        <v>40</v>
      </c>
      <c r="G3053" s="164"/>
      <c r="H3053" s="165"/>
      <c r="I3053" s="164"/>
      <c r="J3053" s="165"/>
      <c r="K3053" s="164"/>
      <c r="L3053" s="165"/>
      <c r="M3053" s="6"/>
      <c r="N3053" s="32"/>
      <c r="Q3053" s="10" t="str">
        <f>+CONCATENATE(E3053,G3053)</f>
        <v/>
      </c>
      <c r="R3053" s="10">
        <f>+H3053</f>
        <v>0</v>
      </c>
      <c r="S3053" s="11"/>
      <c r="T3053" s="10">
        <f>+E3053</f>
        <v>0</v>
      </c>
      <c r="U3053" s="19" t="str">
        <f t="shared" ref="U3053" si="1657">IFERROR(LEFT(G3053,FIND("*",G3053)-1),"-")</f>
        <v>-</v>
      </c>
      <c r="V3053" s="19" t="str">
        <f t="shared" ref="V3053" si="1658">IFERROR(RIGHT(G3053,LEN(G3053)-FIND("*",G3053)),"-")</f>
        <v>-</v>
      </c>
      <c r="W3053" s="20" t="str">
        <f t="shared" si="1654"/>
        <v>-</v>
      </c>
      <c r="X3053" s="20" t="str">
        <f>IFERROR(W3053*H3053,"-")</f>
        <v>-</v>
      </c>
      <c r="Z3053" s="85" t="s">
        <v>82</v>
      </c>
    </row>
    <row r="3054" spans="1:26" ht="6.95" customHeight="1" x14ac:dyDescent="0.3">
      <c r="A3054" s="5"/>
      <c r="B3054" s="157"/>
      <c r="C3054" s="158"/>
      <c r="D3054" s="161"/>
      <c r="E3054" s="162"/>
      <c r="F3054" s="163"/>
      <c r="G3054" s="164"/>
      <c r="H3054" s="165"/>
      <c r="I3054" s="164"/>
      <c r="J3054" s="165"/>
      <c r="K3054" s="164"/>
      <c r="L3054" s="165"/>
      <c r="M3054" s="6"/>
      <c r="N3054" s="32"/>
      <c r="Q3054" s="10" t="str">
        <f>+CONCATENATE(E3053,I3053)</f>
        <v/>
      </c>
      <c r="R3054" s="10">
        <f>+J3053</f>
        <v>0</v>
      </c>
      <c r="S3054" s="11"/>
      <c r="T3054" s="10">
        <f>+E3053</f>
        <v>0</v>
      </c>
      <c r="U3054" s="19" t="str">
        <f>IFERROR(LEFT(I3053,FIND("*",I3053)-1),"-")</f>
        <v>-</v>
      </c>
      <c r="V3054" s="19" t="str">
        <f>IFERROR(RIGHT(I3053,LEN(I3053)-FIND("*",I3053)),"-")</f>
        <v>-</v>
      </c>
      <c r="W3054" s="20" t="str">
        <f t="shared" si="1654"/>
        <v>-</v>
      </c>
      <c r="X3054" s="20" t="str">
        <f t="shared" ref="X3054" si="1659">IFERROR(W3054*J3053,"-")</f>
        <v>-</v>
      </c>
      <c r="Z3054" s="85" t="s">
        <v>82</v>
      </c>
    </row>
    <row r="3055" spans="1:26" ht="6.95" customHeight="1" x14ac:dyDescent="0.3">
      <c r="A3055" s="5"/>
      <c r="B3055" s="157"/>
      <c r="C3055" s="158"/>
      <c r="D3055" s="161"/>
      <c r="E3055" s="162"/>
      <c r="F3055" s="163"/>
      <c r="G3055" s="164"/>
      <c r="H3055" s="165"/>
      <c r="I3055" s="164"/>
      <c r="J3055" s="165"/>
      <c r="K3055" s="164"/>
      <c r="L3055" s="165"/>
      <c r="M3055" s="6"/>
      <c r="N3055" s="32"/>
      <c r="Q3055" s="10" t="str">
        <f>+CONCATENATE(E3053,K3053)</f>
        <v/>
      </c>
      <c r="R3055" s="10">
        <f>+L3053</f>
        <v>0</v>
      </c>
      <c r="S3055" s="11"/>
      <c r="T3055" s="10">
        <f>+E3053</f>
        <v>0</v>
      </c>
      <c r="U3055" s="19" t="str">
        <f>IFERROR(LEFT(K3053,FIND("*",K3053)-1),"-")</f>
        <v>-</v>
      </c>
      <c r="V3055" s="19" t="str">
        <f>IFERROR(RIGHT(K3053,LEN(K3053)-FIND("*",K3053)),"-")</f>
        <v>-</v>
      </c>
      <c r="W3055" s="20" t="str">
        <f t="shared" si="1654"/>
        <v>-</v>
      </c>
      <c r="X3055" s="20" t="str">
        <f>IFERROR(W3055*L3053,"-")</f>
        <v>-</v>
      </c>
      <c r="Z3055" s="85" t="s">
        <v>82</v>
      </c>
    </row>
    <row r="3056" spans="1:26" ht="21" customHeight="1" thickBot="1" x14ac:dyDescent="0.35">
      <c r="A3056" s="5"/>
      <c r="B3056" s="159"/>
      <c r="C3056" s="160"/>
      <c r="D3056" s="166" t="s">
        <v>43</v>
      </c>
      <c r="E3056" s="167"/>
      <c r="F3056" s="167"/>
      <c r="G3056" s="168"/>
      <c r="H3056" s="168"/>
      <c r="I3056" s="168"/>
      <c r="J3056" s="168"/>
      <c r="K3056" s="168"/>
      <c r="L3056" s="168"/>
      <c r="M3056" s="7"/>
      <c r="N3056" s="32"/>
      <c r="Z3056" s="86" t="s">
        <v>81</v>
      </c>
    </row>
    <row r="3057" spans="1:26" ht="9.9499999999999993" customHeight="1" thickBot="1" x14ac:dyDescent="0.35">
      <c r="B3057" s="9"/>
      <c r="C3057" s="109"/>
      <c r="D3057" s="51"/>
      <c r="E3057" s="12"/>
      <c r="F3057" s="51"/>
      <c r="G3057" s="14"/>
      <c r="H3057" s="14"/>
      <c r="I3057" s="14"/>
      <c r="J3057" s="14"/>
      <c r="K3057" s="14"/>
      <c r="L3057" s="14"/>
      <c r="M3057" s="9"/>
      <c r="N3057" s="32"/>
      <c r="U3057" s="18"/>
      <c r="V3057" s="18"/>
      <c r="Z3057" s="85" t="s">
        <v>82</v>
      </c>
    </row>
    <row r="3058" spans="1:26" ht="6.95" customHeight="1" x14ac:dyDescent="0.3">
      <c r="A3058" s="154">
        <f>+A3047+1</f>
        <v>1077</v>
      </c>
      <c r="B3058" s="155"/>
      <c r="C3058" s="156"/>
      <c r="D3058" s="161" t="s">
        <v>39</v>
      </c>
      <c r="E3058" s="162"/>
      <c r="F3058" s="163" t="s">
        <v>40</v>
      </c>
      <c r="G3058" s="164"/>
      <c r="H3058" s="165"/>
      <c r="I3058" s="164"/>
      <c r="J3058" s="165"/>
      <c r="K3058" s="164"/>
      <c r="L3058" s="165"/>
      <c r="M3058" s="6"/>
      <c r="N3058" s="32"/>
      <c r="Q3058" s="10" t="str">
        <f>+CONCATENATE(E3058,G3058)</f>
        <v/>
      </c>
      <c r="R3058" s="10">
        <f>+H3058</f>
        <v>0</v>
      </c>
      <c r="S3058" s="11"/>
      <c r="T3058" s="10">
        <f>+E3058</f>
        <v>0</v>
      </c>
      <c r="U3058" s="19" t="str">
        <f>IFERROR(LEFT(G3058,FIND("*",G3058)-1),"-")</f>
        <v>-</v>
      </c>
      <c r="V3058" s="19" t="str">
        <f>IFERROR(RIGHT(G3058,LEN(G3058)-FIND("*",G3058)),"-")</f>
        <v>-</v>
      </c>
      <c r="W3058" s="20" t="str">
        <f>IFERROR((U3058+V3058)*2/1000,"-")</f>
        <v>-</v>
      </c>
      <c r="X3058" s="20" t="str">
        <f>IFERROR(W3058*H3058,"-")</f>
        <v>-</v>
      </c>
      <c r="Z3058" s="85" t="s">
        <v>82</v>
      </c>
    </row>
    <row r="3059" spans="1:26" ht="6.95" customHeight="1" x14ac:dyDescent="0.3">
      <c r="A3059" s="154"/>
      <c r="B3059" s="157"/>
      <c r="C3059" s="158"/>
      <c r="D3059" s="161"/>
      <c r="E3059" s="162"/>
      <c r="F3059" s="163"/>
      <c r="G3059" s="164"/>
      <c r="H3059" s="165"/>
      <c r="I3059" s="164"/>
      <c r="J3059" s="165"/>
      <c r="K3059" s="164"/>
      <c r="L3059" s="165"/>
      <c r="M3059" s="6"/>
      <c r="N3059" s="32"/>
      <c r="Q3059" s="10" t="str">
        <f>+CONCATENATE(E3058,I3058)</f>
        <v/>
      </c>
      <c r="R3059" s="10">
        <f>+J3058</f>
        <v>0</v>
      </c>
      <c r="S3059" s="11"/>
      <c r="T3059" s="10">
        <f>+E3058</f>
        <v>0</v>
      </c>
      <c r="U3059" s="19" t="str">
        <f>IFERROR(LEFT(I3058,FIND("*",I3058)-1),"-")</f>
        <v>-</v>
      </c>
      <c r="V3059" s="19" t="str">
        <f>IFERROR(RIGHT(I3058,LEN(I3058)-FIND("*",I3058)),"-")</f>
        <v>-</v>
      </c>
      <c r="W3059" s="20" t="str">
        <f t="shared" ref="W3059:W3066" si="1660">IFERROR((U3059+V3059)*2/1000,"-")</f>
        <v>-</v>
      </c>
      <c r="X3059" s="20" t="str">
        <f>IFERROR(W3059*J3058,"-")</f>
        <v>-</v>
      </c>
      <c r="Z3059" s="85" t="s">
        <v>82</v>
      </c>
    </row>
    <row r="3060" spans="1:26" ht="6.95" customHeight="1" x14ac:dyDescent="0.3">
      <c r="A3060" s="154"/>
      <c r="B3060" s="157"/>
      <c r="C3060" s="158"/>
      <c r="D3060" s="161"/>
      <c r="E3060" s="162"/>
      <c r="F3060" s="163"/>
      <c r="G3060" s="164"/>
      <c r="H3060" s="165"/>
      <c r="I3060" s="164"/>
      <c r="J3060" s="165"/>
      <c r="K3060" s="164"/>
      <c r="L3060" s="165"/>
      <c r="M3060" s="6"/>
      <c r="N3060" s="32"/>
      <c r="Q3060" s="10" t="str">
        <f>+CONCATENATE(E3058,K3058)</f>
        <v/>
      </c>
      <c r="R3060" s="10">
        <f>+L3058</f>
        <v>0</v>
      </c>
      <c r="S3060" s="11"/>
      <c r="T3060" s="10">
        <f>+E3058</f>
        <v>0</v>
      </c>
      <c r="U3060" s="19" t="str">
        <f>IFERROR(LEFT(K3058,FIND("*",K3058)-1),"-")</f>
        <v>-</v>
      </c>
      <c r="V3060" s="19" t="str">
        <f>IFERROR(RIGHT(K3058,LEN(K3058)-FIND("*",K3058)),"-")</f>
        <v>-</v>
      </c>
      <c r="W3060" s="20" t="str">
        <f t="shared" si="1660"/>
        <v>-</v>
      </c>
      <c r="X3060" s="20" t="str">
        <f>IFERROR(W3060*L3058,"-")</f>
        <v>-</v>
      </c>
      <c r="Z3060" s="85" t="s">
        <v>82</v>
      </c>
    </row>
    <row r="3061" spans="1:26" ht="6.95" customHeight="1" x14ac:dyDescent="0.3">
      <c r="A3061" s="8"/>
      <c r="B3061" s="157"/>
      <c r="C3061" s="158"/>
      <c r="D3061" s="161" t="s">
        <v>39</v>
      </c>
      <c r="E3061" s="162"/>
      <c r="F3061" s="163" t="s">
        <v>40</v>
      </c>
      <c r="G3061" s="164"/>
      <c r="H3061" s="165"/>
      <c r="I3061" s="164"/>
      <c r="J3061" s="165"/>
      <c r="K3061" s="164"/>
      <c r="L3061" s="165"/>
      <c r="M3061" s="6"/>
      <c r="N3061" s="32"/>
      <c r="Q3061" s="10" t="str">
        <f>+CONCATENATE(E3061,G3061)</f>
        <v/>
      </c>
      <c r="R3061" s="10">
        <f>+H3061</f>
        <v>0</v>
      </c>
      <c r="S3061" s="11"/>
      <c r="T3061" s="10">
        <f>+E3061</f>
        <v>0</v>
      </c>
      <c r="U3061" s="19" t="str">
        <f t="shared" ref="U3061" si="1661">IFERROR(LEFT(G3061,FIND("*",G3061)-1),"-")</f>
        <v>-</v>
      </c>
      <c r="V3061" s="19" t="str">
        <f t="shared" ref="V3061" si="1662">IFERROR(RIGHT(G3061,LEN(G3061)-FIND("*",G3061)),"-")</f>
        <v>-</v>
      </c>
      <c r="W3061" s="20" t="str">
        <f t="shared" si="1660"/>
        <v>-</v>
      </c>
      <c r="X3061" s="20" t="str">
        <f>IFERROR(W3061*H3061,"-")</f>
        <v>-</v>
      </c>
      <c r="Z3061" s="85" t="s">
        <v>82</v>
      </c>
    </row>
    <row r="3062" spans="1:26" ht="6.95" customHeight="1" x14ac:dyDescent="0.3">
      <c r="A3062" s="5"/>
      <c r="B3062" s="157"/>
      <c r="C3062" s="158"/>
      <c r="D3062" s="161"/>
      <c r="E3062" s="162"/>
      <c r="F3062" s="163"/>
      <c r="G3062" s="164"/>
      <c r="H3062" s="165"/>
      <c r="I3062" s="164"/>
      <c r="J3062" s="165"/>
      <c r="K3062" s="164"/>
      <c r="L3062" s="165"/>
      <c r="M3062" s="6"/>
      <c r="N3062" s="32"/>
      <c r="Q3062" s="10" t="str">
        <f>+CONCATENATE(E3061,I3061)</f>
        <v/>
      </c>
      <c r="R3062" s="10">
        <f>+J3061</f>
        <v>0</v>
      </c>
      <c r="S3062" s="11"/>
      <c r="T3062" s="10">
        <f>+E3061</f>
        <v>0</v>
      </c>
      <c r="U3062" s="19" t="str">
        <f>IFERROR(LEFT(I3061,FIND("*",I3061)-1),"-")</f>
        <v>-</v>
      </c>
      <c r="V3062" s="19" t="str">
        <f>IFERROR(RIGHT(I3061,LEN(I3061)-FIND("*",I3061)),"-")</f>
        <v>-</v>
      </c>
      <c r="W3062" s="20" t="str">
        <f t="shared" si="1660"/>
        <v>-</v>
      </c>
      <c r="X3062" s="20" t="str">
        <f>IFERROR(W3062*J3061,"-")</f>
        <v>-</v>
      </c>
      <c r="Z3062" s="85" t="s">
        <v>82</v>
      </c>
    </row>
    <row r="3063" spans="1:26" ht="6.95" customHeight="1" x14ac:dyDescent="0.3">
      <c r="A3063" s="5"/>
      <c r="B3063" s="157"/>
      <c r="C3063" s="158"/>
      <c r="D3063" s="161"/>
      <c r="E3063" s="162"/>
      <c r="F3063" s="163"/>
      <c r="G3063" s="164"/>
      <c r="H3063" s="165"/>
      <c r="I3063" s="164"/>
      <c r="J3063" s="165"/>
      <c r="K3063" s="164"/>
      <c r="L3063" s="165"/>
      <c r="M3063" s="6"/>
      <c r="N3063" s="32"/>
      <c r="Q3063" s="10" t="str">
        <f>+CONCATENATE(E3061,K3061)</f>
        <v/>
      </c>
      <c r="R3063" s="10">
        <f>+L3061</f>
        <v>0</v>
      </c>
      <c r="S3063" s="11"/>
      <c r="T3063" s="10">
        <f>+E3061</f>
        <v>0</v>
      </c>
      <c r="U3063" s="19" t="str">
        <f>IFERROR(LEFT(K3061,FIND("*",K3061)-1),"-")</f>
        <v>-</v>
      </c>
      <c r="V3063" s="19" t="str">
        <f>IFERROR(RIGHT(K3061,LEN(K3061)-FIND("*",K3061)),"-")</f>
        <v>-</v>
      </c>
      <c r="W3063" s="20" t="str">
        <f t="shared" si="1660"/>
        <v>-</v>
      </c>
      <c r="X3063" s="20" t="str">
        <f>IFERROR(W3063*L3061,"-")</f>
        <v>-</v>
      </c>
      <c r="Z3063" s="85" t="s">
        <v>82</v>
      </c>
    </row>
    <row r="3064" spans="1:26" ht="6.95" customHeight="1" x14ac:dyDescent="0.3">
      <c r="A3064" s="8"/>
      <c r="B3064" s="157"/>
      <c r="C3064" s="158"/>
      <c r="D3064" s="161" t="s">
        <v>39</v>
      </c>
      <c r="E3064" s="162"/>
      <c r="F3064" s="163" t="s">
        <v>40</v>
      </c>
      <c r="G3064" s="164"/>
      <c r="H3064" s="165"/>
      <c r="I3064" s="164"/>
      <c r="J3064" s="165"/>
      <c r="K3064" s="164"/>
      <c r="L3064" s="165"/>
      <c r="M3064" s="6"/>
      <c r="N3064" s="32"/>
      <c r="Q3064" s="10" t="str">
        <f>+CONCATENATE(E3064,G3064)</f>
        <v/>
      </c>
      <c r="R3064" s="10">
        <f>+H3064</f>
        <v>0</v>
      </c>
      <c r="S3064" s="11"/>
      <c r="T3064" s="10">
        <f>+E3064</f>
        <v>0</v>
      </c>
      <c r="U3064" s="19" t="str">
        <f t="shared" ref="U3064" si="1663">IFERROR(LEFT(G3064,FIND("*",G3064)-1),"-")</f>
        <v>-</v>
      </c>
      <c r="V3064" s="19" t="str">
        <f t="shared" ref="V3064" si="1664">IFERROR(RIGHT(G3064,LEN(G3064)-FIND("*",G3064)),"-")</f>
        <v>-</v>
      </c>
      <c r="W3064" s="20" t="str">
        <f t="shared" si="1660"/>
        <v>-</v>
      </c>
      <c r="X3064" s="20" t="str">
        <f>IFERROR(W3064*H3064,"-")</f>
        <v>-</v>
      </c>
      <c r="Z3064" s="85" t="s">
        <v>82</v>
      </c>
    </row>
    <row r="3065" spans="1:26" ht="6.95" customHeight="1" x14ac:dyDescent="0.3">
      <c r="A3065" s="5"/>
      <c r="B3065" s="157"/>
      <c r="C3065" s="158"/>
      <c r="D3065" s="161"/>
      <c r="E3065" s="162"/>
      <c r="F3065" s="163"/>
      <c r="G3065" s="164"/>
      <c r="H3065" s="165"/>
      <c r="I3065" s="164"/>
      <c r="J3065" s="165"/>
      <c r="K3065" s="164"/>
      <c r="L3065" s="165"/>
      <c r="M3065" s="6"/>
      <c r="N3065" s="32"/>
      <c r="Q3065" s="10" t="str">
        <f>+CONCATENATE(E3064,I3064)</f>
        <v/>
      </c>
      <c r="R3065" s="10">
        <f>+J3064</f>
        <v>0</v>
      </c>
      <c r="S3065" s="11"/>
      <c r="T3065" s="10">
        <f>+E3064</f>
        <v>0</v>
      </c>
      <c r="U3065" s="19" t="str">
        <f>IFERROR(LEFT(I3064,FIND("*",I3064)-1),"-")</f>
        <v>-</v>
      </c>
      <c r="V3065" s="19" t="str">
        <f>IFERROR(RIGHT(I3064,LEN(I3064)-FIND("*",I3064)),"-")</f>
        <v>-</v>
      </c>
      <c r="W3065" s="20" t="str">
        <f t="shared" si="1660"/>
        <v>-</v>
      </c>
      <c r="X3065" s="20" t="str">
        <f t="shared" ref="X3065" si="1665">IFERROR(W3065*J3064,"-")</f>
        <v>-</v>
      </c>
      <c r="Z3065" s="85" t="s">
        <v>82</v>
      </c>
    </row>
    <row r="3066" spans="1:26" ht="6.95" customHeight="1" x14ac:dyDescent="0.3">
      <c r="A3066" s="5"/>
      <c r="B3066" s="157"/>
      <c r="C3066" s="158"/>
      <c r="D3066" s="161"/>
      <c r="E3066" s="162"/>
      <c r="F3066" s="163"/>
      <c r="G3066" s="164"/>
      <c r="H3066" s="165"/>
      <c r="I3066" s="164"/>
      <c r="J3066" s="165"/>
      <c r="K3066" s="164"/>
      <c r="L3066" s="165"/>
      <c r="M3066" s="6"/>
      <c r="N3066" s="32"/>
      <c r="Q3066" s="10" t="str">
        <f>+CONCATENATE(E3064,K3064)</f>
        <v/>
      </c>
      <c r="R3066" s="10">
        <f>+L3064</f>
        <v>0</v>
      </c>
      <c r="S3066" s="11"/>
      <c r="T3066" s="10">
        <f>+E3064</f>
        <v>0</v>
      </c>
      <c r="U3066" s="19" t="str">
        <f>IFERROR(LEFT(K3064,FIND("*",K3064)-1),"-")</f>
        <v>-</v>
      </c>
      <c r="V3066" s="19" t="str">
        <f>IFERROR(RIGHT(K3064,LEN(K3064)-FIND("*",K3064)),"-")</f>
        <v>-</v>
      </c>
      <c r="W3066" s="20" t="str">
        <f t="shared" si="1660"/>
        <v>-</v>
      </c>
      <c r="X3066" s="20" t="str">
        <f>IFERROR(W3066*L3064,"-")</f>
        <v>-</v>
      </c>
      <c r="Z3066" s="85" t="s">
        <v>82</v>
      </c>
    </row>
    <row r="3067" spans="1:26" ht="21" customHeight="1" thickBot="1" x14ac:dyDescent="0.35">
      <c r="A3067" s="5"/>
      <c r="B3067" s="159"/>
      <c r="C3067" s="160"/>
      <c r="D3067" s="166" t="s">
        <v>43</v>
      </c>
      <c r="E3067" s="167"/>
      <c r="F3067" s="167"/>
      <c r="G3067" s="168"/>
      <c r="H3067" s="168"/>
      <c r="I3067" s="168"/>
      <c r="J3067" s="168"/>
      <c r="K3067" s="168"/>
      <c r="L3067" s="168"/>
      <c r="M3067" s="7"/>
      <c r="N3067" s="32"/>
      <c r="Z3067" s="86" t="s">
        <v>81</v>
      </c>
    </row>
    <row r="3068" spans="1:26" ht="9.9499999999999993" customHeight="1" thickBot="1" x14ac:dyDescent="0.35">
      <c r="B3068" s="9"/>
      <c r="C3068" s="109"/>
      <c r="D3068" s="51"/>
      <c r="E3068" s="12"/>
      <c r="F3068" s="51"/>
      <c r="G3068" s="14"/>
      <c r="H3068" s="14"/>
      <c r="I3068" s="14"/>
      <c r="J3068" s="14"/>
      <c r="K3068" s="14"/>
      <c r="L3068" s="14"/>
      <c r="M3068" s="9"/>
      <c r="N3068" s="32"/>
      <c r="U3068" s="18"/>
      <c r="V3068" s="18"/>
      <c r="Z3068" s="85" t="s">
        <v>82</v>
      </c>
    </row>
    <row r="3069" spans="1:26" ht="6.95" customHeight="1" x14ac:dyDescent="0.3">
      <c r="A3069" s="154">
        <f>+A3058+1</f>
        <v>1078</v>
      </c>
      <c r="B3069" s="155"/>
      <c r="C3069" s="156"/>
      <c r="D3069" s="161" t="s">
        <v>39</v>
      </c>
      <c r="E3069" s="162"/>
      <c r="F3069" s="163" t="s">
        <v>40</v>
      </c>
      <c r="G3069" s="164"/>
      <c r="H3069" s="165"/>
      <c r="I3069" s="164"/>
      <c r="J3069" s="165"/>
      <c r="K3069" s="164"/>
      <c r="L3069" s="165"/>
      <c r="M3069" s="6"/>
      <c r="N3069" s="32"/>
      <c r="Q3069" s="10" t="str">
        <f>+CONCATENATE(E3069,G3069)</f>
        <v/>
      </c>
      <c r="R3069" s="10">
        <f>+H3069</f>
        <v>0</v>
      </c>
      <c r="S3069" s="11"/>
      <c r="T3069" s="10">
        <f>+E3069</f>
        <v>0</v>
      </c>
      <c r="U3069" s="19" t="str">
        <f>IFERROR(LEFT(G3069,FIND("*",G3069)-1),"-")</f>
        <v>-</v>
      </c>
      <c r="V3069" s="19" t="str">
        <f>IFERROR(RIGHT(G3069,LEN(G3069)-FIND("*",G3069)),"-")</f>
        <v>-</v>
      </c>
      <c r="W3069" s="20" t="str">
        <f>IFERROR((U3069+V3069)*2/1000,"-")</f>
        <v>-</v>
      </c>
      <c r="X3069" s="20" t="str">
        <f>IFERROR(W3069*H3069,"-")</f>
        <v>-</v>
      </c>
      <c r="Z3069" s="85" t="s">
        <v>82</v>
      </c>
    </row>
    <row r="3070" spans="1:26" ht="6.95" customHeight="1" x14ac:dyDescent="0.3">
      <c r="A3070" s="154"/>
      <c r="B3070" s="157"/>
      <c r="C3070" s="158"/>
      <c r="D3070" s="161"/>
      <c r="E3070" s="162"/>
      <c r="F3070" s="163"/>
      <c r="G3070" s="164"/>
      <c r="H3070" s="165"/>
      <c r="I3070" s="164"/>
      <c r="J3070" s="165"/>
      <c r="K3070" s="164"/>
      <c r="L3070" s="165"/>
      <c r="M3070" s="6"/>
      <c r="N3070" s="32"/>
      <c r="Q3070" s="10" t="str">
        <f>+CONCATENATE(E3069,I3069)</f>
        <v/>
      </c>
      <c r="R3070" s="10">
        <f>+J3069</f>
        <v>0</v>
      </c>
      <c r="S3070" s="11"/>
      <c r="T3070" s="10">
        <f>+E3069</f>
        <v>0</v>
      </c>
      <c r="U3070" s="19" t="str">
        <f>IFERROR(LEFT(I3069,FIND("*",I3069)-1),"-")</f>
        <v>-</v>
      </c>
      <c r="V3070" s="19" t="str">
        <f>IFERROR(RIGHT(I3069,LEN(I3069)-FIND("*",I3069)),"-")</f>
        <v>-</v>
      </c>
      <c r="W3070" s="20" t="str">
        <f t="shared" ref="W3070:W3077" si="1666">IFERROR((U3070+V3070)*2/1000,"-")</f>
        <v>-</v>
      </c>
      <c r="X3070" s="20" t="str">
        <f>IFERROR(W3070*J3069,"-")</f>
        <v>-</v>
      </c>
      <c r="Z3070" s="85" t="s">
        <v>82</v>
      </c>
    </row>
    <row r="3071" spans="1:26" ht="6.95" customHeight="1" x14ac:dyDescent="0.3">
      <c r="A3071" s="154"/>
      <c r="B3071" s="157"/>
      <c r="C3071" s="158"/>
      <c r="D3071" s="161"/>
      <c r="E3071" s="162"/>
      <c r="F3071" s="163"/>
      <c r="G3071" s="164"/>
      <c r="H3071" s="165"/>
      <c r="I3071" s="164"/>
      <c r="J3071" s="165"/>
      <c r="K3071" s="164"/>
      <c r="L3071" s="165"/>
      <c r="M3071" s="6"/>
      <c r="N3071" s="32"/>
      <c r="Q3071" s="10" t="str">
        <f>+CONCATENATE(E3069,K3069)</f>
        <v/>
      </c>
      <c r="R3071" s="10">
        <f>+L3069</f>
        <v>0</v>
      </c>
      <c r="S3071" s="11"/>
      <c r="T3071" s="10">
        <f>+E3069</f>
        <v>0</v>
      </c>
      <c r="U3071" s="19" t="str">
        <f>IFERROR(LEFT(K3069,FIND("*",K3069)-1),"-")</f>
        <v>-</v>
      </c>
      <c r="V3071" s="19" t="str">
        <f>IFERROR(RIGHT(K3069,LEN(K3069)-FIND("*",K3069)),"-")</f>
        <v>-</v>
      </c>
      <c r="W3071" s="20" t="str">
        <f t="shared" si="1666"/>
        <v>-</v>
      </c>
      <c r="X3071" s="20" t="str">
        <f>IFERROR(W3071*L3069,"-")</f>
        <v>-</v>
      </c>
      <c r="Z3071" s="85" t="s">
        <v>82</v>
      </c>
    </row>
    <row r="3072" spans="1:26" ht="6.95" customHeight="1" x14ac:dyDescent="0.3">
      <c r="A3072" s="8"/>
      <c r="B3072" s="157"/>
      <c r="C3072" s="158"/>
      <c r="D3072" s="161" t="s">
        <v>39</v>
      </c>
      <c r="E3072" s="162"/>
      <c r="F3072" s="163" t="s">
        <v>40</v>
      </c>
      <c r="G3072" s="164"/>
      <c r="H3072" s="165"/>
      <c r="I3072" s="164"/>
      <c r="J3072" s="165"/>
      <c r="K3072" s="164"/>
      <c r="L3072" s="165"/>
      <c r="M3072" s="6"/>
      <c r="N3072" s="32"/>
      <c r="Q3072" s="10" t="str">
        <f>+CONCATENATE(E3072,G3072)</f>
        <v/>
      </c>
      <c r="R3072" s="10">
        <f>+H3072</f>
        <v>0</v>
      </c>
      <c r="S3072" s="11"/>
      <c r="T3072" s="10">
        <f>+E3072</f>
        <v>0</v>
      </c>
      <c r="U3072" s="19" t="str">
        <f t="shared" ref="U3072" si="1667">IFERROR(LEFT(G3072,FIND("*",G3072)-1),"-")</f>
        <v>-</v>
      </c>
      <c r="V3072" s="19" t="str">
        <f t="shared" ref="V3072" si="1668">IFERROR(RIGHT(G3072,LEN(G3072)-FIND("*",G3072)),"-")</f>
        <v>-</v>
      </c>
      <c r="W3072" s="20" t="str">
        <f t="shared" si="1666"/>
        <v>-</v>
      </c>
      <c r="X3072" s="20" t="str">
        <f>IFERROR(W3072*H3072,"-")</f>
        <v>-</v>
      </c>
      <c r="Z3072" s="85" t="s">
        <v>82</v>
      </c>
    </row>
    <row r="3073" spans="1:26" ht="6.95" customHeight="1" x14ac:dyDescent="0.3">
      <c r="A3073" s="5"/>
      <c r="B3073" s="157"/>
      <c r="C3073" s="158"/>
      <c r="D3073" s="161"/>
      <c r="E3073" s="162"/>
      <c r="F3073" s="163"/>
      <c r="G3073" s="164"/>
      <c r="H3073" s="165"/>
      <c r="I3073" s="164"/>
      <c r="J3073" s="165"/>
      <c r="K3073" s="164"/>
      <c r="L3073" s="165"/>
      <c r="M3073" s="6"/>
      <c r="N3073" s="32"/>
      <c r="Q3073" s="10" t="str">
        <f>+CONCATENATE(E3072,I3072)</f>
        <v/>
      </c>
      <c r="R3073" s="10">
        <f>+J3072</f>
        <v>0</v>
      </c>
      <c r="S3073" s="11"/>
      <c r="T3073" s="10">
        <f>+E3072</f>
        <v>0</v>
      </c>
      <c r="U3073" s="19" t="str">
        <f>IFERROR(LEFT(I3072,FIND("*",I3072)-1),"-")</f>
        <v>-</v>
      </c>
      <c r="V3073" s="19" t="str">
        <f>IFERROR(RIGHT(I3072,LEN(I3072)-FIND("*",I3072)),"-")</f>
        <v>-</v>
      </c>
      <c r="W3073" s="20" t="str">
        <f t="shared" si="1666"/>
        <v>-</v>
      </c>
      <c r="X3073" s="20" t="str">
        <f>IFERROR(W3073*J3072,"-")</f>
        <v>-</v>
      </c>
      <c r="Z3073" s="85" t="s">
        <v>82</v>
      </c>
    </row>
    <row r="3074" spans="1:26" ht="6.95" customHeight="1" x14ac:dyDescent="0.3">
      <c r="A3074" s="5"/>
      <c r="B3074" s="157"/>
      <c r="C3074" s="158"/>
      <c r="D3074" s="161"/>
      <c r="E3074" s="162"/>
      <c r="F3074" s="163"/>
      <c r="G3074" s="164"/>
      <c r="H3074" s="165"/>
      <c r="I3074" s="164"/>
      <c r="J3074" s="165"/>
      <c r="K3074" s="164"/>
      <c r="L3074" s="165"/>
      <c r="M3074" s="6"/>
      <c r="N3074" s="32"/>
      <c r="Q3074" s="10" t="str">
        <f>+CONCATENATE(E3072,K3072)</f>
        <v/>
      </c>
      <c r="R3074" s="10">
        <f>+L3072</f>
        <v>0</v>
      </c>
      <c r="S3074" s="11"/>
      <c r="T3074" s="10">
        <f>+E3072</f>
        <v>0</v>
      </c>
      <c r="U3074" s="19" t="str">
        <f>IFERROR(LEFT(K3072,FIND("*",K3072)-1),"-")</f>
        <v>-</v>
      </c>
      <c r="V3074" s="19" t="str">
        <f>IFERROR(RIGHT(K3072,LEN(K3072)-FIND("*",K3072)),"-")</f>
        <v>-</v>
      </c>
      <c r="W3074" s="20" t="str">
        <f t="shared" si="1666"/>
        <v>-</v>
      </c>
      <c r="X3074" s="20" t="str">
        <f>IFERROR(W3074*L3072,"-")</f>
        <v>-</v>
      </c>
      <c r="Z3074" s="85" t="s">
        <v>82</v>
      </c>
    </row>
    <row r="3075" spans="1:26" ht="6.95" customHeight="1" x14ac:dyDescent="0.3">
      <c r="A3075" s="8"/>
      <c r="B3075" s="157"/>
      <c r="C3075" s="158"/>
      <c r="D3075" s="161" t="s">
        <v>39</v>
      </c>
      <c r="E3075" s="162"/>
      <c r="F3075" s="163" t="s">
        <v>40</v>
      </c>
      <c r="G3075" s="164"/>
      <c r="H3075" s="165"/>
      <c r="I3075" s="164"/>
      <c r="J3075" s="165"/>
      <c r="K3075" s="164"/>
      <c r="L3075" s="165"/>
      <c r="M3075" s="6"/>
      <c r="N3075" s="32"/>
      <c r="Q3075" s="10" t="str">
        <f>+CONCATENATE(E3075,G3075)</f>
        <v/>
      </c>
      <c r="R3075" s="10">
        <f>+H3075</f>
        <v>0</v>
      </c>
      <c r="S3075" s="11"/>
      <c r="T3075" s="10">
        <f>+E3075</f>
        <v>0</v>
      </c>
      <c r="U3075" s="19" t="str">
        <f t="shared" ref="U3075" si="1669">IFERROR(LEFT(G3075,FIND("*",G3075)-1),"-")</f>
        <v>-</v>
      </c>
      <c r="V3075" s="19" t="str">
        <f t="shared" ref="V3075" si="1670">IFERROR(RIGHT(G3075,LEN(G3075)-FIND("*",G3075)),"-")</f>
        <v>-</v>
      </c>
      <c r="W3075" s="20" t="str">
        <f t="shared" si="1666"/>
        <v>-</v>
      </c>
      <c r="X3075" s="20" t="str">
        <f>IFERROR(W3075*H3075,"-")</f>
        <v>-</v>
      </c>
      <c r="Z3075" s="85" t="s">
        <v>82</v>
      </c>
    </row>
    <row r="3076" spans="1:26" ht="6.95" customHeight="1" x14ac:dyDescent="0.3">
      <c r="A3076" s="5"/>
      <c r="B3076" s="157"/>
      <c r="C3076" s="158"/>
      <c r="D3076" s="161"/>
      <c r="E3076" s="162"/>
      <c r="F3076" s="163"/>
      <c r="G3076" s="164"/>
      <c r="H3076" s="165"/>
      <c r="I3076" s="164"/>
      <c r="J3076" s="165"/>
      <c r="K3076" s="164"/>
      <c r="L3076" s="165"/>
      <c r="M3076" s="6"/>
      <c r="N3076" s="32"/>
      <c r="Q3076" s="10" t="str">
        <f>+CONCATENATE(E3075,I3075)</f>
        <v/>
      </c>
      <c r="R3076" s="10">
        <f>+J3075</f>
        <v>0</v>
      </c>
      <c r="S3076" s="11"/>
      <c r="T3076" s="10">
        <f>+E3075</f>
        <v>0</v>
      </c>
      <c r="U3076" s="19" t="str">
        <f>IFERROR(LEFT(I3075,FIND("*",I3075)-1),"-")</f>
        <v>-</v>
      </c>
      <c r="V3076" s="19" t="str">
        <f>IFERROR(RIGHT(I3075,LEN(I3075)-FIND("*",I3075)),"-")</f>
        <v>-</v>
      </c>
      <c r="W3076" s="20" t="str">
        <f t="shared" si="1666"/>
        <v>-</v>
      </c>
      <c r="X3076" s="20" t="str">
        <f t="shared" ref="X3076" si="1671">IFERROR(W3076*J3075,"-")</f>
        <v>-</v>
      </c>
      <c r="Z3076" s="85" t="s">
        <v>82</v>
      </c>
    </row>
    <row r="3077" spans="1:26" ht="6.95" customHeight="1" x14ac:dyDescent="0.3">
      <c r="A3077" s="5"/>
      <c r="B3077" s="157"/>
      <c r="C3077" s="158"/>
      <c r="D3077" s="161"/>
      <c r="E3077" s="162"/>
      <c r="F3077" s="163"/>
      <c r="G3077" s="164"/>
      <c r="H3077" s="165"/>
      <c r="I3077" s="164"/>
      <c r="J3077" s="165"/>
      <c r="K3077" s="164"/>
      <c r="L3077" s="165"/>
      <c r="M3077" s="6"/>
      <c r="N3077" s="32"/>
      <c r="Q3077" s="10" t="str">
        <f>+CONCATENATE(E3075,K3075)</f>
        <v/>
      </c>
      <c r="R3077" s="10">
        <f>+L3075</f>
        <v>0</v>
      </c>
      <c r="S3077" s="11"/>
      <c r="T3077" s="10">
        <f>+E3075</f>
        <v>0</v>
      </c>
      <c r="U3077" s="19" t="str">
        <f>IFERROR(LEFT(K3075,FIND("*",K3075)-1),"-")</f>
        <v>-</v>
      </c>
      <c r="V3077" s="19" t="str">
        <f>IFERROR(RIGHT(K3075,LEN(K3075)-FIND("*",K3075)),"-")</f>
        <v>-</v>
      </c>
      <c r="W3077" s="20" t="str">
        <f t="shared" si="1666"/>
        <v>-</v>
      </c>
      <c r="X3077" s="20" t="str">
        <f>IFERROR(W3077*L3075,"-")</f>
        <v>-</v>
      </c>
      <c r="Z3077" s="85" t="s">
        <v>82</v>
      </c>
    </row>
    <row r="3078" spans="1:26" ht="21" customHeight="1" thickBot="1" x14ac:dyDescent="0.35">
      <c r="A3078" s="5"/>
      <c r="B3078" s="159"/>
      <c r="C3078" s="160"/>
      <c r="D3078" s="166" t="s">
        <v>43</v>
      </c>
      <c r="E3078" s="167"/>
      <c r="F3078" s="167"/>
      <c r="G3078" s="168"/>
      <c r="H3078" s="168"/>
      <c r="I3078" s="168"/>
      <c r="J3078" s="168"/>
      <c r="K3078" s="168"/>
      <c r="L3078" s="168"/>
      <c r="M3078" s="7"/>
      <c r="N3078" s="32"/>
      <c r="Z3078" s="86" t="s">
        <v>81</v>
      </c>
    </row>
    <row r="3079" spans="1:26" ht="9.9499999999999993" customHeight="1" thickBot="1" x14ac:dyDescent="0.35">
      <c r="B3079" s="9"/>
      <c r="C3079" s="109"/>
      <c r="D3079" s="51"/>
      <c r="E3079" s="12"/>
      <c r="F3079" s="51"/>
      <c r="G3079" s="14"/>
      <c r="H3079" s="14"/>
      <c r="I3079" s="14"/>
      <c r="J3079" s="14"/>
      <c r="K3079" s="14"/>
      <c r="L3079" s="14"/>
      <c r="M3079" s="9"/>
      <c r="N3079" s="32"/>
      <c r="U3079" s="18"/>
      <c r="V3079" s="18"/>
      <c r="Z3079" s="85" t="s">
        <v>82</v>
      </c>
    </row>
    <row r="3080" spans="1:26" ht="6.95" customHeight="1" x14ac:dyDescent="0.3">
      <c r="A3080" s="154">
        <f>+A3069+1</f>
        <v>1079</v>
      </c>
      <c r="B3080" s="155"/>
      <c r="C3080" s="156"/>
      <c r="D3080" s="161" t="s">
        <v>39</v>
      </c>
      <c r="E3080" s="162"/>
      <c r="F3080" s="163" t="s">
        <v>40</v>
      </c>
      <c r="G3080" s="164"/>
      <c r="H3080" s="165"/>
      <c r="I3080" s="164"/>
      <c r="J3080" s="165"/>
      <c r="K3080" s="164"/>
      <c r="L3080" s="165"/>
      <c r="M3080" s="6"/>
      <c r="N3080" s="32"/>
      <c r="Q3080" s="10" t="str">
        <f>+CONCATENATE(E3080,G3080)</f>
        <v/>
      </c>
      <c r="R3080" s="10">
        <f>+H3080</f>
        <v>0</v>
      </c>
      <c r="S3080" s="11"/>
      <c r="T3080" s="10">
        <f>+E3080</f>
        <v>0</v>
      </c>
      <c r="U3080" s="19" t="str">
        <f>IFERROR(LEFT(G3080,FIND("*",G3080)-1),"-")</f>
        <v>-</v>
      </c>
      <c r="V3080" s="19" t="str">
        <f>IFERROR(RIGHT(G3080,LEN(G3080)-FIND("*",G3080)),"-")</f>
        <v>-</v>
      </c>
      <c r="W3080" s="20" t="str">
        <f>IFERROR((U3080+V3080)*2/1000,"-")</f>
        <v>-</v>
      </c>
      <c r="X3080" s="20" t="str">
        <f>IFERROR(W3080*H3080,"-")</f>
        <v>-</v>
      </c>
      <c r="Z3080" s="85" t="s">
        <v>82</v>
      </c>
    </row>
    <row r="3081" spans="1:26" ht="6.95" customHeight="1" x14ac:dyDescent="0.3">
      <c r="A3081" s="154"/>
      <c r="B3081" s="157"/>
      <c r="C3081" s="158"/>
      <c r="D3081" s="161"/>
      <c r="E3081" s="162"/>
      <c r="F3081" s="163"/>
      <c r="G3081" s="164"/>
      <c r="H3081" s="165"/>
      <c r="I3081" s="164"/>
      <c r="J3081" s="165"/>
      <c r="K3081" s="164"/>
      <c r="L3081" s="165"/>
      <c r="M3081" s="6"/>
      <c r="N3081" s="32"/>
      <c r="Q3081" s="10" t="str">
        <f>+CONCATENATE(E3080,I3080)</f>
        <v/>
      </c>
      <c r="R3081" s="10">
        <f>+J3080</f>
        <v>0</v>
      </c>
      <c r="S3081" s="11"/>
      <c r="T3081" s="10">
        <f>+E3080</f>
        <v>0</v>
      </c>
      <c r="U3081" s="19" t="str">
        <f>IFERROR(LEFT(I3080,FIND("*",I3080)-1),"-")</f>
        <v>-</v>
      </c>
      <c r="V3081" s="19" t="str">
        <f>IFERROR(RIGHT(I3080,LEN(I3080)-FIND("*",I3080)),"-")</f>
        <v>-</v>
      </c>
      <c r="W3081" s="20" t="str">
        <f t="shared" ref="W3081:W3088" si="1672">IFERROR((U3081+V3081)*2/1000,"-")</f>
        <v>-</v>
      </c>
      <c r="X3081" s="20" t="str">
        <f>IFERROR(W3081*J3080,"-")</f>
        <v>-</v>
      </c>
      <c r="Z3081" s="85" t="s">
        <v>82</v>
      </c>
    </row>
    <row r="3082" spans="1:26" ht="6.95" customHeight="1" x14ac:dyDescent="0.3">
      <c r="A3082" s="154"/>
      <c r="B3082" s="157"/>
      <c r="C3082" s="158"/>
      <c r="D3082" s="161"/>
      <c r="E3082" s="162"/>
      <c r="F3082" s="163"/>
      <c r="G3082" s="164"/>
      <c r="H3082" s="165"/>
      <c r="I3082" s="164"/>
      <c r="J3082" s="165"/>
      <c r="K3082" s="164"/>
      <c r="L3082" s="165"/>
      <c r="M3082" s="6"/>
      <c r="N3082" s="32"/>
      <c r="Q3082" s="10" t="str">
        <f>+CONCATENATE(E3080,K3080)</f>
        <v/>
      </c>
      <c r="R3082" s="10">
        <f>+L3080</f>
        <v>0</v>
      </c>
      <c r="S3082" s="11"/>
      <c r="T3082" s="10">
        <f>+E3080</f>
        <v>0</v>
      </c>
      <c r="U3082" s="19" t="str">
        <f>IFERROR(LEFT(K3080,FIND("*",K3080)-1),"-")</f>
        <v>-</v>
      </c>
      <c r="V3082" s="19" t="str">
        <f>IFERROR(RIGHT(K3080,LEN(K3080)-FIND("*",K3080)),"-")</f>
        <v>-</v>
      </c>
      <c r="W3082" s="20" t="str">
        <f t="shared" si="1672"/>
        <v>-</v>
      </c>
      <c r="X3082" s="20" t="str">
        <f>IFERROR(W3082*L3080,"-")</f>
        <v>-</v>
      </c>
      <c r="Z3082" s="85" t="s">
        <v>82</v>
      </c>
    </row>
    <row r="3083" spans="1:26" ht="6.95" customHeight="1" x14ac:dyDescent="0.3">
      <c r="A3083" s="8"/>
      <c r="B3083" s="157"/>
      <c r="C3083" s="158"/>
      <c r="D3083" s="161" t="s">
        <v>39</v>
      </c>
      <c r="E3083" s="162"/>
      <c r="F3083" s="163" t="s">
        <v>40</v>
      </c>
      <c r="G3083" s="164"/>
      <c r="H3083" s="165"/>
      <c r="I3083" s="164"/>
      <c r="J3083" s="165"/>
      <c r="K3083" s="164"/>
      <c r="L3083" s="165"/>
      <c r="M3083" s="6"/>
      <c r="N3083" s="32"/>
      <c r="Q3083" s="10" t="str">
        <f>+CONCATENATE(E3083,G3083)</f>
        <v/>
      </c>
      <c r="R3083" s="10">
        <f>+H3083</f>
        <v>0</v>
      </c>
      <c r="S3083" s="11"/>
      <c r="T3083" s="10">
        <f>+E3083</f>
        <v>0</v>
      </c>
      <c r="U3083" s="19" t="str">
        <f t="shared" ref="U3083" si="1673">IFERROR(LEFT(G3083,FIND("*",G3083)-1),"-")</f>
        <v>-</v>
      </c>
      <c r="V3083" s="19" t="str">
        <f t="shared" ref="V3083" si="1674">IFERROR(RIGHT(G3083,LEN(G3083)-FIND("*",G3083)),"-")</f>
        <v>-</v>
      </c>
      <c r="W3083" s="20" t="str">
        <f t="shared" si="1672"/>
        <v>-</v>
      </c>
      <c r="X3083" s="20" t="str">
        <f>IFERROR(W3083*H3083,"-")</f>
        <v>-</v>
      </c>
      <c r="Z3083" s="85" t="s">
        <v>82</v>
      </c>
    </row>
    <row r="3084" spans="1:26" ht="6.95" customHeight="1" x14ac:dyDescent="0.3">
      <c r="A3084" s="5"/>
      <c r="B3084" s="157"/>
      <c r="C3084" s="158"/>
      <c r="D3084" s="161"/>
      <c r="E3084" s="162"/>
      <c r="F3084" s="163"/>
      <c r="G3084" s="164"/>
      <c r="H3084" s="165"/>
      <c r="I3084" s="164"/>
      <c r="J3084" s="165"/>
      <c r="K3084" s="164"/>
      <c r="L3084" s="165"/>
      <c r="M3084" s="6"/>
      <c r="N3084" s="32"/>
      <c r="Q3084" s="10" t="str">
        <f>+CONCATENATE(E3083,I3083)</f>
        <v/>
      </c>
      <c r="R3084" s="10">
        <f>+J3083</f>
        <v>0</v>
      </c>
      <c r="S3084" s="11"/>
      <c r="T3084" s="10">
        <f>+E3083</f>
        <v>0</v>
      </c>
      <c r="U3084" s="19" t="str">
        <f>IFERROR(LEFT(I3083,FIND("*",I3083)-1),"-")</f>
        <v>-</v>
      </c>
      <c r="V3084" s="19" t="str">
        <f>IFERROR(RIGHT(I3083,LEN(I3083)-FIND("*",I3083)),"-")</f>
        <v>-</v>
      </c>
      <c r="W3084" s="20" t="str">
        <f t="shared" si="1672"/>
        <v>-</v>
      </c>
      <c r="X3084" s="20" t="str">
        <f>IFERROR(W3084*J3083,"-")</f>
        <v>-</v>
      </c>
      <c r="Z3084" s="85" t="s">
        <v>82</v>
      </c>
    </row>
    <row r="3085" spans="1:26" ht="6.95" customHeight="1" x14ac:dyDescent="0.3">
      <c r="A3085" s="5"/>
      <c r="B3085" s="157"/>
      <c r="C3085" s="158"/>
      <c r="D3085" s="161"/>
      <c r="E3085" s="162"/>
      <c r="F3085" s="163"/>
      <c r="G3085" s="164"/>
      <c r="H3085" s="165"/>
      <c r="I3085" s="164"/>
      <c r="J3085" s="165"/>
      <c r="K3085" s="164"/>
      <c r="L3085" s="165"/>
      <c r="M3085" s="6"/>
      <c r="N3085" s="32"/>
      <c r="Q3085" s="10" t="str">
        <f>+CONCATENATE(E3083,K3083)</f>
        <v/>
      </c>
      <c r="R3085" s="10">
        <f>+L3083</f>
        <v>0</v>
      </c>
      <c r="S3085" s="11"/>
      <c r="T3085" s="10">
        <f>+E3083</f>
        <v>0</v>
      </c>
      <c r="U3085" s="19" t="str">
        <f>IFERROR(LEFT(K3083,FIND("*",K3083)-1),"-")</f>
        <v>-</v>
      </c>
      <c r="V3085" s="19" t="str">
        <f>IFERROR(RIGHT(K3083,LEN(K3083)-FIND("*",K3083)),"-")</f>
        <v>-</v>
      </c>
      <c r="W3085" s="20" t="str">
        <f t="shared" si="1672"/>
        <v>-</v>
      </c>
      <c r="X3085" s="20" t="str">
        <f>IFERROR(W3085*L3083,"-")</f>
        <v>-</v>
      </c>
      <c r="Z3085" s="85" t="s">
        <v>82</v>
      </c>
    </row>
    <row r="3086" spans="1:26" ht="6.95" customHeight="1" x14ac:dyDescent="0.3">
      <c r="A3086" s="8"/>
      <c r="B3086" s="157"/>
      <c r="C3086" s="158"/>
      <c r="D3086" s="161" t="s">
        <v>39</v>
      </c>
      <c r="E3086" s="162"/>
      <c r="F3086" s="163" t="s">
        <v>40</v>
      </c>
      <c r="G3086" s="164"/>
      <c r="H3086" s="165"/>
      <c r="I3086" s="164"/>
      <c r="J3086" s="165"/>
      <c r="K3086" s="164"/>
      <c r="L3086" s="165"/>
      <c r="M3086" s="6"/>
      <c r="N3086" s="32"/>
      <c r="Q3086" s="10" t="str">
        <f>+CONCATENATE(E3086,G3086)</f>
        <v/>
      </c>
      <c r="R3086" s="10">
        <f>+H3086</f>
        <v>0</v>
      </c>
      <c r="S3086" s="11"/>
      <c r="T3086" s="10">
        <f>+E3086</f>
        <v>0</v>
      </c>
      <c r="U3086" s="19" t="str">
        <f t="shared" ref="U3086" si="1675">IFERROR(LEFT(G3086,FIND("*",G3086)-1),"-")</f>
        <v>-</v>
      </c>
      <c r="V3086" s="19" t="str">
        <f t="shared" ref="V3086" si="1676">IFERROR(RIGHT(G3086,LEN(G3086)-FIND("*",G3086)),"-")</f>
        <v>-</v>
      </c>
      <c r="W3086" s="20" t="str">
        <f t="shared" si="1672"/>
        <v>-</v>
      </c>
      <c r="X3086" s="20" t="str">
        <f>IFERROR(W3086*H3086,"-")</f>
        <v>-</v>
      </c>
      <c r="Z3086" s="85" t="s">
        <v>82</v>
      </c>
    </row>
    <row r="3087" spans="1:26" ht="6.95" customHeight="1" x14ac:dyDescent="0.3">
      <c r="A3087" s="5"/>
      <c r="B3087" s="157"/>
      <c r="C3087" s="158"/>
      <c r="D3087" s="161"/>
      <c r="E3087" s="162"/>
      <c r="F3087" s="163"/>
      <c r="G3087" s="164"/>
      <c r="H3087" s="165"/>
      <c r="I3087" s="164"/>
      <c r="J3087" s="165"/>
      <c r="K3087" s="164"/>
      <c r="L3087" s="165"/>
      <c r="M3087" s="6"/>
      <c r="N3087" s="32"/>
      <c r="Q3087" s="10" t="str">
        <f>+CONCATENATE(E3086,I3086)</f>
        <v/>
      </c>
      <c r="R3087" s="10">
        <f>+J3086</f>
        <v>0</v>
      </c>
      <c r="S3087" s="11"/>
      <c r="T3087" s="10">
        <f>+E3086</f>
        <v>0</v>
      </c>
      <c r="U3087" s="19" t="str">
        <f>IFERROR(LEFT(I3086,FIND("*",I3086)-1),"-")</f>
        <v>-</v>
      </c>
      <c r="V3087" s="19" t="str">
        <f>IFERROR(RIGHT(I3086,LEN(I3086)-FIND("*",I3086)),"-")</f>
        <v>-</v>
      </c>
      <c r="W3087" s="20" t="str">
        <f t="shared" si="1672"/>
        <v>-</v>
      </c>
      <c r="X3087" s="20" t="str">
        <f t="shared" ref="X3087" si="1677">IFERROR(W3087*J3086,"-")</f>
        <v>-</v>
      </c>
      <c r="Z3087" s="85" t="s">
        <v>82</v>
      </c>
    </row>
    <row r="3088" spans="1:26" ht="6.95" customHeight="1" x14ac:dyDescent="0.3">
      <c r="A3088" s="5"/>
      <c r="B3088" s="157"/>
      <c r="C3088" s="158"/>
      <c r="D3088" s="161"/>
      <c r="E3088" s="162"/>
      <c r="F3088" s="163"/>
      <c r="G3088" s="164"/>
      <c r="H3088" s="165"/>
      <c r="I3088" s="164"/>
      <c r="J3088" s="165"/>
      <c r="K3088" s="164"/>
      <c r="L3088" s="165"/>
      <c r="M3088" s="6"/>
      <c r="N3088" s="32"/>
      <c r="Q3088" s="10" t="str">
        <f>+CONCATENATE(E3086,K3086)</f>
        <v/>
      </c>
      <c r="R3088" s="10">
        <f>+L3086</f>
        <v>0</v>
      </c>
      <c r="S3088" s="11"/>
      <c r="T3088" s="10">
        <f>+E3086</f>
        <v>0</v>
      </c>
      <c r="U3088" s="19" t="str">
        <f>IFERROR(LEFT(K3086,FIND("*",K3086)-1),"-")</f>
        <v>-</v>
      </c>
      <c r="V3088" s="19" t="str">
        <f>IFERROR(RIGHT(K3086,LEN(K3086)-FIND("*",K3086)),"-")</f>
        <v>-</v>
      </c>
      <c r="W3088" s="20" t="str">
        <f t="shared" si="1672"/>
        <v>-</v>
      </c>
      <c r="X3088" s="20" t="str">
        <f>IFERROR(W3088*L3086,"-")</f>
        <v>-</v>
      </c>
      <c r="Z3088" s="85" t="s">
        <v>82</v>
      </c>
    </row>
    <row r="3089" spans="1:26" ht="21" customHeight="1" thickBot="1" x14ac:dyDescent="0.35">
      <c r="A3089" s="5"/>
      <c r="B3089" s="159"/>
      <c r="C3089" s="160"/>
      <c r="D3089" s="166" t="s">
        <v>43</v>
      </c>
      <c r="E3089" s="167"/>
      <c r="F3089" s="167"/>
      <c r="G3089" s="168"/>
      <c r="H3089" s="168"/>
      <c r="I3089" s="168"/>
      <c r="J3089" s="168"/>
      <c r="K3089" s="168"/>
      <c r="L3089" s="168"/>
      <c r="M3089" s="7"/>
      <c r="N3089" s="32"/>
      <c r="Z3089" s="86" t="s">
        <v>81</v>
      </c>
    </row>
    <row r="3090" spans="1:26" ht="9.9499999999999993" customHeight="1" thickBot="1" x14ac:dyDescent="0.35">
      <c r="B3090" s="9"/>
      <c r="C3090" s="109"/>
      <c r="D3090" s="51"/>
      <c r="E3090" s="12"/>
      <c r="F3090" s="51"/>
      <c r="G3090" s="14"/>
      <c r="H3090" s="14"/>
      <c r="I3090" s="14"/>
      <c r="J3090" s="14"/>
      <c r="K3090" s="14"/>
      <c r="L3090" s="14"/>
      <c r="M3090" s="9"/>
      <c r="N3090" s="32"/>
      <c r="U3090" s="18"/>
      <c r="V3090" s="18"/>
      <c r="Z3090" s="85" t="s">
        <v>82</v>
      </c>
    </row>
    <row r="3091" spans="1:26" ht="6.95" customHeight="1" x14ac:dyDescent="0.3">
      <c r="A3091" s="154">
        <f>+A3080+1</f>
        <v>1080</v>
      </c>
      <c r="B3091" s="155"/>
      <c r="C3091" s="156"/>
      <c r="D3091" s="161" t="s">
        <v>39</v>
      </c>
      <c r="E3091" s="162"/>
      <c r="F3091" s="163" t="s">
        <v>40</v>
      </c>
      <c r="G3091" s="164"/>
      <c r="H3091" s="165"/>
      <c r="I3091" s="164"/>
      <c r="J3091" s="165"/>
      <c r="K3091" s="164"/>
      <c r="L3091" s="165"/>
      <c r="M3091" s="6"/>
      <c r="N3091" s="32"/>
      <c r="Q3091" s="10" t="str">
        <f>+CONCATENATE(E3091,G3091)</f>
        <v/>
      </c>
      <c r="R3091" s="10">
        <f>+H3091</f>
        <v>0</v>
      </c>
      <c r="S3091" s="11"/>
      <c r="T3091" s="10">
        <f>+E3091</f>
        <v>0</v>
      </c>
      <c r="U3091" s="19" t="str">
        <f>IFERROR(LEFT(G3091,FIND("*",G3091)-1),"-")</f>
        <v>-</v>
      </c>
      <c r="V3091" s="19" t="str">
        <f>IFERROR(RIGHT(G3091,LEN(G3091)-FIND("*",G3091)),"-")</f>
        <v>-</v>
      </c>
      <c r="W3091" s="20" t="str">
        <f>IFERROR((U3091+V3091)*2/1000,"-")</f>
        <v>-</v>
      </c>
      <c r="X3091" s="20" t="str">
        <f>IFERROR(W3091*H3091,"-")</f>
        <v>-</v>
      </c>
      <c r="Z3091" s="85" t="s">
        <v>82</v>
      </c>
    </row>
    <row r="3092" spans="1:26" ht="6.95" customHeight="1" x14ac:dyDescent="0.3">
      <c r="A3092" s="154"/>
      <c r="B3092" s="157"/>
      <c r="C3092" s="158"/>
      <c r="D3092" s="161"/>
      <c r="E3092" s="162"/>
      <c r="F3092" s="163"/>
      <c r="G3092" s="164"/>
      <c r="H3092" s="165"/>
      <c r="I3092" s="164"/>
      <c r="J3092" s="165"/>
      <c r="K3092" s="164"/>
      <c r="L3092" s="165"/>
      <c r="M3092" s="6"/>
      <c r="N3092" s="32"/>
      <c r="Q3092" s="10" t="str">
        <f>+CONCATENATE(E3091,I3091)</f>
        <v/>
      </c>
      <c r="R3092" s="10">
        <f>+J3091</f>
        <v>0</v>
      </c>
      <c r="S3092" s="11"/>
      <c r="T3092" s="10">
        <f>+E3091</f>
        <v>0</v>
      </c>
      <c r="U3092" s="19" t="str">
        <f>IFERROR(LEFT(I3091,FIND("*",I3091)-1),"-")</f>
        <v>-</v>
      </c>
      <c r="V3092" s="19" t="str">
        <f>IFERROR(RIGHT(I3091,LEN(I3091)-FIND("*",I3091)),"-")</f>
        <v>-</v>
      </c>
      <c r="W3092" s="20" t="str">
        <f t="shared" ref="W3092:W3099" si="1678">IFERROR((U3092+V3092)*2/1000,"-")</f>
        <v>-</v>
      </c>
      <c r="X3092" s="20" t="str">
        <f>IFERROR(W3092*J3091,"-")</f>
        <v>-</v>
      </c>
      <c r="Z3092" s="85" t="s">
        <v>82</v>
      </c>
    </row>
    <row r="3093" spans="1:26" ht="6.95" customHeight="1" x14ac:dyDescent="0.3">
      <c r="A3093" s="154"/>
      <c r="B3093" s="157"/>
      <c r="C3093" s="158"/>
      <c r="D3093" s="161"/>
      <c r="E3093" s="162"/>
      <c r="F3093" s="163"/>
      <c r="G3093" s="164"/>
      <c r="H3093" s="165"/>
      <c r="I3093" s="164"/>
      <c r="J3093" s="165"/>
      <c r="K3093" s="164"/>
      <c r="L3093" s="165"/>
      <c r="M3093" s="6"/>
      <c r="N3093" s="32"/>
      <c r="Q3093" s="10" t="str">
        <f>+CONCATENATE(E3091,K3091)</f>
        <v/>
      </c>
      <c r="R3093" s="10">
        <f>+L3091</f>
        <v>0</v>
      </c>
      <c r="S3093" s="11"/>
      <c r="T3093" s="10">
        <f>+E3091</f>
        <v>0</v>
      </c>
      <c r="U3093" s="19" t="str">
        <f>IFERROR(LEFT(K3091,FIND("*",K3091)-1),"-")</f>
        <v>-</v>
      </c>
      <c r="V3093" s="19" t="str">
        <f>IFERROR(RIGHT(K3091,LEN(K3091)-FIND("*",K3091)),"-")</f>
        <v>-</v>
      </c>
      <c r="W3093" s="20" t="str">
        <f t="shared" si="1678"/>
        <v>-</v>
      </c>
      <c r="X3093" s="20" t="str">
        <f>IFERROR(W3093*L3091,"-")</f>
        <v>-</v>
      </c>
      <c r="Z3093" s="85" t="s">
        <v>82</v>
      </c>
    </row>
    <row r="3094" spans="1:26" ht="6.95" customHeight="1" x14ac:dyDescent="0.3">
      <c r="A3094" s="8"/>
      <c r="B3094" s="157"/>
      <c r="C3094" s="158"/>
      <c r="D3094" s="161" t="s">
        <v>39</v>
      </c>
      <c r="E3094" s="162"/>
      <c r="F3094" s="163" t="s">
        <v>40</v>
      </c>
      <c r="G3094" s="164"/>
      <c r="H3094" s="165"/>
      <c r="I3094" s="164"/>
      <c r="J3094" s="165"/>
      <c r="K3094" s="164"/>
      <c r="L3094" s="165"/>
      <c r="M3094" s="6"/>
      <c r="N3094" s="32"/>
      <c r="Q3094" s="10" t="str">
        <f>+CONCATENATE(E3094,G3094)</f>
        <v/>
      </c>
      <c r="R3094" s="10">
        <f>+H3094</f>
        <v>0</v>
      </c>
      <c r="S3094" s="11"/>
      <c r="T3094" s="10">
        <f>+E3094</f>
        <v>0</v>
      </c>
      <c r="U3094" s="19" t="str">
        <f t="shared" ref="U3094" si="1679">IFERROR(LEFT(G3094,FIND("*",G3094)-1),"-")</f>
        <v>-</v>
      </c>
      <c r="V3094" s="19" t="str">
        <f t="shared" ref="V3094" si="1680">IFERROR(RIGHT(G3094,LEN(G3094)-FIND("*",G3094)),"-")</f>
        <v>-</v>
      </c>
      <c r="W3094" s="20" t="str">
        <f t="shared" si="1678"/>
        <v>-</v>
      </c>
      <c r="X3094" s="20" t="str">
        <f>IFERROR(W3094*H3094,"-")</f>
        <v>-</v>
      </c>
      <c r="Z3094" s="85" t="s">
        <v>82</v>
      </c>
    </row>
    <row r="3095" spans="1:26" ht="6.95" customHeight="1" x14ac:dyDescent="0.3">
      <c r="A3095" s="5"/>
      <c r="B3095" s="157"/>
      <c r="C3095" s="158"/>
      <c r="D3095" s="161"/>
      <c r="E3095" s="162"/>
      <c r="F3095" s="163"/>
      <c r="G3095" s="164"/>
      <c r="H3095" s="165"/>
      <c r="I3095" s="164"/>
      <c r="J3095" s="165"/>
      <c r="K3095" s="164"/>
      <c r="L3095" s="165"/>
      <c r="M3095" s="6"/>
      <c r="N3095" s="32"/>
      <c r="Q3095" s="10" t="str">
        <f>+CONCATENATE(E3094,I3094)</f>
        <v/>
      </c>
      <c r="R3095" s="10">
        <f>+J3094</f>
        <v>0</v>
      </c>
      <c r="S3095" s="11"/>
      <c r="T3095" s="10">
        <f>+E3094</f>
        <v>0</v>
      </c>
      <c r="U3095" s="19" t="str">
        <f>IFERROR(LEFT(I3094,FIND("*",I3094)-1),"-")</f>
        <v>-</v>
      </c>
      <c r="V3095" s="19" t="str">
        <f>IFERROR(RIGHT(I3094,LEN(I3094)-FIND("*",I3094)),"-")</f>
        <v>-</v>
      </c>
      <c r="W3095" s="20" t="str">
        <f t="shared" si="1678"/>
        <v>-</v>
      </c>
      <c r="X3095" s="20" t="str">
        <f>IFERROR(W3095*J3094,"-")</f>
        <v>-</v>
      </c>
      <c r="Z3095" s="85" t="s">
        <v>82</v>
      </c>
    </row>
    <row r="3096" spans="1:26" ht="6.95" customHeight="1" x14ac:dyDescent="0.3">
      <c r="A3096" s="5"/>
      <c r="B3096" s="157"/>
      <c r="C3096" s="158"/>
      <c r="D3096" s="161"/>
      <c r="E3096" s="162"/>
      <c r="F3096" s="163"/>
      <c r="G3096" s="164"/>
      <c r="H3096" s="165"/>
      <c r="I3096" s="164"/>
      <c r="J3096" s="165"/>
      <c r="K3096" s="164"/>
      <c r="L3096" s="165"/>
      <c r="M3096" s="6"/>
      <c r="N3096" s="32"/>
      <c r="Q3096" s="10" t="str">
        <f>+CONCATENATE(E3094,K3094)</f>
        <v/>
      </c>
      <c r="R3096" s="10">
        <f>+L3094</f>
        <v>0</v>
      </c>
      <c r="S3096" s="11"/>
      <c r="T3096" s="10">
        <f>+E3094</f>
        <v>0</v>
      </c>
      <c r="U3096" s="19" t="str">
        <f>IFERROR(LEFT(K3094,FIND("*",K3094)-1),"-")</f>
        <v>-</v>
      </c>
      <c r="V3096" s="19" t="str">
        <f>IFERROR(RIGHT(K3094,LEN(K3094)-FIND("*",K3094)),"-")</f>
        <v>-</v>
      </c>
      <c r="W3096" s="20" t="str">
        <f t="shared" si="1678"/>
        <v>-</v>
      </c>
      <c r="X3096" s="20" t="str">
        <f>IFERROR(W3096*L3094,"-")</f>
        <v>-</v>
      </c>
      <c r="Z3096" s="85" t="s">
        <v>82</v>
      </c>
    </row>
    <row r="3097" spans="1:26" ht="6.95" customHeight="1" x14ac:dyDescent="0.3">
      <c r="A3097" s="8"/>
      <c r="B3097" s="157"/>
      <c r="C3097" s="158"/>
      <c r="D3097" s="161" t="s">
        <v>39</v>
      </c>
      <c r="E3097" s="162"/>
      <c r="F3097" s="163" t="s">
        <v>40</v>
      </c>
      <c r="G3097" s="164"/>
      <c r="H3097" s="165"/>
      <c r="I3097" s="164"/>
      <c r="J3097" s="165"/>
      <c r="K3097" s="164"/>
      <c r="L3097" s="165"/>
      <c r="M3097" s="6"/>
      <c r="N3097" s="32"/>
      <c r="Q3097" s="10" t="str">
        <f>+CONCATENATE(E3097,G3097)</f>
        <v/>
      </c>
      <c r="R3097" s="10">
        <f>+H3097</f>
        <v>0</v>
      </c>
      <c r="S3097" s="11"/>
      <c r="T3097" s="10">
        <f>+E3097</f>
        <v>0</v>
      </c>
      <c r="U3097" s="19" t="str">
        <f t="shared" ref="U3097" si="1681">IFERROR(LEFT(G3097,FIND("*",G3097)-1),"-")</f>
        <v>-</v>
      </c>
      <c r="V3097" s="19" t="str">
        <f t="shared" ref="V3097" si="1682">IFERROR(RIGHT(G3097,LEN(G3097)-FIND("*",G3097)),"-")</f>
        <v>-</v>
      </c>
      <c r="W3097" s="20" t="str">
        <f t="shared" si="1678"/>
        <v>-</v>
      </c>
      <c r="X3097" s="20" t="str">
        <f>IFERROR(W3097*H3097,"-")</f>
        <v>-</v>
      </c>
      <c r="Z3097" s="85" t="s">
        <v>82</v>
      </c>
    </row>
    <row r="3098" spans="1:26" ht="6.95" customHeight="1" x14ac:dyDescent="0.3">
      <c r="A3098" s="5"/>
      <c r="B3098" s="157"/>
      <c r="C3098" s="158"/>
      <c r="D3098" s="161"/>
      <c r="E3098" s="162"/>
      <c r="F3098" s="163"/>
      <c r="G3098" s="164"/>
      <c r="H3098" s="165"/>
      <c r="I3098" s="164"/>
      <c r="J3098" s="165"/>
      <c r="K3098" s="164"/>
      <c r="L3098" s="165"/>
      <c r="M3098" s="6"/>
      <c r="N3098" s="32"/>
      <c r="Q3098" s="10" t="str">
        <f>+CONCATENATE(E3097,I3097)</f>
        <v/>
      </c>
      <c r="R3098" s="10">
        <f>+J3097</f>
        <v>0</v>
      </c>
      <c r="S3098" s="11"/>
      <c r="T3098" s="10">
        <f>+E3097</f>
        <v>0</v>
      </c>
      <c r="U3098" s="19" t="str">
        <f>IFERROR(LEFT(I3097,FIND("*",I3097)-1),"-")</f>
        <v>-</v>
      </c>
      <c r="V3098" s="19" t="str">
        <f>IFERROR(RIGHT(I3097,LEN(I3097)-FIND("*",I3097)),"-")</f>
        <v>-</v>
      </c>
      <c r="W3098" s="20" t="str">
        <f t="shared" si="1678"/>
        <v>-</v>
      </c>
      <c r="X3098" s="20" t="str">
        <f t="shared" ref="X3098" si="1683">IFERROR(W3098*J3097,"-")</f>
        <v>-</v>
      </c>
      <c r="Z3098" s="85" t="s">
        <v>82</v>
      </c>
    </row>
    <row r="3099" spans="1:26" ht="6.95" customHeight="1" x14ac:dyDescent="0.3">
      <c r="A3099" s="5"/>
      <c r="B3099" s="157"/>
      <c r="C3099" s="158"/>
      <c r="D3099" s="161"/>
      <c r="E3099" s="162"/>
      <c r="F3099" s="163"/>
      <c r="G3099" s="164"/>
      <c r="H3099" s="165"/>
      <c r="I3099" s="164"/>
      <c r="J3099" s="165"/>
      <c r="K3099" s="164"/>
      <c r="L3099" s="165"/>
      <c r="M3099" s="6"/>
      <c r="N3099" s="32"/>
      <c r="Q3099" s="10" t="str">
        <f>+CONCATENATE(E3097,K3097)</f>
        <v/>
      </c>
      <c r="R3099" s="10">
        <f>+L3097</f>
        <v>0</v>
      </c>
      <c r="S3099" s="11"/>
      <c r="T3099" s="10">
        <f>+E3097</f>
        <v>0</v>
      </c>
      <c r="U3099" s="19" t="str">
        <f>IFERROR(LEFT(K3097,FIND("*",K3097)-1),"-")</f>
        <v>-</v>
      </c>
      <c r="V3099" s="19" t="str">
        <f>IFERROR(RIGHT(K3097,LEN(K3097)-FIND("*",K3097)),"-")</f>
        <v>-</v>
      </c>
      <c r="W3099" s="20" t="str">
        <f t="shared" si="1678"/>
        <v>-</v>
      </c>
      <c r="X3099" s="20" t="str">
        <f>IFERROR(W3099*L3097,"-")</f>
        <v>-</v>
      </c>
      <c r="Z3099" s="85" t="s">
        <v>82</v>
      </c>
    </row>
    <row r="3100" spans="1:26" ht="21" customHeight="1" thickBot="1" x14ac:dyDescent="0.35">
      <c r="A3100" s="5"/>
      <c r="B3100" s="159"/>
      <c r="C3100" s="160"/>
      <c r="D3100" s="166" t="s">
        <v>43</v>
      </c>
      <c r="E3100" s="167"/>
      <c r="F3100" s="167"/>
      <c r="G3100" s="168"/>
      <c r="H3100" s="168"/>
      <c r="I3100" s="168"/>
      <c r="J3100" s="168"/>
      <c r="K3100" s="168"/>
      <c r="L3100" s="168"/>
      <c r="M3100" s="7"/>
      <c r="N3100" s="32"/>
      <c r="Z3100" s="86" t="s">
        <v>81</v>
      </c>
    </row>
    <row r="3101" spans="1:26" ht="9.9499999999999993" customHeight="1" thickBot="1" x14ac:dyDescent="0.35">
      <c r="B3101" s="9"/>
      <c r="C3101" s="109"/>
      <c r="D3101" s="51"/>
      <c r="E3101" s="12"/>
      <c r="F3101" s="51"/>
      <c r="G3101" s="14"/>
      <c r="H3101" s="14"/>
      <c r="I3101" s="14"/>
      <c r="J3101" s="14"/>
      <c r="K3101" s="14"/>
      <c r="L3101" s="14"/>
      <c r="M3101" s="9"/>
      <c r="N3101" s="32"/>
      <c r="U3101" s="18"/>
      <c r="V3101" s="18"/>
      <c r="Z3101" s="85" t="s">
        <v>82</v>
      </c>
    </row>
    <row r="3102" spans="1:26" ht="6.95" customHeight="1" x14ac:dyDescent="0.3">
      <c r="A3102" s="154">
        <f>+A3091+1</f>
        <v>1081</v>
      </c>
      <c r="B3102" s="155"/>
      <c r="C3102" s="156"/>
      <c r="D3102" s="161" t="s">
        <v>39</v>
      </c>
      <c r="E3102" s="162"/>
      <c r="F3102" s="163" t="s">
        <v>40</v>
      </c>
      <c r="G3102" s="164"/>
      <c r="H3102" s="165"/>
      <c r="I3102" s="164"/>
      <c r="J3102" s="165"/>
      <c r="K3102" s="164"/>
      <c r="L3102" s="165"/>
      <c r="M3102" s="6"/>
      <c r="N3102" s="32"/>
      <c r="Q3102" s="10" t="str">
        <f>+CONCATENATE(E3102,G3102)</f>
        <v/>
      </c>
      <c r="R3102" s="10">
        <f>+H3102</f>
        <v>0</v>
      </c>
      <c r="S3102" s="11"/>
      <c r="T3102" s="10">
        <f>+E3102</f>
        <v>0</v>
      </c>
      <c r="U3102" s="19" t="str">
        <f>IFERROR(LEFT(G3102,FIND("*",G3102)-1),"-")</f>
        <v>-</v>
      </c>
      <c r="V3102" s="19" t="str">
        <f>IFERROR(RIGHT(G3102,LEN(G3102)-FIND("*",G3102)),"-")</f>
        <v>-</v>
      </c>
      <c r="W3102" s="20" t="str">
        <f>IFERROR((U3102+V3102)*2/1000,"-")</f>
        <v>-</v>
      </c>
      <c r="X3102" s="20" t="str">
        <f>IFERROR(W3102*H3102,"-")</f>
        <v>-</v>
      </c>
      <c r="Z3102" s="85" t="s">
        <v>82</v>
      </c>
    </row>
    <row r="3103" spans="1:26" ht="6.95" customHeight="1" x14ac:dyDescent="0.3">
      <c r="A3103" s="154"/>
      <c r="B3103" s="157"/>
      <c r="C3103" s="158"/>
      <c r="D3103" s="161"/>
      <c r="E3103" s="162"/>
      <c r="F3103" s="163"/>
      <c r="G3103" s="164"/>
      <c r="H3103" s="165"/>
      <c r="I3103" s="164"/>
      <c r="J3103" s="165"/>
      <c r="K3103" s="164"/>
      <c r="L3103" s="165"/>
      <c r="M3103" s="6"/>
      <c r="N3103" s="32"/>
      <c r="Q3103" s="10" t="str">
        <f>+CONCATENATE(E3102,I3102)</f>
        <v/>
      </c>
      <c r="R3103" s="10">
        <f>+J3102</f>
        <v>0</v>
      </c>
      <c r="S3103" s="11"/>
      <c r="T3103" s="10">
        <f>+E3102</f>
        <v>0</v>
      </c>
      <c r="U3103" s="19" t="str">
        <f>IFERROR(LEFT(I3102,FIND("*",I3102)-1),"-")</f>
        <v>-</v>
      </c>
      <c r="V3103" s="19" t="str">
        <f>IFERROR(RIGHT(I3102,LEN(I3102)-FIND("*",I3102)),"-")</f>
        <v>-</v>
      </c>
      <c r="W3103" s="20" t="str">
        <f t="shared" ref="W3103:W3110" si="1684">IFERROR((U3103+V3103)*2/1000,"-")</f>
        <v>-</v>
      </c>
      <c r="X3103" s="20" t="str">
        <f>IFERROR(W3103*J3102,"-")</f>
        <v>-</v>
      </c>
      <c r="Z3103" s="85" t="s">
        <v>82</v>
      </c>
    </row>
    <row r="3104" spans="1:26" ht="6.95" customHeight="1" x14ac:dyDescent="0.3">
      <c r="A3104" s="154"/>
      <c r="B3104" s="157"/>
      <c r="C3104" s="158"/>
      <c r="D3104" s="161"/>
      <c r="E3104" s="162"/>
      <c r="F3104" s="163"/>
      <c r="G3104" s="164"/>
      <c r="H3104" s="165"/>
      <c r="I3104" s="164"/>
      <c r="J3104" s="165"/>
      <c r="K3104" s="164"/>
      <c r="L3104" s="165"/>
      <c r="M3104" s="6"/>
      <c r="N3104" s="32"/>
      <c r="Q3104" s="10" t="str">
        <f>+CONCATENATE(E3102,K3102)</f>
        <v/>
      </c>
      <c r="R3104" s="10">
        <f>+L3102</f>
        <v>0</v>
      </c>
      <c r="S3104" s="11"/>
      <c r="T3104" s="10">
        <f>+E3102</f>
        <v>0</v>
      </c>
      <c r="U3104" s="19" t="str">
        <f>IFERROR(LEFT(K3102,FIND("*",K3102)-1),"-")</f>
        <v>-</v>
      </c>
      <c r="V3104" s="19" t="str">
        <f>IFERROR(RIGHT(K3102,LEN(K3102)-FIND("*",K3102)),"-")</f>
        <v>-</v>
      </c>
      <c r="W3104" s="20" t="str">
        <f t="shared" si="1684"/>
        <v>-</v>
      </c>
      <c r="X3104" s="20" t="str">
        <f>IFERROR(W3104*L3102,"-")</f>
        <v>-</v>
      </c>
      <c r="Z3104" s="85" t="s">
        <v>82</v>
      </c>
    </row>
    <row r="3105" spans="1:26" ht="6.95" customHeight="1" x14ac:dyDescent="0.3">
      <c r="A3105" s="8"/>
      <c r="B3105" s="157"/>
      <c r="C3105" s="158"/>
      <c r="D3105" s="161" t="s">
        <v>39</v>
      </c>
      <c r="E3105" s="162"/>
      <c r="F3105" s="163" t="s">
        <v>40</v>
      </c>
      <c r="G3105" s="164"/>
      <c r="H3105" s="165"/>
      <c r="I3105" s="164"/>
      <c r="J3105" s="165"/>
      <c r="K3105" s="164"/>
      <c r="L3105" s="165"/>
      <c r="M3105" s="6"/>
      <c r="N3105" s="32"/>
      <c r="Q3105" s="10" t="str">
        <f>+CONCATENATE(E3105,G3105)</f>
        <v/>
      </c>
      <c r="R3105" s="10">
        <f>+H3105</f>
        <v>0</v>
      </c>
      <c r="S3105" s="11"/>
      <c r="T3105" s="10">
        <f>+E3105</f>
        <v>0</v>
      </c>
      <c r="U3105" s="19" t="str">
        <f t="shared" ref="U3105" si="1685">IFERROR(LEFT(G3105,FIND("*",G3105)-1),"-")</f>
        <v>-</v>
      </c>
      <c r="V3105" s="19" t="str">
        <f t="shared" ref="V3105" si="1686">IFERROR(RIGHT(G3105,LEN(G3105)-FIND("*",G3105)),"-")</f>
        <v>-</v>
      </c>
      <c r="W3105" s="20" t="str">
        <f t="shared" si="1684"/>
        <v>-</v>
      </c>
      <c r="X3105" s="20" t="str">
        <f>IFERROR(W3105*H3105,"-")</f>
        <v>-</v>
      </c>
      <c r="Z3105" s="85" t="s">
        <v>82</v>
      </c>
    </row>
    <row r="3106" spans="1:26" ht="6.95" customHeight="1" x14ac:dyDescent="0.3">
      <c r="A3106" s="5"/>
      <c r="B3106" s="157"/>
      <c r="C3106" s="158"/>
      <c r="D3106" s="161"/>
      <c r="E3106" s="162"/>
      <c r="F3106" s="163"/>
      <c r="G3106" s="164"/>
      <c r="H3106" s="165"/>
      <c r="I3106" s="164"/>
      <c r="J3106" s="165"/>
      <c r="K3106" s="164"/>
      <c r="L3106" s="165"/>
      <c r="M3106" s="6"/>
      <c r="N3106" s="32"/>
      <c r="Q3106" s="10" t="str">
        <f>+CONCATENATE(E3105,I3105)</f>
        <v/>
      </c>
      <c r="R3106" s="10">
        <f>+J3105</f>
        <v>0</v>
      </c>
      <c r="S3106" s="11"/>
      <c r="T3106" s="10">
        <f>+E3105</f>
        <v>0</v>
      </c>
      <c r="U3106" s="19" t="str">
        <f>IFERROR(LEFT(I3105,FIND("*",I3105)-1),"-")</f>
        <v>-</v>
      </c>
      <c r="V3106" s="19" t="str">
        <f>IFERROR(RIGHT(I3105,LEN(I3105)-FIND("*",I3105)),"-")</f>
        <v>-</v>
      </c>
      <c r="W3106" s="20" t="str">
        <f t="shared" si="1684"/>
        <v>-</v>
      </c>
      <c r="X3106" s="20" t="str">
        <f>IFERROR(W3106*J3105,"-")</f>
        <v>-</v>
      </c>
      <c r="Z3106" s="85" t="s">
        <v>82</v>
      </c>
    </row>
    <row r="3107" spans="1:26" ht="6.95" customHeight="1" x14ac:dyDescent="0.3">
      <c r="A3107" s="5"/>
      <c r="B3107" s="157"/>
      <c r="C3107" s="158"/>
      <c r="D3107" s="161"/>
      <c r="E3107" s="162"/>
      <c r="F3107" s="163"/>
      <c r="G3107" s="164"/>
      <c r="H3107" s="165"/>
      <c r="I3107" s="164"/>
      <c r="J3107" s="165"/>
      <c r="K3107" s="164"/>
      <c r="L3107" s="165"/>
      <c r="M3107" s="6"/>
      <c r="N3107" s="32"/>
      <c r="Q3107" s="10" t="str">
        <f>+CONCATENATE(E3105,K3105)</f>
        <v/>
      </c>
      <c r="R3107" s="10">
        <f>+L3105</f>
        <v>0</v>
      </c>
      <c r="S3107" s="11"/>
      <c r="T3107" s="10">
        <f>+E3105</f>
        <v>0</v>
      </c>
      <c r="U3107" s="19" t="str">
        <f>IFERROR(LEFT(K3105,FIND("*",K3105)-1),"-")</f>
        <v>-</v>
      </c>
      <c r="V3107" s="19" t="str">
        <f>IFERROR(RIGHT(K3105,LEN(K3105)-FIND("*",K3105)),"-")</f>
        <v>-</v>
      </c>
      <c r="W3107" s="20" t="str">
        <f t="shared" si="1684"/>
        <v>-</v>
      </c>
      <c r="X3107" s="20" t="str">
        <f>IFERROR(W3107*L3105,"-")</f>
        <v>-</v>
      </c>
      <c r="Z3107" s="85" t="s">
        <v>82</v>
      </c>
    </row>
    <row r="3108" spans="1:26" ht="6.95" customHeight="1" x14ac:dyDescent="0.3">
      <c r="A3108" s="8"/>
      <c r="B3108" s="157"/>
      <c r="C3108" s="158"/>
      <c r="D3108" s="161" t="s">
        <v>39</v>
      </c>
      <c r="E3108" s="162"/>
      <c r="F3108" s="163" t="s">
        <v>40</v>
      </c>
      <c r="G3108" s="164"/>
      <c r="H3108" s="165"/>
      <c r="I3108" s="164"/>
      <c r="J3108" s="165"/>
      <c r="K3108" s="164"/>
      <c r="L3108" s="165"/>
      <c r="M3108" s="6"/>
      <c r="N3108" s="32"/>
      <c r="Q3108" s="10" t="str">
        <f>+CONCATENATE(E3108,G3108)</f>
        <v/>
      </c>
      <c r="R3108" s="10">
        <f>+H3108</f>
        <v>0</v>
      </c>
      <c r="S3108" s="11"/>
      <c r="T3108" s="10">
        <f>+E3108</f>
        <v>0</v>
      </c>
      <c r="U3108" s="19" t="str">
        <f t="shared" ref="U3108" si="1687">IFERROR(LEFT(G3108,FIND("*",G3108)-1),"-")</f>
        <v>-</v>
      </c>
      <c r="V3108" s="19" t="str">
        <f t="shared" ref="V3108" si="1688">IFERROR(RIGHT(G3108,LEN(G3108)-FIND("*",G3108)),"-")</f>
        <v>-</v>
      </c>
      <c r="W3108" s="20" t="str">
        <f t="shared" si="1684"/>
        <v>-</v>
      </c>
      <c r="X3108" s="20" t="str">
        <f>IFERROR(W3108*H3108,"-")</f>
        <v>-</v>
      </c>
      <c r="Z3108" s="85" t="s">
        <v>82</v>
      </c>
    </row>
    <row r="3109" spans="1:26" ht="6.95" customHeight="1" x14ac:dyDescent="0.3">
      <c r="A3109" s="5"/>
      <c r="B3109" s="157"/>
      <c r="C3109" s="158"/>
      <c r="D3109" s="161"/>
      <c r="E3109" s="162"/>
      <c r="F3109" s="163"/>
      <c r="G3109" s="164"/>
      <c r="H3109" s="165"/>
      <c r="I3109" s="164"/>
      <c r="J3109" s="165"/>
      <c r="K3109" s="164"/>
      <c r="L3109" s="165"/>
      <c r="M3109" s="6"/>
      <c r="N3109" s="32"/>
      <c r="Q3109" s="10" t="str">
        <f>+CONCATENATE(E3108,I3108)</f>
        <v/>
      </c>
      <c r="R3109" s="10">
        <f>+J3108</f>
        <v>0</v>
      </c>
      <c r="S3109" s="11"/>
      <c r="T3109" s="10">
        <f>+E3108</f>
        <v>0</v>
      </c>
      <c r="U3109" s="19" t="str">
        <f>IFERROR(LEFT(I3108,FIND("*",I3108)-1),"-")</f>
        <v>-</v>
      </c>
      <c r="V3109" s="19" t="str">
        <f>IFERROR(RIGHT(I3108,LEN(I3108)-FIND("*",I3108)),"-")</f>
        <v>-</v>
      </c>
      <c r="W3109" s="20" t="str">
        <f t="shared" si="1684"/>
        <v>-</v>
      </c>
      <c r="X3109" s="20" t="str">
        <f t="shared" ref="X3109" si="1689">IFERROR(W3109*J3108,"-")</f>
        <v>-</v>
      </c>
      <c r="Z3109" s="85" t="s">
        <v>82</v>
      </c>
    </row>
    <row r="3110" spans="1:26" ht="6.95" customHeight="1" x14ac:dyDescent="0.3">
      <c r="A3110" s="5"/>
      <c r="B3110" s="157"/>
      <c r="C3110" s="158"/>
      <c r="D3110" s="161"/>
      <c r="E3110" s="162"/>
      <c r="F3110" s="163"/>
      <c r="G3110" s="164"/>
      <c r="H3110" s="165"/>
      <c r="I3110" s="164"/>
      <c r="J3110" s="165"/>
      <c r="K3110" s="164"/>
      <c r="L3110" s="165"/>
      <c r="M3110" s="6"/>
      <c r="N3110" s="32"/>
      <c r="Q3110" s="10" t="str">
        <f>+CONCATENATE(E3108,K3108)</f>
        <v/>
      </c>
      <c r="R3110" s="10">
        <f>+L3108</f>
        <v>0</v>
      </c>
      <c r="S3110" s="11"/>
      <c r="T3110" s="10">
        <f>+E3108</f>
        <v>0</v>
      </c>
      <c r="U3110" s="19" t="str">
        <f>IFERROR(LEFT(K3108,FIND("*",K3108)-1),"-")</f>
        <v>-</v>
      </c>
      <c r="V3110" s="19" t="str">
        <f>IFERROR(RIGHT(K3108,LEN(K3108)-FIND("*",K3108)),"-")</f>
        <v>-</v>
      </c>
      <c r="W3110" s="20" t="str">
        <f t="shared" si="1684"/>
        <v>-</v>
      </c>
      <c r="X3110" s="20" t="str">
        <f>IFERROR(W3110*L3108,"-")</f>
        <v>-</v>
      </c>
      <c r="Z3110" s="85" t="s">
        <v>82</v>
      </c>
    </row>
    <row r="3111" spans="1:26" ht="21" customHeight="1" thickBot="1" x14ac:dyDescent="0.35">
      <c r="A3111" s="5"/>
      <c r="B3111" s="159"/>
      <c r="C3111" s="160"/>
      <c r="D3111" s="166" t="s">
        <v>43</v>
      </c>
      <c r="E3111" s="167"/>
      <c r="F3111" s="167"/>
      <c r="G3111" s="168"/>
      <c r="H3111" s="168"/>
      <c r="I3111" s="168"/>
      <c r="J3111" s="168"/>
      <c r="K3111" s="168"/>
      <c r="L3111" s="168"/>
      <c r="M3111" s="7"/>
      <c r="N3111" s="32"/>
      <c r="Z3111" s="86" t="s">
        <v>81</v>
      </c>
    </row>
    <row r="3112" spans="1:26" ht="9.9499999999999993" customHeight="1" thickBot="1" x14ac:dyDescent="0.35">
      <c r="B3112" s="9"/>
      <c r="C3112" s="109"/>
      <c r="D3112" s="51"/>
      <c r="E3112" s="12"/>
      <c r="F3112" s="51"/>
      <c r="G3112" s="14"/>
      <c r="H3112" s="14"/>
      <c r="I3112" s="14"/>
      <c r="J3112" s="14"/>
      <c r="K3112" s="14"/>
      <c r="L3112" s="14"/>
      <c r="M3112" s="9"/>
      <c r="N3112" s="32"/>
      <c r="U3112" s="18"/>
      <c r="V3112" s="18"/>
      <c r="Z3112" s="85" t="s">
        <v>82</v>
      </c>
    </row>
    <row r="3113" spans="1:26" ht="6.95" customHeight="1" x14ac:dyDescent="0.3">
      <c r="A3113" s="154">
        <f>+A3102+1</f>
        <v>1082</v>
      </c>
      <c r="B3113" s="155"/>
      <c r="C3113" s="156"/>
      <c r="D3113" s="161" t="s">
        <v>39</v>
      </c>
      <c r="E3113" s="162"/>
      <c r="F3113" s="163" t="s">
        <v>40</v>
      </c>
      <c r="G3113" s="164"/>
      <c r="H3113" s="165"/>
      <c r="I3113" s="164"/>
      <c r="J3113" s="165"/>
      <c r="K3113" s="164"/>
      <c r="L3113" s="165"/>
      <c r="M3113" s="6"/>
      <c r="N3113" s="32"/>
      <c r="Q3113" s="10" t="str">
        <f>+CONCATENATE(E3113,G3113)</f>
        <v/>
      </c>
      <c r="R3113" s="10">
        <f>+H3113</f>
        <v>0</v>
      </c>
      <c r="S3113" s="11"/>
      <c r="T3113" s="10">
        <f>+E3113</f>
        <v>0</v>
      </c>
      <c r="U3113" s="19" t="str">
        <f>IFERROR(LEFT(G3113,FIND("*",G3113)-1),"-")</f>
        <v>-</v>
      </c>
      <c r="V3113" s="19" t="str">
        <f>IFERROR(RIGHT(G3113,LEN(G3113)-FIND("*",G3113)),"-")</f>
        <v>-</v>
      </c>
      <c r="W3113" s="20" t="str">
        <f>IFERROR((U3113+V3113)*2/1000,"-")</f>
        <v>-</v>
      </c>
      <c r="X3113" s="20" t="str">
        <f>IFERROR(W3113*H3113,"-")</f>
        <v>-</v>
      </c>
      <c r="Z3113" s="85" t="s">
        <v>82</v>
      </c>
    </row>
    <row r="3114" spans="1:26" ht="6.95" customHeight="1" x14ac:dyDescent="0.3">
      <c r="A3114" s="154"/>
      <c r="B3114" s="157"/>
      <c r="C3114" s="158"/>
      <c r="D3114" s="161"/>
      <c r="E3114" s="162"/>
      <c r="F3114" s="163"/>
      <c r="G3114" s="164"/>
      <c r="H3114" s="165"/>
      <c r="I3114" s="164"/>
      <c r="J3114" s="165"/>
      <c r="K3114" s="164"/>
      <c r="L3114" s="165"/>
      <c r="M3114" s="6"/>
      <c r="N3114" s="32"/>
      <c r="Q3114" s="10" t="str">
        <f>+CONCATENATE(E3113,I3113)</f>
        <v/>
      </c>
      <c r="R3114" s="10">
        <f>+J3113</f>
        <v>0</v>
      </c>
      <c r="S3114" s="11"/>
      <c r="T3114" s="10">
        <f>+E3113</f>
        <v>0</v>
      </c>
      <c r="U3114" s="19" t="str">
        <f>IFERROR(LEFT(I3113,FIND("*",I3113)-1),"-")</f>
        <v>-</v>
      </c>
      <c r="V3114" s="19" t="str">
        <f>IFERROR(RIGHT(I3113,LEN(I3113)-FIND("*",I3113)),"-")</f>
        <v>-</v>
      </c>
      <c r="W3114" s="20" t="str">
        <f t="shared" ref="W3114:W3121" si="1690">IFERROR((U3114+V3114)*2/1000,"-")</f>
        <v>-</v>
      </c>
      <c r="X3114" s="20" t="str">
        <f>IFERROR(W3114*J3113,"-")</f>
        <v>-</v>
      </c>
      <c r="Z3114" s="85" t="s">
        <v>82</v>
      </c>
    </row>
    <row r="3115" spans="1:26" ht="6.95" customHeight="1" x14ac:dyDescent="0.3">
      <c r="A3115" s="154"/>
      <c r="B3115" s="157"/>
      <c r="C3115" s="158"/>
      <c r="D3115" s="161"/>
      <c r="E3115" s="162"/>
      <c r="F3115" s="163"/>
      <c r="G3115" s="164"/>
      <c r="H3115" s="165"/>
      <c r="I3115" s="164"/>
      <c r="J3115" s="165"/>
      <c r="K3115" s="164"/>
      <c r="L3115" s="165"/>
      <c r="M3115" s="6"/>
      <c r="N3115" s="32"/>
      <c r="Q3115" s="10" t="str">
        <f>+CONCATENATE(E3113,K3113)</f>
        <v/>
      </c>
      <c r="R3115" s="10">
        <f>+L3113</f>
        <v>0</v>
      </c>
      <c r="S3115" s="11"/>
      <c r="T3115" s="10">
        <f>+E3113</f>
        <v>0</v>
      </c>
      <c r="U3115" s="19" t="str">
        <f>IFERROR(LEFT(K3113,FIND("*",K3113)-1),"-")</f>
        <v>-</v>
      </c>
      <c r="V3115" s="19" t="str">
        <f>IFERROR(RIGHT(K3113,LEN(K3113)-FIND("*",K3113)),"-")</f>
        <v>-</v>
      </c>
      <c r="W3115" s="20" t="str">
        <f t="shared" si="1690"/>
        <v>-</v>
      </c>
      <c r="X3115" s="20" t="str">
        <f>IFERROR(W3115*L3113,"-")</f>
        <v>-</v>
      </c>
      <c r="Z3115" s="85" t="s">
        <v>82</v>
      </c>
    </row>
    <row r="3116" spans="1:26" ht="6.95" customHeight="1" x14ac:dyDescent="0.3">
      <c r="A3116" s="8"/>
      <c r="B3116" s="157"/>
      <c r="C3116" s="158"/>
      <c r="D3116" s="161" t="s">
        <v>39</v>
      </c>
      <c r="E3116" s="162"/>
      <c r="F3116" s="163" t="s">
        <v>40</v>
      </c>
      <c r="G3116" s="164"/>
      <c r="H3116" s="165"/>
      <c r="I3116" s="164"/>
      <c r="J3116" s="165"/>
      <c r="K3116" s="164"/>
      <c r="L3116" s="165"/>
      <c r="M3116" s="6"/>
      <c r="N3116" s="32"/>
      <c r="Q3116" s="10" t="str">
        <f>+CONCATENATE(E3116,G3116)</f>
        <v/>
      </c>
      <c r="R3116" s="10">
        <f>+H3116</f>
        <v>0</v>
      </c>
      <c r="S3116" s="11"/>
      <c r="T3116" s="10">
        <f>+E3116</f>
        <v>0</v>
      </c>
      <c r="U3116" s="19" t="str">
        <f t="shared" ref="U3116" si="1691">IFERROR(LEFT(G3116,FIND("*",G3116)-1),"-")</f>
        <v>-</v>
      </c>
      <c r="V3116" s="19" t="str">
        <f t="shared" ref="V3116" si="1692">IFERROR(RIGHT(G3116,LEN(G3116)-FIND("*",G3116)),"-")</f>
        <v>-</v>
      </c>
      <c r="W3116" s="20" t="str">
        <f t="shared" si="1690"/>
        <v>-</v>
      </c>
      <c r="X3116" s="20" t="str">
        <f>IFERROR(W3116*H3116,"-")</f>
        <v>-</v>
      </c>
      <c r="Z3116" s="85" t="s">
        <v>82</v>
      </c>
    </row>
    <row r="3117" spans="1:26" ht="6.95" customHeight="1" x14ac:dyDescent="0.3">
      <c r="A3117" s="5"/>
      <c r="B3117" s="157"/>
      <c r="C3117" s="158"/>
      <c r="D3117" s="161"/>
      <c r="E3117" s="162"/>
      <c r="F3117" s="163"/>
      <c r="G3117" s="164"/>
      <c r="H3117" s="165"/>
      <c r="I3117" s="164"/>
      <c r="J3117" s="165"/>
      <c r="K3117" s="164"/>
      <c r="L3117" s="165"/>
      <c r="M3117" s="6"/>
      <c r="N3117" s="32"/>
      <c r="Q3117" s="10" t="str">
        <f>+CONCATENATE(E3116,I3116)</f>
        <v/>
      </c>
      <c r="R3117" s="10">
        <f>+J3116</f>
        <v>0</v>
      </c>
      <c r="S3117" s="11"/>
      <c r="T3117" s="10">
        <f>+E3116</f>
        <v>0</v>
      </c>
      <c r="U3117" s="19" t="str">
        <f>IFERROR(LEFT(I3116,FIND("*",I3116)-1),"-")</f>
        <v>-</v>
      </c>
      <c r="V3117" s="19" t="str">
        <f>IFERROR(RIGHT(I3116,LEN(I3116)-FIND("*",I3116)),"-")</f>
        <v>-</v>
      </c>
      <c r="W3117" s="20" t="str">
        <f t="shared" si="1690"/>
        <v>-</v>
      </c>
      <c r="X3117" s="20" t="str">
        <f>IFERROR(W3117*J3116,"-")</f>
        <v>-</v>
      </c>
      <c r="Z3117" s="85" t="s">
        <v>82</v>
      </c>
    </row>
    <row r="3118" spans="1:26" ht="6.95" customHeight="1" x14ac:dyDescent="0.3">
      <c r="A3118" s="5"/>
      <c r="B3118" s="157"/>
      <c r="C3118" s="158"/>
      <c r="D3118" s="161"/>
      <c r="E3118" s="162"/>
      <c r="F3118" s="163"/>
      <c r="G3118" s="164"/>
      <c r="H3118" s="165"/>
      <c r="I3118" s="164"/>
      <c r="J3118" s="165"/>
      <c r="K3118" s="164"/>
      <c r="L3118" s="165"/>
      <c r="M3118" s="6"/>
      <c r="N3118" s="32"/>
      <c r="Q3118" s="10" t="str">
        <f>+CONCATENATE(E3116,K3116)</f>
        <v/>
      </c>
      <c r="R3118" s="10">
        <f>+L3116</f>
        <v>0</v>
      </c>
      <c r="S3118" s="11"/>
      <c r="T3118" s="10">
        <f>+E3116</f>
        <v>0</v>
      </c>
      <c r="U3118" s="19" t="str">
        <f>IFERROR(LEFT(K3116,FIND("*",K3116)-1),"-")</f>
        <v>-</v>
      </c>
      <c r="V3118" s="19" t="str">
        <f>IFERROR(RIGHT(K3116,LEN(K3116)-FIND("*",K3116)),"-")</f>
        <v>-</v>
      </c>
      <c r="W3118" s="20" t="str">
        <f t="shared" si="1690"/>
        <v>-</v>
      </c>
      <c r="X3118" s="20" t="str">
        <f>IFERROR(W3118*L3116,"-")</f>
        <v>-</v>
      </c>
      <c r="Z3118" s="85" t="s">
        <v>82</v>
      </c>
    </row>
    <row r="3119" spans="1:26" ht="6.95" customHeight="1" x14ac:dyDescent="0.3">
      <c r="A3119" s="8"/>
      <c r="B3119" s="157"/>
      <c r="C3119" s="158"/>
      <c r="D3119" s="161" t="s">
        <v>39</v>
      </c>
      <c r="E3119" s="162"/>
      <c r="F3119" s="163" t="s">
        <v>40</v>
      </c>
      <c r="G3119" s="164"/>
      <c r="H3119" s="165"/>
      <c r="I3119" s="164"/>
      <c r="J3119" s="165"/>
      <c r="K3119" s="164"/>
      <c r="L3119" s="165"/>
      <c r="M3119" s="6"/>
      <c r="N3119" s="32"/>
      <c r="Q3119" s="10" t="str">
        <f>+CONCATENATE(E3119,G3119)</f>
        <v/>
      </c>
      <c r="R3119" s="10">
        <f>+H3119</f>
        <v>0</v>
      </c>
      <c r="S3119" s="11"/>
      <c r="T3119" s="10">
        <f>+E3119</f>
        <v>0</v>
      </c>
      <c r="U3119" s="19" t="str">
        <f t="shared" ref="U3119" si="1693">IFERROR(LEFT(G3119,FIND("*",G3119)-1),"-")</f>
        <v>-</v>
      </c>
      <c r="V3119" s="19" t="str">
        <f t="shared" ref="V3119" si="1694">IFERROR(RIGHT(G3119,LEN(G3119)-FIND("*",G3119)),"-")</f>
        <v>-</v>
      </c>
      <c r="W3119" s="20" t="str">
        <f t="shared" si="1690"/>
        <v>-</v>
      </c>
      <c r="X3119" s="20" t="str">
        <f>IFERROR(W3119*H3119,"-")</f>
        <v>-</v>
      </c>
      <c r="Z3119" s="85" t="s">
        <v>82</v>
      </c>
    </row>
    <row r="3120" spans="1:26" ht="6.95" customHeight="1" x14ac:dyDescent="0.3">
      <c r="A3120" s="5"/>
      <c r="B3120" s="157"/>
      <c r="C3120" s="158"/>
      <c r="D3120" s="161"/>
      <c r="E3120" s="162"/>
      <c r="F3120" s="163"/>
      <c r="G3120" s="164"/>
      <c r="H3120" s="165"/>
      <c r="I3120" s="164"/>
      <c r="J3120" s="165"/>
      <c r="K3120" s="164"/>
      <c r="L3120" s="165"/>
      <c r="M3120" s="6"/>
      <c r="N3120" s="32"/>
      <c r="Q3120" s="10" t="str">
        <f>+CONCATENATE(E3119,I3119)</f>
        <v/>
      </c>
      <c r="R3120" s="10">
        <f>+J3119</f>
        <v>0</v>
      </c>
      <c r="S3120" s="11"/>
      <c r="T3120" s="10">
        <f>+E3119</f>
        <v>0</v>
      </c>
      <c r="U3120" s="19" t="str">
        <f>IFERROR(LEFT(I3119,FIND("*",I3119)-1),"-")</f>
        <v>-</v>
      </c>
      <c r="V3120" s="19" t="str">
        <f>IFERROR(RIGHT(I3119,LEN(I3119)-FIND("*",I3119)),"-")</f>
        <v>-</v>
      </c>
      <c r="W3120" s="20" t="str">
        <f t="shared" si="1690"/>
        <v>-</v>
      </c>
      <c r="X3120" s="20" t="str">
        <f t="shared" ref="X3120" si="1695">IFERROR(W3120*J3119,"-")</f>
        <v>-</v>
      </c>
      <c r="Z3120" s="85" t="s">
        <v>82</v>
      </c>
    </row>
    <row r="3121" spans="1:26" ht="6.95" customHeight="1" x14ac:dyDescent="0.3">
      <c r="A3121" s="5"/>
      <c r="B3121" s="157"/>
      <c r="C3121" s="158"/>
      <c r="D3121" s="161"/>
      <c r="E3121" s="162"/>
      <c r="F3121" s="163"/>
      <c r="G3121" s="164"/>
      <c r="H3121" s="165"/>
      <c r="I3121" s="164"/>
      <c r="J3121" s="165"/>
      <c r="K3121" s="164"/>
      <c r="L3121" s="165"/>
      <c r="M3121" s="6"/>
      <c r="N3121" s="32"/>
      <c r="Q3121" s="10" t="str">
        <f>+CONCATENATE(E3119,K3119)</f>
        <v/>
      </c>
      <c r="R3121" s="10">
        <f>+L3119</f>
        <v>0</v>
      </c>
      <c r="S3121" s="11"/>
      <c r="T3121" s="10">
        <f>+E3119</f>
        <v>0</v>
      </c>
      <c r="U3121" s="19" t="str">
        <f>IFERROR(LEFT(K3119,FIND("*",K3119)-1),"-")</f>
        <v>-</v>
      </c>
      <c r="V3121" s="19" t="str">
        <f>IFERROR(RIGHT(K3119,LEN(K3119)-FIND("*",K3119)),"-")</f>
        <v>-</v>
      </c>
      <c r="W3121" s="20" t="str">
        <f t="shared" si="1690"/>
        <v>-</v>
      </c>
      <c r="X3121" s="20" t="str">
        <f>IFERROR(W3121*L3119,"-")</f>
        <v>-</v>
      </c>
      <c r="Z3121" s="85" t="s">
        <v>82</v>
      </c>
    </row>
    <row r="3122" spans="1:26" ht="21" customHeight="1" thickBot="1" x14ac:dyDescent="0.35">
      <c r="A3122" s="5"/>
      <c r="B3122" s="159"/>
      <c r="C3122" s="160"/>
      <c r="D3122" s="166" t="s">
        <v>43</v>
      </c>
      <c r="E3122" s="167"/>
      <c r="F3122" s="167"/>
      <c r="G3122" s="168"/>
      <c r="H3122" s="168"/>
      <c r="I3122" s="168"/>
      <c r="J3122" s="168"/>
      <c r="K3122" s="168"/>
      <c r="L3122" s="168"/>
      <c r="M3122" s="7"/>
      <c r="N3122" s="32"/>
      <c r="Z3122" s="86" t="s">
        <v>81</v>
      </c>
    </row>
    <row r="3123" spans="1:26" ht="9.9499999999999993" customHeight="1" thickBot="1" x14ac:dyDescent="0.35">
      <c r="B3123" s="9"/>
      <c r="C3123" s="109"/>
      <c r="D3123" s="51"/>
      <c r="E3123" s="12"/>
      <c r="F3123" s="51"/>
      <c r="G3123" s="14"/>
      <c r="H3123" s="14"/>
      <c r="I3123" s="14"/>
      <c r="J3123" s="14"/>
      <c r="K3123" s="14"/>
      <c r="L3123" s="14"/>
      <c r="M3123" s="9"/>
      <c r="N3123" s="32"/>
      <c r="U3123" s="18"/>
      <c r="V3123" s="18"/>
      <c r="Z3123" s="85" t="s">
        <v>82</v>
      </c>
    </row>
    <row r="3124" spans="1:26" ht="6.95" customHeight="1" x14ac:dyDescent="0.3">
      <c r="A3124" s="154">
        <f>+A3113+1</f>
        <v>1083</v>
      </c>
      <c r="B3124" s="155"/>
      <c r="C3124" s="156"/>
      <c r="D3124" s="161" t="s">
        <v>39</v>
      </c>
      <c r="E3124" s="162"/>
      <c r="F3124" s="163" t="s">
        <v>40</v>
      </c>
      <c r="G3124" s="164"/>
      <c r="H3124" s="165"/>
      <c r="I3124" s="164"/>
      <c r="J3124" s="165"/>
      <c r="K3124" s="164"/>
      <c r="L3124" s="165"/>
      <c r="M3124" s="6"/>
      <c r="N3124" s="32"/>
      <c r="Q3124" s="10" t="str">
        <f>+CONCATENATE(E3124,G3124)</f>
        <v/>
      </c>
      <c r="R3124" s="10">
        <f>+H3124</f>
        <v>0</v>
      </c>
      <c r="S3124" s="11"/>
      <c r="T3124" s="10">
        <f>+E3124</f>
        <v>0</v>
      </c>
      <c r="U3124" s="19" t="str">
        <f>IFERROR(LEFT(G3124,FIND("*",G3124)-1),"-")</f>
        <v>-</v>
      </c>
      <c r="V3124" s="19" t="str">
        <f>IFERROR(RIGHT(G3124,LEN(G3124)-FIND("*",G3124)),"-")</f>
        <v>-</v>
      </c>
      <c r="W3124" s="20" t="str">
        <f>IFERROR((U3124+V3124)*2/1000,"-")</f>
        <v>-</v>
      </c>
      <c r="X3124" s="20" t="str">
        <f>IFERROR(W3124*H3124,"-")</f>
        <v>-</v>
      </c>
      <c r="Z3124" s="85" t="s">
        <v>82</v>
      </c>
    </row>
    <row r="3125" spans="1:26" ht="6.95" customHeight="1" x14ac:dyDescent="0.3">
      <c r="A3125" s="154"/>
      <c r="B3125" s="157"/>
      <c r="C3125" s="158"/>
      <c r="D3125" s="161"/>
      <c r="E3125" s="162"/>
      <c r="F3125" s="163"/>
      <c r="G3125" s="164"/>
      <c r="H3125" s="165"/>
      <c r="I3125" s="164"/>
      <c r="J3125" s="165"/>
      <c r="K3125" s="164"/>
      <c r="L3125" s="165"/>
      <c r="M3125" s="6"/>
      <c r="N3125" s="32"/>
      <c r="Q3125" s="10" t="str">
        <f>+CONCATENATE(E3124,I3124)</f>
        <v/>
      </c>
      <c r="R3125" s="10">
        <f>+J3124</f>
        <v>0</v>
      </c>
      <c r="S3125" s="11"/>
      <c r="T3125" s="10">
        <f>+E3124</f>
        <v>0</v>
      </c>
      <c r="U3125" s="19" t="str">
        <f>IFERROR(LEFT(I3124,FIND("*",I3124)-1),"-")</f>
        <v>-</v>
      </c>
      <c r="V3125" s="19" t="str">
        <f>IFERROR(RIGHT(I3124,LEN(I3124)-FIND("*",I3124)),"-")</f>
        <v>-</v>
      </c>
      <c r="W3125" s="20" t="str">
        <f t="shared" ref="W3125:W3132" si="1696">IFERROR((U3125+V3125)*2/1000,"-")</f>
        <v>-</v>
      </c>
      <c r="X3125" s="20" t="str">
        <f>IFERROR(W3125*J3124,"-")</f>
        <v>-</v>
      </c>
      <c r="Z3125" s="85" t="s">
        <v>82</v>
      </c>
    </row>
    <row r="3126" spans="1:26" ht="6.95" customHeight="1" x14ac:dyDescent="0.3">
      <c r="A3126" s="154"/>
      <c r="B3126" s="157"/>
      <c r="C3126" s="158"/>
      <c r="D3126" s="161"/>
      <c r="E3126" s="162"/>
      <c r="F3126" s="163"/>
      <c r="G3126" s="164"/>
      <c r="H3126" s="165"/>
      <c r="I3126" s="164"/>
      <c r="J3126" s="165"/>
      <c r="K3126" s="164"/>
      <c r="L3126" s="165"/>
      <c r="M3126" s="6"/>
      <c r="N3126" s="32"/>
      <c r="Q3126" s="10" t="str">
        <f>+CONCATENATE(E3124,K3124)</f>
        <v/>
      </c>
      <c r="R3126" s="10">
        <f>+L3124</f>
        <v>0</v>
      </c>
      <c r="S3126" s="11"/>
      <c r="T3126" s="10">
        <f>+E3124</f>
        <v>0</v>
      </c>
      <c r="U3126" s="19" t="str">
        <f>IFERROR(LEFT(K3124,FIND("*",K3124)-1),"-")</f>
        <v>-</v>
      </c>
      <c r="V3126" s="19" t="str">
        <f>IFERROR(RIGHT(K3124,LEN(K3124)-FIND("*",K3124)),"-")</f>
        <v>-</v>
      </c>
      <c r="W3126" s="20" t="str">
        <f t="shared" si="1696"/>
        <v>-</v>
      </c>
      <c r="X3126" s="20" t="str">
        <f>IFERROR(W3126*L3124,"-")</f>
        <v>-</v>
      </c>
      <c r="Z3126" s="85" t="s">
        <v>82</v>
      </c>
    </row>
    <row r="3127" spans="1:26" ht="6.95" customHeight="1" x14ac:dyDescent="0.3">
      <c r="A3127" s="8"/>
      <c r="B3127" s="157"/>
      <c r="C3127" s="158"/>
      <c r="D3127" s="161" t="s">
        <v>39</v>
      </c>
      <c r="E3127" s="162"/>
      <c r="F3127" s="163" t="s">
        <v>40</v>
      </c>
      <c r="G3127" s="164"/>
      <c r="H3127" s="165"/>
      <c r="I3127" s="164"/>
      <c r="J3127" s="165"/>
      <c r="K3127" s="164"/>
      <c r="L3127" s="165"/>
      <c r="M3127" s="6"/>
      <c r="N3127" s="32"/>
      <c r="Q3127" s="10" t="str">
        <f>+CONCATENATE(E3127,G3127)</f>
        <v/>
      </c>
      <c r="R3127" s="10">
        <f>+H3127</f>
        <v>0</v>
      </c>
      <c r="S3127" s="11"/>
      <c r="T3127" s="10">
        <f>+E3127</f>
        <v>0</v>
      </c>
      <c r="U3127" s="19" t="str">
        <f t="shared" ref="U3127" si="1697">IFERROR(LEFT(G3127,FIND("*",G3127)-1),"-")</f>
        <v>-</v>
      </c>
      <c r="V3127" s="19" t="str">
        <f t="shared" ref="V3127" si="1698">IFERROR(RIGHT(G3127,LEN(G3127)-FIND("*",G3127)),"-")</f>
        <v>-</v>
      </c>
      <c r="W3127" s="20" t="str">
        <f t="shared" si="1696"/>
        <v>-</v>
      </c>
      <c r="X3127" s="20" t="str">
        <f>IFERROR(W3127*H3127,"-")</f>
        <v>-</v>
      </c>
      <c r="Z3127" s="85" t="s">
        <v>82</v>
      </c>
    </row>
    <row r="3128" spans="1:26" ht="6.95" customHeight="1" x14ac:dyDescent="0.3">
      <c r="A3128" s="5"/>
      <c r="B3128" s="157"/>
      <c r="C3128" s="158"/>
      <c r="D3128" s="161"/>
      <c r="E3128" s="162"/>
      <c r="F3128" s="163"/>
      <c r="G3128" s="164"/>
      <c r="H3128" s="165"/>
      <c r="I3128" s="164"/>
      <c r="J3128" s="165"/>
      <c r="K3128" s="164"/>
      <c r="L3128" s="165"/>
      <c r="M3128" s="6"/>
      <c r="N3128" s="32"/>
      <c r="Q3128" s="10" t="str">
        <f>+CONCATENATE(E3127,I3127)</f>
        <v/>
      </c>
      <c r="R3128" s="10">
        <f>+J3127</f>
        <v>0</v>
      </c>
      <c r="S3128" s="11"/>
      <c r="T3128" s="10">
        <f>+E3127</f>
        <v>0</v>
      </c>
      <c r="U3128" s="19" t="str">
        <f>IFERROR(LEFT(I3127,FIND("*",I3127)-1),"-")</f>
        <v>-</v>
      </c>
      <c r="V3128" s="19" t="str">
        <f>IFERROR(RIGHT(I3127,LEN(I3127)-FIND("*",I3127)),"-")</f>
        <v>-</v>
      </c>
      <c r="W3128" s="20" t="str">
        <f t="shared" si="1696"/>
        <v>-</v>
      </c>
      <c r="X3128" s="20" t="str">
        <f>IFERROR(W3128*J3127,"-")</f>
        <v>-</v>
      </c>
      <c r="Z3128" s="85" t="s">
        <v>82</v>
      </c>
    </row>
    <row r="3129" spans="1:26" ht="6.95" customHeight="1" x14ac:dyDescent="0.3">
      <c r="A3129" s="5"/>
      <c r="B3129" s="157"/>
      <c r="C3129" s="158"/>
      <c r="D3129" s="161"/>
      <c r="E3129" s="162"/>
      <c r="F3129" s="163"/>
      <c r="G3129" s="164"/>
      <c r="H3129" s="165"/>
      <c r="I3129" s="164"/>
      <c r="J3129" s="165"/>
      <c r="K3129" s="164"/>
      <c r="L3129" s="165"/>
      <c r="M3129" s="6"/>
      <c r="N3129" s="32"/>
      <c r="Q3129" s="10" t="str">
        <f>+CONCATENATE(E3127,K3127)</f>
        <v/>
      </c>
      <c r="R3129" s="10">
        <f>+L3127</f>
        <v>0</v>
      </c>
      <c r="S3129" s="11"/>
      <c r="T3129" s="10">
        <f>+E3127</f>
        <v>0</v>
      </c>
      <c r="U3129" s="19" t="str">
        <f>IFERROR(LEFT(K3127,FIND("*",K3127)-1),"-")</f>
        <v>-</v>
      </c>
      <c r="V3129" s="19" t="str">
        <f>IFERROR(RIGHT(K3127,LEN(K3127)-FIND("*",K3127)),"-")</f>
        <v>-</v>
      </c>
      <c r="W3129" s="20" t="str">
        <f t="shared" si="1696"/>
        <v>-</v>
      </c>
      <c r="X3129" s="20" t="str">
        <f>IFERROR(W3129*L3127,"-")</f>
        <v>-</v>
      </c>
      <c r="Z3129" s="85" t="s">
        <v>82</v>
      </c>
    </row>
    <row r="3130" spans="1:26" ht="6.95" customHeight="1" x14ac:dyDescent="0.3">
      <c r="A3130" s="8"/>
      <c r="B3130" s="157"/>
      <c r="C3130" s="158"/>
      <c r="D3130" s="161" t="s">
        <v>39</v>
      </c>
      <c r="E3130" s="162"/>
      <c r="F3130" s="163" t="s">
        <v>40</v>
      </c>
      <c r="G3130" s="164"/>
      <c r="H3130" s="165"/>
      <c r="I3130" s="164"/>
      <c r="J3130" s="165"/>
      <c r="K3130" s="164"/>
      <c r="L3130" s="165"/>
      <c r="M3130" s="6"/>
      <c r="N3130" s="32"/>
      <c r="Q3130" s="10" t="str">
        <f>+CONCATENATE(E3130,G3130)</f>
        <v/>
      </c>
      <c r="R3130" s="10">
        <f>+H3130</f>
        <v>0</v>
      </c>
      <c r="S3130" s="11"/>
      <c r="T3130" s="10">
        <f>+E3130</f>
        <v>0</v>
      </c>
      <c r="U3130" s="19" t="str">
        <f t="shared" ref="U3130" si="1699">IFERROR(LEFT(G3130,FIND("*",G3130)-1),"-")</f>
        <v>-</v>
      </c>
      <c r="V3130" s="19" t="str">
        <f t="shared" ref="V3130" si="1700">IFERROR(RIGHT(G3130,LEN(G3130)-FIND("*",G3130)),"-")</f>
        <v>-</v>
      </c>
      <c r="W3130" s="20" t="str">
        <f t="shared" si="1696"/>
        <v>-</v>
      </c>
      <c r="X3130" s="20" t="str">
        <f>IFERROR(W3130*H3130,"-")</f>
        <v>-</v>
      </c>
      <c r="Z3130" s="85" t="s">
        <v>82</v>
      </c>
    </row>
    <row r="3131" spans="1:26" ht="6.95" customHeight="1" x14ac:dyDescent="0.3">
      <c r="A3131" s="5"/>
      <c r="B3131" s="157"/>
      <c r="C3131" s="158"/>
      <c r="D3131" s="161"/>
      <c r="E3131" s="162"/>
      <c r="F3131" s="163"/>
      <c r="G3131" s="164"/>
      <c r="H3131" s="165"/>
      <c r="I3131" s="164"/>
      <c r="J3131" s="165"/>
      <c r="K3131" s="164"/>
      <c r="L3131" s="165"/>
      <c r="M3131" s="6"/>
      <c r="N3131" s="32"/>
      <c r="Q3131" s="10" t="str">
        <f>+CONCATENATE(E3130,I3130)</f>
        <v/>
      </c>
      <c r="R3131" s="10">
        <f>+J3130</f>
        <v>0</v>
      </c>
      <c r="S3131" s="11"/>
      <c r="T3131" s="10">
        <f>+E3130</f>
        <v>0</v>
      </c>
      <c r="U3131" s="19" t="str">
        <f>IFERROR(LEFT(I3130,FIND("*",I3130)-1),"-")</f>
        <v>-</v>
      </c>
      <c r="V3131" s="19" t="str">
        <f>IFERROR(RIGHT(I3130,LEN(I3130)-FIND("*",I3130)),"-")</f>
        <v>-</v>
      </c>
      <c r="W3131" s="20" t="str">
        <f t="shared" si="1696"/>
        <v>-</v>
      </c>
      <c r="X3131" s="20" t="str">
        <f t="shared" ref="X3131" si="1701">IFERROR(W3131*J3130,"-")</f>
        <v>-</v>
      </c>
      <c r="Z3131" s="85" t="s">
        <v>82</v>
      </c>
    </row>
    <row r="3132" spans="1:26" ht="6.95" customHeight="1" x14ac:dyDescent="0.3">
      <c r="A3132" s="5"/>
      <c r="B3132" s="157"/>
      <c r="C3132" s="158"/>
      <c r="D3132" s="161"/>
      <c r="E3132" s="162"/>
      <c r="F3132" s="163"/>
      <c r="G3132" s="164"/>
      <c r="H3132" s="165"/>
      <c r="I3132" s="164"/>
      <c r="J3132" s="165"/>
      <c r="K3132" s="164"/>
      <c r="L3132" s="165"/>
      <c r="M3132" s="6"/>
      <c r="N3132" s="32"/>
      <c r="Q3132" s="10" t="str">
        <f>+CONCATENATE(E3130,K3130)</f>
        <v/>
      </c>
      <c r="R3132" s="10">
        <f>+L3130</f>
        <v>0</v>
      </c>
      <c r="S3132" s="11"/>
      <c r="T3132" s="10">
        <f>+E3130</f>
        <v>0</v>
      </c>
      <c r="U3132" s="19" t="str">
        <f>IFERROR(LEFT(K3130,FIND("*",K3130)-1),"-")</f>
        <v>-</v>
      </c>
      <c r="V3132" s="19" t="str">
        <f>IFERROR(RIGHT(K3130,LEN(K3130)-FIND("*",K3130)),"-")</f>
        <v>-</v>
      </c>
      <c r="W3132" s="20" t="str">
        <f t="shared" si="1696"/>
        <v>-</v>
      </c>
      <c r="X3132" s="20" t="str">
        <f>IFERROR(W3132*L3130,"-")</f>
        <v>-</v>
      </c>
      <c r="Z3132" s="85" t="s">
        <v>82</v>
      </c>
    </row>
    <row r="3133" spans="1:26" ht="21" customHeight="1" thickBot="1" x14ac:dyDescent="0.35">
      <c r="A3133" s="5"/>
      <c r="B3133" s="159"/>
      <c r="C3133" s="160"/>
      <c r="D3133" s="166" t="s">
        <v>43</v>
      </c>
      <c r="E3133" s="167"/>
      <c r="F3133" s="167"/>
      <c r="G3133" s="168"/>
      <c r="H3133" s="168"/>
      <c r="I3133" s="168"/>
      <c r="J3133" s="168"/>
      <c r="K3133" s="168"/>
      <c r="L3133" s="168"/>
      <c r="M3133" s="7"/>
      <c r="N3133" s="32"/>
      <c r="Z3133" s="86" t="s">
        <v>81</v>
      </c>
    </row>
    <row r="3134" spans="1:26" ht="9.9499999999999993" customHeight="1" thickBot="1" x14ac:dyDescent="0.35">
      <c r="B3134" s="9"/>
      <c r="C3134" s="109"/>
      <c r="D3134" s="51"/>
      <c r="E3134" s="12"/>
      <c r="F3134" s="51"/>
      <c r="G3134" s="14"/>
      <c r="H3134" s="14"/>
      <c r="I3134" s="14"/>
      <c r="J3134" s="14"/>
      <c r="K3134" s="14"/>
      <c r="L3134" s="14"/>
      <c r="M3134" s="9"/>
      <c r="N3134" s="32"/>
      <c r="U3134" s="18"/>
      <c r="V3134" s="18"/>
      <c r="Z3134" s="85" t="s">
        <v>82</v>
      </c>
    </row>
    <row r="3135" spans="1:26" ht="6.95" customHeight="1" x14ac:dyDescent="0.3">
      <c r="A3135" s="154">
        <f>+A3124+1</f>
        <v>1084</v>
      </c>
      <c r="B3135" s="155"/>
      <c r="C3135" s="156"/>
      <c r="D3135" s="161" t="s">
        <v>39</v>
      </c>
      <c r="E3135" s="162"/>
      <c r="F3135" s="163" t="s">
        <v>40</v>
      </c>
      <c r="G3135" s="164"/>
      <c r="H3135" s="165"/>
      <c r="I3135" s="164"/>
      <c r="J3135" s="165"/>
      <c r="K3135" s="164"/>
      <c r="L3135" s="165"/>
      <c r="M3135" s="6"/>
      <c r="N3135" s="32"/>
      <c r="Q3135" s="10" t="str">
        <f>+CONCATENATE(E3135,G3135)</f>
        <v/>
      </c>
      <c r="R3135" s="10">
        <f>+H3135</f>
        <v>0</v>
      </c>
      <c r="S3135" s="11"/>
      <c r="T3135" s="10">
        <f>+E3135</f>
        <v>0</v>
      </c>
      <c r="U3135" s="19" t="str">
        <f>IFERROR(LEFT(G3135,FIND("*",G3135)-1),"-")</f>
        <v>-</v>
      </c>
      <c r="V3135" s="19" t="str">
        <f>IFERROR(RIGHT(G3135,LEN(G3135)-FIND("*",G3135)),"-")</f>
        <v>-</v>
      </c>
      <c r="W3135" s="20" t="str">
        <f>IFERROR((U3135+V3135)*2/1000,"-")</f>
        <v>-</v>
      </c>
      <c r="X3135" s="20" t="str">
        <f>IFERROR(W3135*H3135,"-")</f>
        <v>-</v>
      </c>
      <c r="Z3135" s="85" t="s">
        <v>82</v>
      </c>
    </row>
    <row r="3136" spans="1:26" ht="6.95" customHeight="1" x14ac:dyDescent="0.3">
      <c r="A3136" s="154"/>
      <c r="B3136" s="157"/>
      <c r="C3136" s="158"/>
      <c r="D3136" s="161"/>
      <c r="E3136" s="162"/>
      <c r="F3136" s="163"/>
      <c r="G3136" s="164"/>
      <c r="H3136" s="165"/>
      <c r="I3136" s="164"/>
      <c r="J3136" s="165"/>
      <c r="K3136" s="164"/>
      <c r="L3136" s="165"/>
      <c r="M3136" s="6"/>
      <c r="N3136" s="32"/>
      <c r="Q3136" s="10" t="str">
        <f>+CONCATENATE(E3135,I3135)</f>
        <v/>
      </c>
      <c r="R3136" s="10">
        <f>+J3135</f>
        <v>0</v>
      </c>
      <c r="S3136" s="11"/>
      <c r="T3136" s="10">
        <f>+E3135</f>
        <v>0</v>
      </c>
      <c r="U3136" s="19" t="str">
        <f>IFERROR(LEFT(I3135,FIND("*",I3135)-1),"-")</f>
        <v>-</v>
      </c>
      <c r="V3136" s="19" t="str">
        <f>IFERROR(RIGHT(I3135,LEN(I3135)-FIND("*",I3135)),"-")</f>
        <v>-</v>
      </c>
      <c r="W3136" s="20" t="str">
        <f t="shared" ref="W3136:W3143" si="1702">IFERROR((U3136+V3136)*2/1000,"-")</f>
        <v>-</v>
      </c>
      <c r="X3136" s="20" t="str">
        <f>IFERROR(W3136*J3135,"-")</f>
        <v>-</v>
      </c>
      <c r="Z3136" s="85" t="s">
        <v>82</v>
      </c>
    </row>
    <row r="3137" spans="1:26" ht="6.95" customHeight="1" x14ac:dyDescent="0.3">
      <c r="A3137" s="154"/>
      <c r="B3137" s="157"/>
      <c r="C3137" s="158"/>
      <c r="D3137" s="161"/>
      <c r="E3137" s="162"/>
      <c r="F3137" s="163"/>
      <c r="G3137" s="164"/>
      <c r="H3137" s="165"/>
      <c r="I3137" s="164"/>
      <c r="J3137" s="165"/>
      <c r="K3137" s="164"/>
      <c r="L3137" s="165"/>
      <c r="M3137" s="6"/>
      <c r="N3137" s="32"/>
      <c r="Q3137" s="10" t="str">
        <f>+CONCATENATE(E3135,K3135)</f>
        <v/>
      </c>
      <c r="R3137" s="10">
        <f>+L3135</f>
        <v>0</v>
      </c>
      <c r="S3137" s="11"/>
      <c r="T3137" s="10">
        <f>+E3135</f>
        <v>0</v>
      </c>
      <c r="U3137" s="19" t="str">
        <f>IFERROR(LEFT(K3135,FIND("*",K3135)-1),"-")</f>
        <v>-</v>
      </c>
      <c r="V3137" s="19" t="str">
        <f>IFERROR(RIGHT(K3135,LEN(K3135)-FIND("*",K3135)),"-")</f>
        <v>-</v>
      </c>
      <c r="W3137" s="20" t="str">
        <f t="shared" si="1702"/>
        <v>-</v>
      </c>
      <c r="X3137" s="20" t="str">
        <f>IFERROR(W3137*L3135,"-")</f>
        <v>-</v>
      </c>
      <c r="Z3137" s="85" t="s">
        <v>82</v>
      </c>
    </row>
    <row r="3138" spans="1:26" ht="6.95" customHeight="1" x14ac:dyDescent="0.3">
      <c r="A3138" s="8"/>
      <c r="B3138" s="157"/>
      <c r="C3138" s="158"/>
      <c r="D3138" s="161" t="s">
        <v>39</v>
      </c>
      <c r="E3138" s="162"/>
      <c r="F3138" s="163" t="s">
        <v>40</v>
      </c>
      <c r="G3138" s="164"/>
      <c r="H3138" s="165"/>
      <c r="I3138" s="164"/>
      <c r="J3138" s="165"/>
      <c r="K3138" s="164"/>
      <c r="L3138" s="165"/>
      <c r="M3138" s="6"/>
      <c r="N3138" s="32"/>
      <c r="Q3138" s="10" t="str">
        <f>+CONCATENATE(E3138,G3138)</f>
        <v/>
      </c>
      <c r="R3138" s="10">
        <f>+H3138</f>
        <v>0</v>
      </c>
      <c r="S3138" s="11"/>
      <c r="T3138" s="10">
        <f>+E3138</f>
        <v>0</v>
      </c>
      <c r="U3138" s="19" t="str">
        <f t="shared" ref="U3138" si="1703">IFERROR(LEFT(G3138,FIND("*",G3138)-1),"-")</f>
        <v>-</v>
      </c>
      <c r="V3138" s="19" t="str">
        <f t="shared" ref="V3138" si="1704">IFERROR(RIGHT(G3138,LEN(G3138)-FIND("*",G3138)),"-")</f>
        <v>-</v>
      </c>
      <c r="W3138" s="20" t="str">
        <f t="shared" si="1702"/>
        <v>-</v>
      </c>
      <c r="X3138" s="20" t="str">
        <f>IFERROR(W3138*H3138,"-")</f>
        <v>-</v>
      </c>
      <c r="Z3138" s="85" t="s">
        <v>82</v>
      </c>
    </row>
    <row r="3139" spans="1:26" ht="6.95" customHeight="1" x14ac:dyDescent="0.3">
      <c r="A3139" s="5"/>
      <c r="B3139" s="157"/>
      <c r="C3139" s="158"/>
      <c r="D3139" s="161"/>
      <c r="E3139" s="162"/>
      <c r="F3139" s="163"/>
      <c r="G3139" s="164"/>
      <c r="H3139" s="165"/>
      <c r="I3139" s="164"/>
      <c r="J3139" s="165"/>
      <c r="K3139" s="164"/>
      <c r="L3139" s="165"/>
      <c r="M3139" s="6"/>
      <c r="N3139" s="32"/>
      <c r="Q3139" s="10" t="str">
        <f>+CONCATENATE(E3138,I3138)</f>
        <v/>
      </c>
      <c r="R3139" s="10">
        <f>+J3138</f>
        <v>0</v>
      </c>
      <c r="S3139" s="11"/>
      <c r="T3139" s="10">
        <f>+E3138</f>
        <v>0</v>
      </c>
      <c r="U3139" s="19" t="str">
        <f>IFERROR(LEFT(I3138,FIND("*",I3138)-1),"-")</f>
        <v>-</v>
      </c>
      <c r="V3139" s="19" t="str">
        <f>IFERROR(RIGHT(I3138,LEN(I3138)-FIND("*",I3138)),"-")</f>
        <v>-</v>
      </c>
      <c r="W3139" s="20" t="str">
        <f t="shared" si="1702"/>
        <v>-</v>
      </c>
      <c r="X3139" s="20" t="str">
        <f>IFERROR(W3139*J3138,"-")</f>
        <v>-</v>
      </c>
      <c r="Z3139" s="85" t="s">
        <v>82</v>
      </c>
    </row>
    <row r="3140" spans="1:26" ht="6.95" customHeight="1" x14ac:dyDescent="0.3">
      <c r="A3140" s="5"/>
      <c r="B3140" s="157"/>
      <c r="C3140" s="158"/>
      <c r="D3140" s="161"/>
      <c r="E3140" s="162"/>
      <c r="F3140" s="163"/>
      <c r="G3140" s="164"/>
      <c r="H3140" s="165"/>
      <c r="I3140" s="164"/>
      <c r="J3140" s="165"/>
      <c r="K3140" s="164"/>
      <c r="L3140" s="165"/>
      <c r="M3140" s="6"/>
      <c r="N3140" s="32"/>
      <c r="Q3140" s="10" t="str">
        <f>+CONCATENATE(E3138,K3138)</f>
        <v/>
      </c>
      <c r="R3140" s="10">
        <f>+L3138</f>
        <v>0</v>
      </c>
      <c r="S3140" s="11"/>
      <c r="T3140" s="10">
        <f>+E3138</f>
        <v>0</v>
      </c>
      <c r="U3140" s="19" t="str">
        <f>IFERROR(LEFT(K3138,FIND("*",K3138)-1),"-")</f>
        <v>-</v>
      </c>
      <c r="V3140" s="19" t="str">
        <f>IFERROR(RIGHT(K3138,LEN(K3138)-FIND("*",K3138)),"-")</f>
        <v>-</v>
      </c>
      <c r="W3140" s="20" t="str">
        <f t="shared" si="1702"/>
        <v>-</v>
      </c>
      <c r="X3140" s="20" t="str">
        <f>IFERROR(W3140*L3138,"-")</f>
        <v>-</v>
      </c>
      <c r="Z3140" s="85" t="s">
        <v>82</v>
      </c>
    </row>
    <row r="3141" spans="1:26" ht="6.95" customHeight="1" x14ac:dyDescent="0.3">
      <c r="A3141" s="8"/>
      <c r="B3141" s="157"/>
      <c r="C3141" s="158"/>
      <c r="D3141" s="161" t="s">
        <v>39</v>
      </c>
      <c r="E3141" s="162"/>
      <c r="F3141" s="163" t="s">
        <v>40</v>
      </c>
      <c r="G3141" s="164"/>
      <c r="H3141" s="165"/>
      <c r="I3141" s="164"/>
      <c r="J3141" s="165"/>
      <c r="K3141" s="164"/>
      <c r="L3141" s="165"/>
      <c r="M3141" s="6"/>
      <c r="N3141" s="32"/>
      <c r="Q3141" s="10" t="str">
        <f>+CONCATENATE(E3141,G3141)</f>
        <v/>
      </c>
      <c r="R3141" s="10">
        <f>+H3141</f>
        <v>0</v>
      </c>
      <c r="S3141" s="11"/>
      <c r="T3141" s="10">
        <f>+E3141</f>
        <v>0</v>
      </c>
      <c r="U3141" s="19" t="str">
        <f t="shared" ref="U3141" si="1705">IFERROR(LEFT(G3141,FIND("*",G3141)-1),"-")</f>
        <v>-</v>
      </c>
      <c r="V3141" s="19" t="str">
        <f t="shared" ref="V3141" si="1706">IFERROR(RIGHT(G3141,LEN(G3141)-FIND("*",G3141)),"-")</f>
        <v>-</v>
      </c>
      <c r="W3141" s="20" t="str">
        <f t="shared" si="1702"/>
        <v>-</v>
      </c>
      <c r="X3141" s="20" t="str">
        <f>IFERROR(W3141*H3141,"-")</f>
        <v>-</v>
      </c>
      <c r="Z3141" s="85" t="s">
        <v>82</v>
      </c>
    </row>
    <row r="3142" spans="1:26" ht="6.95" customHeight="1" x14ac:dyDescent="0.3">
      <c r="A3142" s="5"/>
      <c r="B3142" s="157"/>
      <c r="C3142" s="158"/>
      <c r="D3142" s="161"/>
      <c r="E3142" s="162"/>
      <c r="F3142" s="163"/>
      <c r="G3142" s="164"/>
      <c r="H3142" s="165"/>
      <c r="I3142" s="164"/>
      <c r="J3142" s="165"/>
      <c r="K3142" s="164"/>
      <c r="L3142" s="165"/>
      <c r="M3142" s="6"/>
      <c r="N3142" s="32"/>
      <c r="Q3142" s="10" t="str">
        <f>+CONCATENATE(E3141,I3141)</f>
        <v/>
      </c>
      <c r="R3142" s="10">
        <f>+J3141</f>
        <v>0</v>
      </c>
      <c r="S3142" s="11"/>
      <c r="T3142" s="10">
        <f>+E3141</f>
        <v>0</v>
      </c>
      <c r="U3142" s="19" t="str">
        <f>IFERROR(LEFT(I3141,FIND("*",I3141)-1),"-")</f>
        <v>-</v>
      </c>
      <c r="V3142" s="19" t="str">
        <f>IFERROR(RIGHT(I3141,LEN(I3141)-FIND("*",I3141)),"-")</f>
        <v>-</v>
      </c>
      <c r="W3142" s="20" t="str">
        <f t="shared" si="1702"/>
        <v>-</v>
      </c>
      <c r="X3142" s="20" t="str">
        <f t="shared" ref="X3142" si="1707">IFERROR(W3142*J3141,"-")</f>
        <v>-</v>
      </c>
      <c r="Z3142" s="85" t="s">
        <v>82</v>
      </c>
    </row>
    <row r="3143" spans="1:26" ht="6.95" customHeight="1" x14ac:dyDescent="0.3">
      <c r="A3143" s="5"/>
      <c r="B3143" s="157"/>
      <c r="C3143" s="158"/>
      <c r="D3143" s="161"/>
      <c r="E3143" s="162"/>
      <c r="F3143" s="163"/>
      <c r="G3143" s="164"/>
      <c r="H3143" s="165"/>
      <c r="I3143" s="164"/>
      <c r="J3143" s="165"/>
      <c r="K3143" s="164"/>
      <c r="L3143" s="165"/>
      <c r="M3143" s="6"/>
      <c r="N3143" s="32"/>
      <c r="Q3143" s="10" t="str">
        <f>+CONCATENATE(E3141,K3141)</f>
        <v/>
      </c>
      <c r="R3143" s="10">
        <f>+L3141</f>
        <v>0</v>
      </c>
      <c r="S3143" s="11"/>
      <c r="T3143" s="10">
        <f>+E3141</f>
        <v>0</v>
      </c>
      <c r="U3143" s="19" t="str">
        <f>IFERROR(LEFT(K3141,FIND("*",K3141)-1),"-")</f>
        <v>-</v>
      </c>
      <c r="V3143" s="19" t="str">
        <f>IFERROR(RIGHT(K3141,LEN(K3141)-FIND("*",K3141)),"-")</f>
        <v>-</v>
      </c>
      <c r="W3143" s="20" t="str">
        <f t="shared" si="1702"/>
        <v>-</v>
      </c>
      <c r="X3143" s="20" t="str">
        <f>IFERROR(W3143*L3141,"-")</f>
        <v>-</v>
      </c>
      <c r="Z3143" s="85" t="s">
        <v>82</v>
      </c>
    </row>
    <row r="3144" spans="1:26" ht="21" customHeight="1" thickBot="1" x14ac:dyDescent="0.35">
      <c r="A3144" s="5"/>
      <c r="B3144" s="159"/>
      <c r="C3144" s="160"/>
      <c r="D3144" s="166" t="s">
        <v>43</v>
      </c>
      <c r="E3144" s="167"/>
      <c r="F3144" s="167"/>
      <c r="G3144" s="168"/>
      <c r="H3144" s="168"/>
      <c r="I3144" s="168"/>
      <c r="J3144" s="168"/>
      <c r="K3144" s="168"/>
      <c r="L3144" s="168"/>
      <c r="M3144" s="7"/>
      <c r="N3144" s="32"/>
      <c r="Z3144" s="86" t="s">
        <v>81</v>
      </c>
    </row>
    <row r="3145" spans="1:26" ht="9.9499999999999993" customHeight="1" thickBot="1" x14ac:dyDescent="0.35">
      <c r="B3145" s="9"/>
      <c r="C3145" s="109"/>
      <c r="D3145" s="51"/>
      <c r="E3145" s="12"/>
      <c r="F3145" s="51"/>
      <c r="G3145" s="14"/>
      <c r="H3145" s="14"/>
      <c r="I3145" s="14"/>
      <c r="J3145" s="14"/>
      <c r="K3145" s="14"/>
      <c r="L3145" s="14"/>
      <c r="M3145" s="9"/>
      <c r="N3145" s="32"/>
      <c r="U3145" s="18"/>
      <c r="V3145" s="18"/>
      <c r="Z3145" s="85" t="s">
        <v>82</v>
      </c>
    </row>
    <row r="3146" spans="1:26" ht="6.95" customHeight="1" x14ac:dyDescent="0.3">
      <c r="A3146" s="154">
        <f>+A3135+1</f>
        <v>1085</v>
      </c>
      <c r="B3146" s="155"/>
      <c r="C3146" s="156"/>
      <c r="D3146" s="161" t="s">
        <v>39</v>
      </c>
      <c r="E3146" s="162"/>
      <c r="F3146" s="163" t="s">
        <v>40</v>
      </c>
      <c r="G3146" s="164"/>
      <c r="H3146" s="165"/>
      <c r="I3146" s="164"/>
      <c r="J3146" s="165"/>
      <c r="K3146" s="164"/>
      <c r="L3146" s="165"/>
      <c r="M3146" s="6"/>
      <c r="N3146" s="32"/>
      <c r="Q3146" s="10" t="str">
        <f>+CONCATENATE(E3146,G3146)</f>
        <v/>
      </c>
      <c r="R3146" s="10">
        <f>+H3146</f>
        <v>0</v>
      </c>
      <c r="S3146" s="11"/>
      <c r="T3146" s="10">
        <f>+E3146</f>
        <v>0</v>
      </c>
      <c r="U3146" s="19" t="str">
        <f>IFERROR(LEFT(G3146,FIND("*",G3146)-1),"-")</f>
        <v>-</v>
      </c>
      <c r="V3146" s="19" t="str">
        <f>IFERROR(RIGHT(G3146,LEN(G3146)-FIND("*",G3146)),"-")</f>
        <v>-</v>
      </c>
      <c r="W3146" s="20" t="str">
        <f>IFERROR((U3146+V3146)*2/1000,"-")</f>
        <v>-</v>
      </c>
      <c r="X3146" s="20" t="str">
        <f>IFERROR(W3146*H3146,"-")</f>
        <v>-</v>
      </c>
      <c r="Z3146" s="85" t="s">
        <v>82</v>
      </c>
    </row>
    <row r="3147" spans="1:26" ht="6.95" customHeight="1" x14ac:dyDescent="0.3">
      <c r="A3147" s="154"/>
      <c r="B3147" s="157"/>
      <c r="C3147" s="158"/>
      <c r="D3147" s="161"/>
      <c r="E3147" s="162"/>
      <c r="F3147" s="163"/>
      <c r="G3147" s="164"/>
      <c r="H3147" s="165"/>
      <c r="I3147" s="164"/>
      <c r="J3147" s="165"/>
      <c r="K3147" s="164"/>
      <c r="L3147" s="165"/>
      <c r="M3147" s="6"/>
      <c r="N3147" s="32"/>
      <c r="Q3147" s="10" t="str">
        <f>+CONCATENATE(E3146,I3146)</f>
        <v/>
      </c>
      <c r="R3147" s="10">
        <f>+J3146</f>
        <v>0</v>
      </c>
      <c r="S3147" s="11"/>
      <c r="T3147" s="10">
        <f>+E3146</f>
        <v>0</v>
      </c>
      <c r="U3147" s="19" t="str">
        <f>IFERROR(LEFT(I3146,FIND("*",I3146)-1),"-")</f>
        <v>-</v>
      </c>
      <c r="V3147" s="19" t="str">
        <f>IFERROR(RIGHT(I3146,LEN(I3146)-FIND("*",I3146)),"-")</f>
        <v>-</v>
      </c>
      <c r="W3147" s="20" t="str">
        <f t="shared" ref="W3147:W3154" si="1708">IFERROR((U3147+V3147)*2/1000,"-")</f>
        <v>-</v>
      </c>
      <c r="X3147" s="20" t="str">
        <f>IFERROR(W3147*J3146,"-")</f>
        <v>-</v>
      </c>
      <c r="Z3147" s="85" t="s">
        <v>82</v>
      </c>
    </row>
    <row r="3148" spans="1:26" ht="6.95" customHeight="1" x14ac:dyDescent="0.3">
      <c r="A3148" s="154"/>
      <c r="B3148" s="157"/>
      <c r="C3148" s="158"/>
      <c r="D3148" s="161"/>
      <c r="E3148" s="162"/>
      <c r="F3148" s="163"/>
      <c r="G3148" s="164"/>
      <c r="H3148" s="165"/>
      <c r="I3148" s="164"/>
      <c r="J3148" s="165"/>
      <c r="K3148" s="164"/>
      <c r="L3148" s="165"/>
      <c r="M3148" s="6"/>
      <c r="N3148" s="32"/>
      <c r="Q3148" s="10" t="str">
        <f>+CONCATENATE(E3146,K3146)</f>
        <v/>
      </c>
      <c r="R3148" s="10">
        <f>+L3146</f>
        <v>0</v>
      </c>
      <c r="S3148" s="11"/>
      <c r="T3148" s="10">
        <f>+E3146</f>
        <v>0</v>
      </c>
      <c r="U3148" s="19" t="str">
        <f>IFERROR(LEFT(K3146,FIND("*",K3146)-1),"-")</f>
        <v>-</v>
      </c>
      <c r="V3148" s="19" t="str">
        <f>IFERROR(RIGHT(K3146,LEN(K3146)-FIND("*",K3146)),"-")</f>
        <v>-</v>
      </c>
      <c r="W3148" s="20" t="str">
        <f t="shared" si="1708"/>
        <v>-</v>
      </c>
      <c r="X3148" s="20" t="str">
        <f>IFERROR(W3148*L3146,"-")</f>
        <v>-</v>
      </c>
      <c r="Z3148" s="85" t="s">
        <v>82</v>
      </c>
    </row>
    <row r="3149" spans="1:26" ht="6.95" customHeight="1" x14ac:dyDescent="0.3">
      <c r="A3149" s="8"/>
      <c r="B3149" s="157"/>
      <c r="C3149" s="158"/>
      <c r="D3149" s="161" t="s">
        <v>39</v>
      </c>
      <c r="E3149" s="162"/>
      <c r="F3149" s="163" t="s">
        <v>40</v>
      </c>
      <c r="G3149" s="164"/>
      <c r="H3149" s="165"/>
      <c r="I3149" s="164"/>
      <c r="J3149" s="165"/>
      <c r="K3149" s="164"/>
      <c r="L3149" s="165"/>
      <c r="M3149" s="6"/>
      <c r="N3149" s="32"/>
      <c r="Q3149" s="10" t="str">
        <f>+CONCATENATE(E3149,G3149)</f>
        <v/>
      </c>
      <c r="R3149" s="10">
        <f>+H3149</f>
        <v>0</v>
      </c>
      <c r="S3149" s="11"/>
      <c r="T3149" s="10">
        <f>+E3149</f>
        <v>0</v>
      </c>
      <c r="U3149" s="19" t="str">
        <f t="shared" ref="U3149" si="1709">IFERROR(LEFT(G3149,FIND("*",G3149)-1),"-")</f>
        <v>-</v>
      </c>
      <c r="V3149" s="19" t="str">
        <f t="shared" ref="V3149" si="1710">IFERROR(RIGHT(G3149,LEN(G3149)-FIND("*",G3149)),"-")</f>
        <v>-</v>
      </c>
      <c r="W3149" s="20" t="str">
        <f t="shared" si="1708"/>
        <v>-</v>
      </c>
      <c r="X3149" s="20" t="str">
        <f>IFERROR(W3149*H3149,"-")</f>
        <v>-</v>
      </c>
      <c r="Z3149" s="85" t="s">
        <v>82</v>
      </c>
    </row>
    <row r="3150" spans="1:26" ht="6.95" customHeight="1" x14ac:dyDescent="0.3">
      <c r="A3150" s="5"/>
      <c r="B3150" s="157"/>
      <c r="C3150" s="158"/>
      <c r="D3150" s="161"/>
      <c r="E3150" s="162"/>
      <c r="F3150" s="163"/>
      <c r="G3150" s="164"/>
      <c r="H3150" s="165"/>
      <c r="I3150" s="164"/>
      <c r="J3150" s="165"/>
      <c r="K3150" s="164"/>
      <c r="L3150" s="165"/>
      <c r="M3150" s="6"/>
      <c r="N3150" s="32"/>
      <c r="Q3150" s="10" t="str">
        <f>+CONCATENATE(E3149,I3149)</f>
        <v/>
      </c>
      <c r="R3150" s="10">
        <f>+J3149</f>
        <v>0</v>
      </c>
      <c r="S3150" s="11"/>
      <c r="T3150" s="10">
        <f>+E3149</f>
        <v>0</v>
      </c>
      <c r="U3150" s="19" t="str">
        <f>IFERROR(LEFT(I3149,FIND("*",I3149)-1),"-")</f>
        <v>-</v>
      </c>
      <c r="V3150" s="19" t="str">
        <f>IFERROR(RIGHT(I3149,LEN(I3149)-FIND("*",I3149)),"-")</f>
        <v>-</v>
      </c>
      <c r="W3150" s="20" t="str">
        <f t="shared" si="1708"/>
        <v>-</v>
      </c>
      <c r="X3150" s="20" t="str">
        <f>IFERROR(W3150*J3149,"-")</f>
        <v>-</v>
      </c>
      <c r="Z3150" s="85" t="s">
        <v>82</v>
      </c>
    </row>
    <row r="3151" spans="1:26" ht="6.95" customHeight="1" x14ac:dyDescent="0.3">
      <c r="A3151" s="5"/>
      <c r="B3151" s="157"/>
      <c r="C3151" s="158"/>
      <c r="D3151" s="161"/>
      <c r="E3151" s="162"/>
      <c r="F3151" s="163"/>
      <c r="G3151" s="164"/>
      <c r="H3151" s="165"/>
      <c r="I3151" s="164"/>
      <c r="J3151" s="165"/>
      <c r="K3151" s="164"/>
      <c r="L3151" s="165"/>
      <c r="M3151" s="6"/>
      <c r="N3151" s="32"/>
      <c r="Q3151" s="10" t="str">
        <f>+CONCATENATE(E3149,K3149)</f>
        <v/>
      </c>
      <c r="R3151" s="10">
        <f>+L3149</f>
        <v>0</v>
      </c>
      <c r="S3151" s="11"/>
      <c r="T3151" s="10">
        <f>+E3149</f>
        <v>0</v>
      </c>
      <c r="U3151" s="19" t="str">
        <f>IFERROR(LEFT(K3149,FIND("*",K3149)-1),"-")</f>
        <v>-</v>
      </c>
      <c r="V3151" s="19" t="str">
        <f>IFERROR(RIGHT(K3149,LEN(K3149)-FIND("*",K3149)),"-")</f>
        <v>-</v>
      </c>
      <c r="W3151" s="20" t="str">
        <f t="shared" si="1708"/>
        <v>-</v>
      </c>
      <c r="X3151" s="20" t="str">
        <f>IFERROR(W3151*L3149,"-")</f>
        <v>-</v>
      </c>
      <c r="Z3151" s="85" t="s">
        <v>82</v>
      </c>
    </row>
    <row r="3152" spans="1:26" ht="6.95" customHeight="1" x14ac:dyDescent="0.3">
      <c r="A3152" s="8"/>
      <c r="B3152" s="157"/>
      <c r="C3152" s="158"/>
      <c r="D3152" s="161" t="s">
        <v>39</v>
      </c>
      <c r="E3152" s="162"/>
      <c r="F3152" s="163" t="s">
        <v>40</v>
      </c>
      <c r="G3152" s="164"/>
      <c r="H3152" s="165"/>
      <c r="I3152" s="164"/>
      <c r="J3152" s="165"/>
      <c r="K3152" s="164"/>
      <c r="L3152" s="165"/>
      <c r="M3152" s="6"/>
      <c r="N3152" s="32"/>
      <c r="Q3152" s="10" t="str">
        <f>+CONCATENATE(E3152,G3152)</f>
        <v/>
      </c>
      <c r="R3152" s="10">
        <f>+H3152</f>
        <v>0</v>
      </c>
      <c r="S3152" s="11"/>
      <c r="T3152" s="10">
        <f>+E3152</f>
        <v>0</v>
      </c>
      <c r="U3152" s="19" t="str">
        <f t="shared" ref="U3152" si="1711">IFERROR(LEFT(G3152,FIND("*",G3152)-1),"-")</f>
        <v>-</v>
      </c>
      <c r="V3152" s="19" t="str">
        <f t="shared" ref="V3152" si="1712">IFERROR(RIGHT(G3152,LEN(G3152)-FIND("*",G3152)),"-")</f>
        <v>-</v>
      </c>
      <c r="W3152" s="20" t="str">
        <f t="shared" si="1708"/>
        <v>-</v>
      </c>
      <c r="X3152" s="20" t="str">
        <f>IFERROR(W3152*H3152,"-")</f>
        <v>-</v>
      </c>
      <c r="Z3152" s="85" t="s">
        <v>82</v>
      </c>
    </row>
    <row r="3153" spans="1:26" ht="6.95" customHeight="1" x14ac:dyDescent="0.3">
      <c r="A3153" s="5"/>
      <c r="B3153" s="157"/>
      <c r="C3153" s="158"/>
      <c r="D3153" s="161"/>
      <c r="E3153" s="162"/>
      <c r="F3153" s="163"/>
      <c r="G3153" s="164"/>
      <c r="H3153" s="165"/>
      <c r="I3153" s="164"/>
      <c r="J3153" s="165"/>
      <c r="K3153" s="164"/>
      <c r="L3153" s="165"/>
      <c r="M3153" s="6"/>
      <c r="N3153" s="32"/>
      <c r="Q3153" s="10" t="str">
        <f>+CONCATENATE(E3152,I3152)</f>
        <v/>
      </c>
      <c r="R3153" s="10">
        <f>+J3152</f>
        <v>0</v>
      </c>
      <c r="S3153" s="11"/>
      <c r="T3153" s="10">
        <f>+E3152</f>
        <v>0</v>
      </c>
      <c r="U3153" s="19" t="str">
        <f>IFERROR(LEFT(I3152,FIND("*",I3152)-1),"-")</f>
        <v>-</v>
      </c>
      <c r="V3153" s="19" t="str">
        <f>IFERROR(RIGHT(I3152,LEN(I3152)-FIND("*",I3152)),"-")</f>
        <v>-</v>
      </c>
      <c r="W3153" s="20" t="str">
        <f t="shared" si="1708"/>
        <v>-</v>
      </c>
      <c r="X3153" s="20" t="str">
        <f t="shared" ref="X3153" si="1713">IFERROR(W3153*J3152,"-")</f>
        <v>-</v>
      </c>
      <c r="Z3153" s="85" t="s">
        <v>82</v>
      </c>
    </row>
    <row r="3154" spans="1:26" ht="6.95" customHeight="1" x14ac:dyDescent="0.3">
      <c r="A3154" s="5"/>
      <c r="B3154" s="157"/>
      <c r="C3154" s="158"/>
      <c r="D3154" s="161"/>
      <c r="E3154" s="162"/>
      <c r="F3154" s="163"/>
      <c r="G3154" s="164"/>
      <c r="H3154" s="165"/>
      <c r="I3154" s="164"/>
      <c r="J3154" s="165"/>
      <c r="K3154" s="164"/>
      <c r="L3154" s="165"/>
      <c r="M3154" s="6"/>
      <c r="N3154" s="32"/>
      <c r="Q3154" s="10" t="str">
        <f>+CONCATENATE(E3152,K3152)</f>
        <v/>
      </c>
      <c r="R3154" s="10">
        <f>+L3152</f>
        <v>0</v>
      </c>
      <c r="S3154" s="11"/>
      <c r="T3154" s="10">
        <f>+E3152</f>
        <v>0</v>
      </c>
      <c r="U3154" s="19" t="str">
        <f>IFERROR(LEFT(K3152,FIND("*",K3152)-1),"-")</f>
        <v>-</v>
      </c>
      <c r="V3154" s="19" t="str">
        <f>IFERROR(RIGHT(K3152,LEN(K3152)-FIND("*",K3152)),"-")</f>
        <v>-</v>
      </c>
      <c r="W3154" s="20" t="str">
        <f t="shared" si="1708"/>
        <v>-</v>
      </c>
      <c r="X3154" s="20" t="str">
        <f>IFERROR(W3154*L3152,"-")</f>
        <v>-</v>
      </c>
      <c r="Z3154" s="85" t="s">
        <v>82</v>
      </c>
    </row>
    <row r="3155" spans="1:26" ht="21" customHeight="1" thickBot="1" x14ac:dyDescent="0.35">
      <c r="A3155" s="5"/>
      <c r="B3155" s="159"/>
      <c r="C3155" s="160"/>
      <c r="D3155" s="166" t="s">
        <v>43</v>
      </c>
      <c r="E3155" s="167"/>
      <c r="F3155" s="167"/>
      <c r="G3155" s="168"/>
      <c r="H3155" s="168"/>
      <c r="I3155" s="168"/>
      <c r="J3155" s="168"/>
      <c r="K3155" s="168"/>
      <c r="L3155" s="168"/>
      <c r="M3155" s="7"/>
      <c r="N3155" s="32"/>
      <c r="Z3155" s="86" t="s">
        <v>81</v>
      </c>
    </row>
    <row r="3156" spans="1:26" ht="9.9499999999999993" customHeight="1" thickBot="1" x14ac:dyDescent="0.35">
      <c r="B3156" s="9"/>
      <c r="C3156" s="109"/>
      <c r="D3156" s="51"/>
      <c r="E3156" s="12"/>
      <c r="F3156" s="51"/>
      <c r="G3156" s="14"/>
      <c r="H3156" s="14"/>
      <c r="I3156" s="14"/>
      <c r="J3156" s="14"/>
      <c r="K3156" s="14"/>
      <c r="L3156" s="14"/>
      <c r="M3156" s="9"/>
      <c r="N3156" s="32"/>
      <c r="U3156" s="18"/>
      <c r="V3156" s="18"/>
      <c r="Z3156" s="85" t="s">
        <v>82</v>
      </c>
    </row>
    <row r="3157" spans="1:26" ht="6.95" customHeight="1" x14ac:dyDescent="0.3">
      <c r="A3157" s="154">
        <f>+A3146+1</f>
        <v>1086</v>
      </c>
      <c r="B3157" s="155"/>
      <c r="C3157" s="156"/>
      <c r="D3157" s="161" t="s">
        <v>39</v>
      </c>
      <c r="E3157" s="162"/>
      <c r="F3157" s="163" t="s">
        <v>40</v>
      </c>
      <c r="G3157" s="164"/>
      <c r="H3157" s="165"/>
      <c r="I3157" s="164"/>
      <c r="J3157" s="165"/>
      <c r="K3157" s="164"/>
      <c r="L3157" s="165"/>
      <c r="M3157" s="6"/>
      <c r="N3157" s="32"/>
      <c r="Q3157" s="10" t="str">
        <f>+CONCATENATE(E3157,G3157)</f>
        <v/>
      </c>
      <c r="R3157" s="10">
        <f>+H3157</f>
        <v>0</v>
      </c>
      <c r="S3157" s="11"/>
      <c r="T3157" s="10">
        <f>+E3157</f>
        <v>0</v>
      </c>
      <c r="U3157" s="19" t="str">
        <f>IFERROR(LEFT(G3157,FIND("*",G3157)-1),"-")</f>
        <v>-</v>
      </c>
      <c r="V3157" s="19" t="str">
        <f>IFERROR(RIGHT(G3157,LEN(G3157)-FIND("*",G3157)),"-")</f>
        <v>-</v>
      </c>
      <c r="W3157" s="20" t="str">
        <f>IFERROR((U3157+V3157)*2/1000,"-")</f>
        <v>-</v>
      </c>
      <c r="X3157" s="20" t="str">
        <f>IFERROR(W3157*H3157,"-")</f>
        <v>-</v>
      </c>
      <c r="Z3157" s="85" t="s">
        <v>82</v>
      </c>
    </row>
    <row r="3158" spans="1:26" ht="6.95" customHeight="1" x14ac:dyDescent="0.3">
      <c r="A3158" s="154"/>
      <c r="B3158" s="157"/>
      <c r="C3158" s="158"/>
      <c r="D3158" s="161"/>
      <c r="E3158" s="162"/>
      <c r="F3158" s="163"/>
      <c r="G3158" s="164"/>
      <c r="H3158" s="165"/>
      <c r="I3158" s="164"/>
      <c r="J3158" s="165"/>
      <c r="K3158" s="164"/>
      <c r="L3158" s="165"/>
      <c r="M3158" s="6"/>
      <c r="N3158" s="32"/>
      <c r="Q3158" s="10" t="str">
        <f>+CONCATENATE(E3157,I3157)</f>
        <v/>
      </c>
      <c r="R3158" s="10">
        <f>+J3157</f>
        <v>0</v>
      </c>
      <c r="S3158" s="11"/>
      <c r="T3158" s="10">
        <f>+E3157</f>
        <v>0</v>
      </c>
      <c r="U3158" s="19" t="str">
        <f>IFERROR(LEFT(I3157,FIND("*",I3157)-1),"-")</f>
        <v>-</v>
      </c>
      <c r="V3158" s="19" t="str">
        <f>IFERROR(RIGHT(I3157,LEN(I3157)-FIND("*",I3157)),"-")</f>
        <v>-</v>
      </c>
      <c r="W3158" s="20" t="str">
        <f t="shared" ref="W3158:W3165" si="1714">IFERROR((U3158+V3158)*2/1000,"-")</f>
        <v>-</v>
      </c>
      <c r="X3158" s="20" t="str">
        <f>IFERROR(W3158*J3157,"-")</f>
        <v>-</v>
      </c>
      <c r="Z3158" s="85" t="s">
        <v>82</v>
      </c>
    </row>
    <row r="3159" spans="1:26" ht="6.95" customHeight="1" x14ac:dyDescent="0.3">
      <c r="A3159" s="154"/>
      <c r="B3159" s="157"/>
      <c r="C3159" s="158"/>
      <c r="D3159" s="161"/>
      <c r="E3159" s="162"/>
      <c r="F3159" s="163"/>
      <c r="G3159" s="164"/>
      <c r="H3159" s="165"/>
      <c r="I3159" s="164"/>
      <c r="J3159" s="165"/>
      <c r="K3159" s="164"/>
      <c r="L3159" s="165"/>
      <c r="M3159" s="6"/>
      <c r="N3159" s="32"/>
      <c r="Q3159" s="10" t="str">
        <f>+CONCATENATE(E3157,K3157)</f>
        <v/>
      </c>
      <c r="R3159" s="10">
        <f>+L3157</f>
        <v>0</v>
      </c>
      <c r="S3159" s="11"/>
      <c r="T3159" s="10">
        <f>+E3157</f>
        <v>0</v>
      </c>
      <c r="U3159" s="19" t="str">
        <f>IFERROR(LEFT(K3157,FIND("*",K3157)-1),"-")</f>
        <v>-</v>
      </c>
      <c r="V3159" s="19" t="str">
        <f>IFERROR(RIGHT(K3157,LEN(K3157)-FIND("*",K3157)),"-")</f>
        <v>-</v>
      </c>
      <c r="W3159" s="20" t="str">
        <f t="shared" si="1714"/>
        <v>-</v>
      </c>
      <c r="X3159" s="20" t="str">
        <f>IFERROR(W3159*L3157,"-")</f>
        <v>-</v>
      </c>
      <c r="Z3159" s="85" t="s">
        <v>82</v>
      </c>
    </row>
    <row r="3160" spans="1:26" ht="6.95" customHeight="1" x14ac:dyDescent="0.3">
      <c r="A3160" s="8"/>
      <c r="B3160" s="157"/>
      <c r="C3160" s="158"/>
      <c r="D3160" s="161" t="s">
        <v>39</v>
      </c>
      <c r="E3160" s="162"/>
      <c r="F3160" s="163" t="s">
        <v>40</v>
      </c>
      <c r="G3160" s="164"/>
      <c r="H3160" s="165"/>
      <c r="I3160" s="164"/>
      <c r="J3160" s="165"/>
      <c r="K3160" s="164"/>
      <c r="L3160" s="165"/>
      <c r="M3160" s="6"/>
      <c r="N3160" s="32"/>
      <c r="Q3160" s="10" t="str">
        <f>+CONCATENATE(E3160,G3160)</f>
        <v/>
      </c>
      <c r="R3160" s="10">
        <f>+H3160</f>
        <v>0</v>
      </c>
      <c r="S3160" s="11"/>
      <c r="T3160" s="10">
        <f>+E3160</f>
        <v>0</v>
      </c>
      <c r="U3160" s="19" t="str">
        <f t="shared" ref="U3160" si="1715">IFERROR(LEFT(G3160,FIND("*",G3160)-1),"-")</f>
        <v>-</v>
      </c>
      <c r="V3160" s="19" t="str">
        <f t="shared" ref="V3160" si="1716">IFERROR(RIGHT(G3160,LEN(G3160)-FIND("*",G3160)),"-")</f>
        <v>-</v>
      </c>
      <c r="W3160" s="20" t="str">
        <f t="shared" si="1714"/>
        <v>-</v>
      </c>
      <c r="X3160" s="20" t="str">
        <f>IFERROR(W3160*H3160,"-")</f>
        <v>-</v>
      </c>
      <c r="Z3160" s="85" t="s">
        <v>82</v>
      </c>
    </row>
    <row r="3161" spans="1:26" ht="6.95" customHeight="1" x14ac:dyDescent="0.3">
      <c r="A3161" s="5"/>
      <c r="B3161" s="157"/>
      <c r="C3161" s="158"/>
      <c r="D3161" s="161"/>
      <c r="E3161" s="162"/>
      <c r="F3161" s="163"/>
      <c r="G3161" s="164"/>
      <c r="H3161" s="165"/>
      <c r="I3161" s="164"/>
      <c r="J3161" s="165"/>
      <c r="K3161" s="164"/>
      <c r="L3161" s="165"/>
      <c r="M3161" s="6"/>
      <c r="N3161" s="32"/>
      <c r="Q3161" s="10" t="str">
        <f>+CONCATENATE(E3160,I3160)</f>
        <v/>
      </c>
      <c r="R3161" s="10">
        <f>+J3160</f>
        <v>0</v>
      </c>
      <c r="S3161" s="11"/>
      <c r="T3161" s="10">
        <f>+E3160</f>
        <v>0</v>
      </c>
      <c r="U3161" s="19" t="str">
        <f>IFERROR(LEFT(I3160,FIND("*",I3160)-1),"-")</f>
        <v>-</v>
      </c>
      <c r="V3161" s="19" t="str">
        <f>IFERROR(RIGHT(I3160,LEN(I3160)-FIND("*",I3160)),"-")</f>
        <v>-</v>
      </c>
      <c r="W3161" s="20" t="str">
        <f t="shared" si="1714"/>
        <v>-</v>
      </c>
      <c r="X3161" s="20" t="str">
        <f>IFERROR(W3161*J3160,"-")</f>
        <v>-</v>
      </c>
      <c r="Z3161" s="85" t="s">
        <v>82</v>
      </c>
    </row>
    <row r="3162" spans="1:26" ht="6.95" customHeight="1" x14ac:dyDescent="0.3">
      <c r="A3162" s="5"/>
      <c r="B3162" s="157"/>
      <c r="C3162" s="158"/>
      <c r="D3162" s="161"/>
      <c r="E3162" s="162"/>
      <c r="F3162" s="163"/>
      <c r="G3162" s="164"/>
      <c r="H3162" s="165"/>
      <c r="I3162" s="164"/>
      <c r="J3162" s="165"/>
      <c r="K3162" s="164"/>
      <c r="L3162" s="165"/>
      <c r="M3162" s="6"/>
      <c r="N3162" s="32"/>
      <c r="Q3162" s="10" t="str">
        <f>+CONCATENATE(E3160,K3160)</f>
        <v/>
      </c>
      <c r="R3162" s="10">
        <f>+L3160</f>
        <v>0</v>
      </c>
      <c r="S3162" s="11"/>
      <c r="T3162" s="10">
        <f>+E3160</f>
        <v>0</v>
      </c>
      <c r="U3162" s="19" t="str">
        <f>IFERROR(LEFT(K3160,FIND("*",K3160)-1),"-")</f>
        <v>-</v>
      </c>
      <c r="V3162" s="19" t="str">
        <f>IFERROR(RIGHT(K3160,LEN(K3160)-FIND("*",K3160)),"-")</f>
        <v>-</v>
      </c>
      <c r="W3162" s="20" t="str">
        <f t="shared" si="1714"/>
        <v>-</v>
      </c>
      <c r="X3162" s="20" t="str">
        <f>IFERROR(W3162*L3160,"-")</f>
        <v>-</v>
      </c>
      <c r="Z3162" s="85" t="s">
        <v>82</v>
      </c>
    </row>
    <row r="3163" spans="1:26" ht="6.95" customHeight="1" x14ac:dyDescent="0.3">
      <c r="A3163" s="8"/>
      <c r="B3163" s="157"/>
      <c r="C3163" s="158"/>
      <c r="D3163" s="161" t="s">
        <v>39</v>
      </c>
      <c r="E3163" s="162"/>
      <c r="F3163" s="163" t="s">
        <v>40</v>
      </c>
      <c r="G3163" s="164"/>
      <c r="H3163" s="165"/>
      <c r="I3163" s="164"/>
      <c r="J3163" s="165"/>
      <c r="K3163" s="164"/>
      <c r="L3163" s="165"/>
      <c r="M3163" s="6"/>
      <c r="N3163" s="32"/>
      <c r="Q3163" s="10" t="str">
        <f>+CONCATENATE(E3163,G3163)</f>
        <v/>
      </c>
      <c r="R3163" s="10">
        <f>+H3163</f>
        <v>0</v>
      </c>
      <c r="S3163" s="11"/>
      <c r="T3163" s="10">
        <f>+E3163</f>
        <v>0</v>
      </c>
      <c r="U3163" s="19" t="str">
        <f t="shared" ref="U3163" si="1717">IFERROR(LEFT(G3163,FIND("*",G3163)-1),"-")</f>
        <v>-</v>
      </c>
      <c r="V3163" s="19" t="str">
        <f t="shared" ref="V3163" si="1718">IFERROR(RIGHT(G3163,LEN(G3163)-FIND("*",G3163)),"-")</f>
        <v>-</v>
      </c>
      <c r="W3163" s="20" t="str">
        <f t="shared" si="1714"/>
        <v>-</v>
      </c>
      <c r="X3163" s="20" t="str">
        <f>IFERROR(W3163*H3163,"-")</f>
        <v>-</v>
      </c>
      <c r="Z3163" s="85" t="s">
        <v>82</v>
      </c>
    </row>
    <row r="3164" spans="1:26" ht="6.95" customHeight="1" x14ac:dyDescent="0.3">
      <c r="A3164" s="5"/>
      <c r="B3164" s="157"/>
      <c r="C3164" s="158"/>
      <c r="D3164" s="161"/>
      <c r="E3164" s="162"/>
      <c r="F3164" s="163"/>
      <c r="G3164" s="164"/>
      <c r="H3164" s="165"/>
      <c r="I3164" s="164"/>
      <c r="J3164" s="165"/>
      <c r="K3164" s="164"/>
      <c r="L3164" s="165"/>
      <c r="M3164" s="6"/>
      <c r="N3164" s="32"/>
      <c r="Q3164" s="10" t="str">
        <f>+CONCATENATE(E3163,I3163)</f>
        <v/>
      </c>
      <c r="R3164" s="10">
        <f>+J3163</f>
        <v>0</v>
      </c>
      <c r="S3164" s="11"/>
      <c r="T3164" s="10">
        <f>+E3163</f>
        <v>0</v>
      </c>
      <c r="U3164" s="19" t="str">
        <f>IFERROR(LEFT(I3163,FIND("*",I3163)-1),"-")</f>
        <v>-</v>
      </c>
      <c r="V3164" s="19" t="str">
        <f>IFERROR(RIGHT(I3163,LEN(I3163)-FIND("*",I3163)),"-")</f>
        <v>-</v>
      </c>
      <c r="W3164" s="20" t="str">
        <f t="shared" si="1714"/>
        <v>-</v>
      </c>
      <c r="X3164" s="20" t="str">
        <f t="shared" ref="X3164" si="1719">IFERROR(W3164*J3163,"-")</f>
        <v>-</v>
      </c>
      <c r="Z3164" s="85" t="s">
        <v>82</v>
      </c>
    </row>
    <row r="3165" spans="1:26" ht="6.95" customHeight="1" x14ac:dyDescent="0.3">
      <c r="A3165" s="5"/>
      <c r="B3165" s="157"/>
      <c r="C3165" s="158"/>
      <c r="D3165" s="161"/>
      <c r="E3165" s="162"/>
      <c r="F3165" s="163"/>
      <c r="G3165" s="164"/>
      <c r="H3165" s="165"/>
      <c r="I3165" s="164"/>
      <c r="J3165" s="165"/>
      <c r="K3165" s="164"/>
      <c r="L3165" s="165"/>
      <c r="M3165" s="6"/>
      <c r="N3165" s="32"/>
      <c r="Q3165" s="10" t="str">
        <f>+CONCATENATE(E3163,K3163)</f>
        <v/>
      </c>
      <c r="R3165" s="10">
        <f>+L3163</f>
        <v>0</v>
      </c>
      <c r="S3165" s="11"/>
      <c r="T3165" s="10">
        <f>+E3163</f>
        <v>0</v>
      </c>
      <c r="U3165" s="19" t="str">
        <f>IFERROR(LEFT(K3163,FIND("*",K3163)-1),"-")</f>
        <v>-</v>
      </c>
      <c r="V3165" s="19" t="str">
        <f>IFERROR(RIGHT(K3163,LEN(K3163)-FIND("*",K3163)),"-")</f>
        <v>-</v>
      </c>
      <c r="W3165" s="20" t="str">
        <f t="shared" si="1714"/>
        <v>-</v>
      </c>
      <c r="X3165" s="20" t="str">
        <f>IFERROR(W3165*L3163,"-")</f>
        <v>-</v>
      </c>
      <c r="Z3165" s="85" t="s">
        <v>82</v>
      </c>
    </row>
    <row r="3166" spans="1:26" ht="21" customHeight="1" thickBot="1" x14ac:dyDescent="0.35">
      <c r="A3166" s="5"/>
      <c r="B3166" s="159"/>
      <c r="C3166" s="160"/>
      <c r="D3166" s="166" t="s">
        <v>43</v>
      </c>
      <c r="E3166" s="167"/>
      <c r="F3166" s="167"/>
      <c r="G3166" s="168"/>
      <c r="H3166" s="168"/>
      <c r="I3166" s="168"/>
      <c r="J3166" s="168"/>
      <c r="K3166" s="168"/>
      <c r="L3166" s="168"/>
      <c r="M3166" s="7"/>
      <c r="N3166" s="32"/>
      <c r="Z3166" s="86" t="s">
        <v>81</v>
      </c>
    </row>
    <row r="3167" spans="1:26" ht="9.9499999999999993" customHeight="1" thickBot="1" x14ac:dyDescent="0.35">
      <c r="B3167" s="9"/>
      <c r="C3167" s="109"/>
      <c r="D3167" s="51"/>
      <c r="E3167" s="12"/>
      <c r="F3167" s="51"/>
      <c r="G3167" s="14"/>
      <c r="H3167" s="14"/>
      <c r="I3167" s="14"/>
      <c r="J3167" s="14"/>
      <c r="K3167" s="14"/>
      <c r="L3167" s="14"/>
      <c r="M3167" s="9"/>
      <c r="N3167" s="32"/>
      <c r="U3167" s="18"/>
      <c r="V3167" s="18"/>
      <c r="Z3167" s="85" t="s">
        <v>82</v>
      </c>
    </row>
    <row r="3168" spans="1:26" ht="6.95" customHeight="1" x14ac:dyDescent="0.3">
      <c r="A3168" s="154">
        <f>+A3157+1</f>
        <v>1087</v>
      </c>
      <c r="B3168" s="155"/>
      <c r="C3168" s="156"/>
      <c r="D3168" s="161" t="s">
        <v>39</v>
      </c>
      <c r="E3168" s="162"/>
      <c r="F3168" s="163" t="s">
        <v>40</v>
      </c>
      <c r="G3168" s="164"/>
      <c r="H3168" s="165"/>
      <c r="I3168" s="164"/>
      <c r="J3168" s="165"/>
      <c r="K3168" s="164"/>
      <c r="L3168" s="165"/>
      <c r="M3168" s="6"/>
      <c r="N3168" s="32"/>
      <c r="Q3168" s="10" t="str">
        <f>+CONCATENATE(E3168,G3168)</f>
        <v/>
      </c>
      <c r="R3168" s="10">
        <f>+H3168</f>
        <v>0</v>
      </c>
      <c r="S3168" s="11"/>
      <c r="T3168" s="10">
        <f>+E3168</f>
        <v>0</v>
      </c>
      <c r="U3168" s="19" t="str">
        <f>IFERROR(LEFT(G3168,FIND("*",G3168)-1),"-")</f>
        <v>-</v>
      </c>
      <c r="V3168" s="19" t="str">
        <f>IFERROR(RIGHT(G3168,LEN(G3168)-FIND("*",G3168)),"-")</f>
        <v>-</v>
      </c>
      <c r="W3168" s="20" t="str">
        <f>IFERROR((U3168+V3168)*2/1000,"-")</f>
        <v>-</v>
      </c>
      <c r="X3168" s="20" t="str">
        <f>IFERROR(W3168*H3168,"-")</f>
        <v>-</v>
      </c>
      <c r="Z3168" s="85" t="s">
        <v>82</v>
      </c>
    </row>
    <row r="3169" spans="1:26" ht="6.95" customHeight="1" x14ac:dyDescent="0.3">
      <c r="A3169" s="154"/>
      <c r="B3169" s="157"/>
      <c r="C3169" s="158"/>
      <c r="D3169" s="161"/>
      <c r="E3169" s="162"/>
      <c r="F3169" s="163"/>
      <c r="G3169" s="164"/>
      <c r="H3169" s="165"/>
      <c r="I3169" s="164"/>
      <c r="J3169" s="165"/>
      <c r="K3169" s="164"/>
      <c r="L3169" s="165"/>
      <c r="M3169" s="6"/>
      <c r="N3169" s="32"/>
      <c r="Q3169" s="10" t="str">
        <f>+CONCATENATE(E3168,I3168)</f>
        <v/>
      </c>
      <c r="R3169" s="10">
        <f>+J3168</f>
        <v>0</v>
      </c>
      <c r="S3169" s="11"/>
      <c r="T3169" s="10">
        <f>+E3168</f>
        <v>0</v>
      </c>
      <c r="U3169" s="19" t="str">
        <f>IFERROR(LEFT(I3168,FIND("*",I3168)-1),"-")</f>
        <v>-</v>
      </c>
      <c r="V3169" s="19" t="str">
        <f>IFERROR(RIGHT(I3168,LEN(I3168)-FIND("*",I3168)),"-")</f>
        <v>-</v>
      </c>
      <c r="W3169" s="20" t="str">
        <f t="shared" ref="W3169:W3176" si="1720">IFERROR((U3169+V3169)*2/1000,"-")</f>
        <v>-</v>
      </c>
      <c r="X3169" s="20" t="str">
        <f>IFERROR(W3169*J3168,"-")</f>
        <v>-</v>
      </c>
      <c r="Z3169" s="85" t="s">
        <v>82</v>
      </c>
    </row>
    <row r="3170" spans="1:26" ht="6.95" customHeight="1" x14ac:dyDescent="0.3">
      <c r="A3170" s="154"/>
      <c r="B3170" s="157"/>
      <c r="C3170" s="158"/>
      <c r="D3170" s="161"/>
      <c r="E3170" s="162"/>
      <c r="F3170" s="163"/>
      <c r="G3170" s="164"/>
      <c r="H3170" s="165"/>
      <c r="I3170" s="164"/>
      <c r="J3170" s="165"/>
      <c r="K3170" s="164"/>
      <c r="L3170" s="165"/>
      <c r="M3170" s="6"/>
      <c r="N3170" s="32"/>
      <c r="Q3170" s="10" t="str">
        <f>+CONCATENATE(E3168,K3168)</f>
        <v/>
      </c>
      <c r="R3170" s="10">
        <f>+L3168</f>
        <v>0</v>
      </c>
      <c r="S3170" s="11"/>
      <c r="T3170" s="10">
        <f>+E3168</f>
        <v>0</v>
      </c>
      <c r="U3170" s="19" t="str">
        <f>IFERROR(LEFT(K3168,FIND("*",K3168)-1),"-")</f>
        <v>-</v>
      </c>
      <c r="V3170" s="19" t="str">
        <f>IFERROR(RIGHT(K3168,LEN(K3168)-FIND("*",K3168)),"-")</f>
        <v>-</v>
      </c>
      <c r="W3170" s="20" t="str">
        <f t="shared" si="1720"/>
        <v>-</v>
      </c>
      <c r="X3170" s="20" t="str">
        <f>IFERROR(W3170*L3168,"-")</f>
        <v>-</v>
      </c>
      <c r="Z3170" s="85" t="s">
        <v>82</v>
      </c>
    </row>
    <row r="3171" spans="1:26" ht="6.95" customHeight="1" x14ac:dyDescent="0.3">
      <c r="A3171" s="8"/>
      <c r="B3171" s="157"/>
      <c r="C3171" s="158"/>
      <c r="D3171" s="161" t="s">
        <v>39</v>
      </c>
      <c r="E3171" s="162"/>
      <c r="F3171" s="163" t="s">
        <v>40</v>
      </c>
      <c r="G3171" s="164"/>
      <c r="H3171" s="165"/>
      <c r="I3171" s="164"/>
      <c r="J3171" s="165"/>
      <c r="K3171" s="164"/>
      <c r="L3171" s="165"/>
      <c r="M3171" s="6"/>
      <c r="N3171" s="32"/>
      <c r="Q3171" s="10" t="str">
        <f>+CONCATENATE(E3171,G3171)</f>
        <v/>
      </c>
      <c r="R3171" s="10">
        <f>+H3171</f>
        <v>0</v>
      </c>
      <c r="S3171" s="11"/>
      <c r="T3171" s="10">
        <f>+E3171</f>
        <v>0</v>
      </c>
      <c r="U3171" s="19" t="str">
        <f t="shared" ref="U3171" si="1721">IFERROR(LEFT(G3171,FIND("*",G3171)-1),"-")</f>
        <v>-</v>
      </c>
      <c r="V3171" s="19" t="str">
        <f t="shared" ref="V3171" si="1722">IFERROR(RIGHT(G3171,LEN(G3171)-FIND("*",G3171)),"-")</f>
        <v>-</v>
      </c>
      <c r="W3171" s="20" t="str">
        <f t="shared" si="1720"/>
        <v>-</v>
      </c>
      <c r="X3171" s="20" t="str">
        <f>IFERROR(W3171*H3171,"-")</f>
        <v>-</v>
      </c>
      <c r="Z3171" s="85" t="s">
        <v>82</v>
      </c>
    </row>
    <row r="3172" spans="1:26" ht="6.95" customHeight="1" x14ac:dyDescent="0.3">
      <c r="A3172" s="5"/>
      <c r="B3172" s="157"/>
      <c r="C3172" s="158"/>
      <c r="D3172" s="161"/>
      <c r="E3172" s="162"/>
      <c r="F3172" s="163"/>
      <c r="G3172" s="164"/>
      <c r="H3172" s="165"/>
      <c r="I3172" s="164"/>
      <c r="J3172" s="165"/>
      <c r="K3172" s="164"/>
      <c r="L3172" s="165"/>
      <c r="M3172" s="6"/>
      <c r="N3172" s="32"/>
      <c r="Q3172" s="10" t="str">
        <f>+CONCATENATE(E3171,I3171)</f>
        <v/>
      </c>
      <c r="R3172" s="10">
        <f>+J3171</f>
        <v>0</v>
      </c>
      <c r="S3172" s="11"/>
      <c r="T3172" s="10">
        <f>+E3171</f>
        <v>0</v>
      </c>
      <c r="U3172" s="19" t="str">
        <f>IFERROR(LEFT(I3171,FIND("*",I3171)-1),"-")</f>
        <v>-</v>
      </c>
      <c r="V3172" s="19" t="str">
        <f>IFERROR(RIGHT(I3171,LEN(I3171)-FIND("*",I3171)),"-")</f>
        <v>-</v>
      </c>
      <c r="W3172" s="20" t="str">
        <f t="shared" si="1720"/>
        <v>-</v>
      </c>
      <c r="X3172" s="20" t="str">
        <f>IFERROR(W3172*J3171,"-")</f>
        <v>-</v>
      </c>
      <c r="Z3172" s="85" t="s">
        <v>82</v>
      </c>
    </row>
    <row r="3173" spans="1:26" ht="6.95" customHeight="1" x14ac:dyDescent="0.3">
      <c r="A3173" s="5"/>
      <c r="B3173" s="157"/>
      <c r="C3173" s="158"/>
      <c r="D3173" s="161"/>
      <c r="E3173" s="162"/>
      <c r="F3173" s="163"/>
      <c r="G3173" s="164"/>
      <c r="H3173" s="165"/>
      <c r="I3173" s="164"/>
      <c r="J3173" s="165"/>
      <c r="K3173" s="164"/>
      <c r="L3173" s="165"/>
      <c r="M3173" s="6"/>
      <c r="N3173" s="32"/>
      <c r="Q3173" s="10" t="str">
        <f>+CONCATENATE(E3171,K3171)</f>
        <v/>
      </c>
      <c r="R3173" s="10">
        <f>+L3171</f>
        <v>0</v>
      </c>
      <c r="S3173" s="11"/>
      <c r="T3173" s="10">
        <f>+E3171</f>
        <v>0</v>
      </c>
      <c r="U3173" s="19" t="str">
        <f>IFERROR(LEFT(K3171,FIND("*",K3171)-1),"-")</f>
        <v>-</v>
      </c>
      <c r="V3173" s="19" t="str">
        <f>IFERROR(RIGHT(K3171,LEN(K3171)-FIND("*",K3171)),"-")</f>
        <v>-</v>
      </c>
      <c r="W3173" s="20" t="str">
        <f t="shared" si="1720"/>
        <v>-</v>
      </c>
      <c r="X3173" s="20" t="str">
        <f>IFERROR(W3173*L3171,"-")</f>
        <v>-</v>
      </c>
      <c r="Z3173" s="85" t="s">
        <v>82</v>
      </c>
    </row>
    <row r="3174" spans="1:26" ht="6.95" customHeight="1" x14ac:dyDescent="0.3">
      <c r="A3174" s="8"/>
      <c r="B3174" s="157"/>
      <c r="C3174" s="158"/>
      <c r="D3174" s="161" t="s">
        <v>39</v>
      </c>
      <c r="E3174" s="162"/>
      <c r="F3174" s="163" t="s">
        <v>40</v>
      </c>
      <c r="G3174" s="164"/>
      <c r="H3174" s="165"/>
      <c r="I3174" s="164"/>
      <c r="J3174" s="165"/>
      <c r="K3174" s="164"/>
      <c r="L3174" s="165"/>
      <c r="M3174" s="6"/>
      <c r="N3174" s="32"/>
      <c r="Q3174" s="10" t="str">
        <f>+CONCATENATE(E3174,G3174)</f>
        <v/>
      </c>
      <c r="R3174" s="10">
        <f>+H3174</f>
        <v>0</v>
      </c>
      <c r="S3174" s="11"/>
      <c r="T3174" s="10">
        <f>+E3174</f>
        <v>0</v>
      </c>
      <c r="U3174" s="19" t="str">
        <f t="shared" ref="U3174" si="1723">IFERROR(LEFT(G3174,FIND("*",G3174)-1),"-")</f>
        <v>-</v>
      </c>
      <c r="V3174" s="19" t="str">
        <f t="shared" ref="V3174" si="1724">IFERROR(RIGHT(G3174,LEN(G3174)-FIND("*",G3174)),"-")</f>
        <v>-</v>
      </c>
      <c r="W3174" s="20" t="str">
        <f t="shared" si="1720"/>
        <v>-</v>
      </c>
      <c r="X3174" s="20" t="str">
        <f>IFERROR(W3174*H3174,"-")</f>
        <v>-</v>
      </c>
      <c r="Z3174" s="85" t="s">
        <v>82</v>
      </c>
    </row>
    <row r="3175" spans="1:26" ht="6.95" customHeight="1" x14ac:dyDescent="0.3">
      <c r="A3175" s="5"/>
      <c r="B3175" s="157"/>
      <c r="C3175" s="158"/>
      <c r="D3175" s="161"/>
      <c r="E3175" s="162"/>
      <c r="F3175" s="163"/>
      <c r="G3175" s="164"/>
      <c r="H3175" s="165"/>
      <c r="I3175" s="164"/>
      <c r="J3175" s="165"/>
      <c r="K3175" s="164"/>
      <c r="L3175" s="165"/>
      <c r="M3175" s="6"/>
      <c r="N3175" s="32"/>
      <c r="Q3175" s="10" t="str">
        <f>+CONCATENATE(E3174,I3174)</f>
        <v/>
      </c>
      <c r="R3175" s="10">
        <f>+J3174</f>
        <v>0</v>
      </c>
      <c r="S3175" s="11"/>
      <c r="T3175" s="10">
        <f>+E3174</f>
        <v>0</v>
      </c>
      <c r="U3175" s="19" t="str">
        <f>IFERROR(LEFT(I3174,FIND("*",I3174)-1),"-")</f>
        <v>-</v>
      </c>
      <c r="V3175" s="19" t="str">
        <f>IFERROR(RIGHT(I3174,LEN(I3174)-FIND("*",I3174)),"-")</f>
        <v>-</v>
      </c>
      <c r="W3175" s="20" t="str">
        <f t="shared" si="1720"/>
        <v>-</v>
      </c>
      <c r="X3175" s="20" t="str">
        <f t="shared" ref="X3175" si="1725">IFERROR(W3175*J3174,"-")</f>
        <v>-</v>
      </c>
      <c r="Z3175" s="85" t="s">
        <v>82</v>
      </c>
    </row>
    <row r="3176" spans="1:26" ht="6.95" customHeight="1" x14ac:dyDescent="0.3">
      <c r="A3176" s="5"/>
      <c r="B3176" s="157"/>
      <c r="C3176" s="158"/>
      <c r="D3176" s="161"/>
      <c r="E3176" s="162"/>
      <c r="F3176" s="163"/>
      <c r="G3176" s="164"/>
      <c r="H3176" s="165"/>
      <c r="I3176" s="164"/>
      <c r="J3176" s="165"/>
      <c r="K3176" s="164"/>
      <c r="L3176" s="165"/>
      <c r="M3176" s="6"/>
      <c r="N3176" s="32"/>
      <c r="Q3176" s="10" t="str">
        <f>+CONCATENATE(E3174,K3174)</f>
        <v/>
      </c>
      <c r="R3176" s="10">
        <f>+L3174</f>
        <v>0</v>
      </c>
      <c r="S3176" s="11"/>
      <c r="T3176" s="10">
        <f>+E3174</f>
        <v>0</v>
      </c>
      <c r="U3176" s="19" t="str">
        <f>IFERROR(LEFT(K3174,FIND("*",K3174)-1),"-")</f>
        <v>-</v>
      </c>
      <c r="V3176" s="19" t="str">
        <f>IFERROR(RIGHT(K3174,LEN(K3174)-FIND("*",K3174)),"-")</f>
        <v>-</v>
      </c>
      <c r="W3176" s="20" t="str">
        <f t="shared" si="1720"/>
        <v>-</v>
      </c>
      <c r="X3176" s="20" t="str">
        <f>IFERROR(W3176*L3174,"-")</f>
        <v>-</v>
      </c>
      <c r="Z3176" s="85" t="s">
        <v>82</v>
      </c>
    </row>
    <row r="3177" spans="1:26" ht="21" customHeight="1" thickBot="1" x14ac:dyDescent="0.35">
      <c r="A3177" s="5"/>
      <c r="B3177" s="159"/>
      <c r="C3177" s="160"/>
      <c r="D3177" s="166" t="s">
        <v>43</v>
      </c>
      <c r="E3177" s="167"/>
      <c r="F3177" s="167"/>
      <c r="G3177" s="168"/>
      <c r="H3177" s="168"/>
      <c r="I3177" s="168"/>
      <c r="J3177" s="168"/>
      <c r="K3177" s="168"/>
      <c r="L3177" s="168"/>
      <c r="M3177" s="7"/>
      <c r="N3177" s="32"/>
      <c r="Z3177" s="86" t="s">
        <v>81</v>
      </c>
    </row>
    <row r="3178" spans="1:26" ht="9.9499999999999993" customHeight="1" thickBot="1" x14ac:dyDescent="0.35">
      <c r="B3178" s="9"/>
      <c r="C3178" s="109"/>
      <c r="D3178" s="51"/>
      <c r="E3178" s="12"/>
      <c r="F3178" s="51"/>
      <c r="G3178" s="14"/>
      <c r="H3178" s="14"/>
      <c r="I3178" s="14"/>
      <c r="J3178" s="14"/>
      <c r="K3178" s="14"/>
      <c r="L3178" s="14"/>
      <c r="M3178" s="9"/>
      <c r="N3178" s="32"/>
      <c r="U3178" s="18"/>
      <c r="V3178" s="18"/>
      <c r="Z3178" s="85" t="s">
        <v>82</v>
      </c>
    </row>
    <row r="3179" spans="1:26" ht="6.95" customHeight="1" x14ac:dyDescent="0.3">
      <c r="A3179" s="154">
        <f>+A3168+1</f>
        <v>1088</v>
      </c>
      <c r="B3179" s="155"/>
      <c r="C3179" s="156"/>
      <c r="D3179" s="161" t="s">
        <v>39</v>
      </c>
      <c r="E3179" s="162"/>
      <c r="F3179" s="163" t="s">
        <v>40</v>
      </c>
      <c r="G3179" s="164"/>
      <c r="H3179" s="165"/>
      <c r="I3179" s="164"/>
      <c r="J3179" s="165"/>
      <c r="K3179" s="164"/>
      <c r="L3179" s="165"/>
      <c r="M3179" s="6"/>
      <c r="N3179" s="32"/>
      <c r="Q3179" s="10" t="str">
        <f>+CONCATENATE(E3179,G3179)</f>
        <v/>
      </c>
      <c r="R3179" s="10">
        <f>+H3179</f>
        <v>0</v>
      </c>
      <c r="S3179" s="11"/>
      <c r="T3179" s="10">
        <f>+E3179</f>
        <v>0</v>
      </c>
      <c r="U3179" s="19" t="str">
        <f>IFERROR(LEFT(G3179,FIND("*",G3179)-1),"-")</f>
        <v>-</v>
      </c>
      <c r="V3179" s="19" t="str">
        <f>IFERROR(RIGHT(G3179,LEN(G3179)-FIND("*",G3179)),"-")</f>
        <v>-</v>
      </c>
      <c r="W3179" s="20" t="str">
        <f>IFERROR((U3179+V3179)*2/1000,"-")</f>
        <v>-</v>
      </c>
      <c r="X3179" s="20" t="str">
        <f>IFERROR(W3179*H3179,"-")</f>
        <v>-</v>
      </c>
      <c r="Z3179" s="85" t="s">
        <v>82</v>
      </c>
    </row>
    <row r="3180" spans="1:26" ht="6.95" customHeight="1" x14ac:dyDescent="0.3">
      <c r="A3180" s="154"/>
      <c r="B3180" s="157"/>
      <c r="C3180" s="158"/>
      <c r="D3180" s="161"/>
      <c r="E3180" s="162"/>
      <c r="F3180" s="163"/>
      <c r="G3180" s="164"/>
      <c r="H3180" s="165"/>
      <c r="I3180" s="164"/>
      <c r="J3180" s="165"/>
      <c r="K3180" s="164"/>
      <c r="L3180" s="165"/>
      <c r="M3180" s="6"/>
      <c r="N3180" s="32"/>
      <c r="Q3180" s="10" t="str">
        <f>+CONCATENATE(E3179,I3179)</f>
        <v/>
      </c>
      <c r="R3180" s="10">
        <f>+J3179</f>
        <v>0</v>
      </c>
      <c r="S3180" s="11"/>
      <c r="T3180" s="10">
        <f>+E3179</f>
        <v>0</v>
      </c>
      <c r="U3180" s="19" t="str">
        <f>IFERROR(LEFT(I3179,FIND("*",I3179)-1),"-")</f>
        <v>-</v>
      </c>
      <c r="V3180" s="19" t="str">
        <f>IFERROR(RIGHT(I3179,LEN(I3179)-FIND("*",I3179)),"-")</f>
        <v>-</v>
      </c>
      <c r="W3180" s="20" t="str">
        <f t="shared" ref="W3180:W3187" si="1726">IFERROR((U3180+V3180)*2/1000,"-")</f>
        <v>-</v>
      </c>
      <c r="X3180" s="20" t="str">
        <f>IFERROR(W3180*J3179,"-")</f>
        <v>-</v>
      </c>
      <c r="Z3180" s="85" t="s">
        <v>82</v>
      </c>
    </row>
    <row r="3181" spans="1:26" ht="6.95" customHeight="1" x14ac:dyDescent="0.3">
      <c r="A3181" s="154"/>
      <c r="B3181" s="157"/>
      <c r="C3181" s="158"/>
      <c r="D3181" s="161"/>
      <c r="E3181" s="162"/>
      <c r="F3181" s="163"/>
      <c r="G3181" s="164"/>
      <c r="H3181" s="165"/>
      <c r="I3181" s="164"/>
      <c r="J3181" s="165"/>
      <c r="K3181" s="164"/>
      <c r="L3181" s="165"/>
      <c r="M3181" s="6"/>
      <c r="N3181" s="32"/>
      <c r="Q3181" s="10" t="str">
        <f>+CONCATENATE(E3179,K3179)</f>
        <v/>
      </c>
      <c r="R3181" s="10">
        <f>+L3179</f>
        <v>0</v>
      </c>
      <c r="S3181" s="11"/>
      <c r="T3181" s="10">
        <f>+E3179</f>
        <v>0</v>
      </c>
      <c r="U3181" s="19" t="str">
        <f>IFERROR(LEFT(K3179,FIND("*",K3179)-1),"-")</f>
        <v>-</v>
      </c>
      <c r="V3181" s="19" t="str">
        <f>IFERROR(RIGHT(K3179,LEN(K3179)-FIND("*",K3179)),"-")</f>
        <v>-</v>
      </c>
      <c r="W3181" s="20" t="str">
        <f t="shared" si="1726"/>
        <v>-</v>
      </c>
      <c r="X3181" s="20" t="str">
        <f>IFERROR(W3181*L3179,"-")</f>
        <v>-</v>
      </c>
      <c r="Z3181" s="85" t="s">
        <v>82</v>
      </c>
    </row>
    <row r="3182" spans="1:26" ht="6.95" customHeight="1" x14ac:dyDescent="0.3">
      <c r="A3182" s="8"/>
      <c r="B3182" s="157"/>
      <c r="C3182" s="158"/>
      <c r="D3182" s="161" t="s">
        <v>39</v>
      </c>
      <c r="E3182" s="162"/>
      <c r="F3182" s="163" t="s">
        <v>40</v>
      </c>
      <c r="G3182" s="164"/>
      <c r="H3182" s="165"/>
      <c r="I3182" s="164"/>
      <c r="J3182" s="165"/>
      <c r="K3182" s="164"/>
      <c r="L3182" s="165"/>
      <c r="M3182" s="6"/>
      <c r="N3182" s="32"/>
      <c r="Q3182" s="10" t="str">
        <f>+CONCATENATE(E3182,G3182)</f>
        <v/>
      </c>
      <c r="R3182" s="10">
        <f>+H3182</f>
        <v>0</v>
      </c>
      <c r="S3182" s="11"/>
      <c r="T3182" s="10">
        <f>+E3182</f>
        <v>0</v>
      </c>
      <c r="U3182" s="19" t="str">
        <f t="shared" ref="U3182" si="1727">IFERROR(LEFT(G3182,FIND("*",G3182)-1),"-")</f>
        <v>-</v>
      </c>
      <c r="V3182" s="19" t="str">
        <f t="shared" ref="V3182" si="1728">IFERROR(RIGHT(G3182,LEN(G3182)-FIND("*",G3182)),"-")</f>
        <v>-</v>
      </c>
      <c r="W3182" s="20" t="str">
        <f t="shared" si="1726"/>
        <v>-</v>
      </c>
      <c r="X3182" s="20" t="str">
        <f>IFERROR(W3182*H3182,"-")</f>
        <v>-</v>
      </c>
      <c r="Z3182" s="85" t="s">
        <v>82</v>
      </c>
    </row>
    <row r="3183" spans="1:26" ht="6.95" customHeight="1" x14ac:dyDescent="0.3">
      <c r="A3183" s="5"/>
      <c r="B3183" s="157"/>
      <c r="C3183" s="158"/>
      <c r="D3183" s="161"/>
      <c r="E3183" s="162"/>
      <c r="F3183" s="163"/>
      <c r="G3183" s="164"/>
      <c r="H3183" s="165"/>
      <c r="I3183" s="164"/>
      <c r="J3183" s="165"/>
      <c r="K3183" s="164"/>
      <c r="L3183" s="165"/>
      <c r="M3183" s="6"/>
      <c r="N3183" s="32"/>
      <c r="Q3183" s="10" t="str">
        <f>+CONCATENATE(E3182,I3182)</f>
        <v/>
      </c>
      <c r="R3183" s="10">
        <f>+J3182</f>
        <v>0</v>
      </c>
      <c r="S3183" s="11"/>
      <c r="T3183" s="10">
        <f>+E3182</f>
        <v>0</v>
      </c>
      <c r="U3183" s="19" t="str">
        <f>IFERROR(LEFT(I3182,FIND("*",I3182)-1),"-")</f>
        <v>-</v>
      </c>
      <c r="V3183" s="19" t="str">
        <f>IFERROR(RIGHT(I3182,LEN(I3182)-FIND("*",I3182)),"-")</f>
        <v>-</v>
      </c>
      <c r="W3183" s="20" t="str">
        <f t="shared" si="1726"/>
        <v>-</v>
      </c>
      <c r="X3183" s="20" t="str">
        <f>IFERROR(W3183*J3182,"-")</f>
        <v>-</v>
      </c>
      <c r="Z3183" s="85" t="s">
        <v>82</v>
      </c>
    </row>
    <row r="3184" spans="1:26" ht="6.95" customHeight="1" x14ac:dyDescent="0.3">
      <c r="A3184" s="5"/>
      <c r="B3184" s="157"/>
      <c r="C3184" s="158"/>
      <c r="D3184" s="161"/>
      <c r="E3184" s="162"/>
      <c r="F3184" s="163"/>
      <c r="G3184" s="164"/>
      <c r="H3184" s="165"/>
      <c r="I3184" s="164"/>
      <c r="J3184" s="165"/>
      <c r="K3184" s="164"/>
      <c r="L3184" s="165"/>
      <c r="M3184" s="6"/>
      <c r="N3184" s="32"/>
      <c r="Q3184" s="10" t="str">
        <f>+CONCATENATE(E3182,K3182)</f>
        <v/>
      </c>
      <c r="R3184" s="10">
        <f>+L3182</f>
        <v>0</v>
      </c>
      <c r="S3184" s="11"/>
      <c r="T3184" s="10">
        <f>+E3182</f>
        <v>0</v>
      </c>
      <c r="U3184" s="19" t="str">
        <f>IFERROR(LEFT(K3182,FIND("*",K3182)-1),"-")</f>
        <v>-</v>
      </c>
      <c r="V3184" s="19" t="str">
        <f>IFERROR(RIGHT(K3182,LEN(K3182)-FIND("*",K3182)),"-")</f>
        <v>-</v>
      </c>
      <c r="W3184" s="20" t="str">
        <f t="shared" si="1726"/>
        <v>-</v>
      </c>
      <c r="X3184" s="20" t="str">
        <f>IFERROR(W3184*L3182,"-")</f>
        <v>-</v>
      </c>
      <c r="Z3184" s="85" t="s">
        <v>82</v>
      </c>
    </row>
    <row r="3185" spans="1:26" ht="6.95" customHeight="1" x14ac:dyDescent="0.3">
      <c r="A3185" s="8"/>
      <c r="B3185" s="157"/>
      <c r="C3185" s="158"/>
      <c r="D3185" s="161" t="s">
        <v>39</v>
      </c>
      <c r="E3185" s="162"/>
      <c r="F3185" s="163" t="s">
        <v>40</v>
      </c>
      <c r="G3185" s="164"/>
      <c r="H3185" s="165"/>
      <c r="I3185" s="164"/>
      <c r="J3185" s="165"/>
      <c r="K3185" s="164"/>
      <c r="L3185" s="165"/>
      <c r="M3185" s="6"/>
      <c r="N3185" s="32"/>
      <c r="Q3185" s="10" t="str">
        <f>+CONCATENATE(E3185,G3185)</f>
        <v/>
      </c>
      <c r="R3185" s="10">
        <f>+H3185</f>
        <v>0</v>
      </c>
      <c r="S3185" s="11"/>
      <c r="T3185" s="10">
        <f>+E3185</f>
        <v>0</v>
      </c>
      <c r="U3185" s="19" t="str">
        <f t="shared" ref="U3185" si="1729">IFERROR(LEFT(G3185,FIND("*",G3185)-1),"-")</f>
        <v>-</v>
      </c>
      <c r="V3185" s="19" t="str">
        <f t="shared" ref="V3185" si="1730">IFERROR(RIGHT(G3185,LEN(G3185)-FIND("*",G3185)),"-")</f>
        <v>-</v>
      </c>
      <c r="W3185" s="20" t="str">
        <f t="shared" si="1726"/>
        <v>-</v>
      </c>
      <c r="X3185" s="20" t="str">
        <f>IFERROR(W3185*H3185,"-")</f>
        <v>-</v>
      </c>
      <c r="Z3185" s="85" t="s">
        <v>82</v>
      </c>
    </row>
    <row r="3186" spans="1:26" ht="6.95" customHeight="1" x14ac:dyDescent="0.3">
      <c r="A3186" s="5"/>
      <c r="B3186" s="157"/>
      <c r="C3186" s="158"/>
      <c r="D3186" s="161"/>
      <c r="E3186" s="162"/>
      <c r="F3186" s="163"/>
      <c r="G3186" s="164"/>
      <c r="H3186" s="165"/>
      <c r="I3186" s="164"/>
      <c r="J3186" s="165"/>
      <c r="K3186" s="164"/>
      <c r="L3186" s="165"/>
      <c r="M3186" s="6"/>
      <c r="N3186" s="32"/>
      <c r="Q3186" s="10" t="str">
        <f>+CONCATENATE(E3185,I3185)</f>
        <v/>
      </c>
      <c r="R3186" s="10">
        <f>+J3185</f>
        <v>0</v>
      </c>
      <c r="S3186" s="11"/>
      <c r="T3186" s="10">
        <f>+E3185</f>
        <v>0</v>
      </c>
      <c r="U3186" s="19" t="str">
        <f>IFERROR(LEFT(I3185,FIND("*",I3185)-1),"-")</f>
        <v>-</v>
      </c>
      <c r="V3186" s="19" t="str">
        <f>IFERROR(RIGHT(I3185,LEN(I3185)-FIND("*",I3185)),"-")</f>
        <v>-</v>
      </c>
      <c r="W3186" s="20" t="str">
        <f t="shared" si="1726"/>
        <v>-</v>
      </c>
      <c r="X3186" s="20" t="str">
        <f t="shared" ref="X3186" si="1731">IFERROR(W3186*J3185,"-")</f>
        <v>-</v>
      </c>
      <c r="Z3186" s="85" t="s">
        <v>82</v>
      </c>
    </row>
    <row r="3187" spans="1:26" ht="6.95" customHeight="1" x14ac:dyDescent="0.3">
      <c r="A3187" s="5"/>
      <c r="B3187" s="157"/>
      <c r="C3187" s="158"/>
      <c r="D3187" s="161"/>
      <c r="E3187" s="162"/>
      <c r="F3187" s="163"/>
      <c r="G3187" s="164"/>
      <c r="H3187" s="165"/>
      <c r="I3187" s="164"/>
      <c r="J3187" s="165"/>
      <c r="K3187" s="164"/>
      <c r="L3187" s="165"/>
      <c r="M3187" s="6"/>
      <c r="N3187" s="32"/>
      <c r="Q3187" s="10" t="str">
        <f>+CONCATENATE(E3185,K3185)</f>
        <v/>
      </c>
      <c r="R3187" s="10">
        <f>+L3185</f>
        <v>0</v>
      </c>
      <c r="S3187" s="11"/>
      <c r="T3187" s="10">
        <f>+E3185</f>
        <v>0</v>
      </c>
      <c r="U3187" s="19" t="str">
        <f>IFERROR(LEFT(K3185,FIND("*",K3185)-1),"-")</f>
        <v>-</v>
      </c>
      <c r="V3187" s="19" t="str">
        <f>IFERROR(RIGHT(K3185,LEN(K3185)-FIND("*",K3185)),"-")</f>
        <v>-</v>
      </c>
      <c r="W3187" s="20" t="str">
        <f t="shared" si="1726"/>
        <v>-</v>
      </c>
      <c r="X3187" s="20" t="str">
        <f>IFERROR(W3187*L3185,"-")</f>
        <v>-</v>
      </c>
      <c r="Z3187" s="85" t="s">
        <v>82</v>
      </c>
    </row>
    <row r="3188" spans="1:26" ht="21" customHeight="1" thickBot="1" x14ac:dyDescent="0.35">
      <c r="A3188" s="5"/>
      <c r="B3188" s="159"/>
      <c r="C3188" s="160"/>
      <c r="D3188" s="166" t="s">
        <v>43</v>
      </c>
      <c r="E3188" s="167"/>
      <c r="F3188" s="167"/>
      <c r="G3188" s="168"/>
      <c r="H3188" s="168"/>
      <c r="I3188" s="168"/>
      <c r="J3188" s="168"/>
      <c r="K3188" s="168"/>
      <c r="L3188" s="168"/>
      <c r="M3188" s="7"/>
      <c r="N3188" s="32"/>
      <c r="Z3188" s="86" t="s">
        <v>81</v>
      </c>
    </row>
    <row r="3189" spans="1:26" ht="9.9499999999999993" customHeight="1" thickBot="1" x14ac:dyDescent="0.35">
      <c r="B3189" s="9"/>
      <c r="C3189" s="109"/>
      <c r="D3189" s="51"/>
      <c r="E3189" s="12"/>
      <c r="F3189" s="51"/>
      <c r="G3189" s="14"/>
      <c r="H3189" s="14"/>
      <c r="I3189" s="14"/>
      <c r="J3189" s="14"/>
      <c r="K3189" s="14"/>
      <c r="L3189" s="14"/>
      <c r="M3189" s="9"/>
      <c r="N3189" s="32"/>
      <c r="U3189" s="18"/>
      <c r="V3189" s="18"/>
      <c r="Z3189" s="85" t="s">
        <v>82</v>
      </c>
    </row>
    <row r="3190" spans="1:26" ht="6.95" customHeight="1" x14ac:dyDescent="0.3">
      <c r="A3190" s="154">
        <f>+A3179+1</f>
        <v>1089</v>
      </c>
      <c r="B3190" s="155"/>
      <c r="C3190" s="156"/>
      <c r="D3190" s="161" t="s">
        <v>39</v>
      </c>
      <c r="E3190" s="162"/>
      <c r="F3190" s="163" t="s">
        <v>40</v>
      </c>
      <c r="G3190" s="164"/>
      <c r="H3190" s="165"/>
      <c r="I3190" s="164"/>
      <c r="J3190" s="165"/>
      <c r="K3190" s="164"/>
      <c r="L3190" s="165"/>
      <c r="M3190" s="6"/>
      <c r="N3190" s="32"/>
      <c r="Q3190" s="10" t="str">
        <f>+CONCATENATE(E3190,G3190)</f>
        <v/>
      </c>
      <c r="R3190" s="10">
        <f>+H3190</f>
        <v>0</v>
      </c>
      <c r="S3190" s="11"/>
      <c r="T3190" s="10">
        <f>+E3190</f>
        <v>0</v>
      </c>
      <c r="U3190" s="19" t="str">
        <f>IFERROR(LEFT(G3190,FIND("*",G3190)-1),"-")</f>
        <v>-</v>
      </c>
      <c r="V3190" s="19" t="str">
        <f>IFERROR(RIGHT(G3190,LEN(G3190)-FIND("*",G3190)),"-")</f>
        <v>-</v>
      </c>
      <c r="W3190" s="20" t="str">
        <f>IFERROR((U3190+V3190)*2/1000,"-")</f>
        <v>-</v>
      </c>
      <c r="X3190" s="20" t="str">
        <f>IFERROR(W3190*H3190,"-")</f>
        <v>-</v>
      </c>
      <c r="Z3190" s="85" t="s">
        <v>82</v>
      </c>
    </row>
    <row r="3191" spans="1:26" ht="6.95" customHeight="1" x14ac:dyDescent="0.3">
      <c r="A3191" s="154"/>
      <c r="B3191" s="157"/>
      <c r="C3191" s="158"/>
      <c r="D3191" s="161"/>
      <c r="E3191" s="162"/>
      <c r="F3191" s="163"/>
      <c r="G3191" s="164"/>
      <c r="H3191" s="165"/>
      <c r="I3191" s="164"/>
      <c r="J3191" s="165"/>
      <c r="K3191" s="164"/>
      <c r="L3191" s="165"/>
      <c r="M3191" s="6"/>
      <c r="N3191" s="32"/>
      <c r="Q3191" s="10" t="str">
        <f>+CONCATENATE(E3190,I3190)</f>
        <v/>
      </c>
      <c r="R3191" s="10">
        <f>+J3190</f>
        <v>0</v>
      </c>
      <c r="S3191" s="11"/>
      <c r="T3191" s="10">
        <f>+E3190</f>
        <v>0</v>
      </c>
      <c r="U3191" s="19" t="str">
        <f>IFERROR(LEFT(I3190,FIND("*",I3190)-1),"-")</f>
        <v>-</v>
      </c>
      <c r="V3191" s="19" t="str">
        <f>IFERROR(RIGHT(I3190,LEN(I3190)-FIND("*",I3190)),"-")</f>
        <v>-</v>
      </c>
      <c r="W3191" s="20" t="str">
        <f t="shared" ref="W3191:W3198" si="1732">IFERROR((U3191+V3191)*2/1000,"-")</f>
        <v>-</v>
      </c>
      <c r="X3191" s="20" t="str">
        <f>IFERROR(W3191*J3190,"-")</f>
        <v>-</v>
      </c>
      <c r="Z3191" s="85" t="s">
        <v>82</v>
      </c>
    </row>
    <row r="3192" spans="1:26" ht="6.95" customHeight="1" x14ac:dyDescent="0.3">
      <c r="A3192" s="154"/>
      <c r="B3192" s="157"/>
      <c r="C3192" s="158"/>
      <c r="D3192" s="161"/>
      <c r="E3192" s="162"/>
      <c r="F3192" s="163"/>
      <c r="G3192" s="164"/>
      <c r="H3192" s="165"/>
      <c r="I3192" s="164"/>
      <c r="J3192" s="165"/>
      <c r="K3192" s="164"/>
      <c r="L3192" s="165"/>
      <c r="M3192" s="6"/>
      <c r="N3192" s="32"/>
      <c r="Q3192" s="10" t="str">
        <f>+CONCATENATE(E3190,K3190)</f>
        <v/>
      </c>
      <c r="R3192" s="10">
        <f>+L3190</f>
        <v>0</v>
      </c>
      <c r="S3192" s="11"/>
      <c r="T3192" s="10">
        <f>+E3190</f>
        <v>0</v>
      </c>
      <c r="U3192" s="19" t="str">
        <f>IFERROR(LEFT(K3190,FIND("*",K3190)-1),"-")</f>
        <v>-</v>
      </c>
      <c r="V3192" s="19" t="str">
        <f>IFERROR(RIGHT(K3190,LEN(K3190)-FIND("*",K3190)),"-")</f>
        <v>-</v>
      </c>
      <c r="W3192" s="20" t="str">
        <f t="shared" si="1732"/>
        <v>-</v>
      </c>
      <c r="X3192" s="20" t="str">
        <f>IFERROR(W3192*L3190,"-")</f>
        <v>-</v>
      </c>
      <c r="Z3192" s="85" t="s">
        <v>82</v>
      </c>
    </row>
    <row r="3193" spans="1:26" ht="6.95" customHeight="1" x14ac:dyDescent="0.3">
      <c r="A3193" s="8"/>
      <c r="B3193" s="157"/>
      <c r="C3193" s="158"/>
      <c r="D3193" s="161" t="s">
        <v>39</v>
      </c>
      <c r="E3193" s="162"/>
      <c r="F3193" s="163" t="s">
        <v>40</v>
      </c>
      <c r="G3193" s="164"/>
      <c r="H3193" s="165"/>
      <c r="I3193" s="164"/>
      <c r="J3193" s="165"/>
      <c r="K3193" s="164"/>
      <c r="L3193" s="165"/>
      <c r="M3193" s="6"/>
      <c r="N3193" s="32"/>
      <c r="Q3193" s="10" t="str">
        <f>+CONCATENATE(E3193,G3193)</f>
        <v/>
      </c>
      <c r="R3193" s="10">
        <f>+H3193</f>
        <v>0</v>
      </c>
      <c r="S3193" s="11"/>
      <c r="T3193" s="10">
        <f>+E3193</f>
        <v>0</v>
      </c>
      <c r="U3193" s="19" t="str">
        <f t="shared" ref="U3193" si="1733">IFERROR(LEFT(G3193,FIND("*",G3193)-1),"-")</f>
        <v>-</v>
      </c>
      <c r="V3193" s="19" t="str">
        <f t="shared" ref="V3193" si="1734">IFERROR(RIGHT(G3193,LEN(G3193)-FIND("*",G3193)),"-")</f>
        <v>-</v>
      </c>
      <c r="W3193" s="20" t="str">
        <f t="shared" si="1732"/>
        <v>-</v>
      </c>
      <c r="X3193" s="20" t="str">
        <f>IFERROR(W3193*H3193,"-")</f>
        <v>-</v>
      </c>
      <c r="Z3193" s="85" t="s">
        <v>82</v>
      </c>
    </row>
    <row r="3194" spans="1:26" ht="6.95" customHeight="1" x14ac:dyDescent="0.3">
      <c r="A3194" s="5"/>
      <c r="B3194" s="157"/>
      <c r="C3194" s="158"/>
      <c r="D3194" s="161"/>
      <c r="E3194" s="162"/>
      <c r="F3194" s="163"/>
      <c r="G3194" s="164"/>
      <c r="H3194" s="165"/>
      <c r="I3194" s="164"/>
      <c r="J3194" s="165"/>
      <c r="K3194" s="164"/>
      <c r="L3194" s="165"/>
      <c r="M3194" s="6"/>
      <c r="N3194" s="32"/>
      <c r="Q3194" s="10" t="str">
        <f>+CONCATENATE(E3193,I3193)</f>
        <v/>
      </c>
      <c r="R3194" s="10">
        <f>+J3193</f>
        <v>0</v>
      </c>
      <c r="S3194" s="11"/>
      <c r="T3194" s="10">
        <f>+E3193</f>
        <v>0</v>
      </c>
      <c r="U3194" s="19" t="str">
        <f>IFERROR(LEFT(I3193,FIND("*",I3193)-1),"-")</f>
        <v>-</v>
      </c>
      <c r="V3194" s="19" t="str">
        <f>IFERROR(RIGHT(I3193,LEN(I3193)-FIND("*",I3193)),"-")</f>
        <v>-</v>
      </c>
      <c r="W3194" s="20" t="str">
        <f t="shared" si="1732"/>
        <v>-</v>
      </c>
      <c r="X3194" s="20" t="str">
        <f>IFERROR(W3194*J3193,"-")</f>
        <v>-</v>
      </c>
      <c r="Z3194" s="85" t="s">
        <v>82</v>
      </c>
    </row>
    <row r="3195" spans="1:26" ht="6.95" customHeight="1" x14ac:dyDescent="0.3">
      <c r="A3195" s="5"/>
      <c r="B3195" s="157"/>
      <c r="C3195" s="158"/>
      <c r="D3195" s="161"/>
      <c r="E3195" s="162"/>
      <c r="F3195" s="163"/>
      <c r="G3195" s="164"/>
      <c r="H3195" s="165"/>
      <c r="I3195" s="164"/>
      <c r="J3195" s="165"/>
      <c r="K3195" s="164"/>
      <c r="L3195" s="165"/>
      <c r="M3195" s="6"/>
      <c r="N3195" s="32"/>
      <c r="Q3195" s="10" t="str">
        <f>+CONCATENATE(E3193,K3193)</f>
        <v/>
      </c>
      <c r="R3195" s="10">
        <f>+L3193</f>
        <v>0</v>
      </c>
      <c r="S3195" s="11"/>
      <c r="T3195" s="10">
        <f>+E3193</f>
        <v>0</v>
      </c>
      <c r="U3195" s="19" t="str">
        <f>IFERROR(LEFT(K3193,FIND("*",K3193)-1),"-")</f>
        <v>-</v>
      </c>
      <c r="V3195" s="19" t="str">
        <f>IFERROR(RIGHT(K3193,LEN(K3193)-FIND("*",K3193)),"-")</f>
        <v>-</v>
      </c>
      <c r="W3195" s="20" t="str">
        <f t="shared" si="1732"/>
        <v>-</v>
      </c>
      <c r="X3195" s="20" t="str">
        <f>IFERROR(W3195*L3193,"-")</f>
        <v>-</v>
      </c>
      <c r="Z3195" s="85" t="s">
        <v>82</v>
      </c>
    </row>
    <row r="3196" spans="1:26" ht="6.95" customHeight="1" x14ac:dyDescent="0.3">
      <c r="A3196" s="8"/>
      <c r="B3196" s="157"/>
      <c r="C3196" s="158"/>
      <c r="D3196" s="161" t="s">
        <v>39</v>
      </c>
      <c r="E3196" s="162"/>
      <c r="F3196" s="163" t="s">
        <v>40</v>
      </c>
      <c r="G3196" s="164"/>
      <c r="H3196" s="165"/>
      <c r="I3196" s="164"/>
      <c r="J3196" s="165"/>
      <c r="K3196" s="164"/>
      <c r="L3196" s="165"/>
      <c r="M3196" s="6"/>
      <c r="N3196" s="32"/>
      <c r="Q3196" s="10" t="str">
        <f>+CONCATENATE(E3196,G3196)</f>
        <v/>
      </c>
      <c r="R3196" s="10">
        <f>+H3196</f>
        <v>0</v>
      </c>
      <c r="S3196" s="11"/>
      <c r="T3196" s="10">
        <f>+E3196</f>
        <v>0</v>
      </c>
      <c r="U3196" s="19" t="str">
        <f t="shared" ref="U3196" si="1735">IFERROR(LEFT(G3196,FIND("*",G3196)-1),"-")</f>
        <v>-</v>
      </c>
      <c r="V3196" s="19" t="str">
        <f t="shared" ref="V3196" si="1736">IFERROR(RIGHT(G3196,LEN(G3196)-FIND("*",G3196)),"-")</f>
        <v>-</v>
      </c>
      <c r="W3196" s="20" t="str">
        <f t="shared" si="1732"/>
        <v>-</v>
      </c>
      <c r="X3196" s="20" t="str">
        <f>IFERROR(W3196*H3196,"-")</f>
        <v>-</v>
      </c>
      <c r="Z3196" s="85" t="s">
        <v>82</v>
      </c>
    </row>
    <row r="3197" spans="1:26" ht="6.95" customHeight="1" x14ac:dyDescent="0.3">
      <c r="A3197" s="5"/>
      <c r="B3197" s="157"/>
      <c r="C3197" s="158"/>
      <c r="D3197" s="161"/>
      <c r="E3197" s="162"/>
      <c r="F3197" s="163"/>
      <c r="G3197" s="164"/>
      <c r="H3197" s="165"/>
      <c r="I3197" s="164"/>
      <c r="J3197" s="165"/>
      <c r="K3197" s="164"/>
      <c r="L3197" s="165"/>
      <c r="M3197" s="6"/>
      <c r="N3197" s="32"/>
      <c r="Q3197" s="10" t="str">
        <f>+CONCATENATE(E3196,I3196)</f>
        <v/>
      </c>
      <c r="R3197" s="10">
        <f>+J3196</f>
        <v>0</v>
      </c>
      <c r="S3197" s="11"/>
      <c r="T3197" s="10">
        <f>+E3196</f>
        <v>0</v>
      </c>
      <c r="U3197" s="19" t="str">
        <f>IFERROR(LEFT(I3196,FIND("*",I3196)-1),"-")</f>
        <v>-</v>
      </c>
      <c r="V3197" s="19" t="str">
        <f>IFERROR(RIGHT(I3196,LEN(I3196)-FIND("*",I3196)),"-")</f>
        <v>-</v>
      </c>
      <c r="W3197" s="20" t="str">
        <f t="shared" si="1732"/>
        <v>-</v>
      </c>
      <c r="X3197" s="20" t="str">
        <f t="shared" ref="X3197" si="1737">IFERROR(W3197*J3196,"-")</f>
        <v>-</v>
      </c>
      <c r="Z3197" s="85" t="s">
        <v>82</v>
      </c>
    </row>
    <row r="3198" spans="1:26" ht="6.95" customHeight="1" x14ac:dyDescent="0.3">
      <c r="A3198" s="5"/>
      <c r="B3198" s="157"/>
      <c r="C3198" s="158"/>
      <c r="D3198" s="161"/>
      <c r="E3198" s="162"/>
      <c r="F3198" s="163"/>
      <c r="G3198" s="164"/>
      <c r="H3198" s="165"/>
      <c r="I3198" s="164"/>
      <c r="J3198" s="165"/>
      <c r="K3198" s="164"/>
      <c r="L3198" s="165"/>
      <c r="M3198" s="6"/>
      <c r="N3198" s="32"/>
      <c r="Q3198" s="10" t="str">
        <f>+CONCATENATE(E3196,K3196)</f>
        <v/>
      </c>
      <c r="R3198" s="10">
        <f>+L3196</f>
        <v>0</v>
      </c>
      <c r="S3198" s="11"/>
      <c r="T3198" s="10">
        <f>+E3196</f>
        <v>0</v>
      </c>
      <c r="U3198" s="19" t="str">
        <f>IFERROR(LEFT(K3196,FIND("*",K3196)-1),"-")</f>
        <v>-</v>
      </c>
      <c r="V3198" s="19" t="str">
        <f>IFERROR(RIGHT(K3196,LEN(K3196)-FIND("*",K3196)),"-")</f>
        <v>-</v>
      </c>
      <c r="W3198" s="20" t="str">
        <f t="shared" si="1732"/>
        <v>-</v>
      </c>
      <c r="X3198" s="20" t="str">
        <f>IFERROR(W3198*L3196,"-")</f>
        <v>-</v>
      </c>
      <c r="Z3198" s="85" t="s">
        <v>82</v>
      </c>
    </row>
    <row r="3199" spans="1:26" ht="21" customHeight="1" thickBot="1" x14ac:dyDescent="0.35">
      <c r="A3199" s="5"/>
      <c r="B3199" s="159"/>
      <c r="C3199" s="160"/>
      <c r="D3199" s="166" t="s">
        <v>43</v>
      </c>
      <c r="E3199" s="167"/>
      <c r="F3199" s="167"/>
      <c r="G3199" s="168"/>
      <c r="H3199" s="168"/>
      <c r="I3199" s="168"/>
      <c r="J3199" s="168"/>
      <c r="K3199" s="168"/>
      <c r="L3199" s="168"/>
      <c r="M3199" s="7"/>
      <c r="N3199" s="32"/>
      <c r="Z3199" s="86" t="s">
        <v>81</v>
      </c>
    </row>
    <row r="3200" spans="1:26" ht="9.9499999999999993" customHeight="1" thickBot="1" x14ac:dyDescent="0.35">
      <c r="B3200" s="9"/>
      <c r="C3200" s="109"/>
      <c r="D3200" s="51"/>
      <c r="E3200" s="12"/>
      <c r="F3200" s="51"/>
      <c r="G3200" s="14"/>
      <c r="H3200" s="14"/>
      <c r="I3200" s="14"/>
      <c r="J3200" s="14"/>
      <c r="K3200" s="14"/>
      <c r="L3200" s="14"/>
      <c r="M3200" s="9"/>
      <c r="N3200" s="32"/>
      <c r="U3200" s="18"/>
      <c r="V3200" s="18"/>
      <c r="Z3200" s="85" t="s">
        <v>82</v>
      </c>
    </row>
    <row r="3201" spans="1:26" ht="6.95" customHeight="1" x14ac:dyDescent="0.3">
      <c r="A3201" s="154">
        <f>+A3190+1</f>
        <v>1090</v>
      </c>
      <c r="B3201" s="155"/>
      <c r="C3201" s="156"/>
      <c r="D3201" s="161" t="s">
        <v>39</v>
      </c>
      <c r="E3201" s="162"/>
      <c r="F3201" s="163" t="s">
        <v>40</v>
      </c>
      <c r="G3201" s="164"/>
      <c r="H3201" s="165"/>
      <c r="I3201" s="164"/>
      <c r="J3201" s="165"/>
      <c r="K3201" s="164"/>
      <c r="L3201" s="165"/>
      <c r="M3201" s="6"/>
      <c r="N3201" s="32"/>
      <c r="Q3201" s="10" t="str">
        <f>+CONCATENATE(E3201,G3201)</f>
        <v/>
      </c>
      <c r="R3201" s="10">
        <f>+H3201</f>
        <v>0</v>
      </c>
      <c r="S3201" s="11"/>
      <c r="T3201" s="10">
        <f>+E3201</f>
        <v>0</v>
      </c>
      <c r="U3201" s="19" t="str">
        <f>IFERROR(LEFT(G3201,FIND("*",G3201)-1),"-")</f>
        <v>-</v>
      </c>
      <c r="V3201" s="19" t="str">
        <f>IFERROR(RIGHT(G3201,LEN(G3201)-FIND("*",G3201)),"-")</f>
        <v>-</v>
      </c>
      <c r="W3201" s="20" t="str">
        <f>IFERROR((U3201+V3201)*2/1000,"-")</f>
        <v>-</v>
      </c>
      <c r="X3201" s="20" t="str">
        <f>IFERROR(W3201*H3201,"-")</f>
        <v>-</v>
      </c>
      <c r="Z3201" s="85" t="s">
        <v>82</v>
      </c>
    </row>
    <row r="3202" spans="1:26" ht="6.95" customHeight="1" x14ac:dyDescent="0.3">
      <c r="A3202" s="154"/>
      <c r="B3202" s="157"/>
      <c r="C3202" s="158"/>
      <c r="D3202" s="161"/>
      <c r="E3202" s="162"/>
      <c r="F3202" s="163"/>
      <c r="G3202" s="164"/>
      <c r="H3202" s="165"/>
      <c r="I3202" s="164"/>
      <c r="J3202" s="165"/>
      <c r="K3202" s="164"/>
      <c r="L3202" s="165"/>
      <c r="M3202" s="6"/>
      <c r="N3202" s="32"/>
      <c r="Q3202" s="10" t="str">
        <f>+CONCATENATE(E3201,I3201)</f>
        <v/>
      </c>
      <c r="R3202" s="10">
        <f>+J3201</f>
        <v>0</v>
      </c>
      <c r="S3202" s="11"/>
      <c r="T3202" s="10">
        <f>+E3201</f>
        <v>0</v>
      </c>
      <c r="U3202" s="19" t="str">
        <f>IFERROR(LEFT(I3201,FIND("*",I3201)-1),"-")</f>
        <v>-</v>
      </c>
      <c r="V3202" s="19" t="str">
        <f>IFERROR(RIGHT(I3201,LEN(I3201)-FIND("*",I3201)),"-")</f>
        <v>-</v>
      </c>
      <c r="W3202" s="20" t="str">
        <f t="shared" ref="W3202:W3209" si="1738">IFERROR((U3202+V3202)*2/1000,"-")</f>
        <v>-</v>
      </c>
      <c r="X3202" s="20" t="str">
        <f>IFERROR(W3202*J3201,"-")</f>
        <v>-</v>
      </c>
      <c r="Z3202" s="85" t="s">
        <v>82</v>
      </c>
    </row>
    <row r="3203" spans="1:26" ht="6.95" customHeight="1" x14ac:dyDescent="0.3">
      <c r="A3203" s="154"/>
      <c r="B3203" s="157"/>
      <c r="C3203" s="158"/>
      <c r="D3203" s="161"/>
      <c r="E3203" s="162"/>
      <c r="F3203" s="163"/>
      <c r="G3203" s="164"/>
      <c r="H3203" s="165"/>
      <c r="I3203" s="164"/>
      <c r="J3203" s="165"/>
      <c r="K3203" s="164"/>
      <c r="L3203" s="165"/>
      <c r="M3203" s="6"/>
      <c r="N3203" s="32"/>
      <c r="Q3203" s="10" t="str">
        <f>+CONCATENATE(E3201,K3201)</f>
        <v/>
      </c>
      <c r="R3203" s="10">
        <f>+L3201</f>
        <v>0</v>
      </c>
      <c r="S3203" s="11"/>
      <c r="T3203" s="10">
        <f>+E3201</f>
        <v>0</v>
      </c>
      <c r="U3203" s="19" t="str">
        <f>IFERROR(LEFT(K3201,FIND("*",K3201)-1),"-")</f>
        <v>-</v>
      </c>
      <c r="V3203" s="19" t="str">
        <f>IFERROR(RIGHT(K3201,LEN(K3201)-FIND("*",K3201)),"-")</f>
        <v>-</v>
      </c>
      <c r="W3203" s="20" t="str">
        <f t="shared" si="1738"/>
        <v>-</v>
      </c>
      <c r="X3203" s="20" t="str">
        <f>IFERROR(W3203*L3201,"-")</f>
        <v>-</v>
      </c>
      <c r="Z3203" s="85" t="s">
        <v>82</v>
      </c>
    </row>
    <row r="3204" spans="1:26" ht="6.95" customHeight="1" x14ac:dyDescent="0.3">
      <c r="A3204" s="8"/>
      <c r="B3204" s="157"/>
      <c r="C3204" s="158"/>
      <c r="D3204" s="161" t="s">
        <v>39</v>
      </c>
      <c r="E3204" s="162"/>
      <c r="F3204" s="163" t="s">
        <v>40</v>
      </c>
      <c r="G3204" s="164"/>
      <c r="H3204" s="165"/>
      <c r="I3204" s="164"/>
      <c r="J3204" s="165"/>
      <c r="K3204" s="164"/>
      <c r="L3204" s="165"/>
      <c r="M3204" s="6"/>
      <c r="N3204" s="32"/>
      <c r="Q3204" s="10" t="str">
        <f>+CONCATENATE(E3204,G3204)</f>
        <v/>
      </c>
      <c r="R3204" s="10">
        <f>+H3204</f>
        <v>0</v>
      </c>
      <c r="S3204" s="11"/>
      <c r="T3204" s="10">
        <f>+E3204</f>
        <v>0</v>
      </c>
      <c r="U3204" s="19" t="str">
        <f t="shared" ref="U3204" si="1739">IFERROR(LEFT(G3204,FIND("*",G3204)-1),"-")</f>
        <v>-</v>
      </c>
      <c r="V3204" s="19" t="str">
        <f t="shared" ref="V3204" si="1740">IFERROR(RIGHT(G3204,LEN(G3204)-FIND("*",G3204)),"-")</f>
        <v>-</v>
      </c>
      <c r="W3204" s="20" t="str">
        <f t="shared" si="1738"/>
        <v>-</v>
      </c>
      <c r="X3204" s="20" t="str">
        <f>IFERROR(W3204*H3204,"-")</f>
        <v>-</v>
      </c>
      <c r="Z3204" s="85" t="s">
        <v>82</v>
      </c>
    </row>
    <row r="3205" spans="1:26" ht="6.95" customHeight="1" x14ac:dyDescent="0.3">
      <c r="A3205" s="5"/>
      <c r="B3205" s="157"/>
      <c r="C3205" s="158"/>
      <c r="D3205" s="161"/>
      <c r="E3205" s="162"/>
      <c r="F3205" s="163"/>
      <c r="G3205" s="164"/>
      <c r="H3205" s="165"/>
      <c r="I3205" s="164"/>
      <c r="J3205" s="165"/>
      <c r="K3205" s="164"/>
      <c r="L3205" s="165"/>
      <c r="M3205" s="6"/>
      <c r="N3205" s="32"/>
      <c r="Q3205" s="10" t="str">
        <f>+CONCATENATE(E3204,I3204)</f>
        <v/>
      </c>
      <c r="R3205" s="10">
        <f>+J3204</f>
        <v>0</v>
      </c>
      <c r="S3205" s="11"/>
      <c r="T3205" s="10">
        <f>+E3204</f>
        <v>0</v>
      </c>
      <c r="U3205" s="19" t="str">
        <f>IFERROR(LEFT(I3204,FIND("*",I3204)-1),"-")</f>
        <v>-</v>
      </c>
      <c r="V3205" s="19" t="str">
        <f>IFERROR(RIGHT(I3204,LEN(I3204)-FIND("*",I3204)),"-")</f>
        <v>-</v>
      </c>
      <c r="W3205" s="20" t="str">
        <f t="shared" si="1738"/>
        <v>-</v>
      </c>
      <c r="X3205" s="20" t="str">
        <f>IFERROR(W3205*J3204,"-")</f>
        <v>-</v>
      </c>
      <c r="Z3205" s="85" t="s">
        <v>82</v>
      </c>
    </row>
    <row r="3206" spans="1:26" ht="6.95" customHeight="1" x14ac:dyDescent="0.3">
      <c r="A3206" s="5"/>
      <c r="B3206" s="157"/>
      <c r="C3206" s="158"/>
      <c r="D3206" s="161"/>
      <c r="E3206" s="162"/>
      <c r="F3206" s="163"/>
      <c r="G3206" s="164"/>
      <c r="H3206" s="165"/>
      <c r="I3206" s="164"/>
      <c r="J3206" s="165"/>
      <c r="K3206" s="164"/>
      <c r="L3206" s="165"/>
      <c r="M3206" s="6"/>
      <c r="N3206" s="32"/>
      <c r="Q3206" s="10" t="str">
        <f>+CONCATENATE(E3204,K3204)</f>
        <v/>
      </c>
      <c r="R3206" s="10">
        <f>+L3204</f>
        <v>0</v>
      </c>
      <c r="S3206" s="11"/>
      <c r="T3206" s="10">
        <f>+E3204</f>
        <v>0</v>
      </c>
      <c r="U3206" s="19" t="str">
        <f>IFERROR(LEFT(K3204,FIND("*",K3204)-1),"-")</f>
        <v>-</v>
      </c>
      <c r="V3206" s="19" t="str">
        <f>IFERROR(RIGHT(K3204,LEN(K3204)-FIND("*",K3204)),"-")</f>
        <v>-</v>
      </c>
      <c r="W3206" s="20" t="str">
        <f t="shared" si="1738"/>
        <v>-</v>
      </c>
      <c r="X3206" s="20" t="str">
        <f>IFERROR(W3206*L3204,"-")</f>
        <v>-</v>
      </c>
      <c r="Z3206" s="85" t="s">
        <v>82</v>
      </c>
    </row>
    <row r="3207" spans="1:26" ht="6.95" customHeight="1" x14ac:dyDescent="0.3">
      <c r="A3207" s="8"/>
      <c r="B3207" s="157"/>
      <c r="C3207" s="158"/>
      <c r="D3207" s="161" t="s">
        <v>39</v>
      </c>
      <c r="E3207" s="162"/>
      <c r="F3207" s="163" t="s">
        <v>40</v>
      </c>
      <c r="G3207" s="164"/>
      <c r="H3207" s="165"/>
      <c r="I3207" s="164"/>
      <c r="J3207" s="165"/>
      <c r="K3207" s="164"/>
      <c r="L3207" s="165"/>
      <c r="M3207" s="6"/>
      <c r="N3207" s="32"/>
      <c r="Q3207" s="10" t="str">
        <f>+CONCATENATE(E3207,G3207)</f>
        <v/>
      </c>
      <c r="R3207" s="10">
        <f>+H3207</f>
        <v>0</v>
      </c>
      <c r="S3207" s="11"/>
      <c r="T3207" s="10">
        <f>+E3207</f>
        <v>0</v>
      </c>
      <c r="U3207" s="19" t="str">
        <f t="shared" ref="U3207" si="1741">IFERROR(LEFT(G3207,FIND("*",G3207)-1),"-")</f>
        <v>-</v>
      </c>
      <c r="V3207" s="19" t="str">
        <f t="shared" ref="V3207" si="1742">IFERROR(RIGHT(G3207,LEN(G3207)-FIND("*",G3207)),"-")</f>
        <v>-</v>
      </c>
      <c r="W3207" s="20" t="str">
        <f t="shared" si="1738"/>
        <v>-</v>
      </c>
      <c r="X3207" s="20" t="str">
        <f>IFERROR(W3207*H3207,"-")</f>
        <v>-</v>
      </c>
      <c r="Z3207" s="85" t="s">
        <v>82</v>
      </c>
    </row>
    <row r="3208" spans="1:26" ht="6.95" customHeight="1" x14ac:dyDescent="0.3">
      <c r="A3208" s="5"/>
      <c r="B3208" s="157"/>
      <c r="C3208" s="158"/>
      <c r="D3208" s="161"/>
      <c r="E3208" s="162"/>
      <c r="F3208" s="163"/>
      <c r="G3208" s="164"/>
      <c r="H3208" s="165"/>
      <c r="I3208" s="164"/>
      <c r="J3208" s="165"/>
      <c r="K3208" s="164"/>
      <c r="L3208" s="165"/>
      <c r="M3208" s="6"/>
      <c r="N3208" s="32"/>
      <c r="Q3208" s="10" t="str">
        <f>+CONCATENATE(E3207,I3207)</f>
        <v/>
      </c>
      <c r="R3208" s="10">
        <f>+J3207</f>
        <v>0</v>
      </c>
      <c r="S3208" s="11"/>
      <c r="T3208" s="10">
        <f>+E3207</f>
        <v>0</v>
      </c>
      <c r="U3208" s="19" t="str">
        <f>IFERROR(LEFT(I3207,FIND("*",I3207)-1),"-")</f>
        <v>-</v>
      </c>
      <c r="V3208" s="19" t="str">
        <f>IFERROR(RIGHT(I3207,LEN(I3207)-FIND("*",I3207)),"-")</f>
        <v>-</v>
      </c>
      <c r="W3208" s="20" t="str">
        <f t="shared" si="1738"/>
        <v>-</v>
      </c>
      <c r="X3208" s="20" t="str">
        <f t="shared" ref="X3208" si="1743">IFERROR(W3208*J3207,"-")</f>
        <v>-</v>
      </c>
      <c r="Z3208" s="85" t="s">
        <v>82</v>
      </c>
    </row>
    <row r="3209" spans="1:26" ht="6.95" customHeight="1" x14ac:dyDescent="0.3">
      <c r="A3209" s="5"/>
      <c r="B3209" s="157"/>
      <c r="C3209" s="158"/>
      <c r="D3209" s="161"/>
      <c r="E3209" s="162"/>
      <c r="F3209" s="163"/>
      <c r="G3209" s="164"/>
      <c r="H3209" s="165"/>
      <c r="I3209" s="164"/>
      <c r="J3209" s="165"/>
      <c r="K3209" s="164"/>
      <c r="L3209" s="165"/>
      <c r="M3209" s="6"/>
      <c r="N3209" s="32"/>
      <c r="Q3209" s="10" t="str">
        <f>+CONCATENATE(E3207,K3207)</f>
        <v/>
      </c>
      <c r="R3209" s="10">
        <f>+L3207</f>
        <v>0</v>
      </c>
      <c r="S3209" s="11"/>
      <c r="T3209" s="10">
        <f>+E3207</f>
        <v>0</v>
      </c>
      <c r="U3209" s="19" t="str">
        <f>IFERROR(LEFT(K3207,FIND("*",K3207)-1),"-")</f>
        <v>-</v>
      </c>
      <c r="V3209" s="19" t="str">
        <f>IFERROR(RIGHT(K3207,LEN(K3207)-FIND("*",K3207)),"-")</f>
        <v>-</v>
      </c>
      <c r="W3209" s="20" t="str">
        <f t="shared" si="1738"/>
        <v>-</v>
      </c>
      <c r="X3209" s="20" t="str">
        <f>IFERROR(W3209*L3207,"-")</f>
        <v>-</v>
      </c>
      <c r="Z3209" s="85" t="s">
        <v>82</v>
      </c>
    </row>
    <row r="3210" spans="1:26" ht="21" customHeight="1" thickBot="1" x14ac:dyDescent="0.35">
      <c r="A3210" s="5"/>
      <c r="B3210" s="159"/>
      <c r="C3210" s="160"/>
      <c r="D3210" s="166" t="s">
        <v>43</v>
      </c>
      <c r="E3210" s="167"/>
      <c r="F3210" s="167"/>
      <c r="G3210" s="168"/>
      <c r="H3210" s="168"/>
      <c r="I3210" s="168"/>
      <c r="J3210" s="168"/>
      <c r="K3210" s="168"/>
      <c r="L3210" s="168"/>
      <c r="M3210" s="7"/>
      <c r="N3210" s="32"/>
      <c r="Z3210" s="86" t="s">
        <v>81</v>
      </c>
    </row>
    <row r="3211" spans="1:26" ht="9.9499999999999993" customHeight="1" thickBot="1" x14ac:dyDescent="0.35">
      <c r="B3211" s="9"/>
      <c r="C3211" s="109"/>
      <c r="D3211" s="51"/>
      <c r="E3211" s="12"/>
      <c r="F3211" s="51"/>
      <c r="G3211" s="14"/>
      <c r="H3211" s="14"/>
      <c r="I3211" s="14"/>
      <c r="J3211" s="14"/>
      <c r="K3211" s="14"/>
      <c r="L3211" s="14"/>
      <c r="M3211" s="9"/>
      <c r="N3211" s="32"/>
      <c r="U3211" s="18"/>
      <c r="V3211" s="18"/>
      <c r="Z3211" s="85" t="s">
        <v>82</v>
      </c>
    </row>
    <row r="3212" spans="1:26" ht="6.95" customHeight="1" x14ac:dyDescent="0.3">
      <c r="A3212" s="154">
        <f>+A3201+1</f>
        <v>1091</v>
      </c>
      <c r="B3212" s="155"/>
      <c r="C3212" s="156"/>
      <c r="D3212" s="161" t="s">
        <v>39</v>
      </c>
      <c r="E3212" s="162"/>
      <c r="F3212" s="163" t="s">
        <v>40</v>
      </c>
      <c r="G3212" s="164"/>
      <c r="H3212" s="165"/>
      <c r="I3212" s="164"/>
      <c r="J3212" s="165"/>
      <c r="K3212" s="164"/>
      <c r="L3212" s="165"/>
      <c r="M3212" s="6"/>
      <c r="N3212" s="32"/>
      <c r="Q3212" s="10" t="str">
        <f>+CONCATENATE(E3212,G3212)</f>
        <v/>
      </c>
      <c r="R3212" s="10">
        <f>+H3212</f>
        <v>0</v>
      </c>
      <c r="S3212" s="11"/>
      <c r="T3212" s="10">
        <f>+E3212</f>
        <v>0</v>
      </c>
      <c r="U3212" s="19" t="str">
        <f>IFERROR(LEFT(G3212,FIND("*",G3212)-1),"-")</f>
        <v>-</v>
      </c>
      <c r="V3212" s="19" t="str">
        <f>IFERROR(RIGHT(G3212,LEN(G3212)-FIND("*",G3212)),"-")</f>
        <v>-</v>
      </c>
      <c r="W3212" s="20" t="str">
        <f>IFERROR((U3212+V3212)*2/1000,"-")</f>
        <v>-</v>
      </c>
      <c r="X3212" s="20" t="str">
        <f>IFERROR(W3212*H3212,"-")</f>
        <v>-</v>
      </c>
      <c r="Z3212" s="85" t="s">
        <v>82</v>
      </c>
    </row>
    <row r="3213" spans="1:26" ht="6.95" customHeight="1" x14ac:dyDescent="0.3">
      <c r="A3213" s="154"/>
      <c r="B3213" s="157"/>
      <c r="C3213" s="158"/>
      <c r="D3213" s="161"/>
      <c r="E3213" s="162"/>
      <c r="F3213" s="163"/>
      <c r="G3213" s="164"/>
      <c r="H3213" s="165"/>
      <c r="I3213" s="164"/>
      <c r="J3213" s="165"/>
      <c r="K3213" s="164"/>
      <c r="L3213" s="165"/>
      <c r="M3213" s="6"/>
      <c r="N3213" s="32"/>
      <c r="Q3213" s="10" t="str">
        <f>+CONCATENATE(E3212,I3212)</f>
        <v/>
      </c>
      <c r="R3213" s="10">
        <f>+J3212</f>
        <v>0</v>
      </c>
      <c r="S3213" s="11"/>
      <c r="T3213" s="10">
        <f>+E3212</f>
        <v>0</v>
      </c>
      <c r="U3213" s="19" t="str">
        <f>IFERROR(LEFT(I3212,FIND("*",I3212)-1),"-")</f>
        <v>-</v>
      </c>
      <c r="V3213" s="19" t="str">
        <f>IFERROR(RIGHT(I3212,LEN(I3212)-FIND("*",I3212)),"-")</f>
        <v>-</v>
      </c>
      <c r="W3213" s="20" t="str">
        <f t="shared" ref="W3213:W3220" si="1744">IFERROR((U3213+V3213)*2/1000,"-")</f>
        <v>-</v>
      </c>
      <c r="X3213" s="20" t="str">
        <f>IFERROR(W3213*J3212,"-")</f>
        <v>-</v>
      </c>
      <c r="Z3213" s="85" t="s">
        <v>82</v>
      </c>
    </row>
    <row r="3214" spans="1:26" ht="6.95" customHeight="1" x14ac:dyDescent="0.3">
      <c r="A3214" s="154"/>
      <c r="B3214" s="157"/>
      <c r="C3214" s="158"/>
      <c r="D3214" s="161"/>
      <c r="E3214" s="162"/>
      <c r="F3214" s="163"/>
      <c r="G3214" s="164"/>
      <c r="H3214" s="165"/>
      <c r="I3214" s="164"/>
      <c r="J3214" s="165"/>
      <c r="K3214" s="164"/>
      <c r="L3214" s="165"/>
      <c r="M3214" s="6"/>
      <c r="N3214" s="32"/>
      <c r="Q3214" s="10" t="str">
        <f>+CONCATENATE(E3212,K3212)</f>
        <v/>
      </c>
      <c r="R3214" s="10">
        <f>+L3212</f>
        <v>0</v>
      </c>
      <c r="S3214" s="11"/>
      <c r="T3214" s="10">
        <f>+E3212</f>
        <v>0</v>
      </c>
      <c r="U3214" s="19" t="str">
        <f>IFERROR(LEFT(K3212,FIND("*",K3212)-1),"-")</f>
        <v>-</v>
      </c>
      <c r="V3214" s="19" t="str">
        <f>IFERROR(RIGHT(K3212,LEN(K3212)-FIND("*",K3212)),"-")</f>
        <v>-</v>
      </c>
      <c r="W3214" s="20" t="str">
        <f t="shared" si="1744"/>
        <v>-</v>
      </c>
      <c r="X3214" s="20" t="str">
        <f>IFERROR(W3214*L3212,"-")</f>
        <v>-</v>
      </c>
      <c r="Z3214" s="85" t="s">
        <v>82</v>
      </c>
    </row>
    <row r="3215" spans="1:26" ht="6.95" customHeight="1" x14ac:dyDescent="0.3">
      <c r="A3215" s="8"/>
      <c r="B3215" s="157"/>
      <c r="C3215" s="158"/>
      <c r="D3215" s="161" t="s">
        <v>39</v>
      </c>
      <c r="E3215" s="162"/>
      <c r="F3215" s="163" t="s">
        <v>40</v>
      </c>
      <c r="G3215" s="164"/>
      <c r="H3215" s="165"/>
      <c r="I3215" s="164"/>
      <c r="J3215" s="165"/>
      <c r="K3215" s="164"/>
      <c r="L3215" s="165"/>
      <c r="M3215" s="6"/>
      <c r="N3215" s="32"/>
      <c r="Q3215" s="10" t="str">
        <f>+CONCATENATE(E3215,G3215)</f>
        <v/>
      </c>
      <c r="R3215" s="10">
        <f>+H3215</f>
        <v>0</v>
      </c>
      <c r="S3215" s="11"/>
      <c r="T3215" s="10">
        <f>+E3215</f>
        <v>0</v>
      </c>
      <c r="U3215" s="19" t="str">
        <f t="shared" ref="U3215" si="1745">IFERROR(LEFT(G3215,FIND("*",G3215)-1),"-")</f>
        <v>-</v>
      </c>
      <c r="V3215" s="19" t="str">
        <f t="shared" ref="V3215" si="1746">IFERROR(RIGHT(G3215,LEN(G3215)-FIND("*",G3215)),"-")</f>
        <v>-</v>
      </c>
      <c r="W3215" s="20" t="str">
        <f t="shared" si="1744"/>
        <v>-</v>
      </c>
      <c r="X3215" s="20" t="str">
        <f>IFERROR(W3215*H3215,"-")</f>
        <v>-</v>
      </c>
      <c r="Z3215" s="85" t="s">
        <v>82</v>
      </c>
    </row>
    <row r="3216" spans="1:26" ht="6.95" customHeight="1" x14ac:dyDescent="0.3">
      <c r="A3216" s="5"/>
      <c r="B3216" s="157"/>
      <c r="C3216" s="158"/>
      <c r="D3216" s="161"/>
      <c r="E3216" s="162"/>
      <c r="F3216" s="163"/>
      <c r="G3216" s="164"/>
      <c r="H3216" s="165"/>
      <c r="I3216" s="164"/>
      <c r="J3216" s="165"/>
      <c r="K3216" s="164"/>
      <c r="L3216" s="165"/>
      <c r="M3216" s="6"/>
      <c r="N3216" s="32"/>
      <c r="Q3216" s="10" t="str">
        <f>+CONCATENATE(E3215,I3215)</f>
        <v/>
      </c>
      <c r="R3216" s="10">
        <f>+J3215</f>
        <v>0</v>
      </c>
      <c r="S3216" s="11"/>
      <c r="T3216" s="10">
        <f>+E3215</f>
        <v>0</v>
      </c>
      <c r="U3216" s="19" t="str">
        <f>IFERROR(LEFT(I3215,FIND("*",I3215)-1),"-")</f>
        <v>-</v>
      </c>
      <c r="V3216" s="19" t="str">
        <f>IFERROR(RIGHT(I3215,LEN(I3215)-FIND("*",I3215)),"-")</f>
        <v>-</v>
      </c>
      <c r="W3216" s="20" t="str">
        <f t="shared" si="1744"/>
        <v>-</v>
      </c>
      <c r="X3216" s="20" t="str">
        <f>IFERROR(W3216*J3215,"-")</f>
        <v>-</v>
      </c>
      <c r="Z3216" s="85" t="s">
        <v>82</v>
      </c>
    </row>
    <row r="3217" spans="1:26" ht="6.95" customHeight="1" x14ac:dyDescent="0.3">
      <c r="A3217" s="5"/>
      <c r="B3217" s="157"/>
      <c r="C3217" s="158"/>
      <c r="D3217" s="161"/>
      <c r="E3217" s="162"/>
      <c r="F3217" s="163"/>
      <c r="G3217" s="164"/>
      <c r="H3217" s="165"/>
      <c r="I3217" s="164"/>
      <c r="J3217" s="165"/>
      <c r="K3217" s="164"/>
      <c r="L3217" s="165"/>
      <c r="M3217" s="6"/>
      <c r="N3217" s="32"/>
      <c r="Q3217" s="10" t="str">
        <f>+CONCATENATE(E3215,K3215)</f>
        <v/>
      </c>
      <c r="R3217" s="10">
        <f>+L3215</f>
        <v>0</v>
      </c>
      <c r="S3217" s="11"/>
      <c r="T3217" s="10">
        <f>+E3215</f>
        <v>0</v>
      </c>
      <c r="U3217" s="19" t="str">
        <f>IFERROR(LEFT(K3215,FIND("*",K3215)-1),"-")</f>
        <v>-</v>
      </c>
      <c r="V3217" s="19" t="str">
        <f>IFERROR(RIGHT(K3215,LEN(K3215)-FIND("*",K3215)),"-")</f>
        <v>-</v>
      </c>
      <c r="W3217" s="20" t="str">
        <f t="shared" si="1744"/>
        <v>-</v>
      </c>
      <c r="X3217" s="20" t="str">
        <f>IFERROR(W3217*L3215,"-")</f>
        <v>-</v>
      </c>
      <c r="Z3217" s="85" t="s">
        <v>82</v>
      </c>
    </row>
    <row r="3218" spans="1:26" ht="6.95" customHeight="1" x14ac:dyDescent="0.3">
      <c r="A3218" s="8"/>
      <c r="B3218" s="157"/>
      <c r="C3218" s="158"/>
      <c r="D3218" s="161" t="s">
        <v>39</v>
      </c>
      <c r="E3218" s="162"/>
      <c r="F3218" s="163" t="s">
        <v>40</v>
      </c>
      <c r="G3218" s="164"/>
      <c r="H3218" s="165"/>
      <c r="I3218" s="164"/>
      <c r="J3218" s="165"/>
      <c r="K3218" s="164"/>
      <c r="L3218" s="165"/>
      <c r="M3218" s="6"/>
      <c r="N3218" s="32"/>
      <c r="Q3218" s="10" t="str">
        <f>+CONCATENATE(E3218,G3218)</f>
        <v/>
      </c>
      <c r="R3218" s="10">
        <f>+H3218</f>
        <v>0</v>
      </c>
      <c r="S3218" s="11"/>
      <c r="T3218" s="10">
        <f>+E3218</f>
        <v>0</v>
      </c>
      <c r="U3218" s="19" t="str">
        <f t="shared" ref="U3218" si="1747">IFERROR(LEFT(G3218,FIND("*",G3218)-1),"-")</f>
        <v>-</v>
      </c>
      <c r="V3218" s="19" t="str">
        <f t="shared" ref="V3218" si="1748">IFERROR(RIGHT(G3218,LEN(G3218)-FIND("*",G3218)),"-")</f>
        <v>-</v>
      </c>
      <c r="W3218" s="20" t="str">
        <f t="shared" si="1744"/>
        <v>-</v>
      </c>
      <c r="X3218" s="20" t="str">
        <f>IFERROR(W3218*H3218,"-")</f>
        <v>-</v>
      </c>
      <c r="Z3218" s="85" t="s">
        <v>82</v>
      </c>
    </row>
    <row r="3219" spans="1:26" ht="6.95" customHeight="1" x14ac:dyDescent="0.3">
      <c r="A3219" s="5"/>
      <c r="B3219" s="157"/>
      <c r="C3219" s="158"/>
      <c r="D3219" s="161"/>
      <c r="E3219" s="162"/>
      <c r="F3219" s="163"/>
      <c r="G3219" s="164"/>
      <c r="H3219" s="165"/>
      <c r="I3219" s="164"/>
      <c r="J3219" s="165"/>
      <c r="K3219" s="164"/>
      <c r="L3219" s="165"/>
      <c r="M3219" s="6"/>
      <c r="N3219" s="32"/>
      <c r="Q3219" s="10" t="str">
        <f>+CONCATENATE(E3218,I3218)</f>
        <v/>
      </c>
      <c r="R3219" s="10">
        <f>+J3218</f>
        <v>0</v>
      </c>
      <c r="S3219" s="11"/>
      <c r="T3219" s="10">
        <f>+E3218</f>
        <v>0</v>
      </c>
      <c r="U3219" s="19" t="str">
        <f>IFERROR(LEFT(I3218,FIND("*",I3218)-1),"-")</f>
        <v>-</v>
      </c>
      <c r="V3219" s="19" t="str">
        <f>IFERROR(RIGHT(I3218,LEN(I3218)-FIND("*",I3218)),"-")</f>
        <v>-</v>
      </c>
      <c r="W3219" s="20" t="str">
        <f t="shared" si="1744"/>
        <v>-</v>
      </c>
      <c r="X3219" s="20" t="str">
        <f t="shared" ref="X3219" si="1749">IFERROR(W3219*J3218,"-")</f>
        <v>-</v>
      </c>
      <c r="Z3219" s="85" t="s">
        <v>82</v>
      </c>
    </row>
    <row r="3220" spans="1:26" ht="6.95" customHeight="1" x14ac:dyDescent="0.3">
      <c r="A3220" s="5"/>
      <c r="B3220" s="157"/>
      <c r="C3220" s="158"/>
      <c r="D3220" s="161"/>
      <c r="E3220" s="162"/>
      <c r="F3220" s="163"/>
      <c r="G3220" s="164"/>
      <c r="H3220" s="165"/>
      <c r="I3220" s="164"/>
      <c r="J3220" s="165"/>
      <c r="K3220" s="164"/>
      <c r="L3220" s="165"/>
      <c r="M3220" s="6"/>
      <c r="N3220" s="32"/>
      <c r="Q3220" s="10" t="str">
        <f>+CONCATENATE(E3218,K3218)</f>
        <v/>
      </c>
      <c r="R3220" s="10">
        <f>+L3218</f>
        <v>0</v>
      </c>
      <c r="S3220" s="11"/>
      <c r="T3220" s="10">
        <f>+E3218</f>
        <v>0</v>
      </c>
      <c r="U3220" s="19" t="str">
        <f>IFERROR(LEFT(K3218,FIND("*",K3218)-1),"-")</f>
        <v>-</v>
      </c>
      <c r="V3220" s="19" t="str">
        <f>IFERROR(RIGHT(K3218,LEN(K3218)-FIND("*",K3218)),"-")</f>
        <v>-</v>
      </c>
      <c r="W3220" s="20" t="str">
        <f t="shared" si="1744"/>
        <v>-</v>
      </c>
      <c r="X3220" s="20" t="str">
        <f>IFERROR(W3220*L3218,"-")</f>
        <v>-</v>
      </c>
      <c r="Z3220" s="85" t="s">
        <v>82</v>
      </c>
    </row>
    <row r="3221" spans="1:26" ht="21" customHeight="1" thickBot="1" x14ac:dyDescent="0.35">
      <c r="A3221" s="5"/>
      <c r="B3221" s="159"/>
      <c r="C3221" s="160"/>
      <c r="D3221" s="166" t="s">
        <v>43</v>
      </c>
      <c r="E3221" s="167"/>
      <c r="F3221" s="167"/>
      <c r="G3221" s="168"/>
      <c r="H3221" s="168"/>
      <c r="I3221" s="168"/>
      <c r="J3221" s="168"/>
      <c r="K3221" s="168"/>
      <c r="L3221" s="168"/>
      <c r="M3221" s="7"/>
      <c r="N3221" s="32"/>
      <c r="Z3221" s="86" t="s">
        <v>81</v>
      </c>
    </row>
    <row r="3222" spans="1:26" ht="9.9499999999999993" customHeight="1" thickBot="1" x14ac:dyDescent="0.35">
      <c r="B3222" s="9"/>
      <c r="C3222" s="109"/>
      <c r="D3222" s="51"/>
      <c r="E3222" s="12"/>
      <c r="F3222" s="51"/>
      <c r="G3222" s="14"/>
      <c r="H3222" s="14"/>
      <c r="I3222" s="14"/>
      <c r="J3222" s="14"/>
      <c r="K3222" s="14"/>
      <c r="L3222" s="14"/>
      <c r="M3222" s="9"/>
      <c r="N3222" s="32"/>
      <c r="U3222" s="18"/>
      <c r="V3222" s="18"/>
      <c r="Z3222" s="85" t="s">
        <v>82</v>
      </c>
    </row>
    <row r="3223" spans="1:26" ht="6.95" customHeight="1" x14ac:dyDescent="0.3">
      <c r="A3223" s="154">
        <f>+A3212+1</f>
        <v>1092</v>
      </c>
      <c r="B3223" s="155"/>
      <c r="C3223" s="156"/>
      <c r="D3223" s="161" t="s">
        <v>39</v>
      </c>
      <c r="E3223" s="162"/>
      <c r="F3223" s="163" t="s">
        <v>40</v>
      </c>
      <c r="G3223" s="164"/>
      <c r="H3223" s="165"/>
      <c r="I3223" s="164"/>
      <c r="J3223" s="165"/>
      <c r="K3223" s="164"/>
      <c r="L3223" s="165"/>
      <c r="M3223" s="6"/>
      <c r="N3223" s="32"/>
      <c r="Q3223" s="10" t="str">
        <f>+CONCATENATE(E3223,G3223)</f>
        <v/>
      </c>
      <c r="R3223" s="10">
        <f>+H3223</f>
        <v>0</v>
      </c>
      <c r="S3223" s="11"/>
      <c r="T3223" s="10">
        <f>+E3223</f>
        <v>0</v>
      </c>
      <c r="U3223" s="19" t="str">
        <f>IFERROR(LEFT(G3223,FIND("*",G3223)-1),"-")</f>
        <v>-</v>
      </c>
      <c r="V3223" s="19" t="str">
        <f>IFERROR(RIGHT(G3223,LEN(G3223)-FIND("*",G3223)),"-")</f>
        <v>-</v>
      </c>
      <c r="W3223" s="20" t="str">
        <f>IFERROR((U3223+V3223)*2/1000,"-")</f>
        <v>-</v>
      </c>
      <c r="X3223" s="20" t="str">
        <f>IFERROR(W3223*H3223,"-")</f>
        <v>-</v>
      </c>
      <c r="Z3223" s="85" t="s">
        <v>82</v>
      </c>
    </row>
    <row r="3224" spans="1:26" ht="6.95" customHeight="1" x14ac:dyDescent="0.3">
      <c r="A3224" s="154"/>
      <c r="B3224" s="157"/>
      <c r="C3224" s="158"/>
      <c r="D3224" s="161"/>
      <c r="E3224" s="162"/>
      <c r="F3224" s="163"/>
      <c r="G3224" s="164"/>
      <c r="H3224" s="165"/>
      <c r="I3224" s="164"/>
      <c r="J3224" s="165"/>
      <c r="K3224" s="164"/>
      <c r="L3224" s="165"/>
      <c r="M3224" s="6"/>
      <c r="N3224" s="32"/>
      <c r="Q3224" s="10" t="str">
        <f>+CONCATENATE(E3223,I3223)</f>
        <v/>
      </c>
      <c r="R3224" s="10">
        <f>+J3223</f>
        <v>0</v>
      </c>
      <c r="S3224" s="11"/>
      <c r="T3224" s="10">
        <f>+E3223</f>
        <v>0</v>
      </c>
      <c r="U3224" s="19" t="str">
        <f>IFERROR(LEFT(I3223,FIND("*",I3223)-1),"-")</f>
        <v>-</v>
      </c>
      <c r="V3224" s="19" t="str">
        <f>IFERROR(RIGHT(I3223,LEN(I3223)-FIND("*",I3223)),"-")</f>
        <v>-</v>
      </c>
      <c r="W3224" s="20" t="str">
        <f t="shared" ref="W3224:W3231" si="1750">IFERROR((U3224+V3224)*2/1000,"-")</f>
        <v>-</v>
      </c>
      <c r="X3224" s="20" t="str">
        <f>IFERROR(W3224*J3223,"-")</f>
        <v>-</v>
      </c>
      <c r="Z3224" s="85" t="s">
        <v>82</v>
      </c>
    </row>
    <row r="3225" spans="1:26" ht="6.95" customHeight="1" x14ac:dyDescent="0.3">
      <c r="A3225" s="154"/>
      <c r="B3225" s="157"/>
      <c r="C3225" s="158"/>
      <c r="D3225" s="161"/>
      <c r="E3225" s="162"/>
      <c r="F3225" s="163"/>
      <c r="G3225" s="164"/>
      <c r="H3225" s="165"/>
      <c r="I3225" s="164"/>
      <c r="J3225" s="165"/>
      <c r="K3225" s="164"/>
      <c r="L3225" s="165"/>
      <c r="M3225" s="6"/>
      <c r="N3225" s="32"/>
      <c r="Q3225" s="10" t="str">
        <f>+CONCATENATE(E3223,K3223)</f>
        <v/>
      </c>
      <c r="R3225" s="10">
        <f>+L3223</f>
        <v>0</v>
      </c>
      <c r="S3225" s="11"/>
      <c r="T3225" s="10">
        <f>+E3223</f>
        <v>0</v>
      </c>
      <c r="U3225" s="19" t="str">
        <f>IFERROR(LEFT(K3223,FIND("*",K3223)-1),"-")</f>
        <v>-</v>
      </c>
      <c r="V3225" s="19" t="str">
        <f>IFERROR(RIGHT(K3223,LEN(K3223)-FIND("*",K3223)),"-")</f>
        <v>-</v>
      </c>
      <c r="W3225" s="20" t="str">
        <f t="shared" si="1750"/>
        <v>-</v>
      </c>
      <c r="X3225" s="20" t="str">
        <f>IFERROR(W3225*L3223,"-")</f>
        <v>-</v>
      </c>
      <c r="Z3225" s="85" t="s">
        <v>82</v>
      </c>
    </row>
    <row r="3226" spans="1:26" ht="6.95" customHeight="1" x14ac:dyDescent="0.3">
      <c r="A3226" s="8"/>
      <c r="B3226" s="157"/>
      <c r="C3226" s="158"/>
      <c r="D3226" s="161" t="s">
        <v>39</v>
      </c>
      <c r="E3226" s="162"/>
      <c r="F3226" s="163" t="s">
        <v>40</v>
      </c>
      <c r="G3226" s="164"/>
      <c r="H3226" s="165"/>
      <c r="I3226" s="164"/>
      <c r="J3226" s="165"/>
      <c r="K3226" s="164"/>
      <c r="L3226" s="165"/>
      <c r="M3226" s="6"/>
      <c r="N3226" s="32"/>
      <c r="Q3226" s="10" t="str">
        <f>+CONCATENATE(E3226,G3226)</f>
        <v/>
      </c>
      <c r="R3226" s="10">
        <f>+H3226</f>
        <v>0</v>
      </c>
      <c r="S3226" s="11"/>
      <c r="T3226" s="10">
        <f>+E3226</f>
        <v>0</v>
      </c>
      <c r="U3226" s="19" t="str">
        <f t="shared" ref="U3226" si="1751">IFERROR(LEFT(G3226,FIND("*",G3226)-1),"-")</f>
        <v>-</v>
      </c>
      <c r="V3226" s="19" t="str">
        <f t="shared" ref="V3226" si="1752">IFERROR(RIGHT(G3226,LEN(G3226)-FIND("*",G3226)),"-")</f>
        <v>-</v>
      </c>
      <c r="W3226" s="20" t="str">
        <f t="shared" si="1750"/>
        <v>-</v>
      </c>
      <c r="X3226" s="20" t="str">
        <f>IFERROR(W3226*H3226,"-")</f>
        <v>-</v>
      </c>
      <c r="Z3226" s="85" t="s">
        <v>82</v>
      </c>
    </row>
    <row r="3227" spans="1:26" ht="6.95" customHeight="1" x14ac:dyDescent="0.3">
      <c r="A3227" s="5"/>
      <c r="B3227" s="157"/>
      <c r="C3227" s="158"/>
      <c r="D3227" s="161"/>
      <c r="E3227" s="162"/>
      <c r="F3227" s="163"/>
      <c r="G3227" s="164"/>
      <c r="H3227" s="165"/>
      <c r="I3227" s="164"/>
      <c r="J3227" s="165"/>
      <c r="K3227" s="164"/>
      <c r="L3227" s="165"/>
      <c r="M3227" s="6"/>
      <c r="N3227" s="32"/>
      <c r="Q3227" s="10" t="str">
        <f>+CONCATENATE(E3226,I3226)</f>
        <v/>
      </c>
      <c r="R3227" s="10">
        <f>+J3226</f>
        <v>0</v>
      </c>
      <c r="S3227" s="11"/>
      <c r="T3227" s="10">
        <f>+E3226</f>
        <v>0</v>
      </c>
      <c r="U3227" s="19" t="str">
        <f>IFERROR(LEFT(I3226,FIND("*",I3226)-1),"-")</f>
        <v>-</v>
      </c>
      <c r="V3227" s="19" t="str">
        <f>IFERROR(RIGHT(I3226,LEN(I3226)-FIND("*",I3226)),"-")</f>
        <v>-</v>
      </c>
      <c r="W3227" s="20" t="str">
        <f t="shared" si="1750"/>
        <v>-</v>
      </c>
      <c r="X3227" s="20" t="str">
        <f>IFERROR(W3227*J3226,"-")</f>
        <v>-</v>
      </c>
      <c r="Z3227" s="85" t="s">
        <v>82</v>
      </c>
    </row>
    <row r="3228" spans="1:26" ht="6.95" customHeight="1" x14ac:dyDescent="0.3">
      <c r="A3228" s="5"/>
      <c r="B3228" s="157"/>
      <c r="C3228" s="158"/>
      <c r="D3228" s="161"/>
      <c r="E3228" s="162"/>
      <c r="F3228" s="163"/>
      <c r="G3228" s="164"/>
      <c r="H3228" s="165"/>
      <c r="I3228" s="164"/>
      <c r="J3228" s="165"/>
      <c r="K3228" s="164"/>
      <c r="L3228" s="165"/>
      <c r="M3228" s="6"/>
      <c r="N3228" s="32"/>
      <c r="Q3228" s="10" t="str">
        <f>+CONCATENATE(E3226,K3226)</f>
        <v/>
      </c>
      <c r="R3228" s="10">
        <f>+L3226</f>
        <v>0</v>
      </c>
      <c r="S3228" s="11"/>
      <c r="T3228" s="10">
        <f>+E3226</f>
        <v>0</v>
      </c>
      <c r="U3228" s="19" t="str">
        <f>IFERROR(LEFT(K3226,FIND("*",K3226)-1),"-")</f>
        <v>-</v>
      </c>
      <c r="V3228" s="19" t="str">
        <f>IFERROR(RIGHT(K3226,LEN(K3226)-FIND("*",K3226)),"-")</f>
        <v>-</v>
      </c>
      <c r="W3228" s="20" t="str">
        <f t="shared" si="1750"/>
        <v>-</v>
      </c>
      <c r="X3228" s="20" t="str">
        <f>IFERROR(W3228*L3226,"-")</f>
        <v>-</v>
      </c>
      <c r="Z3228" s="85" t="s">
        <v>82</v>
      </c>
    </row>
    <row r="3229" spans="1:26" ht="6.95" customHeight="1" x14ac:dyDescent="0.3">
      <c r="A3229" s="8"/>
      <c r="B3229" s="157"/>
      <c r="C3229" s="158"/>
      <c r="D3229" s="161" t="s">
        <v>39</v>
      </c>
      <c r="E3229" s="162"/>
      <c r="F3229" s="163" t="s">
        <v>40</v>
      </c>
      <c r="G3229" s="164"/>
      <c r="H3229" s="165"/>
      <c r="I3229" s="164"/>
      <c r="J3229" s="165"/>
      <c r="K3229" s="164"/>
      <c r="L3229" s="165"/>
      <c r="M3229" s="6"/>
      <c r="N3229" s="32"/>
      <c r="Q3229" s="10" t="str">
        <f>+CONCATENATE(E3229,G3229)</f>
        <v/>
      </c>
      <c r="R3229" s="10">
        <f>+H3229</f>
        <v>0</v>
      </c>
      <c r="S3229" s="11"/>
      <c r="T3229" s="10">
        <f>+E3229</f>
        <v>0</v>
      </c>
      <c r="U3229" s="19" t="str">
        <f t="shared" ref="U3229" si="1753">IFERROR(LEFT(G3229,FIND("*",G3229)-1),"-")</f>
        <v>-</v>
      </c>
      <c r="V3229" s="19" t="str">
        <f t="shared" ref="V3229" si="1754">IFERROR(RIGHT(G3229,LEN(G3229)-FIND("*",G3229)),"-")</f>
        <v>-</v>
      </c>
      <c r="W3229" s="20" t="str">
        <f t="shared" si="1750"/>
        <v>-</v>
      </c>
      <c r="X3229" s="20" t="str">
        <f>IFERROR(W3229*H3229,"-")</f>
        <v>-</v>
      </c>
      <c r="Z3229" s="85" t="s">
        <v>82</v>
      </c>
    </row>
    <row r="3230" spans="1:26" ht="6.95" customHeight="1" x14ac:dyDescent="0.3">
      <c r="A3230" s="5"/>
      <c r="B3230" s="157"/>
      <c r="C3230" s="158"/>
      <c r="D3230" s="161"/>
      <c r="E3230" s="162"/>
      <c r="F3230" s="163"/>
      <c r="G3230" s="164"/>
      <c r="H3230" s="165"/>
      <c r="I3230" s="164"/>
      <c r="J3230" s="165"/>
      <c r="K3230" s="164"/>
      <c r="L3230" s="165"/>
      <c r="M3230" s="6"/>
      <c r="N3230" s="32"/>
      <c r="Q3230" s="10" t="str">
        <f>+CONCATENATE(E3229,I3229)</f>
        <v/>
      </c>
      <c r="R3230" s="10">
        <f>+J3229</f>
        <v>0</v>
      </c>
      <c r="S3230" s="11"/>
      <c r="T3230" s="10">
        <f>+E3229</f>
        <v>0</v>
      </c>
      <c r="U3230" s="19" t="str">
        <f>IFERROR(LEFT(I3229,FIND("*",I3229)-1),"-")</f>
        <v>-</v>
      </c>
      <c r="V3230" s="19" t="str">
        <f>IFERROR(RIGHT(I3229,LEN(I3229)-FIND("*",I3229)),"-")</f>
        <v>-</v>
      </c>
      <c r="W3230" s="20" t="str">
        <f t="shared" si="1750"/>
        <v>-</v>
      </c>
      <c r="X3230" s="20" t="str">
        <f t="shared" ref="X3230" si="1755">IFERROR(W3230*J3229,"-")</f>
        <v>-</v>
      </c>
      <c r="Z3230" s="85" t="s">
        <v>82</v>
      </c>
    </row>
    <row r="3231" spans="1:26" ht="6.95" customHeight="1" x14ac:dyDescent="0.3">
      <c r="A3231" s="5"/>
      <c r="B3231" s="157"/>
      <c r="C3231" s="158"/>
      <c r="D3231" s="161"/>
      <c r="E3231" s="162"/>
      <c r="F3231" s="163"/>
      <c r="G3231" s="164"/>
      <c r="H3231" s="165"/>
      <c r="I3231" s="164"/>
      <c r="J3231" s="165"/>
      <c r="K3231" s="164"/>
      <c r="L3231" s="165"/>
      <c r="M3231" s="6"/>
      <c r="N3231" s="32"/>
      <c r="Q3231" s="10" t="str">
        <f>+CONCATENATE(E3229,K3229)</f>
        <v/>
      </c>
      <c r="R3231" s="10">
        <f>+L3229</f>
        <v>0</v>
      </c>
      <c r="S3231" s="11"/>
      <c r="T3231" s="10">
        <f>+E3229</f>
        <v>0</v>
      </c>
      <c r="U3231" s="19" t="str">
        <f>IFERROR(LEFT(K3229,FIND("*",K3229)-1),"-")</f>
        <v>-</v>
      </c>
      <c r="V3231" s="19" t="str">
        <f>IFERROR(RIGHT(K3229,LEN(K3229)-FIND("*",K3229)),"-")</f>
        <v>-</v>
      </c>
      <c r="W3231" s="20" t="str">
        <f t="shared" si="1750"/>
        <v>-</v>
      </c>
      <c r="X3231" s="20" t="str">
        <f>IFERROR(W3231*L3229,"-")</f>
        <v>-</v>
      </c>
      <c r="Z3231" s="85" t="s">
        <v>82</v>
      </c>
    </row>
    <row r="3232" spans="1:26" ht="21" customHeight="1" thickBot="1" x14ac:dyDescent="0.35">
      <c r="A3232" s="5"/>
      <c r="B3232" s="159"/>
      <c r="C3232" s="160"/>
      <c r="D3232" s="166" t="s">
        <v>43</v>
      </c>
      <c r="E3232" s="167"/>
      <c r="F3232" s="167"/>
      <c r="G3232" s="168"/>
      <c r="H3232" s="168"/>
      <c r="I3232" s="168"/>
      <c r="J3232" s="168"/>
      <c r="K3232" s="168"/>
      <c r="L3232" s="168"/>
      <c r="M3232" s="7"/>
      <c r="N3232" s="32"/>
      <c r="Z3232" s="86" t="s">
        <v>81</v>
      </c>
    </row>
    <row r="3233" spans="1:26" ht="9.9499999999999993" customHeight="1" thickBot="1" x14ac:dyDescent="0.35">
      <c r="B3233" s="9"/>
      <c r="C3233" s="109"/>
      <c r="D3233" s="51"/>
      <c r="E3233" s="12"/>
      <c r="F3233" s="51"/>
      <c r="G3233" s="14"/>
      <c r="H3233" s="14"/>
      <c r="I3233" s="14"/>
      <c r="J3233" s="14"/>
      <c r="K3233" s="14"/>
      <c r="L3233" s="14"/>
      <c r="M3233" s="9"/>
      <c r="N3233" s="32"/>
      <c r="U3233" s="18"/>
      <c r="V3233" s="18"/>
      <c r="Z3233" s="85" t="s">
        <v>82</v>
      </c>
    </row>
    <row r="3234" spans="1:26" ht="6.95" customHeight="1" x14ac:dyDescent="0.3">
      <c r="A3234" s="154">
        <f>+A3223+1</f>
        <v>1093</v>
      </c>
      <c r="B3234" s="155"/>
      <c r="C3234" s="156"/>
      <c r="D3234" s="161" t="s">
        <v>39</v>
      </c>
      <c r="E3234" s="162"/>
      <c r="F3234" s="163" t="s">
        <v>40</v>
      </c>
      <c r="G3234" s="164"/>
      <c r="H3234" s="165"/>
      <c r="I3234" s="164"/>
      <c r="J3234" s="165"/>
      <c r="K3234" s="164"/>
      <c r="L3234" s="165"/>
      <c r="M3234" s="6"/>
      <c r="N3234" s="32"/>
      <c r="Q3234" s="10" t="str">
        <f>+CONCATENATE(E3234,G3234)</f>
        <v/>
      </c>
      <c r="R3234" s="10">
        <f>+H3234</f>
        <v>0</v>
      </c>
      <c r="S3234" s="11"/>
      <c r="T3234" s="10">
        <f>+E3234</f>
        <v>0</v>
      </c>
      <c r="U3234" s="19" t="str">
        <f>IFERROR(LEFT(G3234,FIND("*",G3234)-1),"-")</f>
        <v>-</v>
      </c>
      <c r="V3234" s="19" t="str">
        <f>IFERROR(RIGHT(G3234,LEN(G3234)-FIND("*",G3234)),"-")</f>
        <v>-</v>
      </c>
      <c r="W3234" s="20" t="str">
        <f>IFERROR((U3234+V3234)*2/1000,"-")</f>
        <v>-</v>
      </c>
      <c r="X3234" s="20" t="str">
        <f>IFERROR(W3234*H3234,"-")</f>
        <v>-</v>
      </c>
      <c r="Z3234" s="85" t="s">
        <v>82</v>
      </c>
    </row>
    <row r="3235" spans="1:26" ht="6.95" customHeight="1" x14ac:dyDescent="0.3">
      <c r="A3235" s="154"/>
      <c r="B3235" s="157"/>
      <c r="C3235" s="158"/>
      <c r="D3235" s="161"/>
      <c r="E3235" s="162"/>
      <c r="F3235" s="163"/>
      <c r="G3235" s="164"/>
      <c r="H3235" s="165"/>
      <c r="I3235" s="164"/>
      <c r="J3235" s="165"/>
      <c r="K3235" s="164"/>
      <c r="L3235" s="165"/>
      <c r="M3235" s="6"/>
      <c r="N3235" s="32"/>
      <c r="Q3235" s="10" t="str">
        <f>+CONCATENATE(E3234,I3234)</f>
        <v/>
      </c>
      <c r="R3235" s="10">
        <f>+J3234</f>
        <v>0</v>
      </c>
      <c r="S3235" s="11"/>
      <c r="T3235" s="10">
        <f>+E3234</f>
        <v>0</v>
      </c>
      <c r="U3235" s="19" t="str">
        <f>IFERROR(LEFT(I3234,FIND("*",I3234)-1),"-")</f>
        <v>-</v>
      </c>
      <c r="V3235" s="19" t="str">
        <f>IFERROR(RIGHT(I3234,LEN(I3234)-FIND("*",I3234)),"-")</f>
        <v>-</v>
      </c>
      <c r="W3235" s="20" t="str">
        <f t="shared" ref="W3235:W3242" si="1756">IFERROR((U3235+V3235)*2/1000,"-")</f>
        <v>-</v>
      </c>
      <c r="X3235" s="20" t="str">
        <f>IFERROR(W3235*J3234,"-")</f>
        <v>-</v>
      </c>
      <c r="Z3235" s="85" t="s">
        <v>82</v>
      </c>
    </row>
    <row r="3236" spans="1:26" ht="6.95" customHeight="1" x14ac:dyDescent="0.3">
      <c r="A3236" s="154"/>
      <c r="B3236" s="157"/>
      <c r="C3236" s="158"/>
      <c r="D3236" s="161"/>
      <c r="E3236" s="162"/>
      <c r="F3236" s="163"/>
      <c r="G3236" s="164"/>
      <c r="H3236" s="165"/>
      <c r="I3236" s="164"/>
      <c r="J3236" s="165"/>
      <c r="K3236" s="164"/>
      <c r="L3236" s="165"/>
      <c r="M3236" s="6"/>
      <c r="N3236" s="32"/>
      <c r="Q3236" s="10" t="str">
        <f>+CONCATENATE(E3234,K3234)</f>
        <v/>
      </c>
      <c r="R3236" s="10">
        <f>+L3234</f>
        <v>0</v>
      </c>
      <c r="S3236" s="11"/>
      <c r="T3236" s="10">
        <f>+E3234</f>
        <v>0</v>
      </c>
      <c r="U3236" s="19" t="str">
        <f>IFERROR(LEFT(K3234,FIND("*",K3234)-1),"-")</f>
        <v>-</v>
      </c>
      <c r="V3236" s="19" t="str">
        <f>IFERROR(RIGHT(K3234,LEN(K3234)-FIND("*",K3234)),"-")</f>
        <v>-</v>
      </c>
      <c r="W3236" s="20" t="str">
        <f t="shared" si="1756"/>
        <v>-</v>
      </c>
      <c r="X3236" s="20" t="str">
        <f>IFERROR(W3236*L3234,"-")</f>
        <v>-</v>
      </c>
      <c r="Z3236" s="85" t="s">
        <v>82</v>
      </c>
    </row>
    <row r="3237" spans="1:26" ht="6.95" customHeight="1" x14ac:dyDescent="0.3">
      <c r="A3237" s="8"/>
      <c r="B3237" s="157"/>
      <c r="C3237" s="158"/>
      <c r="D3237" s="161" t="s">
        <v>39</v>
      </c>
      <c r="E3237" s="162"/>
      <c r="F3237" s="163" t="s">
        <v>40</v>
      </c>
      <c r="G3237" s="164"/>
      <c r="H3237" s="165"/>
      <c r="I3237" s="164"/>
      <c r="J3237" s="165"/>
      <c r="K3237" s="164"/>
      <c r="L3237" s="165"/>
      <c r="M3237" s="6"/>
      <c r="N3237" s="32"/>
      <c r="Q3237" s="10" t="str">
        <f>+CONCATENATE(E3237,G3237)</f>
        <v/>
      </c>
      <c r="R3237" s="10">
        <f>+H3237</f>
        <v>0</v>
      </c>
      <c r="S3237" s="11"/>
      <c r="T3237" s="10">
        <f>+E3237</f>
        <v>0</v>
      </c>
      <c r="U3237" s="19" t="str">
        <f t="shared" ref="U3237" si="1757">IFERROR(LEFT(G3237,FIND("*",G3237)-1),"-")</f>
        <v>-</v>
      </c>
      <c r="V3237" s="19" t="str">
        <f t="shared" ref="V3237" si="1758">IFERROR(RIGHT(G3237,LEN(G3237)-FIND("*",G3237)),"-")</f>
        <v>-</v>
      </c>
      <c r="W3237" s="20" t="str">
        <f t="shared" si="1756"/>
        <v>-</v>
      </c>
      <c r="X3237" s="20" t="str">
        <f>IFERROR(W3237*H3237,"-")</f>
        <v>-</v>
      </c>
      <c r="Z3237" s="85" t="s">
        <v>82</v>
      </c>
    </row>
    <row r="3238" spans="1:26" ht="6.95" customHeight="1" x14ac:dyDescent="0.3">
      <c r="A3238" s="5"/>
      <c r="B3238" s="157"/>
      <c r="C3238" s="158"/>
      <c r="D3238" s="161"/>
      <c r="E3238" s="162"/>
      <c r="F3238" s="163"/>
      <c r="G3238" s="164"/>
      <c r="H3238" s="165"/>
      <c r="I3238" s="164"/>
      <c r="J3238" s="165"/>
      <c r="K3238" s="164"/>
      <c r="L3238" s="165"/>
      <c r="M3238" s="6"/>
      <c r="N3238" s="32"/>
      <c r="Q3238" s="10" t="str">
        <f>+CONCATENATE(E3237,I3237)</f>
        <v/>
      </c>
      <c r="R3238" s="10">
        <f>+J3237</f>
        <v>0</v>
      </c>
      <c r="S3238" s="11"/>
      <c r="T3238" s="10">
        <f>+E3237</f>
        <v>0</v>
      </c>
      <c r="U3238" s="19" t="str">
        <f>IFERROR(LEFT(I3237,FIND("*",I3237)-1),"-")</f>
        <v>-</v>
      </c>
      <c r="V3238" s="19" t="str">
        <f>IFERROR(RIGHT(I3237,LEN(I3237)-FIND("*",I3237)),"-")</f>
        <v>-</v>
      </c>
      <c r="W3238" s="20" t="str">
        <f t="shared" si="1756"/>
        <v>-</v>
      </c>
      <c r="X3238" s="20" t="str">
        <f>IFERROR(W3238*J3237,"-")</f>
        <v>-</v>
      </c>
      <c r="Z3238" s="85" t="s">
        <v>82</v>
      </c>
    </row>
    <row r="3239" spans="1:26" ht="6.95" customHeight="1" x14ac:dyDescent="0.3">
      <c r="A3239" s="5"/>
      <c r="B3239" s="157"/>
      <c r="C3239" s="158"/>
      <c r="D3239" s="161"/>
      <c r="E3239" s="162"/>
      <c r="F3239" s="163"/>
      <c r="G3239" s="164"/>
      <c r="H3239" s="165"/>
      <c r="I3239" s="164"/>
      <c r="J3239" s="165"/>
      <c r="K3239" s="164"/>
      <c r="L3239" s="165"/>
      <c r="M3239" s="6"/>
      <c r="N3239" s="32"/>
      <c r="Q3239" s="10" t="str">
        <f>+CONCATENATE(E3237,K3237)</f>
        <v/>
      </c>
      <c r="R3239" s="10">
        <f>+L3237</f>
        <v>0</v>
      </c>
      <c r="S3239" s="11"/>
      <c r="T3239" s="10">
        <f>+E3237</f>
        <v>0</v>
      </c>
      <c r="U3239" s="19" t="str">
        <f>IFERROR(LEFT(K3237,FIND("*",K3237)-1),"-")</f>
        <v>-</v>
      </c>
      <c r="V3239" s="19" t="str">
        <f>IFERROR(RIGHT(K3237,LEN(K3237)-FIND("*",K3237)),"-")</f>
        <v>-</v>
      </c>
      <c r="W3239" s="20" t="str">
        <f t="shared" si="1756"/>
        <v>-</v>
      </c>
      <c r="X3239" s="20" t="str">
        <f>IFERROR(W3239*L3237,"-")</f>
        <v>-</v>
      </c>
      <c r="Z3239" s="85" t="s">
        <v>82</v>
      </c>
    </row>
    <row r="3240" spans="1:26" ht="6.95" customHeight="1" x14ac:dyDescent="0.3">
      <c r="A3240" s="8"/>
      <c r="B3240" s="157"/>
      <c r="C3240" s="158"/>
      <c r="D3240" s="161" t="s">
        <v>39</v>
      </c>
      <c r="E3240" s="162"/>
      <c r="F3240" s="163" t="s">
        <v>40</v>
      </c>
      <c r="G3240" s="164"/>
      <c r="H3240" s="165"/>
      <c r="I3240" s="164"/>
      <c r="J3240" s="165"/>
      <c r="K3240" s="164"/>
      <c r="L3240" s="165"/>
      <c r="M3240" s="6"/>
      <c r="N3240" s="32"/>
      <c r="Q3240" s="10" t="str">
        <f>+CONCATENATE(E3240,G3240)</f>
        <v/>
      </c>
      <c r="R3240" s="10">
        <f>+H3240</f>
        <v>0</v>
      </c>
      <c r="S3240" s="11"/>
      <c r="T3240" s="10">
        <f>+E3240</f>
        <v>0</v>
      </c>
      <c r="U3240" s="19" t="str">
        <f t="shared" ref="U3240" si="1759">IFERROR(LEFT(G3240,FIND("*",G3240)-1),"-")</f>
        <v>-</v>
      </c>
      <c r="V3240" s="19" t="str">
        <f t="shared" ref="V3240" si="1760">IFERROR(RIGHT(G3240,LEN(G3240)-FIND("*",G3240)),"-")</f>
        <v>-</v>
      </c>
      <c r="W3240" s="20" t="str">
        <f t="shared" si="1756"/>
        <v>-</v>
      </c>
      <c r="X3240" s="20" t="str">
        <f>IFERROR(W3240*H3240,"-")</f>
        <v>-</v>
      </c>
      <c r="Z3240" s="85" t="s">
        <v>82</v>
      </c>
    </row>
    <row r="3241" spans="1:26" ht="6.95" customHeight="1" x14ac:dyDescent="0.3">
      <c r="A3241" s="5"/>
      <c r="B3241" s="157"/>
      <c r="C3241" s="158"/>
      <c r="D3241" s="161"/>
      <c r="E3241" s="162"/>
      <c r="F3241" s="163"/>
      <c r="G3241" s="164"/>
      <c r="H3241" s="165"/>
      <c r="I3241" s="164"/>
      <c r="J3241" s="165"/>
      <c r="K3241" s="164"/>
      <c r="L3241" s="165"/>
      <c r="M3241" s="6"/>
      <c r="N3241" s="32"/>
      <c r="Q3241" s="10" t="str">
        <f>+CONCATENATE(E3240,I3240)</f>
        <v/>
      </c>
      <c r="R3241" s="10">
        <f>+J3240</f>
        <v>0</v>
      </c>
      <c r="S3241" s="11"/>
      <c r="T3241" s="10">
        <f>+E3240</f>
        <v>0</v>
      </c>
      <c r="U3241" s="19" t="str">
        <f>IFERROR(LEFT(I3240,FIND("*",I3240)-1),"-")</f>
        <v>-</v>
      </c>
      <c r="V3241" s="19" t="str">
        <f>IFERROR(RIGHT(I3240,LEN(I3240)-FIND("*",I3240)),"-")</f>
        <v>-</v>
      </c>
      <c r="W3241" s="20" t="str">
        <f t="shared" si="1756"/>
        <v>-</v>
      </c>
      <c r="X3241" s="20" t="str">
        <f t="shared" ref="X3241" si="1761">IFERROR(W3241*J3240,"-")</f>
        <v>-</v>
      </c>
      <c r="Z3241" s="85" t="s">
        <v>82</v>
      </c>
    </row>
    <row r="3242" spans="1:26" ht="6.95" customHeight="1" x14ac:dyDescent="0.3">
      <c r="A3242" s="5"/>
      <c r="B3242" s="157"/>
      <c r="C3242" s="158"/>
      <c r="D3242" s="161"/>
      <c r="E3242" s="162"/>
      <c r="F3242" s="163"/>
      <c r="G3242" s="164"/>
      <c r="H3242" s="165"/>
      <c r="I3242" s="164"/>
      <c r="J3242" s="165"/>
      <c r="K3242" s="164"/>
      <c r="L3242" s="165"/>
      <c r="M3242" s="6"/>
      <c r="N3242" s="32"/>
      <c r="Q3242" s="10" t="str">
        <f>+CONCATENATE(E3240,K3240)</f>
        <v/>
      </c>
      <c r="R3242" s="10">
        <f>+L3240</f>
        <v>0</v>
      </c>
      <c r="S3242" s="11"/>
      <c r="T3242" s="10">
        <f>+E3240</f>
        <v>0</v>
      </c>
      <c r="U3242" s="19" t="str">
        <f>IFERROR(LEFT(K3240,FIND("*",K3240)-1),"-")</f>
        <v>-</v>
      </c>
      <c r="V3242" s="19" t="str">
        <f>IFERROR(RIGHT(K3240,LEN(K3240)-FIND("*",K3240)),"-")</f>
        <v>-</v>
      </c>
      <c r="W3242" s="20" t="str">
        <f t="shared" si="1756"/>
        <v>-</v>
      </c>
      <c r="X3242" s="20" t="str">
        <f>IFERROR(W3242*L3240,"-")</f>
        <v>-</v>
      </c>
      <c r="Z3242" s="85" t="s">
        <v>82</v>
      </c>
    </row>
    <row r="3243" spans="1:26" ht="21" customHeight="1" thickBot="1" x14ac:dyDescent="0.35">
      <c r="A3243" s="5"/>
      <c r="B3243" s="159"/>
      <c r="C3243" s="160"/>
      <c r="D3243" s="166" t="s">
        <v>43</v>
      </c>
      <c r="E3243" s="167"/>
      <c r="F3243" s="167"/>
      <c r="G3243" s="168"/>
      <c r="H3243" s="168"/>
      <c r="I3243" s="168"/>
      <c r="J3243" s="168"/>
      <c r="K3243" s="168"/>
      <c r="L3243" s="168"/>
      <c r="M3243" s="7"/>
      <c r="N3243" s="32"/>
      <c r="Z3243" s="86" t="s">
        <v>81</v>
      </c>
    </row>
    <row r="3244" spans="1:26" ht="9.9499999999999993" customHeight="1" thickBot="1" x14ac:dyDescent="0.35">
      <c r="B3244" s="9"/>
      <c r="C3244" s="109"/>
      <c r="D3244" s="51"/>
      <c r="E3244" s="12"/>
      <c r="F3244" s="51"/>
      <c r="G3244" s="14"/>
      <c r="H3244" s="14"/>
      <c r="I3244" s="14"/>
      <c r="J3244" s="14"/>
      <c r="K3244" s="14"/>
      <c r="L3244" s="14"/>
      <c r="M3244" s="9"/>
      <c r="N3244" s="32"/>
      <c r="U3244" s="18"/>
      <c r="V3244" s="18"/>
      <c r="Z3244" s="85" t="s">
        <v>82</v>
      </c>
    </row>
    <row r="3245" spans="1:26" ht="6.95" customHeight="1" x14ac:dyDescent="0.3">
      <c r="A3245" s="154">
        <f>+A3234+1</f>
        <v>1094</v>
      </c>
      <c r="B3245" s="155"/>
      <c r="C3245" s="156"/>
      <c r="D3245" s="161" t="s">
        <v>39</v>
      </c>
      <c r="E3245" s="162"/>
      <c r="F3245" s="163" t="s">
        <v>40</v>
      </c>
      <c r="G3245" s="164"/>
      <c r="H3245" s="165"/>
      <c r="I3245" s="164"/>
      <c r="J3245" s="165"/>
      <c r="K3245" s="164"/>
      <c r="L3245" s="165"/>
      <c r="M3245" s="6"/>
      <c r="N3245" s="32"/>
      <c r="Q3245" s="10" t="str">
        <f>+CONCATENATE(E3245,G3245)</f>
        <v/>
      </c>
      <c r="R3245" s="10">
        <f>+H3245</f>
        <v>0</v>
      </c>
      <c r="S3245" s="11"/>
      <c r="T3245" s="10">
        <f>+E3245</f>
        <v>0</v>
      </c>
      <c r="U3245" s="19" t="str">
        <f>IFERROR(LEFT(G3245,FIND("*",G3245)-1),"-")</f>
        <v>-</v>
      </c>
      <c r="V3245" s="19" t="str">
        <f>IFERROR(RIGHT(G3245,LEN(G3245)-FIND("*",G3245)),"-")</f>
        <v>-</v>
      </c>
      <c r="W3245" s="20" t="str">
        <f>IFERROR((U3245+V3245)*2/1000,"-")</f>
        <v>-</v>
      </c>
      <c r="X3245" s="20" t="str">
        <f>IFERROR(W3245*H3245,"-")</f>
        <v>-</v>
      </c>
      <c r="Z3245" s="85" t="s">
        <v>82</v>
      </c>
    </row>
    <row r="3246" spans="1:26" ht="6.95" customHeight="1" x14ac:dyDescent="0.3">
      <c r="A3246" s="154"/>
      <c r="B3246" s="157"/>
      <c r="C3246" s="158"/>
      <c r="D3246" s="161"/>
      <c r="E3246" s="162"/>
      <c r="F3246" s="163"/>
      <c r="G3246" s="164"/>
      <c r="H3246" s="165"/>
      <c r="I3246" s="164"/>
      <c r="J3246" s="165"/>
      <c r="K3246" s="164"/>
      <c r="L3246" s="165"/>
      <c r="M3246" s="6"/>
      <c r="N3246" s="32"/>
      <c r="Q3246" s="10" t="str">
        <f>+CONCATENATE(E3245,I3245)</f>
        <v/>
      </c>
      <c r="R3246" s="10">
        <f>+J3245</f>
        <v>0</v>
      </c>
      <c r="S3246" s="11"/>
      <c r="T3246" s="10">
        <f>+E3245</f>
        <v>0</v>
      </c>
      <c r="U3246" s="19" t="str">
        <f>IFERROR(LEFT(I3245,FIND("*",I3245)-1),"-")</f>
        <v>-</v>
      </c>
      <c r="V3246" s="19" t="str">
        <f>IFERROR(RIGHT(I3245,LEN(I3245)-FIND("*",I3245)),"-")</f>
        <v>-</v>
      </c>
      <c r="W3246" s="20" t="str">
        <f t="shared" ref="W3246:W3253" si="1762">IFERROR((U3246+V3246)*2/1000,"-")</f>
        <v>-</v>
      </c>
      <c r="X3246" s="20" t="str">
        <f>IFERROR(W3246*J3245,"-")</f>
        <v>-</v>
      </c>
      <c r="Z3246" s="85" t="s">
        <v>82</v>
      </c>
    </row>
    <row r="3247" spans="1:26" ht="6.95" customHeight="1" x14ac:dyDescent="0.3">
      <c r="A3247" s="154"/>
      <c r="B3247" s="157"/>
      <c r="C3247" s="158"/>
      <c r="D3247" s="161"/>
      <c r="E3247" s="162"/>
      <c r="F3247" s="163"/>
      <c r="G3247" s="164"/>
      <c r="H3247" s="165"/>
      <c r="I3247" s="164"/>
      <c r="J3247" s="165"/>
      <c r="K3247" s="164"/>
      <c r="L3247" s="165"/>
      <c r="M3247" s="6"/>
      <c r="N3247" s="32"/>
      <c r="Q3247" s="10" t="str">
        <f>+CONCATENATE(E3245,K3245)</f>
        <v/>
      </c>
      <c r="R3247" s="10">
        <f>+L3245</f>
        <v>0</v>
      </c>
      <c r="S3247" s="11"/>
      <c r="T3247" s="10">
        <f>+E3245</f>
        <v>0</v>
      </c>
      <c r="U3247" s="19" t="str">
        <f>IFERROR(LEFT(K3245,FIND("*",K3245)-1),"-")</f>
        <v>-</v>
      </c>
      <c r="V3247" s="19" t="str">
        <f>IFERROR(RIGHT(K3245,LEN(K3245)-FIND("*",K3245)),"-")</f>
        <v>-</v>
      </c>
      <c r="W3247" s="20" t="str">
        <f t="shared" si="1762"/>
        <v>-</v>
      </c>
      <c r="X3247" s="20" t="str">
        <f>IFERROR(W3247*L3245,"-")</f>
        <v>-</v>
      </c>
      <c r="Z3247" s="85" t="s">
        <v>82</v>
      </c>
    </row>
    <row r="3248" spans="1:26" ht="6.95" customHeight="1" x14ac:dyDescent="0.3">
      <c r="A3248" s="8"/>
      <c r="B3248" s="157"/>
      <c r="C3248" s="158"/>
      <c r="D3248" s="161" t="s">
        <v>39</v>
      </c>
      <c r="E3248" s="162"/>
      <c r="F3248" s="163" t="s">
        <v>40</v>
      </c>
      <c r="G3248" s="164"/>
      <c r="H3248" s="165"/>
      <c r="I3248" s="164"/>
      <c r="J3248" s="165"/>
      <c r="K3248" s="164"/>
      <c r="L3248" s="165"/>
      <c r="M3248" s="6"/>
      <c r="N3248" s="32"/>
      <c r="Q3248" s="10" t="str">
        <f>+CONCATENATE(E3248,G3248)</f>
        <v/>
      </c>
      <c r="R3248" s="10">
        <f>+H3248</f>
        <v>0</v>
      </c>
      <c r="S3248" s="11"/>
      <c r="T3248" s="10">
        <f>+E3248</f>
        <v>0</v>
      </c>
      <c r="U3248" s="19" t="str">
        <f t="shared" ref="U3248" si="1763">IFERROR(LEFT(G3248,FIND("*",G3248)-1),"-")</f>
        <v>-</v>
      </c>
      <c r="V3248" s="19" t="str">
        <f t="shared" ref="V3248" si="1764">IFERROR(RIGHT(G3248,LEN(G3248)-FIND("*",G3248)),"-")</f>
        <v>-</v>
      </c>
      <c r="W3248" s="20" t="str">
        <f t="shared" si="1762"/>
        <v>-</v>
      </c>
      <c r="X3248" s="20" t="str">
        <f>IFERROR(W3248*H3248,"-")</f>
        <v>-</v>
      </c>
      <c r="Z3248" s="85" t="s">
        <v>82</v>
      </c>
    </row>
    <row r="3249" spans="1:26" ht="6.95" customHeight="1" x14ac:dyDescent="0.3">
      <c r="A3249" s="5"/>
      <c r="B3249" s="157"/>
      <c r="C3249" s="158"/>
      <c r="D3249" s="161"/>
      <c r="E3249" s="162"/>
      <c r="F3249" s="163"/>
      <c r="G3249" s="164"/>
      <c r="H3249" s="165"/>
      <c r="I3249" s="164"/>
      <c r="J3249" s="165"/>
      <c r="K3249" s="164"/>
      <c r="L3249" s="165"/>
      <c r="M3249" s="6"/>
      <c r="N3249" s="32"/>
      <c r="Q3249" s="10" t="str">
        <f>+CONCATENATE(E3248,I3248)</f>
        <v/>
      </c>
      <c r="R3249" s="10">
        <f>+J3248</f>
        <v>0</v>
      </c>
      <c r="S3249" s="11"/>
      <c r="T3249" s="10">
        <f>+E3248</f>
        <v>0</v>
      </c>
      <c r="U3249" s="19" t="str">
        <f>IFERROR(LEFT(I3248,FIND("*",I3248)-1),"-")</f>
        <v>-</v>
      </c>
      <c r="V3249" s="19" t="str">
        <f>IFERROR(RIGHT(I3248,LEN(I3248)-FIND("*",I3248)),"-")</f>
        <v>-</v>
      </c>
      <c r="W3249" s="20" t="str">
        <f t="shared" si="1762"/>
        <v>-</v>
      </c>
      <c r="X3249" s="20" t="str">
        <f>IFERROR(W3249*J3248,"-")</f>
        <v>-</v>
      </c>
      <c r="Z3249" s="85" t="s">
        <v>82</v>
      </c>
    </row>
    <row r="3250" spans="1:26" ht="6.95" customHeight="1" x14ac:dyDescent="0.3">
      <c r="A3250" s="5"/>
      <c r="B3250" s="157"/>
      <c r="C3250" s="158"/>
      <c r="D3250" s="161"/>
      <c r="E3250" s="162"/>
      <c r="F3250" s="163"/>
      <c r="G3250" s="164"/>
      <c r="H3250" s="165"/>
      <c r="I3250" s="164"/>
      <c r="J3250" s="165"/>
      <c r="K3250" s="164"/>
      <c r="L3250" s="165"/>
      <c r="M3250" s="6"/>
      <c r="N3250" s="32"/>
      <c r="Q3250" s="10" t="str">
        <f>+CONCATENATE(E3248,K3248)</f>
        <v/>
      </c>
      <c r="R3250" s="10">
        <f>+L3248</f>
        <v>0</v>
      </c>
      <c r="S3250" s="11"/>
      <c r="T3250" s="10">
        <f>+E3248</f>
        <v>0</v>
      </c>
      <c r="U3250" s="19" t="str">
        <f>IFERROR(LEFT(K3248,FIND("*",K3248)-1),"-")</f>
        <v>-</v>
      </c>
      <c r="V3250" s="19" t="str">
        <f>IFERROR(RIGHT(K3248,LEN(K3248)-FIND("*",K3248)),"-")</f>
        <v>-</v>
      </c>
      <c r="W3250" s="20" t="str">
        <f t="shared" si="1762"/>
        <v>-</v>
      </c>
      <c r="X3250" s="20" t="str">
        <f>IFERROR(W3250*L3248,"-")</f>
        <v>-</v>
      </c>
      <c r="Z3250" s="85" t="s">
        <v>82</v>
      </c>
    </row>
    <row r="3251" spans="1:26" ht="6.95" customHeight="1" x14ac:dyDescent="0.3">
      <c r="A3251" s="8"/>
      <c r="B3251" s="157"/>
      <c r="C3251" s="158"/>
      <c r="D3251" s="161" t="s">
        <v>39</v>
      </c>
      <c r="E3251" s="162"/>
      <c r="F3251" s="163" t="s">
        <v>40</v>
      </c>
      <c r="G3251" s="164"/>
      <c r="H3251" s="165"/>
      <c r="I3251" s="164"/>
      <c r="J3251" s="165"/>
      <c r="K3251" s="164"/>
      <c r="L3251" s="165"/>
      <c r="M3251" s="6"/>
      <c r="N3251" s="32"/>
      <c r="Q3251" s="10" t="str">
        <f>+CONCATENATE(E3251,G3251)</f>
        <v/>
      </c>
      <c r="R3251" s="10">
        <f>+H3251</f>
        <v>0</v>
      </c>
      <c r="S3251" s="11"/>
      <c r="T3251" s="10">
        <f>+E3251</f>
        <v>0</v>
      </c>
      <c r="U3251" s="19" t="str">
        <f t="shared" ref="U3251" si="1765">IFERROR(LEFT(G3251,FIND("*",G3251)-1),"-")</f>
        <v>-</v>
      </c>
      <c r="V3251" s="19" t="str">
        <f t="shared" ref="V3251" si="1766">IFERROR(RIGHT(G3251,LEN(G3251)-FIND("*",G3251)),"-")</f>
        <v>-</v>
      </c>
      <c r="W3251" s="20" t="str">
        <f t="shared" si="1762"/>
        <v>-</v>
      </c>
      <c r="X3251" s="20" t="str">
        <f>IFERROR(W3251*H3251,"-")</f>
        <v>-</v>
      </c>
      <c r="Z3251" s="85" t="s">
        <v>82</v>
      </c>
    </row>
    <row r="3252" spans="1:26" ht="6.95" customHeight="1" x14ac:dyDescent="0.3">
      <c r="A3252" s="5"/>
      <c r="B3252" s="157"/>
      <c r="C3252" s="158"/>
      <c r="D3252" s="161"/>
      <c r="E3252" s="162"/>
      <c r="F3252" s="163"/>
      <c r="G3252" s="164"/>
      <c r="H3252" s="165"/>
      <c r="I3252" s="164"/>
      <c r="J3252" s="165"/>
      <c r="K3252" s="164"/>
      <c r="L3252" s="165"/>
      <c r="M3252" s="6"/>
      <c r="N3252" s="32"/>
      <c r="Q3252" s="10" t="str">
        <f>+CONCATENATE(E3251,I3251)</f>
        <v/>
      </c>
      <c r="R3252" s="10">
        <f>+J3251</f>
        <v>0</v>
      </c>
      <c r="S3252" s="11"/>
      <c r="T3252" s="10">
        <f>+E3251</f>
        <v>0</v>
      </c>
      <c r="U3252" s="19" t="str">
        <f>IFERROR(LEFT(I3251,FIND("*",I3251)-1),"-")</f>
        <v>-</v>
      </c>
      <c r="V3252" s="19" t="str">
        <f>IFERROR(RIGHT(I3251,LEN(I3251)-FIND("*",I3251)),"-")</f>
        <v>-</v>
      </c>
      <c r="W3252" s="20" t="str">
        <f t="shared" si="1762"/>
        <v>-</v>
      </c>
      <c r="X3252" s="20" t="str">
        <f t="shared" ref="X3252" si="1767">IFERROR(W3252*J3251,"-")</f>
        <v>-</v>
      </c>
      <c r="Z3252" s="85" t="s">
        <v>82</v>
      </c>
    </row>
    <row r="3253" spans="1:26" ht="6.95" customHeight="1" x14ac:dyDescent="0.3">
      <c r="A3253" s="5"/>
      <c r="B3253" s="157"/>
      <c r="C3253" s="158"/>
      <c r="D3253" s="161"/>
      <c r="E3253" s="162"/>
      <c r="F3253" s="163"/>
      <c r="G3253" s="164"/>
      <c r="H3253" s="165"/>
      <c r="I3253" s="164"/>
      <c r="J3253" s="165"/>
      <c r="K3253" s="164"/>
      <c r="L3253" s="165"/>
      <c r="M3253" s="6"/>
      <c r="N3253" s="32"/>
      <c r="Q3253" s="10" t="str">
        <f>+CONCATENATE(E3251,K3251)</f>
        <v/>
      </c>
      <c r="R3253" s="10">
        <f>+L3251</f>
        <v>0</v>
      </c>
      <c r="S3253" s="11"/>
      <c r="T3253" s="10">
        <f>+E3251</f>
        <v>0</v>
      </c>
      <c r="U3253" s="19" t="str">
        <f>IFERROR(LEFT(K3251,FIND("*",K3251)-1),"-")</f>
        <v>-</v>
      </c>
      <c r="V3253" s="19" t="str">
        <f>IFERROR(RIGHT(K3251,LEN(K3251)-FIND("*",K3251)),"-")</f>
        <v>-</v>
      </c>
      <c r="W3253" s="20" t="str">
        <f t="shared" si="1762"/>
        <v>-</v>
      </c>
      <c r="X3253" s="20" t="str">
        <f>IFERROR(W3253*L3251,"-")</f>
        <v>-</v>
      </c>
      <c r="Z3253" s="85" t="s">
        <v>82</v>
      </c>
    </row>
    <row r="3254" spans="1:26" ht="21" customHeight="1" thickBot="1" x14ac:dyDescent="0.35">
      <c r="A3254" s="5"/>
      <c r="B3254" s="159"/>
      <c r="C3254" s="160"/>
      <c r="D3254" s="166" t="s">
        <v>43</v>
      </c>
      <c r="E3254" s="167"/>
      <c r="F3254" s="167"/>
      <c r="G3254" s="168"/>
      <c r="H3254" s="168"/>
      <c r="I3254" s="168"/>
      <c r="J3254" s="168"/>
      <c r="K3254" s="168"/>
      <c r="L3254" s="168"/>
      <c r="M3254" s="7"/>
      <c r="N3254" s="32"/>
      <c r="Z3254" s="86" t="s">
        <v>81</v>
      </c>
    </row>
    <row r="3255" spans="1:26" ht="9.9499999999999993" customHeight="1" thickBot="1" x14ac:dyDescent="0.35">
      <c r="B3255" s="9"/>
      <c r="C3255" s="109"/>
      <c r="D3255" s="51"/>
      <c r="E3255" s="12"/>
      <c r="F3255" s="51"/>
      <c r="G3255" s="14"/>
      <c r="H3255" s="14"/>
      <c r="I3255" s="14"/>
      <c r="J3255" s="14"/>
      <c r="K3255" s="14"/>
      <c r="L3255" s="14"/>
      <c r="M3255" s="9"/>
      <c r="N3255" s="32"/>
      <c r="U3255" s="18"/>
      <c r="V3255" s="18"/>
      <c r="Z3255" s="85" t="s">
        <v>82</v>
      </c>
    </row>
    <row r="3256" spans="1:26" ht="6.95" customHeight="1" x14ac:dyDescent="0.3">
      <c r="A3256" s="154">
        <f>+A3245+1</f>
        <v>1095</v>
      </c>
      <c r="B3256" s="155"/>
      <c r="C3256" s="156"/>
      <c r="D3256" s="161" t="s">
        <v>39</v>
      </c>
      <c r="E3256" s="162"/>
      <c r="F3256" s="163" t="s">
        <v>40</v>
      </c>
      <c r="G3256" s="164"/>
      <c r="H3256" s="165"/>
      <c r="I3256" s="164"/>
      <c r="J3256" s="165"/>
      <c r="K3256" s="164"/>
      <c r="L3256" s="165"/>
      <c r="M3256" s="6"/>
      <c r="N3256" s="32"/>
      <c r="Q3256" s="10" t="str">
        <f>+CONCATENATE(E3256,G3256)</f>
        <v/>
      </c>
      <c r="R3256" s="10">
        <f>+H3256</f>
        <v>0</v>
      </c>
      <c r="S3256" s="11"/>
      <c r="T3256" s="10">
        <f>+E3256</f>
        <v>0</v>
      </c>
      <c r="U3256" s="19" t="str">
        <f>IFERROR(LEFT(G3256,FIND("*",G3256)-1),"-")</f>
        <v>-</v>
      </c>
      <c r="V3256" s="19" t="str">
        <f>IFERROR(RIGHT(G3256,LEN(G3256)-FIND("*",G3256)),"-")</f>
        <v>-</v>
      </c>
      <c r="W3256" s="20" t="str">
        <f>IFERROR((U3256+V3256)*2/1000,"-")</f>
        <v>-</v>
      </c>
      <c r="X3256" s="20" t="str">
        <f>IFERROR(W3256*H3256,"-")</f>
        <v>-</v>
      </c>
      <c r="Z3256" s="85" t="s">
        <v>82</v>
      </c>
    </row>
    <row r="3257" spans="1:26" ht="6.95" customHeight="1" x14ac:dyDescent="0.3">
      <c r="A3257" s="154"/>
      <c r="B3257" s="157"/>
      <c r="C3257" s="158"/>
      <c r="D3257" s="161"/>
      <c r="E3257" s="162"/>
      <c r="F3257" s="163"/>
      <c r="G3257" s="164"/>
      <c r="H3257" s="165"/>
      <c r="I3257" s="164"/>
      <c r="J3257" s="165"/>
      <c r="K3257" s="164"/>
      <c r="L3257" s="165"/>
      <c r="M3257" s="6"/>
      <c r="N3257" s="32"/>
      <c r="Q3257" s="10" t="str">
        <f>+CONCATENATE(E3256,I3256)</f>
        <v/>
      </c>
      <c r="R3257" s="10">
        <f>+J3256</f>
        <v>0</v>
      </c>
      <c r="S3257" s="11"/>
      <c r="T3257" s="10">
        <f>+E3256</f>
        <v>0</v>
      </c>
      <c r="U3257" s="19" t="str">
        <f>IFERROR(LEFT(I3256,FIND("*",I3256)-1),"-")</f>
        <v>-</v>
      </c>
      <c r="V3257" s="19" t="str">
        <f>IFERROR(RIGHT(I3256,LEN(I3256)-FIND("*",I3256)),"-")</f>
        <v>-</v>
      </c>
      <c r="W3257" s="20" t="str">
        <f t="shared" ref="W3257:W3264" si="1768">IFERROR((U3257+V3257)*2/1000,"-")</f>
        <v>-</v>
      </c>
      <c r="X3257" s="20" t="str">
        <f>IFERROR(W3257*J3256,"-")</f>
        <v>-</v>
      </c>
      <c r="Z3257" s="85" t="s">
        <v>82</v>
      </c>
    </row>
    <row r="3258" spans="1:26" ht="6.95" customHeight="1" x14ac:dyDescent="0.3">
      <c r="A3258" s="154"/>
      <c r="B3258" s="157"/>
      <c r="C3258" s="158"/>
      <c r="D3258" s="161"/>
      <c r="E3258" s="162"/>
      <c r="F3258" s="163"/>
      <c r="G3258" s="164"/>
      <c r="H3258" s="165"/>
      <c r="I3258" s="164"/>
      <c r="J3258" s="165"/>
      <c r="K3258" s="164"/>
      <c r="L3258" s="165"/>
      <c r="M3258" s="6"/>
      <c r="N3258" s="32"/>
      <c r="Q3258" s="10" t="str">
        <f>+CONCATENATE(E3256,K3256)</f>
        <v/>
      </c>
      <c r="R3258" s="10">
        <f>+L3256</f>
        <v>0</v>
      </c>
      <c r="S3258" s="11"/>
      <c r="T3258" s="10">
        <f>+E3256</f>
        <v>0</v>
      </c>
      <c r="U3258" s="19" t="str">
        <f>IFERROR(LEFT(K3256,FIND("*",K3256)-1),"-")</f>
        <v>-</v>
      </c>
      <c r="V3258" s="19" t="str">
        <f>IFERROR(RIGHT(K3256,LEN(K3256)-FIND("*",K3256)),"-")</f>
        <v>-</v>
      </c>
      <c r="W3258" s="20" t="str">
        <f t="shared" si="1768"/>
        <v>-</v>
      </c>
      <c r="X3258" s="20" t="str">
        <f>IFERROR(W3258*L3256,"-")</f>
        <v>-</v>
      </c>
      <c r="Z3258" s="85" t="s">
        <v>82</v>
      </c>
    </row>
    <row r="3259" spans="1:26" ht="6.95" customHeight="1" x14ac:dyDescent="0.3">
      <c r="A3259" s="8"/>
      <c r="B3259" s="157"/>
      <c r="C3259" s="158"/>
      <c r="D3259" s="161" t="s">
        <v>39</v>
      </c>
      <c r="E3259" s="162"/>
      <c r="F3259" s="163" t="s">
        <v>40</v>
      </c>
      <c r="G3259" s="164"/>
      <c r="H3259" s="165"/>
      <c r="I3259" s="164"/>
      <c r="J3259" s="165"/>
      <c r="K3259" s="164"/>
      <c r="L3259" s="165"/>
      <c r="M3259" s="6"/>
      <c r="N3259" s="32"/>
      <c r="Q3259" s="10" t="str">
        <f>+CONCATENATE(E3259,G3259)</f>
        <v/>
      </c>
      <c r="R3259" s="10">
        <f>+H3259</f>
        <v>0</v>
      </c>
      <c r="S3259" s="11"/>
      <c r="T3259" s="10">
        <f>+E3259</f>
        <v>0</v>
      </c>
      <c r="U3259" s="19" t="str">
        <f t="shared" ref="U3259" si="1769">IFERROR(LEFT(G3259,FIND("*",G3259)-1),"-")</f>
        <v>-</v>
      </c>
      <c r="V3259" s="19" t="str">
        <f t="shared" ref="V3259" si="1770">IFERROR(RIGHT(G3259,LEN(G3259)-FIND("*",G3259)),"-")</f>
        <v>-</v>
      </c>
      <c r="W3259" s="20" t="str">
        <f t="shared" si="1768"/>
        <v>-</v>
      </c>
      <c r="X3259" s="20" t="str">
        <f>IFERROR(W3259*H3259,"-")</f>
        <v>-</v>
      </c>
      <c r="Z3259" s="85" t="s">
        <v>82</v>
      </c>
    </row>
    <row r="3260" spans="1:26" ht="6.95" customHeight="1" x14ac:dyDescent="0.3">
      <c r="A3260" s="5"/>
      <c r="B3260" s="157"/>
      <c r="C3260" s="158"/>
      <c r="D3260" s="161"/>
      <c r="E3260" s="162"/>
      <c r="F3260" s="163"/>
      <c r="G3260" s="164"/>
      <c r="H3260" s="165"/>
      <c r="I3260" s="164"/>
      <c r="J3260" s="165"/>
      <c r="K3260" s="164"/>
      <c r="L3260" s="165"/>
      <c r="M3260" s="6"/>
      <c r="N3260" s="32"/>
      <c r="Q3260" s="10" t="str">
        <f>+CONCATENATE(E3259,I3259)</f>
        <v/>
      </c>
      <c r="R3260" s="10">
        <f>+J3259</f>
        <v>0</v>
      </c>
      <c r="S3260" s="11"/>
      <c r="T3260" s="10">
        <f>+E3259</f>
        <v>0</v>
      </c>
      <c r="U3260" s="19" t="str">
        <f>IFERROR(LEFT(I3259,FIND("*",I3259)-1),"-")</f>
        <v>-</v>
      </c>
      <c r="V3260" s="19" t="str">
        <f>IFERROR(RIGHT(I3259,LEN(I3259)-FIND("*",I3259)),"-")</f>
        <v>-</v>
      </c>
      <c r="W3260" s="20" t="str">
        <f t="shared" si="1768"/>
        <v>-</v>
      </c>
      <c r="X3260" s="20" t="str">
        <f>IFERROR(W3260*J3259,"-")</f>
        <v>-</v>
      </c>
      <c r="Z3260" s="85" t="s">
        <v>82</v>
      </c>
    </row>
    <row r="3261" spans="1:26" ht="6.95" customHeight="1" x14ac:dyDescent="0.3">
      <c r="A3261" s="5"/>
      <c r="B3261" s="157"/>
      <c r="C3261" s="158"/>
      <c r="D3261" s="161"/>
      <c r="E3261" s="162"/>
      <c r="F3261" s="163"/>
      <c r="G3261" s="164"/>
      <c r="H3261" s="165"/>
      <c r="I3261" s="164"/>
      <c r="J3261" s="165"/>
      <c r="K3261" s="164"/>
      <c r="L3261" s="165"/>
      <c r="M3261" s="6"/>
      <c r="N3261" s="32"/>
      <c r="Q3261" s="10" t="str">
        <f>+CONCATENATE(E3259,K3259)</f>
        <v/>
      </c>
      <c r="R3261" s="10">
        <f>+L3259</f>
        <v>0</v>
      </c>
      <c r="S3261" s="11"/>
      <c r="T3261" s="10">
        <f>+E3259</f>
        <v>0</v>
      </c>
      <c r="U3261" s="19" t="str">
        <f>IFERROR(LEFT(K3259,FIND("*",K3259)-1),"-")</f>
        <v>-</v>
      </c>
      <c r="V3261" s="19" t="str">
        <f>IFERROR(RIGHT(K3259,LEN(K3259)-FIND("*",K3259)),"-")</f>
        <v>-</v>
      </c>
      <c r="W3261" s="20" t="str">
        <f t="shared" si="1768"/>
        <v>-</v>
      </c>
      <c r="X3261" s="20" t="str">
        <f>IFERROR(W3261*L3259,"-")</f>
        <v>-</v>
      </c>
      <c r="Z3261" s="85" t="s">
        <v>82</v>
      </c>
    </row>
    <row r="3262" spans="1:26" ht="6.95" customHeight="1" x14ac:dyDescent="0.3">
      <c r="A3262" s="8"/>
      <c r="B3262" s="157"/>
      <c r="C3262" s="158"/>
      <c r="D3262" s="161" t="s">
        <v>39</v>
      </c>
      <c r="E3262" s="162"/>
      <c r="F3262" s="163" t="s">
        <v>40</v>
      </c>
      <c r="G3262" s="164"/>
      <c r="H3262" s="165"/>
      <c r="I3262" s="164"/>
      <c r="J3262" s="165"/>
      <c r="K3262" s="164"/>
      <c r="L3262" s="165"/>
      <c r="M3262" s="6"/>
      <c r="N3262" s="32"/>
      <c r="Q3262" s="10" t="str">
        <f>+CONCATENATE(E3262,G3262)</f>
        <v/>
      </c>
      <c r="R3262" s="10">
        <f>+H3262</f>
        <v>0</v>
      </c>
      <c r="S3262" s="11"/>
      <c r="T3262" s="10">
        <f>+E3262</f>
        <v>0</v>
      </c>
      <c r="U3262" s="19" t="str">
        <f t="shared" ref="U3262" si="1771">IFERROR(LEFT(G3262,FIND("*",G3262)-1),"-")</f>
        <v>-</v>
      </c>
      <c r="V3262" s="19" t="str">
        <f t="shared" ref="V3262" si="1772">IFERROR(RIGHT(G3262,LEN(G3262)-FIND("*",G3262)),"-")</f>
        <v>-</v>
      </c>
      <c r="W3262" s="20" t="str">
        <f t="shared" si="1768"/>
        <v>-</v>
      </c>
      <c r="X3262" s="20" t="str">
        <f>IFERROR(W3262*H3262,"-")</f>
        <v>-</v>
      </c>
      <c r="Z3262" s="85" t="s">
        <v>82</v>
      </c>
    </row>
    <row r="3263" spans="1:26" ht="6.95" customHeight="1" x14ac:dyDescent="0.3">
      <c r="A3263" s="5"/>
      <c r="B3263" s="157"/>
      <c r="C3263" s="158"/>
      <c r="D3263" s="161"/>
      <c r="E3263" s="162"/>
      <c r="F3263" s="163"/>
      <c r="G3263" s="164"/>
      <c r="H3263" s="165"/>
      <c r="I3263" s="164"/>
      <c r="J3263" s="165"/>
      <c r="K3263" s="164"/>
      <c r="L3263" s="165"/>
      <c r="M3263" s="6"/>
      <c r="N3263" s="32"/>
      <c r="Q3263" s="10" t="str">
        <f>+CONCATENATE(E3262,I3262)</f>
        <v/>
      </c>
      <c r="R3263" s="10">
        <f>+J3262</f>
        <v>0</v>
      </c>
      <c r="S3263" s="11"/>
      <c r="T3263" s="10">
        <f>+E3262</f>
        <v>0</v>
      </c>
      <c r="U3263" s="19" t="str">
        <f>IFERROR(LEFT(I3262,FIND("*",I3262)-1),"-")</f>
        <v>-</v>
      </c>
      <c r="V3263" s="19" t="str">
        <f>IFERROR(RIGHT(I3262,LEN(I3262)-FIND("*",I3262)),"-")</f>
        <v>-</v>
      </c>
      <c r="W3263" s="20" t="str">
        <f t="shared" si="1768"/>
        <v>-</v>
      </c>
      <c r="X3263" s="20" t="str">
        <f t="shared" ref="X3263" si="1773">IFERROR(W3263*J3262,"-")</f>
        <v>-</v>
      </c>
      <c r="Z3263" s="85" t="s">
        <v>82</v>
      </c>
    </row>
    <row r="3264" spans="1:26" ht="6.95" customHeight="1" x14ac:dyDescent="0.3">
      <c r="A3264" s="5"/>
      <c r="B3264" s="157"/>
      <c r="C3264" s="158"/>
      <c r="D3264" s="161"/>
      <c r="E3264" s="162"/>
      <c r="F3264" s="163"/>
      <c r="G3264" s="164"/>
      <c r="H3264" s="165"/>
      <c r="I3264" s="164"/>
      <c r="J3264" s="165"/>
      <c r="K3264" s="164"/>
      <c r="L3264" s="165"/>
      <c r="M3264" s="6"/>
      <c r="N3264" s="32"/>
      <c r="Q3264" s="10" t="str">
        <f>+CONCATENATE(E3262,K3262)</f>
        <v/>
      </c>
      <c r="R3264" s="10">
        <f>+L3262</f>
        <v>0</v>
      </c>
      <c r="S3264" s="11"/>
      <c r="T3264" s="10">
        <f>+E3262</f>
        <v>0</v>
      </c>
      <c r="U3264" s="19" t="str">
        <f>IFERROR(LEFT(K3262,FIND("*",K3262)-1),"-")</f>
        <v>-</v>
      </c>
      <c r="V3264" s="19" t="str">
        <f>IFERROR(RIGHT(K3262,LEN(K3262)-FIND("*",K3262)),"-")</f>
        <v>-</v>
      </c>
      <c r="W3264" s="20" t="str">
        <f t="shared" si="1768"/>
        <v>-</v>
      </c>
      <c r="X3264" s="20" t="str">
        <f>IFERROR(W3264*L3262,"-")</f>
        <v>-</v>
      </c>
      <c r="Z3264" s="85" t="s">
        <v>82</v>
      </c>
    </row>
    <row r="3265" spans="1:26" ht="21" customHeight="1" thickBot="1" x14ac:dyDescent="0.35">
      <c r="A3265" s="5"/>
      <c r="B3265" s="159"/>
      <c r="C3265" s="160"/>
      <c r="D3265" s="166" t="s">
        <v>43</v>
      </c>
      <c r="E3265" s="167"/>
      <c r="F3265" s="167"/>
      <c r="G3265" s="168"/>
      <c r="H3265" s="168"/>
      <c r="I3265" s="168"/>
      <c r="J3265" s="168"/>
      <c r="K3265" s="168"/>
      <c r="L3265" s="168"/>
      <c r="M3265" s="7"/>
      <c r="N3265" s="32"/>
      <c r="Z3265" s="86" t="s">
        <v>81</v>
      </c>
    </row>
    <row r="3266" spans="1:26" ht="9.9499999999999993" customHeight="1" thickBot="1" x14ac:dyDescent="0.35">
      <c r="B3266" s="9"/>
      <c r="C3266" s="109"/>
      <c r="D3266" s="51"/>
      <c r="E3266" s="12"/>
      <c r="F3266" s="51"/>
      <c r="G3266" s="14"/>
      <c r="H3266" s="14"/>
      <c r="I3266" s="14"/>
      <c r="J3266" s="14"/>
      <c r="K3266" s="14"/>
      <c r="L3266" s="14"/>
      <c r="M3266" s="9"/>
      <c r="N3266" s="32"/>
      <c r="U3266" s="18"/>
      <c r="V3266" s="18"/>
      <c r="Z3266" s="85" t="s">
        <v>82</v>
      </c>
    </row>
    <row r="3267" spans="1:26" ht="6.95" customHeight="1" x14ac:dyDescent="0.3">
      <c r="A3267" s="154">
        <f>+A3256+1</f>
        <v>1096</v>
      </c>
      <c r="B3267" s="155"/>
      <c r="C3267" s="156"/>
      <c r="D3267" s="161" t="s">
        <v>39</v>
      </c>
      <c r="E3267" s="162"/>
      <c r="F3267" s="163" t="s">
        <v>40</v>
      </c>
      <c r="G3267" s="164"/>
      <c r="H3267" s="165"/>
      <c r="I3267" s="164"/>
      <c r="J3267" s="165"/>
      <c r="K3267" s="164"/>
      <c r="L3267" s="165"/>
      <c r="M3267" s="6"/>
      <c r="N3267" s="32"/>
      <c r="Q3267" s="10" t="str">
        <f>+CONCATENATE(E3267,G3267)</f>
        <v/>
      </c>
      <c r="R3267" s="10">
        <f>+H3267</f>
        <v>0</v>
      </c>
      <c r="S3267" s="11"/>
      <c r="T3267" s="10">
        <f>+E3267</f>
        <v>0</v>
      </c>
      <c r="U3267" s="19" t="str">
        <f>IFERROR(LEFT(G3267,FIND("*",G3267)-1),"-")</f>
        <v>-</v>
      </c>
      <c r="V3267" s="19" t="str">
        <f>IFERROR(RIGHT(G3267,LEN(G3267)-FIND("*",G3267)),"-")</f>
        <v>-</v>
      </c>
      <c r="W3267" s="20" t="str">
        <f>IFERROR((U3267+V3267)*2/1000,"-")</f>
        <v>-</v>
      </c>
      <c r="X3267" s="20" t="str">
        <f>IFERROR(W3267*H3267,"-")</f>
        <v>-</v>
      </c>
      <c r="Z3267" s="85" t="s">
        <v>82</v>
      </c>
    </row>
    <row r="3268" spans="1:26" ht="6.95" customHeight="1" x14ac:dyDescent="0.3">
      <c r="A3268" s="154"/>
      <c r="B3268" s="157"/>
      <c r="C3268" s="158"/>
      <c r="D3268" s="161"/>
      <c r="E3268" s="162"/>
      <c r="F3268" s="163"/>
      <c r="G3268" s="164"/>
      <c r="H3268" s="165"/>
      <c r="I3268" s="164"/>
      <c r="J3268" s="165"/>
      <c r="K3268" s="164"/>
      <c r="L3268" s="165"/>
      <c r="M3268" s="6"/>
      <c r="N3268" s="32"/>
      <c r="Q3268" s="10" t="str">
        <f>+CONCATENATE(E3267,I3267)</f>
        <v/>
      </c>
      <c r="R3268" s="10">
        <f>+J3267</f>
        <v>0</v>
      </c>
      <c r="S3268" s="11"/>
      <c r="T3268" s="10">
        <f>+E3267</f>
        <v>0</v>
      </c>
      <c r="U3268" s="19" t="str">
        <f>IFERROR(LEFT(I3267,FIND("*",I3267)-1),"-")</f>
        <v>-</v>
      </c>
      <c r="V3268" s="19" t="str">
        <f>IFERROR(RIGHT(I3267,LEN(I3267)-FIND("*",I3267)),"-")</f>
        <v>-</v>
      </c>
      <c r="W3268" s="20" t="str">
        <f t="shared" ref="W3268:W3275" si="1774">IFERROR((U3268+V3268)*2/1000,"-")</f>
        <v>-</v>
      </c>
      <c r="X3268" s="20" t="str">
        <f>IFERROR(W3268*J3267,"-")</f>
        <v>-</v>
      </c>
      <c r="Z3268" s="85" t="s">
        <v>82</v>
      </c>
    </row>
    <row r="3269" spans="1:26" ht="6.95" customHeight="1" x14ac:dyDescent="0.3">
      <c r="A3269" s="154"/>
      <c r="B3269" s="157"/>
      <c r="C3269" s="158"/>
      <c r="D3269" s="161"/>
      <c r="E3269" s="162"/>
      <c r="F3269" s="163"/>
      <c r="G3269" s="164"/>
      <c r="H3269" s="165"/>
      <c r="I3269" s="164"/>
      <c r="J3269" s="165"/>
      <c r="K3269" s="164"/>
      <c r="L3269" s="165"/>
      <c r="M3269" s="6"/>
      <c r="N3269" s="32"/>
      <c r="Q3269" s="10" t="str">
        <f>+CONCATENATE(E3267,K3267)</f>
        <v/>
      </c>
      <c r="R3269" s="10">
        <f>+L3267</f>
        <v>0</v>
      </c>
      <c r="S3269" s="11"/>
      <c r="T3269" s="10">
        <f>+E3267</f>
        <v>0</v>
      </c>
      <c r="U3269" s="19" t="str">
        <f>IFERROR(LEFT(K3267,FIND("*",K3267)-1),"-")</f>
        <v>-</v>
      </c>
      <c r="V3269" s="19" t="str">
        <f>IFERROR(RIGHT(K3267,LEN(K3267)-FIND("*",K3267)),"-")</f>
        <v>-</v>
      </c>
      <c r="W3269" s="20" t="str">
        <f t="shared" si="1774"/>
        <v>-</v>
      </c>
      <c r="X3269" s="20" t="str">
        <f>IFERROR(W3269*L3267,"-")</f>
        <v>-</v>
      </c>
      <c r="Z3269" s="85" t="s">
        <v>82</v>
      </c>
    </row>
    <row r="3270" spans="1:26" ht="6.95" customHeight="1" x14ac:dyDescent="0.3">
      <c r="A3270" s="8"/>
      <c r="B3270" s="157"/>
      <c r="C3270" s="158"/>
      <c r="D3270" s="161" t="s">
        <v>39</v>
      </c>
      <c r="E3270" s="162"/>
      <c r="F3270" s="163" t="s">
        <v>40</v>
      </c>
      <c r="G3270" s="164"/>
      <c r="H3270" s="165"/>
      <c r="I3270" s="164"/>
      <c r="J3270" s="165"/>
      <c r="K3270" s="164"/>
      <c r="L3270" s="165"/>
      <c r="M3270" s="6"/>
      <c r="N3270" s="32"/>
      <c r="Q3270" s="10" t="str">
        <f>+CONCATENATE(E3270,G3270)</f>
        <v/>
      </c>
      <c r="R3270" s="10">
        <f>+H3270</f>
        <v>0</v>
      </c>
      <c r="S3270" s="11"/>
      <c r="T3270" s="10">
        <f>+E3270</f>
        <v>0</v>
      </c>
      <c r="U3270" s="19" t="str">
        <f t="shared" ref="U3270" si="1775">IFERROR(LEFT(G3270,FIND("*",G3270)-1),"-")</f>
        <v>-</v>
      </c>
      <c r="V3270" s="19" t="str">
        <f t="shared" ref="V3270" si="1776">IFERROR(RIGHT(G3270,LEN(G3270)-FIND("*",G3270)),"-")</f>
        <v>-</v>
      </c>
      <c r="W3270" s="20" t="str">
        <f t="shared" si="1774"/>
        <v>-</v>
      </c>
      <c r="X3270" s="20" t="str">
        <f>IFERROR(W3270*H3270,"-")</f>
        <v>-</v>
      </c>
      <c r="Z3270" s="85" t="s">
        <v>82</v>
      </c>
    </row>
    <row r="3271" spans="1:26" ht="6.95" customHeight="1" x14ac:dyDescent="0.3">
      <c r="A3271" s="5"/>
      <c r="B3271" s="157"/>
      <c r="C3271" s="158"/>
      <c r="D3271" s="161"/>
      <c r="E3271" s="162"/>
      <c r="F3271" s="163"/>
      <c r="G3271" s="164"/>
      <c r="H3271" s="165"/>
      <c r="I3271" s="164"/>
      <c r="J3271" s="165"/>
      <c r="K3271" s="164"/>
      <c r="L3271" s="165"/>
      <c r="M3271" s="6"/>
      <c r="N3271" s="32"/>
      <c r="Q3271" s="10" t="str">
        <f>+CONCATENATE(E3270,I3270)</f>
        <v/>
      </c>
      <c r="R3271" s="10">
        <f>+J3270</f>
        <v>0</v>
      </c>
      <c r="S3271" s="11"/>
      <c r="T3271" s="10">
        <f>+E3270</f>
        <v>0</v>
      </c>
      <c r="U3271" s="19" t="str">
        <f>IFERROR(LEFT(I3270,FIND("*",I3270)-1),"-")</f>
        <v>-</v>
      </c>
      <c r="V3271" s="19" t="str">
        <f>IFERROR(RIGHT(I3270,LEN(I3270)-FIND("*",I3270)),"-")</f>
        <v>-</v>
      </c>
      <c r="W3271" s="20" t="str">
        <f t="shared" si="1774"/>
        <v>-</v>
      </c>
      <c r="X3271" s="20" t="str">
        <f>IFERROR(W3271*J3270,"-")</f>
        <v>-</v>
      </c>
      <c r="Z3271" s="85" t="s">
        <v>82</v>
      </c>
    </row>
    <row r="3272" spans="1:26" ht="6.95" customHeight="1" x14ac:dyDescent="0.3">
      <c r="A3272" s="5"/>
      <c r="B3272" s="157"/>
      <c r="C3272" s="158"/>
      <c r="D3272" s="161"/>
      <c r="E3272" s="162"/>
      <c r="F3272" s="163"/>
      <c r="G3272" s="164"/>
      <c r="H3272" s="165"/>
      <c r="I3272" s="164"/>
      <c r="J3272" s="165"/>
      <c r="K3272" s="164"/>
      <c r="L3272" s="165"/>
      <c r="M3272" s="6"/>
      <c r="N3272" s="32"/>
      <c r="Q3272" s="10" t="str">
        <f>+CONCATENATE(E3270,K3270)</f>
        <v/>
      </c>
      <c r="R3272" s="10">
        <f>+L3270</f>
        <v>0</v>
      </c>
      <c r="S3272" s="11"/>
      <c r="T3272" s="10">
        <f>+E3270</f>
        <v>0</v>
      </c>
      <c r="U3272" s="19" t="str">
        <f>IFERROR(LEFT(K3270,FIND("*",K3270)-1),"-")</f>
        <v>-</v>
      </c>
      <c r="V3272" s="19" t="str">
        <f>IFERROR(RIGHT(K3270,LEN(K3270)-FIND("*",K3270)),"-")</f>
        <v>-</v>
      </c>
      <c r="W3272" s="20" t="str">
        <f t="shared" si="1774"/>
        <v>-</v>
      </c>
      <c r="X3272" s="20" t="str">
        <f>IFERROR(W3272*L3270,"-")</f>
        <v>-</v>
      </c>
      <c r="Z3272" s="85" t="s">
        <v>82</v>
      </c>
    </row>
    <row r="3273" spans="1:26" ht="6.95" customHeight="1" x14ac:dyDescent="0.3">
      <c r="A3273" s="8"/>
      <c r="B3273" s="157"/>
      <c r="C3273" s="158"/>
      <c r="D3273" s="161" t="s">
        <v>39</v>
      </c>
      <c r="E3273" s="162"/>
      <c r="F3273" s="163" t="s">
        <v>40</v>
      </c>
      <c r="G3273" s="164"/>
      <c r="H3273" s="165"/>
      <c r="I3273" s="164"/>
      <c r="J3273" s="165"/>
      <c r="K3273" s="164"/>
      <c r="L3273" s="165"/>
      <c r="M3273" s="6"/>
      <c r="N3273" s="32"/>
      <c r="Q3273" s="10" t="str">
        <f>+CONCATENATE(E3273,G3273)</f>
        <v/>
      </c>
      <c r="R3273" s="10">
        <f>+H3273</f>
        <v>0</v>
      </c>
      <c r="S3273" s="11"/>
      <c r="T3273" s="10">
        <f>+E3273</f>
        <v>0</v>
      </c>
      <c r="U3273" s="19" t="str">
        <f t="shared" ref="U3273" si="1777">IFERROR(LEFT(G3273,FIND("*",G3273)-1),"-")</f>
        <v>-</v>
      </c>
      <c r="V3273" s="19" t="str">
        <f t="shared" ref="V3273" si="1778">IFERROR(RIGHT(G3273,LEN(G3273)-FIND("*",G3273)),"-")</f>
        <v>-</v>
      </c>
      <c r="W3273" s="20" t="str">
        <f t="shared" si="1774"/>
        <v>-</v>
      </c>
      <c r="X3273" s="20" t="str">
        <f>IFERROR(W3273*H3273,"-")</f>
        <v>-</v>
      </c>
      <c r="Z3273" s="85" t="s">
        <v>82</v>
      </c>
    </row>
    <row r="3274" spans="1:26" ht="6.95" customHeight="1" x14ac:dyDescent="0.3">
      <c r="A3274" s="5"/>
      <c r="B3274" s="157"/>
      <c r="C3274" s="158"/>
      <c r="D3274" s="161"/>
      <c r="E3274" s="162"/>
      <c r="F3274" s="163"/>
      <c r="G3274" s="164"/>
      <c r="H3274" s="165"/>
      <c r="I3274" s="164"/>
      <c r="J3274" s="165"/>
      <c r="K3274" s="164"/>
      <c r="L3274" s="165"/>
      <c r="M3274" s="6"/>
      <c r="N3274" s="32"/>
      <c r="Q3274" s="10" t="str">
        <f>+CONCATENATE(E3273,I3273)</f>
        <v/>
      </c>
      <c r="R3274" s="10">
        <f>+J3273</f>
        <v>0</v>
      </c>
      <c r="S3274" s="11"/>
      <c r="T3274" s="10">
        <f>+E3273</f>
        <v>0</v>
      </c>
      <c r="U3274" s="19" t="str">
        <f>IFERROR(LEFT(I3273,FIND("*",I3273)-1),"-")</f>
        <v>-</v>
      </c>
      <c r="V3274" s="19" t="str">
        <f>IFERROR(RIGHT(I3273,LEN(I3273)-FIND("*",I3273)),"-")</f>
        <v>-</v>
      </c>
      <c r="W3274" s="20" t="str">
        <f t="shared" si="1774"/>
        <v>-</v>
      </c>
      <c r="X3274" s="20" t="str">
        <f t="shared" ref="X3274" si="1779">IFERROR(W3274*J3273,"-")</f>
        <v>-</v>
      </c>
      <c r="Z3274" s="85" t="s">
        <v>82</v>
      </c>
    </row>
    <row r="3275" spans="1:26" ht="6.95" customHeight="1" x14ac:dyDescent="0.3">
      <c r="A3275" s="5"/>
      <c r="B3275" s="157"/>
      <c r="C3275" s="158"/>
      <c r="D3275" s="161"/>
      <c r="E3275" s="162"/>
      <c r="F3275" s="163"/>
      <c r="G3275" s="164"/>
      <c r="H3275" s="165"/>
      <c r="I3275" s="164"/>
      <c r="J3275" s="165"/>
      <c r="K3275" s="164"/>
      <c r="L3275" s="165"/>
      <c r="M3275" s="6"/>
      <c r="N3275" s="32"/>
      <c r="Q3275" s="10" t="str">
        <f>+CONCATENATE(E3273,K3273)</f>
        <v/>
      </c>
      <c r="R3275" s="10">
        <f>+L3273</f>
        <v>0</v>
      </c>
      <c r="S3275" s="11"/>
      <c r="T3275" s="10">
        <f>+E3273</f>
        <v>0</v>
      </c>
      <c r="U3275" s="19" t="str">
        <f>IFERROR(LEFT(K3273,FIND("*",K3273)-1),"-")</f>
        <v>-</v>
      </c>
      <c r="V3275" s="19" t="str">
        <f>IFERROR(RIGHT(K3273,LEN(K3273)-FIND("*",K3273)),"-")</f>
        <v>-</v>
      </c>
      <c r="W3275" s="20" t="str">
        <f t="shared" si="1774"/>
        <v>-</v>
      </c>
      <c r="X3275" s="20" t="str">
        <f>IFERROR(W3275*L3273,"-")</f>
        <v>-</v>
      </c>
      <c r="Z3275" s="85" t="s">
        <v>82</v>
      </c>
    </row>
    <row r="3276" spans="1:26" ht="21" customHeight="1" thickBot="1" x14ac:dyDescent="0.35">
      <c r="A3276" s="5"/>
      <c r="B3276" s="159"/>
      <c r="C3276" s="160"/>
      <c r="D3276" s="166" t="s">
        <v>43</v>
      </c>
      <c r="E3276" s="167"/>
      <c r="F3276" s="167"/>
      <c r="G3276" s="168"/>
      <c r="H3276" s="168"/>
      <c r="I3276" s="168"/>
      <c r="J3276" s="168"/>
      <c r="K3276" s="168"/>
      <c r="L3276" s="168"/>
      <c r="M3276" s="7"/>
      <c r="N3276" s="32"/>
      <c r="Z3276" s="86" t="s">
        <v>81</v>
      </c>
    </row>
    <row r="3277" spans="1:26" ht="9.9499999999999993" customHeight="1" thickBot="1" x14ac:dyDescent="0.35">
      <c r="B3277" s="9"/>
      <c r="C3277" s="109"/>
      <c r="D3277" s="51"/>
      <c r="E3277" s="12"/>
      <c r="F3277" s="51"/>
      <c r="G3277" s="14"/>
      <c r="H3277" s="14"/>
      <c r="I3277" s="14"/>
      <c r="J3277" s="14"/>
      <c r="K3277" s="14"/>
      <c r="L3277" s="14"/>
      <c r="M3277" s="9"/>
      <c r="N3277" s="32"/>
      <c r="U3277" s="18"/>
      <c r="V3277" s="18"/>
      <c r="Z3277" s="85" t="s">
        <v>82</v>
      </c>
    </row>
    <row r="3278" spans="1:26" ht="6.95" customHeight="1" x14ac:dyDescent="0.3">
      <c r="A3278" s="154">
        <f>+A3267+1</f>
        <v>1097</v>
      </c>
      <c r="B3278" s="155"/>
      <c r="C3278" s="156"/>
      <c r="D3278" s="161" t="s">
        <v>39</v>
      </c>
      <c r="E3278" s="162"/>
      <c r="F3278" s="163" t="s">
        <v>40</v>
      </c>
      <c r="G3278" s="164"/>
      <c r="H3278" s="165"/>
      <c r="I3278" s="164"/>
      <c r="J3278" s="165"/>
      <c r="K3278" s="164"/>
      <c r="L3278" s="165"/>
      <c r="M3278" s="6"/>
      <c r="N3278" s="32"/>
      <c r="Q3278" s="10" t="str">
        <f>+CONCATENATE(E3278,G3278)</f>
        <v/>
      </c>
      <c r="R3278" s="10">
        <f>+H3278</f>
        <v>0</v>
      </c>
      <c r="S3278" s="11"/>
      <c r="T3278" s="10">
        <f>+E3278</f>
        <v>0</v>
      </c>
      <c r="U3278" s="19" t="str">
        <f>IFERROR(LEFT(G3278,FIND("*",G3278)-1),"-")</f>
        <v>-</v>
      </c>
      <c r="V3278" s="19" t="str">
        <f>IFERROR(RIGHT(G3278,LEN(G3278)-FIND("*",G3278)),"-")</f>
        <v>-</v>
      </c>
      <c r="W3278" s="20" t="str">
        <f>IFERROR((U3278+V3278)*2/1000,"-")</f>
        <v>-</v>
      </c>
      <c r="X3278" s="20" t="str">
        <f>IFERROR(W3278*H3278,"-")</f>
        <v>-</v>
      </c>
      <c r="Z3278" s="85" t="s">
        <v>82</v>
      </c>
    </row>
    <row r="3279" spans="1:26" ht="6.95" customHeight="1" x14ac:dyDescent="0.3">
      <c r="A3279" s="154"/>
      <c r="B3279" s="157"/>
      <c r="C3279" s="158"/>
      <c r="D3279" s="161"/>
      <c r="E3279" s="162"/>
      <c r="F3279" s="163"/>
      <c r="G3279" s="164"/>
      <c r="H3279" s="165"/>
      <c r="I3279" s="164"/>
      <c r="J3279" s="165"/>
      <c r="K3279" s="164"/>
      <c r="L3279" s="165"/>
      <c r="M3279" s="6"/>
      <c r="N3279" s="32"/>
      <c r="Q3279" s="10" t="str">
        <f>+CONCATENATE(E3278,I3278)</f>
        <v/>
      </c>
      <c r="R3279" s="10">
        <f>+J3278</f>
        <v>0</v>
      </c>
      <c r="S3279" s="11"/>
      <c r="T3279" s="10">
        <f>+E3278</f>
        <v>0</v>
      </c>
      <c r="U3279" s="19" t="str">
        <f>IFERROR(LEFT(I3278,FIND("*",I3278)-1),"-")</f>
        <v>-</v>
      </c>
      <c r="V3279" s="19" t="str">
        <f>IFERROR(RIGHT(I3278,LEN(I3278)-FIND("*",I3278)),"-")</f>
        <v>-</v>
      </c>
      <c r="W3279" s="20" t="str">
        <f t="shared" ref="W3279:W3286" si="1780">IFERROR((U3279+V3279)*2/1000,"-")</f>
        <v>-</v>
      </c>
      <c r="X3279" s="20" t="str">
        <f>IFERROR(W3279*J3278,"-")</f>
        <v>-</v>
      </c>
      <c r="Z3279" s="85" t="s">
        <v>82</v>
      </c>
    </row>
    <row r="3280" spans="1:26" ht="6.95" customHeight="1" x14ac:dyDescent="0.3">
      <c r="A3280" s="154"/>
      <c r="B3280" s="157"/>
      <c r="C3280" s="158"/>
      <c r="D3280" s="161"/>
      <c r="E3280" s="162"/>
      <c r="F3280" s="163"/>
      <c r="G3280" s="164"/>
      <c r="H3280" s="165"/>
      <c r="I3280" s="164"/>
      <c r="J3280" s="165"/>
      <c r="K3280" s="164"/>
      <c r="L3280" s="165"/>
      <c r="M3280" s="6"/>
      <c r="N3280" s="32"/>
      <c r="Q3280" s="10" t="str">
        <f>+CONCATENATE(E3278,K3278)</f>
        <v/>
      </c>
      <c r="R3280" s="10">
        <f>+L3278</f>
        <v>0</v>
      </c>
      <c r="S3280" s="11"/>
      <c r="T3280" s="10">
        <f>+E3278</f>
        <v>0</v>
      </c>
      <c r="U3280" s="19" t="str">
        <f>IFERROR(LEFT(K3278,FIND("*",K3278)-1),"-")</f>
        <v>-</v>
      </c>
      <c r="V3280" s="19" t="str">
        <f>IFERROR(RIGHT(K3278,LEN(K3278)-FIND("*",K3278)),"-")</f>
        <v>-</v>
      </c>
      <c r="W3280" s="20" t="str">
        <f t="shared" si="1780"/>
        <v>-</v>
      </c>
      <c r="X3280" s="20" t="str">
        <f>IFERROR(W3280*L3278,"-")</f>
        <v>-</v>
      </c>
      <c r="Z3280" s="85" t="s">
        <v>82</v>
      </c>
    </row>
    <row r="3281" spans="1:26" ht="6.95" customHeight="1" x14ac:dyDescent="0.3">
      <c r="A3281" s="8"/>
      <c r="B3281" s="157"/>
      <c r="C3281" s="158"/>
      <c r="D3281" s="161" t="s">
        <v>39</v>
      </c>
      <c r="E3281" s="162"/>
      <c r="F3281" s="163" t="s">
        <v>40</v>
      </c>
      <c r="G3281" s="164"/>
      <c r="H3281" s="165"/>
      <c r="I3281" s="164"/>
      <c r="J3281" s="165"/>
      <c r="K3281" s="164"/>
      <c r="L3281" s="165"/>
      <c r="M3281" s="6"/>
      <c r="N3281" s="32"/>
      <c r="Q3281" s="10" t="str">
        <f>+CONCATENATE(E3281,G3281)</f>
        <v/>
      </c>
      <c r="R3281" s="10">
        <f>+H3281</f>
        <v>0</v>
      </c>
      <c r="S3281" s="11"/>
      <c r="T3281" s="10">
        <f>+E3281</f>
        <v>0</v>
      </c>
      <c r="U3281" s="19" t="str">
        <f t="shared" ref="U3281" si="1781">IFERROR(LEFT(G3281,FIND("*",G3281)-1),"-")</f>
        <v>-</v>
      </c>
      <c r="V3281" s="19" t="str">
        <f t="shared" ref="V3281" si="1782">IFERROR(RIGHT(G3281,LEN(G3281)-FIND("*",G3281)),"-")</f>
        <v>-</v>
      </c>
      <c r="W3281" s="20" t="str">
        <f t="shared" si="1780"/>
        <v>-</v>
      </c>
      <c r="X3281" s="20" t="str">
        <f>IFERROR(W3281*H3281,"-")</f>
        <v>-</v>
      </c>
      <c r="Z3281" s="85" t="s">
        <v>82</v>
      </c>
    </row>
    <row r="3282" spans="1:26" ht="6.95" customHeight="1" x14ac:dyDescent="0.3">
      <c r="A3282" s="5"/>
      <c r="B3282" s="157"/>
      <c r="C3282" s="158"/>
      <c r="D3282" s="161"/>
      <c r="E3282" s="162"/>
      <c r="F3282" s="163"/>
      <c r="G3282" s="164"/>
      <c r="H3282" s="165"/>
      <c r="I3282" s="164"/>
      <c r="J3282" s="165"/>
      <c r="K3282" s="164"/>
      <c r="L3282" s="165"/>
      <c r="M3282" s="6"/>
      <c r="N3282" s="32"/>
      <c r="Q3282" s="10" t="str">
        <f>+CONCATENATE(E3281,I3281)</f>
        <v/>
      </c>
      <c r="R3282" s="10">
        <f>+J3281</f>
        <v>0</v>
      </c>
      <c r="S3282" s="11"/>
      <c r="T3282" s="10">
        <f>+E3281</f>
        <v>0</v>
      </c>
      <c r="U3282" s="19" t="str">
        <f>IFERROR(LEFT(I3281,FIND("*",I3281)-1),"-")</f>
        <v>-</v>
      </c>
      <c r="V3282" s="19" t="str">
        <f>IFERROR(RIGHT(I3281,LEN(I3281)-FIND("*",I3281)),"-")</f>
        <v>-</v>
      </c>
      <c r="W3282" s="20" t="str">
        <f t="shared" si="1780"/>
        <v>-</v>
      </c>
      <c r="X3282" s="20" t="str">
        <f>IFERROR(W3282*J3281,"-")</f>
        <v>-</v>
      </c>
      <c r="Z3282" s="85" t="s">
        <v>82</v>
      </c>
    </row>
    <row r="3283" spans="1:26" ht="6.95" customHeight="1" x14ac:dyDescent="0.3">
      <c r="A3283" s="5"/>
      <c r="B3283" s="157"/>
      <c r="C3283" s="158"/>
      <c r="D3283" s="161"/>
      <c r="E3283" s="162"/>
      <c r="F3283" s="163"/>
      <c r="G3283" s="164"/>
      <c r="H3283" s="165"/>
      <c r="I3283" s="164"/>
      <c r="J3283" s="165"/>
      <c r="K3283" s="164"/>
      <c r="L3283" s="165"/>
      <c r="M3283" s="6"/>
      <c r="N3283" s="32"/>
      <c r="Q3283" s="10" t="str">
        <f>+CONCATENATE(E3281,K3281)</f>
        <v/>
      </c>
      <c r="R3283" s="10">
        <f>+L3281</f>
        <v>0</v>
      </c>
      <c r="S3283" s="11"/>
      <c r="T3283" s="10">
        <f>+E3281</f>
        <v>0</v>
      </c>
      <c r="U3283" s="19" t="str">
        <f>IFERROR(LEFT(K3281,FIND("*",K3281)-1),"-")</f>
        <v>-</v>
      </c>
      <c r="V3283" s="19" t="str">
        <f>IFERROR(RIGHT(K3281,LEN(K3281)-FIND("*",K3281)),"-")</f>
        <v>-</v>
      </c>
      <c r="W3283" s="20" t="str">
        <f t="shared" si="1780"/>
        <v>-</v>
      </c>
      <c r="X3283" s="20" t="str">
        <f>IFERROR(W3283*L3281,"-")</f>
        <v>-</v>
      </c>
      <c r="Z3283" s="85" t="s">
        <v>82</v>
      </c>
    </row>
    <row r="3284" spans="1:26" ht="6.95" customHeight="1" x14ac:dyDescent="0.3">
      <c r="A3284" s="8"/>
      <c r="B3284" s="157"/>
      <c r="C3284" s="158"/>
      <c r="D3284" s="161" t="s">
        <v>39</v>
      </c>
      <c r="E3284" s="162"/>
      <c r="F3284" s="163" t="s">
        <v>40</v>
      </c>
      <c r="G3284" s="164"/>
      <c r="H3284" s="165"/>
      <c r="I3284" s="164"/>
      <c r="J3284" s="165"/>
      <c r="K3284" s="164"/>
      <c r="L3284" s="165"/>
      <c r="M3284" s="6"/>
      <c r="N3284" s="32"/>
      <c r="Q3284" s="10" t="str">
        <f>+CONCATENATE(E3284,G3284)</f>
        <v/>
      </c>
      <c r="R3284" s="10">
        <f>+H3284</f>
        <v>0</v>
      </c>
      <c r="S3284" s="11"/>
      <c r="T3284" s="10">
        <f>+E3284</f>
        <v>0</v>
      </c>
      <c r="U3284" s="19" t="str">
        <f t="shared" ref="U3284" si="1783">IFERROR(LEFT(G3284,FIND("*",G3284)-1),"-")</f>
        <v>-</v>
      </c>
      <c r="V3284" s="19" t="str">
        <f t="shared" ref="V3284" si="1784">IFERROR(RIGHT(G3284,LEN(G3284)-FIND("*",G3284)),"-")</f>
        <v>-</v>
      </c>
      <c r="W3284" s="20" t="str">
        <f t="shared" si="1780"/>
        <v>-</v>
      </c>
      <c r="X3284" s="20" t="str">
        <f>IFERROR(W3284*H3284,"-")</f>
        <v>-</v>
      </c>
      <c r="Z3284" s="85" t="s">
        <v>82</v>
      </c>
    </row>
    <row r="3285" spans="1:26" ht="6.95" customHeight="1" x14ac:dyDescent="0.3">
      <c r="A3285" s="5"/>
      <c r="B3285" s="157"/>
      <c r="C3285" s="158"/>
      <c r="D3285" s="161"/>
      <c r="E3285" s="162"/>
      <c r="F3285" s="163"/>
      <c r="G3285" s="164"/>
      <c r="H3285" s="165"/>
      <c r="I3285" s="164"/>
      <c r="J3285" s="165"/>
      <c r="K3285" s="164"/>
      <c r="L3285" s="165"/>
      <c r="M3285" s="6"/>
      <c r="N3285" s="32"/>
      <c r="Q3285" s="10" t="str">
        <f>+CONCATENATE(E3284,I3284)</f>
        <v/>
      </c>
      <c r="R3285" s="10">
        <f>+J3284</f>
        <v>0</v>
      </c>
      <c r="S3285" s="11"/>
      <c r="T3285" s="10">
        <f>+E3284</f>
        <v>0</v>
      </c>
      <c r="U3285" s="19" t="str">
        <f>IFERROR(LEFT(I3284,FIND("*",I3284)-1),"-")</f>
        <v>-</v>
      </c>
      <c r="V3285" s="19" t="str">
        <f>IFERROR(RIGHT(I3284,LEN(I3284)-FIND("*",I3284)),"-")</f>
        <v>-</v>
      </c>
      <c r="W3285" s="20" t="str">
        <f t="shared" si="1780"/>
        <v>-</v>
      </c>
      <c r="X3285" s="20" t="str">
        <f t="shared" ref="X3285" si="1785">IFERROR(W3285*J3284,"-")</f>
        <v>-</v>
      </c>
      <c r="Z3285" s="85" t="s">
        <v>82</v>
      </c>
    </row>
    <row r="3286" spans="1:26" ht="6.95" customHeight="1" x14ac:dyDescent="0.3">
      <c r="A3286" s="5"/>
      <c r="B3286" s="157"/>
      <c r="C3286" s="158"/>
      <c r="D3286" s="161"/>
      <c r="E3286" s="162"/>
      <c r="F3286" s="163"/>
      <c r="G3286" s="164"/>
      <c r="H3286" s="165"/>
      <c r="I3286" s="164"/>
      <c r="J3286" s="165"/>
      <c r="K3286" s="164"/>
      <c r="L3286" s="165"/>
      <c r="M3286" s="6"/>
      <c r="N3286" s="32"/>
      <c r="Q3286" s="10" t="str">
        <f>+CONCATENATE(E3284,K3284)</f>
        <v/>
      </c>
      <c r="R3286" s="10">
        <f>+L3284</f>
        <v>0</v>
      </c>
      <c r="S3286" s="11"/>
      <c r="T3286" s="10">
        <f>+E3284</f>
        <v>0</v>
      </c>
      <c r="U3286" s="19" t="str">
        <f>IFERROR(LEFT(K3284,FIND("*",K3284)-1),"-")</f>
        <v>-</v>
      </c>
      <c r="V3286" s="19" t="str">
        <f>IFERROR(RIGHT(K3284,LEN(K3284)-FIND("*",K3284)),"-")</f>
        <v>-</v>
      </c>
      <c r="W3286" s="20" t="str">
        <f t="shared" si="1780"/>
        <v>-</v>
      </c>
      <c r="X3286" s="20" t="str">
        <f>IFERROR(W3286*L3284,"-")</f>
        <v>-</v>
      </c>
      <c r="Z3286" s="85" t="s">
        <v>82</v>
      </c>
    </row>
    <row r="3287" spans="1:26" ht="21" customHeight="1" thickBot="1" x14ac:dyDescent="0.35">
      <c r="A3287" s="5"/>
      <c r="B3287" s="159"/>
      <c r="C3287" s="160"/>
      <c r="D3287" s="166" t="s">
        <v>43</v>
      </c>
      <c r="E3287" s="167"/>
      <c r="F3287" s="167"/>
      <c r="G3287" s="168"/>
      <c r="H3287" s="168"/>
      <c r="I3287" s="168"/>
      <c r="J3287" s="168"/>
      <c r="K3287" s="168"/>
      <c r="L3287" s="168"/>
      <c r="M3287" s="7"/>
      <c r="N3287" s="32"/>
      <c r="Z3287" s="86" t="s">
        <v>81</v>
      </c>
    </row>
    <row r="3288" spans="1:26" ht="9.9499999999999993" customHeight="1" thickBot="1" x14ac:dyDescent="0.35">
      <c r="B3288" s="9"/>
      <c r="C3288" s="109"/>
      <c r="D3288" s="51"/>
      <c r="E3288" s="12"/>
      <c r="F3288" s="51"/>
      <c r="G3288" s="14"/>
      <c r="H3288" s="14"/>
      <c r="I3288" s="14"/>
      <c r="J3288" s="14"/>
      <c r="K3288" s="14"/>
      <c r="L3288" s="14"/>
      <c r="M3288" s="9"/>
      <c r="N3288" s="32"/>
      <c r="U3288" s="18"/>
      <c r="V3288" s="18"/>
      <c r="Z3288" s="85" t="s">
        <v>82</v>
      </c>
    </row>
    <row r="3289" spans="1:26" ht="6.95" customHeight="1" x14ac:dyDescent="0.3">
      <c r="A3289" s="154">
        <f>+A3278+1</f>
        <v>1098</v>
      </c>
      <c r="B3289" s="155"/>
      <c r="C3289" s="156"/>
      <c r="D3289" s="161" t="s">
        <v>39</v>
      </c>
      <c r="E3289" s="162"/>
      <c r="F3289" s="163" t="s">
        <v>40</v>
      </c>
      <c r="G3289" s="164"/>
      <c r="H3289" s="165"/>
      <c r="I3289" s="164"/>
      <c r="J3289" s="165"/>
      <c r="K3289" s="164"/>
      <c r="L3289" s="165"/>
      <c r="M3289" s="6"/>
      <c r="N3289" s="32"/>
      <c r="Q3289" s="10" t="str">
        <f>+CONCATENATE(E3289,G3289)</f>
        <v/>
      </c>
      <c r="R3289" s="10">
        <f>+H3289</f>
        <v>0</v>
      </c>
      <c r="S3289" s="11"/>
      <c r="T3289" s="10">
        <f>+E3289</f>
        <v>0</v>
      </c>
      <c r="U3289" s="19" t="str">
        <f>IFERROR(LEFT(G3289,FIND("*",G3289)-1),"-")</f>
        <v>-</v>
      </c>
      <c r="V3289" s="19" t="str">
        <f>IFERROR(RIGHT(G3289,LEN(G3289)-FIND("*",G3289)),"-")</f>
        <v>-</v>
      </c>
      <c r="W3289" s="20" t="str">
        <f>IFERROR((U3289+V3289)*2/1000,"-")</f>
        <v>-</v>
      </c>
      <c r="X3289" s="20" t="str">
        <f>IFERROR(W3289*H3289,"-")</f>
        <v>-</v>
      </c>
      <c r="Z3289" s="85" t="s">
        <v>82</v>
      </c>
    </row>
    <row r="3290" spans="1:26" ht="6.95" customHeight="1" x14ac:dyDescent="0.3">
      <c r="A3290" s="154"/>
      <c r="B3290" s="157"/>
      <c r="C3290" s="158"/>
      <c r="D3290" s="161"/>
      <c r="E3290" s="162"/>
      <c r="F3290" s="163"/>
      <c r="G3290" s="164"/>
      <c r="H3290" s="165"/>
      <c r="I3290" s="164"/>
      <c r="J3290" s="165"/>
      <c r="K3290" s="164"/>
      <c r="L3290" s="165"/>
      <c r="M3290" s="6"/>
      <c r="N3290" s="32"/>
      <c r="Q3290" s="10" t="str">
        <f>+CONCATENATE(E3289,I3289)</f>
        <v/>
      </c>
      <c r="R3290" s="10">
        <f>+J3289</f>
        <v>0</v>
      </c>
      <c r="S3290" s="11"/>
      <c r="T3290" s="10">
        <f>+E3289</f>
        <v>0</v>
      </c>
      <c r="U3290" s="19" t="str">
        <f>IFERROR(LEFT(I3289,FIND("*",I3289)-1),"-")</f>
        <v>-</v>
      </c>
      <c r="V3290" s="19" t="str">
        <f>IFERROR(RIGHT(I3289,LEN(I3289)-FIND("*",I3289)),"-")</f>
        <v>-</v>
      </c>
      <c r="W3290" s="20" t="str">
        <f t="shared" ref="W3290:W3297" si="1786">IFERROR((U3290+V3290)*2/1000,"-")</f>
        <v>-</v>
      </c>
      <c r="X3290" s="20" t="str">
        <f>IFERROR(W3290*J3289,"-")</f>
        <v>-</v>
      </c>
      <c r="Z3290" s="85" t="s">
        <v>82</v>
      </c>
    </row>
    <row r="3291" spans="1:26" ht="6.95" customHeight="1" x14ac:dyDescent="0.3">
      <c r="A3291" s="154"/>
      <c r="B3291" s="157"/>
      <c r="C3291" s="158"/>
      <c r="D3291" s="161"/>
      <c r="E3291" s="162"/>
      <c r="F3291" s="163"/>
      <c r="G3291" s="164"/>
      <c r="H3291" s="165"/>
      <c r="I3291" s="164"/>
      <c r="J3291" s="165"/>
      <c r="K3291" s="164"/>
      <c r="L3291" s="165"/>
      <c r="M3291" s="6"/>
      <c r="N3291" s="32"/>
      <c r="Q3291" s="10" t="str">
        <f>+CONCATENATE(E3289,K3289)</f>
        <v/>
      </c>
      <c r="R3291" s="10">
        <f>+L3289</f>
        <v>0</v>
      </c>
      <c r="S3291" s="11"/>
      <c r="T3291" s="10">
        <f>+E3289</f>
        <v>0</v>
      </c>
      <c r="U3291" s="19" t="str">
        <f>IFERROR(LEFT(K3289,FIND("*",K3289)-1),"-")</f>
        <v>-</v>
      </c>
      <c r="V3291" s="19" t="str">
        <f>IFERROR(RIGHT(K3289,LEN(K3289)-FIND("*",K3289)),"-")</f>
        <v>-</v>
      </c>
      <c r="W3291" s="20" t="str">
        <f t="shared" si="1786"/>
        <v>-</v>
      </c>
      <c r="X3291" s="20" t="str">
        <f>IFERROR(W3291*L3289,"-")</f>
        <v>-</v>
      </c>
      <c r="Z3291" s="85" t="s">
        <v>82</v>
      </c>
    </row>
    <row r="3292" spans="1:26" ht="6.95" customHeight="1" x14ac:dyDescent="0.3">
      <c r="A3292" s="8"/>
      <c r="B3292" s="157"/>
      <c r="C3292" s="158"/>
      <c r="D3292" s="161" t="s">
        <v>39</v>
      </c>
      <c r="E3292" s="162"/>
      <c r="F3292" s="163" t="s">
        <v>40</v>
      </c>
      <c r="G3292" s="164"/>
      <c r="H3292" s="165"/>
      <c r="I3292" s="164"/>
      <c r="J3292" s="165"/>
      <c r="K3292" s="164"/>
      <c r="L3292" s="165"/>
      <c r="M3292" s="6"/>
      <c r="N3292" s="32"/>
      <c r="Q3292" s="10" t="str">
        <f>+CONCATENATE(E3292,G3292)</f>
        <v/>
      </c>
      <c r="R3292" s="10">
        <f>+H3292</f>
        <v>0</v>
      </c>
      <c r="S3292" s="11"/>
      <c r="T3292" s="10">
        <f>+E3292</f>
        <v>0</v>
      </c>
      <c r="U3292" s="19" t="str">
        <f t="shared" ref="U3292" si="1787">IFERROR(LEFT(G3292,FIND("*",G3292)-1),"-")</f>
        <v>-</v>
      </c>
      <c r="V3292" s="19" t="str">
        <f t="shared" ref="V3292" si="1788">IFERROR(RIGHT(G3292,LEN(G3292)-FIND("*",G3292)),"-")</f>
        <v>-</v>
      </c>
      <c r="W3292" s="20" t="str">
        <f t="shared" si="1786"/>
        <v>-</v>
      </c>
      <c r="X3292" s="20" t="str">
        <f>IFERROR(W3292*H3292,"-")</f>
        <v>-</v>
      </c>
      <c r="Z3292" s="85" t="s">
        <v>82</v>
      </c>
    </row>
    <row r="3293" spans="1:26" ht="6.95" customHeight="1" x14ac:dyDescent="0.3">
      <c r="A3293" s="5"/>
      <c r="B3293" s="157"/>
      <c r="C3293" s="158"/>
      <c r="D3293" s="161"/>
      <c r="E3293" s="162"/>
      <c r="F3293" s="163"/>
      <c r="G3293" s="164"/>
      <c r="H3293" s="165"/>
      <c r="I3293" s="164"/>
      <c r="J3293" s="165"/>
      <c r="K3293" s="164"/>
      <c r="L3293" s="165"/>
      <c r="M3293" s="6"/>
      <c r="N3293" s="32"/>
      <c r="Q3293" s="10" t="str">
        <f>+CONCATENATE(E3292,I3292)</f>
        <v/>
      </c>
      <c r="R3293" s="10">
        <f>+J3292</f>
        <v>0</v>
      </c>
      <c r="S3293" s="11"/>
      <c r="T3293" s="10">
        <f>+E3292</f>
        <v>0</v>
      </c>
      <c r="U3293" s="19" t="str">
        <f>IFERROR(LEFT(I3292,FIND("*",I3292)-1),"-")</f>
        <v>-</v>
      </c>
      <c r="V3293" s="19" t="str">
        <f>IFERROR(RIGHT(I3292,LEN(I3292)-FIND("*",I3292)),"-")</f>
        <v>-</v>
      </c>
      <c r="W3293" s="20" t="str">
        <f t="shared" si="1786"/>
        <v>-</v>
      </c>
      <c r="X3293" s="20" t="str">
        <f>IFERROR(W3293*J3292,"-")</f>
        <v>-</v>
      </c>
      <c r="Z3293" s="85" t="s">
        <v>82</v>
      </c>
    </row>
    <row r="3294" spans="1:26" ht="6.95" customHeight="1" x14ac:dyDescent="0.3">
      <c r="A3294" s="5"/>
      <c r="B3294" s="157"/>
      <c r="C3294" s="158"/>
      <c r="D3294" s="161"/>
      <c r="E3294" s="162"/>
      <c r="F3294" s="163"/>
      <c r="G3294" s="164"/>
      <c r="H3294" s="165"/>
      <c r="I3294" s="164"/>
      <c r="J3294" s="165"/>
      <c r="K3294" s="164"/>
      <c r="L3294" s="165"/>
      <c r="M3294" s="6"/>
      <c r="N3294" s="32"/>
      <c r="Q3294" s="10" t="str">
        <f>+CONCATENATE(E3292,K3292)</f>
        <v/>
      </c>
      <c r="R3294" s="10">
        <f>+L3292</f>
        <v>0</v>
      </c>
      <c r="S3294" s="11"/>
      <c r="T3294" s="10">
        <f>+E3292</f>
        <v>0</v>
      </c>
      <c r="U3294" s="19" t="str">
        <f>IFERROR(LEFT(K3292,FIND("*",K3292)-1),"-")</f>
        <v>-</v>
      </c>
      <c r="V3294" s="19" t="str">
        <f>IFERROR(RIGHT(K3292,LEN(K3292)-FIND("*",K3292)),"-")</f>
        <v>-</v>
      </c>
      <c r="W3294" s="20" t="str">
        <f t="shared" si="1786"/>
        <v>-</v>
      </c>
      <c r="X3294" s="20" t="str">
        <f>IFERROR(W3294*L3292,"-")</f>
        <v>-</v>
      </c>
      <c r="Z3294" s="85" t="s">
        <v>82</v>
      </c>
    </row>
    <row r="3295" spans="1:26" ht="6.95" customHeight="1" x14ac:dyDescent="0.3">
      <c r="A3295" s="8"/>
      <c r="B3295" s="157"/>
      <c r="C3295" s="158"/>
      <c r="D3295" s="161" t="s">
        <v>39</v>
      </c>
      <c r="E3295" s="162"/>
      <c r="F3295" s="163" t="s">
        <v>40</v>
      </c>
      <c r="G3295" s="164"/>
      <c r="H3295" s="165"/>
      <c r="I3295" s="164"/>
      <c r="J3295" s="165"/>
      <c r="K3295" s="164"/>
      <c r="L3295" s="165"/>
      <c r="M3295" s="6"/>
      <c r="N3295" s="32"/>
      <c r="Q3295" s="10" t="str">
        <f>+CONCATENATE(E3295,G3295)</f>
        <v/>
      </c>
      <c r="R3295" s="10">
        <f>+H3295</f>
        <v>0</v>
      </c>
      <c r="S3295" s="11"/>
      <c r="T3295" s="10">
        <f>+E3295</f>
        <v>0</v>
      </c>
      <c r="U3295" s="19" t="str">
        <f t="shared" ref="U3295" si="1789">IFERROR(LEFT(G3295,FIND("*",G3295)-1),"-")</f>
        <v>-</v>
      </c>
      <c r="V3295" s="19" t="str">
        <f t="shared" ref="V3295" si="1790">IFERROR(RIGHT(G3295,LEN(G3295)-FIND("*",G3295)),"-")</f>
        <v>-</v>
      </c>
      <c r="W3295" s="20" t="str">
        <f t="shared" si="1786"/>
        <v>-</v>
      </c>
      <c r="X3295" s="20" t="str">
        <f>IFERROR(W3295*H3295,"-")</f>
        <v>-</v>
      </c>
      <c r="Z3295" s="85" t="s">
        <v>82</v>
      </c>
    </row>
    <row r="3296" spans="1:26" ht="6.95" customHeight="1" x14ac:dyDescent="0.3">
      <c r="A3296" s="5"/>
      <c r="B3296" s="157"/>
      <c r="C3296" s="158"/>
      <c r="D3296" s="161"/>
      <c r="E3296" s="162"/>
      <c r="F3296" s="163"/>
      <c r="G3296" s="164"/>
      <c r="H3296" s="165"/>
      <c r="I3296" s="164"/>
      <c r="J3296" s="165"/>
      <c r="K3296" s="164"/>
      <c r="L3296" s="165"/>
      <c r="M3296" s="6"/>
      <c r="N3296" s="32"/>
      <c r="Q3296" s="10" t="str">
        <f>+CONCATENATE(E3295,I3295)</f>
        <v/>
      </c>
      <c r="R3296" s="10">
        <f>+J3295</f>
        <v>0</v>
      </c>
      <c r="S3296" s="11"/>
      <c r="T3296" s="10">
        <f>+E3295</f>
        <v>0</v>
      </c>
      <c r="U3296" s="19" t="str">
        <f>IFERROR(LEFT(I3295,FIND("*",I3295)-1),"-")</f>
        <v>-</v>
      </c>
      <c r="V3296" s="19" t="str">
        <f>IFERROR(RIGHT(I3295,LEN(I3295)-FIND("*",I3295)),"-")</f>
        <v>-</v>
      </c>
      <c r="W3296" s="20" t="str">
        <f t="shared" si="1786"/>
        <v>-</v>
      </c>
      <c r="X3296" s="20" t="str">
        <f t="shared" ref="X3296" si="1791">IFERROR(W3296*J3295,"-")</f>
        <v>-</v>
      </c>
      <c r="Z3296" s="85" t="s">
        <v>82</v>
      </c>
    </row>
    <row r="3297" spans="1:26" ht="6.95" customHeight="1" x14ac:dyDescent="0.3">
      <c r="A3297" s="5"/>
      <c r="B3297" s="157"/>
      <c r="C3297" s="158"/>
      <c r="D3297" s="161"/>
      <c r="E3297" s="162"/>
      <c r="F3297" s="163"/>
      <c r="G3297" s="164"/>
      <c r="H3297" s="165"/>
      <c r="I3297" s="164"/>
      <c r="J3297" s="165"/>
      <c r="K3297" s="164"/>
      <c r="L3297" s="165"/>
      <c r="M3297" s="6"/>
      <c r="N3297" s="32"/>
      <c r="Q3297" s="10" t="str">
        <f>+CONCATENATE(E3295,K3295)</f>
        <v/>
      </c>
      <c r="R3297" s="10">
        <f>+L3295</f>
        <v>0</v>
      </c>
      <c r="S3297" s="11"/>
      <c r="T3297" s="10">
        <f>+E3295</f>
        <v>0</v>
      </c>
      <c r="U3297" s="19" t="str">
        <f>IFERROR(LEFT(K3295,FIND("*",K3295)-1),"-")</f>
        <v>-</v>
      </c>
      <c r="V3297" s="19" t="str">
        <f>IFERROR(RIGHT(K3295,LEN(K3295)-FIND("*",K3295)),"-")</f>
        <v>-</v>
      </c>
      <c r="W3297" s="20" t="str">
        <f t="shared" si="1786"/>
        <v>-</v>
      </c>
      <c r="X3297" s="20" t="str">
        <f>IFERROR(W3297*L3295,"-")</f>
        <v>-</v>
      </c>
      <c r="Z3297" s="85" t="s">
        <v>82</v>
      </c>
    </row>
    <row r="3298" spans="1:26" ht="21" customHeight="1" thickBot="1" x14ac:dyDescent="0.35">
      <c r="A3298" s="5"/>
      <c r="B3298" s="159"/>
      <c r="C3298" s="160"/>
      <c r="D3298" s="166" t="s">
        <v>43</v>
      </c>
      <c r="E3298" s="167"/>
      <c r="F3298" s="167"/>
      <c r="G3298" s="168"/>
      <c r="H3298" s="168"/>
      <c r="I3298" s="168"/>
      <c r="J3298" s="168"/>
      <c r="K3298" s="168"/>
      <c r="L3298" s="168"/>
      <c r="M3298" s="7"/>
      <c r="N3298" s="32"/>
      <c r="Z3298" s="86" t="s">
        <v>81</v>
      </c>
    </row>
    <row r="3299" spans="1:26" ht="9.9499999999999993" customHeight="1" thickBot="1" x14ac:dyDescent="0.35">
      <c r="B3299" s="9"/>
      <c r="C3299" s="109"/>
      <c r="D3299" s="51"/>
      <c r="E3299" s="12"/>
      <c r="F3299" s="51"/>
      <c r="G3299" s="14"/>
      <c r="H3299" s="14"/>
      <c r="I3299" s="14"/>
      <c r="J3299" s="14"/>
      <c r="K3299" s="14"/>
      <c r="L3299" s="14"/>
      <c r="M3299" s="9"/>
      <c r="N3299" s="32"/>
      <c r="U3299" s="18"/>
      <c r="V3299" s="18"/>
      <c r="Z3299" s="85" t="s">
        <v>82</v>
      </c>
    </row>
    <row r="3300" spans="1:26" ht="6.95" customHeight="1" x14ac:dyDescent="0.3">
      <c r="A3300" s="154">
        <f>+A3289+1</f>
        <v>1099</v>
      </c>
      <c r="B3300" s="155"/>
      <c r="C3300" s="156"/>
      <c r="D3300" s="161" t="s">
        <v>39</v>
      </c>
      <c r="E3300" s="162"/>
      <c r="F3300" s="163" t="s">
        <v>40</v>
      </c>
      <c r="G3300" s="164"/>
      <c r="H3300" s="165"/>
      <c r="I3300" s="164"/>
      <c r="J3300" s="165"/>
      <c r="K3300" s="164"/>
      <c r="L3300" s="165"/>
      <c r="M3300" s="6"/>
      <c r="N3300" s="32"/>
      <c r="Q3300" s="10" t="str">
        <f>+CONCATENATE(E3300,G3300)</f>
        <v/>
      </c>
      <c r="R3300" s="10">
        <f>+H3300</f>
        <v>0</v>
      </c>
      <c r="S3300" s="11"/>
      <c r="T3300" s="10">
        <f>+E3300</f>
        <v>0</v>
      </c>
      <c r="U3300" s="19" t="str">
        <f>IFERROR(LEFT(G3300,FIND("*",G3300)-1),"-")</f>
        <v>-</v>
      </c>
      <c r="V3300" s="19" t="str">
        <f>IFERROR(RIGHT(G3300,LEN(G3300)-FIND("*",G3300)),"-")</f>
        <v>-</v>
      </c>
      <c r="W3300" s="20" t="str">
        <f>IFERROR((U3300+V3300)*2/1000,"-")</f>
        <v>-</v>
      </c>
      <c r="X3300" s="20" t="str">
        <f>IFERROR(W3300*H3300,"-")</f>
        <v>-</v>
      </c>
      <c r="Z3300" s="85" t="s">
        <v>82</v>
      </c>
    </row>
    <row r="3301" spans="1:26" ht="6.95" customHeight="1" x14ac:dyDescent="0.3">
      <c r="A3301" s="154"/>
      <c r="B3301" s="157"/>
      <c r="C3301" s="158"/>
      <c r="D3301" s="161"/>
      <c r="E3301" s="162"/>
      <c r="F3301" s="163"/>
      <c r="G3301" s="164"/>
      <c r="H3301" s="165"/>
      <c r="I3301" s="164"/>
      <c r="J3301" s="165"/>
      <c r="K3301" s="164"/>
      <c r="L3301" s="165"/>
      <c r="M3301" s="6"/>
      <c r="N3301" s="32"/>
      <c r="Q3301" s="10" t="str">
        <f>+CONCATENATE(E3300,I3300)</f>
        <v/>
      </c>
      <c r="R3301" s="10">
        <f>+J3300</f>
        <v>0</v>
      </c>
      <c r="S3301" s="11"/>
      <c r="T3301" s="10">
        <f>+E3300</f>
        <v>0</v>
      </c>
      <c r="U3301" s="19" t="str">
        <f>IFERROR(LEFT(I3300,FIND("*",I3300)-1),"-")</f>
        <v>-</v>
      </c>
      <c r="V3301" s="19" t="str">
        <f>IFERROR(RIGHT(I3300,LEN(I3300)-FIND("*",I3300)),"-")</f>
        <v>-</v>
      </c>
      <c r="W3301" s="20" t="str">
        <f t="shared" ref="W3301:W3308" si="1792">IFERROR((U3301+V3301)*2/1000,"-")</f>
        <v>-</v>
      </c>
      <c r="X3301" s="20" t="str">
        <f>IFERROR(W3301*J3300,"-")</f>
        <v>-</v>
      </c>
      <c r="Z3301" s="85" t="s">
        <v>82</v>
      </c>
    </row>
    <row r="3302" spans="1:26" ht="6.95" customHeight="1" x14ac:dyDescent="0.3">
      <c r="A3302" s="154"/>
      <c r="B3302" s="157"/>
      <c r="C3302" s="158"/>
      <c r="D3302" s="161"/>
      <c r="E3302" s="162"/>
      <c r="F3302" s="163"/>
      <c r="G3302" s="164"/>
      <c r="H3302" s="165"/>
      <c r="I3302" s="164"/>
      <c r="J3302" s="165"/>
      <c r="K3302" s="164"/>
      <c r="L3302" s="165"/>
      <c r="M3302" s="6"/>
      <c r="N3302" s="32"/>
      <c r="Q3302" s="10" t="str">
        <f>+CONCATENATE(E3300,K3300)</f>
        <v/>
      </c>
      <c r="R3302" s="10">
        <f>+L3300</f>
        <v>0</v>
      </c>
      <c r="S3302" s="11"/>
      <c r="T3302" s="10">
        <f>+E3300</f>
        <v>0</v>
      </c>
      <c r="U3302" s="19" t="str">
        <f>IFERROR(LEFT(K3300,FIND("*",K3300)-1),"-")</f>
        <v>-</v>
      </c>
      <c r="V3302" s="19" t="str">
        <f>IFERROR(RIGHT(K3300,LEN(K3300)-FIND("*",K3300)),"-")</f>
        <v>-</v>
      </c>
      <c r="W3302" s="20" t="str">
        <f t="shared" si="1792"/>
        <v>-</v>
      </c>
      <c r="X3302" s="20" t="str">
        <f>IFERROR(W3302*L3300,"-")</f>
        <v>-</v>
      </c>
      <c r="Z3302" s="85" t="s">
        <v>82</v>
      </c>
    </row>
    <row r="3303" spans="1:26" ht="6.95" customHeight="1" x14ac:dyDescent="0.3">
      <c r="A3303" s="8"/>
      <c r="B3303" s="157"/>
      <c r="C3303" s="158"/>
      <c r="D3303" s="161" t="s">
        <v>39</v>
      </c>
      <c r="E3303" s="162"/>
      <c r="F3303" s="163" t="s">
        <v>40</v>
      </c>
      <c r="G3303" s="164"/>
      <c r="H3303" s="165"/>
      <c r="I3303" s="164"/>
      <c r="J3303" s="165"/>
      <c r="K3303" s="164"/>
      <c r="L3303" s="165"/>
      <c r="M3303" s="6"/>
      <c r="N3303" s="32"/>
      <c r="Q3303" s="10" t="str">
        <f>+CONCATENATE(E3303,G3303)</f>
        <v/>
      </c>
      <c r="R3303" s="10">
        <f>+H3303</f>
        <v>0</v>
      </c>
      <c r="S3303" s="11"/>
      <c r="T3303" s="10">
        <f>+E3303</f>
        <v>0</v>
      </c>
      <c r="U3303" s="19" t="str">
        <f t="shared" ref="U3303" si="1793">IFERROR(LEFT(G3303,FIND("*",G3303)-1),"-")</f>
        <v>-</v>
      </c>
      <c r="V3303" s="19" t="str">
        <f t="shared" ref="V3303" si="1794">IFERROR(RIGHT(G3303,LEN(G3303)-FIND("*",G3303)),"-")</f>
        <v>-</v>
      </c>
      <c r="W3303" s="20" t="str">
        <f t="shared" si="1792"/>
        <v>-</v>
      </c>
      <c r="X3303" s="20" t="str">
        <f>IFERROR(W3303*H3303,"-")</f>
        <v>-</v>
      </c>
      <c r="Z3303" s="85" t="s">
        <v>82</v>
      </c>
    </row>
    <row r="3304" spans="1:26" ht="6.95" customHeight="1" x14ac:dyDescent="0.3">
      <c r="A3304" s="5"/>
      <c r="B3304" s="157"/>
      <c r="C3304" s="158"/>
      <c r="D3304" s="161"/>
      <c r="E3304" s="162"/>
      <c r="F3304" s="163"/>
      <c r="G3304" s="164"/>
      <c r="H3304" s="165"/>
      <c r="I3304" s="164"/>
      <c r="J3304" s="165"/>
      <c r="K3304" s="164"/>
      <c r="L3304" s="165"/>
      <c r="M3304" s="6"/>
      <c r="N3304" s="32"/>
      <c r="Q3304" s="10" t="str">
        <f>+CONCATENATE(E3303,I3303)</f>
        <v/>
      </c>
      <c r="R3304" s="10">
        <f>+J3303</f>
        <v>0</v>
      </c>
      <c r="S3304" s="11"/>
      <c r="T3304" s="10">
        <f>+E3303</f>
        <v>0</v>
      </c>
      <c r="U3304" s="19" t="str">
        <f>IFERROR(LEFT(I3303,FIND("*",I3303)-1),"-")</f>
        <v>-</v>
      </c>
      <c r="V3304" s="19" t="str">
        <f>IFERROR(RIGHT(I3303,LEN(I3303)-FIND("*",I3303)),"-")</f>
        <v>-</v>
      </c>
      <c r="W3304" s="20" t="str">
        <f t="shared" si="1792"/>
        <v>-</v>
      </c>
      <c r="X3304" s="20" t="str">
        <f>IFERROR(W3304*J3303,"-")</f>
        <v>-</v>
      </c>
      <c r="Z3304" s="85" t="s">
        <v>82</v>
      </c>
    </row>
    <row r="3305" spans="1:26" ht="6.95" customHeight="1" x14ac:dyDescent="0.3">
      <c r="A3305" s="5"/>
      <c r="B3305" s="157"/>
      <c r="C3305" s="158"/>
      <c r="D3305" s="161"/>
      <c r="E3305" s="162"/>
      <c r="F3305" s="163"/>
      <c r="G3305" s="164"/>
      <c r="H3305" s="165"/>
      <c r="I3305" s="164"/>
      <c r="J3305" s="165"/>
      <c r="K3305" s="164"/>
      <c r="L3305" s="165"/>
      <c r="M3305" s="6"/>
      <c r="N3305" s="32"/>
      <c r="Q3305" s="10" t="str">
        <f>+CONCATENATE(E3303,K3303)</f>
        <v/>
      </c>
      <c r="R3305" s="10">
        <f>+L3303</f>
        <v>0</v>
      </c>
      <c r="S3305" s="11"/>
      <c r="T3305" s="10">
        <f>+E3303</f>
        <v>0</v>
      </c>
      <c r="U3305" s="19" t="str">
        <f>IFERROR(LEFT(K3303,FIND("*",K3303)-1),"-")</f>
        <v>-</v>
      </c>
      <c r="V3305" s="19" t="str">
        <f>IFERROR(RIGHT(K3303,LEN(K3303)-FIND("*",K3303)),"-")</f>
        <v>-</v>
      </c>
      <c r="W3305" s="20" t="str">
        <f t="shared" si="1792"/>
        <v>-</v>
      </c>
      <c r="X3305" s="20" t="str">
        <f>IFERROR(W3305*L3303,"-")</f>
        <v>-</v>
      </c>
      <c r="Z3305" s="85" t="s">
        <v>82</v>
      </c>
    </row>
    <row r="3306" spans="1:26" ht="6.95" customHeight="1" x14ac:dyDescent="0.3">
      <c r="A3306" s="8"/>
      <c r="B3306" s="157"/>
      <c r="C3306" s="158"/>
      <c r="D3306" s="161" t="s">
        <v>39</v>
      </c>
      <c r="E3306" s="162"/>
      <c r="F3306" s="163" t="s">
        <v>40</v>
      </c>
      <c r="G3306" s="164"/>
      <c r="H3306" s="165"/>
      <c r="I3306" s="164"/>
      <c r="J3306" s="165"/>
      <c r="K3306" s="164"/>
      <c r="L3306" s="165"/>
      <c r="M3306" s="6"/>
      <c r="N3306" s="32"/>
      <c r="Q3306" s="10" t="str">
        <f>+CONCATENATE(E3306,G3306)</f>
        <v/>
      </c>
      <c r="R3306" s="10">
        <f>+H3306</f>
        <v>0</v>
      </c>
      <c r="S3306" s="11"/>
      <c r="T3306" s="10">
        <f>+E3306</f>
        <v>0</v>
      </c>
      <c r="U3306" s="19" t="str">
        <f t="shared" ref="U3306" si="1795">IFERROR(LEFT(G3306,FIND("*",G3306)-1),"-")</f>
        <v>-</v>
      </c>
      <c r="V3306" s="19" t="str">
        <f t="shared" ref="V3306" si="1796">IFERROR(RIGHT(G3306,LEN(G3306)-FIND("*",G3306)),"-")</f>
        <v>-</v>
      </c>
      <c r="W3306" s="20" t="str">
        <f t="shared" si="1792"/>
        <v>-</v>
      </c>
      <c r="X3306" s="20" t="str">
        <f>IFERROR(W3306*H3306,"-")</f>
        <v>-</v>
      </c>
      <c r="Z3306" s="85" t="s">
        <v>82</v>
      </c>
    </row>
    <row r="3307" spans="1:26" ht="6.95" customHeight="1" x14ac:dyDescent="0.3">
      <c r="A3307" s="5"/>
      <c r="B3307" s="157"/>
      <c r="C3307" s="158"/>
      <c r="D3307" s="161"/>
      <c r="E3307" s="162"/>
      <c r="F3307" s="163"/>
      <c r="G3307" s="164"/>
      <c r="H3307" s="165"/>
      <c r="I3307" s="164"/>
      <c r="J3307" s="165"/>
      <c r="K3307" s="164"/>
      <c r="L3307" s="165"/>
      <c r="M3307" s="6"/>
      <c r="N3307" s="32"/>
      <c r="Q3307" s="10" t="str">
        <f>+CONCATENATE(E3306,I3306)</f>
        <v/>
      </c>
      <c r="R3307" s="10">
        <f>+J3306</f>
        <v>0</v>
      </c>
      <c r="S3307" s="11"/>
      <c r="T3307" s="10">
        <f>+E3306</f>
        <v>0</v>
      </c>
      <c r="U3307" s="19" t="str">
        <f>IFERROR(LEFT(I3306,FIND("*",I3306)-1),"-")</f>
        <v>-</v>
      </c>
      <c r="V3307" s="19" t="str">
        <f>IFERROR(RIGHT(I3306,LEN(I3306)-FIND("*",I3306)),"-")</f>
        <v>-</v>
      </c>
      <c r="W3307" s="20" t="str">
        <f t="shared" si="1792"/>
        <v>-</v>
      </c>
      <c r="X3307" s="20" t="str">
        <f t="shared" ref="X3307" si="1797">IFERROR(W3307*J3306,"-")</f>
        <v>-</v>
      </c>
      <c r="Z3307" s="85" t="s">
        <v>82</v>
      </c>
    </row>
    <row r="3308" spans="1:26" ht="6.95" customHeight="1" x14ac:dyDescent="0.3">
      <c r="A3308" s="5"/>
      <c r="B3308" s="157"/>
      <c r="C3308" s="158"/>
      <c r="D3308" s="161"/>
      <c r="E3308" s="162"/>
      <c r="F3308" s="163"/>
      <c r="G3308" s="164"/>
      <c r="H3308" s="165"/>
      <c r="I3308" s="164"/>
      <c r="J3308" s="165"/>
      <c r="K3308" s="164"/>
      <c r="L3308" s="165"/>
      <c r="M3308" s="6"/>
      <c r="N3308" s="32"/>
      <c r="Q3308" s="10" t="str">
        <f>+CONCATENATE(E3306,K3306)</f>
        <v/>
      </c>
      <c r="R3308" s="10">
        <f>+L3306</f>
        <v>0</v>
      </c>
      <c r="S3308" s="11"/>
      <c r="T3308" s="10">
        <f>+E3306</f>
        <v>0</v>
      </c>
      <c r="U3308" s="19" t="str">
        <f>IFERROR(LEFT(K3306,FIND("*",K3306)-1),"-")</f>
        <v>-</v>
      </c>
      <c r="V3308" s="19" t="str">
        <f>IFERROR(RIGHT(K3306,LEN(K3306)-FIND("*",K3306)),"-")</f>
        <v>-</v>
      </c>
      <c r="W3308" s="20" t="str">
        <f t="shared" si="1792"/>
        <v>-</v>
      </c>
      <c r="X3308" s="20" t="str">
        <f>IFERROR(W3308*L3306,"-")</f>
        <v>-</v>
      </c>
      <c r="Z3308" s="85" t="s">
        <v>82</v>
      </c>
    </row>
    <row r="3309" spans="1:26" ht="21" customHeight="1" thickBot="1" x14ac:dyDescent="0.35">
      <c r="A3309" s="5"/>
      <c r="B3309" s="159"/>
      <c r="C3309" s="160"/>
      <c r="D3309" s="166" t="s">
        <v>43</v>
      </c>
      <c r="E3309" s="167"/>
      <c r="F3309" s="167"/>
      <c r="G3309" s="168"/>
      <c r="H3309" s="168"/>
      <c r="I3309" s="168"/>
      <c r="J3309" s="168"/>
      <c r="K3309" s="168"/>
      <c r="L3309" s="168"/>
      <c r="M3309" s="7"/>
      <c r="N3309" s="32"/>
      <c r="Z3309" s="86" t="s">
        <v>81</v>
      </c>
    </row>
    <row r="3310" spans="1:26" ht="9.9499999999999993" customHeight="1" thickBot="1" x14ac:dyDescent="0.35">
      <c r="B3310" s="9"/>
      <c r="C3310" s="109"/>
      <c r="D3310" s="51"/>
      <c r="E3310" s="12"/>
      <c r="F3310" s="51"/>
      <c r="G3310" s="14"/>
      <c r="H3310" s="14"/>
      <c r="I3310" s="14"/>
      <c r="J3310" s="14"/>
      <c r="K3310" s="14"/>
      <c r="L3310" s="14"/>
      <c r="M3310" s="9"/>
      <c r="N3310" s="32"/>
      <c r="U3310" s="18"/>
      <c r="V3310" s="18"/>
      <c r="Z3310" s="85" t="s">
        <v>82</v>
      </c>
    </row>
    <row r="3311" spans="1:26" ht="6.95" customHeight="1" x14ac:dyDescent="0.3">
      <c r="A3311" s="154">
        <f>+A3300+1</f>
        <v>1100</v>
      </c>
      <c r="B3311" s="155"/>
      <c r="C3311" s="156"/>
      <c r="D3311" s="161" t="s">
        <v>39</v>
      </c>
      <c r="E3311" s="162"/>
      <c r="F3311" s="163" t="s">
        <v>40</v>
      </c>
      <c r="G3311" s="164"/>
      <c r="H3311" s="165"/>
      <c r="I3311" s="164"/>
      <c r="J3311" s="165"/>
      <c r="K3311" s="164"/>
      <c r="L3311" s="165"/>
      <c r="M3311" s="6"/>
      <c r="N3311" s="32"/>
      <c r="Q3311" s="10" t="str">
        <f>+CONCATENATE(E3311,G3311)</f>
        <v/>
      </c>
      <c r="R3311" s="10">
        <f>+H3311</f>
        <v>0</v>
      </c>
      <c r="S3311" s="11"/>
      <c r="T3311" s="10">
        <f>+E3311</f>
        <v>0</v>
      </c>
      <c r="U3311" s="19" t="str">
        <f>IFERROR(LEFT(G3311,FIND("*",G3311)-1),"-")</f>
        <v>-</v>
      </c>
      <c r="V3311" s="19" t="str">
        <f>IFERROR(RIGHT(G3311,LEN(G3311)-FIND("*",G3311)),"-")</f>
        <v>-</v>
      </c>
      <c r="W3311" s="20" t="str">
        <f>IFERROR((U3311+V3311)*2/1000,"-")</f>
        <v>-</v>
      </c>
      <c r="X3311" s="20" t="str">
        <f>IFERROR(W3311*H3311,"-")</f>
        <v>-</v>
      </c>
      <c r="Z3311" s="85" t="s">
        <v>82</v>
      </c>
    </row>
    <row r="3312" spans="1:26" ht="6.95" customHeight="1" x14ac:dyDescent="0.3">
      <c r="A3312" s="154"/>
      <c r="B3312" s="157"/>
      <c r="C3312" s="158"/>
      <c r="D3312" s="161"/>
      <c r="E3312" s="162"/>
      <c r="F3312" s="163"/>
      <c r="G3312" s="164"/>
      <c r="H3312" s="165"/>
      <c r="I3312" s="164"/>
      <c r="J3312" s="165"/>
      <c r="K3312" s="164"/>
      <c r="L3312" s="165"/>
      <c r="M3312" s="6"/>
      <c r="N3312" s="32"/>
      <c r="Q3312" s="10" t="str">
        <f>+CONCATENATE(E3311,I3311)</f>
        <v/>
      </c>
      <c r="R3312" s="10">
        <f>+J3311</f>
        <v>0</v>
      </c>
      <c r="S3312" s="11"/>
      <c r="T3312" s="10">
        <f>+E3311</f>
        <v>0</v>
      </c>
      <c r="U3312" s="19" t="str">
        <f>IFERROR(LEFT(I3311,FIND("*",I3311)-1),"-")</f>
        <v>-</v>
      </c>
      <c r="V3312" s="19" t="str">
        <f>IFERROR(RIGHT(I3311,LEN(I3311)-FIND("*",I3311)),"-")</f>
        <v>-</v>
      </c>
      <c r="W3312" s="20" t="str">
        <f t="shared" ref="W3312:W3319" si="1798">IFERROR((U3312+V3312)*2/1000,"-")</f>
        <v>-</v>
      </c>
      <c r="X3312" s="20" t="str">
        <f>IFERROR(W3312*J3311,"-")</f>
        <v>-</v>
      </c>
      <c r="Z3312" s="85" t="s">
        <v>82</v>
      </c>
    </row>
    <row r="3313" spans="1:26" ht="6.95" customHeight="1" x14ac:dyDescent="0.3">
      <c r="A3313" s="154"/>
      <c r="B3313" s="157"/>
      <c r="C3313" s="158"/>
      <c r="D3313" s="161"/>
      <c r="E3313" s="162"/>
      <c r="F3313" s="163"/>
      <c r="G3313" s="164"/>
      <c r="H3313" s="165"/>
      <c r="I3313" s="164"/>
      <c r="J3313" s="165"/>
      <c r="K3313" s="164"/>
      <c r="L3313" s="165"/>
      <c r="M3313" s="6"/>
      <c r="N3313" s="32"/>
      <c r="Q3313" s="10" t="str">
        <f>+CONCATENATE(E3311,K3311)</f>
        <v/>
      </c>
      <c r="R3313" s="10">
        <f>+L3311</f>
        <v>0</v>
      </c>
      <c r="S3313" s="11"/>
      <c r="T3313" s="10">
        <f>+E3311</f>
        <v>0</v>
      </c>
      <c r="U3313" s="19" t="str">
        <f>IFERROR(LEFT(K3311,FIND("*",K3311)-1),"-")</f>
        <v>-</v>
      </c>
      <c r="V3313" s="19" t="str">
        <f>IFERROR(RIGHT(K3311,LEN(K3311)-FIND("*",K3311)),"-")</f>
        <v>-</v>
      </c>
      <c r="W3313" s="20" t="str">
        <f t="shared" si="1798"/>
        <v>-</v>
      </c>
      <c r="X3313" s="20" t="str">
        <f>IFERROR(W3313*L3311,"-")</f>
        <v>-</v>
      </c>
      <c r="Z3313" s="85" t="s">
        <v>82</v>
      </c>
    </row>
    <row r="3314" spans="1:26" ht="6.95" customHeight="1" x14ac:dyDescent="0.3">
      <c r="A3314" s="8"/>
      <c r="B3314" s="157"/>
      <c r="C3314" s="158"/>
      <c r="D3314" s="161" t="s">
        <v>39</v>
      </c>
      <c r="E3314" s="162"/>
      <c r="F3314" s="163" t="s">
        <v>40</v>
      </c>
      <c r="G3314" s="164"/>
      <c r="H3314" s="165"/>
      <c r="I3314" s="164"/>
      <c r="J3314" s="165"/>
      <c r="K3314" s="164"/>
      <c r="L3314" s="165"/>
      <c r="M3314" s="6"/>
      <c r="N3314" s="32"/>
      <c r="Q3314" s="10" t="str">
        <f>+CONCATENATE(E3314,G3314)</f>
        <v/>
      </c>
      <c r="R3314" s="10">
        <f>+H3314</f>
        <v>0</v>
      </c>
      <c r="S3314" s="11"/>
      <c r="T3314" s="10">
        <f>+E3314</f>
        <v>0</v>
      </c>
      <c r="U3314" s="19" t="str">
        <f t="shared" ref="U3314" si="1799">IFERROR(LEFT(G3314,FIND("*",G3314)-1),"-")</f>
        <v>-</v>
      </c>
      <c r="V3314" s="19" t="str">
        <f t="shared" ref="V3314" si="1800">IFERROR(RIGHT(G3314,LEN(G3314)-FIND("*",G3314)),"-")</f>
        <v>-</v>
      </c>
      <c r="W3314" s="20" t="str">
        <f t="shared" si="1798"/>
        <v>-</v>
      </c>
      <c r="X3314" s="20" t="str">
        <f>IFERROR(W3314*H3314,"-")</f>
        <v>-</v>
      </c>
      <c r="Z3314" s="85" t="s">
        <v>82</v>
      </c>
    </row>
    <row r="3315" spans="1:26" ht="6.95" customHeight="1" x14ac:dyDescent="0.3">
      <c r="A3315" s="5"/>
      <c r="B3315" s="157"/>
      <c r="C3315" s="158"/>
      <c r="D3315" s="161"/>
      <c r="E3315" s="162"/>
      <c r="F3315" s="163"/>
      <c r="G3315" s="164"/>
      <c r="H3315" s="165"/>
      <c r="I3315" s="164"/>
      <c r="J3315" s="165"/>
      <c r="K3315" s="164"/>
      <c r="L3315" s="165"/>
      <c r="M3315" s="6"/>
      <c r="N3315" s="32"/>
      <c r="Q3315" s="10" t="str">
        <f>+CONCATENATE(E3314,I3314)</f>
        <v/>
      </c>
      <c r="R3315" s="10">
        <f>+J3314</f>
        <v>0</v>
      </c>
      <c r="S3315" s="11"/>
      <c r="T3315" s="10">
        <f>+E3314</f>
        <v>0</v>
      </c>
      <c r="U3315" s="19" t="str">
        <f>IFERROR(LEFT(I3314,FIND("*",I3314)-1),"-")</f>
        <v>-</v>
      </c>
      <c r="V3315" s="19" t="str">
        <f>IFERROR(RIGHT(I3314,LEN(I3314)-FIND("*",I3314)),"-")</f>
        <v>-</v>
      </c>
      <c r="W3315" s="20" t="str">
        <f t="shared" si="1798"/>
        <v>-</v>
      </c>
      <c r="X3315" s="20" t="str">
        <f>IFERROR(W3315*J3314,"-")</f>
        <v>-</v>
      </c>
      <c r="Z3315" s="85" t="s">
        <v>82</v>
      </c>
    </row>
    <row r="3316" spans="1:26" ht="6.95" customHeight="1" x14ac:dyDescent="0.3">
      <c r="A3316" s="5"/>
      <c r="B3316" s="157"/>
      <c r="C3316" s="158"/>
      <c r="D3316" s="161"/>
      <c r="E3316" s="162"/>
      <c r="F3316" s="163"/>
      <c r="G3316" s="164"/>
      <c r="H3316" s="165"/>
      <c r="I3316" s="164"/>
      <c r="J3316" s="165"/>
      <c r="K3316" s="164"/>
      <c r="L3316" s="165"/>
      <c r="M3316" s="6"/>
      <c r="N3316" s="32"/>
      <c r="Q3316" s="10" t="str">
        <f>+CONCATENATE(E3314,K3314)</f>
        <v/>
      </c>
      <c r="R3316" s="10">
        <f>+L3314</f>
        <v>0</v>
      </c>
      <c r="S3316" s="11"/>
      <c r="T3316" s="10">
        <f>+E3314</f>
        <v>0</v>
      </c>
      <c r="U3316" s="19" t="str">
        <f>IFERROR(LEFT(K3314,FIND("*",K3314)-1),"-")</f>
        <v>-</v>
      </c>
      <c r="V3316" s="19" t="str">
        <f>IFERROR(RIGHT(K3314,LEN(K3314)-FIND("*",K3314)),"-")</f>
        <v>-</v>
      </c>
      <c r="W3316" s="20" t="str">
        <f t="shared" si="1798"/>
        <v>-</v>
      </c>
      <c r="X3316" s="20" t="str">
        <f>IFERROR(W3316*L3314,"-")</f>
        <v>-</v>
      </c>
      <c r="Z3316" s="85" t="s">
        <v>82</v>
      </c>
    </row>
    <row r="3317" spans="1:26" ht="6.95" customHeight="1" x14ac:dyDescent="0.3">
      <c r="A3317" s="8"/>
      <c r="B3317" s="157"/>
      <c r="C3317" s="158"/>
      <c r="D3317" s="161" t="s">
        <v>39</v>
      </c>
      <c r="E3317" s="162"/>
      <c r="F3317" s="163" t="s">
        <v>40</v>
      </c>
      <c r="G3317" s="164"/>
      <c r="H3317" s="165"/>
      <c r="I3317" s="164"/>
      <c r="J3317" s="165"/>
      <c r="K3317" s="164"/>
      <c r="L3317" s="165"/>
      <c r="M3317" s="6"/>
      <c r="N3317" s="32"/>
      <c r="Q3317" s="10" t="str">
        <f>+CONCATENATE(E3317,G3317)</f>
        <v/>
      </c>
      <c r="R3317" s="10">
        <f>+H3317</f>
        <v>0</v>
      </c>
      <c r="S3317" s="11"/>
      <c r="T3317" s="10">
        <f>+E3317</f>
        <v>0</v>
      </c>
      <c r="U3317" s="19" t="str">
        <f t="shared" ref="U3317" si="1801">IFERROR(LEFT(G3317,FIND("*",G3317)-1),"-")</f>
        <v>-</v>
      </c>
      <c r="V3317" s="19" t="str">
        <f t="shared" ref="V3317" si="1802">IFERROR(RIGHT(G3317,LEN(G3317)-FIND("*",G3317)),"-")</f>
        <v>-</v>
      </c>
      <c r="W3317" s="20" t="str">
        <f t="shared" si="1798"/>
        <v>-</v>
      </c>
      <c r="X3317" s="20" t="str">
        <f>IFERROR(W3317*H3317,"-")</f>
        <v>-</v>
      </c>
      <c r="Z3317" s="85" t="s">
        <v>82</v>
      </c>
    </row>
    <row r="3318" spans="1:26" ht="6.95" customHeight="1" x14ac:dyDescent="0.3">
      <c r="A3318" s="5"/>
      <c r="B3318" s="157"/>
      <c r="C3318" s="158"/>
      <c r="D3318" s="161"/>
      <c r="E3318" s="162"/>
      <c r="F3318" s="163"/>
      <c r="G3318" s="164"/>
      <c r="H3318" s="165"/>
      <c r="I3318" s="164"/>
      <c r="J3318" s="165"/>
      <c r="K3318" s="164"/>
      <c r="L3318" s="165"/>
      <c r="M3318" s="6"/>
      <c r="N3318" s="32"/>
      <c r="Q3318" s="10" t="str">
        <f>+CONCATENATE(E3317,I3317)</f>
        <v/>
      </c>
      <c r="R3318" s="10">
        <f>+J3317</f>
        <v>0</v>
      </c>
      <c r="S3318" s="11"/>
      <c r="T3318" s="10">
        <f>+E3317</f>
        <v>0</v>
      </c>
      <c r="U3318" s="19" t="str">
        <f>IFERROR(LEFT(I3317,FIND("*",I3317)-1),"-")</f>
        <v>-</v>
      </c>
      <c r="V3318" s="19" t="str">
        <f>IFERROR(RIGHT(I3317,LEN(I3317)-FIND("*",I3317)),"-")</f>
        <v>-</v>
      </c>
      <c r="W3318" s="20" t="str">
        <f t="shared" si="1798"/>
        <v>-</v>
      </c>
      <c r="X3318" s="20" t="str">
        <f t="shared" ref="X3318" si="1803">IFERROR(W3318*J3317,"-")</f>
        <v>-</v>
      </c>
      <c r="Z3318" s="85" t="s">
        <v>82</v>
      </c>
    </row>
    <row r="3319" spans="1:26" ht="6.95" customHeight="1" x14ac:dyDescent="0.3">
      <c r="A3319" s="5"/>
      <c r="B3319" s="157"/>
      <c r="C3319" s="158"/>
      <c r="D3319" s="161"/>
      <c r="E3319" s="162"/>
      <c r="F3319" s="163"/>
      <c r="G3319" s="164"/>
      <c r="H3319" s="165"/>
      <c r="I3319" s="164"/>
      <c r="J3319" s="165"/>
      <c r="K3319" s="164"/>
      <c r="L3319" s="165"/>
      <c r="M3319" s="6"/>
      <c r="N3319" s="32"/>
      <c r="Q3319" s="10" t="str">
        <f>+CONCATENATE(E3317,K3317)</f>
        <v/>
      </c>
      <c r="R3319" s="10">
        <f>+L3317</f>
        <v>0</v>
      </c>
      <c r="S3319" s="11"/>
      <c r="T3319" s="10">
        <f>+E3317</f>
        <v>0</v>
      </c>
      <c r="U3319" s="19" t="str">
        <f>IFERROR(LEFT(K3317,FIND("*",K3317)-1),"-")</f>
        <v>-</v>
      </c>
      <c r="V3319" s="19" t="str">
        <f>IFERROR(RIGHT(K3317,LEN(K3317)-FIND("*",K3317)),"-")</f>
        <v>-</v>
      </c>
      <c r="W3319" s="20" t="str">
        <f t="shared" si="1798"/>
        <v>-</v>
      </c>
      <c r="X3319" s="20" t="str">
        <f>IFERROR(W3319*L3317,"-")</f>
        <v>-</v>
      </c>
      <c r="Z3319" s="85" t="s">
        <v>82</v>
      </c>
    </row>
    <row r="3320" spans="1:26" ht="21" customHeight="1" thickBot="1" x14ac:dyDescent="0.35">
      <c r="A3320" s="5"/>
      <c r="B3320" s="159"/>
      <c r="C3320" s="160"/>
      <c r="D3320" s="166" t="s">
        <v>43</v>
      </c>
      <c r="E3320" s="167"/>
      <c r="F3320" s="167"/>
      <c r="G3320" s="168"/>
      <c r="H3320" s="168"/>
      <c r="I3320" s="168"/>
      <c r="J3320" s="168"/>
      <c r="K3320" s="168"/>
      <c r="L3320" s="168"/>
      <c r="M3320" s="7"/>
      <c r="N3320" s="32"/>
      <c r="Z3320" s="86" t="s">
        <v>81</v>
      </c>
    </row>
    <row r="3321" spans="1:26" ht="9.9499999999999993" customHeight="1" thickBot="1" x14ac:dyDescent="0.35">
      <c r="B3321" s="9"/>
      <c r="C3321" s="109"/>
      <c r="D3321" s="51"/>
      <c r="E3321" s="12"/>
      <c r="F3321" s="51"/>
      <c r="G3321" s="14"/>
      <c r="H3321" s="14"/>
      <c r="I3321" s="14"/>
      <c r="J3321" s="14"/>
      <c r="K3321" s="14"/>
      <c r="L3321" s="14"/>
      <c r="M3321" s="9"/>
      <c r="N3321" s="32"/>
      <c r="U3321" s="18"/>
      <c r="V3321" s="18"/>
      <c r="Z3321" s="85" t="s">
        <v>82</v>
      </c>
    </row>
    <row r="3322" spans="1:26" ht="6.95" customHeight="1" x14ac:dyDescent="0.3">
      <c r="A3322" s="154">
        <f>+A3311+1</f>
        <v>1101</v>
      </c>
      <c r="B3322" s="155"/>
      <c r="C3322" s="156"/>
      <c r="D3322" s="161" t="s">
        <v>39</v>
      </c>
      <c r="E3322" s="162"/>
      <c r="F3322" s="163" t="s">
        <v>40</v>
      </c>
      <c r="G3322" s="164"/>
      <c r="H3322" s="165"/>
      <c r="I3322" s="164"/>
      <c r="J3322" s="165"/>
      <c r="K3322" s="164"/>
      <c r="L3322" s="165"/>
      <c r="M3322" s="6"/>
      <c r="N3322" s="32"/>
      <c r="Q3322" s="10" t="str">
        <f>+CONCATENATE(E3322,G3322)</f>
        <v/>
      </c>
      <c r="R3322" s="10">
        <f>+H3322</f>
        <v>0</v>
      </c>
      <c r="S3322" s="11"/>
      <c r="T3322" s="10">
        <f>+E3322</f>
        <v>0</v>
      </c>
      <c r="U3322" s="19" t="str">
        <f>IFERROR(LEFT(G3322,FIND("*",G3322)-1),"-")</f>
        <v>-</v>
      </c>
      <c r="V3322" s="19" t="str">
        <f>IFERROR(RIGHT(G3322,LEN(G3322)-FIND("*",G3322)),"-")</f>
        <v>-</v>
      </c>
      <c r="W3322" s="20" t="str">
        <f>IFERROR((U3322+V3322)*2/1000,"-")</f>
        <v>-</v>
      </c>
      <c r="X3322" s="20" t="str">
        <f>IFERROR(W3322*H3322,"-")</f>
        <v>-</v>
      </c>
      <c r="Z3322" s="85" t="s">
        <v>82</v>
      </c>
    </row>
    <row r="3323" spans="1:26" ht="6.95" customHeight="1" x14ac:dyDescent="0.3">
      <c r="A3323" s="154"/>
      <c r="B3323" s="157"/>
      <c r="C3323" s="158"/>
      <c r="D3323" s="161"/>
      <c r="E3323" s="162"/>
      <c r="F3323" s="163"/>
      <c r="G3323" s="164"/>
      <c r="H3323" s="165"/>
      <c r="I3323" s="164"/>
      <c r="J3323" s="165"/>
      <c r="K3323" s="164"/>
      <c r="L3323" s="165"/>
      <c r="M3323" s="6"/>
      <c r="N3323" s="32"/>
      <c r="Q3323" s="10" t="str">
        <f>+CONCATENATE(E3322,I3322)</f>
        <v/>
      </c>
      <c r="R3323" s="10">
        <f>+J3322</f>
        <v>0</v>
      </c>
      <c r="S3323" s="11"/>
      <c r="T3323" s="10">
        <f>+E3322</f>
        <v>0</v>
      </c>
      <c r="U3323" s="19" t="str">
        <f>IFERROR(LEFT(I3322,FIND("*",I3322)-1),"-")</f>
        <v>-</v>
      </c>
      <c r="V3323" s="19" t="str">
        <f>IFERROR(RIGHT(I3322,LEN(I3322)-FIND("*",I3322)),"-")</f>
        <v>-</v>
      </c>
      <c r="W3323" s="20" t="str">
        <f t="shared" ref="W3323:W3330" si="1804">IFERROR((U3323+V3323)*2/1000,"-")</f>
        <v>-</v>
      </c>
      <c r="X3323" s="20" t="str">
        <f>IFERROR(W3323*J3322,"-")</f>
        <v>-</v>
      </c>
      <c r="Z3323" s="85" t="s">
        <v>82</v>
      </c>
    </row>
    <row r="3324" spans="1:26" ht="6.95" customHeight="1" x14ac:dyDescent="0.3">
      <c r="A3324" s="154"/>
      <c r="B3324" s="157"/>
      <c r="C3324" s="158"/>
      <c r="D3324" s="161"/>
      <c r="E3324" s="162"/>
      <c r="F3324" s="163"/>
      <c r="G3324" s="164"/>
      <c r="H3324" s="165"/>
      <c r="I3324" s="164"/>
      <c r="J3324" s="165"/>
      <c r="K3324" s="164"/>
      <c r="L3324" s="165"/>
      <c r="M3324" s="6"/>
      <c r="N3324" s="32"/>
      <c r="Q3324" s="10" t="str">
        <f>+CONCATENATE(E3322,K3322)</f>
        <v/>
      </c>
      <c r="R3324" s="10">
        <f>+L3322</f>
        <v>0</v>
      </c>
      <c r="S3324" s="11"/>
      <c r="T3324" s="10">
        <f>+E3322</f>
        <v>0</v>
      </c>
      <c r="U3324" s="19" t="str">
        <f>IFERROR(LEFT(K3322,FIND("*",K3322)-1),"-")</f>
        <v>-</v>
      </c>
      <c r="V3324" s="19" t="str">
        <f>IFERROR(RIGHT(K3322,LEN(K3322)-FIND("*",K3322)),"-")</f>
        <v>-</v>
      </c>
      <c r="W3324" s="20" t="str">
        <f t="shared" si="1804"/>
        <v>-</v>
      </c>
      <c r="X3324" s="20" t="str">
        <f>IFERROR(W3324*L3322,"-")</f>
        <v>-</v>
      </c>
      <c r="Z3324" s="85" t="s">
        <v>82</v>
      </c>
    </row>
    <row r="3325" spans="1:26" ht="6.95" customHeight="1" x14ac:dyDescent="0.3">
      <c r="A3325" s="8"/>
      <c r="B3325" s="157"/>
      <c r="C3325" s="158"/>
      <c r="D3325" s="161" t="s">
        <v>39</v>
      </c>
      <c r="E3325" s="162"/>
      <c r="F3325" s="163" t="s">
        <v>40</v>
      </c>
      <c r="G3325" s="164"/>
      <c r="H3325" s="165"/>
      <c r="I3325" s="164"/>
      <c r="J3325" s="165"/>
      <c r="K3325" s="164"/>
      <c r="L3325" s="165"/>
      <c r="M3325" s="6"/>
      <c r="N3325" s="32"/>
      <c r="Q3325" s="10" t="str">
        <f>+CONCATENATE(E3325,G3325)</f>
        <v/>
      </c>
      <c r="R3325" s="10">
        <f>+H3325</f>
        <v>0</v>
      </c>
      <c r="S3325" s="11"/>
      <c r="T3325" s="10">
        <f>+E3325</f>
        <v>0</v>
      </c>
      <c r="U3325" s="19" t="str">
        <f t="shared" ref="U3325" si="1805">IFERROR(LEFT(G3325,FIND("*",G3325)-1),"-")</f>
        <v>-</v>
      </c>
      <c r="V3325" s="19" t="str">
        <f t="shared" ref="V3325" si="1806">IFERROR(RIGHT(G3325,LEN(G3325)-FIND("*",G3325)),"-")</f>
        <v>-</v>
      </c>
      <c r="W3325" s="20" t="str">
        <f t="shared" si="1804"/>
        <v>-</v>
      </c>
      <c r="X3325" s="20" t="str">
        <f>IFERROR(W3325*H3325,"-")</f>
        <v>-</v>
      </c>
      <c r="Z3325" s="85" t="s">
        <v>82</v>
      </c>
    </row>
    <row r="3326" spans="1:26" ht="6.95" customHeight="1" x14ac:dyDescent="0.3">
      <c r="A3326" s="5"/>
      <c r="B3326" s="157"/>
      <c r="C3326" s="158"/>
      <c r="D3326" s="161"/>
      <c r="E3326" s="162"/>
      <c r="F3326" s="163"/>
      <c r="G3326" s="164"/>
      <c r="H3326" s="165"/>
      <c r="I3326" s="164"/>
      <c r="J3326" s="165"/>
      <c r="K3326" s="164"/>
      <c r="L3326" s="165"/>
      <c r="M3326" s="6"/>
      <c r="N3326" s="32"/>
      <c r="Q3326" s="10" t="str">
        <f>+CONCATENATE(E3325,I3325)</f>
        <v/>
      </c>
      <c r="R3326" s="10">
        <f>+J3325</f>
        <v>0</v>
      </c>
      <c r="S3326" s="11"/>
      <c r="T3326" s="10">
        <f>+E3325</f>
        <v>0</v>
      </c>
      <c r="U3326" s="19" t="str">
        <f>IFERROR(LEFT(I3325,FIND("*",I3325)-1),"-")</f>
        <v>-</v>
      </c>
      <c r="V3326" s="19" t="str">
        <f>IFERROR(RIGHT(I3325,LEN(I3325)-FIND("*",I3325)),"-")</f>
        <v>-</v>
      </c>
      <c r="W3326" s="20" t="str">
        <f t="shared" si="1804"/>
        <v>-</v>
      </c>
      <c r="X3326" s="20" t="str">
        <f>IFERROR(W3326*J3325,"-")</f>
        <v>-</v>
      </c>
      <c r="Z3326" s="85" t="s">
        <v>82</v>
      </c>
    </row>
    <row r="3327" spans="1:26" ht="6.95" customHeight="1" x14ac:dyDescent="0.3">
      <c r="A3327" s="5"/>
      <c r="B3327" s="157"/>
      <c r="C3327" s="158"/>
      <c r="D3327" s="161"/>
      <c r="E3327" s="162"/>
      <c r="F3327" s="163"/>
      <c r="G3327" s="164"/>
      <c r="H3327" s="165"/>
      <c r="I3327" s="164"/>
      <c r="J3327" s="165"/>
      <c r="K3327" s="164"/>
      <c r="L3327" s="165"/>
      <c r="M3327" s="6"/>
      <c r="N3327" s="32"/>
      <c r="Q3327" s="10" t="str">
        <f>+CONCATENATE(E3325,K3325)</f>
        <v/>
      </c>
      <c r="R3327" s="10">
        <f>+L3325</f>
        <v>0</v>
      </c>
      <c r="S3327" s="11"/>
      <c r="T3327" s="10">
        <f>+E3325</f>
        <v>0</v>
      </c>
      <c r="U3327" s="19" t="str">
        <f>IFERROR(LEFT(K3325,FIND("*",K3325)-1),"-")</f>
        <v>-</v>
      </c>
      <c r="V3327" s="19" t="str">
        <f>IFERROR(RIGHT(K3325,LEN(K3325)-FIND("*",K3325)),"-")</f>
        <v>-</v>
      </c>
      <c r="W3327" s="20" t="str">
        <f t="shared" si="1804"/>
        <v>-</v>
      </c>
      <c r="X3327" s="20" t="str">
        <f>IFERROR(W3327*L3325,"-")</f>
        <v>-</v>
      </c>
      <c r="Z3327" s="85" t="s">
        <v>82</v>
      </c>
    </row>
    <row r="3328" spans="1:26" ht="6.95" customHeight="1" x14ac:dyDescent="0.3">
      <c r="A3328" s="8"/>
      <c r="B3328" s="157"/>
      <c r="C3328" s="158"/>
      <c r="D3328" s="161" t="s">
        <v>39</v>
      </c>
      <c r="E3328" s="162"/>
      <c r="F3328" s="163" t="s">
        <v>40</v>
      </c>
      <c r="G3328" s="164"/>
      <c r="H3328" s="165"/>
      <c r="I3328" s="164"/>
      <c r="J3328" s="165"/>
      <c r="K3328" s="164"/>
      <c r="L3328" s="165"/>
      <c r="M3328" s="6"/>
      <c r="N3328" s="32"/>
      <c r="Q3328" s="10" t="str">
        <f>+CONCATENATE(E3328,G3328)</f>
        <v/>
      </c>
      <c r="R3328" s="10">
        <f>+H3328</f>
        <v>0</v>
      </c>
      <c r="S3328" s="11"/>
      <c r="T3328" s="10">
        <f>+E3328</f>
        <v>0</v>
      </c>
      <c r="U3328" s="19" t="str">
        <f t="shared" ref="U3328" si="1807">IFERROR(LEFT(G3328,FIND("*",G3328)-1),"-")</f>
        <v>-</v>
      </c>
      <c r="V3328" s="19" t="str">
        <f t="shared" ref="V3328" si="1808">IFERROR(RIGHT(G3328,LEN(G3328)-FIND("*",G3328)),"-")</f>
        <v>-</v>
      </c>
      <c r="W3328" s="20" t="str">
        <f t="shared" si="1804"/>
        <v>-</v>
      </c>
      <c r="X3328" s="20" t="str">
        <f>IFERROR(W3328*H3328,"-")</f>
        <v>-</v>
      </c>
      <c r="Z3328" s="85" t="s">
        <v>82</v>
      </c>
    </row>
    <row r="3329" spans="1:26" ht="6.95" customHeight="1" x14ac:dyDescent="0.3">
      <c r="A3329" s="5"/>
      <c r="B3329" s="157"/>
      <c r="C3329" s="158"/>
      <c r="D3329" s="161"/>
      <c r="E3329" s="162"/>
      <c r="F3329" s="163"/>
      <c r="G3329" s="164"/>
      <c r="H3329" s="165"/>
      <c r="I3329" s="164"/>
      <c r="J3329" s="165"/>
      <c r="K3329" s="164"/>
      <c r="L3329" s="165"/>
      <c r="M3329" s="6"/>
      <c r="N3329" s="32"/>
      <c r="Q3329" s="10" t="str">
        <f>+CONCATENATE(E3328,I3328)</f>
        <v/>
      </c>
      <c r="R3329" s="10">
        <f>+J3328</f>
        <v>0</v>
      </c>
      <c r="S3329" s="11"/>
      <c r="T3329" s="10">
        <f>+E3328</f>
        <v>0</v>
      </c>
      <c r="U3329" s="19" t="str">
        <f>IFERROR(LEFT(I3328,FIND("*",I3328)-1),"-")</f>
        <v>-</v>
      </c>
      <c r="V3329" s="19" t="str">
        <f>IFERROR(RIGHT(I3328,LEN(I3328)-FIND("*",I3328)),"-")</f>
        <v>-</v>
      </c>
      <c r="W3329" s="20" t="str">
        <f t="shared" si="1804"/>
        <v>-</v>
      </c>
      <c r="X3329" s="20" t="str">
        <f t="shared" ref="X3329" si="1809">IFERROR(W3329*J3328,"-")</f>
        <v>-</v>
      </c>
      <c r="Z3329" s="85" t="s">
        <v>82</v>
      </c>
    </row>
    <row r="3330" spans="1:26" ht="6.95" customHeight="1" x14ac:dyDescent="0.3">
      <c r="A3330" s="5"/>
      <c r="B3330" s="157"/>
      <c r="C3330" s="158"/>
      <c r="D3330" s="161"/>
      <c r="E3330" s="162"/>
      <c r="F3330" s="163"/>
      <c r="G3330" s="164"/>
      <c r="H3330" s="165"/>
      <c r="I3330" s="164"/>
      <c r="J3330" s="165"/>
      <c r="K3330" s="164"/>
      <c r="L3330" s="165"/>
      <c r="M3330" s="6"/>
      <c r="N3330" s="32"/>
      <c r="Q3330" s="10" t="str">
        <f>+CONCATENATE(E3328,K3328)</f>
        <v/>
      </c>
      <c r="R3330" s="10">
        <f>+L3328</f>
        <v>0</v>
      </c>
      <c r="S3330" s="11"/>
      <c r="T3330" s="10">
        <f>+E3328</f>
        <v>0</v>
      </c>
      <c r="U3330" s="19" t="str">
        <f>IFERROR(LEFT(K3328,FIND("*",K3328)-1),"-")</f>
        <v>-</v>
      </c>
      <c r="V3330" s="19" t="str">
        <f>IFERROR(RIGHT(K3328,LEN(K3328)-FIND("*",K3328)),"-")</f>
        <v>-</v>
      </c>
      <c r="W3330" s="20" t="str">
        <f t="shared" si="1804"/>
        <v>-</v>
      </c>
      <c r="X3330" s="20" t="str">
        <f>IFERROR(W3330*L3328,"-")</f>
        <v>-</v>
      </c>
      <c r="Z3330" s="85" t="s">
        <v>82</v>
      </c>
    </row>
    <row r="3331" spans="1:26" ht="21" customHeight="1" thickBot="1" x14ac:dyDescent="0.35">
      <c r="A3331" s="5"/>
      <c r="B3331" s="159"/>
      <c r="C3331" s="160"/>
      <c r="D3331" s="166" t="s">
        <v>43</v>
      </c>
      <c r="E3331" s="167"/>
      <c r="F3331" s="167"/>
      <c r="G3331" s="168"/>
      <c r="H3331" s="168"/>
      <c r="I3331" s="168"/>
      <c r="J3331" s="168"/>
      <c r="K3331" s="168"/>
      <c r="L3331" s="168"/>
      <c r="M3331" s="7"/>
      <c r="N3331" s="32"/>
      <c r="Z3331" s="86" t="s">
        <v>81</v>
      </c>
    </row>
    <row r="3332" spans="1:26" ht="9.9499999999999993" customHeight="1" thickBot="1" x14ac:dyDescent="0.35">
      <c r="B3332" s="9"/>
      <c r="C3332" s="109"/>
      <c r="D3332" s="51"/>
      <c r="E3332" s="12"/>
      <c r="F3332" s="51"/>
      <c r="G3332" s="14"/>
      <c r="H3332" s="14"/>
      <c r="I3332" s="14"/>
      <c r="J3332" s="14"/>
      <c r="K3332" s="14"/>
      <c r="L3332" s="14"/>
      <c r="M3332" s="9"/>
      <c r="N3332" s="32"/>
      <c r="U3332" s="18"/>
      <c r="V3332" s="18"/>
      <c r="Z3332" s="85" t="s">
        <v>82</v>
      </c>
    </row>
    <row r="3333" spans="1:26" ht="6.95" customHeight="1" x14ac:dyDescent="0.3">
      <c r="A3333" s="154">
        <f>+A3322+1</f>
        <v>1102</v>
      </c>
      <c r="B3333" s="155"/>
      <c r="C3333" s="156"/>
      <c r="D3333" s="161" t="s">
        <v>39</v>
      </c>
      <c r="E3333" s="162"/>
      <c r="F3333" s="163" t="s">
        <v>40</v>
      </c>
      <c r="G3333" s="164"/>
      <c r="H3333" s="165"/>
      <c r="I3333" s="164"/>
      <c r="J3333" s="165"/>
      <c r="K3333" s="164"/>
      <c r="L3333" s="165"/>
      <c r="M3333" s="6"/>
      <c r="N3333" s="32"/>
      <c r="Q3333" s="10" t="str">
        <f>+CONCATENATE(E3333,G3333)</f>
        <v/>
      </c>
      <c r="R3333" s="10">
        <f>+H3333</f>
        <v>0</v>
      </c>
      <c r="S3333" s="11"/>
      <c r="T3333" s="10">
        <f>+E3333</f>
        <v>0</v>
      </c>
      <c r="U3333" s="19" t="str">
        <f>IFERROR(LEFT(G3333,FIND("*",G3333)-1),"-")</f>
        <v>-</v>
      </c>
      <c r="V3333" s="19" t="str">
        <f>IFERROR(RIGHT(G3333,LEN(G3333)-FIND("*",G3333)),"-")</f>
        <v>-</v>
      </c>
      <c r="W3333" s="20" t="str">
        <f>IFERROR((U3333+V3333)*2/1000,"-")</f>
        <v>-</v>
      </c>
      <c r="X3333" s="20" t="str">
        <f>IFERROR(W3333*H3333,"-")</f>
        <v>-</v>
      </c>
      <c r="Z3333" s="85" t="s">
        <v>82</v>
      </c>
    </row>
    <row r="3334" spans="1:26" ht="6.95" customHeight="1" x14ac:dyDescent="0.3">
      <c r="A3334" s="154"/>
      <c r="B3334" s="157"/>
      <c r="C3334" s="158"/>
      <c r="D3334" s="161"/>
      <c r="E3334" s="162"/>
      <c r="F3334" s="163"/>
      <c r="G3334" s="164"/>
      <c r="H3334" s="165"/>
      <c r="I3334" s="164"/>
      <c r="J3334" s="165"/>
      <c r="K3334" s="164"/>
      <c r="L3334" s="165"/>
      <c r="M3334" s="6"/>
      <c r="N3334" s="32"/>
      <c r="Q3334" s="10" t="str">
        <f>+CONCATENATE(E3333,I3333)</f>
        <v/>
      </c>
      <c r="R3334" s="10">
        <f>+J3333</f>
        <v>0</v>
      </c>
      <c r="S3334" s="11"/>
      <c r="T3334" s="10">
        <f>+E3333</f>
        <v>0</v>
      </c>
      <c r="U3334" s="19" t="str">
        <f>IFERROR(LEFT(I3333,FIND("*",I3333)-1),"-")</f>
        <v>-</v>
      </c>
      <c r="V3334" s="19" t="str">
        <f>IFERROR(RIGHT(I3333,LEN(I3333)-FIND("*",I3333)),"-")</f>
        <v>-</v>
      </c>
      <c r="W3334" s="20" t="str">
        <f t="shared" ref="W3334:W3341" si="1810">IFERROR((U3334+V3334)*2/1000,"-")</f>
        <v>-</v>
      </c>
      <c r="X3334" s="20" t="str">
        <f>IFERROR(W3334*J3333,"-")</f>
        <v>-</v>
      </c>
      <c r="Z3334" s="85" t="s">
        <v>82</v>
      </c>
    </row>
    <row r="3335" spans="1:26" ht="6.95" customHeight="1" x14ac:dyDescent="0.3">
      <c r="A3335" s="154"/>
      <c r="B3335" s="157"/>
      <c r="C3335" s="158"/>
      <c r="D3335" s="161"/>
      <c r="E3335" s="162"/>
      <c r="F3335" s="163"/>
      <c r="G3335" s="164"/>
      <c r="H3335" s="165"/>
      <c r="I3335" s="164"/>
      <c r="J3335" s="165"/>
      <c r="K3335" s="164"/>
      <c r="L3335" s="165"/>
      <c r="M3335" s="6"/>
      <c r="N3335" s="32"/>
      <c r="Q3335" s="10" t="str">
        <f>+CONCATENATE(E3333,K3333)</f>
        <v/>
      </c>
      <c r="R3335" s="10">
        <f>+L3333</f>
        <v>0</v>
      </c>
      <c r="S3335" s="11"/>
      <c r="T3335" s="10">
        <f>+E3333</f>
        <v>0</v>
      </c>
      <c r="U3335" s="19" t="str">
        <f>IFERROR(LEFT(K3333,FIND("*",K3333)-1),"-")</f>
        <v>-</v>
      </c>
      <c r="V3335" s="19" t="str">
        <f>IFERROR(RIGHT(K3333,LEN(K3333)-FIND("*",K3333)),"-")</f>
        <v>-</v>
      </c>
      <c r="W3335" s="20" t="str">
        <f t="shared" si="1810"/>
        <v>-</v>
      </c>
      <c r="X3335" s="20" t="str">
        <f>IFERROR(W3335*L3333,"-")</f>
        <v>-</v>
      </c>
      <c r="Z3335" s="85" t="s">
        <v>82</v>
      </c>
    </row>
    <row r="3336" spans="1:26" ht="6.95" customHeight="1" x14ac:dyDescent="0.3">
      <c r="A3336" s="8"/>
      <c r="B3336" s="157"/>
      <c r="C3336" s="158"/>
      <c r="D3336" s="161" t="s">
        <v>39</v>
      </c>
      <c r="E3336" s="162"/>
      <c r="F3336" s="163" t="s">
        <v>40</v>
      </c>
      <c r="G3336" s="164"/>
      <c r="H3336" s="165"/>
      <c r="I3336" s="164"/>
      <c r="J3336" s="165"/>
      <c r="K3336" s="164"/>
      <c r="L3336" s="165"/>
      <c r="M3336" s="6"/>
      <c r="N3336" s="32"/>
      <c r="Q3336" s="10" t="str">
        <f>+CONCATENATE(E3336,G3336)</f>
        <v/>
      </c>
      <c r="R3336" s="10">
        <f>+H3336</f>
        <v>0</v>
      </c>
      <c r="S3336" s="11"/>
      <c r="T3336" s="10">
        <f>+E3336</f>
        <v>0</v>
      </c>
      <c r="U3336" s="19" t="str">
        <f t="shared" ref="U3336" si="1811">IFERROR(LEFT(G3336,FIND("*",G3336)-1),"-")</f>
        <v>-</v>
      </c>
      <c r="V3336" s="19" t="str">
        <f t="shared" ref="V3336" si="1812">IFERROR(RIGHT(G3336,LEN(G3336)-FIND("*",G3336)),"-")</f>
        <v>-</v>
      </c>
      <c r="W3336" s="20" t="str">
        <f t="shared" si="1810"/>
        <v>-</v>
      </c>
      <c r="X3336" s="20" t="str">
        <f>IFERROR(W3336*H3336,"-")</f>
        <v>-</v>
      </c>
      <c r="Z3336" s="85" t="s">
        <v>82</v>
      </c>
    </row>
    <row r="3337" spans="1:26" ht="6.95" customHeight="1" x14ac:dyDescent="0.3">
      <c r="A3337" s="5"/>
      <c r="B3337" s="157"/>
      <c r="C3337" s="158"/>
      <c r="D3337" s="161"/>
      <c r="E3337" s="162"/>
      <c r="F3337" s="163"/>
      <c r="G3337" s="164"/>
      <c r="H3337" s="165"/>
      <c r="I3337" s="164"/>
      <c r="J3337" s="165"/>
      <c r="K3337" s="164"/>
      <c r="L3337" s="165"/>
      <c r="M3337" s="6"/>
      <c r="N3337" s="32"/>
      <c r="Q3337" s="10" t="str">
        <f>+CONCATENATE(E3336,I3336)</f>
        <v/>
      </c>
      <c r="R3337" s="10">
        <f>+J3336</f>
        <v>0</v>
      </c>
      <c r="S3337" s="11"/>
      <c r="T3337" s="10">
        <f>+E3336</f>
        <v>0</v>
      </c>
      <c r="U3337" s="19" t="str">
        <f>IFERROR(LEFT(I3336,FIND("*",I3336)-1),"-")</f>
        <v>-</v>
      </c>
      <c r="V3337" s="19" t="str">
        <f>IFERROR(RIGHT(I3336,LEN(I3336)-FIND("*",I3336)),"-")</f>
        <v>-</v>
      </c>
      <c r="W3337" s="20" t="str">
        <f t="shared" si="1810"/>
        <v>-</v>
      </c>
      <c r="X3337" s="20" t="str">
        <f>IFERROR(W3337*J3336,"-")</f>
        <v>-</v>
      </c>
      <c r="Z3337" s="85" t="s">
        <v>82</v>
      </c>
    </row>
    <row r="3338" spans="1:26" ht="6.95" customHeight="1" x14ac:dyDescent="0.3">
      <c r="A3338" s="5"/>
      <c r="B3338" s="157"/>
      <c r="C3338" s="158"/>
      <c r="D3338" s="161"/>
      <c r="E3338" s="162"/>
      <c r="F3338" s="163"/>
      <c r="G3338" s="164"/>
      <c r="H3338" s="165"/>
      <c r="I3338" s="164"/>
      <c r="J3338" s="165"/>
      <c r="K3338" s="164"/>
      <c r="L3338" s="165"/>
      <c r="M3338" s="6"/>
      <c r="N3338" s="32"/>
      <c r="Q3338" s="10" t="str">
        <f>+CONCATENATE(E3336,K3336)</f>
        <v/>
      </c>
      <c r="R3338" s="10">
        <f>+L3336</f>
        <v>0</v>
      </c>
      <c r="S3338" s="11"/>
      <c r="T3338" s="10">
        <f>+E3336</f>
        <v>0</v>
      </c>
      <c r="U3338" s="19" t="str">
        <f>IFERROR(LEFT(K3336,FIND("*",K3336)-1),"-")</f>
        <v>-</v>
      </c>
      <c r="V3338" s="19" t="str">
        <f>IFERROR(RIGHT(K3336,LEN(K3336)-FIND("*",K3336)),"-")</f>
        <v>-</v>
      </c>
      <c r="W3338" s="20" t="str">
        <f t="shared" si="1810"/>
        <v>-</v>
      </c>
      <c r="X3338" s="20" t="str">
        <f>IFERROR(W3338*L3336,"-")</f>
        <v>-</v>
      </c>
      <c r="Z3338" s="85" t="s">
        <v>82</v>
      </c>
    </row>
    <row r="3339" spans="1:26" ht="6.95" customHeight="1" x14ac:dyDescent="0.3">
      <c r="A3339" s="8"/>
      <c r="B3339" s="157"/>
      <c r="C3339" s="158"/>
      <c r="D3339" s="161" t="s">
        <v>39</v>
      </c>
      <c r="E3339" s="162"/>
      <c r="F3339" s="163" t="s">
        <v>40</v>
      </c>
      <c r="G3339" s="164"/>
      <c r="H3339" s="165"/>
      <c r="I3339" s="164"/>
      <c r="J3339" s="165"/>
      <c r="K3339" s="164"/>
      <c r="L3339" s="165"/>
      <c r="M3339" s="6"/>
      <c r="N3339" s="32"/>
      <c r="Q3339" s="10" t="str">
        <f>+CONCATENATE(E3339,G3339)</f>
        <v/>
      </c>
      <c r="R3339" s="10">
        <f>+H3339</f>
        <v>0</v>
      </c>
      <c r="S3339" s="11"/>
      <c r="T3339" s="10">
        <f>+E3339</f>
        <v>0</v>
      </c>
      <c r="U3339" s="19" t="str">
        <f t="shared" ref="U3339" si="1813">IFERROR(LEFT(G3339,FIND("*",G3339)-1),"-")</f>
        <v>-</v>
      </c>
      <c r="V3339" s="19" t="str">
        <f t="shared" ref="V3339" si="1814">IFERROR(RIGHT(G3339,LEN(G3339)-FIND("*",G3339)),"-")</f>
        <v>-</v>
      </c>
      <c r="W3339" s="20" t="str">
        <f t="shared" si="1810"/>
        <v>-</v>
      </c>
      <c r="X3339" s="20" t="str">
        <f>IFERROR(W3339*H3339,"-")</f>
        <v>-</v>
      </c>
      <c r="Z3339" s="85" t="s">
        <v>82</v>
      </c>
    </row>
    <row r="3340" spans="1:26" ht="6.95" customHeight="1" x14ac:dyDescent="0.3">
      <c r="A3340" s="5"/>
      <c r="B3340" s="157"/>
      <c r="C3340" s="158"/>
      <c r="D3340" s="161"/>
      <c r="E3340" s="162"/>
      <c r="F3340" s="163"/>
      <c r="G3340" s="164"/>
      <c r="H3340" s="165"/>
      <c r="I3340" s="164"/>
      <c r="J3340" s="165"/>
      <c r="K3340" s="164"/>
      <c r="L3340" s="165"/>
      <c r="M3340" s="6"/>
      <c r="N3340" s="32"/>
      <c r="Q3340" s="10" t="str">
        <f>+CONCATENATE(E3339,I3339)</f>
        <v/>
      </c>
      <c r="R3340" s="10">
        <f>+J3339</f>
        <v>0</v>
      </c>
      <c r="S3340" s="11"/>
      <c r="T3340" s="10">
        <f>+E3339</f>
        <v>0</v>
      </c>
      <c r="U3340" s="19" t="str">
        <f>IFERROR(LEFT(I3339,FIND("*",I3339)-1),"-")</f>
        <v>-</v>
      </c>
      <c r="V3340" s="19" t="str">
        <f>IFERROR(RIGHT(I3339,LEN(I3339)-FIND("*",I3339)),"-")</f>
        <v>-</v>
      </c>
      <c r="W3340" s="20" t="str">
        <f t="shared" si="1810"/>
        <v>-</v>
      </c>
      <c r="X3340" s="20" t="str">
        <f t="shared" ref="X3340" si="1815">IFERROR(W3340*J3339,"-")</f>
        <v>-</v>
      </c>
      <c r="Z3340" s="85" t="s">
        <v>82</v>
      </c>
    </row>
    <row r="3341" spans="1:26" ht="6.95" customHeight="1" x14ac:dyDescent="0.3">
      <c r="A3341" s="5"/>
      <c r="B3341" s="157"/>
      <c r="C3341" s="158"/>
      <c r="D3341" s="161"/>
      <c r="E3341" s="162"/>
      <c r="F3341" s="163"/>
      <c r="G3341" s="164"/>
      <c r="H3341" s="165"/>
      <c r="I3341" s="164"/>
      <c r="J3341" s="165"/>
      <c r="K3341" s="164"/>
      <c r="L3341" s="165"/>
      <c r="M3341" s="6"/>
      <c r="N3341" s="32"/>
      <c r="Q3341" s="10" t="str">
        <f>+CONCATENATE(E3339,K3339)</f>
        <v/>
      </c>
      <c r="R3341" s="10">
        <f>+L3339</f>
        <v>0</v>
      </c>
      <c r="S3341" s="11"/>
      <c r="T3341" s="10">
        <f>+E3339</f>
        <v>0</v>
      </c>
      <c r="U3341" s="19" t="str">
        <f>IFERROR(LEFT(K3339,FIND("*",K3339)-1),"-")</f>
        <v>-</v>
      </c>
      <c r="V3341" s="19" t="str">
        <f>IFERROR(RIGHT(K3339,LEN(K3339)-FIND("*",K3339)),"-")</f>
        <v>-</v>
      </c>
      <c r="W3341" s="20" t="str">
        <f t="shared" si="1810"/>
        <v>-</v>
      </c>
      <c r="X3341" s="20" t="str">
        <f>IFERROR(W3341*L3339,"-")</f>
        <v>-</v>
      </c>
      <c r="Z3341" s="85" t="s">
        <v>82</v>
      </c>
    </row>
    <row r="3342" spans="1:26" ht="21" customHeight="1" thickBot="1" x14ac:dyDescent="0.35">
      <c r="A3342" s="5"/>
      <c r="B3342" s="159"/>
      <c r="C3342" s="160"/>
      <c r="D3342" s="166" t="s">
        <v>43</v>
      </c>
      <c r="E3342" s="167"/>
      <c r="F3342" s="167"/>
      <c r="G3342" s="168"/>
      <c r="H3342" s="168"/>
      <c r="I3342" s="168"/>
      <c r="J3342" s="168"/>
      <c r="K3342" s="168"/>
      <c r="L3342" s="168"/>
      <c r="M3342" s="7"/>
      <c r="N3342" s="32"/>
      <c r="Z3342" s="86" t="s">
        <v>81</v>
      </c>
    </row>
    <row r="3343" spans="1:26" ht="9.9499999999999993" customHeight="1" thickBot="1" x14ac:dyDescent="0.35">
      <c r="B3343" s="9"/>
      <c r="C3343" s="109"/>
      <c r="D3343" s="51"/>
      <c r="E3343" s="12"/>
      <c r="F3343" s="51"/>
      <c r="G3343" s="14"/>
      <c r="H3343" s="14"/>
      <c r="I3343" s="14"/>
      <c r="J3343" s="14"/>
      <c r="K3343" s="14"/>
      <c r="L3343" s="14"/>
      <c r="M3343" s="9"/>
      <c r="N3343" s="32"/>
      <c r="U3343" s="18"/>
      <c r="V3343" s="18"/>
      <c r="Z3343" s="85" t="s">
        <v>82</v>
      </c>
    </row>
    <row r="3344" spans="1:26" ht="6.95" customHeight="1" x14ac:dyDescent="0.3">
      <c r="A3344" s="154">
        <f>+A3333+1</f>
        <v>1103</v>
      </c>
      <c r="B3344" s="155"/>
      <c r="C3344" s="156"/>
      <c r="D3344" s="161" t="s">
        <v>39</v>
      </c>
      <c r="E3344" s="162"/>
      <c r="F3344" s="163" t="s">
        <v>40</v>
      </c>
      <c r="G3344" s="164"/>
      <c r="H3344" s="165"/>
      <c r="I3344" s="164"/>
      <c r="J3344" s="165"/>
      <c r="K3344" s="164"/>
      <c r="L3344" s="165"/>
      <c r="M3344" s="6"/>
      <c r="N3344" s="32"/>
      <c r="Q3344" s="10" t="str">
        <f>+CONCATENATE(E3344,G3344)</f>
        <v/>
      </c>
      <c r="R3344" s="10">
        <f>+H3344</f>
        <v>0</v>
      </c>
      <c r="S3344" s="11"/>
      <c r="T3344" s="10">
        <f>+E3344</f>
        <v>0</v>
      </c>
      <c r="U3344" s="19" t="str">
        <f>IFERROR(LEFT(G3344,FIND("*",G3344)-1),"-")</f>
        <v>-</v>
      </c>
      <c r="V3344" s="19" t="str">
        <f>IFERROR(RIGHT(G3344,LEN(G3344)-FIND("*",G3344)),"-")</f>
        <v>-</v>
      </c>
      <c r="W3344" s="20" t="str">
        <f>IFERROR((U3344+V3344)*2/1000,"-")</f>
        <v>-</v>
      </c>
      <c r="X3344" s="20" t="str">
        <f>IFERROR(W3344*H3344,"-")</f>
        <v>-</v>
      </c>
      <c r="Z3344" s="85" t="s">
        <v>82</v>
      </c>
    </row>
    <row r="3345" spans="1:26" ht="6.95" customHeight="1" x14ac:dyDescent="0.3">
      <c r="A3345" s="154"/>
      <c r="B3345" s="157"/>
      <c r="C3345" s="158"/>
      <c r="D3345" s="161"/>
      <c r="E3345" s="162"/>
      <c r="F3345" s="163"/>
      <c r="G3345" s="164"/>
      <c r="H3345" s="165"/>
      <c r="I3345" s="164"/>
      <c r="J3345" s="165"/>
      <c r="K3345" s="164"/>
      <c r="L3345" s="165"/>
      <c r="M3345" s="6"/>
      <c r="N3345" s="32"/>
      <c r="Q3345" s="10" t="str">
        <f>+CONCATENATE(E3344,I3344)</f>
        <v/>
      </c>
      <c r="R3345" s="10">
        <f>+J3344</f>
        <v>0</v>
      </c>
      <c r="S3345" s="11"/>
      <c r="T3345" s="10">
        <f>+E3344</f>
        <v>0</v>
      </c>
      <c r="U3345" s="19" t="str">
        <f>IFERROR(LEFT(I3344,FIND("*",I3344)-1),"-")</f>
        <v>-</v>
      </c>
      <c r="V3345" s="19" t="str">
        <f>IFERROR(RIGHT(I3344,LEN(I3344)-FIND("*",I3344)),"-")</f>
        <v>-</v>
      </c>
      <c r="W3345" s="20" t="str">
        <f t="shared" ref="W3345:W3352" si="1816">IFERROR((U3345+V3345)*2/1000,"-")</f>
        <v>-</v>
      </c>
      <c r="X3345" s="20" t="str">
        <f>IFERROR(W3345*J3344,"-")</f>
        <v>-</v>
      </c>
      <c r="Z3345" s="85" t="s">
        <v>82</v>
      </c>
    </row>
    <row r="3346" spans="1:26" ht="6.95" customHeight="1" x14ac:dyDescent="0.3">
      <c r="A3346" s="154"/>
      <c r="B3346" s="157"/>
      <c r="C3346" s="158"/>
      <c r="D3346" s="161"/>
      <c r="E3346" s="162"/>
      <c r="F3346" s="163"/>
      <c r="G3346" s="164"/>
      <c r="H3346" s="165"/>
      <c r="I3346" s="164"/>
      <c r="J3346" s="165"/>
      <c r="K3346" s="164"/>
      <c r="L3346" s="165"/>
      <c r="M3346" s="6"/>
      <c r="N3346" s="32"/>
      <c r="Q3346" s="10" t="str">
        <f>+CONCATENATE(E3344,K3344)</f>
        <v/>
      </c>
      <c r="R3346" s="10">
        <f>+L3344</f>
        <v>0</v>
      </c>
      <c r="S3346" s="11"/>
      <c r="T3346" s="10">
        <f>+E3344</f>
        <v>0</v>
      </c>
      <c r="U3346" s="19" t="str">
        <f>IFERROR(LEFT(K3344,FIND("*",K3344)-1),"-")</f>
        <v>-</v>
      </c>
      <c r="V3346" s="19" t="str">
        <f>IFERROR(RIGHT(K3344,LEN(K3344)-FIND("*",K3344)),"-")</f>
        <v>-</v>
      </c>
      <c r="W3346" s="20" t="str">
        <f t="shared" si="1816"/>
        <v>-</v>
      </c>
      <c r="X3346" s="20" t="str">
        <f>IFERROR(W3346*L3344,"-")</f>
        <v>-</v>
      </c>
      <c r="Z3346" s="85" t="s">
        <v>82</v>
      </c>
    </row>
    <row r="3347" spans="1:26" ht="6.95" customHeight="1" x14ac:dyDescent="0.3">
      <c r="A3347" s="8"/>
      <c r="B3347" s="157"/>
      <c r="C3347" s="158"/>
      <c r="D3347" s="161" t="s">
        <v>39</v>
      </c>
      <c r="E3347" s="162"/>
      <c r="F3347" s="163" t="s">
        <v>40</v>
      </c>
      <c r="G3347" s="164"/>
      <c r="H3347" s="165"/>
      <c r="I3347" s="164"/>
      <c r="J3347" s="165"/>
      <c r="K3347" s="164"/>
      <c r="L3347" s="165"/>
      <c r="M3347" s="6"/>
      <c r="N3347" s="32"/>
      <c r="Q3347" s="10" t="str">
        <f>+CONCATENATE(E3347,G3347)</f>
        <v/>
      </c>
      <c r="R3347" s="10">
        <f>+H3347</f>
        <v>0</v>
      </c>
      <c r="S3347" s="11"/>
      <c r="T3347" s="10">
        <f>+E3347</f>
        <v>0</v>
      </c>
      <c r="U3347" s="19" t="str">
        <f t="shared" ref="U3347" si="1817">IFERROR(LEFT(G3347,FIND("*",G3347)-1),"-")</f>
        <v>-</v>
      </c>
      <c r="V3347" s="19" t="str">
        <f t="shared" ref="V3347" si="1818">IFERROR(RIGHT(G3347,LEN(G3347)-FIND("*",G3347)),"-")</f>
        <v>-</v>
      </c>
      <c r="W3347" s="20" t="str">
        <f t="shared" si="1816"/>
        <v>-</v>
      </c>
      <c r="X3347" s="20" t="str">
        <f>IFERROR(W3347*H3347,"-")</f>
        <v>-</v>
      </c>
      <c r="Z3347" s="85" t="s">
        <v>82</v>
      </c>
    </row>
    <row r="3348" spans="1:26" ht="6.95" customHeight="1" x14ac:dyDescent="0.3">
      <c r="A3348" s="5"/>
      <c r="B3348" s="157"/>
      <c r="C3348" s="158"/>
      <c r="D3348" s="161"/>
      <c r="E3348" s="162"/>
      <c r="F3348" s="163"/>
      <c r="G3348" s="164"/>
      <c r="H3348" s="165"/>
      <c r="I3348" s="164"/>
      <c r="J3348" s="165"/>
      <c r="K3348" s="164"/>
      <c r="L3348" s="165"/>
      <c r="M3348" s="6"/>
      <c r="N3348" s="32"/>
      <c r="Q3348" s="10" t="str">
        <f>+CONCATENATE(E3347,I3347)</f>
        <v/>
      </c>
      <c r="R3348" s="10">
        <f>+J3347</f>
        <v>0</v>
      </c>
      <c r="S3348" s="11"/>
      <c r="T3348" s="10">
        <f>+E3347</f>
        <v>0</v>
      </c>
      <c r="U3348" s="19" t="str">
        <f>IFERROR(LEFT(I3347,FIND("*",I3347)-1),"-")</f>
        <v>-</v>
      </c>
      <c r="V3348" s="19" t="str">
        <f>IFERROR(RIGHT(I3347,LEN(I3347)-FIND("*",I3347)),"-")</f>
        <v>-</v>
      </c>
      <c r="W3348" s="20" t="str">
        <f t="shared" si="1816"/>
        <v>-</v>
      </c>
      <c r="X3348" s="20" t="str">
        <f>IFERROR(W3348*J3347,"-")</f>
        <v>-</v>
      </c>
      <c r="Z3348" s="85" t="s">
        <v>82</v>
      </c>
    </row>
    <row r="3349" spans="1:26" ht="6.95" customHeight="1" x14ac:dyDescent="0.3">
      <c r="A3349" s="5"/>
      <c r="B3349" s="157"/>
      <c r="C3349" s="158"/>
      <c r="D3349" s="161"/>
      <c r="E3349" s="162"/>
      <c r="F3349" s="163"/>
      <c r="G3349" s="164"/>
      <c r="H3349" s="165"/>
      <c r="I3349" s="164"/>
      <c r="J3349" s="165"/>
      <c r="K3349" s="164"/>
      <c r="L3349" s="165"/>
      <c r="M3349" s="6"/>
      <c r="N3349" s="32"/>
      <c r="Q3349" s="10" t="str">
        <f>+CONCATENATE(E3347,K3347)</f>
        <v/>
      </c>
      <c r="R3349" s="10">
        <f>+L3347</f>
        <v>0</v>
      </c>
      <c r="S3349" s="11"/>
      <c r="T3349" s="10">
        <f>+E3347</f>
        <v>0</v>
      </c>
      <c r="U3349" s="19" t="str">
        <f>IFERROR(LEFT(K3347,FIND("*",K3347)-1),"-")</f>
        <v>-</v>
      </c>
      <c r="V3349" s="19" t="str">
        <f>IFERROR(RIGHT(K3347,LEN(K3347)-FIND("*",K3347)),"-")</f>
        <v>-</v>
      </c>
      <c r="W3349" s="20" t="str">
        <f t="shared" si="1816"/>
        <v>-</v>
      </c>
      <c r="X3349" s="20" t="str">
        <f>IFERROR(W3349*L3347,"-")</f>
        <v>-</v>
      </c>
      <c r="Z3349" s="85" t="s">
        <v>82</v>
      </c>
    </row>
    <row r="3350" spans="1:26" ht="6.95" customHeight="1" x14ac:dyDescent="0.3">
      <c r="A3350" s="8"/>
      <c r="B3350" s="157"/>
      <c r="C3350" s="158"/>
      <c r="D3350" s="161" t="s">
        <v>39</v>
      </c>
      <c r="E3350" s="162"/>
      <c r="F3350" s="163" t="s">
        <v>40</v>
      </c>
      <c r="G3350" s="164"/>
      <c r="H3350" s="165"/>
      <c r="I3350" s="164"/>
      <c r="J3350" s="165"/>
      <c r="K3350" s="164"/>
      <c r="L3350" s="165"/>
      <c r="M3350" s="6"/>
      <c r="N3350" s="32"/>
      <c r="Q3350" s="10" t="str">
        <f>+CONCATENATE(E3350,G3350)</f>
        <v/>
      </c>
      <c r="R3350" s="10">
        <f>+H3350</f>
        <v>0</v>
      </c>
      <c r="S3350" s="11"/>
      <c r="T3350" s="10">
        <f>+E3350</f>
        <v>0</v>
      </c>
      <c r="U3350" s="19" t="str">
        <f t="shared" ref="U3350" si="1819">IFERROR(LEFT(G3350,FIND("*",G3350)-1),"-")</f>
        <v>-</v>
      </c>
      <c r="V3350" s="19" t="str">
        <f t="shared" ref="V3350" si="1820">IFERROR(RIGHT(G3350,LEN(G3350)-FIND("*",G3350)),"-")</f>
        <v>-</v>
      </c>
      <c r="W3350" s="20" t="str">
        <f t="shared" si="1816"/>
        <v>-</v>
      </c>
      <c r="X3350" s="20" t="str">
        <f>IFERROR(W3350*H3350,"-")</f>
        <v>-</v>
      </c>
      <c r="Z3350" s="85" t="s">
        <v>82</v>
      </c>
    </row>
    <row r="3351" spans="1:26" ht="6.95" customHeight="1" x14ac:dyDescent="0.3">
      <c r="A3351" s="5"/>
      <c r="B3351" s="157"/>
      <c r="C3351" s="158"/>
      <c r="D3351" s="161"/>
      <c r="E3351" s="162"/>
      <c r="F3351" s="163"/>
      <c r="G3351" s="164"/>
      <c r="H3351" s="165"/>
      <c r="I3351" s="164"/>
      <c r="J3351" s="165"/>
      <c r="K3351" s="164"/>
      <c r="L3351" s="165"/>
      <c r="M3351" s="6"/>
      <c r="N3351" s="32"/>
      <c r="Q3351" s="10" t="str">
        <f>+CONCATENATE(E3350,I3350)</f>
        <v/>
      </c>
      <c r="R3351" s="10">
        <f>+J3350</f>
        <v>0</v>
      </c>
      <c r="S3351" s="11"/>
      <c r="T3351" s="10">
        <f>+E3350</f>
        <v>0</v>
      </c>
      <c r="U3351" s="19" t="str">
        <f>IFERROR(LEFT(I3350,FIND("*",I3350)-1),"-")</f>
        <v>-</v>
      </c>
      <c r="V3351" s="19" t="str">
        <f>IFERROR(RIGHT(I3350,LEN(I3350)-FIND("*",I3350)),"-")</f>
        <v>-</v>
      </c>
      <c r="W3351" s="20" t="str">
        <f t="shared" si="1816"/>
        <v>-</v>
      </c>
      <c r="X3351" s="20" t="str">
        <f t="shared" ref="X3351" si="1821">IFERROR(W3351*J3350,"-")</f>
        <v>-</v>
      </c>
      <c r="Z3351" s="85" t="s">
        <v>82</v>
      </c>
    </row>
    <row r="3352" spans="1:26" ht="6.95" customHeight="1" x14ac:dyDescent="0.3">
      <c r="A3352" s="5"/>
      <c r="B3352" s="157"/>
      <c r="C3352" s="158"/>
      <c r="D3352" s="161"/>
      <c r="E3352" s="162"/>
      <c r="F3352" s="163"/>
      <c r="G3352" s="164"/>
      <c r="H3352" s="165"/>
      <c r="I3352" s="164"/>
      <c r="J3352" s="165"/>
      <c r="K3352" s="164"/>
      <c r="L3352" s="165"/>
      <c r="M3352" s="6"/>
      <c r="N3352" s="32"/>
      <c r="Q3352" s="10" t="str">
        <f>+CONCATENATE(E3350,K3350)</f>
        <v/>
      </c>
      <c r="R3352" s="10">
        <f>+L3350</f>
        <v>0</v>
      </c>
      <c r="S3352" s="11"/>
      <c r="T3352" s="10">
        <f>+E3350</f>
        <v>0</v>
      </c>
      <c r="U3352" s="19" t="str">
        <f>IFERROR(LEFT(K3350,FIND("*",K3350)-1),"-")</f>
        <v>-</v>
      </c>
      <c r="V3352" s="19" t="str">
        <f>IFERROR(RIGHT(K3350,LEN(K3350)-FIND("*",K3350)),"-")</f>
        <v>-</v>
      </c>
      <c r="W3352" s="20" t="str">
        <f t="shared" si="1816"/>
        <v>-</v>
      </c>
      <c r="X3352" s="20" t="str">
        <f>IFERROR(W3352*L3350,"-")</f>
        <v>-</v>
      </c>
      <c r="Z3352" s="85" t="s">
        <v>82</v>
      </c>
    </row>
    <row r="3353" spans="1:26" ht="21" customHeight="1" thickBot="1" x14ac:dyDescent="0.35">
      <c r="A3353" s="5"/>
      <c r="B3353" s="159"/>
      <c r="C3353" s="160"/>
      <c r="D3353" s="166" t="s">
        <v>43</v>
      </c>
      <c r="E3353" s="167"/>
      <c r="F3353" s="167"/>
      <c r="G3353" s="168"/>
      <c r="H3353" s="168"/>
      <c r="I3353" s="168"/>
      <c r="J3353" s="168"/>
      <c r="K3353" s="168"/>
      <c r="L3353" s="168"/>
      <c r="M3353" s="7"/>
      <c r="N3353" s="32"/>
      <c r="Z3353" s="86" t="s">
        <v>81</v>
      </c>
    </row>
    <row r="3354" spans="1:26" ht="9.9499999999999993" customHeight="1" thickBot="1" x14ac:dyDescent="0.35">
      <c r="B3354" s="9"/>
      <c r="C3354" s="109"/>
      <c r="D3354" s="51"/>
      <c r="E3354" s="12"/>
      <c r="F3354" s="51"/>
      <c r="G3354" s="14"/>
      <c r="H3354" s="14"/>
      <c r="I3354" s="14"/>
      <c r="J3354" s="14"/>
      <c r="K3354" s="14"/>
      <c r="L3354" s="14"/>
      <c r="M3354" s="9"/>
      <c r="N3354" s="32"/>
      <c r="U3354" s="18"/>
      <c r="V3354" s="18"/>
      <c r="Z3354" s="85" t="s">
        <v>82</v>
      </c>
    </row>
    <row r="3355" spans="1:26" ht="6.95" customHeight="1" x14ac:dyDescent="0.3">
      <c r="A3355" s="154">
        <f>+A3344+1</f>
        <v>1104</v>
      </c>
      <c r="B3355" s="155"/>
      <c r="C3355" s="156"/>
      <c r="D3355" s="161" t="s">
        <v>39</v>
      </c>
      <c r="E3355" s="162"/>
      <c r="F3355" s="163" t="s">
        <v>40</v>
      </c>
      <c r="G3355" s="164"/>
      <c r="H3355" s="165"/>
      <c r="I3355" s="164"/>
      <c r="J3355" s="165"/>
      <c r="K3355" s="164"/>
      <c r="L3355" s="165"/>
      <c r="M3355" s="6"/>
      <c r="N3355" s="32"/>
      <c r="Q3355" s="10" t="str">
        <f>+CONCATENATE(E3355,G3355)</f>
        <v/>
      </c>
      <c r="R3355" s="10">
        <f>+H3355</f>
        <v>0</v>
      </c>
      <c r="S3355" s="11"/>
      <c r="T3355" s="10">
        <f>+E3355</f>
        <v>0</v>
      </c>
      <c r="U3355" s="19" t="str">
        <f>IFERROR(LEFT(G3355,FIND("*",G3355)-1),"-")</f>
        <v>-</v>
      </c>
      <c r="V3355" s="19" t="str">
        <f>IFERROR(RIGHT(G3355,LEN(G3355)-FIND("*",G3355)),"-")</f>
        <v>-</v>
      </c>
      <c r="W3355" s="20" t="str">
        <f>IFERROR((U3355+V3355)*2/1000,"-")</f>
        <v>-</v>
      </c>
      <c r="X3355" s="20" t="str">
        <f>IFERROR(W3355*H3355,"-")</f>
        <v>-</v>
      </c>
      <c r="Z3355" s="85" t="s">
        <v>82</v>
      </c>
    </row>
    <row r="3356" spans="1:26" ht="6.95" customHeight="1" x14ac:dyDescent="0.3">
      <c r="A3356" s="154"/>
      <c r="B3356" s="157"/>
      <c r="C3356" s="158"/>
      <c r="D3356" s="161"/>
      <c r="E3356" s="162"/>
      <c r="F3356" s="163"/>
      <c r="G3356" s="164"/>
      <c r="H3356" s="165"/>
      <c r="I3356" s="164"/>
      <c r="J3356" s="165"/>
      <c r="K3356" s="164"/>
      <c r="L3356" s="165"/>
      <c r="M3356" s="6"/>
      <c r="N3356" s="32"/>
      <c r="Q3356" s="10" t="str">
        <f>+CONCATENATE(E3355,I3355)</f>
        <v/>
      </c>
      <c r="R3356" s="10">
        <f>+J3355</f>
        <v>0</v>
      </c>
      <c r="S3356" s="11"/>
      <c r="T3356" s="10">
        <f>+E3355</f>
        <v>0</v>
      </c>
      <c r="U3356" s="19" t="str">
        <f>IFERROR(LEFT(I3355,FIND("*",I3355)-1),"-")</f>
        <v>-</v>
      </c>
      <c r="V3356" s="19" t="str">
        <f>IFERROR(RIGHT(I3355,LEN(I3355)-FIND("*",I3355)),"-")</f>
        <v>-</v>
      </c>
      <c r="W3356" s="20" t="str">
        <f t="shared" ref="W3356:W3363" si="1822">IFERROR((U3356+V3356)*2/1000,"-")</f>
        <v>-</v>
      </c>
      <c r="X3356" s="20" t="str">
        <f>IFERROR(W3356*J3355,"-")</f>
        <v>-</v>
      </c>
      <c r="Z3356" s="85" t="s">
        <v>82</v>
      </c>
    </row>
    <row r="3357" spans="1:26" ht="6.95" customHeight="1" x14ac:dyDescent="0.3">
      <c r="A3357" s="154"/>
      <c r="B3357" s="157"/>
      <c r="C3357" s="158"/>
      <c r="D3357" s="161"/>
      <c r="E3357" s="162"/>
      <c r="F3357" s="163"/>
      <c r="G3357" s="164"/>
      <c r="H3357" s="165"/>
      <c r="I3357" s="164"/>
      <c r="J3357" s="165"/>
      <c r="K3357" s="164"/>
      <c r="L3357" s="165"/>
      <c r="M3357" s="6"/>
      <c r="N3357" s="32"/>
      <c r="Q3357" s="10" t="str">
        <f>+CONCATENATE(E3355,K3355)</f>
        <v/>
      </c>
      <c r="R3357" s="10">
        <f>+L3355</f>
        <v>0</v>
      </c>
      <c r="S3357" s="11"/>
      <c r="T3357" s="10">
        <f>+E3355</f>
        <v>0</v>
      </c>
      <c r="U3357" s="19" t="str">
        <f>IFERROR(LEFT(K3355,FIND("*",K3355)-1),"-")</f>
        <v>-</v>
      </c>
      <c r="V3357" s="19" t="str">
        <f>IFERROR(RIGHT(K3355,LEN(K3355)-FIND("*",K3355)),"-")</f>
        <v>-</v>
      </c>
      <c r="W3357" s="20" t="str">
        <f t="shared" si="1822"/>
        <v>-</v>
      </c>
      <c r="X3357" s="20" t="str">
        <f>IFERROR(W3357*L3355,"-")</f>
        <v>-</v>
      </c>
      <c r="Z3357" s="85" t="s">
        <v>82</v>
      </c>
    </row>
    <row r="3358" spans="1:26" ht="6.95" customHeight="1" x14ac:dyDescent="0.3">
      <c r="A3358" s="8"/>
      <c r="B3358" s="157"/>
      <c r="C3358" s="158"/>
      <c r="D3358" s="161" t="s">
        <v>39</v>
      </c>
      <c r="E3358" s="162"/>
      <c r="F3358" s="163" t="s">
        <v>40</v>
      </c>
      <c r="G3358" s="164"/>
      <c r="H3358" s="165"/>
      <c r="I3358" s="164"/>
      <c r="J3358" s="165"/>
      <c r="K3358" s="164"/>
      <c r="L3358" s="165"/>
      <c r="M3358" s="6"/>
      <c r="N3358" s="32"/>
      <c r="Q3358" s="10" t="str">
        <f>+CONCATENATE(E3358,G3358)</f>
        <v/>
      </c>
      <c r="R3358" s="10">
        <f>+H3358</f>
        <v>0</v>
      </c>
      <c r="S3358" s="11"/>
      <c r="T3358" s="10">
        <f>+E3358</f>
        <v>0</v>
      </c>
      <c r="U3358" s="19" t="str">
        <f t="shared" ref="U3358" si="1823">IFERROR(LEFT(G3358,FIND("*",G3358)-1),"-")</f>
        <v>-</v>
      </c>
      <c r="V3358" s="19" t="str">
        <f t="shared" ref="V3358" si="1824">IFERROR(RIGHT(G3358,LEN(G3358)-FIND("*",G3358)),"-")</f>
        <v>-</v>
      </c>
      <c r="W3358" s="20" t="str">
        <f t="shared" si="1822"/>
        <v>-</v>
      </c>
      <c r="X3358" s="20" t="str">
        <f>IFERROR(W3358*H3358,"-")</f>
        <v>-</v>
      </c>
      <c r="Z3358" s="85" t="s">
        <v>82</v>
      </c>
    </row>
    <row r="3359" spans="1:26" ht="6.95" customHeight="1" x14ac:dyDescent="0.3">
      <c r="A3359" s="5"/>
      <c r="B3359" s="157"/>
      <c r="C3359" s="158"/>
      <c r="D3359" s="161"/>
      <c r="E3359" s="162"/>
      <c r="F3359" s="163"/>
      <c r="G3359" s="164"/>
      <c r="H3359" s="165"/>
      <c r="I3359" s="164"/>
      <c r="J3359" s="165"/>
      <c r="K3359" s="164"/>
      <c r="L3359" s="165"/>
      <c r="M3359" s="6"/>
      <c r="N3359" s="32"/>
      <c r="Q3359" s="10" t="str">
        <f>+CONCATENATE(E3358,I3358)</f>
        <v/>
      </c>
      <c r="R3359" s="10">
        <f>+J3358</f>
        <v>0</v>
      </c>
      <c r="S3359" s="11"/>
      <c r="T3359" s="10">
        <f>+E3358</f>
        <v>0</v>
      </c>
      <c r="U3359" s="19" t="str">
        <f>IFERROR(LEFT(I3358,FIND("*",I3358)-1),"-")</f>
        <v>-</v>
      </c>
      <c r="V3359" s="19" t="str">
        <f>IFERROR(RIGHT(I3358,LEN(I3358)-FIND("*",I3358)),"-")</f>
        <v>-</v>
      </c>
      <c r="W3359" s="20" t="str">
        <f t="shared" si="1822"/>
        <v>-</v>
      </c>
      <c r="X3359" s="20" t="str">
        <f>IFERROR(W3359*J3358,"-")</f>
        <v>-</v>
      </c>
      <c r="Z3359" s="85" t="s">
        <v>82</v>
      </c>
    </row>
    <row r="3360" spans="1:26" ht="6.95" customHeight="1" x14ac:dyDescent="0.3">
      <c r="A3360" s="5"/>
      <c r="B3360" s="157"/>
      <c r="C3360" s="158"/>
      <c r="D3360" s="161"/>
      <c r="E3360" s="162"/>
      <c r="F3360" s="163"/>
      <c r="G3360" s="164"/>
      <c r="H3360" s="165"/>
      <c r="I3360" s="164"/>
      <c r="J3360" s="165"/>
      <c r="K3360" s="164"/>
      <c r="L3360" s="165"/>
      <c r="M3360" s="6"/>
      <c r="N3360" s="32"/>
      <c r="Q3360" s="10" t="str">
        <f>+CONCATENATE(E3358,K3358)</f>
        <v/>
      </c>
      <c r="R3360" s="10">
        <f>+L3358</f>
        <v>0</v>
      </c>
      <c r="S3360" s="11"/>
      <c r="T3360" s="10">
        <f>+E3358</f>
        <v>0</v>
      </c>
      <c r="U3360" s="19" t="str">
        <f>IFERROR(LEFT(K3358,FIND("*",K3358)-1),"-")</f>
        <v>-</v>
      </c>
      <c r="V3360" s="19" t="str">
        <f>IFERROR(RIGHT(K3358,LEN(K3358)-FIND("*",K3358)),"-")</f>
        <v>-</v>
      </c>
      <c r="W3360" s="20" t="str">
        <f t="shared" si="1822"/>
        <v>-</v>
      </c>
      <c r="X3360" s="20" t="str">
        <f>IFERROR(W3360*L3358,"-")</f>
        <v>-</v>
      </c>
      <c r="Z3360" s="85" t="s">
        <v>82</v>
      </c>
    </row>
    <row r="3361" spans="1:26" ht="6.95" customHeight="1" x14ac:dyDescent="0.3">
      <c r="A3361" s="8"/>
      <c r="B3361" s="157"/>
      <c r="C3361" s="158"/>
      <c r="D3361" s="161" t="s">
        <v>39</v>
      </c>
      <c r="E3361" s="162"/>
      <c r="F3361" s="163" t="s">
        <v>40</v>
      </c>
      <c r="G3361" s="164"/>
      <c r="H3361" s="165"/>
      <c r="I3361" s="164"/>
      <c r="J3361" s="165"/>
      <c r="K3361" s="164"/>
      <c r="L3361" s="165"/>
      <c r="M3361" s="6"/>
      <c r="N3361" s="32"/>
      <c r="Q3361" s="10" t="str">
        <f>+CONCATENATE(E3361,G3361)</f>
        <v/>
      </c>
      <c r="R3361" s="10">
        <f>+H3361</f>
        <v>0</v>
      </c>
      <c r="S3361" s="11"/>
      <c r="T3361" s="10">
        <f>+E3361</f>
        <v>0</v>
      </c>
      <c r="U3361" s="19" t="str">
        <f t="shared" ref="U3361" si="1825">IFERROR(LEFT(G3361,FIND("*",G3361)-1),"-")</f>
        <v>-</v>
      </c>
      <c r="V3361" s="19" t="str">
        <f t="shared" ref="V3361" si="1826">IFERROR(RIGHT(G3361,LEN(G3361)-FIND("*",G3361)),"-")</f>
        <v>-</v>
      </c>
      <c r="W3361" s="20" t="str">
        <f t="shared" si="1822"/>
        <v>-</v>
      </c>
      <c r="X3361" s="20" t="str">
        <f>IFERROR(W3361*H3361,"-")</f>
        <v>-</v>
      </c>
      <c r="Z3361" s="85" t="s">
        <v>82</v>
      </c>
    </row>
    <row r="3362" spans="1:26" ht="6.95" customHeight="1" x14ac:dyDescent="0.3">
      <c r="A3362" s="5"/>
      <c r="B3362" s="157"/>
      <c r="C3362" s="158"/>
      <c r="D3362" s="161"/>
      <c r="E3362" s="162"/>
      <c r="F3362" s="163"/>
      <c r="G3362" s="164"/>
      <c r="H3362" s="165"/>
      <c r="I3362" s="164"/>
      <c r="J3362" s="165"/>
      <c r="K3362" s="164"/>
      <c r="L3362" s="165"/>
      <c r="M3362" s="6"/>
      <c r="N3362" s="32"/>
      <c r="Q3362" s="10" t="str">
        <f>+CONCATENATE(E3361,I3361)</f>
        <v/>
      </c>
      <c r="R3362" s="10">
        <f>+J3361</f>
        <v>0</v>
      </c>
      <c r="S3362" s="11"/>
      <c r="T3362" s="10">
        <f>+E3361</f>
        <v>0</v>
      </c>
      <c r="U3362" s="19" t="str">
        <f>IFERROR(LEFT(I3361,FIND("*",I3361)-1),"-")</f>
        <v>-</v>
      </c>
      <c r="V3362" s="19" t="str">
        <f>IFERROR(RIGHT(I3361,LEN(I3361)-FIND("*",I3361)),"-")</f>
        <v>-</v>
      </c>
      <c r="W3362" s="20" t="str">
        <f t="shared" si="1822"/>
        <v>-</v>
      </c>
      <c r="X3362" s="20" t="str">
        <f t="shared" ref="X3362" si="1827">IFERROR(W3362*J3361,"-")</f>
        <v>-</v>
      </c>
      <c r="Z3362" s="85" t="s">
        <v>82</v>
      </c>
    </row>
    <row r="3363" spans="1:26" ht="6.95" customHeight="1" x14ac:dyDescent="0.3">
      <c r="A3363" s="5"/>
      <c r="B3363" s="157"/>
      <c r="C3363" s="158"/>
      <c r="D3363" s="161"/>
      <c r="E3363" s="162"/>
      <c r="F3363" s="163"/>
      <c r="G3363" s="164"/>
      <c r="H3363" s="165"/>
      <c r="I3363" s="164"/>
      <c r="J3363" s="165"/>
      <c r="K3363" s="164"/>
      <c r="L3363" s="165"/>
      <c r="M3363" s="6"/>
      <c r="N3363" s="32"/>
      <c r="Q3363" s="10" t="str">
        <f>+CONCATENATE(E3361,K3361)</f>
        <v/>
      </c>
      <c r="R3363" s="10">
        <f>+L3361</f>
        <v>0</v>
      </c>
      <c r="S3363" s="11"/>
      <c r="T3363" s="10">
        <f>+E3361</f>
        <v>0</v>
      </c>
      <c r="U3363" s="19" t="str">
        <f>IFERROR(LEFT(K3361,FIND("*",K3361)-1),"-")</f>
        <v>-</v>
      </c>
      <c r="V3363" s="19" t="str">
        <f>IFERROR(RIGHT(K3361,LEN(K3361)-FIND("*",K3361)),"-")</f>
        <v>-</v>
      </c>
      <c r="W3363" s="20" t="str">
        <f t="shared" si="1822"/>
        <v>-</v>
      </c>
      <c r="X3363" s="20" t="str">
        <f>IFERROR(W3363*L3361,"-")</f>
        <v>-</v>
      </c>
      <c r="Z3363" s="85" t="s">
        <v>82</v>
      </c>
    </row>
    <row r="3364" spans="1:26" ht="21" customHeight="1" thickBot="1" x14ac:dyDescent="0.35">
      <c r="A3364" s="5"/>
      <c r="B3364" s="159"/>
      <c r="C3364" s="160"/>
      <c r="D3364" s="166" t="s">
        <v>43</v>
      </c>
      <c r="E3364" s="167"/>
      <c r="F3364" s="167"/>
      <c r="G3364" s="168"/>
      <c r="H3364" s="168"/>
      <c r="I3364" s="168"/>
      <c r="J3364" s="168"/>
      <c r="K3364" s="168"/>
      <c r="L3364" s="168"/>
      <c r="M3364" s="7"/>
      <c r="N3364" s="32"/>
      <c r="Z3364" s="86" t="s">
        <v>81</v>
      </c>
    </row>
    <row r="3365" spans="1:26" ht="9.9499999999999993" customHeight="1" thickBot="1" x14ac:dyDescent="0.35">
      <c r="B3365" s="9"/>
      <c r="C3365" s="109"/>
      <c r="D3365" s="51"/>
      <c r="E3365" s="12"/>
      <c r="F3365" s="51"/>
      <c r="G3365" s="14"/>
      <c r="H3365" s="14"/>
      <c r="I3365" s="14"/>
      <c r="J3365" s="14"/>
      <c r="K3365" s="14"/>
      <c r="L3365" s="14"/>
      <c r="M3365" s="9"/>
      <c r="N3365" s="32"/>
      <c r="U3365" s="18"/>
      <c r="V3365" s="18"/>
      <c r="Z3365" s="85" t="s">
        <v>82</v>
      </c>
    </row>
    <row r="3366" spans="1:26" ht="6.95" customHeight="1" x14ac:dyDescent="0.3">
      <c r="A3366" s="154">
        <f>+A3355+1</f>
        <v>1105</v>
      </c>
      <c r="B3366" s="155"/>
      <c r="C3366" s="156"/>
      <c r="D3366" s="161" t="s">
        <v>39</v>
      </c>
      <c r="E3366" s="162"/>
      <c r="F3366" s="163" t="s">
        <v>40</v>
      </c>
      <c r="G3366" s="164"/>
      <c r="H3366" s="165"/>
      <c r="I3366" s="164"/>
      <c r="J3366" s="165"/>
      <c r="K3366" s="164"/>
      <c r="L3366" s="165"/>
      <c r="M3366" s="6"/>
      <c r="N3366" s="32"/>
      <c r="Q3366" s="10" t="str">
        <f>+CONCATENATE(E3366,G3366)</f>
        <v/>
      </c>
      <c r="R3366" s="10">
        <f>+H3366</f>
        <v>0</v>
      </c>
      <c r="S3366" s="11"/>
      <c r="T3366" s="10">
        <f>+E3366</f>
        <v>0</v>
      </c>
      <c r="U3366" s="19" t="str">
        <f>IFERROR(LEFT(G3366,FIND("*",G3366)-1),"-")</f>
        <v>-</v>
      </c>
      <c r="V3366" s="19" t="str">
        <f>IFERROR(RIGHT(G3366,LEN(G3366)-FIND("*",G3366)),"-")</f>
        <v>-</v>
      </c>
      <c r="W3366" s="20" t="str">
        <f>IFERROR((U3366+V3366)*2/1000,"-")</f>
        <v>-</v>
      </c>
      <c r="X3366" s="20" t="str">
        <f>IFERROR(W3366*H3366,"-")</f>
        <v>-</v>
      </c>
      <c r="Z3366" s="85" t="s">
        <v>82</v>
      </c>
    </row>
    <row r="3367" spans="1:26" ht="6.95" customHeight="1" x14ac:dyDescent="0.3">
      <c r="A3367" s="154"/>
      <c r="B3367" s="157"/>
      <c r="C3367" s="158"/>
      <c r="D3367" s="161"/>
      <c r="E3367" s="162"/>
      <c r="F3367" s="163"/>
      <c r="G3367" s="164"/>
      <c r="H3367" s="165"/>
      <c r="I3367" s="164"/>
      <c r="J3367" s="165"/>
      <c r="K3367" s="164"/>
      <c r="L3367" s="165"/>
      <c r="M3367" s="6"/>
      <c r="N3367" s="32"/>
      <c r="Q3367" s="10" t="str">
        <f>+CONCATENATE(E3366,I3366)</f>
        <v/>
      </c>
      <c r="R3367" s="10">
        <f>+J3366</f>
        <v>0</v>
      </c>
      <c r="S3367" s="11"/>
      <c r="T3367" s="10">
        <f>+E3366</f>
        <v>0</v>
      </c>
      <c r="U3367" s="19" t="str">
        <f>IFERROR(LEFT(I3366,FIND("*",I3366)-1),"-")</f>
        <v>-</v>
      </c>
      <c r="V3367" s="19" t="str">
        <f>IFERROR(RIGHT(I3366,LEN(I3366)-FIND("*",I3366)),"-")</f>
        <v>-</v>
      </c>
      <c r="W3367" s="20" t="str">
        <f t="shared" ref="W3367:W3374" si="1828">IFERROR((U3367+V3367)*2/1000,"-")</f>
        <v>-</v>
      </c>
      <c r="X3367" s="20" t="str">
        <f>IFERROR(W3367*J3366,"-")</f>
        <v>-</v>
      </c>
      <c r="Z3367" s="85" t="s">
        <v>82</v>
      </c>
    </row>
    <row r="3368" spans="1:26" ht="6.95" customHeight="1" x14ac:dyDescent="0.3">
      <c r="A3368" s="154"/>
      <c r="B3368" s="157"/>
      <c r="C3368" s="158"/>
      <c r="D3368" s="161"/>
      <c r="E3368" s="162"/>
      <c r="F3368" s="163"/>
      <c r="G3368" s="164"/>
      <c r="H3368" s="165"/>
      <c r="I3368" s="164"/>
      <c r="J3368" s="165"/>
      <c r="K3368" s="164"/>
      <c r="L3368" s="165"/>
      <c r="M3368" s="6"/>
      <c r="N3368" s="32"/>
      <c r="Q3368" s="10" t="str">
        <f>+CONCATENATE(E3366,K3366)</f>
        <v/>
      </c>
      <c r="R3368" s="10">
        <f>+L3366</f>
        <v>0</v>
      </c>
      <c r="S3368" s="11"/>
      <c r="T3368" s="10">
        <f>+E3366</f>
        <v>0</v>
      </c>
      <c r="U3368" s="19" t="str">
        <f>IFERROR(LEFT(K3366,FIND("*",K3366)-1),"-")</f>
        <v>-</v>
      </c>
      <c r="V3368" s="19" t="str">
        <f>IFERROR(RIGHT(K3366,LEN(K3366)-FIND("*",K3366)),"-")</f>
        <v>-</v>
      </c>
      <c r="W3368" s="20" t="str">
        <f t="shared" si="1828"/>
        <v>-</v>
      </c>
      <c r="X3368" s="20" t="str">
        <f>IFERROR(W3368*L3366,"-")</f>
        <v>-</v>
      </c>
      <c r="Z3368" s="85" t="s">
        <v>82</v>
      </c>
    </row>
    <row r="3369" spans="1:26" ht="6.95" customHeight="1" x14ac:dyDescent="0.3">
      <c r="A3369" s="8"/>
      <c r="B3369" s="157"/>
      <c r="C3369" s="158"/>
      <c r="D3369" s="161" t="s">
        <v>39</v>
      </c>
      <c r="E3369" s="162"/>
      <c r="F3369" s="163" t="s">
        <v>40</v>
      </c>
      <c r="G3369" s="164"/>
      <c r="H3369" s="165"/>
      <c r="I3369" s="164"/>
      <c r="J3369" s="165"/>
      <c r="K3369" s="164"/>
      <c r="L3369" s="165"/>
      <c r="M3369" s="6"/>
      <c r="N3369" s="32"/>
      <c r="Q3369" s="10" t="str">
        <f>+CONCATENATE(E3369,G3369)</f>
        <v/>
      </c>
      <c r="R3369" s="10">
        <f>+H3369</f>
        <v>0</v>
      </c>
      <c r="S3369" s="11"/>
      <c r="T3369" s="10">
        <f>+E3369</f>
        <v>0</v>
      </c>
      <c r="U3369" s="19" t="str">
        <f t="shared" ref="U3369" si="1829">IFERROR(LEFT(G3369,FIND("*",G3369)-1),"-")</f>
        <v>-</v>
      </c>
      <c r="V3369" s="19" t="str">
        <f t="shared" ref="V3369" si="1830">IFERROR(RIGHT(G3369,LEN(G3369)-FIND("*",G3369)),"-")</f>
        <v>-</v>
      </c>
      <c r="W3369" s="20" t="str">
        <f t="shared" si="1828"/>
        <v>-</v>
      </c>
      <c r="X3369" s="20" t="str">
        <f>IFERROR(W3369*H3369,"-")</f>
        <v>-</v>
      </c>
      <c r="Z3369" s="85" t="s">
        <v>82</v>
      </c>
    </row>
    <row r="3370" spans="1:26" ht="6.95" customHeight="1" x14ac:dyDescent="0.3">
      <c r="A3370" s="5"/>
      <c r="B3370" s="157"/>
      <c r="C3370" s="158"/>
      <c r="D3370" s="161"/>
      <c r="E3370" s="162"/>
      <c r="F3370" s="163"/>
      <c r="G3370" s="164"/>
      <c r="H3370" s="165"/>
      <c r="I3370" s="164"/>
      <c r="J3370" s="165"/>
      <c r="K3370" s="164"/>
      <c r="L3370" s="165"/>
      <c r="M3370" s="6"/>
      <c r="N3370" s="32"/>
      <c r="Q3370" s="10" t="str">
        <f>+CONCATENATE(E3369,I3369)</f>
        <v/>
      </c>
      <c r="R3370" s="10">
        <f>+J3369</f>
        <v>0</v>
      </c>
      <c r="S3370" s="11"/>
      <c r="T3370" s="10">
        <f>+E3369</f>
        <v>0</v>
      </c>
      <c r="U3370" s="19" t="str">
        <f>IFERROR(LEFT(I3369,FIND("*",I3369)-1),"-")</f>
        <v>-</v>
      </c>
      <c r="V3370" s="19" t="str">
        <f>IFERROR(RIGHT(I3369,LEN(I3369)-FIND("*",I3369)),"-")</f>
        <v>-</v>
      </c>
      <c r="W3370" s="20" t="str">
        <f t="shared" si="1828"/>
        <v>-</v>
      </c>
      <c r="X3370" s="20" t="str">
        <f>IFERROR(W3370*J3369,"-")</f>
        <v>-</v>
      </c>
      <c r="Z3370" s="85" t="s">
        <v>82</v>
      </c>
    </row>
    <row r="3371" spans="1:26" ht="6.95" customHeight="1" x14ac:dyDescent="0.3">
      <c r="A3371" s="5"/>
      <c r="B3371" s="157"/>
      <c r="C3371" s="158"/>
      <c r="D3371" s="161"/>
      <c r="E3371" s="162"/>
      <c r="F3371" s="163"/>
      <c r="G3371" s="164"/>
      <c r="H3371" s="165"/>
      <c r="I3371" s="164"/>
      <c r="J3371" s="165"/>
      <c r="K3371" s="164"/>
      <c r="L3371" s="165"/>
      <c r="M3371" s="6"/>
      <c r="N3371" s="32"/>
      <c r="Q3371" s="10" t="str">
        <f>+CONCATENATE(E3369,K3369)</f>
        <v/>
      </c>
      <c r="R3371" s="10">
        <f>+L3369</f>
        <v>0</v>
      </c>
      <c r="S3371" s="11"/>
      <c r="T3371" s="10">
        <f>+E3369</f>
        <v>0</v>
      </c>
      <c r="U3371" s="19" t="str">
        <f>IFERROR(LEFT(K3369,FIND("*",K3369)-1),"-")</f>
        <v>-</v>
      </c>
      <c r="V3371" s="19" t="str">
        <f>IFERROR(RIGHT(K3369,LEN(K3369)-FIND("*",K3369)),"-")</f>
        <v>-</v>
      </c>
      <c r="W3371" s="20" t="str">
        <f t="shared" si="1828"/>
        <v>-</v>
      </c>
      <c r="X3371" s="20" t="str">
        <f>IFERROR(W3371*L3369,"-")</f>
        <v>-</v>
      </c>
      <c r="Z3371" s="85" t="s">
        <v>82</v>
      </c>
    </row>
    <row r="3372" spans="1:26" ht="6.95" customHeight="1" x14ac:dyDescent="0.3">
      <c r="A3372" s="8"/>
      <c r="B3372" s="157"/>
      <c r="C3372" s="158"/>
      <c r="D3372" s="161" t="s">
        <v>39</v>
      </c>
      <c r="E3372" s="162"/>
      <c r="F3372" s="163" t="s">
        <v>40</v>
      </c>
      <c r="G3372" s="164"/>
      <c r="H3372" s="165"/>
      <c r="I3372" s="164"/>
      <c r="J3372" s="165"/>
      <c r="K3372" s="164"/>
      <c r="L3372" s="165"/>
      <c r="M3372" s="6"/>
      <c r="N3372" s="32"/>
      <c r="Q3372" s="10" t="str">
        <f>+CONCATENATE(E3372,G3372)</f>
        <v/>
      </c>
      <c r="R3372" s="10">
        <f>+H3372</f>
        <v>0</v>
      </c>
      <c r="S3372" s="11"/>
      <c r="T3372" s="10">
        <f>+E3372</f>
        <v>0</v>
      </c>
      <c r="U3372" s="19" t="str">
        <f t="shared" ref="U3372" si="1831">IFERROR(LEFT(G3372,FIND("*",G3372)-1),"-")</f>
        <v>-</v>
      </c>
      <c r="V3372" s="19" t="str">
        <f t="shared" ref="V3372" si="1832">IFERROR(RIGHT(G3372,LEN(G3372)-FIND("*",G3372)),"-")</f>
        <v>-</v>
      </c>
      <c r="W3372" s="20" t="str">
        <f t="shared" si="1828"/>
        <v>-</v>
      </c>
      <c r="X3372" s="20" t="str">
        <f>IFERROR(W3372*H3372,"-")</f>
        <v>-</v>
      </c>
      <c r="Z3372" s="85" t="s">
        <v>82</v>
      </c>
    </row>
    <row r="3373" spans="1:26" ht="6.95" customHeight="1" x14ac:dyDescent="0.3">
      <c r="A3373" s="5"/>
      <c r="B3373" s="157"/>
      <c r="C3373" s="158"/>
      <c r="D3373" s="161"/>
      <c r="E3373" s="162"/>
      <c r="F3373" s="163"/>
      <c r="G3373" s="164"/>
      <c r="H3373" s="165"/>
      <c r="I3373" s="164"/>
      <c r="J3373" s="165"/>
      <c r="K3373" s="164"/>
      <c r="L3373" s="165"/>
      <c r="M3373" s="6"/>
      <c r="N3373" s="32"/>
      <c r="Q3373" s="10" t="str">
        <f>+CONCATENATE(E3372,I3372)</f>
        <v/>
      </c>
      <c r="R3373" s="10">
        <f>+J3372</f>
        <v>0</v>
      </c>
      <c r="S3373" s="11"/>
      <c r="T3373" s="10">
        <f>+E3372</f>
        <v>0</v>
      </c>
      <c r="U3373" s="19" t="str">
        <f>IFERROR(LEFT(I3372,FIND("*",I3372)-1),"-")</f>
        <v>-</v>
      </c>
      <c r="V3373" s="19" t="str">
        <f>IFERROR(RIGHT(I3372,LEN(I3372)-FIND("*",I3372)),"-")</f>
        <v>-</v>
      </c>
      <c r="W3373" s="20" t="str">
        <f t="shared" si="1828"/>
        <v>-</v>
      </c>
      <c r="X3373" s="20" t="str">
        <f t="shared" ref="X3373" si="1833">IFERROR(W3373*J3372,"-")</f>
        <v>-</v>
      </c>
      <c r="Z3373" s="85" t="s">
        <v>82</v>
      </c>
    </row>
    <row r="3374" spans="1:26" ht="6.95" customHeight="1" x14ac:dyDescent="0.3">
      <c r="A3374" s="5"/>
      <c r="B3374" s="157"/>
      <c r="C3374" s="158"/>
      <c r="D3374" s="161"/>
      <c r="E3374" s="162"/>
      <c r="F3374" s="163"/>
      <c r="G3374" s="164"/>
      <c r="H3374" s="165"/>
      <c r="I3374" s="164"/>
      <c r="J3374" s="165"/>
      <c r="K3374" s="164"/>
      <c r="L3374" s="165"/>
      <c r="M3374" s="6"/>
      <c r="N3374" s="32"/>
      <c r="Q3374" s="10" t="str">
        <f>+CONCATENATE(E3372,K3372)</f>
        <v/>
      </c>
      <c r="R3374" s="10">
        <f>+L3372</f>
        <v>0</v>
      </c>
      <c r="S3374" s="11"/>
      <c r="T3374" s="10">
        <f>+E3372</f>
        <v>0</v>
      </c>
      <c r="U3374" s="19" t="str">
        <f>IFERROR(LEFT(K3372,FIND("*",K3372)-1),"-")</f>
        <v>-</v>
      </c>
      <c r="V3374" s="19" t="str">
        <f>IFERROR(RIGHT(K3372,LEN(K3372)-FIND("*",K3372)),"-")</f>
        <v>-</v>
      </c>
      <c r="W3374" s="20" t="str">
        <f t="shared" si="1828"/>
        <v>-</v>
      </c>
      <c r="X3374" s="20" t="str">
        <f>IFERROR(W3374*L3372,"-")</f>
        <v>-</v>
      </c>
      <c r="Z3374" s="85" t="s">
        <v>82</v>
      </c>
    </row>
    <row r="3375" spans="1:26" ht="21" customHeight="1" thickBot="1" x14ac:dyDescent="0.35">
      <c r="A3375" s="5"/>
      <c r="B3375" s="159"/>
      <c r="C3375" s="160"/>
      <c r="D3375" s="166" t="s">
        <v>43</v>
      </c>
      <c r="E3375" s="167"/>
      <c r="F3375" s="167"/>
      <c r="G3375" s="168"/>
      <c r="H3375" s="168"/>
      <c r="I3375" s="168"/>
      <c r="J3375" s="168"/>
      <c r="K3375" s="168"/>
      <c r="L3375" s="168"/>
      <c r="M3375" s="7"/>
      <c r="N3375" s="32"/>
      <c r="Z3375" s="86" t="s">
        <v>81</v>
      </c>
    </row>
    <row r="3376" spans="1:26" ht="9.9499999999999993" customHeight="1" thickBot="1" x14ac:dyDescent="0.35">
      <c r="B3376" s="9"/>
      <c r="C3376" s="109"/>
      <c r="D3376" s="51"/>
      <c r="E3376" s="12"/>
      <c r="F3376" s="51"/>
      <c r="G3376" s="14"/>
      <c r="H3376" s="14"/>
      <c r="I3376" s="14"/>
      <c r="J3376" s="14"/>
      <c r="K3376" s="14"/>
      <c r="L3376" s="14"/>
      <c r="M3376" s="9"/>
      <c r="N3376" s="32"/>
      <c r="U3376" s="18"/>
      <c r="V3376" s="18"/>
      <c r="Z3376" s="85" t="s">
        <v>82</v>
      </c>
    </row>
    <row r="3377" spans="1:26" ht="6.95" customHeight="1" x14ac:dyDescent="0.3">
      <c r="A3377" s="154">
        <f>+A3366+1</f>
        <v>1106</v>
      </c>
      <c r="B3377" s="155"/>
      <c r="C3377" s="156"/>
      <c r="D3377" s="161" t="s">
        <v>39</v>
      </c>
      <c r="E3377" s="162"/>
      <c r="F3377" s="163" t="s">
        <v>40</v>
      </c>
      <c r="G3377" s="164"/>
      <c r="H3377" s="165"/>
      <c r="I3377" s="164"/>
      <c r="J3377" s="165"/>
      <c r="K3377" s="164"/>
      <c r="L3377" s="165"/>
      <c r="M3377" s="6"/>
      <c r="N3377" s="32"/>
      <c r="Q3377" s="10" t="str">
        <f>+CONCATENATE(E3377,G3377)</f>
        <v/>
      </c>
      <c r="R3377" s="10">
        <f>+H3377</f>
        <v>0</v>
      </c>
      <c r="S3377" s="11"/>
      <c r="T3377" s="10">
        <f>+E3377</f>
        <v>0</v>
      </c>
      <c r="U3377" s="19" t="str">
        <f>IFERROR(LEFT(G3377,FIND("*",G3377)-1),"-")</f>
        <v>-</v>
      </c>
      <c r="V3377" s="19" t="str">
        <f>IFERROR(RIGHT(G3377,LEN(G3377)-FIND("*",G3377)),"-")</f>
        <v>-</v>
      </c>
      <c r="W3377" s="20" t="str">
        <f>IFERROR((U3377+V3377)*2/1000,"-")</f>
        <v>-</v>
      </c>
      <c r="X3377" s="20" t="str">
        <f>IFERROR(W3377*H3377,"-")</f>
        <v>-</v>
      </c>
      <c r="Z3377" s="85" t="s">
        <v>82</v>
      </c>
    </row>
    <row r="3378" spans="1:26" ht="6.95" customHeight="1" x14ac:dyDescent="0.3">
      <c r="A3378" s="154"/>
      <c r="B3378" s="157"/>
      <c r="C3378" s="158"/>
      <c r="D3378" s="161"/>
      <c r="E3378" s="162"/>
      <c r="F3378" s="163"/>
      <c r="G3378" s="164"/>
      <c r="H3378" s="165"/>
      <c r="I3378" s="164"/>
      <c r="J3378" s="165"/>
      <c r="K3378" s="164"/>
      <c r="L3378" s="165"/>
      <c r="M3378" s="6"/>
      <c r="N3378" s="32"/>
      <c r="Q3378" s="10" t="str">
        <f>+CONCATENATE(E3377,I3377)</f>
        <v/>
      </c>
      <c r="R3378" s="10">
        <f>+J3377</f>
        <v>0</v>
      </c>
      <c r="S3378" s="11"/>
      <c r="T3378" s="10">
        <f>+E3377</f>
        <v>0</v>
      </c>
      <c r="U3378" s="19" t="str">
        <f>IFERROR(LEFT(I3377,FIND("*",I3377)-1),"-")</f>
        <v>-</v>
      </c>
      <c r="V3378" s="19" t="str">
        <f>IFERROR(RIGHT(I3377,LEN(I3377)-FIND("*",I3377)),"-")</f>
        <v>-</v>
      </c>
      <c r="W3378" s="20" t="str">
        <f t="shared" ref="W3378:W3385" si="1834">IFERROR((U3378+V3378)*2/1000,"-")</f>
        <v>-</v>
      </c>
      <c r="X3378" s="20" t="str">
        <f>IFERROR(W3378*J3377,"-")</f>
        <v>-</v>
      </c>
      <c r="Z3378" s="85" t="s">
        <v>82</v>
      </c>
    </row>
    <row r="3379" spans="1:26" ht="6.95" customHeight="1" x14ac:dyDescent="0.3">
      <c r="A3379" s="154"/>
      <c r="B3379" s="157"/>
      <c r="C3379" s="158"/>
      <c r="D3379" s="161"/>
      <c r="E3379" s="162"/>
      <c r="F3379" s="163"/>
      <c r="G3379" s="164"/>
      <c r="H3379" s="165"/>
      <c r="I3379" s="164"/>
      <c r="J3379" s="165"/>
      <c r="K3379" s="164"/>
      <c r="L3379" s="165"/>
      <c r="M3379" s="6"/>
      <c r="N3379" s="32"/>
      <c r="Q3379" s="10" t="str">
        <f>+CONCATENATE(E3377,K3377)</f>
        <v/>
      </c>
      <c r="R3379" s="10">
        <f>+L3377</f>
        <v>0</v>
      </c>
      <c r="S3379" s="11"/>
      <c r="T3379" s="10">
        <f>+E3377</f>
        <v>0</v>
      </c>
      <c r="U3379" s="19" t="str">
        <f>IFERROR(LEFT(K3377,FIND("*",K3377)-1),"-")</f>
        <v>-</v>
      </c>
      <c r="V3379" s="19" t="str">
        <f>IFERROR(RIGHT(K3377,LEN(K3377)-FIND("*",K3377)),"-")</f>
        <v>-</v>
      </c>
      <c r="W3379" s="20" t="str">
        <f t="shared" si="1834"/>
        <v>-</v>
      </c>
      <c r="X3379" s="20" t="str">
        <f>IFERROR(W3379*L3377,"-")</f>
        <v>-</v>
      </c>
      <c r="Z3379" s="85" t="s">
        <v>82</v>
      </c>
    </row>
    <row r="3380" spans="1:26" ht="6.95" customHeight="1" x14ac:dyDescent="0.3">
      <c r="A3380" s="8"/>
      <c r="B3380" s="157"/>
      <c r="C3380" s="158"/>
      <c r="D3380" s="161" t="s">
        <v>39</v>
      </c>
      <c r="E3380" s="162"/>
      <c r="F3380" s="163" t="s">
        <v>40</v>
      </c>
      <c r="G3380" s="164"/>
      <c r="H3380" s="165"/>
      <c r="I3380" s="164"/>
      <c r="J3380" s="165"/>
      <c r="K3380" s="164"/>
      <c r="L3380" s="165"/>
      <c r="M3380" s="6"/>
      <c r="N3380" s="32"/>
      <c r="Q3380" s="10" t="str">
        <f>+CONCATENATE(E3380,G3380)</f>
        <v/>
      </c>
      <c r="R3380" s="10">
        <f>+H3380</f>
        <v>0</v>
      </c>
      <c r="S3380" s="11"/>
      <c r="T3380" s="10">
        <f>+E3380</f>
        <v>0</v>
      </c>
      <c r="U3380" s="19" t="str">
        <f t="shared" ref="U3380" si="1835">IFERROR(LEFT(G3380,FIND("*",G3380)-1),"-")</f>
        <v>-</v>
      </c>
      <c r="V3380" s="19" t="str">
        <f t="shared" ref="V3380" si="1836">IFERROR(RIGHT(G3380,LEN(G3380)-FIND("*",G3380)),"-")</f>
        <v>-</v>
      </c>
      <c r="W3380" s="20" t="str">
        <f t="shared" si="1834"/>
        <v>-</v>
      </c>
      <c r="X3380" s="20" t="str">
        <f>IFERROR(W3380*H3380,"-")</f>
        <v>-</v>
      </c>
      <c r="Z3380" s="85" t="s">
        <v>82</v>
      </c>
    </row>
    <row r="3381" spans="1:26" ht="6.95" customHeight="1" x14ac:dyDescent="0.3">
      <c r="A3381" s="5"/>
      <c r="B3381" s="157"/>
      <c r="C3381" s="158"/>
      <c r="D3381" s="161"/>
      <c r="E3381" s="162"/>
      <c r="F3381" s="163"/>
      <c r="G3381" s="164"/>
      <c r="H3381" s="165"/>
      <c r="I3381" s="164"/>
      <c r="J3381" s="165"/>
      <c r="K3381" s="164"/>
      <c r="L3381" s="165"/>
      <c r="M3381" s="6"/>
      <c r="N3381" s="32"/>
      <c r="Q3381" s="10" t="str">
        <f>+CONCATENATE(E3380,I3380)</f>
        <v/>
      </c>
      <c r="R3381" s="10">
        <f>+J3380</f>
        <v>0</v>
      </c>
      <c r="S3381" s="11"/>
      <c r="T3381" s="10">
        <f>+E3380</f>
        <v>0</v>
      </c>
      <c r="U3381" s="19" t="str">
        <f>IFERROR(LEFT(I3380,FIND("*",I3380)-1),"-")</f>
        <v>-</v>
      </c>
      <c r="V3381" s="19" t="str">
        <f>IFERROR(RIGHT(I3380,LEN(I3380)-FIND("*",I3380)),"-")</f>
        <v>-</v>
      </c>
      <c r="W3381" s="20" t="str">
        <f t="shared" si="1834"/>
        <v>-</v>
      </c>
      <c r="X3381" s="20" t="str">
        <f>IFERROR(W3381*J3380,"-")</f>
        <v>-</v>
      </c>
      <c r="Z3381" s="85" t="s">
        <v>82</v>
      </c>
    </row>
    <row r="3382" spans="1:26" ht="6.95" customHeight="1" x14ac:dyDescent="0.3">
      <c r="A3382" s="5"/>
      <c r="B3382" s="157"/>
      <c r="C3382" s="158"/>
      <c r="D3382" s="161"/>
      <c r="E3382" s="162"/>
      <c r="F3382" s="163"/>
      <c r="G3382" s="164"/>
      <c r="H3382" s="165"/>
      <c r="I3382" s="164"/>
      <c r="J3382" s="165"/>
      <c r="K3382" s="164"/>
      <c r="L3382" s="165"/>
      <c r="M3382" s="6"/>
      <c r="N3382" s="32"/>
      <c r="Q3382" s="10" t="str">
        <f>+CONCATENATE(E3380,K3380)</f>
        <v/>
      </c>
      <c r="R3382" s="10">
        <f>+L3380</f>
        <v>0</v>
      </c>
      <c r="S3382" s="11"/>
      <c r="T3382" s="10">
        <f>+E3380</f>
        <v>0</v>
      </c>
      <c r="U3382" s="19" t="str">
        <f>IFERROR(LEFT(K3380,FIND("*",K3380)-1),"-")</f>
        <v>-</v>
      </c>
      <c r="V3382" s="19" t="str">
        <f>IFERROR(RIGHT(K3380,LEN(K3380)-FIND("*",K3380)),"-")</f>
        <v>-</v>
      </c>
      <c r="W3382" s="20" t="str">
        <f t="shared" si="1834"/>
        <v>-</v>
      </c>
      <c r="X3382" s="20" t="str">
        <f>IFERROR(W3382*L3380,"-")</f>
        <v>-</v>
      </c>
      <c r="Z3382" s="85" t="s">
        <v>82</v>
      </c>
    </row>
    <row r="3383" spans="1:26" ht="6.95" customHeight="1" x14ac:dyDescent="0.3">
      <c r="A3383" s="8"/>
      <c r="B3383" s="157"/>
      <c r="C3383" s="158"/>
      <c r="D3383" s="161" t="s">
        <v>39</v>
      </c>
      <c r="E3383" s="162"/>
      <c r="F3383" s="163" t="s">
        <v>40</v>
      </c>
      <c r="G3383" s="164"/>
      <c r="H3383" s="165"/>
      <c r="I3383" s="164"/>
      <c r="J3383" s="165"/>
      <c r="K3383" s="164"/>
      <c r="L3383" s="165"/>
      <c r="M3383" s="6"/>
      <c r="N3383" s="32"/>
      <c r="Q3383" s="10" t="str">
        <f>+CONCATENATE(E3383,G3383)</f>
        <v/>
      </c>
      <c r="R3383" s="10">
        <f>+H3383</f>
        <v>0</v>
      </c>
      <c r="S3383" s="11"/>
      <c r="T3383" s="10">
        <f>+E3383</f>
        <v>0</v>
      </c>
      <c r="U3383" s="19" t="str">
        <f t="shared" ref="U3383" si="1837">IFERROR(LEFT(G3383,FIND("*",G3383)-1),"-")</f>
        <v>-</v>
      </c>
      <c r="V3383" s="19" t="str">
        <f t="shared" ref="V3383" si="1838">IFERROR(RIGHT(G3383,LEN(G3383)-FIND("*",G3383)),"-")</f>
        <v>-</v>
      </c>
      <c r="W3383" s="20" t="str">
        <f t="shared" si="1834"/>
        <v>-</v>
      </c>
      <c r="X3383" s="20" t="str">
        <f>IFERROR(W3383*H3383,"-")</f>
        <v>-</v>
      </c>
      <c r="Z3383" s="85" t="s">
        <v>82</v>
      </c>
    </row>
    <row r="3384" spans="1:26" ht="6.95" customHeight="1" x14ac:dyDescent="0.3">
      <c r="A3384" s="5"/>
      <c r="B3384" s="157"/>
      <c r="C3384" s="158"/>
      <c r="D3384" s="161"/>
      <c r="E3384" s="162"/>
      <c r="F3384" s="163"/>
      <c r="G3384" s="164"/>
      <c r="H3384" s="165"/>
      <c r="I3384" s="164"/>
      <c r="J3384" s="165"/>
      <c r="K3384" s="164"/>
      <c r="L3384" s="165"/>
      <c r="M3384" s="6"/>
      <c r="N3384" s="32"/>
      <c r="Q3384" s="10" t="str">
        <f>+CONCATENATE(E3383,I3383)</f>
        <v/>
      </c>
      <c r="R3384" s="10">
        <f>+J3383</f>
        <v>0</v>
      </c>
      <c r="S3384" s="11"/>
      <c r="T3384" s="10">
        <f>+E3383</f>
        <v>0</v>
      </c>
      <c r="U3384" s="19" t="str">
        <f>IFERROR(LEFT(I3383,FIND("*",I3383)-1),"-")</f>
        <v>-</v>
      </c>
      <c r="V3384" s="19" t="str">
        <f>IFERROR(RIGHT(I3383,LEN(I3383)-FIND("*",I3383)),"-")</f>
        <v>-</v>
      </c>
      <c r="W3384" s="20" t="str">
        <f t="shared" si="1834"/>
        <v>-</v>
      </c>
      <c r="X3384" s="20" t="str">
        <f t="shared" ref="X3384" si="1839">IFERROR(W3384*J3383,"-")</f>
        <v>-</v>
      </c>
      <c r="Z3384" s="85" t="s">
        <v>82</v>
      </c>
    </row>
    <row r="3385" spans="1:26" ht="6.95" customHeight="1" x14ac:dyDescent="0.3">
      <c r="A3385" s="5"/>
      <c r="B3385" s="157"/>
      <c r="C3385" s="158"/>
      <c r="D3385" s="161"/>
      <c r="E3385" s="162"/>
      <c r="F3385" s="163"/>
      <c r="G3385" s="164"/>
      <c r="H3385" s="165"/>
      <c r="I3385" s="164"/>
      <c r="J3385" s="165"/>
      <c r="K3385" s="164"/>
      <c r="L3385" s="165"/>
      <c r="M3385" s="6"/>
      <c r="N3385" s="32"/>
      <c r="Q3385" s="10" t="str">
        <f>+CONCATENATE(E3383,K3383)</f>
        <v/>
      </c>
      <c r="R3385" s="10">
        <f>+L3383</f>
        <v>0</v>
      </c>
      <c r="S3385" s="11"/>
      <c r="T3385" s="10">
        <f>+E3383</f>
        <v>0</v>
      </c>
      <c r="U3385" s="19" t="str">
        <f>IFERROR(LEFT(K3383,FIND("*",K3383)-1),"-")</f>
        <v>-</v>
      </c>
      <c r="V3385" s="19" t="str">
        <f>IFERROR(RIGHT(K3383,LEN(K3383)-FIND("*",K3383)),"-")</f>
        <v>-</v>
      </c>
      <c r="W3385" s="20" t="str">
        <f t="shared" si="1834"/>
        <v>-</v>
      </c>
      <c r="X3385" s="20" t="str">
        <f>IFERROR(W3385*L3383,"-")</f>
        <v>-</v>
      </c>
      <c r="Z3385" s="85" t="s">
        <v>82</v>
      </c>
    </row>
    <row r="3386" spans="1:26" ht="21" customHeight="1" thickBot="1" x14ac:dyDescent="0.35">
      <c r="A3386" s="5"/>
      <c r="B3386" s="159"/>
      <c r="C3386" s="160"/>
      <c r="D3386" s="166" t="s">
        <v>43</v>
      </c>
      <c r="E3386" s="167"/>
      <c r="F3386" s="167"/>
      <c r="G3386" s="168"/>
      <c r="H3386" s="168"/>
      <c r="I3386" s="168"/>
      <c r="J3386" s="168"/>
      <c r="K3386" s="168"/>
      <c r="L3386" s="168"/>
      <c r="M3386" s="7"/>
      <c r="N3386" s="32"/>
      <c r="Z3386" s="86" t="s">
        <v>81</v>
      </c>
    </row>
    <row r="3387" spans="1:26" ht="9.9499999999999993" customHeight="1" thickBot="1" x14ac:dyDescent="0.35">
      <c r="B3387" s="9"/>
      <c r="C3387" s="109"/>
      <c r="D3387" s="51"/>
      <c r="E3387" s="12"/>
      <c r="F3387" s="51"/>
      <c r="G3387" s="14"/>
      <c r="H3387" s="14"/>
      <c r="I3387" s="14"/>
      <c r="J3387" s="14"/>
      <c r="K3387" s="14"/>
      <c r="L3387" s="14"/>
      <c r="M3387" s="9"/>
      <c r="N3387" s="32"/>
      <c r="U3387" s="18"/>
      <c r="V3387" s="18"/>
      <c r="Z3387" s="85" t="s">
        <v>82</v>
      </c>
    </row>
    <row r="3388" spans="1:26" ht="6.95" customHeight="1" x14ac:dyDescent="0.3">
      <c r="A3388" s="154">
        <f>+A3377+1</f>
        <v>1107</v>
      </c>
      <c r="B3388" s="155"/>
      <c r="C3388" s="156"/>
      <c r="D3388" s="161" t="s">
        <v>39</v>
      </c>
      <c r="E3388" s="162"/>
      <c r="F3388" s="163" t="s">
        <v>40</v>
      </c>
      <c r="G3388" s="164"/>
      <c r="H3388" s="165"/>
      <c r="I3388" s="164"/>
      <c r="J3388" s="165"/>
      <c r="K3388" s="164"/>
      <c r="L3388" s="165"/>
      <c r="M3388" s="6"/>
      <c r="N3388" s="32"/>
      <c r="Q3388" s="10" t="str">
        <f>+CONCATENATE(E3388,G3388)</f>
        <v/>
      </c>
      <c r="R3388" s="10">
        <f>+H3388</f>
        <v>0</v>
      </c>
      <c r="S3388" s="11"/>
      <c r="T3388" s="10">
        <f>+E3388</f>
        <v>0</v>
      </c>
      <c r="U3388" s="19" t="str">
        <f>IFERROR(LEFT(G3388,FIND("*",G3388)-1),"-")</f>
        <v>-</v>
      </c>
      <c r="V3388" s="19" t="str">
        <f>IFERROR(RIGHT(G3388,LEN(G3388)-FIND("*",G3388)),"-")</f>
        <v>-</v>
      </c>
      <c r="W3388" s="20" t="str">
        <f>IFERROR((U3388+V3388)*2/1000,"-")</f>
        <v>-</v>
      </c>
      <c r="X3388" s="20" t="str">
        <f>IFERROR(W3388*H3388,"-")</f>
        <v>-</v>
      </c>
      <c r="Z3388" s="85" t="s">
        <v>82</v>
      </c>
    </row>
    <row r="3389" spans="1:26" ht="6.95" customHeight="1" x14ac:dyDescent="0.3">
      <c r="A3389" s="154"/>
      <c r="B3389" s="157"/>
      <c r="C3389" s="158"/>
      <c r="D3389" s="161"/>
      <c r="E3389" s="162"/>
      <c r="F3389" s="163"/>
      <c r="G3389" s="164"/>
      <c r="H3389" s="165"/>
      <c r="I3389" s="164"/>
      <c r="J3389" s="165"/>
      <c r="K3389" s="164"/>
      <c r="L3389" s="165"/>
      <c r="M3389" s="6"/>
      <c r="N3389" s="32"/>
      <c r="Q3389" s="10" t="str">
        <f>+CONCATENATE(E3388,I3388)</f>
        <v/>
      </c>
      <c r="R3389" s="10">
        <f>+J3388</f>
        <v>0</v>
      </c>
      <c r="S3389" s="11"/>
      <c r="T3389" s="10">
        <f>+E3388</f>
        <v>0</v>
      </c>
      <c r="U3389" s="19" t="str">
        <f>IFERROR(LEFT(I3388,FIND("*",I3388)-1),"-")</f>
        <v>-</v>
      </c>
      <c r="V3389" s="19" t="str">
        <f>IFERROR(RIGHT(I3388,LEN(I3388)-FIND("*",I3388)),"-")</f>
        <v>-</v>
      </c>
      <c r="W3389" s="20" t="str">
        <f t="shared" ref="W3389:W3396" si="1840">IFERROR((U3389+V3389)*2/1000,"-")</f>
        <v>-</v>
      </c>
      <c r="X3389" s="20" t="str">
        <f>IFERROR(W3389*J3388,"-")</f>
        <v>-</v>
      </c>
      <c r="Z3389" s="85" t="s">
        <v>82</v>
      </c>
    </row>
    <row r="3390" spans="1:26" ht="6.95" customHeight="1" x14ac:dyDescent="0.3">
      <c r="A3390" s="154"/>
      <c r="B3390" s="157"/>
      <c r="C3390" s="158"/>
      <c r="D3390" s="161"/>
      <c r="E3390" s="162"/>
      <c r="F3390" s="163"/>
      <c r="G3390" s="164"/>
      <c r="H3390" s="165"/>
      <c r="I3390" s="164"/>
      <c r="J3390" s="165"/>
      <c r="K3390" s="164"/>
      <c r="L3390" s="165"/>
      <c r="M3390" s="6"/>
      <c r="N3390" s="32"/>
      <c r="Q3390" s="10" t="str">
        <f>+CONCATENATE(E3388,K3388)</f>
        <v/>
      </c>
      <c r="R3390" s="10">
        <f>+L3388</f>
        <v>0</v>
      </c>
      <c r="S3390" s="11"/>
      <c r="T3390" s="10">
        <f>+E3388</f>
        <v>0</v>
      </c>
      <c r="U3390" s="19" t="str">
        <f>IFERROR(LEFT(K3388,FIND("*",K3388)-1),"-")</f>
        <v>-</v>
      </c>
      <c r="V3390" s="19" t="str">
        <f>IFERROR(RIGHT(K3388,LEN(K3388)-FIND("*",K3388)),"-")</f>
        <v>-</v>
      </c>
      <c r="W3390" s="20" t="str">
        <f t="shared" si="1840"/>
        <v>-</v>
      </c>
      <c r="X3390" s="20" t="str">
        <f>IFERROR(W3390*L3388,"-")</f>
        <v>-</v>
      </c>
      <c r="Z3390" s="85" t="s">
        <v>82</v>
      </c>
    </row>
    <row r="3391" spans="1:26" ht="6.95" customHeight="1" x14ac:dyDescent="0.3">
      <c r="A3391" s="8"/>
      <c r="B3391" s="157"/>
      <c r="C3391" s="158"/>
      <c r="D3391" s="161" t="s">
        <v>39</v>
      </c>
      <c r="E3391" s="162"/>
      <c r="F3391" s="163" t="s">
        <v>40</v>
      </c>
      <c r="G3391" s="164"/>
      <c r="H3391" s="165"/>
      <c r="I3391" s="164"/>
      <c r="J3391" s="165"/>
      <c r="K3391" s="164"/>
      <c r="L3391" s="165"/>
      <c r="M3391" s="6"/>
      <c r="N3391" s="32"/>
      <c r="Q3391" s="10" t="str">
        <f>+CONCATENATE(E3391,G3391)</f>
        <v/>
      </c>
      <c r="R3391" s="10">
        <f>+H3391</f>
        <v>0</v>
      </c>
      <c r="S3391" s="11"/>
      <c r="T3391" s="10">
        <f>+E3391</f>
        <v>0</v>
      </c>
      <c r="U3391" s="19" t="str">
        <f t="shared" ref="U3391" si="1841">IFERROR(LEFT(G3391,FIND("*",G3391)-1),"-")</f>
        <v>-</v>
      </c>
      <c r="V3391" s="19" t="str">
        <f t="shared" ref="V3391" si="1842">IFERROR(RIGHT(G3391,LEN(G3391)-FIND("*",G3391)),"-")</f>
        <v>-</v>
      </c>
      <c r="W3391" s="20" t="str">
        <f t="shared" si="1840"/>
        <v>-</v>
      </c>
      <c r="X3391" s="20" t="str">
        <f>IFERROR(W3391*H3391,"-")</f>
        <v>-</v>
      </c>
      <c r="Z3391" s="85" t="s">
        <v>82</v>
      </c>
    </row>
    <row r="3392" spans="1:26" ht="6.95" customHeight="1" x14ac:dyDescent="0.3">
      <c r="A3392" s="5"/>
      <c r="B3392" s="157"/>
      <c r="C3392" s="158"/>
      <c r="D3392" s="161"/>
      <c r="E3392" s="162"/>
      <c r="F3392" s="163"/>
      <c r="G3392" s="164"/>
      <c r="H3392" s="165"/>
      <c r="I3392" s="164"/>
      <c r="J3392" s="165"/>
      <c r="K3392" s="164"/>
      <c r="L3392" s="165"/>
      <c r="M3392" s="6"/>
      <c r="N3392" s="32"/>
      <c r="Q3392" s="10" t="str">
        <f>+CONCATENATE(E3391,I3391)</f>
        <v/>
      </c>
      <c r="R3392" s="10">
        <f>+J3391</f>
        <v>0</v>
      </c>
      <c r="S3392" s="11"/>
      <c r="T3392" s="10">
        <f>+E3391</f>
        <v>0</v>
      </c>
      <c r="U3392" s="19" t="str">
        <f>IFERROR(LEFT(I3391,FIND("*",I3391)-1),"-")</f>
        <v>-</v>
      </c>
      <c r="V3392" s="19" t="str">
        <f>IFERROR(RIGHT(I3391,LEN(I3391)-FIND("*",I3391)),"-")</f>
        <v>-</v>
      </c>
      <c r="W3392" s="20" t="str">
        <f t="shared" si="1840"/>
        <v>-</v>
      </c>
      <c r="X3392" s="20" t="str">
        <f>IFERROR(W3392*J3391,"-")</f>
        <v>-</v>
      </c>
      <c r="Z3392" s="85" t="s">
        <v>82</v>
      </c>
    </row>
    <row r="3393" spans="1:26" ht="6.95" customHeight="1" x14ac:dyDescent="0.3">
      <c r="A3393" s="5"/>
      <c r="B3393" s="157"/>
      <c r="C3393" s="158"/>
      <c r="D3393" s="161"/>
      <c r="E3393" s="162"/>
      <c r="F3393" s="163"/>
      <c r="G3393" s="164"/>
      <c r="H3393" s="165"/>
      <c r="I3393" s="164"/>
      <c r="J3393" s="165"/>
      <c r="K3393" s="164"/>
      <c r="L3393" s="165"/>
      <c r="M3393" s="6"/>
      <c r="N3393" s="32"/>
      <c r="Q3393" s="10" t="str">
        <f>+CONCATENATE(E3391,K3391)</f>
        <v/>
      </c>
      <c r="R3393" s="10">
        <f>+L3391</f>
        <v>0</v>
      </c>
      <c r="S3393" s="11"/>
      <c r="T3393" s="10">
        <f>+E3391</f>
        <v>0</v>
      </c>
      <c r="U3393" s="19" t="str">
        <f>IFERROR(LEFT(K3391,FIND("*",K3391)-1),"-")</f>
        <v>-</v>
      </c>
      <c r="V3393" s="19" t="str">
        <f>IFERROR(RIGHT(K3391,LEN(K3391)-FIND("*",K3391)),"-")</f>
        <v>-</v>
      </c>
      <c r="W3393" s="20" t="str">
        <f t="shared" si="1840"/>
        <v>-</v>
      </c>
      <c r="X3393" s="20" t="str">
        <f>IFERROR(W3393*L3391,"-")</f>
        <v>-</v>
      </c>
      <c r="Z3393" s="85" t="s">
        <v>82</v>
      </c>
    </row>
    <row r="3394" spans="1:26" ht="6.95" customHeight="1" x14ac:dyDescent="0.3">
      <c r="A3394" s="8"/>
      <c r="B3394" s="157"/>
      <c r="C3394" s="158"/>
      <c r="D3394" s="161" t="s">
        <v>39</v>
      </c>
      <c r="E3394" s="162"/>
      <c r="F3394" s="163" t="s">
        <v>40</v>
      </c>
      <c r="G3394" s="164"/>
      <c r="H3394" s="165"/>
      <c r="I3394" s="164"/>
      <c r="J3394" s="165"/>
      <c r="K3394" s="164"/>
      <c r="L3394" s="165"/>
      <c r="M3394" s="6"/>
      <c r="N3394" s="32"/>
      <c r="Q3394" s="10" t="str">
        <f>+CONCATENATE(E3394,G3394)</f>
        <v/>
      </c>
      <c r="R3394" s="10">
        <f>+H3394</f>
        <v>0</v>
      </c>
      <c r="S3394" s="11"/>
      <c r="T3394" s="10">
        <f>+E3394</f>
        <v>0</v>
      </c>
      <c r="U3394" s="19" t="str">
        <f t="shared" ref="U3394" si="1843">IFERROR(LEFT(G3394,FIND("*",G3394)-1),"-")</f>
        <v>-</v>
      </c>
      <c r="V3394" s="19" t="str">
        <f t="shared" ref="V3394" si="1844">IFERROR(RIGHT(G3394,LEN(G3394)-FIND("*",G3394)),"-")</f>
        <v>-</v>
      </c>
      <c r="W3394" s="20" t="str">
        <f t="shared" si="1840"/>
        <v>-</v>
      </c>
      <c r="X3394" s="20" t="str">
        <f>IFERROR(W3394*H3394,"-")</f>
        <v>-</v>
      </c>
      <c r="Z3394" s="85" t="s">
        <v>82</v>
      </c>
    </row>
    <row r="3395" spans="1:26" ht="6.95" customHeight="1" x14ac:dyDescent="0.3">
      <c r="A3395" s="5"/>
      <c r="B3395" s="157"/>
      <c r="C3395" s="158"/>
      <c r="D3395" s="161"/>
      <c r="E3395" s="162"/>
      <c r="F3395" s="163"/>
      <c r="G3395" s="164"/>
      <c r="H3395" s="165"/>
      <c r="I3395" s="164"/>
      <c r="J3395" s="165"/>
      <c r="K3395" s="164"/>
      <c r="L3395" s="165"/>
      <c r="M3395" s="6"/>
      <c r="N3395" s="32"/>
      <c r="Q3395" s="10" t="str">
        <f>+CONCATENATE(E3394,I3394)</f>
        <v/>
      </c>
      <c r="R3395" s="10">
        <f>+J3394</f>
        <v>0</v>
      </c>
      <c r="S3395" s="11"/>
      <c r="T3395" s="10">
        <f>+E3394</f>
        <v>0</v>
      </c>
      <c r="U3395" s="19" t="str">
        <f>IFERROR(LEFT(I3394,FIND("*",I3394)-1),"-")</f>
        <v>-</v>
      </c>
      <c r="V3395" s="19" t="str">
        <f>IFERROR(RIGHT(I3394,LEN(I3394)-FIND("*",I3394)),"-")</f>
        <v>-</v>
      </c>
      <c r="W3395" s="20" t="str">
        <f t="shared" si="1840"/>
        <v>-</v>
      </c>
      <c r="X3395" s="20" t="str">
        <f t="shared" ref="X3395" si="1845">IFERROR(W3395*J3394,"-")</f>
        <v>-</v>
      </c>
      <c r="Z3395" s="85" t="s">
        <v>82</v>
      </c>
    </row>
    <row r="3396" spans="1:26" ht="6.95" customHeight="1" x14ac:dyDescent="0.3">
      <c r="A3396" s="5"/>
      <c r="B3396" s="157"/>
      <c r="C3396" s="158"/>
      <c r="D3396" s="161"/>
      <c r="E3396" s="162"/>
      <c r="F3396" s="163"/>
      <c r="G3396" s="164"/>
      <c r="H3396" s="165"/>
      <c r="I3396" s="164"/>
      <c r="J3396" s="165"/>
      <c r="K3396" s="164"/>
      <c r="L3396" s="165"/>
      <c r="M3396" s="6"/>
      <c r="N3396" s="32"/>
      <c r="Q3396" s="10" t="str">
        <f>+CONCATENATE(E3394,K3394)</f>
        <v/>
      </c>
      <c r="R3396" s="10">
        <f>+L3394</f>
        <v>0</v>
      </c>
      <c r="S3396" s="11"/>
      <c r="T3396" s="10">
        <f>+E3394</f>
        <v>0</v>
      </c>
      <c r="U3396" s="19" t="str">
        <f>IFERROR(LEFT(K3394,FIND("*",K3394)-1),"-")</f>
        <v>-</v>
      </c>
      <c r="V3396" s="19" t="str">
        <f>IFERROR(RIGHT(K3394,LEN(K3394)-FIND("*",K3394)),"-")</f>
        <v>-</v>
      </c>
      <c r="W3396" s="20" t="str">
        <f t="shared" si="1840"/>
        <v>-</v>
      </c>
      <c r="X3396" s="20" t="str">
        <f>IFERROR(W3396*L3394,"-")</f>
        <v>-</v>
      </c>
      <c r="Z3396" s="85" t="s">
        <v>82</v>
      </c>
    </row>
    <row r="3397" spans="1:26" ht="21" customHeight="1" thickBot="1" x14ac:dyDescent="0.35">
      <c r="A3397" s="5"/>
      <c r="B3397" s="159"/>
      <c r="C3397" s="160"/>
      <c r="D3397" s="166" t="s">
        <v>43</v>
      </c>
      <c r="E3397" s="167"/>
      <c r="F3397" s="167"/>
      <c r="G3397" s="168"/>
      <c r="H3397" s="168"/>
      <c r="I3397" s="168"/>
      <c r="J3397" s="168"/>
      <c r="K3397" s="168"/>
      <c r="L3397" s="168"/>
      <c r="M3397" s="7"/>
      <c r="N3397" s="32"/>
      <c r="Z3397" s="86" t="s">
        <v>81</v>
      </c>
    </row>
    <row r="3398" spans="1:26" ht="9.9499999999999993" customHeight="1" thickBot="1" x14ac:dyDescent="0.35">
      <c r="B3398" s="9"/>
      <c r="C3398" s="109"/>
      <c r="D3398" s="51"/>
      <c r="E3398" s="12"/>
      <c r="F3398" s="51"/>
      <c r="G3398" s="14"/>
      <c r="H3398" s="14"/>
      <c r="I3398" s="14"/>
      <c r="J3398" s="14"/>
      <c r="K3398" s="14"/>
      <c r="L3398" s="14"/>
      <c r="M3398" s="9"/>
      <c r="N3398" s="32"/>
      <c r="U3398" s="18"/>
      <c r="V3398" s="18"/>
      <c r="Z3398" s="85" t="s">
        <v>82</v>
      </c>
    </row>
    <row r="3399" spans="1:26" ht="6.95" customHeight="1" x14ac:dyDescent="0.3">
      <c r="A3399" s="154">
        <f>+A3388+1</f>
        <v>1108</v>
      </c>
      <c r="B3399" s="155"/>
      <c r="C3399" s="156"/>
      <c r="D3399" s="161" t="s">
        <v>39</v>
      </c>
      <c r="E3399" s="162"/>
      <c r="F3399" s="163" t="s">
        <v>40</v>
      </c>
      <c r="G3399" s="164"/>
      <c r="H3399" s="165"/>
      <c r="I3399" s="164"/>
      <c r="J3399" s="165"/>
      <c r="K3399" s="164"/>
      <c r="L3399" s="165"/>
      <c r="M3399" s="6"/>
      <c r="N3399" s="32"/>
      <c r="Q3399" s="10" t="str">
        <f>+CONCATENATE(E3399,G3399)</f>
        <v/>
      </c>
      <c r="R3399" s="10">
        <f>+H3399</f>
        <v>0</v>
      </c>
      <c r="S3399" s="11"/>
      <c r="T3399" s="10">
        <f>+E3399</f>
        <v>0</v>
      </c>
      <c r="U3399" s="19" t="str">
        <f>IFERROR(LEFT(G3399,FIND("*",G3399)-1),"-")</f>
        <v>-</v>
      </c>
      <c r="V3399" s="19" t="str">
        <f>IFERROR(RIGHT(G3399,LEN(G3399)-FIND("*",G3399)),"-")</f>
        <v>-</v>
      </c>
      <c r="W3399" s="20" t="str">
        <f>IFERROR((U3399+V3399)*2/1000,"-")</f>
        <v>-</v>
      </c>
      <c r="X3399" s="20" t="str">
        <f>IFERROR(W3399*H3399,"-")</f>
        <v>-</v>
      </c>
      <c r="Z3399" s="85" t="s">
        <v>82</v>
      </c>
    </row>
    <row r="3400" spans="1:26" ht="6.95" customHeight="1" x14ac:dyDescent="0.3">
      <c r="A3400" s="154"/>
      <c r="B3400" s="157"/>
      <c r="C3400" s="158"/>
      <c r="D3400" s="161"/>
      <c r="E3400" s="162"/>
      <c r="F3400" s="163"/>
      <c r="G3400" s="164"/>
      <c r="H3400" s="165"/>
      <c r="I3400" s="164"/>
      <c r="J3400" s="165"/>
      <c r="K3400" s="164"/>
      <c r="L3400" s="165"/>
      <c r="M3400" s="6"/>
      <c r="N3400" s="32"/>
      <c r="Q3400" s="10" t="str">
        <f>+CONCATENATE(E3399,I3399)</f>
        <v/>
      </c>
      <c r="R3400" s="10">
        <f>+J3399</f>
        <v>0</v>
      </c>
      <c r="S3400" s="11"/>
      <c r="T3400" s="10">
        <f>+E3399</f>
        <v>0</v>
      </c>
      <c r="U3400" s="19" t="str">
        <f>IFERROR(LEFT(I3399,FIND("*",I3399)-1),"-")</f>
        <v>-</v>
      </c>
      <c r="V3400" s="19" t="str">
        <f>IFERROR(RIGHT(I3399,LEN(I3399)-FIND("*",I3399)),"-")</f>
        <v>-</v>
      </c>
      <c r="W3400" s="20" t="str">
        <f t="shared" ref="W3400:W3407" si="1846">IFERROR((U3400+V3400)*2/1000,"-")</f>
        <v>-</v>
      </c>
      <c r="X3400" s="20" t="str">
        <f>IFERROR(W3400*J3399,"-")</f>
        <v>-</v>
      </c>
      <c r="Z3400" s="85" t="s">
        <v>82</v>
      </c>
    </row>
    <row r="3401" spans="1:26" ht="6.95" customHeight="1" x14ac:dyDescent="0.3">
      <c r="A3401" s="154"/>
      <c r="B3401" s="157"/>
      <c r="C3401" s="158"/>
      <c r="D3401" s="161"/>
      <c r="E3401" s="162"/>
      <c r="F3401" s="163"/>
      <c r="G3401" s="164"/>
      <c r="H3401" s="165"/>
      <c r="I3401" s="164"/>
      <c r="J3401" s="165"/>
      <c r="K3401" s="164"/>
      <c r="L3401" s="165"/>
      <c r="M3401" s="6"/>
      <c r="N3401" s="32"/>
      <c r="Q3401" s="10" t="str">
        <f>+CONCATENATE(E3399,K3399)</f>
        <v/>
      </c>
      <c r="R3401" s="10">
        <f>+L3399</f>
        <v>0</v>
      </c>
      <c r="S3401" s="11"/>
      <c r="T3401" s="10">
        <f>+E3399</f>
        <v>0</v>
      </c>
      <c r="U3401" s="19" t="str">
        <f>IFERROR(LEFT(K3399,FIND("*",K3399)-1),"-")</f>
        <v>-</v>
      </c>
      <c r="V3401" s="19" t="str">
        <f>IFERROR(RIGHT(K3399,LEN(K3399)-FIND("*",K3399)),"-")</f>
        <v>-</v>
      </c>
      <c r="W3401" s="20" t="str">
        <f t="shared" si="1846"/>
        <v>-</v>
      </c>
      <c r="X3401" s="20" t="str">
        <f>IFERROR(W3401*L3399,"-")</f>
        <v>-</v>
      </c>
      <c r="Z3401" s="85" t="s">
        <v>82</v>
      </c>
    </row>
    <row r="3402" spans="1:26" ht="6.95" customHeight="1" x14ac:dyDescent="0.3">
      <c r="A3402" s="8"/>
      <c r="B3402" s="157"/>
      <c r="C3402" s="158"/>
      <c r="D3402" s="161" t="s">
        <v>39</v>
      </c>
      <c r="E3402" s="162"/>
      <c r="F3402" s="163" t="s">
        <v>40</v>
      </c>
      <c r="G3402" s="164"/>
      <c r="H3402" s="165"/>
      <c r="I3402" s="164"/>
      <c r="J3402" s="165"/>
      <c r="K3402" s="164"/>
      <c r="L3402" s="165"/>
      <c r="M3402" s="6"/>
      <c r="N3402" s="32"/>
      <c r="Q3402" s="10" t="str">
        <f>+CONCATENATE(E3402,G3402)</f>
        <v/>
      </c>
      <c r="R3402" s="10">
        <f>+H3402</f>
        <v>0</v>
      </c>
      <c r="S3402" s="11"/>
      <c r="T3402" s="10">
        <f>+E3402</f>
        <v>0</v>
      </c>
      <c r="U3402" s="19" t="str">
        <f t="shared" ref="U3402" si="1847">IFERROR(LEFT(G3402,FIND("*",G3402)-1),"-")</f>
        <v>-</v>
      </c>
      <c r="V3402" s="19" t="str">
        <f t="shared" ref="V3402" si="1848">IFERROR(RIGHT(G3402,LEN(G3402)-FIND("*",G3402)),"-")</f>
        <v>-</v>
      </c>
      <c r="W3402" s="20" t="str">
        <f t="shared" si="1846"/>
        <v>-</v>
      </c>
      <c r="X3402" s="20" t="str">
        <f>IFERROR(W3402*H3402,"-")</f>
        <v>-</v>
      </c>
      <c r="Z3402" s="85" t="s">
        <v>82</v>
      </c>
    </row>
    <row r="3403" spans="1:26" ht="6.95" customHeight="1" x14ac:dyDescent="0.3">
      <c r="A3403" s="5"/>
      <c r="B3403" s="157"/>
      <c r="C3403" s="158"/>
      <c r="D3403" s="161"/>
      <c r="E3403" s="162"/>
      <c r="F3403" s="163"/>
      <c r="G3403" s="164"/>
      <c r="H3403" s="165"/>
      <c r="I3403" s="164"/>
      <c r="J3403" s="165"/>
      <c r="K3403" s="164"/>
      <c r="L3403" s="165"/>
      <c r="M3403" s="6"/>
      <c r="N3403" s="32"/>
      <c r="Q3403" s="10" t="str">
        <f>+CONCATENATE(E3402,I3402)</f>
        <v/>
      </c>
      <c r="R3403" s="10">
        <f>+J3402</f>
        <v>0</v>
      </c>
      <c r="S3403" s="11"/>
      <c r="T3403" s="10">
        <f>+E3402</f>
        <v>0</v>
      </c>
      <c r="U3403" s="19" t="str">
        <f>IFERROR(LEFT(I3402,FIND("*",I3402)-1),"-")</f>
        <v>-</v>
      </c>
      <c r="V3403" s="19" t="str">
        <f>IFERROR(RIGHT(I3402,LEN(I3402)-FIND("*",I3402)),"-")</f>
        <v>-</v>
      </c>
      <c r="W3403" s="20" t="str">
        <f t="shared" si="1846"/>
        <v>-</v>
      </c>
      <c r="X3403" s="20" t="str">
        <f>IFERROR(W3403*J3402,"-")</f>
        <v>-</v>
      </c>
      <c r="Z3403" s="85" t="s">
        <v>82</v>
      </c>
    </row>
    <row r="3404" spans="1:26" ht="6.95" customHeight="1" x14ac:dyDescent="0.3">
      <c r="A3404" s="5"/>
      <c r="B3404" s="157"/>
      <c r="C3404" s="158"/>
      <c r="D3404" s="161"/>
      <c r="E3404" s="162"/>
      <c r="F3404" s="163"/>
      <c r="G3404" s="164"/>
      <c r="H3404" s="165"/>
      <c r="I3404" s="164"/>
      <c r="J3404" s="165"/>
      <c r="K3404" s="164"/>
      <c r="L3404" s="165"/>
      <c r="M3404" s="6"/>
      <c r="N3404" s="32"/>
      <c r="Q3404" s="10" t="str">
        <f>+CONCATENATE(E3402,K3402)</f>
        <v/>
      </c>
      <c r="R3404" s="10">
        <f>+L3402</f>
        <v>0</v>
      </c>
      <c r="S3404" s="11"/>
      <c r="T3404" s="10">
        <f>+E3402</f>
        <v>0</v>
      </c>
      <c r="U3404" s="19" t="str">
        <f>IFERROR(LEFT(K3402,FIND("*",K3402)-1),"-")</f>
        <v>-</v>
      </c>
      <c r="V3404" s="19" t="str">
        <f>IFERROR(RIGHT(K3402,LEN(K3402)-FIND("*",K3402)),"-")</f>
        <v>-</v>
      </c>
      <c r="W3404" s="20" t="str">
        <f t="shared" si="1846"/>
        <v>-</v>
      </c>
      <c r="X3404" s="20" t="str">
        <f>IFERROR(W3404*L3402,"-")</f>
        <v>-</v>
      </c>
      <c r="Z3404" s="85" t="s">
        <v>82</v>
      </c>
    </row>
    <row r="3405" spans="1:26" ht="6.95" customHeight="1" x14ac:dyDescent="0.3">
      <c r="A3405" s="8"/>
      <c r="B3405" s="157"/>
      <c r="C3405" s="158"/>
      <c r="D3405" s="161" t="s">
        <v>39</v>
      </c>
      <c r="E3405" s="162"/>
      <c r="F3405" s="163" t="s">
        <v>40</v>
      </c>
      <c r="G3405" s="164"/>
      <c r="H3405" s="165"/>
      <c r="I3405" s="164"/>
      <c r="J3405" s="165"/>
      <c r="K3405" s="164"/>
      <c r="L3405" s="165"/>
      <c r="M3405" s="6"/>
      <c r="N3405" s="32"/>
      <c r="Q3405" s="10" t="str">
        <f>+CONCATENATE(E3405,G3405)</f>
        <v/>
      </c>
      <c r="R3405" s="10">
        <f>+H3405</f>
        <v>0</v>
      </c>
      <c r="S3405" s="11"/>
      <c r="T3405" s="10">
        <f>+E3405</f>
        <v>0</v>
      </c>
      <c r="U3405" s="19" t="str">
        <f t="shared" ref="U3405" si="1849">IFERROR(LEFT(G3405,FIND("*",G3405)-1),"-")</f>
        <v>-</v>
      </c>
      <c r="V3405" s="19" t="str">
        <f t="shared" ref="V3405" si="1850">IFERROR(RIGHT(G3405,LEN(G3405)-FIND("*",G3405)),"-")</f>
        <v>-</v>
      </c>
      <c r="W3405" s="20" t="str">
        <f t="shared" si="1846"/>
        <v>-</v>
      </c>
      <c r="X3405" s="20" t="str">
        <f>IFERROR(W3405*H3405,"-")</f>
        <v>-</v>
      </c>
      <c r="Z3405" s="85" t="s">
        <v>82</v>
      </c>
    </row>
    <row r="3406" spans="1:26" ht="6.95" customHeight="1" x14ac:dyDescent="0.3">
      <c r="A3406" s="5"/>
      <c r="B3406" s="157"/>
      <c r="C3406" s="158"/>
      <c r="D3406" s="161"/>
      <c r="E3406" s="162"/>
      <c r="F3406" s="163"/>
      <c r="G3406" s="164"/>
      <c r="H3406" s="165"/>
      <c r="I3406" s="164"/>
      <c r="J3406" s="165"/>
      <c r="K3406" s="164"/>
      <c r="L3406" s="165"/>
      <c r="M3406" s="6"/>
      <c r="N3406" s="32"/>
      <c r="Q3406" s="10" t="str">
        <f>+CONCATENATE(E3405,I3405)</f>
        <v/>
      </c>
      <c r="R3406" s="10">
        <f>+J3405</f>
        <v>0</v>
      </c>
      <c r="S3406" s="11"/>
      <c r="T3406" s="10">
        <f>+E3405</f>
        <v>0</v>
      </c>
      <c r="U3406" s="19" t="str">
        <f>IFERROR(LEFT(I3405,FIND("*",I3405)-1),"-")</f>
        <v>-</v>
      </c>
      <c r="V3406" s="19" t="str">
        <f>IFERROR(RIGHT(I3405,LEN(I3405)-FIND("*",I3405)),"-")</f>
        <v>-</v>
      </c>
      <c r="W3406" s="20" t="str">
        <f t="shared" si="1846"/>
        <v>-</v>
      </c>
      <c r="X3406" s="20" t="str">
        <f t="shared" ref="X3406" si="1851">IFERROR(W3406*J3405,"-")</f>
        <v>-</v>
      </c>
      <c r="Z3406" s="85" t="s">
        <v>82</v>
      </c>
    </row>
    <row r="3407" spans="1:26" ht="6.95" customHeight="1" x14ac:dyDescent="0.3">
      <c r="A3407" s="5"/>
      <c r="B3407" s="157"/>
      <c r="C3407" s="158"/>
      <c r="D3407" s="161"/>
      <c r="E3407" s="162"/>
      <c r="F3407" s="163"/>
      <c r="G3407" s="164"/>
      <c r="H3407" s="165"/>
      <c r="I3407" s="164"/>
      <c r="J3407" s="165"/>
      <c r="K3407" s="164"/>
      <c r="L3407" s="165"/>
      <c r="M3407" s="6"/>
      <c r="N3407" s="32"/>
      <c r="Q3407" s="10" t="str">
        <f>+CONCATENATE(E3405,K3405)</f>
        <v/>
      </c>
      <c r="R3407" s="10">
        <f>+L3405</f>
        <v>0</v>
      </c>
      <c r="S3407" s="11"/>
      <c r="T3407" s="10">
        <f>+E3405</f>
        <v>0</v>
      </c>
      <c r="U3407" s="19" t="str">
        <f>IFERROR(LEFT(K3405,FIND("*",K3405)-1),"-")</f>
        <v>-</v>
      </c>
      <c r="V3407" s="19" t="str">
        <f>IFERROR(RIGHT(K3405,LEN(K3405)-FIND("*",K3405)),"-")</f>
        <v>-</v>
      </c>
      <c r="W3407" s="20" t="str">
        <f t="shared" si="1846"/>
        <v>-</v>
      </c>
      <c r="X3407" s="20" t="str">
        <f>IFERROR(W3407*L3405,"-")</f>
        <v>-</v>
      </c>
      <c r="Z3407" s="85" t="s">
        <v>82</v>
      </c>
    </row>
    <row r="3408" spans="1:26" ht="21" customHeight="1" thickBot="1" x14ac:dyDescent="0.35">
      <c r="A3408" s="5"/>
      <c r="B3408" s="159"/>
      <c r="C3408" s="160"/>
      <c r="D3408" s="166" t="s">
        <v>43</v>
      </c>
      <c r="E3408" s="167"/>
      <c r="F3408" s="167"/>
      <c r="G3408" s="168"/>
      <c r="H3408" s="168"/>
      <c r="I3408" s="168"/>
      <c r="J3408" s="168"/>
      <c r="K3408" s="168"/>
      <c r="L3408" s="168"/>
      <c r="M3408" s="7"/>
      <c r="N3408" s="32"/>
      <c r="Z3408" s="86" t="s">
        <v>81</v>
      </c>
    </row>
    <row r="3409" spans="1:26" ht="9.9499999999999993" customHeight="1" thickBot="1" x14ac:dyDescent="0.35">
      <c r="B3409" s="9"/>
      <c r="C3409" s="109"/>
      <c r="D3409" s="51"/>
      <c r="E3409" s="12"/>
      <c r="F3409" s="51"/>
      <c r="G3409" s="14"/>
      <c r="H3409" s="14"/>
      <c r="I3409" s="14"/>
      <c r="J3409" s="14"/>
      <c r="K3409" s="14"/>
      <c r="L3409" s="14"/>
      <c r="M3409" s="9"/>
      <c r="N3409" s="32"/>
      <c r="U3409" s="18"/>
      <c r="V3409" s="18"/>
      <c r="Z3409" s="85" t="s">
        <v>82</v>
      </c>
    </row>
    <row r="3410" spans="1:26" ht="6.95" customHeight="1" x14ac:dyDescent="0.3">
      <c r="A3410" s="154">
        <f>+A3399+1</f>
        <v>1109</v>
      </c>
      <c r="B3410" s="155"/>
      <c r="C3410" s="156"/>
      <c r="D3410" s="161" t="s">
        <v>39</v>
      </c>
      <c r="E3410" s="162"/>
      <c r="F3410" s="163" t="s">
        <v>40</v>
      </c>
      <c r="G3410" s="164"/>
      <c r="H3410" s="165"/>
      <c r="I3410" s="164"/>
      <c r="J3410" s="165"/>
      <c r="K3410" s="164"/>
      <c r="L3410" s="165"/>
      <c r="M3410" s="6"/>
      <c r="N3410" s="32"/>
      <c r="Q3410" s="10" t="str">
        <f>+CONCATENATE(E3410,G3410)</f>
        <v/>
      </c>
      <c r="R3410" s="10">
        <f>+H3410</f>
        <v>0</v>
      </c>
      <c r="S3410" s="11"/>
      <c r="T3410" s="10">
        <f>+E3410</f>
        <v>0</v>
      </c>
      <c r="U3410" s="19" t="str">
        <f>IFERROR(LEFT(G3410,FIND("*",G3410)-1),"-")</f>
        <v>-</v>
      </c>
      <c r="V3410" s="19" t="str">
        <f>IFERROR(RIGHT(G3410,LEN(G3410)-FIND("*",G3410)),"-")</f>
        <v>-</v>
      </c>
      <c r="W3410" s="20" t="str">
        <f>IFERROR((U3410+V3410)*2/1000,"-")</f>
        <v>-</v>
      </c>
      <c r="X3410" s="20" t="str">
        <f>IFERROR(W3410*H3410,"-")</f>
        <v>-</v>
      </c>
      <c r="Z3410" s="85" t="s">
        <v>82</v>
      </c>
    </row>
    <row r="3411" spans="1:26" ht="6.95" customHeight="1" x14ac:dyDescent="0.3">
      <c r="A3411" s="154"/>
      <c r="B3411" s="157"/>
      <c r="C3411" s="158"/>
      <c r="D3411" s="161"/>
      <c r="E3411" s="162"/>
      <c r="F3411" s="163"/>
      <c r="G3411" s="164"/>
      <c r="H3411" s="165"/>
      <c r="I3411" s="164"/>
      <c r="J3411" s="165"/>
      <c r="K3411" s="164"/>
      <c r="L3411" s="165"/>
      <c r="M3411" s="6"/>
      <c r="N3411" s="32"/>
      <c r="Q3411" s="10" t="str">
        <f>+CONCATENATE(E3410,I3410)</f>
        <v/>
      </c>
      <c r="R3411" s="10">
        <f>+J3410</f>
        <v>0</v>
      </c>
      <c r="S3411" s="11"/>
      <c r="T3411" s="10">
        <f>+E3410</f>
        <v>0</v>
      </c>
      <c r="U3411" s="19" t="str">
        <f>IFERROR(LEFT(I3410,FIND("*",I3410)-1),"-")</f>
        <v>-</v>
      </c>
      <c r="V3411" s="19" t="str">
        <f>IFERROR(RIGHT(I3410,LEN(I3410)-FIND("*",I3410)),"-")</f>
        <v>-</v>
      </c>
      <c r="W3411" s="20" t="str">
        <f t="shared" ref="W3411:W3418" si="1852">IFERROR((U3411+V3411)*2/1000,"-")</f>
        <v>-</v>
      </c>
      <c r="X3411" s="20" t="str">
        <f>IFERROR(W3411*J3410,"-")</f>
        <v>-</v>
      </c>
      <c r="Z3411" s="85" t="s">
        <v>82</v>
      </c>
    </row>
    <row r="3412" spans="1:26" ht="6.95" customHeight="1" x14ac:dyDescent="0.3">
      <c r="A3412" s="154"/>
      <c r="B3412" s="157"/>
      <c r="C3412" s="158"/>
      <c r="D3412" s="161"/>
      <c r="E3412" s="162"/>
      <c r="F3412" s="163"/>
      <c r="G3412" s="164"/>
      <c r="H3412" s="165"/>
      <c r="I3412" s="164"/>
      <c r="J3412" s="165"/>
      <c r="K3412" s="164"/>
      <c r="L3412" s="165"/>
      <c r="M3412" s="6"/>
      <c r="N3412" s="32"/>
      <c r="Q3412" s="10" t="str">
        <f>+CONCATENATE(E3410,K3410)</f>
        <v/>
      </c>
      <c r="R3412" s="10">
        <f>+L3410</f>
        <v>0</v>
      </c>
      <c r="S3412" s="11"/>
      <c r="T3412" s="10">
        <f>+E3410</f>
        <v>0</v>
      </c>
      <c r="U3412" s="19" t="str">
        <f>IFERROR(LEFT(K3410,FIND("*",K3410)-1),"-")</f>
        <v>-</v>
      </c>
      <c r="V3412" s="19" t="str">
        <f>IFERROR(RIGHT(K3410,LEN(K3410)-FIND("*",K3410)),"-")</f>
        <v>-</v>
      </c>
      <c r="W3412" s="20" t="str">
        <f t="shared" si="1852"/>
        <v>-</v>
      </c>
      <c r="X3412" s="20" t="str">
        <f>IFERROR(W3412*L3410,"-")</f>
        <v>-</v>
      </c>
      <c r="Z3412" s="85" t="s">
        <v>82</v>
      </c>
    </row>
    <row r="3413" spans="1:26" ht="6.95" customHeight="1" x14ac:dyDescent="0.3">
      <c r="A3413" s="8"/>
      <c r="B3413" s="157"/>
      <c r="C3413" s="158"/>
      <c r="D3413" s="161" t="s">
        <v>39</v>
      </c>
      <c r="E3413" s="162"/>
      <c r="F3413" s="163" t="s">
        <v>40</v>
      </c>
      <c r="G3413" s="164"/>
      <c r="H3413" s="165"/>
      <c r="I3413" s="164"/>
      <c r="J3413" s="165"/>
      <c r="K3413" s="164"/>
      <c r="L3413" s="165"/>
      <c r="M3413" s="6"/>
      <c r="N3413" s="32"/>
      <c r="Q3413" s="10" t="str">
        <f>+CONCATENATE(E3413,G3413)</f>
        <v/>
      </c>
      <c r="R3413" s="10">
        <f>+H3413</f>
        <v>0</v>
      </c>
      <c r="S3413" s="11"/>
      <c r="T3413" s="10">
        <f>+E3413</f>
        <v>0</v>
      </c>
      <c r="U3413" s="19" t="str">
        <f t="shared" ref="U3413" si="1853">IFERROR(LEFT(G3413,FIND("*",G3413)-1),"-")</f>
        <v>-</v>
      </c>
      <c r="V3413" s="19" t="str">
        <f t="shared" ref="V3413" si="1854">IFERROR(RIGHT(G3413,LEN(G3413)-FIND("*",G3413)),"-")</f>
        <v>-</v>
      </c>
      <c r="W3413" s="20" t="str">
        <f t="shared" si="1852"/>
        <v>-</v>
      </c>
      <c r="X3413" s="20" t="str">
        <f>IFERROR(W3413*H3413,"-")</f>
        <v>-</v>
      </c>
      <c r="Z3413" s="85" t="s">
        <v>82</v>
      </c>
    </row>
    <row r="3414" spans="1:26" ht="6.95" customHeight="1" x14ac:dyDescent="0.3">
      <c r="A3414" s="5"/>
      <c r="B3414" s="157"/>
      <c r="C3414" s="158"/>
      <c r="D3414" s="161"/>
      <c r="E3414" s="162"/>
      <c r="F3414" s="163"/>
      <c r="G3414" s="164"/>
      <c r="H3414" s="165"/>
      <c r="I3414" s="164"/>
      <c r="J3414" s="165"/>
      <c r="K3414" s="164"/>
      <c r="L3414" s="165"/>
      <c r="M3414" s="6"/>
      <c r="N3414" s="32"/>
      <c r="Q3414" s="10" t="str">
        <f>+CONCATENATE(E3413,I3413)</f>
        <v/>
      </c>
      <c r="R3414" s="10">
        <f>+J3413</f>
        <v>0</v>
      </c>
      <c r="S3414" s="11"/>
      <c r="T3414" s="10">
        <f>+E3413</f>
        <v>0</v>
      </c>
      <c r="U3414" s="19" t="str">
        <f>IFERROR(LEFT(I3413,FIND("*",I3413)-1),"-")</f>
        <v>-</v>
      </c>
      <c r="V3414" s="19" t="str">
        <f>IFERROR(RIGHT(I3413,LEN(I3413)-FIND("*",I3413)),"-")</f>
        <v>-</v>
      </c>
      <c r="W3414" s="20" t="str">
        <f t="shared" si="1852"/>
        <v>-</v>
      </c>
      <c r="X3414" s="20" t="str">
        <f>IFERROR(W3414*J3413,"-")</f>
        <v>-</v>
      </c>
      <c r="Z3414" s="85" t="s">
        <v>82</v>
      </c>
    </row>
    <row r="3415" spans="1:26" ht="6.95" customHeight="1" x14ac:dyDescent="0.3">
      <c r="A3415" s="5"/>
      <c r="B3415" s="157"/>
      <c r="C3415" s="158"/>
      <c r="D3415" s="161"/>
      <c r="E3415" s="162"/>
      <c r="F3415" s="163"/>
      <c r="G3415" s="164"/>
      <c r="H3415" s="165"/>
      <c r="I3415" s="164"/>
      <c r="J3415" s="165"/>
      <c r="K3415" s="164"/>
      <c r="L3415" s="165"/>
      <c r="M3415" s="6"/>
      <c r="N3415" s="32"/>
      <c r="Q3415" s="10" t="str">
        <f>+CONCATENATE(E3413,K3413)</f>
        <v/>
      </c>
      <c r="R3415" s="10">
        <f>+L3413</f>
        <v>0</v>
      </c>
      <c r="S3415" s="11"/>
      <c r="T3415" s="10">
        <f>+E3413</f>
        <v>0</v>
      </c>
      <c r="U3415" s="19" t="str">
        <f>IFERROR(LEFT(K3413,FIND("*",K3413)-1),"-")</f>
        <v>-</v>
      </c>
      <c r="V3415" s="19" t="str">
        <f>IFERROR(RIGHT(K3413,LEN(K3413)-FIND("*",K3413)),"-")</f>
        <v>-</v>
      </c>
      <c r="W3415" s="20" t="str">
        <f t="shared" si="1852"/>
        <v>-</v>
      </c>
      <c r="X3415" s="20" t="str">
        <f>IFERROR(W3415*L3413,"-")</f>
        <v>-</v>
      </c>
      <c r="Z3415" s="85" t="s">
        <v>82</v>
      </c>
    </row>
    <row r="3416" spans="1:26" ht="6.95" customHeight="1" x14ac:dyDescent="0.3">
      <c r="A3416" s="8"/>
      <c r="B3416" s="157"/>
      <c r="C3416" s="158"/>
      <c r="D3416" s="161" t="s">
        <v>39</v>
      </c>
      <c r="E3416" s="162"/>
      <c r="F3416" s="163" t="s">
        <v>40</v>
      </c>
      <c r="G3416" s="164"/>
      <c r="H3416" s="165"/>
      <c r="I3416" s="164"/>
      <c r="J3416" s="165"/>
      <c r="K3416" s="164"/>
      <c r="L3416" s="165"/>
      <c r="M3416" s="6"/>
      <c r="N3416" s="32"/>
      <c r="Q3416" s="10" t="str">
        <f>+CONCATENATE(E3416,G3416)</f>
        <v/>
      </c>
      <c r="R3416" s="10">
        <f>+H3416</f>
        <v>0</v>
      </c>
      <c r="S3416" s="11"/>
      <c r="T3416" s="10">
        <f>+E3416</f>
        <v>0</v>
      </c>
      <c r="U3416" s="19" t="str">
        <f t="shared" ref="U3416" si="1855">IFERROR(LEFT(G3416,FIND("*",G3416)-1),"-")</f>
        <v>-</v>
      </c>
      <c r="V3416" s="19" t="str">
        <f t="shared" ref="V3416" si="1856">IFERROR(RIGHT(G3416,LEN(G3416)-FIND("*",G3416)),"-")</f>
        <v>-</v>
      </c>
      <c r="W3416" s="20" t="str">
        <f t="shared" si="1852"/>
        <v>-</v>
      </c>
      <c r="X3416" s="20" t="str">
        <f>IFERROR(W3416*H3416,"-")</f>
        <v>-</v>
      </c>
      <c r="Z3416" s="85" t="s">
        <v>82</v>
      </c>
    </row>
    <row r="3417" spans="1:26" ht="6.95" customHeight="1" x14ac:dyDescent="0.3">
      <c r="A3417" s="5"/>
      <c r="B3417" s="157"/>
      <c r="C3417" s="158"/>
      <c r="D3417" s="161"/>
      <c r="E3417" s="162"/>
      <c r="F3417" s="163"/>
      <c r="G3417" s="164"/>
      <c r="H3417" s="165"/>
      <c r="I3417" s="164"/>
      <c r="J3417" s="165"/>
      <c r="K3417" s="164"/>
      <c r="L3417" s="165"/>
      <c r="M3417" s="6"/>
      <c r="N3417" s="32"/>
      <c r="Q3417" s="10" t="str">
        <f>+CONCATENATE(E3416,I3416)</f>
        <v/>
      </c>
      <c r="R3417" s="10">
        <f>+J3416</f>
        <v>0</v>
      </c>
      <c r="S3417" s="11"/>
      <c r="T3417" s="10">
        <f>+E3416</f>
        <v>0</v>
      </c>
      <c r="U3417" s="19" t="str">
        <f>IFERROR(LEFT(I3416,FIND("*",I3416)-1),"-")</f>
        <v>-</v>
      </c>
      <c r="V3417" s="19" t="str">
        <f>IFERROR(RIGHT(I3416,LEN(I3416)-FIND("*",I3416)),"-")</f>
        <v>-</v>
      </c>
      <c r="W3417" s="20" t="str">
        <f t="shared" si="1852"/>
        <v>-</v>
      </c>
      <c r="X3417" s="20" t="str">
        <f t="shared" ref="X3417" si="1857">IFERROR(W3417*J3416,"-")</f>
        <v>-</v>
      </c>
      <c r="Z3417" s="85" t="s">
        <v>82</v>
      </c>
    </row>
    <row r="3418" spans="1:26" ht="6.95" customHeight="1" x14ac:dyDescent="0.3">
      <c r="A3418" s="5"/>
      <c r="B3418" s="157"/>
      <c r="C3418" s="158"/>
      <c r="D3418" s="161"/>
      <c r="E3418" s="162"/>
      <c r="F3418" s="163"/>
      <c r="G3418" s="164"/>
      <c r="H3418" s="165"/>
      <c r="I3418" s="164"/>
      <c r="J3418" s="165"/>
      <c r="K3418" s="164"/>
      <c r="L3418" s="165"/>
      <c r="M3418" s="6"/>
      <c r="N3418" s="32"/>
      <c r="Q3418" s="10" t="str">
        <f>+CONCATENATE(E3416,K3416)</f>
        <v/>
      </c>
      <c r="R3418" s="10">
        <f>+L3416</f>
        <v>0</v>
      </c>
      <c r="S3418" s="11"/>
      <c r="T3418" s="10">
        <f>+E3416</f>
        <v>0</v>
      </c>
      <c r="U3418" s="19" t="str">
        <f>IFERROR(LEFT(K3416,FIND("*",K3416)-1),"-")</f>
        <v>-</v>
      </c>
      <c r="V3418" s="19" t="str">
        <f>IFERROR(RIGHT(K3416,LEN(K3416)-FIND("*",K3416)),"-")</f>
        <v>-</v>
      </c>
      <c r="W3418" s="20" t="str">
        <f t="shared" si="1852"/>
        <v>-</v>
      </c>
      <c r="X3418" s="20" t="str">
        <f>IFERROR(W3418*L3416,"-")</f>
        <v>-</v>
      </c>
      <c r="Z3418" s="85" t="s">
        <v>82</v>
      </c>
    </row>
    <row r="3419" spans="1:26" ht="21" customHeight="1" thickBot="1" x14ac:dyDescent="0.35">
      <c r="A3419" s="5"/>
      <c r="B3419" s="159"/>
      <c r="C3419" s="160"/>
      <c r="D3419" s="166" t="s">
        <v>43</v>
      </c>
      <c r="E3419" s="167"/>
      <c r="F3419" s="167"/>
      <c r="G3419" s="168"/>
      <c r="H3419" s="168"/>
      <c r="I3419" s="168"/>
      <c r="J3419" s="168"/>
      <c r="K3419" s="168"/>
      <c r="L3419" s="168"/>
      <c r="M3419" s="7"/>
      <c r="N3419" s="32"/>
      <c r="Z3419" s="86" t="s">
        <v>81</v>
      </c>
    </row>
    <row r="3420" spans="1:26" ht="9.9499999999999993" customHeight="1" thickBot="1" x14ac:dyDescent="0.35">
      <c r="B3420" s="9"/>
      <c r="C3420" s="109"/>
      <c r="D3420" s="51"/>
      <c r="E3420" s="12"/>
      <c r="F3420" s="51"/>
      <c r="G3420" s="14"/>
      <c r="H3420" s="14"/>
      <c r="I3420" s="14"/>
      <c r="J3420" s="14"/>
      <c r="K3420" s="14"/>
      <c r="L3420" s="14"/>
      <c r="M3420" s="9"/>
      <c r="N3420" s="32"/>
      <c r="U3420" s="18"/>
      <c r="V3420" s="18"/>
      <c r="Z3420" s="85" t="s">
        <v>82</v>
      </c>
    </row>
    <row r="3421" spans="1:26" ht="6.95" customHeight="1" x14ac:dyDescent="0.3">
      <c r="A3421" s="154">
        <f>+A3410+1</f>
        <v>1110</v>
      </c>
      <c r="B3421" s="155"/>
      <c r="C3421" s="156"/>
      <c r="D3421" s="161" t="s">
        <v>39</v>
      </c>
      <c r="E3421" s="162"/>
      <c r="F3421" s="163" t="s">
        <v>40</v>
      </c>
      <c r="G3421" s="164"/>
      <c r="H3421" s="165"/>
      <c r="I3421" s="164"/>
      <c r="J3421" s="165"/>
      <c r="K3421" s="164"/>
      <c r="L3421" s="165"/>
      <c r="M3421" s="6"/>
      <c r="N3421" s="32"/>
      <c r="Q3421" s="10" t="str">
        <f>+CONCATENATE(E3421,G3421)</f>
        <v/>
      </c>
      <c r="R3421" s="10">
        <f>+H3421</f>
        <v>0</v>
      </c>
      <c r="S3421" s="11"/>
      <c r="T3421" s="10">
        <f>+E3421</f>
        <v>0</v>
      </c>
      <c r="U3421" s="19" t="str">
        <f>IFERROR(LEFT(G3421,FIND("*",G3421)-1),"-")</f>
        <v>-</v>
      </c>
      <c r="V3421" s="19" t="str">
        <f>IFERROR(RIGHT(G3421,LEN(G3421)-FIND("*",G3421)),"-")</f>
        <v>-</v>
      </c>
      <c r="W3421" s="20" t="str">
        <f>IFERROR((U3421+V3421)*2/1000,"-")</f>
        <v>-</v>
      </c>
      <c r="X3421" s="20" t="str">
        <f>IFERROR(W3421*H3421,"-")</f>
        <v>-</v>
      </c>
      <c r="Z3421" s="85" t="s">
        <v>82</v>
      </c>
    </row>
    <row r="3422" spans="1:26" ht="6.95" customHeight="1" x14ac:dyDescent="0.3">
      <c r="A3422" s="154"/>
      <c r="B3422" s="157"/>
      <c r="C3422" s="158"/>
      <c r="D3422" s="161"/>
      <c r="E3422" s="162"/>
      <c r="F3422" s="163"/>
      <c r="G3422" s="164"/>
      <c r="H3422" s="165"/>
      <c r="I3422" s="164"/>
      <c r="J3422" s="165"/>
      <c r="K3422" s="164"/>
      <c r="L3422" s="165"/>
      <c r="M3422" s="6"/>
      <c r="N3422" s="32"/>
      <c r="Q3422" s="10" t="str">
        <f>+CONCATENATE(E3421,I3421)</f>
        <v/>
      </c>
      <c r="R3422" s="10">
        <f>+J3421</f>
        <v>0</v>
      </c>
      <c r="S3422" s="11"/>
      <c r="T3422" s="10">
        <f>+E3421</f>
        <v>0</v>
      </c>
      <c r="U3422" s="19" t="str">
        <f>IFERROR(LEFT(I3421,FIND("*",I3421)-1),"-")</f>
        <v>-</v>
      </c>
      <c r="V3422" s="19" t="str">
        <f>IFERROR(RIGHT(I3421,LEN(I3421)-FIND("*",I3421)),"-")</f>
        <v>-</v>
      </c>
      <c r="W3422" s="20" t="str">
        <f t="shared" ref="W3422:W3429" si="1858">IFERROR((U3422+V3422)*2/1000,"-")</f>
        <v>-</v>
      </c>
      <c r="X3422" s="20" t="str">
        <f>IFERROR(W3422*J3421,"-")</f>
        <v>-</v>
      </c>
      <c r="Z3422" s="85" t="s">
        <v>82</v>
      </c>
    </row>
    <row r="3423" spans="1:26" ht="6.95" customHeight="1" x14ac:dyDescent="0.3">
      <c r="A3423" s="154"/>
      <c r="B3423" s="157"/>
      <c r="C3423" s="158"/>
      <c r="D3423" s="161"/>
      <c r="E3423" s="162"/>
      <c r="F3423" s="163"/>
      <c r="G3423" s="164"/>
      <c r="H3423" s="165"/>
      <c r="I3423" s="164"/>
      <c r="J3423" s="165"/>
      <c r="K3423" s="164"/>
      <c r="L3423" s="165"/>
      <c r="M3423" s="6"/>
      <c r="N3423" s="32"/>
      <c r="Q3423" s="10" t="str">
        <f>+CONCATENATE(E3421,K3421)</f>
        <v/>
      </c>
      <c r="R3423" s="10">
        <f>+L3421</f>
        <v>0</v>
      </c>
      <c r="S3423" s="11"/>
      <c r="T3423" s="10">
        <f>+E3421</f>
        <v>0</v>
      </c>
      <c r="U3423" s="19" t="str">
        <f>IFERROR(LEFT(K3421,FIND("*",K3421)-1),"-")</f>
        <v>-</v>
      </c>
      <c r="V3423" s="19" t="str">
        <f>IFERROR(RIGHT(K3421,LEN(K3421)-FIND("*",K3421)),"-")</f>
        <v>-</v>
      </c>
      <c r="W3423" s="20" t="str">
        <f t="shared" si="1858"/>
        <v>-</v>
      </c>
      <c r="X3423" s="20" t="str">
        <f>IFERROR(W3423*L3421,"-")</f>
        <v>-</v>
      </c>
      <c r="Z3423" s="85" t="s">
        <v>82</v>
      </c>
    </row>
    <row r="3424" spans="1:26" ht="6.95" customHeight="1" x14ac:dyDescent="0.3">
      <c r="A3424" s="8"/>
      <c r="B3424" s="157"/>
      <c r="C3424" s="158"/>
      <c r="D3424" s="161" t="s">
        <v>39</v>
      </c>
      <c r="E3424" s="162"/>
      <c r="F3424" s="163" t="s">
        <v>40</v>
      </c>
      <c r="G3424" s="164"/>
      <c r="H3424" s="165"/>
      <c r="I3424" s="164"/>
      <c r="J3424" s="165"/>
      <c r="K3424" s="164"/>
      <c r="L3424" s="165"/>
      <c r="M3424" s="6"/>
      <c r="N3424" s="32"/>
      <c r="Q3424" s="10" t="str">
        <f>+CONCATENATE(E3424,G3424)</f>
        <v/>
      </c>
      <c r="R3424" s="10">
        <f>+H3424</f>
        <v>0</v>
      </c>
      <c r="S3424" s="11"/>
      <c r="T3424" s="10">
        <f>+E3424</f>
        <v>0</v>
      </c>
      <c r="U3424" s="19" t="str">
        <f t="shared" ref="U3424" si="1859">IFERROR(LEFT(G3424,FIND("*",G3424)-1),"-")</f>
        <v>-</v>
      </c>
      <c r="V3424" s="19" t="str">
        <f t="shared" ref="V3424" si="1860">IFERROR(RIGHT(G3424,LEN(G3424)-FIND("*",G3424)),"-")</f>
        <v>-</v>
      </c>
      <c r="W3424" s="20" t="str">
        <f t="shared" si="1858"/>
        <v>-</v>
      </c>
      <c r="X3424" s="20" t="str">
        <f>IFERROR(W3424*H3424,"-")</f>
        <v>-</v>
      </c>
      <c r="Z3424" s="85" t="s">
        <v>82</v>
      </c>
    </row>
    <row r="3425" spans="1:26" ht="6.95" customHeight="1" x14ac:dyDescent="0.3">
      <c r="A3425" s="5"/>
      <c r="B3425" s="157"/>
      <c r="C3425" s="158"/>
      <c r="D3425" s="161"/>
      <c r="E3425" s="162"/>
      <c r="F3425" s="163"/>
      <c r="G3425" s="164"/>
      <c r="H3425" s="165"/>
      <c r="I3425" s="164"/>
      <c r="J3425" s="165"/>
      <c r="K3425" s="164"/>
      <c r="L3425" s="165"/>
      <c r="M3425" s="6"/>
      <c r="N3425" s="32"/>
      <c r="Q3425" s="10" t="str">
        <f>+CONCATENATE(E3424,I3424)</f>
        <v/>
      </c>
      <c r="R3425" s="10">
        <f>+J3424</f>
        <v>0</v>
      </c>
      <c r="S3425" s="11"/>
      <c r="T3425" s="10">
        <f>+E3424</f>
        <v>0</v>
      </c>
      <c r="U3425" s="19" t="str">
        <f>IFERROR(LEFT(I3424,FIND("*",I3424)-1),"-")</f>
        <v>-</v>
      </c>
      <c r="V3425" s="19" t="str">
        <f>IFERROR(RIGHT(I3424,LEN(I3424)-FIND("*",I3424)),"-")</f>
        <v>-</v>
      </c>
      <c r="W3425" s="20" t="str">
        <f t="shared" si="1858"/>
        <v>-</v>
      </c>
      <c r="X3425" s="20" t="str">
        <f>IFERROR(W3425*J3424,"-")</f>
        <v>-</v>
      </c>
      <c r="Z3425" s="85" t="s">
        <v>82</v>
      </c>
    </row>
    <row r="3426" spans="1:26" ht="6.95" customHeight="1" x14ac:dyDescent="0.3">
      <c r="A3426" s="5"/>
      <c r="B3426" s="157"/>
      <c r="C3426" s="158"/>
      <c r="D3426" s="161"/>
      <c r="E3426" s="162"/>
      <c r="F3426" s="163"/>
      <c r="G3426" s="164"/>
      <c r="H3426" s="165"/>
      <c r="I3426" s="164"/>
      <c r="J3426" s="165"/>
      <c r="K3426" s="164"/>
      <c r="L3426" s="165"/>
      <c r="M3426" s="6"/>
      <c r="N3426" s="32"/>
      <c r="Q3426" s="10" t="str">
        <f>+CONCATENATE(E3424,K3424)</f>
        <v/>
      </c>
      <c r="R3426" s="10">
        <f>+L3424</f>
        <v>0</v>
      </c>
      <c r="S3426" s="11"/>
      <c r="T3426" s="10">
        <f>+E3424</f>
        <v>0</v>
      </c>
      <c r="U3426" s="19" t="str">
        <f>IFERROR(LEFT(K3424,FIND("*",K3424)-1),"-")</f>
        <v>-</v>
      </c>
      <c r="V3426" s="19" t="str">
        <f>IFERROR(RIGHT(K3424,LEN(K3424)-FIND("*",K3424)),"-")</f>
        <v>-</v>
      </c>
      <c r="W3426" s="20" t="str">
        <f t="shared" si="1858"/>
        <v>-</v>
      </c>
      <c r="X3426" s="20" t="str">
        <f>IFERROR(W3426*L3424,"-")</f>
        <v>-</v>
      </c>
      <c r="Z3426" s="85" t="s">
        <v>82</v>
      </c>
    </row>
    <row r="3427" spans="1:26" ht="6.95" customHeight="1" x14ac:dyDescent="0.3">
      <c r="A3427" s="8"/>
      <c r="B3427" s="157"/>
      <c r="C3427" s="158"/>
      <c r="D3427" s="161" t="s">
        <v>39</v>
      </c>
      <c r="E3427" s="162"/>
      <c r="F3427" s="163" t="s">
        <v>40</v>
      </c>
      <c r="G3427" s="164"/>
      <c r="H3427" s="165"/>
      <c r="I3427" s="164"/>
      <c r="J3427" s="165"/>
      <c r="K3427" s="164"/>
      <c r="L3427" s="165"/>
      <c r="M3427" s="6"/>
      <c r="N3427" s="32"/>
      <c r="Q3427" s="10" t="str">
        <f>+CONCATENATE(E3427,G3427)</f>
        <v/>
      </c>
      <c r="R3427" s="10">
        <f>+H3427</f>
        <v>0</v>
      </c>
      <c r="S3427" s="11"/>
      <c r="T3427" s="10">
        <f>+E3427</f>
        <v>0</v>
      </c>
      <c r="U3427" s="19" t="str">
        <f t="shared" ref="U3427" si="1861">IFERROR(LEFT(G3427,FIND("*",G3427)-1),"-")</f>
        <v>-</v>
      </c>
      <c r="V3427" s="19" t="str">
        <f t="shared" ref="V3427" si="1862">IFERROR(RIGHT(G3427,LEN(G3427)-FIND("*",G3427)),"-")</f>
        <v>-</v>
      </c>
      <c r="W3427" s="20" t="str">
        <f t="shared" si="1858"/>
        <v>-</v>
      </c>
      <c r="X3427" s="20" t="str">
        <f>IFERROR(W3427*H3427,"-")</f>
        <v>-</v>
      </c>
      <c r="Z3427" s="85" t="s">
        <v>82</v>
      </c>
    </row>
    <row r="3428" spans="1:26" ht="6.95" customHeight="1" x14ac:dyDescent="0.3">
      <c r="A3428" s="5"/>
      <c r="B3428" s="157"/>
      <c r="C3428" s="158"/>
      <c r="D3428" s="161"/>
      <c r="E3428" s="162"/>
      <c r="F3428" s="163"/>
      <c r="G3428" s="164"/>
      <c r="H3428" s="165"/>
      <c r="I3428" s="164"/>
      <c r="J3428" s="165"/>
      <c r="K3428" s="164"/>
      <c r="L3428" s="165"/>
      <c r="M3428" s="6"/>
      <c r="N3428" s="32"/>
      <c r="Q3428" s="10" t="str">
        <f>+CONCATENATE(E3427,I3427)</f>
        <v/>
      </c>
      <c r="R3428" s="10">
        <f>+J3427</f>
        <v>0</v>
      </c>
      <c r="S3428" s="11"/>
      <c r="T3428" s="10">
        <f>+E3427</f>
        <v>0</v>
      </c>
      <c r="U3428" s="19" t="str">
        <f>IFERROR(LEFT(I3427,FIND("*",I3427)-1),"-")</f>
        <v>-</v>
      </c>
      <c r="V3428" s="19" t="str">
        <f>IFERROR(RIGHT(I3427,LEN(I3427)-FIND("*",I3427)),"-")</f>
        <v>-</v>
      </c>
      <c r="W3428" s="20" t="str">
        <f t="shared" si="1858"/>
        <v>-</v>
      </c>
      <c r="X3428" s="20" t="str">
        <f t="shared" ref="X3428" si="1863">IFERROR(W3428*J3427,"-")</f>
        <v>-</v>
      </c>
      <c r="Z3428" s="85" t="s">
        <v>82</v>
      </c>
    </row>
    <row r="3429" spans="1:26" ht="6.95" customHeight="1" x14ac:dyDescent="0.3">
      <c r="A3429" s="5"/>
      <c r="B3429" s="157"/>
      <c r="C3429" s="158"/>
      <c r="D3429" s="161"/>
      <c r="E3429" s="162"/>
      <c r="F3429" s="163"/>
      <c r="G3429" s="164"/>
      <c r="H3429" s="165"/>
      <c r="I3429" s="164"/>
      <c r="J3429" s="165"/>
      <c r="K3429" s="164"/>
      <c r="L3429" s="165"/>
      <c r="M3429" s="6"/>
      <c r="N3429" s="32"/>
      <c r="Q3429" s="10" t="str">
        <f>+CONCATENATE(E3427,K3427)</f>
        <v/>
      </c>
      <c r="R3429" s="10">
        <f>+L3427</f>
        <v>0</v>
      </c>
      <c r="S3429" s="11"/>
      <c r="T3429" s="10">
        <f>+E3427</f>
        <v>0</v>
      </c>
      <c r="U3429" s="19" t="str">
        <f>IFERROR(LEFT(K3427,FIND("*",K3427)-1),"-")</f>
        <v>-</v>
      </c>
      <c r="V3429" s="19" t="str">
        <f>IFERROR(RIGHT(K3427,LEN(K3427)-FIND("*",K3427)),"-")</f>
        <v>-</v>
      </c>
      <c r="W3429" s="20" t="str">
        <f t="shared" si="1858"/>
        <v>-</v>
      </c>
      <c r="X3429" s="20" t="str">
        <f>IFERROR(W3429*L3427,"-")</f>
        <v>-</v>
      </c>
      <c r="Z3429" s="85" t="s">
        <v>82</v>
      </c>
    </row>
    <row r="3430" spans="1:26" ht="21" customHeight="1" thickBot="1" x14ac:dyDescent="0.35">
      <c r="A3430" s="5"/>
      <c r="B3430" s="159"/>
      <c r="C3430" s="160"/>
      <c r="D3430" s="166" t="s">
        <v>43</v>
      </c>
      <c r="E3430" s="167"/>
      <c r="F3430" s="167"/>
      <c r="G3430" s="168"/>
      <c r="H3430" s="168"/>
      <c r="I3430" s="168"/>
      <c r="J3430" s="168"/>
      <c r="K3430" s="168"/>
      <c r="L3430" s="168"/>
      <c r="M3430" s="7"/>
      <c r="N3430" s="32"/>
      <c r="Z3430" s="86" t="s">
        <v>81</v>
      </c>
    </row>
    <row r="3431" spans="1:26" ht="9.9499999999999993" customHeight="1" thickBot="1" x14ac:dyDescent="0.35">
      <c r="B3431" s="9"/>
      <c r="C3431" s="109"/>
      <c r="D3431" s="51"/>
      <c r="E3431" s="12"/>
      <c r="F3431" s="51"/>
      <c r="G3431" s="14"/>
      <c r="H3431" s="14"/>
      <c r="I3431" s="14"/>
      <c r="J3431" s="14"/>
      <c r="K3431" s="14"/>
      <c r="L3431" s="14"/>
      <c r="M3431" s="9"/>
      <c r="N3431" s="32"/>
      <c r="U3431" s="18"/>
      <c r="V3431" s="18"/>
      <c r="Z3431" s="85" t="s">
        <v>82</v>
      </c>
    </row>
    <row r="3432" spans="1:26" ht="6.95" customHeight="1" x14ac:dyDescent="0.3">
      <c r="A3432" s="154">
        <f>+A3421+1</f>
        <v>1111</v>
      </c>
      <c r="B3432" s="155"/>
      <c r="C3432" s="156"/>
      <c r="D3432" s="161" t="s">
        <v>39</v>
      </c>
      <c r="E3432" s="162"/>
      <c r="F3432" s="163" t="s">
        <v>40</v>
      </c>
      <c r="G3432" s="164"/>
      <c r="H3432" s="165"/>
      <c r="I3432" s="164"/>
      <c r="J3432" s="165"/>
      <c r="K3432" s="164"/>
      <c r="L3432" s="165"/>
      <c r="M3432" s="6"/>
      <c r="N3432" s="32"/>
      <c r="Q3432" s="10" t="str">
        <f>+CONCATENATE(E3432,G3432)</f>
        <v/>
      </c>
      <c r="R3432" s="10">
        <f>+H3432</f>
        <v>0</v>
      </c>
      <c r="S3432" s="11"/>
      <c r="T3432" s="10">
        <f>+E3432</f>
        <v>0</v>
      </c>
      <c r="U3432" s="19" t="str">
        <f>IFERROR(LEFT(G3432,FIND("*",G3432)-1),"-")</f>
        <v>-</v>
      </c>
      <c r="V3432" s="19" t="str">
        <f>IFERROR(RIGHT(G3432,LEN(G3432)-FIND("*",G3432)),"-")</f>
        <v>-</v>
      </c>
      <c r="W3432" s="20" t="str">
        <f>IFERROR((U3432+V3432)*2/1000,"-")</f>
        <v>-</v>
      </c>
      <c r="X3432" s="20" t="str">
        <f>IFERROR(W3432*H3432,"-")</f>
        <v>-</v>
      </c>
      <c r="Z3432" s="85" t="s">
        <v>82</v>
      </c>
    </row>
    <row r="3433" spans="1:26" ht="6.95" customHeight="1" x14ac:dyDescent="0.3">
      <c r="A3433" s="154"/>
      <c r="B3433" s="157"/>
      <c r="C3433" s="158"/>
      <c r="D3433" s="161"/>
      <c r="E3433" s="162"/>
      <c r="F3433" s="163"/>
      <c r="G3433" s="164"/>
      <c r="H3433" s="165"/>
      <c r="I3433" s="164"/>
      <c r="J3433" s="165"/>
      <c r="K3433" s="164"/>
      <c r="L3433" s="165"/>
      <c r="M3433" s="6"/>
      <c r="N3433" s="32"/>
      <c r="Q3433" s="10" t="str">
        <f>+CONCATENATE(E3432,I3432)</f>
        <v/>
      </c>
      <c r="R3433" s="10">
        <f>+J3432</f>
        <v>0</v>
      </c>
      <c r="S3433" s="11"/>
      <c r="T3433" s="10">
        <f>+E3432</f>
        <v>0</v>
      </c>
      <c r="U3433" s="19" t="str">
        <f>IFERROR(LEFT(I3432,FIND("*",I3432)-1),"-")</f>
        <v>-</v>
      </c>
      <c r="V3433" s="19" t="str">
        <f>IFERROR(RIGHT(I3432,LEN(I3432)-FIND("*",I3432)),"-")</f>
        <v>-</v>
      </c>
      <c r="W3433" s="20" t="str">
        <f t="shared" ref="W3433:W3440" si="1864">IFERROR((U3433+V3433)*2/1000,"-")</f>
        <v>-</v>
      </c>
      <c r="X3433" s="20" t="str">
        <f>IFERROR(W3433*J3432,"-")</f>
        <v>-</v>
      </c>
      <c r="Z3433" s="85" t="s">
        <v>82</v>
      </c>
    </row>
    <row r="3434" spans="1:26" ht="6.95" customHeight="1" x14ac:dyDescent="0.3">
      <c r="A3434" s="154"/>
      <c r="B3434" s="157"/>
      <c r="C3434" s="158"/>
      <c r="D3434" s="161"/>
      <c r="E3434" s="162"/>
      <c r="F3434" s="163"/>
      <c r="G3434" s="164"/>
      <c r="H3434" s="165"/>
      <c r="I3434" s="164"/>
      <c r="J3434" s="165"/>
      <c r="K3434" s="164"/>
      <c r="L3434" s="165"/>
      <c r="M3434" s="6"/>
      <c r="N3434" s="32"/>
      <c r="Q3434" s="10" t="str">
        <f>+CONCATENATE(E3432,K3432)</f>
        <v/>
      </c>
      <c r="R3434" s="10">
        <f>+L3432</f>
        <v>0</v>
      </c>
      <c r="S3434" s="11"/>
      <c r="T3434" s="10">
        <f>+E3432</f>
        <v>0</v>
      </c>
      <c r="U3434" s="19" t="str">
        <f>IFERROR(LEFT(K3432,FIND("*",K3432)-1),"-")</f>
        <v>-</v>
      </c>
      <c r="V3434" s="19" t="str">
        <f>IFERROR(RIGHT(K3432,LEN(K3432)-FIND("*",K3432)),"-")</f>
        <v>-</v>
      </c>
      <c r="W3434" s="20" t="str">
        <f t="shared" si="1864"/>
        <v>-</v>
      </c>
      <c r="X3434" s="20" t="str">
        <f>IFERROR(W3434*L3432,"-")</f>
        <v>-</v>
      </c>
      <c r="Z3434" s="85" t="s">
        <v>82</v>
      </c>
    </row>
    <row r="3435" spans="1:26" ht="6.95" customHeight="1" x14ac:dyDescent="0.3">
      <c r="A3435" s="8"/>
      <c r="B3435" s="157"/>
      <c r="C3435" s="158"/>
      <c r="D3435" s="161" t="s">
        <v>39</v>
      </c>
      <c r="E3435" s="162"/>
      <c r="F3435" s="163" t="s">
        <v>40</v>
      </c>
      <c r="G3435" s="164"/>
      <c r="H3435" s="165"/>
      <c r="I3435" s="164"/>
      <c r="J3435" s="165"/>
      <c r="K3435" s="164"/>
      <c r="L3435" s="165"/>
      <c r="M3435" s="6"/>
      <c r="N3435" s="32"/>
      <c r="Q3435" s="10" t="str">
        <f>+CONCATENATE(E3435,G3435)</f>
        <v/>
      </c>
      <c r="R3435" s="10">
        <f>+H3435</f>
        <v>0</v>
      </c>
      <c r="S3435" s="11"/>
      <c r="T3435" s="10">
        <f>+E3435</f>
        <v>0</v>
      </c>
      <c r="U3435" s="19" t="str">
        <f t="shared" ref="U3435" si="1865">IFERROR(LEFT(G3435,FIND("*",G3435)-1),"-")</f>
        <v>-</v>
      </c>
      <c r="V3435" s="19" t="str">
        <f t="shared" ref="V3435" si="1866">IFERROR(RIGHT(G3435,LEN(G3435)-FIND("*",G3435)),"-")</f>
        <v>-</v>
      </c>
      <c r="W3435" s="20" t="str">
        <f t="shared" si="1864"/>
        <v>-</v>
      </c>
      <c r="X3435" s="20" t="str">
        <f>IFERROR(W3435*H3435,"-")</f>
        <v>-</v>
      </c>
      <c r="Z3435" s="85" t="s">
        <v>82</v>
      </c>
    </row>
    <row r="3436" spans="1:26" ht="6.95" customHeight="1" x14ac:dyDescent="0.3">
      <c r="A3436" s="5"/>
      <c r="B3436" s="157"/>
      <c r="C3436" s="158"/>
      <c r="D3436" s="161"/>
      <c r="E3436" s="162"/>
      <c r="F3436" s="163"/>
      <c r="G3436" s="164"/>
      <c r="H3436" s="165"/>
      <c r="I3436" s="164"/>
      <c r="J3436" s="165"/>
      <c r="K3436" s="164"/>
      <c r="L3436" s="165"/>
      <c r="M3436" s="6"/>
      <c r="N3436" s="32"/>
      <c r="Q3436" s="10" t="str">
        <f>+CONCATENATE(E3435,I3435)</f>
        <v/>
      </c>
      <c r="R3436" s="10">
        <f>+J3435</f>
        <v>0</v>
      </c>
      <c r="S3436" s="11"/>
      <c r="T3436" s="10">
        <f>+E3435</f>
        <v>0</v>
      </c>
      <c r="U3436" s="19" t="str">
        <f>IFERROR(LEFT(I3435,FIND("*",I3435)-1),"-")</f>
        <v>-</v>
      </c>
      <c r="V3436" s="19" t="str">
        <f>IFERROR(RIGHT(I3435,LEN(I3435)-FIND("*",I3435)),"-")</f>
        <v>-</v>
      </c>
      <c r="W3436" s="20" t="str">
        <f t="shared" si="1864"/>
        <v>-</v>
      </c>
      <c r="X3436" s="20" t="str">
        <f>IFERROR(W3436*J3435,"-")</f>
        <v>-</v>
      </c>
      <c r="Z3436" s="85" t="s">
        <v>82</v>
      </c>
    </row>
    <row r="3437" spans="1:26" ht="6.95" customHeight="1" x14ac:dyDescent="0.3">
      <c r="A3437" s="5"/>
      <c r="B3437" s="157"/>
      <c r="C3437" s="158"/>
      <c r="D3437" s="161"/>
      <c r="E3437" s="162"/>
      <c r="F3437" s="163"/>
      <c r="G3437" s="164"/>
      <c r="H3437" s="165"/>
      <c r="I3437" s="164"/>
      <c r="J3437" s="165"/>
      <c r="K3437" s="164"/>
      <c r="L3437" s="165"/>
      <c r="M3437" s="6"/>
      <c r="N3437" s="32"/>
      <c r="Q3437" s="10" t="str">
        <f>+CONCATENATE(E3435,K3435)</f>
        <v/>
      </c>
      <c r="R3437" s="10">
        <f>+L3435</f>
        <v>0</v>
      </c>
      <c r="S3437" s="11"/>
      <c r="T3437" s="10">
        <f>+E3435</f>
        <v>0</v>
      </c>
      <c r="U3437" s="19" t="str">
        <f>IFERROR(LEFT(K3435,FIND("*",K3435)-1),"-")</f>
        <v>-</v>
      </c>
      <c r="V3437" s="19" t="str">
        <f>IFERROR(RIGHT(K3435,LEN(K3435)-FIND("*",K3435)),"-")</f>
        <v>-</v>
      </c>
      <c r="W3437" s="20" t="str">
        <f t="shared" si="1864"/>
        <v>-</v>
      </c>
      <c r="X3437" s="20" t="str">
        <f>IFERROR(W3437*L3435,"-")</f>
        <v>-</v>
      </c>
      <c r="Z3437" s="85" t="s">
        <v>82</v>
      </c>
    </row>
    <row r="3438" spans="1:26" ht="6.95" customHeight="1" x14ac:dyDescent="0.3">
      <c r="A3438" s="8"/>
      <c r="B3438" s="157"/>
      <c r="C3438" s="158"/>
      <c r="D3438" s="161" t="s">
        <v>39</v>
      </c>
      <c r="E3438" s="162"/>
      <c r="F3438" s="163" t="s">
        <v>40</v>
      </c>
      <c r="G3438" s="164"/>
      <c r="H3438" s="165"/>
      <c r="I3438" s="164"/>
      <c r="J3438" s="165"/>
      <c r="K3438" s="164"/>
      <c r="L3438" s="165"/>
      <c r="M3438" s="6"/>
      <c r="N3438" s="32"/>
      <c r="Q3438" s="10" t="str">
        <f>+CONCATENATE(E3438,G3438)</f>
        <v/>
      </c>
      <c r="R3438" s="10">
        <f>+H3438</f>
        <v>0</v>
      </c>
      <c r="S3438" s="11"/>
      <c r="T3438" s="10">
        <f>+E3438</f>
        <v>0</v>
      </c>
      <c r="U3438" s="19" t="str">
        <f t="shared" ref="U3438" si="1867">IFERROR(LEFT(G3438,FIND("*",G3438)-1),"-")</f>
        <v>-</v>
      </c>
      <c r="V3438" s="19" t="str">
        <f t="shared" ref="V3438" si="1868">IFERROR(RIGHT(G3438,LEN(G3438)-FIND("*",G3438)),"-")</f>
        <v>-</v>
      </c>
      <c r="W3438" s="20" t="str">
        <f t="shared" si="1864"/>
        <v>-</v>
      </c>
      <c r="X3438" s="20" t="str">
        <f>IFERROR(W3438*H3438,"-")</f>
        <v>-</v>
      </c>
      <c r="Z3438" s="85" t="s">
        <v>82</v>
      </c>
    </row>
    <row r="3439" spans="1:26" ht="6.95" customHeight="1" x14ac:dyDescent="0.3">
      <c r="A3439" s="5"/>
      <c r="B3439" s="157"/>
      <c r="C3439" s="158"/>
      <c r="D3439" s="161"/>
      <c r="E3439" s="162"/>
      <c r="F3439" s="163"/>
      <c r="G3439" s="164"/>
      <c r="H3439" s="165"/>
      <c r="I3439" s="164"/>
      <c r="J3439" s="165"/>
      <c r="K3439" s="164"/>
      <c r="L3439" s="165"/>
      <c r="M3439" s="6"/>
      <c r="N3439" s="32"/>
      <c r="Q3439" s="10" t="str">
        <f>+CONCATENATE(E3438,I3438)</f>
        <v/>
      </c>
      <c r="R3439" s="10">
        <f>+J3438</f>
        <v>0</v>
      </c>
      <c r="S3439" s="11"/>
      <c r="T3439" s="10">
        <f>+E3438</f>
        <v>0</v>
      </c>
      <c r="U3439" s="19" t="str">
        <f>IFERROR(LEFT(I3438,FIND("*",I3438)-1),"-")</f>
        <v>-</v>
      </c>
      <c r="V3439" s="19" t="str">
        <f>IFERROR(RIGHT(I3438,LEN(I3438)-FIND("*",I3438)),"-")</f>
        <v>-</v>
      </c>
      <c r="W3439" s="20" t="str">
        <f t="shared" si="1864"/>
        <v>-</v>
      </c>
      <c r="X3439" s="20" t="str">
        <f t="shared" ref="X3439" si="1869">IFERROR(W3439*J3438,"-")</f>
        <v>-</v>
      </c>
      <c r="Z3439" s="85" t="s">
        <v>82</v>
      </c>
    </row>
    <row r="3440" spans="1:26" ht="6.95" customHeight="1" x14ac:dyDescent="0.3">
      <c r="A3440" s="5"/>
      <c r="B3440" s="157"/>
      <c r="C3440" s="158"/>
      <c r="D3440" s="161"/>
      <c r="E3440" s="162"/>
      <c r="F3440" s="163"/>
      <c r="G3440" s="164"/>
      <c r="H3440" s="165"/>
      <c r="I3440" s="164"/>
      <c r="J3440" s="165"/>
      <c r="K3440" s="164"/>
      <c r="L3440" s="165"/>
      <c r="M3440" s="6"/>
      <c r="N3440" s="32"/>
      <c r="Q3440" s="10" t="str">
        <f>+CONCATENATE(E3438,K3438)</f>
        <v/>
      </c>
      <c r="R3440" s="10">
        <f>+L3438</f>
        <v>0</v>
      </c>
      <c r="S3440" s="11"/>
      <c r="T3440" s="10">
        <f>+E3438</f>
        <v>0</v>
      </c>
      <c r="U3440" s="19" t="str">
        <f>IFERROR(LEFT(K3438,FIND("*",K3438)-1),"-")</f>
        <v>-</v>
      </c>
      <c r="V3440" s="19" t="str">
        <f>IFERROR(RIGHT(K3438,LEN(K3438)-FIND("*",K3438)),"-")</f>
        <v>-</v>
      </c>
      <c r="W3440" s="20" t="str">
        <f t="shared" si="1864"/>
        <v>-</v>
      </c>
      <c r="X3440" s="20" t="str">
        <f>IFERROR(W3440*L3438,"-")</f>
        <v>-</v>
      </c>
      <c r="Z3440" s="85" t="s">
        <v>82</v>
      </c>
    </row>
    <row r="3441" spans="1:26" ht="21" customHeight="1" thickBot="1" x14ac:dyDescent="0.35">
      <c r="A3441" s="5"/>
      <c r="B3441" s="159"/>
      <c r="C3441" s="160"/>
      <c r="D3441" s="166" t="s">
        <v>43</v>
      </c>
      <c r="E3441" s="167"/>
      <c r="F3441" s="167"/>
      <c r="G3441" s="168"/>
      <c r="H3441" s="168"/>
      <c r="I3441" s="168"/>
      <c r="J3441" s="168"/>
      <c r="K3441" s="168"/>
      <c r="L3441" s="168"/>
      <c r="M3441" s="7"/>
      <c r="N3441" s="32"/>
      <c r="Z3441" s="86" t="s">
        <v>81</v>
      </c>
    </row>
    <row r="3442" spans="1:26" ht="9.9499999999999993" customHeight="1" thickBot="1" x14ac:dyDescent="0.35">
      <c r="B3442" s="9"/>
      <c r="C3442" s="109"/>
      <c r="D3442" s="51"/>
      <c r="E3442" s="12"/>
      <c r="F3442" s="51"/>
      <c r="G3442" s="14"/>
      <c r="H3442" s="14"/>
      <c r="I3442" s="14"/>
      <c r="J3442" s="14"/>
      <c r="K3442" s="14"/>
      <c r="L3442" s="14"/>
      <c r="M3442" s="9"/>
      <c r="N3442" s="32"/>
      <c r="U3442" s="18"/>
      <c r="V3442" s="18"/>
      <c r="Z3442" s="85" t="s">
        <v>82</v>
      </c>
    </row>
    <row r="3443" spans="1:26" ht="6.95" customHeight="1" x14ac:dyDescent="0.3">
      <c r="A3443" s="154">
        <f>+A3432+1</f>
        <v>1112</v>
      </c>
      <c r="B3443" s="155"/>
      <c r="C3443" s="156"/>
      <c r="D3443" s="161" t="s">
        <v>39</v>
      </c>
      <c r="E3443" s="162"/>
      <c r="F3443" s="163" t="s">
        <v>40</v>
      </c>
      <c r="G3443" s="164"/>
      <c r="H3443" s="165"/>
      <c r="I3443" s="164"/>
      <c r="J3443" s="165"/>
      <c r="K3443" s="164"/>
      <c r="L3443" s="165"/>
      <c r="M3443" s="6"/>
      <c r="N3443" s="32"/>
      <c r="Q3443" s="10" t="str">
        <f>+CONCATENATE(E3443,G3443)</f>
        <v/>
      </c>
      <c r="R3443" s="10">
        <f>+H3443</f>
        <v>0</v>
      </c>
      <c r="S3443" s="11"/>
      <c r="T3443" s="10">
        <f>+E3443</f>
        <v>0</v>
      </c>
      <c r="U3443" s="19" t="str">
        <f>IFERROR(LEFT(G3443,FIND("*",G3443)-1),"-")</f>
        <v>-</v>
      </c>
      <c r="V3443" s="19" t="str">
        <f>IFERROR(RIGHT(G3443,LEN(G3443)-FIND("*",G3443)),"-")</f>
        <v>-</v>
      </c>
      <c r="W3443" s="20" t="str">
        <f>IFERROR((U3443+V3443)*2/1000,"-")</f>
        <v>-</v>
      </c>
      <c r="X3443" s="20" t="str">
        <f>IFERROR(W3443*H3443,"-")</f>
        <v>-</v>
      </c>
      <c r="Z3443" s="85" t="s">
        <v>82</v>
      </c>
    </row>
    <row r="3444" spans="1:26" ht="6.95" customHeight="1" x14ac:dyDescent="0.3">
      <c r="A3444" s="154"/>
      <c r="B3444" s="157"/>
      <c r="C3444" s="158"/>
      <c r="D3444" s="161"/>
      <c r="E3444" s="162"/>
      <c r="F3444" s="163"/>
      <c r="G3444" s="164"/>
      <c r="H3444" s="165"/>
      <c r="I3444" s="164"/>
      <c r="J3444" s="165"/>
      <c r="K3444" s="164"/>
      <c r="L3444" s="165"/>
      <c r="M3444" s="6"/>
      <c r="N3444" s="32"/>
      <c r="Q3444" s="10" t="str">
        <f>+CONCATENATE(E3443,I3443)</f>
        <v/>
      </c>
      <c r="R3444" s="10">
        <f>+J3443</f>
        <v>0</v>
      </c>
      <c r="S3444" s="11"/>
      <c r="T3444" s="10">
        <f>+E3443</f>
        <v>0</v>
      </c>
      <c r="U3444" s="19" t="str">
        <f>IFERROR(LEFT(I3443,FIND("*",I3443)-1),"-")</f>
        <v>-</v>
      </c>
      <c r="V3444" s="19" t="str">
        <f>IFERROR(RIGHT(I3443,LEN(I3443)-FIND("*",I3443)),"-")</f>
        <v>-</v>
      </c>
      <c r="W3444" s="20" t="str">
        <f t="shared" ref="W3444:W3451" si="1870">IFERROR((U3444+V3444)*2/1000,"-")</f>
        <v>-</v>
      </c>
      <c r="X3444" s="20" t="str">
        <f>IFERROR(W3444*J3443,"-")</f>
        <v>-</v>
      </c>
      <c r="Z3444" s="85" t="s">
        <v>82</v>
      </c>
    </row>
    <row r="3445" spans="1:26" ht="6.95" customHeight="1" x14ac:dyDescent="0.3">
      <c r="A3445" s="154"/>
      <c r="B3445" s="157"/>
      <c r="C3445" s="158"/>
      <c r="D3445" s="161"/>
      <c r="E3445" s="162"/>
      <c r="F3445" s="163"/>
      <c r="G3445" s="164"/>
      <c r="H3445" s="165"/>
      <c r="I3445" s="164"/>
      <c r="J3445" s="165"/>
      <c r="K3445" s="164"/>
      <c r="L3445" s="165"/>
      <c r="M3445" s="6"/>
      <c r="N3445" s="32"/>
      <c r="Q3445" s="10" t="str">
        <f>+CONCATENATE(E3443,K3443)</f>
        <v/>
      </c>
      <c r="R3445" s="10">
        <f>+L3443</f>
        <v>0</v>
      </c>
      <c r="S3445" s="11"/>
      <c r="T3445" s="10">
        <f>+E3443</f>
        <v>0</v>
      </c>
      <c r="U3445" s="19" t="str">
        <f>IFERROR(LEFT(K3443,FIND("*",K3443)-1),"-")</f>
        <v>-</v>
      </c>
      <c r="V3445" s="19" t="str">
        <f>IFERROR(RIGHT(K3443,LEN(K3443)-FIND("*",K3443)),"-")</f>
        <v>-</v>
      </c>
      <c r="W3445" s="20" t="str">
        <f t="shared" si="1870"/>
        <v>-</v>
      </c>
      <c r="X3445" s="20" t="str">
        <f>IFERROR(W3445*L3443,"-")</f>
        <v>-</v>
      </c>
      <c r="Z3445" s="85" t="s">
        <v>82</v>
      </c>
    </row>
    <row r="3446" spans="1:26" ht="6.95" customHeight="1" x14ac:dyDescent="0.3">
      <c r="A3446" s="8"/>
      <c r="B3446" s="157"/>
      <c r="C3446" s="158"/>
      <c r="D3446" s="161" t="s">
        <v>39</v>
      </c>
      <c r="E3446" s="162"/>
      <c r="F3446" s="163" t="s">
        <v>40</v>
      </c>
      <c r="G3446" s="164"/>
      <c r="H3446" s="165"/>
      <c r="I3446" s="164"/>
      <c r="J3446" s="165"/>
      <c r="K3446" s="164"/>
      <c r="L3446" s="165"/>
      <c r="M3446" s="6"/>
      <c r="N3446" s="32"/>
      <c r="Q3446" s="10" t="str">
        <f>+CONCATENATE(E3446,G3446)</f>
        <v/>
      </c>
      <c r="R3446" s="10">
        <f>+H3446</f>
        <v>0</v>
      </c>
      <c r="S3446" s="11"/>
      <c r="T3446" s="10">
        <f>+E3446</f>
        <v>0</v>
      </c>
      <c r="U3446" s="19" t="str">
        <f t="shared" ref="U3446" si="1871">IFERROR(LEFT(G3446,FIND("*",G3446)-1),"-")</f>
        <v>-</v>
      </c>
      <c r="V3446" s="19" t="str">
        <f t="shared" ref="V3446" si="1872">IFERROR(RIGHT(G3446,LEN(G3446)-FIND("*",G3446)),"-")</f>
        <v>-</v>
      </c>
      <c r="W3446" s="20" t="str">
        <f t="shared" si="1870"/>
        <v>-</v>
      </c>
      <c r="X3446" s="20" t="str">
        <f>IFERROR(W3446*H3446,"-")</f>
        <v>-</v>
      </c>
      <c r="Z3446" s="85" t="s">
        <v>82</v>
      </c>
    </row>
    <row r="3447" spans="1:26" ht="6.95" customHeight="1" x14ac:dyDescent="0.3">
      <c r="A3447" s="5"/>
      <c r="B3447" s="157"/>
      <c r="C3447" s="158"/>
      <c r="D3447" s="161"/>
      <c r="E3447" s="162"/>
      <c r="F3447" s="163"/>
      <c r="G3447" s="164"/>
      <c r="H3447" s="165"/>
      <c r="I3447" s="164"/>
      <c r="J3447" s="165"/>
      <c r="K3447" s="164"/>
      <c r="L3447" s="165"/>
      <c r="M3447" s="6"/>
      <c r="N3447" s="32"/>
      <c r="Q3447" s="10" t="str">
        <f>+CONCATENATE(E3446,I3446)</f>
        <v/>
      </c>
      <c r="R3447" s="10">
        <f>+J3446</f>
        <v>0</v>
      </c>
      <c r="S3447" s="11"/>
      <c r="T3447" s="10">
        <f>+E3446</f>
        <v>0</v>
      </c>
      <c r="U3447" s="19" t="str">
        <f>IFERROR(LEFT(I3446,FIND("*",I3446)-1),"-")</f>
        <v>-</v>
      </c>
      <c r="V3447" s="19" t="str">
        <f>IFERROR(RIGHT(I3446,LEN(I3446)-FIND("*",I3446)),"-")</f>
        <v>-</v>
      </c>
      <c r="W3447" s="20" t="str">
        <f t="shared" si="1870"/>
        <v>-</v>
      </c>
      <c r="X3447" s="20" t="str">
        <f>IFERROR(W3447*J3446,"-")</f>
        <v>-</v>
      </c>
      <c r="Z3447" s="85" t="s">
        <v>82</v>
      </c>
    </row>
    <row r="3448" spans="1:26" ht="6.95" customHeight="1" x14ac:dyDescent="0.3">
      <c r="A3448" s="5"/>
      <c r="B3448" s="157"/>
      <c r="C3448" s="158"/>
      <c r="D3448" s="161"/>
      <c r="E3448" s="162"/>
      <c r="F3448" s="163"/>
      <c r="G3448" s="164"/>
      <c r="H3448" s="165"/>
      <c r="I3448" s="164"/>
      <c r="J3448" s="165"/>
      <c r="K3448" s="164"/>
      <c r="L3448" s="165"/>
      <c r="M3448" s="6"/>
      <c r="N3448" s="32"/>
      <c r="Q3448" s="10" t="str">
        <f>+CONCATENATE(E3446,K3446)</f>
        <v/>
      </c>
      <c r="R3448" s="10">
        <f>+L3446</f>
        <v>0</v>
      </c>
      <c r="S3448" s="11"/>
      <c r="T3448" s="10">
        <f>+E3446</f>
        <v>0</v>
      </c>
      <c r="U3448" s="19" t="str">
        <f>IFERROR(LEFT(K3446,FIND("*",K3446)-1),"-")</f>
        <v>-</v>
      </c>
      <c r="V3448" s="19" t="str">
        <f>IFERROR(RIGHT(K3446,LEN(K3446)-FIND("*",K3446)),"-")</f>
        <v>-</v>
      </c>
      <c r="W3448" s="20" t="str">
        <f t="shared" si="1870"/>
        <v>-</v>
      </c>
      <c r="X3448" s="20" t="str">
        <f>IFERROR(W3448*L3446,"-")</f>
        <v>-</v>
      </c>
      <c r="Z3448" s="85" t="s">
        <v>82</v>
      </c>
    </row>
    <row r="3449" spans="1:26" ht="6.95" customHeight="1" x14ac:dyDescent="0.3">
      <c r="A3449" s="8"/>
      <c r="B3449" s="157"/>
      <c r="C3449" s="158"/>
      <c r="D3449" s="161" t="s">
        <v>39</v>
      </c>
      <c r="E3449" s="162"/>
      <c r="F3449" s="163" t="s">
        <v>40</v>
      </c>
      <c r="G3449" s="164"/>
      <c r="H3449" s="165"/>
      <c r="I3449" s="164"/>
      <c r="J3449" s="165"/>
      <c r="K3449" s="164"/>
      <c r="L3449" s="165"/>
      <c r="M3449" s="6"/>
      <c r="N3449" s="32"/>
      <c r="Q3449" s="10" t="str">
        <f>+CONCATENATE(E3449,G3449)</f>
        <v/>
      </c>
      <c r="R3449" s="10">
        <f>+H3449</f>
        <v>0</v>
      </c>
      <c r="S3449" s="11"/>
      <c r="T3449" s="10">
        <f>+E3449</f>
        <v>0</v>
      </c>
      <c r="U3449" s="19" t="str">
        <f t="shared" ref="U3449" si="1873">IFERROR(LEFT(G3449,FIND("*",G3449)-1),"-")</f>
        <v>-</v>
      </c>
      <c r="V3449" s="19" t="str">
        <f t="shared" ref="V3449" si="1874">IFERROR(RIGHT(G3449,LEN(G3449)-FIND("*",G3449)),"-")</f>
        <v>-</v>
      </c>
      <c r="W3449" s="20" t="str">
        <f t="shared" si="1870"/>
        <v>-</v>
      </c>
      <c r="X3449" s="20" t="str">
        <f>IFERROR(W3449*H3449,"-")</f>
        <v>-</v>
      </c>
      <c r="Z3449" s="85" t="s">
        <v>82</v>
      </c>
    </row>
    <row r="3450" spans="1:26" ht="6.95" customHeight="1" x14ac:dyDescent="0.3">
      <c r="A3450" s="5"/>
      <c r="B3450" s="157"/>
      <c r="C3450" s="158"/>
      <c r="D3450" s="161"/>
      <c r="E3450" s="162"/>
      <c r="F3450" s="163"/>
      <c r="G3450" s="164"/>
      <c r="H3450" s="165"/>
      <c r="I3450" s="164"/>
      <c r="J3450" s="165"/>
      <c r="K3450" s="164"/>
      <c r="L3450" s="165"/>
      <c r="M3450" s="6"/>
      <c r="N3450" s="32"/>
      <c r="Q3450" s="10" t="str">
        <f>+CONCATENATE(E3449,I3449)</f>
        <v/>
      </c>
      <c r="R3450" s="10">
        <f>+J3449</f>
        <v>0</v>
      </c>
      <c r="S3450" s="11"/>
      <c r="T3450" s="10">
        <f>+E3449</f>
        <v>0</v>
      </c>
      <c r="U3450" s="19" t="str">
        <f>IFERROR(LEFT(I3449,FIND("*",I3449)-1),"-")</f>
        <v>-</v>
      </c>
      <c r="V3450" s="19" t="str">
        <f>IFERROR(RIGHT(I3449,LEN(I3449)-FIND("*",I3449)),"-")</f>
        <v>-</v>
      </c>
      <c r="W3450" s="20" t="str">
        <f t="shared" si="1870"/>
        <v>-</v>
      </c>
      <c r="X3450" s="20" t="str">
        <f t="shared" ref="X3450" si="1875">IFERROR(W3450*J3449,"-")</f>
        <v>-</v>
      </c>
      <c r="Z3450" s="85" t="s">
        <v>82</v>
      </c>
    </row>
    <row r="3451" spans="1:26" ht="6.95" customHeight="1" x14ac:dyDescent="0.3">
      <c r="A3451" s="5"/>
      <c r="B3451" s="157"/>
      <c r="C3451" s="158"/>
      <c r="D3451" s="161"/>
      <c r="E3451" s="162"/>
      <c r="F3451" s="163"/>
      <c r="G3451" s="164"/>
      <c r="H3451" s="165"/>
      <c r="I3451" s="164"/>
      <c r="J3451" s="165"/>
      <c r="K3451" s="164"/>
      <c r="L3451" s="165"/>
      <c r="M3451" s="6"/>
      <c r="N3451" s="32"/>
      <c r="Q3451" s="10" t="str">
        <f>+CONCATENATE(E3449,K3449)</f>
        <v/>
      </c>
      <c r="R3451" s="10">
        <f>+L3449</f>
        <v>0</v>
      </c>
      <c r="S3451" s="11"/>
      <c r="T3451" s="10">
        <f>+E3449</f>
        <v>0</v>
      </c>
      <c r="U3451" s="19" t="str">
        <f>IFERROR(LEFT(K3449,FIND("*",K3449)-1),"-")</f>
        <v>-</v>
      </c>
      <c r="V3451" s="19" t="str">
        <f>IFERROR(RIGHT(K3449,LEN(K3449)-FIND("*",K3449)),"-")</f>
        <v>-</v>
      </c>
      <c r="W3451" s="20" t="str">
        <f t="shared" si="1870"/>
        <v>-</v>
      </c>
      <c r="X3451" s="20" t="str">
        <f>IFERROR(W3451*L3449,"-")</f>
        <v>-</v>
      </c>
      <c r="Z3451" s="85" t="s">
        <v>82</v>
      </c>
    </row>
    <row r="3452" spans="1:26" ht="21" customHeight="1" thickBot="1" x14ac:dyDescent="0.35">
      <c r="A3452" s="5"/>
      <c r="B3452" s="159"/>
      <c r="C3452" s="160"/>
      <c r="D3452" s="166" t="s">
        <v>43</v>
      </c>
      <c r="E3452" s="167"/>
      <c r="F3452" s="167"/>
      <c r="G3452" s="168"/>
      <c r="H3452" s="168"/>
      <c r="I3452" s="168"/>
      <c r="J3452" s="168"/>
      <c r="K3452" s="168"/>
      <c r="L3452" s="168"/>
      <c r="M3452" s="7"/>
      <c r="N3452" s="32"/>
      <c r="Z3452" s="86" t="s">
        <v>81</v>
      </c>
    </row>
    <row r="3453" spans="1:26" ht="9.9499999999999993" customHeight="1" thickBot="1" x14ac:dyDescent="0.35">
      <c r="B3453" s="9"/>
      <c r="C3453" s="109"/>
      <c r="D3453" s="51"/>
      <c r="E3453" s="12"/>
      <c r="F3453" s="51"/>
      <c r="G3453" s="14"/>
      <c r="H3453" s="14"/>
      <c r="I3453" s="14"/>
      <c r="J3453" s="14"/>
      <c r="K3453" s="14"/>
      <c r="L3453" s="14"/>
      <c r="M3453" s="9"/>
      <c r="N3453" s="32"/>
      <c r="U3453" s="18"/>
      <c r="V3453" s="18"/>
      <c r="Z3453" s="85" t="s">
        <v>82</v>
      </c>
    </row>
    <row r="3454" spans="1:26" ht="6.95" customHeight="1" x14ac:dyDescent="0.3">
      <c r="A3454" s="154">
        <f>+A3443+1</f>
        <v>1113</v>
      </c>
      <c r="B3454" s="155"/>
      <c r="C3454" s="156"/>
      <c r="D3454" s="161" t="s">
        <v>39</v>
      </c>
      <c r="E3454" s="162"/>
      <c r="F3454" s="163" t="s">
        <v>40</v>
      </c>
      <c r="G3454" s="164"/>
      <c r="H3454" s="165"/>
      <c r="I3454" s="164"/>
      <c r="J3454" s="165"/>
      <c r="K3454" s="164"/>
      <c r="L3454" s="165"/>
      <c r="M3454" s="6"/>
      <c r="N3454" s="32"/>
      <c r="Q3454" s="10" t="str">
        <f>+CONCATENATE(E3454,G3454)</f>
        <v/>
      </c>
      <c r="R3454" s="10">
        <f>+H3454</f>
        <v>0</v>
      </c>
      <c r="S3454" s="11"/>
      <c r="T3454" s="10">
        <f>+E3454</f>
        <v>0</v>
      </c>
      <c r="U3454" s="19" t="str">
        <f>IFERROR(LEFT(G3454,FIND("*",G3454)-1),"-")</f>
        <v>-</v>
      </c>
      <c r="V3454" s="19" t="str">
        <f>IFERROR(RIGHT(G3454,LEN(G3454)-FIND("*",G3454)),"-")</f>
        <v>-</v>
      </c>
      <c r="W3454" s="20" t="str">
        <f>IFERROR((U3454+V3454)*2/1000,"-")</f>
        <v>-</v>
      </c>
      <c r="X3454" s="20" t="str">
        <f>IFERROR(W3454*H3454,"-")</f>
        <v>-</v>
      </c>
      <c r="Z3454" s="85" t="s">
        <v>82</v>
      </c>
    </row>
    <row r="3455" spans="1:26" ht="6.95" customHeight="1" x14ac:dyDescent="0.3">
      <c r="A3455" s="154"/>
      <c r="B3455" s="157"/>
      <c r="C3455" s="158"/>
      <c r="D3455" s="161"/>
      <c r="E3455" s="162"/>
      <c r="F3455" s="163"/>
      <c r="G3455" s="164"/>
      <c r="H3455" s="165"/>
      <c r="I3455" s="164"/>
      <c r="J3455" s="165"/>
      <c r="K3455" s="164"/>
      <c r="L3455" s="165"/>
      <c r="M3455" s="6"/>
      <c r="N3455" s="32"/>
      <c r="Q3455" s="10" t="str">
        <f>+CONCATENATE(E3454,I3454)</f>
        <v/>
      </c>
      <c r="R3455" s="10">
        <f>+J3454</f>
        <v>0</v>
      </c>
      <c r="S3455" s="11"/>
      <c r="T3455" s="10">
        <f>+E3454</f>
        <v>0</v>
      </c>
      <c r="U3455" s="19" t="str">
        <f>IFERROR(LEFT(I3454,FIND("*",I3454)-1),"-")</f>
        <v>-</v>
      </c>
      <c r="V3455" s="19" t="str">
        <f>IFERROR(RIGHT(I3454,LEN(I3454)-FIND("*",I3454)),"-")</f>
        <v>-</v>
      </c>
      <c r="W3455" s="20" t="str">
        <f t="shared" ref="W3455:W3462" si="1876">IFERROR((U3455+V3455)*2/1000,"-")</f>
        <v>-</v>
      </c>
      <c r="X3455" s="20" t="str">
        <f>IFERROR(W3455*J3454,"-")</f>
        <v>-</v>
      </c>
      <c r="Z3455" s="85" t="s">
        <v>82</v>
      </c>
    </row>
    <row r="3456" spans="1:26" ht="6.95" customHeight="1" x14ac:dyDescent="0.3">
      <c r="A3456" s="154"/>
      <c r="B3456" s="157"/>
      <c r="C3456" s="158"/>
      <c r="D3456" s="161"/>
      <c r="E3456" s="162"/>
      <c r="F3456" s="163"/>
      <c r="G3456" s="164"/>
      <c r="H3456" s="165"/>
      <c r="I3456" s="164"/>
      <c r="J3456" s="165"/>
      <c r="K3456" s="164"/>
      <c r="L3456" s="165"/>
      <c r="M3456" s="6"/>
      <c r="N3456" s="32"/>
      <c r="Q3456" s="10" t="str">
        <f>+CONCATENATE(E3454,K3454)</f>
        <v/>
      </c>
      <c r="R3456" s="10">
        <f>+L3454</f>
        <v>0</v>
      </c>
      <c r="S3456" s="11"/>
      <c r="T3456" s="10">
        <f>+E3454</f>
        <v>0</v>
      </c>
      <c r="U3456" s="19" t="str">
        <f>IFERROR(LEFT(K3454,FIND("*",K3454)-1),"-")</f>
        <v>-</v>
      </c>
      <c r="V3456" s="19" t="str">
        <f>IFERROR(RIGHT(K3454,LEN(K3454)-FIND("*",K3454)),"-")</f>
        <v>-</v>
      </c>
      <c r="W3456" s="20" t="str">
        <f t="shared" si="1876"/>
        <v>-</v>
      </c>
      <c r="X3456" s="20" t="str">
        <f>IFERROR(W3456*L3454,"-")</f>
        <v>-</v>
      </c>
      <c r="Z3456" s="85" t="s">
        <v>82</v>
      </c>
    </row>
    <row r="3457" spans="1:26" ht="6.95" customHeight="1" x14ac:dyDescent="0.3">
      <c r="A3457" s="8"/>
      <c r="B3457" s="157"/>
      <c r="C3457" s="158"/>
      <c r="D3457" s="161" t="s">
        <v>39</v>
      </c>
      <c r="E3457" s="162"/>
      <c r="F3457" s="163" t="s">
        <v>40</v>
      </c>
      <c r="G3457" s="164"/>
      <c r="H3457" s="165"/>
      <c r="I3457" s="164"/>
      <c r="J3457" s="165"/>
      <c r="K3457" s="164"/>
      <c r="L3457" s="165"/>
      <c r="M3457" s="6"/>
      <c r="N3457" s="32"/>
      <c r="Q3457" s="10" t="str">
        <f>+CONCATENATE(E3457,G3457)</f>
        <v/>
      </c>
      <c r="R3457" s="10">
        <f>+H3457</f>
        <v>0</v>
      </c>
      <c r="S3457" s="11"/>
      <c r="T3457" s="10">
        <f>+E3457</f>
        <v>0</v>
      </c>
      <c r="U3457" s="19" t="str">
        <f t="shared" ref="U3457" si="1877">IFERROR(LEFT(G3457,FIND("*",G3457)-1),"-")</f>
        <v>-</v>
      </c>
      <c r="V3457" s="19" t="str">
        <f t="shared" ref="V3457" si="1878">IFERROR(RIGHT(G3457,LEN(G3457)-FIND("*",G3457)),"-")</f>
        <v>-</v>
      </c>
      <c r="W3457" s="20" t="str">
        <f t="shared" si="1876"/>
        <v>-</v>
      </c>
      <c r="X3457" s="20" t="str">
        <f>IFERROR(W3457*H3457,"-")</f>
        <v>-</v>
      </c>
      <c r="Z3457" s="85" t="s">
        <v>82</v>
      </c>
    </row>
    <row r="3458" spans="1:26" ht="6.95" customHeight="1" x14ac:dyDescent="0.3">
      <c r="A3458" s="5"/>
      <c r="B3458" s="157"/>
      <c r="C3458" s="158"/>
      <c r="D3458" s="161"/>
      <c r="E3458" s="162"/>
      <c r="F3458" s="163"/>
      <c r="G3458" s="164"/>
      <c r="H3458" s="165"/>
      <c r="I3458" s="164"/>
      <c r="J3458" s="165"/>
      <c r="K3458" s="164"/>
      <c r="L3458" s="165"/>
      <c r="M3458" s="6"/>
      <c r="N3458" s="32"/>
      <c r="Q3458" s="10" t="str">
        <f>+CONCATENATE(E3457,I3457)</f>
        <v/>
      </c>
      <c r="R3458" s="10">
        <f>+J3457</f>
        <v>0</v>
      </c>
      <c r="S3458" s="11"/>
      <c r="T3458" s="10">
        <f>+E3457</f>
        <v>0</v>
      </c>
      <c r="U3458" s="19" t="str">
        <f>IFERROR(LEFT(I3457,FIND("*",I3457)-1),"-")</f>
        <v>-</v>
      </c>
      <c r="V3458" s="19" t="str">
        <f>IFERROR(RIGHT(I3457,LEN(I3457)-FIND("*",I3457)),"-")</f>
        <v>-</v>
      </c>
      <c r="W3458" s="20" t="str">
        <f t="shared" si="1876"/>
        <v>-</v>
      </c>
      <c r="X3458" s="20" t="str">
        <f>IFERROR(W3458*J3457,"-")</f>
        <v>-</v>
      </c>
      <c r="Z3458" s="85" t="s">
        <v>82</v>
      </c>
    </row>
    <row r="3459" spans="1:26" ht="6.95" customHeight="1" x14ac:dyDescent="0.3">
      <c r="A3459" s="5"/>
      <c r="B3459" s="157"/>
      <c r="C3459" s="158"/>
      <c r="D3459" s="161"/>
      <c r="E3459" s="162"/>
      <c r="F3459" s="163"/>
      <c r="G3459" s="164"/>
      <c r="H3459" s="165"/>
      <c r="I3459" s="164"/>
      <c r="J3459" s="165"/>
      <c r="K3459" s="164"/>
      <c r="L3459" s="165"/>
      <c r="M3459" s="6"/>
      <c r="N3459" s="32"/>
      <c r="Q3459" s="10" t="str">
        <f>+CONCATENATE(E3457,K3457)</f>
        <v/>
      </c>
      <c r="R3459" s="10">
        <f>+L3457</f>
        <v>0</v>
      </c>
      <c r="S3459" s="11"/>
      <c r="T3459" s="10">
        <f>+E3457</f>
        <v>0</v>
      </c>
      <c r="U3459" s="19" t="str">
        <f>IFERROR(LEFT(K3457,FIND("*",K3457)-1),"-")</f>
        <v>-</v>
      </c>
      <c r="V3459" s="19" t="str">
        <f>IFERROR(RIGHT(K3457,LEN(K3457)-FIND("*",K3457)),"-")</f>
        <v>-</v>
      </c>
      <c r="W3459" s="20" t="str">
        <f t="shared" si="1876"/>
        <v>-</v>
      </c>
      <c r="X3459" s="20" t="str">
        <f>IFERROR(W3459*L3457,"-")</f>
        <v>-</v>
      </c>
      <c r="Z3459" s="85" t="s">
        <v>82</v>
      </c>
    </row>
    <row r="3460" spans="1:26" ht="6.95" customHeight="1" x14ac:dyDescent="0.3">
      <c r="A3460" s="8"/>
      <c r="B3460" s="157"/>
      <c r="C3460" s="158"/>
      <c r="D3460" s="161" t="s">
        <v>39</v>
      </c>
      <c r="E3460" s="162"/>
      <c r="F3460" s="163" t="s">
        <v>40</v>
      </c>
      <c r="G3460" s="164"/>
      <c r="H3460" s="165"/>
      <c r="I3460" s="164"/>
      <c r="J3460" s="165"/>
      <c r="K3460" s="164"/>
      <c r="L3460" s="165"/>
      <c r="M3460" s="6"/>
      <c r="N3460" s="32"/>
      <c r="Q3460" s="10" t="str">
        <f>+CONCATENATE(E3460,G3460)</f>
        <v/>
      </c>
      <c r="R3460" s="10">
        <f>+H3460</f>
        <v>0</v>
      </c>
      <c r="S3460" s="11"/>
      <c r="T3460" s="10">
        <f>+E3460</f>
        <v>0</v>
      </c>
      <c r="U3460" s="19" t="str">
        <f t="shared" ref="U3460" si="1879">IFERROR(LEFT(G3460,FIND("*",G3460)-1),"-")</f>
        <v>-</v>
      </c>
      <c r="V3460" s="19" t="str">
        <f t="shared" ref="V3460" si="1880">IFERROR(RIGHT(G3460,LEN(G3460)-FIND("*",G3460)),"-")</f>
        <v>-</v>
      </c>
      <c r="W3460" s="20" t="str">
        <f t="shared" si="1876"/>
        <v>-</v>
      </c>
      <c r="X3460" s="20" t="str">
        <f>IFERROR(W3460*H3460,"-")</f>
        <v>-</v>
      </c>
      <c r="Z3460" s="85" t="s">
        <v>82</v>
      </c>
    </row>
    <row r="3461" spans="1:26" ht="6.95" customHeight="1" x14ac:dyDescent="0.3">
      <c r="A3461" s="5"/>
      <c r="B3461" s="157"/>
      <c r="C3461" s="158"/>
      <c r="D3461" s="161"/>
      <c r="E3461" s="162"/>
      <c r="F3461" s="163"/>
      <c r="G3461" s="164"/>
      <c r="H3461" s="165"/>
      <c r="I3461" s="164"/>
      <c r="J3461" s="165"/>
      <c r="K3461" s="164"/>
      <c r="L3461" s="165"/>
      <c r="M3461" s="6"/>
      <c r="N3461" s="32"/>
      <c r="Q3461" s="10" t="str">
        <f>+CONCATENATE(E3460,I3460)</f>
        <v/>
      </c>
      <c r="R3461" s="10">
        <f>+J3460</f>
        <v>0</v>
      </c>
      <c r="S3461" s="11"/>
      <c r="T3461" s="10">
        <f>+E3460</f>
        <v>0</v>
      </c>
      <c r="U3461" s="19" t="str">
        <f>IFERROR(LEFT(I3460,FIND("*",I3460)-1),"-")</f>
        <v>-</v>
      </c>
      <c r="V3461" s="19" t="str">
        <f>IFERROR(RIGHT(I3460,LEN(I3460)-FIND("*",I3460)),"-")</f>
        <v>-</v>
      </c>
      <c r="W3461" s="20" t="str">
        <f t="shared" si="1876"/>
        <v>-</v>
      </c>
      <c r="X3461" s="20" t="str">
        <f t="shared" ref="X3461" si="1881">IFERROR(W3461*J3460,"-")</f>
        <v>-</v>
      </c>
      <c r="Z3461" s="85" t="s">
        <v>82</v>
      </c>
    </row>
    <row r="3462" spans="1:26" ht="6.95" customHeight="1" x14ac:dyDescent="0.3">
      <c r="A3462" s="5"/>
      <c r="B3462" s="157"/>
      <c r="C3462" s="158"/>
      <c r="D3462" s="161"/>
      <c r="E3462" s="162"/>
      <c r="F3462" s="163"/>
      <c r="G3462" s="164"/>
      <c r="H3462" s="165"/>
      <c r="I3462" s="164"/>
      <c r="J3462" s="165"/>
      <c r="K3462" s="164"/>
      <c r="L3462" s="165"/>
      <c r="M3462" s="6"/>
      <c r="N3462" s="32"/>
      <c r="Q3462" s="10" t="str">
        <f>+CONCATENATE(E3460,K3460)</f>
        <v/>
      </c>
      <c r="R3462" s="10">
        <f>+L3460</f>
        <v>0</v>
      </c>
      <c r="S3462" s="11"/>
      <c r="T3462" s="10">
        <f>+E3460</f>
        <v>0</v>
      </c>
      <c r="U3462" s="19" t="str">
        <f>IFERROR(LEFT(K3460,FIND("*",K3460)-1),"-")</f>
        <v>-</v>
      </c>
      <c r="V3462" s="19" t="str">
        <f>IFERROR(RIGHT(K3460,LEN(K3460)-FIND("*",K3460)),"-")</f>
        <v>-</v>
      </c>
      <c r="W3462" s="20" t="str">
        <f t="shared" si="1876"/>
        <v>-</v>
      </c>
      <c r="X3462" s="20" t="str">
        <f>IFERROR(W3462*L3460,"-")</f>
        <v>-</v>
      </c>
      <c r="Z3462" s="85" t="s">
        <v>82</v>
      </c>
    </row>
    <row r="3463" spans="1:26" ht="21" customHeight="1" thickBot="1" x14ac:dyDescent="0.35">
      <c r="A3463" s="5"/>
      <c r="B3463" s="159"/>
      <c r="C3463" s="160"/>
      <c r="D3463" s="166" t="s">
        <v>43</v>
      </c>
      <c r="E3463" s="167"/>
      <c r="F3463" s="167"/>
      <c r="G3463" s="168"/>
      <c r="H3463" s="168"/>
      <c r="I3463" s="168"/>
      <c r="J3463" s="168"/>
      <c r="K3463" s="168"/>
      <c r="L3463" s="168"/>
      <c r="M3463" s="7"/>
      <c r="N3463" s="32"/>
      <c r="Z3463" s="86" t="s">
        <v>81</v>
      </c>
    </row>
    <row r="3464" spans="1:26" ht="9.9499999999999993" customHeight="1" thickBot="1" x14ac:dyDescent="0.35">
      <c r="B3464" s="9"/>
      <c r="C3464" s="109"/>
      <c r="D3464" s="51"/>
      <c r="E3464" s="12"/>
      <c r="F3464" s="51"/>
      <c r="G3464" s="14"/>
      <c r="H3464" s="14"/>
      <c r="I3464" s="14"/>
      <c r="J3464" s="14"/>
      <c r="K3464" s="14"/>
      <c r="L3464" s="14"/>
      <c r="M3464" s="9"/>
      <c r="N3464" s="32"/>
      <c r="U3464" s="18"/>
      <c r="V3464" s="18"/>
      <c r="Z3464" s="85" t="s">
        <v>82</v>
      </c>
    </row>
    <row r="3465" spans="1:26" ht="6.95" customHeight="1" x14ac:dyDescent="0.3">
      <c r="A3465" s="154">
        <f>+A3454+1</f>
        <v>1114</v>
      </c>
      <c r="B3465" s="155"/>
      <c r="C3465" s="156"/>
      <c r="D3465" s="161" t="s">
        <v>39</v>
      </c>
      <c r="E3465" s="162"/>
      <c r="F3465" s="163" t="s">
        <v>40</v>
      </c>
      <c r="G3465" s="164"/>
      <c r="H3465" s="165"/>
      <c r="I3465" s="164"/>
      <c r="J3465" s="165"/>
      <c r="K3465" s="164"/>
      <c r="L3465" s="165"/>
      <c r="M3465" s="6"/>
      <c r="N3465" s="32"/>
      <c r="Q3465" s="10" t="str">
        <f>+CONCATENATE(E3465,G3465)</f>
        <v/>
      </c>
      <c r="R3465" s="10">
        <f>+H3465</f>
        <v>0</v>
      </c>
      <c r="S3465" s="11"/>
      <c r="T3465" s="10">
        <f>+E3465</f>
        <v>0</v>
      </c>
      <c r="U3465" s="19" t="str">
        <f>IFERROR(LEFT(G3465,FIND("*",G3465)-1),"-")</f>
        <v>-</v>
      </c>
      <c r="V3465" s="19" t="str">
        <f>IFERROR(RIGHT(G3465,LEN(G3465)-FIND("*",G3465)),"-")</f>
        <v>-</v>
      </c>
      <c r="W3465" s="20" t="str">
        <f>IFERROR((U3465+V3465)*2/1000,"-")</f>
        <v>-</v>
      </c>
      <c r="X3465" s="20" t="str">
        <f>IFERROR(W3465*H3465,"-")</f>
        <v>-</v>
      </c>
      <c r="Z3465" s="85" t="s">
        <v>82</v>
      </c>
    </row>
    <row r="3466" spans="1:26" ht="6.95" customHeight="1" x14ac:dyDescent="0.3">
      <c r="A3466" s="154"/>
      <c r="B3466" s="157"/>
      <c r="C3466" s="158"/>
      <c r="D3466" s="161"/>
      <c r="E3466" s="162"/>
      <c r="F3466" s="163"/>
      <c r="G3466" s="164"/>
      <c r="H3466" s="165"/>
      <c r="I3466" s="164"/>
      <c r="J3466" s="165"/>
      <c r="K3466" s="164"/>
      <c r="L3466" s="165"/>
      <c r="M3466" s="6"/>
      <c r="N3466" s="32"/>
      <c r="Q3466" s="10" t="str">
        <f>+CONCATENATE(E3465,I3465)</f>
        <v/>
      </c>
      <c r="R3466" s="10">
        <f>+J3465</f>
        <v>0</v>
      </c>
      <c r="S3466" s="11"/>
      <c r="T3466" s="10">
        <f>+E3465</f>
        <v>0</v>
      </c>
      <c r="U3466" s="19" t="str">
        <f>IFERROR(LEFT(I3465,FIND("*",I3465)-1),"-")</f>
        <v>-</v>
      </c>
      <c r="V3466" s="19" t="str">
        <f>IFERROR(RIGHT(I3465,LEN(I3465)-FIND("*",I3465)),"-")</f>
        <v>-</v>
      </c>
      <c r="W3466" s="20" t="str">
        <f t="shared" ref="W3466:W3473" si="1882">IFERROR((U3466+V3466)*2/1000,"-")</f>
        <v>-</v>
      </c>
      <c r="X3466" s="20" t="str">
        <f>IFERROR(W3466*J3465,"-")</f>
        <v>-</v>
      </c>
      <c r="Z3466" s="85" t="s">
        <v>82</v>
      </c>
    </row>
    <row r="3467" spans="1:26" ht="6.95" customHeight="1" x14ac:dyDescent="0.3">
      <c r="A3467" s="154"/>
      <c r="B3467" s="157"/>
      <c r="C3467" s="158"/>
      <c r="D3467" s="161"/>
      <c r="E3467" s="162"/>
      <c r="F3467" s="163"/>
      <c r="G3467" s="164"/>
      <c r="H3467" s="165"/>
      <c r="I3467" s="164"/>
      <c r="J3467" s="165"/>
      <c r="K3467" s="164"/>
      <c r="L3467" s="165"/>
      <c r="M3467" s="6"/>
      <c r="N3467" s="32"/>
      <c r="Q3467" s="10" t="str">
        <f>+CONCATENATE(E3465,K3465)</f>
        <v/>
      </c>
      <c r="R3467" s="10">
        <f>+L3465</f>
        <v>0</v>
      </c>
      <c r="S3467" s="11"/>
      <c r="T3467" s="10">
        <f>+E3465</f>
        <v>0</v>
      </c>
      <c r="U3467" s="19" t="str">
        <f>IFERROR(LEFT(K3465,FIND("*",K3465)-1),"-")</f>
        <v>-</v>
      </c>
      <c r="V3467" s="19" t="str">
        <f>IFERROR(RIGHT(K3465,LEN(K3465)-FIND("*",K3465)),"-")</f>
        <v>-</v>
      </c>
      <c r="W3467" s="20" t="str">
        <f t="shared" si="1882"/>
        <v>-</v>
      </c>
      <c r="X3467" s="20" t="str">
        <f>IFERROR(W3467*L3465,"-")</f>
        <v>-</v>
      </c>
      <c r="Z3467" s="85" t="s">
        <v>82</v>
      </c>
    </row>
    <row r="3468" spans="1:26" ht="6.95" customHeight="1" x14ac:dyDescent="0.3">
      <c r="A3468" s="8"/>
      <c r="B3468" s="157"/>
      <c r="C3468" s="158"/>
      <c r="D3468" s="161" t="s">
        <v>39</v>
      </c>
      <c r="E3468" s="162"/>
      <c r="F3468" s="163" t="s">
        <v>40</v>
      </c>
      <c r="G3468" s="164"/>
      <c r="H3468" s="165"/>
      <c r="I3468" s="164"/>
      <c r="J3468" s="165"/>
      <c r="K3468" s="164"/>
      <c r="L3468" s="165"/>
      <c r="M3468" s="6"/>
      <c r="N3468" s="32"/>
      <c r="Q3468" s="10" t="str">
        <f>+CONCATENATE(E3468,G3468)</f>
        <v/>
      </c>
      <c r="R3468" s="10">
        <f>+H3468</f>
        <v>0</v>
      </c>
      <c r="S3468" s="11"/>
      <c r="T3468" s="10">
        <f>+E3468</f>
        <v>0</v>
      </c>
      <c r="U3468" s="19" t="str">
        <f t="shared" ref="U3468" si="1883">IFERROR(LEFT(G3468,FIND("*",G3468)-1),"-")</f>
        <v>-</v>
      </c>
      <c r="V3468" s="19" t="str">
        <f t="shared" ref="V3468" si="1884">IFERROR(RIGHT(G3468,LEN(G3468)-FIND("*",G3468)),"-")</f>
        <v>-</v>
      </c>
      <c r="W3468" s="20" t="str">
        <f t="shared" si="1882"/>
        <v>-</v>
      </c>
      <c r="X3468" s="20" t="str">
        <f>IFERROR(W3468*H3468,"-")</f>
        <v>-</v>
      </c>
      <c r="Z3468" s="85" t="s">
        <v>82</v>
      </c>
    </row>
    <row r="3469" spans="1:26" ht="6.95" customHeight="1" x14ac:dyDescent="0.3">
      <c r="A3469" s="5"/>
      <c r="B3469" s="157"/>
      <c r="C3469" s="158"/>
      <c r="D3469" s="161"/>
      <c r="E3469" s="162"/>
      <c r="F3469" s="163"/>
      <c r="G3469" s="164"/>
      <c r="H3469" s="165"/>
      <c r="I3469" s="164"/>
      <c r="J3469" s="165"/>
      <c r="K3469" s="164"/>
      <c r="L3469" s="165"/>
      <c r="M3469" s="6"/>
      <c r="N3469" s="32"/>
      <c r="Q3469" s="10" t="str">
        <f>+CONCATENATE(E3468,I3468)</f>
        <v/>
      </c>
      <c r="R3469" s="10">
        <f>+J3468</f>
        <v>0</v>
      </c>
      <c r="S3469" s="11"/>
      <c r="T3469" s="10">
        <f>+E3468</f>
        <v>0</v>
      </c>
      <c r="U3469" s="19" t="str">
        <f>IFERROR(LEFT(I3468,FIND("*",I3468)-1),"-")</f>
        <v>-</v>
      </c>
      <c r="V3469" s="19" t="str">
        <f>IFERROR(RIGHT(I3468,LEN(I3468)-FIND("*",I3468)),"-")</f>
        <v>-</v>
      </c>
      <c r="W3469" s="20" t="str">
        <f t="shared" si="1882"/>
        <v>-</v>
      </c>
      <c r="X3469" s="20" t="str">
        <f>IFERROR(W3469*J3468,"-")</f>
        <v>-</v>
      </c>
      <c r="Z3469" s="85" t="s">
        <v>82</v>
      </c>
    </row>
    <row r="3470" spans="1:26" ht="6.95" customHeight="1" x14ac:dyDescent="0.3">
      <c r="A3470" s="5"/>
      <c r="B3470" s="157"/>
      <c r="C3470" s="158"/>
      <c r="D3470" s="161"/>
      <c r="E3470" s="162"/>
      <c r="F3470" s="163"/>
      <c r="G3470" s="164"/>
      <c r="H3470" s="165"/>
      <c r="I3470" s="164"/>
      <c r="J3470" s="165"/>
      <c r="K3470" s="164"/>
      <c r="L3470" s="165"/>
      <c r="M3470" s="6"/>
      <c r="N3470" s="32"/>
      <c r="Q3470" s="10" t="str">
        <f>+CONCATENATE(E3468,K3468)</f>
        <v/>
      </c>
      <c r="R3470" s="10">
        <f>+L3468</f>
        <v>0</v>
      </c>
      <c r="S3470" s="11"/>
      <c r="T3470" s="10">
        <f>+E3468</f>
        <v>0</v>
      </c>
      <c r="U3470" s="19" t="str">
        <f>IFERROR(LEFT(K3468,FIND("*",K3468)-1),"-")</f>
        <v>-</v>
      </c>
      <c r="V3470" s="19" t="str">
        <f>IFERROR(RIGHT(K3468,LEN(K3468)-FIND("*",K3468)),"-")</f>
        <v>-</v>
      </c>
      <c r="W3470" s="20" t="str">
        <f t="shared" si="1882"/>
        <v>-</v>
      </c>
      <c r="X3470" s="20" t="str">
        <f>IFERROR(W3470*L3468,"-")</f>
        <v>-</v>
      </c>
      <c r="Z3470" s="85" t="s">
        <v>82</v>
      </c>
    </row>
    <row r="3471" spans="1:26" ht="6.95" customHeight="1" x14ac:dyDescent="0.3">
      <c r="A3471" s="8"/>
      <c r="B3471" s="157"/>
      <c r="C3471" s="158"/>
      <c r="D3471" s="161" t="s">
        <v>39</v>
      </c>
      <c r="E3471" s="162"/>
      <c r="F3471" s="163" t="s">
        <v>40</v>
      </c>
      <c r="G3471" s="164"/>
      <c r="H3471" s="165"/>
      <c r="I3471" s="164"/>
      <c r="J3471" s="165"/>
      <c r="K3471" s="164"/>
      <c r="L3471" s="165"/>
      <c r="M3471" s="6"/>
      <c r="N3471" s="32"/>
      <c r="Q3471" s="10" t="str">
        <f>+CONCATENATE(E3471,G3471)</f>
        <v/>
      </c>
      <c r="R3471" s="10">
        <f>+H3471</f>
        <v>0</v>
      </c>
      <c r="S3471" s="11"/>
      <c r="T3471" s="10">
        <f>+E3471</f>
        <v>0</v>
      </c>
      <c r="U3471" s="19" t="str">
        <f t="shared" ref="U3471" si="1885">IFERROR(LEFT(G3471,FIND("*",G3471)-1),"-")</f>
        <v>-</v>
      </c>
      <c r="V3471" s="19" t="str">
        <f t="shared" ref="V3471" si="1886">IFERROR(RIGHT(G3471,LEN(G3471)-FIND("*",G3471)),"-")</f>
        <v>-</v>
      </c>
      <c r="W3471" s="20" t="str">
        <f t="shared" si="1882"/>
        <v>-</v>
      </c>
      <c r="X3471" s="20" t="str">
        <f>IFERROR(W3471*H3471,"-")</f>
        <v>-</v>
      </c>
      <c r="Z3471" s="85" t="s">
        <v>82</v>
      </c>
    </row>
    <row r="3472" spans="1:26" ht="6.95" customHeight="1" x14ac:dyDescent="0.3">
      <c r="A3472" s="5"/>
      <c r="B3472" s="157"/>
      <c r="C3472" s="158"/>
      <c r="D3472" s="161"/>
      <c r="E3472" s="162"/>
      <c r="F3472" s="163"/>
      <c r="G3472" s="164"/>
      <c r="H3472" s="165"/>
      <c r="I3472" s="164"/>
      <c r="J3472" s="165"/>
      <c r="K3472" s="164"/>
      <c r="L3472" s="165"/>
      <c r="M3472" s="6"/>
      <c r="N3472" s="32"/>
      <c r="Q3472" s="10" t="str">
        <f>+CONCATENATE(E3471,I3471)</f>
        <v/>
      </c>
      <c r="R3472" s="10">
        <f>+J3471</f>
        <v>0</v>
      </c>
      <c r="S3472" s="11"/>
      <c r="T3472" s="10">
        <f>+E3471</f>
        <v>0</v>
      </c>
      <c r="U3472" s="19" t="str">
        <f>IFERROR(LEFT(I3471,FIND("*",I3471)-1),"-")</f>
        <v>-</v>
      </c>
      <c r="V3472" s="19" t="str">
        <f>IFERROR(RIGHT(I3471,LEN(I3471)-FIND("*",I3471)),"-")</f>
        <v>-</v>
      </c>
      <c r="W3472" s="20" t="str">
        <f t="shared" si="1882"/>
        <v>-</v>
      </c>
      <c r="X3472" s="20" t="str">
        <f t="shared" ref="X3472" si="1887">IFERROR(W3472*J3471,"-")</f>
        <v>-</v>
      </c>
      <c r="Z3472" s="85" t="s">
        <v>82</v>
      </c>
    </row>
    <row r="3473" spans="1:26" ht="6.95" customHeight="1" x14ac:dyDescent="0.3">
      <c r="A3473" s="5"/>
      <c r="B3473" s="157"/>
      <c r="C3473" s="158"/>
      <c r="D3473" s="161"/>
      <c r="E3473" s="162"/>
      <c r="F3473" s="163"/>
      <c r="G3473" s="164"/>
      <c r="H3473" s="165"/>
      <c r="I3473" s="164"/>
      <c r="J3473" s="165"/>
      <c r="K3473" s="164"/>
      <c r="L3473" s="165"/>
      <c r="M3473" s="6"/>
      <c r="N3473" s="32"/>
      <c r="Q3473" s="10" t="str">
        <f>+CONCATENATE(E3471,K3471)</f>
        <v/>
      </c>
      <c r="R3473" s="10">
        <f>+L3471</f>
        <v>0</v>
      </c>
      <c r="S3473" s="11"/>
      <c r="T3473" s="10">
        <f>+E3471</f>
        <v>0</v>
      </c>
      <c r="U3473" s="19" t="str">
        <f>IFERROR(LEFT(K3471,FIND("*",K3471)-1),"-")</f>
        <v>-</v>
      </c>
      <c r="V3473" s="19" t="str">
        <f>IFERROR(RIGHT(K3471,LEN(K3471)-FIND("*",K3471)),"-")</f>
        <v>-</v>
      </c>
      <c r="W3473" s="20" t="str">
        <f t="shared" si="1882"/>
        <v>-</v>
      </c>
      <c r="X3473" s="20" t="str">
        <f>IFERROR(W3473*L3471,"-")</f>
        <v>-</v>
      </c>
      <c r="Z3473" s="85" t="s">
        <v>82</v>
      </c>
    </row>
    <row r="3474" spans="1:26" ht="21" customHeight="1" thickBot="1" x14ac:dyDescent="0.35">
      <c r="A3474" s="5"/>
      <c r="B3474" s="159"/>
      <c r="C3474" s="160"/>
      <c r="D3474" s="166" t="s">
        <v>43</v>
      </c>
      <c r="E3474" s="167"/>
      <c r="F3474" s="167"/>
      <c r="G3474" s="168"/>
      <c r="H3474" s="168"/>
      <c r="I3474" s="168"/>
      <c r="J3474" s="168"/>
      <c r="K3474" s="168"/>
      <c r="L3474" s="168"/>
      <c r="M3474" s="7"/>
      <c r="N3474" s="32"/>
      <c r="Z3474" s="86" t="s">
        <v>81</v>
      </c>
    </row>
    <row r="3475" spans="1:26" ht="9.9499999999999993" customHeight="1" thickBot="1" x14ac:dyDescent="0.35">
      <c r="B3475" s="9"/>
      <c r="C3475" s="109"/>
      <c r="D3475" s="51"/>
      <c r="E3475" s="12"/>
      <c r="F3475" s="51"/>
      <c r="G3475" s="14"/>
      <c r="H3475" s="14"/>
      <c r="I3475" s="14"/>
      <c r="J3475" s="14"/>
      <c r="K3475" s="14"/>
      <c r="L3475" s="14"/>
      <c r="M3475" s="9"/>
      <c r="N3475" s="32"/>
      <c r="U3475" s="18"/>
      <c r="V3475" s="18"/>
      <c r="Z3475" s="85" t="s">
        <v>82</v>
      </c>
    </row>
    <row r="3476" spans="1:26" ht="6.95" customHeight="1" x14ac:dyDescent="0.3">
      <c r="A3476" s="154">
        <f>+A3465+1</f>
        <v>1115</v>
      </c>
      <c r="B3476" s="155"/>
      <c r="C3476" s="156"/>
      <c r="D3476" s="161" t="s">
        <v>39</v>
      </c>
      <c r="E3476" s="162"/>
      <c r="F3476" s="163" t="s">
        <v>40</v>
      </c>
      <c r="G3476" s="164"/>
      <c r="H3476" s="165"/>
      <c r="I3476" s="164"/>
      <c r="J3476" s="165"/>
      <c r="K3476" s="164"/>
      <c r="L3476" s="165"/>
      <c r="M3476" s="6"/>
      <c r="N3476" s="32"/>
      <c r="Q3476" s="10" t="str">
        <f>+CONCATENATE(E3476,G3476)</f>
        <v/>
      </c>
      <c r="R3476" s="10">
        <f>+H3476</f>
        <v>0</v>
      </c>
      <c r="S3476" s="11"/>
      <c r="T3476" s="10">
        <f>+E3476</f>
        <v>0</v>
      </c>
      <c r="U3476" s="19" t="str">
        <f>IFERROR(LEFT(G3476,FIND("*",G3476)-1),"-")</f>
        <v>-</v>
      </c>
      <c r="V3476" s="19" t="str">
        <f>IFERROR(RIGHT(G3476,LEN(G3476)-FIND("*",G3476)),"-")</f>
        <v>-</v>
      </c>
      <c r="W3476" s="20" t="str">
        <f>IFERROR((U3476+V3476)*2/1000,"-")</f>
        <v>-</v>
      </c>
      <c r="X3476" s="20" t="str">
        <f>IFERROR(W3476*H3476,"-")</f>
        <v>-</v>
      </c>
      <c r="Z3476" s="85" t="s">
        <v>82</v>
      </c>
    </row>
    <row r="3477" spans="1:26" ht="6.95" customHeight="1" x14ac:dyDescent="0.3">
      <c r="A3477" s="154"/>
      <c r="B3477" s="157"/>
      <c r="C3477" s="158"/>
      <c r="D3477" s="161"/>
      <c r="E3477" s="162"/>
      <c r="F3477" s="163"/>
      <c r="G3477" s="164"/>
      <c r="H3477" s="165"/>
      <c r="I3477" s="164"/>
      <c r="J3477" s="165"/>
      <c r="K3477" s="164"/>
      <c r="L3477" s="165"/>
      <c r="M3477" s="6"/>
      <c r="N3477" s="32"/>
      <c r="Q3477" s="10" t="str">
        <f>+CONCATENATE(E3476,I3476)</f>
        <v/>
      </c>
      <c r="R3477" s="10">
        <f>+J3476</f>
        <v>0</v>
      </c>
      <c r="S3477" s="11"/>
      <c r="T3477" s="10">
        <f>+E3476</f>
        <v>0</v>
      </c>
      <c r="U3477" s="19" t="str">
        <f>IFERROR(LEFT(I3476,FIND("*",I3476)-1),"-")</f>
        <v>-</v>
      </c>
      <c r="V3477" s="19" t="str">
        <f>IFERROR(RIGHT(I3476,LEN(I3476)-FIND("*",I3476)),"-")</f>
        <v>-</v>
      </c>
      <c r="W3477" s="20" t="str">
        <f t="shared" ref="W3477:W3484" si="1888">IFERROR((U3477+V3477)*2/1000,"-")</f>
        <v>-</v>
      </c>
      <c r="X3477" s="20" t="str">
        <f>IFERROR(W3477*J3476,"-")</f>
        <v>-</v>
      </c>
      <c r="Z3477" s="85" t="s">
        <v>82</v>
      </c>
    </row>
    <row r="3478" spans="1:26" ht="6.95" customHeight="1" x14ac:dyDescent="0.3">
      <c r="A3478" s="154"/>
      <c r="B3478" s="157"/>
      <c r="C3478" s="158"/>
      <c r="D3478" s="161"/>
      <c r="E3478" s="162"/>
      <c r="F3478" s="163"/>
      <c r="G3478" s="164"/>
      <c r="H3478" s="165"/>
      <c r="I3478" s="164"/>
      <c r="J3478" s="165"/>
      <c r="K3478" s="164"/>
      <c r="L3478" s="165"/>
      <c r="M3478" s="6"/>
      <c r="N3478" s="32"/>
      <c r="Q3478" s="10" t="str">
        <f>+CONCATENATE(E3476,K3476)</f>
        <v/>
      </c>
      <c r="R3478" s="10">
        <f>+L3476</f>
        <v>0</v>
      </c>
      <c r="S3478" s="11"/>
      <c r="T3478" s="10">
        <f>+E3476</f>
        <v>0</v>
      </c>
      <c r="U3478" s="19" t="str">
        <f>IFERROR(LEFT(K3476,FIND("*",K3476)-1),"-")</f>
        <v>-</v>
      </c>
      <c r="V3478" s="19" t="str">
        <f>IFERROR(RIGHT(K3476,LEN(K3476)-FIND("*",K3476)),"-")</f>
        <v>-</v>
      </c>
      <c r="W3478" s="20" t="str">
        <f t="shared" si="1888"/>
        <v>-</v>
      </c>
      <c r="X3478" s="20" t="str">
        <f>IFERROR(W3478*L3476,"-")</f>
        <v>-</v>
      </c>
      <c r="Z3478" s="85" t="s">
        <v>82</v>
      </c>
    </row>
    <row r="3479" spans="1:26" ht="6.95" customHeight="1" x14ac:dyDescent="0.3">
      <c r="A3479" s="8"/>
      <c r="B3479" s="157"/>
      <c r="C3479" s="158"/>
      <c r="D3479" s="161" t="s">
        <v>39</v>
      </c>
      <c r="E3479" s="162"/>
      <c r="F3479" s="163" t="s">
        <v>40</v>
      </c>
      <c r="G3479" s="164"/>
      <c r="H3479" s="165"/>
      <c r="I3479" s="164"/>
      <c r="J3479" s="165"/>
      <c r="K3479" s="164"/>
      <c r="L3479" s="165"/>
      <c r="M3479" s="6"/>
      <c r="N3479" s="32"/>
      <c r="Q3479" s="10" t="str">
        <f>+CONCATENATE(E3479,G3479)</f>
        <v/>
      </c>
      <c r="R3479" s="10">
        <f>+H3479</f>
        <v>0</v>
      </c>
      <c r="S3479" s="11"/>
      <c r="T3479" s="10">
        <f>+E3479</f>
        <v>0</v>
      </c>
      <c r="U3479" s="19" t="str">
        <f t="shared" ref="U3479" si="1889">IFERROR(LEFT(G3479,FIND("*",G3479)-1),"-")</f>
        <v>-</v>
      </c>
      <c r="V3479" s="19" t="str">
        <f t="shared" ref="V3479" si="1890">IFERROR(RIGHT(G3479,LEN(G3479)-FIND("*",G3479)),"-")</f>
        <v>-</v>
      </c>
      <c r="W3479" s="20" t="str">
        <f t="shared" si="1888"/>
        <v>-</v>
      </c>
      <c r="X3479" s="20" t="str">
        <f>IFERROR(W3479*H3479,"-")</f>
        <v>-</v>
      </c>
      <c r="Z3479" s="85" t="s">
        <v>82</v>
      </c>
    </row>
    <row r="3480" spans="1:26" ht="6.95" customHeight="1" x14ac:dyDescent="0.3">
      <c r="A3480" s="5"/>
      <c r="B3480" s="157"/>
      <c r="C3480" s="158"/>
      <c r="D3480" s="161"/>
      <c r="E3480" s="162"/>
      <c r="F3480" s="163"/>
      <c r="G3480" s="164"/>
      <c r="H3480" s="165"/>
      <c r="I3480" s="164"/>
      <c r="J3480" s="165"/>
      <c r="K3480" s="164"/>
      <c r="L3480" s="165"/>
      <c r="M3480" s="6"/>
      <c r="N3480" s="32"/>
      <c r="Q3480" s="10" t="str">
        <f>+CONCATENATE(E3479,I3479)</f>
        <v/>
      </c>
      <c r="R3480" s="10">
        <f>+J3479</f>
        <v>0</v>
      </c>
      <c r="S3480" s="11"/>
      <c r="T3480" s="10">
        <f>+E3479</f>
        <v>0</v>
      </c>
      <c r="U3480" s="19" t="str">
        <f>IFERROR(LEFT(I3479,FIND("*",I3479)-1),"-")</f>
        <v>-</v>
      </c>
      <c r="V3480" s="19" t="str">
        <f>IFERROR(RIGHT(I3479,LEN(I3479)-FIND("*",I3479)),"-")</f>
        <v>-</v>
      </c>
      <c r="W3480" s="20" t="str">
        <f t="shared" si="1888"/>
        <v>-</v>
      </c>
      <c r="X3480" s="20" t="str">
        <f>IFERROR(W3480*J3479,"-")</f>
        <v>-</v>
      </c>
      <c r="Z3480" s="85" t="s">
        <v>82</v>
      </c>
    </row>
    <row r="3481" spans="1:26" ht="6.95" customHeight="1" x14ac:dyDescent="0.3">
      <c r="A3481" s="5"/>
      <c r="B3481" s="157"/>
      <c r="C3481" s="158"/>
      <c r="D3481" s="161"/>
      <c r="E3481" s="162"/>
      <c r="F3481" s="163"/>
      <c r="G3481" s="164"/>
      <c r="H3481" s="165"/>
      <c r="I3481" s="164"/>
      <c r="J3481" s="165"/>
      <c r="K3481" s="164"/>
      <c r="L3481" s="165"/>
      <c r="M3481" s="6"/>
      <c r="N3481" s="32"/>
      <c r="Q3481" s="10" t="str">
        <f>+CONCATENATE(E3479,K3479)</f>
        <v/>
      </c>
      <c r="R3481" s="10">
        <f>+L3479</f>
        <v>0</v>
      </c>
      <c r="S3481" s="11"/>
      <c r="T3481" s="10">
        <f>+E3479</f>
        <v>0</v>
      </c>
      <c r="U3481" s="19" t="str">
        <f>IFERROR(LEFT(K3479,FIND("*",K3479)-1),"-")</f>
        <v>-</v>
      </c>
      <c r="V3481" s="19" t="str">
        <f>IFERROR(RIGHT(K3479,LEN(K3479)-FIND("*",K3479)),"-")</f>
        <v>-</v>
      </c>
      <c r="W3481" s="20" t="str">
        <f t="shared" si="1888"/>
        <v>-</v>
      </c>
      <c r="X3481" s="20" t="str">
        <f>IFERROR(W3481*L3479,"-")</f>
        <v>-</v>
      </c>
      <c r="Z3481" s="85" t="s">
        <v>82</v>
      </c>
    </row>
    <row r="3482" spans="1:26" ht="6.95" customHeight="1" x14ac:dyDescent="0.3">
      <c r="A3482" s="8"/>
      <c r="B3482" s="157"/>
      <c r="C3482" s="158"/>
      <c r="D3482" s="161" t="s">
        <v>39</v>
      </c>
      <c r="E3482" s="162"/>
      <c r="F3482" s="163" t="s">
        <v>40</v>
      </c>
      <c r="G3482" s="164"/>
      <c r="H3482" s="165"/>
      <c r="I3482" s="164"/>
      <c r="J3482" s="165"/>
      <c r="K3482" s="164"/>
      <c r="L3482" s="165"/>
      <c r="M3482" s="6"/>
      <c r="N3482" s="32"/>
      <c r="Q3482" s="10" t="str">
        <f>+CONCATENATE(E3482,G3482)</f>
        <v/>
      </c>
      <c r="R3482" s="10">
        <f>+H3482</f>
        <v>0</v>
      </c>
      <c r="S3482" s="11"/>
      <c r="T3482" s="10">
        <f>+E3482</f>
        <v>0</v>
      </c>
      <c r="U3482" s="19" t="str">
        <f t="shared" ref="U3482" si="1891">IFERROR(LEFT(G3482,FIND("*",G3482)-1),"-")</f>
        <v>-</v>
      </c>
      <c r="V3482" s="19" t="str">
        <f t="shared" ref="V3482" si="1892">IFERROR(RIGHT(G3482,LEN(G3482)-FIND("*",G3482)),"-")</f>
        <v>-</v>
      </c>
      <c r="W3482" s="20" t="str">
        <f t="shared" si="1888"/>
        <v>-</v>
      </c>
      <c r="X3482" s="20" t="str">
        <f>IFERROR(W3482*H3482,"-")</f>
        <v>-</v>
      </c>
      <c r="Z3482" s="85" t="s">
        <v>82</v>
      </c>
    </row>
    <row r="3483" spans="1:26" ht="6.95" customHeight="1" x14ac:dyDescent="0.3">
      <c r="A3483" s="5"/>
      <c r="B3483" s="157"/>
      <c r="C3483" s="158"/>
      <c r="D3483" s="161"/>
      <c r="E3483" s="162"/>
      <c r="F3483" s="163"/>
      <c r="G3483" s="164"/>
      <c r="H3483" s="165"/>
      <c r="I3483" s="164"/>
      <c r="J3483" s="165"/>
      <c r="K3483" s="164"/>
      <c r="L3483" s="165"/>
      <c r="M3483" s="6"/>
      <c r="N3483" s="32"/>
      <c r="Q3483" s="10" t="str">
        <f>+CONCATENATE(E3482,I3482)</f>
        <v/>
      </c>
      <c r="R3483" s="10">
        <f>+J3482</f>
        <v>0</v>
      </c>
      <c r="S3483" s="11"/>
      <c r="T3483" s="10">
        <f>+E3482</f>
        <v>0</v>
      </c>
      <c r="U3483" s="19" t="str">
        <f>IFERROR(LEFT(I3482,FIND("*",I3482)-1),"-")</f>
        <v>-</v>
      </c>
      <c r="V3483" s="19" t="str">
        <f>IFERROR(RIGHT(I3482,LEN(I3482)-FIND("*",I3482)),"-")</f>
        <v>-</v>
      </c>
      <c r="W3483" s="20" t="str">
        <f t="shared" si="1888"/>
        <v>-</v>
      </c>
      <c r="X3483" s="20" t="str">
        <f t="shared" ref="X3483" si="1893">IFERROR(W3483*J3482,"-")</f>
        <v>-</v>
      </c>
      <c r="Z3483" s="85" t="s">
        <v>82</v>
      </c>
    </row>
    <row r="3484" spans="1:26" ht="6.95" customHeight="1" x14ac:dyDescent="0.3">
      <c r="A3484" s="5"/>
      <c r="B3484" s="157"/>
      <c r="C3484" s="158"/>
      <c r="D3484" s="161"/>
      <c r="E3484" s="162"/>
      <c r="F3484" s="163"/>
      <c r="G3484" s="164"/>
      <c r="H3484" s="165"/>
      <c r="I3484" s="164"/>
      <c r="J3484" s="165"/>
      <c r="K3484" s="164"/>
      <c r="L3484" s="165"/>
      <c r="M3484" s="6"/>
      <c r="N3484" s="32"/>
      <c r="Q3484" s="10" t="str">
        <f>+CONCATENATE(E3482,K3482)</f>
        <v/>
      </c>
      <c r="R3484" s="10">
        <f>+L3482</f>
        <v>0</v>
      </c>
      <c r="S3484" s="11"/>
      <c r="T3484" s="10">
        <f>+E3482</f>
        <v>0</v>
      </c>
      <c r="U3484" s="19" t="str">
        <f>IFERROR(LEFT(K3482,FIND("*",K3482)-1),"-")</f>
        <v>-</v>
      </c>
      <c r="V3484" s="19" t="str">
        <f>IFERROR(RIGHT(K3482,LEN(K3482)-FIND("*",K3482)),"-")</f>
        <v>-</v>
      </c>
      <c r="W3484" s="20" t="str">
        <f t="shared" si="1888"/>
        <v>-</v>
      </c>
      <c r="X3484" s="20" t="str">
        <f>IFERROR(W3484*L3482,"-")</f>
        <v>-</v>
      </c>
      <c r="Z3484" s="85" t="s">
        <v>82</v>
      </c>
    </row>
    <row r="3485" spans="1:26" ht="21" customHeight="1" thickBot="1" x14ac:dyDescent="0.35">
      <c r="A3485" s="5"/>
      <c r="B3485" s="159"/>
      <c r="C3485" s="160"/>
      <c r="D3485" s="166" t="s">
        <v>43</v>
      </c>
      <c r="E3485" s="167"/>
      <c r="F3485" s="167"/>
      <c r="G3485" s="168"/>
      <c r="H3485" s="168"/>
      <c r="I3485" s="168"/>
      <c r="J3485" s="168"/>
      <c r="K3485" s="168"/>
      <c r="L3485" s="168"/>
      <c r="M3485" s="7"/>
      <c r="N3485" s="32"/>
      <c r="Z3485" s="86" t="s">
        <v>81</v>
      </c>
    </row>
    <row r="3486" spans="1:26" ht="9.9499999999999993" customHeight="1" thickBot="1" x14ac:dyDescent="0.35">
      <c r="B3486" s="9"/>
      <c r="C3486" s="109"/>
      <c r="D3486" s="51"/>
      <c r="E3486" s="12"/>
      <c r="F3486" s="51"/>
      <c r="G3486" s="14"/>
      <c r="H3486" s="14"/>
      <c r="I3486" s="14"/>
      <c r="J3486" s="14"/>
      <c r="K3486" s="14"/>
      <c r="L3486" s="14"/>
      <c r="M3486" s="9"/>
      <c r="N3486" s="32"/>
      <c r="U3486" s="18"/>
      <c r="V3486" s="18"/>
      <c r="Z3486" s="85" t="s">
        <v>82</v>
      </c>
    </row>
    <row r="3487" spans="1:26" ht="6.95" customHeight="1" x14ac:dyDescent="0.3">
      <c r="A3487" s="154">
        <f>+A3476+1</f>
        <v>1116</v>
      </c>
      <c r="B3487" s="155"/>
      <c r="C3487" s="156"/>
      <c r="D3487" s="161" t="s">
        <v>39</v>
      </c>
      <c r="E3487" s="162"/>
      <c r="F3487" s="163" t="s">
        <v>40</v>
      </c>
      <c r="G3487" s="164"/>
      <c r="H3487" s="165"/>
      <c r="I3487" s="164"/>
      <c r="J3487" s="165"/>
      <c r="K3487" s="164"/>
      <c r="L3487" s="165"/>
      <c r="M3487" s="6"/>
      <c r="N3487" s="32"/>
      <c r="Q3487" s="10" t="str">
        <f>+CONCATENATE(E3487,G3487)</f>
        <v/>
      </c>
      <c r="R3487" s="10">
        <f>+H3487</f>
        <v>0</v>
      </c>
      <c r="S3487" s="11"/>
      <c r="T3487" s="10">
        <f>+E3487</f>
        <v>0</v>
      </c>
      <c r="U3487" s="19" t="str">
        <f>IFERROR(LEFT(G3487,FIND("*",G3487)-1),"-")</f>
        <v>-</v>
      </c>
      <c r="V3487" s="19" t="str">
        <f>IFERROR(RIGHT(G3487,LEN(G3487)-FIND("*",G3487)),"-")</f>
        <v>-</v>
      </c>
      <c r="W3487" s="20" t="str">
        <f>IFERROR((U3487+V3487)*2/1000,"-")</f>
        <v>-</v>
      </c>
      <c r="X3487" s="20" t="str">
        <f>IFERROR(W3487*H3487,"-")</f>
        <v>-</v>
      </c>
      <c r="Z3487" s="85" t="s">
        <v>82</v>
      </c>
    </row>
    <row r="3488" spans="1:26" ht="6.95" customHeight="1" x14ac:dyDescent="0.3">
      <c r="A3488" s="154"/>
      <c r="B3488" s="157"/>
      <c r="C3488" s="158"/>
      <c r="D3488" s="161"/>
      <c r="E3488" s="162"/>
      <c r="F3488" s="163"/>
      <c r="G3488" s="164"/>
      <c r="H3488" s="165"/>
      <c r="I3488" s="164"/>
      <c r="J3488" s="165"/>
      <c r="K3488" s="164"/>
      <c r="L3488" s="165"/>
      <c r="M3488" s="6"/>
      <c r="N3488" s="32"/>
      <c r="Q3488" s="10" t="str">
        <f>+CONCATENATE(E3487,I3487)</f>
        <v/>
      </c>
      <c r="R3488" s="10">
        <f>+J3487</f>
        <v>0</v>
      </c>
      <c r="S3488" s="11"/>
      <c r="T3488" s="10">
        <f>+E3487</f>
        <v>0</v>
      </c>
      <c r="U3488" s="19" t="str">
        <f>IFERROR(LEFT(I3487,FIND("*",I3487)-1),"-")</f>
        <v>-</v>
      </c>
      <c r="V3488" s="19" t="str">
        <f>IFERROR(RIGHT(I3487,LEN(I3487)-FIND("*",I3487)),"-")</f>
        <v>-</v>
      </c>
      <c r="W3488" s="20" t="str">
        <f t="shared" ref="W3488:W3495" si="1894">IFERROR((U3488+V3488)*2/1000,"-")</f>
        <v>-</v>
      </c>
      <c r="X3488" s="20" t="str">
        <f>IFERROR(W3488*J3487,"-")</f>
        <v>-</v>
      </c>
      <c r="Z3488" s="85" t="s">
        <v>82</v>
      </c>
    </row>
    <row r="3489" spans="1:26" ht="6.95" customHeight="1" x14ac:dyDescent="0.3">
      <c r="A3489" s="154"/>
      <c r="B3489" s="157"/>
      <c r="C3489" s="158"/>
      <c r="D3489" s="161"/>
      <c r="E3489" s="162"/>
      <c r="F3489" s="163"/>
      <c r="G3489" s="164"/>
      <c r="H3489" s="165"/>
      <c r="I3489" s="164"/>
      <c r="J3489" s="165"/>
      <c r="K3489" s="164"/>
      <c r="L3489" s="165"/>
      <c r="M3489" s="6"/>
      <c r="N3489" s="32"/>
      <c r="Q3489" s="10" t="str">
        <f>+CONCATENATE(E3487,K3487)</f>
        <v/>
      </c>
      <c r="R3489" s="10">
        <f>+L3487</f>
        <v>0</v>
      </c>
      <c r="S3489" s="11"/>
      <c r="T3489" s="10">
        <f>+E3487</f>
        <v>0</v>
      </c>
      <c r="U3489" s="19" t="str">
        <f>IFERROR(LEFT(K3487,FIND("*",K3487)-1),"-")</f>
        <v>-</v>
      </c>
      <c r="V3489" s="19" t="str">
        <f>IFERROR(RIGHT(K3487,LEN(K3487)-FIND("*",K3487)),"-")</f>
        <v>-</v>
      </c>
      <c r="W3489" s="20" t="str">
        <f t="shared" si="1894"/>
        <v>-</v>
      </c>
      <c r="X3489" s="20" t="str">
        <f>IFERROR(W3489*L3487,"-")</f>
        <v>-</v>
      </c>
      <c r="Z3489" s="85" t="s">
        <v>82</v>
      </c>
    </row>
    <row r="3490" spans="1:26" ht="6.95" customHeight="1" x14ac:dyDescent="0.3">
      <c r="A3490" s="8"/>
      <c r="B3490" s="157"/>
      <c r="C3490" s="158"/>
      <c r="D3490" s="161" t="s">
        <v>39</v>
      </c>
      <c r="E3490" s="162"/>
      <c r="F3490" s="163" t="s">
        <v>40</v>
      </c>
      <c r="G3490" s="164"/>
      <c r="H3490" s="165"/>
      <c r="I3490" s="164"/>
      <c r="J3490" s="165"/>
      <c r="K3490" s="164"/>
      <c r="L3490" s="165"/>
      <c r="M3490" s="6"/>
      <c r="N3490" s="32"/>
      <c r="Q3490" s="10" t="str">
        <f>+CONCATENATE(E3490,G3490)</f>
        <v/>
      </c>
      <c r="R3490" s="10">
        <f>+H3490</f>
        <v>0</v>
      </c>
      <c r="S3490" s="11"/>
      <c r="T3490" s="10">
        <f>+E3490</f>
        <v>0</v>
      </c>
      <c r="U3490" s="19" t="str">
        <f t="shared" ref="U3490" si="1895">IFERROR(LEFT(G3490,FIND("*",G3490)-1),"-")</f>
        <v>-</v>
      </c>
      <c r="V3490" s="19" t="str">
        <f t="shared" ref="V3490" si="1896">IFERROR(RIGHT(G3490,LEN(G3490)-FIND("*",G3490)),"-")</f>
        <v>-</v>
      </c>
      <c r="W3490" s="20" t="str">
        <f t="shared" si="1894"/>
        <v>-</v>
      </c>
      <c r="X3490" s="20" t="str">
        <f>IFERROR(W3490*H3490,"-")</f>
        <v>-</v>
      </c>
      <c r="Z3490" s="85" t="s">
        <v>82</v>
      </c>
    </row>
    <row r="3491" spans="1:26" ht="6.95" customHeight="1" x14ac:dyDescent="0.3">
      <c r="A3491" s="5"/>
      <c r="B3491" s="157"/>
      <c r="C3491" s="158"/>
      <c r="D3491" s="161"/>
      <c r="E3491" s="162"/>
      <c r="F3491" s="163"/>
      <c r="G3491" s="164"/>
      <c r="H3491" s="165"/>
      <c r="I3491" s="164"/>
      <c r="J3491" s="165"/>
      <c r="K3491" s="164"/>
      <c r="L3491" s="165"/>
      <c r="M3491" s="6"/>
      <c r="N3491" s="32"/>
      <c r="Q3491" s="10" t="str">
        <f>+CONCATENATE(E3490,I3490)</f>
        <v/>
      </c>
      <c r="R3491" s="10">
        <f>+J3490</f>
        <v>0</v>
      </c>
      <c r="S3491" s="11"/>
      <c r="T3491" s="10">
        <f>+E3490</f>
        <v>0</v>
      </c>
      <c r="U3491" s="19" t="str">
        <f>IFERROR(LEFT(I3490,FIND("*",I3490)-1),"-")</f>
        <v>-</v>
      </c>
      <c r="V3491" s="19" t="str">
        <f>IFERROR(RIGHT(I3490,LEN(I3490)-FIND("*",I3490)),"-")</f>
        <v>-</v>
      </c>
      <c r="W3491" s="20" t="str">
        <f t="shared" si="1894"/>
        <v>-</v>
      </c>
      <c r="X3491" s="20" t="str">
        <f>IFERROR(W3491*J3490,"-")</f>
        <v>-</v>
      </c>
      <c r="Z3491" s="85" t="s">
        <v>82</v>
      </c>
    </row>
    <row r="3492" spans="1:26" ht="6.95" customHeight="1" x14ac:dyDescent="0.3">
      <c r="A3492" s="5"/>
      <c r="B3492" s="157"/>
      <c r="C3492" s="158"/>
      <c r="D3492" s="161"/>
      <c r="E3492" s="162"/>
      <c r="F3492" s="163"/>
      <c r="G3492" s="164"/>
      <c r="H3492" s="165"/>
      <c r="I3492" s="164"/>
      <c r="J3492" s="165"/>
      <c r="K3492" s="164"/>
      <c r="L3492" s="165"/>
      <c r="M3492" s="6"/>
      <c r="N3492" s="32"/>
      <c r="Q3492" s="10" t="str">
        <f>+CONCATENATE(E3490,K3490)</f>
        <v/>
      </c>
      <c r="R3492" s="10">
        <f>+L3490</f>
        <v>0</v>
      </c>
      <c r="S3492" s="11"/>
      <c r="T3492" s="10">
        <f>+E3490</f>
        <v>0</v>
      </c>
      <c r="U3492" s="19" t="str">
        <f>IFERROR(LEFT(K3490,FIND("*",K3490)-1),"-")</f>
        <v>-</v>
      </c>
      <c r="V3492" s="19" t="str">
        <f>IFERROR(RIGHT(K3490,LEN(K3490)-FIND("*",K3490)),"-")</f>
        <v>-</v>
      </c>
      <c r="W3492" s="20" t="str">
        <f t="shared" si="1894"/>
        <v>-</v>
      </c>
      <c r="X3492" s="20" t="str">
        <f>IFERROR(W3492*L3490,"-")</f>
        <v>-</v>
      </c>
      <c r="Z3492" s="85" t="s">
        <v>82</v>
      </c>
    </row>
    <row r="3493" spans="1:26" ht="6.95" customHeight="1" x14ac:dyDescent="0.3">
      <c r="A3493" s="8"/>
      <c r="B3493" s="157"/>
      <c r="C3493" s="158"/>
      <c r="D3493" s="161" t="s">
        <v>39</v>
      </c>
      <c r="E3493" s="162"/>
      <c r="F3493" s="163" t="s">
        <v>40</v>
      </c>
      <c r="G3493" s="164"/>
      <c r="H3493" s="165"/>
      <c r="I3493" s="164"/>
      <c r="J3493" s="165"/>
      <c r="K3493" s="164"/>
      <c r="L3493" s="165"/>
      <c r="M3493" s="6"/>
      <c r="N3493" s="32"/>
      <c r="Q3493" s="10" t="str">
        <f>+CONCATENATE(E3493,G3493)</f>
        <v/>
      </c>
      <c r="R3493" s="10">
        <f>+H3493</f>
        <v>0</v>
      </c>
      <c r="S3493" s="11"/>
      <c r="T3493" s="10">
        <f>+E3493</f>
        <v>0</v>
      </c>
      <c r="U3493" s="19" t="str">
        <f t="shared" ref="U3493" si="1897">IFERROR(LEFT(G3493,FIND("*",G3493)-1),"-")</f>
        <v>-</v>
      </c>
      <c r="V3493" s="19" t="str">
        <f t="shared" ref="V3493" si="1898">IFERROR(RIGHT(G3493,LEN(G3493)-FIND("*",G3493)),"-")</f>
        <v>-</v>
      </c>
      <c r="W3493" s="20" t="str">
        <f t="shared" si="1894"/>
        <v>-</v>
      </c>
      <c r="X3493" s="20" t="str">
        <f>IFERROR(W3493*H3493,"-")</f>
        <v>-</v>
      </c>
      <c r="Z3493" s="85" t="s">
        <v>82</v>
      </c>
    </row>
    <row r="3494" spans="1:26" ht="6.95" customHeight="1" x14ac:dyDescent="0.3">
      <c r="A3494" s="5"/>
      <c r="B3494" s="157"/>
      <c r="C3494" s="158"/>
      <c r="D3494" s="161"/>
      <c r="E3494" s="162"/>
      <c r="F3494" s="163"/>
      <c r="G3494" s="164"/>
      <c r="H3494" s="165"/>
      <c r="I3494" s="164"/>
      <c r="J3494" s="165"/>
      <c r="K3494" s="164"/>
      <c r="L3494" s="165"/>
      <c r="M3494" s="6"/>
      <c r="N3494" s="32"/>
      <c r="Q3494" s="10" t="str">
        <f>+CONCATENATE(E3493,I3493)</f>
        <v/>
      </c>
      <c r="R3494" s="10">
        <f>+J3493</f>
        <v>0</v>
      </c>
      <c r="S3494" s="11"/>
      <c r="T3494" s="10">
        <f>+E3493</f>
        <v>0</v>
      </c>
      <c r="U3494" s="19" t="str">
        <f>IFERROR(LEFT(I3493,FIND("*",I3493)-1),"-")</f>
        <v>-</v>
      </c>
      <c r="V3494" s="19" t="str">
        <f>IFERROR(RIGHT(I3493,LEN(I3493)-FIND("*",I3493)),"-")</f>
        <v>-</v>
      </c>
      <c r="W3494" s="20" t="str">
        <f t="shared" si="1894"/>
        <v>-</v>
      </c>
      <c r="X3494" s="20" t="str">
        <f t="shared" ref="X3494" si="1899">IFERROR(W3494*J3493,"-")</f>
        <v>-</v>
      </c>
      <c r="Z3494" s="85" t="s">
        <v>82</v>
      </c>
    </row>
    <row r="3495" spans="1:26" ht="6.95" customHeight="1" x14ac:dyDescent="0.3">
      <c r="A3495" s="5"/>
      <c r="B3495" s="157"/>
      <c r="C3495" s="158"/>
      <c r="D3495" s="161"/>
      <c r="E3495" s="162"/>
      <c r="F3495" s="163"/>
      <c r="G3495" s="164"/>
      <c r="H3495" s="165"/>
      <c r="I3495" s="164"/>
      <c r="J3495" s="165"/>
      <c r="K3495" s="164"/>
      <c r="L3495" s="165"/>
      <c r="M3495" s="6"/>
      <c r="N3495" s="32"/>
      <c r="Q3495" s="10" t="str">
        <f>+CONCATENATE(E3493,K3493)</f>
        <v/>
      </c>
      <c r="R3495" s="10">
        <f>+L3493</f>
        <v>0</v>
      </c>
      <c r="S3495" s="11"/>
      <c r="T3495" s="10">
        <f>+E3493</f>
        <v>0</v>
      </c>
      <c r="U3495" s="19" t="str">
        <f>IFERROR(LEFT(K3493,FIND("*",K3493)-1),"-")</f>
        <v>-</v>
      </c>
      <c r="V3495" s="19" t="str">
        <f>IFERROR(RIGHT(K3493,LEN(K3493)-FIND("*",K3493)),"-")</f>
        <v>-</v>
      </c>
      <c r="W3495" s="20" t="str">
        <f t="shared" si="1894"/>
        <v>-</v>
      </c>
      <c r="X3495" s="20" t="str">
        <f>IFERROR(W3495*L3493,"-")</f>
        <v>-</v>
      </c>
      <c r="Z3495" s="85" t="s">
        <v>82</v>
      </c>
    </row>
    <row r="3496" spans="1:26" ht="21" customHeight="1" thickBot="1" x14ac:dyDescent="0.35">
      <c r="A3496" s="5"/>
      <c r="B3496" s="159"/>
      <c r="C3496" s="160"/>
      <c r="D3496" s="166" t="s">
        <v>43</v>
      </c>
      <c r="E3496" s="167"/>
      <c r="F3496" s="167"/>
      <c r="G3496" s="168"/>
      <c r="H3496" s="168"/>
      <c r="I3496" s="168"/>
      <c r="J3496" s="168"/>
      <c r="K3496" s="168"/>
      <c r="L3496" s="168"/>
      <c r="M3496" s="7"/>
      <c r="N3496" s="32"/>
      <c r="Z3496" s="86" t="s">
        <v>81</v>
      </c>
    </row>
    <row r="3497" spans="1:26" ht="9.9499999999999993" customHeight="1" thickBot="1" x14ac:dyDescent="0.35">
      <c r="B3497" s="9"/>
      <c r="C3497" s="109"/>
      <c r="D3497" s="51"/>
      <c r="E3497" s="12"/>
      <c r="F3497" s="51"/>
      <c r="G3497" s="14"/>
      <c r="H3497" s="14"/>
      <c r="I3497" s="14"/>
      <c r="J3497" s="14"/>
      <c r="K3497" s="14"/>
      <c r="L3497" s="14"/>
      <c r="M3497" s="9"/>
      <c r="N3497" s="32"/>
      <c r="U3497" s="18"/>
      <c r="V3497" s="18"/>
      <c r="Z3497" s="85" t="s">
        <v>82</v>
      </c>
    </row>
    <row r="3498" spans="1:26" ht="6.95" customHeight="1" x14ac:dyDescent="0.3">
      <c r="A3498" s="154">
        <f>+A3487+1</f>
        <v>1117</v>
      </c>
      <c r="B3498" s="155"/>
      <c r="C3498" s="156"/>
      <c r="D3498" s="161" t="s">
        <v>39</v>
      </c>
      <c r="E3498" s="162"/>
      <c r="F3498" s="163" t="s">
        <v>40</v>
      </c>
      <c r="G3498" s="164"/>
      <c r="H3498" s="165"/>
      <c r="I3498" s="164"/>
      <c r="J3498" s="165"/>
      <c r="K3498" s="164"/>
      <c r="L3498" s="165"/>
      <c r="M3498" s="6"/>
      <c r="N3498" s="32"/>
      <c r="Q3498" s="10" t="str">
        <f>+CONCATENATE(E3498,G3498)</f>
        <v/>
      </c>
      <c r="R3498" s="10">
        <f>+H3498</f>
        <v>0</v>
      </c>
      <c r="S3498" s="11"/>
      <c r="T3498" s="10">
        <f>+E3498</f>
        <v>0</v>
      </c>
      <c r="U3498" s="19" t="str">
        <f>IFERROR(LEFT(G3498,FIND("*",G3498)-1),"-")</f>
        <v>-</v>
      </c>
      <c r="V3498" s="19" t="str">
        <f>IFERROR(RIGHT(G3498,LEN(G3498)-FIND("*",G3498)),"-")</f>
        <v>-</v>
      </c>
      <c r="W3498" s="20" t="str">
        <f>IFERROR((U3498+V3498)*2/1000,"-")</f>
        <v>-</v>
      </c>
      <c r="X3498" s="20" t="str">
        <f>IFERROR(W3498*H3498,"-")</f>
        <v>-</v>
      </c>
      <c r="Z3498" s="85" t="s">
        <v>82</v>
      </c>
    </row>
    <row r="3499" spans="1:26" ht="6.95" customHeight="1" x14ac:dyDescent="0.3">
      <c r="A3499" s="154"/>
      <c r="B3499" s="157"/>
      <c r="C3499" s="158"/>
      <c r="D3499" s="161"/>
      <c r="E3499" s="162"/>
      <c r="F3499" s="163"/>
      <c r="G3499" s="164"/>
      <c r="H3499" s="165"/>
      <c r="I3499" s="164"/>
      <c r="J3499" s="165"/>
      <c r="K3499" s="164"/>
      <c r="L3499" s="165"/>
      <c r="M3499" s="6"/>
      <c r="N3499" s="32"/>
      <c r="Q3499" s="10" t="str">
        <f>+CONCATENATE(E3498,I3498)</f>
        <v/>
      </c>
      <c r="R3499" s="10">
        <f>+J3498</f>
        <v>0</v>
      </c>
      <c r="S3499" s="11"/>
      <c r="T3499" s="10">
        <f>+E3498</f>
        <v>0</v>
      </c>
      <c r="U3499" s="19" t="str">
        <f>IFERROR(LEFT(I3498,FIND("*",I3498)-1),"-")</f>
        <v>-</v>
      </c>
      <c r="V3499" s="19" t="str">
        <f>IFERROR(RIGHT(I3498,LEN(I3498)-FIND("*",I3498)),"-")</f>
        <v>-</v>
      </c>
      <c r="W3499" s="20" t="str">
        <f t="shared" ref="W3499:W3506" si="1900">IFERROR((U3499+V3499)*2/1000,"-")</f>
        <v>-</v>
      </c>
      <c r="X3499" s="20" t="str">
        <f>IFERROR(W3499*J3498,"-")</f>
        <v>-</v>
      </c>
      <c r="Z3499" s="85" t="s">
        <v>82</v>
      </c>
    </row>
    <row r="3500" spans="1:26" ht="6.95" customHeight="1" x14ac:dyDescent="0.3">
      <c r="A3500" s="154"/>
      <c r="B3500" s="157"/>
      <c r="C3500" s="158"/>
      <c r="D3500" s="161"/>
      <c r="E3500" s="162"/>
      <c r="F3500" s="163"/>
      <c r="G3500" s="164"/>
      <c r="H3500" s="165"/>
      <c r="I3500" s="164"/>
      <c r="J3500" s="165"/>
      <c r="K3500" s="164"/>
      <c r="L3500" s="165"/>
      <c r="M3500" s="6"/>
      <c r="N3500" s="32"/>
      <c r="Q3500" s="10" t="str">
        <f>+CONCATENATE(E3498,K3498)</f>
        <v/>
      </c>
      <c r="R3500" s="10">
        <f>+L3498</f>
        <v>0</v>
      </c>
      <c r="S3500" s="11"/>
      <c r="T3500" s="10">
        <f>+E3498</f>
        <v>0</v>
      </c>
      <c r="U3500" s="19" t="str">
        <f>IFERROR(LEFT(K3498,FIND("*",K3498)-1),"-")</f>
        <v>-</v>
      </c>
      <c r="V3500" s="19" t="str">
        <f>IFERROR(RIGHT(K3498,LEN(K3498)-FIND("*",K3498)),"-")</f>
        <v>-</v>
      </c>
      <c r="W3500" s="20" t="str">
        <f t="shared" si="1900"/>
        <v>-</v>
      </c>
      <c r="X3500" s="20" t="str">
        <f>IFERROR(W3500*L3498,"-")</f>
        <v>-</v>
      </c>
      <c r="Z3500" s="85" t="s">
        <v>82</v>
      </c>
    </row>
    <row r="3501" spans="1:26" ht="6.95" customHeight="1" x14ac:dyDescent="0.3">
      <c r="A3501" s="8"/>
      <c r="B3501" s="157"/>
      <c r="C3501" s="158"/>
      <c r="D3501" s="161" t="s">
        <v>39</v>
      </c>
      <c r="E3501" s="162"/>
      <c r="F3501" s="163" t="s">
        <v>40</v>
      </c>
      <c r="G3501" s="164"/>
      <c r="H3501" s="165"/>
      <c r="I3501" s="164"/>
      <c r="J3501" s="165"/>
      <c r="K3501" s="164"/>
      <c r="L3501" s="165"/>
      <c r="M3501" s="6"/>
      <c r="N3501" s="32"/>
      <c r="Q3501" s="10" t="str">
        <f>+CONCATENATE(E3501,G3501)</f>
        <v/>
      </c>
      <c r="R3501" s="10">
        <f>+H3501</f>
        <v>0</v>
      </c>
      <c r="S3501" s="11"/>
      <c r="T3501" s="10">
        <f>+E3501</f>
        <v>0</v>
      </c>
      <c r="U3501" s="19" t="str">
        <f t="shared" ref="U3501" si="1901">IFERROR(LEFT(G3501,FIND("*",G3501)-1),"-")</f>
        <v>-</v>
      </c>
      <c r="V3501" s="19" t="str">
        <f t="shared" ref="V3501" si="1902">IFERROR(RIGHT(G3501,LEN(G3501)-FIND("*",G3501)),"-")</f>
        <v>-</v>
      </c>
      <c r="W3501" s="20" t="str">
        <f t="shared" si="1900"/>
        <v>-</v>
      </c>
      <c r="X3501" s="20" t="str">
        <f>IFERROR(W3501*H3501,"-")</f>
        <v>-</v>
      </c>
      <c r="Z3501" s="85" t="s">
        <v>82</v>
      </c>
    </row>
    <row r="3502" spans="1:26" ht="6.95" customHeight="1" x14ac:dyDescent="0.3">
      <c r="A3502" s="5"/>
      <c r="B3502" s="157"/>
      <c r="C3502" s="158"/>
      <c r="D3502" s="161"/>
      <c r="E3502" s="162"/>
      <c r="F3502" s="163"/>
      <c r="G3502" s="164"/>
      <c r="H3502" s="165"/>
      <c r="I3502" s="164"/>
      <c r="J3502" s="165"/>
      <c r="K3502" s="164"/>
      <c r="L3502" s="165"/>
      <c r="M3502" s="6"/>
      <c r="N3502" s="32"/>
      <c r="Q3502" s="10" t="str">
        <f>+CONCATENATE(E3501,I3501)</f>
        <v/>
      </c>
      <c r="R3502" s="10">
        <f>+J3501</f>
        <v>0</v>
      </c>
      <c r="S3502" s="11"/>
      <c r="T3502" s="10">
        <f>+E3501</f>
        <v>0</v>
      </c>
      <c r="U3502" s="19" t="str">
        <f>IFERROR(LEFT(I3501,FIND("*",I3501)-1),"-")</f>
        <v>-</v>
      </c>
      <c r="V3502" s="19" t="str">
        <f>IFERROR(RIGHT(I3501,LEN(I3501)-FIND("*",I3501)),"-")</f>
        <v>-</v>
      </c>
      <c r="W3502" s="20" t="str">
        <f t="shared" si="1900"/>
        <v>-</v>
      </c>
      <c r="X3502" s="20" t="str">
        <f>IFERROR(W3502*J3501,"-")</f>
        <v>-</v>
      </c>
      <c r="Z3502" s="85" t="s">
        <v>82</v>
      </c>
    </row>
    <row r="3503" spans="1:26" ht="6.95" customHeight="1" x14ac:dyDescent="0.3">
      <c r="A3503" s="5"/>
      <c r="B3503" s="157"/>
      <c r="C3503" s="158"/>
      <c r="D3503" s="161"/>
      <c r="E3503" s="162"/>
      <c r="F3503" s="163"/>
      <c r="G3503" s="164"/>
      <c r="H3503" s="165"/>
      <c r="I3503" s="164"/>
      <c r="J3503" s="165"/>
      <c r="K3503" s="164"/>
      <c r="L3503" s="165"/>
      <c r="M3503" s="6"/>
      <c r="N3503" s="32"/>
      <c r="Q3503" s="10" t="str">
        <f>+CONCATENATE(E3501,K3501)</f>
        <v/>
      </c>
      <c r="R3503" s="10">
        <f>+L3501</f>
        <v>0</v>
      </c>
      <c r="S3503" s="11"/>
      <c r="T3503" s="10">
        <f>+E3501</f>
        <v>0</v>
      </c>
      <c r="U3503" s="19" t="str">
        <f>IFERROR(LEFT(K3501,FIND("*",K3501)-1),"-")</f>
        <v>-</v>
      </c>
      <c r="V3503" s="19" t="str">
        <f>IFERROR(RIGHT(K3501,LEN(K3501)-FIND("*",K3501)),"-")</f>
        <v>-</v>
      </c>
      <c r="W3503" s="20" t="str">
        <f t="shared" si="1900"/>
        <v>-</v>
      </c>
      <c r="X3503" s="20" t="str">
        <f>IFERROR(W3503*L3501,"-")</f>
        <v>-</v>
      </c>
      <c r="Z3503" s="85" t="s">
        <v>82</v>
      </c>
    </row>
    <row r="3504" spans="1:26" ht="6.95" customHeight="1" x14ac:dyDescent="0.3">
      <c r="A3504" s="8"/>
      <c r="B3504" s="157"/>
      <c r="C3504" s="158"/>
      <c r="D3504" s="161" t="s">
        <v>39</v>
      </c>
      <c r="E3504" s="162"/>
      <c r="F3504" s="163" t="s">
        <v>40</v>
      </c>
      <c r="G3504" s="164"/>
      <c r="H3504" s="165"/>
      <c r="I3504" s="164"/>
      <c r="J3504" s="165"/>
      <c r="K3504" s="164"/>
      <c r="L3504" s="165"/>
      <c r="M3504" s="6"/>
      <c r="N3504" s="32"/>
      <c r="Q3504" s="10" t="str">
        <f>+CONCATENATE(E3504,G3504)</f>
        <v/>
      </c>
      <c r="R3504" s="10">
        <f>+H3504</f>
        <v>0</v>
      </c>
      <c r="S3504" s="11"/>
      <c r="T3504" s="10">
        <f>+E3504</f>
        <v>0</v>
      </c>
      <c r="U3504" s="19" t="str">
        <f t="shared" ref="U3504" si="1903">IFERROR(LEFT(G3504,FIND("*",G3504)-1),"-")</f>
        <v>-</v>
      </c>
      <c r="V3504" s="19" t="str">
        <f t="shared" ref="V3504" si="1904">IFERROR(RIGHT(G3504,LEN(G3504)-FIND("*",G3504)),"-")</f>
        <v>-</v>
      </c>
      <c r="W3504" s="20" t="str">
        <f t="shared" si="1900"/>
        <v>-</v>
      </c>
      <c r="X3504" s="20" t="str">
        <f>IFERROR(W3504*H3504,"-")</f>
        <v>-</v>
      </c>
      <c r="Z3504" s="85" t="s">
        <v>82</v>
      </c>
    </row>
    <row r="3505" spans="1:26" ht="6.95" customHeight="1" x14ac:dyDescent="0.3">
      <c r="A3505" s="5"/>
      <c r="B3505" s="157"/>
      <c r="C3505" s="158"/>
      <c r="D3505" s="161"/>
      <c r="E3505" s="162"/>
      <c r="F3505" s="163"/>
      <c r="G3505" s="164"/>
      <c r="H3505" s="165"/>
      <c r="I3505" s="164"/>
      <c r="J3505" s="165"/>
      <c r="K3505" s="164"/>
      <c r="L3505" s="165"/>
      <c r="M3505" s="6"/>
      <c r="N3505" s="32"/>
      <c r="Q3505" s="10" t="str">
        <f>+CONCATENATE(E3504,I3504)</f>
        <v/>
      </c>
      <c r="R3505" s="10">
        <f>+J3504</f>
        <v>0</v>
      </c>
      <c r="S3505" s="11"/>
      <c r="T3505" s="10">
        <f>+E3504</f>
        <v>0</v>
      </c>
      <c r="U3505" s="19" t="str">
        <f>IFERROR(LEFT(I3504,FIND("*",I3504)-1),"-")</f>
        <v>-</v>
      </c>
      <c r="V3505" s="19" t="str">
        <f>IFERROR(RIGHT(I3504,LEN(I3504)-FIND("*",I3504)),"-")</f>
        <v>-</v>
      </c>
      <c r="W3505" s="20" t="str">
        <f t="shared" si="1900"/>
        <v>-</v>
      </c>
      <c r="X3505" s="20" t="str">
        <f t="shared" ref="X3505" si="1905">IFERROR(W3505*J3504,"-")</f>
        <v>-</v>
      </c>
      <c r="Z3505" s="85" t="s">
        <v>82</v>
      </c>
    </row>
    <row r="3506" spans="1:26" ht="6.95" customHeight="1" x14ac:dyDescent="0.3">
      <c r="A3506" s="5"/>
      <c r="B3506" s="157"/>
      <c r="C3506" s="158"/>
      <c r="D3506" s="161"/>
      <c r="E3506" s="162"/>
      <c r="F3506" s="163"/>
      <c r="G3506" s="164"/>
      <c r="H3506" s="165"/>
      <c r="I3506" s="164"/>
      <c r="J3506" s="165"/>
      <c r="K3506" s="164"/>
      <c r="L3506" s="165"/>
      <c r="M3506" s="6"/>
      <c r="N3506" s="32"/>
      <c r="Q3506" s="10" t="str">
        <f>+CONCATENATE(E3504,K3504)</f>
        <v/>
      </c>
      <c r="R3506" s="10">
        <f>+L3504</f>
        <v>0</v>
      </c>
      <c r="S3506" s="11"/>
      <c r="T3506" s="10">
        <f>+E3504</f>
        <v>0</v>
      </c>
      <c r="U3506" s="19" t="str">
        <f>IFERROR(LEFT(K3504,FIND("*",K3504)-1),"-")</f>
        <v>-</v>
      </c>
      <c r="V3506" s="19" t="str">
        <f>IFERROR(RIGHT(K3504,LEN(K3504)-FIND("*",K3504)),"-")</f>
        <v>-</v>
      </c>
      <c r="W3506" s="20" t="str">
        <f t="shared" si="1900"/>
        <v>-</v>
      </c>
      <c r="X3506" s="20" t="str">
        <f>IFERROR(W3506*L3504,"-")</f>
        <v>-</v>
      </c>
      <c r="Z3506" s="85" t="s">
        <v>82</v>
      </c>
    </row>
    <row r="3507" spans="1:26" ht="21" customHeight="1" thickBot="1" x14ac:dyDescent="0.35">
      <c r="A3507" s="5"/>
      <c r="B3507" s="159"/>
      <c r="C3507" s="160"/>
      <c r="D3507" s="166" t="s">
        <v>43</v>
      </c>
      <c r="E3507" s="167"/>
      <c r="F3507" s="167"/>
      <c r="G3507" s="168"/>
      <c r="H3507" s="168"/>
      <c r="I3507" s="168"/>
      <c r="J3507" s="168"/>
      <c r="K3507" s="168"/>
      <c r="L3507" s="168"/>
      <c r="M3507" s="7"/>
      <c r="N3507" s="32"/>
      <c r="Z3507" s="86" t="s">
        <v>81</v>
      </c>
    </row>
    <row r="3508" spans="1:26" ht="9.9499999999999993" customHeight="1" thickBot="1" x14ac:dyDescent="0.35">
      <c r="B3508" s="9"/>
      <c r="C3508" s="109"/>
      <c r="D3508" s="51"/>
      <c r="E3508" s="12"/>
      <c r="F3508" s="51"/>
      <c r="G3508" s="14"/>
      <c r="H3508" s="14"/>
      <c r="I3508" s="14"/>
      <c r="J3508" s="14"/>
      <c r="K3508" s="14"/>
      <c r="L3508" s="14"/>
      <c r="M3508" s="9"/>
      <c r="N3508" s="32"/>
      <c r="U3508" s="18"/>
      <c r="V3508" s="18"/>
      <c r="Z3508" s="85" t="s">
        <v>82</v>
      </c>
    </row>
    <row r="3509" spans="1:26" ht="6.95" customHeight="1" x14ac:dyDescent="0.3">
      <c r="A3509" s="154">
        <f>+A3498+1</f>
        <v>1118</v>
      </c>
      <c r="B3509" s="155"/>
      <c r="C3509" s="156"/>
      <c r="D3509" s="161" t="s">
        <v>39</v>
      </c>
      <c r="E3509" s="162"/>
      <c r="F3509" s="163" t="s">
        <v>40</v>
      </c>
      <c r="G3509" s="164"/>
      <c r="H3509" s="165"/>
      <c r="I3509" s="164"/>
      <c r="J3509" s="165"/>
      <c r="K3509" s="164"/>
      <c r="L3509" s="165"/>
      <c r="M3509" s="6"/>
      <c r="N3509" s="32"/>
      <c r="Q3509" s="10" t="str">
        <f>+CONCATENATE(E3509,G3509)</f>
        <v/>
      </c>
      <c r="R3509" s="10">
        <f>+H3509</f>
        <v>0</v>
      </c>
      <c r="S3509" s="11"/>
      <c r="T3509" s="10">
        <f>+E3509</f>
        <v>0</v>
      </c>
      <c r="U3509" s="19" t="str">
        <f>IFERROR(LEFT(G3509,FIND("*",G3509)-1),"-")</f>
        <v>-</v>
      </c>
      <c r="V3509" s="19" t="str">
        <f>IFERROR(RIGHT(G3509,LEN(G3509)-FIND("*",G3509)),"-")</f>
        <v>-</v>
      </c>
      <c r="W3509" s="20" t="str">
        <f>IFERROR((U3509+V3509)*2/1000,"-")</f>
        <v>-</v>
      </c>
      <c r="X3509" s="20" t="str">
        <f>IFERROR(W3509*H3509,"-")</f>
        <v>-</v>
      </c>
      <c r="Z3509" s="85" t="s">
        <v>82</v>
      </c>
    </row>
    <row r="3510" spans="1:26" ht="6.95" customHeight="1" x14ac:dyDescent="0.3">
      <c r="A3510" s="154"/>
      <c r="B3510" s="157"/>
      <c r="C3510" s="158"/>
      <c r="D3510" s="161"/>
      <c r="E3510" s="162"/>
      <c r="F3510" s="163"/>
      <c r="G3510" s="164"/>
      <c r="H3510" s="165"/>
      <c r="I3510" s="164"/>
      <c r="J3510" s="165"/>
      <c r="K3510" s="164"/>
      <c r="L3510" s="165"/>
      <c r="M3510" s="6"/>
      <c r="N3510" s="32"/>
      <c r="Q3510" s="10" t="str">
        <f>+CONCATENATE(E3509,I3509)</f>
        <v/>
      </c>
      <c r="R3510" s="10">
        <f>+J3509</f>
        <v>0</v>
      </c>
      <c r="S3510" s="11"/>
      <c r="T3510" s="10">
        <f>+E3509</f>
        <v>0</v>
      </c>
      <c r="U3510" s="19" t="str">
        <f>IFERROR(LEFT(I3509,FIND("*",I3509)-1),"-")</f>
        <v>-</v>
      </c>
      <c r="V3510" s="19" t="str">
        <f>IFERROR(RIGHT(I3509,LEN(I3509)-FIND("*",I3509)),"-")</f>
        <v>-</v>
      </c>
      <c r="W3510" s="20" t="str">
        <f t="shared" ref="W3510:W3517" si="1906">IFERROR((U3510+V3510)*2/1000,"-")</f>
        <v>-</v>
      </c>
      <c r="X3510" s="20" t="str">
        <f>IFERROR(W3510*J3509,"-")</f>
        <v>-</v>
      </c>
      <c r="Z3510" s="85" t="s">
        <v>82</v>
      </c>
    </row>
    <row r="3511" spans="1:26" ht="6.95" customHeight="1" x14ac:dyDescent="0.3">
      <c r="A3511" s="154"/>
      <c r="B3511" s="157"/>
      <c r="C3511" s="158"/>
      <c r="D3511" s="161"/>
      <c r="E3511" s="162"/>
      <c r="F3511" s="163"/>
      <c r="G3511" s="164"/>
      <c r="H3511" s="165"/>
      <c r="I3511" s="164"/>
      <c r="J3511" s="165"/>
      <c r="K3511" s="164"/>
      <c r="L3511" s="165"/>
      <c r="M3511" s="6"/>
      <c r="N3511" s="32"/>
      <c r="Q3511" s="10" t="str">
        <f>+CONCATENATE(E3509,K3509)</f>
        <v/>
      </c>
      <c r="R3511" s="10">
        <f>+L3509</f>
        <v>0</v>
      </c>
      <c r="S3511" s="11"/>
      <c r="T3511" s="10">
        <f>+E3509</f>
        <v>0</v>
      </c>
      <c r="U3511" s="19" t="str">
        <f>IFERROR(LEFT(K3509,FIND("*",K3509)-1),"-")</f>
        <v>-</v>
      </c>
      <c r="V3511" s="19" t="str">
        <f>IFERROR(RIGHT(K3509,LEN(K3509)-FIND("*",K3509)),"-")</f>
        <v>-</v>
      </c>
      <c r="W3511" s="20" t="str">
        <f t="shared" si="1906"/>
        <v>-</v>
      </c>
      <c r="X3511" s="20" t="str">
        <f>IFERROR(W3511*L3509,"-")</f>
        <v>-</v>
      </c>
      <c r="Z3511" s="85" t="s">
        <v>82</v>
      </c>
    </row>
    <row r="3512" spans="1:26" ht="6.95" customHeight="1" x14ac:dyDescent="0.3">
      <c r="A3512" s="8"/>
      <c r="B3512" s="157"/>
      <c r="C3512" s="158"/>
      <c r="D3512" s="161" t="s">
        <v>39</v>
      </c>
      <c r="E3512" s="162"/>
      <c r="F3512" s="163" t="s">
        <v>40</v>
      </c>
      <c r="G3512" s="164"/>
      <c r="H3512" s="165"/>
      <c r="I3512" s="164"/>
      <c r="J3512" s="165"/>
      <c r="K3512" s="164"/>
      <c r="L3512" s="165"/>
      <c r="M3512" s="6"/>
      <c r="N3512" s="32"/>
      <c r="Q3512" s="10" t="str">
        <f>+CONCATENATE(E3512,G3512)</f>
        <v/>
      </c>
      <c r="R3512" s="10">
        <f>+H3512</f>
        <v>0</v>
      </c>
      <c r="S3512" s="11"/>
      <c r="T3512" s="10">
        <f>+E3512</f>
        <v>0</v>
      </c>
      <c r="U3512" s="19" t="str">
        <f t="shared" ref="U3512" si="1907">IFERROR(LEFT(G3512,FIND("*",G3512)-1),"-")</f>
        <v>-</v>
      </c>
      <c r="V3512" s="19" t="str">
        <f t="shared" ref="V3512" si="1908">IFERROR(RIGHT(G3512,LEN(G3512)-FIND("*",G3512)),"-")</f>
        <v>-</v>
      </c>
      <c r="W3512" s="20" t="str">
        <f t="shared" si="1906"/>
        <v>-</v>
      </c>
      <c r="X3512" s="20" t="str">
        <f>IFERROR(W3512*H3512,"-")</f>
        <v>-</v>
      </c>
      <c r="Z3512" s="85" t="s">
        <v>82</v>
      </c>
    </row>
    <row r="3513" spans="1:26" ht="6.95" customHeight="1" x14ac:dyDescent="0.3">
      <c r="A3513" s="5"/>
      <c r="B3513" s="157"/>
      <c r="C3513" s="158"/>
      <c r="D3513" s="161"/>
      <c r="E3513" s="162"/>
      <c r="F3513" s="163"/>
      <c r="G3513" s="164"/>
      <c r="H3513" s="165"/>
      <c r="I3513" s="164"/>
      <c r="J3513" s="165"/>
      <c r="K3513" s="164"/>
      <c r="L3513" s="165"/>
      <c r="M3513" s="6"/>
      <c r="N3513" s="32"/>
      <c r="Q3513" s="10" t="str">
        <f>+CONCATENATE(E3512,I3512)</f>
        <v/>
      </c>
      <c r="R3513" s="10">
        <f>+J3512</f>
        <v>0</v>
      </c>
      <c r="S3513" s="11"/>
      <c r="T3513" s="10">
        <f>+E3512</f>
        <v>0</v>
      </c>
      <c r="U3513" s="19" t="str">
        <f>IFERROR(LEFT(I3512,FIND("*",I3512)-1),"-")</f>
        <v>-</v>
      </c>
      <c r="V3513" s="19" t="str">
        <f>IFERROR(RIGHT(I3512,LEN(I3512)-FIND("*",I3512)),"-")</f>
        <v>-</v>
      </c>
      <c r="W3513" s="20" t="str">
        <f t="shared" si="1906"/>
        <v>-</v>
      </c>
      <c r="X3513" s="20" t="str">
        <f>IFERROR(W3513*J3512,"-")</f>
        <v>-</v>
      </c>
      <c r="Z3513" s="85" t="s">
        <v>82</v>
      </c>
    </row>
    <row r="3514" spans="1:26" ht="6.95" customHeight="1" x14ac:dyDescent="0.3">
      <c r="A3514" s="5"/>
      <c r="B3514" s="157"/>
      <c r="C3514" s="158"/>
      <c r="D3514" s="161"/>
      <c r="E3514" s="162"/>
      <c r="F3514" s="163"/>
      <c r="G3514" s="164"/>
      <c r="H3514" s="165"/>
      <c r="I3514" s="164"/>
      <c r="J3514" s="165"/>
      <c r="K3514" s="164"/>
      <c r="L3514" s="165"/>
      <c r="M3514" s="6"/>
      <c r="N3514" s="32"/>
      <c r="Q3514" s="10" t="str">
        <f>+CONCATENATE(E3512,K3512)</f>
        <v/>
      </c>
      <c r="R3514" s="10">
        <f>+L3512</f>
        <v>0</v>
      </c>
      <c r="S3514" s="11"/>
      <c r="T3514" s="10">
        <f>+E3512</f>
        <v>0</v>
      </c>
      <c r="U3514" s="19" t="str">
        <f>IFERROR(LEFT(K3512,FIND("*",K3512)-1),"-")</f>
        <v>-</v>
      </c>
      <c r="V3514" s="19" t="str">
        <f>IFERROR(RIGHT(K3512,LEN(K3512)-FIND("*",K3512)),"-")</f>
        <v>-</v>
      </c>
      <c r="W3514" s="20" t="str">
        <f t="shared" si="1906"/>
        <v>-</v>
      </c>
      <c r="X3514" s="20" t="str">
        <f>IFERROR(W3514*L3512,"-")</f>
        <v>-</v>
      </c>
      <c r="Z3514" s="85" t="s">
        <v>82</v>
      </c>
    </row>
    <row r="3515" spans="1:26" ht="6.95" customHeight="1" x14ac:dyDescent="0.3">
      <c r="A3515" s="8"/>
      <c r="B3515" s="157"/>
      <c r="C3515" s="158"/>
      <c r="D3515" s="161" t="s">
        <v>39</v>
      </c>
      <c r="E3515" s="162"/>
      <c r="F3515" s="163" t="s">
        <v>40</v>
      </c>
      <c r="G3515" s="164"/>
      <c r="H3515" s="165"/>
      <c r="I3515" s="164"/>
      <c r="J3515" s="165"/>
      <c r="K3515" s="164"/>
      <c r="L3515" s="165"/>
      <c r="M3515" s="6"/>
      <c r="N3515" s="32"/>
      <c r="Q3515" s="10" t="str">
        <f>+CONCATENATE(E3515,G3515)</f>
        <v/>
      </c>
      <c r="R3515" s="10">
        <f>+H3515</f>
        <v>0</v>
      </c>
      <c r="S3515" s="11"/>
      <c r="T3515" s="10">
        <f>+E3515</f>
        <v>0</v>
      </c>
      <c r="U3515" s="19" t="str">
        <f t="shared" ref="U3515" si="1909">IFERROR(LEFT(G3515,FIND("*",G3515)-1),"-")</f>
        <v>-</v>
      </c>
      <c r="V3515" s="19" t="str">
        <f t="shared" ref="V3515" si="1910">IFERROR(RIGHT(G3515,LEN(G3515)-FIND("*",G3515)),"-")</f>
        <v>-</v>
      </c>
      <c r="W3515" s="20" t="str">
        <f t="shared" si="1906"/>
        <v>-</v>
      </c>
      <c r="X3515" s="20" t="str">
        <f>IFERROR(W3515*H3515,"-")</f>
        <v>-</v>
      </c>
      <c r="Z3515" s="85" t="s">
        <v>82</v>
      </c>
    </row>
    <row r="3516" spans="1:26" ht="6.95" customHeight="1" x14ac:dyDescent="0.3">
      <c r="A3516" s="5"/>
      <c r="B3516" s="157"/>
      <c r="C3516" s="158"/>
      <c r="D3516" s="161"/>
      <c r="E3516" s="162"/>
      <c r="F3516" s="163"/>
      <c r="G3516" s="164"/>
      <c r="H3516" s="165"/>
      <c r="I3516" s="164"/>
      <c r="J3516" s="165"/>
      <c r="K3516" s="164"/>
      <c r="L3516" s="165"/>
      <c r="M3516" s="6"/>
      <c r="N3516" s="32"/>
      <c r="Q3516" s="10" t="str">
        <f>+CONCATENATE(E3515,I3515)</f>
        <v/>
      </c>
      <c r="R3516" s="10">
        <f>+J3515</f>
        <v>0</v>
      </c>
      <c r="S3516" s="11"/>
      <c r="T3516" s="10">
        <f>+E3515</f>
        <v>0</v>
      </c>
      <c r="U3516" s="19" t="str">
        <f>IFERROR(LEFT(I3515,FIND("*",I3515)-1),"-")</f>
        <v>-</v>
      </c>
      <c r="V3516" s="19" t="str">
        <f>IFERROR(RIGHT(I3515,LEN(I3515)-FIND("*",I3515)),"-")</f>
        <v>-</v>
      </c>
      <c r="W3516" s="20" t="str">
        <f t="shared" si="1906"/>
        <v>-</v>
      </c>
      <c r="X3516" s="20" t="str">
        <f t="shared" ref="X3516" si="1911">IFERROR(W3516*J3515,"-")</f>
        <v>-</v>
      </c>
      <c r="Z3516" s="85" t="s">
        <v>82</v>
      </c>
    </row>
    <row r="3517" spans="1:26" ht="6.95" customHeight="1" x14ac:dyDescent="0.3">
      <c r="A3517" s="5"/>
      <c r="B3517" s="157"/>
      <c r="C3517" s="158"/>
      <c r="D3517" s="161"/>
      <c r="E3517" s="162"/>
      <c r="F3517" s="163"/>
      <c r="G3517" s="164"/>
      <c r="H3517" s="165"/>
      <c r="I3517" s="164"/>
      <c r="J3517" s="165"/>
      <c r="K3517" s="164"/>
      <c r="L3517" s="165"/>
      <c r="M3517" s="6"/>
      <c r="N3517" s="32"/>
      <c r="Q3517" s="10" t="str">
        <f>+CONCATENATE(E3515,K3515)</f>
        <v/>
      </c>
      <c r="R3517" s="10">
        <f>+L3515</f>
        <v>0</v>
      </c>
      <c r="S3517" s="11"/>
      <c r="T3517" s="10">
        <f>+E3515</f>
        <v>0</v>
      </c>
      <c r="U3517" s="19" t="str">
        <f>IFERROR(LEFT(K3515,FIND("*",K3515)-1),"-")</f>
        <v>-</v>
      </c>
      <c r="V3517" s="19" t="str">
        <f>IFERROR(RIGHT(K3515,LEN(K3515)-FIND("*",K3515)),"-")</f>
        <v>-</v>
      </c>
      <c r="W3517" s="20" t="str">
        <f t="shared" si="1906"/>
        <v>-</v>
      </c>
      <c r="X3517" s="20" t="str">
        <f>IFERROR(W3517*L3515,"-")</f>
        <v>-</v>
      </c>
      <c r="Z3517" s="85" t="s">
        <v>82</v>
      </c>
    </row>
    <row r="3518" spans="1:26" ht="21" customHeight="1" thickBot="1" x14ac:dyDescent="0.35">
      <c r="A3518" s="5"/>
      <c r="B3518" s="159"/>
      <c r="C3518" s="160"/>
      <c r="D3518" s="166" t="s">
        <v>43</v>
      </c>
      <c r="E3518" s="167"/>
      <c r="F3518" s="167"/>
      <c r="G3518" s="168"/>
      <c r="H3518" s="168"/>
      <c r="I3518" s="168"/>
      <c r="J3518" s="168"/>
      <c r="K3518" s="168"/>
      <c r="L3518" s="168"/>
      <c r="M3518" s="7"/>
      <c r="N3518" s="32"/>
      <c r="Z3518" s="86" t="s">
        <v>81</v>
      </c>
    </row>
    <row r="3519" spans="1:26" ht="9.9499999999999993" customHeight="1" thickBot="1" x14ac:dyDescent="0.35">
      <c r="B3519" s="9"/>
      <c r="C3519" s="109"/>
      <c r="D3519" s="51"/>
      <c r="E3519" s="12"/>
      <c r="F3519" s="51"/>
      <c r="G3519" s="14"/>
      <c r="H3519" s="14"/>
      <c r="I3519" s="14"/>
      <c r="J3519" s="14"/>
      <c r="K3519" s="14"/>
      <c r="L3519" s="14"/>
      <c r="M3519" s="9"/>
      <c r="N3519" s="32"/>
      <c r="U3519" s="18"/>
      <c r="V3519" s="18"/>
      <c r="Z3519" s="85" t="s">
        <v>82</v>
      </c>
    </row>
    <row r="3520" spans="1:26" ht="6.95" customHeight="1" x14ac:dyDescent="0.3">
      <c r="A3520" s="154">
        <f>+A3509+1</f>
        <v>1119</v>
      </c>
      <c r="B3520" s="155"/>
      <c r="C3520" s="156"/>
      <c r="D3520" s="161" t="s">
        <v>39</v>
      </c>
      <c r="E3520" s="162"/>
      <c r="F3520" s="163" t="s">
        <v>40</v>
      </c>
      <c r="G3520" s="164"/>
      <c r="H3520" s="165"/>
      <c r="I3520" s="164"/>
      <c r="J3520" s="165"/>
      <c r="K3520" s="164"/>
      <c r="L3520" s="165"/>
      <c r="M3520" s="6"/>
      <c r="N3520" s="32"/>
      <c r="Q3520" s="10" t="str">
        <f>+CONCATENATE(E3520,G3520)</f>
        <v/>
      </c>
      <c r="R3520" s="10">
        <f>+H3520</f>
        <v>0</v>
      </c>
      <c r="S3520" s="11"/>
      <c r="T3520" s="10">
        <f>+E3520</f>
        <v>0</v>
      </c>
      <c r="U3520" s="19" t="str">
        <f>IFERROR(LEFT(G3520,FIND("*",G3520)-1),"-")</f>
        <v>-</v>
      </c>
      <c r="V3520" s="19" t="str">
        <f>IFERROR(RIGHT(G3520,LEN(G3520)-FIND("*",G3520)),"-")</f>
        <v>-</v>
      </c>
      <c r="W3520" s="20" t="str">
        <f>IFERROR((U3520+V3520)*2/1000,"-")</f>
        <v>-</v>
      </c>
      <c r="X3520" s="20" t="str">
        <f>IFERROR(W3520*H3520,"-")</f>
        <v>-</v>
      </c>
      <c r="Z3520" s="85" t="s">
        <v>82</v>
      </c>
    </row>
    <row r="3521" spans="1:26" ht="6.95" customHeight="1" x14ac:dyDescent="0.3">
      <c r="A3521" s="154"/>
      <c r="B3521" s="157"/>
      <c r="C3521" s="158"/>
      <c r="D3521" s="161"/>
      <c r="E3521" s="162"/>
      <c r="F3521" s="163"/>
      <c r="G3521" s="164"/>
      <c r="H3521" s="165"/>
      <c r="I3521" s="164"/>
      <c r="J3521" s="165"/>
      <c r="K3521" s="164"/>
      <c r="L3521" s="165"/>
      <c r="M3521" s="6"/>
      <c r="N3521" s="32"/>
      <c r="Q3521" s="10" t="str">
        <f>+CONCATENATE(E3520,I3520)</f>
        <v/>
      </c>
      <c r="R3521" s="10">
        <f>+J3520</f>
        <v>0</v>
      </c>
      <c r="S3521" s="11"/>
      <c r="T3521" s="10">
        <f>+E3520</f>
        <v>0</v>
      </c>
      <c r="U3521" s="19" t="str">
        <f>IFERROR(LEFT(I3520,FIND("*",I3520)-1),"-")</f>
        <v>-</v>
      </c>
      <c r="V3521" s="19" t="str">
        <f>IFERROR(RIGHT(I3520,LEN(I3520)-FIND("*",I3520)),"-")</f>
        <v>-</v>
      </c>
      <c r="W3521" s="20" t="str">
        <f t="shared" ref="W3521:W3528" si="1912">IFERROR((U3521+V3521)*2/1000,"-")</f>
        <v>-</v>
      </c>
      <c r="X3521" s="20" t="str">
        <f>IFERROR(W3521*J3520,"-")</f>
        <v>-</v>
      </c>
      <c r="Z3521" s="85" t="s">
        <v>82</v>
      </c>
    </row>
    <row r="3522" spans="1:26" ht="6.95" customHeight="1" x14ac:dyDescent="0.3">
      <c r="A3522" s="154"/>
      <c r="B3522" s="157"/>
      <c r="C3522" s="158"/>
      <c r="D3522" s="161"/>
      <c r="E3522" s="162"/>
      <c r="F3522" s="163"/>
      <c r="G3522" s="164"/>
      <c r="H3522" s="165"/>
      <c r="I3522" s="164"/>
      <c r="J3522" s="165"/>
      <c r="K3522" s="164"/>
      <c r="L3522" s="165"/>
      <c r="M3522" s="6"/>
      <c r="N3522" s="32"/>
      <c r="Q3522" s="10" t="str">
        <f>+CONCATENATE(E3520,K3520)</f>
        <v/>
      </c>
      <c r="R3522" s="10">
        <f>+L3520</f>
        <v>0</v>
      </c>
      <c r="S3522" s="11"/>
      <c r="T3522" s="10">
        <f>+E3520</f>
        <v>0</v>
      </c>
      <c r="U3522" s="19" t="str">
        <f>IFERROR(LEFT(K3520,FIND("*",K3520)-1),"-")</f>
        <v>-</v>
      </c>
      <c r="V3522" s="19" t="str">
        <f>IFERROR(RIGHT(K3520,LEN(K3520)-FIND("*",K3520)),"-")</f>
        <v>-</v>
      </c>
      <c r="W3522" s="20" t="str">
        <f t="shared" si="1912"/>
        <v>-</v>
      </c>
      <c r="X3522" s="20" t="str">
        <f>IFERROR(W3522*L3520,"-")</f>
        <v>-</v>
      </c>
      <c r="Z3522" s="85" t="s">
        <v>82</v>
      </c>
    </row>
    <row r="3523" spans="1:26" ht="6.95" customHeight="1" x14ac:dyDescent="0.3">
      <c r="A3523" s="8"/>
      <c r="B3523" s="157"/>
      <c r="C3523" s="158"/>
      <c r="D3523" s="161" t="s">
        <v>39</v>
      </c>
      <c r="E3523" s="162"/>
      <c r="F3523" s="163" t="s">
        <v>40</v>
      </c>
      <c r="G3523" s="164"/>
      <c r="H3523" s="165"/>
      <c r="I3523" s="164"/>
      <c r="J3523" s="165"/>
      <c r="K3523" s="164"/>
      <c r="L3523" s="165"/>
      <c r="M3523" s="6"/>
      <c r="N3523" s="32"/>
      <c r="Q3523" s="10" t="str">
        <f>+CONCATENATE(E3523,G3523)</f>
        <v/>
      </c>
      <c r="R3523" s="10">
        <f>+H3523</f>
        <v>0</v>
      </c>
      <c r="S3523" s="11"/>
      <c r="T3523" s="10">
        <f>+E3523</f>
        <v>0</v>
      </c>
      <c r="U3523" s="19" t="str">
        <f t="shared" ref="U3523" si="1913">IFERROR(LEFT(G3523,FIND("*",G3523)-1),"-")</f>
        <v>-</v>
      </c>
      <c r="V3523" s="19" t="str">
        <f t="shared" ref="V3523" si="1914">IFERROR(RIGHT(G3523,LEN(G3523)-FIND("*",G3523)),"-")</f>
        <v>-</v>
      </c>
      <c r="W3523" s="20" t="str">
        <f t="shared" si="1912"/>
        <v>-</v>
      </c>
      <c r="X3523" s="20" t="str">
        <f>IFERROR(W3523*H3523,"-")</f>
        <v>-</v>
      </c>
      <c r="Z3523" s="85" t="s">
        <v>82</v>
      </c>
    </row>
    <row r="3524" spans="1:26" ht="6.95" customHeight="1" x14ac:dyDescent="0.3">
      <c r="A3524" s="5"/>
      <c r="B3524" s="157"/>
      <c r="C3524" s="158"/>
      <c r="D3524" s="161"/>
      <c r="E3524" s="162"/>
      <c r="F3524" s="163"/>
      <c r="G3524" s="164"/>
      <c r="H3524" s="165"/>
      <c r="I3524" s="164"/>
      <c r="J3524" s="165"/>
      <c r="K3524" s="164"/>
      <c r="L3524" s="165"/>
      <c r="M3524" s="6"/>
      <c r="N3524" s="32"/>
      <c r="Q3524" s="10" t="str">
        <f>+CONCATENATE(E3523,I3523)</f>
        <v/>
      </c>
      <c r="R3524" s="10">
        <f>+J3523</f>
        <v>0</v>
      </c>
      <c r="S3524" s="11"/>
      <c r="T3524" s="10">
        <f>+E3523</f>
        <v>0</v>
      </c>
      <c r="U3524" s="19" t="str">
        <f>IFERROR(LEFT(I3523,FIND("*",I3523)-1),"-")</f>
        <v>-</v>
      </c>
      <c r="V3524" s="19" t="str">
        <f>IFERROR(RIGHT(I3523,LEN(I3523)-FIND("*",I3523)),"-")</f>
        <v>-</v>
      </c>
      <c r="W3524" s="20" t="str">
        <f t="shared" si="1912"/>
        <v>-</v>
      </c>
      <c r="X3524" s="20" t="str">
        <f>IFERROR(W3524*J3523,"-")</f>
        <v>-</v>
      </c>
      <c r="Z3524" s="85" t="s">
        <v>82</v>
      </c>
    </row>
    <row r="3525" spans="1:26" ht="6.95" customHeight="1" x14ac:dyDescent="0.3">
      <c r="A3525" s="5"/>
      <c r="B3525" s="157"/>
      <c r="C3525" s="158"/>
      <c r="D3525" s="161"/>
      <c r="E3525" s="162"/>
      <c r="F3525" s="163"/>
      <c r="G3525" s="164"/>
      <c r="H3525" s="165"/>
      <c r="I3525" s="164"/>
      <c r="J3525" s="165"/>
      <c r="K3525" s="164"/>
      <c r="L3525" s="165"/>
      <c r="M3525" s="6"/>
      <c r="N3525" s="32"/>
      <c r="Q3525" s="10" t="str">
        <f>+CONCATENATE(E3523,K3523)</f>
        <v/>
      </c>
      <c r="R3525" s="10">
        <f>+L3523</f>
        <v>0</v>
      </c>
      <c r="S3525" s="11"/>
      <c r="T3525" s="10">
        <f>+E3523</f>
        <v>0</v>
      </c>
      <c r="U3525" s="19" t="str">
        <f>IFERROR(LEFT(K3523,FIND("*",K3523)-1),"-")</f>
        <v>-</v>
      </c>
      <c r="V3525" s="19" t="str">
        <f>IFERROR(RIGHT(K3523,LEN(K3523)-FIND("*",K3523)),"-")</f>
        <v>-</v>
      </c>
      <c r="W3525" s="20" t="str">
        <f t="shared" si="1912"/>
        <v>-</v>
      </c>
      <c r="X3525" s="20" t="str">
        <f>IFERROR(W3525*L3523,"-")</f>
        <v>-</v>
      </c>
      <c r="Z3525" s="85" t="s">
        <v>82</v>
      </c>
    </row>
    <row r="3526" spans="1:26" ht="6.95" customHeight="1" x14ac:dyDescent="0.3">
      <c r="A3526" s="8"/>
      <c r="B3526" s="157"/>
      <c r="C3526" s="158"/>
      <c r="D3526" s="161" t="s">
        <v>39</v>
      </c>
      <c r="E3526" s="162"/>
      <c r="F3526" s="163" t="s">
        <v>40</v>
      </c>
      <c r="G3526" s="164"/>
      <c r="H3526" s="165"/>
      <c r="I3526" s="164"/>
      <c r="J3526" s="165"/>
      <c r="K3526" s="164"/>
      <c r="L3526" s="165"/>
      <c r="M3526" s="6"/>
      <c r="N3526" s="32"/>
      <c r="Q3526" s="10" t="str">
        <f>+CONCATENATE(E3526,G3526)</f>
        <v/>
      </c>
      <c r="R3526" s="10">
        <f>+H3526</f>
        <v>0</v>
      </c>
      <c r="S3526" s="11"/>
      <c r="T3526" s="10">
        <f>+E3526</f>
        <v>0</v>
      </c>
      <c r="U3526" s="19" t="str">
        <f t="shared" ref="U3526" si="1915">IFERROR(LEFT(G3526,FIND("*",G3526)-1),"-")</f>
        <v>-</v>
      </c>
      <c r="V3526" s="19" t="str">
        <f t="shared" ref="V3526" si="1916">IFERROR(RIGHT(G3526,LEN(G3526)-FIND("*",G3526)),"-")</f>
        <v>-</v>
      </c>
      <c r="W3526" s="20" t="str">
        <f t="shared" si="1912"/>
        <v>-</v>
      </c>
      <c r="X3526" s="20" t="str">
        <f>IFERROR(W3526*H3526,"-")</f>
        <v>-</v>
      </c>
      <c r="Z3526" s="85" t="s">
        <v>82</v>
      </c>
    </row>
    <row r="3527" spans="1:26" ht="6.95" customHeight="1" x14ac:dyDescent="0.3">
      <c r="A3527" s="5"/>
      <c r="B3527" s="157"/>
      <c r="C3527" s="158"/>
      <c r="D3527" s="161"/>
      <c r="E3527" s="162"/>
      <c r="F3527" s="163"/>
      <c r="G3527" s="164"/>
      <c r="H3527" s="165"/>
      <c r="I3527" s="164"/>
      <c r="J3527" s="165"/>
      <c r="K3527" s="164"/>
      <c r="L3527" s="165"/>
      <c r="M3527" s="6"/>
      <c r="N3527" s="32"/>
      <c r="Q3527" s="10" t="str">
        <f>+CONCATENATE(E3526,I3526)</f>
        <v/>
      </c>
      <c r="R3527" s="10">
        <f>+J3526</f>
        <v>0</v>
      </c>
      <c r="S3527" s="11"/>
      <c r="T3527" s="10">
        <f>+E3526</f>
        <v>0</v>
      </c>
      <c r="U3527" s="19" t="str">
        <f>IFERROR(LEFT(I3526,FIND("*",I3526)-1),"-")</f>
        <v>-</v>
      </c>
      <c r="V3527" s="19" t="str">
        <f>IFERROR(RIGHT(I3526,LEN(I3526)-FIND("*",I3526)),"-")</f>
        <v>-</v>
      </c>
      <c r="W3527" s="20" t="str">
        <f t="shared" si="1912"/>
        <v>-</v>
      </c>
      <c r="X3527" s="20" t="str">
        <f t="shared" ref="X3527" si="1917">IFERROR(W3527*J3526,"-")</f>
        <v>-</v>
      </c>
      <c r="Z3527" s="85" t="s">
        <v>82</v>
      </c>
    </row>
    <row r="3528" spans="1:26" ht="6.95" customHeight="1" x14ac:dyDescent="0.3">
      <c r="A3528" s="5"/>
      <c r="B3528" s="157"/>
      <c r="C3528" s="158"/>
      <c r="D3528" s="161"/>
      <c r="E3528" s="162"/>
      <c r="F3528" s="163"/>
      <c r="G3528" s="164"/>
      <c r="H3528" s="165"/>
      <c r="I3528" s="164"/>
      <c r="J3528" s="165"/>
      <c r="K3528" s="164"/>
      <c r="L3528" s="165"/>
      <c r="M3528" s="6"/>
      <c r="N3528" s="32"/>
      <c r="Q3528" s="10" t="str">
        <f>+CONCATENATE(E3526,K3526)</f>
        <v/>
      </c>
      <c r="R3528" s="10">
        <f>+L3526</f>
        <v>0</v>
      </c>
      <c r="S3528" s="11"/>
      <c r="T3528" s="10">
        <f>+E3526</f>
        <v>0</v>
      </c>
      <c r="U3528" s="19" t="str">
        <f>IFERROR(LEFT(K3526,FIND("*",K3526)-1),"-")</f>
        <v>-</v>
      </c>
      <c r="V3528" s="19" t="str">
        <f>IFERROR(RIGHT(K3526,LEN(K3526)-FIND("*",K3526)),"-")</f>
        <v>-</v>
      </c>
      <c r="W3528" s="20" t="str">
        <f t="shared" si="1912"/>
        <v>-</v>
      </c>
      <c r="X3528" s="20" t="str">
        <f>IFERROR(W3528*L3526,"-")</f>
        <v>-</v>
      </c>
      <c r="Z3528" s="85" t="s">
        <v>82</v>
      </c>
    </row>
    <row r="3529" spans="1:26" ht="21" customHeight="1" thickBot="1" x14ac:dyDescent="0.35">
      <c r="A3529" s="5"/>
      <c r="B3529" s="159"/>
      <c r="C3529" s="160"/>
      <c r="D3529" s="166" t="s">
        <v>43</v>
      </c>
      <c r="E3529" s="167"/>
      <c r="F3529" s="167"/>
      <c r="G3529" s="168"/>
      <c r="H3529" s="168"/>
      <c r="I3529" s="168"/>
      <c r="J3529" s="168"/>
      <c r="K3529" s="168"/>
      <c r="L3529" s="168"/>
      <c r="M3529" s="7"/>
      <c r="N3529" s="32"/>
      <c r="Z3529" s="86" t="s">
        <v>81</v>
      </c>
    </row>
    <row r="3530" spans="1:26" ht="9.9499999999999993" customHeight="1" thickBot="1" x14ac:dyDescent="0.35">
      <c r="B3530" s="9"/>
      <c r="C3530" s="109"/>
      <c r="D3530" s="51"/>
      <c r="E3530" s="12"/>
      <c r="F3530" s="51"/>
      <c r="G3530" s="14"/>
      <c r="H3530" s="14"/>
      <c r="I3530" s="14"/>
      <c r="J3530" s="14"/>
      <c r="K3530" s="14"/>
      <c r="L3530" s="14"/>
      <c r="M3530" s="9"/>
      <c r="N3530" s="32"/>
      <c r="U3530" s="18"/>
      <c r="V3530" s="18"/>
      <c r="Z3530" s="85" t="s">
        <v>82</v>
      </c>
    </row>
    <row r="3531" spans="1:26" ht="6.95" customHeight="1" x14ac:dyDescent="0.3">
      <c r="A3531" s="154">
        <f>+A3520+1</f>
        <v>1120</v>
      </c>
      <c r="B3531" s="155"/>
      <c r="C3531" s="156"/>
      <c r="D3531" s="161" t="s">
        <v>39</v>
      </c>
      <c r="E3531" s="162"/>
      <c r="F3531" s="163" t="s">
        <v>40</v>
      </c>
      <c r="G3531" s="164"/>
      <c r="H3531" s="165"/>
      <c r="I3531" s="164"/>
      <c r="J3531" s="165"/>
      <c r="K3531" s="164"/>
      <c r="L3531" s="165"/>
      <c r="M3531" s="6"/>
      <c r="N3531" s="32"/>
      <c r="Q3531" s="10" t="str">
        <f>+CONCATENATE(E3531,G3531)</f>
        <v/>
      </c>
      <c r="R3531" s="10">
        <f>+H3531</f>
        <v>0</v>
      </c>
      <c r="S3531" s="11"/>
      <c r="T3531" s="10">
        <f>+E3531</f>
        <v>0</v>
      </c>
      <c r="U3531" s="19" t="str">
        <f>IFERROR(LEFT(G3531,FIND("*",G3531)-1),"-")</f>
        <v>-</v>
      </c>
      <c r="V3531" s="19" t="str">
        <f>IFERROR(RIGHT(G3531,LEN(G3531)-FIND("*",G3531)),"-")</f>
        <v>-</v>
      </c>
      <c r="W3531" s="20" t="str">
        <f>IFERROR((U3531+V3531)*2/1000,"-")</f>
        <v>-</v>
      </c>
      <c r="X3531" s="20" t="str">
        <f>IFERROR(W3531*H3531,"-")</f>
        <v>-</v>
      </c>
      <c r="Z3531" s="85" t="s">
        <v>82</v>
      </c>
    </row>
    <row r="3532" spans="1:26" ht="6.95" customHeight="1" x14ac:dyDescent="0.3">
      <c r="A3532" s="154"/>
      <c r="B3532" s="157"/>
      <c r="C3532" s="158"/>
      <c r="D3532" s="161"/>
      <c r="E3532" s="162"/>
      <c r="F3532" s="163"/>
      <c r="G3532" s="164"/>
      <c r="H3532" s="165"/>
      <c r="I3532" s="164"/>
      <c r="J3532" s="165"/>
      <c r="K3532" s="164"/>
      <c r="L3532" s="165"/>
      <c r="M3532" s="6"/>
      <c r="N3532" s="32"/>
      <c r="Q3532" s="10" t="str">
        <f>+CONCATENATE(E3531,I3531)</f>
        <v/>
      </c>
      <c r="R3532" s="10">
        <f>+J3531</f>
        <v>0</v>
      </c>
      <c r="S3532" s="11"/>
      <c r="T3532" s="10">
        <f>+E3531</f>
        <v>0</v>
      </c>
      <c r="U3532" s="19" t="str">
        <f>IFERROR(LEFT(I3531,FIND("*",I3531)-1),"-")</f>
        <v>-</v>
      </c>
      <c r="V3532" s="19" t="str">
        <f>IFERROR(RIGHT(I3531,LEN(I3531)-FIND("*",I3531)),"-")</f>
        <v>-</v>
      </c>
      <c r="W3532" s="20" t="str">
        <f t="shared" ref="W3532:W3539" si="1918">IFERROR((U3532+V3532)*2/1000,"-")</f>
        <v>-</v>
      </c>
      <c r="X3532" s="20" t="str">
        <f>IFERROR(W3532*J3531,"-")</f>
        <v>-</v>
      </c>
      <c r="Z3532" s="85" t="s">
        <v>82</v>
      </c>
    </row>
    <row r="3533" spans="1:26" ht="6.95" customHeight="1" x14ac:dyDescent="0.3">
      <c r="A3533" s="154"/>
      <c r="B3533" s="157"/>
      <c r="C3533" s="158"/>
      <c r="D3533" s="161"/>
      <c r="E3533" s="162"/>
      <c r="F3533" s="163"/>
      <c r="G3533" s="164"/>
      <c r="H3533" s="165"/>
      <c r="I3533" s="164"/>
      <c r="J3533" s="165"/>
      <c r="K3533" s="164"/>
      <c r="L3533" s="165"/>
      <c r="M3533" s="6"/>
      <c r="N3533" s="32"/>
      <c r="Q3533" s="10" t="str">
        <f>+CONCATENATE(E3531,K3531)</f>
        <v/>
      </c>
      <c r="R3533" s="10">
        <f>+L3531</f>
        <v>0</v>
      </c>
      <c r="S3533" s="11"/>
      <c r="T3533" s="10">
        <f>+E3531</f>
        <v>0</v>
      </c>
      <c r="U3533" s="19" t="str">
        <f>IFERROR(LEFT(K3531,FIND("*",K3531)-1),"-")</f>
        <v>-</v>
      </c>
      <c r="V3533" s="19" t="str">
        <f>IFERROR(RIGHT(K3531,LEN(K3531)-FIND("*",K3531)),"-")</f>
        <v>-</v>
      </c>
      <c r="W3533" s="20" t="str">
        <f t="shared" si="1918"/>
        <v>-</v>
      </c>
      <c r="X3533" s="20" t="str">
        <f>IFERROR(W3533*L3531,"-")</f>
        <v>-</v>
      </c>
      <c r="Z3533" s="85" t="s">
        <v>82</v>
      </c>
    </row>
    <row r="3534" spans="1:26" ht="6.95" customHeight="1" x14ac:dyDescent="0.3">
      <c r="A3534" s="8"/>
      <c r="B3534" s="157"/>
      <c r="C3534" s="158"/>
      <c r="D3534" s="161" t="s">
        <v>39</v>
      </c>
      <c r="E3534" s="162"/>
      <c r="F3534" s="163" t="s">
        <v>40</v>
      </c>
      <c r="G3534" s="164"/>
      <c r="H3534" s="165"/>
      <c r="I3534" s="164"/>
      <c r="J3534" s="165"/>
      <c r="K3534" s="164"/>
      <c r="L3534" s="165"/>
      <c r="M3534" s="6"/>
      <c r="N3534" s="32"/>
      <c r="Q3534" s="10" t="str">
        <f>+CONCATENATE(E3534,G3534)</f>
        <v/>
      </c>
      <c r="R3534" s="10">
        <f>+H3534</f>
        <v>0</v>
      </c>
      <c r="S3534" s="11"/>
      <c r="T3534" s="10">
        <f>+E3534</f>
        <v>0</v>
      </c>
      <c r="U3534" s="19" t="str">
        <f t="shared" ref="U3534" si="1919">IFERROR(LEFT(G3534,FIND("*",G3534)-1),"-")</f>
        <v>-</v>
      </c>
      <c r="V3534" s="19" t="str">
        <f t="shared" ref="V3534" si="1920">IFERROR(RIGHT(G3534,LEN(G3534)-FIND("*",G3534)),"-")</f>
        <v>-</v>
      </c>
      <c r="W3534" s="20" t="str">
        <f t="shared" si="1918"/>
        <v>-</v>
      </c>
      <c r="X3534" s="20" t="str">
        <f>IFERROR(W3534*H3534,"-")</f>
        <v>-</v>
      </c>
      <c r="Z3534" s="85" t="s">
        <v>82</v>
      </c>
    </row>
    <row r="3535" spans="1:26" ht="6.95" customHeight="1" x14ac:dyDescent="0.3">
      <c r="A3535" s="5"/>
      <c r="B3535" s="157"/>
      <c r="C3535" s="158"/>
      <c r="D3535" s="161"/>
      <c r="E3535" s="162"/>
      <c r="F3535" s="163"/>
      <c r="G3535" s="164"/>
      <c r="H3535" s="165"/>
      <c r="I3535" s="164"/>
      <c r="J3535" s="165"/>
      <c r="K3535" s="164"/>
      <c r="L3535" s="165"/>
      <c r="M3535" s="6"/>
      <c r="N3535" s="32"/>
      <c r="Q3535" s="10" t="str">
        <f>+CONCATENATE(E3534,I3534)</f>
        <v/>
      </c>
      <c r="R3535" s="10">
        <f>+J3534</f>
        <v>0</v>
      </c>
      <c r="S3535" s="11"/>
      <c r="T3535" s="10">
        <f>+E3534</f>
        <v>0</v>
      </c>
      <c r="U3535" s="19" t="str">
        <f>IFERROR(LEFT(I3534,FIND("*",I3534)-1),"-")</f>
        <v>-</v>
      </c>
      <c r="V3535" s="19" t="str">
        <f>IFERROR(RIGHT(I3534,LEN(I3534)-FIND("*",I3534)),"-")</f>
        <v>-</v>
      </c>
      <c r="W3535" s="20" t="str">
        <f t="shared" si="1918"/>
        <v>-</v>
      </c>
      <c r="X3535" s="20" t="str">
        <f>IFERROR(W3535*J3534,"-")</f>
        <v>-</v>
      </c>
      <c r="Z3535" s="85" t="s">
        <v>82</v>
      </c>
    </row>
    <row r="3536" spans="1:26" ht="6.95" customHeight="1" x14ac:dyDescent="0.3">
      <c r="A3536" s="5"/>
      <c r="B3536" s="157"/>
      <c r="C3536" s="158"/>
      <c r="D3536" s="161"/>
      <c r="E3536" s="162"/>
      <c r="F3536" s="163"/>
      <c r="G3536" s="164"/>
      <c r="H3536" s="165"/>
      <c r="I3536" s="164"/>
      <c r="J3536" s="165"/>
      <c r="K3536" s="164"/>
      <c r="L3536" s="165"/>
      <c r="M3536" s="6"/>
      <c r="N3536" s="32"/>
      <c r="Q3536" s="10" t="str">
        <f>+CONCATENATE(E3534,K3534)</f>
        <v/>
      </c>
      <c r="R3536" s="10">
        <f>+L3534</f>
        <v>0</v>
      </c>
      <c r="S3536" s="11"/>
      <c r="T3536" s="10">
        <f>+E3534</f>
        <v>0</v>
      </c>
      <c r="U3536" s="19" t="str">
        <f>IFERROR(LEFT(K3534,FIND("*",K3534)-1),"-")</f>
        <v>-</v>
      </c>
      <c r="V3536" s="19" t="str">
        <f>IFERROR(RIGHT(K3534,LEN(K3534)-FIND("*",K3534)),"-")</f>
        <v>-</v>
      </c>
      <c r="W3536" s="20" t="str">
        <f t="shared" si="1918"/>
        <v>-</v>
      </c>
      <c r="X3536" s="20" t="str">
        <f>IFERROR(W3536*L3534,"-")</f>
        <v>-</v>
      </c>
      <c r="Z3536" s="85" t="s">
        <v>82</v>
      </c>
    </row>
    <row r="3537" spans="1:26" ht="6.95" customHeight="1" x14ac:dyDescent="0.3">
      <c r="A3537" s="8"/>
      <c r="B3537" s="157"/>
      <c r="C3537" s="158"/>
      <c r="D3537" s="161" t="s">
        <v>39</v>
      </c>
      <c r="E3537" s="162"/>
      <c r="F3537" s="163" t="s">
        <v>40</v>
      </c>
      <c r="G3537" s="164"/>
      <c r="H3537" s="165"/>
      <c r="I3537" s="164"/>
      <c r="J3537" s="165"/>
      <c r="K3537" s="164"/>
      <c r="L3537" s="165"/>
      <c r="M3537" s="6"/>
      <c r="N3537" s="32"/>
      <c r="Q3537" s="10" t="str">
        <f>+CONCATENATE(E3537,G3537)</f>
        <v/>
      </c>
      <c r="R3537" s="10">
        <f>+H3537</f>
        <v>0</v>
      </c>
      <c r="S3537" s="11"/>
      <c r="T3537" s="10">
        <f>+E3537</f>
        <v>0</v>
      </c>
      <c r="U3537" s="19" t="str">
        <f t="shared" ref="U3537" si="1921">IFERROR(LEFT(G3537,FIND("*",G3537)-1),"-")</f>
        <v>-</v>
      </c>
      <c r="V3537" s="19" t="str">
        <f t="shared" ref="V3537" si="1922">IFERROR(RIGHT(G3537,LEN(G3537)-FIND("*",G3537)),"-")</f>
        <v>-</v>
      </c>
      <c r="W3537" s="20" t="str">
        <f t="shared" si="1918"/>
        <v>-</v>
      </c>
      <c r="X3537" s="20" t="str">
        <f>IFERROR(W3537*H3537,"-")</f>
        <v>-</v>
      </c>
      <c r="Z3537" s="85" t="s">
        <v>82</v>
      </c>
    </row>
    <row r="3538" spans="1:26" ht="6.95" customHeight="1" x14ac:dyDescent="0.3">
      <c r="A3538" s="5"/>
      <c r="B3538" s="157"/>
      <c r="C3538" s="158"/>
      <c r="D3538" s="161"/>
      <c r="E3538" s="162"/>
      <c r="F3538" s="163"/>
      <c r="G3538" s="164"/>
      <c r="H3538" s="165"/>
      <c r="I3538" s="164"/>
      <c r="J3538" s="165"/>
      <c r="K3538" s="164"/>
      <c r="L3538" s="165"/>
      <c r="M3538" s="6"/>
      <c r="N3538" s="32"/>
      <c r="Q3538" s="10" t="str">
        <f>+CONCATENATE(E3537,I3537)</f>
        <v/>
      </c>
      <c r="R3538" s="10">
        <f>+J3537</f>
        <v>0</v>
      </c>
      <c r="S3538" s="11"/>
      <c r="T3538" s="10">
        <f>+E3537</f>
        <v>0</v>
      </c>
      <c r="U3538" s="19" t="str">
        <f>IFERROR(LEFT(I3537,FIND("*",I3537)-1),"-")</f>
        <v>-</v>
      </c>
      <c r="V3538" s="19" t="str">
        <f>IFERROR(RIGHT(I3537,LEN(I3537)-FIND("*",I3537)),"-")</f>
        <v>-</v>
      </c>
      <c r="W3538" s="20" t="str">
        <f t="shared" si="1918"/>
        <v>-</v>
      </c>
      <c r="X3538" s="20" t="str">
        <f t="shared" ref="X3538" si="1923">IFERROR(W3538*J3537,"-")</f>
        <v>-</v>
      </c>
      <c r="Z3538" s="85" t="s">
        <v>82</v>
      </c>
    </row>
    <row r="3539" spans="1:26" ht="6.95" customHeight="1" x14ac:dyDescent="0.3">
      <c r="A3539" s="5"/>
      <c r="B3539" s="157"/>
      <c r="C3539" s="158"/>
      <c r="D3539" s="161"/>
      <c r="E3539" s="162"/>
      <c r="F3539" s="163"/>
      <c r="G3539" s="164"/>
      <c r="H3539" s="165"/>
      <c r="I3539" s="164"/>
      <c r="J3539" s="165"/>
      <c r="K3539" s="164"/>
      <c r="L3539" s="165"/>
      <c r="M3539" s="6"/>
      <c r="N3539" s="32"/>
      <c r="Q3539" s="10" t="str">
        <f>+CONCATENATE(E3537,K3537)</f>
        <v/>
      </c>
      <c r="R3539" s="10">
        <f>+L3537</f>
        <v>0</v>
      </c>
      <c r="S3539" s="11"/>
      <c r="T3539" s="10">
        <f>+E3537</f>
        <v>0</v>
      </c>
      <c r="U3539" s="19" t="str">
        <f>IFERROR(LEFT(K3537,FIND("*",K3537)-1),"-")</f>
        <v>-</v>
      </c>
      <c r="V3539" s="19" t="str">
        <f>IFERROR(RIGHT(K3537,LEN(K3537)-FIND("*",K3537)),"-")</f>
        <v>-</v>
      </c>
      <c r="W3539" s="20" t="str">
        <f t="shared" si="1918"/>
        <v>-</v>
      </c>
      <c r="X3539" s="20" t="str">
        <f>IFERROR(W3539*L3537,"-")</f>
        <v>-</v>
      </c>
      <c r="Z3539" s="85" t="s">
        <v>82</v>
      </c>
    </row>
    <row r="3540" spans="1:26" ht="21" customHeight="1" thickBot="1" x14ac:dyDescent="0.35">
      <c r="A3540" s="5"/>
      <c r="B3540" s="159"/>
      <c r="C3540" s="160"/>
      <c r="D3540" s="166" t="s">
        <v>43</v>
      </c>
      <c r="E3540" s="167"/>
      <c r="F3540" s="167"/>
      <c r="G3540" s="168"/>
      <c r="H3540" s="168"/>
      <c r="I3540" s="168"/>
      <c r="J3540" s="168"/>
      <c r="K3540" s="168"/>
      <c r="L3540" s="168"/>
      <c r="M3540" s="7"/>
      <c r="N3540" s="32"/>
      <c r="Z3540" s="86" t="s">
        <v>81</v>
      </c>
    </row>
    <row r="3541" spans="1:26" ht="9.9499999999999993" customHeight="1" thickBot="1" x14ac:dyDescent="0.35">
      <c r="B3541" s="9"/>
      <c r="C3541" s="109"/>
      <c r="D3541" s="51"/>
      <c r="E3541" s="12"/>
      <c r="F3541" s="51"/>
      <c r="G3541" s="14"/>
      <c r="H3541" s="14"/>
      <c r="I3541" s="14"/>
      <c r="J3541" s="14"/>
      <c r="K3541" s="14"/>
      <c r="L3541" s="14"/>
      <c r="M3541" s="9"/>
      <c r="N3541" s="32"/>
      <c r="U3541" s="18"/>
      <c r="V3541" s="18"/>
      <c r="Z3541" s="85" t="s">
        <v>82</v>
      </c>
    </row>
    <row r="3542" spans="1:26" ht="6.95" customHeight="1" x14ac:dyDescent="0.3">
      <c r="A3542" s="154">
        <f>+A3531+1</f>
        <v>1121</v>
      </c>
      <c r="B3542" s="155"/>
      <c r="C3542" s="156"/>
      <c r="D3542" s="161" t="s">
        <v>39</v>
      </c>
      <c r="E3542" s="162"/>
      <c r="F3542" s="163" t="s">
        <v>40</v>
      </c>
      <c r="G3542" s="164"/>
      <c r="H3542" s="165"/>
      <c r="I3542" s="164"/>
      <c r="J3542" s="165"/>
      <c r="K3542" s="164"/>
      <c r="L3542" s="165"/>
      <c r="M3542" s="6"/>
      <c r="N3542" s="32"/>
      <c r="Q3542" s="10" t="str">
        <f>+CONCATENATE(E3542,G3542)</f>
        <v/>
      </c>
      <c r="R3542" s="10">
        <f>+H3542</f>
        <v>0</v>
      </c>
      <c r="S3542" s="11"/>
      <c r="T3542" s="10">
        <f>+E3542</f>
        <v>0</v>
      </c>
      <c r="U3542" s="19" t="str">
        <f>IFERROR(LEFT(G3542,FIND("*",G3542)-1),"-")</f>
        <v>-</v>
      </c>
      <c r="V3542" s="19" t="str">
        <f>IFERROR(RIGHT(G3542,LEN(G3542)-FIND("*",G3542)),"-")</f>
        <v>-</v>
      </c>
      <c r="W3542" s="20" t="str">
        <f>IFERROR((U3542+V3542)*2/1000,"-")</f>
        <v>-</v>
      </c>
      <c r="X3542" s="20" t="str">
        <f>IFERROR(W3542*H3542,"-")</f>
        <v>-</v>
      </c>
      <c r="Z3542" s="85" t="s">
        <v>82</v>
      </c>
    </row>
    <row r="3543" spans="1:26" ht="6.95" customHeight="1" x14ac:dyDescent="0.3">
      <c r="A3543" s="154"/>
      <c r="B3543" s="157"/>
      <c r="C3543" s="158"/>
      <c r="D3543" s="161"/>
      <c r="E3543" s="162"/>
      <c r="F3543" s="163"/>
      <c r="G3543" s="164"/>
      <c r="H3543" s="165"/>
      <c r="I3543" s="164"/>
      <c r="J3543" s="165"/>
      <c r="K3543" s="164"/>
      <c r="L3543" s="165"/>
      <c r="M3543" s="6"/>
      <c r="N3543" s="32"/>
      <c r="Q3543" s="10" t="str">
        <f>+CONCATENATE(E3542,I3542)</f>
        <v/>
      </c>
      <c r="R3543" s="10">
        <f>+J3542</f>
        <v>0</v>
      </c>
      <c r="S3543" s="11"/>
      <c r="T3543" s="10">
        <f>+E3542</f>
        <v>0</v>
      </c>
      <c r="U3543" s="19" t="str">
        <f>IFERROR(LEFT(I3542,FIND("*",I3542)-1),"-")</f>
        <v>-</v>
      </c>
      <c r="V3543" s="19" t="str">
        <f>IFERROR(RIGHT(I3542,LEN(I3542)-FIND("*",I3542)),"-")</f>
        <v>-</v>
      </c>
      <c r="W3543" s="20" t="str">
        <f t="shared" ref="W3543:W3550" si="1924">IFERROR((U3543+V3543)*2/1000,"-")</f>
        <v>-</v>
      </c>
      <c r="X3543" s="20" t="str">
        <f>IFERROR(W3543*J3542,"-")</f>
        <v>-</v>
      </c>
      <c r="Z3543" s="85" t="s">
        <v>82</v>
      </c>
    </row>
    <row r="3544" spans="1:26" ht="6.95" customHeight="1" x14ac:dyDescent="0.3">
      <c r="A3544" s="154"/>
      <c r="B3544" s="157"/>
      <c r="C3544" s="158"/>
      <c r="D3544" s="161"/>
      <c r="E3544" s="162"/>
      <c r="F3544" s="163"/>
      <c r="G3544" s="164"/>
      <c r="H3544" s="165"/>
      <c r="I3544" s="164"/>
      <c r="J3544" s="165"/>
      <c r="K3544" s="164"/>
      <c r="L3544" s="165"/>
      <c r="M3544" s="6"/>
      <c r="N3544" s="32"/>
      <c r="Q3544" s="10" t="str">
        <f>+CONCATENATE(E3542,K3542)</f>
        <v/>
      </c>
      <c r="R3544" s="10">
        <f>+L3542</f>
        <v>0</v>
      </c>
      <c r="S3544" s="11"/>
      <c r="T3544" s="10">
        <f>+E3542</f>
        <v>0</v>
      </c>
      <c r="U3544" s="19" t="str">
        <f>IFERROR(LEFT(K3542,FIND("*",K3542)-1),"-")</f>
        <v>-</v>
      </c>
      <c r="V3544" s="19" t="str">
        <f>IFERROR(RIGHT(K3542,LEN(K3542)-FIND("*",K3542)),"-")</f>
        <v>-</v>
      </c>
      <c r="W3544" s="20" t="str">
        <f t="shared" si="1924"/>
        <v>-</v>
      </c>
      <c r="X3544" s="20" t="str">
        <f>IFERROR(W3544*L3542,"-")</f>
        <v>-</v>
      </c>
      <c r="Z3544" s="85" t="s">
        <v>82</v>
      </c>
    </row>
    <row r="3545" spans="1:26" ht="6.95" customHeight="1" x14ac:dyDescent="0.3">
      <c r="A3545" s="8"/>
      <c r="B3545" s="157"/>
      <c r="C3545" s="158"/>
      <c r="D3545" s="161" t="s">
        <v>39</v>
      </c>
      <c r="E3545" s="162"/>
      <c r="F3545" s="163" t="s">
        <v>40</v>
      </c>
      <c r="G3545" s="164"/>
      <c r="H3545" s="165"/>
      <c r="I3545" s="164"/>
      <c r="J3545" s="165"/>
      <c r="K3545" s="164"/>
      <c r="L3545" s="165"/>
      <c r="M3545" s="6"/>
      <c r="N3545" s="32"/>
      <c r="Q3545" s="10" t="str">
        <f>+CONCATENATE(E3545,G3545)</f>
        <v/>
      </c>
      <c r="R3545" s="10">
        <f>+H3545</f>
        <v>0</v>
      </c>
      <c r="S3545" s="11"/>
      <c r="T3545" s="10">
        <f>+E3545</f>
        <v>0</v>
      </c>
      <c r="U3545" s="19" t="str">
        <f t="shared" ref="U3545" si="1925">IFERROR(LEFT(G3545,FIND("*",G3545)-1),"-")</f>
        <v>-</v>
      </c>
      <c r="V3545" s="19" t="str">
        <f t="shared" ref="V3545" si="1926">IFERROR(RIGHT(G3545,LEN(G3545)-FIND("*",G3545)),"-")</f>
        <v>-</v>
      </c>
      <c r="W3545" s="20" t="str">
        <f t="shared" si="1924"/>
        <v>-</v>
      </c>
      <c r="X3545" s="20" t="str">
        <f>IFERROR(W3545*H3545,"-")</f>
        <v>-</v>
      </c>
      <c r="Z3545" s="85" t="s">
        <v>82</v>
      </c>
    </row>
    <row r="3546" spans="1:26" ht="6.95" customHeight="1" x14ac:dyDescent="0.3">
      <c r="A3546" s="5"/>
      <c r="B3546" s="157"/>
      <c r="C3546" s="158"/>
      <c r="D3546" s="161"/>
      <c r="E3546" s="162"/>
      <c r="F3546" s="163"/>
      <c r="G3546" s="164"/>
      <c r="H3546" s="165"/>
      <c r="I3546" s="164"/>
      <c r="J3546" s="165"/>
      <c r="K3546" s="164"/>
      <c r="L3546" s="165"/>
      <c r="M3546" s="6"/>
      <c r="N3546" s="32"/>
      <c r="Q3546" s="10" t="str">
        <f>+CONCATENATE(E3545,I3545)</f>
        <v/>
      </c>
      <c r="R3546" s="10">
        <f>+J3545</f>
        <v>0</v>
      </c>
      <c r="S3546" s="11"/>
      <c r="T3546" s="10">
        <f>+E3545</f>
        <v>0</v>
      </c>
      <c r="U3546" s="19" t="str">
        <f>IFERROR(LEFT(I3545,FIND("*",I3545)-1),"-")</f>
        <v>-</v>
      </c>
      <c r="V3546" s="19" t="str">
        <f>IFERROR(RIGHT(I3545,LEN(I3545)-FIND("*",I3545)),"-")</f>
        <v>-</v>
      </c>
      <c r="W3546" s="20" t="str">
        <f t="shared" si="1924"/>
        <v>-</v>
      </c>
      <c r="X3546" s="20" t="str">
        <f>IFERROR(W3546*J3545,"-")</f>
        <v>-</v>
      </c>
      <c r="Z3546" s="85" t="s">
        <v>82</v>
      </c>
    </row>
    <row r="3547" spans="1:26" ht="6.95" customHeight="1" x14ac:dyDescent="0.3">
      <c r="A3547" s="5"/>
      <c r="B3547" s="157"/>
      <c r="C3547" s="158"/>
      <c r="D3547" s="161"/>
      <c r="E3547" s="162"/>
      <c r="F3547" s="163"/>
      <c r="G3547" s="164"/>
      <c r="H3547" s="165"/>
      <c r="I3547" s="164"/>
      <c r="J3547" s="165"/>
      <c r="K3547" s="164"/>
      <c r="L3547" s="165"/>
      <c r="M3547" s="6"/>
      <c r="N3547" s="32"/>
      <c r="Q3547" s="10" t="str">
        <f>+CONCATENATE(E3545,K3545)</f>
        <v/>
      </c>
      <c r="R3547" s="10">
        <f>+L3545</f>
        <v>0</v>
      </c>
      <c r="S3547" s="11"/>
      <c r="T3547" s="10">
        <f>+E3545</f>
        <v>0</v>
      </c>
      <c r="U3547" s="19" t="str">
        <f>IFERROR(LEFT(K3545,FIND("*",K3545)-1),"-")</f>
        <v>-</v>
      </c>
      <c r="V3547" s="19" t="str">
        <f>IFERROR(RIGHT(K3545,LEN(K3545)-FIND("*",K3545)),"-")</f>
        <v>-</v>
      </c>
      <c r="W3547" s="20" t="str">
        <f t="shared" si="1924"/>
        <v>-</v>
      </c>
      <c r="X3547" s="20" t="str">
        <f>IFERROR(W3547*L3545,"-")</f>
        <v>-</v>
      </c>
      <c r="Z3547" s="85" t="s">
        <v>82</v>
      </c>
    </row>
    <row r="3548" spans="1:26" ht="6.95" customHeight="1" x14ac:dyDescent="0.3">
      <c r="A3548" s="8"/>
      <c r="B3548" s="157"/>
      <c r="C3548" s="158"/>
      <c r="D3548" s="161" t="s">
        <v>39</v>
      </c>
      <c r="E3548" s="162"/>
      <c r="F3548" s="163" t="s">
        <v>40</v>
      </c>
      <c r="G3548" s="164"/>
      <c r="H3548" s="165"/>
      <c r="I3548" s="164"/>
      <c r="J3548" s="165"/>
      <c r="K3548" s="164"/>
      <c r="L3548" s="165"/>
      <c r="M3548" s="6"/>
      <c r="N3548" s="32"/>
      <c r="Q3548" s="10" t="str">
        <f>+CONCATENATE(E3548,G3548)</f>
        <v/>
      </c>
      <c r="R3548" s="10">
        <f>+H3548</f>
        <v>0</v>
      </c>
      <c r="S3548" s="11"/>
      <c r="T3548" s="10">
        <f>+E3548</f>
        <v>0</v>
      </c>
      <c r="U3548" s="19" t="str">
        <f t="shared" ref="U3548" si="1927">IFERROR(LEFT(G3548,FIND("*",G3548)-1),"-")</f>
        <v>-</v>
      </c>
      <c r="V3548" s="19" t="str">
        <f t="shared" ref="V3548" si="1928">IFERROR(RIGHT(G3548,LEN(G3548)-FIND("*",G3548)),"-")</f>
        <v>-</v>
      </c>
      <c r="W3548" s="20" t="str">
        <f t="shared" si="1924"/>
        <v>-</v>
      </c>
      <c r="X3548" s="20" t="str">
        <f>IFERROR(W3548*H3548,"-")</f>
        <v>-</v>
      </c>
      <c r="Z3548" s="85" t="s">
        <v>82</v>
      </c>
    </row>
    <row r="3549" spans="1:26" ht="6.95" customHeight="1" x14ac:dyDescent="0.3">
      <c r="A3549" s="5"/>
      <c r="B3549" s="157"/>
      <c r="C3549" s="158"/>
      <c r="D3549" s="161"/>
      <c r="E3549" s="162"/>
      <c r="F3549" s="163"/>
      <c r="G3549" s="164"/>
      <c r="H3549" s="165"/>
      <c r="I3549" s="164"/>
      <c r="J3549" s="165"/>
      <c r="K3549" s="164"/>
      <c r="L3549" s="165"/>
      <c r="M3549" s="6"/>
      <c r="N3549" s="32"/>
      <c r="Q3549" s="10" t="str">
        <f>+CONCATENATE(E3548,I3548)</f>
        <v/>
      </c>
      <c r="R3549" s="10">
        <f>+J3548</f>
        <v>0</v>
      </c>
      <c r="S3549" s="11"/>
      <c r="T3549" s="10">
        <f>+E3548</f>
        <v>0</v>
      </c>
      <c r="U3549" s="19" t="str">
        <f>IFERROR(LEFT(I3548,FIND("*",I3548)-1),"-")</f>
        <v>-</v>
      </c>
      <c r="V3549" s="19" t="str">
        <f>IFERROR(RIGHT(I3548,LEN(I3548)-FIND("*",I3548)),"-")</f>
        <v>-</v>
      </c>
      <c r="W3549" s="20" t="str">
        <f t="shared" si="1924"/>
        <v>-</v>
      </c>
      <c r="X3549" s="20" t="str">
        <f t="shared" ref="X3549" si="1929">IFERROR(W3549*J3548,"-")</f>
        <v>-</v>
      </c>
      <c r="Z3549" s="85" t="s">
        <v>82</v>
      </c>
    </row>
    <row r="3550" spans="1:26" ht="6.95" customHeight="1" x14ac:dyDescent="0.3">
      <c r="A3550" s="5"/>
      <c r="B3550" s="157"/>
      <c r="C3550" s="158"/>
      <c r="D3550" s="161"/>
      <c r="E3550" s="162"/>
      <c r="F3550" s="163"/>
      <c r="G3550" s="164"/>
      <c r="H3550" s="165"/>
      <c r="I3550" s="164"/>
      <c r="J3550" s="165"/>
      <c r="K3550" s="164"/>
      <c r="L3550" s="165"/>
      <c r="M3550" s="6"/>
      <c r="N3550" s="32"/>
      <c r="Q3550" s="10" t="str">
        <f>+CONCATENATE(E3548,K3548)</f>
        <v/>
      </c>
      <c r="R3550" s="10">
        <f>+L3548</f>
        <v>0</v>
      </c>
      <c r="S3550" s="11"/>
      <c r="T3550" s="10">
        <f>+E3548</f>
        <v>0</v>
      </c>
      <c r="U3550" s="19" t="str">
        <f>IFERROR(LEFT(K3548,FIND("*",K3548)-1),"-")</f>
        <v>-</v>
      </c>
      <c r="V3550" s="19" t="str">
        <f>IFERROR(RIGHT(K3548,LEN(K3548)-FIND("*",K3548)),"-")</f>
        <v>-</v>
      </c>
      <c r="W3550" s="20" t="str">
        <f t="shared" si="1924"/>
        <v>-</v>
      </c>
      <c r="X3550" s="20" t="str">
        <f>IFERROR(W3550*L3548,"-")</f>
        <v>-</v>
      </c>
      <c r="Z3550" s="85" t="s">
        <v>82</v>
      </c>
    </row>
    <row r="3551" spans="1:26" ht="21" customHeight="1" thickBot="1" x14ac:dyDescent="0.35">
      <c r="A3551" s="5"/>
      <c r="B3551" s="159"/>
      <c r="C3551" s="160"/>
      <c r="D3551" s="166" t="s">
        <v>43</v>
      </c>
      <c r="E3551" s="167"/>
      <c r="F3551" s="167"/>
      <c r="G3551" s="168"/>
      <c r="H3551" s="168"/>
      <c r="I3551" s="168"/>
      <c r="J3551" s="168"/>
      <c r="K3551" s="168"/>
      <c r="L3551" s="168"/>
      <c r="M3551" s="7"/>
      <c r="N3551" s="32"/>
      <c r="Z3551" s="86" t="s">
        <v>81</v>
      </c>
    </row>
    <row r="3552" spans="1:26" ht="9.9499999999999993" customHeight="1" thickBot="1" x14ac:dyDescent="0.35">
      <c r="B3552" s="9"/>
      <c r="C3552" s="109"/>
      <c r="D3552" s="51"/>
      <c r="E3552" s="12"/>
      <c r="F3552" s="51"/>
      <c r="G3552" s="14"/>
      <c r="H3552" s="14"/>
      <c r="I3552" s="14"/>
      <c r="J3552" s="14"/>
      <c r="K3552" s="14"/>
      <c r="L3552" s="14"/>
      <c r="M3552" s="9"/>
      <c r="N3552" s="32"/>
      <c r="U3552" s="18"/>
      <c r="V3552" s="18"/>
      <c r="Z3552" s="85" t="s">
        <v>82</v>
      </c>
    </row>
    <row r="3553" spans="1:26" ht="6.95" customHeight="1" x14ac:dyDescent="0.3">
      <c r="A3553" s="154">
        <f>+A3542+1</f>
        <v>1122</v>
      </c>
      <c r="B3553" s="155"/>
      <c r="C3553" s="156"/>
      <c r="D3553" s="161" t="s">
        <v>39</v>
      </c>
      <c r="E3553" s="162"/>
      <c r="F3553" s="163" t="s">
        <v>40</v>
      </c>
      <c r="G3553" s="164"/>
      <c r="H3553" s="165"/>
      <c r="I3553" s="164"/>
      <c r="J3553" s="165"/>
      <c r="K3553" s="164"/>
      <c r="L3553" s="165"/>
      <c r="M3553" s="6"/>
      <c r="N3553" s="32"/>
      <c r="Q3553" s="10" t="str">
        <f>+CONCATENATE(E3553,G3553)</f>
        <v/>
      </c>
      <c r="R3553" s="10">
        <f>+H3553</f>
        <v>0</v>
      </c>
      <c r="S3553" s="11"/>
      <c r="T3553" s="10">
        <f>+E3553</f>
        <v>0</v>
      </c>
      <c r="U3553" s="19" t="str">
        <f>IFERROR(LEFT(G3553,FIND("*",G3553)-1),"-")</f>
        <v>-</v>
      </c>
      <c r="V3553" s="19" t="str">
        <f>IFERROR(RIGHT(G3553,LEN(G3553)-FIND("*",G3553)),"-")</f>
        <v>-</v>
      </c>
      <c r="W3553" s="20" t="str">
        <f>IFERROR((U3553+V3553)*2/1000,"-")</f>
        <v>-</v>
      </c>
      <c r="X3553" s="20" t="str">
        <f>IFERROR(W3553*H3553,"-")</f>
        <v>-</v>
      </c>
      <c r="Z3553" s="85" t="s">
        <v>82</v>
      </c>
    </row>
    <row r="3554" spans="1:26" ht="6.95" customHeight="1" x14ac:dyDescent="0.3">
      <c r="A3554" s="154"/>
      <c r="B3554" s="157"/>
      <c r="C3554" s="158"/>
      <c r="D3554" s="161"/>
      <c r="E3554" s="162"/>
      <c r="F3554" s="163"/>
      <c r="G3554" s="164"/>
      <c r="H3554" s="165"/>
      <c r="I3554" s="164"/>
      <c r="J3554" s="165"/>
      <c r="K3554" s="164"/>
      <c r="L3554" s="165"/>
      <c r="M3554" s="6"/>
      <c r="N3554" s="32"/>
      <c r="Q3554" s="10" t="str">
        <f>+CONCATENATE(E3553,I3553)</f>
        <v/>
      </c>
      <c r="R3554" s="10">
        <f>+J3553</f>
        <v>0</v>
      </c>
      <c r="S3554" s="11"/>
      <c r="T3554" s="10">
        <f>+E3553</f>
        <v>0</v>
      </c>
      <c r="U3554" s="19" t="str">
        <f>IFERROR(LEFT(I3553,FIND("*",I3553)-1),"-")</f>
        <v>-</v>
      </c>
      <c r="V3554" s="19" t="str">
        <f>IFERROR(RIGHT(I3553,LEN(I3553)-FIND("*",I3553)),"-")</f>
        <v>-</v>
      </c>
      <c r="W3554" s="20" t="str">
        <f t="shared" ref="W3554:W3561" si="1930">IFERROR((U3554+V3554)*2/1000,"-")</f>
        <v>-</v>
      </c>
      <c r="X3554" s="20" t="str">
        <f>IFERROR(W3554*J3553,"-")</f>
        <v>-</v>
      </c>
      <c r="Z3554" s="85" t="s">
        <v>82</v>
      </c>
    </row>
    <row r="3555" spans="1:26" ht="6.95" customHeight="1" x14ac:dyDescent="0.3">
      <c r="A3555" s="154"/>
      <c r="B3555" s="157"/>
      <c r="C3555" s="158"/>
      <c r="D3555" s="161"/>
      <c r="E3555" s="162"/>
      <c r="F3555" s="163"/>
      <c r="G3555" s="164"/>
      <c r="H3555" s="165"/>
      <c r="I3555" s="164"/>
      <c r="J3555" s="165"/>
      <c r="K3555" s="164"/>
      <c r="L3555" s="165"/>
      <c r="M3555" s="6"/>
      <c r="N3555" s="32"/>
      <c r="Q3555" s="10" t="str">
        <f>+CONCATENATE(E3553,K3553)</f>
        <v/>
      </c>
      <c r="R3555" s="10">
        <f>+L3553</f>
        <v>0</v>
      </c>
      <c r="S3555" s="11"/>
      <c r="T3555" s="10">
        <f>+E3553</f>
        <v>0</v>
      </c>
      <c r="U3555" s="19" t="str">
        <f>IFERROR(LEFT(K3553,FIND("*",K3553)-1),"-")</f>
        <v>-</v>
      </c>
      <c r="V3555" s="19" t="str">
        <f>IFERROR(RIGHT(K3553,LEN(K3553)-FIND("*",K3553)),"-")</f>
        <v>-</v>
      </c>
      <c r="W3555" s="20" t="str">
        <f t="shared" si="1930"/>
        <v>-</v>
      </c>
      <c r="X3555" s="20" t="str">
        <f>IFERROR(W3555*L3553,"-")</f>
        <v>-</v>
      </c>
      <c r="Z3555" s="85" t="s">
        <v>82</v>
      </c>
    </row>
    <row r="3556" spans="1:26" ht="6.95" customHeight="1" x14ac:dyDescent="0.3">
      <c r="A3556" s="8"/>
      <c r="B3556" s="157"/>
      <c r="C3556" s="158"/>
      <c r="D3556" s="161" t="s">
        <v>39</v>
      </c>
      <c r="E3556" s="162"/>
      <c r="F3556" s="163" t="s">
        <v>40</v>
      </c>
      <c r="G3556" s="164"/>
      <c r="H3556" s="165"/>
      <c r="I3556" s="164"/>
      <c r="J3556" s="165"/>
      <c r="K3556" s="164"/>
      <c r="L3556" s="165"/>
      <c r="M3556" s="6"/>
      <c r="N3556" s="32"/>
      <c r="Q3556" s="10" t="str">
        <f>+CONCATENATE(E3556,G3556)</f>
        <v/>
      </c>
      <c r="R3556" s="10">
        <f>+H3556</f>
        <v>0</v>
      </c>
      <c r="S3556" s="11"/>
      <c r="T3556" s="10">
        <f>+E3556</f>
        <v>0</v>
      </c>
      <c r="U3556" s="19" t="str">
        <f t="shared" ref="U3556" si="1931">IFERROR(LEFT(G3556,FIND("*",G3556)-1),"-")</f>
        <v>-</v>
      </c>
      <c r="V3556" s="19" t="str">
        <f t="shared" ref="V3556" si="1932">IFERROR(RIGHT(G3556,LEN(G3556)-FIND("*",G3556)),"-")</f>
        <v>-</v>
      </c>
      <c r="W3556" s="20" t="str">
        <f t="shared" si="1930"/>
        <v>-</v>
      </c>
      <c r="X3556" s="20" t="str">
        <f>IFERROR(W3556*H3556,"-")</f>
        <v>-</v>
      </c>
      <c r="Z3556" s="85" t="s">
        <v>82</v>
      </c>
    </row>
    <row r="3557" spans="1:26" ht="6.95" customHeight="1" x14ac:dyDescent="0.3">
      <c r="A3557" s="5"/>
      <c r="B3557" s="157"/>
      <c r="C3557" s="158"/>
      <c r="D3557" s="161"/>
      <c r="E3557" s="162"/>
      <c r="F3557" s="163"/>
      <c r="G3557" s="164"/>
      <c r="H3557" s="165"/>
      <c r="I3557" s="164"/>
      <c r="J3557" s="165"/>
      <c r="K3557" s="164"/>
      <c r="L3557" s="165"/>
      <c r="M3557" s="6"/>
      <c r="N3557" s="32"/>
      <c r="Q3557" s="10" t="str">
        <f>+CONCATENATE(E3556,I3556)</f>
        <v/>
      </c>
      <c r="R3557" s="10">
        <f>+J3556</f>
        <v>0</v>
      </c>
      <c r="S3557" s="11"/>
      <c r="T3557" s="10">
        <f>+E3556</f>
        <v>0</v>
      </c>
      <c r="U3557" s="19" t="str">
        <f>IFERROR(LEFT(I3556,FIND("*",I3556)-1),"-")</f>
        <v>-</v>
      </c>
      <c r="V3557" s="19" t="str">
        <f>IFERROR(RIGHT(I3556,LEN(I3556)-FIND("*",I3556)),"-")</f>
        <v>-</v>
      </c>
      <c r="W3557" s="20" t="str">
        <f t="shared" si="1930"/>
        <v>-</v>
      </c>
      <c r="X3557" s="20" t="str">
        <f>IFERROR(W3557*J3556,"-")</f>
        <v>-</v>
      </c>
      <c r="Z3557" s="85" t="s">
        <v>82</v>
      </c>
    </row>
    <row r="3558" spans="1:26" ht="6.95" customHeight="1" x14ac:dyDescent="0.3">
      <c r="A3558" s="5"/>
      <c r="B3558" s="157"/>
      <c r="C3558" s="158"/>
      <c r="D3558" s="161"/>
      <c r="E3558" s="162"/>
      <c r="F3558" s="163"/>
      <c r="G3558" s="164"/>
      <c r="H3558" s="165"/>
      <c r="I3558" s="164"/>
      <c r="J3558" s="165"/>
      <c r="K3558" s="164"/>
      <c r="L3558" s="165"/>
      <c r="M3558" s="6"/>
      <c r="N3558" s="32"/>
      <c r="Q3558" s="10" t="str">
        <f>+CONCATENATE(E3556,K3556)</f>
        <v/>
      </c>
      <c r="R3558" s="10">
        <f>+L3556</f>
        <v>0</v>
      </c>
      <c r="S3558" s="11"/>
      <c r="T3558" s="10">
        <f>+E3556</f>
        <v>0</v>
      </c>
      <c r="U3558" s="19" t="str">
        <f>IFERROR(LEFT(K3556,FIND("*",K3556)-1),"-")</f>
        <v>-</v>
      </c>
      <c r="V3558" s="19" t="str">
        <f>IFERROR(RIGHT(K3556,LEN(K3556)-FIND("*",K3556)),"-")</f>
        <v>-</v>
      </c>
      <c r="W3558" s="20" t="str">
        <f t="shared" si="1930"/>
        <v>-</v>
      </c>
      <c r="X3558" s="20" t="str">
        <f>IFERROR(W3558*L3556,"-")</f>
        <v>-</v>
      </c>
      <c r="Z3558" s="85" t="s">
        <v>82</v>
      </c>
    </row>
    <row r="3559" spans="1:26" ht="6.95" customHeight="1" x14ac:dyDescent="0.3">
      <c r="A3559" s="8"/>
      <c r="B3559" s="157"/>
      <c r="C3559" s="158"/>
      <c r="D3559" s="161" t="s">
        <v>39</v>
      </c>
      <c r="E3559" s="162"/>
      <c r="F3559" s="163" t="s">
        <v>40</v>
      </c>
      <c r="G3559" s="164"/>
      <c r="H3559" s="165"/>
      <c r="I3559" s="164"/>
      <c r="J3559" s="165"/>
      <c r="K3559" s="164"/>
      <c r="L3559" s="165"/>
      <c r="M3559" s="6"/>
      <c r="N3559" s="32"/>
      <c r="Q3559" s="10" t="str">
        <f>+CONCATENATE(E3559,G3559)</f>
        <v/>
      </c>
      <c r="R3559" s="10">
        <f>+H3559</f>
        <v>0</v>
      </c>
      <c r="S3559" s="11"/>
      <c r="T3559" s="10">
        <f>+E3559</f>
        <v>0</v>
      </c>
      <c r="U3559" s="19" t="str">
        <f t="shared" ref="U3559" si="1933">IFERROR(LEFT(G3559,FIND("*",G3559)-1),"-")</f>
        <v>-</v>
      </c>
      <c r="V3559" s="19" t="str">
        <f t="shared" ref="V3559" si="1934">IFERROR(RIGHT(G3559,LEN(G3559)-FIND("*",G3559)),"-")</f>
        <v>-</v>
      </c>
      <c r="W3559" s="20" t="str">
        <f t="shared" si="1930"/>
        <v>-</v>
      </c>
      <c r="X3559" s="20" t="str">
        <f>IFERROR(W3559*H3559,"-")</f>
        <v>-</v>
      </c>
      <c r="Z3559" s="85" t="s">
        <v>82</v>
      </c>
    </row>
    <row r="3560" spans="1:26" ht="6.95" customHeight="1" x14ac:dyDescent="0.3">
      <c r="A3560" s="5"/>
      <c r="B3560" s="157"/>
      <c r="C3560" s="158"/>
      <c r="D3560" s="161"/>
      <c r="E3560" s="162"/>
      <c r="F3560" s="163"/>
      <c r="G3560" s="164"/>
      <c r="H3560" s="165"/>
      <c r="I3560" s="164"/>
      <c r="J3560" s="165"/>
      <c r="K3560" s="164"/>
      <c r="L3560" s="165"/>
      <c r="M3560" s="6"/>
      <c r="N3560" s="32"/>
      <c r="Q3560" s="10" t="str">
        <f>+CONCATENATE(E3559,I3559)</f>
        <v/>
      </c>
      <c r="R3560" s="10">
        <f>+J3559</f>
        <v>0</v>
      </c>
      <c r="S3560" s="11"/>
      <c r="T3560" s="10">
        <f>+E3559</f>
        <v>0</v>
      </c>
      <c r="U3560" s="19" t="str">
        <f>IFERROR(LEFT(I3559,FIND("*",I3559)-1),"-")</f>
        <v>-</v>
      </c>
      <c r="V3560" s="19" t="str">
        <f>IFERROR(RIGHT(I3559,LEN(I3559)-FIND("*",I3559)),"-")</f>
        <v>-</v>
      </c>
      <c r="W3560" s="20" t="str">
        <f t="shared" si="1930"/>
        <v>-</v>
      </c>
      <c r="X3560" s="20" t="str">
        <f t="shared" ref="X3560" si="1935">IFERROR(W3560*J3559,"-")</f>
        <v>-</v>
      </c>
      <c r="Z3560" s="85" t="s">
        <v>82</v>
      </c>
    </row>
    <row r="3561" spans="1:26" ht="6.95" customHeight="1" x14ac:dyDescent="0.3">
      <c r="A3561" s="5"/>
      <c r="B3561" s="157"/>
      <c r="C3561" s="158"/>
      <c r="D3561" s="161"/>
      <c r="E3561" s="162"/>
      <c r="F3561" s="163"/>
      <c r="G3561" s="164"/>
      <c r="H3561" s="165"/>
      <c r="I3561" s="164"/>
      <c r="J3561" s="165"/>
      <c r="K3561" s="164"/>
      <c r="L3561" s="165"/>
      <c r="M3561" s="6"/>
      <c r="N3561" s="32"/>
      <c r="Q3561" s="10" t="str">
        <f>+CONCATENATE(E3559,K3559)</f>
        <v/>
      </c>
      <c r="R3561" s="10">
        <f>+L3559</f>
        <v>0</v>
      </c>
      <c r="S3561" s="11"/>
      <c r="T3561" s="10">
        <f>+E3559</f>
        <v>0</v>
      </c>
      <c r="U3561" s="19" t="str">
        <f>IFERROR(LEFT(K3559,FIND("*",K3559)-1),"-")</f>
        <v>-</v>
      </c>
      <c r="V3561" s="19" t="str">
        <f>IFERROR(RIGHT(K3559,LEN(K3559)-FIND("*",K3559)),"-")</f>
        <v>-</v>
      </c>
      <c r="W3561" s="20" t="str">
        <f t="shared" si="1930"/>
        <v>-</v>
      </c>
      <c r="X3561" s="20" t="str">
        <f>IFERROR(W3561*L3559,"-")</f>
        <v>-</v>
      </c>
      <c r="Z3561" s="85" t="s">
        <v>82</v>
      </c>
    </row>
    <row r="3562" spans="1:26" ht="21" customHeight="1" thickBot="1" x14ac:dyDescent="0.35">
      <c r="A3562" s="5"/>
      <c r="B3562" s="159"/>
      <c r="C3562" s="160"/>
      <c r="D3562" s="166" t="s">
        <v>43</v>
      </c>
      <c r="E3562" s="167"/>
      <c r="F3562" s="167"/>
      <c r="G3562" s="168"/>
      <c r="H3562" s="168"/>
      <c r="I3562" s="168"/>
      <c r="J3562" s="168"/>
      <c r="K3562" s="168"/>
      <c r="L3562" s="168"/>
      <c r="M3562" s="7"/>
      <c r="N3562" s="32"/>
      <c r="Z3562" s="86" t="s">
        <v>81</v>
      </c>
    </row>
    <row r="3563" spans="1:26" ht="9.9499999999999993" customHeight="1" thickBot="1" x14ac:dyDescent="0.35">
      <c r="B3563" s="9"/>
      <c r="C3563" s="109"/>
      <c r="D3563" s="51"/>
      <c r="E3563" s="12"/>
      <c r="F3563" s="51"/>
      <c r="G3563" s="14"/>
      <c r="H3563" s="14"/>
      <c r="I3563" s="14"/>
      <c r="J3563" s="14"/>
      <c r="K3563" s="14"/>
      <c r="L3563" s="14"/>
      <c r="M3563" s="9"/>
      <c r="N3563" s="32"/>
      <c r="U3563" s="18"/>
      <c r="V3563" s="18"/>
      <c r="Z3563" s="85" t="s">
        <v>82</v>
      </c>
    </row>
    <row r="3564" spans="1:26" ht="6.95" customHeight="1" x14ac:dyDescent="0.3">
      <c r="A3564" s="154">
        <f>+A3553+1</f>
        <v>1123</v>
      </c>
      <c r="B3564" s="155"/>
      <c r="C3564" s="156"/>
      <c r="D3564" s="161" t="s">
        <v>39</v>
      </c>
      <c r="E3564" s="162"/>
      <c r="F3564" s="163" t="s">
        <v>40</v>
      </c>
      <c r="G3564" s="164"/>
      <c r="H3564" s="165"/>
      <c r="I3564" s="164"/>
      <c r="J3564" s="165"/>
      <c r="K3564" s="164"/>
      <c r="L3564" s="165"/>
      <c r="M3564" s="6"/>
      <c r="N3564" s="32"/>
      <c r="Q3564" s="10" t="str">
        <f>+CONCATENATE(E3564,G3564)</f>
        <v/>
      </c>
      <c r="R3564" s="10">
        <f>+H3564</f>
        <v>0</v>
      </c>
      <c r="S3564" s="11"/>
      <c r="T3564" s="10">
        <f>+E3564</f>
        <v>0</v>
      </c>
      <c r="U3564" s="19" t="str">
        <f>IFERROR(LEFT(G3564,FIND("*",G3564)-1),"-")</f>
        <v>-</v>
      </c>
      <c r="V3564" s="19" t="str">
        <f>IFERROR(RIGHT(G3564,LEN(G3564)-FIND("*",G3564)),"-")</f>
        <v>-</v>
      </c>
      <c r="W3564" s="20" t="str">
        <f>IFERROR((U3564+V3564)*2/1000,"-")</f>
        <v>-</v>
      </c>
      <c r="X3564" s="20" t="str">
        <f>IFERROR(W3564*H3564,"-")</f>
        <v>-</v>
      </c>
      <c r="Z3564" s="85" t="s">
        <v>82</v>
      </c>
    </row>
    <row r="3565" spans="1:26" ht="6.95" customHeight="1" x14ac:dyDescent="0.3">
      <c r="A3565" s="154"/>
      <c r="B3565" s="157"/>
      <c r="C3565" s="158"/>
      <c r="D3565" s="161"/>
      <c r="E3565" s="162"/>
      <c r="F3565" s="163"/>
      <c r="G3565" s="164"/>
      <c r="H3565" s="165"/>
      <c r="I3565" s="164"/>
      <c r="J3565" s="165"/>
      <c r="K3565" s="164"/>
      <c r="L3565" s="165"/>
      <c r="M3565" s="6"/>
      <c r="N3565" s="32"/>
      <c r="Q3565" s="10" t="str">
        <f>+CONCATENATE(E3564,I3564)</f>
        <v/>
      </c>
      <c r="R3565" s="10">
        <f>+J3564</f>
        <v>0</v>
      </c>
      <c r="S3565" s="11"/>
      <c r="T3565" s="10">
        <f>+E3564</f>
        <v>0</v>
      </c>
      <c r="U3565" s="19" t="str">
        <f>IFERROR(LEFT(I3564,FIND("*",I3564)-1),"-")</f>
        <v>-</v>
      </c>
      <c r="V3565" s="19" t="str">
        <f>IFERROR(RIGHT(I3564,LEN(I3564)-FIND("*",I3564)),"-")</f>
        <v>-</v>
      </c>
      <c r="W3565" s="20" t="str">
        <f t="shared" ref="W3565:W3572" si="1936">IFERROR((U3565+V3565)*2/1000,"-")</f>
        <v>-</v>
      </c>
      <c r="X3565" s="20" t="str">
        <f>IFERROR(W3565*J3564,"-")</f>
        <v>-</v>
      </c>
      <c r="Z3565" s="85" t="s">
        <v>82</v>
      </c>
    </row>
    <row r="3566" spans="1:26" ht="6.95" customHeight="1" x14ac:dyDescent="0.3">
      <c r="A3566" s="154"/>
      <c r="B3566" s="157"/>
      <c r="C3566" s="158"/>
      <c r="D3566" s="161"/>
      <c r="E3566" s="162"/>
      <c r="F3566" s="163"/>
      <c r="G3566" s="164"/>
      <c r="H3566" s="165"/>
      <c r="I3566" s="164"/>
      <c r="J3566" s="165"/>
      <c r="K3566" s="164"/>
      <c r="L3566" s="165"/>
      <c r="M3566" s="6"/>
      <c r="N3566" s="32"/>
      <c r="Q3566" s="10" t="str">
        <f>+CONCATENATE(E3564,K3564)</f>
        <v/>
      </c>
      <c r="R3566" s="10">
        <f>+L3564</f>
        <v>0</v>
      </c>
      <c r="S3566" s="11"/>
      <c r="T3566" s="10">
        <f>+E3564</f>
        <v>0</v>
      </c>
      <c r="U3566" s="19" t="str">
        <f>IFERROR(LEFT(K3564,FIND("*",K3564)-1),"-")</f>
        <v>-</v>
      </c>
      <c r="V3566" s="19" t="str">
        <f>IFERROR(RIGHT(K3564,LEN(K3564)-FIND("*",K3564)),"-")</f>
        <v>-</v>
      </c>
      <c r="W3566" s="20" t="str">
        <f t="shared" si="1936"/>
        <v>-</v>
      </c>
      <c r="X3566" s="20" t="str">
        <f>IFERROR(W3566*L3564,"-")</f>
        <v>-</v>
      </c>
      <c r="Z3566" s="85" t="s">
        <v>82</v>
      </c>
    </row>
    <row r="3567" spans="1:26" ht="6.95" customHeight="1" x14ac:dyDescent="0.3">
      <c r="A3567" s="8"/>
      <c r="B3567" s="157"/>
      <c r="C3567" s="158"/>
      <c r="D3567" s="161" t="s">
        <v>39</v>
      </c>
      <c r="E3567" s="162"/>
      <c r="F3567" s="163" t="s">
        <v>40</v>
      </c>
      <c r="G3567" s="164"/>
      <c r="H3567" s="165"/>
      <c r="I3567" s="164"/>
      <c r="J3567" s="165"/>
      <c r="K3567" s="164"/>
      <c r="L3567" s="165"/>
      <c r="M3567" s="6"/>
      <c r="N3567" s="32"/>
      <c r="Q3567" s="10" t="str">
        <f>+CONCATENATE(E3567,G3567)</f>
        <v/>
      </c>
      <c r="R3567" s="10">
        <f>+H3567</f>
        <v>0</v>
      </c>
      <c r="S3567" s="11"/>
      <c r="T3567" s="10">
        <f>+E3567</f>
        <v>0</v>
      </c>
      <c r="U3567" s="19" t="str">
        <f t="shared" ref="U3567" si="1937">IFERROR(LEFT(G3567,FIND("*",G3567)-1),"-")</f>
        <v>-</v>
      </c>
      <c r="V3567" s="19" t="str">
        <f t="shared" ref="V3567" si="1938">IFERROR(RIGHT(G3567,LEN(G3567)-FIND("*",G3567)),"-")</f>
        <v>-</v>
      </c>
      <c r="W3567" s="20" t="str">
        <f t="shared" si="1936"/>
        <v>-</v>
      </c>
      <c r="X3567" s="20" t="str">
        <f>IFERROR(W3567*H3567,"-")</f>
        <v>-</v>
      </c>
      <c r="Z3567" s="85" t="s">
        <v>82</v>
      </c>
    </row>
    <row r="3568" spans="1:26" ht="6.95" customHeight="1" x14ac:dyDescent="0.3">
      <c r="A3568" s="5"/>
      <c r="B3568" s="157"/>
      <c r="C3568" s="158"/>
      <c r="D3568" s="161"/>
      <c r="E3568" s="162"/>
      <c r="F3568" s="163"/>
      <c r="G3568" s="164"/>
      <c r="H3568" s="165"/>
      <c r="I3568" s="164"/>
      <c r="J3568" s="165"/>
      <c r="K3568" s="164"/>
      <c r="L3568" s="165"/>
      <c r="M3568" s="6"/>
      <c r="N3568" s="32"/>
      <c r="Q3568" s="10" t="str">
        <f>+CONCATENATE(E3567,I3567)</f>
        <v/>
      </c>
      <c r="R3568" s="10">
        <f>+J3567</f>
        <v>0</v>
      </c>
      <c r="S3568" s="11"/>
      <c r="T3568" s="10">
        <f>+E3567</f>
        <v>0</v>
      </c>
      <c r="U3568" s="19" t="str">
        <f>IFERROR(LEFT(I3567,FIND("*",I3567)-1),"-")</f>
        <v>-</v>
      </c>
      <c r="V3568" s="19" t="str">
        <f>IFERROR(RIGHT(I3567,LEN(I3567)-FIND("*",I3567)),"-")</f>
        <v>-</v>
      </c>
      <c r="W3568" s="20" t="str">
        <f t="shared" si="1936"/>
        <v>-</v>
      </c>
      <c r="X3568" s="20" t="str">
        <f>IFERROR(W3568*J3567,"-")</f>
        <v>-</v>
      </c>
      <c r="Z3568" s="85" t="s">
        <v>82</v>
      </c>
    </row>
    <row r="3569" spans="1:26" ht="6.95" customHeight="1" x14ac:dyDescent="0.3">
      <c r="A3569" s="5"/>
      <c r="B3569" s="157"/>
      <c r="C3569" s="158"/>
      <c r="D3569" s="161"/>
      <c r="E3569" s="162"/>
      <c r="F3569" s="163"/>
      <c r="G3569" s="164"/>
      <c r="H3569" s="165"/>
      <c r="I3569" s="164"/>
      <c r="J3569" s="165"/>
      <c r="K3569" s="164"/>
      <c r="L3569" s="165"/>
      <c r="M3569" s="6"/>
      <c r="N3569" s="32"/>
      <c r="Q3569" s="10" t="str">
        <f>+CONCATENATE(E3567,K3567)</f>
        <v/>
      </c>
      <c r="R3569" s="10">
        <f>+L3567</f>
        <v>0</v>
      </c>
      <c r="S3569" s="11"/>
      <c r="T3569" s="10">
        <f>+E3567</f>
        <v>0</v>
      </c>
      <c r="U3569" s="19" t="str">
        <f>IFERROR(LEFT(K3567,FIND("*",K3567)-1),"-")</f>
        <v>-</v>
      </c>
      <c r="V3569" s="19" t="str">
        <f>IFERROR(RIGHT(K3567,LEN(K3567)-FIND("*",K3567)),"-")</f>
        <v>-</v>
      </c>
      <c r="W3569" s="20" t="str">
        <f t="shared" si="1936"/>
        <v>-</v>
      </c>
      <c r="X3569" s="20" t="str">
        <f>IFERROR(W3569*L3567,"-")</f>
        <v>-</v>
      </c>
      <c r="Z3569" s="85" t="s">
        <v>82</v>
      </c>
    </row>
    <row r="3570" spans="1:26" ht="6.95" customHeight="1" x14ac:dyDescent="0.3">
      <c r="A3570" s="8"/>
      <c r="B3570" s="157"/>
      <c r="C3570" s="158"/>
      <c r="D3570" s="161" t="s">
        <v>39</v>
      </c>
      <c r="E3570" s="162"/>
      <c r="F3570" s="163" t="s">
        <v>40</v>
      </c>
      <c r="G3570" s="164"/>
      <c r="H3570" s="165"/>
      <c r="I3570" s="164"/>
      <c r="J3570" s="165"/>
      <c r="K3570" s="164"/>
      <c r="L3570" s="165"/>
      <c r="M3570" s="6"/>
      <c r="N3570" s="32"/>
      <c r="Q3570" s="10" t="str">
        <f>+CONCATENATE(E3570,G3570)</f>
        <v/>
      </c>
      <c r="R3570" s="10">
        <f>+H3570</f>
        <v>0</v>
      </c>
      <c r="S3570" s="11"/>
      <c r="T3570" s="10">
        <f>+E3570</f>
        <v>0</v>
      </c>
      <c r="U3570" s="19" t="str">
        <f t="shared" ref="U3570" si="1939">IFERROR(LEFT(G3570,FIND("*",G3570)-1),"-")</f>
        <v>-</v>
      </c>
      <c r="V3570" s="19" t="str">
        <f t="shared" ref="V3570" si="1940">IFERROR(RIGHT(G3570,LEN(G3570)-FIND("*",G3570)),"-")</f>
        <v>-</v>
      </c>
      <c r="W3570" s="20" t="str">
        <f t="shared" si="1936"/>
        <v>-</v>
      </c>
      <c r="X3570" s="20" t="str">
        <f>IFERROR(W3570*H3570,"-")</f>
        <v>-</v>
      </c>
      <c r="Z3570" s="85" t="s">
        <v>82</v>
      </c>
    </row>
    <row r="3571" spans="1:26" ht="6.95" customHeight="1" x14ac:dyDescent="0.3">
      <c r="A3571" s="5"/>
      <c r="B3571" s="157"/>
      <c r="C3571" s="158"/>
      <c r="D3571" s="161"/>
      <c r="E3571" s="162"/>
      <c r="F3571" s="163"/>
      <c r="G3571" s="164"/>
      <c r="H3571" s="165"/>
      <c r="I3571" s="164"/>
      <c r="J3571" s="165"/>
      <c r="K3571" s="164"/>
      <c r="L3571" s="165"/>
      <c r="M3571" s="6"/>
      <c r="N3571" s="32"/>
      <c r="Q3571" s="10" t="str">
        <f>+CONCATENATE(E3570,I3570)</f>
        <v/>
      </c>
      <c r="R3571" s="10">
        <f>+J3570</f>
        <v>0</v>
      </c>
      <c r="S3571" s="11"/>
      <c r="T3571" s="10">
        <f>+E3570</f>
        <v>0</v>
      </c>
      <c r="U3571" s="19" t="str">
        <f>IFERROR(LEFT(I3570,FIND("*",I3570)-1),"-")</f>
        <v>-</v>
      </c>
      <c r="V3571" s="19" t="str">
        <f>IFERROR(RIGHT(I3570,LEN(I3570)-FIND("*",I3570)),"-")</f>
        <v>-</v>
      </c>
      <c r="W3571" s="20" t="str">
        <f t="shared" si="1936"/>
        <v>-</v>
      </c>
      <c r="X3571" s="20" t="str">
        <f t="shared" ref="X3571" si="1941">IFERROR(W3571*J3570,"-")</f>
        <v>-</v>
      </c>
      <c r="Z3571" s="85" t="s">
        <v>82</v>
      </c>
    </row>
    <row r="3572" spans="1:26" ht="6.95" customHeight="1" x14ac:dyDescent="0.3">
      <c r="A3572" s="5"/>
      <c r="B3572" s="157"/>
      <c r="C3572" s="158"/>
      <c r="D3572" s="161"/>
      <c r="E3572" s="162"/>
      <c r="F3572" s="163"/>
      <c r="G3572" s="164"/>
      <c r="H3572" s="165"/>
      <c r="I3572" s="164"/>
      <c r="J3572" s="165"/>
      <c r="K3572" s="164"/>
      <c r="L3572" s="165"/>
      <c r="M3572" s="6"/>
      <c r="N3572" s="32"/>
      <c r="Q3572" s="10" t="str">
        <f>+CONCATENATE(E3570,K3570)</f>
        <v/>
      </c>
      <c r="R3572" s="10">
        <f>+L3570</f>
        <v>0</v>
      </c>
      <c r="S3572" s="11"/>
      <c r="T3572" s="10">
        <f>+E3570</f>
        <v>0</v>
      </c>
      <c r="U3572" s="19" t="str">
        <f>IFERROR(LEFT(K3570,FIND("*",K3570)-1),"-")</f>
        <v>-</v>
      </c>
      <c r="V3572" s="19" t="str">
        <f>IFERROR(RIGHT(K3570,LEN(K3570)-FIND("*",K3570)),"-")</f>
        <v>-</v>
      </c>
      <c r="W3572" s="20" t="str">
        <f t="shared" si="1936"/>
        <v>-</v>
      </c>
      <c r="X3572" s="20" t="str">
        <f>IFERROR(W3572*L3570,"-")</f>
        <v>-</v>
      </c>
      <c r="Z3572" s="85" t="s">
        <v>82</v>
      </c>
    </row>
    <row r="3573" spans="1:26" ht="21" customHeight="1" thickBot="1" x14ac:dyDescent="0.35">
      <c r="A3573" s="5"/>
      <c r="B3573" s="159"/>
      <c r="C3573" s="160"/>
      <c r="D3573" s="166" t="s">
        <v>43</v>
      </c>
      <c r="E3573" s="167"/>
      <c r="F3573" s="167"/>
      <c r="G3573" s="168"/>
      <c r="H3573" s="168"/>
      <c r="I3573" s="168"/>
      <c r="J3573" s="168"/>
      <c r="K3573" s="168"/>
      <c r="L3573" s="168"/>
      <c r="M3573" s="7"/>
      <c r="N3573" s="32"/>
      <c r="Z3573" s="86" t="s">
        <v>81</v>
      </c>
    </row>
    <row r="3574" spans="1:26" ht="9.9499999999999993" customHeight="1" thickBot="1" x14ac:dyDescent="0.35">
      <c r="B3574" s="9"/>
      <c r="C3574" s="109"/>
      <c r="D3574" s="51"/>
      <c r="E3574" s="12"/>
      <c r="F3574" s="51"/>
      <c r="G3574" s="14"/>
      <c r="H3574" s="14"/>
      <c r="I3574" s="14"/>
      <c r="J3574" s="14"/>
      <c r="K3574" s="14"/>
      <c r="L3574" s="14"/>
      <c r="M3574" s="9"/>
      <c r="N3574" s="32"/>
      <c r="U3574" s="18"/>
      <c r="V3574" s="18"/>
      <c r="Z3574" s="85" t="s">
        <v>82</v>
      </c>
    </row>
    <row r="3575" spans="1:26" ht="6.95" customHeight="1" x14ac:dyDescent="0.3">
      <c r="A3575" s="154">
        <f>+A3564+1</f>
        <v>1124</v>
      </c>
      <c r="B3575" s="155"/>
      <c r="C3575" s="156"/>
      <c r="D3575" s="161" t="s">
        <v>39</v>
      </c>
      <c r="E3575" s="162"/>
      <c r="F3575" s="163" t="s">
        <v>40</v>
      </c>
      <c r="G3575" s="164"/>
      <c r="H3575" s="165"/>
      <c r="I3575" s="164"/>
      <c r="J3575" s="165"/>
      <c r="K3575" s="164"/>
      <c r="L3575" s="165"/>
      <c r="M3575" s="6"/>
      <c r="N3575" s="32"/>
      <c r="Q3575" s="10" t="str">
        <f>+CONCATENATE(E3575,G3575)</f>
        <v/>
      </c>
      <c r="R3575" s="10">
        <f>+H3575</f>
        <v>0</v>
      </c>
      <c r="S3575" s="11"/>
      <c r="T3575" s="10">
        <f>+E3575</f>
        <v>0</v>
      </c>
      <c r="U3575" s="19" t="str">
        <f>IFERROR(LEFT(G3575,FIND("*",G3575)-1),"-")</f>
        <v>-</v>
      </c>
      <c r="V3575" s="19" t="str">
        <f>IFERROR(RIGHT(G3575,LEN(G3575)-FIND("*",G3575)),"-")</f>
        <v>-</v>
      </c>
      <c r="W3575" s="20" t="str">
        <f>IFERROR((U3575+V3575)*2/1000,"-")</f>
        <v>-</v>
      </c>
      <c r="X3575" s="20" t="str">
        <f>IFERROR(W3575*H3575,"-")</f>
        <v>-</v>
      </c>
      <c r="Z3575" s="85" t="s">
        <v>82</v>
      </c>
    </row>
    <row r="3576" spans="1:26" ht="6.95" customHeight="1" x14ac:dyDescent="0.3">
      <c r="A3576" s="154"/>
      <c r="B3576" s="157"/>
      <c r="C3576" s="158"/>
      <c r="D3576" s="161"/>
      <c r="E3576" s="162"/>
      <c r="F3576" s="163"/>
      <c r="G3576" s="164"/>
      <c r="H3576" s="165"/>
      <c r="I3576" s="164"/>
      <c r="J3576" s="165"/>
      <c r="K3576" s="164"/>
      <c r="L3576" s="165"/>
      <c r="M3576" s="6"/>
      <c r="N3576" s="32"/>
      <c r="Q3576" s="10" t="str">
        <f>+CONCATENATE(E3575,I3575)</f>
        <v/>
      </c>
      <c r="R3576" s="10">
        <f>+J3575</f>
        <v>0</v>
      </c>
      <c r="S3576" s="11"/>
      <c r="T3576" s="10">
        <f>+E3575</f>
        <v>0</v>
      </c>
      <c r="U3576" s="19" t="str">
        <f>IFERROR(LEFT(I3575,FIND("*",I3575)-1),"-")</f>
        <v>-</v>
      </c>
      <c r="V3576" s="19" t="str">
        <f>IFERROR(RIGHT(I3575,LEN(I3575)-FIND("*",I3575)),"-")</f>
        <v>-</v>
      </c>
      <c r="W3576" s="20" t="str">
        <f t="shared" ref="W3576:W3583" si="1942">IFERROR((U3576+V3576)*2/1000,"-")</f>
        <v>-</v>
      </c>
      <c r="X3576" s="20" t="str">
        <f>IFERROR(W3576*J3575,"-")</f>
        <v>-</v>
      </c>
      <c r="Z3576" s="85" t="s">
        <v>82</v>
      </c>
    </row>
    <row r="3577" spans="1:26" ht="6.95" customHeight="1" x14ac:dyDescent="0.3">
      <c r="A3577" s="154"/>
      <c r="B3577" s="157"/>
      <c r="C3577" s="158"/>
      <c r="D3577" s="161"/>
      <c r="E3577" s="162"/>
      <c r="F3577" s="163"/>
      <c r="G3577" s="164"/>
      <c r="H3577" s="165"/>
      <c r="I3577" s="164"/>
      <c r="J3577" s="165"/>
      <c r="K3577" s="164"/>
      <c r="L3577" s="165"/>
      <c r="M3577" s="6"/>
      <c r="N3577" s="32"/>
      <c r="Q3577" s="10" t="str">
        <f>+CONCATENATE(E3575,K3575)</f>
        <v/>
      </c>
      <c r="R3577" s="10">
        <f>+L3575</f>
        <v>0</v>
      </c>
      <c r="S3577" s="11"/>
      <c r="T3577" s="10">
        <f>+E3575</f>
        <v>0</v>
      </c>
      <c r="U3577" s="19" t="str">
        <f>IFERROR(LEFT(K3575,FIND("*",K3575)-1),"-")</f>
        <v>-</v>
      </c>
      <c r="V3577" s="19" t="str">
        <f>IFERROR(RIGHT(K3575,LEN(K3575)-FIND("*",K3575)),"-")</f>
        <v>-</v>
      </c>
      <c r="W3577" s="20" t="str">
        <f t="shared" si="1942"/>
        <v>-</v>
      </c>
      <c r="X3577" s="20" t="str">
        <f>IFERROR(W3577*L3575,"-")</f>
        <v>-</v>
      </c>
      <c r="Z3577" s="85" t="s">
        <v>82</v>
      </c>
    </row>
    <row r="3578" spans="1:26" ht="6.95" customHeight="1" x14ac:dyDescent="0.3">
      <c r="A3578" s="8"/>
      <c r="B3578" s="157"/>
      <c r="C3578" s="158"/>
      <c r="D3578" s="161" t="s">
        <v>39</v>
      </c>
      <c r="E3578" s="162"/>
      <c r="F3578" s="163" t="s">
        <v>40</v>
      </c>
      <c r="G3578" s="164"/>
      <c r="H3578" s="165"/>
      <c r="I3578" s="164"/>
      <c r="J3578" s="165"/>
      <c r="K3578" s="164"/>
      <c r="L3578" s="165"/>
      <c r="M3578" s="6"/>
      <c r="N3578" s="32"/>
      <c r="Q3578" s="10" t="str">
        <f>+CONCATENATE(E3578,G3578)</f>
        <v/>
      </c>
      <c r="R3578" s="10">
        <f>+H3578</f>
        <v>0</v>
      </c>
      <c r="S3578" s="11"/>
      <c r="T3578" s="10">
        <f>+E3578</f>
        <v>0</v>
      </c>
      <c r="U3578" s="19" t="str">
        <f t="shared" ref="U3578" si="1943">IFERROR(LEFT(G3578,FIND("*",G3578)-1),"-")</f>
        <v>-</v>
      </c>
      <c r="V3578" s="19" t="str">
        <f t="shared" ref="V3578" si="1944">IFERROR(RIGHT(G3578,LEN(G3578)-FIND("*",G3578)),"-")</f>
        <v>-</v>
      </c>
      <c r="W3578" s="20" t="str">
        <f t="shared" si="1942"/>
        <v>-</v>
      </c>
      <c r="X3578" s="20" t="str">
        <f>IFERROR(W3578*H3578,"-")</f>
        <v>-</v>
      </c>
      <c r="Z3578" s="85" t="s">
        <v>82</v>
      </c>
    </row>
    <row r="3579" spans="1:26" ht="6.95" customHeight="1" x14ac:dyDescent="0.3">
      <c r="A3579" s="5"/>
      <c r="B3579" s="157"/>
      <c r="C3579" s="158"/>
      <c r="D3579" s="161"/>
      <c r="E3579" s="162"/>
      <c r="F3579" s="163"/>
      <c r="G3579" s="164"/>
      <c r="H3579" s="165"/>
      <c r="I3579" s="164"/>
      <c r="J3579" s="165"/>
      <c r="K3579" s="164"/>
      <c r="L3579" s="165"/>
      <c r="M3579" s="6"/>
      <c r="N3579" s="32"/>
      <c r="Q3579" s="10" t="str">
        <f>+CONCATENATE(E3578,I3578)</f>
        <v/>
      </c>
      <c r="R3579" s="10">
        <f>+J3578</f>
        <v>0</v>
      </c>
      <c r="S3579" s="11"/>
      <c r="T3579" s="10">
        <f>+E3578</f>
        <v>0</v>
      </c>
      <c r="U3579" s="19" t="str">
        <f>IFERROR(LEFT(I3578,FIND("*",I3578)-1),"-")</f>
        <v>-</v>
      </c>
      <c r="V3579" s="19" t="str">
        <f>IFERROR(RIGHT(I3578,LEN(I3578)-FIND("*",I3578)),"-")</f>
        <v>-</v>
      </c>
      <c r="W3579" s="20" t="str">
        <f t="shared" si="1942"/>
        <v>-</v>
      </c>
      <c r="X3579" s="20" t="str">
        <f>IFERROR(W3579*J3578,"-")</f>
        <v>-</v>
      </c>
      <c r="Z3579" s="85" t="s">
        <v>82</v>
      </c>
    </row>
    <row r="3580" spans="1:26" ht="6.95" customHeight="1" x14ac:dyDescent="0.3">
      <c r="A3580" s="5"/>
      <c r="B3580" s="157"/>
      <c r="C3580" s="158"/>
      <c r="D3580" s="161"/>
      <c r="E3580" s="162"/>
      <c r="F3580" s="163"/>
      <c r="G3580" s="164"/>
      <c r="H3580" s="165"/>
      <c r="I3580" s="164"/>
      <c r="J3580" s="165"/>
      <c r="K3580" s="164"/>
      <c r="L3580" s="165"/>
      <c r="M3580" s="6"/>
      <c r="N3580" s="32"/>
      <c r="Q3580" s="10" t="str">
        <f>+CONCATENATE(E3578,K3578)</f>
        <v/>
      </c>
      <c r="R3580" s="10">
        <f>+L3578</f>
        <v>0</v>
      </c>
      <c r="S3580" s="11"/>
      <c r="T3580" s="10">
        <f>+E3578</f>
        <v>0</v>
      </c>
      <c r="U3580" s="19" t="str">
        <f>IFERROR(LEFT(K3578,FIND("*",K3578)-1),"-")</f>
        <v>-</v>
      </c>
      <c r="V3580" s="19" t="str">
        <f>IFERROR(RIGHT(K3578,LEN(K3578)-FIND("*",K3578)),"-")</f>
        <v>-</v>
      </c>
      <c r="W3580" s="20" t="str">
        <f t="shared" si="1942"/>
        <v>-</v>
      </c>
      <c r="X3580" s="20" t="str">
        <f>IFERROR(W3580*L3578,"-")</f>
        <v>-</v>
      </c>
      <c r="Z3580" s="85" t="s">
        <v>82</v>
      </c>
    </row>
    <row r="3581" spans="1:26" ht="6.95" customHeight="1" x14ac:dyDescent="0.3">
      <c r="A3581" s="8"/>
      <c r="B3581" s="157"/>
      <c r="C3581" s="158"/>
      <c r="D3581" s="161" t="s">
        <v>39</v>
      </c>
      <c r="E3581" s="162"/>
      <c r="F3581" s="163" t="s">
        <v>40</v>
      </c>
      <c r="G3581" s="164"/>
      <c r="H3581" s="165"/>
      <c r="I3581" s="164"/>
      <c r="J3581" s="165"/>
      <c r="K3581" s="164"/>
      <c r="L3581" s="165"/>
      <c r="M3581" s="6"/>
      <c r="N3581" s="32"/>
      <c r="Q3581" s="10" t="str">
        <f>+CONCATENATE(E3581,G3581)</f>
        <v/>
      </c>
      <c r="R3581" s="10">
        <f>+H3581</f>
        <v>0</v>
      </c>
      <c r="S3581" s="11"/>
      <c r="T3581" s="10">
        <f>+E3581</f>
        <v>0</v>
      </c>
      <c r="U3581" s="19" t="str">
        <f t="shared" ref="U3581" si="1945">IFERROR(LEFT(G3581,FIND("*",G3581)-1),"-")</f>
        <v>-</v>
      </c>
      <c r="V3581" s="19" t="str">
        <f t="shared" ref="V3581" si="1946">IFERROR(RIGHT(G3581,LEN(G3581)-FIND("*",G3581)),"-")</f>
        <v>-</v>
      </c>
      <c r="W3581" s="20" t="str">
        <f t="shared" si="1942"/>
        <v>-</v>
      </c>
      <c r="X3581" s="20" t="str">
        <f>IFERROR(W3581*H3581,"-")</f>
        <v>-</v>
      </c>
      <c r="Z3581" s="85" t="s">
        <v>82</v>
      </c>
    </row>
    <row r="3582" spans="1:26" ht="6.95" customHeight="1" x14ac:dyDescent="0.3">
      <c r="A3582" s="5"/>
      <c r="B3582" s="157"/>
      <c r="C3582" s="158"/>
      <c r="D3582" s="161"/>
      <c r="E3582" s="162"/>
      <c r="F3582" s="163"/>
      <c r="G3582" s="164"/>
      <c r="H3582" s="165"/>
      <c r="I3582" s="164"/>
      <c r="J3582" s="165"/>
      <c r="K3582" s="164"/>
      <c r="L3582" s="165"/>
      <c r="M3582" s="6"/>
      <c r="N3582" s="32"/>
      <c r="Q3582" s="10" t="str">
        <f>+CONCATENATE(E3581,I3581)</f>
        <v/>
      </c>
      <c r="R3582" s="10">
        <f>+J3581</f>
        <v>0</v>
      </c>
      <c r="S3582" s="11"/>
      <c r="T3582" s="10">
        <f>+E3581</f>
        <v>0</v>
      </c>
      <c r="U3582" s="19" t="str">
        <f>IFERROR(LEFT(I3581,FIND("*",I3581)-1),"-")</f>
        <v>-</v>
      </c>
      <c r="V3582" s="19" t="str">
        <f>IFERROR(RIGHT(I3581,LEN(I3581)-FIND("*",I3581)),"-")</f>
        <v>-</v>
      </c>
      <c r="W3582" s="20" t="str">
        <f t="shared" si="1942"/>
        <v>-</v>
      </c>
      <c r="X3582" s="20" t="str">
        <f t="shared" ref="X3582" si="1947">IFERROR(W3582*J3581,"-")</f>
        <v>-</v>
      </c>
      <c r="Z3582" s="85" t="s">
        <v>82</v>
      </c>
    </row>
    <row r="3583" spans="1:26" ht="6.95" customHeight="1" x14ac:dyDescent="0.3">
      <c r="A3583" s="5"/>
      <c r="B3583" s="157"/>
      <c r="C3583" s="158"/>
      <c r="D3583" s="161"/>
      <c r="E3583" s="162"/>
      <c r="F3583" s="163"/>
      <c r="G3583" s="164"/>
      <c r="H3583" s="165"/>
      <c r="I3583" s="164"/>
      <c r="J3583" s="165"/>
      <c r="K3583" s="164"/>
      <c r="L3583" s="165"/>
      <c r="M3583" s="6"/>
      <c r="N3583" s="32"/>
      <c r="Q3583" s="10" t="str">
        <f>+CONCATENATE(E3581,K3581)</f>
        <v/>
      </c>
      <c r="R3583" s="10">
        <f>+L3581</f>
        <v>0</v>
      </c>
      <c r="S3583" s="11"/>
      <c r="T3583" s="10">
        <f>+E3581</f>
        <v>0</v>
      </c>
      <c r="U3583" s="19" t="str">
        <f>IFERROR(LEFT(K3581,FIND("*",K3581)-1),"-")</f>
        <v>-</v>
      </c>
      <c r="V3583" s="19" t="str">
        <f>IFERROR(RIGHT(K3581,LEN(K3581)-FIND("*",K3581)),"-")</f>
        <v>-</v>
      </c>
      <c r="W3583" s="20" t="str">
        <f t="shared" si="1942"/>
        <v>-</v>
      </c>
      <c r="X3583" s="20" t="str">
        <f>IFERROR(W3583*L3581,"-")</f>
        <v>-</v>
      </c>
      <c r="Z3583" s="85" t="s">
        <v>82</v>
      </c>
    </row>
    <row r="3584" spans="1:26" ht="21" customHeight="1" thickBot="1" x14ac:dyDescent="0.35">
      <c r="A3584" s="5"/>
      <c r="B3584" s="159"/>
      <c r="C3584" s="160"/>
      <c r="D3584" s="166" t="s">
        <v>43</v>
      </c>
      <c r="E3584" s="167"/>
      <c r="F3584" s="167"/>
      <c r="G3584" s="168"/>
      <c r="H3584" s="168"/>
      <c r="I3584" s="168"/>
      <c r="J3584" s="168"/>
      <c r="K3584" s="168"/>
      <c r="L3584" s="168"/>
      <c r="M3584" s="7"/>
      <c r="N3584" s="32"/>
      <c r="Z3584" s="86" t="s">
        <v>81</v>
      </c>
    </row>
    <row r="3585" spans="1:26" ht="9.9499999999999993" customHeight="1" thickBot="1" x14ac:dyDescent="0.35">
      <c r="B3585" s="9"/>
      <c r="C3585" s="109"/>
      <c r="D3585" s="51"/>
      <c r="E3585" s="12"/>
      <c r="F3585" s="51"/>
      <c r="G3585" s="14"/>
      <c r="H3585" s="14"/>
      <c r="I3585" s="14"/>
      <c r="J3585" s="14"/>
      <c r="K3585" s="14"/>
      <c r="L3585" s="14"/>
      <c r="M3585" s="9"/>
      <c r="N3585" s="32"/>
      <c r="U3585" s="18"/>
      <c r="V3585" s="18"/>
      <c r="Z3585" s="85" t="s">
        <v>82</v>
      </c>
    </row>
    <row r="3586" spans="1:26" ht="6.95" customHeight="1" x14ac:dyDescent="0.3">
      <c r="A3586" s="154">
        <f>+A3575+1</f>
        <v>1125</v>
      </c>
      <c r="B3586" s="155"/>
      <c r="C3586" s="156"/>
      <c r="D3586" s="161" t="s">
        <v>39</v>
      </c>
      <c r="E3586" s="162"/>
      <c r="F3586" s="163" t="s">
        <v>40</v>
      </c>
      <c r="G3586" s="164"/>
      <c r="H3586" s="165"/>
      <c r="I3586" s="164"/>
      <c r="J3586" s="165"/>
      <c r="K3586" s="164"/>
      <c r="L3586" s="165"/>
      <c r="M3586" s="6"/>
      <c r="N3586" s="32"/>
      <c r="Q3586" s="10" t="str">
        <f>+CONCATENATE(E3586,G3586)</f>
        <v/>
      </c>
      <c r="R3586" s="10">
        <f>+H3586</f>
        <v>0</v>
      </c>
      <c r="S3586" s="11"/>
      <c r="T3586" s="10">
        <f>+E3586</f>
        <v>0</v>
      </c>
      <c r="U3586" s="19" t="str">
        <f>IFERROR(LEFT(G3586,FIND("*",G3586)-1),"-")</f>
        <v>-</v>
      </c>
      <c r="V3586" s="19" t="str">
        <f>IFERROR(RIGHT(G3586,LEN(G3586)-FIND("*",G3586)),"-")</f>
        <v>-</v>
      </c>
      <c r="W3586" s="20" t="str">
        <f>IFERROR((U3586+V3586)*2/1000,"-")</f>
        <v>-</v>
      </c>
      <c r="X3586" s="20" t="str">
        <f>IFERROR(W3586*H3586,"-")</f>
        <v>-</v>
      </c>
      <c r="Z3586" s="85" t="s">
        <v>82</v>
      </c>
    </row>
    <row r="3587" spans="1:26" ht="6.95" customHeight="1" x14ac:dyDescent="0.3">
      <c r="A3587" s="154"/>
      <c r="B3587" s="157"/>
      <c r="C3587" s="158"/>
      <c r="D3587" s="161"/>
      <c r="E3587" s="162"/>
      <c r="F3587" s="163"/>
      <c r="G3587" s="164"/>
      <c r="H3587" s="165"/>
      <c r="I3587" s="164"/>
      <c r="J3587" s="165"/>
      <c r="K3587" s="164"/>
      <c r="L3587" s="165"/>
      <c r="M3587" s="6"/>
      <c r="N3587" s="32"/>
      <c r="Q3587" s="10" t="str">
        <f>+CONCATENATE(E3586,I3586)</f>
        <v/>
      </c>
      <c r="R3587" s="10">
        <f>+J3586</f>
        <v>0</v>
      </c>
      <c r="S3587" s="11"/>
      <c r="T3587" s="10">
        <f>+E3586</f>
        <v>0</v>
      </c>
      <c r="U3587" s="19" t="str">
        <f>IFERROR(LEFT(I3586,FIND("*",I3586)-1),"-")</f>
        <v>-</v>
      </c>
      <c r="V3587" s="19" t="str">
        <f>IFERROR(RIGHT(I3586,LEN(I3586)-FIND("*",I3586)),"-")</f>
        <v>-</v>
      </c>
      <c r="W3587" s="20" t="str">
        <f t="shared" ref="W3587:W3594" si="1948">IFERROR((U3587+V3587)*2/1000,"-")</f>
        <v>-</v>
      </c>
      <c r="X3587" s="20" t="str">
        <f>IFERROR(W3587*J3586,"-")</f>
        <v>-</v>
      </c>
      <c r="Z3587" s="85" t="s">
        <v>82</v>
      </c>
    </row>
    <row r="3588" spans="1:26" ht="6.95" customHeight="1" x14ac:dyDescent="0.3">
      <c r="A3588" s="154"/>
      <c r="B3588" s="157"/>
      <c r="C3588" s="158"/>
      <c r="D3588" s="161"/>
      <c r="E3588" s="162"/>
      <c r="F3588" s="163"/>
      <c r="G3588" s="164"/>
      <c r="H3588" s="165"/>
      <c r="I3588" s="164"/>
      <c r="J3588" s="165"/>
      <c r="K3588" s="164"/>
      <c r="L3588" s="165"/>
      <c r="M3588" s="6"/>
      <c r="N3588" s="32"/>
      <c r="Q3588" s="10" t="str">
        <f>+CONCATENATE(E3586,K3586)</f>
        <v/>
      </c>
      <c r="R3588" s="10">
        <f>+L3586</f>
        <v>0</v>
      </c>
      <c r="S3588" s="11"/>
      <c r="T3588" s="10">
        <f>+E3586</f>
        <v>0</v>
      </c>
      <c r="U3588" s="19" t="str">
        <f>IFERROR(LEFT(K3586,FIND("*",K3586)-1),"-")</f>
        <v>-</v>
      </c>
      <c r="V3588" s="19" t="str">
        <f>IFERROR(RIGHT(K3586,LEN(K3586)-FIND("*",K3586)),"-")</f>
        <v>-</v>
      </c>
      <c r="W3588" s="20" t="str">
        <f t="shared" si="1948"/>
        <v>-</v>
      </c>
      <c r="X3588" s="20" t="str">
        <f>IFERROR(W3588*L3586,"-")</f>
        <v>-</v>
      </c>
      <c r="Z3588" s="85" t="s">
        <v>82</v>
      </c>
    </row>
    <row r="3589" spans="1:26" ht="6.95" customHeight="1" x14ac:dyDescent="0.3">
      <c r="A3589" s="8"/>
      <c r="B3589" s="157"/>
      <c r="C3589" s="158"/>
      <c r="D3589" s="161" t="s">
        <v>39</v>
      </c>
      <c r="E3589" s="162"/>
      <c r="F3589" s="163" t="s">
        <v>40</v>
      </c>
      <c r="G3589" s="164"/>
      <c r="H3589" s="165"/>
      <c r="I3589" s="164"/>
      <c r="J3589" s="165"/>
      <c r="K3589" s="164"/>
      <c r="L3589" s="165"/>
      <c r="M3589" s="6"/>
      <c r="N3589" s="32"/>
      <c r="Q3589" s="10" t="str">
        <f>+CONCATENATE(E3589,G3589)</f>
        <v/>
      </c>
      <c r="R3589" s="10">
        <f>+H3589</f>
        <v>0</v>
      </c>
      <c r="S3589" s="11"/>
      <c r="T3589" s="10">
        <f>+E3589</f>
        <v>0</v>
      </c>
      <c r="U3589" s="19" t="str">
        <f t="shared" ref="U3589" si="1949">IFERROR(LEFT(G3589,FIND("*",G3589)-1),"-")</f>
        <v>-</v>
      </c>
      <c r="V3589" s="19" t="str">
        <f t="shared" ref="V3589" si="1950">IFERROR(RIGHT(G3589,LEN(G3589)-FIND("*",G3589)),"-")</f>
        <v>-</v>
      </c>
      <c r="W3589" s="20" t="str">
        <f t="shared" si="1948"/>
        <v>-</v>
      </c>
      <c r="X3589" s="20" t="str">
        <f>IFERROR(W3589*H3589,"-")</f>
        <v>-</v>
      </c>
      <c r="Z3589" s="85" t="s">
        <v>82</v>
      </c>
    </row>
    <row r="3590" spans="1:26" ht="6.95" customHeight="1" x14ac:dyDescent="0.3">
      <c r="A3590" s="5"/>
      <c r="B3590" s="157"/>
      <c r="C3590" s="158"/>
      <c r="D3590" s="161"/>
      <c r="E3590" s="162"/>
      <c r="F3590" s="163"/>
      <c r="G3590" s="164"/>
      <c r="H3590" s="165"/>
      <c r="I3590" s="164"/>
      <c r="J3590" s="165"/>
      <c r="K3590" s="164"/>
      <c r="L3590" s="165"/>
      <c r="M3590" s="6"/>
      <c r="N3590" s="32"/>
      <c r="Q3590" s="10" t="str">
        <f>+CONCATENATE(E3589,I3589)</f>
        <v/>
      </c>
      <c r="R3590" s="10">
        <f>+J3589</f>
        <v>0</v>
      </c>
      <c r="S3590" s="11"/>
      <c r="T3590" s="10">
        <f>+E3589</f>
        <v>0</v>
      </c>
      <c r="U3590" s="19" t="str">
        <f>IFERROR(LEFT(I3589,FIND("*",I3589)-1),"-")</f>
        <v>-</v>
      </c>
      <c r="V3590" s="19" t="str">
        <f>IFERROR(RIGHT(I3589,LEN(I3589)-FIND("*",I3589)),"-")</f>
        <v>-</v>
      </c>
      <c r="W3590" s="20" t="str">
        <f t="shared" si="1948"/>
        <v>-</v>
      </c>
      <c r="X3590" s="20" t="str">
        <f>IFERROR(W3590*J3589,"-")</f>
        <v>-</v>
      </c>
      <c r="Z3590" s="85" t="s">
        <v>82</v>
      </c>
    </row>
    <row r="3591" spans="1:26" ht="6.95" customHeight="1" x14ac:dyDescent="0.3">
      <c r="A3591" s="5"/>
      <c r="B3591" s="157"/>
      <c r="C3591" s="158"/>
      <c r="D3591" s="161"/>
      <c r="E3591" s="162"/>
      <c r="F3591" s="163"/>
      <c r="G3591" s="164"/>
      <c r="H3591" s="165"/>
      <c r="I3591" s="164"/>
      <c r="J3591" s="165"/>
      <c r="K3591" s="164"/>
      <c r="L3591" s="165"/>
      <c r="M3591" s="6"/>
      <c r="N3591" s="32"/>
      <c r="Q3591" s="10" t="str">
        <f>+CONCATENATE(E3589,K3589)</f>
        <v/>
      </c>
      <c r="R3591" s="10">
        <f>+L3589</f>
        <v>0</v>
      </c>
      <c r="S3591" s="11"/>
      <c r="T3591" s="10">
        <f>+E3589</f>
        <v>0</v>
      </c>
      <c r="U3591" s="19" t="str">
        <f>IFERROR(LEFT(K3589,FIND("*",K3589)-1),"-")</f>
        <v>-</v>
      </c>
      <c r="V3591" s="19" t="str">
        <f>IFERROR(RIGHT(K3589,LEN(K3589)-FIND("*",K3589)),"-")</f>
        <v>-</v>
      </c>
      <c r="W3591" s="20" t="str">
        <f t="shared" si="1948"/>
        <v>-</v>
      </c>
      <c r="X3591" s="20" t="str">
        <f>IFERROR(W3591*L3589,"-")</f>
        <v>-</v>
      </c>
      <c r="Z3591" s="85" t="s">
        <v>82</v>
      </c>
    </row>
    <row r="3592" spans="1:26" ht="6.95" customHeight="1" x14ac:dyDescent="0.3">
      <c r="A3592" s="8"/>
      <c r="B3592" s="157"/>
      <c r="C3592" s="158"/>
      <c r="D3592" s="161" t="s">
        <v>39</v>
      </c>
      <c r="E3592" s="162"/>
      <c r="F3592" s="163" t="s">
        <v>40</v>
      </c>
      <c r="G3592" s="164"/>
      <c r="H3592" s="165"/>
      <c r="I3592" s="164"/>
      <c r="J3592" s="165"/>
      <c r="K3592" s="164"/>
      <c r="L3592" s="165"/>
      <c r="M3592" s="6"/>
      <c r="N3592" s="32"/>
      <c r="Q3592" s="10" t="str">
        <f>+CONCATENATE(E3592,G3592)</f>
        <v/>
      </c>
      <c r="R3592" s="10">
        <f>+H3592</f>
        <v>0</v>
      </c>
      <c r="S3592" s="11"/>
      <c r="T3592" s="10">
        <f>+E3592</f>
        <v>0</v>
      </c>
      <c r="U3592" s="19" t="str">
        <f t="shared" ref="U3592" si="1951">IFERROR(LEFT(G3592,FIND("*",G3592)-1),"-")</f>
        <v>-</v>
      </c>
      <c r="V3592" s="19" t="str">
        <f t="shared" ref="V3592" si="1952">IFERROR(RIGHT(G3592,LEN(G3592)-FIND("*",G3592)),"-")</f>
        <v>-</v>
      </c>
      <c r="W3592" s="20" t="str">
        <f t="shared" si="1948"/>
        <v>-</v>
      </c>
      <c r="X3592" s="20" t="str">
        <f>IFERROR(W3592*H3592,"-")</f>
        <v>-</v>
      </c>
      <c r="Z3592" s="85" t="s">
        <v>82</v>
      </c>
    </row>
    <row r="3593" spans="1:26" ht="6.95" customHeight="1" x14ac:dyDescent="0.3">
      <c r="A3593" s="5"/>
      <c r="B3593" s="157"/>
      <c r="C3593" s="158"/>
      <c r="D3593" s="161"/>
      <c r="E3593" s="162"/>
      <c r="F3593" s="163"/>
      <c r="G3593" s="164"/>
      <c r="H3593" s="165"/>
      <c r="I3593" s="164"/>
      <c r="J3593" s="165"/>
      <c r="K3593" s="164"/>
      <c r="L3593" s="165"/>
      <c r="M3593" s="6"/>
      <c r="N3593" s="32"/>
      <c r="Q3593" s="10" t="str">
        <f>+CONCATENATE(E3592,I3592)</f>
        <v/>
      </c>
      <c r="R3593" s="10">
        <f>+J3592</f>
        <v>0</v>
      </c>
      <c r="S3593" s="11"/>
      <c r="T3593" s="10">
        <f>+E3592</f>
        <v>0</v>
      </c>
      <c r="U3593" s="19" t="str">
        <f>IFERROR(LEFT(I3592,FIND("*",I3592)-1),"-")</f>
        <v>-</v>
      </c>
      <c r="V3593" s="19" t="str">
        <f>IFERROR(RIGHT(I3592,LEN(I3592)-FIND("*",I3592)),"-")</f>
        <v>-</v>
      </c>
      <c r="W3593" s="20" t="str">
        <f t="shared" si="1948"/>
        <v>-</v>
      </c>
      <c r="X3593" s="20" t="str">
        <f t="shared" ref="X3593" si="1953">IFERROR(W3593*J3592,"-")</f>
        <v>-</v>
      </c>
      <c r="Z3593" s="85" t="s">
        <v>82</v>
      </c>
    </row>
    <row r="3594" spans="1:26" ht="6.95" customHeight="1" x14ac:dyDescent="0.3">
      <c r="A3594" s="5"/>
      <c r="B3594" s="157"/>
      <c r="C3594" s="158"/>
      <c r="D3594" s="161"/>
      <c r="E3594" s="162"/>
      <c r="F3594" s="163"/>
      <c r="G3594" s="164"/>
      <c r="H3594" s="165"/>
      <c r="I3594" s="164"/>
      <c r="J3594" s="165"/>
      <c r="K3594" s="164"/>
      <c r="L3594" s="165"/>
      <c r="M3594" s="6"/>
      <c r="N3594" s="32"/>
      <c r="Q3594" s="10" t="str">
        <f>+CONCATENATE(E3592,K3592)</f>
        <v/>
      </c>
      <c r="R3594" s="10">
        <f>+L3592</f>
        <v>0</v>
      </c>
      <c r="S3594" s="11"/>
      <c r="T3594" s="10">
        <f>+E3592</f>
        <v>0</v>
      </c>
      <c r="U3594" s="19" t="str">
        <f>IFERROR(LEFT(K3592,FIND("*",K3592)-1),"-")</f>
        <v>-</v>
      </c>
      <c r="V3594" s="19" t="str">
        <f>IFERROR(RIGHT(K3592,LEN(K3592)-FIND("*",K3592)),"-")</f>
        <v>-</v>
      </c>
      <c r="W3594" s="20" t="str">
        <f t="shared" si="1948"/>
        <v>-</v>
      </c>
      <c r="X3594" s="20" t="str">
        <f>IFERROR(W3594*L3592,"-")</f>
        <v>-</v>
      </c>
      <c r="Z3594" s="85" t="s">
        <v>82</v>
      </c>
    </row>
    <row r="3595" spans="1:26" ht="21" customHeight="1" thickBot="1" x14ac:dyDescent="0.35">
      <c r="A3595" s="5"/>
      <c r="B3595" s="159"/>
      <c r="C3595" s="160"/>
      <c r="D3595" s="166" t="s">
        <v>43</v>
      </c>
      <c r="E3595" s="167"/>
      <c r="F3595" s="167"/>
      <c r="G3595" s="168"/>
      <c r="H3595" s="168"/>
      <c r="I3595" s="168"/>
      <c r="J3595" s="168"/>
      <c r="K3595" s="168"/>
      <c r="L3595" s="168"/>
      <c r="M3595" s="7"/>
      <c r="N3595" s="32"/>
      <c r="Z3595" s="86" t="s">
        <v>81</v>
      </c>
    </row>
    <row r="3596" spans="1:26" ht="9.9499999999999993" customHeight="1" thickBot="1" x14ac:dyDescent="0.35">
      <c r="B3596" s="9"/>
      <c r="C3596" s="109"/>
      <c r="D3596" s="51"/>
      <c r="E3596" s="12"/>
      <c r="F3596" s="51"/>
      <c r="G3596" s="14"/>
      <c r="H3596" s="14"/>
      <c r="I3596" s="14"/>
      <c r="J3596" s="14"/>
      <c r="K3596" s="14"/>
      <c r="L3596" s="14"/>
      <c r="M3596" s="9"/>
      <c r="N3596" s="32"/>
      <c r="U3596" s="18"/>
      <c r="V3596" s="18"/>
      <c r="Z3596" s="85" t="s">
        <v>82</v>
      </c>
    </row>
    <row r="3597" spans="1:26" ht="6.95" customHeight="1" x14ac:dyDescent="0.3">
      <c r="A3597" s="154">
        <f>+A3586+1</f>
        <v>1126</v>
      </c>
      <c r="B3597" s="155"/>
      <c r="C3597" s="156"/>
      <c r="D3597" s="161" t="s">
        <v>39</v>
      </c>
      <c r="E3597" s="162"/>
      <c r="F3597" s="163" t="s">
        <v>40</v>
      </c>
      <c r="G3597" s="164"/>
      <c r="H3597" s="165"/>
      <c r="I3597" s="164"/>
      <c r="J3597" s="165"/>
      <c r="K3597" s="164"/>
      <c r="L3597" s="165"/>
      <c r="M3597" s="6"/>
      <c r="N3597" s="32"/>
      <c r="Q3597" s="10" t="str">
        <f>+CONCATENATE(E3597,G3597)</f>
        <v/>
      </c>
      <c r="R3597" s="10">
        <f>+H3597</f>
        <v>0</v>
      </c>
      <c r="S3597" s="11"/>
      <c r="T3597" s="10">
        <f>+E3597</f>
        <v>0</v>
      </c>
      <c r="U3597" s="19" t="str">
        <f>IFERROR(LEFT(G3597,FIND("*",G3597)-1),"-")</f>
        <v>-</v>
      </c>
      <c r="V3597" s="19" t="str">
        <f>IFERROR(RIGHT(G3597,LEN(G3597)-FIND("*",G3597)),"-")</f>
        <v>-</v>
      </c>
      <c r="W3597" s="20" t="str">
        <f>IFERROR((U3597+V3597)*2/1000,"-")</f>
        <v>-</v>
      </c>
      <c r="X3597" s="20" t="str">
        <f>IFERROR(W3597*H3597,"-")</f>
        <v>-</v>
      </c>
      <c r="Z3597" s="85" t="s">
        <v>82</v>
      </c>
    </row>
    <row r="3598" spans="1:26" ht="6.95" customHeight="1" x14ac:dyDescent="0.3">
      <c r="A3598" s="154"/>
      <c r="B3598" s="157"/>
      <c r="C3598" s="158"/>
      <c r="D3598" s="161"/>
      <c r="E3598" s="162"/>
      <c r="F3598" s="163"/>
      <c r="G3598" s="164"/>
      <c r="H3598" s="165"/>
      <c r="I3598" s="164"/>
      <c r="J3598" s="165"/>
      <c r="K3598" s="164"/>
      <c r="L3598" s="165"/>
      <c r="M3598" s="6"/>
      <c r="N3598" s="32"/>
      <c r="Q3598" s="10" t="str">
        <f>+CONCATENATE(E3597,I3597)</f>
        <v/>
      </c>
      <c r="R3598" s="10">
        <f>+J3597</f>
        <v>0</v>
      </c>
      <c r="S3598" s="11"/>
      <c r="T3598" s="10">
        <f>+E3597</f>
        <v>0</v>
      </c>
      <c r="U3598" s="19" t="str">
        <f>IFERROR(LEFT(I3597,FIND("*",I3597)-1),"-")</f>
        <v>-</v>
      </c>
      <c r="V3598" s="19" t="str">
        <f>IFERROR(RIGHT(I3597,LEN(I3597)-FIND("*",I3597)),"-")</f>
        <v>-</v>
      </c>
      <c r="W3598" s="20" t="str">
        <f t="shared" ref="W3598:W3605" si="1954">IFERROR((U3598+V3598)*2/1000,"-")</f>
        <v>-</v>
      </c>
      <c r="X3598" s="20" t="str">
        <f>IFERROR(W3598*J3597,"-")</f>
        <v>-</v>
      </c>
      <c r="Z3598" s="85" t="s">
        <v>82</v>
      </c>
    </row>
    <row r="3599" spans="1:26" ht="6.95" customHeight="1" x14ac:dyDescent="0.3">
      <c r="A3599" s="154"/>
      <c r="B3599" s="157"/>
      <c r="C3599" s="158"/>
      <c r="D3599" s="161"/>
      <c r="E3599" s="162"/>
      <c r="F3599" s="163"/>
      <c r="G3599" s="164"/>
      <c r="H3599" s="165"/>
      <c r="I3599" s="164"/>
      <c r="J3599" s="165"/>
      <c r="K3599" s="164"/>
      <c r="L3599" s="165"/>
      <c r="M3599" s="6"/>
      <c r="N3599" s="32"/>
      <c r="Q3599" s="10" t="str">
        <f>+CONCATENATE(E3597,K3597)</f>
        <v/>
      </c>
      <c r="R3599" s="10">
        <f>+L3597</f>
        <v>0</v>
      </c>
      <c r="S3599" s="11"/>
      <c r="T3599" s="10">
        <f>+E3597</f>
        <v>0</v>
      </c>
      <c r="U3599" s="19" t="str">
        <f>IFERROR(LEFT(K3597,FIND("*",K3597)-1),"-")</f>
        <v>-</v>
      </c>
      <c r="V3599" s="19" t="str">
        <f>IFERROR(RIGHT(K3597,LEN(K3597)-FIND("*",K3597)),"-")</f>
        <v>-</v>
      </c>
      <c r="W3599" s="20" t="str">
        <f t="shared" si="1954"/>
        <v>-</v>
      </c>
      <c r="X3599" s="20" t="str">
        <f>IFERROR(W3599*L3597,"-")</f>
        <v>-</v>
      </c>
      <c r="Z3599" s="85" t="s">
        <v>82</v>
      </c>
    </row>
    <row r="3600" spans="1:26" ht="6.95" customHeight="1" x14ac:dyDescent="0.3">
      <c r="A3600" s="8"/>
      <c r="B3600" s="157"/>
      <c r="C3600" s="158"/>
      <c r="D3600" s="161" t="s">
        <v>39</v>
      </c>
      <c r="E3600" s="162"/>
      <c r="F3600" s="163" t="s">
        <v>40</v>
      </c>
      <c r="G3600" s="164"/>
      <c r="H3600" s="165"/>
      <c r="I3600" s="164"/>
      <c r="J3600" s="165"/>
      <c r="K3600" s="164"/>
      <c r="L3600" s="165"/>
      <c r="M3600" s="6"/>
      <c r="N3600" s="32"/>
      <c r="Q3600" s="10" t="str">
        <f>+CONCATENATE(E3600,G3600)</f>
        <v/>
      </c>
      <c r="R3600" s="10">
        <f>+H3600</f>
        <v>0</v>
      </c>
      <c r="S3600" s="11"/>
      <c r="T3600" s="10">
        <f>+E3600</f>
        <v>0</v>
      </c>
      <c r="U3600" s="19" t="str">
        <f t="shared" ref="U3600" si="1955">IFERROR(LEFT(G3600,FIND("*",G3600)-1),"-")</f>
        <v>-</v>
      </c>
      <c r="V3600" s="19" t="str">
        <f t="shared" ref="V3600" si="1956">IFERROR(RIGHT(G3600,LEN(G3600)-FIND("*",G3600)),"-")</f>
        <v>-</v>
      </c>
      <c r="W3600" s="20" t="str">
        <f t="shared" si="1954"/>
        <v>-</v>
      </c>
      <c r="X3600" s="20" t="str">
        <f>IFERROR(W3600*H3600,"-")</f>
        <v>-</v>
      </c>
      <c r="Z3600" s="85" t="s">
        <v>82</v>
      </c>
    </row>
    <row r="3601" spans="1:26" ht="6.95" customHeight="1" x14ac:dyDescent="0.3">
      <c r="A3601" s="5"/>
      <c r="B3601" s="157"/>
      <c r="C3601" s="158"/>
      <c r="D3601" s="161"/>
      <c r="E3601" s="162"/>
      <c r="F3601" s="163"/>
      <c r="G3601" s="164"/>
      <c r="H3601" s="165"/>
      <c r="I3601" s="164"/>
      <c r="J3601" s="165"/>
      <c r="K3601" s="164"/>
      <c r="L3601" s="165"/>
      <c r="M3601" s="6"/>
      <c r="N3601" s="32"/>
      <c r="Q3601" s="10" t="str">
        <f>+CONCATENATE(E3600,I3600)</f>
        <v/>
      </c>
      <c r="R3601" s="10">
        <f>+J3600</f>
        <v>0</v>
      </c>
      <c r="S3601" s="11"/>
      <c r="T3601" s="10">
        <f>+E3600</f>
        <v>0</v>
      </c>
      <c r="U3601" s="19" t="str">
        <f>IFERROR(LEFT(I3600,FIND("*",I3600)-1),"-")</f>
        <v>-</v>
      </c>
      <c r="V3601" s="19" t="str">
        <f>IFERROR(RIGHT(I3600,LEN(I3600)-FIND("*",I3600)),"-")</f>
        <v>-</v>
      </c>
      <c r="W3601" s="20" t="str">
        <f t="shared" si="1954"/>
        <v>-</v>
      </c>
      <c r="X3601" s="20" t="str">
        <f>IFERROR(W3601*J3600,"-")</f>
        <v>-</v>
      </c>
      <c r="Z3601" s="85" t="s">
        <v>82</v>
      </c>
    </row>
    <row r="3602" spans="1:26" ht="6.95" customHeight="1" x14ac:dyDescent="0.3">
      <c r="A3602" s="5"/>
      <c r="B3602" s="157"/>
      <c r="C3602" s="158"/>
      <c r="D3602" s="161"/>
      <c r="E3602" s="162"/>
      <c r="F3602" s="163"/>
      <c r="G3602" s="164"/>
      <c r="H3602" s="165"/>
      <c r="I3602" s="164"/>
      <c r="J3602" s="165"/>
      <c r="K3602" s="164"/>
      <c r="L3602" s="165"/>
      <c r="M3602" s="6"/>
      <c r="N3602" s="32"/>
      <c r="Q3602" s="10" t="str">
        <f>+CONCATENATE(E3600,K3600)</f>
        <v/>
      </c>
      <c r="R3602" s="10">
        <f>+L3600</f>
        <v>0</v>
      </c>
      <c r="S3602" s="11"/>
      <c r="T3602" s="10">
        <f>+E3600</f>
        <v>0</v>
      </c>
      <c r="U3602" s="19" t="str">
        <f>IFERROR(LEFT(K3600,FIND("*",K3600)-1),"-")</f>
        <v>-</v>
      </c>
      <c r="V3602" s="19" t="str">
        <f>IFERROR(RIGHT(K3600,LEN(K3600)-FIND("*",K3600)),"-")</f>
        <v>-</v>
      </c>
      <c r="W3602" s="20" t="str">
        <f t="shared" si="1954"/>
        <v>-</v>
      </c>
      <c r="X3602" s="20" t="str">
        <f>IFERROR(W3602*L3600,"-")</f>
        <v>-</v>
      </c>
      <c r="Z3602" s="85" t="s">
        <v>82</v>
      </c>
    </row>
    <row r="3603" spans="1:26" ht="6.95" customHeight="1" x14ac:dyDescent="0.3">
      <c r="A3603" s="8"/>
      <c r="B3603" s="157"/>
      <c r="C3603" s="158"/>
      <c r="D3603" s="161" t="s">
        <v>39</v>
      </c>
      <c r="E3603" s="162"/>
      <c r="F3603" s="163" t="s">
        <v>40</v>
      </c>
      <c r="G3603" s="164"/>
      <c r="H3603" s="165"/>
      <c r="I3603" s="164"/>
      <c r="J3603" s="165"/>
      <c r="K3603" s="164"/>
      <c r="L3603" s="165"/>
      <c r="M3603" s="6"/>
      <c r="N3603" s="32"/>
      <c r="Q3603" s="10" t="str">
        <f>+CONCATENATE(E3603,G3603)</f>
        <v/>
      </c>
      <c r="R3603" s="10">
        <f>+H3603</f>
        <v>0</v>
      </c>
      <c r="S3603" s="11"/>
      <c r="T3603" s="10">
        <f>+E3603</f>
        <v>0</v>
      </c>
      <c r="U3603" s="19" t="str">
        <f t="shared" ref="U3603" si="1957">IFERROR(LEFT(G3603,FIND("*",G3603)-1),"-")</f>
        <v>-</v>
      </c>
      <c r="V3603" s="19" t="str">
        <f t="shared" ref="V3603" si="1958">IFERROR(RIGHT(G3603,LEN(G3603)-FIND("*",G3603)),"-")</f>
        <v>-</v>
      </c>
      <c r="W3603" s="20" t="str">
        <f t="shared" si="1954"/>
        <v>-</v>
      </c>
      <c r="X3603" s="20" t="str">
        <f>IFERROR(W3603*H3603,"-")</f>
        <v>-</v>
      </c>
      <c r="Z3603" s="85" t="s">
        <v>82</v>
      </c>
    </row>
    <row r="3604" spans="1:26" ht="6.95" customHeight="1" x14ac:dyDescent="0.3">
      <c r="A3604" s="5"/>
      <c r="B3604" s="157"/>
      <c r="C3604" s="158"/>
      <c r="D3604" s="161"/>
      <c r="E3604" s="162"/>
      <c r="F3604" s="163"/>
      <c r="G3604" s="164"/>
      <c r="H3604" s="165"/>
      <c r="I3604" s="164"/>
      <c r="J3604" s="165"/>
      <c r="K3604" s="164"/>
      <c r="L3604" s="165"/>
      <c r="M3604" s="6"/>
      <c r="N3604" s="32"/>
      <c r="Q3604" s="10" t="str">
        <f>+CONCATENATE(E3603,I3603)</f>
        <v/>
      </c>
      <c r="R3604" s="10">
        <f>+J3603</f>
        <v>0</v>
      </c>
      <c r="S3604" s="11"/>
      <c r="T3604" s="10">
        <f>+E3603</f>
        <v>0</v>
      </c>
      <c r="U3604" s="19" t="str">
        <f>IFERROR(LEFT(I3603,FIND("*",I3603)-1),"-")</f>
        <v>-</v>
      </c>
      <c r="V3604" s="19" t="str">
        <f>IFERROR(RIGHT(I3603,LEN(I3603)-FIND("*",I3603)),"-")</f>
        <v>-</v>
      </c>
      <c r="W3604" s="20" t="str">
        <f t="shared" si="1954"/>
        <v>-</v>
      </c>
      <c r="X3604" s="20" t="str">
        <f t="shared" ref="X3604" si="1959">IFERROR(W3604*J3603,"-")</f>
        <v>-</v>
      </c>
      <c r="Z3604" s="85" t="s">
        <v>82</v>
      </c>
    </row>
    <row r="3605" spans="1:26" ht="6.95" customHeight="1" x14ac:dyDescent="0.3">
      <c r="A3605" s="5"/>
      <c r="B3605" s="157"/>
      <c r="C3605" s="158"/>
      <c r="D3605" s="161"/>
      <c r="E3605" s="162"/>
      <c r="F3605" s="163"/>
      <c r="G3605" s="164"/>
      <c r="H3605" s="165"/>
      <c r="I3605" s="164"/>
      <c r="J3605" s="165"/>
      <c r="K3605" s="164"/>
      <c r="L3605" s="165"/>
      <c r="M3605" s="6"/>
      <c r="N3605" s="32"/>
      <c r="Q3605" s="10" t="str">
        <f>+CONCATENATE(E3603,K3603)</f>
        <v/>
      </c>
      <c r="R3605" s="10">
        <f>+L3603</f>
        <v>0</v>
      </c>
      <c r="S3605" s="11"/>
      <c r="T3605" s="10">
        <f>+E3603</f>
        <v>0</v>
      </c>
      <c r="U3605" s="19" t="str">
        <f>IFERROR(LEFT(K3603,FIND("*",K3603)-1),"-")</f>
        <v>-</v>
      </c>
      <c r="V3605" s="19" t="str">
        <f>IFERROR(RIGHT(K3603,LEN(K3603)-FIND("*",K3603)),"-")</f>
        <v>-</v>
      </c>
      <c r="W3605" s="20" t="str">
        <f t="shared" si="1954"/>
        <v>-</v>
      </c>
      <c r="X3605" s="20" t="str">
        <f>IFERROR(W3605*L3603,"-")</f>
        <v>-</v>
      </c>
      <c r="Z3605" s="85" t="s">
        <v>82</v>
      </c>
    </row>
    <row r="3606" spans="1:26" ht="21" customHeight="1" thickBot="1" x14ac:dyDescent="0.35">
      <c r="A3606" s="5"/>
      <c r="B3606" s="159"/>
      <c r="C3606" s="160"/>
      <c r="D3606" s="166" t="s">
        <v>43</v>
      </c>
      <c r="E3606" s="167"/>
      <c r="F3606" s="167"/>
      <c r="G3606" s="168"/>
      <c r="H3606" s="168"/>
      <c r="I3606" s="168"/>
      <c r="J3606" s="168"/>
      <c r="K3606" s="168"/>
      <c r="L3606" s="168"/>
      <c r="M3606" s="7"/>
      <c r="N3606" s="32"/>
      <c r="Z3606" s="86" t="s">
        <v>81</v>
      </c>
    </row>
    <row r="3607" spans="1:26" ht="9.9499999999999993" customHeight="1" thickBot="1" x14ac:dyDescent="0.35">
      <c r="B3607" s="9"/>
      <c r="C3607" s="109"/>
      <c r="D3607" s="51"/>
      <c r="E3607" s="12"/>
      <c r="F3607" s="51"/>
      <c r="G3607" s="14"/>
      <c r="H3607" s="14"/>
      <c r="I3607" s="14"/>
      <c r="J3607" s="14"/>
      <c r="K3607" s="14"/>
      <c r="L3607" s="14"/>
      <c r="M3607" s="9"/>
      <c r="N3607" s="32"/>
      <c r="U3607" s="18"/>
      <c r="V3607" s="18"/>
      <c r="Z3607" s="85" t="s">
        <v>82</v>
      </c>
    </row>
    <row r="3608" spans="1:26" ht="6.95" customHeight="1" x14ac:dyDescent="0.3">
      <c r="A3608" s="154">
        <f>+A3597+1</f>
        <v>1127</v>
      </c>
      <c r="B3608" s="155"/>
      <c r="C3608" s="156"/>
      <c r="D3608" s="161" t="s">
        <v>39</v>
      </c>
      <c r="E3608" s="162"/>
      <c r="F3608" s="163" t="s">
        <v>40</v>
      </c>
      <c r="G3608" s="164"/>
      <c r="H3608" s="165"/>
      <c r="I3608" s="164"/>
      <c r="J3608" s="165"/>
      <c r="K3608" s="164"/>
      <c r="L3608" s="165"/>
      <c r="M3608" s="6"/>
      <c r="N3608" s="32"/>
      <c r="Q3608" s="10" t="str">
        <f>+CONCATENATE(E3608,G3608)</f>
        <v/>
      </c>
      <c r="R3608" s="10">
        <f>+H3608</f>
        <v>0</v>
      </c>
      <c r="S3608" s="11"/>
      <c r="T3608" s="10">
        <f>+E3608</f>
        <v>0</v>
      </c>
      <c r="U3608" s="19" t="str">
        <f>IFERROR(LEFT(G3608,FIND("*",G3608)-1),"-")</f>
        <v>-</v>
      </c>
      <c r="V3608" s="19" t="str">
        <f>IFERROR(RIGHT(G3608,LEN(G3608)-FIND("*",G3608)),"-")</f>
        <v>-</v>
      </c>
      <c r="W3608" s="20" t="str">
        <f>IFERROR((U3608+V3608)*2/1000,"-")</f>
        <v>-</v>
      </c>
      <c r="X3608" s="20" t="str">
        <f>IFERROR(W3608*H3608,"-")</f>
        <v>-</v>
      </c>
      <c r="Z3608" s="85" t="s">
        <v>82</v>
      </c>
    </row>
    <row r="3609" spans="1:26" ht="6.95" customHeight="1" x14ac:dyDescent="0.3">
      <c r="A3609" s="154"/>
      <c r="B3609" s="157"/>
      <c r="C3609" s="158"/>
      <c r="D3609" s="161"/>
      <c r="E3609" s="162"/>
      <c r="F3609" s="163"/>
      <c r="G3609" s="164"/>
      <c r="H3609" s="165"/>
      <c r="I3609" s="164"/>
      <c r="J3609" s="165"/>
      <c r="K3609" s="164"/>
      <c r="L3609" s="165"/>
      <c r="M3609" s="6"/>
      <c r="N3609" s="32"/>
      <c r="Q3609" s="10" t="str">
        <f>+CONCATENATE(E3608,I3608)</f>
        <v/>
      </c>
      <c r="R3609" s="10">
        <f>+J3608</f>
        <v>0</v>
      </c>
      <c r="S3609" s="11"/>
      <c r="T3609" s="10">
        <f>+E3608</f>
        <v>0</v>
      </c>
      <c r="U3609" s="19" t="str">
        <f>IFERROR(LEFT(I3608,FIND("*",I3608)-1),"-")</f>
        <v>-</v>
      </c>
      <c r="V3609" s="19" t="str">
        <f>IFERROR(RIGHT(I3608,LEN(I3608)-FIND("*",I3608)),"-")</f>
        <v>-</v>
      </c>
      <c r="W3609" s="20" t="str">
        <f t="shared" ref="W3609:W3616" si="1960">IFERROR((U3609+V3609)*2/1000,"-")</f>
        <v>-</v>
      </c>
      <c r="X3609" s="20" t="str">
        <f>IFERROR(W3609*J3608,"-")</f>
        <v>-</v>
      </c>
      <c r="Z3609" s="85" t="s">
        <v>82</v>
      </c>
    </row>
    <row r="3610" spans="1:26" ht="6.95" customHeight="1" x14ac:dyDescent="0.3">
      <c r="A3610" s="154"/>
      <c r="B3610" s="157"/>
      <c r="C3610" s="158"/>
      <c r="D3610" s="161"/>
      <c r="E3610" s="162"/>
      <c r="F3610" s="163"/>
      <c r="G3610" s="164"/>
      <c r="H3610" s="165"/>
      <c r="I3610" s="164"/>
      <c r="J3610" s="165"/>
      <c r="K3610" s="164"/>
      <c r="L3610" s="165"/>
      <c r="M3610" s="6"/>
      <c r="N3610" s="32"/>
      <c r="Q3610" s="10" t="str">
        <f>+CONCATENATE(E3608,K3608)</f>
        <v/>
      </c>
      <c r="R3610" s="10">
        <f>+L3608</f>
        <v>0</v>
      </c>
      <c r="S3610" s="11"/>
      <c r="T3610" s="10">
        <f>+E3608</f>
        <v>0</v>
      </c>
      <c r="U3610" s="19" t="str">
        <f>IFERROR(LEFT(K3608,FIND("*",K3608)-1),"-")</f>
        <v>-</v>
      </c>
      <c r="V3610" s="19" t="str">
        <f>IFERROR(RIGHT(K3608,LEN(K3608)-FIND("*",K3608)),"-")</f>
        <v>-</v>
      </c>
      <c r="W3610" s="20" t="str">
        <f t="shared" si="1960"/>
        <v>-</v>
      </c>
      <c r="X3610" s="20" t="str">
        <f>IFERROR(W3610*L3608,"-")</f>
        <v>-</v>
      </c>
      <c r="Z3610" s="85" t="s">
        <v>82</v>
      </c>
    </row>
    <row r="3611" spans="1:26" ht="6.95" customHeight="1" x14ac:dyDescent="0.3">
      <c r="A3611" s="8"/>
      <c r="B3611" s="157"/>
      <c r="C3611" s="158"/>
      <c r="D3611" s="161" t="s">
        <v>39</v>
      </c>
      <c r="E3611" s="162"/>
      <c r="F3611" s="163" t="s">
        <v>40</v>
      </c>
      <c r="G3611" s="164"/>
      <c r="H3611" s="165"/>
      <c r="I3611" s="164"/>
      <c r="J3611" s="165"/>
      <c r="K3611" s="164"/>
      <c r="L3611" s="165"/>
      <c r="M3611" s="6"/>
      <c r="N3611" s="32"/>
      <c r="Q3611" s="10" t="str">
        <f>+CONCATENATE(E3611,G3611)</f>
        <v/>
      </c>
      <c r="R3611" s="10">
        <f>+H3611</f>
        <v>0</v>
      </c>
      <c r="S3611" s="11"/>
      <c r="T3611" s="10">
        <f>+E3611</f>
        <v>0</v>
      </c>
      <c r="U3611" s="19" t="str">
        <f t="shared" ref="U3611" si="1961">IFERROR(LEFT(G3611,FIND("*",G3611)-1),"-")</f>
        <v>-</v>
      </c>
      <c r="V3611" s="19" t="str">
        <f t="shared" ref="V3611" si="1962">IFERROR(RIGHT(G3611,LEN(G3611)-FIND("*",G3611)),"-")</f>
        <v>-</v>
      </c>
      <c r="W3611" s="20" t="str">
        <f t="shared" si="1960"/>
        <v>-</v>
      </c>
      <c r="X3611" s="20" t="str">
        <f>IFERROR(W3611*H3611,"-")</f>
        <v>-</v>
      </c>
      <c r="Z3611" s="85" t="s">
        <v>82</v>
      </c>
    </row>
    <row r="3612" spans="1:26" ht="6.95" customHeight="1" x14ac:dyDescent="0.3">
      <c r="A3612" s="5"/>
      <c r="B3612" s="157"/>
      <c r="C3612" s="158"/>
      <c r="D3612" s="161"/>
      <c r="E3612" s="162"/>
      <c r="F3612" s="163"/>
      <c r="G3612" s="164"/>
      <c r="H3612" s="165"/>
      <c r="I3612" s="164"/>
      <c r="J3612" s="165"/>
      <c r="K3612" s="164"/>
      <c r="L3612" s="165"/>
      <c r="M3612" s="6"/>
      <c r="N3612" s="32"/>
      <c r="Q3612" s="10" t="str">
        <f>+CONCATENATE(E3611,I3611)</f>
        <v/>
      </c>
      <c r="R3612" s="10">
        <f>+J3611</f>
        <v>0</v>
      </c>
      <c r="S3612" s="11"/>
      <c r="T3612" s="10">
        <f>+E3611</f>
        <v>0</v>
      </c>
      <c r="U3612" s="19" t="str">
        <f>IFERROR(LEFT(I3611,FIND("*",I3611)-1),"-")</f>
        <v>-</v>
      </c>
      <c r="V3612" s="19" t="str">
        <f>IFERROR(RIGHT(I3611,LEN(I3611)-FIND("*",I3611)),"-")</f>
        <v>-</v>
      </c>
      <c r="W3612" s="20" t="str">
        <f t="shared" si="1960"/>
        <v>-</v>
      </c>
      <c r="X3612" s="20" t="str">
        <f>IFERROR(W3612*J3611,"-")</f>
        <v>-</v>
      </c>
      <c r="Z3612" s="85" t="s">
        <v>82</v>
      </c>
    </row>
    <row r="3613" spans="1:26" ht="6.95" customHeight="1" x14ac:dyDescent="0.3">
      <c r="A3613" s="5"/>
      <c r="B3613" s="157"/>
      <c r="C3613" s="158"/>
      <c r="D3613" s="161"/>
      <c r="E3613" s="162"/>
      <c r="F3613" s="163"/>
      <c r="G3613" s="164"/>
      <c r="H3613" s="165"/>
      <c r="I3613" s="164"/>
      <c r="J3613" s="165"/>
      <c r="K3613" s="164"/>
      <c r="L3613" s="165"/>
      <c r="M3613" s="6"/>
      <c r="N3613" s="32"/>
      <c r="Q3613" s="10" t="str">
        <f>+CONCATENATE(E3611,K3611)</f>
        <v/>
      </c>
      <c r="R3613" s="10">
        <f>+L3611</f>
        <v>0</v>
      </c>
      <c r="S3613" s="11"/>
      <c r="T3613" s="10">
        <f>+E3611</f>
        <v>0</v>
      </c>
      <c r="U3613" s="19" t="str">
        <f>IFERROR(LEFT(K3611,FIND("*",K3611)-1),"-")</f>
        <v>-</v>
      </c>
      <c r="V3613" s="19" t="str">
        <f>IFERROR(RIGHT(K3611,LEN(K3611)-FIND("*",K3611)),"-")</f>
        <v>-</v>
      </c>
      <c r="W3613" s="20" t="str">
        <f t="shared" si="1960"/>
        <v>-</v>
      </c>
      <c r="X3613" s="20" t="str">
        <f>IFERROR(W3613*L3611,"-")</f>
        <v>-</v>
      </c>
      <c r="Z3613" s="85" t="s">
        <v>82</v>
      </c>
    </row>
    <row r="3614" spans="1:26" ht="6.95" customHeight="1" x14ac:dyDescent="0.3">
      <c r="A3614" s="8"/>
      <c r="B3614" s="157"/>
      <c r="C3614" s="158"/>
      <c r="D3614" s="161" t="s">
        <v>39</v>
      </c>
      <c r="E3614" s="162"/>
      <c r="F3614" s="163" t="s">
        <v>40</v>
      </c>
      <c r="G3614" s="164"/>
      <c r="H3614" s="165"/>
      <c r="I3614" s="164"/>
      <c r="J3614" s="165"/>
      <c r="K3614" s="164"/>
      <c r="L3614" s="165"/>
      <c r="M3614" s="6"/>
      <c r="N3614" s="32"/>
      <c r="Q3614" s="10" t="str">
        <f>+CONCATENATE(E3614,G3614)</f>
        <v/>
      </c>
      <c r="R3614" s="10">
        <f>+H3614</f>
        <v>0</v>
      </c>
      <c r="S3614" s="11"/>
      <c r="T3614" s="10">
        <f>+E3614</f>
        <v>0</v>
      </c>
      <c r="U3614" s="19" t="str">
        <f t="shared" ref="U3614" si="1963">IFERROR(LEFT(G3614,FIND("*",G3614)-1),"-")</f>
        <v>-</v>
      </c>
      <c r="V3614" s="19" t="str">
        <f t="shared" ref="V3614" si="1964">IFERROR(RIGHT(G3614,LEN(G3614)-FIND("*",G3614)),"-")</f>
        <v>-</v>
      </c>
      <c r="W3614" s="20" t="str">
        <f t="shared" si="1960"/>
        <v>-</v>
      </c>
      <c r="X3614" s="20" t="str">
        <f>IFERROR(W3614*H3614,"-")</f>
        <v>-</v>
      </c>
      <c r="Z3614" s="85" t="s">
        <v>82</v>
      </c>
    </row>
    <row r="3615" spans="1:26" ht="6.95" customHeight="1" x14ac:dyDescent="0.3">
      <c r="A3615" s="5"/>
      <c r="B3615" s="157"/>
      <c r="C3615" s="158"/>
      <c r="D3615" s="161"/>
      <c r="E3615" s="162"/>
      <c r="F3615" s="163"/>
      <c r="G3615" s="164"/>
      <c r="H3615" s="165"/>
      <c r="I3615" s="164"/>
      <c r="J3615" s="165"/>
      <c r="K3615" s="164"/>
      <c r="L3615" s="165"/>
      <c r="M3615" s="6"/>
      <c r="N3615" s="32"/>
      <c r="Q3615" s="10" t="str">
        <f>+CONCATENATE(E3614,I3614)</f>
        <v/>
      </c>
      <c r="R3615" s="10">
        <f>+J3614</f>
        <v>0</v>
      </c>
      <c r="S3615" s="11"/>
      <c r="T3615" s="10">
        <f>+E3614</f>
        <v>0</v>
      </c>
      <c r="U3615" s="19" t="str">
        <f>IFERROR(LEFT(I3614,FIND("*",I3614)-1),"-")</f>
        <v>-</v>
      </c>
      <c r="V3615" s="19" t="str">
        <f>IFERROR(RIGHT(I3614,LEN(I3614)-FIND("*",I3614)),"-")</f>
        <v>-</v>
      </c>
      <c r="W3615" s="20" t="str">
        <f t="shared" si="1960"/>
        <v>-</v>
      </c>
      <c r="X3615" s="20" t="str">
        <f t="shared" ref="X3615" si="1965">IFERROR(W3615*J3614,"-")</f>
        <v>-</v>
      </c>
      <c r="Z3615" s="85" t="s">
        <v>82</v>
      </c>
    </row>
    <row r="3616" spans="1:26" ht="6.95" customHeight="1" x14ac:dyDescent="0.3">
      <c r="A3616" s="5"/>
      <c r="B3616" s="157"/>
      <c r="C3616" s="158"/>
      <c r="D3616" s="161"/>
      <c r="E3616" s="162"/>
      <c r="F3616" s="163"/>
      <c r="G3616" s="164"/>
      <c r="H3616" s="165"/>
      <c r="I3616" s="164"/>
      <c r="J3616" s="165"/>
      <c r="K3616" s="164"/>
      <c r="L3616" s="165"/>
      <c r="M3616" s="6"/>
      <c r="N3616" s="32"/>
      <c r="Q3616" s="10" t="str">
        <f>+CONCATENATE(E3614,K3614)</f>
        <v/>
      </c>
      <c r="R3616" s="10">
        <f>+L3614</f>
        <v>0</v>
      </c>
      <c r="S3616" s="11"/>
      <c r="T3616" s="10">
        <f>+E3614</f>
        <v>0</v>
      </c>
      <c r="U3616" s="19" t="str">
        <f>IFERROR(LEFT(K3614,FIND("*",K3614)-1),"-")</f>
        <v>-</v>
      </c>
      <c r="V3616" s="19" t="str">
        <f>IFERROR(RIGHT(K3614,LEN(K3614)-FIND("*",K3614)),"-")</f>
        <v>-</v>
      </c>
      <c r="W3616" s="20" t="str">
        <f t="shared" si="1960"/>
        <v>-</v>
      </c>
      <c r="X3616" s="20" t="str">
        <f>IFERROR(W3616*L3614,"-")</f>
        <v>-</v>
      </c>
      <c r="Z3616" s="85" t="s">
        <v>82</v>
      </c>
    </row>
    <row r="3617" spans="1:26" ht="21" customHeight="1" thickBot="1" x14ac:dyDescent="0.35">
      <c r="A3617" s="5"/>
      <c r="B3617" s="159"/>
      <c r="C3617" s="160"/>
      <c r="D3617" s="166" t="s">
        <v>43</v>
      </c>
      <c r="E3617" s="167"/>
      <c r="F3617" s="167"/>
      <c r="G3617" s="168"/>
      <c r="H3617" s="168"/>
      <c r="I3617" s="168"/>
      <c r="J3617" s="168"/>
      <c r="K3617" s="168"/>
      <c r="L3617" s="168"/>
      <c r="M3617" s="7"/>
      <c r="N3617" s="32"/>
      <c r="Z3617" s="86" t="s">
        <v>81</v>
      </c>
    </row>
    <row r="3618" spans="1:26" ht="9.9499999999999993" customHeight="1" thickBot="1" x14ac:dyDescent="0.35">
      <c r="B3618" s="9"/>
      <c r="C3618" s="109"/>
      <c r="D3618" s="51"/>
      <c r="E3618" s="12"/>
      <c r="F3618" s="51"/>
      <c r="G3618" s="14"/>
      <c r="H3618" s="14"/>
      <c r="I3618" s="14"/>
      <c r="J3618" s="14"/>
      <c r="K3618" s="14"/>
      <c r="L3618" s="14"/>
      <c r="M3618" s="9"/>
      <c r="N3618" s="32"/>
      <c r="U3618" s="18"/>
      <c r="V3618" s="18"/>
      <c r="Z3618" s="85" t="s">
        <v>82</v>
      </c>
    </row>
    <row r="3619" spans="1:26" ht="6.95" customHeight="1" x14ac:dyDescent="0.3">
      <c r="A3619" s="154">
        <f>+A3608+1</f>
        <v>1128</v>
      </c>
      <c r="B3619" s="155"/>
      <c r="C3619" s="156"/>
      <c r="D3619" s="161" t="s">
        <v>39</v>
      </c>
      <c r="E3619" s="162"/>
      <c r="F3619" s="163" t="s">
        <v>40</v>
      </c>
      <c r="G3619" s="164"/>
      <c r="H3619" s="165"/>
      <c r="I3619" s="164"/>
      <c r="J3619" s="165"/>
      <c r="K3619" s="164"/>
      <c r="L3619" s="165"/>
      <c r="M3619" s="6"/>
      <c r="N3619" s="32"/>
      <c r="Q3619" s="10" t="str">
        <f>+CONCATENATE(E3619,G3619)</f>
        <v/>
      </c>
      <c r="R3619" s="10">
        <f>+H3619</f>
        <v>0</v>
      </c>
      <c r="S3619" s="11"/>
      <c r="T3619" s="10">
        <f>+E3619</f>
        <v>0</v>
      </c>
      <c r="U3619" s="19" t="str">
        <f>IFERROR(LEFT(G3619,FIND("*",G3619)-1),"-")</f>
        <v>-</v>
      </c>
      <c r="V3619" s="19" t="str">
        <f>IFERROR(RIGHT(G3619,LEN(G3619)-FIND("*",G3619)),"-")</f>
        <v>-</v>
      </c>
      <c r="W3619" s="20" t="str">
        <f>IFERROR((U3619+V3619)*2/1000,"-")</f>
        <v>-</v>
      </c>
      <c r="X3619" s="20" t="str">
        <f>IFERROR(W3619*H3619,"-")</f>
        <v>-</v>
      </c>
      <c r="Z3619" s="85" t="s">
        <v>82</v>
      </c>
    </row>
    <row r="3620" spans="1:26" ht="6.95" customHeight="1" x14ac:dyDescent="0.3">
      <c r="A3620" s="154"/>
      <c r="B3620" s="157"/>
      <c r="C3620" s="158"/>
      <c r="D3620" s="161"/>
      <c r="E3620" s="162"/>
      <c r="F3620" s="163"/>
      <c r="G3620" s="164"/>
      <c r="H3620" s="165"/>
      <c r="I3620" s="164"/>
      <c r="J3620" s="165"/>
      <c r="K3620" s="164"/>
      <c r="L3620" s="165"/>
      <c r="M3620" s="6"/>
      <c r="N3620" s="32"/>
      <c r="Q3620" s="10" t="str">
        <f>+CONCATENATE(E3619,I3619)</f>
        <v/>
      </c>
      <c r="R3620" s="10">
        <f>+J3619</f>
        <v>0</v>
      </c>
      <c r="S3620" s="11"/>
      <c r="T3620" s="10">
        <f>+E3619</f>
        <v>0</v>
      </c>
      <c r="U3620" s="19" t="str">
        <f>IFERROR(LEFT(I3619,FIND("*",I3619)-1),"-")</f>
        <v>-</v>
      </c>
      <c r="V3620" s="19" t="str">
        <f>IFERROR(RIGHT(I3619,LEN(I3619)-FIND("*",I3619)),"-")</f>
        <v>-</v>
      </c>
      <c r="W3620" s="20" t="str">
        <f t="shared" ref="W3620:W3627" si="1966">IFERROR((U3620+V3620)*2/1000,"-")</f>
        <v>-</v>
      </c>
      <c r="X3620" s="20" t="str">
        <f>IFERROR(W3620*J3619,"-")</f>
        <v>-</v>
      </c>
      <c r="Z3620" s="85" t="s">
        <v>82</v>
      </c>
    </row>
    <row r="3621" spans="1:26" ht="6.95" customHeight="1" x14ac:dyDescent="0.3">
      <c r="A3621" s="154"/>
      <c r="B3621" s="157"/>
      <c r="C3621" s="158"/>
      <c r="D3621" s="161"/>
      <c r="E3621" s="162"/>
      <c r="F3621" s="163"/>
      <c r="G3621" s="164"/>
      <c r="H3621" s="165"/>
      <c r="I3621" s="164"/>
      <c r="J3621" s="165"/>
      <c r="K3621" s="164"/>
      <c r="L3621" s="165"/>
      <c r="M3621" s="6"/>
      <c r="N3621" s="32"/>
      <c r="Q3621" s="10" t="str">
        <f>+CONCATENATE(E3619,K3619)</f>
        <v/>
      </c>
      <c r="R3621" s="10">
        <f>+L3619</f>
        <v>0</v>
      </c>
      <c r="S3621" s="11"/>
      <c r="T3621" s="10">
        <f>+E3619</f>
        <v>0</v>
      </c>
      <c r="U3621" s="19" t="str">
        <f>IFERROR(LEFT(K3619,FIND("*",K3619)-1),"-")</f>
        <v>-</v>
      </c>
      <c r="V3621" s="19" t="str">
        <f>IFERROR(RIGHT(K3619,LEN(K3619)-FIND("*",K3619)),"-")</f>
        <v>-</v>
      </c>
      <c r="W3621" s="20" t="str">
        <f t="shared" si="1966"/>
        <v>-</v>
      </c>
      <c r="X3621" s="20" t="str">
        <f>IFERROR(W3621*L3619,"-")</f>
        <v>-</v>
      </c>
      <c r="Z3621" s="85" t="s">
        <v>82</v>
      </c>
    </row>
    <row r="3622" spans="1:26" ht="6.95" customHeight="1" x14ac:dyDescent="0.3">
      <c r="A3622" s="8"/>
      <c r="B3622" s="157"/>
      <c r="C3622" s="158"/>
      <c r="D3622" s="161" t="s">
        <v>39</v>
      </c>
      <c r="E3622" s="162"/>
      <c r="F3622" s="163" t="s">
        <v>40</v>
      </c>
      <c r="G3622" s="164"/>
      <c r="H3622" s="165"/>
      <c r="I3622" s="164"/>
      <c r="J3622" s="165"/>
      <c r="K3622" s="164"/>
      <c r="L3622" s="165"/>
      <c r="M3622" s="6"/>
      <c r="N3622" s="32"/>
      <c r="Q3622" s="10" t="str">
        <f>+CONCATENATE(E3622,G3622)</f>
        <v/>
      </c>
      <c r="R3622" s="10">
        <f>+H3622</f>
        <v>0</v>
      </c>
      <c r="S3622" s="11"/>
      <c r="T3622" s="10">
        <f>+E3622</f>
        <v>0</v>
      </c>
      <c r="U3622" s="19" t="str">
        <f t="shared" ref="U3622" si="1967">IFERROR(LEFT(G3622,FIND("*",G3622)-1),"-")</f>
        <v>-</v>
      </c>
      <c r="V3622" s="19" t="str">
        <f t="shared" ref="V3622" si="1968">IFERROR(RIGHT(G3622,LEN(G3622)-FIND("*",G3622)),"-")</f>
        <v>-</v>
      </c>
      <c r="W3622" s="20" t="str">
        <f t="shared" si="1966"/>
        <v>-</v>
      </c>
      <c r="X3622" s="20" t="str">
        <f>IFERROR(W3622*H3622,"-")</f>
        <v>-</v>
      </c>
      <c r="Z3622" s="85" t="s">
        <v>82</v>
      </c>
    </row>
    <row r="3623" spans="1:26" ht="6.95" customHeight="1" x14ac:dyDescent="0.3">
      <c r="A3623" s="5"/>
      <c r="B3623" s="157"/>
      <c r="C3623" s="158"/>
      <c r="D3623" s="161"/>
      <c r="E3623" s="162"/>
      <c r="F3623" s="163"/>
      <c r="G3623" s="164"/>
      <c r="H3623" s="165"/>
      <c r="I3623" s="164"/>
      <c r="J3623" s="165"/>
      <c r="K3623" s="164"/>
      <c r="L3623" s="165"/>
      <c r="M3623" s="6"/>
      <c r="N3623" s="32"/>
      <c r="Q3623" s="10" t="str">
        <f>+CONCATENATE(E3622,I3622)</f>
        <v/>
      </c>
      <c r="R3623" s="10">
        <f>+J3622</f>
        <v>0</v>
      </c>
      <c r="S3623" s="11"/>
      <c r="T3623" s="10">
        <f>+E3622</f>
        <v>0</v>
      </c>
      <c r="U3623" s="19" t="str">
        <f>IFERROR(LEFT(I3622,FIND("*",I3622)-1),"-")</f>
        <v>-</v>
      </c>
      <c r="V3623" s="19" t="str">
        <f>IFERROR(RIGHT(I3622,LEN(I3622)-FIND("*",I3622)),"-")</f>
        <v>-</v>
      </c>
      <c r="W3623" s="20" t="str">
        <f t="shared" si="1966"/>
        <v>-</v>
      </c>
      <c r="X3623" s="20" t="str">
        <f>IFERROR(W3623*J3622,"-")</f>
        <v>-</v>
      </c>
      <c r="Z3623" s="85" t="s">
        <v>82</v>
      </c>
    </row>
    <row r="3624" spans="1:26" ht="6.95" customHeight="1" x14ac:dyDescent="0.3">
      <c r="A3624" s="5"/>
      <c r="B3624" s="157"/>
      <c r="C3624" s="158"/>
      <c r="D3624" s="161"/>
      <c r="E3624" s="162"/>
      <c r="F3624" s="163"/>
      <c r="G3624" s="164"/>
      <c r="H3624" s="165"/>
      <c r="I3624" s="164"/>
      <c r="J3624" s="165"/>
      <c r="K3624" s="164"/>
      <c r="L3624" s="165"/>
      <c r="M3624" s="6"/>
      <c r="N3624" s="32"/>
      <c r="Q3624" s="10" t="str">
        <f>+CONCATENATE(E3622,K3622)</f>
        <v/>
      </c>
      <c r="R3624" s="10">
        <f>+L3622</f>
        <v>0</v>
      </c>
      <c r="S3624" s="11"/>
      <c r="T3624" s="10">
        <f>+E3622</f>
        <v>0</v>
      </c>
      <c r="U3624" s="19" t="str">
        <f>IFERROR(LEFT(K3622,FIND("*",K3622)-1),"-")</f>
        <v>-</v>
      </c>
      <c r="V3624" s="19" t="str">
        <f>IFERROR(RIGHT(K3622,LEN(K3622)-FIND("*",K3622)),"-")</f>
        <v>-</v>
      </c>
      <c r="W3624" s="20" t="str">
        <f t="shared" si="1966"/>
        <v>-</v>
      </c>
      <c r="X3624" s="20" t="str">
        <f>IFERROR(W3624*L3622,"-")</f>
        <v>-</v>
      </c>
      <c r="Z3624" s="85" t="s">
        <v>82</v>
      </c>
    </row>
    <row r="3625" spans="1:26" ht="6.95" customHeight="1" x14ac:dyDescent="0.3">
      <c r="A3625" s="8"/>
      <c r="B3625" s="157"/>
      <c r="C3625" s="158"/>
      <c r="D3625" s="161" t="s">
        <v>39</v>
      </c>
      <c r="E3625" s="162"/>
      <c r="F3625" s="163" t="s">
        <v>40</v>
      </c>
      <c r="G3625" s="164"/>
      <c r="H3625" s="165"/>
      <c r="I3625" s="164"/>
      <c r="J3625" s="165"/>
      <c r="K3625" s="164"/>
      <c r="L3625" s="165"/>
      <c r="M3625" s="6"/>
      <c r="N3625" s="32"/>
      <c r="Q3625" s="10" t="str">
        <f>+CONCATENATE(E3625,G3625)</f>
        <v/>
      </c>
      <c r="R3625" s="10">
        <f>+H3625</f>
        <v>0</v>
      </c>
      <c r="S3625" s="11"/>
      <c r="T3625" s="10">
        <f>+E3625</f>
        <v>0</v>
      </c>
      <c r="U3625" s="19" t="str">
        <f t="shared" ref="U3625" si="1969">IFERROR(LEFT(G3625,FIND("*",G3625)-1),"-")</f>
        <v>-</v>
      </c>
      <c r="V3625" s="19" t="str">
        <f t="shared" ref="V3625" si="1970">IFERROR(RIGHT(G3625,LEN(G3625)-FIND("*",G3625)),"-")</f>
        <v>-</v>
      </c>
      <c r="W3625" s="20" t="str">
        <f t="shared" si="1966"/>
        <v>-</v>
      </c>
      <c r="X3625" s="20" t="str">
        <f>IFERROR(W3625*H3625,"-")</f>
        <v>-</v>
      </c>
      <c r="Z3625" s="85" t="s">
        <v>82</v>
      </c>
    </row>
    <row r="3626" spans="1:26" ht="6.95" customHeight="1" x14ac:dyDescent="0.3">
      <c r="A3626" s="5"/>
      <c r="B3626" s="157"/>
      <c r="C3626" s="158"/>
      <c r="D3626" s="161"/>
      <c r="E3626" s="162"/>
      <c r="F3626" s="163"/>
      <c r="G3626" s="164"/>
      <c r="H3626" s="165"/>
      <c r="I3626" s="164"/>
      <c r="J3626" s="165"/>
      <c r="K3626" s="164"/>
      <c r="L3626" s="165"/>
      <c r="M3626" s="6"/>
      <c r="N3626" s="32"/>
      <c r="Q3626" s="10" t="str">
        <f>+CONCATENATE(E3625,I3625)</f>
        <v/>
      </c>
      <c r="R3626" s="10">
        <f>+J3625</f>
        <v>0</v>
      </c>
      <c r="S3626" s="11"/>
      <c r="T3626" s="10">
        <f>+E3625</f>
        <v>0</v>
      </c>
      <c r="U3626" s="19" t="str">
        <f>IFERROR(LEFT(I3625,FIND("*",I3625)-1),"-")</f>
        <v>-</v>
      </c>
      <c r="V3626" s="19" t="str">
        <f>IFERROR(RIGHT(I3625,LEN(I3625)-FIND("*",I3625)),"-")</f>
        <v>-</v>
      </c>
      <c r="W3626" s="20" t="str">
        <f t="shared" si="1966"/>
        <v>-</v>
      </c>
      <c r="X3626" s="20" t="str">
        <f t="shared" ref="X3626" si="1971">IFERROR(W3626*J3625,"-")</f>
        <v>-</v>
      </c>
      <c r="Z3626" s="85" t="s">
        <v>82</v>
      </c>
    </row>
    <row r="3627" spans="1:26" ht="6.95" customHeight="1" x14ac:dyDescent="0.3">
      <c r="A3627" s="5"/>
      <c r="B3627" s="157"/>
      <c r="C3627" s="158"/>
      <c r="D3627" s="161"/>
      <c r="E3627" s="162"/>
      <c r="F3627" s="163"/>
      <c r="G3627" s="164"/>
      <c r="H3627" s="165"/>
      <c r="I3627" s="164"/>
      <c r="J3627" s="165"/>
      <c r="K3627" s="164"/>
      <c r="L3627" s="165"/>
      <c r="M3627" s="6"/>
      <c r="N3627" s="32"/>
      <c r="Q3627" s="10" t="str">
        <f>+CONCATENATE(E3625,K3625)</f>
        <v/>
      </c>
      <c r="R3627" s="10">
        <f>+L3625</f>
        <v>0</v>
      </c>
      <c r="S3627" s="11"/>
      <c r="T3627" s="10">
        <f>+E3625</f>
        <v>0</v>
      </c>
      <c r="U3627" s="19" t="str">
        <f>IFERROR(LEFT(K3625,FIND("*",K3625)-1),"-")</f>
        <v>-</v>
      </c>
      <c r="V3627" s="19" t="str">
        <f>IFERROR(RIGHT(K3625,LEN(K3625)-FIND("*",K3625)),"-")</f>
        <v>-</v>
      </c>
      <c r="W3627" s="20" t="str">
        <f t="shared" si="1966"/>
        <v>-</v>
      </c>
      <c r="X3627" s="20" t="str">
        <f>IFERROR(W3627*L3625,"-")</f>
        <v>-</v>
      </c>
      <c r="Z3627" s="85" t="s">
        <v>82</v>
      </c>
    </row>
    <row r="3628" spans="1:26" ht="21" customHeight="1" thickBot="1" x14ac:dyDescent="0.35">
      <c r="A3628" s="5"/>
      <c r="B3628" s="159"/>
      <c r="C3628" s="160"/>
      <c r="D3628" s="166" t="s">
        <v>43</v>
      </c>
      <c r="E3628" s="167"/>
      <c r="F3628" s="167"/>
      <c r="G3628" s="168"/>
      <c r="H3628" s="168"/>
      <c r="I3628" s="168"/>
      <c r="J3628" s="168"/>
      <c r="K3628" s="168"/>
      <c r="L3628" s="168"/>
      <c r="M3628" s="7"/>
      <c r="N3628" s="32"/>
      <c r="Z3628" s="86" t="s">
        <v>81</v>
      </c>
    </row>
    <row r="3629" spans="1:26" ht="9.9499999999999993" customHeight="1" thickBot="1" x14ac:dyDescent="0.35">
      <c r="B3629" s="9"/>
      <c r="C3629" s="109"/>
      <c r="D3629" s="51"/>
      <c r="E3629" s="12"/>
      <c r="F3629" s="51"/>
      <c r="G3629" s="14"/>
      <c r="H3629" s="14"/>
      <c r="I3629" s="14"/>
      <c r="J3629" s="14"/>
      <c r="K3629" s="14"/>
      <c r="L3629" s="14"/>
      <c r="M3629" s="9"/>
      <c r="N3629" s="32"/>
      <c r="U3629" s="18"/>
      <c r="V3629" s="18"/>
      <c r="Z3629" s="85" t="s">
        <v>82</v>
      </c>
    </row>
    <row r="3630" spans="1:26" ht="6.95" customHeight="1" x14ac:dyDescent="0.3">
      <c r="A3630" s="154">
        <f>+A3619+1</f>
        <v>1129</v>
      </c>
      <c r="B3630" s="155"/>
      <c r="C3630" s="156"/>
      <c r="D3630" s="161" t="s">
        <v>39</v>
      </c>
      <c r="E3630" s="162"/>
      <c r="F3630" s="163" t="s">
        <v>40</v>
      </c>
      <c r="G3630" s="164"/>
      <c r="H3630" s="165"/>
      <c r="I3630" s="164"/>
      <c r="J3630" s="165"/>
      <c r="K3630" s="164"/>
      <c r="L3630" s="165"/>
      <c r="M3630" s="6"/>
      <c r="N3630" s="32"/>
      <c r="Q3630" s="10" t="str">
        <f>+CONCATENATE(E3630,G3630)</f>
        <v/>
      </c>
      <c r="R3630" s="10">
        <f>+H3630</f>
        <v>0</v>
      </c>
      <c r="S3630" s="11"/>
      <c r="T3630" s="10">
        <f>+E3630</f>
        <v>0</v>
      </c>
      <c r="U3630" s="19" t="str">
        <f>IFERROR(LEFT(G3630,FIND("*",G3630)-1),"-")</f>
        <v>-</v>
      </c>
      <c r="V3630" s="19" t="str">
        <f>IFERROR(RIGHT(G3630,LEN(G3630)-FIND("*",G3630)),"-")</f>
        <v>-</v>
      </c>
      <c r="W3630" s="20" t="str">
        <f>IFERROR((U3630+V3630)*2/1000,"-")</f>
        <v>-</v>
      </c>
      <c r="X3630" s="20" t="str">
        <f>IFERROR(W3630*H3630,"-")</f>
        <v>-</v>
      </c>
      <c r="Z3630" s="85" t="s">
        <v>82</v>
      </c>
    </row>
    <row r="3631" spans="1:26" ht="6.95" customHeight="1" x14ac:dyDescent="0.3">
      <c r="A3631" s="154"/>
      <c r="B3631" s="157"/>
      <c r="C3631" s="158"/>
      <c r="D3631" s="161"/>
      <c r="E3631" s="162"/>
      <c r="F3631" s="163"/>
      <c r="G3631" s="164"/>
      <c r="H3631" s="165"/>
      <c r="I3631" s="164"/>
      <c r="J3631" s="165"/>
      <c r="K3631" s="164"/>
      <c r="L3631" s="165"/>
      <c r="M3631" s="6"/>
      <c r="N3631" s="32"/>
      <c r="Q3631" s="10" t="str">
        <f>+CONCATENATE(E3630,I3630)</f>
        <v/>
      </c>
      <c r="R3631" s="10">
        <f>+J3630</f>
        <v>0</v>
      </c>
      <c r="S3631" s="11"/>
      <c r="T3631" s="10">
        <f>+E3630</f>
        <v>0</v>
      </c>
      <c r="U3631" s="19" t="str">
        <f>IFERROR(LEFT(I3630,FIND("*",I3630)-1),"-")</f>
        <v>-</v>
      </c>
      <c r="V3631" s="19" t="str">
        <f>IFERROR(RIGHT(I3630,LEN(I3630)-FIND("*",I3630)),"-")</f>
        <v>-</v>
      </c>
      <c r="W3631" s="20" t="str">
        <f t="shared" ref="W3631:W3638" si="1972">IFERROR((U3631+V3631)*2/1000,"-")</f>
        <v>-</v>
      </c>
      <c r="X3631" s="20" t="str">
        <f>IFERROR(W3631*J3630,"-")</f>
        <v>-</v>
      </c>
      <c r="Z3631" s="85" t="s">
        <v>82</v>
      </c>
    </row>
    <row r="3632" spans="1:26" ht="6.95" customHeight="1" x14ac:dyDescent="0.3">
      <c r="A3632" s="154"/>
      <c r="B3632" s="157"/>
      <c r="C3632" s="158"/>
      <c r="D3632" s="161"/>
      <c r="E3632" s="162"/>
      <c r="F3632" s="163"/>
      <c r="G3632" s="164"/>
      <c r="H3632" s="165"/>
      <c r="I3632" s="164"/>
      <c r="J3632" s="165"/>
      <c r="K3632" s="164"/>
      <c r="L3632" s="165"/>
      <c r="M3632" s="6"/>
      <c r="N3632" s="32"/>
      <c r="Q3632" s="10" t="str">
        <f>+CONCATENATE(E3630,K3630)</f>
        <v/>
      </c>
      <c r="R3632" s="10">
        <f>+L3630</f>
        <v>0</v>
      </c>
      <c r="S3632" s="11"/>
      <c r="T3632" s="10">
        <f>+E3630</f>
        <v>0</v>
      </c>
      <c r="U3632" s="19" t="str">
        <f>IFERROR(LEFT(K3630,FIND("*",K3630)-1),"-")</f>
        <v>-</v>
      </c>
      <c r="V3632" s="19" t="str">
        <f>IFERROR(RIGHT(K3630,LEN(K3630)-FIND("*",K3630)),"-")</f>
        <v>-</v>
      </c>
      <c r="W3632" s="20" t="str">
        <f t="shared" si="1972"/>
        <v>-</v>
      </c>
      <c r="X3632" s="20" t="str">
        <f>IFERROR(W3632*L3630,"-")</f>
        <v>-</v>
      </c>
      <c r="Z3632" s="85" t="s">
        <v>82</v>
      </c>
    </row>
    <row r="3633" spans="1:26" ht="6.95" customHeight="1" x14ac:dyDescent="0.3">
      <c r="A3633" s="8"/>
      <c r="B3633" s="157"/>
      <c r="C3633" s="158"/>
      <c r="D3633" s="161" t="s">
        <v>39</v>
      </c>
      <c r="E3633" s="162"/>
      <c r="F3633" s="163" t="s">
        <v>40</v>
      </c>
      <c r="G3633" s="164"/>
      <c r="H3633" s="165"/>
      <c r="I3633" s="164"/>
      <c r="J3633" s="165"/>
      <c r="K3633" s="164"/>
      <c r="L3633" s="165"/>
      <c r="M3633" s="6"/>
      <c r="N3633" s="32"/>
      <c r="Q3633" s="10" t="str">
        <f>+CONCATENATE(E3633,G3633)</f>
        <v/>
      </c>
      <c r="R3633" s="10">
        <f>+H3633</f>
        <v>0</v>
      </c>
      <c r="S3633" s="11"/>
      <c r="T3633" s="10">
        <f>+E3633</f>
        <v>0</v>
      </c>
      <c r="U3633" s="19" t="str">
        <f t="shared" ref="U3633" si="1973">IFERROR(LEFT(G3633,FIND("*",G3633)-1),"-")</f>
        <v>-</v>
      </c>
      <c r="V3633" s="19" t="str">
        <f t="shared" ref="V3633" si="1974">IFERROR(RIGHT(G3633,LEN(G3633)-FIND("*",G3633)),"-")</f>
        <v>-</v>
      </c>
      <c r="W3633" s="20" t="str">
        <f t="shared" si="1972"/>
        <v>-</v>
      </c>
      <c r="X3633" s="20" t="str">
        <f>IFERROR(W3633*H3633,"-")</f>
        <v>-</v>
      </c>
      <c r="Z3633" s="85" t="s">
        <v>82</v>
      </c>
    </row>
    <row r="3634" spans="1:26" ht="6.95" customHeight="1" x14ac:dyDescent="0.3">
      <c r="A3634" s="5"/>
      <c r="B3634" s="157"/>
      <c r="C3634" s="158"/>
      <c r="D3634" s="161"/>
      <c r="E3634" s="162"/>
      <c r="F3634" s="163"/>
      <c r="G3634" s="164"/>
      <c r="H3634" s="165"/>
      <c r="I3634" s="164"/>
      <c r="J3634" s="165"/>
      <c r="K3634" s="164"/>
      <c r="L3634" s="165"/>
      <c r="M3634" s="6"/>
      <c r="N3634" s="32"/>
      <c r="Q3634" s="10" t="str">
        <f>+CONCATENATE(E3633,I3633)</f>
        <v/>
      </c>
      <c r="R3634" s="10">
        <f>+J3633</f>
        <v>0</v>
      </c>
      <c r="S3634" s="11"/>
      <c r="T3634" s="10">
        <f>+E3633</f>
        <v>0</v>
      </c>
      <c r="U3634" s="19" t="str">
        <f>IFERROR(LEFT(I3633,FIND("*",I3633)-1),"-")</f>
        <v>-</v>
      </c>
      <c r="V3634" s="19" t="str">
        <f>IFERROR(RIGHT(I3633,LEN(I3633)-FIND("*",I3633)),"-")</f>
        <v>-</v>
      </c>
      <c r="W3634" s="20" t="str">
        <f t="shared" si="1972"/>
        <v>-</v>
      </c>
      <c r="X3634" s="20" t="str">
        <f>IFERROR(W3634*J3633,"-")</f>
        <v>-</v>
      </c>
      <c r="Z3634" s="85" t="s">
        <v>82</v>
      </c>
    </row>
    <row r="3635" spans="1:26" ht="6.95" customHeight="1" x14ac:dyDescent="0.3">
      <c r="A3635" s="5"/>
      <c r="B3635" s="157"/>
      <c r="C3635" s="158"/>
      <c r="D3635" s="161"/>
      <c r="E3635" s="162"/>
      <c r="F3635" s="163"/>
      <c r="G3635" s="164"/>
      <c r="H3635" s="165"/>
      <c r="I3635" s="164"/>
      <c r="J3635" s="165"/>
      <c r="K3635" s="164"/>
      <c r="L3635" s="165"/>
      <c r="M3635" s="6"/>
      <c r="N3635" s="32"/>
      <c r="Q3635" s="10" t="str">
        <f>+CONCATENATE(E3633,K3633)</f>
        <v/>
      </c>
      <c r="R3635" s="10">
        <f>+L3633</f>
        <v>0</v>
      </c>
      <c r="S3635" s="11"/>
      <c r="T3635" s="10">
        <f>+E3633</f>
        <v>0</v>
      </c>
      <c r="U3635" s="19" t="str">
        <f>IFERROR(LEFT(K3633,FIND("*",K3633)-1),"-")</f>
        <v>-</v>
      </c>
      <c r="V3635" s="19" t="str">
        <f>IFERROR(RIGHT(K3633,LEN(K3633)-FIND("*",K3633)),"-")</f>
        <v>-</v>
      </c>
      <c r="W3635" s="20" t="str">
        <f t="shared" si="1972"/>
        <v>-</v>
      </c>
      <c r="X3635" s="20" t="str">
        <f>IFERROR(W3635*L3633,"-")</f>
        <v>-</v>
      </c>
      <c r="Z3635" s="85" t="s">
        <v>82</v>
      </c>
    </row>
    <row r="3636" spans="1:26" ht="6.95" customHeight="1" x14ac:dyDescent="0.3">
      <c r="A3636" s="8"/>
      <c r="B3636" s="157"/>
      <c r="C3636" s="158"/>
      <c r="D3636" s="161" t="s">
        <v>39</v>
      </c>
      <c r="E3636" s="162"/>
      <c r="F3636" s="163" t="s">
        <v>40</v>
      </c>
      <c r="G3636" s="164"/>
      <c r="H3636" s="165"/>
      <c r="I3636" s="164"/>
      <c r="J3636" s="165"/>
      <c r="K3636" s="164"/>
      <c r="L3636" s="165"/>
      <c r="M3636" s="6"/>
      <c r="N3636" s="32"/>
      <c r="Q3636" s="10" t="str">
        <f>+CONCATENATE(E3636,G3636)</f>
        <v/>
      </c>
      <c r="R3636" s="10">
        <f>+H3636</f>
        <v>0</v>
      </c>
      <c r="S3636" s="11"/>
      <c r="T3636" s="10">
        <f>+E3636</f>
        <v>0</v>
      </c>
      <c r="U3636" s="19" t="str">
        <f t="shared" ref="U3636" si="1975">IFERROR(LEFT(G3636,FIND("*",G3636)-1),"-")</f>
        <v>-</v>
      </c>
      <c r="V3636" s="19" t="str">
        <f t="shared" ref="V3636" si="1976">IFERROR(RIGHT(G3636,LEN(G3636)-FIND("*",G3636)),"-")</f>
        <v>-</v>
      </c>
      <c r="W3636" s="20" t="str">
        <f t="shared" si="1972"/>
        <v>-</v>
      </c>
      <c r="X3636" s="20" t="str">
        <f>IFERROR(W3636*H3636,"-")</f>
        <v>-</v>
      </c>
      <c r="Z3636" s="85" t="s">
        <v>82</v>
      </c>
    </row>
    <row r="3637" spans="1:26" ht="6.95" customHeight="1" x14ac:dyDescent="0.3">
      <c r="A3637" s="5"/>
      <c r="B3637" s="157"/>
      <c r="C3637" s="158"/>
      <c r="D3637" s="161"/>
      <c r="E3637" s="162"/>
      <c r="F3637" s="163"/>
      <c r="G3637" s="164"/>
      <c r="H3637" s="165"/>
      <c r="I3637" s="164"/>
      <c r="J3637" s="165"/>
      <c r="K3637" s="164"/>
      <c r="L3637" s="165"/>
      <c r="M3637" s="6"/>
      <c r="N3637" s="32"/>
      <c r="Q3637" s="10" t="str">
        <f>+CONCATENATE(E3636,I3636)</f>
        <v/>
      </c>
      <c r="R3637" s="10">
        <f>+J3636</f>
        <v>0</v>
      </c>
      <c r="S3637" s="11"/>
      <c r="T3637" s="10">
        <f>+E3636</f>
        <v>0</v>
      </c>
      <c r="U3637" s="19" t="str">
        <f>IFERROR(LEFT(I3636,FIND("*",I3636)-1),"-")</f>
        <v>-</v>
      </c>
      <c r="V3637" s="19" t="str">
        <f>IFERROR(RIGHT(I3636,LEN(I3636)-FIND("*",I3636)),"-")</f>
        <v>-</v>
      </c>
      <c r="W3637" s="20" t="str">
        <f t="shared" si="1972"/>
        <v>-</v>
      </c>
      <c r="X3637" s="20" t="str">
        <f t="shared" ref="X3637" si="1977">IFERROR(W3637*J3636,"-")</f>
        <v>-</v>
      </c>
      <c r="Z3637" s="85" t="s">
        <v>82</v>
      </c>
    </row>
    <row r="3638" spans="1:26" ht="6.95" customHeight="1" x14ac:dyDescent="0.3">
      <c r="A3638" s="5"/>
      <c r="B3638" s="157"/>
      <c r="C3638" s="158"/>
      <c r="D3638" s="161"/>
      <c r="E3638" s="162"/>
      <c r="F3638" s="163"/>
      <c r="G3638" s="164"/>
      <c r="H3638" s="165"/>
      <c r="I3638" s="164"/>
      <c r="J3638" s="165"/>
      <c r="K3638" s="164"/>
      <c r="L3638" s="165"/>
      <c r="M3638" s="6"/>
      <c r="N3638" s="32"/>
      <c r="Q3638" s="10" t="str">
        <f>+CONCATENATE(E3636,K3636)</f>
        <v/>
      </c>
      <c r="R3638" s="10">
        <f>+L3636</f>
        <v>0</v>
      </c>
      <c r="S3638" s="11"/>
      <c r="T3638" s="10">
        <f>+E3636</f>
        <v>0</v>
      </c>
      <c r="U3638" s="19" t="str">
        <f>IFERROR(LEFT(K3636,FIND("*",K3636)-1),"-")</f>
        <v>-</v>
      </c>
      <c r="V3638" s="19" t="str">
        <f>IFERROR(RIGHT(K3636,LEN(K3636)-FIND("*",K3636)),"-")</f>
        <v>-</v>
      </c>
      <c r="W3638" s="20" t="str">
        <f t="shared" si="1972"/>
        <v>-</v>
      </c>
      <c r="X3638" s="20" t="str">
        <f>IFERROR(W3638*L3636,"-")</f>
        <v>-</v>
      </c>
      <c r="Z3638" s="85" t="s">
        <v>82</v>
      </c>
    </row>
    <row r="3639" spans="1:26" ht="21" customHeight="1" thickBot="1" x14ac:dyDescent="0.35">
      <c r="A3639" s="5"/>
      <c r="B3639" s="159"/>
      <c r="C3639" s="160"/>
      <c r="D3639" s="166" t="s">
        <v>43</v>
      </c>
      <c r="E3639" s="167"/>
      <c r="F3639" s="167"/>
      <c r="G3639" s="168"/>
      <c r="H3639" s="168"/>
      <c r="I3639" s="168"/>
      <c r="J3639" s="168"/>
      <c r="K3639" s="168"/>
      <c r="L3639" s="168"/>
      <c r="M3639" s="7"/>
      <c r="N3639" s="32"/>
      <c r="Z3639" s="86" t="s">
        <v>81</v>
      </c>
    </row>
    <row r="3640" spans="1:26" ht="9.9499999999999993" customHeight="1" thickBot="1" x14ac:dyDescent="0.35">
      <c r="B3640" s="9"/>
      <c r="C3640" s="109"/>
      <c r="D3640" s="51"/>
      <c r="E3640" s="12"/>
      <c r="F3640" s="51"/>
      <c r="G3640" s="14"/>
      <c r="H3640" s="14"/>
      <c r="I3640" s="14"/>
      <c r="J3640" s="14"/>
      <c r="K3640" s="14"/>
      <c r="L3640" s="14"/>
      <c r="M3640" s="9"/>
      <c r="N3640" s="32"/>
      <c r="U3640" s="18"/>
      <c r="V3640" s="18"/>
      <c r="Z3640" s="85" t="s">
        <v>82</v>
      </c>
    </row>
    <row r="3641" spans="1:26" ht="6.95" customHeight="1" x14ac:dyDescent="0.3">
      <c r="A3641" s="154">
        <f>+A3630+1</f>
        <v>1130</v>
      </c>
      <c r="B3641" s="155"/>
      <c r="C3641" s="156"/>
      <c r="D3641" s="161" t="s">
        <v>39</v>
      </c>
      <c r="E3641" s="162"/>
      <c r="F3641" s="163" t="s">
        <v>40</v>
      </c>
      <c r="G3641" s="164"/>
      <c r="H3641" s="165"/>
      <c r="I3641" s="164"/>
      <c r="J3641" s="165"/>
      <c r="K3641" s="164"/>
      <c r="L3641" s="165"/>
      <c r="M3641" s="6"/>
      <c r="N3641" s="32"/>
      <c r="Q3641" s="10" t="str">
        <f>+CONCATENATE(E3641,G3641)</f>
        <v/>
      </c>
      <c r="R3641" s="10">
        <f>+H3641</f>
        <v>0</v>
      </c>
      <c r="S3641" s="11"/>
      <c r="T3641" s="10">
        <f>+E3641</f>
        <v>0</v>
      </c>
      <c r="U3641" s="19" t="str">
        <f>IFERROR(LEFT(G3641,FIND("*",G3641)-1),"-")</f>
        <v>-</v>
      </c>
      <c r="V3641" s="19" t="str">
        <f>IFERROR(RIGHT(G3641,LEN(G3641)-FIND("*",G3641)),"-")</f>
        <v>-</v>
      </c>
      <c r="W3641" s="20" t="str">
        <f>IFERROR((U3641+V3641)*2/1000,"-")</f>
        <v>-</v>
      </c>
      <c r="X3641" s="20" t="str">
        <f>IFERROR(W3641*H3641,"-")</f>
        <v>-</v>
      </c>
      <c r="Z3641" s="85" t="s">
        <v>82</v>
      </c>
    </row>
    <row r="3642" spans="1:26" ht="6.95" customHeight="1" x14ac:dyDescent="0.3">
      <c r="A3642" s="154"/>
      <c r="B3642" s="157"/>
      <c r="C3642" s="158"/>
      <c r="D3642" s="161"/>
      <c r="E3642" s="162"/>
      <c r="F3642" s="163"/>
      <c r="G3642" s="164"/>
      <c r="H3642" s="165"/>
      <c r="I3642" s="164"/>
      <c r="J3642" s="165"/>
      <c r="K3642" s="164"/>
      <c r="L3642" s="165"/>
      <c r="M3642" s="6"/>
      <c r="N3642" s="32"/>
      <c r="Q3642" s="10" t="str">
        <f>+CONCATENATE(E3641,I3641)</f>
        <v/>
      </c>
      <c r="R3642" s="10">
        <f>+J3641</f>
        <v>0</v>
      </c>
      <c r="S3642" s="11"/>
      <c r="T3642" s="10">
        <f>+E3641</f>
        <v>0</v>
      </c>
      <c r="U3642" s="19" t="str">
        <f>IFERROR(LEFT(I3641,FIND("*",I3641)-1),"-")</f>
        <v>-</v>
      </c>
      <c r="V3642" s="19" t="str">
        <f>IFERROR(RIGHT(I3641,LEN(I3641)-FIND("*",I3641)),"-")</f>
        <v>-</v>
      </c>
      <c r="W3642" s="20" t="str">
        <f t="shared" ref="W3642:W3649" si="1978">IFERROR((U3642+V3642)*2/1000,"-")</f>
        <v>-</v>
      </c>
      <c r="X3642" s="20" t="str">
        <f>IFERROR(W3642*J3641,"-")</f>
        <v>-</v>
      </c>
      <c r="Z3642" s="85" t="s">
        <v>82</v>
      </c>
    </row>
    <row r="3643" spans="1:26" ht="6.95" customHeight="1" x14ac:dyDescent="0.3">
      <c r="A3643" s="154"/>
      <c r="B3643" s="157"/>
      <c r="C3643" s="158"/>
      <c r="D3643" s="161"/>
      <c r="E3643" s="162"/>
      <c r="F3643" s="163"/>
      <c r="G3643" s="164"/>
      <c r="H3643" s="165"/>
      <c r="I3643" s="164"/>
      <c r="J3643" s="165"/>
      <c r="K3643" s="164"/>
      <c r="L3643" s="165"/>
      <c r="M3643" s="6"/>
      <c r="N3643" s="32"/>
      <c r="Q3643" s="10" t="str">
        <f>+CONCATENATE(E3641,K3641)</f>
        <v/>
      </c>
      <c r="R3643" s="10">
        <f>+L3641</f>
        <v>0</v>
      </c>
      <c r="S3643" s="11"/>
      <c r="T3643" s="10">
        <f>+E3641</f>
        <v>0</v>
      </c>
      <c r="U3643" s="19" t="str">
        <f>IFERROR(LEFT(K3641,FIND("*",K3641)-1),"-")</f>
        <v>-</v>
      </c>
      <c r="V3643" s="19" t="str">
        <f>IFERROR(RIGHT(K3641,LEN(K3641)-FIND("*",K3641)),"-")</f>
        <v>-</v>
      </c>
      <c r="W3643" s="20" t="str">
        <f t="shared" si="1978"/>
        <v>-</v>
      </c>
      <c r="X3643" s="20" t="str">
        <f>IFERROR(W3643*L3641,"-")</f>
        <v>-</v>
      </c>
      <c r="Z3643" s="85" t="s">
        <v>82</v>
      </c>
    </row>
    <row r="3644" spans="1:26" ht="6.95" customHeight="1" x14ac:dyDescent="0.3">
      <c r="A3644" s="8"/>
      <c r="B3644" s="157"/>
      <c r="C3644" s="158"/>
      <c r="D3644" s="161" t="s">
        <v>39</v>
      </c>
      <c r="E3644" s="162"/>
      <c r="F3644" s="163" t="s">
        <v>40</v>
      </c>
      <c r="G3644" s="164"/>
      <c r="H3644" s="165"/>
      <c r="I3644" s="164"/>
      <c r="J3644" s="165"/>
      <c r="K3644" s="164"/>
      <c r="L3644" s="165"/>
      <c r="M3644" s="6"/>
      <c r="N3644" s="32"/>
      <c r="Q3644" s="10" t="str">
        <f>+CONCATENATE(E3644,G3644)</f>
        <v/>
      </c>
      <c r="R3644" s="10">
        <f>+H3644</f>
        <v>0</v>
      </c>
      <c r="S3644" s="11"/>
      <c r="T3644" s="10">
        <f>+E3644</f>
        <v>0</v>
      </c>
      <c r="U3644" s="19" t="str">
        <f t="shared" ref="U3644" si="1979">IFERROR(LEFT(G3644,FIND("*",G3644)-1),"-")</f>
        <v>-</v>
      </c>
      <c r="V3644" s="19" t="str">
        <f t="shared" ref="V3644" si="1980">IFERROR(RIGHT(G3644,LEN(G3644)-FIND("*",G3644)),"-")</f>
        <v>-</v>
      </c>
      <c r="W3644" s="20" t="str">
        <f t="shared" si="1978"/>
        <v>-</v>
      </c>
      <c r="X3644" s="20" t="str">
        <f>IFERROR(W3644*H3644,"-")</f>
        <v>-</v>
      </c>
      <c r="Z3644" s="85" t="s">
        <v>82</v>
      </c>
    </row>
    <row r="3645" spans="1:26" ht="6.95" customHeight="1" x14ac:dyDescent="0.3">
      <c r="A3645" s="5"/>
      <c r="B3645" s="157"/>
      <c r="C3645" s="158"/>
      <c r="D3645" s="161"/>
      <c r="E3645" s="162"/>
      <c r="F3645" s="163"/>
      <c r="G3645" s="164"/>
      <c r="H3645" s="165"/>
      <c r="I3645" s="164"/>
      <c r="J3645" s="165"/>
      <c r="K3645" s="164"/>
      <c r="L3645" s="165"/>
      <c r="M3645" s="6"/>
      <c r="N3645" s="32"/>
      <c r="Q3645" s="10" t="str">
        <f>+CONCATENATE(E3644,I3644)</f>
        <v/>
      </c>
      <c r="R3645" s="10">
        <f>+J3644</f>
        <v>0</v>
      </c>
      <c r="S3645" s="11"/>
      <c r="T3645" s="10">
        <f>+E3644</f>
        <v>0</v>
      </c>
      <c r="U3645" s="19" t="str">
        <f>IFERROR(LEFT(I3644,FIND("*",I3644)-1),"-")</f>
        <v>-</v>
      </c>
      <c r="V3645" s="19" t="str">
        <f>IFERROR(RIGHT(I3644,LEN(I3644)-FIND("*",I3644)),"-")</f>
        <v>-</v>
      </c>
      <c r="W3645" s="20" t="str">
        <f t="shared" si="1978"/>
        <v>-</v>
      </c>
      <c r="X3645" s="20" t="str">
        <f>IFERROR(W3645*J3644,"-")</f>
        <v>-</v>
      </c>
      <c r="Z3645" s="85" t="s">
        <v>82</v>
      </c>
    </row>
    <row r="3646" spans="1:26" ht="6.95" customHeight="1" x14ac:dyDescent="0.3">
      <c r="A3646" s="5"/>
      <c r="B3646" s="157"/>
      <c r="C3646" s="158"/>
      <c r="D3646" s="161"/>
      <c r="E3646" s="162"/>
      <c r="F3646" s="163"/>
      <c r="G3646" s="164"/>
      <c r="H3646" s="165"/>
      <c r="I3646" s="164"/>
      <c r="J3646" s="165"/>
      <c r="K3646" s="164"/>
      <c r="L3646" s="165"/>
      <c r="M3646" s="6"/>
      <c r="N3646" s="32"/>
      <c r="Q3646" s="10" t="str">
        <f>+CONCATENATE(E3644,K3644)</f>
        <v/>
      </c>
      <c r="R3646" s="10">
        <f>+L3644</f>
        <v>0</v>
      </c>
      <c r="S3646" s="11"/>
      <c r="T3646" s="10">
        <f>+E3644</f>
        <v>0</v>
      </c>
      <c r="U3646" s="19" t="str">
        <f>IFERROR(LEFT(K3644,FIND("*",K3644)-1),"-")</f>
        <v>-</v>
      </c>
      <c r="V3646" s="19" t="str">
        <f>IFERROR(RIGHT(K3644,LEN(K3644)-FIND("*",K3644)),"-")</f>
        <v>-</v>
      </c>
      <c r="W3646" s="20" t="str">
        <f t="shared" si="1978"/>
        <v>-</v>
      </c>
      <c r="X3646" s="20" t="str">
        <f>IFERROR(W3646*L3644,"-")</f>
        <v>-</v>
      </c>
      <c r="Z3646" s="85" t="s">
        <v>82</v>
      </c>
    </row>
    <row r="3647" spans="1:26" ht="6.95" customHeight="1" x14ac:dyDescent="0.3">
      <c r="A3647" s="8"/>
      <c r="B3647" s="157"/>
      <c r="C3647" s="158"/>
      <c r="D3647" s="161" t="s">
        <v>39</v>
      </c>
      <c r="E3647" s="162"/>
      <c r="F3647" s="163" t="s">
        <v>40</v>
      </c>
      <c r="G3647" s="164"/>
      <c r="H3647" s="165"/>
      <c r="I3647" s="164"/>
      <c r="J3647" s="165"/>
      <c r="K3647" s="164"/>
      <c r="L3647" s="165"/>
      <c r="M3647" s="6"/>
      <c r="N3647" s="32"/>
      <c r="Q3647" s="10" t="str">
        <f>+CONCATENATE(E3647,G3647)</f>
        <v/>
      </c>
      <c r="R3647" s="10">
        <f>+H3647</f>
        <v>0</v>
      </c>
      <c r="S3647" s="11"/>
      <c r="T3647" s="10">
        <f>+E3647</f>
        <v>0</v>
      </c>
      <c r="U3647" s="19" t="str">
        <f t="shared" ref="U3647" si="1981">IFERROR(LEFT(G3647,FIND("*",G3647)-1),"-")</f>
        <v>-</v>
      </c>
      <c r="V3647" s="19" t="str">
        <f t="shared" ref="V3647" si="1982">IFERROR(RIGHT(G3647,LEN(G3647)-FIND("*",G3647)),"-")</f>
        <v>-</v>
      </c>
      <c r="W3647" s="20" t="str">
        <f t="shared" si="1978"/>
        <v>-</v>
      </c>
      <c r="X3647" s="20" t="str">
        <f>IFERROR(W3647*H3647,"-")</f>
        <v>-</v>
      </c>
      <c r="Z3647" s="85" t="s">
        <v>82</v>
      </c>
    </row>
    <row r="3648" spans="1:26" ht="6.95" customHeight="1" x14ac:dyDescent="0.3">
      <c r="A3648" s="5"/>
      <c r="B3648" s="157"/>
      <c r="C3648" s="158"/>
      <c r="D3648" s="161"/>
      <c r="E3648" s="162"/>
      <c r="F3648" s="163"/>
      <c r="G3648" s="164"/>
      <c r="H3648" s="165"/>
      <c r="I3648" s="164"/>
      <c r="J3648" s="165"/>
      <c r="K3648" s="164"/>
      <c r="L3648" s="165"/>
      <c r="M3648" s="6"/>
      <c r="N3648" s="32"/>
      <c r="Q3648" s="10" t="str">
        <f>+CONCATENATE(E3647,I3647)</f>
        <v/>
      </c>
      <c r="R3648" s="10">
        <f>+J3647</f>
        <v>0</v>
      </c>
      <c r="S3648" s="11"/>
      <c r="T3648" s="10">
        <f>+E3647</f>
        <v>0</v>
      </c>
      <c r="U3648" s="19" t="str">
        <f>IFERROR(LEFT(I3647,FIND("*",I3647)-1),"-")</f>
        <v>-</v>
      </c>
      <c r="V3648" s="19" t="str">
        <f>IFERROR(RIGHT(I3647,LEN(I3647)-FIND("*",I3647)),"-")</f>
        <v>-</v>
      </c>
      <c r="W3648" s="20" t="str">
        <f t="shared" si="1978"/>
        <v>-</v>
      </c>
      <c r="X3648" s="20" t="str">
        <f t="shared" ref="X3648" si="1983">IFERROR(W3648*J3647,"-")</f>
        <v>-</v>
      </c>
      <c r="Z3648" s="85" t="s">
        <v>82</v>
      </c>
    </row>
    <row r="3649" spans="1:26" ht="6.95" customHeight="1" x14ac:dyDescent="0.3">
      <c r="A3649" s="5"/>
      <c r="B3649" s="157"/>
      <c r="C3649" s="158"/>
      <c r="D3649" s="161"/>
      <c r="E3649" s="162"/>
      <c r="F3649" s="163"/>
      <c r="G3649" s="164"/>
      <c r="H3649" s="165"/>
      <c r="I3649" s="164"/>
      <c r="J3649" s="165"/>
      <c r="K3649" s="164"/>
      <c r="L3649" s="165"/>
      <c r="M3649" s="6"/>
      <c r="N3649" s="32"/>
      <c r="Q3649" s="10" t="str">
        <f>+CONCATENATE(E3647,K3647)</f>
        <v/>
      </c>
      <c r="R3649" s="10">
        <f>+L3647</f>
        <v>0</v>
      </c>
      <c r="S3649" s="11"/>
      <c r="T3649" s="10">
        <f>+E3647</f>
        <v>0</v>
      </c>
      <c r="U3649" s="19" t="str">
        <f>IFERROR(LEFT(K3647,FIND("*",K3647)-1),"-")</f>
        <v>-</v>
      </c>
      <c r="V3649" s="19" t="str">
        <f>IFERROR(RIGHT(K3647,LEN(K3647)-FIND("*",K3647)),"-")</f>
        <v>-</v>
      </c>
      <c r="W3649" s="20" t="str">
        <f t="shared" si="1978"/>
        <v>-</v>
      </c>
      <c r="X3649" s="20" t="str">
        <f>IFERROR(W3649*L3647,"-")</f>
        <v>-</v>
      </c>
      <c r="Z3649" s="85" t="s">
        <v>82</v>
      </c>
    </row>
    <row r="3650" spans="1:26" ht="21" customHeight="1" thickBot="1" x14ac:dyDescent="0.35">
      <c r="A3650" s="5"/>
      <c r="B3650" s="159"/>
      <c r="C3650" s="160"/>
      <c r="D3650" s="166" t="s">
        <v>43</v>
      </c>
      <c r="E3650" s="167"/>
      <c r="F3650" s="167"/>
      <c r="G3650" s="168"/>
      <c r="H3650" s="168"/>
      <c r="I3650" s="168"/>
      <c r="J3650" s="168"/>
      <c r="K3650" s="168"/>
      <c r="L3650" s="168"/>
      <c r="M3650" s="7"/>
      <c r="N3650" s="32"/>
      <c r="Z3650" s="86" t="s">
        <v>81</v>
      </c>
    </row>
    <row r="3651" spans="1:26" ht="9.9499999999999993" customHeight="1" thickBot="1" x14ac:dyDescent="0.35">
      <c r="B3651" s="9"/>
      <c r="C3651" s="109"/>
      <c r="D3651" s="51"/>
      <c r="E3651" s="12"/>
      <c r="F3651" s="51"/>
      <c r="G3651" s="14"/>
      <c r="H3651" s="14"/>
      <c r="I3651" s="14"/>
      <c r="J3651" s="14"/>
      <c r="K3651" s="14"/>
      <c r="L3651" s="14"/>
      <c r="M3651" s="9"/>
      <c r="N3651" s="32"/>
      <c r="U3651" s="18"/>
      <c r="V3651" s="18"/>
      <c r="Z3651" s="85" t="s">
        <v>82</v>
      </c>
    </row>
    <row r="3652" spans="1:26" ht="6.95" customHeight="1" x14ac:dyDescent="0.3">
      <c r="A3652" s="154">
        <f>+A3641+1</f>
        <v>1131</v>
      </c>
      <c r="B3652" s="155"/>
      <c r="C3652" s="156"/>
      <c r="D3652" s="161" t="s">
        <v>39</v>
      </c>
      <c r="E3652" s="162"/>
      <c r="F3652" s="163" t="s">
        <v>40</v>
      </c>
      <c r="G3652" s="164"/>
      <c r="H3652" s="165"/>
      <c r="I3652" s="164"/>
      <c r="J3652" s="165"/>
      <c r="K3652" s="164"/>
      <c r="L3652" s="165"/>
      <c r="M3652" s="6"/>
      <c r="N3652" s="32"/>
      <c r="Q3652" s="10" t="str">
        <f>+CONCATENATE(E3652,G3652)</f>
        <v/>
      </c>
      <c r="R3652" s="10">
        <f>+H3652</f>
        <v>0</v>
      </c>
      <c r="S3652" s="11"/>
      <c r="T3652" s="10">
        <f>+E3652</f>
        <v>0</v>
      </c>
      <c r="U3652" s="19" t="str">
        <f>IFERROR(LEFT(G3652,FIND("*",G3652)-1),"-")</f>
        <v>-</v>
      </c>
      <c r="V3652" s="19" t="str">
        <f>IFERROR(RIGHT(G3652,LEN(G3652)-FIND("*",G3652)),"-")</f>
        <v>-</v>
      </c>
      <c r="W3652" s="20" t="str">
        <f>IFERROR((U3652+V3652)*2/1000,"-")</f>
        <v>-</v>
      </c>
      <c r="X3652" s="20" t="str">
        <f>IFERROR(W3652*H3652,"-")</f>
        <v>-</v>
      </c>
      <c r="Z3652" s="85" t="s">
        <v>82</v>
      </c>
    </row>
    <row r="3653" spans="1:26" ht="6.95" customHeight="1" x14ac:dyDescent="0.3">
      <c r="A3653" s="154"/>
      <c r="B3653" s="157"/>
      <c r="C3653" s="158"/>
      <c r="D3653" s="161"/>
      <c r="E3653" s="162"/>
      <c r="F3653" s="163"/>
      <c r="G3653" s="164"/>
      <c r="H3653" s="165"/>
      <c r="I3653" s="164"/>
      <c r="J3653" s="165"/>
      <c r="K3653" s="164"/>
      <c r="L3653" s="165"/>
      <c r="M3653" s="6"/>
      <c r="N3653" s="32"/>
      <c r="Q3653" s="10" t="str">
        <f>+CONCATENATE(E3652,I3652)</f>
        <v/>
      </c>
      <c r="R3653" s="10">
        <f>+J3652</f>
        <v>0</v>
      </c>
      <c r="S3653" s="11"/>
      <c r="T3653" s="10">
        <f>+E3652</f>
        <v>0</v>
      </c>
      <c r="U3653" s="19" t="str">
        <f>IFERROR(LEFT(I3652,FIND("*",I3652)-1),"-")</f>
        <v>-</v>
      </c>
      <c r="V3653" s="19" t="str">
        <f>IFERROR(RIGHT(I3652,LEN(I3652)-FIND("*",I3652)),"-")</f>
        <v>-</v>
      </c>
      <c r="W3653" s="20" t="str">
        <f t="shared" ref="W3653:W3660" si="1984">IFERROR((U3653+V3653)*2/1000,"-")</f>
        <v>-</v>
      </c>
      <c r="X3653" s="20" t="str">
        <f>IFERROR(W3653*J3652,"-")</f>
        <v>-</v>
      </c>
      <c r="Z3653" s="85" t="s">
        <v>82</v>
      </c>
    </row>
    <row r="3654" spans="1:26" ht="6.95" customHeight="1" x14ac:dyDescent="0.3">
      <c r="A3654" s="154"/>
      <c r="B3654" s="157"/>
      <c r="C3654" s="158"/>
      <c r="D3654" s="161"/>
      <c r="E3654" s="162"/>
      <c r="F3654" s="163"/>
      <c r="G3654" s="164"/>
      <c r="H3654" s="165"/>
      <c r="I3654" s="164"/>
      <c r="J3654" s="165"/>
      <c r="K3654" s="164"/>
      <c r="L3654" s="165"/>
      <c r="M3654" s="6"/>
      <c r="N3654" s="32"/>
      <c r="Q3654" s="10" t="str">
        <f>+CONCATENATE(E3652,K3652)</f>
        <v/>
      </c>
      <c r="R3654" s="10">
        <f>+L3652</f>
        <v>0</v>
      </c>
      <c r="S3654" s="11"/>
      <c r="T3654" s="10">
        <f>+E3652</f>
        <v>0</v>
      </c>
      <c r="U3654" s="19" t="str">
        <f>IFERROR(LEFT(K3652,FIND("*",K3652)-1),"-")</f>
        <v>-</v>
      </c>
      <c r="V3654" s="19" t="str">
        <f>IFERROR(RIGHT(K3652,LEN(K3652)-FIND("*",K3652)),"-")</f>
        <v>-</v>
      </c>
      <c r="W3654" s="20" t="str">
        <f t="shared" si="1984"/>
        <v>-</v>
      </c>
      <c r="X3654" s="20" t="str">
        <f>IFERROR(W3654*L3652,"-")</f>
        <v>-</v>
      </c>
      <c r="Z3654" s="85" t="s">
        <v>82</v>
      </c>
    </row>
    <row r="3655" spans="1:26" ht="6.95" customHeight="1" x14ac:dyDescent="0.3">
      <c r="A3655" s="8"/>
      <c r="B3655" s="157"/>
      <c r="C3655" s="158"/>
      <c r="D3655" s="161" t="s">
        <v>39</v>
      </c>
      <c r="E3655" s="162"/>
      <c r="F3655" s="163" t="s">
        <v>40</v>
      </c>
      <c r="G3655" s="164"/>
      <c r="H3655" s="165"/>
      <c r="I3655" s="164"/>
      <c r="J3655" s="165"/>
      <c r="K3655" s="164"/>
      <c r="L3655" s="165"/>
      <c r="M3655" s="6"/>
      <c r="N3655" s="32"/>
      <c r="Q3655" s="10" t="str">
        <f>+CONCATENATE(E3655,G3655)</f>
        <v/>
      </c>
      <c r="R3655" s="10">
        <f>+H3655</f>
        <v>0</v>
      </c>
      <c r="S3655" s="11"/>
      <c r="T3655" s="10">
        <f>+E3655</f>
        <v>0</v>
      </c>
      <c r="U3655" s="19" t="str">
        <f t="shared" ref="U3655" si="1985">IFERROR(LEFT(G3655,FIND("*",G3655)-1),"-")</f>
        <v>-</v>
      </c>
      <c r="V3655" s="19" t="str">
        <f t="shared" ref="V3655" si="1986">IFERROR(RIGHT(G3655,LEN(G3655)-FIND("*",G3655)),"-")</f>
        <v>-</v>
      </c>
      <c r="W3655" s="20" t="str">
        <f t="shared" si="1984"/>
        <v>-</v>
      </c>
      <c r="X3655" s="20" t="str">
        <f>IFERROR(W3655*H3655,"-")</f>
        <v>-</v>
      </c>
      <c r="Z3655" s="85" t="s">
        <v>82</v>
      </c>
    </row>
    <row r="3656" spans="1:26" ht="6.95" customHeight="1" x14ac:dyDescent="0.3">
      <c r="A3656" s="5"/>
      <c r="B3656" s="157"/>
      <c r="C3656" s="158"/>
      <c r="D3656" s="161"/>
      <c r="E3656" s="162"/>
      <c r="F3656" s="163"/>
      <c r="G3656" s="164"/>
      <c r="H3656" s="165"/>
      <c r="I3656" s="164"/>
      <c r="J3656" s="165"/>
      <c r="K3656" s="164"/>
      <c r="L3656" s="165"/>
      <c r="M3656" s="6"/>
      <c r="N3656" s="32"/>
      <c r="Q3656" s="10" t="str">
        <f>+CONCATENATE(E3655,I3655)</f>
        <v/>
      </c>
      <c r="R3656" s="10">
        <f>+J3655</f>
        <v>0</v>
      </c>
      <c r="S3656" s="11"/>
      <c r="T3656" s="10">
        <f>+E3655</f>
        <v>0</v>
      </c>
      <c r="U3656" s="19" t="str">
        <f>IFERROR(LEFT(I3655,FIND("*",I3655)-1),"-")</f>
        <v>-</v>
      </c>
      <c r="V3656" s="19" t="str">
        <f>IFERROR(RIGHT(I3655,LEN(I3655)-FIND("*",I3655)),"-")</f>
        <v>-</v>
      </c>
      <c r="W3656" s="20" t="str">
        <f t="shared" si="1984"/>
        <v>-</v>
      </c>
      <c r="X3656" s="20" t="str">
        <f>IFERROR(W3656*J3655,"-")</f>
        <v>-</v>
      </c>
      <c r="Z3656" s="85" t="s">
        <v>82</v>
      </c>
    </row>
    <row r="3657" spans="1:26" ht="6.95" customHeight="1" x14ac:dyDescent="0.3">
      <c r="A3657" s="5"/>
      <c r="B3657" s="157"/>
      <c r="C3657" s="158"/>
      <c r="D3657" s="161"/>
      <c r="E3657" s="162"/>
      <c r="F3657" s="163"/>
      <c r="G3657" s="164"/>
      <c r="H3657" s="165"/>
      <c r="I3657" s="164"/>
      <c r="J3657" s="165"/>
      <c r="K3657" s="164"/>
      <c r="L3657" s="165"/>
      <c r="M3657" s="6"/>
      <c r="N3657" s="32"/>
      <c r="Q3657" s="10" t="str">
        <f>+CONCATENATE(E3655,K3655)</f>
        <v/>
      </c>
      <c r="R3657" s="10">
        <f>+L3655</f>
        <v>0</v>
      </c>
      <c r="S3657" s="11"/>
      <c r="T3657" s="10">
        <f>+E3655</f>
        <v>0</v>
      </c>
      <c r="U3657" s="19" t="str">
        <f>IFERROR(LEFT(K3655,FIND("*",K3655)-1),"-")</f>
        <v>-</v>
      </c>
      <c r="V3657" s="19" t="str">
        <f>IFERROR(RIGHT(K3655,LEN(K3655)-FIND("*",K3655)),"-")</f>
        <v>-</v>
      </c>
      <c r="W3657" s="20" t="str">
        <f t="shared" si="1984"/>
        <v>-</v>
      </c>
      <c r="X3657" s="20" t="str">
        <f>IFERROR(W3657*L3655,"-")</f>
        <v>-</v>
      </c>
      <c r="Z3657" s="85" t="s">
        <v>82</v>
      </c>
    </row>
    <row r="3658" spans="1:26" ht="6.95" customHeight="1" x14ac:dyDescent="0.3">
      <c r="A3658" s="8"/>
      <c r="B3658" s="157"/>
      <c r="C3658" s="158"/>
      <c r="D3658" s="161" t="s">
        <v>39</v>
      </c>
      <c r="E3658" s="162"/>
      <c r="F3658" s="163" t="s">
        <v>40</v>
      </c>
      <c r="G3658" s="164"/>
      <c r="H3658" s="165"/>
      <c r="I3658" s="164"/>
      <c r="J3658" s="165"/>
      <c r="K3658" s="164"/>
      <c r="L3658" s="165"/>
      <c r="M3658" s="6"/>
      <c r="N3658" s="32"/>
      <c r="Q3658" s="10" t="str">
        <f>+CONCATENATE(E3658,G3658)</f>
        <v/>
      </c>
      <c r="R3658" s="10">
        <f>+H3658</f>
        <v>0</v>
      </c>
      <c r="S3658" s="11"/>
      <c r="T3658" s="10">
        <f>+E3658</f>
        <v>0</v>
      </c>
      <c r="U3658" s="19" t="str">
        <f t="shared" ref="U3658" si="1987">IFERROR(LEFT(G3658,FIND("*",G3658)-1),"-")</f>
        <v>-</v>
      </c>
      <c r="V3658" s="19" t="str">
        <f t="shared" ref="V3658" si="1988">IFERROR(RIGHT(G3658,LEN(G3658)-FIND("*",G3658)),"-")</f>
        <v>-</v>
      </c>
      <c r="W3658" s="20" t="str">
        <f t="shared" si="1984"/>
        <v>-</v>
      </c>
      <c r="X3658" s="20" t="str">
        <f>IFERROR(W3658*H3658,"-")</f>
        <v>-</v>
      </c>
      <c r="Z3658" s="85" t="s">
        <v>82</v>
      </c>
    </row>
    <row r="3659" spans="1:26" ht="6.95" customHeight="1" x14ac:dyDescent="0.3">
      <c r="A3659" s="5"/>
      <c r="B3659" s="157"/>
      <c r="C3659" s="158"/>
      <c r="D3659" s="161"/>
      <c r="E3659" s="162"/>
      <c r="F3659" s="163"/>
      <c r="G3659" s="164"/>
      <c r="H3659" s="165"/>
      <c r="I3659" s="164"/>
      <c r="J3659" s="165"/>
      <c r="K3659" s="164"/>
      <c r="L3659" s="165"/>
      <c r="M3659" s="6"/>
      <c r="N3659" s="32"/>
      <c r="Q3659" s="10" t="str">
        <f>+CONCATENATE(E3658,I3658)</f>
        <v/>
      </c>
      <c r="R3659" s="10">
        <f>+J3658</f>
        <v>0</v>
      </c>
      <c r="S3659" s="11"/>
      <c r="T3659" s="10">
        <f>+E3658</f>
        <v>0</v>
      </c>
      <c r="U3659" s="19" t="str">
        <f>IFERROR(LEFT(I3658,FIND("*",I3658)-1),"-")</f>
        <v>-</v>
      </c>
      <c r="V3659" s="19" t="str">
        <f>IFERROR(RIGHT(I3658,LEN(I3658)-FIND("*",I3658)),"-")</f>
        <v>-</v>
      </c>
      <c r="W3659" s="20" t="str">
        <f t="shared" si="1984"/>
        <v>-</v>
      </c>
      <c r="X3659" s="20" t="str">
        <f t="shared" ref="X3659" si="1989">IFERROR(W3659*J3658,"-")</f>
        <v>-</v>
      </c>
      <c r="Z3659" s="85" t="s">
        <v>82</v>
      </c>
    </row>
    <row r="3660" spans="1:26" ht="6.95" customHeight="1" x14ac:dyDescent="0.3">
      <c r="A3660" s="5"/>
      <c r="B3660" s="157"/>
      <c r="C3660" s="158"/>
      <c r="D3660" s="161"/>
      <c r="E3660" s="162"/>
      <c r="F3660" s="163"/>
      <c r="G3660" s="164"/>
      <c r="H3660" s="165"/>
      <c r="I3660" s="164"/>
      <c r="J3660" s="165"/>
      <c r="K3660" s="164"/>
      <c r="L3660" s="165"/>
      <c r="M3660" s="6"/>
      <c r="N3660" s="32"/>
      <c r="Q3660" s="10" t="str">
        <f>+CONCATENATE(E3658,K3658)</f>
        <v/>
      </c>
      <c r="R3660" s="10">
        <f>+L3658</f>
        <v>0</v>
      </c>
      <c r="S3660" s="11"/>
      <c r="T3660" s="10">
        <f>+E3658</f>
        <v>0</v>
      </c>
      <c r="U3660" s="19" t="str">
        <f>IFERROR(LEFT(K3658,FIND("*",K3658)-1),"-")</f>
        <v>-</v>
      </c>
      <c r="V3660" s="19" t="str">
        <f>IFERROR(RIGHT(K3658,LEN(K3658)-FIND("*",K3658)),"-")</f>
        <v>-</v>
      </c>
      <c r="W3660" s="20" t="str">
        <f t="shared" si="1984"/>
        <v>-</v>
      </c>
      <c r="X3660" s="20" t="str">
        <f>IFERROR(W3660*L3658,"-")</f>
        <v>-</v>
      </c>
      <c r="Z3660" s="85" t="s">
        <v>82</v>
      </c>
    </row>
    <row r="3661" spans="1:26" ht="21" customHeight="1" thickBot="1" x14ac:dyDescent="0.35">
      <c r="A3661" s="5"/>
      <c r="B3661" s="159"/>
      <c r="C3661" s="160"/>
      <c r="D3661" s="166" t="s">
        <v>43</v>
      </c>
      <c r="E3661" s="167"/>
      <c r="F3661" s="167"/>
      <c r="G3661" s="168"/>
      <c r="H3661" s="168"/>
      <c r="I3661" s="168"/>
      <c r="J3661" s="168"/>
      <c r="K3661" s="168"/>
      <c r="L3661" s="168"/>
      <c r="M3661" s="7"/>
      <c r="N3661" s="32"/>
      <c r="Z3661" s="86" t="s">
        <v>81</v>
      </c>
    </row>
    <row r="3662" spans="1:26" ht="9.9499999999999993" customHeight="1" thickBot="1" x14ac:dyDescent="0.35">
      <c r="B3662" s="9"/>
      <c r="C3662" s="109"/>
      <c r="D3662" s="51"/>
      <c r="E3662" s="12"/>
      <c r="F3662" s="51"/>
      <c r="G3662" s="14"/>
      <c r="H3662" s="14"/>
      <c r="I3662" s="14"/>
      <c r="J3662" s="14"/>
      <c r="K3662" s="14"/>
      <c r="L3662" s="14"/>
      <c r="M3662" s="9"/>
      <c r="N3662" s="32"/>
      <c r="U3662" s="18"/>
      <c r="V3662" s="18"/>
      <c r="Z3662" s="85" t="s">
        <v>82</v>
      </c>
    </row>
    <row r="3663" spans="1:26" ht="6.95" customHeight="1" x14ac:dyDescent="0.3">
      <c r="A3663" s="154">
        <f>+A3652+1</f>
        <v>1132</v>
      </c>
      <c r="B3663" s="155"/>
      <c r="C3663" s="156"/>
      <c r="D3663" s="161" t="s">
        <v>39</v>
      </c>
      <c r="E3663" s="162"/>
      <c r="F3663" s="163" t="s">
        <v>40</v>
      </c>
      <c r="G3663" s="164"/>
      <c r="H3663" s="165"/>
      <c r="I3663" s="164"/>
      <c r="J3663" s="165"/>
      <c r="K3663" s="164"/>
      <c r="L3663" s="165"/>
      <c r="M3663" s="6"/>
      <c r="N3663" s="32"/>
      <c r="Q3663" s="10" t="str">
        <f>+CONCATENATE(E3663,G3663)</f>
        <v/>
      </c>
      <c r="R3663" s="10">
        <f>+H3663</f>
        <v>0</v>
      </c>
      <c r="S3663" s="11"/>
      <c r="T3663" s="10">
        <f>+E3663</f>
        <v>0</v>
      </c>
      <c r="U3663" s="19" t="str">
        <f>IFERROR(LEFT(G3663,FIND("*",G3663)-1),"-")</f>
        <v>-</v>
      </c>
      <c r="V3663" s="19" t="str">
        <f>IFERROR(RIGHT(G3663,LEN(G3663)-FIND("*",G3663)),"-")</f>
        <v>-</v>
      </c>
      <c r="W3663" s="20" t="str">
        <f>IFERROR((U3663+V3663)*2/1000,"-")</f>
        <v>-</v>
      </c>
      <c r="X3663" s="20" t="str">
        <f>IFERROR(W3663*H3663,"-")</f>
        <v>-</v>
      </c>
      <c r="Z3663" s="85" t="s">
        <v>82</v>
      </c>
    </row>
    <row r="3664" spans="1:26" ht="6.95" customHeight="1" x14ac:dyDescent="0.3">
      <c r="A3664" s="154"/>
      <c r="B3664" s="157"/>
      <c r="C3664" s="158"/>
      <c r="D3664" s="161"/>
      <c r="E3664" s="162"/>
      <c r="F3664" s="163"/>
      <c r="G3664" s="164"/>
      <c r="H3664" s="165"/>
      <c r="I3664" s="164"/>
      <c r="J3664" s="165"/>
      <c r="K3664" s="164"/>
      <c r="L3664" s="165"/>
      <c r="M3664" s="6"/>
      <c r="N3664" s="32"/>
      <c r="Q3664" s="10" t="str">
        <f>+CONCATENATE(E3663,I3663)</f>
        <v/>
      </c>
      <c r="R3664" s="10">
        <f>+J3663</f>
        <v>0</v>
      </c>
      <c r="S3664" s="11"/>
      <c r="T3664" s="10">
        <f>+E3663</f>
        <v>0</v>
      </c>
      <c r="U3664" s="19" t="str">
        <f>IFERROR(LEFT(I3663,FIND("*",I3663)-1),"-")</f>
        <v>-</v>
      </c>
      <c r="V3664" s="19" t="str">
        <f>IFERROR(RIGHT(I3663,LEN(I3663)-FIND("*",I3663)),"-")</f>
        <v>-</v>
      </c>
      <c r="W3664" s="20" t="str">
        <f t="shared" ref="W3664:W3671" si="1990">IFERROR((U3664+V3664)*2/1000,"-")</f>
        <v>-</v>
      </c>
      <c r="X3664" s="20" t="str">
        <f>IFERROR(W3664*J3663,"-")</f>
        <v>-</v>
      </c>
      <c r="Z3664" s="85" t="s">
        <v>82</v>
      </c>
    </row>
    <row r="3665" spans="1:26" ht="6.95" customHeight="1" x14ac:dyDescent="0.3">
      <c r="A3665" s="154"/>
      <c r="B3665" s="157"/>
      <c r="C3665" s="158"/>
      <c r="D3665" s="161"/>
      <c r="E3665" s="162"/>
      <c r="F3665" s="163"/>
      <c r="G3665" s="164"/>
      <c r="H3665" s="165"/>
      <c r="I3665" s="164"/>
      <c r="J3665" s="165"/>
      <c r="K3665" s="164"/>
      <c r="L3665" s="165"/>
      <c r="M3665" s="6"/>
      <c r="N3665" s="32"/>
      <c r="Q3665" s="10" t="str">
        <f>+CONCATENATE(E3663,K3663)</f>
        <v/>
      </c>
      <c r="R3665" s="10">
        <f>+L3663</f>
        <v>0</v>
      </c>
      <c r="S3665" s="11"/>
      <c r="T3665" s="10">
        <f>+E3663</f>
        <v>0</v>
      </c>
      <c r="U3665" s="19" t="str">
        <f>IFERROR(LEFT(K3663,FIND("*",K3663)-1),"-")</f>
        <v>-</v>
      </c>
      <c r="V3665" s="19" t="str">
        <f>IFERROR(RIGHT(K3663,LEN(K3663)-FIND("*",K3663)),"-")</f>
        <v>-</v>
      </c>
      <c r="W3665" s="20" t="str">
        <f t="shared" si="1990"/>
        <v>-</v>
      </c>
      <c r="X3665" s="20" t="str">
        <f>IFERROR(W3665*L3663,"-")</f>
        <v>-</v>
      </c>
      <c r="Z3665" s="85" t="s">
        <v>82</v>
      </c>
    </row>
    <row r="3666" spans="1:26" ht="6.95" customHeight="1" x14ac:dyDescent="0.3">
      <c r="A3666" s="8"/>
      <c r="B3666" s="157"/>
      <c r="C3666" s="158"/>
      <c r="D3666" s="161" t="s">
        <v>39</v>
      </c>
      <c r="E3666" s="162"/>
      <c r="F3666" s="163" t="s">
        <v>40</v>
      </c>
      <c r="G3666" s="164"/>
      <c r="H3666" s="165"/>
      <c r="I3666" s="164"/>
      <c r="J3666" s="165"/>
      <c r="K3666" s="164"/>
      <c r="L3666" s="165"/>
      <c r="M3666" s="6"/>
      <c r="N3666" s="32"/>
      <c r="Q3666" s="10" t="str">
        <f>+CONCATENATE(E3666,G3666)</f>
        <v/>
      </c>
      <c r="R3666" s="10">
        <f>+H3666</f>
        <v>0</v>
      </c>
      <c r="S3666" s="11"/>
      <c r="T3666" s="10">
        <f>+E3666</f>
        <v>0</v>
      </c>
      <c r="U3666" s="19" t="str">
        <f t="shared" ref="U3666" si="1991">IFERROR(LEFT(G3666,FIND("*",G3666)-1),"-")</f>
        <v>-</v>
      </c>
      <c r="V3666" s="19" t="str">
        <f t="shared" ref="V3666" si="1992">IFERROR(RIGHT(G3666,LEN(G3666)-FIND("*",G3666)),"-")</f>
        <v>-</v>
      </c>
      <c r="W3666" s="20" t="str">
        <f t="shared" si="1990"/>
        <v>-</v>
      </c>
      <c r="X3666" s="20" t="str">
        <f>IFERROR(W3666*H3666,"-")</f>
        <v>-</v>
      </c>
      <c r="Z3666" s="85" t="s">
        <v>82</v>
      </c>
    </row>
    <row r="3667" spans="1:26" ht="6.95" customHeight="1" x14ac:dyDescent="0.3">
      <c r="A3667" s="5"/>
      <c r="B3667" s="157"/>
      <c r="C3667" s="158"/>
      <c r="D3667" s="161"/>
      <c r="E3667" s="162"/>
      <c r="F3667" s="163"/>
      <c r="G3667" s="164"/>
      <c r="H3667" s="165"/>
      <c r="I3667" s="164"/>
      <c r="J3667" s="165"/>
      <c r="K3667" s="164"/>
      <c r="L3667" s="165"/>
      <c r="M3667" s="6"/>
      <c r="N3667" s="32"/>
      <c r="Q3667" s="10" t="str">
        <f>+CONCATENATE(E3666,I3666)</f>
        <v/>
      </c>
      <c r="R3667" s="10">
        <f>+J3666</f>
        <v>0</v>
      </c>
      <c r="S3667" s="11"/>
      <c r="T3667" s="10">
        <f>+E3666</f>
        <v>0</v>
      </c>
      <c r="U3667" s="19" t="str">
        <f>IFERROR(LEFT(I3666,FIND("*",I3666)-1),"-")</f>
        <v>-</v>
      </c>
      <c r="V3667" s="19" t="str">
        <f>IFERROR(RIGHT(I3666,LEN(I3666)-FIND("*",I3666)),"-")</f>
        <v>-</v>
      </c>
      <c r="W3667" s="20" t="str">
        <f t="shared" si="1990"/>
        <v>-</v>
      </c>
      <c r="X3667" s="20" t="str">
        <f>IFERROR(W3667*J3666,"-")</f>
        <v>-</v>
      </c>
      <c r="Z3667" s="85" t="s">
        <v>82</v>
      </c>
    </row>
    <row r="3668" spans="1:26" ht="6.95" customHeight="1" x14ac:dyDescent="0.3">
      <c r="A3668" s="5"/>
      <c r="B3668" s="157"/>
      <c r="C3668" s="158"/>
      <c r="D3668" s="161"/>
      <c r="E3668" s="162"/>
      <c r="F3668" s="163"/>
      <c r="G3668" s="164"/>
      <c r="H3668" s="165"/>
      <c r="I3668" s="164"/>
      <c r="J3668" s="165"/>
      <c r="K3668" s="164"/>
      <c r="L3668" s="165"/>
      <c r="M3668" s="6"/>
      <c r="N3668" s="32"/>
      <c r="Q3668" s="10" t="str">
        <f>+CONCATENATE(E3666,K3666)</f>
        <v/>
      </c>
      <c r="R3668" s="10">
        <f>+L3666</f>
        <v>0</v>
      </c>
      <c r="S3668" s="11"/>
      <c r="T3668" s="10">
        <f>+E3666</f>
        <v>0</v>
      </c>
      <c r="U3668" s="19" t="str">
        <f>IFERROR(LEFT(K3666,FIND("*",K3666)-1),"-")</f>
        <v>-</v>
      </c>
      <c r="V3668" s="19" t="str">
        <f>IFERROR(RIGHT(K3666,LEN(K3666)-FIND("*",K3666)),"-")</f>
        <v>-</v>
      </c>
      <c r="W3668" s="20" t="str">
        <f t="shared" si="1990"/>
        <v>-</v>
      </c>
      <c r="X3668" s="20" t="str">
        <f>IFERROR(W3668*L3666,"-")</f>
        <v>-</v>
      </c>
      <c r="Z3668" s="85" t="s">
        <v>82</v>
      </c>
    </row>
    <row r="3669" spans="1:26" ht="6.95" customHeight="1" x14ac:dyDescent="0.3">
      <c r="A3669" s="8"/>
      <c r="B3669" s="157"/>
      <c r="C3669" s="158"/>
      <c r="D3669" s="161" t="s">
        <v>39</v>
      </c>
      <c r="E3669" s="162"/>
      <c r="F3669" s="163" t="s">
        <v>40</v>
      </c>
      <c r="G3669" s="164"/>
      <c r="H3669" s="165"/>
      <c r="I3669" s="164"/>
      <c r="J3669" s="165"/>
      <c r="K3669" s="164"/>
      <c r="L3669" s="165"/>
      <c r="M3669" s="6"/>
      <c r="N3669" s="32"/>
      <c r="Q3669" s="10" t="str">
        <f>+CONCATENATE(E3669,G3669)</f>
        <v/>
      </c>
      <c r="R3669" s="10">
        <f>+H3669</f>
        <v>0</v>
      </c>
      <c r="S3669" s="11"/>
      <c r="T3669" s="10">
        <f>+E3669</f>
        <v>0</v>
      </c>
      <c r="U3669" s="19" t="str">
        <f t="shared" ref="U3669" si="1993">IFERROR(LEFT(G3669,FIND("*",G3669)-1),"-")</f>
        <v>-</v>
      </c>
      <c r="V3669" s="19" t="str">
        <f t="shared" ref="V3669" si="1994">IFERROR(RIGHT(G3669,LEN(G3669)-FIND("*",G3669)),"-")</f>
        <v>-</v>
      </c>
      <c r="W3669" s="20" t="str">
        <f t="shared" si="1990"/>
        <v>-</v>
      </c>
      <c r="X3669" s="20" t="str">
        <f>IFERROR(W3669*H3669,"-")</f>
        <v>-</v>
      </c>
      <c r="Z3669" s="85" t="s">
        <v>82</v>
      </c>
    </row>
    <row r="3670" spans="1:26" ht="6.95" customHeight="1" x14ac:dyDescent="0.3">
      <c r="A3670" s="5"/>
      <c r="B3670" s="157"/>
      <c r="C3670" s="158"/>
      <c r="D3670" s="161"/>
      <c r="E3670" s="162"/>
      <c r="F3670" s="163"/>
      <c r="G3670" s="164"/>
      <c r="H3670" s="165"/>
      <c r="I3670" s="164"/>
      <c r="J3670" s="165"/>
      <c r="K3670" s="164"/>
      <c r="L3670" s="165"/>
      <c r="M3670" s="6"/>
      <c r="N3670" s="32"/>
      <c r="Q3670" s="10" t="str">
        <f>+CONCATENATE(E3669,I3669)</f>
        <v/>
      </c>
      <c r="R3670" s="10">
        <f>+J3669</f>
        <v>0</v>
      </c>
      <c r="S3670" s="11"/>
      <c r="T3670" s="10">
        <f>+E3669</f>
        <v>0</v>
      </c>
      <c r="U3670" s="19" t="str">
        <f>IFERROR(LEFT(I3669,FIND("*",I3669)-1),"-")</f>
        <v>-</v>
      </c>
      <c r="V3670" s="19" t="str">
        <f>IFERROR(RIGHT(I3669,LEN(I3669)-FIND("*",I3669)),"-")</f>
        <v>-</v>
      </c>
      <c r="W3670" s="20" t="str">
        <f t="shared" si="1990"/>
        <v>-</v>
      </c>
      <c r="X3670" s="20" t="str">
        <f t="shared" ref="X3670" si="1995">IFERROR(W3670*J3669,"-")</f>
        <v>-</v>
      </c>
      <c r="Z3670" s="85" t="s">
        <v>82</v>
      </c>
    </row>
    <row r="3671" spans="1:26" ht="6.95" customHeight="1" x14ac:dyDescent="0.3">
      <c r="A3671" s="5"/>
      <c r="B3671" s="157"/>
      <c r="C3671" s="158"/>
      <c r="D3671" s="161"/>
      <c r="E3671" s="162"/>
      <c r="F3671" s="163"/>
      <c r="G3671" s="164"/>
      <c r="H3671" s="165"/>
      <c r="I3671" s="164"/>
      <c r="J3671" s="165"/>
      <c r="K3671" s="164"/>
      <c r="L3671" s="165"/>
      <c r="M3671" s="6"/>
      <c r="N3671" s="32"/>
      <c r="Q3671" s="10" t="str">
        <f>+CONCATENATE(E3669,K3669)</f>
        <v/>
      </c>
      <c r="R3671" s="10">
        <f>+L3669</f>
        <v>0</v>
      </c>
      <c r="S3671" s="11"/>
      <c r="T3671" s="10">
        <f>+E3669</f>
        <v>0</v>
      </c>
      <c r="U3671" s="19" t="str">
        <f>IFERROR(LEFT(K3669,FIND("*",K3669)-1),"-")</f>
        <v>-</v>
      </c>
      <c r="V3671" s="19" t="str">
        <f>IFERROR(RIGHT(K3669,LEN(K3669)-FIND("*",K3669)),"-")</f>
        <v>-</v>
      </c>
      <c r="W3671" s="20" t="str">
        <f t="shared" si="1990"/>
        <v>-</v>
      </c>
      <c r="X3671" s="20" t="str">
        <f>IFERROR(W3671*L3669,"-")</f>
        <v>-</v>
      </c>
      <c r="Z3671" s="85" t="s">
        <v>82</v>
      </c>
    </row>
    <row r="3672" spans="1:26" ht="21" customHeight="1" thickBot="1" x14ac:dyDescent="0.35">
      <c r="A3672" s="5"/>
      <c r="B3672" s="159"/>
      <c r="C3672" s="160"/>
      <c r="D3672" s="166" t="s">
        <v>43</v>
      </c>
      <c r="E3672" s="167"/>
      <c r="F3672" s="167"/>
      <c r="G3672" s="168"/>
      <c r="H3672" s="168"/>
      <c r="I3672" s="168"/>
      <c r="J3672" s="168"/>
      <c r="K3672" s="168"/>
      <c r="L3672" s="168"/>
      <c r="M3672" s="7"/>
      <c r="N3672" s="32"/>
      <c r="Z3672" s="86" t="s">
        <v>81</v>
      </c>
    </row>
    <row r="3673" spans="1:26" ht="9.9499999999999993" customHeight="1" thickBot="1" x14ac:dyDescent="0.35">
      <c r="B3673" s="9"/>
      <c r="C3673" s="109"/>
      <c r="D3673" s="51"/>
      <c r="E3673" s="12"/>
      <c r="F3673" s="51"/>
      <c r="G3673" s="14"/>
      <c r="H3673" s="14"/>
      <c r="I3673" s="14"/>
      <c r="J3673" s="14"/>
      <c r="K3673" s="14"/>
      <c r="L3673" s="14"/>
      <c r="M3673" s="9"/>
      <c r="N3673" s="32"/>
      <c r="U3673" s="18"/>
      <c r="V3673" s="18"/>
      <c r="Z3673" s="85" t="s">
        <v>82</v>
      </c>
    </row>
    <row r="3674" spans="1:26" ht="6.95" customHeight="1" x14ac:dyDescent="0.3">
      <c r="A3674" s="154">
        <f>+A3663+1</f>
        <v>1133</v>
      </c>
      <c r="B3674" s="155"/>
      <c r="C3674" s="156"/>
      <c r="D3674" s="161" t="s">
        <v>39</v>
      </c>
      <c r="E3674" s="162"/>
      <c r="F3674" s="163" t="s">
        <v>40</v>
      </c>
      <c r="G3674" s="164"/>
      <c r="H3674" s="165"/>
      <c r="I3674" s="164"/>
      <c r="J3674" s="165"/>
      <c r="K3674" s="164"/>
      <c r="L3674" s="165"/>
      <c r="M3674" s="6"/>
      <c r="N3674" s="32"/>
      <c r="Q3674" s="10" t="str">
        <f>+CONCATENATE(E3674,G3674)</f>
        <v/>
      </c>
      <c r="R3674" s="10">
        <f>+H3674</f>
        <v>0</v>
      </c>
      <c r="S3674" s="11"/>
      <c r="T3674" s="10">
        <f>+E3674</f>
        <v>0</v>
      </c>
      <c r="U3674" s="19" t="str">
        <f>IFERROR(LEFT(G3674,FIND("*",G3674)-1),"-")</f>
        <v>-</v>
      </c>
      <c r="V3674" s="19" t="str">
        <f>IFERROR(RIGHT(G3674,LEN(G3674)-FIND("*",G3674)),"-")</f>
        <v>-</v>
      </c>
      <c r="W3674" s="20" t="str">
        <f>IFERROR((U3674+V3674)*2/1000,"-")</f>
        <v>-</v>
      </c>
      <c r="X3674" s="20" t="str">
        <f>IFERROR(W3674*H3674,"-")</f>
        <v>-</v>
      </c>
      <c r="Z3674" s="85" t="s">
        <v>82</v>
      </c>
    </row>
    <row r="3675" spans="1:26" ht="6.95" customHeight="1" x14ac:dyDescent="0.3">
      <c r="A3675" s="154"/>
      <c r="B3675" s="157"/>
      <c r="C3675" s="158"/>
      <c r="D3675" s="161"/>
      <c r="E3675" s="162"/>
      <c r="F3675" s="163"/>
      <c r="G3675" s="164"/>
      <c r="H3675" s="165"/>
      <c r="I3675" s="164"/>
      <c r="J3675" s="165"/>
      <c r="K3675" s="164"/>
      <c r="L3675" s="165"/>
      <c r="M3675" s="6"/>
      <c r="N3675" s="32"/>
      <c r="Q3675" s="10" t="str">
        <f>+CONCATENATE(E3674,I3674)</f>
        <v/>
      </c>
      <c r="R3675" s="10">
        <f>+J3674</f>
        <v>0</v>
      </c>
      <c r="S3675" s="11"/>
      <c r="T3675" s="10">
        <f>+E3674</f>
        <v>0</v>
      </c>
      <c r="U3675" s="19" t="str">
        <f>IFERROR(LEFT(I3674,FIND("*",I3674)-1),"-")</f>
        <v>-</v>
      </c>
      <c r="V3675" s="19" t="str">
        <f>IFERROR(RIGHT(I3674,LEN(I3674)-FIND("*",I3674)),"-")</f>
        <v>-</v>
      </c>
      <c r="W3675" s="20" t="str">
        <f t="shared" ref="W3675:W3682" si="1996">IFERROR((U3675+V3675)*2/1000,"-")</f>
        <v>-</v>
      </c>
      <c r="X3675" s="20" t="str">
        <f>IFERROR(W3675*J3674,"-")</f>
        <v>-</v>
      </c>
      <c r="Z3675" s="85" t="s">
        <v>82</v>
      </c>
    </row>
    <row r="3676" spans="1:26" ht="6.95" customHeight="1" x14ac:dyDescent="0.3">
      <c r="A3676" s="154"/>
      <c r="B3676" s="157"/>
      <c r="C3676" s="158"/>
      <c r="D3676" s="161"/>
      <c r="E3676" s="162"/>
      <c r="F3676" s="163"/>
      <c r="G3676" s="164"/>
      <c r="H3676" s="165"/>
      <c r="I3676" s="164"/>
      <c r="J3676" s="165"/>
      <c r="K3676" s="164"/>
      <c r="L3676" s="165"/>
      <c r="M3676" s="6"/>
      <c r="N3676" s="32"/>
      <c r="Q3676" s="10" t="str">
        <f>+CONCATENATE(E3674,K3674)</f>
        <v/>
      </c>
      <c r="R3676" s="10">
        <f>+L3674</f>
        <v>0</v>
      </c>
      <c r="S3676" s="11"/>
      <c r="T3676" s="10">
        <f>+E3674</f>
        <v>0</v>
      </c>
      <c r="U3676" s="19" t="str">
        <f>IFERROR(LEFT(K3674,FIND("*",K3674)-1),"-")</f>
        <v>-</v>
      </c>
      <c r="V3676" s="19" t="str">
        <f>IFERROR(RIGHT(K3674,LEN(K3674)-FIND("*",K3674)),"-")</f>
        <v>-</v>
      </c>
      <c r="W3676" s="20" t="str">
        <f t="shared" si="1996"/>
        <v>-</v>
      </c>
      <c r="X3676" s="20" t="str">
        <f>IFERROR(W3676*L3674,"-")</f>
        <v>-</v>
      </c>
      <c r="Z3676" s="85" t="s">
        <v>82</v>
      </c>
    </row>
    <row r="3677" spans="1:26" ht="6.95" customHeight="1" x14ac:dyDescent="0.3">
      <c r="A3677" s="8"/>
      <c r="B3677" s="157"/>
      <c r="C3677" s="158"/>
      <c r="D3677" s="161" t="s">
        <v>39</v>
      </c>
      <c r="E3677" s="162"/>
      <c r="F3677" s="163" t="s">
        <v>40</v>
      </c>
      <c r="G3677" s="164"/>
      <c r="H3677" s="165"/>
      <c r="I3677" s="164"/>
      <c r="J3677" s="165"/>
      <c r="K3677" s="164"/>
      <c r="L3677" s="165"/>
      <c r="M3677" s="6"/>
      <c r="N3677" s="32"/>
      <c r="Q3677" s="10" t="str">
        <f>+CONCATENATE(E3677,G3677)</f>
        <v/>
      </c>
      <c r="R3677" s="10">
        <f>+H3677</f>
        <v>0</v>
      </c>
      <c r="S3677" s="11"/>
      <c r="T3677" s="10">
        <f>+E3677</f>
        <v>0</v>
      </c>
      <c r="U3677" s="19" t="str">
        <f t="shared" ref="U3677" si="1997">IFERROR(LEFT(G3677,FIND("*",G3677)-1),"-")</f>
        <v>-</v>
      </c>
      <c r="V3677" s="19" t="str">
        <f t="shared" ref="V3677" si="1998">IFERROR(RIGHT(G3677,LEN(G3677)-FIND("*",G3677)),"-")</f>
        <v>-</v>
      </c>
      <c r="W3677" s="20" t="str">
        <f t="shared" si="1996"/>
        <v>-</v>
      </c>
      <c r="X3677" s="20" t="str">
        <f>IFERROR(W3677*H3677,"-")</f>
        <v>-</v>
      </c>
      <c r="Z3677" s="85" t="s">
        <v>82</v>
      </c>
    </row>
    <row r="3678" spans="1:26" ht="6.95" customHeight="1" x14ac:dyDescent="0.3">
      <c r="A3678" s="5"/>
      <c r="B3678" s="157"/>
      <c r="C3678" s="158"/>
      <c r="D3678" s="161"/>
      <c r="E3678" s="162"/>
      <c r="F3678" s="163"/>
      <c r="G3678" s="164"/>
      <c r="H3678" s="165"/>
      <c r="I3678" s="164"/>
      <c r="J3678" s="165"/>
      <c r="K3678" s="164"/>
      <c r="L3678" s="165"/>
      <c r="M3678" s="6"/>
      <c r="N3678" s="32"/>
      <c r="Q3678" s="10" t="str">
        <f>+CONCATENATE(E3677,I3677)</f>
        <v/>
      </c>
      <c r="R3678" s="10">
        <f>+J3677</f>
        <v>0</v>
      </c>
      <c r="S3678" s="11"/>
      <c r="T3678" s="10">
        <f>+E3677</f>
        <v>0</v>
      </c>
      <c r="U3678" s="19" t="str">
        <f>IFERROR(LEFT(I3677,FIND("*",I3677)-1),"-")</f>
        <v>-</v>
      </c>
      <c r="V3678" s="19" t="str">
        <f>IFERROR(RIGHT(I3677,LEN(I3677)-FIND("*",I3677)),"-")</f>
        <v>-</v>
      </c>
      <c r="W3678" s="20" t="str">
        <f t="shared" si="1996"/>
        <v>-</v>
      </c>
      <c r="X3678" s="20" t="str">
        <f>IFERROR(W3678*J3677,"-")</f>
        <v>-</v>
      </c>
      <c r="Z3678" s="85" t="s">
        <v>82</v>
      </c>
    </row>
    <row r="3679" spans="1:26" ht="6.95" customHeight="1" x14ac:dyDescent="0.3">
      <c r="A3679" s="5"/>
      <c r="B3679" s="157"/>
      <c r="C3679" s="158"/>
      <c r="D3679" s="161"/>
      <c r="E3679" s="162"/>
      <c r="F3679" s="163"/>
      <c r="G3679" s="164"/>
      <c r="H3679" s="165"/>
      <c r="I3679" s="164"/>
      <c r="J3679" s="165"/>
      <c r="K3679" s="164"/>
      <c r="L3679" s="165"/>
      <c r="M3679" s="6"/>
      <c r="N3679" s="32"/>
      <c r="Q3679" s="10" t="str">
        <f>+CONCATENATE(E3677,K3677)</f>
        <v/>
      </c>
      <c r="R3679" s="10">
        <f>+L3677</f>
        <v>0</v>
      </c>
      <c r="S3679" s="11"/>
      <c r="T3679" s="10">
        <f>+E3677</f>
        <v>0</v>
      </c>
      <c r="U3679" s="19" t="str">
        <f>IFERROR(LEFT(K3677,FIND("*",K3677)-1),"-")</f>
        <v>-</v>
      </c>
      <c r="V3679" s="19" t="str">
        <f>IFERROR(RIGHT(K3677,LEN(K3677)-FIND("*",K3677)),"-")</f>
        <v>-</v>
      </c>
      <c r="W3679" s="20" t="str">
        <f t="shared" si="1996"/>
        <v>-</v>
      </c>
      <c r="X3679" s="20" t="str">
        <f>IFERROR(W3679*L3677,"-")</f>
        <v>-</v>
      </c>
      <c r="Z3679" s="85" t="s">
        <v>82</v>
      </c>
    </row>
    <row r="3680" spans="1:26" ht="6.95" customHeight="1" x14ac:dyDescent="0.3">
      <c r="A3680" s="8"/>
      <c r="B3680" s="157"/>
      <c r="C3680" s="158"/>
      <c r="D3680" s="161" t="s">
        <v>39</v>
      </c>
      <c r="E3680" s="162"/>
      <c r="F3680" s="163" t="s">
        <v>40</v>
      </c>
      <c r="G3680" s="164"/>
      <c r="H3680" s="165"/>
      <c r="I3680" s="164"/>
      <c r="J3680" s="165"/>
      <c r="K3680" s="164"/>
      <c r="L3680" s="165"/>
      <c r="M3680" s="6"/>
      <c r="N3680" s="32"/>
      <c r="Q3680" s="10" t="str">
        <f>+CONCATENATE(E3680,G3680)</f>
        <v/>
      </c>
      <c r="R3680" s="10">
        <f>+H3680</f>
        <v>0</v>
      </c>
      <c r="S3680" s="11"/>
      <c r="T3680" s="10">
        <f>+E3680</f>
        <v>0</v>
      </c>
      <c r="U3680" s="19" t="str">
        <f t="shared" ref="U3680" si="1999">IFERROR(LEFT(G3680,FIND("*",G3680)-1),"-")</f>
        <v>-</v>
      </c>
      <c r="V3680" s="19" t="str">
        <f t="shared" ref="V3680" si="2000">IFERROR(RIGHT(G3680,LEN(G3680)-FIND("*",G3680)),"-")</f>
        <v>-</v>
      </c>
      <c r="W3680" s="20" t="str">
        <f t="shared" si="1996"/>
        <v>-</v>
      </c>
      <c r="X3680" s="20" t="str">
        <f>IFERROR(W3680*H3680,"-")</f>
        <v>-</v>
      </c>
      <c r="Z3680" s="85" t="s">
        <v>82</v>
      </c>
    </row>
    <row r="3681" spans="1:26" ht="6.95" customHeight="1" x14ac:dyDescent="0.3">
      <c r="A3681" s="5"/>
      <c r="B3681" s="157"/>
      <c r="C3681" s="158"/>
      <c r="D3681" s="161"/>
      <c r="E3681" s="162"/>
      <c r="F3681" s="163"/>
      <c r="G3681" s="164"/>
      <c r="H3681" s="165"/>
      <c r="I3681" s="164"/>
      <c r="J3681" s="165"/>
      <c r="K3681" s="164"/>
      <c r="L3681" s="165"/>
      <c r="M3681" s="6"/>
      <c r="N3681" s="32"/>
      <c r="Q3681" s="10" t="str">
        <f>+CONCATENATE(E3680,I3680)</f>
        <v/>
      </c>
      <c r="R3681" s="10">
        <f>+J3680</f>
        <v>0</v>
      </c>
      <c r="S3681" s="11"/>
      <c r="T3681" s="10">
        <f>+E3680</f>
        <v>0</v>
      </c>
      <c r="U3681" s="19" t="str">
        <f>IFERROR(LEFT(I3680,FIND("*",I3680)-1),"-")</f>
        <v>-</v>
      </c>
      <c r="V3681" s="19" t="str">
        <f>IFERROR(RIGHT(I3680,LEN(I3680)-FIND("*",I3680)),"-")</f>
        <v>-</v>
      </c>
      <c r="W3681" s="20" t="str">
        <f t="shared" si="1996"/>
        <v>-</v>
      </c>
      <c r="X3681" s="20" t="str">
        <f t="shared" ref="X3681" si="2001">IFERROR(W3681*J3680,"-")</f>
        <v>-</v>
      </c>
      <c r="Z3681" s="85" t="s">
        <v>82</v>
      </c>
    </row>
    <row r="3682" spans="1:26" ht="6.95" customHeight="1" x14ac:dyDescent="0.3">
      <c r="A3682" s="5"/>
      <c r="B3682" s="157"/>
      <c r="C3682" s="158"/>
      <c r="D3682" s="161"/>
      <c r="E3682" s="162"/>
      <c r="F3682" s="163"/>
      <c r="G3682" s="164"/>
      <c r="H3682" s="165"/>
      <c r="I3682" s="164"/>
      <c r="J3682" s="165"/>
      <c r="K3682" s="164"/>
      <c r="L3682" s="165"/>
      <c r="M3682" s="6"/>
      <c r="N3682" s="32"/>
      <c r="Q3682" s="10" t="str">
        <f>+CONCATENATE(E3680,K3680)</f>
        <v/>
      </c>
      <c r="R3682" s="10">
        <f>+L3680</f>
        <v>0</v>
      </c>
      <c r="S3682" s="11"/>
      <c r="T3682" s="10">
        <f>+E3680</f>
        <v>0</v>
      </c>
      <c r="U3682" s="19" t="str">
        <f>IFERROR(LEFT(K3680,FIND("*",K3680)-1),"-")</f>
        <v>-</v>
      </c>
      <c r="V3682" s="19" t="str">
        <f>IFERROR(RIGHT(K3680,LEN(K3680)-FIND("*",K3680)),"-")</f>
        <v>-</v>
      </c>
      <c r="W3682" s="20" t="str">
        <f t="shared" si="1996"/>
        <v>-</v>
      </c>
      <c r="X3682" s="20" t="str">
        <f>IFERROR(W3682*L3680,"-")</f>
        <v>-</v>
      </c>
      <c r="Z3682" s="85" t="s">
        <v>82</v>
      </c>
    </row>
    <row r="3683" spans="1:26" ht="21" customHeight="1" thickBot="1" x14ac:dyDescent="0.35">
      <c r="A3683" s="5"/>
      <c r="B3683" s="159"/>
      <c r="C3683" s="160"/>
      <c r="D3683" s="166" t="s">
        <v>43</v>
      </c>
      <c r="E3683" s="167"/>
      <c r="F3683" s="167"/>
      <c r="G3683" s="168"/>
      <c r="H3683" s="168"/>
      <c r="I3683" s="168"/>
      <c r="J3683" s="168"/>
      <c r="K3683" s="168"/>
      <c r="L3683" s="168"/>
      <c r="M3683" s="7"/>
      <c r="N3683" s="32"/>
      <c r="Z3683" s="86" t="s">
        <v>81</v>
      </c>
    </row>
    <row r="3684" spans="1:26" ht="9.9499999999999993" customHeight="1" thickBot="1" x14ac:dyDescent="0.35">
      <c r="B3684" s="9"/>
      <c r="C3684" s="109"/>
      <c r="D3684" s="51"/>
      <c r="E3684" s="12"/>
      <c r="F3684" s="51"/>
      <c r="G3684" s="14"/>
      <c r="H3684" s="14"/>
      <c r="I3684" s="14"/>
      <c r="J3684" s="14"/>
      <c r="K3684" s="14"/>
      <c r="L3684" s="14"/>
      <c r="M3684" s="9"/>
      <c r="N3684" s="32"/>
      <c r="U3684" s="18"/>
      <c r="V3684" s="18"/>
      <c r="Z3684" s="85" t="s">
        <v>82</v>
      </c>
    </row>
    <row r="3685" spans="1:26" ht="6.95" customHeight="1" x14ac:dyDescent="0.3">
      <c r="A3685" s="154">
        <f>+A3674+1</f>
        <v>1134</v>
      </c>
      <c r="B3685" s="155"/>
      <c r="C3685" s="156"/>
      <c r="D3685" s="161" t="s">
        <v>39</v>
      </c>
      <c r="E3685" s="162"/>
      <c r="F3685" s="163" t="s">
        <v>40</v>
      </c>
      <c r="G3685" s="164"/>
      <c r="H3685" s="165"/>
      <c r="I3685" s="164"/>
      <c r="J3685" s="165"/>
      <c r="K3685" s="164"/>
      <c r="L3685" s="165"/>
      <c r="M3685" s="6"/>
      <c r="N3685" s="32"/>
      <c r="Q3685" s="10" t="str">
        <f>+CONCATENATE(E3685,G3685)</f>
        <v/>
      </c>
      <c r="R3685" s="10">
        <f>+H3685</f>
        <v>0</v>
      </c>
      <c r="S3685" s="11"/>
      <c r="T3685" s="10">
        <f>+E3685</f>
        <v>0</v>
      </c>
      <c r="U3685" s="19" t="str">
        <f>IFERROR(LEFT(G3685,FIND("*",G3685)-1),"-")</f>
        <v>-</v>
      </c>
      <c r="V3685" s="19" t="str">
        <f>IFERROR(RIGHT(G3685,LEN(G3685)-FIND("*",G3685)),"-")</f>
        <v>-</v>
      </c>
      <c r="W3685" s="20" t="str">
        <f>IFERROR((U3685+V3685)*2/1000,"-")</f>
        <v>-</v>
      </c>
      <c r="X3685" s="20" t="str">
        <f>IFERROR(W3685*H3685,"-")</f>
        <v>-</v>
      </c>
      <c r="Z3685" s="85" t="s">
        <v>82</v>
      </c>
    </row>
    <row r="3686" spans="1:26" ht="6.95" customHeight="1" x14ac:dyDescent="0.3">
      <c r="A3686" s="154"/>
      <c r="B3686" s="157"/>
      <c r="C3686" s="158"/>
      <c r="D3686" s="161"/>
      <c r="E3686" s="162"/>
      <c r="F3686" s="163"/>
      <c r="G3686" s="164"/>
      <c r="H3686" s="165"/>
      <c r="I3686" s="164"/>
      <c r="J3686" s="165"/>
      <c r="K3686" s="164"/>
      <c r="L3686" s="165"/>
      <c r="M3686" s="6"/>
      <c r="N3686" s="32"/>
      <c r="Q3686" s="10" t="str">
        <f>+CONCATENATE(E3685,I3685)</f>
        <v/>
      </c>
      <c r="R3686" s="10">
        <f>+J3685</f>
        <v>0</v>
      </c>
      <c r="S3686" s="11"/>
      <c r="T3686" s="10">
        <f>+E3685</f>
        <v>0</v>
      </c>
      <c r="U3686" s="19" t="str">
        <f>IFERROR(LEFT(I3685,FIND("*",I3685)-1),"-")</f>
        <v>-</v>
      </c>
      <c r="V3686" s="19" t="str">
        <f>IFERROR(RIGHT(I3685,LEN(I3685)-FIND("*",I3685)),"-")</f>
        <v>-</v>
      </c>
      <c r="W3686" s="20" t="str">
        <f t="shared" ref="W3686:W3693" si="2002">IFERROR((U3686+V3686)*2/1000,"-")</f>
        <v>-</v>
      </c>
      <c r="X3686" s="20" t="str">
        <f>IFERROR(W3686*J3685,"-")</f>
        <v>-</v>
      </c>
      <c r="Z3686" s="85" t="s">
        <v>82</v>
      </c>
    </row>
    <row r="3687" spans="1:26" ht="6.95" customHeight="1" x14ac:dyDescent="0.3">
      <c r="A3687" s="154"/>
      <c r="B3687" s="157"/>
      <c r="C3687" s="158"/>
      <c r="D3687" s="161"/>
      <c r="E3687" s="162"/>
      <c r="F3687" s="163"/>
      <c r="G3687" s="164"/>
      <c r="H3687" s="165"/>
      <c r="I3687" s="164"/>
      <c r="J3687" s="165"/>
      <c r="K3687" s="164"/>
      <c r="L3687" s="165"/>
      <c r="M3687" s="6"/>
      <c r="N3687" s="32"/>
      <c r="Q3687" s="10" t="str">
        <f>+CONCATENATE(E3685,K3685)</f>
        <v/>
      </c>
      <c r="R3687" s="10">
        <f>+L3685</f>
        <v>0</v>
      </c>
      <c r="S3687" s="11"/>
      <c r="T3687" s="10">
        <f>+E3685</f>
        <v>0</v>
      </c>
      <c r="U3687" s="19" t="str">
        <f>IFERROR(LEFT(K3685,FIND("*",K3685)-1),"-")</f>
        <v>-</v>
      </c>
      <c r="V3687" s="19" t="str">
        <f>IFERROR(RIGHT(K3685,LEN(K3685)-FIND("*",K3685)),"-")</f>
        <v>-</v>
      </c>
      <c r="W3687" s="20" t="str">
        <f t="shared" si="2002"/>
        <v>-</v>
      </c>
      <c r="X3687" s="20" t="str">
        <f>IFERROR(W3687*L3685,"-")</f>
        <v>-</v>
      </c>
      <c r="Z3687" s="85" t="s">
        <v>82</v>
      </c>
    </row>
    <row r="3688" spans="1:26" ht="6.95" customHeight="1" x14ac:dyDescent="0.3">
      <c r="A3688" s="8"/>
      <c r="B3688" s="157"/>
      <c r="C3688" s="158"/>
      <c r="D3688" s="161" t="s">
        <v>39</v>
      </c>
      <c r="E3688" s="162"/>
      <c r="F3688" s="163" t="s">
        <v>40</v>
      </c>
      <c r="G3688" s="164"/>
      <c r="H3688" s="165"/>
      <c r="I3688" s="164"/>
      <c r="J3688" s="165"/>
      <c r="K3688" s="164"/>
      <c r="L3688" s="165"/>
      <c r="M3688" s="6"/>
      <c r="N3688" s="32"/>
      <c r="Q3688" s="10" t="str">
        <f>+CONCATENATE(E3688,G3688)</f>
        <v/>
      </c>
      <c r="R3688" s="10">
        <f>+H3688</f>
        <v>0</v>
      </c>
      <c r="S3688" s="11"/>
      <c r="T3688" s="10">
        <f>+E3688</f>
        <v>0</v>
      </c>
      <c r="U3688" s="19" t="str">
        <f t="shared" ref="U3688" si="2003">IFERROR(LEFT(G3688,FIND("*",G3688)-1),"-")</f>
        <v>-</v>
      </c>
      <c r="V3688" s="19" t="str">
        <f t="shared" ref="V3688" si="2004">IFERROR(RIGHT(G3688,LEN(G3688)-FIND("*",G3688)),"-")</f>
        <v>-</v>
      </c>
      <c r="W3688" s="20" t="str">
        <f t="shared" si="2002"/>
        <v>-</v>
      </c>
      <c r="X3688" s="20" t="str">
        <f>IFERROR(W3688*H3688,"-")</f>
        <v>-</v>
      </c>
      <c r="Z3688" s="85" t="s">
        <v>82</v>
      </c>
    </row>
    <row r="3689" spans="1:26" ht="6.95" customHeight="1" x14ac:dyDescent="0.3">
      <c r="A3689" s="5"/>
      <c r="B3689" s="157"/>
      <c r="C3689" s="158"/>
      <c r="D3689" s="161"/>
      <c r="E3689" s="162"/>
      <c r="F3689" s="163"/>
      <c r="G3689" s="164"/>
      <c r="H3689" s="165"/>
      <c r="I3689" s="164"/>
      <c r="J3689" s="165"/>
      <c r="K3689" s="164"/>
      <c r="L3689" s="165"/>
      <c r="M3689" s="6"/>
      <c r="N3689" s="32"/>
      <c r="Q3689" s="10" t="str">
        <f>+CONCATENATE(E3688,I3688)</f>
        <v/>
      </c>
      <c r="R3689" s="10">
        <f>+J3688</f>
        <v>0</v>
      </c>
      <c r="S3689" s="11"/>
      <c r="T3689" s="10">
        <f>+E3688</f>
        <v>0</v>
      </c>
      <c r="U3689" s="19" t="str">
        <f>IFERROR(LEFT(I3688,FIND("*",I3688)-1),"-")</f>
        <v>-</v>
      </c>
      <c r="V3689" s="19" t="str">
        <f>IFERROR(RIGHT(I3688,LEN(I3688)-FIND("*",I3688)),"-")</f>
        <v>-</v>
      </c>
      <c r="W3689" s="20" t="str">
        <f t="shared" si="2002"/>
        <v>-</v>
      </c>
      <c r="X3689" s="20" t="str">
        <f>IFERROR(W3689*J3688,"-")</f>
        <v>-</v>
      </c>
      <c r="Z3689" s="85" t="s">
        <v>82</v>
      </c>
    </row>
    <row r="3690" spans="1:26" ht="6.95" customHeight="1" x14ac:dyDescent="0.3">
      <c r="A3690" s="5"/>
      <c r="B3690" s="157"/>
      <c r="C3690" s="158"/>
      <c r="D3690" s="161"/>
      <c r="E3690" s="162"/>
      <c r="F3690" s="163"/>
      <c r="G3690" s="164"/>
      <c r="H3690" s="165"/>
      <c r="I3690" s="164"/>
      <c r="J3690" s="165"/>
      <c r="K3690" s="164"/>
      <c r="L3690" s="165"/>
      <c r="M3690" s="6"/>
      <c r="N3690" s="32"/>
      <c r="Q3690" s="10" t="str">
        <f>+CONCATENATE(E3688,K3688)</f>
        <v/>
      </c>
      <c r="R3690" s="10">
        <f>+L3688</f>
        <v>0</v>
      </c>
      <c r="S3690" s="11"/>
      <c r="T3690" s="10">
        <f>+E3688</f>
        <v>0</v>
      </c>
      <c r="U3690" s="19" t="str">
        <f>IFERROR(LEFT(K3688,FIND("*",K3688)-1),"-")</f>
        <v>-</v>
      </c>
      <c r="V3690" s="19" t="str">
        <f>IFERROR(RIGHT(K3688,LEN(K3688)-FIND("*",K3688)),"-")</f>
        <v>-</v>
      </c>
      <c r="W3690" s="20" t="str">
        <f t="shared" si="2002"/>
        <v>-</v>
      </c>
      <c r="X3690" s="20" t="str">
        <f>IFERROR(W3690*L3688,"-")</f>
        <v>-</v>
      </c>
      <c r="Z3690" s="85" t="s">
        <v>82</v>
      </c>
    </row>
    <row r="3691" spans="1:26" ht="6.95" customHeight="1" x14ac:dyDescent="0.3">
      <c r="A3691" s="8"/>
      <c r="B3691" s="157"/>
      <c r="C3691" s="158"/>
      <c r="D3691" s="161" t="s">
        <v>39</v>
      </c>
      <c r="E3691" s="162"/>
      <c r="F3691" s="163" t="s">
        <v>40</v>
      </c>
      <c r="G3691" s="164"/>
      <c r="H3691" s="165"/>
      <c r="I3691" s="164"/>
      <c r="J3691" s="165"/>
      <c r="K3691" s="164"/>
      <c r="L3691" s="165"/>
      <c r="M3691" s="6"/>
      <c r="N3691" s="32"/>
      <c r="Q3691" s="10" t="str">
        <f>+CONCATENATE(E3691,G3691)</f>
        <v/>
      </c>
      <c r="R3691" s="10">
        <f>+H3691</f>
        <v>0</v>
      </c>
      <c r="S3691" s="11"/>
      <c r="T3691" s="10">
        <f>+E3691</f>
        <v>0</v>
      </c>
      <c r="U3691" s="19" t="str">
        <f t="shared" ref="U3691" si="2005">IFERROR(LEFT(G3691,FIND("*",G3691)-1),"-")</f>
        <v>-</v>
      </c>
      <c r="V3691" s="19" t="str">
        <f t="shared" ref="V3691" si="2006">IFERROR(RIGHT(G3691,LEN(G3691)-FIND("*",G3691)),"-")</f>
        <v>-</v>
      </c>
      <c r="W3691" s="20" t="str">
        <f t="shared" si="2002"/>
        <v>-</v>
      </c>
      <c r="X3691" s="20" t="str">
        <f>IFERROR(W3691*H3691,"-")</f>
        <v>-</v>
      </c>
      <c r="Z3691" s="85" t="s">
        <v>82</v>
      </c>
    </row>
    <row r="3692" spans="1:26" ht="6.95" customHeight="1" x14ac:dyDescent="0.3">
      <c r="A3692" s="5"/>
      <c r="B3692" s="157"/>
      <c r="C3692" s="158"/>
      <c r="D3692" s="161"/>
      <c r="E3692" s="162"/>
      <c r="F3692" s="163"/>
      <c r="G3692" s="164"/>
      <c r="H3692" s="165"/>
      <c r="I3692" s="164"/>
      <c r="J3692" s="165"/>
      <c r="K3692" s="164"/>
      <c r="L3692" s="165"/>
      <c r="M3692" s="6"/>
      <c r="N3692" s="32"/>
      <c r="Q3692" s="10" t="str">
        <f>+CONCATENATE(E3691,I3691)</f>
        <v/>
      </c>
      <c r="R3692" s="10">
        <f>+J3691</f>
        <v>0</v>
      </c>
      <c r="S3692" s="11"/>
      <c r="T3692" s="10">
        <f>+E3691</f>
        <v>0</v>
      </c>
      <c r="U3692" s="19" t="str">
        <f>IFERROR(LEFT(I3691,FIND("*",I3691)-1),"-")</f>
        <v>-</v>
      </c>
      <c r="V3692" s="19" t="str">
        <f>IFERROR(RIGHT(I3691,LEN(I3691)-FIND("*",I3691)),"-")</f>
        <v>-</v>
      </c>
      <c r="W3692" s="20" t="str">
        <f t="shared" si="2002"/>
        <v>-</v>
      </c>
      <c r="X3692" s="20" t="str">
        <f t="shared" ref="X3692" si="2007">IFERROR(W3692*J3691,"-")</f>
        <v>-</v>
      </c>
      <c r="Z3692" s="85" t="s">
        <v>82</v>
      </c>
    </row>
    <row r="3693" spans="1:26" ht="6.95" customHeight="1" x14ac:dyDescent="0.3">
      <c r="A3693" s="5"/>
      <c r="B3693" s="157"/>
      <c r="C3693" s="158"/>
      <c r="D3693" s="161"/>
      <c r="E3693" s="162"/>
      <c r="F3693" s="163"/>
      <c r="G3693" s="164"/>
      <c r="H3693" s="165"/>
      <c r="I3693" s="164"/>
      <c r="J3693" s="165"/>
      <c r="K3693" s="164"/>
      <c r="L3693" s="165"/>
      <c r="M3693" s="6"/>
      <c r="N3693" s="32"/>
      <c r="Q3693" s="10" t="str">
        <f>+CONCATENATE(E3691,K3691)</f>
        <v/>
      </c>
      <c r="R3693" s="10">
        <f>+L3691</f>
        <v>0</v>
      </c>
      <c r="S3693" s="11"/>
      <c r="T3693" s="10">
        <f>+E3691</f>
        <v>0</v>
      </c>
      <c r="U3693" s="19" t="str">
        <f>IFERROR(LEFT(K3691,FIND("*",K3691)-1),"-")</f>
        <v>-</v>
      </c>
      <c r="V3693" s="19" t="str">
        <f>IFERROR(RIGHT(K3691,LEN(K3691)-FIND("*",K3691)),"-")</f>
        <v>-</v>
      </c>
      <c r="W3693" s="20" t="str">
        <f t="shared" si="2002"/>
        <v>-</v>
      </c>
      <c r="X3693" s="20" t="str">
        <f>IFERROR(W3693*L3691,"-")</f>
        <v>-</v>
      </c>
      <c r="Z3693" s="85" t="s">
        <v>82</v>
      </c>
    </row>
    <row r="3694" spans="1:26" ht="21" customHeight="1" thickBot="1" x14ac:dyDescent="0.35">
      <c r="A3694" s="5"/>
      <c r="B3694" s="159"/>
      <c r="C3694" s="160"/>
      <c r="D3694" s="166" t="s">
        <v>43</v>
      </c>
      <c r="E3694" s="167"/>
      <c r="F3694" s="167"/>
      <c r="G3694" s="168"/>
      <c r="H3694" s="168"/>
      <c r="I3694" s="168"/>
      <c r="J3694" s="168"/>
      <c r="K3694" s="168"/>
      <c r="L3694" s="168"/>
      <c r="M3694" s="7"/>
      <c r="N3694" s="32"/>
      <c r="Z3694" s="86" t="s">
        <v>81</v>
      </c>
    </row>
    <row r="3695" spans="1:26" ht="9.9499999999999993" customHeight="1" thickBot="1" x14ac:dyDescent="0.35">
      <c r="B3695" s="9"/>
      <c r="C3695" s="109"/>
      <c r="D3695" s="51"/>
      <c r="E3695" s="12"/>
      <c r="F3695" s="51"/>
      <c r="G3695" s="14"/>
      <c r="H3695" s="14"/>
      <c r="I3695" s="14"/>
      <c r="J3695" s="14"/>
      <c r="K3695" s="14"/>
      <c r="L3695" s="14"/>
      <c r="M3695" s="9"/>
      <c r="N3695" s="32"/>
      <c r="U3695" s="18"/>
      <c r="V3695" s="18"/>
      <c r="Z3695" s="85" t="s">
        <v>82</v>
      </c>
    </row>
    <row r="3696" spans="1:26" ht="6.95" customHeight="1" x14ac:dyDescent="0.3">
      <c r="A3696" s="154">
        <f>+A3685+1</f>
        <v>1135</v>
      </c>
      <c r="B3696" s="155"/>
      <c r="C3696" s="156"/>
      <c r="D3696" s="161" t="s">
        <v>39</v>
      </c>
      <c r="E3696" s="162"/>
      <c r="F3696" s="163" t="s">
        <v>40</v>
      </c>
      <c r="G3696" s="164"/>
      <c r="H3696" s="165"/>
      <c r="I3696" s="164"/>
      <c r="J3696" s="165"/>
      <c r="K3696" s="164"/>
      <c r="L3696" s="165"/>
      <c r="M3696" s="6"/>
      <c r="N3696" s="32"/>
      <c r="Q3696" s="10" t="str">
        <f>+CONCATENATE(E3696,G3696)</f>
        <v/>
      </c>
      <c r="R3696" s="10">
        <f>+H3696</f>
        <v>0</v>
      </c>
      <c r="S3696" s="11"/>
      <c r="T3696" s="10">
        <f>+E3696</f>
        <v>0</v>
      </c>
      <c r="U3696" s="19" t="str">
        <f>IFERROR(LEFT(G3696,FIND("*",G3696)-1),"-")</f>
        <v>-</v>
      </c>
      <c r="V3696" s="19" t="str">
        <f>IFERROR(RIGHT(G3696,LEN(G3696)-FIND("*",G3696)),"-")</f>
        <v>-</v>
      </c>
      <c r="W3696" s="20" t="str">
        <f>IFERROR((U3696+V3696)*2/1000,"-")</f>
        <v>-</v>
      </c>
      <c r="X3696" s="20" t="str">
        <f>IFERROR(W3696*H3696,"-")</f>
        <v>-</v>
      </c>
      <c r="Z3696" s="85" t="s">
        <v>82</v>
      </c>
    </row>
    <row r="3697" spans="1:26" ht="6.95" customHeight="1" x14ac:dyDescent="0.3">
      <c r="A3697" s="154"/>
      <c r="B3697" s="157"/>
      <c r="C3697" s="158"/>
      <c r="D3697" s="161"/>
      <c r="E3697" s="162"/>
      <c r="F3697" s="163"/>
      <c r="G3697" s="164"/>
      <c r="H3697" s="165"/>
      <c r="I3697" s="164"/>
      <c r="J3697" s="165"/>
      <c r="K3697" s="164"/>
      <c r="L3697" s="165"/>
      <c r="M3697" s="6"/>
      <c r="N3697" s="32"/>
      <c r="Q3697" s="10" t="str">
        <f>+CONCATENATE(E3696,I3696)</f>
        <v/>
      </c>
      <c r="R3697" s="10">
        <f>+J3696</f>
        <v>0</v>
      </c>
      <c r="S3697" s="11"/>
      <c r="T3697" s="10">
        <f>+E3696</f>
        <v>0</v>
      </c>
      <c r="U3697" s="19" t="str">
        <f>IFERROR(LEFT(I3696,FIND("*",I3696)-1),"-")</f>
        <v>-</v>
      </c>
      <c r="V3697" s="19" t="str">
        <f>IFERROR(RIGHT(I3696,LEN(I3696)-FIND("*",I3696)),"-")</f>
        <v>-</v>
      </c>
      <c r="W3697" s="20" t="str">
        <f t="shared" ref="W3697:W3704" si="2008">IFERROR((U3697+V3697)*2/1000,"-")</f>
        <v>-</v>
      </c>
      <c r="X3697" s="20" t="str">
        <f>IFERROR(W3697*J3696,"-")</f>
        <v>-</v>
      </c>
      <c r="Z3697" s="85" t="s">
        <v>82</v>
      </c>
    </row>
    <row r="3698" spans="1:26" ht="6.95" customHeight="1" x14ac:dyDescent="0.3">
      <c r="A3698" s="154"/>
      <c r="B3698" s="157"/>
      <c r="C3698" s="158"/>
      <c r="D3698" s="161"/>
      <c r="E3698" s="162"/>
      <c r="F3698" s="163"/>
      <c r="G3698" s="164"/>
      <c r="H3698" s="165"/>
      <c r="I3698" s="164"/>
      <c r="J3698" s="165"/>
      <c r="K3698" s="164"/>
      <c r="L3698" s="165"/>
      <c r="M3698" s="6"/>
      <c r="N3698" s="32"/>
      <c r="Q3698" s="10" t="str">
        <f>+CONCATENATE(E3696,K3696)</f>
        <v/>
      </c>
      <c r="R3698" s="10">
        <f>+L3696</f>
        <v>0</v>
      </c>
      <c r="S3698" s="11"/>
      <c r="T3698" s="10">
        <f>+E3696</f>
        <v>0</v>
      </c>
      <c r="U3698" s="19" t="str">
        <f>IFERROR(LEFT(K3696,FIND("*",K3696)-1),"-")</f>
        <v>-</v>
      </c>
      <c r="V3698" s="19" t="str">
        <f>IFERROR(RIGHT(K3696,LEN(K3696)-FIND("*",K3696)),"-")</f>
        <v>-</v>
      </c>
      <c r="W3698" s="20" t="str">
        <f t="shared" si="2008"/>
        <v>-</v>
      </c>
      <c r="X3698" s="20" t="str">
        <f>IFERROR(W3698*L3696,"-")</f>
        <v>-</v>
      </c>
      <c r="Z3698" s="85" t="s">
        <v>82</v>
      </c>
    </row>
    <row r="3699" spans="1:26" ht="6.95" customHeight="1" x14ac:dyDescent="0.3">
      <c r="A3699" s="8"/>
      <c r="B3699" s="157"/>
      <c r="C3699" s="158"/>
      <c r="D3699" s="161" t="s">
        <v>39</v>
      </c>
      <c r="E3699" s="162"/>
      <c r="F3699" s="163" t="s">
        <v>40</v>
      </c>
      <c r="G3699" s="164"/>
      <c r="H3699" s="165"/>
      <c r="I3699" s="164"/>
      <c r="J3699" s="165"/>
      <c r="K3699" s="164"/>
      <c r="L3699" s="165"/>
      <c r="M3699" s="6"/>
      <c r="N3699" s="32"/>
      <c r="Q3699" s="10" t="str">
        <f>+CONCATENATE(E3699,G3699)</f>
        <v/>
      </c>
      <c r="R3699" s="10">
        <f>+H3699</f>
        <v>0</v>
      </c>
      <c r="S3699" s="11"/>
      <c r="T3699" s="10">
        <f>+E3699</f>
        <v>0</v>
      </c>
      <c r="U3699" s="19" t="str">
        <f t="shared" ref="U3699" si="2009">IFERROR(LEFT(G3699,FIND("*",G3699)-1),"-")</f>
        <v>-</v>
      </c>
      <c r="V3699" s="19" t="str">
        <f t="shared" ref="V3699" si="2010">IFERROR(RIGHT(G3699,LEN(G3699)-FIND("*",G3699)),"-")</f>
        <v>-</v>
      </c>
      <c r="W3699" s="20" t="str">
        <f t="shared" si="2008"/>
        <v>-</v>
      </c>
      <c r="X3699" s="20" t="str">
        <f>IFERROR(W3699*H3699,"-")</f>
        <v>-</v>
      </c>
      <c r="Z3699" s="85" t="s">
        <v>82</v>
      </c>
    </row>
    <row r="3700" spans="1:26" ht="6.95" customHeight="1" x14ac:dyDescent="0.3">
      <c r="A3700" s="5"/>
      <c r="B3700" s="157"/>
      <c r="C3700" s="158"/>
      <c r="D3700" s="161"/>
      <c r="E3700" s="162"/>
      <c r="F3700" s="163"/>
      <c r="G3700" s="164"/>
      <c r="H3700" s="165"/>
      <c r="I3700" s="164"/>
      <c r="J3700" s="165"/>
      <c r="K3700" s="164"/>
      <c r="L3700" s="165"/>
      <c r="M3700" s="6"/>
      <c r="N3700" s="32"/>
      <c r="Q3700" s="10" t="str">
        <f>+CONCATENATE(E3699,I3699)</f>
        <v/>
      </c>
      <c r="R3700" s="10">
        <f>+J3699</f>
        <v>0</v>
      </c>
      <c r="S3700" s="11"/>
      <c r="T3700" s="10">
        <f>+E3699</f>
        <v>0</v>
      </c>
      <c r="U3700" s="19" t="str">
        <f>IFERROR(LEFT(I3699,FIND("*",I3699)-1),"-")</f>
        <v>-</v>
      </c>
      <c r="V3700" s="19" t="str">
        <f>IFERROR(RIGHT(I3699,LEN(I3699)-FIND("*",I3699)),"-")</f>
        <v>-</v>
      </c>
      <c r="W3700" s="20" t="str">
        <f t="shared" si="2008"/>
        <v>-</v>
      </c>
      <c r="X3700" s="20" t="str">
        <f>IFERROR(W3700*J3699,"-")</f>
        <v>-</v>
      </c>
      <c r="Z3700" s="85" t="s">
        <v>82</v>
      </c>
    </row>
    <row r="3701" spans="1:26" ht="6.95" customHeight="1" x14ac:dyDescent="0.3">
      <c r="A3701" s="5"/>
      <c r="B3701" s="157"/>
      <c r="C3701" s="158"/>
      <c r="D3701" s="161"/>
      <c r="E3701" s="162"/>
      <c r="F3701" s="163"/>
      <c r="G3701" s="164"/>
      <c r="H3701" s="165"/>
      <c r="I3701" s="164"/>
      <c r="J3701" s="165"/>
      <c r="K3701" s="164"/>
      <c r="L3701" s="165"/>
      <c r="M3701" s="6"/>
      <c r="N3701" s="32"/>
      <c r="Q3701" s="10" t="str">
        <f>+CONCATENATE(E3699,K3699)</f>
        <v/>
      </c>
      <c r="R3701" s="10">
        <f>+L3699</f>
        <v>0</v>
      </c>
      <c r="S3701" s="11"/>
      <c r="T3701" s="10">
        <f>+E3699</f>
        <v>0</v>
      </c>
      <c r="U3701" s="19" t="str">
        <f>IFERROR(LEFT(K3699,FIND("*",K3699)-1),"-")</f>
        <v>-</v>
      </c>
      <c r="V3701" s="19" t="str">
        <f>IFERROR(RIGHT(K3699,LEN(K3699)-FIND("*",K3699)),"-")</f>
        <v>-</v>
      </c>
      <c r="W3701" s="20" t="str">
        <f t="shared" si="2008"/>
        <v>-</v>
      </c>
      <c r="X3701" s="20" t="str">
        <f>IFERROR(W3701*L3699,"-")</f>
        <v>-</v>
      </c>
      <c r="Z3701" s="85" t="s">
        <v>82</v>
      </c>
    </row>
    <row r="3702" spans="1:26" ht="6.95" customHeight="1" x14ac:dyDescent="0.3">
      <c r="A3702" s="8"/>
      <c r="B3702" s="157"/>
      <c r="C3702" s="158"/>
      <c r="D3702" s="161" t="s">
        <v>39</v>
      </c>
      <c r="E3702" s="162"/>
      <c r="F3702" s="163" t="s">
        <v>40</v>
      </c>
      <c r="G3702" s="164"/>
      <c r="H3702" s="165"/>
      <c r="I3702" s="164"/>
      <c r="J3702" s="165"/>
      <c r="K3702" s="164"/>
      <c r="L3702" s="165"/>
      <c r="M3702" s="6"/>
      <c r="N3702" s="32"/>
      <c r="Q3702" s="10" t="str">
        <f>+CONCATENATE(E3702,G3702)</f>
        <v/>
      </c>
      <c r="R3702" s="10">
        <f>+H3702</f>
        <v>0</v>
      </c>
      <c r="S3702" s="11"/>
      <c r="T3702" s="10">
        <f>+E3702</f>
        <v>0</v>
      </c>
      <c r="U3702" s="19" t="str">
        <f t="shared" ref="U3702" si="2011">IFERROR(LEFT(G3702,FIND("*",G3702)-1),"-")</f>
        <v>-</v>
      </c>
      <c r="V3702" s="19" t="str">
        <f t="shared" ref="V3702" si="2012">IFERROR(RIGHT(G3702,LEN(G3702)-FIND("*",G3702)),"-")</f>
        <v>-</v>
      </c>
      <c r="W3702" s="20" t="str">
        <f t="shared" si="2008"/>
        <v>-</v>
      </c>
      <c r="X3702" s="20" t="str">
        <f>IFERROR(W3702*H3702,"-")</f>
        <v>-</v>
      </c>
      <c r="Z3702" s="85" t="s">
        <v>82</v>
      </c>
    </row>
    <row r="3703" spans="1:26" ht="6.95" customHeight="1" x14ac:dyDescent="0.3">
      <c r="A3703" s="5"/>
      <c r="B3703" s="157"/>
      <c r="C3703" s="158"/>
      <c r="D3703" s="161"/>
      <c r="E3703" s="162"/>
      <c r="F3703" s="163"/>
      <c r="G3703" s="164"/>
      <c r="H3703" s="165"/>
      <c r="I3703" s="164"/>
      <c r="J3703" s="165"/>
      <c r="K3703" s="164"/>
      <c r="L3703" s="165"/>
      <c r="M3703" s="6"/>
      <c r="N3703" s="32"/>
      <c r="Q3703" s="10" t="str">
        <f>+CONCATENATE(E3702,I3702)</f>
        <v/>
      </c>
      <c r="R3703" s="10">
        <f>+J3702</f>
        <v>0</v>
      </c>
      <c r="S3703" s="11"/>
      <c r="T3703" s="10">
        <f>+E3702</f>
        <v>0</v>
      </c>
      <c r="U3703" s="19" t="str">
        <f>IFERROR(LEFT(I3702,FIND("*",I3702)-1),"-")</f>
        <v>-</v>
      </c>
      <c r="V3703" s="19" t="str">
        <f>IFERROR(RIGHT(I3702,LEN(I3702)-FIND("*",I3702)),"-")</f>
        <v>-</v>
      </c>
      <c r="W3703" s="20" t="str">
        <f t="shared" si="2008"/>
        <v>-</v>
      </c>
      <c r="X3703" s="20" t="str">
        <f t="shared" ref="X3703" si="2013">IFERROR(W3703*J3702,"-")</f>
        <v>-</v>
      </c>
      <c r="Z3703" s="85" t="s">
        <v>82</v>
      </c>
    </row>
    <row r="3704" spans="1:26" ht="6.95" customHeight="1" x14ac:dyDescent="0.3">
      <c r="A3704" s="5"/>
      <c r="B3704" s="157"/>
      <c r="C3704" s="158"/>
      <c r="D3704" s="161"/>
      <c r="E3704" s="162"/>
      <c r="F3704" s="163"/>
      <c r="G3704" s="164"/>
      <c r="H3704" s="165"/>
      <c r="I3704" s="164"/>
      <c r="J3704" s="165"/>
      <c r="K3704" s="164"/>
      <c r="L3704" s="165"/>
      <c r="M3704" s="6"/>
      <c r="N3704" s="32"/>
      <c r="Q3704" s="10" t="str">
        <f>+CONCATENATE(E3702,K3702)</f>
        <v/>
      </c>
      <c r="R3704" s="10">
        <f>+L3702</f>
        <v>0</v>
      </c>
      <c r="S3704" s="11"/>
      <c r="T3704" s="10">
        <f>+E3702</f>
        <v>0</v>
      </c>
      <c r="U3704" s="19" t="str">
        <f>IFERROR(LEFT(K3702,FIND("*",K3702)-1),"-")</f>
        <v>-</v>
      </c>
      <c r="V3704" s="19" t="str">
        <f>IFERROR(RIGHT(K3702,LEN(K3702)-FIND("*",K3702)),"-")</f>
        <v>-</v>
      </c>
      <c r="W3704" s="20" t="str">
        <f t="shared" si="2008"/>
        <v>-</v>
      </c>
      <c r="X3704" s="20" t="str">
        <f>IFERROR(W3704*L3702,"-")</f>
        <v>-</v>
      </c>
      <c r="Z3704" s="85" t="s">
        <v>82</v>
      </c>
    </row>
    <row r="3705" spans="1:26" ht="21" customHeight="1" thickBot="1" x14ac:dyDescent="0.35">
      <c r="A3705" s="5"/>
      <c r="B3705" s="159"/>
      <c r="C3705" s="160"/>
      <c r="D3705" s="166" t="s">
        <v>43</v>
      </c>
      <c r="E3705" s="167"/>
      <c r="F3705" s="167"/>
      <c r="G3705" s="168"/>
      <c r="H3705" s="168"/>
      <c r="I3705" s="168"/>
      <c r="J3705" s="168"/>
      <c r="K3705" s="168"/>
      <c r="L3705" s="168"/>
      <c r="M3705" s="7"/>
      <c r="N3705" s="32"/>
      <c r="Z3705" s="86" t="s">
        <v>81</v>
      </c>
    </row>
    <row r="3706" spans="1:26" ht="9.9499999999999993" customHeight="1" thickBot="1" x14ac:dyDescent="0.35">
      <c r="B3706" s="9"/>
      <c r="C3706" s="109"/>
      <c r="D3706" s="51"/>
      <c r="E3706" s="12"/>
      <c r="F3706" s="51"/>
      <c r="G3706" s="14"/>
      <c r="H3706" s="14"/>
      <c r="I3706" s="14"/>
      <c r="J3706" s="14"/>
      <c r="K3706" s="14"/>
      <c r="L3706" s="14"/>
      <c r="M3706" s="9"/>
      <c r="N3706" s="32"/>
      <c r="U3706" s="18"/>
      <c r="V3706" s="18"/>
      <c r="Z3706" s="85" t="s">
        <v>82</v>
      </c>
    </row>
    <row r="3707" spans="1:26" ht="6.95" customHeight="1" x14ac:dyDescent="0.3">
      <c r="A3707" s="154">
        <f>+A3696+1</f>
        <v>1136</v>
      </c>
      <c r="B3707" s="155"/>
      <c r="C3707" s="156"/>
      <c r="D3707" s="161" t="s">
        <v>39</v>
      </c>
      <c r="E3707" s="162"/>
      <c r="F3707" s="163" t="s">
        <v>40</v>
      </c>
      <c r="G3707" s="164"/>
      <c r="H3707" s="165"/>
      <c r="I3707" s="164"/>
      <c r="J3707" s="165"/>
      <c r="K3707" s="164"/>
      <c r="L3707" s="165"/>
      <c r="M3707" s="6"/>
      <c r="N3707" s="32"/>
      <c r="Q3707" s="10" t="str">
        <f>+CONCATENATE(E3707,G3707)</f>
        <v/>
      </c>
      <c r="R3707" s="10">
        <f>+H3707</f>
        <v>0</v>
      </c>
      <c r="S3707" s="11"/>
      <c r="T3707" s="10">
        <f>+E3707</f>
        <v>0</v>
      </c>
      <c r="U3707" s="19" t="str">
        <f>IFERROR(LEFT(G3707,FIND("*",G3707)-1),"-")</f>
        <v>-</v>
      </c>
      <c r="V3707" s="19" t="str">
        <f>IFERROR(RIGHT(G3707,LEN(G3707)-FIND("*",G3707)),"-")</f>
        <v>-</v>
      </c>
      <c r="W3707" s="20" t="str">
        <f>IFERROR((U3707+V3707)*2/1000,"-")</f>
        <v>-</v>
      </c>
      <c r="X3707" s="20" t="str">
        <f>IFERROR(W3707*H3707,"-")</f>
        <v>-</v>
      </c>
      <c r="Z3707" s="85" t="s">
        <v>82</v>
      </c>
    </row>
    <row r="3708" spans="1:26" ht="6.95" customHeight="1" x14ac:dyDescent="0.3">
      <c r="A3708" s="154"/>
      <c r="B3708" s="157"/>
      <c r="C3708" s="158"/>
      <c r="D3708" s="161"/>
      <c r="E3708" s="162"/>
      <c r="F3708" s="163"/>
      <c r="G3708" s="164"/>
      <c r="H3708" s="165"/>
      <c r="I3708" s="164"/>
      <c r="J3708" s="165"/>
      <c r="K3708" s="164"/>
      <c r="L3708" s="165"/>
      <c r="M3708" s="6"/>
      <c r="N3708" s="32"/>
      <c r="Q3708" s="10" t="str">
        <f>+CONCATENATE(E3707,I3707)</f>
        <v/>
      </c>
      <c r="R3708" s="10">
        <f>+J3707</f>
        <v>0</v>
      </c>
      <c r="S3708" s="11"/>
      <c r="T3708" s="10">
        <f>+E3707</f>
        <v>0</v>
      </c>
      <c r="U3708" s="19" t="str">
        <f>IFERROR(LEFT(I3707,FIND("*",I3707)-1),"-")</f>
        <v>-</v>
      </c>
      <c r="V3708" s="19" t="str">
        <f>IFERROR(RIGHT(I3707,LEN(I3707)-FIND("*",I3707)),"-")</f>
        <v>-</v>
      </c>
      <c r="W3708" s="20" t="str">
        <f t="shared" ref="W3708:W3715" si="2014">IFERROR((U3708+V3708)*2/1000,"-")</f>
        <v>-</v>
      </c>
      <c r="X3708" s="20" t="str">
        <f>IFERROR(W3708*J3707,"-")</f>
        <v>-</v>
      </c>
      <c r="Z3708" s="85" t="s">
        <v>82</v>
      </c>
    </row>
    <row r="3709" spans="1:26" ht="6.95" customHeight="1" x14ac:dyDescent="0.3">
      <c r="A3709" s="154"/>
      <c r="B3709" s="157"/>
      <c r="C3709" s="158"/>
      <c r="D3709" s="161"/>
      <c r="E3709" s="162"/>
      <c r="F3709" s="163"/>
      <c r="G3709" s="164"/>
      <c r="H3709" s="165"/>
      <c r="I3709" s="164"/>
      <c r="J3709" s="165"/>
      <c r="K3709" s="164"/>
      <c r="L3709" s="165"/>
      <c r="M3709" s="6"/>
      <c r="N3709" s="32"/>
      <c r="Q3709" s="10" t="str">
        <f>+CONCATENATE(E3707,K3707)</f>
        <v/>
      </c>
      <c r="R3709" s="10">
        <f>+L3707</f>
        <v>0</v>
      </c>
      <c r="S3709" s="11"/>
      <c r="T3709" s="10">
        <f>+E3707</f>
        <v>0</v>
      </c>
      <c r="U3709" s="19" t="str">
        <f>IFERROR(LEFT(K3707,FIND("*",K3707)-1),"-")</f>
        <v>-</v>
      </c>
      <c r="V3709" s="19" t="str">
        <f>IFERROR(RIGHT(K3707,LEN(K3707)-FIND("*",K3707)),"-")</f>
        <v>-</v>
      </c>
      <c r="W3709" s="20" t="str">
        <f t="shared" si="2014"/>
        <v>-</v>
      </c>
      <c r="X3709" s="20" t="str">
        <f>IFERROR(W3709*L3707,"-")</f>
        <v>-</v>
      </c>
      <c r="Z3709" s="85" t="s">
        <v>82</v>
      </c>
    </row>
    <row r="3710" spans="1:26" ht="6.95" customHeight="1" x14ac:dyDescent="0.3">
      <c r="A3710" s="8"/>
      <c r="B3710" s="157"/>
      <c r="C3710" s="158"/>
      <c r="D3710" s="161" t="s">
        <v>39</v>
      </c>
      <c r="E3710" s="162"/>
      <c r="F3710" s="163" t="s">
        <v>40</v>
      </c>
      <c r="G3710" s="164"/>
      <c r="H3710" s="165"/>
      <c r="I3710" s="164"/>
      <c r="J3710" s="165"/>
      <c r="K3710" s="164"/>
      <c r="L3710" s="165"/>
      <c r="M3710" s="6"/>
      <c r="N3710" s="32"/>
      <c r="Q3710" s="10" t="str">
        <f>+CONCATENATE(E3710,G3710)</f>
        <v/>
      </c>
      <c r="R3710" s="10">
        <f>+H3710</f>
        <v>0</v>
      </c>
      <c r="S3710" s="11"/>
      <c r="T3710" s="10">
        <f>+E3710</f>
        <v>0</v>
      </c>
      <c r="U3710" s="19" t="str">
        <f t="shared" ref="U3710" si="2015">IFERROR(LEFT(G3710,FIND("*",G3710)-1),"-")</f>
        <v>-</v>
      </c>
      <c r="V3710" s="19" t="str">
        <f t="shared" ref="V3710" si="2016">IFERROR(RIGHT(G3710,LEN(G3710)-FIND("*",G3710)),"-")</f>
        <v>-</v>
      </c>
      <c r="W3710" s="20" t="str">
        <f t="shared" si="2014"/>
        <v>-</v>
      </c>
      <c r="X3710" s="20" t="str">
        <f>IFERROR(W3710*H3710,"-")</f>
        <v>-</v>
      </c>
      <c r="Z3710" s="85" t="s">
        <v>82</v>
      </c>
    </row>
    <row r="3711" spans="1:26" ht="6.95" customHeight="1" x14ac:dyDescent="0.3">
      <c r="A3711" s="5"/>
      <c r="B3711" s="157"/>
      <c r="C3711" s="158"/>
      <c r="D3711" s="161"/>
      <c r="E3711" s="162"/>
      <c r="F3711" s="163"/>
      <c r="G3711" s="164"/>
      <c r="H3711" s="165"/>
      <c r="I3711" s="164"/>
      <c r="J3711" s="165"/>
      <c r="K3711" s="164"/>
      <c r="L3711" s="165"/>
      <c r="M3711" s="6"/>
      <c r="N3711" s="32"/>
      <c r="Q3711" s="10" t="str">
        <f>+CONCATENATE(E3710,I3710)</f>
        <v/>
      </c>
      <c r="R3711" s="10">
        <f>+J3710</f>
        <v>0</v>
      </c>
      <c r="S3711" s="11"/>
      <c r="T3711" s="10">
        <f>+E3710</f>
        <v>0</v>
      </c>
      <c r="U3711" s="19" t="str">
        <f>IFERROR(LEFT(I3710,FIND("*",I3710)-1),"-")</f>
        <v>-</v>
      </c>
      <c r="V3711" s="19" t="str">
        <f>IFERROR(RIGHT(I3710,LEN(I3710)-FIND("*",I3710)),"-")</f>
        <v>-</v>
      </c>
      <c r="W3711" s="20" t="str">
        <f t="shared" si="2014"/>
        <v>-</v>
      </c>
      <c r="X3711" s="20" t="str">
        <f>IFERROR(W3711*J3710,"-")</f>
        <v>-</v>
      </c>
      <c r="Z3711" s="85" t="s">
        <v>82</v>
      </c>
    </row>
    <row r="3712" spans="1:26" ht="6.95" customHeight="1" x14ac:dyDescent="0.3">
      <c r="A3712" s="5"/>
      <c r="B3712" s="157"/>
      <c r="C3712" s="158"/>
      <c r="D3712" s="161"/>
      <c r="E3712" s="162"/>
      <c r="F3712" s="163"/>
      <c r="G3712" s="164"/>
      <c r="H3712" s="165"/>
      <c r="I3712" s="164"/>
      <c r="J3712" s="165"/>
      <c r="K3712" s="164"/>
      <c r="L3712" s="165"/>
      <c r="M3712" s="6"/>
      <c r="N3712" s="32"/>
      <c r="Q3712" s="10" t="str">
        <f>+CONCATENATE(E3710,K3710)</f>
        <v/>
      </c>
      <c r="R3712" s="10">
        <f>+L3710</f>
        <v>0</v>
      </c>
      <c r="S3712" s="11"/>
      <c r="T3712" s="10">
        <f>+E3710</f>
        <v>0</v>
      </c>
      <c r="U3712" s="19" t="str">
        <f>IFERROR(LEFT(K3710,FIND("*",K3710)-1),"-")</f>
        <v>-</v>
      </c>
      <c r="V3712" s="19" t="str">
        <f>IFERROR(RIGHT(K3710,LEN(K3710)-FIND("*",K3710)),"-")</f>
        <v>-</v>
      </c>
      <c r="W3712" s="20" t="str">
        <f t="shared" si="2014"/>
        <v>-</v>
      </c>
      <c r="X3712" s="20" t="str">
        <f>IFERROR(W3712*L3710,"-")</f>
        <v>-</v>
      </c>
      <c r="Z3712" s="85" t="s">
        <v>82</v>
      </c>
    </row>
    <row r="3713" spans="1:26" ht="6.95" customHeight="1" x14ac:dyDescent="0.3">
      <c r="A3713" s="8"/>
      <c r="B3713" s="157"/>
      <c r="C3713" s="158"/>
      <c r="D3713" s="161" t="s">
        <v>39</v>
      </c>
      <c r="E3713" s="162"/>
      <c r="F3713" s="163" t="s">
        <v>40</v>
      </c>
      <c r="G3713" s="164"/>
      <c r="H3713" s="165"/>
      <c r="I3713" s="164"/>
      <c r="J3713" s="165"/>
      <c r="K3713" s="164"/>
      <c r="L3713" s="165"/>
      <c r="M3713" s="6"/>
      <c r="N3713" s="32"/>
      <c r="Q3713" s="10" t="str">
        <f>+CONCATENATE(E3713,G3713)</f>
        <v/>
      </c>
      <c r="R3713" s="10">
        <f>+H3713</f>
        <v>0</v>
      </c>
      <c r="S3713" s="11"/>
      <c r="T3713" s="10">
        <f>+E3713</f>
        <v>0</v>
      </c>
      <c r="U3713" s="19" t="str">
        <f t="shared" ref="U3713" si="2017">IFERROR(LEFT(G3713,FIND("*",G3713)-1),"-")</f>
        <v>-</v>
      </c>
      <c r="V3713" s="19" t="str">
        <f t="shared" ref="V3713" si="2018">IFERROR(RIGHT(G3713,LEN(G3713)-FIND("*",G3713)),"-")</f>
        <v>-</v>
      </c>
      <c r="W3713" s="20" t="str">
        <f t="shared" si="2014"/>
        <v>-</v>
      </c>
      <c r="X3713" s="20" t="str">
        <f>IFERROR(W3713*H3713,"-")</f>
        <v>-</v>
      </c>
      <c r="Z3713" s="85" t="s">
        <v>82</v>
      </c>
    </row>
    <row r="3714" spans="1:26" ht="6.95" customHeight="1" x14ac:dyDescent="0.3">
      <c r="A3714" s="5"/>
      <c r="B3714" s="157"/>
      <c r="C3714" s="158"/>
      <c r="D3714" s="161"/>
      <c r="E3714" s="162"/>
      <c r="F3714" s="163"/>
      <c r="G3714" s="164"/>
      <c r="H3714" s="165"/>
      <c r="I3714" s="164"/>
      <c r="J3714" s="165"/>
      <c r="K3714" s="164"/>
      <c r="L3714" s="165"/>
      <c r="M3714" s="6"/>
      <c r="N3714" s="32"/>
      <c r="Q3714" s="10" t="str">
        <f>+CONCATENATE(E3713,I3713)</f>
        <v/>
      </c>
      <c r="R3714" s="10">
        <f>+J3713</f>
        <v>0</v>
      </c>
      <c r="S3714" s="11"/>
      <c r="T3714" s="10">
        <f>+E3713</f>
        <v>0</v>
      </c>
      <c r="U3714" s="19" t="str">
        <f>IFERROR(LEFT(I3713,FIND("*",I3713)-1),"-")</f>
        <v>-</v>
      </c>
      <c r="V3714" s="19" t="str">
        <f>IFERROR(RIGHT(I3713,LEN(I3713)-FIND("*",I3713)),"-")</f>
        <v>-</v>
      </c>
      <c r="W3714" s="20" t="str">
        <f t="shared" si="2014"/>
        <v>-</v>
      </c>
      <c r="X3714" s="20" t="str">
        <f t="shared" ref="X3714" si="2019">IFERROR(W3714*J3713,"-")</f>
        <v>-</v>
      </c>
      <c r="Z3714" s="85" t="s">
        <v>82</v>
      </c>
    </row>
    <row r="3715" spans="1:26" ht="6.95" customHeight="1" x14ac:dyDescent="0.3">
      <c r="A3715" s="5"/>
      <c r="B3715" s="157"/>
      <c r="C3715" s="158"/>
      <c r="D3715" s="161"/>
      <c r="E3715" s="162"/>
      <c r="F3715" s="163"/>
      <c r="G3715" s="164"/>
      <c r="H3715" s="165"/>
      <c r="I3715" s="164"/>
      <c r="J3715" s="165"/>
      <c r="K3715" s="164"/>
      <c r="L3715" s="165"/>
      <c r="M3715" s="6"/>
      <c r="N3715" s="32"/>
      <c r="Q3715" s="10" t="str">
        <f>+CONCATENATE(E3713,K3713)</f>
        <v/>
      </c>
      <c r="R3715" s="10">
        <f>+L3713</f>
        <v>0</v>
      </c>
      <c r="S3715" s="11"/>
      <c r="T3715" s="10">
        <f>+E3713</f>
        <v>0</v>
      </c>
      <c r="U3715" s="19" t="str">
        <f>IFERROR(LEFT(K3713,FIND("*",K3713)-1),"-")</f>
        <v>-</v>
      </c>
      <c r="V3715" s="19" t="str">
        <f>IFERROR(RIGHT(K3713,LEN(K3713)-FIND("*",K3713)),"-")</f>
        <v>-</v>
      </c>
      <c r="W3715" s="20" t="str">
        <f t="shared" si="2014"/>
        <v>-</v>
      </c>
      <c r="X3715" s="20" t="str">
        <f>IFERROR(W3715*L3713,"-")</f>
        <v>-</v>
      </c>
      <c r="Z3715" s="85" t="s">
        <v>82</v>
      </c>
    </row>
    <row r="3716" spans="1:26" ht="21" customHeight="1" thickBot="1" x14ac:dyDescent="0.35">
      <c r="A3716" s="5"/>
      <c r="B3716" s="159"/>
      <c r="C3716" s="160"/>
      <c r="D3716" s="166" t="s">
        <v>43</v>
      </c>
      <c r="E3716" s="167"/>
      <c r="F3716" s="167"/>
      <c r="G3716" s="168"/>
      <c r="H3716" s="168"/>
      <c r="I3716" s="168"/>
      <c r="J3716" s="168"/>
      <c r="K3716" s="168"/>
      <c r="L3716" s="168"/>
      <c r="M3716" s="7"/>
      <c r="N3716" s="32"/>
      <c r="Z3716" s="86" t="s">
        <v>81</v>
      </c>
    </row>
    <row r="3717" spans="1:26" ht="9.9499999999999993" customHeight="1" thickBot="1" x14ac:dyDescent="0.35">
      <c r="B3717" s="9"/>
      <c r="C3717" s="109"/>
      <c r="D3717" s="51"/>
      <c r="E3717" s="12"/>
      <c r="F3717" s="51"/>
      <c r="G3717" s="14"/>
      <c r="H3717" s="14"/>
      <c r="I3717" s="14"/>
      <c r="J3717" s="14"/>
      <c r="K3717" s="14"/>
      <c r="L3717" s="14"/>
      <c r="M3717" s="9"/>
      <c r="N3717" s="32"/>
      <c r="U3717" s="18"/>
      <c r="V3717" s="18"/>
      <c r="Z3717" s="85" t="s">
        <v>82</v>
      </c>
    </row>
    <row r="3718" spans="1:26" ht="6.95" customHeight="1" x14ac:dyDescent="0.3">
      <c r="A3718" s="154">
        <f>+A3707+1</f>
        <v>1137</v>
      </c>
      <c r="B3718" s="155"/>
      <c r="C3718" s="156"/>
      <c r="D3718" s="161" t="s">
        <v>39</v>
      </c>
      <c r="E3718" s="162"/>
      <c r="F3718" s="163" t="s">
        <v>40</v>
      </c>
      <c r="G3718" s="164"/>
      <c r="H3718" s="165"/>
      <c r="I3718" s="164"/>
      <c r="J3718" s="165"/>
      <c r="K3718" s="164"/>
      <c r="L3718" s="165"/>
      <c r="M3718" s="6"/>
      <c r="N3718" s="32"/>
      <c r="Q3718" s="10" t="str">
        <f>+CONCATENATE(E3718,G3718)</f>
        <v/>
      </c>
      <c r="R3718" s="10">
        <f>+H3718</f>
        <v>0</v>
      </c>
      <c r="S3718" s="11"/>
      <c r="T3718" s="10">
        <f>+E3718</f>
        <v>0</v>
      </c>
      <c r="U3718" s="19" t="str">
        <f>IFERROR(LEFT(G3718,FIND("*",G3718)-1),"-")</f>
        <v>-</v>
      </c>
      <c r="V3718" s="19" t="str">
        <f>IFERROR(RIGHT(G3718,LEN(G3718)-FIND("*",G3718)),"-")</f>
        <v>-</v>
      </c>
      <c r="W3718" s="20" t="str">
        <f>IFERROR((U3718+V3718)*2/1000,"-")</f>
        <v>-</v>
      </c>
      <c r="X3718" s="20" t="str">
        <f>IFERROR(W3718*H3718,"-")</f>
        <v>-</v>
      </c>
      <c r="Z3718" s="85" t="s">
        <v>82</v>
      </c>
    </row>
    <row r="3719" spans="1:26" ht="6.95" customHeight="1" x14ac:dyDescent="0.3">
      <c r="A3719" s="154"/>
      <c r="B3719" s="157"/>
      <c r="C3719" s="158"/>
      <c r="D3719" s="161"/>
      <c r="E3719" s="162"/>
      <c r="F3719" s="163"/>
      <c r="G3719" s="164"/>
      <c r="H3719" s="165"/>
      <c r="I3719" s="164"/>
      <c r="J3719" s="165"/>
      <c r="K3719" s="164"/>
      <c r="L3719" s="165"/>
      <c r="M3719" s="6"/>
      <c r="N3719" s="32"/>
      <c r="Q3719" s="10" t="str">
        <f>+CONCATENATE(E3718,I3718)</f>
        <v/>
      </c>
      <c r="R3719" s="10">
        <f>+J3718</f>
        <v>0</v>
      </c>
      <c r="S3719" s="11"/>
      <c r="T3719" s="10">
        <f>+E3718</f>
        <v>0</v>
      </c>
      <c r="U3719" s="19" t="str">
        <f>IFERROR(LEFT(I3718,FIND("*",I3718)-1),"-")</f>
        <v>-</v>
      </c>
      <c r="V3719" s="19" t="str">
        <f>IFERROR(RIGHT(I3718,LEN(I3718)-FIND("*",I3718)),"-")</f>
        <v>-</v>
      </c>
      <c r="W3719" s="20" t="str">
        <f t="shared" ref="W3719:W3726" si="2020">IFERROR((U3719+V3719)*2/1000,"-")</f>
        <v>-</v>
      </c>
      <c r="X3719" s="20" t="str">
        <f>IFERROR(W3719*J3718,"-")</f>
        <v>-</v>
      </c>
      <c r="Z3719" s="85" t="s">
        <v>82</v>
      </c>
    </row>
    <row r="3720" spans="1:26" ht="6.95" customHeight="1" x14ac:dyDescent="0.3">
      <c r="A3720" s="154"/>
      <c r="B3720" s="157"/>
      <c r="C3720" s="158"/>
      <c r="D3720" s="161"/>
      <c r="E3720" s="162"/>
      <c r="F3720" s="163"/>
      <c r="G3720" s="164"/>
      <c r="H3720" s="165"/>
      <c r="I3720" s="164"/>
      <c r="J3720" s="165"/>
      <c r="K3720" s="164"/>
      <c r="L3720" s="165"/>
      <c r="M3720" s="6"/>
      <c r="N3720" s="32"/>
      <c r="Q3720" s="10" t="str">
        <f>+CONCATENATE(E3718,K3718)</f>
        <v/>
      </c>
      <c r="R3720" s="10">
        <f>+L3718</f>
        <v>0</v>
      </c>
      <c r="S3720" s="11"/>
      <c r="T3720" s="10">
        <f>+E3718</f>
        <v>0</v>
      </c>
      <c r="U3720" s="19" t="str">
        <f>IFERROR(LEFT(K3718,FIND("*",K3718)-1),"-")</f>
        <v>-</v>
      </c>
      <c r="V3720" s="19" t="str">
        <f>IFERROR(RIGHT(K3718,LEN(K3718)-FIND("*",K3718)),"-")</f>
        <v>-</v>
      </c>
      <c r="W3720" s="20" t="str">
        <f t="shared" si="2020"/>
        <v>-</v>
      </c>
      <c r="X3720" s="20" t="str">
        <f>IFERROR(W3720*L3718,"-")</f>
        <v>-</v>
      </c>
      <c r="Z3720" s="85" t="s">
        <v>82</v>
      </c>
    </row>
    <row r="3721" spans="1:26" ht="6.95" customHeight="1" x14ac:dyDescent="0.3">
      <c r="A3721" s="8"/>
      <c r="B3721" s="157"/>
      <c r="C3721" s="158"/>
      <c r="D3721" s="161" t="s">
        <v>39</v>
      </c>
      <c r="E3721" s="162"/>
      <c r="F3721" s="163" t="s">
        <v>40</v>
      </c>
      <c r="G3721" s="164"/>
      <c r="H3721" s="165"/>
      <c r="I3721" s="164"/>
      <c r="J3721" s="165"/>
      <c r="K3721" s="164"/>
      <c r="L3721" s="165"/>
      <c r="M3721" s="6"/>
      <c r="N3721" s="32"/>
      <c r="Q3721" s="10" t="str">
        <f>+CONCATENATE(E3721,G3721)</f>
        <v/>
      </c>
      <c r="R3721" s="10">
        <f>+H3721</f>
        <v>0</v>
      </c>
      <c r="S3721" s="11"/>
      <c r="T3721" s="10">
        <f>+E3721</f>
        <v>0</v>
      </c>
      <c r="U3721" s="19" t="str">
        <f t="shared" ref="U3721" si="2021">IFERROR(LEFT(G3721,FIND("*",G3721)-1),"-")</f>
        <v>-</v>
      </c>
      <c r="V3721" s="19" t="str">
        <f t="shared" ref="V3721" si="2022">IFERROR(RIGHT(G3721,LEN(G3721)-FIND("*",G3721)),"-")</f>
        <v>-</v>
      </c>
      <c r="W3721" s="20" t="str">
        <f t="shared" si="2020"/>
        <v>-</v>
      </c>
      <c r="X3721" s="20" t="str">
        <f>IFERROR(W3721*H3721,"-")</f>
        <v>-</v>
      </c>
      <c r="Z3721" s="85" t="s">
        <v>82</v>
      </c>
    </row>
    <row r="3722" spans="1:26" ht="6.95" customHeight="1" x14ac:dyDescent="0.3">
      <c r="A3722" s="5"/>
      <c r="B3722" s="157"/>
      <c r="C3722" s="158"/>
      <c r="D3722" s="161"/>
      <c r="E3722" s="162"/>
      <c r="F3722" s="163"/>
      <c r="G3722" s="164"/>
      <c r="H3722" s="165"/>
      <c r="I3722" s="164"/>
      <c r="J3722" s="165"/>
      <c r="K3722" s="164"/>
      <c r="L3722" s="165"/>
      <c r="M3722" s="6"/>
      <c r="N3722" s="32"/>
      <c r="Q3722" s="10" t="str">
        <f>+CONCATENATE(E3721,I3721)</f>
        <v/>
      </c>
      <c r="R3722" s="10">
        <f>+J3721</f>
        <v>0</v>
      </c>
      <c r="S3722" s="11"/>
      <c r="T3722" s="10">
        <f>+E3721</f>
        <v>0</v>
      </c>
      <c r="U3722" s="19" t="str">
        <f>IFERROR(LEFT(I3721,FIND("*",I3721)-1),"-")</f>
        <v>-</v>
      </c>
      <c r="V3722" s="19" t="str">
        <f>IFERROR(RIGHT(I3721,LEN(I3721)-FIND("*",I3721)),"-")</f>
        <v>-</v>
      </c>
      <c r="W3722" s="20" t="str">
        <f t="shared" si="2020"/>
        <v>-</v>
      </c>
      <c r="X3722" s="20" t="str">
        <f>IFERROR(W3722*J3721,"-")</f>
        <v>-</v>
      </c>
      <c r="Z3722" s="85" t="s">
        <v>82</v>
      </c>
    </row>
    <row r="3723" spans="1:26" ht="6.95" customHeight="1" x14ac:dyDescent="0.3">
      <c r="A3723" s="5"/>
      <c r="B3723" s="157"/>
      <c r="C3723" s="158"/>
      <c r="D3723" s="161"/>
      <c r="E3723" s="162"/>
      <c r="F3723" s="163"/>
      <c r="G3723" s="164"/>
      <c r="H3723" s="165"/>
      <c r="I3723" s="164"/>
      <c r="J3723" s="165"/>
      <c r="K3723" s="164"/>
      <c r="L3723" s="165"/>
      <c r="M3723" s="6"/>
      <c r="N3723" s="32"/>
      <c r="Q3723" s="10" t="str">
        <f>+CONCATENATE(E3721,K3721)</f>
        <v/>
      </c>
      <c r="R3723" s="10">
        <f>+L3721</f>
        <v>0</v>
      </c>
      <c r="S3723" s="11"/>
      <c r="T3723" s="10">
        <f>+E3721</f>
        <v>0</v>
      </c>
      <c r="U3723" s="19" t="str">
        <f>IFERROR(LEFT(K3721,FIND("*",K3721)-1),"-")</f>
        <v>-</v>
      </c>
      <c r="V3723" s="19" t="str">
        <f>IFERROR(RIGHT(K3721,LEN(K3721)-FIND("*",K3721)),"-")</f>
        <v>-</v>
      </c>
      <c r="W3723" s="20" t="str">
        <f t="shared" si="2020"/>
        <v>-</v>
      </c>
      <c r="X3723" s="20" t="str">
        <f>IFERROR(W3723*L3721,"-")</f>
        <v>-</v>
      </c>
      <c r="Z3723" s="85" t="s">
        <v>82</v>
      </c>
    </row>
    <row r="3724" spans="1:26" ht="6.95" customHeight="1" x14ac:dyDescent="0.3">
      <c r="A3724" s="8"/>
      <c r="B3724" s="157"/>
      <c r="C3724" s="158"/>
      <c r="D3724" s="161" t="s">
        <v>39</v>
      </c>
      <c r="E3724" s="162"/>
      <c r="F3724" s="163" t="s">
        <v>40</v>
      </c>
      <c r="G3724" s="164"/>
      <c r="H3724" s="165"/>
      <c r="I3724" s="164"/>
      <c r="J3724" s="165"/>
      <c r="K3724" s="164"/>
      <c r="L3724" s="165"/>
      <c r="M3724" s="6"/>
      <c r="N3724" s="32"/>
      <c r="Q3724" s="10" t="str">
        <f>+CONCATENATE(E3724,G3724)</f>
        <v/>
      </c>
      <c r="R3724" s="10">
        <f>+H3724</f>
        <v>0</v>
      </c>
      <c r="S3724" s="11"/>
      <c r="T3724" s="10">
        <f>+E3724</f>
        <v>0</v>
      </c>
      <c r="U3724" s="19" t="str">
        <f t="shared" ref="U3724" si="2023">IFERROR(LEFT(G3724,FIND("*",G3724)-1),"-")</f>
        <v>-</v>
      </c>
      <c r="V3724" s="19" t="str">
        <f t="shared" ref="V3724" si="2024">IFERROR(RIGHT(G3724,LEN(G3724)-FIND("*",G3724)),"-")</f>
        <v>-</v>
      </c>
      <c r="W3724" s="20" t="str">
        <f t="shared" si="2020"/>
        <v>-</v>
      </c>
      <c r="X3724" s="20" t="str">
        <f>IFERROR(W3724*H3724,"-")</f>
        <v>-</v>
      </c>
      <c r="Z3724" s="85" t="s">
        <v>82</v>
      </c>
    </row>
    <row r="3725" spans="1:26" ht="6.95" customHeight="1" x14ac:dyDescent="0.3">
      <c r="A3725" s="5"/>
      <c r="B3725" s="157"/>
      <c r="C3725" s="158"/>
      <c r="D3725" s="161"/>
      <c r="E3725" s="162"/>
      <c r="F3725" s="163"/>
      <c r="G3725" s="164"/>
      <c r="H3725" s="165"/>
      <c r="I3725" s="164"/>
      <c r="J3725" s="165"/>
      <c r="K3725" s="164"/>
      <c r="L3725" s="165"/>
      <c r="M3725" s="6"/>
      <c r="N3725" s="32"/>
      <c r="Q3725" s="10" t="str">
        <f>+CONCATENATE(E3724,I3724)</f>
        <v/>
      </c>
      <c r="R3725" s="10">
        <f>+J3724</f>
        <v>0</v>
      </c>
      <c r="S3725" s="11"/>
      <c r="T3725" s="10">
        <f>+E3724</f>
        <v>0</v>
      </c>
      <c r="U3725" s="19" t="str">
        <f>IFERROR(LEFT(I3724,FIND("*",I3724)-1),"-")</f>
        <v>-</v>
      </c>
      <c r="V3725" s="19" t="str">
        <f>IFERROR(RIGHT(I3724,LEN(I3724)-FIND("*",I3724)),"-")</f>
        <v>-</v>
      </c>
      <c r="W3725" s="20" t="str">
        <f t="shared" si="2020"/>
        <v>-</v>
      </c>
      <c r="X3725" s="20" t="str">
        <f t="shared" ref="X3725" si="2025">IFERROR(W3725*J3724,"-")</f>
        <v>-</v>
      </c>
      <c r="Z3725" s="85" t="s">
        <v>82</v>
      </c>
    </row>
    <row r="3726" spans="1:26" ht="6.95" customHeight="1" x14ac:dyDescent="0.3">
      <c r="A3726" s="5"/>
      <c r="B3726" s="157"/>
      <c r="C3726" s="158"/>
      <c r="D3726" s="161"/>
      <c r="E3726" s="162"/>
      <c r="F3726" s="163"/>
      <c r="G3726" s="164"/>
      <c r="H3726" s="165"/>
      <c r="I3726" s="164"/>
      <c r="J3726" s="165"/>
      <c r="K3726" s="164"/>
      <c r="L3726" s="165"/>
      <c r="M3726" s="6"/>
      <c r="N3726" s="32"/>
      <c r="Q3726" s="10" t="str">
        <f>+CONCATENATE(E3724,K3724)</f>
        <v/>
      </c>
      <c r="R3726" s="10">
        <f>+L3724</f>
        <v>0</v>
      </c>
      <c r="S3726" s="11"/>
      <c r="T3726" s="10">
        <f>+E3724</f>
        <v>0</v>
      </c>
      <c r="U3726" s="19" t="str">
        <f>IFERROR(LEFT(K3724,FIND("*",K3724)-1),"-")</f>
        <v>-</v>
      </c>
      <c r="V3726" s="19" t="str">
        <f>IFERROR(RIGHT(K3724,LEN(K3724)-FIND("*",K3724)),"-")</f>
        <v>-</v>
      </c>
      <c r="W3726" s="20" t="str">
        <f t="shared" si="2020"/>
        <v>-</v>
      </c>
      <c r="X3726" s="20" t="str">
        <f>IFERROR(W3726*L3724,"-")</f>
        <v>-</v>
      </c>
      <c r="Z3726" s="85" t="s">
        <v>82</v>
      </c>
    </row>
    <row r="3727" spans="1:26" ht="21" customHeight="1" thickBot="1" x14ac:dyDescent="0.35">
      <c r="A3727" s="5"/>
      <c r="B3727" s="159"/>
      <c r="C3727" s="160"/>
      <c r="D3727" s="166" t="s">
        <v>43</v>
      </c>
      <c r="E3727" s="167"/>
      <c r="F3727" s="167"/>
      <c r="G3727" s="168"/>
      <c r="H3727" s="168"/>
      <c r="I3727" s="168"/>
      <c r="J3727" s="168"/>
      <c r="K3727" s="168"/>
      <c r="L3727" s="168"/>
      <c r="M3727" s="7"/>
      <c r="N3727" s="32"/>
      <c r="Z3727" s="86" t="s">
        <v>81</v>
      </c>
    </row>
    <row r="3728" spans="1:26" ht="9.9499999999999993" customHeight="1" thickBot="1" x14ac:dyDescent="0.35">
      <c r="B3728" s="9"/>
      <c r="C3728" s="109"/>
      <c r="D3728" s="51"/>
      <c r="E3728" s="12"/>
      <c r="F3728" s="51"/>
      <c r="G3728" s="14"/>
      <c r="H3728" s="14"/>
      <c r="I3728" s="14"/>
      <c r="J3728" s="14"/>
      <c r="K3728" s="14"/>
      <c r="L3728" s="14"/>
      <c r="M3728" s="9"/>
      <c r="N3728" s="32"/>
      <c r="U3728" s="18"/>
      <c r="V3728" s="18"/>
      <c r="Z3728" s="85" t="s">
        <v>82</v>
      </c>
    </row>
    <row r="3729" spans="1:26" ht="6.95" customHeight="1" x14ac:dyDescent="0.3">
      <c r="A3729" s="154">
        <f>+A3718+1</f>
        <v>1138</v>
      </c>
      <c r="B3729" s="155"/>
      <c r="C3729" s="156"/>
      <c r="D3729" s="161" t="s">
        <v>39</v>
      </c>
      <c r="E3729" s="162"/>
      <c r="F3729" s="163" t="s">
        <v>40</v>
      </c>
      <c r="G3729" s="164"/>
      <c r="H3729" s="165"/>
      <c r="I3729" s="164"/>
      <c r="J3729" s="165"/>
      <c r="K3729" s="164"/>
      <c r="L3729" s="165"/>
      <c r="M3729" s="6"/>
      <c r="N3729" s="32"/>
      <c r="Q3729" s="10" t="str">
        <f>+CONCATENATE(E3729,G3729)</f>
        <v/>
      </c>
      <c r="R3729" s="10">
        <f>+H3729</f>
        <v>0</v>
      </c>
      <c r="S3729" s="11"/>
      <c r="T3729" s="10">
        <f>+E3729</f>
        <v>0</v>
      </c>
      <c r="U3729" s="19" t="str">
        <f>IFERROR(LEFT(G3729,FIND("*",G3729)-1),"-")</f>
        <v>-</v>
      </c>
      <c r="V3729" s="19" t="str">
        <f>IFERROR(RIGHT(G3729,LEN(G3729)-FIND("*",G3729)),"-")</f>
        <v>-</v>
      </c>
      <c r="W3729" s="20" t="str">
        <f>IFERROR((U3729+V3729)*2/1000,"-")</f>
        <v>-</v>
      </c>
      <c r="X3729" s="20" t="str">
        <f>IFERROR(W3729*H3729,"-")</f>
        <v>-</v>
      </c>
      <c r="Z3729" s="85" t="s">
        <v>82</v>
      </c>
    </row>
    <row r="3730" spans="1:26" ht="6.95" customHeight="1" x14ac:dyDescent="0.3">
      <c r="A3730" s="154"/>
      <c r="B3730" s="157"/>
      <c r="C3730" s="158"/>
      <c r="D3730" s="161"/>
      <c r="E3730" s="162"/>
      <c r="F3730" s="163"/>
      <c r="G3730" s="164"/>
      <c r="H3730" s="165"/>
      <c r="I3730" s="164"/>
      <c r="J3730" s="165"/>
      <c r="K3730" s="164"/>
      <c r="L3730" s="165"/>
      <c r="M3730" s="6"/>
      <c r="N3730" s="32"/>
      <c r="Q3730" s="10" t="str">
        <f>+CONCATENATE(E3729,I3729)</f>
        <v/>
      </c>
      <c r="R3730" s="10">
        <f>+J3729</f>
        <v>0</v>
      </c>
      <c r="S3730" s="11"/>
      <c r="T3730" s="10">
        <f>+E3729</f>
        <v>0</v>
      </c>
      <c r="U3730" s="19" t="str">
        <f>IFERROR(LEFT(I3729,FIND("*",I3729)-1),"-")</f>
        <v>-</v>
      </c>
      <c r="V3730" s="19" t="str">
        <f>IFERROR(RIGHT(I3729,LEN(I3729)-FIND("*",I3729)),"-")</f>
        <v>-</v>
      </c>
      <c r="W3730" s="20" t="str">
        <f t="shared" ref="W3730:W3737" si="2026">IFERROR((U3730+V3730)*2/1000,"-")</f>
        <v>-</v>
      </c>
      <c r="X3730" s="20" t="str">
        <f>IFERROR(W3730*J3729,"-")</f>
        <v>-</v>
      </c>
      <c r="Z3730" s="85" t="s">
        <v>82</v>
      </c>
    </row>
    <row r="3731" spans="1:26" ht="6.95" customHeight="1" x14ac:dyDescent="0.3">
      <c r="A3731" s="154"/>
      <c r="B3731" s="157"/>
      <c r="C3731" s="158"/>
      <c r="D3731" s="161"/>
      <c r="E3731" s="162"/>
      <c r="F3731" s="163"/>
      <c r="G3731" s="164"/>
      <c r="H3731" s="165"/>
      <c r="I3731" s="164"/>
      <c r="J3731" s="165"/>
      <c r="K3731" s="164"/>
      <c r="L3731" s="165"/>
      <c r="M3731" s="6"/>
      <c r="N3731" s="32"/>
      <c r="Q3731" s="10" t="str">
        <f>+CONCATENATE(E3729,K3729)</f>
        <v/>
      </c>
      <c r="R3731" s="10">
        <f>+L3729</f>
        <v>0</v>
      </c>
      <c r="S3731" s="11"/>
      <c r="T3731" s="10">
        <f>+E3729</f>
        <v>0</v>
      </c>
      <c r="U3731" s="19" t="str">
        <f>IFERROR(LEFT(K3729,FIND("*",K3729)-1),"-")</f>
        <v>-</v>
      </c>
      <c r="V3731" s="19" t="str">
        <f>IFERROR(RIGHT(K3729,LEN(K3729)-FIND("*",K3729)),"-")</f>
        <v>-</v>
      </c>
      <c r="W3731" s="20" t="str">
        <f t="shared" si="2026"/>
        <v>-</v>
      </c>
      <c r="X3731" s="20" t="str">
        <f>IFERROR(W3731*L3729,"-")</f>
        <v>-</v>
      </c>
      <c r="Z3731" s="85" t="s">
        <v>82</v>
      </c>
    </row>
    <row r="3732" spans="1:26" ht="6.95" customHeight="1" x14ac:dyDescent="0.3">
      <c r="A3732" s="8"/>
      <c r="B3732" s="157"/>
      <c r="C3732" s="158"/>
      <c r="D3732" s="161" t="s">
        <v>39</v>
      </c>
      <c r="E3732" s="162"/>
      <c r="F3732" s="163" t="s">
        <v>40</v>
      </c>
      <c r="G3732" s="164"/>
      <c r="H3732" s="165"/>
      <c r="I3732" s="164"/>
      <c r="J3732" s="165"/>
      <c r="K3732" s="164"/>
      <c r="L3732" s="165"/>
      <c r="M3732" s="6"/>
      <c r="N3732" s="32"/>
      <c r="Q3732" s="10" t="str">
        <f>+CONCATENATE(E3732,G3732)</f>
        <v/>
      </c>
      <c r="R3732" s="10">
        <f>+H3732</f>
        <v>0</v>
      </c>
      <c r="S3732" s="11"/>
      <c r="T3732" s="10">
        <f>+E3732</f>
        <v>0</v>
      </c>
      <c r="U3732" s="19" t="str">
        <f t="shared" ref="U3732" si="2027">IFERROR(LEFT(G3732,FIND("*",G3732)-1),"-")</f>
        <v>-</v>
      </c>
      <c r="V3732" s="19" t="str">
        <f t="shared" ref="V3732" si="2028">IFERROR(RIGHT(G3732,LEN(G3732)-FIND("*",G3732)),"-")</f>
        <v>-</v>
      </c>
      <c r="W3732" s="20" t="str">
        <f t="shared" si="2026"/>
        <v>-</v>
      </c>
      <c r="X3732" s="20" t="str">
        <f>IFERROR(W3732*H3732,"-")</f>
        <v>-</v>
      </c>
      <c r="Z3732" s="85" t="s">
        <v>82</v>
      </c>
    </row>
    <row r="3733" spans="1:26" ht="6.95" customHeight="1" x14ac:dyDescent="0.3">
      <c r="A3733" s="5"/>
      <c r="B3733" s="157"/>
      <c r="C3733" s="158"/>
      <c r="D3733" s="161"/>
      <c r="E3733" s="162"/>
      <c r="F3733" s="163"/>
      <c r="G3733" s="164"/>
      <c r="H3733" s="165"/>
      <c r="I3733" s="164"/>
      <c r="J3733" s="165"/>
      <c r="K3733" s="164"/>
      <c r="L3733" s="165"/>
      <c r="M3733" s="6"/>
      <c r="N3733" s="32"/>
      <c r="Q3733" s="10" t="str">
        <f>+CONCATENATE(E3732,I3732)</f>
        <v/>
      </c>
      <c r="R3733" s="10">
        <f>+J3732</f>
        <v>0</v>
      </c>
      <c r="S3733" s="11"/>
      <c r="T3733" s="10">
        <f>+E3732</f>
        <v>0</v>
      </c>
      <c r="U3733" s="19" t="str">
        <f>IFERROR(LEFT(I3732,FIND("*",I3732)-1),"-")</f>
        <v>-</v>
      </c>
      <c r="V3733" s="19" t="str">
        <f>IFERROR(RIGHT(I3732,LEN(I3732)-FIND("*",I3732)),"-")</f>
        <v>-</v>
      </c>
      <c r="W3733" s="20" t="str">
        <f t="shared" si="2026"/>
        <v>-</v>
      </c>
      <c r="X3733" s="20" t="str">
        <f>IFERROR(W3733*J3732,"-")</f>
        <v>-</v>
      </c>
      <c r="Z3733" s="85" t="s">
        <v>82</v>
      </c>
    </row>
    <row r="3734" spans="1:26" ht="6.95" customHeight="1" x14ac:dyDescent="0.3">
      <c r="A3734" s="5"/>
      <c r="B3734" s="157"/>
      <c r="C3734" s="158"/>
      <c r="D3734" s="161"/>
      <c r="E3734" s="162"/>
      <c r="F3734" s="163"/>
      <c r="G3734" s="164"/>
      <c r="H3734" s="165"/>
      <c r="I3734" s="164"/>
      <c r="J3734" s="165"/>
      <c r="K3734" s="164"/>
      <c r="L3734" s="165"/>
      <c r="M3734" s="6"/>
      <c r="N3734" s="32"/>
      <c r="Q3734" s="10" t="str">
        <f>+CONCATENATE(E3732,K3732)</f>
        <v/>
      </c>
      <c r="R3734" s="10">
        <f>+L3732</f>
        <v>0</v>
      </c>
      <c r="S3734" s="11"/>
      <c r="T3734" s="10">
        <f>+E3732</f>
        <v>0</v>
      </c>
      <c r="U3734" s="19" t="str">
        <f>IFERROR(LEFT(K3732,FIND("*",K3732)-1),"-")</f>
        <v>-</v>
      </c>
      <c r="V3734" s="19" t="str">
        <f>IFERROR(RIGHT(K3732,LEN(K3732)-FIND("*",K3732)),"-")</f>
        <v>-</v>
      </c>
      <c r="W3734" s="20" t="str">
        <f t="shared" si="2026"/>
        <v>-</v>
      </c>
      <c r="X3734" s="20" t="str">
        <f>IFERROR(W3734*L3732,"-")</f>
        <v>-</v>
      </c>
      <c r="Z3734" s="85" t="s">
        <v>82</v>
      </c>
    </row>
    <row r="3735" spans="1:26" ht="6.95" customHeight="1" x14ac:dyDescent="0.3">
      <c r="A3735" s="8"/>
      <c r="B3735" s="157"/>
      <c r="C3735" s="158"/>
      <c r="D3735" s="161" t="s">
        <v>39</v>
      </c>
      <c r="E3735" s="162"/>
      <c r="F3735" s="163" t="s">
        <v>40</v>
      </c>
      <c r="G3735" s="164"/>
      <c r="H3735" s="165"/>
      <c r="I3735" s="164"/>
      <c r="J3735" s="165"/>
      <c r="K3735" s="164"/>
      <c r="L3735" s="165"/>
      <c r="M3735" s="6"/>
      <c r="N3735" s="32"/>
      <c r="Q3735" s="10" t="str">
        <f>+CONCATENATE(E3735,G3735)</f>
        <v/>
      </c>
      <c r="R3735" s="10">
        <f>+H3735</f>
        <v>0</v>
      </c>
      <c r="S3735" s="11"/>
      <c r="T3735" s="10">
        <f>+E3735</f>
        <v>0</v>
      </c>
      <c r="U3735" s="19" t="str">
        <f t="shared" ref="U3735" si="2029">IFERROR(LEFT(G3735,FIND("*",G3735)-1),"-")</f>
        <v>-</v>
      </c>
      <c r="V3735" s="19" t="str">
        <f t="shared" ref="V3735" si="2030">IFERROR(RIGHT(G3735,LEN(G3735)-FIND("*",G3735)),"-")</f>
        <v>-</v>
      </c>
      <c r="W3735" s="20" t="str">
        <f t="shared" si="2026"/>
        <v>-</v>
      </c>
      <c r="X3735" s="20" t="str">
        <f>IFERROR(W3735*H3735,"-")</f>
        <v>-</v>
      </c>
      <c r="Z3735" s="85" t="s">
        <v>82</v>
      </c>
    </row>
    <row r="3736" spans="1:26" ht="6.95" customHeight="1" x14ac:dyDescent="0.3">
      <c r="A3736" s="5"/>
      <c r="B3736" s="157"/>
      <c r="C3736" s="158"/>
      <c r="D3736" s="161"/>
      <c r="E3736" s="162"/>
      <c r="F3736" s="163"/>
      <c r="G3736" s="164"/>
      <c r="H3736" s="165"/>
      <c r="I3736" s="164"/>
      <c r="J3736" s="165"/>
      <c r="K3736" s="164"/>
      <c r="L3736" s="165"/>
      <c r="M3736" s="6"/>
      <c r="N3736" s="32"/>
      <c r="Q3736" s="10" t="str">
        <f>+CONCATENATE(E3735,I3735)</f>
        <v/>
      </c>
      <c r="R3736" s="10">
        <f>+J3735</f>
        <v>0</v>
      </c>
      <c r="S3736" s="11"/>
      <c r="T3736" s="10">
        <f>+E3735</f>
        <v>0</v>
      </c>
      <c r="U3736" s="19" t="str">
        <f>IFERROR(LEFT(I3735,FIND("*",I3735)-1),"-")</f>
        <v>-</v>
      </c>
      <c r="V3736" s="19" t="str">
        <f>IFERROR(RIGHT(I3735,LEN(I3735)-FIND("*",I3735)),"-")</f>
        <v>-</v>
      </c>
      <c r="W3736" s="20" t="str">
        <f t="shared" si="2026"/>
        <v>-</v>
      </c>
      <c r="X3736" s="20" t="str">
        <f t="shared" ref="X3736" si="2031">IFERROR(W3736*J3735,"-")</f>
        <v>-</v>
      </c>
      <c r="Z3736" s="85" t="s">
        <v>82</v>
      </c>
    </row>
    <row r="3737" spans="1:26" ht="6.95" customHeight="1" x14ac:dyDescent="0.3">
      <c r="A3737" s="5"/>
      <c r="B3737" s="157"/>
      <c r="C3737" s="158"/>
      <c r="D3737" s="161"/>
      <c r="E3737" s="162"/>
      <c r="F3737" s="163"/>
      <c r="G3737" s="164"/>
      <c r="H3737" s="165"/>
      <c r="I3737" s="164"/>
      <c r="J3737" s="165"/>
      <c r="K3737" s="164"/>
      <c r="L3737" s="165"/>
      <c r="M3737" s="6"/>
      <c r="N3737" s="32"/>
      <c r="Q3737" s="10" t="str">
        <f>+CONCATENATE(E3735,K3735)</f>
        <v/>
      </c>
      <c r="R3737" s="10">
        <f>+L3735</f>
        <v>0</v>
      </c>
      <c r="S3737" s="11"/>
      <c r="T3737" s="10">
        <f>+E3735</f>
        <v>0</v>
      </c>
      <c r="U3737" s="19" t="str">
        <f>IFERROR(LEFT(K3735,FIND("*",K3735)-1),"-")</f>
        <v>-</v>
      </c>
      <c r="V3737" s="19" t="str">
        <f>IFERROR(RIGHT(K3735,LEN(K3735)-FIND("*",K3735)),"-")</f>
        <v>-</v>
      </c>
      <c r="W3737" s="20" t="str">
        <f t="shared" si="2026"/>
        <v>-</v>
      </c>
      <c r="X3737" s="20" t="str">
        <f>IFERROR(W3737*L3735,"-")</f>
        <v>-</v>
      </c>
      <c r="Z3737" s="85" t="s">
        <v>82</v>
      </c>
    </row>
    <row r="3738" spans="1:26" ht="21" customHeight="1" thickBot="1" x14ac:dyDescent="0.35">
      <c r="A3738" s="5"/>
      <c r="B3738" s="159"/>
      <c r="C3738" s="160"/>
      <c r="D3738" s="166" t="s">
        <v>43</v>
      </c>
      <c r="E3738" s="167"/>
      <c r="F3738" s="167"/>
      <c r="G3738" s="168"/>
      <c r="H3738" s="168"/>
      <c r="I3738" s="168"/>
      <c r="J3738" s="168"/>
      <c r="K3738" s="168"/>
      <c r="L3738" s="168"/>
      <c r="M3738" s="7"/>
      <c r="N3738" s="32"/>
      <c r="Z3738" s="86" t="s">
        <v>81</v>
      </c>
    </row>
    <row r="3739" spans="1:26" ht="9.9499999999999993" customHeight="1" thickBot="1" x14ac:dyDescent="0.35">
      <c r="B3739" s="9"/>
      <c r="C3739" s="109"/>
      <c r="D3739" s="51"/>
      <c r="E3739" s="12"/>
      <c r="F3739" s="51"/>
      <c r="G3739" s="14"/>
      <c r="H3739" s="14"/>
      <c r="I3739" s="14"/>
      <c r="J3739" s="14"/>
      <c r="K3739" s="14"/>
      <c r="L3739" s="14"/>
      <c r="M3739" s="9"/>
      <c r="N3739" s="32"/>
      <c r="U3739" s="18"/>
      <c r="V3739" s="18"/>
      <c r="Z3739" s="85" t="s">
        <v>82</v>
      </c>
    </row>
    <row r="3740" spans="1:26" ht="6.95" customHeight="1" x14ac:dyDescent="0.3">
      <c r="A3740" s="154">
        <f>+A3729+1</f>
        <v>1139</v>
      </c>
      <c r="B3740" s="155"/>
      <c r="C3740" s="156"/>
      <c r="D3740" s="161" t="s">
        <v>39</v>
      </c>
      <c r="E3740" s="162"/>
      <c r="F3740" s="163" t="s">
        <v>40</v>
      </c>
      <c r="G3740" s="164"/>
      <c r="H3740" s="165"/>
      <c r="I3740" s="164"/>
      <c r="J3740" s="165"/>
      <c r="K3740" s="164"/>
      <c r="L3740" s="165"/>
      <c r="M3740" s="6"/>
      <c r="N3740" s="32"/>
      <c r="Q3740" s="10" t="str">
        <f>+CONCATENATE(E3740,G3740)</f>
        <v/>
      </c>
      <c r="R3740" s="10">
        <f>+H3740</f>
        <v>0</v>
      </c>
      <c r="S3740" s="11"/>
      <c r="T3740" s="10">
        <f>+E3740</f>
        <v>0</v>
      </c>
      <c r="U3740" s="19" t="str">
        <f>IFERROR(LEFT(G3740,FIND("*",G3740)-1),"-")</f>
        <v>-</v>
      </c>
      <c r="V3740" s="19" t="str">
        <f>IFERROR(RIGHT(G3740,LEN(G3740)-FIND("*",G3740)),"-")</f>
        <v>-</v>
      </c>
      <c r="W3740" s="20" t="str">
        <f>IFERROR((U3740+V3740)*2/1000,"-")</f>
        <v>-</v>
      </c>
      <c r="X3740" s="20" t="str">
        <f>IFERROR(W3740*H3740,"-")</f>
        <v>-</v>
      </c>
      <c r="Z3740" s="85" t="s">
        <v>82</v>
      </c>
    </row>
    <row r="3741" spans="1:26" ht="6.95" customHeight="1" x14ac:dyDescent="0.3">
      <c r="A3741" s="154"/>
      <c r="B3741" s="157"/>
      <c r="C3741" s="158"/>
      <c r="D3741" s="161"/>
      <c r="E3741" s="162"/>
      <c r="F3741" s="163"/>
      <c r="G3741" s="164"/>
      <c r="H3741" s="165"/>
      <c r="I3741" s="164"/>
      <c r="J3741" s="165"/>
      <c r="K3741" s="164"/>
      <c r="L3741" s="165"/>
      <c r="M3741" s="6"/>
      <c r="N3741" s="32"/>
      <c r="Q3741" s="10" t="str">
        <f>+CONCATENATE(E3740,I3740)</f>
        <v/>
      </c>
      <c r="R3741" s="10">
        <f>+J3740</f>
        <v>0</v>
      </c>
      <c r="S3741" s="11"/>
      <c r="T3741" s="10">
        <f>+E3740</f>
        <v>0</v>
      </c>
      <c r="U3741" s="19" t="str">
        <f>IFERROR(LEFT(I3740,FIND("*",I3740)-1),"-")</f>
        <v>-</v>
      </c>
      <c r="V3741" s="19" t="str">
        <f>IFERROR(RIGHT(I3740,LEN(I3740)-FIND("*",I3740)),"-")</f>
        <v>-</v>
      </c>
      <c r="W3741" s="20" t="str">
        <f t="shared" ref="W3741:W3748" si="2032">IFERROR((U3741+V3741)*2/1000,"-")</f>
        <v>-</v>
      </c>
      <c r="X3741" s="20" t="str">
        <f>IFERROR(W3741*J3740,"-")</f>
        <v>-</v>
      </c>
      <c r="Z3741" s="85" t="s">
        <v>82</v>
      </c>
    </row>
    <row r="3742" spans="1:26" ht="6.95" customHeight="1" x14ac:dyDescent="0.3">
      <c r="A3742" s="154"/>
      <c r="B3742" s="157"/>
      <c r="C3742" s="158"/>
      <c r="D3742" s="161"/>
      <c r="E3742" s="162"/>
      <c r="F3742" s="163"/>
      <c r="G3742" s="164"/>
      <c r="H3742" s="165"/>
      <c r="I3742" s="164"/>
      <c r="J3742" s="165"/>
      <c r="K3742" s="164"/>
      <c r="L3742" s="165"/>
      <c r="M3742" s="6"/>
      <c r="N3742" s="32"/>
      <c r="Q3742" s="10" t="str">
        <f>+CONCATENATE(E3740,K3740)</f>
        <v/>
      </c>
      <c r="R3742" s="10">
        <f>+L3740</f>
        <v>0</v>
      </c>
      <c r="S3742" s="11"/>
      <c r="T3742" s="10">
        <f>+E3740</f>
        <v>0</v>
      </c>
      <c r="U3742" s="19" t="str">
        <f>IFERROR(LEFT(K3740,FIND("*",K3740)-1),"-")</f>
        <v>-</v>
      </c>
      <c r="V3742" s="19" t="str">
        <f>IFERROR(RIGHT(K3740,LEN(K3740)-FIND("*",K3740)),"-")</f>
        <v>-</v>
      </c>
      <c r="W3742" s="20" t="str">
        <f t="shared" si="2032"/>
        <v>-</v>
      </c>
      <c r="X3742" s="20" t="str">
        <f>IFERROR(W3742*L3740,"-")</f>
        <v>-</v>
      </c>
      <c r="Z3742" s="85" t="s">
        <v>82</v>
      </c>
    </row>
    <row r="3743" spans="1:26" ht="6.95" customHeight="1" x14ac:dyDescent="0.3">
      <c r="A3743" s="8"/>
      <c r="B3743" s="157"/>
      <c r="C3743" s="158"/>
      <c r="D3743" s="161" t="s">
        <v>39</v>
      </c>
      <c r="E3743" s="162"/>
      <c r="F3743" s="163" t="s">
        <v>40</v>
      </c>
      <c r="G3743" s="164"/>
      <c r="H3743" s="165"/>
      <c r="I3743" s="164"/>
      <c r="J3743" s="165"/>
      <c r="K3743" s="164"/>
      <c r="L3743" s="165"/>
      <c r="M3743" s="6"/>
      <c r="N3743" s="32"/>
      <c r="Q3743" s="10" t="str">
        <f>+CONCATENATE(E3743,G3743)</f>
        <v/>
      </c>
      <c r="R3743" s="10">
        <f>+H3743</f>
        <v>0</v>
      </c>
      <c r="S3743" s="11"/>
      <c r="T3743" s="10">
        <f>+E3743</f>
        <v>0</v>
      </c>
      <c r="U3743" s="19" t="str">
        <f t="shared" ref="U3743" si="2033">IFERROR(LEFT(G3743,FIND("*",G3743)-1),"-")</f>
        <v>-</v>
      </c>
      <c r="V3743" s="19" t="str">
        <f t="shared" ref="V3743" si="2034">IFERROR(RIGHT(G3743,LEN(G3743)-FIND("*",G3743)),"-")</f>
        <v>-</v>
      </c>
      <c r="W3743" s="20" t="str">
        <f t="shared" si="2032"/>
        <v>-</v>
      </c>
      <c r="X3743" s="20" t="str">
        <f>IFERROR(W3743*H3743,"-")</f>
        <v>-</v>
      </c>
      <c r="Z3743" s="85" t="s">
        <v>82</v>
      </c>
    </row>
    <row r="3744" spans="1:26" ht="6.95" customHeight="1" x14ac:dyDescent="0.3">
      <c r="A3744" s="5"/>
      <c r="B3744" s="157"/>
      <c r="C3744" s="158"/>
      <c r="D3744" s="161"/>
      <c r="E3744" s="162"/>
      <c r="F3744" s="163"/>
      <c r="G3744" s="164"/>
      <c r="H3744" s="165"/>
      <c r="I3744" s="164"/>
      <c r="J3744" s="165"/>
      <c r="K3744" s="164"/>
      <c r="L3744" s="165"/>
      <c r="M3744" s="6"/>
      <c r="N3744" s="32"/>
      <c r="Q3744" s="10" t="str">
        <f>+CONCATENATE(E3743,I3743)</f>
        <v/>
      </c>
      <c r="R3744" s="10">
        <f>+J3743</f>
        <v>0</v>
      </c>
      <c r="S3744" s="11"/>
      <c r="T3744" s="10">
        <f>+E3743</f>
        <v>0</v>
      </c>
      <c r="U3744" s="19" t="str">
        <f>IFERROR(LEFT(I3743,FIND("*",I3743)-1),"-")</f>
        <v>-</v>
      </c>
      <c r="V3744" s="19" t="str">
        <f>IFERROR(RIGHT(I3743,LEN(I3743)-FIND("*",I3743)),"-")</f>
        <v>-</v>
      </c>
      <c r="W3744" s="20" t="str">
        <f t="shared" si="2032"/>
        <v>-</v>
      </c>
      <c r="X3744" s="20" t="str">
        <f>IFERROR(W3744*J3743,"-")</f>
        <v>-</v>
      </c>
      <c r="Z3744" s="85" t="s">
        <v>82</v>
      </c>
    </row>
    <row r="3745" spans="1:26" ht="6.95" customHeight="1" x14ac:dyDescent="0.3">
      <c r="A3745" s="5"/>
      <c r="B3745" s="157"/>
      <c r="C3745" s="158"/>
      <c r="D3745" s="161"/>
      <c r="E3745" s="162"/>
      <c r="F3745" s="163"/>
      <c r="G3745" s="164"/>
      <c r="H3745" s="165"/>
      <c r="I3745" s="164"/>
      <c r="J3745" s="165"/>
      <c r="K3745" s="164"/>
      <c r="L3745" s="165"/>
      <c r="M3745" s="6"/>
      <c r="N3745" s="32"/>
      <c r="Q3745" s="10" t="str">
        <f>+CONCATENATE(E3743,K3743)</f>
        <v/>
      </c>
      <c r="R3745" s="10">
        <f>+L3743</f>
        <v>0</v>
      </c>
      <c r="S3745" s="11"/>
      <c r="T3745" s="10">
        <f>+E3743</f>
        <v>0</v>
      </c>
      <c r="U3745" s="19" t="str">
        <f>IFERROR(LEFT(K3743,FIND("*",K3743)-1),"-")</f>
        <v>-</v>
      </c>
      <c r="V3745" s="19" t="str">
        <f>IFERROR(RIGHT(K3743,LEN(K3743)-FIND("*",K3743)),"-")</f>
        <v>-</v>
      </c>
      <c r="W3745" s="20" t="str">
        <f t="shared" si="2032"/>
        <v>-</v>
      </c>
      <c r="X3745" s="20" t="str">
        <f>IFERROR(W3745*L3743,"-")</f>
        <v>-</v>
      </c>
      <c r="Z3745" s="85" t="s">
        <v>82</v>
      </c>
    </row>
    <row r="3746" spans="1:26" ht="6.95" customHeight="1" x14ac:dyDescent="0.3">
      <c r="A3746" s="8"/>
      <c r="B3746" s="157"/>
      <c r="C3746" s="158"/>
      <c r="D3746" s="161" t="s">
        <v>39</v>
      </c>
      <c r="E3746" s="162"/>
      <c r="F3746" s="163" t="s">
        <v>40</v>
      </c>
      <c r="G3746" s="164"/>
      <c r="H3746" s="165"/>
      <c r="I3746" s="164"/>
      <c r="J3746" s="165"/>
      <c r="K3746" s="164"/>
      <c r="L3746" s="165"/>
      <c r="M3746" s="6"/>
      <c r="N3746" s="32"/>
      <c r="Q3746" s="10" t="str">
        <f>+CONCATENATE(E3746,G3746)</f>
        <v/>
      </c>
      <c r="R3746" s="10">
        <f>+H3746</f>
        <v>0</v>
      </c>
      <c r="S3746" s="11"/>
      <c r="T3746" s="10">
        <f>+E3746</f>
        <v>0</v>
      </c>
      <c r="U3746" s="19" t="str">
        <f t="shared" ref="U3746" si="2035">IFERROR(LEFT(G3746,FIND("*",G3746)-1),"-")</f>
        <v>-</v>
      </c>
      <c r="V3746" s="19" t="str">
        <f t="shared" ref="V3746" si="2036">IFERROR(RIGHT(G3746,LEN(G3746)-FIND("*",G3746)),"-")</f>
        <v>-</v>
      </c>
      <c r="W3746" s="20" t="str">
        <f t="shared" si="2032"/>
        <v>-</v>
      </c>
      <c r="X3746" s="20" t="str">
        <f>IFERROR(W3746*H3746,"-")</f>
        <v>-</v>
      </c>
      <c r="Z3746" s="85" t="s">
        <v>82</v>
      </c>
    </row>
    <row r="3747" spans="1:26" ht="6.95" customHeight="1" x14ac:dyDescent="0.3">
      <c r="A3747" s="5"/>
      <c r="B3747" s="157"/>
      <c r="C3747" s="158"/>
      <c r="D3747" s="161"/>
      <c r="E3747" s="162"/>
      <c r="F3747" s="163"/>
      <c r="G3747" s="164"/>
      <c r="H3747" s="165"/>
      <c r="I3747" s="164"/>
      <c r="J3747" s="165"/>
      <c r="K3747" s="164"/>
      <c r="L3747" s="165"/>
      <c r="M3747" s="6"/>
      <c r="N3747" s="32"/>
      <c r="Q3747" s="10" t="str">
        <f>+CONCATENATE(E3746,I3746)</f>
        <v/>
      </c>
      <c r="R3747" s="10">
        <f>+J3746</f>
        <v>0</v>
      </c>
      <c r="S3747" s="11"/>
      <c r="T3747" s="10">
        <f>+E3746</f>
        <v>0</v>
      </c>
      <c r="U3747" s="19" t="str">
        <f>IFERROR(LEFT(I3746,FIND("*",I3746)-1),"-")</f>
        <v>-</v>
      </c>
      <c r="V3747" s="19" t="str">
        <f>IFERROR(RIGHT(I3746,LEN(I3746)-FIND("*",I3746)),"-")</f>
        <v>-</v>
      </c>
      <c r="W3747" s="20" t="str">
        <f t="shared" si="2032"/>
        <v>-</v>
      </c>
      <c r="X3747" s="20" t="str">
        <f t="shared" ref="X3747" si="2037">IFERROR(W3747*J3746,"-")</f>
        <v>-</v>
      </c>
      <c r="Z3747" s="85" t="s">
        <v>82</v>
      </c>
    </row>
    <row r="3748" spans="1:26" ht="6.95" customHeight="1" x14ac:dyDescent="0.3">
      <c r="A3748" s="5"/>
      <c r="B3748" s="157"/>
      <c r="C3748" s="158"/>
      <c r="D3748" s="161"/>
      <c r="E3748" s="162"/>
      <c r="F3748" s="163"/>
      <c r="G3748" s="164"/>
      <c r="H3748" s="165"/>
      <c r="I3748" s="164"/>
      <c r="J3748" s="165"/>
      <c r="K3748" s="164"/>
      <c r="L3748" s="165"/>
      <c r="M3748" s="6"/>
      <c r="N3748" s="32"/>
      <c r="Q3748" s="10" t="str">
        <f>+CONCATENATE(E3746,K3746)</f>
        <v/>
      </c>
      <c r="R3748" s="10">
        <f>+L3746</f>
        <v>0</v>
      </c>
      <c r="S3748" s="11"/>
      <c r="T3748" s="10">
        <f>+E3746</f>
        <v>0</v>
      </c>
      <c r="U3748" s="19" t="str">
        <f>IFERROR(LEFT(K3746,FIND("*",K3746)-1),"-")</f>
        <v>-</v>
      </c>
      <c r="V3748" s="19" t="str">
        <f>IFERROR(RIGHT(K3746,LEN(K3746)-FIND("*",K3746)),"-")</f>
        <v>-</v>
      </c>
      <c r="W3748" s="20" t="str">
        <f t="shared" si="2032"/>
        <v>-</v>
      </c>
      <c r="X3748" s="20" t="str">
        <f>IFERROR(W3748*L3746,"-")</f>
        <v>-</v>
      </c>
      <c r="Z3748" s="85" t="s">
        <v>82</v>
      </c>
    </row>
    <row r="3749" spans="1:26" ht="21" customHeight="1" thickBot="1" x14ac:dyDescent="0.35">
      <c r="A3749" s="5"/>
      <c r="B3749" s="159"/>
      <c r="C3749" s="160"/>
      <c r="D3749" s="166" t="s">
        <v>43</v>
      </c>
      <c r="E3749" s="167"/>
      <c r="F3749" s="167"/>
      <c r="G3749" s="168"/>
      <c r="H3749" s="168"/>
      <c r="I3749" s="168"/>
      <c r="J3749" s="168"/>
      <c r="K3749" s="168"/>
      <c r="L3749" s="168"/>
      <c r="M3749" s="7"/>
      <c r="N3749" s="32"/>
      <c r="Z3749" s="86" t="s">
        <v>81</v>
      </c>
    </row>
    <row r="3750" spans="1:26" ht="9.9499999999999993" customHeight="1" thickBot="1" x14ac:dyDescent="0.35">
      <c r="B3750" s="9"/>
      <c r="C3750" s="109"/>
      <c r="D3750" s="51"/>
      <c r="E3750" s="12"/>
      <c r="F3750" s="51"/>
      <c r="G3750" s="14"/>
      <c r="H3750" s="14"/>
      <c r="I3750" s="14"/>
      <c r="J3750" s="14"/>
      <c r="K3750" s="14"/>
      <c r="L3750" s="14"/>
      <c r="M3750" s="9"/>
      <c r="N3750" s="32"/>
      <c r="U3750" s="18"/>
      <c r="V3750" s="18"/>
      <c r="Z3750" s="85" t="s">
        <v>82</v>
      </c>
    </row>
    <row r="3751" spans="1:26" ht="6.95" customHeight="1" x14ac:dyDescent="0.3">
      <c r="A3751" s="154">
        <f>+A3740+1</f>
        <v>1140</v>
      </c>
      <c r="B3751" s="155"/>
      <c r="C3751" s="156"/>
      <c r="D3751" s="161" t="s">
        <v>39</v>
      </c>
      <c r="E3751" s="162"/>
      <c r="F3751" s="163" t="s">
        <v>40</v>
      </c>
      <c r="G3751" s="164"/>
      <c r="H3751" s="165"/>
      <c r="I3751" s="164"/>
      <c r="J3751" s="165"/>
      <c r="K3751" s="164"/>
      <c r="L3751" s="165"/>
      <c r="M3751" s="6"/>
      <c r="N3751" s="32"/>
      <c r="Q3751" s="10" t="str">
        <f>+CONCATENATE(E3751,G3751)</f>
        <v/>
      </c>
      <c r="R3751" s="10">
        <f>+H3751</f>
        <v>0</v>
      </c>
      <c r="S3751" s="11"/>
      <c r="T3751" s="10">
        <f>+E3751</f>
        <v>0</v>
      </c>
      <c r="U3751" s="19" t="str">
        <f>IFERROR(LEFT(G3751,FIND("*",G3751)-1),"-")</f>
        <v>-</v>
      </c>
      <c r="V3751" s="19" t="str">
        <f>IFERROR(RIGHT(G3751,LEN(G3751)-FIND("*",G3751)),"-")</f>
        <v>-</v>
      </c>
      <c r="W3751" s="20" t="str">
        <f>IFERROR((U3751+V3751)*2/1000,"-")</f>
        <v>-</v>
      </c>
      <c r="X3751" s="20" t="str">
        <f>IFERROR(W3751*H3751,"-")</f>
        <v>-</v>
      </c>
      <c r="Z3751" s="85" t="s">
        <v>82</v>
      </c>
    </row>
    <row r="3752" spans="1:26" ht="6.95" customHeight="1" x14ac:dyDescent="0.3">
      <c r="A3752" s="154"/>
      <c r="B3752" s="157"/>
      <c r="C3752" s="158"/>
      <c r="D3752" s="161"/>
      <c r="E3752" s="162"/>
      <c r="F3752" s="163"/>
      <c r="G3752" s="164"/>
      <c r="H3752" s="165"/>
      <c r="I3752" s="164"/>
      <c r="J3752" s="165"/>
      <c r="K3752" s="164"/>
      <c r="L3752" s="165"/>
      <c r="M3752" s="6"/>
      <c r="N3752" s="32"/>
      <c r="Q3752" s="10" t="str">
        <f>+CONCATENATE(E3751,I3751)</f>
        <v/>
      </c>
      <c r="R3752" s="10">
        <f>+J3751</f>
        <v>0</v>
      </c>
      <c r="S3752" s="11"/>
      <c r="T3752" s="10">
        <f>+E3751</f>
        <v>0</v>
      </c>
      <c r="U3752" s="19" t="str">
        <f>IFERROR(LEFT(I3751,FIND("*",I3751)-1),"-")</f>
        <v>-</v>
      </c>
      <c r="V3752" s="19" t="str">
        <f>IFERROR(RIGHT(I3751,LEN(I3751)-FIND("*",I3751)),"-")</f>
        <v>-</v>
      </c>
      <c r="W3752" s="20" t="str">
        <f t="shared" ref="W3752:W3759" si="2038">IFERROR((U3752+V3752)*2/1000,"-")</f>
        <v>-</v>
      </c>
      <c r="X3752" s="20" t="str">
        <f>IFERROR(W3752*J3751,"-")</f>
        <v>-</v>
      </c>
      <c r="Z3752" s="85" t="s">
        <v>82</v>
      </c>
    </row>
    <row r="3753" spans="1:26" ht="6.95" customHeight="1" x14ac:dyDescent="0.3">
      <c r="A3753" s="154"/>
      <c r="B3753" s="157"/>
      <c r="C3753" s="158"/>
      <c r="D3753" s="161"/>
      <c r="E3753" s="162"/>
      <c r="F3753" s="163"/>
      <c r="G3753" s="164"/>
      <c r="H3753" s="165"/>
      <c r="I3753" s="164"/>
      <c r="J3753" s="165"/>
      <c r="K3753" s="164"/>
      <c r="L3753" s="165"/>
      <c r="M3753" s="6"/>
      <c r="N3753" s="32"/>
      <c r="Q3753" s="10" t="str">
        <f>+CONCATENATE(E3751,K3751)</f>
        <v/>
      </c>
      <c r="R3753" s="10">
        <f>+L3751</f>
        <v>0</v>
      </c>
      <c r="S3753" s="11"/>
      <c r="T3753" s="10">
        <f>+E3751</f>
        <v>0</v>
      </c>
      <c r="U3753" s="19" t="str">
        <f>IFERROR(LEFT(K3751,FIND("*",K3751)-1),"-")</f>
        <v>-</v>
      </c>
      <c r="V3753" s="19" t="str">
        <f>IFERROR(RIGHT(K3751,LEN(K3751)-FIND("*",K3751)),"-")</f>
        <v>-</v>
      </c>
      <c r="W3753" s="20" t="str">
        <f t="shared" si="2038"/>
        <v>-</v>
      </c>
      <c r="X3753" s="20" t="str">
        <f>IFERROR(W3753*L3751,"-")</f>
        <v>-</v>
      </c>
      <c r="Z3753" s="85" t="s">
        <v>82</v>
      </c>
    </row>
    <row r="3754" spans="1:26" ht="6.95" customHeight="1" x14ac:dyDescent="0.3">
      <c r="A3754" s="8"/>
      <c r="B3754" s="157"/>
      <c r="C3754" s="158"/>
      <c r="D3754" s="161" t="s">
        <v>39</v>
      </c>
      <c r="E3754" s="162"/>
      <c r="F3754" s="163" t="s">
        <v>40</v>
      </c>
      <c r="G3754" s="164"/>
      <c r="H3754" s="165"/>
      <c r="I3754" s="164"/>
      <c r="J3754" s="165"/>
      <c r="K3754" s="164"/>
      <c r="L3754" s="165"/>
      <c r="M3754" s="6"/>
      <c r="N3754" s="32"/>
      <c r="Q3754" s="10" t="str">
        <f>+CONCATENATE(E3754,G3754)</f>
        <v/>
      </c>
      <c r="R3754" s="10">
        <f>+H3754</f>
        <v>0</v>
      </c>
      <c r="S3754" s="11"/>
      <c r="T3754" s="10">
        <f>+E3754</f>
        <v>0</v>
      </c>
      <c r="U3754" s="19" t="str">
        <f t="shared" ref="U3754" si="2039">IFERROR(LEFT(G3754,FIND("*",G3754)-1),"-")</f>
        <v>-</v>
      </c>
      <c r="V3754" s="19" t="str">
        <f t="shared" ref="V3754" si="2040">IFERROR(RIGHT(G3754,LEN(G3754)-FIND("*",G3754)),"-")</f>
        <v>-</v>
      </c>
      <c r="W3754" s="20" t="str">
        <f t="shared" si="2038"/>
        <v>-</v>
      </c>
      <c r="X3754" s="20" t="str">
        <f>IFERROR(W3754*H3754,"-")</f>
        <v>-</v>
      </c>
      <c r="Z3754" s="85" t="s">
        <v>82</v>
      </c>
    </row>
    <row r="3755" spans="1:26" ht="6.95" customHeight="1" x14ac:dyDescent="0.3">
      <c r="A3755" s="5"/>
      <c r="B3755" s="157"/>
      <c r="C3755" s="158"/>
      <c r="D3755" s="161"/>
      <c r="E3755" s="162"/>
      <c r="F3755" s="163"/>
      <c r="G3755" s="164"/>
      <c r="H3755" s="165"/>
      <c r="I3755" s="164"/>
      <c r="J3755" s="165"/>
      <c r="K3755" s="164"/>
      <c r="L3755" s="165"/>
      <c r="M3755" s="6"/>
      <c r="N3755" s="32"/>
      <c r="Q3755" s="10" t="str">
        <f>+CONCATENATE(E3754,I3754)</f>
        <v/>
      </c>
      <c r="R3755" s="10">
        <f>+J3754</f>
        <v>0</v>
      </c>
      <c r="S3755" s="11"/>
      <c r="T3755" s="10">
        <f>+E3754</f>
        <v>0</v>
      </c>
      <c r="U3755" s="19" t="str">
        <f>IFERROR(LEFT(I3754,FIND("*",I3754)-1),"-")</f>
        <v>-</v>
      </c>
      <c r="V3755" s="19" t="str">
        <f>IFERROR(RIGHT(I3754,LEN(I3754)-FIND("*",I3754)),"-")</f>
        <v>-</v>
      </c>
      <c r="W3755" s="20" t="str">
        <f t="shared" si="2038"/>
        <v>-</v>
      </c>
      <c r="X3755" s="20" t="str">
        <f>IFERROR(W3755*J3754,"-")</f>
        <v>-</v>
      </c>
      <c r="Z3755" s="85" t="s">
        <v>82</v>
      </c>
    </row>
    <row r="3756" spans="1:26" ht="6.95" customHeight="1" x14ac:dyDescent="0.3">
      <c r="A3756" s="5"/>
      <c r="B3756" s="157"/>
      <c r="C3756" s="158"/>
      <c r="D3756" s="161"/>
      <c r="E3756" s="162"/>
      <c r="F3756" s="163"/>
      <c r="G3756" s="164"/>
      <c r="H3756" s="165"/>
      <c r="I3756" s="164"/>
      <c r="J3756" s="165"/>
      <c r="K3756" s="164"/>
      <c r="L3756" s="165"/>
      <c r="M3756" s="6"/>
      <c r="N3756" s="32"/>
      <c r="Q3756" s="10" t="str">
        <f>+CONCATENATE(E3754,K3754)</f>
        <v/>
      </c>
      <c r="R3756" s="10">
        <f>+L3754</f>
        <v>0</v>
      </c>
      <c r="S3756" s="11"/>
      <c r="T3756" s="10">
        <f>+E3754</f>
        <v>0</v>
      </c>
      <c r="U3756" s="19" t="str">
        <f>IFERROR(LEFT(K3754,FIND("*",K3754)-1),"-")</f>
        <v>-</v>
      </c>
      <c r="V3756" s="19" t="str">
        <f>IFERROR(RIGHT(K3754,LEN(K3754)-FIND("*",K3754)),"-")</f>
        <v>-</v>
      </c>
      <c r="W3756" s="20" t="str">
        <f t="shared" si="2038"/>
        <v>-</v>
      </c>
      <c r="X3756" s="20" t="str">
        <f>IFERROR(W3756*L3754,"-")</f>
        <v>-</v>
      </c>
      <c r="Z3756" s="85" t="s">
        <v>82</v>
      </c>
    </row>
    <row r="3757" spans="1:26" ht="6.95" customHeight="1" x14ac:dyDescent="0.3">
      <c r="A3757" s="8"/>
      <c r="B3757" s="157"/>
      <c r="C3757" s="158"/>
      <c r="D3757" s="161" t="s">
        <v>39</v>
      </c>
      <c r="E3757" s="162"/>
      <c r="F3757" s="163" t="s">
        <v>40</v>
      </c>
      <c r="G3757" s="164"/>
      <c r="H3757" s="165"/>
      <c r="I3757" s="164"/>
      <c r="J3757" s="165"/>
      <c r="K3757" s="164"/>
      <c r="L3757" s="165"/>
      <c r="M3757" s="6"/>
      <c r="N3757" s="32"/>
      <c r="Q3757" s="10" t="str">
        <f>+CONCATENATE(E3757,G3757)</f>
        <v/>
      </c>
      <c r="R3757" s="10">
        <f>+H3757</f>
        <v>0</v>
      </c>
      <c r="S3757" s="11"/>
      <c r="T3757" s="10">
        <f>+E3757</f>
        <v>0</v>
      </c>
      <c r="U3757" s="19" t="str">
        <f t="shared" ref="U3757" si="2041">IFERROR(LEFT(G3757,FIND("*",G3757)-1),"-")</f>
        <v>-</v>
      </c>
      <c r="V3757" s="19" t="str">
        <f t="shared" ref="V3757" si="2042">IFERROR(RIGHT(G3757,LEN(G3757)-FIND("*",G3757)),"-")</f>
        <v>-</v>
      </c>
      <c r="W3757" s="20" t="str">
        <f t="shared" si="2038"/>
        <v>-</v>
      </c>
      <c r="X3757" s="20" t="str">
        <f>IFERROR(W3757*H3757,"-")</f>
        <v>-</v>
      </c>
      <c r="Z3757" s="85" t="s">
        <v>82</v>
      </c>
    </row>
    <row r="3758" spans="1:26" ht="6.95" customHeight="1" x14ac:dyDescent="0.3">
      <c r="A3758" s="5"/>
      <c r="B3758" s="157"/>
      <c r="C3758" s="158"/>
      <c r="D3758" s="161"/>
      <c r="E3758" s="162"/>
      <c r="F3758" s="163"/>
      <c r="G3758" s="164"/>
      <c r="H3758" s="165"/>
      <c r="I3758" s="164"/>
      <c r="J3758" s="165"/>
      <c r="K3758" s="164"/>
      <c r="L3758" s="165"/>
      <c r="M3758" s="6"/>
      <c r="N3758" s="32"/>
      <c r="Q3758" s="10" t="str">
        <f>+CONCATENATE(E3757,I3757)</f>
        <v/>
      </c>
      <c r="R3758" s="10">
        <f>+J3757</f>
        <v>0</v>
      </c>
      <c r="S3758" s="11"/>
      <c r="T3758" s="10">
        <f>+E3757</f>
        <v>0</v>
      </c>
      <c r="U3758" s="19" t="str">
        <f>IFERROR(LEFT(I3757,FIND("*",I3757)-1),"-")</f>
        <v>-</v>
      </c>
      <c r="V3758" s="19" t="str">
        <f>IFERROR(RIGHT(I3757,LEN(I3757)-FIND("*",I3757)),"-")</f>
        <v>-</v>
      </c>
      <c r="W3758" s="20" t="str">
        <f t="shared" si="2038"/>
        <v>-</v>
      </c>
      <c r="X3758" s="20" t="str">
        <f t="shared" ref="X3758" si="2043">IFERROR(W3758*J3757,"-")</f>
        <v>-</v>
      </c>
      <c r="Z3758" s="85" t="s">
        <v>82</v>
      </c>
    </row>
    <row r="3759" spans="1:26" ht="6.95" customHeight="1" x14ac:dyDescent="0.3">
      <c r="A3759" s="5"/>
      <c r="B3759" s="157"/>
      <c r="C3759" s="158"/>
      <c r="D3759" s="161"/>
      <c r="E3759" s="162"/>
      <c r="F3759" s="163"/>
      <c r="G3759" s="164"/>
      <c r="H3759" s="165"/>
      <c r="I3759" s="164"/>
      <c r="J3759" s="165"/>
      <c r="K3759" s="164"/>
      <c r="L3759" s="165"/>
      <c r="M3759" s="6"/>
      <c r="N3759" s="32"/>
      <c r="Q3759" s="10" t="str">
        <f>+CONCATENATE(E3757,K3757)</f>
        <v/>
      </c>
      <c r="R3759" s="10">
        <f>+L3757</f>
        <v>0</v>
      </c>
      <c r="S3759" s="11"/>
      <c r="T3759" s="10">
        <f>+E3757</f>
        <v>0</v>
      </c>
      <c r="U3759" s="19" t="str">
        <f>IFERROR(LEFT(K3757,FIND("*",K3757)-1),"-")</f>
        <v>-</v>
      </c>
      <c r="V3759" s="19" t="str">
        <f>IFERROR(RIGHT(K3757,LEN(K3757)-FIND("*",K3757)),"-")</f>
        <v>-</v>
      </c>
      <c r="W3759" s="20" t="str">
        <f t="shared" si="2038"/>
        <v>-</v>
      </c>
      <c r="X3759" s="20" t="str">
        <f>IFERROR(W3759*L3757,"-")</f>
        <v>-</v>
      </c>
      <c r="Z3759" s="85" t="s">
        <v>82</v>
      </c>
    </row>
    <row r="3760" spans="1:26" ht="21" customHeight="1" thickBot="1" x14ac:dyDescent="0.35">
      <c r="A3760" s="5"/>
      <c r="B3760" s="159"/>
      <c r="C3760" s="160"/>
      <c r="D3760" s="166" t="s">
        <v>43</v>
      </c>
      <c r="E3760" s="167"/>
      <c r="F3760" s="167"/>
      <c r="G3760" s="168"/>
      <c r="H3760" s="168"/>
      <c r="I3760" s="168"/>
      <c r="J3760" s="168"/>
      <c r="K3760" s="168"/>
      <c r="L3760" s="168"/>
      <c r="M3760" s="7"/>
      <c r="N3760" s="32"/>
      <c r="Z3760" s="86" t="s">
        <v>81</v>
      </c>
    </row>
    <row r="3761" spans="1:26" ht="9.9499999999999993" customHeight="1" thickBot="1" x14ac:dyDescent="0.35">
      <c r="B3761" s="9"/>
      <c r="C3761" s="109"/>
      <c r="D3761" s="51"/>
      <c r="E3761" s="12"/>
      <c r="F3761" s="51"/>
      <c r="G3761" s="14"/>
      <c r="H3761" s="14"/>
      <c r="I3761" s="14"/>
      <c r="J3761" s="14"/>
      <c r="K3761" s="14"/>
      <c r="L3761" s="14"/>
      <c r="M3761" s="9"/>
      <c r="N3761" s="32"/>
      <c r="U3761" s="18"/>
      <c r="V3761" s="18"/>
      <c r="Z3761" s="85" t="s">
        <v>82</v>
      </c>
    </row>
    <row r="3762" spans="1:26" ht="6.95" customHeight="1" x14ac:dyDescent="0.3">
      <c r="A3762" s="154">
        <f>+A3751+1</f>
        <v>1141</v>
      </c>
      <c r="B3762" s="155"/>
      <c r="C3762" s="156"/>
      <c r="D3762" s="161" t="s">
        <v>39</v>
      </c>
      <c r="E3762" s="162"/>
      <c r="F3762" s="163" t="s">
        <v>40</v>
      </c>
      <c r="G3762" s="164"/>
      <c r="H3762" s="165"/>
      <c r="I3762" s="164"/>
      <c r="J3762" s="165"/>
      <c r="K3762" s="164"/>
      <c r="L3762" s="165"/>
      <c r="M3762" s="6"/>
      <c r="N3762" s="32"/>
      <c r="Q3762" s="10" t="str">
        <f>+CONCATENATE(E3762,G3762)</f>
        <v/>
      </c>
      <c r="R3762" s="10">
        <f>+H3762</f>
        <v>0</v>
      </c>
      <c r="S3762" s="11"/>
      <c r="T3762" s="10">
        <f>+E3762</f>
        <v>0</v>
      </c>
      <c r="U3762" s="19" t="str">
        <f>IFERROR(LEFT(G3762,FIND("*",G3762)-1),"-")</f>
        <v>-</v>
      </c>
      <c r="V3762" s="19" t="str">
        <f>IFERROR(RIGHT(G3762,LEN(G3762)-FIND("*",G3762)),"-")</f>
        <v>-</v>
      </c>
      <c r="W3762" s="20" t="str">
        <f>IFERROR((U3762+V3762)*2/1000,"-")</f>
        <v>-</v>
      </c>
      <c r="X3762" s="20" t="str">
        <f>IFERROR(W3762*H3762,"-")</f>
        <v>-</v>
      </c>
      <c r="Z3762" s="85" t="s">
        <v>82</v>
      </c>
    </row>
    <row r="3763" spans="1:26" ht="6.95" customHeight="1" x14ac:dyDescent="0.3">
      <c r="A3763" s="154"/>
      <c r="B3763" s="157"/>
      <c r="C3763" s="158"/>
      <c r="D3763" s="161"/>
      <c r="E3763" s="162"/>
      <c r="F3763" s="163"/>
      <c r="G3763" s="164"/>
      <c r="H3763" s="165"/>
      <c r="I3763" s="164"/>
      <c r="J3763" s="165"/>
      <c r="K3763" s="164"/>
      <c r="L3763" s="165"/>
      <c r="M3763" s="6"/>
      <c r="N3763" s="32"/>
      <c r="Q3763" s="10" t="str">
        <f>+CONCATENATE(E3762,I3762)</f>
        <v/>
      </c>
      <c r="R3763" s="10">
        <f>+J3762</f>
        <v>0</v>
      </c>
      <c r="S3763" s="11"/>
      <c r="T3763" s="10">
        <f>+E3762</f>
        <v>0</v>
      </c>
      <c r="U3763" s="19" t="str">
        <f>IFERROR(LEFT(I3762,FIND("*",I3762)-1),"-")</f>
        <v>-</v>
      </c>
      <c r="V3763" s="19" t="str">
        <f>IFERROR(RIGHT(I3762,LEN(I3762)-FIND("*",I3762)),"-")</f>
        <v>-</v>
      </c>
      <c r="W3763" s="20" t="str">
        <f t="shared" ref="W3763:W3770" si="2044">IFERROR((U3763+V3763)*2/1000,"-")</f>
        <v>-</v>
      </c>
      <c r="X3763" s="20" t="str">
        <f>IFERROR(W3763*J3762,"-")</f>
        <v>-</v>
      </c>
      <c r="Z3763" s="85" t="s">
        <v>82</v>
      </c>
    </row>
    <row r="3764" spans="1:26" ht="6.95" customHeight="1" x14ac:dyDescent="0.3">
      <c r="A3764" s="154"/>
      <c r="B3764" s="157"/>
      <c r="C3764" s="158"/>
      <c r="D3764" s="161"/>
      <c r="E3764" s="162"/>
      <c r="F3764" s="163"/>
      <c r="G3764" s="164"/>
      <c r="H3764" s="165"/>
      <c r="I3764" s="164"/>
      <c r="J3764" s="165"/>
      <c r="K3764" s="164"/>
      <c r="L3764" s="165"/>
      <c r="M3764" s="6"/>
      <c r="N3764" s="32"/>
      <c r="Q3764" s="10" t="str">
        <f>+CONCATENATE(E3762,K3762)</f>
        <v/>
      </c>
      <c r="R3764" s="10">
        <f>+L3762</f>
        <v>0</v>
      </c>
      <c r="S3764" s="11"/>
      <c r="T3764" s="10">
        <f>+E3762</f>
        <v>0</v>
      </c>
      <c r="U3764" s="19" t="str">
        <f>IFERROR(LEFT(K3762,FIND("*",K3762)-1),"-")</f>
        <v>-</v>
      </c>
      <c r="V3764" s="19" t="str">
        <f>IFERROR(RIGHT(K3762,LEN(K3762)-FIND("*",K3762)),"-")</f>
        <v>-</v>
      </c>
      <c r="W3764" s="20" t="str">
        <f t="shared" si="2044"/>
        <v>-</v>
      </c>
      <c r="X3764" s="20" t="str">
        <f>IFERROR(W3764*L3762,"-")</f>
        <v>-</v>
      </c>
      <c r="Z3764" s="85" t="s">
        <v>82</v>
      </c>
    </row>
    <row r="3765" spans="1:26" ht="6.95" customHeight="1" x14ac:dyDescent="0.3">
      <c r="A3765" s="8"/>
      <c r="B3765" s="157"/>
      <c r="C3765" s="158"/>
      <c r="D3765" s="161" t="s">
        <v>39</v>
      </c>
      <c r="E3765" s="162"/>
      <c r="F3765" s="163" t="s">
        <v>40</v>
      </c>
      <c r="G3765" s="164"/>
      <c r="H3765" s="165"/>
      <c r="I3765" s="164"/>
      <c r="J3765" s="165"/>
      <c r="K3765" s="164"/>
      <c r="L3765" s="165"/>
      <c r="M3765" s="6"/>
      <c r="N3765" s="32"/>
      <c r="Q3765" s="10" t="str">
        <f>+CONCATENATE(E3765,G3765)</f>
        <v/>
      </c>
      <c r="R3765" s="10">
        <f>+H3765</f>
        <v>0</v>
      </c>
      <c r="S3765" s="11"/>
      <c r="T3765" s="10">
        <f>+E3765</f>
        <v>0</v>
      </c>
      <c r="U3765" s="19" t="str">
        <f t="shared" ref="U3765" si="2045">IFERROR(LEFT(G3765,FIND("*",G3765)-1),"-")</f>
        <v>-</v>
      </c>
      <c r="V3765" s="19" t="str">
        <f t="shared" ref="V3765" si="2046">IFERROR(RIGHT(G3765,LEN(G3765)-FIND("*",G3765)),"-")</f>
        <v>-</v>
      </c>
      <c r="W3765" s="20" t="str">
        <f t="shared" si="2044"/>
        <v>-</v>
      </c>
      <c r="X3765" s="20" t="str">
        <f>IFERROR(W3765*H3765,"-")</f>
        <v>-</v>
      </c>
      <c r="Z3765" s="85" t="s">
        <v>82</v>
      </c>
    </row>
    <row r="3766" spans="1:26" ht="6.95" customHeight="1" x14ac:dyDescent="0.3">
      <c r="A3766" s="5"/>
      <c r="B3766" s="157"/>
      <c r="C3766" s="158"/>
      <c r="D3766" s="161"/>
      <c r="E3766" s="162"/>
      <c r="F3766" s="163"/>
      <c r="G3766" s="164"/>
      <c r="H3766" s="165"/>
      <c r="I3766" s="164"/>
      <c r="J3766" s="165"/>
      <c r="K3766" s="164"/>
      <c r="L3766" s="165"/>
      <c r="M3766" s="6"/>
      <c r="N3766" s="32"/>
      <c r="Q3766" s="10" t="str">
        <f>+CONCATENATE(E3765,I3765)</f>
        <v/>
      </c>
      <c r="R3766" s="10">
        <f>+J3765</f>
        <v>0</v>
      </c>
      <c r="S3766" s="11"/>
      <c r="T3766" s="10">
        <f>+E3765</f>
        <v>0</v>
      </c>
      <c r="U3766" s="19" t="str">
        <f>IFERROR(LEFT(I3765,FIND("*",I3765)-1),"-")</f>
        <v>-</v>
      </c>
      <c r="V3766" s="19" t="str">
        <f>IFERROR(RIGHT(I3765,LEN(I3765)-FIND("*",I3765)),"-")</f>
        <v>-</v>
      </c>
      <c r="W3766" s="20" t="str">
        <f t="shared" si="2044"/>
        <v>-</v>
      </c>
      <c r="X3766" s="20" t="str">
        <f>IFERROR(W3766*J3765,"-")</f>
        <v>-</v>
      </c>
      <c r="Z3766" s="85" t="s">
        <v>82</v>
      </c>
    </row>
    <row r="3767" spans="1:26" ht="6.95" customHeight="1" x14ac:dyDescent="0.3">
      <c r="A3767" s="5"/>
      <c r="B3767" s="157"/>
      <c r="C3767" s="158"/>
      <c r="D3767" s="161"/>
      <c r="E3767" s="162"/>
      <c r="F3767" s="163"/>
      <c r="G3767" s="164"/>
      <c r="H3767" s="165"/>
      <c r="I3767" s="164"/>
      <c r="J3767" s="165"/>
      <c r="K3767" s="164"/>
      <c r="L3767" s="165"/>
      <c r="M3767" s="6"/>
      <c r="N3767" s="32"/>
      <c r="Q3767" s="10" t="str">
        <f>+CONCATENATE(E3765,K3765)</f>
        <v/>
      </c>
      <c r="R3767" s="10">
        <f>+L3765</f>
        <v>0</v>
      </c>
      <c r="S3767" s="11"/>
      <c r="T3767" s="10">
        <f>+E3765</f>
        <v>0</v>
      </c>
      <c r="U3767" s="19" t="str">
        <f>IFERROR(LEFT(K3765,FIND("*",K3765)-1),"-")</f>
        <v>-</v>
      </c>
      <c r="V3767" s="19" t="str">
        <f>IFERROR(RIGHT(K3765,LEN(K3765)-FIND("*",K3765)),"-")</f>
        <v>-</v>
      </c>
      <c r="W3767" s="20" t="str">
        <f t="shared" si="2044"/>
        <v>-</v>
      </c>
      <c r="X3767" s="20" t="str">
        <f>IFERROR(W3767*L3765,"-")</f>
        <v>-</v>
      </c>
      <c r="Z3767" s="85" t="s">
        <v>82</v>
      </c>
    </row>
    <row r="3768" spans="1:26" ht="6.95" customHeight="1" x14ac:dyDescent="0.3">
      <c r="A3768" s="8"/>
      <c r="B3768" s="157"/>
      <c r="C3768" s="158"/>
      <c r="D3768" s="161" t="s">
        <v>39</v>
      </c>
      <c r="E3768" s="162"/>
      <c r="F3768" s="163" t="s">
        <v>40</v>
      </c>
      <c r="G3768" s="164"/>
      <c r="H3768" s="165"/>
      <c r="I3768" s="164"/>
      <c r="J3768" s="165"/>
      <c r="K3768" s="164"/>
      <c r="L3768" s="165"/>
      <c r="M3768" s="6"/>
      <c r="N3768" s="32"/>
      <c r="Q3768" s="10" t="str">
        <f>+CONCATENATE(E3768,G3768)</f>
        <v/>
      </c>
      <c r="R3768" s="10">
        <f>+H3768</f>
        <v>0</v>
      </c>
      <c r="S3768" s="11"/>
      <c r="T3768" s="10">
        <f>+E3768</f>
        <v>0</v>
      </c>
      <c r="U3768" s="19" t="str">
        <f t="shared" ref="U3768" si="2047">IFERROR(LEFT(G3768,FIND("*",G3768)-1),"-")</f>
        <v>-</v>
      </c>
      <c r="V3768" s="19" t="str">
        <f t="shared" ref="V3768" si="2048">IFERROR(RIGHT(G3768,LEN(G3768)-FIND("*",G3768)),"-")</f>
        <v>-</v>
      </c>
      <c r="W3768" s="20" t="str">
        <f t="shared" si="2044"/>
        <v>-</v>
      </c>
      <c r="X3768" s="20" t="str">
        <f>IFERROR(W3768*H3768,"-")</f>
        <v>-</v>
      </c>
      <c r="Z3768" s="85" t="s">
        <v>82</v>
      </c>
    </row>
    <row r="3769" spans="1:26" ht="6.95" customHeight="1" x14ac:dyDescent="0.3">
      <c r="A3769" s="5"/>
      <c r="B3769" s="157"/>
      <c r="C3769" s="158"/>
      <c r="D3769" s="161"/>
      <c r="E3769" s="162"/>
      <c r="F3769" s="163"/>
      <c r="G3769" s="164"/>
      <c r="H3769" s="165"/>
      <c r="I3769" s="164"/>
      <c r="J3769" s="165"/>
      <c r="K3769" s="164"/>
      <c r="L3769" s="165"/>
      <c r="M3769" s="6"/>
      <c r="N3769" s="32"/>
      <c r="Q3769" s="10" t="str">
        <f>+CONCATENATE(E3768,I3768)</f>
        <v/>
      </c>
      <c r="R3769" s="10">
        <f>+J3768</f>
        <v>0</v>
      </c>
      <c r="S3769" s="11"/>
      <c r="T3769" s="10">
        <f>+E3768</f>
        <v>0</v>
      </c>
      <c r="U3769" s="19" t="str">
        <f>IFERROR(LEFT(I3768,FIND("*",I3768)-1),"-")</f>
        <v>-</v>
      </c>
      <c r="V3769" s="19" t="str">
        <f>IFERROR(RIGHT(I3768,LEN(I3768)-FIND("*",I3768)),"-")</f>
        <v>-</v>
      </c>
      <c r="W3769" s="20" t="str">
        <f t="shared" si="2044"/>
        <v>-</v>
      </c>
      <c r="X3769" s="20" t="str">
        <f t="shared" ref="X3769" si="2049">IFERROR(W3769*J3768,"-")</f>
        <v>-</v>
      </c>
      <c r="Z3769" s="85" t="s">
        <v>82</v>
      </c>
    </row>
    <row r="3770" spans="1:26" ht="6.95" customHeight="1" x14ac:dyDescent="0.3">
      <c r="A3770" s="5"/>
      <c r="B3770" s="157"/>
      <c r="C3770" s="158"/>
      <c r="D3770" s="161"/>
      <c r="E3770" s="162"/>
      <c r="F3770" s="163"/>
      <c r="G3770" s="164"/>
      <c r="H3770" s="165"/>
      <c r="I3770" s="164"/>
      <c r="J3770" s="165"/>
      <c r="K3770" s="164"/>
      <c r="L3770" s="165"/>
      <c r="M3770" s="6"/>
      <c r="N3770" s="32"/>
      <c r="Q3770" s="10" t="str">
        <f>+CONCATENATE(E3768,K3768)</f>
        <v/>
      </c>
      <c r="R3770" s="10">
        <f>+L3768</f>
        <v>0</v>
      </c>
      <c r="S3770" s="11"/>
      <c r="T3770" s="10">
        <f>+E3768</f>
        <v>0</v>
      </c>
      <c r="U3770" s="19" t="str">
        <f>IFERROR(LEFT(K3768,FIND("*",K3768)-1),"-")</f>
        <v>-</v>
      </c>
      <c r="V3770" s="19" t="str">
        <f>IFERROR(RIGHT(K3768,LEN(K3768)-FIND("*",K3768)),"-")</f>
        <v>-</v>
      </c>
      <c r="W3770" s="20" t="str">
        <f t="shared" si="2044"/>
        <v>-</v>
      </c>
      <c r="X3770" s="20" t="str">
        <f>IFERROR(W3770*L3768,"-")</f>
        <v>-</v>
      </c>
      <c r="Z3770" s="85" t="s">
        <v>82</v>
      </c>
    </row>
    <row r="3771" spans="1:26" ht="21" customHeight="1" thickBot="1" x14ac:dyDescent="0.35">
      <c r="A3771" s="5"/>
      <c r="B3771" s="159"/>
      <c r="C3771" s="160"/>
      <c r="D3771" s="166" t="s">
        <v>43</v>
      </c>
      <c r="E3771" s="167"/>
      <c r="F3771" s="167"/>
      <c r="G3771" s="168"/>
      <c r="H3771" s="168"/>
      <c r="I3771" s="168"/>
      <c r="J3771" s="168"/>
      <c r="K3771" s="168"/>
      <c r="L3771" s="168"/>
      <c r="M3771" s="7"/>
      <c r="N3771" s="32"/>
      <c r="Z3771" s="86" t="s">
        <v>81</v>
      </c>
    </row>
    <row r="3772" spans="1:26" ht="9.9499999999999993" customHeight="1" thickBot="1" x14ac:dyDescent="0.35">
      <c r="B3772" s="9"/>
      <c r="C3772" s="109"/>
      <c r="D3772" s="51"/>
      <c r="E3772" s="12"/>
      <c r="F3772" s="51"/>
      <c r="G3772" s="14"/>
      <c r="H3772" s="14"/>
      <c r="I3772" s="14"/>
      <c r="J3772" s="14"/>
      <c r="K3772" s="14"/>
      <c r="L3772" s="14"/>
      <c r="M3772" s="9"/>
      <c r="N3772" s="32"/>
      <c r="U3772" s="18"/>
      <c r="V3772" s="18"/>
      <c r="Z3772" s="85" t="s">
        <v>82</v>
      </c>
    </row>
    <row r="3773" spans="1:26" ht="6.95" customHeight="1" x14ac:dyDescent="0.3">
      <c r="A3773" s="154">
        <f>+A3762+1</f>
        <v>1142</v>
      </c>
      <c r="B3773" s="155"/>
      <c r="C3773" s="156"/>
      <c r="D3773" s="161" t="s">
        <v>39</v>
      </c>
      <c r="E3773" s="162"/>
      <c r="F3773" s="163" t="s">
        <v>40</v>
      </c>
      <c r="G3773" s="164"/>
      <c r="H3773" s="165"/>
      <c r="I3773" s="164"/>
      <c r="J3773" s="165"/>
      <c r="K3773" s="164"/>
      <c r="L3773" s="165"/>
      <c r="M3773" s="6"/>
      <c r="N3773" s="32"/>
      <c r="Q3773" s="10" t="str">
        <f>+CONCATENATE(E3773,G3773)</f>
        <v/>
      </c>
      <c r="R3773" s="10">
        <f>+H3773</f>
        <v>0</v>
      </c>
      <c r="S3773" s="11"/>
      <c r="T3773" s="10">
        <f>+E3773</f>
        <v>0</v>
      </c>
      <c r="U3773" s="19" t="str">
        <f>IFERROR(LEFT(G3773,FIND("*",G3773)-1),"-")</f>
        <v>-</v>
      </c>
      <c r="V3773" s="19" t="str">
        <f>IFERROR(RIGHT(G3773,LEN(G3773)-FIND("*",G3773)),"-")</f>
        <v>-</v>
      </c>
      <c r="W3773" s="20" t="str">
        <f>IFERROR((U3773+V3773)*2/1000,"-")</f>
        <v>-</v>
      </c>
      <c r="X3773" s="20" t="str">
        <f>IFERROR(W3773*H3773,"-")</f>
        <v>-</v>
      </c>
      <c r="Z3773" s="85" t="s">
        <v>82</v>
      </c>
    </row>
    <row r="3774" spans="1:26" ht="6.95" customHeight="1" x14ac:dyDescent="0.3">
      <c r="A3774" s="154"/>
      <c r="B3774" s="157"/>
      <c r="C3774" s="158"/>
      <c r="D3774" s="161"/>
      <c r="E3774" s="162"/>
      <c r="F3774" s="163"/>
      <c r="G3774" s="164"/>
      <c r="H3774" s="165"/>
      <c r="I3774" s="164"/>
      <c r="J3774" s="165"/>
      <c r="K3774" s="164"/>
      <c r="L3774" s="165"/>
      <c r="M3774" s="6"/>
      <c r="N3774" s="32"/>
      <c r="Q3774" s="10" t="str">
        <f>+CONCATENATE(E3773,I3773)</f>
        <v/>
      </c>
      <c r="R3774" s="10">
        <f>+J3773</f>
        <v>0</v>
      </c>
      <c r="S3774" s="11"/>
      <c r="T3774" s="10">
        <f>+E3773</f>
        <v>0</v>
      </c>
      <c r="U3774" s="19" t="str">
        <f>IFERROR(LEFT(I3773,FIND("*",I3773)-1),"-")</f>
        <v>-</v>
      </c>
      <c r="V3774" s="19" t="str">
        <f>IFERROR(RIGHT(I3773,LEN(I3773)-FIND("*",I3773)),"-")</f>
        <v>-</v>
      </c>
      <c r="W3774" s="20" t="str">
        <f t="shared" ref="W3774:W3781" si="2050">IFERROR((U3774+V3774)*2/1000,"-")</f>
        <v>-</v>
      </c>
      <c r="X3774" s="20" t="str">
        <f>IFERROR(W3774*J3773,"-")</f>
        <v>-</v>
      </c>
      <c r="Z3774" s="85" t="s">
        <v>82</v>
      </c>
    </row>
    <row r="3775" spans="1:26" ht="6.95" customHeight="1" x14ac:dyDescent="0.3">
      <c r="A3775" s="154"/>
      <c r="B3775" s="157"/>
      <c r="C3775" s="158"/>
      <c r="D3775" s="161"/>
      <c r="E3775" s="162"/>
      <c r="F3775" s="163"/>
      <c r="G3775" s="164"/>
      <c r="H3775" s="165"/>
      <c r="I3775" s="164"/>
      <c r="J3775" s="165"/>
      <c r="K3775" s="164"/>
      <c r="L3775" s="165"/>
      <c r="M3775" s="6"/>
      <c r="N3775" s="32"/>
      <c r="Q3775" s="10" t="str">
        <f>+CONCATENATE(E3773,K3773)</f>
        <v/>
      </c>
      <c r="R3775" s="10">
        <f>+L3773</f>
        <v>0</v>
      </c>
      <c r="S3775" s="11"/>
      <c r="T3775" s="10">
        <f>+E3773</f>
        <v>0</v>
      </c>
      <c r="U3775" s="19" t="str">
        <f>IFERROR(LEFT(K3773,FIND("*",K3773)-1),"-")</f>
        <v>-</v>
      </c>
      <c r="V3775" s="19" t="str">
        <f>IFERROR(RIGHT(K3773,LEN(K3773)-FIND("*",K3773)),"-")</f>
        <v>-</v>
      </c>
      <c r="W3775" s="20" t="str">
        <f t="shared" si="2050"/>
        <v>-</v>
      </c>
      <c r="X3775" s="20" t="str">
        <f>IFERROR(W3775*L3773,"-")</f>
        <v>-</v>
      </c>
      <c r="Z3775" s="85" t="s">
        <v>82</v>
      </c>
    </row>
    <row r="3776" spans="1:26" ht="6.95" customHeight="1" x14ac:dyDescent="0.3">
      <c r="A3776" s="8"/>
      <c r="B3776" s="157"/>
      <c r="C3776" s="158"/>
      <c r="D3776" s="161" t="s">
        <v>39</v>
      </c>
      <c r="E3776" s="162"/>
      <c r="F3776" s="163" t="s">
        <v>40</v>
      </c>
      <c r="G3776" s="164"/>
      <c r="H3776" s="165"/>
      <c r="I3776" s="164"/>
      <c r="J3776" s="165"/>
      <c r="K3776" s="164"/>
      <c r="L3776" s="165"/>
      <c r="M3776" s="6"/>
      <c r="N3776" s="32"/>
      <c r="Q3776" s="10" t="str">
        <f>+CONCATENATE(E3776,G3776)</f>
        <v/>
      </c>
      <c r="R3776" s="10">
        <f>+H3776</f>
        <v>0</v>
      </c>
      <c r="S3776" s="11"/>
      <c r="T3776" s="10">
        <f>+E3776</f>
        <v>0</v>
      </c>
      <c r="U3776" s="19" t="str">
        <f t="shared" ref="U3776" si="2051">IFERROR(LEFT(G3776,FIND("*",G3776)-1),"-")</f>
        <v>-</v>
      </c>
      <c r="V3776" s="19" t="str">
        <f t="shared" ref="V3776" si="2052">IFERROR(RIGHT(G3776,LEN(G3776)-FIND("*",G3776)),"-")</f>
        <v>-</v>
      </c>
      <c r="W3776" s="20" t="str">
        <f t="shared" si="2050"/>
        <v>-</v>
      </c>
      <c r="X3776" s="20" t="str">
        <f>IFERROR(W3776*H3776,"-")</f>
        <v>-</v>
      </c>
      <c r="Z3776" s="85" t="s">
        <v>82</v>
      </c>
    </row>
    <row r="3777" spans="1:26" ht="6.95" customHeight="1" x14ac:dyDescent="0.3">
      <c r="A3777" s="5"/>
      <c r="B3777" s="157"/>
      <c r="C3777" s="158"/>
      <c r="D3777" s="161"/>
      <c r="E3777" s="162"/>
      <c r="F3777" s="163"/>
      <c r="G3777" s="164"/>
      <c r="H3777" s="165"/>
      <c r="I3777" s="164"/>
      <c r="J3777" s="165"/>
      <c r="K3777" s="164"/>
      <c r="L3777" s="165"/>
      <c r="M3777" s="6"/>
      <c r="N3777" s="32"/>
      <c r="Q3777" s="10" t="str">
        <f>+CONCATENATE(E3776,I3776)</f>
        <v/>
      </c>
      <c r="R3777" s="10">
        <f>+J3776</f>
        <v>0</v>
      </c>
      <c r="S3777" s="11"/>
      <c r="T3777" s="10">
        <f>+E3776</f>
        <v>0</v>
      </c>
      <c r="U3777" s="19" t="str">
        <f>IFERROR(LEFT(I3776,FIND("*",I3776)-1),"-")</f>
        <v>-</v>
      </c>
      <c r="V3777" s="19" t="str">
        <f>IFERROR(RIGHT(I3776,LEN(I3776)-FIND("*",I3776)),"-")</f>
        <v>-</v>
      </c>
      <c r="W3777" s="20" t="str">
        <f t="shared" si="2050"/>
        <v>-</v>
      </c>
      <c r="X3777" s="20" t="str">
        <f>IFERROR(W3777*J3776,"-")</f>
        <v>-</v>
      </c>
      <c r="Z3777" s="85" t="s">
        <v>82</v>
      </c>
    </row>
    <row r="3778" spans="1:26" ht="6.95" customHeight="1" x14ac:dyDescent="0.3">
      <c r="A3778" s="5"/>
      <c r="B3778" s="157"/>
      <c r="C3778" s="158"/>
      <c r="D3778" s="161"/>
      <c r="E3778" s="162"/>
      <c r="F3778" s="163"/>
      <c r="G3778" s="164"/>
      <c r="H3778" s="165"/>
      <c r="I3778" s="164"/>
      <c r="J3778" s="165"/>
      <c r="K3778" s="164"/>
      <c r="L3778" s="165"/>
      <c r="M3778" s="6"/>
      <c r="N3778" s="32"/>
      <c r="Q3778" s="10" t="str">
        <f>+CONCATENATE(E3776,K3776)</f>
        <v/>
      </c>
      <c r="R3778" s="10">
        <f>+L3776</f>
        <v>0</v>
      </c>
      <c r="S3778" s="11"/>
      <c r="T3778" s="10">
        <f>+E3776</f>
        <v>0</v>
      </c>
      <c r="U3778" s="19" t="str">
        <f>IFERROR(LEFT(K3776,FIND("*",K3776)-1),"-")</f>
        <v>-</v>
      </c>
      <c r="V3778" s="19" t="str">
        <f>IFERROR(RIGHT(K3776,LEN(K3776)-FIND("*",K3776)),"-")</f>
        <v>-</v>
      </c>
      <c r="W3778" s="20" t="str">
        <f t="shared" si="2050"/>
        <v>-</v>
      </c>
      <c r="X3778" s="20" t="str">
        <f>IFERROR(W3778*L3776,"-")</f>
        <v>-</v>
      </c>
      <c r="Z3778" s="85" t="s">
        <v>82</v>
      </c>
    </row>
    <row r="3779" spans="1:26" ht="6.95" customHeight="1" x14ac:dyDescent="0.3">
      <c r="A3779" s="8"/>
      <c r="B3779" s="157"/>
      <c r="C3779" s="158"/>
      <c r="D3779" s="161" t="s">
        <v>39</v>
      </c>
      <c r="E3779" s="162"/>
      <c r="F3779" s="163" t="s">
        <v>40</v>
      </c>
      <c r="G3779" s="164"/>
      <c r="H3779" s="165"/>
      <c r="I3779" s="164"/>
      <c r="J3779" s="165"/>
      <c r="K3779" s="164"/>
      <c r="L3779" s="165"/>
      <c r="M3779" s="6"/>
      <c r="N3779" s="32"/>
      <c r="Q3779" s="10" t="str">
        <f>+CONCATENATE(E3779,G3779)</f>
        <v/>
      </c>
      <c r="R3779" s="10">
        <f>+H3779</f>
        <v>0</v>
      </c>
      <c r="S3779" s="11"/>
      <c r="T3779" s="10">
        <f>+E3779</f>
        <v>0</v>
      </c>
      <c r="U3779" s="19" t="str">
        <f t="shared" ref="U3779" si="2053">IFERROR(LEFT(G3779,FIND("*",G3779)-1),"-")</f>
        <v>-</v>
      </c>
      <c r="V3779" s="19" t="str">
        <f t="shared" ref="V3779" si="2054">IFERROR(RIGHT(G3779,LEN(G3779)-FIND("*",G3779)),"-")</f>
        <v>-</v>
      </c>
      <c r="W3779" s="20" t="str">
        <f t="shared" si="2050"/>
        <v>-</v>
      </c>
      <c r="X3779" s="20" t="str">
        <f>IFERROR(W3779*H3779,"-")</f>
        <v>-</v>
      </c>
      <c r="Z3779" s="85" t="s">
        <v>82</v>
      </c>
    </row>
    <row r="3780" spans="1:26" ht="6.95" customHeight="1" x14ac:dyDescent="0.3">
      <c r="A3780" s="5"/>
      <c r="B3780" s="157"/>
      <c r="C3780" s="158"/>
      <c r="D3780" s="161"/>
      <c r="E3780" s="162"/>
      <c r="F3780" s="163"/>
      <c r="G3780" s="164"/>
      <c r="H3780" s="165"/>
      <c r="I3780" s="164"/>
      <c r="J3780" s="165"/>
      <c r="K3780" s="164"/>
      <c r="L3780" s="165"/>
      <c r="M3780" s="6"/>
      <c r="N3780" s="32"/>
      <c r="Q3780" s="10" t="str">
        <f>+CONCATENATE(E3779,I3779)</f>
        <v/>
      </c>
      <c r="R3780" s="10">
        <f>+J3779</f>
        <v>0</v>
      </c>
      <c r="S3780" s="11"/>
      <c r="T3780" s="10">
        <f>+E3779</f>
        <v>0</v>
      </c>
      <c r="U3780" s="19" t="str">
        <f>IFERROR(LEFT(I3779,FIND("*",I3779)-1),"-")</f>
        <v>-</v>
      </c>
      <c r="V3780" s="19" t="str">
        <f>IFERROR(RIGHT(I3779,LEN(I3779)-FIND("*",I3779)),"-")</f>
        <v>-</v>
      </c>
      <c r="W3780" s="20" t="str">
        <f t="shared" si="2050"/>
        <v>-</v>
      </c>
      <c r="X3780" s="20" t="str">
        <f t="shared" ref="X3780" si="2055">IFERROR(W3780*J3779,"-")</f>
        <v>-</v>
      </c>
      <c r="Z3780" s="85" t="s">
        <v>82</v>
      </c>
    </row>
    <row r="3781" spans="1:26" ht="6.95" customHeight="1" x14ac:dyDescent="0.3">
      <c r="A3781" s="5"/>
      <c r="B3781" s="157"/>
      <c r="C3781" s="158"/>
      <c r="D3781" s="161"/>
      <c r="E3781" s="162"/>
      <c r="F3781" s="163"/>
      <c r="G3781" s="164"/>
      <c r="H3781" s="165"/>
      <c r="I3781" s="164"/>
      <c r="J3781" s="165"/>
      <c r="K3781" s="164"/>
      <c r="L3781" s="165"/>
      <c r="M3781" s="6"/>
      <c r="N3781" s="32"/>
      <c r="Q3781" s="10" t="str">
        <f>+CONCATENATE(E3779,K3779)</f>
        <v/>
      </c>
      <c r="R3781" s="10">
        <f>+L3779</f>
        <v>0</v>
      </c>
      <c r="S3781" s="11"/>
      <c r="T3781" s="10">
        <f>+E3779</f>
        <v>0</v>
      </c>
      <c r="U3781" s="19" t="str">
        <f>IFERROR(LEFT(K3779,FIND("*",K3779)-1),"-")</f>
        <v>-</v>
      </c>
      <c r="V3781" s="19" t="str">
        <f>IFERROR(RIGHT(K3779,LEN(K3779)-FIND("*",K3779)),"-")</f>
        <v>-</v>
      </c>
      <c r="W3781" s="20" t="str">
        <f t="shared" si="2050"/>
        <v>-</v>
      </c>
      <c r="X3781" s="20" t="str">
        <f>IFERROR(W3781*L3779,"-")</f>
        <v>-</v>
      </c>
      <c r="Z3781" s="85" t="s">
        <v>82</v>
      </c>
    </row>
    <row r="3782" spans="1:26" ht="21" customHeight="1" thickBot="1" x14ac:dyDescent="0.35">
      <c r="A3782" s="5"/>
      <c r="B3782" s="159"/>
      <c r="C3782" s="160"/>
      <c r="D3782" s="166" t="s">
        <v>43</v>
      </c>
      <c r="E3782" s="167"/>
      <c r="F3782" s="167"/>
      <c r="G3782" s="168"/>
      <c r="H3782" s="168"/>
      <c r="I3782" s="168"/>
      <c r="J3782" s="168"/>
      <c r="K3782" s="168"/>
      <c r="L3782" s="168"/>
      <c r="M3782" s="7"/>
      <c r="N3782" s="32"/>
      <c r="Z3782" s="86" t="s">
        <v>81</v>
      </c>
    </row>
    <row r="3783" spans="1:26" ht="9.9499999999999993" customHeight="1" thickBot="1" x14ac:dyDescent="0.35">
      <c r="B3783" s="9"/>
      <c r="C3783" s="109"/>
      <c r="D3783" s="51"/>
      <c r="E3783" s="12"/>
      <c r="F3783" s="51"/>
      <c r="G3783" s="14"/>
      <c r="H3783" s="14"/>
      <c r="I3783" s="14"/>
      <c r="J3783" s="14"/>
      <c r="K3783" s="14"/>
      <c r="L3783" s="14"/>
      <c r="M3783" s="9"/>
      <c r="N3783" s="32"/>
      <c r="U3783" s="18"/>
      <c r="V3783" s="18"/>
      <c r="Z3783" s="85" t="s">
        <v>82</v>
      </c>
    </row>
    <row r="3784" spans="1:26" ht="6.95" customHeight="1" x14ac:dyDescent="0.3">
      <c r="A3784" s="154">
        <f>+A3773+1</f>
        <v>1143</v>
      </c>
      <c r="B3784" s="155"/>
      <c r="C3784" s="156"/>
      <c r="D3784" s="161" t="s">
        <v>39</v>
      </c>
      <c r="E3784" s="162"/>
      <c r="F3784" s="163" t="s">
        <v>40</v>
      </c>
      <c r="G3784" s="164"/>
      <c r="H3784" s="165"/>
      <c r="I3784" s="164"/>
      <c r="J3784" s="165"/>
      <c r="K3784" s="164"/>
      <c r="L3784" s="165"/>
      <c r="M3784" s="6"/>
      <c r="N3784" s="32"/>
      <c r="Q3784" s="10" t="str">
        <f>+CONCATENATE(E3784,G3784)</f>
        <v/>
      </c>
      <c r="R3784" s="10">
        <f>+H3784</f>
        <v>0</v>
      </c>
      <c r="S3784" s="11"/>
      <c r="T3784" s="10">
        <f>+E3784</f>
        <v>0</v>
      </c>
      <c r="U3784" s="19" t="str">
        <f>IFERROR(LEFT(G3784,FIND("*",G3784)-1),"-")</f>
        <v>-</v>
      </c>
      <c r="V3784" s="19" t="str">
        <f>IFERROR(RIGHT(G3784,LEN(G3784)-FIND("*",G3784)),"-")</f>
        <v>-</v>
      </c>
      <c r="W3784" s="20" t="str">
        <f>IFERROR((U3784+V3784)*2/1000,"-")</f>
        <v>-</v>
      </c>
      <c r="X3784" s="20" t="str">
        <f>IFERROR(W3784*H3784,"-")</f>
        <v>-</v>
      </c>
      <c r="Z3784" s="85" t="s">
        <v>82</v>
      </c>
    </row>
    <row r="3785" spans="1:26" ht="6.95" customHeight="1" x14ac:dyDescent="0.3">
      <c r="A3785" s="154"/>
      <c r="B3785" s="157"/>
      <c r="C3785" s="158"/>
      <c r="D3785" s="161"/>
      <c r="E3785" s="162"/>
      <c r="F3785" s="163"/>
      <c r="G3785" s="164"/>
      <c r="H3785" s="165"/>
      <c r="I3785" s="164"/>
      <c r="J3785" s="165"/>
      <c r="K3785" s="164"/>
      <c r="L3785" s="165"/>
      <c r="M3785" s="6"/>
      <c r="N3785" s="32"/>
      <c r="Q3785" s="10" t="str">
        <f>+CONCATENATE(E3784,I3784)</f>
        <v/>
      </c>
      <c r="R3785" s="10">
        <f>+J3784</f>
        <v>0</v>
      </c>
      <c r="S3785" s="11"/>
      <c r="T3785" s="10">
        <f>+E3784</f>
        <v>0</v>
      </c>
      <c r="U3785" s="19" t="str">
        <f>IFERROR(LEFT(I3784,FIND("*",I3784)-1),"-")</f>
        <v>-</v>
      </c>
      <c r="V3785" s="19" t="str">
        <f>IFERROR(RIGHT(I3784,LEN(I3784)-FIND("*",I3784)),"-")</f>
        <v>-</v>
      </c>
      <c r="W3785" s="20" t="str">
        <f t="shared" ref="W3785:W3792" si="2056">IFERROR((U3785+V3785)*2/1000,"-")</f>
        <v>-</v>
      </c>
      <c r="X3785" s="20" t="str">
        <f>IFERROR(W3785*J3784,"-")</f>
        <v>-</v>
      </c>
      <c r="Z3785" s="85" t="s">
        <v>82</v>
      </c>
    </row>
    <row r="3786" spans="1:26" ht="6.95" customHeight="1" x14ac:dyDescent="0.3">
      <c r="A3786" s="154"/>
      <c r="B3786" s="157"/>
      <c r="C3786" s="158"/>
      <c r="D3786" s="161"/>
      <c r="E3786" s="162"/>
      <c r="F3786" s="163"/>
      <c r="G3786" s="164"/>
      <c r="H3786" s="165"/>
      <c r="I3786" s="164"/>
      <c r="J3786" s="165"/>
      <c r="K3786" s="164"/>
      <c r="L3786" s="165"/>
      <c r="M3786" s="6"/>
      <c r="N3786" s="32"/>
      <c r="Q3786" s="10" t="str">
        <f>+CONCATENATE(E3784,K3784)</f>
        <v/>
      </c>
      <c r="R3786" s="10">
        <f>+L3784</f>
        <v>0</v>
      </c>
      <c r="S3786" s="11"/>
      <c r="T3786" s="10">
        <f>+E3784</f>
        <v>0</v>
      </c>
      <c r="U3786" s="19" t="str">
        <f>IFERROR(LEFT(K3784,FIND("*",K3784)-1),"-")</f>
        <v>-</v>
      </c>
      <c r="V3786" s="19" t="str">
        <f>IFERROR(RIGHT(K3784,LEN(K3784)-FIND("*",K3784)),"-")</f>
        <v>-</v>
      </c>
      <c r="W3786" s="20" t="str">
        <f t="shared" si="2056"/>
        <v>-</v>
      </c>
      <c r="X3786" s="20" t="str">
        <f>IFERROR(W3786*L3784,"-")</f>
        <v>-</v>
      </c>
      <c r="Z3786" s="85" t="s">
        <v>82</v>
      </c>
    </row>
    <row r="3787" spans="1:26" ht="6.95" customHeight="1" x14ac:dyDescent="0.3">
      <c r="A3787" s="8"/>
      <c r="B3787" s="157"/>
      <c r="C3787" s="158"/>
      <c r="D3787" s="161" t="s">
        <v>39</v>
      </c>
      <c r="E3787" s="162"/>
      <c r="F3787" s="163" t="s">
        <v>40</v>
      </c>
      <c r="G3787" s="164"/>
      <c r="H3787" s="165"/>
      <c r="I3787" s="164"/>
      <c r="J3787" s="165"/>
      <c r="K3787" s="164"/>
      <c r="L3787" s="165"/>
      <c r="M3787" s="6"/>
      <c r="N3787" s="32"/>
      <c r="Q3787" s="10" t="str">
        <f>+CONCATENATE(E3787,G3787)</f>
        <v/>
      </c>
      <c r="R3787" s="10">
        <f>+H3787</f>
        <v>0</v>
      </c>
      <c r="S3787" s="11"/>
      <c r="T3787" s="10">
        <f>+E3787</f>
        <v>0</v>
      </c>
      <c r="U3787" s="19" t="str">
        <f t="shared" ref="U3787" si="2057">IFERROR(LEFT(G3787,FIND("*",G3787)-1),"-")</f>
        <v>-</v>
      </c>
      <c r="V3787" s="19" t="str">
        <f t="shared" ref="V3787" si="2058">IFERROR(RIGHT(G3787,LEN(G3787)-FIND("*",G3787)),"-")</f>
        <v>-</v>
      </c>
      <c r="W3787" s="20" t="str">
        <f t="shared" si="2056"/>
        <v>-</v>
      </c>
      <c r="X3787" s="20" t="str">
        <f>IFERROR(W3787*H3787,"-")</f>
        <v>-</v>
      </c>
      <c r="Z3787" s="85" t="s">
        <v>82</v>
      </c>
    </row>
    <row r="3788" spans="1:26" ht="6.95" customHeight="1" x14ac:dyDescent="0.3">
      <c r="A3788" s="5"/>
      <c r="B3788" s="157"/>
      <c r="C3788" s="158"/>
      <c r="D3788" s="161"/>
      <c r="E3788" s="162"/>
      <c r="F3788" s="163"/>
      <c r="G3788" s="164"/>
      <c r="H3788" s="165"/>
      <c r="I3788" s="164"/>
      <c r="J3788" s="165"/>
      <c r="K3788" s="164"/>
      <c r="L3788" s="165"/>
      <c r="M3788" s="6"/>
      <c r="N3788" s="32"/>
      <c r="Q3788" s="10" t="str">
        <f>+CONCATENATE(E3787,I3787)</f>
        <v/>
      </c>
      <c r="R3788" s="10">
        <f>+J3787</f>
        <v>0</v>
      </c>
      <c r="S3788" s="11"/>
      <c r="T3788" s="10">
        <f>+E3787</f>
        <v>0</v>
      </c>
      <c r="U3788" s="19" t="str">
        <f>IFERROR(LEFT(I3787,FIND("*",I3787)-1),"-")</f>
        <v>-</v>
      </c>
      <c r="V3788" s="19" t="str">
        <f>IFERROR(RIGHT(I3787,LEN(I3787)-FIND("*",I3787)),"-")</f>
        <v>-</v>
      </c>
      <c r="W3788" s="20" t="str">
        <f t="shared" si="2056"/>
        <v>-</v>
      </c>
      <c r="X3788" s="20" t="str">
        <f>IFERROR(W3788*J3787,"-")</f>
        <v>-</v>
      </c>
      <c r="Z3788" s="85" t="s">
        <v>82</v>
      </c>
    </row>
    <row r="3789" spans="1:26" ht="6.95" customHeight="1" x14ac:dyDescent="0.3">
      <c r="A3789" s="5"/>
      <c r="B3789" s="157"/>
      <c r="C3789" s="158"/>
      <c r="D3789" s="161"/>
      <c r="E3789" s="162"/>
      <c r="F3789" s="163"/>
      <c r="G3789" s="164"/>
      <c r="H3789" s="165"/>
      <c r="I3789" s="164"/>
      <c r="J3789" s="165"/>
      <c r="K3789" s="164"/>
      <c r="L3789" s="165"/>
      <c r="M3789" s="6"/>
      <c r="N3789" s="32"/>
      <c r="Q3789" s="10" t="str">
        <f>+CONCATENATE(E3787,K3787)</f>
        <v/>
      </c>
      <c r="R3789" s="10">
        <f>+L3787</f>
        <v>0</v>
      </c>
      <c r="S3789" s="11"/>
      <c r="T3789" s="10">
        <f>+E3787</f>
        <v>0</v>
      </c>
      <c r="U3789" s="19" t="str">
        <f>IFERROR(LEFT(K3787,FIND("*",K3787)-1),"-")</f>
        <v>-</v>
      </c>
      <c r="V3789" s="19" t="str">
        <f>IFERROR(RIGHT(K3787,LEN(K3787)-FIND("*",K3787)),"-")</f>
        <v>-</v>
      </c>
      <c r="W3789" s="20" t="str">
        <f t="shared" si="2056"/>
        <v>-</v>
      </c>
      <c r="X3789" s="20" t="str">
        <f>IFERROR(W3789*L3787,"-")</f>
        <v>-</v>
      </c>
      <c r="Z3789" s="85" t="s">
        <v>82</v>
      </c>
    </row>
    <row r="3790" spans="1:26" ht="6.95" customHeight="1" x14ac:dyDescent="0.3">
      <c r="A3790" s="8"/>
      <c r="B3790" s="157"/>
      <c r="C3790" s="158"/>
      <c r="D3790" s="161" t="s">
        <v>39</v>
      </c>
      <c r="E3790" s="162"/>
      <c r="F3790" s="163" t="s">
        <v>40</v>
      </c>
      <c r="G3790" s="164"/>
      <c r="H3790" s="165"/>
      <c r="I3790" s="164"/>
      <c r="J3790" s="165"/>
      <c r="K3790" s="164"/>
      <c r="L3790" s="165"/>
      <c r="M3790" s="6"/>
      <c r="N3790" s="32"/>
      <c r="Q3790" s="10" t="str">
        <f>+CONCATENATE(E3790,G3790)</f>
        <v/>
      </c>
      <c r="R3790" s="10">
        <f>+H3790</f>
        <v>0</v>
      </c>
      <c r="S3790" s="11"/>
      <c r="T3790" s="10">
        <f>+E3790</f>
        <v>0</v>
      </c>
      <c r="U3790" s="19" t="str">
        <f t="shared" ref="U3790" si="2059">IFERROR(LEFT(G3790,FIND("*",G3790)-1),"-")</f>
        <v>-</v>
      </c>
      <c r="V3790" s="19" t="str">
        <f t="shared" ref="V3790" si="2060">IFERROR(RIGHT(G3790,LEN(G3790)-FIND("*",G3790)),"-")</f>
        <v>-</v>
      </c>
      <c r="W3790" s="20" t="str">
        <f t="shared" si="2056"/>
        <v>-</v>
      </c>
      <c r="X3790" s="20" t="str">
        <f>IFERROR(W3790*H3790,"-")</f>
        <v>-</v>
      </c>
      <c r="Z3790" s="85" t="s">
        <v>82</v>
      </c>
    </row>
    <row r="3791" spans="1:26" ht="6.95" customHeight="1" x14ac:dyDescent="0.3">
      <c r="A3791" s="5"/>
      <c r="B3791" s="157"/>
      <c r="C3791" s="158"/>
      <c r="D3791" s="161"/>
      <c r="E3791" s="162"/>
      <c r="F3791" s="163"/>
      <c r="G3791" s="164"/>
      <c r="H3791" s="165"/>
      <c r="I3791" s="164"/>
      <c r="J3791" s="165"/>
      <c r="K3791" s="164"/>
      <c r="L3791" s="165"/>
      <c r="M3791" s="6"/>
      <c r="N3791" s="32"/>
      <c r="Q3791" s="10" t="str">
        <f>+CONCATENATE(E3790,I3790)</f>
        <v/>
      </c>
      <c r="R3791" s="10">
        <f>+J3790</f>
        <v>0</v>
      </c>
      <c r="S3791" s="11"/>
      <c r="T3791" s="10">
        <f>+E3790</f>
        <v>0</v>
      </c>
      <c r="U3791" s="19" t="str">
        <f>IFERROR(LEFT(I3790,FIND("*",I3790)-1),"-")</f>
        <v>-</v>
      </c>
      <c r="V3791" s="19" t="str">
        <f>IFERROR(RIGHT(I3790,LEN(I3790)-FIND("*",I3790)),"-")</f>
        <v>-</v>
      </c>
      <c r="W3791" s="20" t="str">
        <f t="shared" si="2056"/>
        <v>-</v>
      </c>
      <c r="X3791" s="20" t="str">
        <f t="shared" ref="X3791" si="2061">IFERROR(W3791*J3790,"-")</f>
        <v>-</v>
      </c>
      <c r="Z3791" s="85" t="s">
        <v>82</v>
      </c>
    </row>
    <row r="3792" spans="1:26" ht="6.95" customHeight="1" x14ac:dyDescent="0.3">
      <c r="A3792" s="5"/>
      <c r="B3792" s="157"/>
      <c r="C3792" s="158"/>
      <c r="D3792" s="161"/>
      <c r="E3792" s="162"/>
      <c r="F3792" s="163"/>
      <c r="G3792" s="164"/>
      <c r="H3792" s="165"/>
      <c r="I3792" s="164"/>
      <c r="J3792" s="165"/>
      <c r="K3792" s="164"/>
      <c r="L3792" s="165"/>
      <c r="M3792" s="6"/>
      <c r="N3792" s="32"/>
      <c r="Q3792" s="10" t="str">
        <f>+CONCATENATE(E3790,K3790)</f>
        <v/>
      </c>
      <c r="R3792" s="10">
        <f>+L3790</f>
        <v>0</v>
      </c>
      <c r="S3792" s="11"/>
      <c r="T3792" s="10">
        <f>+E3790</f>
        <v>0</v>
      </c>
      <c r="U3792" s="19" t="str">
        <f>IFERROR(LEFT(K3790,FIND("*",K3790)-1),"-")</f>
        <v>-</v>
      </c>
      <c r="V3792" s="19" t="str">
        <f>IFERROR(RIGHT(K3790,LEN(K3790)-FIND("*",K3790)),"-")</f>
        <v>-</v>
      </c>
      <c r="W3792" s="20" t="str">
        <f t="shared" si="2056"/>
        <v>-</v>
      </c>
      <c r="X3792" s="20" t="str">
        <f>IFERROR(W3792*L3790,"-")</f>
        <v>-</v>
      </c>
      <c r="Z3792" s="85" t="s">
        <v>82</v>
      </c>
    </row>
    <row r="3793" spans="1:26" ht="21" customHeight="1" thickBot="1" x14ac:dyDescent="0.35">
      <c r="A3793" s="5"/>
      <c r="B3793" s="159"/>
      <c r="C3793" s="160"/>
      <c r="D3793" s="166" t="s">
        <v>43</v>
      </c>
      <c r="E3793" s="167"/>
      <c r="F3793" s="167"/>
      <c r="G3793" s="168"/>
      <c r="H3793" s="168"/>
      <c r="I3793" s="168"/>
      <c r="J3793" s="168"/>
      <c r="K3793" s="168"/>
      <c r="L3793" s="168"/>
      <c r="M3793" s="7"/>
      <c r="N3793" s="32"/>
      <c r="Z3793" s="86" t="s">
        <v>81</v>
      </c>
    </row>
    <row r="3794" spans="1:26" ht="9.9499999999999993" customHeight="1" thickBot="1" x14ac:dyDescent="0.35">
      <c r="B3794" s="9"/>
      <c r="C3794" s="109"/>
      <c r="D3794" s="51"/>
      <c r="E3794" s="12"/>
      <c r="F3794" s="51"/>
      <c r="G3794" s="14"/>
      <c r="H3794" s="14"/>
      <c r="I3794" s="14"/>
      <c r="J3794" s="14"/>
      <c r="K3794" s="14"/>
      <c r="L3794" s="14"/>
      <c r="M3794" s="9"/>
      <c r="N3794" s="32"/>
      <c r="U3794" s="18"/>
      <c r="V3794" s="18"/>
      <c r="Z3794" s="85" t="s">
        <v>82</v>
      </c>
    </row>
    <row r="3795" spans="1:26" ht="6.95" customHeight="1" x14ac:dyDescent="0.3">
      <c r="A3795" s="154">
        <f>+A3784+1</f>
        <v>1144</v>
      </c>
      <c r="B3795" s="155"/>
      <c r="C3795" s="156"/>
      <c r="D3795" s="161" t="s">
        <v>39</v>
      </c>
      <c r="E3795" s="162"/>
      <c r="F3795" s="163" t="s">
        <v>40</v>
      </c>
      <c r="G3795" s="164"/>
      <c r="H3795" s="165"/>
      <c r="I3795" s="164"/>
      <c r="J3795" s="165"/>
      <c r="K3795" s="164"/>
      <c r="L3795" s="165"/>
      <c r="M3795" s="6"/>
      <c r="N3795" s="32"/>
      <c r="Q3795" s="10" t="str">
        <f>+CONCATENATE(E3795,G3795)</f>
        <v/>
      </c>
      <c r="R3795" s="10">
        <f>+H3795</f>
        <v>0</v>
      </c>
      <c r="S3795" s="11"/>
      <c r="T3795" s="10">
        <f>+E3795</f>
        <v>0</v>
      </c>
      <c r="U3795" s="19" t="str">
        <f>IFERROR(LEFT(G3795,FIND("*",G3795)-1),"-")</f>
        <v>-</v>
      </c>
      <c r="V3795" s="19" t="str">
        <f>IFERROR(RIGHT(G3795,LEN(G3795)-FIND("*",G3795)),"-")</f>
        <v>-</v>
      </c>
      <c r="W3795" s="20" t="str">
        <f>IFERROR((U3795+V3795)*2/1000,"-")</f>
        <v>-</v>
      </c>
      <c r="X3795" s="20" t="str">
        <f>IFERROR(W3795*H3795,"-")</f>
        <v>-</v>
      </c>
      <c r="Z3795" s="85" t="s">
        <v>82</v>
      </c>
    </row>
    <row r="3796" spans="1:26" ht="6.95" customHeight="1" x14ac:dyDescent="0.3">
      <c r="A3796" s="154"/>
      <c r="B3796" s="157"/>
      <c r="C3796" s="158"/>
      <c r="D3796" s="161"/>
      <c r="E3796" s="162"/>
      <c r="F3796" s="163"/>
      <c r="G3796" s="164"/>
      <c r="H3796" s="165"/>
      <c r="I3796" s="164"/>
      <c r="J3796" s="165"/>
      <c r="K3796" s="164"/>
      <c r="L3796" s="165"/>
      <c r="M3796" s="6"/>
      <c r="N3796" s="32"/>
      <c r="Q3796" s="10" t="str">
        <f>+CONCATENATE(E3795,I3795)</f>
        <v/>
      </c>
      <c r="R3796" s="10">
        <f>+J3795</f>
        <v>0</v>
      </c>
      <c r="S3796" s="11"/>
      <c r="T3796" s="10">
        <f>+E3795</f>
        <v>0</v>
      </c>
      <c r="U3796" s="19" t="str">
        <f>IFERROR(LEFT(I3795,FIND("*",I3795)-1),"-")</f>
        <v>-</v>
      </c>
      <c r="V3796" s="19" t="str">
        <f>IFERROR(RIGHT(I3795,LEN(I3795)-FIND("*",I3795)),"-")</f>
        <v>-</v>
      </c>
      <c r="W3796" s="20" t="str">
        <f t="shared" ref="W3796:W3803" si="2062">IFERROR((U3796+V3796)*2/1000,"-")</f>
        <v>-</v>
      </c>
      <c r="X3796" s="20" t="str">
        <f>IFERROR(W3796*J3795,"-")</f>
        <v>-</v>
      </c>
      <c r="Z3796" s="85" t="s">
        <v>82</v>
      </c>
    </row>
    <row r="3797" spans="1:26" ht="6.95" customHeight="1" x14ac:dyDescent="0.3">
      <c r="A3797" s="154"/>
      <c r="B3797" s="157"/>
      <c r="C3797" s="158"/>
      <c r="D3797" s="161"/>
      <c r="E3797" s="162"/>
      <c r="F3797" s="163"/>
      <c r="G3797" s="164"/>
      <c r="H3797" s="165"/>
      <c r="I3797" s="164"/>
      <c r="J3797" s="165"/>
      <c r="K3797" s="164"/>
      <c r="L3797" s="165"/>
      <c r="M3797" s="6"/>
      <c r="N3797" s="32"/>
      <c r="Q3797" s="10" t="str">
        <f>+CONCATENATE(E3795,K3795)</f>
        <v/>
      </c>
      <c r="R3797" s="10">
        <f>+L3795</f>
        <v>0</v>
      </c>
      <c r="S3797" s="11"/>
      <c r="T3797" s="10">
        <f>+E3795</f>
        <v>0</v>
      </c>
      <c r="U3797" s="19" t="str">
        <f>IFERROR(LEFT(K3795,FIND("*",K3795)-1),"-")</f>
        <v>-</v>
      </c>
      <c r="V3797" s="19" t="str">
        <f>IFERROR(RIGHT(K3795,LEN(K3795)-FIND("*",K3795)),"-")</f>
        <v>-</v>
      </c>
      <c r="W3797" s="20" t="str">
        <f t="shared" si="2062"/>
        <v>-</v>
      </c>
      <c r="X3797" s="20" t="str">
        <f>IFERROR(W3797*L3795,"-")</f>
        <v>-</v>
      </c>
      <c r="Z3797" s="85" t="s">
        <v>82</v>
      </c>
    </row>
    <row r="3798" spans="1:26" ht="6.95" customHeight="1" x14ac:dyDescent="0.3">
      <c r="A3798" s="8"/>
      <c r="B3798" s="157"/>
      <c r="C3798" s="158"/>
      <c r="D3798" s="161" t="s">
        <v>39</v>
      </c>
      <c r="E3798" s="162"/>
      <c r="F3798" s="163" t="s">
        <v>40</v>
      </c>
      <c r="G3798" s="164"/>
      <c r="H3798" s="165"/>
      <c r="I3798" s="164"/>
      <c r="J3798" s="165"/>
      <c r="K3798" s="164"/>
      <c r="L3798" s="165"/>
      <c r="M3798" s="6"/>
      <c r="N3798" s="32"/>
      <c r="Q3798" s="10" t="str">
        <f>+CONCATENATE(E3798,G3798)</f>
        <v/>
      </c>
      <c r="R3798" s="10">
        <f>+H3798</f>
        <v>0</v>
      </c>
      <c r="S3798" s="11"/>
      <c r="T3798" s="10">
        <f>+E3798</f>
        <v>0</v>
      </c>
      <c r="U3798" s="19" t="str">
        <f t="shared" ref="U3798" si="2063">IFERROR(LEFT(G3798,FIND("*",G3798)-1),"-")</f>
        <v>-</v>
      </c>
      <c r="V3798" s="19" t="str">
        <f t="shared" ref="V3798" si="2064">IFERROR(RIGHT(G3798,LEN(G3798)-FIND("*",G3798)),"-")</f>
        <v>-</v>
      </c>
      <c r="W3798" s="20" t="str">
        <f t="shared" si="2062"/>
        <v>-</v>
      </c>
      <c r="X3798" s="20" t="str">
        <f>IFERROR(W3798*H3798,"-")</f>
        <v>-</v>
      </c>
      <c r="Z3798" s="85" t="s">
        <v>82</v>
      </c>
    </row>
    <row r="3799" spans="1:26" ht="6.95" customHeight="1" x14ac:dyDescent="0.3">
      <c r="A3799" s="5"/>
      <c r="B3799" s="157"/>
      <c r="C3799" s="158"/>
      <c r="D3799" s="161"/>
      <c r="E3799" s="162"/>
      <c r="F3799" s="163"/>
      <c r="G3799" s="164"/>
      <c r="H3799" s="165"/>
      <c r="I3799" s="164"/>
      <c r="J3799" s="165"/>
      <c r="K3799" s="164"/>
      <c r="L3799" s="165"/>
      <c r="M3799" s="6"/>
      <c r="N3799" s="32"/>
      <c r="Q3799" s="10" t="str">
        <f>+CONCATENATE(E3798,I3798)</f>
        <v/>
      </c>
      <c r="R3799" s="10">
        <f>+J3798</f>
        <v>0</v>
      </c>
      <c r="S3799" s="11"/>
      <c r="T3799" s="10">
        <f>+E3798</f>
        <v>0</v>
      </c>
      <c r="U3799" s="19" t="str">
        <f>IFERROR(LEFT(I3798,FIND("*",I3798)-1),"-")</f>
        <v>-</v>
      </c>
      <c r="V3799" s="19" t="str">
        <f>IFERROR(RIGHT(I3798,LEN(I3798)-FIND("*",I3798)),"-")</f>
        <v>-</v>
      </c>
      <c r="W3799" s="20" t="str">
        <f t="shared" si="2062"/>
        <v>-</v>
      </c>
      <c r="X3799" s="20" t="str">
        <f>IFERROR(W3799*J3798,"-")</f>
        <v>-</v>
      </c>
      <c r="Z3799" s="85" t="s">
        <v>82</v>
      </c>
    </row>
    <row r="3800" spans="1:26" ht="6.95" customHeight="1" x14ac:dyDescent="0.3">
      <c r="A3800" s="5"/>
      <c r="B3800" s="157"/>
      <c r="C3800" s="158"/>
      <c r="D3800" s="161"/>
      <c r="E3800" s="162"/>
      <c r="F3800" s="163"/>
      <c r="G3800" s="164"/>
      <c r="H3800" s="165"/>
      <c r="I3800" s="164"/>
      <c r="J3800" s="165"/>
      <c r="K3800" s="164"/>
      <c r="L3800" s="165"/>
      <c r="M3800" s="6"/>
      <c r="N3800" s="32"/>
      <c r="Q3800" s="10" t="str">
        <f>+CONCATENATE(E3798,K3798)</f>
        <v/>
      </c>
      <c r="R3800" s="10">
        <f>+L3798</f>
        <v>0</v>
      </c>
      <c r="S3800" s="11"/>
      <c r="T3800" s="10">
        <f>+E3798</f>
        <v>0</v>
      </c>
      <c r="U3800" s="19" t="str">
        <f>IFERROR(LEFT(K3798,FIND("*",K3798)-1),"-")</f>
        <v>-</v>
      </c>
      <c r="V3800" s="19" t="str">
        <f>IFERROR(RIGHT(K3798,LEN(K3798)-FIND("*",K3798)),"-")</f>
        <v>-</v>
      </c>
      <c r="W3800" s="20" t="str">
        <f t="shared" si="2062"/>
        <v>-</v>
      </c>
      <c r="X3800" s="20" t="str">
        <f>IFERROR(W3800*L3798,"-")</f>
        <v>-</v>
      </c>
      <c r="Z3800" s="85" t="s">
        <v>82</v>
      </c>
    </row>
    <row r="3801" spans="1:26" ht="6.95" customHeight="1" x14ac:dyDescent="0.3">
      <c r="A3801" s="8"/>
      <c r="B3801" s="157"/>
      <c r="C3801" s="158"/>
      <c r="D3801" s="161" t="s">
        <v>39</v>
      </c>
      <c r="E3801" s="162"/>
      <c r="F3801" s="163" t="s">
        <v>40</v>
      </c>
      <c r="G3801" s="164"/>
      <c r="H3801" s="165"/>
      <c r="I3801" s="164"/>
      <c r="J3801" s="165"/>
      <c r="K3801" s="164"/>
      <c r="L3801" s="165"/>
      <c r="M3801" s="6"/>
      <c r="N3801" s="32"/>
      <c r="Q3801" s="10" t="str">
        <f>+CONCATENATE(E3801,G3801)</f>
        <v/>
      </c>
      <c r="R3801" s="10">
        <f>+H3801</f>
        <v>0</v>
      </c>
      <c r="S3801" s="11"/>
      <c r="T3801" s="10">
        <f>+E3801</f>
        <v>0</v>
      </c>
      <c r="U3801" s="19" t="str">
        <f t="shared" ref="U3801" si="2065">IFERROR(LEFT(G3801,FIND("*",G3801)-1),"-")</f>
        <v>-</v>
      </c>
      <c r="V3801" s="19" t="str">
        <f t="shared" ref="V3801" si="2066">IFERROR(RIGHT(G3801,LEN(G3801)-FIND("*",G3801)),"-")</f>
        <v>-</v>
      </c>
      <c r="W3801" s="20" t="str">
        <f t="shared" si="2062"/>
        <v>-</v>
      </c>
      <c r="X3801" s="20" t="str">
        <f>IFERROR(W3801*H3801,"-")</f>
        <v>-</v>
      </c>
      <c r="Z3801" s="85" t="s">
        <v>82</v>
      </c>
    </row>
    <row r="3802" spans="1:26" ht="6.95" customHeight="1" x14ac:dyDescent="0.3">
      <c r="A3802" s="5"/>
      <c r="B3802" s="157"/>
      <c r="C3802" s="158"/>
      <c r="D3802" s="161"/>
      <c r="E3802" s="162"/>
      <c r="F3802" s="163"/>
      <c r="G3802" s="164"/>
      <c r="H3802" s="165"/>
      <c r="I3802" s="164"/>
      <c r="J3802" s="165"/>
      <c r="K3802" s="164"/>
      <c r="L3802" s="165"/>
      <c r="M3802" s="6"/>
      <c r="N3802" s="32"/>
      <c r="Q3802" s="10" t="str">
        <f>+CONCATENATE(E3801,I3801)</f>
        <v/>
      </c>
      <c r="R3802" s="10">
        <f>+J3801</f>
        <v>0</v>
      </c>
      <c r="S3802" s="11"/>
      <c r="T3802" s="10">
        <f>+E3801</f>
        <v>0</v>
      </c>
      <c r="U3802" s="19" t="str">
        <f>IFERROR(LEFT(I3801,FIND("*",I3801)-1),"-")</f>
        <v>-</v>
      </c>
      <c r="V3802" s="19" t="str">
        <f>IFERROR(RIGHT(I3801,LEN(I3801)-FIND("*",I3801)),"-")</f>
        <v>-</v>
      </c>
      <c r="W3802" s="20" t="str">
        <f t="shared" si="2062"/>
        <v>-</v>
      </c>
      <c r="X3802" s="20" t="str">
        <f t="shared" ref="X3802" si="2067">IFERROR(W3802*J3801,"-")</f>
        <v>-</v>
      </c>
      <c r="Z3802" s="85" t="s">
        <v>82</v>
      </c>
    </row>
    <row r="3803" spans="1:26" ht="6.95" customHeight="1" x14ac:dyDescent="0.3">
      <c r="A3803" s="5"/>
      <c r="B3803" s="157"/>
      <c r="C3803" s="158"/>
      <c r="D3803" s="161"/>
      <c r="E3803" s="162"/>
      <c r="F3803" s="163"/>
      <c r="G3803" s="164"/>
      <c r="H3803" s="165"/>
      <c r="I3803" s="164"/>
      <c r="J3803" s="165"/>
      <c r="K3803" s="164"/>
      <c r="L3803" s="165"/>
      <c r="M3803" s="6"/>
      <c r="N3803" s="32"/>
      <c r="Q3803" s="10" t="str">
        <f>+CONCATENATE(E3801,K3801)</f>
        <v/>
      </c>
      <c r="R3803" s="10">
        <f>+L3801</f>
        <v>0</v>
      </c>
      <c r="S3803" s="11"/>
      <c r="T3803" s="10">
        <f>+E3801</f>
        <v>0</v>
      </c>
      <c r="U3803" s="19" t="str">
        <f>IFERROR(LEFT(K3801,FIND("*",K3801)-1),"-")</f>
        <v>-</v>
      </c>
      <c r="V3803" s="19" t="str">
        <f>IFERROR(RIGHT(K3801,LEN(K3801)-FIND("*",K3801)),"-")</f>
        <v>-</v>
      </c>
      <c r="W3803" s="20" t="str">
        <f t="shared" si="2062"/>
        <v>-</v>
      </c>
      <c r="X3803" s="20" t="str">
        <f>IFERROR(W3803*L3801,"-")</f>
        <v>-</v>
      </c>
      <c r="Z3803" s="85" t="s">
        <v>82</v>
      </c>
    </row>
    <row r="3804" spans="1:26" ht="21" customHeight="1" thickBot="1" x14ac:dyDescent="0.35">
      <c r="A3804" s="5"/>
      <c r="B3804" s="159"/>
      <c r="C3804" s="160"/>
      <c r="D3804" s="166" t="s">
        <v>43</v>
      </c>
      <c r="E3804" s="167"/>
      <c r="F3804" s="167"/>
      <c r="G3804" s="168"/>
      <c r="H3804" s="168"/>
      <c r="I3804" s="168"/>
      <c r="J3804" s="168"/>
      <c r="K3804" s="168"/>
      <c r="L3804" s="168"/>
      <c r="M3804" s="7"/>
      <c r="N3804" s="32"/>
      <c r="Z3804" s="86" t="s">
        <v>81</v>
      </c>
    </row>
    <row r="3805" spans="1:26" ht="9.9499999999999993" customHeight="1" thickBot="1" x14ac:dyDescent="0.35">
      <c r="B3805" s="9"/>
      <c r="C3805" s="109"/>
      <c r="D3805" s="51"/>
      <c r="E3805" s="12"/>
      <c r="F3805" s="51"/>
      <c r="G3805" s="14"/>
      <c r="H3805" s="14"/>
      <c r="I3805" s="14"/>
      <c r="J3805" s="14"/>
      <c r="K3805" s="14"/>
      <c r="L3805" s="14"/>
      <c r="M3805" s="9"/>
      <c r="N3805" s="32"/>
      <c r="U3805" s="18"/>
      <c r="V3805" s="18"/>
      <c r="Z3805" s="85" t="s">
        <v>82</v>
      </c>
    </row>
    <row r="3806" spans="1:26" ht="6.95" customHeight="1" x14ac:dyDescent="0.3">
      <c r="A3806" s="154">
        <f>+A3795+1</f>
        <v>1145</v>
      </c>
      <c r="B3806" s="155"/>
      <c r="C3806" s="156"/>
      <c r="D3806" s="161" t="s">
        <v>39</v>
      </c>
      <c r="E3806" s="162"/>
      <c r="F3806" s="163" t="s">
        <v>40</v>
      </c>
      <c r="G3806" s="164"/>
      <c r="H3806" s="165"/>
      <c r="I3806" s="164"/>
      <c r="J3806" s="165"/>
      <c r="K3806" s="164"/>
      <c r="L3806" s="165"/>
      <c r="M3806" s="6"/>
      <c r="N3806" s="32"/>
      <c r="Q3806" s="10" t="str">
        <f>+CONCATENATE(E3806,G3806)</f>
        <v/>
      </c>
      <c r="R3806" s="10">
        <f>+H3806</f>
        <v>0</v>
      </c>
      <c r="S3806" s="11"/>
      <c r="T3806" s="10">
        <f>+E3806</f>
        <v>0</v>
      </c>
      <c r="U3806" s="19" t="str">
        <f>IFERROR(LEFT(G3806,FIND("*",G3806)-1),"-")</f>
        <v>-</v>
      </c>
      <c r="V3806" s="19" t="str">
        <f>IFERROR(RIGHT(G3806,LEN(G3806)-FIND("*",G3806)),"-")</f>
        <v>-</v>
      </c>
      <c r="W3806" s="20" t="str">
        <f>IFERROR((U3806+V3806)*2/1000,"-")</f>
        <v>-</v>
      </c>
      <c r="X3806" s="20" t="str">
        <f>IFERROR(W3806*H3806,"-")</f>
        <v>-</v>
      </c>
      <c r="Z3806" s="85" t="s">
        <v>82</v>
      </c>
    </row>
    <row r="3807" spans="1:26" ht="6.95" customHeight="1" x14ac:dyDescent="0.3">
      <c r="A3807" s="154"/>
      <c r="B3807" s="157"/>
      <c r="C3807" s="158"/>
      <c r="D3807" s="161"/>
      <c r="E3807" s="162"/>
      <c r="F3807" s="163"/>
      <c r="G3807" s="164"/>
      <c r="H3807" s="165"/>
      <c r="I3807" s="164"/>
      <c r="J3807" s="165"/>
      <c r="K3807" s="164"/>
      <c r="L3807" s="165"/>
      <c r="M3807" s="6"/>
      <c r="N3807" s="32"/>
      <c r="Q3807" s="10" t="str">
        <f>+CONCATENATE(E3806,I3806)</f>
        <v/>
      </c>
      <c r="R3807" s="10">
        <f>+J3806</f>
        <v>0</v>
      </c>
      <c r="S3807" s="11"/>
      <c r="T3807" s="10">
        <f>+E3806</f>
        <v>0</v>
      </c>
      <c r="U3807" s="19" t="str">
        <f>IFERROR(LEFT(I3806,FIND("*",I3806)-1),"-")</f>
        <v>-</v>
      </c>
      <c r="V3807" s="19" t="str">
        <f>IFERROR(RIGHT(I3806,LEN(I3806)-FIND("*",I3806)),"-")</f>
        <v>-</v>
      </c>
      <c r="W3807" s="20" t="str">
        <f t="shared" ref="W3807:W3814" si="2068">IFERROR((U3807+V3807)*2/1000,"-")</f>
        <v>-</v>
      </c>
      <c r="X3807" s="20" t="str">
        <f>IFERROR(W3807*J3806,"-")</f>
        <v>-</v>
      </c>
      <c r="Z3807" s="85" t="s">
        <v>82</v>
      </c>
    </row>
    <row r="3808" spans="1:26" ht="6.95" customHeight="1" x14ac:dyDescent="0.3">
      <c r="A3808" s="154"/>
      <c r="B3808" s="157"/>
      <c r="C3808" s="158"/>
      <c r="D3808" s="161"/>
      <c r="E3808" s="162"/>
      <c r="F3808" s="163"/>
      <c r="G3808" s="164"/>
      <c r="H3808" s="165"/>
      <c r="I3808" s="164"/>
      <c r="J3808" s="165"/>
      <c r="K3808" s="164"/>
      <c r="L3808" s="165"/>
      <c r="M3808" s="6"/>
      <c r="N3808" s="32"/>
      <c r="Q3808" s="10" t="str">
        <f>+CONCATENATE(E3806,K3806)</f>
        <v/>
      </c>
      <c r="R3808" s="10">
        <f>+L3806</f>
        <v>0</v>
      </c>
      <c r="S3808" s="11"/>
      <c r="T3808" s="10">
        <f>+E3806</f>
        <v>0</v>
      </c>
      <c r="U3808" s="19" t="str">
        <f>IFERROR(LEFT(K3806,FIND("*",K3806)-1),"-")</f>
        <v>-</v>
      </c>
      <c r="V3808" s="19" t="str">
        <f>IFERROR(RIGHT(K3806,LEN(K3806)-FIND("*",K3806)),"-")</f>
        <v>-</v>
      </c>
      <c r="W3808" s="20" t="str">
        <f t="shared" si="2068"/>
        <v>-</v>
      </c>
      <c r="X3808" s="20" t="str">
        <f>IFERROR(W3808*L3806,"-")</f>
        <v>-</v>
      </c>
      <c r="Z3808" s="85" t="s">
        <v>82</v>
      </c>
    </row>
    <row r="3809" spans="1:26" ht="6.95" customHeight="1" x14ac:dyDescent="0.3">
      <c r="A3809" s="8"/>
      <c r="B3809" s="157"/>
      <c r="C3809" s="158"/>
      <c r="D3809" s="161" t="s">
        <v>39</v>
      </c>
      <c r="E3809" s="162"/>
      <c r="F3809" s="163" t="s">
        <v>40</v>
      </c>
      <c r="G3809" s="164"/>
      <c r="H3809" s="165"/>
      <c r="I3809" s="164"/>
      <c r="J3809" s="165"/>
      <c r="K3809" s="164"/>
      <c r="L3809" s="165"/>
      <c r="M3809" s="6"/>
      <c r="N3809" s="32"/>
      <c r="Q3809" s="10" t="str">
        <f>+CONCATENATE(E3809,G3809)</f>
        <v/>
      </c>
      <c r="R3809" s="10">
        <f>+H3809</f>
        <v>0</v>
      </c>
      <c r="S3809" s="11"/>
      <c r="T3809" s="10">
        <f>+E3809</f>
        <v>0</v>
      </c>
      <c r="U3809" s="19" t="str">
        <f t="shared" ref="U3809" si="2069">IFERROR(LEFT(G3809,FIND("*",G3809)-1),"-")</f>
        <v>-</v>
      </c>
      <c r="V3809" s="19" t="str">
        <f t="shared" ref="V3809" si="2070">IFERROR(RIGHT(G3809,LEN(G3809)-FIND("*",G3809)),"-")</f>
        <v>-</v>
      </c>
      <c r="W3809" s="20" t="str">
        <f t="shared" si="2068"/>
        <v>-</v>
      </c>
      <c r="X3809" s="20" t="str">
        <f>IFERROR(W3809*H3809,"-")</f>
        <v>-</v>
      </c>
      <c r="Z3809" s="85" t="s">
        <v>82</v>
      </c>
    </row>
    <row r="3810" spans="1:26" ht="6.95" customHeight="1" x14ac:dyDescent="0.3">
      <c r="A3810" s="5"/>
      <c r="B3810" s="157"/>
      <c r="C3810" s="158"/>
      <c r="D3810" s="161"/>
      <c r="E3810" s="162"/>
      <c r="F3810" s="163"/>
      <c r="G3810" s="164"/>
      <c r="H3810" s="165"/>
      <c r="I3810" s="164"/>
      <c r="J3810" s="165"/>
      <c r="K3810" s="164"/>
      <c r="L3810" s="165"/>
      <c r="M3810" s="6"/>
      <c r="N3810" s="32"/>
      <c r="Q3810" s="10" t="str">
        <f>+CONCATENATE(E3809,I3809)</f>
        <v/>
      </c>
      <c r="R3810" s="10">
        <f>+J3809</f>
        <v>0</v>
      </c>
      <c r="S3810" s="11"/>
      <c r="T3810" s="10">
        <f>+E3809</f>
        <v>0</v>
      </c>
      <c r="U3810" s="19" t="str">
        <f>IFERROR(LEFT(I3809,FIND("*",I3809)-1),"-")</f>
        <v>-</v>
      </c>
      <c r="V3810" s="19" t="str">
        <f>IFERROR(RIGHT(I3809,LEN(I3809)-FIND("*",I3809)),"-")</f>
        <v>-</v>
      </c>
      <c r="W3810" s="20" t="str">
        <f t="shared" si="2068"/>
        <v>-</v>
      </c>
      <c r="X3810" s="20" t="str">
        <f>IFERROR(W3810*J3809,"-")</f>
        <v>-</v>
      </c>
      <c r="Z3810" s="85" t="s">
        <v>82</v>
      </c>
    </row>
    <row r="3811" spans="1:26" ht="6.95" customHeight="1" x14ac:dyDescent="0.3">
      <c r="A3811" s="5"/>
      <c r="B3811" s="157"/>
      <c r="C3811" s="158"/>
      <c r="D3811" s="161"/>
      <c r="E3811" s="162"/>
      <c r="F3811" s="163"/>
      <c r="G3811" s="164"/>
      <c r="H3811" s="165"/>
      <c r="I3811" s="164"/>
      <c r="J3811" s="165"/>
      <c r="K3811" s="164"/>
      <c r="L3811" s="165"/>
      <c r="M3811" s="6"/>
      <c r="N3811" s="32"/>
      <c r="Q3811" s="10" t="str">
        <f>+CONCATENATE(E3809,K3809)</f>
        <v/>
      </c>
      <c r="R3811" s="10">
        <f>+L3809</f>
        <v>0</v>
      </c>
      <c r="S3811" s="11"/>
      <c r="T3811" s="10">
        <f>+E3809</f>
        <v>0</v>
      </c>
      <c r="U3811" s="19" t="str">
        <f>IFERROR(LEFT(K3809,FIND("*",K3809)-1),"-")</f>
        <v>-</v>
      </c>
      <c r="V3811" s="19" t="str">
        <f>IFERROR(RIGHT(K3809,LEN(K3809)-FIND("*",K3809)),"-")</f>
        <v>-</v>
      </c>
      <c r="W3811" s="20" t="str">
        <f t="shared" si="2068"/>
        <v>-</v>
      </c>
      <c r="X3811" s="20" t="str">
        <f>IFERROR(W3811*L3809,"-")</f>
        <v>-</v>
      </c>
      <c r="Z3811" s="85" t="s">
        <v>82</v>
      </c>
    </row>
    <row r="3812" spans="1:26" ht="6.95" customHeight="1" x14ac:dyDescent="0.3">
      <c r="A3812" s="8"/>
      <c r="B3812" s="157"/>
      <c r="C3812" s="158"/>
      <c r="D3812" s="161" t="s">
        <v>39</v>
      </c>
      <c r="E3812" s="162"/>
      <c r="F3812" s="163" t="s">
        <v>40</v>
      </c>
      <c r="G3812" s="164"/>
      <c r="H3812" s="165"/>
      <c r="I3812" s="164"/>
      <c r="J3812" s="165"/>
      <c r="K3812" s="164"/>
      <c r="L3812" s="165"/>
      <c r="M3812" s="6"/>
      <c r="N3812" s="32"/>
      <c r="Q3812" s="10" t="str">
        <f>+CONCATENATE(E3812,G3812)</f>
        <v/>
      </c>
      <c r="R3812" s="10">
        <f>+H3812</f>
        <v>0</v>
      </c>
      <c r="S3812" s="11"/>
      <c r="T3812" s="10">
        <f>+E3812</f>
        <v>0</v>
      </c>
      <c r="U3812" s="19" t="str">
        <f t="shared" ref="U3812" si="2071">IFERROR(LEFT(G3812,FIND("*",G3812)-1),"-")</f>
        <v>-</v>
      </c>
      <c r="V3812" s="19" t="str">
        <f t="shared" ref="V3812" si="2072">IFERROR(RIGHT(G3812,LEN(G3812)-FIND("*",G3812)),"-")</f>
        <v>-</v>
      </c>
      <c r="W3812" s="20" t="str">
        <f t="shared" si="2068"/>
        <v>-</v>
      </c>
      <c r="X3812" s="20" t="str">
        <f>IFERROR(W3812*H3812,"-")</f>
        <v>-</v>
      </c>
      <c r="Z3812" s="85" t="s">
        <v>82</v>
      </c>
    </row>
    <row r="3813" spans="1:26" ht="6.95" customHeight="1" x14ac:dyDescent="0.3">
      <c r="A3813" s="5"/>
      <c r="B3813" s="157"/>
      <c r="C3813" s="158"/>
      <c r="D3813" s="161"/>
      <c r="E3813" s="162"/>
      <c r="F3813" s="163"/>
      <c r="G3813" s="164"/>
      <c r="H3813" s="165"/>
      <c r="I3813" s="164"/>
      <c r="J3813" s="165"/>
      <c r="K3813" s="164"/>
      <c r="L3813" s="165"/>
      <c r="M3813" s="6"/>
      <c r="N3813" s="32"/>
      <c r="Q3813" s="10" t="str">
        <f>+CONCATENATE(E3812,I3812)</f>
        <v/>
      </c>
      <c r="R3813" s="10">
        <f>+J3812</f>
        <v>0</v>
      </c>
      <c r="S3813" s="11"/>
      <c r="T3813" s="10">
        <f>+E3812</f>
        <v>0</v>
      </c>
      <c r="U3813" s="19" t="str">
        <f>IFERROR(LEFT(I3812,FIND("*",I3812)-1),"-")</f>
        <v>-</v>
      </c>
      <c r="V3813" s="19" t="str">
        <f>IFERROR(RIGHT(I3812,LEN(I3812)-FIND("*",I3812)),"-")</f>
        <v>-</v>
      </c>
      <c r="W3813" s="20" t="str">
        <f t="shared" si="2068"/>
        <v>-</v>
      </c>
      <c r="X3813" s="20" t="str">
        <f t="shared" ref="X3813" si="2073">IFERROR(W3813*J3812,"-")</f>
        <v>-</v>
      </c>
      <c r="Z3813" s="85" t="s">
        <v>82</v>
      </c>
    </row>
    <row r="3814" spans="1:26" ht="6.95" customHeight="1" x14ac:dyDescent="0.3">
      <c r="A3814" s="5"/>
      <c r="B3814" s="157"/>
      <c r="C3814" s="158"/>
      <c r="D3814" s="161"/>
      <c r="E3814" s="162"/>
      <c r="F3814" s="163"/>
      <c r="G3814" s="164"/>
      <c r="H3814" s="165"/>
      <c r="I3814" s="164"/>
      <c r="J3814" s="165"/>
      <c r="K3814" s="164"/>
      <c r="L3814" s="165"/>
      <c r="M3814" s="6"/>
      <c r="N3814" s="32"/>
      <c r="Q3814" s="10" t="str">
        <f>+CONCATENATE(E3812,K3812)</f>
        <v/>
      </c>
      <c r="R3814" s="10">
        <f>+L3812</f>
        <v>0</v>
      </c>
      <c r="S3814" s="11"/>
      <c r="T3814" s="10">
        <f>+E3812</f>
        <v>0</v>
      </c>
      <c r="U3814" s="19" t="str">
        <f>IFERROR(LEFT(K3812,FIND("*",K3812)-1),"-")</f>
        <v>-</v>
      </c>
      <c r="V3814" s="19" t="str">
        <f>IFERROR(RIGHT(K3812,LEN(K3812)-FIND("*",K3812)),"-")</f>
        <v>-</v>
      </c>
      <c r="W3814" s="20" t="str">
        <f t="shared" si="2068"/>
        <v>-</v>
      </c>
      <c r="X3814" s="20" t="str">
        <f>IFERROR(W3814*L3812,"-")</f>
        <v>-</v>
      </c>
      <c r="Z3814" s="85" t="s">
        <v>82</v>
      </c>
    </row>
    <row r="3815" spans="1:26" ht="21" customHeight="1" thickBot="1" x14ac:dyDescent="0.35">
      <c r="A3815" s="5"/>
      <c r="B3815" s="159"/>
      <c r="C3815" s="160"/>
      <c r="D3815" s="166" t="s">
        <v>43</v>
      </c>
      <c r="E3815" s="167"/>
      <c r="F3815" s="167"/>
      <c r="G3815" s="168"/>
      <c r="H3815" s="168"/>
      <c r="I3815" s="168"/>
      <c r="J3815" s="168"/>
      <c r="K3815" s="168"/>
      <c r="L3815" s="168"/>
      <c r="M3815" s="7"/>
      <c r="N3815" s="32"/>
      <c r="Z3815" s="86" t="s">
        <v>81</v>
      </c>
    </row>
    <row r="3816" spans="1:26" ht="9.9499999999999993" customHeight="1" thickBot="1" x14ac:dyDescent="0.35">
      <c r="B3816" s="9"/>
      <c r="C3816" s="109"/>
      <c r="D3816" s="51"/>
      <c r="E3816" s="12"/>
      <c r="F3816" s="51"/>
      <c r="G3816" s="14"/>
      <c r="H3816" s="14"/>
      <c r="I3816" s="14"/>
      <c r="J3816" s="14"/>
      <c r="K3816" s="14"/>
      <c r="L3816" s="14"/>
      <c r="M3816" s="9"/>
      <c r="N3816" s="32"/>
      <c r="U3816" s="18"/>
      <c r="V3816" s="18"/>
      <c r="Z3816" s="85" t="s">
        <v>82</v>
      </c>
    </row>
    <row r="3817" spans="1:26" ht="6.95" customHeight="1" x14ac:dyDescent="0.3">
      <c r="A3817" s="154">
        <f>+A3806+1</f>
        <v>1146</v>
      </c>
      <c r="B3817" s="155"/>
      <c r="C3817" s="156"/>
      <c r="D3817" s="161" t="s">
        <v>39</v>
      </c>
      <c r="E3817" s="162"/>
      <c r="F3817" s="163" t="s">
        <v>40</v>
      </c>
      <c r="G3817" s="164"/>
      <c r="H3817" s="165"/>
      <c r="I3817" s="164"/>
      <c r="J3817" s="165"/>
      <c r="K3817" s="164"/>
      <c r="L3817" s="165"/>
      <c r="M3817" s="6"/>
      <c r="N3817" s="32"/>
      <c r="Q3817" s="10" t="str">
        <f>+CONCATENATE(E3817,G3817)</f>
        <v/>
      </c>
      <c r="R3817" s="10">
        <f>+H3817</f>
        <v>0</v>
      </c>
      <c r="S3817" s="11"/>
      <c r="T3817" s="10">
        <f>+E3817</f>
        <v>0</v>
      </c>
      <c r="U3817" s="19" t="str">
        <f>IFERROR(LEFT(G3817,FIND("*",G3817)-1),"-")</f>
        <v>-</v>
      </c>
      <c r="V3817" s="19" t="str">
        <f>IFERROR(RIGHT(G3817,LEN(G3817)-FIND("*",G3817)),"-")</f>
        <v>-</v>
      </c>
      <c r="W3817" s="20" t="str">
        <f>IFERROR((U3817+V3817)*2/1000,"-")</f>
        <v>-</v>
      </c>
      <c r="X3817" s="20" t="str">
        <f>IFERROR(W3817*H3817,"-")</f>
        <v>-</v>
      </c>
      <c r="Z3817" s="85" t="s">
        <v>82</v>
      </c>
    </row>
    <row r="3818" spans="1:26" ht="6.95" customHeight="1" x14ac:dyDescent="0.3">
      <c r="A3818" s="154"/>
      <c r="B3818" s="157"/>
      <c r="C3818" s="158"/>
      <c r="D3818" s="161"/>
      <c r="E3818" s="162"/>
      <c r="F3818" s="163"/>
      <c r="G3818" s="164"/>
      <c r="H3818" s="165"/>
      <c r="I3818" s="164"/>
      <c r="J3818" s="165"/>
      <c r="K3818" s="164"/>
      <c r="L3818" s="165"/>
      <c r="M3818" s="6"/>
      <c r="N3818" s="32"/>
      <c r="Q3818" s="10" t="str">
        <f>+CONCATENATE(E3817,I3817)</f>
        <v/>
      </c>
      <c r="R3818" s="10">
        <f>+J3817</f>
        <v>0</v>
      </c>
      <c r="S3818" s="11"/>
      <c r="T3818" s="10">
        <f>+E3817</f>
        <v>0</v>
      </c>
      <c r="U3818" s="19" t="str">
        <f>IFERROR(LEFT(I3817,FIND("*",I3817)-1),"-")</f>
        <v>-</v>
      </c>
      <c r="V3818" s="19" t="str">
        <f>IFERROR(RIGHT(I3817,LEN(I3817)-FIND("*",I3817)),"-")</f>
        <v>-</v>
      </c>
      <c r="W3818" s="20" t="str">
        <f t="shared" ref="W3818:W3825" si="2074">IFERROR((U3818+V3818)*2/1000,"-")</f>
        <v>-</v>
      </c>
      <c r="X3818" s="20" t="str">
        <f>IFERROR(W3818*J3817,"-")</f>
        <v>-</v>
      </c>
      <c r="Z3818" s="85" t="s">
        <v>82</v>
      </c>
    </row>
    <row r="3819" spans="1:26" ht="6.95" customHeight="1" x14ac:dyDescent="0.3">
      <c r="A3819" s="154"/>
      <c r="B3819" s="157"/>
      <c r="C3819" s="158"/>
      <c r="D3819" s="161"/>
      <c r="E3819" s="162"/>
      <c r="F3819" s="163"/>
      <c r="G3819" s="164"/>
      <c r="H3819" s="165"/>
      <c r="I3819" s="164"/>
      <c r="J3819" s="165"/>
      <c r="K3819" s="164"/>
      <c r="L3819" s="165"/>
      <c r="M3819" s="6"/>
      <c r="N3819" s="32"/>
      <c r="Q3819" s="10" t="str">
        <f>+CONCATENATE(E3817,K3817)</f>
        <v/>
      </c>
      <c r="R3819" s="10">
        <f>+L3817</f>
        <v>0</v>
      </c>
      <c r="S3819" s="11"/>
      <c r="T3819" s="10">
        <f>+E3817</f>
        <v>0</v>
      </c>
      <c r="U3819" s="19" t="str">
        <f>IFERROR(LEFT(K3817,FIND("*",K3817)-1),"-")</f>
        <v>-</v>
      </c>
      <c r="V3819" s="19" t="str">
        <f>IFERROR(RIGHT(K3817,LEN(K3817)-FIND("*",K3817)),"-")</f>
        <v>-</v>
      </c>
      <c r="W3819" s="20" t="str">
        <f t="shared" si="2074"/>
        <v>-</v>
      </c>
      <c r="X3819" s="20" t="str">
        <f>IFERROR(W3819*L3817,"-")</f>
        <v>-</v>
      </c>
      <c r="Z3819" s="85" t="s">
        <v>82</v>
      </c>
    </row>
    <row r="3820" spans="1:26" ht="6.95" customHeight="1" x14ac:dyDescent="0.3">
      <c r="A3820" s="8"/>
      <c r="B3820" s="157"/>
      <c r="C3820" s="158"/>
      <c r="D3820" s="161" t="s">
        <v>39</v>
      </c>
      <c r="E3820" s="162"/>
      <c r="F3820" s="163" t="s">
        <v>40</v>
      </c>
      <c r="G3820" s="164"/>
      <c r="H3820" s="165"/>
      <c r="I3820" s="164"/>
      <c r="J3820" s="165"/>
      <c r="K3820" s="164"/>
      <c r="L3820" s="165"/>
      <c r="M3820" s="6"/>
      <c r="N3820" s="32"/>
      <c r="Q3820" s="10" t="str">
        <f>+CONCATENATE(E3820,G3820)</f>
        <v/>
      </c>
      <c r="R3820" s="10">
        <f>+H3820</f>
        <v>0</v>
      </c>
      <c r="S3820" s="11"/>
      <c r="T3820" s="10">
        <f>+E3820</f>
        <v>0</v>
      </c>
      <c r="U3820" s="19" t="str">
        <f t="shared" ref="U3820" si="2075">IFERROR(LEFT(G3820,FIND("*",G3820)-1),"-")</f>
        <v>-</v>
      </c>
      <c r="V3820" s="19" t="str">
        <f t="shared" ref="V3820" si="2076">IFERROR(RIGHT(G3820,LEN(G3820)-FIND("*",G3820)),"-")</f>
        <v>-</v>
      </c>
      <c r="W3820" s="20" t="str">
        <f t="shared" si="2074"/>
        <v>-</v>
      </c>
      <c r="X3820" s="20" t="str">
        <f>IFERROR(W3820*H3820,"-")</f>
        <v>-</v>
      </c>
      <c r="Z3820" s="85" t="s">
        <v>82</v>
      </c>
    </row>
    <row r="3821" spans="1:26" ht="6.95" customHeight="1" x14ac:dyDescent="0.3">
      <c r="A3821" s="5"/>
      <c r="B3821" s="157"/>
      <c r="C3821" s="158"/>
      <c r="D3821" s="161"/>
      <c r="E3821" s="162"/>
      <c r="F3821" s="163"/>
      <c r="G3821" s="164"/>
      <c r="H3821" s="165"/>
      <c r="I3821" s="164"/>
      <c r="J3821" s="165"/>
      <c r="K3821" s="164"/>
      <c r="L3821" s="165"/>
      <c r="M3821" s="6"/>
      <c r="N3821" s="32"/>
      <c r="Q3821" s="10" t="str">
        <f>+CONCATENATE(E3820,I3820)</f>
        <v/>
      </c>
      <c r="R3821" s="10">
        <f>+J3820</f>
        <v>0</v>
      </c>
      <c r="S3821" s="11"/>
      <c r="T3821" s="10">
        <f>+E3820</f>
        <v>0</v>
      </c>
      <c r="U3821" s="19" t="str">
        <f>IFERROR(LEFT(I3820,FIND("*",I3820)-1),"-")</f>
        <v>-</v>
      </c>
      <c r="V3821" s="19" t="str">
        <f>IFERROR(RIGHT(I3820,LEN(I3820)-FIND("*",I3820)),"-")</f>
        <v>-</v>
      </c>
      <c r="W3821" s="20" t="str">
        <f t="shared" si="2074"/>
        <v>-</v>
      </c>
      <c r="X3821" s="20" t="str">
        <f>IFERROR(W3821*J3820,"-")</f>
        <v>-</v>
      </c>
      <c r="Z3821" s="85" t="s">
        <v>82</v>
      </c>
    </row>
    <row r="3822" spans="1:26" ht="6.95" customHeight="1" x14ac:dyDescent="0.3">
      <c r="A3822" s="5"/>
      <c r="B3822" s="157"/>
      <c r="C3822" s="158"/>
      <c r="D3822" s="161"/>
      <c r="E3822" s="162"/>
      <c r="F3822" s="163"/>
      <c r="G3822" s="164"/>
      <c r="H3822" s="165"/>
      <c r="I3822" s="164"/>
      <c r="J3822" s="165"/>
      <c r="K3822" s="164"/>
      <c r="L3822" s="165"/>
      <c r="M3822" s="6"/>
      <c r="N3822" s="32"/>
      <c r="Q3822" s="10" t="str">
        <f>+CONCATENATE(E3820,K3820)</f>
        <v/>
      </c>
      <c r="R3822" s="10">
        <f>+L3820</f>
        <v>0</v>
      </c>
      <c r="S3822" s="11"/>
      <c r="T3822" s="10">
        <f>+E3820</f>
        <v>0</v>
      </c>
      <c r="U3822" s="19" t="str">
        <f>IFERROR(LEFT(K3820,FIND("*",K3820)-1),"-")</f>
        <v>-</v>
      </c>
      <c r="V3822" s="19" t="str">
        <f>IFERROR(RIGHT(K3820,LEN(K3820)-FIND("*",K3820)),"-")</f>
        <v>-</v>
      </c>
      <c r="W3822" s="20" t="str">
        <f t="shared" si="2074"/>
        <v>-</v>
      </c>
      <c r="X3822" s="20" t="str">
        <f>IFERROR(W3822*L3820,"-")</f>
        <v>-</v>
      </c>
      <c r="Z3822" s="85" t="s">
        <v>82</v>
      </c>
    </row>
    <row r="3823" spans="1:26" ht="6.95" customHeight="1" x14ac:dyDescent="0.3">
      <c r="A3823" s="8"/>
      <c r="B3823" s="157"/>
      <c r="C3823" s="158"/>
      <c r="D3823" s="161" t="s">
        <v>39</v>
      </c>
      <c r="E3823" s="162"/>
      <c r="F3823" s="163" t="s">
        <v>40</v>
      </c>
      <c r="G3823" s="164"/>
      <c r="H3823" s="165"/>
      <c r="I3823" s="164"/>
      <c r="J3823" s="165"/>
      <c r="K3823" s="164"/>
      <c r="L3823" s="165"/>
      <c r="M3823" s="6"/>
      <c r="N3823" s="32"/>
      <c r="Q3823" s="10" t="str">
        <f>+CONCATENATE(E3823,G3823)</f>
        <v/>
      </c>
      <c r="R3823" s="10">
        <f>+H3823</f>
        <v>0</v>
      </c>
      <c r="S3823" s="11"/>
      <c r="T3823" s="10">
        <f>+E3823</f>
        <v>0</v>
      </c>
      <c r="U3823" s="19" t="str">
        <f t="shared" ref="U3823" si="2077">IFERROR(LEFT(G3823,FIND("*",G3823)-1),"-")</f>
        <v>-</v>
      </c>
      <c r="V3823" s="19" t="str">
        <f t="shared" ref="V3823" si="2078">IFERROR(RIGHT(G3823,LEN(G3823)-FIND("*",G3823)),"-")</f>
        <v>-</v>
      </c>
      <c r="W3823" s="20" t="str">
        <f t="shared" si="2074"/>
        <v>-</v>
      </c>
      <c r="X3823" s="20" t="str">
        <f>IFERROR(W3823*H3823,"-")</f>
        <v>-</v>
      </c>
      <c r="Z3823" s="85" t="s">
        <v>82</v>
      </c>
    </row>
    <row r="3824" spans="1:26" ht="6.95" customHeight="1" x14ac:dyDescent="0.3">
      <c r="A3824" s="5"/>
      <c r="B3824" s="157"/>
      <c r="C3824" s="158"/>
      <c r="D3824" s="161"/>
      <c r="E3824" s="162"/>
      <c r="F3824" s="163"/>
      <c r="G3824" s="164"/>
      <c r="H3824" s="165"/>
      <c r="I3824" s="164"/>
      <c r="J3824" s="165"/>
      <c r="K3824" s="164"/>
      <c r="L3824" s="165"/>
      <c r="M3824" s="6"/>
      <c r="N3824" s="32"/>
      <c r="Q3824" s="10" t="str">
        <f>+CONCATENATE(E3823,I3823)</f>
        <v/>
      </c>
      <c r="R3824" s="10">
        <f>+J3823</f>
        <v>0</v>
      </c>
      <c r="S3824" s="11"/>
      <c r="T3824" s="10">
        <f>+E3823</f>
        <v>0</v>
      </c>
      <c r="U3824" s="19" t="str">
        <f>IFERROR(LEFT(I3823,FIND("*",I3823)-1),"-")</f>
        <v>-</v>
      </c>
      <c r="V3824" s="19" t="str">
        <f>IFERROR(RIGHT(I3823,LEN(I3823)-FIND("*",I3823)),"-")</f>
        <v>-</v>
      </c>
      <c r="W3824" s="20" t="str">
        <f t="shared" si="2074"/>
        <v>-</v>
      </c>
      <c r="X3824" s="20" t="str">
        <f t="shared" ref="X3824" si="2079">IFERROR(W3824*J3823,"-")</f>
        <v>-</v>
      </c>
      <c r="Z3824" s="85" t="s">
        <v>82</v>
      </c>
    </row>
    <row r="3825" spans="1:26" ht="6.95" customHeight="1" x14ac:dyDescent="0.3">
      <c r="A3825" s="5"/>
      <c r="B3825" s="157"/>
      <c r="C3825" s="158"/>
      <c r="D3825" s="161"/>
      <c r="E3825" s="162"/>
      <c r="F3825" s="163"/>
      <c r="G3825" s="164"/>
      <c r="H3825" s="165"/>
      <c r="I3825" s="164"/>
      <c r="J3825" s="165"/>
      <c r="K3825" s="164"/>
      <c r="L3825" s="165"/>
      <c r="M3825" s="6"/>
      <c r="N3825" s="32"/>
      <c r="Q3825" s="10" t="str">
        <f>+CONCATENATE(E3823,K3823)</f>
        <v/>
      </c>
      <c r="R3825" s="10">
        <f>+L3823</f>
        <v>0</v>
      </c>
      <c r="S3825" s="11"/>
      <c r="T3825" s="10">
        <f>+E3823</f>
        <v>0</v>
      </c>
      <c r="U3825" s="19" t="str">
        <f>IFERROR(LEFT(K3823,FIND("*",K3823)-1),"-")</f>
        <v>-</v>
      </c>
      <c r="V3825" s="19" t="str">
        <f>IFERROR(RIGHT(K3823,LEN(K3823)-FIND("*",K3823)),"-")</f>
        <v>-</v>
      </c>
      <c r="W3825" s="20" t="str">
        <f t="shared" si="2074"/>
        <v>-</v>
      </c>
      <c r="X3825" s="20" t="str">
        <f>IFERROR(W3825*L3823,"-")</f>
        <v>-</v>
      </c>
      <c r="Z3825" s="85" t="s">
        <v>82</v>
      </c>
    </row>
    <row r="3826" spans="1:26" ht="21" customHeight="1" thickBot="1" x14ac:dyDescent="0.35">
      <c r="A3826" s="5"/>
      <c r="B3826" s="159"/>
      <c r="C3826" s="160"/>
      <c r="D3826" s="166" t="s">
        <v>43</v>
      </c>
      <c r="E3826" s="167"/>
      <c r="F3826" s="167"/>
      <c r="G3826" s="168"/>
      <c r="H3826" s="168"/>
      <c r="I3826" s="168"/>
      <c r="J3826" s="168"/>
      <c r="K3826" s="168"/>
      <c r="L3826" s="168"/>
      <c r="M3826" s="7"/>
      <c r="N3826" s="32"/>
      <c r="Z3826" s="86" t="s">
        <v>81</v>
      </c>
    </row>
    <row r="3827" spans="1:26" ht="9.9499999999999993" customHeight="1" thickBot="1" x14ac:dyDescent="0.35">
      <c r="B3827" s="9"/>
      <c r="C3827" s="109"/>
      <c r="D3827" s="51"/>
      <c r="E3827" s="12"/>
      <c r="F3827" s="51"/>
      <c r="G3827" s="14"/>
      <c r="H3827" s="14"/>
      <c r="I3827" s="14"/>
      <c r="J3827" s="14"/>
      <c r="K3827" s="14"/>
      <c r="L3827" s="14"/>
      <c r="M3827" s="9"/>
      <c r="N3827" s="32"/>
      <c r="U3827" s="18"/>
      <c r="V3827" s="18"/>
      <c r="Z3827" s="85" t="s">
        <v>82</v>
      </c>
    </row>
    <row r="3828" spans="1:26" ht="6.95" customHeight="1" x14ac:dyDescent="0.3">
      <c r="A3828" s="154">
        <f>+A3817+1</f>
        <v>1147</v>
      </c>
      <c r="B3828" s="155"/>
      <c r="C3828" s="156"/>
      <c r="D3828" s="161" t="s">
        <v>39</v>
      </c>
      <c r="E3828" s="162"/>
      <c r="F3828" s="163" t="s">
        <v>40</v>
      </c>
      <c r="G3828" s="164"/>
      <c r="H3828" s="165"/>
      <c r="I3828" s="164"/>
      <c r="J3828" s="165"/>
      <c r="K3828" s="164"/>
      <c r="L3828" s="165"/>
      <c r="M3828" s="6"/>
      <c r="N3828" s="32"/>
      <c r="Q3828" s="10" t="str">
        <f>+CONCATENATE(E3828,G3828)</f>
        <v/>
      </c>
      <c r="R3828" s="10">
        <f>+H3828</f>
        <v>0</v>
      </c>
      <c r="S3828" s="11"/>
      <c r="T3828" s="10">
        <f>+E3828</f>
        <v>0</v>
      </c>
      <c r="U3828" s="19" t="str">
        <f>IFERROR(LEFT(G3828,FIND("*",G3828)-1),"-")</f>
        <v>-</v>
      </c>
      <c r="V3828" s="19" t="str">
        <f>IFERROR(RIGHT(G3828,LEN(G3828)-FIND("*",G3828)),"-")</f>
        <v>-</v>
      </c>
      <c r="W3828" s="20" t="str">
        <f>IFERROR((U3828+V3828)*2/1000,"-")</f>
        <v>-</v>
      </c>
      <c r="X3828" s="20" t="str">
        <f>IFERROR(W3828*H3828,"-")</f>
        <v>-</v>
      </c>
      <c r="Z3828" s="85" t="s">
        <v>82</v>
      </c>
    </row>
    <row r="3829" spans="1:26" ht="6.95" customHeight="1" x14ac:dyDescent="0.3">
      <c r="A3829" s="154"/>
      <c r="B3829" s="157"/>
      <c r="C3829" s="158"/>
      <c r="D3829" s="161"/>
      <c r="E3829" s="162"/>
      <c r="F3829" s="163"/>
      <c r="G3829" s="164"/>
      <c r="H3829" s="165"/>
      <c r="I3829" s="164"/>
      <c r="J3829" s="165"/>
      <c r="K3829" s="164"/>
      <c r="L3829" s="165"/>
      <c r="M3829" s="6"/>
      <c r="N3829" s="32"/>
      <c r="Q3829" s="10" t="str">
        <f>+CONCATENATE(E3828,I3828)</f>
        <v/>
      </c>
      <c r="R3829" s="10">
        <f>+J3828</f>
        <v>0</v>
      </c>
      <c r="S3829" s="11"/>
      <c r="T3829" s="10">
        <f>+E3828</f>
        <v>0</v>
      </c>
      <c r="U3829" s="19" t="str">
        <f>IFERROR(LEFT(I3828,FIND("*",I3828)-1),"-")</f>
        <v>-</v>
      </c>
      <c r="V3829" s="19" t="str">
        <f>IFERROR(RIGHT(I3828,LEN(I3828)-FIND("*",I3828)),"-")</f>
        <v>-</v>
      </c>
      <c r="W3829" s="20" t="str">
        <f t="shared" ref="W3829:W3836" si="2080">IFERROR((U3829+V3829)*2/1000,"-")</f>
        <v>-</v>
      </c>
      <c r="X3829" s="20" t="str">
        <f>IFERROR(W3829*J3828,"-")</f>
        <v>-</v>
      </c>
      <c r="Z3829" s="85" t="s">
        <v>82</v>
      </c>
    </row>
    <row r="3830" spans="1:26" ht="6.95" customHeight="1" x14ac:dyDescent="0.3">
      <c r="A3830" s="154"/>
      <c r="B3830" s="157"/>
      <c r="C3830" s="158"/>
      <c r="D3830" s="161"/>
      <c r="E3830" s="162"/>
      <c r="F3830" s="163"/>
      <c r="G3830" s="164"/>
      <c r="H3830" s="165"/>
      <c r="I3830" s="164"/>
      <c r="J3830" s="165"/>
      <c r="K3830" s="164"/>
      <c r="L3830" s="165"/>
      <c r="M3830" s="6"/>
      <c r="N3830" s="32"/>
      <c r="Q3830" s="10" t="str">
        <f>+CONCATENATE(E3828,K3828)</f>
        <v/>
      </c>
      <c r="R3830" s="10">
        <f>+L3828</f>
        <v>0</v>
      </c>
      <c r="S3830" s="11"/>
      <c r="T3830" s="10">
        <f>+E3828</f>
        <v>0</v>
      </c>
      <c r="U3830" s="19" t="str">
        <f>IFERROR(LEFT(K3828,FIND("*",K3828)-1),"-")</f>
        <v>-</v>
      </c>
      <c r="V3830" s="19" t="str">
        <f>IFERROR(RIGHT(K3828,LEN(K3828)-FIND("*",K3828)),"-")</f>
        <v>-</v>
      </c>
      <c r="W3830" s="20" t="str">
        <f t="shared" si="2080"/>
        <v>-</v>
      </c>
      <c r="X3830" s="20" t="str">
        <f>IFERROR(W3830*L3828,"-")</f>
        <v>-</v>
      </c>
      <c r="Z3830" s="85" t="s">
        <v>82</v>
      </c>
    </row>
    <row r="3831" spans="1:26" ht="6.95" customHeight="1" x14ac:dyDescent="0.3">
      <c r="A3831" s="8"/>
      <c r="B3831" s="157"/>
      <c r="C3831" s="158"/>
      <c r="D3831" s="161" t="s">
        <v>39</v>
      </c>
      <c r="E3831" s="162"/>
      <c r="F3831" s="163" t="s">
        <v>40</v>
      </c>
      <c r="G3831" s="164"/>
      <c r="H3831" s="165"/>
      <c r="I3831" s="164"/>
      <c r="J3831" s="165"/>
      <c r="K3831" s="164"/>
      <c r="L3831" s="165"/>
      <c r="M3831" s="6"/>
      <c r="N3831" s="32"/>
      <c r="Q3831" s="10" t="str">
        <f>+CONCATENATE(E3831,G3831)</f>
        <v/>
      </c>
      <c r="R3831" s="10">
        <f>+H3831</f>
        <v>0</v>
      </c>
      <c r="S3831" s="11"/>
      <c r="T3831" s="10">
        <f>+E3831</f>
        <v>0</v>
      </c>
      <c r="U3831" s="19" t="str">
        <f t="shared" ref="U3831" si="2081">IFERROR(LEFT(G3831,FIND("*",G3831)-1),"-")</f>
        <v>-</v>
      </c>
      <c r="V3831" s="19" t="str">
        <f t="shared" ref="V3831" si="2082">IFERROR(RIGHT(G3831,LEN(G3831)-FIND("*",G3831)),"-")</f>
        <v>-</v>
      </c>
      <c r="W3831" s="20" t="str">
        <f t="shared" si="2080"/>
        <v>-</v>
      </c>
      <c r="X3831" s="20" t="str">
        <f>IFERROR(W3831*H3831,"-")</f>
        <v>-</v>
      </c>
      <c r="Z3831" s="85" t="s">
        <v>82</v>
      </c>
    </row>
    <row r="3832" spans="1:26" ht="6.95" customHeight="1" x14ac:dyDescent="0.3">
      <c r="A3832" s="5"/>
      <c r="B3832" s="157"/>
      <c r="C3832" s="158"/>
      <c r="D3832" s="161"/>
      <c r="E3832" s="162"/>
      <c r="F3832" s="163"/>
      <c r="G3832" s="164"/>
      <c r="H3832" s="165"/>
      <c r="I3832" s="164"/>
      <c r="J3832" s="165"/>
      <c r="K3832" s="164"/>
      <c r="L3832" s="165"/>
      <c r="M3832" s="6"/>
      <c r="N3832" s="32"/>
      <c r="Q3832" s="10" t="str">
        <f>+CONCATENATE(E3831,I3831)</f>
        <v/>
      </c>
      <c r="R3832" s="10">
        <f>+J3831</f>
        <v>0</v>
      </c>
      <c r="S3832" s="11"/>
      <c r="T3832" s="10">
        <f>+E3831</f>
        <v>0</v>
      </c>
      <c r="U3832" s="19" t="str">
        <f>IFERROR(LEFT(I3831,FIND("*",I3831)-1),"-")</f>
        <v>-</v>
      </c>
      <c r="V3832" s="19" t="str">
        <f>IFERROR(RIGHT(I3831,LEN(I3831)-FIND("*",I3831)),"-")</f>
        <v>-</v>
      </c>
      <c r="W3832" s="20" t="str">
        <f t="shared" si="2080"/>
        <v>-</v>
      </c>
      <c r="X3832" s="20" t="str">
        <f>IFERROR(W3832*J3831,"-")</f>
        <v>-</v>
      </c>
      <c r="Z3832" s="85" t="s">
        <v>82</v>
      </c>
    </row>
    <row r="3833" spans="1:26" ht="6.95" customHeight="1" x14ac:dyDescent="0.3">
      <c r="A3833" s="5"/>
      <c r="B3833" s="157"/>
      <c r="C3833" s="158"/>
      <c r="D3833" s="161"/>
      <c r="E3833" s="162"/>
      <c r="F3833" s="163"/>
      <c r="G3833" s="164"/>
      <c r="H3833" s="165"/>
      <c r="I3833" s="164"/>
      <c r="J3833" s="165"/>
      <c r="K3833" s="164"/>
      <c r="L3833" s="165"/>
      <c r="M3833" s="6"/>
      <c r="N3833" s="32"/>
      <c r="Q3833" s="10" t="str">
        <f>+CONCATENATE(E3831,K3831)</f>
        <v/>
      </c>
      <c r="R3833" s="10">
        <f>+L3831</f>
        <v>0</v>
      </c>
      <c r="S3833" s="11"/>
      <c r="T3833" s="10">
        <f>+E3831</f>
        <v>0</v>
      </c>
      <c r="U3833" s="19" t="str">
        <f>IFERROR(LEFT(K3831,FIND("*",K3831)-1),"-")</f>
        <v>-</v>
      </c>
      <c r="V3833" s="19" t="str">
        <f>IFERROR(RIGHT(K3831,LEN(K3831)-FIND("*",K3831)),"-")</f>
        <v>-</v>
      </c>
      <c r="W3833" s="20" t="str">
        <f t="shared" si="2080"/>
        <v>-</v>
      </c>
      <c r="X3833" s="20" t="str">
        <f>IFERROR(W3833*L3831,"-")</f>
        <v>-</v>
      </c>
      <c r="Z3833" s="85" t="s">
        <v>82</v>
      </c>
    </row>
    <row r="3834" spans="1:26" ht="6.95" customHeight="1" x14ac:dyDescent="0.3">
      <c r="A3834" s="8"/>
      <c r="B3834" s="157"/>
      <c r="C3834" s="158"/>
      <c r="D3834" s="161" t="s">
        <v>39</v>
      </c>
      <c r="E3834" s="162"/>
      <c r="F3834" s="163" t="s">
        <v>40</v>
      </c>
      <c r="G3834" s="164"/>
      <c r="H3834" s="165"/>
      <c r="I3834" s="164"/>
      <c r="J3834" s="165"/>
      <c r="K3834" s="164"/>
      <c r="L3834" s="165"/>
      <c r="M3834" s="6"/>
      <c r="N3834" s="32"/>
      <c r="Q3834" s="10" t="str">
        <f>+CONCATENATE(E3834,G3834)</f>
        <v/>
      </c>
      <c r="R3834" s="10">
        <f>+H3834</f>
        <v>0</v>
      </c>
      <c r="S3834" s="11"/>
      <c r="T3834" s="10">
        <f>+E3834</f>
        <v>0</v>
      </c>
      <c r="U3834" s="19" t="str">
        <f t="shared" ref="U3834" si="2083">IFERROR(LEFT(G3834,FIND("*",G3834)-1),"-")</f>
        <v>-</v>
      </c>
      <c r="V3834" s="19" t="str">
        <f t="shared" ref="V3834" si="2084">IFERROR(RIGHT(G3834,LEN(G3834)-FIND("*",G3834)),"-")</f>
        <v>-</v>
      </c>
      <c r="W3834" s="20" t="str">
        <f t="shared" si="2080"/>
        <v>-</v>
      </c>
      <c r="X3834" s="20" t="str">
        <f>IFERROR(W3834*H3834,"-")</f>
        <v>-</v>
      </c>
      <c r="Z3834" s="85" t="s">
        <v>82</v>
      </c>
    </row>
    <row r="3835" spans="1:26" ht="6.95" customHeight="1" x14ac:dyDescent="0.3">
      <c r="A3835" s="5"/>
      <c r="B3835" s="157"/>
      <c r="C3835" s="158"/>
      <c r="D3835" s="161"/>
      <c r="E3835" s="162"/>
      <c r="F3835" s="163"/>
      <c r="G3835" s="164"/>
      <c r="H3835" s="165"/>
      <c r="I3835" s="164"/>
      <c r="J3835" s="165"/>
      <c r="K3835" s="164"/>
      <c r="L3835" s="165"/>
      <c r="M3835" s="6"/>
      <c r="N3835" s="32"/>
      <c r="Q3835" s="10" t="str">
        <f>+CONCATENATE(E3834,I3834)</f>
        <v/>
      </c>
      <c r="R3835" s="10">
        <f>+J3834</f>
        <v>0</v>
      </c>
      <c r="S3835" s="11"/>
      <c r="T3835" s="10">
        <f>+E3834</f>
        <v>0</v>
      </c>
      <c r="U3835" s="19" t="str">
        <f>IFERROR(LEFT(I3834,FIND("*",I3834)-1),"-")</f>
        <v>-</v>
      </c>
      <c r="V3835" s="19" t="str">
        <f>IFERROR(RIGHT(I3834,LEN(I3834)-FIND("*",I3834)),"-")</f>
        <v>-</v>
      </c>
      <c r="W3835" s="20" t="str">
        <f t="shared" si="2080"/>
        <v>-</v>
      </c>
      <c r="X3835" s="20" t="str">
        <f t="shared" ref="X3835" si="2085">IFERROR(W3835*J3834,"-")</f>
        <v>-</v>
      </c>
      <c r="Z3835" s="85" t="s">
        <v>82</v>
      </c>
    </row>
    <row r="3836" spans="1:26" ht="6.95" customHeight="1" x14ac:dyDescent="0.3">
      <c r="A3836" s="5"/>
      <c r="B3836" s="157"/>
      <c r="C3836" s="158"/>
      <c r="D3836" s="161"/>
      <c r="E3836" s="162"/>
      <c r="F3836" s="163"/>
      <c r="G3836" s="164"/>
      <c r="H3836" s="165"/>
      <c r="I3836" s="164"/>
      <c r="J3836" s="165"/>
      <c r="K3836" s="164"/>
      <c r="L3836" s="165"/>
      <c r="M3836" s="6"/>
      <c r="N3836" s="32"/>
      <c r="Q3836" s="10" t="str">
        <f>+CONCATENATE(E3834,K3834)</f>
        <v/>
      </c>
      <c r="R3836" s="10">
        <f>+L3834</f>
        <v>0</v>
      </c>
      <c r="S3836" s="11"/>
      <c r="T3836" s="10">
        <f>+E3834</f>
        <v>0</v>
      </c>
      <c r="U3836" s="19" t="str">
        <f>IFERROR(LEFT(K3834,FIND("*",K3834)-1),"-")</f>
        <v>-</v>
      </c>
      <c r="V3836" s="19" t="str">
        <f>IFERROR(RIGHT(K3834,LEN(K3834)-FIND("*",K3834)),"-")</f>
        <v>-</v>
      </c>
      <c r="W3836" s="20" t="str">
        <f t="shared" si="2080"/>
        <v>-</v>
      </c>
      <c r="X3836" s="20" t="str">
        <f>IFERROR(W3836*L3834,"-")</f>
        <v>-</v>
      </c>
      <c r="Z3836" s="85" t="s">
        <v>82</v>
      </c>
    </row>
    <row r="3837" spans="1:26" ht="21" customHeight="1" thickBot="1" x14ac:dyDescent="0.35">
      <c r="A3837" s="5"/>
      <c r="B3837" s="159"/>
      <c r="C3837" s="160"/>
      <c r="D3837" s="166" t="s">
        <v>43</v>
      </c>
      <c r="E3837" s="167"/>
      <c r="F3837" s="167"/>
      <c r="G3837" s="168"/>
      <c r="H3837" s="168"/>
      <c r="I3837" s="168"/>
      <c r="J3837" s="168"/>
      <c r="K3837" s="168"/>
      <c r="L3837" s="168"/>
      <c r="M3837" s="7"/>
      <c r="N3837" s="32"/>
      <c r="Z3837" s="86" t="s">
        <v>81</v>
      </c>
    </row>
    <row r="3838" spans="1:26" ht="9.9499999999999993" customHeight="1" thickBot="1" x14ac:dyDescent="0.35">
      <c r="B3838" s="9"/>
      <c r="C3838" s="109"/>
      <c r="D3838" s="51"/>
      <c r="E3838" s="12"/>
      <c r="F3838" s="51"/>
      <c r="G3838" s="14"/>
      <c r="H3838" s="14"/>
      <c r="I3838" s="14"/>
      <c r="J3838" s="14"/>
      <c r="K3838" s="14"/>
      <c r="L3838" s="14"/>
      <c r="M3838" s="9"/>
      <c r="N3838" s="32"/>
      <c r="U3838" s="18"/>
      <c r="V3838" s="18"/>
      <c r="Z3838" s="85" t="s">
        <v>82</v>
      </c>
    </row>
    <row r="3839" spans="1:26" ht="6.95" customHeight="1" x14ac:dyDescent="0.3">
      <c r="A3839" s="154">
        <f>+A3828+1</f>
        <v>1148</v>
      </c>
      <c r="B3839" s="155"/>
      <c r="C3839" s="156"/>
      <c r="D3839" s="161" t="s">
        <v>39</v>
      </c>
      <c r="E3839" s="162"/>
      <c r="F3839" s="163" t="s">
        <v>40</v>
      </c>
      <c r="G3839" s="164"/>
      <c r="H3839" s="165"/>
      <c r="I3839" s="164"/>
      <c r="J3839" s="165"/>
      <c r="K3839" s="164"/>
      <c r="L3839" s="165"/>
      <c r="M3839" s="6"/>
      <c r="N3839" s="32"/>
      <c r="Q3839" s="10" t="str">
        <f>+CONCATENATE(E3839,G3839)</f>
        <v/>
      </c>
      <c r="R3839" s="10">
        <f>+H3839</f>
        <v>0</v>
      </c>
      <c r="S3839" s="11"/>
      <c r="T3839" s="10">
        <f>+E3839</f>
        <v>0</v>
      </c>
      <c r="U3839" s="19" t="str">
        <f>IFERROR(LEFT(G3839,FIND("*",G3839)-1),"-")</f>
        <v>-</v>
      </c>
      <c r="V3839" s="19" t="str">
        <f>IFERROR(RIGHT(G3839,LEN(G3839)-FIND("*",G3839)),"-")</f>
        <v>-</v>
      </c>
      <c r="W3839" s="20" t="str">
        <f>IFERROR((U3839+V3839)*2/1000,"-")</f>
        <v>-</v>
      </c>
      <c r="X3839" s="20" t="str">
        <f>IFERROR(W3839*H3839,"-")</f>
        <v>-</v>
      </c>
      <c r="Z3839" s="85" t="s">
        <v>82</v>
      </c>
    </row>
    <row r="3840" spans="1:26" ht="6.95" customHeight="1" x14ac:dyDescent="0.3">
      <c r="A3840" s="154"/>
      <c r="B3840" s="157"/>
      <c r="C3840" s="158"/>
      <c r="D3840" s="161"/>
      <c r="E3840" s="162"/>
      <c r="F3840" s="163"/>
      <c r="G3840" s="164"/>
      <c r="H3840" s="165"/>
      <c r="I3840" s="164"/>
      <c r="J3840" s="165"/>
      <c r="K3840" s="164"/>
      <c r="L3840" s="165"/>
      <c r="M3840" s="6"/>
      <c r="N3840" s="32"/>
      <c r="Q3840" s="10" t="str">
        <f>+CONCATENATE(E3839,I3839)</f>
        <v/>
      </c>
      <c r="R3840" s="10">
        <f>+J3839</f>
        <v>0</v>
      </c>
      <c r="S3840" s="11"/>
      <c r="T3840" s="10">
        <f>+E3839</f>
        <v>0</v>
      </c>
      <c r="U3840" s="19" t="str">
        <f>IFERROR(LEFT(I3839,FIND("*",I3839)-1),"-")</f>
        <v>-</v>
      </c>
      <c r="V3840" s="19" t="str">
        <f>IFERROR(RIGHT(I3839,LEN(I3839)-FIND("*",I3839)),"-")</f>
        <v>-</v>
      </c>
      <c r="W3840" s="20" t="str">
        <f t="shared" ref="W3840:W3847" si="2086">IFERROR((U3840+V3840)*2/1000,"-")</f>
        <v>-</v>
      </c>
      <c r="X3840" s="20" t="str">
        <f>IFERROR(W3840*J3839,"-")</f>
        <v>-</v>
      </c>
      <c r="Z3840" s="85" t="s">
        <v>82</v>
      </c>
    </row>
    <row r="3841" spans="1:26" ht="6.95" customHeight="1" x14ac:dyDescent="0.3">
      <c r="A3841" s="154"/>
      <c r="B3841" s="157"/>
      <c r="C3841" s="158"/>
      <c r="D3841" s="161"/>
      <c r="E3841" s="162"/>
      <c r="F3841" s="163"/>
      <c r="G3841" s="164"/>
      <c r="H3841" s="165"/>
      <c r="I3841" s="164"/>
      <c r="J3841" s="165"/>
      <c r="K3841" s="164"/>
      <c r="L3841" s="165"/>
      <c r="M3841" s="6"/>
      <c r="N3841" s="32"/>
      <c r="Q3841" s="10" t="str">
        <f>+CONCATENATE(E3839,K3839)</f>
        <v/>
      </c>
      <c r="R3841" s="10">
        <f>+L3839</f>
        <v>0</v>
      </c>
      <c r="S3841" s="11"/>
      <c r="T3841" s="10">
        <f>+E3839</f>
        <v>0</v>
      </c>
      <c r="U3841" s="19" t="str">
        <f>IFERROR(LEFT(K3839,FIND("*",K3839)-1),"-")</f>
        <v>-</v>
      </c>
      <c r="V3841" s="19" t="str">
        <f>IFERROR(RIGHT(K3839,LEN(K3839)-FIND("*",K3839)),"-")</f>
        <v>-</v>
      </c>
      <c r="W3841" s="20" t="str">
        <f t="shared" si="2086"/>
        <v>-</v>
      </c>
      <c r="X3841" s="20" t="str">
        <f>IFERROR(W3841*L3839,"-")</f>
        <v>-</v>
      </c>
      <c r="Z3841" s="85" t="s">
        <v>82</v>
      </c>
    </row>
    <row r="3842" spans="1:26" ht="6.95" customHeight="1" x14ac:dyDescent="0.3">
      <c r="A3842" s="8"/>
      <c r="B3842" s="157"/>
      <c r="C3842" s="158"/>
      <c r="D3842" s="161" t="s">
        <v>39</v>
      </c>
      <c r="E3842" s="162"/>
      <c r="F3842" s="163" t="s">
        <v>40</v>
      </c>
      <c r="G3842" s="164"/>
      <c r="H3842" s="165"/>
      <c r="I3842" s="164"/>
      <c r="J3842" s="165"/>
      <c r="K3842" s="164"/>
      <c r="L3842" s="165"/>
      <c r="M3842" s="6"/>
      <c r="N3842" s="32"/>
      <c r="Q3842" s="10" t="str">
        <f>+CONCATENATE(E3842,G3842)</f>
        <v/>
      </c>
      <c r="R3842" s="10">
        <f>+H3842</f>
        <v>0</v>
      </c>
      <c r="S3842" s="11"/>
      <c r="T3842" s="10">
        <f>+E3842</f>
        <v>0</v>
      </c>
      <c r="U3842" s="19" t="str">
        <f t="shared" ref="U3842" si="2087">IFERROR(LEFT(G3842,FIND("*",G3842)-1),"-")</f>
        <v>-</v>
      </c>
      <c r="V3842" s="19" t="str">
        <f t="shared" ref="V3842" si="2088">IFERROR(RIGHT(G3842,LEN(G3842)-FIND("*",G3842)),"-")</f>
        <v>-</v>
      </c>
      <c r="W3842" s="20" t="str">
        <f t="shared" si="2086"/>
        <v>-</v>
      </c>
      <c r="X3842" s="20" t="str">
        <f>IFERROR(W3842*H3842,"-")</f>
        <v>-</v>
      </c>
      <c r="Z3842" s="85" t="s">
        <v>82</v>
      </c>
    </row>
    <row r="3843" spans="1:26" ht="6.95" customHeight="1" x14ac:dyDescent="0.3">
      <c r="A3843" s="5"/>
      <c r="B3843" s="157"/>
      <c r="C3843" s="158"/>
      <c r="D3843" s="161"/>
      <c r="E3843" s="162"/>
      <c r="F3843" s="163"/>
      <c r="G3843" s="164"/>
      <c r="H3843" s="165"/>
      <c r="I3843" s="164"/>
      <c r="J3843" s="165"/>
      <c r="K3843" s="164"/>
      <c r="L3843" s="165"/>
      <c r="M3843" s="6"/>
      <c r="N3843" s="32"/>
      <c r="Q3843" s="10" t="str">
        <f>+CONCATENATE(E3842,I3842)</f>
        <v/>
      </c>
      <c r="R3843" s="10">
        <f>+J3842</f>
        <v>0</v>
      </c>
      <c r="S3843" s="11"/>
      <c r="T3843" s="10">
        <f>+E3842</f>
        <v>0</v>
      </c>
      <c r="U3843" s="19" t="str">
        <f>IFERROR(LEFT(I3842,FIND("*",I3842)-1),"-")</f>
        <v>-</v>
      </c>
      <c r="V3843" s="19" t="str">
        <f>IFERROR(RIGHT(I3842,LEN(I3842)-FIND("*",I3842)),"-")</f>
        <v>-</v>
      </c>
      <c r="W3843" s="20" t="str">
        <f t="shared" si="2086"/>
        <v>-</v>
      </c>
      <c r="X3843" s="20" t="str">
        <f>IFERROR(W3843*J3842,"-")</f>
        <v>-</v>
      </c>
      <c r="Z3843" s="85" t="s">
        <v>82</v>
      </c>
    </row>
    <row r="3844" spans="1:26" ht="6.95" customHeight="1" x14ac:dyDescent="0.3">
      <c r="A3844" s="5"/>
      <c r="B3844" s="157"/>
      <c r="C3844" s="158"/>
      <c r="D3844" s="161"/>
      <c r="E3844" s="162"/>
      <c r="F3844" s="163"/>
      <c r="G3844" s="164"/>
      <c r="H3844" s="165"/>
      <c r="I3844" s="164"/>
      <c r="J3844" s="165"/>
      <c r="K3844" s="164"/>
      <c r="L3844" s="165"/>
      <c r="M3844" s="6"/>
      <c r="N3844" s="32"/>
      <c r="Q3844" s="10" t="str">
        <f>+CONCATENATE(E3842,K3842)</f>
        <v/>
      </c>
      <c r="R3844" s="10">
        <f>+L3842</f>
        <v>0</v>
      </c>
      <c r="S3844" s="11"/>
      <c r="T3844" s="10">
        <f>+E3842</f>
        <v>0</v>
      </c>
      <c r="U3844" s="19" t="str">
        <f>IFERROR(LEFT(K3842,FIND("*",K3842)-1),"-")</f>
        <v>-</v>
      </c>
      <c r="V3844" s="19" t="str">
        <f>IFERROR(RIGHT(K3842,LEN(K3842)-FIND("*",K3842)),"-")</f>
        <v>-</v>
      </c>
      <c r="W3844" s="20" t="str">
        <f t="shared" si="2086"/>
        <v>-</v>
      </c>
      <c r="X3844" s="20" t="str">
        <f>IFERROR(W3844*L3842,"-")</f>
        <v>-</v>
      </c>
      <c r="Z3844" s="85" t="s">
        <v>82</v>
      </c>
    </row>
    <row r="3845" spans="1:26" ht="6.95" customHeight="1" x14ac:dyDescent="0.3">
      <c r="A3845" s="8"/>
      <c r="B3845" s="157"/>
      <c r="C3845" s="158"/>
      <c r="D3845" s="161" t="s">
        <v>39</v>
      </c>
      <c r="E3845" s="162"/>
      <c r="F3845" s="163" t="s">
        <v>40</v>
      </c>
      <c r="G3845" s="164"/>
      <c r="H3845" s="165"/>
      <c r="I3845" s="164"/>
      <c r="J3845" s="165"/>
      <c r="K3845" s="164"/>
      <c r="L3845" s="165"/>
      <c r="M3845" s="6"/>
      <c r="N3845" s="32"/>
      <c r="Q3845" s="10" t="str">
        <f>+CONCATENATE(E3845,G3845)</f>
        <v/>
      </c>
      <c r="R3845" s="10">
        <f>+H3845</f>
        <v>0</v>
      </c>
      <c r="S3845" s="11"/>
      <c r="T3845" s="10">
        <f>+E3845</f>
        <v>0</v>
      </c>
      <c r="U3845" s="19" t="str">
        <f t="shared" ref="U3845" si="2089">IFERROR(LEFT(G3845,FIND("*",G3845)-1),"-")</f>
        <v>-</v>
      </c>
      <c r="V3845" s="19" t="str">
        <f t="shared" ref="V3845" si="2090">IFERROR(RIGHT(G3845,LEN(G3845)-FIND("*",G3845)),"-")</f>
        <v>-</v>
      </c>
      <c r="W3845" s="20" t="str">
        <f t="shared" si="2086"/>
        <v>-</v>
      </c>
      <c r="X3845" s="20" t="str">
        <f>IFERROR(W3845*H3845,"-")</f>
        <v>-</v>
      </c>
      <c r="Z3845" s="85" t="s">
        <v>82</v>
      </c>
    </row>
    <row r="3846" spans="1:26" ht="6.95" customHeight="1" x14ac:dyDescent="0.3">
      <c r="A3846" s="5"/>
      <c r="B3846" s="157"/>
      <c r="C3846" s="158"/>
      <c r="D3846" s="161"/>
      <c r="E3846" s="162"/>
      <c r="F3846" s="163"/>
      <c r="G3846" s="164"/>
      <c r="H3846" s="165"/>
      <c r="I3846" s="164"/>
      <c r="J3846" s="165"/>
      <c r="K3846" s="164"/>
      <c r="L3846" s="165"/>
      <c r="M3846" s="6"/>
      <c r="N3846" s="32"/>
      <c r="Q3846" s="10" t="str">
        <f>+CONCATENATE(E3845,I3845)</f>
        <v/>
      </c>
      <c r="R3846" s="10">
        <f>+J3845</f>
        <v>0</v>
      </c>
      <c r="S3846" s="11"/>
      <c r="T3846" s="10">
        <f>+E3845</f>
        <v>0</v>
      </c>
      <c r="U3846" s="19" t="str">
        <f>IFERROR(LEFT(I3845,FIND("*",I3845)-1),"-")</f>
        <v>-</v>
      </c>
      <c r="V3846" s="19" t="str">
        <f>IFERROR(RIGHT(I3845,LEN(I3845)-FIND("*",I3845)),"-")</f>
        <v>-</v>
      </c>
      <c r="W3846" s="20" t="str">
        <f t="shared" si="2086"/>
        <v>-</v>
      </c>
      <c r="X3846" s="20" t="str">
        <f t="shared" ref="X3846" si="2091">IFERROR(W3846*J3845,"-")</f>
        <v>-</v>
      </c>
      <c r="Z3846" s="85" t="s">
        <v>82</v>
      </c>
    </row>
    <row r="3847" spans="1:26" ht="6.95" customHeight="1" x14ac:dyDescent="0.3">
      <c r="A3847" s="5"/>
      <c r="B3847" s="157"/>
      <c r="C3847" s="158"/>
      <c r="D3847" s="161"/>
      <c r="E3847" s="162"/>
      <c r="F3847" s="163"/>
      <c r="G3847" s="164"/>
      <c r="H3847" s="165"/>
      <c r="I3847" s="164"/>
      <c r="J3847" s="165"/>
      <c r="K3847" s="164"/>
      <c r="L3847" s="165"/>
      <c r="M3847" s="6"/>
      <c r="N3847" s="32"/>
      <c r="Q3847" s="10" t="str">
        <f>+CONCATENATE(E3845,K3845)</f>
        <v/>
      </c>
      <c r="R3847" s="10">
        <f>+L3845</f>
        <v>0</v>
      </c>
      <c r="S3847" s="11"/>
      <c r="T3847" s="10">
        <f>+E3845</f>
        <v>0</v>
      </c>
      <c r="U3847" s="19" t="str">
        <f>IFERROR(LEFT(K3845,FIND("*",K3845)-1),"-")</f>
        <v>-</v>
      </c>
      <c r="V3847" s="19" t="str">
        <f>IFERROR(RIGHT(K3845,LEN(K3845)-FIND("*",K3845)),"-")</f>
        <v>-</v>
      </c>
      <c r="W3847" s="20" t="str">
        <f t="shared" si="2086"/>
        <v>-</v>
      </c>
      <c r="X3847" s="20" t="str">
        <f>IFERROR(W3847*L3845,"-")</f>
        <v>-</v>
      </c>
      <c r="Z3847" s="85" t="s">
        <v>82</v>
      </c>
    </row>
    <row r="3848" spans="1:26" ht="21" customHeight="1" thickBot="1" x14ac:dyDescent="0.35">
      <c r="A3848" s="5"/>
      <c r="B3848" s="159"/>
      <c r="C3848" s="160"/>
      <c r="D3848" s="166" t="s">
        <v>43</v>
      </c>
      <c r="E3848" s="167"/>
      <c r="F3848" s="167"/>
      <c r="G3848" s="168"/>
      <c r="H3848" s="168"/>
      <c r="I3848" s="168"/>
      <c r="J3848" s="168"/>
      <c r="K3848" s="168"/>
      <c r="L3848" s="168"/>
      <c r="M3848" s="7"/>
      <c r="N3848" s="32"/>
      <c r="Z3848" s="86" t="s">
        <v>81</v>
      </c>
    </row>
    <row r="3849" spans="1:26" ht="9.9499999999999993" customHeight="1" thickBot="1" x14ac:dyDescent="0.35">
      <c r="B3849" s="9"/>
      <c r="C3849" s="109"/>
      <c r="D3849" s="51"/>
      <c r="E3849" s="12"/>
      <c r="F3849" s="51"/>
      <c r="G3849" s="14"/>
      <c r="H3849" s="14"/>
      <c r="I3849" s="14"/>
      <c r="J3849" s="14"/>
      <c r="K3849" s="14"/>
      <c r="L3849" s="14"/>
      <c r="M3849" s="9"/>
      <c r="N3849" s="32"/>
      <c r="U3849" s="18"/>
      <c r="V3849" s="18"/>
      <c r="Z3849" s="85" t="s">
        <v>82</v>
      </c>
    </row>
    <row r="3850" spans="1:26" ht="6.95" customHeight="1" x14ac:dyDescent="0.3">
      <c r="A3850" s="154">
        <f>+A3839+1</f>
        <v>1149</v>
      </c>
      <c r="B3850" s="155"/>
      <c r="C3850" s="156"/>
      <c r="D3850" s="161" t="s">
        <v>39</v>
      </c>
      <c r="E3850" s="162"/>
      <c r="F3850" s="163" t="s">
        <v>40</v>
      </c>
      <c r="G3850" s="164"/>
      <c r="H3850" s="165"/>
      <c r="I3850" s="164"/>
      <c r="J3850" s="165"/>
      <c r="K3850" s="164"/>
      <c r="L3850" s="165"/>
      <c r="M3850" s="6"/>
      <c r="N3850" s="32"/>
      <c r="Q3850" s="10" t="str">
        <f>+CONCATENATE(E3850,G3850)</f>
        <v/>
      </c>
      <c r="R3850" s="10">
        <f>+H3850</f>
        <v>0</v>
      </c>
      <c r="S3850" s="11"/>
      <c r="T3850" s="10">
        <f>+E3850</f>
        <v>0</v>
      </c>
      <c r="U3850" s="19" t="str">
        <f>IFERROR(LEFT(G3850,FIND("*",G3850)-1),"-")</f>
        <v>-</v>
      </c>
      <c r="V3850" s="19" t="str">
        <f>IFERROR(RIGHT(G3850,LEN(G3850)-FIND("*",G3850)),"-")</f>
        <v>-</v>
      </c>
      <c r="W3850" s="20" t="str">
        <f>IFERROR((U3850+V3850)*2/1000,"-")</f>
        <v>-</v>
      </c>
      <c r="X3850" s="20" t="str">
        <f>IFERROR(W3850*H3850,"-")</f>
        <v>-</v>
      </c>
      <c r="Z3850" s="85" t="s">
        <v>82</v>
      </c>
    </row>
    <row r="3851" spans="1:26" ht="6.95" customHeight="1" x14ac:dyDescent="0.3">
      <c r="A3851" s="154"/>
      <c r="B3851" s="157"/>
      <c r="C3851" s="158"/>
      <c r="D3851" s="161"/>
      <c r="E3851" s="162"/>
      <c r="F3851" s="163"/>
      <c r="G3851" s="164"/>
      <c r="H3851" s="165"/>
      <c r="I3851" s="164"/>
      <c r="J3851" s="165"/>
      <c r="K3851" s="164"/>
      <c r="L3851" s="165"/>
      <c r="M3851" s="6"/>
      <c r="N3851" s="32"/>
      <c r="Q3851" s="10" t="str">
        <f>+CONCATENATE(E3850,I3850)</f>
        <v/>
      </c>
      <c r="R3851" s="10">
        <f>+J3850</f>
        <v>0</v>
      </c>
      <c r="S3851" s="11"/>
      <c r="T3851" s="10">
        <f>+E3850</f>
        <v>0</v>
      </c>
      <c r="U3851" s="19" t="str">
        <f>IFERROR(LEFT(I3850,FIND("*",I3850)-1),"-")</f>
        <v>-</v>
      </c>
      <c r="V3851" s="19" t="str">
        <f>IFERROR(RIGHT(I3850,LEN(I3850)-FIND("*",I3850)),"-")</f>
        <v>-</v>
      </c>
      <c r="W3851" s="20" t="str">
        <f t="shared" ref="W3851:W3858" si="2092">IFERROR((U3851+V3851)*2/1000,"-")</f>
        <v>-</v>
      </c>
      <c r="X3851" s="20" t="str">
        <f>IFERROR(W3851*J3850,"-")</f>
        <v>-</v>
      </c>
      <c r="Z3851" s="85" t="s">
        <v>82</v>
      </c>
    </row>
    <row r="3852" spans="1:26" ht="6.95" customHeight="1" x14ac:dyDescent="0.3">
      <c r="A3852" s="154"/>
      <c r="B3852" s="157"/>
      <c r="C3852" s="158"/>
      <c r="D3852" s="161"/>
      <c r="E3852" s="162"/>
      <c r="F3852" s="163"/>
      <c r="G3852" s="164"/>
      <c r="H3852" s="165"/>
      <c r="I3852" s="164"/>
      <c r="J3852" s="165"/>
      <c r="K3852" s="164"/>
      <c r="L3852" s="165"/>
      <c r="M3852" s="6"/>
      <c r="N3852" s="32"/>
      <c r="Q3852" s="10" t="str">
        <f>+CONCATENATE(E3850,K3850)</f>
        <v/>
      </c>
      <c r="R3852" s="10">
        <f>+L3850</f>
        <v>0</v>
      </c>
      <c r="S3852" s="11"/>
      <c r="T3852" s="10">
        <f>+E3850</f>
        <v>0</v>
      </c>
      <c r="U3852" s="19" t="str">
        <f>IFERROR(LEFT(K3850,FIND("*",K3850)-1),"-")</f>
        <v>-</v>
      </c>
      <c r="V3852" s="19" t="str">
        <f>IFERROR(RIGHT(K3850,LEN(K3850)-FIND("*",K3850)),"-")</f>
        <v>-</v>
      </c>
      <c r="W3852" s="20" t="str">
        <f t="shared" si="2092"/>
        <v>-</v>
      </c>
      <c r="X3852" s="20" t="str">
        <f>IFERROR(W3852*L3850,"-")</f>
        <v>-</v>
      </c>
      <c r="Z3852" s="85" t="s">
        <v>82</v>
      </c>
    </row>
    <row r="3853" spans="1:26" ht="6.95" customHeight="1" x14ac:dyDescent="0.3">
      <c r="A3853" s="8"/>
      <c r="B3853" s="157"/>
      <c r="C3853" s="158"/>
      <c r="D3853" s="161" t="s">
        <v>39</v>
      </c>
      <c r="E3853" s="162"/>
      <c r="F3853" s="163" t="s">
        <v>40</v>
      </c>
      <c r="G3853" s="164"/>
      <c r="H3853" s="165"/>
      <c r="I3853" s="164"/>
      <c r="J3853" s="165"/>
      <c r="K3853" s="164"/>
      <c r="L3853" s="165"/>
      <c r="M3853" s="6"/>
      <c r="N3853" s="32"/>
      <c r="Q3853" s="10" t="str">
        <f>+CONCATENATE(E3853,G3853)</f>
        <v/>
      </c>
      <c r="R3853" s="10">
        <f>+H3853</f>
        <v>0</v>
      </c>
      <c r="S3853" s="11"/>
      <c r="T3853" s="10">
        <f>+E3853</f>
        <v>0</v>
      </c>
      <c r="U3853" s="19" t="str">
        <f t="shared" ref="U3853" si="2093">IFERROR(LEFT(G3853,FIND("*",G3853)-1),"-")</f>
        <v>-</v>
      </c>
      <c r="V3853" s="19" t="str">
        <f t="shared" ref="V3853" si="2094">IFERROR(RIGHT(G3853,LEN(G3853)-FIND("*",G3853)),"-")</f>
        <v>-</v>
      </c>
      <c r="W3853" s="20" t="str">
        <f t="shared" si="2092"/>
        <v>-</v>
      </c>
      <c r="X3853" s="20" t="str">
        <f>IFERROR(W3853*H3853,"-")</f>
        <v>-</v>
      </c>
      <c r="Z3853" s="85" t="s">
        <v>82</v>
      </c>
    </row>
    <row r="3854" spans="1:26" ht="6.95" customHeight="1" x14ac:dyDescent="0.3">
      <c r="A3854" s="5"/>
      <c r="B3854" s="157"/>
      <c r="C3854" s="158"/>
      <c r="D3854" s="161"/>
      <c r="E3854" s="162"/>
      <c r="F3854" s="163"/>
      <c r="G3854" s="164"/>
      <c r="H3854" s="165"/>
      <c r="I3854" s="164"/>
      <c r="J3854" s="165"/>
      <c r="K3854" s="164"/>
      <c r="L3854" s="165"/>
      <c r="M3854" s="6"/>
      <c r="N3854" s="32"/>
      <c r="Q3854" s="10" t="str">
        <f>+CONCATENATE(E3853,I3853)</f>
        <v/>
      </c>
      <c r="R3854" s="10">
        <f>+J3853</f>
        <v>0</v>
      </c>
      <c r="S3854" s="11"/>
      <c r="T3854" s="10">
        <f>+E3853</f>
        <v>0</v>
      </c>
      <c r="U3854" s="19" t="str">
        <f>IFERROR(LEFT(I3853,FIND("*",I3853)-1),"-")</f>
        <v>-</v>
      </c>
      <c r="V3854" s="19" t="str">
        <f>IFERROR(RIGHT(I3853,LEN(I3853)-FIND("*",I3853)),"-")</f>
        <v>-</v>
      </c>
      <c r="W3854" s="20" t="str">
        <f t="shared" si="2092"/>
        <v>-</v>
      </c>
      <c r="X3854" s="20" t="str">
        <f>IFERROR(W3854*J3853,"-")</f>
        <v>-</v>
      </c>
      <c r="Z3854" s="85" t="s">
        <v>82</v>
      </c>
    </row>
    <row r="3855" spans="1:26" ht="6.95" customHeight="1" x14ac:dyDescent="0.3">
      <c r="A3855" s="5"/>
      <c r="B3855" s="157"/>
      <c r="C3855" s="158"/>
      <c r="D3855" s="161"/>
      <c r="E3855" s="162"/>
      <c r="F3855" s="163"/>
      <c r="G3855" s="164"/>
      <c r="H3855" s="165"/>
      <c r="I3855" s="164"/>
      <c r="J3855" s="165"/>
      <c r="K3855" s="164"/>
      <c r="L3855" s="165"/>
      <c r="M3855" s="6"/>
      <c r="N3855" s="32"/>
      <c r="Q3855" s="10" t="str">
        <f>+CONCATENATE(E3853,K3853)</f>
        <v/>
      </c>
      <c r="R3855" s="10">
        <f>+L3853</f>
        <v>0</v>
      </c>
      <c r="S3855" s="11"/>
      <c r="T3855" s="10">
        <f>+E3853</f>
        <v>0</v>
      </c>
      <c r="U3855" s="19" t="str">
        <f>IFERROR(LEFT(K3853,FIND("*",K3853)-1),"-")</f>
        <v>-</v>
      </c>
      <c r="V3855" s="19" t="str">
        <f>IFERROR(RIGHT(K3853,LEN(K3853)-FIND("*",K3853)),"-")</f>
        <v>-</v>
      </c>
      <c r="W3855" s="20" t="str">
        <f t="shared" si="2092"/>
        <v>-</v>
      </c>
      <c r="X3855" s="20" t="str">
        <f>IFERROR(W3855*L3853,"-")</f>
        <v>-</v>
      </c>
      <c r="Z3855" s="85" t="s">
        <v>82</v>
      </c>
    </row>
    <row r="3856" spans="1:26" ht="6.95" customHeight="1" x14ac:dyDescent="0.3">
      <c r="A3856" s="8"/>
      <c r="B3856" s="157"/>
      <c r="C3856" s="158"/>
      <c r="D3856" s="161" t="s">
        <v>39</v>
      </c>
      <c r="E3856" s="162"/>
      <c r="F3856" s="163" t="s">
        <v>40</v>
      </c>
      <c r="G3856" s="164"/>
      <c r="H3856" s="165"/>
      <c r="I3856" s="164"/>
      <c r="J3856" s="165"/>
      <c r="K3856" s="164"/>
      <c r="L3856" s="165"/>
      <c r="M3856" s="6"/>
      <c r="N3856" s="32"/>
      <c r="Q3856" s="10" t="str">
        <f>+CONCATENATE(E3856,G3856)</f>
        <v/>
      </c>
      <c r="R3856" s="10">
        <f>+H3856</f>
        <v>0</v>
      </c>
      <c r="S3856" s="11"/>
      <c r="T3856" s="10">
        <f>+E3856</f>
        <v>0</v>
      </c>
      <c r="U3856" s="19" t="str">
        <f t="shared" ref="U3856" si="2095">IFERROR(LEFT(G3856,FIND("*",G3856)-1),"-")</f>
        <v>-</v>
      </c>
      <c r="V3856" s="19" t="str">
        <f t="shared" ref="V3856" si="2096">IFERROR(RIGHT(G3856,LEN(G3856)-FIND("*",G3856)),"-")</f>
        <v>-</v>
      </c>
      <c r="W3856" s="20" t="str">
        <f t="shared" si="2092"/>
        <v>-</v>
      </c>
      <c r="X3856" s="20" t="str">
        <f>IFERROR(W3856*H3856,"-")</f>
        <v>-</v>
      </c>
      <c r="Z3856" s="85" t="s">
        <v>82</v>
      </c>
    </row>
    <row r="3857" spans="1:26" ht="6.95" customHeight="1" x14ac:dyDescent="0.3">
      <c r="A3857" s="5"/>
      <c r="B3857" s="157"/>
      <c r="C3857" s="158"/>
      <c r="D3857" s="161"/>
      <c r="E3857" s="162"/>
      <c r="F3857" s="163"/>
      <c r="G3857" s="164"/>
      <c r="H3857" s="165"/>
      <c r="I3857" s="164"/>
      <c r="J3857" s="165"/>
      <c r="K3857" s="164"/>
      <c r="L3857" s="165"/>
      <c r="M3857" s="6"/>
      <c r="N3857" s="32"/>
      <c r="Q3857" s="10" t="str">
        <f>+CONCATENATE(E3856,I3856)</f>
        <v/>
      </c>
      <c r="R3857" s="10">
        <f>+J3856</f>
        <v>0</v>
      </c>
      <c r="S3857" s="11"/>
      <c r="T3857" s="10">
        <f>+E3856</f>
        <v>0</v>
      </c>
      <c r="U3857" s="19" t="str">
        <f>IFERROR(LEFT(I3856,FIND("*",I3856)-1),"-")</f>
        <v>-</v>
      </c>
      <c r="V3857" s="19" t="str">
        <f>IFERROR(RIGHT(I3856,LEN(I3856)-FIND("*",I3856)),"-")</f>
        <v>-</v>
      </c>
      <c r="W3857" s="20" t="str">
        <f t="shared" si="2092"/>
        <v>-</v>
      </c>
      <c r="X3857" s="20" t="str">
        <f t="shared" ref="X3857" si="2097">IFERROR(W3857*J3856,"-")</f>
        <v>-</v>
      </c>
      <c r="Z3857" s="85" t="s">
        <v>82</v>
      </c>
    </row>
    <row r="3858" spans="1:26" ht="6.95" customHeight="1" x14ac:dyDescent="0.3">
      <c r="A3858" s="5"/>
      <c r="B3858" s="157"/>
      <c r="C3858" s="158"/>
      <c r="D3858" s="161"/>
      <c r="E3858" s="162"/>
      <c r="F3858" s="163"/>
      <c r="G3858" s="164"/>
      <c r="H3858" s="165"/>
      <c r="I3858" s="164"/>
      <c r="J3858" s="165"/>
      <c r="K3858" s="164"/>
      <c r="L3858" s="165"/>
      <c r="M3858" s="6"/>
      <c r="N3858" s="32"/>
      <c r="Q3858" s="10" t="str">
        <f>+CONCATENATE(E3856,K3856)</f>
        <v/>
      </c>
      <c r="R3858" s="10">
        <f>+L3856</f>
        <v>0</v>
      </c>
      <c r="S3858" s="11"/>
      <c r="T3858" s="10">
        <f>+E3856</f>
        <v>0</v>
      </c>
      <c r="U3858" s="19" t="str">
        <f>IFERROR(LEFT(K3856,FIND("*",K3856)-1),"-")</f>
        <v>-</v>
      </c>
      <c r="V3858" s="19" t="str">
        <f>IFERROR(RIGHT(K3856,LEN(K3856)-FIND("*",K3856)),"-")</f>
        <v>-</v>
      </c>
      <c r="W3858" s="20" t="str">
        <f t="shared" si="2092"/>
        <v>-</v>
      </c>
      <c r="X3858" s="20" t="str">
        <f>IFERROR(W3858*L3856,"-")</f>
        <v>-</v>
      </c>
      <c r="Z3858" s="85" t="s">
        <v>82</v>
      </c>
    </row>
    <row r="3859" spans="1:26" ht="21" customHeight="1" thickBot="1" x14ac:dyDescent="0.35">
      <c r="A3859" s="5"/>
      <c r="B3859" s="159"/>
      <c r="C3859" s="160"/>
      <c r="D3859" s="166" t="s">
        <v>43</v>
      </c>
      <c r="E3859" s="167"/>
      <c r="F3859" s="167"/>
      <c r="G3859" s="168"/>
      <c r="H3859" s="168"/>
      <c r="I3859" s="168"/>
      <c r="J3859" s="168"/>
      <c r="K3859" s="168"/>
      <c r="L3859" s="168"/>
      <c r="M3859" s="7"/>
      <c r="N3859" s="32"/>
      <c r="Z3859" s="86" t="s">
        <v>81</v>
      </c>
    </row>
    <row r="3860" spans="1:26" ht="9.9499999999999993" customHeight="1" thickBot="1" x14ac:dyDescent="0.35">
      <c r="B3860" s="9"/>
      <c r="C3860" s="109"/>
      <c r="D3860" s="51"/>
      <c r="E3860" s="12"/>
      <c r="F3860" s="51"/>
      <c r="G3860" s="14"/>
      <c r="H3860" s="14"/>
      <c r="I3860" s="14"/>
      <c r="J3860" s="14"/>
      <c r="K3860" s="14"/>
      <c r="L3860" s="14"/>
      <c r="M3860" s="9"/>
      <c r="N3860" s="32"/>
      <c r="U3860" s="18"/>
      <c r="V3860" s="18"/>
      <c r="Z3860" s="85" t="s">
        <v>82</v>
      </c>
    </row>
    <row r="3861" spans="1:26" ht="6.95" customHeight="1" x14ac:dyDescent="0.3">
      <c r="A3861" s="154">
        <f>+A3850+1</f>
        <v>1150</v>
      </c>
      <c r="B3861" s="155"/>
      <c r="C3861" s="156"/>
      <c r="D3861" s="161" t="s">
        <v>39</v>
      </c>
      <c r="E3861" s="162"/>
      <c r="F3861" s="163" t="s">
        <v>40</v>
      </c>
      <c r="G3861" s="164"/>
      <c r="H3861" s="165"/>
      <c r="I3861" s="164"/>
      <c r="J3861" s="165"/>
      <c r="K3861" s="164"/>
      <c r="L3861" s="165"/>
      <c r="M3861" s="6"/>
      <c r="N3861" s="32"/>
      <c r="Q3861" s="10" t="str">
        <f>+CONCATENATE(E3861,G3861)</f>
        <v/>
      </c>
      <c r="R3861" s="10">
        <f>+H3861</f>
        <v>0</v>
      </c>
      <c r="S3861" s="11"/>
      <c r="T3861" s="10">
        <f>+E3861</f>
        <v>0</v>
      </c>
      <c r="U3861" s="19" t="str">
        <f>IFERROR(LEFT(G3861,FIND("*",G3861)-1),"-")</f>
        <v>-</v>
      </c>
      <c r="V3861" s="19" t="str">
        <f>IFERROR(RIGHT(G3861,LEN(G3861)-FIND("*",G3861)),"-")</f>
        <v>-</v>
      </c>
      <c r="W3861" s="20" t="str">
        <f>IFERROR((U3861+V3861)*2/1000,"-")</f>
        <v>-</v>
      </c>
      <c r="X3861" s="20" t="str">
        <f>IFERROR(W3861*H3861,"-")</f>
        <v>-</v>
      </c>
      <c r="Z3861" s="85" t="s">
        <v>82</v>
      </c>
    </row>
    <row r="3862" spans="1:26" ht="6.95" customHeight="1" x14ac:dyDescent="0.3">
      <c r="A3862" s="154"/>
      <c r="B3862" s="157"/>
      <c r="C3862" s="158"/>
      <c r="D3862" s="161"/>
      <c r="E3862" s="162"/>
      <c r="F3862" s="163"/>
      <c r="G3862" s="164"/>
      <c r="H3862" s="165"/>
      <c r="I3862" s="164"/>
      <c r="J3862" s="165"/>
      <c r="K3862" s="164"/>
      <c r="L3862" s="165"/>
      <c r="M3862" s="6"/>
      <c r="N3862" s="32"/>
      <c r="Q3862" s="10" t="str">
        <f>+CONCATENATE(E3861,I3861)</f>
        <v/>
      </c>
      <c r="R3862" s="10">
        <f>+J3861</f>
        <v>0</v>
      </c>
      <c r="S3862" s="11"/>
      <c r="T3862" s="10">
        <f>+E3861</f>
        <v>0</v>
      </c>
      <c r="U3862" s="19" t="str">
        <f>IFERROR(LEFT(I3861,FIND("*",I3861)-1),"-")</f>
        <v>-</v>
      </c>
      <c r="V3862" s="19" t="str">
        <f>IFERROR(RIGHT(I3861,LEN(I3861)-FIND("*",I3861)),"-")</f>
        <v>-</v>
      </c>
      <c r="W3862" s="20" t="str">
        <f t="shared" ref="W3862:W3869" si="2098">IFERROR((U3862+V3862)*2/1000,"-")</f>
        <v>-</v>
      </c>
      <c r="X3862" s="20" t="str">
        <f>IFERROR(W3862*J3861,"-")</f>
        <v>-</v>
      </c>
      <c r="Z3862" s="85" t="s">
        <v>82</v>
      </c>
    </row>
    <row r="3863" spans="1:26" ht="6.95" customHeight="1" x14ac:dyDescent="0.3">
      <c r="A3863" s="154"/>
      <c r="B3863" s="157"/>
      <c r="C3863" s="158"/>
      <c r="D3863" s="161"/>
      <c r="E3863" s="162"/>
      <c r="F3863" s="163"/>
      <c r="G3863" s="164"/>
      <c r="H3863" s="165"/>
      <c r="I3863" s="164"/>
      <c r="J3863" s="165"/>
      <c r="K3863" s="164"/>
      <c r="L3863" s="165"/>
      <c r="M3863" s="6"/>
      <c r="N3863" s="32"/>
      <c r="Q3863" s="10" t="str">
        <f>+CONCATENATE(E3861,K3861)</f>
        <v/>
      </c>
      <c r="R3863" s="10">
        <f>+L3861</f>
        <v>0</v>
      </c>
      <c r="S3863" s="11"/>
      <c r="T3863" s="10">
        <f>+E3861</f>
        <v>0</v>
      </c>
      <c r="U3863" s="19" t="str">
        <f>IFERROR(LEFT(K3861,FIND("*",K3861)-1),"-")</f>
        <v>-</v>
      </c>
      <c r="V3863" s="19" t="str">
        <f>IFERROR(RIGHT(K3861,LEN(K3861)-FIND("*",K3861)),"-")</f>
        <v>-</v>
      </c>
      <c r="W3863" s="20" t="str">
        <f t="shared" si="2098"/>
        <v>-</v>
      </c>
      <c r="X3863" s="20" t="str">
        <f>IFERROR(W3863*L3861,"-")</f>
        <v>-</v>
      </c>
      <c r="Z3863" s="85" t="s">
        <v>82</v>
      </c>
    </row>
    <row r="3864" spans="1:26" ht="6.95" customHeight="1" x14ac:dyDescent="0.3">
      <c r="A3864" s="8"/>
      <c r="B3864" s="157"/>
      <c r="C3864" s="158"/>
      <c r="D3864" s="161" t="s">
        <v>39</v>
      </c>
      <c r="E3864" s="162"/>
      <c r="F3864" s="163" t="s">
        <v>40</v>
      </c>
      <c r="G3864" s="164"/>
      <c r="H3864" s="165"/>
      <c r="I3864" s="164"/>
      <c r="J3864" s="165"/>
      <c r="K3864" s="164"/>
      <c r="L3864" s="165"/>
      <c r="M3864" s="6"/>
      <c r="N3864" s="32"/>
      <c r="Q3864" s="10" t="str">
        <f>+CONCATENATE(E3864,G3864)</f>
        <v/>
      </c>
      <c r="R3864" s="10">
        <f>+H3864</f>
        <v>0</v>
      </c>
      <c r="S3864" s="11"/>
      <c r="T3864" s="10">
        <f>+E3864</f>
        <v>0</v>
      </c>
      <c r="U3864" s="19" t="str">
        <f t="shared" ref="U3864" si="2099">IFERROR(LEFT(G3864,FIND("*",G3864)-1),"-")</f>
        <v>-</v>
      </c>
      <c r="V3864" s="19" t="str">
        <f t="shared" ref="V3864" si="2100">IFERROR(RIGHT(G3864,LEN(G3864)-FIND("*",G3864)),"-")</f>
        <v>-</v>
      </c>
      <c r="W3864" s="20" t="str">
        <f t="shared" si="2098"/>
        <v>-</v>
      </c>
      <c r="X3864" s="20" t="str">
        <f>IFERROR(W3864*H3864,"-")</f>
        <v>-</v>
      </c>
      <c r="Z3864" s="85" t="s">
        <v>82</v>
      </c>
    </row>
    <row r="3865" spans="1:26" ht="6.95" customHeight="1" x14ac:dyDescent="0.3">
      <c r="A3865" s="5"/>
      <c r="B3865" s="157"/>
      <c r="C3865" s="158"/>
      <c r="D3865" s="161"/>
      <c r="E3865" s="162"/>
      <c r="F3865" s="163"/>
      <c r="G3865" s="164"/>
      <c r="H3865" s="165"/>
      <c r="I3865" s="164"/>
      <c r="J3865" s="165"/>
      <c r="K3865" s="164"/>
      <c r="L3865" s="165"/>
      <c r="M3865" s="6"/>
      <c r="N3865" s="32"/>
      <c r="Q3865" s="10" t="str">
        <f>+CONCATENATE(E3864,I3864)</f>
        <v/>
      </c>
      <c r="R3865" s="10">
        <f>+J3864</f>
        <v>0</v>
      </c>
      <c r="S3865" s="11"/>
      <c r="T3865" s="10">
        <f>+E3864</f>
        <v>0</v>
      </c>
      <c r="U3865" s="19" t="str">
        <f>IFERROR(LEFT(I3864,FIND("*",I3864)-1),"-")</f>
        <v>-</v>
      </c>
      <c r="V3865" s="19" t="str">
        <f>IFERROR(RIGHT(I3864,LEN(I3864)-FIND("*",I3864)),"-")</f>
        <v>-</v>
      </c>
      <c r="W3865" s="20" t="str">
        <f t="shared" si="2098"/>
        <v>-</v>
      </c>
      <c r="X3865" s="20" t="str">
        <f>IFERROR(W3865*J3864,"-")</f>
        <v>-</v>
      </c>
      <c r="Z3865" s="85" t="s">
        <v>82</v>
      </c>
    </row>
    <row r="3866" spans="1:26" ht="6.95" customHeight="1" x14ac:dyDescent="0.3">
      <c r="A3866" s="5"/>
      <c r="B3866" s="157"/>
      <c r="C3866" s="158"/>
      <c r="D3866" s="161"/>
      <c r="E3866" s="162"/>
      <c r="F3866" s="163"/>
      <c r="G3866" s="164"/>
      <c r="H3866" s="165"/>
      <c r="I3866" s="164"/>
      <c r="J3866" s="165"/>
      <c r="K3866" s="164"/>
      <c r="L3866" s="165"/>
      <c r="M3866" s="6"/>
      <c r="N3866" s="32"/>
      <c r="Q3866" s="10" t="str">
        <f>+CONCATENATE(E3864,K3864)</f>
        <v/>
      </c>
      <c r="R3866" s="10">
        <f>+L3864</f>
        <v>0</v>
      </c>
      <c r="S3866" s="11"/>
      <c r="T3866" s="10">
        <f>+E3864</f>
        <v>0</v>
      </c>
      <c r="U3866" s="19" t="str">
        <f>IFERROR(LEFT(K3864,FIND("*",K3864)-1),"-")</f>
        <v>-</v>
      </c>
      <c r="V3866" s="19" t="str">
        <f>IFERROR(RIGHT(K3864,LEN(K3864)-FIND("*",K3864)),"-")</f>
        <v>-</v>
      </c>
      <c r="W3866" s="20" t="str">
        <f t="shared" si="2098"/>
        <v>-</v>
      </c>
      <c r="X3866" s="20" t="str">
        <f>IFERROR(W3866*L3864,"-")</f>
        <v>-</v>
      </c>
      <c r="Z3866" s="85" t="s">
        <v>82</v>
      </c>
    </row>
    <row r="3867" spans="1:26" ht="6.95" customHeight="1" x14ac:dyDescent="0.3">
      <c r="A3867" s="8"/>
      <c r="B3867" s="157"/>
      <c r="C3867" s="158"/>
      <c r="D3867" s="161" t="s">
        <v>39</v>
      </c>
      <c r="E3867" s="162"/>
      <c r="F3867" s="163" t="s">
        <v>40</v>
      </c>
      <c r="G3867" s="164"/>
      <c r="H3867" s="165"/>
      <c r="I3867" s="164"/>
      <c r="J3867" s="165"/>
      <c r="K3867" s="164"/>
      <c r="L3867" s="165"/>
      <c r="M3867" s="6"/>
      <c r="N3867" s="32"/>
      <c r="Q3867" s="10" t="str">
        <f>+CONCATENATE(E3867,G3867)</f>
        <v/>
      </c>
      <c r="R3867" s="10">
        <f>+H3867</f>
        <v>0</v>
      </c>
      <c r="S3867" s="11"/>
      <c r="T3867" s="10">
        <f>+E3867</f>
        <v>0</v>
      </c>
      <c r="U3867" s="19" t="str">
        <f t="shared" ref="U3867" si="2101">IFERROR(LEFT(G3867,FIND("*",G3867)-1),"-")</f>
        <v>-</v>
      </c>
      <c r="V3867" s="19" t="str">
        <f t="shared" ref="V3867" si="2102">IFERROR(RIGHT(G3867,LEN(G3867)-FIND("*",G3867)),"-")</f>
        <v>-</v>
      </c>
      <c r="W3867" s="20" t="str">
        <f t="shared" si="2098"/>
        <v>-</v>
      </c>
      <c r="X3867" s="20" t="str">
        <f>IFERROR(W3867*H3867,"-")</f>
        <v>-</v>
      </c>
      <c r="Z3867" s="85" t="s">
        <v>82</v>
      </c>
    </row>
    <row r="3868" spans="1:26" ht="6.95" customHeight="1" x14ac:dyDescent="0.3">
      <c r="A3868" s="5"/>
      <c r="B3868" s="157"/>
      <c r="C3868" s="158"/>
      <c r="D3868" s="161"/>
      <c r="E3868" s="162"/>
      <c r="F3868" s="163"/>
      <c r="G3868" s="164"/>
      <c r="H3868" s="165"/>
      <c r="I3868" s="164"/>
      <c r="J3868" s="165"/>
      <c r="K3868" s="164"/>
      <c r="L3868" s="165"/>
      <c r="M3868" s="6"/>
      <c r="N3868" s="32"/>
      <c r="Q3868" s="10" t="str">
        <f>+CONCATENATE(E3867,I3867)</f>
        <v/>
      </c>
      <c r="R3868" s="10">
        <f>+J3867</f>
        <v>0</v>
      </c>
      <c r="S3868" s="11"/>
      <c r="T3868" s="10">
        <f>+E3867</f>
        <v>0</v>
      </c>
      <c r="U3868" s="19" t="str">
        <f>IFERROR(LEFT(I3867,FIND("*",I3867)-1),"-")</f>
        <v>-</v>
      </c>
      <c r="V3868" s="19" t="str">
        <f>IFERROR(RIGHT(I3867,LEN(I3867)-FIND("*",I3867)),"-")</f>
        <v>-</v>
      </c>
      <c r="W3868" s="20" t="str">
        <f t="shared" si="2098"/>
        <v>-</v>
      </c>
      <c r="X3868" s="20" t="str">
        <f t="shared" ref="X3868" si="2103">IFERROR(W3868*J3867,"-")</f>
        <v>-</v>
      </c>
      <c r="Z3868" s="85" t="s">
        <v>82</v>
      </c>
    </row>
    <row r="3869" spans="1:26" ht="6.95" customHeight="1" x14ac:dyDescent="0.3">
      <c r="A3869" s="5"/>
      <c r="B3869" s="157"/>
      <c r="C3869" s="158"/>
      <c r="D3869" s="161"/>
      <c r="E3869" s="162"/>
      <c r="F3869" s="163"/>
      <c r="G3869" s="164"/>
      <c r="H3869" s="165"/>
      <c r="I3869" s="164"/>
      <c r="J3869" s="165"/>
      <c r="K3869" s="164"/>
      <c r="L3869" s="165"/>
      <c r="M3869" s="6"/>
      <c r="N3869" s="32"/>
      <c r="Q3869" s="10" t="str">
        <f>+CONCATENATE(E3867,K3867)</f>
        <v/>
      </c>
      <c r="R3869" s="10">
        <f>+L3867</f>
        <v>0</v>
      </c>
      <c r="S3869" s="11"/>
      <c r="T3869" s="10">
        <f>+E3867</f>
        <v>0</v>
      </c>
      <c r="U3869" s="19" t="str">
        <f>IFERROR(LEFT(K3867,FIND("*",K3867)-1),"-")</f>
        <v>-</v>
      </c>
      <c r="V3869" s="19" t="str">
        <f>IFERROR(RIGHT(K3867,LEN(K3867)-FIND("*",K3867)),"-")</f>
        <v>-</v>
      </c>
      <c r="W3869" s="20" t="str">
        <f t="shared" si="2098"/>
        <v>-</v>
      </c>
      <c r="X3869" s="20" t="str">
        <f>IFERROR(W3869*L3867,"-")</f>
        <v>-</v>
      </c>
      <c r="Z3869" s="85" t="s">
        <v>82</v>
      </c>
    </row>
    <row r="3870" spans="1:26" ht="21" customHeight="1" thickBot="1" x14ac:dyDescent="0.35">
      <c r="A3870" s="5"/>
      <c r="B3870" s="159"/>
      <c r="C3870" s="160"/>
      <c r="D3870" s="166" t="s">
        <v>43</v>
      </c>
      <c r="E3870" s="167"/>
      <c r="F3870" s="167"/>
      <c r="G3870" s="168"/>
      <c r="H3870" s="168"/>
      <c r="I3870" s="168"/>
      <c r="J3870" s="168"/>
      <c r="K3870" s="168"/>
      <c r="L3870" s="168"/>
      <c r="M3870" s="7"/>
      <c r="N3870" s="32"/>
      <c r="Z3870" s="86" t="s">
        <v>81</v>
      </c>
    </row>
    <row r="3871" spans="1:26" ht="9.9499999999999993" customHeight="1" thickBot="1" x14ac:dyDescent="0.35">
      <c r="B3871" s="9"/>
      <c r="C3871" s="109"/>
      <c r="D3871" s="51"/>
      <c r="E3871" s="12"/>
      <c r="F3871" s="51"/>
      <c r="G3871" s="14"/>
      <c r="H3871" s="14"/>
      <c r="I3871" s="14"/>
      <c r="J3871" s="14"/>
      <c r="K3871" s="14"/>
      <c r="L3871" s="14"/>
      <c r="M3871" s="9"/>
      <c r="N3871" s="32"/>
      <c r="U3871" s="18"/>
      <c r="V3871" s="18"/>
      <c r="Z3871" s="85" t="s">
        <v>82</v>
      </c>
    </row>
    <row r="3872" spans="1:26" ht="6.95" customHeight="1" x14ac:dyDescent="0.3">
      <c r="A3872" s="154">
        <f>+A3861+1</f>
        <v>1151</v>
      </c>
      <c r="B3872" s="155"/>
      <c r="C3872" s="156"/>
      <c r="D3872" s="161" t="s">
        <v>39</v>
      </c>
      <c r="E3872" s="162"/>
      <c r="F3872" s="163" t="s">
        <v>40</v>
      </c>
      <c r="G3872" s="164"/>
      <c r="H3872" s="165"/>
      <c r="I3872" s="164"/>
      <c r="J3872" s="165"/>
      <c r="K3872" s="164"/>
      <c r="L3872" s="165"/>
      <c r="M3872" s="6"/>
      <c r="N3872" s="32"/>
      <c r="Q3872" s="10" t="str">
        <f>+CONCATENATE(E3872,G3872)</f>
        <v/>
      </c>
      <c r="R3872" s="10">
        <f>+H3872</f>
        <v>0</v>
      </c>
      <c r="S3872" s="11"/>
      <c r="T3872" s="10">
        <f>+E3872</f>
        <v>0</v>
      </c>
      <c r="U3872" s="19" t="str">
        <f>IFERROR(LEFT(G3872,FIND("*",G3872)-1),"-")</f>
        <v>-</v>
      </c>
      <c r="V3872" s="19" t="str">
        <f>IFERROR(RIGHT(G3872,LEN(G3872)-FIND("*",G3872)),"-")</f>
        <v>-</v>
      </c>
      <c r="W3872" s="20" t="str">
        <f>IFERROR((U3872+V3872)*2/1000,"-")</f>
        <v>-</v>
      </c>
      <c r="X3872" s="20" t="str">
        <f>IFERROR(W3872*H3872,"-")</f>
        <v>-</v>
      </c>
      <c r="Z3872" s="85" t="s">
        <v>82</v>
      </c>
    </row>
    <row r="3873" spans="1:26" ht="6.95" customHeight="1" x14ac:dyDescent="0.3">
      <c r="A3873" s="154"/>
      <c r="B3873" s="157"/>
      <c r="C3873" s="158"/>
      <c r="D3873" s="161"/>
      <c r="E3873" s="162"/>
      <c r="F3873" s="163"/>
      <c r="G3873" s="164"/>
      <c r="H3873" s="165"/>
      <c r="I3873" s="164"/>
      <c r="J3873" s="165"/>
      <c r="K3873" s="164"/>
      <c r="L3873" s="165"/>
      <c r="M3873" s="6"/>
      <c r="N3873" s="32"/>
      <c r="Q3873" s="10" t="str">
        <f>+CONCATENATE(E3872,I3872)</f>
        <v/>
      </c>
      <c r="R3873" s="10">
        <f>+J3872</f>
        <v>0</v>
      </c>
      <c r="S3873" s="11"/>
      <c r="T3873" s="10">
        <f>+E3872</f>
        <v>0</v>
      </c>
      <c r="U3873" s="19" t="str">
        <f>IFERROR(LEFT(I3872,FIND("*",I3872)-1),"-")</f>
        <v>-</v>
      </c>
      <c r="V3873" s="19" t="str">
        <f>IFERROR(RIGHT(I3872,LEN(I3872)-FIND("*",I3872)),"-")</f>
        <v>-</v>
      </c>
      <c r="W3873" s="20" t="str">
        <f t="shared" ref="W3873:W3880" si="2104">IFERROR((U3873+V3873)*2/1000,"-")</f>
        <v>-</v>
      </c>
      <c r="X3873" s="20" t="str">
        <f>IFERROR(W3873*J3872,"-")</f>
        <v>-</v>
      </c>
      <c r="Z3873" s="85" t="s">
        <v>82</v>
      </c>
    </row>
    <row r="3874" spans="1:26" ht="6.95" customHeight="1" x14ac:dyDescent="0.3">
      <c r="A3874" s="154"/>
      <c r="B3874" s="157"/>
      <c r="C3874" s="158"/>
      <c r="D3874" s="161"/>
      <c r="E3874" s="162"/>
      <c r="F3874" s="163"/>
      <c r="G3874" s="164"/>
      <c r="H3874" s="165"/>
      <c r="I3874" s="164"/>
      <c r="J3874" s="165"/>
      <c r="K3874" s="164"/>
      <c r="L3874" s="165"/>
      <c r="M3874" s="6"/>
      <c r="N3874" s="32"/>
      <c r="Q3874" s="10" t="str">
        <f>+CONCATENATE(E3872,K3872)</f>
        <v/>
      </c>
      <c r="R3874" s="10">
        <f>+L3872</f>
        <v>0</v>
      </c>
      <c r="S3874" s="11"/>
      <c r="T3874" s="10">
        <f>+E3872</f>
        <v>0</v>
      </c>
      <c r="U3874" s="19" t="str">
        <f>IFERROR(LEFT(K3872,FIND("*",K3872)-1),"-")</f>
        <v>-</v>
      </c>
      <c r="V3874" s="19" t="str">
        <f>IFERROR(RIGHT(K3872,LEN(K3872)-FIND("*",K3872)),"-")</f>
        <v>-</v>
      </c>
      <c r="W3874" s="20" t="str">
        <f t="shared" si="2104"/>
        <v>-</v>
      </c>
      <c r="X3874" s="20" t="str">
        <f>IFERROR(W3874*L3872,"-")</f>
        <v>-</v>
      </c>
      <c r="Z3874" s="85" t="s">
        <v>82</v>
      </c>
    </row>
    <row r="3875" spans="1:26" ht="6.95" customHeight="1" x14ac:dyDescent="0.3">
      <c r="A3875" s="8"/>
      <c r="B3875" s="157"/>
      <c r="C3875" s="158"/>
      <c r="D3875" s="161" t="s">
        <v>39</v>
      </c>
      <c r="E3875" s="162"/>
      <c r="F3875" s="163" t="s">
        <v>40</v>
      </c>
      <c r="G3875" s="164"/>
      <c r="H3875" s="165"/>
      <c r="I3875" s="164"/>
      <c r="J3875" s="165"/>
      <c r="K3875" s="164"/>
      <c r="L3875" s="165"/>
      <c r="M3875" s="6"/>
      <c r="N3875" s="32"/>
      <c r="Q3875" s="10" t="str">
        <f>+CONCATENATE(E3875,G3875)</f>
        <v/>
      </c>
      <c r="R3875" s="10">
        <f>+H3875</f>
        <v>0</v>
      </c>
      <c r="S3875" s="11"/>
      <c r="T3875" s="10">
        <f>+E3875</f>
        <v>0</v>
      </c>
      <c r="U3875" s="19" t="str">
        <f t="shared" ref="U3875" si="2105">IFERROR(LEFT(G3875,FIND("*",G3875)-1),"-")</f>
        <v>-</v>
      </c>
      <c r="V3875" s="19" t="str">
        <f t="shared" ref="V3875" si="2106">IFERROR(RIGHT(G3875,LEN(G3875)-FIND("*",G3875)),"-")</f>
        <v>-</v>
      </c>
      <c r="W3875" s="20" t="str">
        <f t="shared" si="2104"/>
        <v>-</v>
      </c>
      <c r="X3875" s="20" t="str">
        <f>IFERROR(W3875*H3875,"-")</f>
        <v>-</v>
      </c>
      <c r="Z3875" s="85" t="s">
        <v>82</v>
      </c>
    </row>
    <row r="3876" spans="1:26" ht="6.95" customHeight="1" x14ac:dyDescent="0.3">
      <c r="A3876" s="5"/>
      <c r="B3876" s="157"/>
      <c r="C3876" s="158"/>
      <c r="D3876" s="161"/>
      <c r="E3876" s="162"/>
      <c r="F3876" s="163"/>
      <c r="G3876" s="164"/>
      <c r="H3876" s="165"/>
      <c r="I3876" s="164"/>
      <c r="J3876" s="165"/>
      <c r="K3876" s="164"/>
      <c r="L3876" s="165"/>
      <c r="M3876" s="6"/>
      <c r="N3876" s="32"/>
      <c r="Q3876" s="10" t="str">
        <f>+CONCATENATE(E3875,I3875)</f>
        <v/>
      </c>
      <c r="R3876" s="10">
        <f>+J3875</f>
        <v>0</v>
      </c>
      <c r="S3876" s="11"/>
      <c r="T3876" s="10">
        <f>+E3875</f>
        <v>0</v>
      </c>
      <c r="U3876" s="19" t="str">
        <f>IFERROR(LEFT(I3875,FIND("*",I3875)-1),"-")</f>
        <v>-</v>
      </c>
      <c r="V3876" s="19" t="str">
        <f>IFERROR(RIGHT(I3875,LEN(I3875)-FIND("*",I3875)),"-")</f>
        <v>-</v>
      </c>
      <c r="W3876" s="20" t="str">
        <f t="shared" si="2104"/>
        <v>-</v>
      </c>
      <c r="X3876" s="20" t="str">
        <f>IFERROR(W3876*J3875,"-")</f>
        <v>-</v>
      </c>
      <c r="Z3876" s="85" t="s">
        <v>82</v>
      </c>
    </row>
    <row r="3877" spans="1:26" ht="6.95" customHeight="1" x14ac:dyDescent="0.3">
      <c r="A3877" s="5"/>
      <c r="B3877" s="157"/>
      <c r="C3877" s="158"/>
      <c r="D3877" s="161"/>
      <c r="E3877" s="162"/>
      <c r="F3877" s="163"/>
      <c r="G3877" s="164"/>
      <c r="H3877" s="165"/>
      <c r="I3877" s="164"/>
      <c r="J3877" s="165"/>
      <c r="K3877" s="164"/>
      <c r="L3877" s="165"/>
      <c r="M3877" s="6"/>
      <c r="N3877" s="32"/>
      <c r="Q3877" s="10" t="str">
        <f>+CONCATENATE(E3875,K3875)</f>
        <v/>
      </c>
      <c r="R3877" s="10">
        <f>+L3875</f>
        <v>0</v>
      </c>
      <c r="S3877" s="11"/>
      <c r="T3877" s="10">
        <f>+E3875</f>
        <v>0</v>
      </c>
      <c r="U3877" s="19" t="str">
        <f>IFERROR(LEFT(K3875,FIND("*",K3875)-1),"-")</f>
        <v>-</v>
      </c>
      <c r="V3877" s="19" t="str">
        <f>IFERROR(RIGHT(K3875,LEN(K3875)-FIND("*",K3875)),"-")</f>
        <v>-</v>
      </c>
      <c r="W3877" s="20" t="str">
        <f t="shared" si="2104"/>
        <v>-</v>
      </c>
      <c r="X3877" s="20" t="str">
        <f>IFERROR(W3877*L3875,"-")</f>
        <v>-</v>
      </c>
      <c r="Z3877" s="85" t="s">
        <v>82</v>
      </c>
    </row>
    <row r="3878" spans="1:26" ht="6.95" customHeight="1" x14ac:dyDescent="0.3">
      <c r="A3878" s="8"/>
      <c r="B3878" s="157"/>
      <c r="C3878" s="158"/>
      <c r="D3878" s="161" t="s">
        <v>39</v>
      </c>
      <c r="E3878" s="162"/>
      <c r="F3878" s="163" t="s">
        <v>40</v>
      </c>
      <c r="G3878" s="164"/>
      <c r="H3878" s="165"/>
      <c r="I3878" s="164"/>
      <c r="J3878" s="165"/>
      <c r="K3878" s="164"/>
      <c r="L3878" s="165"/>
      <c r="M3878" s="6"/>
      <c r="N3878" s="32"/>
      <c r="Q3878" s="10" t="str">
        <f>+CONCATENATE(E3878,G3878)</f>
        <v/>
      </c>
      <c r="R3878" s="10">
        <f>+H3878</f>
        <v>0</v>
      </c>
      <c r="S3878" s="11"/>
      <c r="T3878" s="10">
        <f>+E3878</f>
        <v>0</v>
      </c>
      <c r="U3878" s="19" t="str">
        <f t="shared" ref="U3878" si="2107">IFERROR(LEFT(G3878,FIND("*",G3878)-1),"-")</f>
        <v>-</v>
      </c>
      <c r="V3878" s="19" t="str">
        <f t="shared" ref="V3878" si="2108">IFERROR(RIGHT(G3878,LEN(G3878)-FIND("*",G3878)),"-")</f>
        <v>-</v>
      </c>
      <c r="W3878" s="20" t="str">
        <f t="shared" si="2104"/>
        <v>-</v>
      </c>
      <c r="X3878" s="20" t="str">
        <f>IFERROR(W3878*H3878,"-")</f>
        <v>-</v>
      </c>
      <c r="Z3878" s="85" t="s">
        <v>82</v>
      </c>
    </row>
    <row r="3879" spans="1:26" ht="6.95" customHeight="1" x14ac:dyDescent="0.3">
      <c r="A3879" s="5"/>
      <c r="B3879" s="157"/>
      <c r="C3879" s="158"/>
      <c r="D3879" s="161"/>
      <c r="E3879" s="162"/>
      <c r="F3879" s="163"/>
      <c r="G3879" s="164"/>
      <c r="H3879" s="165"/>
      <c r="I3879" s="164"/>
      <c r="J3879" s="165"/>
      <c r="K3879" s="164"/>
      <c r="L3879" s="165"/>
      <c r="M3879" s="6"/>
      <c r="N3879" s="32"/>
      <c r="Q3879" s="10" t="str">
        <f>+CONCATENATE(E3878,I3878)</f>
        <v/>
      </c>
      <c r="R3879" s="10">
        <f>+J3878</f>
        <v>0</v>
      </c>
      <c r="S3879" s="11"/>
      <c r="T3879" s="10">
        <f>+E3878</f>
        <v>0</v>
      </c>
      <c r="U3879" s="19" t="str">
        <f>IFERROR(LEFT(I3878,FIND("*",I3878)-1),"-")</f>
        <v>-</v>
      </c>
      <c r="V3879" s="19" t="str">
        <f>IFERROR(RIGHT(I3878,LEN(I3878)-FIND("*",I3878)),"-")</f>
        <v>-</v>
      </c>
      <c r="W3879" s="20" t="str">
        <f t="shared" si="2104"/>
        <v>-</v>
      </c>
      <c r="X3879" s="20" t="str">
        <f t="shared" ref="X3879" si="2109">IFERROR(W3879*J3878,"-")</f>
        <v>-</v>
      </c>
      <c r="Z3879" s="85" t="s">
        <v>82</v>
      </c>
    </row>
    <row r="3880" spans="1:26" ht="6.95" customHeight="1" x14ac:dyDescent="0.3">
      <c r="A3880" s="5"/>
      <c r="B3880" s="157"/>
      <c r="C3880" s="158"/>
      <c r="D3880" s="161"/>
      <c r="E3880" s="162"/>
      <c r="F3880" s="163"/>
      <c r="G3880" s="164"/>
      <c r="H3880" s="165"/>
      <c r="I3880" s="164"/>
      <c r="J3880" s="165"/>
      <c r="K3880" s="164"/>
      <c r="L3880" s="165"/>
      <c r="M3880" s="6"/>
      <c r="N3880" s="32"/>
      <c r="Q3880" s="10" t="str">
        <f>+CONCATENATE(E3878,K3878)</f>
        <v/>
      </c>
      <c r="R3880" s="10">
        <f>+L3878</f>
        <v>0</v>
      </c>
      <c r="S3880" s="11"/>
      <c r="T3880" s="10">
        <f>+E3878</f>
        <v>0</v>
      </c>
      <c r="U3880" s="19" t="str">
        <f>IFERROR(LEFT(K3878,FIND("*",K3878)-1),"-")</f>
        <v>-</v>
      </c>
      <c r="V3880" s="19" t="str">
        <f>IFERROR(RIGHT(K3878,LEN(K3878)-FIND("*",K3878)),"-")</f>
        <v>-</v>
      </c>
      <c r="W3880" s="20" t="str">
        <f t="shared" si="2104"/>
        <v>-</v>
      </c>
      <c r="X3880" s="20" t="str">
        <f>IFERROR(W3880*L3878,"-")</f>
        <v>-</v>
      </c>
      <c r="Z3880" s="85" t="s">
        <v>82</v>
      </c>
    </row>
    <row r="3881" spans="1:26" ht="21" customHeight="1" thickBot="1" x14ac:dyDescent="0.35">
      <c r="A3881" s="5"/>
      <c r="B3881" s="159"/>
      <c r="C3881" s="160"/>
      <c r="D3881" s="166" t="s">
        <v>43</v>
      </c>
      <c r="E3881" s="167"/>
      <c r="F3881" s="167"/>
      <c r="G3881" s="168"/>
      <c r="H3881" s="168"/>
      <c r="I3881" s="168"/>
      <c r="J3881" s="168"/>
      <c r="K3881" s="168"/>
      <c r="L3881" s="168"/>
      <c r="M3881" s="7"/>
      <c r="N3881" s="32"/>
      <c r="Z3881" s="86" t="s">
        <v>81</v>
      </c>
    </row>
    <row r="3882" spans="1:26" ht="9.9499999999999993" customHeight="1" thickBot="1" x14ac:dyDescent="0.35">
      <c r="B3882" s="9"/>
      <c r="C3882" s="109"/>
      <c r="D3882" s="51"/>
      <c r="E3882" s="12"/>
      <c r="F3882" s="51"/>
      <c r="G3882" s="14"/>
      <c r="H3882" s="14"/>
      <c r="I3882" s="14"/>
      <c r="J3882" s="14"/>
      <c r="K3882" s="14"/>
      <c r="L3882" s="14"/>
      <c r="M3882" s="9"/>
      <c r="N3882" s="32"/>
      <c r="U3882" s="18"/>
      <c r="V3882" s="18"/>
      <c r="Z3882" s="85" t="s">
        <v>82</v>
      </c>
    </row>
    <row r="3883" spans="1:26" ht="6.95" customHeight="1" x14ac:dyDescent="0.3">
      <c r="A3883" s="154">
        <f>+A3872+1</f>
        <v>1152</v>
      </c>
      <c r="B3883" s="155"/>
      <c r="C3883" s="156"/>
      <c r="D3883" s="161" t="s">
        <v>39</v>
      </c>
      <c r="E3883" s="162"/>
      <c r="F3883" s="163" t="s">
        <v>40</v>
      </c>
      <c r="G3883" s="164"/>
      <c r="H3883" s="165"/>
      <c r="I3883" s="164"/>
      <c r="J3883" s="165"/>
      <c r="K3883" s="164"/>
      <c r="L3883" s="165"/>
      <c r="M3883" s="6"/>
      <c r="N3883" s="32"/>
      <c r="Q3883" s="10" t="str">
        <f>+CONCATENATE(E3883,G3883)</f>
        <v/>
      </c>
      <c r="R3883" s="10">
        <f>+H3883</f>
        <v>0</v>
      </c>
      <c r="S3883" s="11"/>
      <c r="T3883" s="10">
        <f>+E3883</f>
        <v>0</v>
      </c>
      <c r="U3883" s="19" t="str">
        <f>IFERROR(LEFT(G3883,FIND("*",G3883)-1),"-")</f>
        <v>-</v>
      </c>
      <c r="V3883" s="19" t="str">
        <f>IFERROR(RIGHT(G3883,LEN(G3883)-FIND("*",G3883)),"-")</f>
        <v>-</v>
      </c>
      <c r="W3883" s="20" t="str">
        <f>IFERROR((U3883+V3883)*2/1000,"-")</f>
        <v>-</v>
      </c>
      <c r="X3883" s="20" t="str">
        <f>IFERROR(W3883*H3883,"-")</f>
        <v>-</v>
      </c>
      <c r="Z3883" s="85" t="s">
        <v>82</v>
      </c>
    </row>
    <row r="3884" spans="1:26" ht="6.95" customHeight="1" x14ac:dyDescent="0.3">
      <c r="A3884" s="154"/>
      <c r="B3884" s="157"/>
      <c r="C3884" s="158"/>
      <c r="D3884" s="161"/>
      <c r="E3884" s="162"/>
      <c r="F3884" s="163"/>
      <c r="G3884" s="164"/>
      <c r="H3884" s="165"/>
      <c r="I3884" s="164"/>
      <c r="J3884" s="165"/>
      <c r="K3884" s="164"/>
      <c r="L3884" s="165"/>
      <c r="M3884" s="6"/>
      <c r="N3884" s="32"/>
      <c r="Q3884" s="10" t="str">
        <f>+CONCATENATE(E3883,I3883)</f>
        <v/>
      </c>
      <c r="R3884" s="10">
        <f>+J3883</f>
        <v>0</v>
      </c>
      <c r="S3884" s="11"/>
      <c r="T3884" s="10">
        <f>+E3883</f>
        <v>0</v>
      </c>
      <c r="U3884" s="19" t="str">
        <f>IFERROR(LEFT(I3883,FIND("*",I3883)-1),"-")</f>
        <v>-</v>
      </c>
      <c r="V3884" s="19" t="str">
        <f>IFERROR(RIGHT(I3883,LEN(I3883)-FIND("*",I3883)),"-")</f>
        <v>-</v>
      </c>
      <c r="W3884" s="20" t="str">
        <f t="shared" ref="W3884:W3891" si="2110">IFERROR((U3884+V3884)*2/1000,"-")</f>
        <v>-</v>
      </c>
      <c r="X3884" s="20" t="str">
        <f>IFERROR(W3884*J3883,"-")</f>
        <v>-</v>
      </c>
      <c r="Z3884" s="85" t="s">
        <v>82</v>
      </c>
    </row>
    <row r="3885" spans="1:26" ht="6.95" customHeight="1" x14ac:dyDescent="0.3">
      <c r="A3885" s="154"/>
      <c r="B3885" s="157"/>
      <c r="C3885" s="158"/>
      <c r="D3885" s="161"/>
      <c r="E3885" s="162"/>
      <c r="F3885" s="163"/>
      <c r="G3885" s="164"/>
      <c r="H3885" s="165"/>
      <c r="I3885" s="164"/>
      <c r="J3885" s="165"/>
      <c r="K3885" s="164"/>
      <c r="L3885" s="165"/>
      <c r="M3885" s="6"/>
      <c r="N3885" s="32"/>
      <c r="Q3885" s="10" t="str">
        <f>+CONCATENATE(E3883,K3883)</f>
        <v/>
      </c>
      <c r="R3885" s="10">
        <f>+L3883</f>
        <v>0</v>
      </c>
      <c r="S3885" s="11"/>
      <c r="T3885" s="10">
        <f>+E3883</f>
        <v>0</v>
      </c>
      <c r="U3885" s="19" t="str">
        <f>IFERROR(LEFT(K3883,FIND("*",K3883)-1),"-")</f>
        <v>-</v>
      </c>
      <c r="V3885" s="19" t="str">
        <f>IFERROR(RIGHT(K3883,LEN(K3883)-FIND("*",K3883)),"-")</f>
        <v>-</v>
      </c>
      <c r="W3885" s="20" t="str">
        <f t="shared" si="2110"/>
        <v>-</v>
      </c>
      <c r="X3885" s="20" t="str">
        <f>IFERROR(W3885*L3883,"-")</f>
        <v>-</v>
      </c>
      <c r="Z3885" s="85" t="s">
        <v>82</v>
      </c>
    </row>
    <row r="3886" spans="1:26" ht="6.95" customHeight="1" x14ac:dyDescent="0.3">
      <c r="A3886" s="8"/>
      <c r="B3886" s="157"/>
      <c r="C3886" s="158"/>
      <c r="D3886" s="161" t="s">
        <v>39</v>
      </c>
      <c r="E3886" s="162"/>
      <c r="F3886" s="163" t="s">
        <v>40</v>
      </c>
      <c r="G3886" s="164"/>
      <c r="H3886" s="165"/>
      <c r="I3886" s="164"/>
      <c r="J3886" s="165"/>
      <c r="K3886" s="164"/>
      <c r="L3886" s="165"/>
      <c r="M3886" s="6"/>
      <c r="N3886" s="32"/>
      <c r="Q3886" s="10" t="str">
        <f>+CONCATENATE(E3886,G3886)</f>
        <v/>
      </c>
      <c r="R3886" s="10">
        <f>+H3886</f>
        <v>0</v>
      </c>
      <c r="S3886" s="11"/>
      <c r="T3886" s="10">
        <f>+E3886</f>
        <v>0</v>
      </c>
      <c r="U3886" s="19" t="str">
        <f t="shared" ref="U3886" si="2111">IFERROR(LEFT(G3886,FIND("*",G3886)-1),"-")</f>
        <v>-</v>
      </c>
      <c r="V3886" s="19" t="str">
        <f t="shared" ref="V3886" si="2112">IFERROR(RIGHT(G3886,LEN(G3886)-FIND("*",G3886)),"-")</f>
        <v>-</v>
      </c>
      <c r="W3886" s="20" t="str">
        <f t="shared" si="2110"/>
        <v>-</v>
      </c>
      <c r="X3886" s="20" t="str">
        <f>IFERROR(W3886*H3886,"-")</f>
        <v>-</v>
      </c>
      <c r="Z3886" s="85" t="s">
        <v>82</v>
      </c>
    </row>
    <row r="3887" spans="1:26" ht="6.95" customHeight="1" x14ac:dyDescent="0.3">
      <c r="A3887" s="5"/>
      <c r="B3887" s="157"/>
      <c r="C3887" s="158"/>
      <c r="D3887" s="161"/>
      <c r="E3887" s="162"/>
      <c r="F3887" s="163"/>
      <c r="G3887" s="164"/>
      <c r="H3887" s="165"/>
      <c r="I3887" s="164"/>
      <c r="J3887" s="165"/>
      <c r="K3887" s="164"/>
      <c r="L3887" s="165"/>
      <c r="M3887" s="6"/>
      <c r="N3887" s="32"/>
      <c r="Q3887" s="10" t="str">
        <f>+CONCATENATE(E3886,I3886)</f>
        <v/>
      </c>
      <c r="R3887" s="10">
        <f>+J3886</f>
        <v>0</v>
      </c>
      <c r="S3887" s="11"/>
      <c r="T3887" s="10">
        <f>+E3886</f>
        <v>0</v>
      </c>
      <c r="U3887" s="19" t="str">
        <f>IFERROR(LEFT(I3886,FIND("*",I3886)-1),"-")</f>
        <v>-</v>
      </c>
      <c r="V3887" s="19" t="str">
        <f>IFERROR(RIGHT(I3886,LEN(I3886)-FIND("*",I3886)),"-")</f>
        <v>-</v>
      </c>
      <c r="W3887" s="20" t="str">
        <f t="shared" si="2110"/>
        <v>-</v>
      </c>
      <c r="X3887" s="20" t="str">
        <f>IFERROR(W3887*J3886,"-")</f>
        <v>-</v>
      </c>
      <c r="Z3887" s="85" t="s">
        <v>82</v>
      </c>
    </row>
    <row r="3888" spans="1:26" ht="6.95" customHeight="1" x14ac:dyDescent="0.3">
      <c r="A3888" s="5"/>
      <c r="B3888" s="157"/>
      <c r="C3888" s="158"/>
      <c r="D3888" s="161"/>
      <c r="E3888" s="162"/>
      <c r="F3888" s="163"/>
      <c r="G3888" s="164"/>
      <c r="H3888" s="165"/>
      <c r="I3888" s="164"/>
      <c r="J3888" s="165"/>
      <c r="K3888" s="164"/>
      <c r="L3888" s="165"/>
      <c r="M3888" s="6"/>
      <c r="N3888" s="32"/>
      <c r="Q3888" s="10" t="str">
        <f>+CONCATENATE(E3886,K3886)</f>
        <v/>
      </c>
      <c r="R3888" s="10">
        <f>+L3886</f>
        <v>0</v>
      </c>
      <c r="S3888" s="11"/>
      <c r="T3888" s="10">
        <f>+E3886</f>
        <v>0</v>
      </c>
      <c r="U3888" s="19" t="str">
        <f>IFERROR(LEFT(K3886,FIND("*",K3886)-1),"-")</f>
        <v>-</v>
      </c>
      <c r="V3888" s="19" t="str">
        <f>IFERROR(RIGHT(K3886,LEN(K3886)-FIND("*",K3886)),"-")</f>
        <v>-</v>
      </c>
      <c r="W3888" s="20" t="str">
        <f t="shared" si="2110"/>
        <v>-</v>
      </c>
      <c r="X3888" s="20" t="str">
        <f>IFERROR(W3888*L3886,"-")</f>
        <v>-</v>
      </c>
      <c r="Z3888" s="85" t="s">
        <v>82</v>
      </c>
    </row>
    <row r="3889" spans="1:26" ht="6.95" customHeight="1" x14ac:dyDescent="0.3">
      <c r="A3889" s="8"/>
      <c r="B3889" s="157"/>
      <c r="C3889" s="158"/>
      <c r="D3889" s="161" t="s">
        <v>39</v>
      </c>
      <c r="E3889" s="162"/>
      <c r="F3889" s="163" t="s">
        <v>40</v>
      </c>
      <c r="G3889" s="164"/>
      <c r="H3889" s="165"/>
      <c r="I3889" s="164"/>
      <c r="J3889" s="165"/>
      <c r="K3889" s="164"/>
      <c r="L3889" s="165"/>
      <c r="M3889" s="6"/>
      <c r="N3889" s="32"/>
      <c r="Q3889" s="10" t="str">
        <f>+CONCATENATE(E3889,G3889)</f>
        <v/>
      </c>
      <c r="R3889" s="10">
        <f>+H3889</f>
        <v>0</v>
      </c>
      <c r="S3889" s="11"/>
      <c r="T3889" s="10">
        <f>+E3889</f>
        <v>0</v>
      </c>
      <c r="U3889" s="19" t="str">
        <f t="shared" ref="U3889" si="2113">IFERROR(LEFT(G3889,FIND("*",G3889)-1),"-")</f>
        <v>-</v>
      </c>
      <c r="V3889" s="19" t="str">
        <f t="shared" ref="V3889" si="2114">IFERROR(RIGHT(G3889,LEN(G3889)-FIND("*",G3889)),"-")</f>
        <v>-</v>
      </c>
      <c r="W3889" s="20" t="str">
        <f t="shared" si="2110"/>
        <v>-</v>
      </c>
      <c r="X3889" s="20" t="str">
        <f>IFERROR(W3889*H3889,"-")</f>
        <v>-</v>
      </c>
      <c r="Z3889" s="85" t="s">
        <v>82</v>
      </c>
    </row>
    <row r="3890" spans="1:26" ht="6.95" customHeight="1" x14ac:dyDescent="0.3">
      <c r="A3890" s="5"/>
      <c r="B3890" s="157"/>
      <c r="C3890" s="158"/>
      <c r="D3890" s="161"/>
      <c r="E3890" s="162"/>
      <c r="F3890" s="163"/>
      <c r="G3890" s="164"/>
      <c r="H3890" s="165"/>
      <c r="I3890" s="164"/>
      <c r="J3890" s="165"/>
      <c r="K3890" s="164"/>
      <c r="L3890" s="165"/>
      <c r="M3890" s="6"/>
      <c r="N3890" s="32"/>
      <c r="Q3890" s="10" t="str">
        <f>+CONCATENATE(E3889,I3889)</f>
        <v/>
      </c>
      <c r="R3890" s="10">
        <f>+J3889</f>
        <v>0</v>
      </c>
      <c r="S3890" s="11"/>
      <c r="T3890" s="10">
        <f>+E3889</f>
        <v>0</v>
      </c>
      <c r="U3890" s="19" t="str">
        <f>IFERROR(LEFT(I3889,FIND("*",I3889)-1),"-")</f>
        <v>-</v>
      </c>
      <c r="V3890" s="19" t="str">
        <f>IFERROR(RIGHT(I3889,LEN(I3889)-FIND("*",I3889)),"-")</f>
        <v>-</v>
      </c>
      <c r="W3890" s="20" t="str">
        <f t="shared" si="2110"/>
        <v>-</v>
      </c>
      <c r="X3890" s="20" t="str">
        <f t="shared" ref="X3890" si="2115">IFERROR(W3890*J3889,"-")</f>
        <v>-</v>
      </c>
      <c r="Z3890" s="85" t="s">
        <v>82</v>
      </c>
    </row>
    <row r="3891" spans="1:26" ht="6.95" customHeight="1" x14ac:dyDescent="0.3">
      <c r="A3891" s="5"/>
      <c r="B3891" s="157"/>
      <c r="C3891" s="158"/>
      <c r="D3891" s="161"/>
      <c r="E3891" s="162"/>
      <c r="F3891" s="163"/>
      <c r="G3891" s="164"/>
      <c r="H3891" s="165"/>
      <c r="I3891" s="164"/>
      <c r="J3891" s="165"/>
      <c r="K3891" s="164"/>
      <c r="L3891" s="165"/>
      <c r="M3891" s="6"/>
      <c r="N3891" s="32"/>
      <c r="Q3891" s="10" t="str">
        <f>+CONCATENATE(E3889,K3889)</f>
        <v/>
      </c>
      <c r="R3891" s="10">
        <f>+L3889</f>
        <v>0</v>
      </c>
      <c r="S3891" s="11"/>
      <c r="T3891" s="10">
        <f>+E3889</f>
        <v>0</v>
      </c>
      <c r="U3891" s="19" t="str">
        <f>IFERROR(LEFT(K3889,FIND("*",K3889)-1),"-")</f>
        <v>-</v>
      </c>
      <c r="V3891" s="19" t="str">
        <f>IFERROR(RIGHT(K3889,LEN(K3889)-FIND("*",K3889)),"-")</f>
        <v>-</v>
      </c>
      <c r="W3891" s="20" t="str">
        <f t="shared" si="2110"/>
        <v>-</v>
      </c>
      <c r="X3891" s="20" t="str">
        <f>IFERROR(W3891*L3889,"-")</f>
        <v>-</v>
      </c>
      <c r="Z3891" s="85" t="s">
        <v>82</v>
      </c>
    </row>
    <row r="3892" spans="1:26" ht="21" customHeight="1" thickBot="1" x14ac:dyDescent="0.35">
      <c r="A3892" s="5"/>
      <c r="B3892" s="159"/>
      <c r="C3892" s="160"/>
      <c r="D3892" s="166" t="s">
        <v>43</v>
      </c>
      <c r="E3892" s="167"/>
      <c r="F3892" s="167"/>
      <c r="G3892" s="168"/>
      <c r="H3892" s="168"/>
      <c r="I3892" s="168"/>
      <c r="J3892" s="168"/>
      <c r="K3892" s="168"/>
      <c r="L3892" s="168"/>
      <c r="M3892" s="7"/>
      <c r="N3892" s="32"/>
      <c r="Z3892" s="86" t="s">
        <v>81</v>
      </c>
    </row>
    <row r="3893" spans="1:26" ht="9.9499999999999993" customHeight="1" thickBot="1" x14ac:dyDescent="0.35">
      <c r="B3893" s="9"/>
      <c r="C3893" s="109"/>
      <c r="D3893" s="51"/>
      <c r="E3893" s="12"/>
      <c r="F3893" s="51"/>
      <c r="G3893" s="14"/>
      <c r="H3893" s="14"/>
      <c r="I3893" s="14"/>
      <c r="J3893" s="14"/>
      <c r="K3893" s="14"/>
      <c r="L3893" s="14"/>
      <c r="M3893" s="9"/>
      <c r="N3893" s="32"/>
      <c r="U3893" s="18"/>
      <c r="V3893" s="18"/>
      <c r="Z3893" s="85" t="s">
        <v>82</v>
      </c>
    </row>
    <row r="3894" spans="1:26" ht="6.95" customHeight="1" x14ac:dyDescent="0.3">
      <c r="A3894" s="154">
        <f>+A3883+1</f>
        <v>1153</v>
      </c>
      <c r="B3894" s="155"/>
      <c r="C3894" s="156"/>
      <c r="D3894" s="161" t="s">
        <v>39</v>
      </c>
      <c r="E3894" s="162"/>
      <c r="F3894" s="163" t="s">
        <v>40</v>
      </c>
      <c r="G3894" s="164"/>
      <c r="H3894" s="165"/>
      <c r="I3894" s="164"/>
      <c r="J3894" s="165"/>
      <c r="K3894" s="164"/>
      <c r="L3894" s="165"/>
      <c r="M3894" s="6"/>
      <c r="N3894" s="32"/>
      <c r="Q3894" s="10" t="str">
        <f>+CONCATENATE(E3894,G3894)</f>
        <v/>
      </c>
      <c r="R3894" s="10">
        <f>+H3894</f>
        <v>0</v>
      </c>
      <c r="S3894" s="11"/>
      <c r="T3894" s="10">
        <f>+E3894</f>
        <v>0</v>
      </c>
      <c r="U3894" s="19" t="str">
        <f>IFERROR(LEFT(G3894,FIND("*",G3894)-1),"-")</f>
        <v>-</v>
      </c>
      <c r="V3894" s="19" t="str">
        <f>IFERROR(RIGHT(G3894,LEN(G3894)-FIND("*",G3894)),"-")</f>
        <v>-</v>
      </c>
      <c r="W3894" s="20" t="str">
        <f>IFERROR((U3894+V3894)*2/1000,"-")</f>
        <v>-</v>
      </c>
      <c r="X3894" s="20" t="str">
        <f>IFERROR(W3894*H3894,"-")</f>
        <v>-</v>
      </c>
      <c r="Z3894" s="85" t="s">
        <v>82</v>
      </c>
    </row>
    <row r="3895" spans="1:26" ht="6.95" customHeight="1" x14ac:dyDescent="0.3">
      <c r="A3895" s="154"/>
      <c r="B3895" s="157"/>
      <c r="C3895" s="158"/>
      <c r="D3895" s="161"/>
      <c r="E3895" s="162"/>
      <c r="F3895" s="163"/>
      <c r="G3895" s="164"/>
      <c r="H3895" s="165"/>
      <c r="I3895" s="164"/>
      <c r="J3895" s="165"/>
      <c r="K3895" s="164"/>
      <c r="L3895" s="165"/>
      <c r="M3895" s="6"/>
      <c r="N3895" s="32"/>
      <c r="Q3895" s="10" t="str">
        <f>+CONCATENATE(E3894,I3894)</f>
        <v/>
      </c>
      <c r="R3895" s="10">
        <f>+J3894</f>
        <v>0</v>
      </c>
      <c r="S3895" s="11"/>
      <c r="T3895" s="10">
        <f>+E3894</f>
        <v>0</v>
      </c>
      <c r="U3895" s="19" t="str">
        <f>IFERROR(LEFT(I3894,FIND("*",I3894)-1),"-")</f>
        <v>-</v>
      </c>
      <c r="V3895" s="19" t="str">
        <f>IFERROR(RIGHT(I3894,LEN(I3894)-FIND("*",I3894)),"-")</f>
        <v>-</v>
      </c>
      <c r="W3895" s="20" t="str">
        <f t="shared" ref="W3895:W3902" si="2116">IFERROR((U3895+V3895)*2/1000,"-")</f>
        <v>-</v>
      </c>
      <c r="X3895" s="20" t="str">
        <f>IFERROR(W3895*J3894,"-")</f>
        <v>-</v>
      </c>
      <c r="Z3895" s="85" t="s">
        <v>82</v>
      </c>
    </row>
    <row r="3896" spans="1:26" ht="6.95" customHeight="1" x14ac:dyDescent="0.3">
      <c r="A3896" s="154"/>
      <c r="B3896" s="157"/>
      <c r="C3896" s="158"/>
      <c r="D3896" s="161"/>
      <c r="E3896" s="162"/>
      <c r="F3896" s="163"/>
      <c r="G3896" s="164"/>
      <c r="H3896" s="165"/>
      <c r="I3896" s="164"/>
      <c r="J3896" s="165"/>
      <c r="K3896" s="164"/>
      <c r="L3896" s="165"/>
      <c r="M3896" s="6"/>
      <c r="N3896" s="32"/>
      <c r="Q3896" s="10" t="str">
        <f>+CONCATENATE(E3894,K3894)</f>
        <v/>
      </c>
      <c r="R3896" s="10">
        <f>+L3894</f>
        <v>0</v>
      </c>
      <c r="S3896" s="11"/>
      <c r="T3896" s="10">
        <f>+E3894</f>
        <v>0</v>
      </c>
      <c r="U3896" s="19" t="str">
        <f>IFERROR(LEFT(K3894,FIND("*",K3894)-1),"-")</f>
        <v>-</v>
      </c>
      <c r="V3896" s="19" t="str">
        <f>IFERROR(RIGHT(K3894,LEN(K3894)-FIND("*",K3894)),"-")</f>
        <v>-</v>
      </c>
      <c r="W3896" s="20" t="str">
        <f t="shared" si="2116"/>
        <v>-</v>
      </c>
      <c r="X3896" s="20" t="str">
        <f>IFERROR(W3896*L3894,"-")</f>
        <v>-</v>
      </c>
      <c r="Z3896" s="85" t="s">
        <v>82</v>
      </c>
    </row>
    <row r="3897" spans="1:26" ht="6.95" customHeight="1" x14ac:dyDescent="0.3">
      <c r="A3897" s="8"/>
      <c r="B3897" s="157"/>
      <c r="C3897" s="158"/>
      <c r="D3897" s="161" t="s">
        <v>39</v>
      </c>
      <c r="E3897" s="162"/>
      <c r="F3897" s="163" t="s">
        <v>40</v>
      </c>
      <c r="G3897" s="164"/>
      <c r="H3897" s="165"/>
      <c r="I3897" s="164"/>
      <c r="J3897" s="165"/>
      <c r="K3897" s="164"/>
      <c r="L3897" s="165"/>
      <c r="M3897" s="6"/>
      <c r="N3897" s="32"/>
      <c r="Q3897" s="10" t="str">
        <f>+CONCATENATE(E3897,G3897)</f>
        <v/>
      </c>
      <c r="R3897" s="10">
        <f>+H3897</f>
        <v>0</v>
      </c>
      <c r="S3897" s="11"/>
      <c r="T3897" s="10">
        <f>+E3897</f>
        <v>0</v>
      </c>
      <c r="U3897" s="19" t="str">
        <f t="shared" ref="U3897" si="2117">IFERROR(LEFT(G3897,FIND("*",G3897)-1),"-")</f>
        <v>-</v>
      </c>
      <c r="V3897" s="19" t="str">
        <f t="shared" ref="V3897" si="2118">IFERROR(RIGHT(G3897,LEN(G3897)-FIND("*",G3897)),"-")</f>
        <v>-</v>
      </c>
      <c r="W3897" s="20" t="str">
        <f t="shared" si="2116"/>
        <v>-</v>
      </c>
      <c r="X3897" s="20" t="str">
        <f>IFERROR(W3897*H3897,"-")</f>
        <v>-</v>
      </c>
      <c r="Z3897" s="85" t="s">
        <v>82</v>
      </c>
    </row>
    <row r="3898" spans="1:26" ht="6.95" customHeight="1" x14ac:dyDescent="0.3">
      <c r="A3898" s="5"/>
      <c r="B3898" s="157"/>
      <c r="C3898" s="158"/>
      <c r="D3898" s="161"/>
      <c r="E3898" s="162"/>
      <c r="F3898" s="163"/>
      <c r="G3898" s="164"/>
      <c r="H3898" s="165"/>
      <c r="I3898" s="164"/>
      <c r="J3898" s="165"/>
      <c r="K3898" s="164"/>
      <c r="L3898" s="165"/>
      <c r="M3898" s="6"/>
      <c r="N3898" s="32"/>
      <c r="Q3898" s="10" t="str">
        <f>+CONCATENATE(E3897,I3897)</f>
        <v/>
      </c>
      <c r="R3898" s="10">
        <f>+J3897</f>
        <v>0</v>
      </c>
      <c r="S3898" s="11"/>
      <c r="T3898" s="10">
        <f>+E3897</f>
        <v>0</v>
      </c>
      <c r="U3898" s="19" t="str">
        <f>IFERROR(LEFT(I3897,FIND("*",I3897)-1),"-")</f>
        <v>-</v>
      </c>
      <c r="V3898" s="19" t="str">
        <f>IFERROR(RIGHT(I3897,LEN(I3897)-FIND("*",I3897)),"-")</f>
        <v>-</v>
      </c>
      <c r="W3898" s="20" t="str">
        <f t="shared" si="2116"/>
        <v>-</v>
      </c>
      <c r="X3898" s="20" t="str">
        <f>IFERROR(W3898*J3897,"-")</f>
        <v>-</v>
      </c>
      <c r="Z3898" s="85" t="s">
        <v>82</v>
      </c>
    </row>
    <row r="3899" spans="1:26" ht="6.95" customHeight="1" x14ac:dyDescent="0.3">
      <c r="A3899" s="5"/>
      <c r="B3899" s="157"/>
      <c r="C3899" s="158"/>
      <c r="D3899" s="161"/>
      <c r="E3899" s="162"/>
      <c r="F3899" s="163"/>
      <c r="G3899" s="164"/>
      <c r="H3899" s="165"/>
      <c r="I3899" s="164"/>
      <c r="J3899" s="165"/>
      <c r="K3899" s="164"/>
      <c r="L3899" s="165"/>
      <c r="M3899" s="6"/>
      <c r="N3899" s="32"/>
      <c r="Q3899" s="10" t="str">
        <f>+CONCATENATE(E3897,K3897)</f>
        <v/>
      </c>
      <c r="R3899" s="10">
        <f>+L3897</f>
        <v>0</v>
      </c>
      <c r="S3899" s="11"/>
      <c r="T3899" s="10">
        <f>+E3897</f>
        <v>0</v>
      </c>
      <c r="U3899" s="19" t="str">
        <f>IFERROR(LEFT(K3897,FIND("*",K3897)-1),"-")</f>
        <v>-</v>
      </c>
      <c r="V3899" s="19" t="str">
        <f>IFERROR(RIGHT(K3897,LEN(K3897)-FIND("*",K3897)),"-")</f>
        <v>-</v>
      </c>
      <c r="W3899" s="20" t="str">
        <f t="shared" si="2116"/>
        <v>-</v>
      </c>
      <c r="X3899" s="20" t="str">
        <f>IFERROR(W3899*L3897,"-")</f>
        <v>-</v>
      </c>
      <c r="Z3899" s="85" t="s">
        <v>82</v>
      </c>
    </row>
    <row r="3900" spans="1:26" ht="6.95" customHeight="1" x14ac:dyDescent="0.3">
      <c r="A3900" s="8"/>
      <c r="B3900" s="157"/>
      <c r="C3900" s="158"/>
      <c r="D3900" s="161" t="s">
        <v>39</v>
      </c>
      <c r="E3900" s="162"/>
      <c r="F3900" s="163" t="s">
        <v>40</v>
      </c>
      <c r="G3900" s="164"/>
      <c r="H3900" s="165"/>
      <c r="I3900" s="164"/>
      <c r="J3900" s="165"/>
      <c r="K3900" s="164"/>
      <c r="L3900" s="165"/>
      <c r="M3900" s="6"/>
      <c r="N3900" s="32"/>
      <c r="Q3900" s="10" t="str">
        <f>+CONCATENATE(E3900,G3900)</f>
        <v/>
      </c>
      <c r="R3900" s="10">
        <f>+H3900</f>
        <v>0</v>
      </c>
      <c r="S3900" s="11"/>
      <c r="T3900" s="10">
        <f>+E3900</f>
        <v>0</v>
      </c>
      <c r="U3900" s="19" t="str">
        <f t="shared" ref="U3900" si="2119">IFERROR(LEFT(G3900,FIND("*",G3900)-1),"-")</f>
        <v>-</v>
      </c>
      <c r="V3900" s="19" t="str">
        <f t="shared" ref="V3900" si="2120">IFERROR(RIGHT(G3900,LEN(G3900)-FIND("*",G3900)),"-")</f>
        <v>-</v>
      </c>
      <c r="W3900" s="20" t="str">
        <f t="shared" si="2116"/>
        <v>-</v>
      </c>
      <c r="X3900" s="20" t="str">
        <f>IFERROR(W3900*H3900,"-")</f>
        <v>-</v>
      </c>
      <c r="Z3900" s="85" t="s">
        <v>82</v>
      </c>
    </row>
    <row r="3901" spans="1:26" ht="6.95" customHeight="1" x14ac:dyDescent="0.3">
      <c r="A3901" s="5"/>
      <c r="B3901" s="157"/>
      <c r="C3901" s="158"/>
      <c r="D3901" s="161"/>
      <c r="E3901" s="162"/>
      <c r="F3901" s="163"/>
      <c r="G3901" s="164"/>
      <c r="H3901" s="165"/>
      <c r="I3901" s="164"/>
      <c r="J3901" s="165"/>
      <c r="K3901" s="164"/>
      <c r="L3901" s="165"/>
      <c r="M3901" s="6"/>
      <c r="N3901" s="32"/>
      <c r="Q3901" s="10" t="str">
        <f>+CONCATENATE(E3900,I3900)</f>
        <v/>
      </c>
      <c r="R3901" s="10">
        <f>+J3900</f>
        <v>0</v>
      </c>
      <c r="S3901" s="11"/>
      <c r="T3901" s="10">
        <f>+E3900</f>
        <v>0</v>
      </c>
      <c r="U3901" s="19" t="str">
        <f>IFERROR(LEFT(I3900,FIND("*",I3900)-1),"-")</f>
        <v>-</v>
      </c>
      <c r="V3901" s="19" t="str">
        <f>IFERROR(RIGHT(I3900,LEN(I3900)-FIND("*",I3900)),"-")</f>
        <v>-</v>
      </c>
      <c r="W3901" s="20" t="str">
        <f t="shared" si="2116"/>
        <v>-</v>
      </c>
      <c r="X3901" s="20" t="str">
        <f t="shared" ref="X3901" si="2121">IFERROR(W3901*J3900,"-")</f>
        <v>-</v>
      </c>
      <c r="Z3901" s="85" t="s">
        <v>82</v>
      </c>
    </row>
    <row r="3902" spans="1:26" ht="6.95" customHeight="1" x14ac:dyDescent="0.3">
      <c r="A3902" s="5"/>
      <c r="B3902" s="157"/>
      <c r="C3902" s="158"/>
      <c r="D3902" s="161"/>
      <c r="E3902" s="162"/>
      <c r="F3902" s="163"/>
      <c r="G3902" s="164"/>
      <c r="H3902" s="165"/>
      <c r="I3902" s="164"/>
      <c r="J3902" s="165"/>
      <c r="K3902" s="164"/>
      <c r="L3902" s="165"/>
      <c r="M3902" s="6"/>
      <c r="N3902" s="32"/>
      <c r="Q3902" s="10" t="str">
        <f>+CONCATENATE(E3900,K3900)</f>
        <v/>
      </c>
      <c r="R3902" s="10">
        <f>+L3900</f>
        <v>0</v>
      </c>
      <c r="S3902" s="11"/>
      <c r="T3902" s="10">
        <f>+E3900</f>
        <v>0</v>
      </c>
      <c r="U3902" s="19" t="str">
        <f>IFERROR(LEFT(K3900,FIND("*",K3900)-1),"-")</f>
        <v>-</v>
      </c>
      <c r="V3902" s="19" t="str">
        <f>IFERROR(RIGHT(K3900,LEN(K3900)-FIND("*",K3900)),"-")</f>
        <v>-</v>
      </c>
      <c r="W3902" s="20" t="str">
        <f t="shared" si="2116"/>
        <v>-</v>
      </c>
      <c r="X3902" s="20" t="str">
        <f>IFERROR(W3902*L3900,"-")</f>
        <v>-</v>
      </c>
      <c r="Z3902" s="85" t="s">
        <v>82</v>
      </c>
    </row>
    <row r="3903" spans="1:26" ht="21" customHeight="1" thickBot="1" x14ac:dyDescent="0.35">
      <c r="A3903" s="5"/>
      <c r="B3903" s="159"/>
      <c r="C3903" s="160"/>
      <c r="D3903" s="166" t="s">
        <v>43</v>
      </c>
      <c r="E3903" s="167"/>
      <c r="F3903" s="167"/>
      <c r="G3903" s="168"/>
      <c r="H3903" s="168"/>
      <c r="I3903" s="168"/>
      <c r="J3903" s="168"/>
      <c r="K3903" s="168"/>
      <c r="L3903" s="168"/>
      <c r="M3903" s="7"/>
      <c r="N3903" s="32"/>
      <c r="Z3903" s="86" t="s">
        <v>81</v>
      </c>
    </row>
    <row r="3904" spans="1:26" ht="9.9499999999999993" customHeight="1" thickBot="1" x14ac:dyDescent="0.35">
      <c r="B3904" s="9"/>
      <c r="C3904" s="109"/>
      <c r="D3904" s="51"/>
      <c r="E3904" s="12"/>
      <c r="F3904" s="51"/>
      <c r="G3904" s="14"/>
      <c r="H3904" s="14"/>
      <c r="I3904" s="14"/>
      <c r="J3904" s="14"/>
      <c r="K3904" s="14"/>
      <c r="L3904" s="14"/>
      <c r="M3904" s="9"/>
      <c r="N3904" s="32"/>
      <c r="U3904" s="18"/>
      <c r="V3904" s="18"/>
      <c r="Z3904" s="85" t="s">
        <v>82</v>
      </c>
    </row>
    <row r="3905" spans="1:26" ht="6.95" customHeight="1" x14ac:dyDescent="0.3">
      <c r="A3905" s="154">
        <f>+A3894+1</f>
        <v>1154</v>
      </c>
      <c r="B3905" s="155"/>
      <c r="C3905" s="156"/>
      <c r="D3905" s="161" t="s">
        <v>39</v>
      </c>
      <c r="E3905" s="162"/>
      <c r="F3905" s="163" t="s">
        <v>40</v>
      </c>
      <c r="G3905" s="164"/>
      <c r="H3905" s="165"/>
      <c r="I3905" s="164"/>
      <c r="J3905" s="165"/>
      <c r="K3905" s="164"/>
      <c r="L3905" s="165"/>
      <c r="M3905" s="6"/>
      <c r="N3905" s="32"/>
      <c r="Q3905" s="10" t="str">
        <f>+CONCATENATE(E3905,G3905)</f>
        <v/>
      </c>
      <c r="R3905" s="10">
        <f>+H3905</f>
        <v>0</v>
      </c>
      <c r="S3905" s="11"/>
      <c r="T3905" s="10">
        <f>+E3905</f>
        <v>0</v>
      </c>
      <c r="U3905" s="19" t="str">
        <f>IFERROR(LEFT(G3905,FIND("*",G3905)-1),"-")</f>
        <v>-</v>
      </c>
      <c r="V3905" s="19" t="str">
        <f>IFERROR(RIGHT(G3905,LEN(G3905)-FIND("*",G3905)),"-")</f>
        <v>-</v>
      </c>
      <c r="W3905" s="20" t="str">
        <f>IFERROR((U3905+V3905)*2/1000,"-")</f>
        <v>-</v>
      </c>
      <c r="X3905" s="20" t="str">
        <f>IFERROR(W3905*H3905,"-")</f>
        <v>-</v>
      </c>
      <c r="Z3905" s="85" t="s">
        <v>82</v>
      </c>
    </row>
    <row r="3906" spans="1:26" ht="6.95" customHeight="1" x14ac:dyDescent="0.3">
      <c r="A3906" s="154"/>
      <c r="B3906" s="157"/>
      <c r="C3906" s="158"/>
      <c r="D3906" s="161"/>
      <c r="E3906" s="162"/>
      <c r="F3906" s="163"/>
      <c r="G3906" s="164"/>
      <c r="H3906" s="165"/>
      <c r="I3906" s="164"/>
      <c r="J3906" s="165"/>
      <c r="K3906" s="164"/>
      <c r="L3906" s="165"/>
      <c r="M3906" s="6"/>
      <c r="N3906" s="32"/>
      <c r="Q3906" s="10" t="str">
        <f>+CONCATENATE(E3905,I3905)</f>
        <v/>
      </c>
      <c r="R3906" s="10">
        <f>+J3905</f>
        <v>0</v>
      </c>
      <c r="S3906" s="11"/>
      <c r="T3906" s="10">
        <f>+E3905</f>
        <v>0</v>
      </c>
      <c r="U3906" s="19" t="str">
        <f>IFERROR(LEFT(I3905,FIND("*",I3905)-1),"-")</f>
        <v>-</v>
      </c>
      <c r="V3906" s="19" t="str">
        <f>IFERROR(RIGHT(I3905,LEN(I3905)-FIND("*",I3905)),"-")</f>
        <v>-</v>
      </c>
      <c r="W3906" s="20" t="str">
        <f t="shared" ref="W3906:W3913" si="2122">IFERROR((U3906+V3906)*2/1000,"-")</f>
        <v>-</v>
      </c>
      <c r="X3906" s="20" t="str">
        <f>IFERROR(W3906*J3905,"-")</f>
        <v>-</v>
      </c>
      <c r="Z3906" s="85" t="s">
        <v>82</v>
      </c>
    </row>
    <row r="3907" spans="1:26" ht="6.95" customHeight="1" x14ac:dyDescent="0.3">
      <c r="A3907" s="154"/>
      <c r="B3907" s="157"/>
      <c r="C3907" s="158"/>
      <c r="D3907" s="161"/>
      <c r="E3907" s="162"/>
      <c r="F3907" s="163"/>
      <c r="G3907" s="164"/>
      <c r="H3907" s="165"/>
      <c r="I3907" s="164"/>
      <c r="J3907" s="165"/>
      <c r="K3907" s="164"/>
      <c r="L3907" s="165"/>
      <c r="M3907" s="6"/>
      <c r="N3907" s="32"/>
      <c r="Q3907" s="10" t="str">
        <f>+CONCATENATE(E3905,K3905)</f>
        <v/>
      </c>
      <c r="R3907" s="10">
        <f>+L3905</f>
        <v>0</v>
      </c>
      <c r="S3907" s="11"/>
      <c r="T3907" s="10">
        <f>+E3905</f>
        <v>0</v>
      </c>
      <c r="U3907" s="19" t="str">
        <f>IFERROR(LEFT(K3905,FIND("*",K3905)-1),"-")</f>
        <v>-</v>
      </c>
      <c r="V3907" s="19" t="str">
        <f>IFERROR(RIGHT(K3905,LEN(K3905)-FIND("*",K3905)),"-")</f>
        <v>-</v>
      </c>
      <c r="W3907" s="20" t="str">
        <f t="shared" si="2122"/>
        <v>-</v>
      </c>
      <c r="X3907" s="20" t="str">
        <f>IFERROR(W3907*L3905,"-")</f>
        <v>-</v>
      </c>
      <c r="Z3907" s="85" t="s">
        <v>82</v>
      </c>
    </row>
    <row r="3908" spans="1:26" ht="6.95" customHeight="1" x14ac:dyDescent="0.3">
      <c r="A3908" s="8"/>
      <c r="B3908" s="157"/>
      <c r="C3908" s="158"/>
      <c r="D3908" s="161" t="s">
        <v>39</v>
      </c>
      <c r="E3908" s="162"/>
      <c r="F3908" s="163" t="s">
        <v>40</v>
      </c>
      <c r="G3908" s="164"/>
      <c r="H3908" s="165"/>
      <c r="I3908" s="164"/>
      <c r="J3908" s="165"/>
      <c r="K3908" s="164"/>
      <c r="L3908" s="165"/>
      <c r="M3908" s="6"/>
      <c r="N3908" s="32"/>
      <c r="Q3908" s="10" t="str">
        <f>+CONCATENATE(E3908,G3908)</f>
        <v/>
      </c>
      <c r="R3908" s="10">
        <f>+H3908</f>
        <v>0</v>
      </c>
      <c r="S3908" s="11"/>
      <c r="T3908" s="10">
        <f>+E3908</f>
        <v>0</v>
      </c>
      <c r="U3908" s="19" t="str">
        <f t="shared" ref="U3908" si="2123">IFERROR(LEFT(G3908,FIND("*",G3908)-1),"-")</f>
        <v>-</v>
      </c>
      <c r="V3908" s="19" t="str">
        <f t="shared" ref="V3908" si="2124">IFERROR(RIGHT(G3908,LEN(G3908)-FIND("*",G3908)),"-")</f>
        <v>-</v>
      </c>
      <c r="W3908" s="20" t="str">
        <f t="shared" si="2122"/>
        <v>-</v>
      </c>
      <c r="X3908" s="20" t="str">
        <f>IFERROR(W3908*H3908,"-")</f>
        <v>-</v>
      </c>
      <c r="Z3908" s="85" t="s">
        <v>82</v>
      </c>
    </row>
    <row r="3909" spans="1:26" ht="6.95" customHeight="1" x14ac:dyDescent="0.3">
      <c r="A3909" s="5"/>
      <c r="B3909" s="157"/>
      <c r="C3909" s="158"/>
      <c r="D3909" s="161"/>
      <c r="E3909" s="162"/>
      <c r="F3909" s="163"/>
      <c r="G3909" s="164"/>
      <c r="H3909" s="165"/>
      <c r="I3909" s="164"/>
      <c r="J3909" s="165"/>
      <c r="K3909" s="164"/>
      <c r="L3909" s="165"/>
      <c r="M3909" s="6"/>
      <c r="N3909" s="32"/>
      <c r="Q3909" s="10" t="str">
        <f>+CONCATENATE(E3908,I3908)</f>
        <v/>
      </c>
      <c r="R3909" s="10">
        <f>+J3908</f>
        <v>0</v>
      </c>
      <c r="S3909" s="11"/>
      <c r="T3909" s="10">
        <f>+E3908</f>
        <v>0</v>
      </c>
      <c r="U3909" s="19" t="str">
        <f>IFERROR(LEFT(I3908,FIND("*",I3908)-1),"-")</f>
        <v>-</v>
      </c>
      <c r="V3909" s="19" t="str">
        <f>IFERROR(RIGHT(I3908,LEN(I3908)-FIND("*",I3908)),"-")</f>
        <v>-</v>
      </c>
      <c r="W3909" s="20" t="str">
        <f t="shared" si="2122"/>
        <v>-</v>
      </c>
      <c r="X3909" s="20" t="str">
        <f>IFERROR(W3909*J3908,"-")</f>
        <v>-</v>
      </c>
      <c r="Z3909" s="85" t="s">
        <v>82</v>
      </c>
    </row>
    <row r="3910" spans="1:26" ht="6.95" customHeight="1" x14ac:dyDescent="0.3">
      <c r="A3910" s="5"/>
      <c r="B3910" s="157"/>
      <c r="C3910" s="158"/>
      <c r="D3910" s="161"/>
      <c r="E3910" s="162"/>
      <c r="F3910" s="163"/>
      <c r="G3910" s="164"/>
      <c r="H3910" s="165"/>
      <c r="I3910" s="164"/>
      <c r="J3910" s="165"/>
      <c r="K3910" s="164"/>
      <c r="L3910" s="165"/>
      <c r="M3910" s="6"/>
      <c r="N3910" s="32"/>
      <c r="Q3910" s="10" t="str">
        <f>+CONCATENATE(E3908,K3908)</f>
        <v/>
      </c>
      <c r="R3910" s="10">
        <f>+L3908</f>
        <v>0</v>
      </c>
      <c r="S3910" s="11"/>
      <c r="T3910" s="10">
        <f>+E3908</f>
        <v>0</v>
      </c>
      <c r="U3910" s="19" t="str">
        <f>IFERROR(LEFT(K3908,FIND("*",K3908)-1),"-")</f>
        <v>-</v>
      </c>
      <c r="V3910" s="19" t="str">
        <f>IFERROR(RIGHT(K3908,LEN(K3908)-FIND("*",K3908)),"-")</f>
        <v>-</v>
      </c>
      <c r="W3910" s="20" t="str">
        <f t="shared" si="2122"/>
        <v>-</v>
      </c>
      <c r="X3910" s="20" t="str">
        <f>IFERROR(W3910*L3908,"-")</f>
        <v>-</v>
      </c>
      <c r="Z3910" s="85" t="s">
        <v>82</v>
      </c>
    </row>
    <row r="3911" spans="1:26" ht="6.95" customHeight="1" x14ac:dyDescent="0.3">
      <c r="A3911" s="8"/>
      <c r="B3911" s="157"/>
      <c r="C3911" s="158"/>
      <c r="D3911" s="161" t="s">
        <v>39</v>
      </c>
      <c r="E3911" s="162"/>
      <c r="F3911" s="163" t="s">
        <v>40</v>
      </c>
      <c r="G3911" s="164"/>
      <c r="H3911" s="165"/>
      <c r="I3911" s="164"/>
      <c r="J3911" s="165"/>
      <c r="K3911" s="164"/>
      <c r="L3911" s="165"/>
      <c r="M3911" s="6"/>
      <c r="N3911" s="32"/>
      <c r="Q3911" s="10" t="str">
        <f>+CONCATENATE(E3911,G3911)</f>
        <v/>
      </c>
      <c r="R3911" s="10">
        <f>+H3911</f>
        <v>0</v>
      </c>
      <c r="S3911" s="11"/>
      <c r="T3911" s="10">
        <f>+E3911</f>
        <v>0</v>
      </c>
      <c r="U3911" s="19" t="str">
        <f t="shared" ref="U3911" si="2125">IFERROR(LEFT(G3911,FIND("*",G3911)-1),"-")</f>
        <v>-</v>
      </c>
      <c r="V3911" s="19" t="str">
        <f t="shared" ref="V3911" si="2126">IFERROR(RIGHT(G3911,LEN(G3911)-FIND("*",G3911)),"-")</f>
        <v>-</v>
      </c>
      <c r="W3911" s="20" t="str">
        <f t="shared" si="2122"/>
        <v>-</v>
      </c>
      <c r="X3911" s="20" t="str">
        <f>IFERROR(W3911*H3911,"-")</f>
        <v>-</v>
      </c>
      <c r="Z3911" s="85" t="s">
        <v>82</v>
      </c>
    </row>
    <row r="3912" spans="1:26" ht="6.95" customHeight="1" x14ac:dyDescent="0.3">
      <c r="A3912" s="5"/>
      <c r="B3912" s="157"/>
      <c r="C3912" s="158"/>
      <c r="D3912" s="161"/>
      <c r="E3912" s="162"/>
      <c r="F3912" s="163"/>
      <c r="G3912" s="164"/>
      <c r="H3912" s="165"/>
      <c r="I3912" s="164"/>
      <c r="J3912" s="165"/>
      <c r="K3912" s="164"/>
      <c r="L3912" s="165"/>
      <c r="M3912" s="6"/>
      <c r="N3912" s="32"/>
      <c r="Q3912" s="10" t="str">
        <f>+CONCATENATE(E3911,I3911)</f>
        <v/>
      </c>
      <c r="R3912" s="10">
        <f>+J3911</f>
        <v>0</v>
      </c>
      <c r="S3912" s="11"/>
      <c r="T3912" s="10">
        <f>+E3911</f>
        <v>0</v>
      </c>
      <c r="U3912" s="19" t="str">
        <f>IFERROR(LEFT(I3911,FIND("*",I3911)-1),"-")</f>
        <v>-</v>
      </c>
      <c r="V3912" s="19" t="str">
        <f>IFERROR(RIGHT(I3911,LEN(I3911)-FIND("*",I3911)),"-")</f>
        <v>-</v>
      </c>
      <c r="W3912" s="20" t="str">
        <f t="shared" si="2122"/>
        <v>-</v>
      </c>
      <c r="X3912" s="20" t="str">
        <f t="shared" ref="X3912" si="2127">IFERROR(W3912*J3911,"-")</f>
        <v>-</v>
      </c>
      <c r="Z3912" s="85" t="s">
        <v>82</v>
      </c>
    </row>
    <row r="3913" spans="1:26" ht="6.95" customHeight="1" x14ac:dyDescent="0.3">
      <c r="A3913" s="5"/>
      <c r="B3913" s="157"/>
      <c r="C3913" s="158"/>
      <c r="D3913" s="161"/>
      <c r="E3913" s="162"/>
      <c r="F3913" s="163"/>
      <c r="G3913" s="164"/>
      <c r="H3913" s="165"/>
      <c r="I3913" s="164"/>
      <c r="J3913" s="165"/>
      <c r="K3913" s="164"/>
      <c r="L3913" s="165"/>
      <c r="M3913" s="6"/>
      <c r="N3913" s="32"/>
      <c r="Q3913" s="10" t="str">
        <f>+CONCATENATE(E3911,K3911)</f>
        <v/>
      </c>
      <c r="R3913" s="10">
        <f>+L3911</f>
        <v>0</v>
      </c>
      <c r="S3913" s="11"/>
      <c r="T3913" s="10">
        <f>+E3911</f>
        <v>0</v>
      </c>
      <c r="U3913" s="19" t="str">
        <f>IFERROR(LEFT(K3911,FIND("*",K3911)-1),"-")</f>
        <v>-</v>
      </c>
      <c r="V3913" s="19" t="str">
        <f>IFERROR(RIGHT(K3911,LEN(K3911)-FIND("*",K3911)),"-")</f>
        <v>-</v>
      </c>
      <c r="W3913" s="20" t="str">
        <f t="shared" si="2122"/>
        <v>-</v>
      </c>
      <c r="X3913" s="20" t="str">
        <f>IFERROR(W3913*L3911,"-")</f>
        <v>-</v>
      </c>
      <c r="Z3913" s="85" t="s">
        <v>82</v>
      </c>
    </row>
    <row r="3914" spans="1:26" ht="21" customHeight="1" thickBot="1" x14ac:dyDescent="0.35">
      <c r="A3914" s="5"/>
      <c r="B3914" s="159"/>
      <c r="C3914" s="160"/>
      <c r="D3914" s="166" t="s">
        <v>43</v>
      </c>
      <c r="E3914" s="167"/>
      <c r="F3914" s="167"/>
      <c r="G3914" s="168"/>
      <c r="H3914" s="168"/>
      <c r="I3914" s="168"/>
      <c r="J3914" s="168"/>
      <c r="K3914" s="168"/>
      <c r="L3914" s="168"/>
      <c r="M3914" s="7"/>
      <c r="N3914" s="32"/>
      <c r="Z3914" s="86" t="s">
        <v>81</v>
      </c>
    </row>
    <row r="3915" spans="1:26" ht="9.9499999999999993" customHeight="1" thickBot="1" x14ac:dyDescent="0.35">
      <c r="B3915" s="9"/>
      <c r="C3915" s="109"/>
      <c r="D3915" s="51"/>
      <c r="E3915" s="12"/>
      <c r="F3915" s="51"/>
      <c r="G3915" s="14"/>
      <c r="H3915" s="14"/>
      <c r="I3915" s="14"/>
      <c r="J3915" s="14"/>
      <c r="K3915" s="14"/>
      <c r="L3915" s="14"/>
      <c r="M3915" s="9"/>
      <c r="N3915" s="32"/>
      <c r="U3915" s="18"/>
      <c r="V3915" s="18"/>
      <c r="Z3915" s="85" t="s">
        <v>82</v>
      </c>
    </row>
    <row r="3916" spans="1:26" ht="6.95" customHeight="1" x14ac:dyDescent="0.3">
      <c r="A3916" s="154">
        <f>+A3905+1</f>
        <v>1155</v>
      </c>
      <c r="B3916" s="155"/>
      <c r="C3916" s="156"/>
      <c r="D3916" s="161" t="s">
        <v>39</v>
      </c>
      <c r="E3916" s="162"/>
      <c r="F3916" s="163" t="s">
        <v>40</v>
      </c>
      <c r="G3916" s="164"/>
      <c r="H3916" s="165"/>
      <c r="I3916" s="164"/>
      <c r="J3916" s="165"/>
      <c r="K3916" s="164"/>
      <c r="L3916" s="165"/>
      <c r="M3916" s="6"/>
      <c r="N3916" s="32"/>
      <c r="Q3916" s="10" t="str">
        <f>+CONCATENATE(E3916,G3916)</f>
        <v/>
      </c>
      <c r="R3916" s="10">
        <f>+H3916</f>
        <v>0</v>
      </c>
      <c r="S3916" s="11"/>
      <c r="T3916" s="10">
        <f>+E3916</f>
        <v>0</v>
      </c>
      <c r="U3916" s="19" t="str">
        <f>IFERROR(LEFT(G3916,FIND("*",G3916)-1),"-")</f>
        <v>-</v>
      </c>
      <c r="V3916" s="19" t="str">
        <f>IFERROR(RIGHT(G3916,LEN(G3916)-FIND("*",G3916)),"-")</f>
        <v>-</v>
      </c>
      <c r="W3916" s="20" t="str">
        <f>IFERROR((U3916+V3916)*2/1000,"-")</f>
        <v>-</v>
      </c>
      <c r="X3916" s="20" t="str">
        <f>IFERROR(W3916*H3916,"-")</f>
        <v>-</v>
      </c>
      <c r="Z3916" s="85" t="s">
        <v>82</v>
      </c>
    </row>
    <row r="3917" spans="1:26" ht="6.95" customHeight="1" x14ac:dyDescent="0.3">
      <c r="A3917" s="154"/>
      <c r="B3917" s="157"/>
      <c r="C3917" s="158"/>
      <c r="D3917" s="161"/>
      <c r="E3917" s="162"/>
      <c r="F3917" s="163"/>
      <c r="G3917" s="164"/>
      <c r="H3917" s="165"/>
      <c r="I3917" s="164"/>
      <c r="J3917" s="165"/>
      <c r="K3917" s="164"/>
      <c r="L3917" s="165"/>
      <c r="M3917" s="6"/>
      <c r="N3917" s="32"/>
      <c r="Q3917" s="10" t="str">
        <f>+CONCATENATE(E3916,I3916)</f>
        <v/>
      </c>
      <c r="R3917" s="10">
        <f>+J3916</f>
        <v>0</v>
      </c>
      <c r="S3917" s="11"/>
      <c r="T3917" s="10">
        <f>+E3916</f>
        <v>0</v>
      </c>
      <c r="U3917" s="19" t="str">
        <f>IFERROR(LEFT(I3916,FIND("*",I3916)-1),"-")</f>
        <v>-</v>
      </c>
      <c r="V3917" s="19" t="str">
        <f>IFERROR(RIGHT(I3916,LEN(I3916)-FIND("*",I3916)),"-")</f>
        <v>-</v>
      </c>
      <c r="W3917" s="20" t="str">
        <f t="shared" ref="W3917:W3924" si="2128">IFERROR((U3917+V3917)*2/1000,"-")</f>
        <v>-</v>
      </c>
      <c r="X3917" s="20" t="str">
        <f>IFERROR(W3917*J3916,"-")</f>
        <v>-</v>
      </c>
      <c r="Z3917" s="85" t="s">
        <v>82</v>
      </c>
    </row>
    <row r="3918" spans="1:26" ht="6.95" customHeight="1" x14ac:dyDescent="0.3">
      <c r="A3918" s="154"/>
      <c r="B3918" s="157"/>
      <c r="C3918" s="158"/>
      <c r="D3918" s="161"/>
      <c r="E3918" s="162"/>
      <c r="F3918" s="163"/>
      <c r="G3918" s="164"/>
      <c r="H3918" s="165"/>
      <c r="I3918" s="164"/>
      <c r="J3918" s="165"/>
      <c r="K3918" s="164"/>
      <c r="L3918" s="165"/>
      <c r="M3918" s="6"/>
      <c r="N3918" s="32"/>
      <c r="Q3918" s="10" t="str">
        <f>+CONCATENATE(E3916,K3916)</f>
        <v/>
      </c>
      <c r="R3918" s="10">
        <f>+L3916</f>
        <v>0</v>
      </c>
      <c r="S3918" s="11"/>
      <c r="T3918" s="10">
        <f>+E3916</f>
        <v>0</v>
      </c>
      <c r="U3918" s="19" t="str">
        <f>IFERROR(LEFT(K3916,FIND("*",K3916)-1),"-")</f>
        <v>-</v>
      </c>
      <c r="V3918" s="19" t="str">
        <f>IFERROR(RIGHT(K3916,LEN(K3916)-FIND("*",K3916)),"-")</f>
        <v>-</v>
      </c>
      <c r="W3918" s="20" t="str">
        <f t="shared" si="2128"/>
        <v>-</v>
      </c>
      <c r="X3918" s="20" t="str">
        <f>IFERROR(W3918*L3916,"-")</f>
        <v>-</v>
      </c>
      <c r="Z3918" s="85" t="s">
        <v>82</v>
      </c>
    </row>
    <row r="3919" spans="1:26" ht="6.95" customHeight="1" x14ac:dyDescent="0.3">
      <c r="A3919" s="8"/>
      <c r="B3919" s="157"/>
      <c r="C3919" s="158"/>
      <c r="D3919" s="161" t="s">
        <v>39</v>
      </c>
      <c r="E3919" s="162"/>
      <c r="F3919" s="163" t="s">
        <v>40</v>
      </c>
      <c r="G3919" s="164"/>
      <c r="H3919" s="165"/>
      <c r="I3919" s="164"/>
      <c r="J3919" s="165"/>
      <c r="K3919" s="164"/>
      <c r="L3919" s="165"/>
      <c r="M3919" s="6"/>
      <c r="N3919" s="32"/>
      <c r="Q3919" s="10" t="str">
        <f>+CONCATENATE(E3919,G3919)</f>
        <v/>
      </c>
      <c r="R3919" s="10">
        <f>+H3919</f>
        <v>0</v>
      </c>
      <c r="S3919" s="11"/>
      <c r="T3919" s="10">
        <f>+E3919</f>
        <v>0</v>
      </c>
      <c r="U3919" s="19" t="str">
        <f t="shared" ref="U3919" si="2129">IFERROR(LEFT(G3919,FIND("*",G3919)-1),"-")</f>
        <v>-</v>
      </c>
      <c r="V3919" s="19" t="str">
        <f t="shared" ref="V3919" si="2130">IFERROR(RIGHT(G3919,LEN(G3919)-FIND("*",G3919)),"-")</f>
        <v>-</v>
      </c>
      <c r="W3919" s="20" t="str">
        <f t="shared" si="2128"/>
        <v>-</v>
      </c>
      <c r="X3919" s="20" t="str">
        <f>IFERROR(W3919*H3919,"-")</f>
        <v>-</v>
      </c>
      <c r="Z3919" s="85" t="s">
        <v>82</v>
      </c>
    </row>
    <row r="3920" spans="1:26" ht="6.95" customHeight="1" x14ac:dyDescent="0.3">
      <c r="A3920" s="5"/>
      <c r="B3920" s="157"/>
      <c r="C3920" s="158"/>
      <c r="D3920" s="161"/>
      <c r="E3920" s="162"/>
      <c r="F3920" s="163"/>
      <c r="G3920" s="164"/>
      <c r="H3920" s="165"/>
      <c r="I3920" s="164"/>
      <c r="J3920" s="165"/>
      <c r="K3920" s="164"/>
      <c r="L3920" s="165"/>
      <c r="M3920" s="6"/>
      <c r="N3920" s="32"/>
      <c r="Q3920" s="10" t="str">
        <f>+CONCATENATE(E3919,I3919)</f>
        <v/>
      </c>
      <c r="R3920" s="10">
        <f>+J3919</f>
        <v>0</v>
      </c>
      <c r="S3920" s="11"/>
      <c r="T3920" s="10">
        <f>+E3919</f>
        <v>0</v>
      </c>
      <c r="U3920" s="19" t="str">
        <f>IFERROR(LEFT(I3919,FIND("*",I3919)-1),"-")</f>
        <v>-</v>
      </c>
      <c r="V3920" s="19" t="str">
        <f>IFERROR(RIGHT(I3919,LEN(I3919)-FIND("*",I3919)),"-")</f>
        <v>-</v>
      </c>
      <c r="W3920" s="20" t="str">
        <f t="shared" si="2128"/>
        <v>-</v>
      </c>
      <c r="X3920" s="20" t="str">
        <f>IFERROR(W3920*J3919,"-")</f>
        <v>-</v>
      </c>
      <c r="Z3920" s="85" t="s">
        <v>82</v>
      </c>
    </row>
    <row r="3921" spans="1:26" ht="6.95" customHeight="1" x14ac:dyDescent="0.3">
      <c r="A3921" s="5"/>
      <c r="B3921" s="157"/>
      <c r="C3921" s="158"/>
      <c r="D3921" s="161"/>
      <c r="E3921" s="162"/>
      <c r="F3921" s="163"/>
      <c r="G3921" s="164"/>
      <c r="H3921" s="165"/>
      <c r="I3921" s="164"/>
      <c r="J3921" s="165"/>
      <c r="K3921" s="164"/>
      <c r="L3921" s="165"/>
      <c r="M3921" s="6"/>
      <c r="N3921" s="32"/>
      <c r="Q3921" s="10" t="str">
        <f>+CONCATENATE(E3919,K3919)</f>
        <v/>
      </c>
      <c r="R3921" s="10">
        <f>+L3919</f>
        <v>0</v>
      </c>
      <c r="S3921" s="11"/>
      <c r="T3921" s="10">
        <f>+E3919</f>
        <v>0</v>
      </c>
      <c r="U3921" s="19" t="str">
        <f>IFERROR(LEFT(K3919,FIND("*",K3919)-1),"-")</f>
        <v>-</v>
      </c>
      <c r="V3921" s="19" t="str">
        <f>IFERROR(RIGHT(K3919,LEN(K3919)-FIND("*",K3919)),"-")</f>
        <v>-</v>
      </c>
      <c r="W3921" s="20" t="str">
        <f t="shared" si="2128"/>
        <v>-</v>
      </c>
      <c r="X3921" s="20" t="str">
        <f>IFERROR(W3921*L3919,"-")</f>
        <v>-</v>
      </c>
      <c r="Z3921" s="85" t="s">
        <v>82</v>
      </c>
    </row>
    <row r="3922" spans="1:26" ht="6.95" customHeight="1" x14ac:dyDescent="0.3">
      <c r="A3922" s="8"/>
      <c r="B3922" s="157"/>
      <c r="C3922" s="158"/>
      <c r="D3922" s="161" t="s">
        <v>39</v>
      </c>
      <c r="E3922" s="162"/>
      <c r="F3922" s="163" t="s">
        <v>40</v>
      </c>
      <c r="G3922" s="164"/>
      <c r="H3922" s="165"/>
      <c r="I3922" s="164"/>
      <c r="J3922" s="165"/>
      <c r="K3922" s="164"/>
      <c r="L3922" s="165"/>
      <c r="M3922" s="6"/>
      <c r="N3922" s="32"/>
      <c r="Q3922" s="10" t="str">
        <f>+CONCATENATE(E3922,G3922)</f>
        <v/>
      </c>
      <c r="R3922" s="10">
        <f>+H3922</f>
        <v>0</v>
      </c>
      <c r="S3922" s="11"/>
      <c r="T3922" s="10">
        <f>+E3922</f>
        <v>0</v>
      </c>
      <c r="U3922" s="19" t="str">
        <f t="shared" ref="U3922" si="2131">IFERROR(LEFT(G3922,FIND("*",G3922)-1),"-")</f>
        <v>-</v>
      </c>
      <c r="V3922" s="19" t="str">
        <f t="shared" ref="V3922" si="2132">IFERROR(RIGHT(G3922,LEN(G3922)-FIND("*",G3922)),"-")</f>
        <v>-</v>
      </c>
      <c r="W3922" s="20" t="str">
        <f t="shared" si="2128"/>
        <v>-</v>
      </c>
      <c r="X3922" s="20" t="str">
        <f>IFERROR(W3922*H3922,"-")</f>
        <v>-</v>
      </c>
      <c r="Z3922" s="85" t="s">
        <v>82</v>
      </c>
    </row>
    <row r="3923" spans="1:26" ht="6.95" customHeight="1" x14ac:dyDescent="0.3">
      <c r="A3923" s="5"/>
      <c r="B3923" s="157"/>
      <c r="C3923" s="158"/>
      <c r="D3923" s="161"/>
      <c r="E3923" s="162"/>
      <c r="F3923" s="163"/>
      <c r="G3923" s="164"/>
      <c r="H3923" s="165"/>
      <c r="I3923" s="164"/>
      <c r="J3923" s="165"/>
      <c r="K3923" s="164"/>
      <c r="L3923" s="165"/>
      <c r="M3923" s="6"/>
      <c r="N3923" s="32"/>
      <c r="Q3923" s="10" t="str">
        <f>+CONCATENATE(E3922,I3922)</f>
        <v/>
      </c>
      <c r="R3923" s="10">
        <f>+J3922</f>
        <v>0</v>
      </c>
      <c r="S3923" s="11"/>
      <c r="T3923" s="10">
        <f>+E3922</f>
        <v>0</v>
      </c>
      <c r="U3923" s="19" t="str">
        <f>IFERROR(LEFT(I3922,FIND("*",I3922)-1),"-")</f>
        <v>-</v>
      </c>
      <c r="V3923" s="19" t="str">
        <f>IFERROR(RIGHT(I3922,LEN(I3922)-FIND("*",I3922)),"-")</f>
        <v>-</v>
      </c>
      <c r="W3923" s="20" t="str">
        <f t="shared" si="2128"/>
        <v>-</v>
      </c>
      <c r="X3923" s="20" t="str">
        <f t="shared" ref="X3923" si="2133">IFERROR(W3923*J3922,"-")</f>
        <v>-</v>
      </c>
      <c r="Z3923" s="85" t="s">
        <v>82</v>
      </c>
    </row>
    <row r="3924" spans="1:26" ht="6.95" customHeight="1" x14ac:dyDescent="0.3">
      <c r="A3924" s="5"/>
      <c r="B3924" s="157"/>
      <c r="C3924" s="158"/>
      <c r="D3924" s="161"/>
      <c r="E3924" s="162"/>
      <c r="F3924" s="163"/>
      <c r="G3924" s="164"/>
      <c r="H3924" s="165"/>
      <c r="I3924" s="164"/>
      <c r="J3924" s="165"/>
      <c r="K3924" s="164"/>
      <c r="L3924" s="165"/>
      <c r="M3924" s="6"/>
      <c r="N3924" s="32"/>
      <c r="Q3924" s="10" t="str">
        <f>+CONCATENATE(E3922,K3922)</f>
        <v/>
      </c>
      <c r="R3924" s="10">
        <f>+L3922</f>
        <v>0</v>
      </c>
      <c r="S3924" s="11"/>
      <c r="T3924" s="10">
        <f>+E3922</f>
        <v>0</v>
      </c>
      <c r="U3924" s="19" t="str">
        <f>IFERROR(LEFT(K3922,FIND("*",K3922)-1),"-")</f>
        <v>-</v>
      </c>
      <c r="V3924" s="19" t="str">
        <f>IFERROR(RIGHT(K3922,LEN(K3922)-FIND("*",K3922)),"-")</f>
        <v>-</v>
      </c>
      <c r="W3924" s="20" t="str">
        <f t="shared" si="2128"/>
        <v>-</v>
      </c>
      <c r="X3924" s="20" t="str">
        <f>IFERROR(W3924*L3922,"-")</f>
        <v>-</v>
      </c>
      <c r="Z3924" s="85" t="s">
        <v>82</v>
      </c>
    </row>
    <row r="3925" spans="1:26" ht="21" customHeight="1" thickBot="1" x14ac:dyDescent="0.35">
      <c r="A3925" s="5"/>
      <c r="B3925" s="159"/>
      <c r="C3925" s="160"/>
      <c r="D3925" s="166" t="s">
        <v>43</v>
      </c>
      <c r="E3925" s="167"/>
      <c r="F3925" s="167"/>
      <c r="G3925" s="168"/>
      <c r="H3925" s="168"/>
      <c r="I3925" s="168"/>
      <c r="J3925" s="168"/>
      <c r="K3925" s="168"/>
      <c r="L3925" s="168"/>
      <c r="M3925" s="7"/>
      <c r="N3925" s="32"/>
      <c r="Z3925" s="86" t="s">
        <v>81</v>
      </c>
    </row>
    <row r="3926" spans="1:26" ht="9.9499999999999993" customHeight="1" thickBot="1" x14ac:dyDescent="0.35">
      <c r="B3926" s="9"/>
      <c r="C3926" s="109"/>
      <c r="D3926" s="51"/>
      <c r="E3926" s="12"/>
      <c r="F3926" s="51"/>
      <c r="G3926" s="14"/>
      <c r="H3926" s="14"/>
      <c r="I3926" s="14"/>
      <c r="J3926" s="14"/>
      <c r="K3926" s="14"/>
      <c r="L3926" s="14"/>
      <c r="M3926" s="9"/>
      <c r="N3926" s="32"/>
      <c r="U3926" s="18"/>
      <c r="V3926" s="18"/>
      <c r="Z3926" s="85" t="s">
        <v>82</v>
      </c>
    </row>
    <row r="3927" spans="1:26" ht="6.95" customHeight="1" x14ac:dyDescent="0.3">
      <c r="A3927" s="154">
        <f>+A3916+1</f>
        <v>1156</v>
      </c>
      <c r="B3927" s="155"/>
      <c r="C3927" s="156"/>
      <c r="D3927" s="161" t="s">
        <v>39</v>
      </c>
      <c r="E3927" s="162"/>
      <c r="F3927" s="163" t="s">
        <v>40</v>
      </c>
      <c r="G3927" s="164"/>
      <c r="H3927" s="165"/>
      <c r="I3927" s="164"/>
      <c r="J3927" s="165"/>
      <c r="K3927" s="164"/>
      <c r="L3927" s="165"/>
      <c r="M3927" s="6"/>
      <c r="N3927" s="32"/>
      <c r="Q3927" s="10" t="str">
        <f>+CONCATENATE(E3927,G3927)</f>
        <v/>
      </c>
      <c r="R3927" s="10">
        <f>+H3927</f>
        <v>0</v>
      </c>
      <c r="S3927" s="11"/>
      <c r="T3927" s="10">
        <f>+E3927</f>
        <v>0</v>
      </c>
      <c r="U3927" s="19" t="str">
        <f>IFERROR(LEFT(G3927,FIND("*",G3927)-1),"-")</f>
        <v>-</v>
      </c>
      <c r="V3927" s="19" t="str">
        <f>IFERROR(RIGHT(G3927,LEN(G3927)-FIND("*",G3927)),"-")</f>
        <v>-</v>
      </c>
      <c r="W3927" s="20" t="str">
        <f>IFERROR((U3927+V3927)*2/1000,"-")</f>
        <v>-</v>
      </c>
      <c r="X3927" s="20" t="str">
        <f>IFERROR(W3927*H3927,"-")</f>
        <v>-</v>
      </c>
      <c r="Z3927" s="85" t="s">
        <v>82</v>
      </c>
    </row>
    <row r="3928" spans="1:26" ht="6.95" customHeight="1" x14ac:dyDescent="0.3">
      <c r="A3928" s="154"/>
      <c r="B3928" s="157"/>
      <c r="C3928" s="158"/>
      <c r="D3928" s="161"/>
      <c r="E3928" s="162"/>
      <c r="F3928" s="163"/>
      <c r="G3928" s="164"/>
      <c r="H3928" s="165"/>
      <c r="I3928" s="164"/>
      <c r="J3928" s="165"/>
      <c r="K3928" s="164"/>
      <c r="L3928" s="165"/>
      <c r="M3928" s="6"/>
      <c r="N3928" s="32"/>
      <c r="Q3928" s="10" t="str">
        <f>+CONCATENATE(E3927,I3927)</f>
        <v/>
      </c>
      <c r="R3928" s="10">
        <f>+J3927</f>
        <v>0</v>
      </c>
      <c r="S3928" s="11"/>
      <c r="T3928" s="10">
        <f>+E3927</f>
        <v>0</v>
      </c>
      <c r="U3928" s="19" t="str">
        <f>IFERROR(LEFT(I3927,FIND("*",I3927)-1),"-")</f>
        <v>-</v>
      </c>
      <c r="V3928" s="19" t="str">
        <f>IFERROR(RIGHT(I3927,LEN(I3927)-FIND("*",I3927)),"-")</f>
        <v>-</v>
      </c>
      <c r="W3928" s="20" t="str">
        <f t="shared" ref="W3928:W3935" si="2134">IFERROR((U3928+V3928)*2/1000,"-")</f>
        <v>-</v>
      </c>
      <c r="X3928" s="20" t="str">
        <f>IFERROR(W3928*J3927,"-")</f>
        <v>-</v>
      </c>
      <c r="Z3928" s="85" t="s">
        <v>82</v>
      </c>
    </row>
    <row r="3929" spans="1:26" ht="6.95" customHeight="1" x14ac:dyDescent="0.3">
      <c r="A3929" s="154"/>
      <c r="B3929" s="157"/>
      <c r="C3929" s="158"/>
      <c r="D3929" s="161"/>
      <c r="E3929" s="162"/>
      <c r="F3929" s="163"/>
      <c r="G3929" s="164"/>
      <c r="H3929" s="165"/>
      <c r="I3929" s="164"/>
      <c r="J3929" s="165"/>
      <c r="K3929" s="164"/>
      <c r="L3929" s="165"/>
      <c r="M3929" s="6"/>
      <c r="N3929" s="32"/>
      <c r="Q3929" s="10" t="str">
        <f>+CONCATENATE(E3927,K3927)</f>
        <v/>
      </c>
      <c r="R3929" s="10">
        <f>+L3927</f>
        <v>0</v>
      </c>
      <c r="S3929" s="11"/>
      <c r="T3929" s="10">
        <f>+E3927</f>
        <v>0</v>
      </c>
      <c r="U3929" s="19" t="str">
        <f>IFERROR(LEFT(K3927,FIND("*",K3927)-1),"-")</f>
        <v>-</v>
      </c>
      <c r="V3929" s="19" t="str">
        <f>IFERROR(RIGHT(K3927,LEN(K3927)-FIND("*",K3927)),"-")</f>
        <v>-</v>
      </c>
      <c r="W3929" s="20" t="str">
        <f t="shared" si="2134"/>
        <v>-</v>
      </c>
      <c r="X3929" s="20" t="str">
        <f>IFERROR(W3929*L3927,"-")</f>
        <v>-</v>
      </c>
      <c r="Z3929" s="85" t="s">
        <v>82</v>
      </c>
    </row>
    <row r="3930" spans="1:26" ht="6.95" customHeight="1" x14ac:dyDescent="0.3">
      <c r="A3930" s="8"/>
      <c r="B3930" s="157"/>
      <c r="C3930" s="158"/>
      <c r="D3930" s="161" t="s">
        <v>39</v>
      </c>
      <c r="E3930" s="162"/>
      <c r="F3930" s="163" t="s">
        <v>40</v>
      </c>
      <c r="G3930" s="164"/>
      <c r="H3930" s="165"/>
      <c r="I3930" s="164"/>
      <c r="J3930" s="165"/>
      <c r="K3930" s="164"/>
      <c r="L3930" s="165"/>
      <c r="M3930" s="6"/>
      <c r="N3930" s="32"/>
      <c r="Q3930" s="10" t="str">
        <f>+CONCATENATE(E3930,G3930)</f>
        <v/>
      </c>
      <c r="R3930" s="10">
        <f>+H3930</f>
        <v>0</v>
      </c>
      <c r="S3930" s="11"/>
      <c r="T3930" s="10">
        <f>+E3930</f>
        <v>0</v>
      </c>
      <c r="U3930" s="19" t="str">
        <f t="shared" ref="U3930" si="2135">IFERROR(LEFT(G3930,FIND("*",G3930)-1),"-")</f>
        <v>-</v>
      </c>
      <c r="V3930" s="19" t="str">
        <f t="shared" ref="V3930" si="2136">IFERROR(RIGHT(G3930,LEN(G3930)-FIND("*",G3930)),"-")</f>
        <v>-</v>
      </c>
      <c r="W3930" s="20" t="str">
        <f t="shared" si="2134"/>
        <v>-</v>
      </c>
      <c r="X3930" s="20" t="str">
        <f>IFERROR(W3930*H3930,"-")</f>
        <v>-</v>
      </c>
      <c r="Z3930" s="85" t="s">
        <v>82</v>
      </c>
    </row>
    <row r="3931" spans="1:26" ht="6.95" customHeight="1" x14ac:dyDescent="0.3">
      <c r="A3931" s="5"/>
      <c r="B3931" s="157"/>
      <c r="C3931" s="158"/>
      <c r="D3931" s="161"/>
      <c r="E3931" s="162"/>
      <c r="F3931" s="163"/>
      <c r="G3931" s="164"/>
      <c r="H3931" s="165"/>
      <c r="I3931" s="164"/>
      <c r="J3931" s="165"/>
      <c r="K3931" s="164"/>
      <c r="L3931" s="165"/>
      <c r="M3931" s="6"/>
      <c r="N3931" s="32"/>
      <c r="Q3931" s="10" t="str">
        <f>+CONCATENATE(E3930,I3930)</f>
        <v/>
      </c>
      <c r="R3931" s="10">
        <f>+J3930</f>
        <v>0</v>
      </c>
      <c r="S3931" s="11"/>
      <c r="T3931" s="10">
        <f>+E3930</f>
        <v>0</v>
      </c>
      <c r="U3931" s="19" t="str">
        <f>IFERROR(LEFT(I3930,FIND("*",I3930)-1),"-")</f>
        <v>-</v>
      </c>
      <c r="V3931" s="19" t="str">
        <f>IFERROR(RIGHT(I3930,LEN(I3930)-FIND("*",I3930)),"-")</f>
        <v>-</v>
      </c>
      <c r="W3931" s="20" t="str">
        <f t="shared" si="2134"/>
        <v>-</v>
      </c>
      <c r="X3931" s="20" t="str">
        <f>IFERROR(W3931*J3930,"-")</f>
        <v>-</v>
      </c>
      <c r="Z3931" s="85" t="s">
        <v>82</v>
      </c>
    </row>
    <row r="3932" spans="1:26" ht="6.95" customHeight="1" x14ac:dyDescent="0.3">
      <c r="A3932" s="5"/>
      <c r="B3932" s="157"/>
      <c r="C3932" s="158"/>
      <c r="D3932" s="161"/>
      <c r="E3932" s="162"/>
      <c r="F3932" s="163"/>
      <c r="G3932" s="164"/>
      <c r="H3932" s="165"/>
      <c r="I3932" s="164"/>
      <c r="J3932" s="165"/>
      <c r="K3932" s="164"/>
      <c r="L3932" s="165"/>
      <c r="M3932" s="6"/>
      <c r="N3932" s="32"/>
      <c r="Q3932" s="10" t="str">
        <f>+CONCATENATE(E3930,K3930)</f>
        <v/>
      </c>
      <c r="R3932" s="10">
        <f>+L3930</f>
        <v>0</v>
      </c>
      <c r="S3932" s="11"/>
      <c r="T3932" s="10">
        <f>+E3930</f>
        <v>0</v>
      </c>
      <c r="U3932" s="19" t="str">
        <f>IFERROR(LEFT(K3930,FIND("*",K3930)-1),"-")</f>
        <v>-</v>
      </c>
      <c r="V3932" s="19" t="str">
        <f>IFERROR(RIGHT(K3930,LEN(K3930)-FIND("*",K3930)),"-")</f>
        <v>-</v>
      </c>
      <c r="W3932" s="20" t="str">
        <f t="shared" si="2134"/>
        <v>-</v>
      </c>
      <c r="X3932" s="20" t="str">
        <f>IFERROR(W3932*L3930,"-")</f>
        <v>-</v>
      </c>
      <c r="Z3932" s="85" t="s">
        <v>82</v>
      </c>
    </row>
    <row r="3933" spans="1:26" ht="6.95" customHeight="1" x14ac:dyDescent="0.3">
      <c r="A3933" s="8"/>
      <c r="B3933" s="157"/>
      <c r="C3933" s="158"/>
      <c r="D3933" s="161" t="s">
        <v>39</v>
      </c>
      <c r="E3933" s="162"/>
      <c r="F3933" s="163" t="s">
        <v>40</v>
      </c>
      <c r="G3933" s="164"/>
      <c r="H3933" s="165"/>
      <c r="I3933" s="164"/>
      <c r="J3933" s="165"/>
      <c r="K3933" s="164"/>
      <c r="L3933" s="165"/>
      <c r="M3933" s="6"/>
      <c r="N3933" s="32"/>
      <c r="Q3933" s="10" t="str">
        <f>+CONCATENATE(E3933,G3933)</f>
        <v/>
      </c>
      <c r="R3933" s="10">
        <f>+H3933</f>
        <v>0</v>
      </c>
      <c r="S3933" s="11"/>
      <c r="T3933" s="10">
        <f>+E3933</f>
        <v>0</v>
      </c>
      <c r="U3933" s="19" t="str">
        <f t="shared" ref="U3933" si="2137">IFERROR(LEFT(G3933,FIND("*",G3933)-1),"-")</f>
        <v>-</v>
      </c>
      <c r="V3933" s="19" t="str">
        <f t="shared" ref="V3933" si="2138">IFERROR(RIGHT(G3933,LEN(G3933)-FIND("*",G3933)),"-")</f>
        <v>-</v>
      </c>
      <c r="W3933" s="20" t="str">
        <f t="shared" si="2134"/>
        <v>-</v>
      </c>
      <c r="X3933" s="20" t="str">
        <f>IFERROR(W3933*H3933,"-")</f>
        <v>-</v>
      </c>
      <c r="Z3933" s="85" t="s">
        <v>82</v>
      </c>
    </row>
    <row r="3934" spans="1:26" ht="6.95" customHeight="1" x14ac:dyDescent="0.3">
      <c r="A3934" s="5"/>
      <c r="B3934" s="157"/>
      <c r="C3934" s="158"/>
      <c r="D3934" s="161"/>
      <c r="E3934" s="162"/>
      <c r="F3934" s="163"/>
      <c r="G3934" s="164"/>
      <c r="H3934" s="165"/>
      <c r="I3934" s="164"/>
      <c r="J3934" s="165"/>
      <c r="K3934" s="164"/>
      <c r="L3934" s="165"/>
      <c r="M3934" s="6"/>
      <c r="N3934" s="32"/>
      <c r="Q3934" s="10" t="str">
        <f>+CONCATENATE(E3933,I3933)</f>
        <v/>
      </c>
      <c r="R3934" s="10">
        <f>+J3933</f>
        <v>0</v>
      </c>
      <c r="S3934" s="11"/>
      <c r="T3934" s="10">
        <f>+E3933</f>
        <v>0</v>
      </c>
      <c r="U3934" s="19" t="str">
        <f>IFERROR(LEFT(I3933,FIND("*",I3933)-1),"-")</f>
        <v>-</v>
      </c>
      <c r="V3934" s="19" t="str">
        <f>IFERROR(RIGHT(I3933,LEN(I3933)-FIND("*",I3933)),"-")</f>
        <v>-</v>
      </c>
      <c r="W3934" s="20" t="str">
        <f t="shared" si="2134"/>
        <v>-</v>
      </c>
      <c r="X3934" s="20" t="str">
        <f t="shared" ref="X3934" si="2139">IFERROR(W3934*J3933,"-")</f>
        <v>-</v>
      </c>
      <c r="Z3934" s="85" t="s">
        <v>82</v>
      </c>
    </row>
    <row r="3935" spans="1:26" ht="6.95" customHeight="1" x14ac:dyDescent="0.3">
      <c r="A3935" s="5"/>
      <c r="B3935" s="157"/>
      <c r="C3935" s="158"/>
      <c r="D3935" s="161"/>
      <c r="E3935" s="162"/>
      <c r="F3935" s="163"/>
      <c r="G3935" s="164"/>
      <c r="H3935" s="165"/>
      <c r="I3935" s="164"/>
      <c r="J3935" s="165"/>
      <c r="K3935" s="164"/>
      <c r="L3935" s="165"/>
      <c r="M3935" s="6"/>
      <c r="N3935" s="32"/>
      <c r="Q3935" s="10" t="str">
        <f>+CONCATENATE(E3933,K3933)</f>
        <v/>
      </c>
      <c r="R3935" s="10">
        <f>+L3933</f>
        <v>0</v>
      </c>
      <c r="S3935" s="11"/>
      <c r="T3935" s="10">
        <f>+E3933</f>
        <v>0</v>
      </c>
      <c r="U3935" s="19" t="str">
        <f>IFERROR(LEFT(K3933,FIND("*",K3933)-1),"-")</f>
        <v>-</v>
      </c>
      <c r="V3935" s="19" t="str">
        <f>IFERROR(RIGHT(K3933,LEN(K3933)-FIND("*",K3933)),"-")</f>
        <v>-</v>
      </c>
      <c r="W3935" s="20" t="str">
        <f t="shared" si="2134"/>
        <v>-</v>
      </c>
      <c r="X3935" s="20" t="str">
        <f>IFERROR(W3935*L3933,"-")</f>
        <v>-</v>
      </c>
      <c r="Z3935" s="85" t="s">
        <v>82</v>
      </c>
    </row>
    <row r="3936" spans="1:26" ht="21" customHeight="1" thickBot="1" x14ac:dyDescent="0.35">
      <c r="A3936" s="5"/>
      <c r="B3936" s="159"/>
      <c r="C3936" s="160"/>
      <c r="D3936" s="166" t="s">
        <v>43</v>
      </c>
      <c r="E3936" s="167"/>
      <c r="F3936" s="167"/>
      <c r="G3936" s="168"/>
      <c r="H3936" s="168"/>
      <c r="I3936" s="168"/>
      <c r="J3936" s="168"/>
      <c r="K3936" s="168"/>
      <c r="L3936" s="168"/>
      <c r="M3936" s="7"/>
      <c r="N3936" s="32"/>
      <c r="Z3936" s="86" t="s">
        <v>81</v>
      </c>
    </row>
    <row r="3937" spans="1:26" ht="9.9499999999999993" customHeight="1" thickBot="1" x14ac:dyDescent="0.35">
      <c r="B3937" s="9"/>
      <c r="C3937" s="109"/>
      <c r="D3937" s="51"/>
      <c r="E3937" s="12"/>
      <c r="F3937" s="51"/>
      <c r="G3937" s="14"/>
      <c r="H3937" s="14"/>
      <c r="I3937" s="14"/>
      <c r="J3937" s="14"/>
      <c r="K3937" s="14"/>
      <c r="L3937" s="14"/>
      <c r="M3937" s="9"/>
      <c r="N3937" s="32"/>
      <c r="U3937" s="18"/>
      <c r="V3937" s="18"/>
      <c r="Z3937" s="85" t="s">
        <v>82</v>
      </c>
    </row>
    <row r="3938" spans="1:26" ht="6.95" customHeight="1" x14ac:dyDescent="0.3">
      <c r="A3938" s="154">
        <f>+A3927+1</f>
        <v>1157</v>
      </c>
      <c r="B3938" s="155"/>
      <c r="C3938" s="156"/>
      <c r="D3938" s="161" t="s">
        <v>39</v>
      </c>
      <c r="E3938" s="162"/>
      <c r="F3938" s="163" t="s">
        <v>40</v>
      </c>
      <c r="G3938" s="164"/>
      <c r="H3938" s="165"/>
      <c r="I3938" s="164"/>
      <c r="J3938" s="165"/>
      <c r="K3938" s="164"/>
      <c r="L3938" s="165"/>
      <c r="M3938" s="6"/>
      <c r="N3938" s="32"/>
      <c r="Q3938" s="10" t="str">
        <f>+CONCATENATE(E3938,G3938)</f>
        <v/>
      </c>
      <c r="R3938" s="10">
        <f>+H3938</f>
        <v>0</v>
      </c>
      <c r="S3938" s="11"/>
      <c r="T3938" s="10">
        <f>+E3938</f>
        <v>0</v>
      </c>
      <c r="U3938" s="19" t="str">
        <f>IFERROR(LEFT(G3938,FIND("*",G3938)-1),"-")</f>
        <v>-</v>
      </c>
      <c r="V3938" s="19" t="str">
        <f>IFERROR(RIGHT(G3938,LEN(G3938)-FIND("*",G3938)),"-")</f>
        <v>-</v>
      </c>
      <c r="W3938" s="20" t="str">
        <f>IFERROR((U3938+V3938)*2/1000,"-")</f>
        <v>-</v>
      </c>
      <c r="X3938" s="20" t="str">
        <f>IFERROR(W3938*H3938,"-")</f>
        <v>-</v>
      </c>
      <c r="Z3938" s="85" t="s">
        <v>82</v>
      </c>
    </row>
    <row r="3939" spans="1:26" ht="6.95" customHeight="1" x14ac:dyDescent="0.3">
      <c r="A3939" s="154"/>
      <c r="B3939" s="157"/>
      <c r="C3939" s="158"/>
      <c r="D3939" s="161"/>
      <c r="E3939" s="162"/>
      <c r="F3939" s="163"/>
      <c r="G3939" s="164"/>
      <c r="H3939" s="165"/>
      <c r="I3939" s="164"/>
      <c r="J3939" s="165"/>
      <c r="K3939" s="164"/>
      <c r="L3939" s="165"/>
      <c r="M3939" s="6"/>
      <c r="N3939" s="32"/>
      <c r="Q3939" s="10" t="str">
        <f>+CONCATENATE(E3938,I3938)</f>
        <v/>
      </c>
      <c r="R3939" s="10">
        <f>+J3938</f>
        <v>0</v>
      </c>
      <c r="S3939" s="11"/>
      <c r="T3939" s="10">
        <f>+E3938</f>
        <v>0</v>
      </c>
      <c r="U3939" s="19" t="str">
        <f>IFERROR(LEFT(I3938,FIND("*",I3938)-1),"-")</f>
        <v>-</v>
      </c>
      <c r="V3939" s="19" t="str">
        <f>IFERROR(RIGHT(I3938,LEN(I3938)-FIND("*",I3938)),"-")</f>
        <v>-</v>
      </c>
      <c r="W3939" s="20" t="str">
        <f t="shared" ref="W3939:W3946" si="2140">IFERROR((U3939+V3939)*2/1000,"-")</f>
        <v>-</v>
      </c>
      <c r="X3939" s="20" t="str">
        <f>IFERROR(W3939*J3938,"-")</f>
        <v>-</v>
      </c>
      <c r="Z3939" s="85" t="s">
        <v>82</v>
      </c>
    </row>
    <row r="3940" spans="1:26" ht="6.95" customHeight="1" x14ac:dyDescent="0.3">
      <c r="A3940" s="154"/>
      <c r="B3940" s="157"/>
      <c r="C3940" s="158"/>
      <c r="D3940" s="161"/>
      <c r="E3940" s="162"/>
      <c r="F3940" s="163"/>
      <c r="G3940" s="164"/>
      <c r="H3940" s="165"/>
      <c r="I3940" s="164"/>
      <c r="J3940" s="165"/>
      <c r="K3940" s="164"/>
      <c r="L3940" s="165"/>
      <c r="M3940" s="6"/>
      <c r="N3940" s="32"/>
      <c r="Q3940" s="10" t="str">
        <f>+CONCATENATE(E3938,K3938)</f>
        <v/>
      </c>
      <c r="R3940" s="10">
        <f>+L3938</f>
        <v>0</v>
      </c>
      <c r="S3940" s="11"/>
      <c r="T3940" s="10">
        <f>+E3938</f>
        <v>0</v>
      </c>
      <c r="U3940" s="19" t="str">
        <f>IFERROR(LEFT(K3938,FIND("*",K3938)-1),"-")</f>
        <v>-</v>
      </c>
      <c r="V3940" s="19" t="str">
        <f>IFERROR(RIGHT(K3938,LEN(K3938)-FIND("*",K3938)),"-")</f>
        <v>-</v>
      </c>
      <c r="W3940" s="20" t="str">
        <f t="shared" si="2140"/>
        <v>-</v>
      </c>
      <c r="X3940" s="20" t="str">
        <f>IFERROR(W3940*L3938,"-")</f>
        <v>-</v>
      </c>
      <c r="Z3940" s="85" t="s">
        <v>82</v>
      </c>
    </row>
    <row r="3941" spans="1:26" ht="6.95" customHeight="1" x14ac:dyDescent="0.3">
      <c r="A3941" s="8"/>
      <c r="B3941" s="157"/>
      <c r="C3941" s="158"/>
      <c r="D3941" s="161" t="s">
        <v>39</v>
      </c>
      <c r="E3941" s="162"/>
      <c r="F3941" s="163" t="s">
        <v>40</v>
      </c>
      <c r="G3941" s="164"/>
      <c r="H3941" s="165"/>
      <c r="I3941" s="164"/>
      <c r="J3941" s="165"/>
      <c r="K3941" s="164"/>
      <c r="L3941" s="165"/>
      <c r="M3941" s="6"/>
      <c r="N3941" s="32"/>
      <c r="Q3941" s="10" t="str">
        <f>+CONCATENATE(E3941,G3941)</f>
        <v/>
      </c>
      <c r="R3941" s="10">
        <f>+H3941</f>
        <v>0</v>
      </c>
      <c r="S3941" s="11"/>
      <c r="T3941" s="10">
        <f>+E3941</f>
        <v>0</v>
      </c>
      <c r="U3941" s="19" t="str">
        <f t="shared" ref="U3941" si="2141">IFERROR(LEFT(G3941,FIND("*",G3941)-1),"-")</f>
        <v>-</v>
      </c>
      <c r="V3941" s="19" t="str">
        <f t="shared" ref="V3941" si="2142">IFERROR(RIGHT(G3941,LEN(G3941)-FIND("*",G3941)),"-")</f>
        <v>-</v>
      </c>
      <c r="W3941" s="20" t="str">
        <f t="shared" si="2140"/>
        <v>-</v>
      </c>
      <c r="X3941" s="20" t="str">
        <f>IFERROR(W3941*H3941,"-")</f>
        <v>-</v>
      </c>
      <c r="Z3941" s="85" t="s">
        <v>82</v>
      </c>
    </row>
    <row r="3942" spans="1:26" ht="6.95" customHeight="1" x14ac:dyDescent="0.3">
      <c r="A3942" s="5"/>
      <c r="B3942" s="157"/>
      <c r="C3942" s="158"/>
      <c r="D3942" s="161"/>
      <c r="E3942" s="162"/>
      <c r="F3942" s="163"/>
      <c r="G3942" s="164"/>
      <c r="H3942" s="165"/>
      <c r="I3942" s="164"/>
      <c r="J3942" s="165"/>
      <c r="K3942" s="164"/>
      <c r="L3942" s="165"/>
      <c r="M3942" s="6"/>
      <c r="N3942" s="32"/>
      <c r="Q3942" s="10" t="str">
        <f>+CONCATENATE(E3941,I3941)</f>
        <v/>
      </c>
      <c r="R3942" s="10">
        <f>+J3941</f>
        <v>0</v>
      </c>
      <c r="S3942" s="11"/>
      <c r="T3942" s="10">
        <f>+E3941</f>
        <v>0</v>
      </c>
      <c r="U3942" s="19" t="str">
        <f>IFERROR(LEFT(I3941,FIND("*",I3941)-1),"-")</f>
        <v>-</v>
      </c>
      <c r="V3942" s="19" t="str">
        <f>IFERROR(RIGHT(I3941,LEN(I3941)-FIND("*",I3941)),"-")</f>
        <v>-</v>
      </c>
      <c r="W3942" s="20" t="str">
        <f t="shared" si="2140"/>
        <v>-</v>
      </c>
      <c r="X3942" s="20" t="str">
        <f>IFERROR(W3942*J3941,"-")</f>
        <v>-</v>
      </c>
      <c r="Z3942" s="85" t="s">
        <v>82</v>
      </c>
    </row>
    <row r="3943" spans="1:26" ht="6.95" customHeight="1" x14ac:dyDescent="0.3">
      <c r="A3943" s="5"/>
      <c r="B3943" s="157"/>
      <c r="C3943" s="158"/>
      <c r="D3943" s="161"/>
      <c r="E3943" s="162"/>
      <c r="F3943" s="163"/>
      <c r="G3943" s="164"/>
      <c r="H3943" s="165"/>
      <c r="I3943" s="164"/>
      <c r="J3943" s="165"/>
      <c r="K3943" s="164"/>
      <c r="L3943" s="165"/>
      <c r="M3943" s="6"/>
      <c r="N3943" s="32"/>
      <c r="Q3943" s="10" t="str">
        <f>+CONCATENATE(E3941,K3941)</f>
        <v/>
      </c>
      <c r="R3943" s="10">
        <f>+L3941</f>
        <v>0</v>
      </c>
      <c r="S3943" s="11"/>
      <c r="T3943" s="10">
        <f>+E3941</f>
        <v>0</v>
      </c>
      <c r="U3943" s="19" t="str">
        <f>IFERROR(LEFT(K3941,FIND("*",K3941)-1),"-")</f>
        <v>-</v>
      </c>
      <c r="V3943" s="19" t="str">
        <f>IFERROR(RIGHT(K3941,LEN(K3941)-FIND("*",K3941)),"-")</f>
        <v>-</v>
      </c>
      <c r="W3943" s="20" t="str">
        <f t="shared" si="2140"/>
        <v>-</v>
      </c>
      <c r="X3943" s="20" t="str">
        <f>IFERROR(W3943*L3941,"-")</f>
        <v>-</v>
      </c>
      <c r="Z3943" s="85" t="s">
        <v>82</v>
      </c>
    </row>
    <row r="3944" spans="1:26" ht="6.95" customHeight="1" x14ac:dyDescent="0.3">
      <c r="A3944" s="8"/>
      <c r="B3944" s="157"/>
      <c r="C3944" s="158"/>
      <c r="D3944" s="161" t="s">
        <v>39</v>
      </c>
      <c r="E3944" s="162"/>
      <c r="F3944" s="163" t="s">
        <v>40</v>
      </c>
      <c r="G3944" s="164"/>
      <c r="H3944" s="165"/>
      <c r="I3944" s="164"/>
      <c r="J3944" s="165"/>
      <c r="K3944" s="164"/>
      <c r="L3944" s="165"/>
      <c r="M3944" s="6"/>
      <c r="N3944" s="32"/>
      <c r="Q3944" s="10" t="str">
        <f>+CONCATENATE(E3944,G3944)</f>
        <v/>
      </c>
      <c r="R3944" s="10">
        <f>+H3944</f>
        <v>0</v>
      </c>
      <c r="S3944" s="11"/>
      <c r="T3944" s="10">
        <f>+E3944</f>
        <v>0</v>
      </c>
      <c r="U3944" s="19" t="str">
        <f t="shared" ref="U3944" si="2143">IFERROR(LEFT(G3944,FIND("*",G3944)-1),"-")</f>
        <v>-</v>
      </c>
      <c r="V3944" s="19" t="str">
        <f t="shared" ref="V3944" si="2144">IFERROR(RIGHT(G3944,LEN(G3944)-FIND("*",G3944)),"-")</f>
        <v>-</v>
      </c>
      <c r="W3944" s="20" t="str">
        <f t="shared" si="2140"/>
        <v>-</v>
      </c>
      <c r="X3944" s="20" t="str">
        <f>IFERROR(W3944*H3944,"-")</f>
        <v>-</v>
      </c>
      <c r="Z3944" s="85" t="s">
        <v>82</v>
      </c>
    </row>
    <row r="3945" spans="1:26" ht="6.95" customHeight="1" x14ac:dyDescent="0.3">
      <c r="A3945" s="5"/>
      <c r="B3945" s="157"/>
      <c r="C3945" s="158"/>
      <c r="D3945" s="161"/>
      <c r="E3945" s="162"/>
      <c r="F3945" s="163"/>
      <c r="G3945" s="164"/>
      <c r="H3945" s="165"/>
      <c r="I3945" s="164"/>
      <c r="J3945" s="165"/>
      <c r="K3945" s="164"/>
      <c r="L3945" s="165"/>
      <c r="M3945" s="6"/>
      <c r="N3945" s="32"/>
      <c r="Q3945" s="10" t="str">
        <f>+CONCATENATE(E3944,I3944)</f>
        <v/>
      </c>
      <c r="R3945" s="10">
        <f>+J3944</f>
        <v>0</v>
      </c>
      <c r="S3945" s="11"/>
      <c r="T3945" s="10">
        <f>+E3944</f>
        <v>0</v>
      </c>
      <c r="U3945" s="19" t="str">
        <f>IFERROR(LEFT(I3944,FIND("*",I3944)-1),"-")</f>
        <v>-</v>
      </c>
      <c r="V3945" s="19" t="str">
        <f>IFERROR(RIGHT(I3944,LEN(I3944)-FIND("*",I3944)),"-")</f>
        <v>-</v>
      </c>
      <c r="W3945" s="20" t="str">
        <f t="shared" si="2140"/>
        <v>-</v>
      </c>
      <c r="X3945" s="20" t="str">
        <f t="shared" ref="X3945" si="2145">IFERROR(W3945*J3944,"-")</f>
        <v>-</v>
      </c>
      <c r="Z3945" s="85" t="s">
        <v>82</v>
      </c>
    </row>
    <row r="3946" spans="1:26" ht="6.95" customHeight="1" x14ac:dyDescent="0.3">
      <c r="A3946" s="5"/>
      <c r="B3946" s="157"/>
      <c r="C3946" s="158"/>
      <c r="D3946" s="161"/>
      <c r="E3946" s="162"/>
      <c r="F3946" s="163"/>
      <c r="G3946" s="164"/>
      <c r="H3946" s="165"/>
      <c r="I3946" s="164"/>
      <c r="J3946" s="165"/>
      <c r="K3946" s="164"/>
      <c r="L3946" s="165"/>
      <c r="M3946" s="6"/>
      <c r="N3946" s="32"/>
      <c r="Q3946" s="10" t="str">
        <f>+CONCATENATE(E3944,K3944)</f>
        <v/>
      </c>
      <c r="R3946" s="10">
        <f>+L3944</f>
        <v>0</v>
      </c>
      <c r="S3946" s="11"/>
      <c r="T3946" s="10">
        <f>+E3944</f>
        <v>0</v>
      </c>
      <c r="U3946" s="19" t="str">
        <f>IFERROR(LEFT(K3944,FIND("*",K3944)-1),"-")</f>
        <v>-</v>
      </c>
      <c r="V3946" s="19" t="str">
        <f>IFERROR(RIGHT(K3944,LEN(K3944)-FIND("*",K3944)),"-")</f>
        <v>-</v>
      </c>
      <c r="W3946" s="20" t="str">
        <f t="shared" si="2140"/>
        <v>-</v>
      </c>
      <c r="X3946" s="20" t="str">
        <f>IFERROR(W3946*L3944,"-")</f>
        <v>-</v>
      </c>
      <c r="Z3946" s="85" t="s">
        <v>82</v>
      </c>
    </row>
    <row r="3947" spans="1:26" ht="21" customHeight="1" thickBot="1" x14ac:dyDescent="0.35">
      <c r="A3947" s="5"/>
      <c r="B3947" s="159"/>
      <c r="C3947" s="160"/>
      <c r="D3947" s="166" t="s">
        <v>43</v>
      </c>
      <c r="E3947" s="167"/>
      <c r="F3947" s="167"/>
      <c r="G3947" s="168"/>
      <c r="H3947" s="168"/>
      <c r="I3947" s="168"/>
      <c r="J3947" s="168"/>
      <c r="K3947" s="168"/>
      <c r="L3947" s="168"/>
      <c r="M3947" s="7"/>
      <c r="N3947" s="32"/>
      <c r="Z3947" s="86" t="s">
        <v>81</v>
      </c>
    </row>
    <row r="3948" spans="1:26" ht="9.9499999999999993" customHeight="1" thickBot="1" x14ac:dyDescent="0.35">
      <c r="B3948" s="9"/>
      <c r="C3948" s="109"/>
      <c r="D3948" s="51"/>
      <c r="E3948" s="12"/>
      <c r="F3948" s="51"/>
      <c r="G3948" s="14"/>
      <c r="H3948" s="14"/>
      <c r="I3948" s="14"/>
      <c r="J3948" s="14"/>
      <c r="K3948" s="14"/>
      <c r="L3948" s="14"/>
      <c r="M3948" s="9"/>
      <c r="N3948" s="32"/>
      <c r="U3948" s="18"/>
      <c r="V3948" s="18"/>
      <c r="Z3948" s="85" t="s">
        <v>82</v>
      </c>
    </row>
    <row r="3949" spans="1:26" ht="6.95" customHeight="1" x14ac:dyDescent="0.3">
      <c r="A3949" s="154">
        <f>+A3938+1</f>
        <v>1158</v>
      </c>
      <c r="B3949" s="155"/>
      <c r="C3949" s="156"/>
      <c r="D3949" s="161" t="s">
        <v>39</v>
      </c>
      <c r="E3949" s="162"/>
      <c r="F3949" s="163" t="s">
        <v>40</v>
      </c>
      <c r="G3949" s="164"/>
      <c r="H3949" s="165"/>
      <c r="I3949" s="164"/>
      <c r="J3949" s="165"/>
      <c r="K3949" s="164"/>
      <c r="L3949" s="165"/>
      <c r="M3949" s="6"/>
      <c r="N3949" s="32"/>
      <c r="Q3949" s="10" t="str">
        <f>+CONCATENATE(E3949,G3949)</f>
        <v/>
      </c>
      <c r="R3949" s="10">
        <f>+H3949</f>
        <v>0</v>
      </c>
      <c r="S3949" s="11"/>
      <c r="T3949" s="10">
        <f>+E3949</f>
        <v>0</v>
      </c>
      <c r="U3949" s="19" t="str">
        <f>IFERROR(LEFT(G3949,FIND("*",G3949)-1),"-")</f>
        <v>-</v>
      </c>
      <c r="V3949" s="19" t="str">
        <f>IFERROR(RIGHT(G3949,LEN(G3949)-FIND("*",G3949)),"-")</f>
        <v>-</v>
      </c>
      <c r="W3949" s="20" t="str">
        <f>IFERROR((U3949+V3949)*2/1000,"-")</f>
        <v>-</v>
      </c>
      <c r="X3949" s="20" t="str">
        <f>IFERROR(W3949*H3949,"-")</f>
        <v>-</v>
      </c>
      <c r="Z3949" s="85" t="s">
        <v>82</v>
      </c>
    </row>
    <row r="3950" spans="1:26" ht="6.95" customHeight="1" x14ac:dyDescent="0.3">
      <c r="A3950" s="154"/>
      <c r="B3950" s="157"/>
      <c r="C3950" s="158"/>
      <c r="D3950" s="161"/>
      <c r="E3950" s="162"/>
      <c r="F3950" s="163"/>
      <c r="G3950" s="164"/>
      <c r="H3950" s="165"/>
      <c r="I3950" s="164"/>
      <c r="J3950" s="165"/>
      <c r="K3950" s="164"/>
      <c r="L3950" s="165"/>
      <c r="M3950" s="6"/>
      <c r="N3950" s="32"/>
      <c r="Q3950" s="10" t="str">
        <f>+CONCATENATE(E3949,I3949)</f>
        <v/>
      </c>
      <c r="R3950" s="10">
        <f>+J3949</f>
        <v>0</v>
      </c>
      <c r="S3950" s="11"/>
      <c r="T3950" s="10">
        <f>+E3949</f>
        <v>0</v>
      </c>
      <c r="U3950" s="19" t="str">
        <f>IFERROR(LEFT(I3949,FIND("*",I3949)-1),"-")</f>
        <v>-</v>
      </c>
      <c r="V3950" s="19" t="str">
        <f>IFERROR(RIGHT(I3949,LEN(I3949)-FIND("*",I3949)),"-")</f>
        <v>-</v>
      </c>
      <c r="W3950" s="20" t="str">
        <f t="shared" ref="W3950:W3957" si="2146">IFERROR((U3950+V3950)*2/1000,"-")</f>
        <v>-</v>
      </c>
      <c r="X3950" s="20" t="str">
        <f>IFERROR(W3950*J3949,"-")</f>
        <v>-</v>
      </c>
      <c r="Z3950" s="85" t="s">
        <v>82</v>
      </c>
    </row>
    <row r="3951" spans="1:26" ht="6.95" customHeight="1" x14ac:dyDescent="0.3">
      <c r="A3951" s="154"/>
      <c r="B3951" s="157"/>
      <c r="C3951" s="158"/>
      <c r="D3951" s="161"/>
      <c r="E3951" s="162"/>
      <c r="F3951" s="163"/>
      <c r="G3951" s="164"/>
      <c r="H3951" s="165"/>
      <c r="I3951" s="164"/>
      <c r="J3951" s="165"/>
      <c r="K3951" s="164"/>
      <c r="L3951" s="165"/>
      <c r="M3951" s="6"/>
      <c r="N3951" s="32"/>
      <c r="Q3951" s="10" t="str">
        <f>+CONCATENATE(E3949,K3949)</f>
        <v/>
      </c>
      <c r="R3951" s="10">
        <f>+L3949</f>
        <v>0</v>
      </c>
      <c r="S3951" s="11"/>
      <c r="T3951" s="10">
        <f>+E3949</f>
        <v>0</v>
      </c>
      <c r="U3951" s="19" t="str">
        <f>IFERROR(LEFT(K3949,FIND("*",K3949)-1),"-")</f>
        <v>-</v>
      </c>
      <c r="V3951" s="19" t="str">
        <f>IFERROR(RIGHT(K3949,LEN(K3949)-FIND("*",K3949)),"-")</f>
        <v>-</v>
      </c>
      <c r="W3951" s="20" t="str">
        <f t="shared" si="2146"/>
        <v>-</v>
      </c>
      <c r="X3951" s="20" t="str">
        <f>IFERROR(W3951*L3949,"-")</f>
        <v>-</v>
      </c>
      <c r="Z3951" s="85" t="s">
        <v>82</v>
      </c>
    </row>
    <row r="3952" spans="1:26" ht="6.95" customHeight="1" x14ac:dyDescent="0.3">
      <c r="A3952" s="8"/>
      <c r="B3952" s="157"/>
      <c r="C3952" s="158"/>
      <c r="D3952" s="161" t="s">
        <v>39</v>
      </c>
      <c r="E3952" s="162"/>
      <c r="F3952" s="163" t="s">
        <v>40</v>
      </c>
      <c r="G3952" s="164"/>
      <c r="H3952" s="165"/>
      <c r="I3952" s="164"/>
      <c r="J3952" s="165"/>
      <c r="K3952" s="164"/>
      <c r="L3952" s="165"/>
      <c r="M3952" s="6"/>
      <c r="N3952" s="32"/>
      <c r="Q3952" s="10" t="str">
        <f>+CONCATENATE(E3952,G3952)</f>
        <v/>
      </c>
      <c r="R3952" s="10">
        <f>+H3952</f>
        <v>0</v>
      </c>
      <c r="S3952" s="11"/>
      <c r="T3952" s="10">
        <f>+E3952</f>
        <v>0</v>
      </c>
      <c r="U3952" s="19" t="str">
        <f t="shared" ref="U3952" si="2147">IFERROR(LEFT(G3952,FIND("*",G3952)-1),"-")</f>
        <v>-</v>
      </c>
      <c r="V3952" s="19" t="str">
        <f t="shared" ref="V3952" si="2148">IFERROR(RIGHT(G3952,LEN(G3952)-FIND("*",G3952)),"-")</f>
        <v>-</v>
      </c>
      <c r="W3952" s="20" t="str">
        <f t="shared" si="2146"/>
        <v>-</v>
      </c>
      <c r="X3952" s="20" t="str">
        <f>IFERROR(W3952*H3952,"-")</f>
        <v>-</v>
      </c>
      <c r="Z3952" s="85" t="s">
        <v>82</v>
      </c>
    </row>
    <row r="3953" spans="1:26" ht="6.95" customHeight="1" x14ac:dyDescent="0.3">
      <c r="A3953" s="5"/>
      <c r="B3953" s="157"/>
      <c r="C3953" s="158"/>
      <c r="D3953" s="161"/>
      <c r="E3953" s="162"/>
      <c r="F3953" s="163"/>
      <c r="G3953" s="164"/>
      <c r="H3953" s="165"/>
      <c r="I3953" s="164"/>
      <c r="J3953" s="165"/>
      <c r="K3953" s="164"/>
      <c r="L3953" s="165"/>
      <c r="M3953" s="6"/>
      <c r="N3953" s="32"/>
      <c r="Q3953" s="10" t="str">
        <f>+CONCATENATE(E3952,I3952)</f>
        <v/>
      </c>
      <c r="R3953" s="10">
        <f>+J3952</f>
        <v>0</v>
      </c>
      <c r="S3953" s="11"/>
      <c r="T3953" s="10">
        <f>+E3952</f>
        <v>0</v>
      </c>
      <c r="U3953" s="19" t="str">
        <f>IFERROR(LEFT(I3952,FIND("*",I3952)-1),"-")</f>
        <v>-</v>
      </c>
      <c r="V3953" s="19" t="str">
        <f>IFERROR(RIGHT(I3952,LEN(I3952)-FIND("*",I3952)),"-")</f>
        <v>-</v>
      </c>
      <c r="W3953" s="20" t="str">
        <f t="shared" si="2146"/>
        <v>-</v>
      </c>
      <c r="X3953" s="20" t="str">
        <f>IFERROR(W3953*J3952,"-")</f>
        <v>-</v>
      </c>
      <c r="Z3953" s="85" t="s">
        <v>82</v>
      </c>
    </row>
    <row r="3954" spans="1:26" ht="6.95" customHeight="1" x14ac:dyDescent="0.3">
      <c r="A3954" s="5"/>
      <c r="B3954" s="157"/>
      <c r="C3954" s="158"/>
      <c r="D3954" s="161"/>
      <c r="E3954" s="162"/>
      <c r="F3954" s="163"/>
      <c r="G3954" s="164"/>
      <c r="H3954" s="165"/>
      <c r="I3954" s="164"/>
      <c r="J3954" s="165"/>
      <c r="K3954" s="164"/>
      <c r="L3954" s="165"/>
      <c r="M3954" s="6"/>
      <c r="N3954" s="32"/>
      <c r="Q3954" s="10" t="str">
        <f>+CONCATENATE(E3952,K3952)</f>
        <v/>
      </c>
      <c r="R3954" s="10">
        <f>+L3952</f>
        <v>0</v>
      </c>
      <c r="S3954" s="11"/>
      <c r="T3954" s="10">
        <f>+E3952</f>
        <v>0</v>
      </c>
      <c r="U3954" s="19" t="str">
        <f>IFERROR(LEFT(K3952,FIND("*",K3952)-1),"-")</f>
        <v>-</v>
      </c>
      <c r="V3954" s="19" t="str">
        <f>IFERROR(RIGHT(K3952,LEN(K3952)-FIND("*",K3952)),"-")</f>
        <v>-</v>
      </c>
      <c r="W3954" s="20" t="str">
        <f t="shared" si="2146"/>
        <v>-</v>
      </c>
      <c r="X3954" s="20" t="str">
        <f>IFERROR(W3954*L3952,"-")</f>
        <v>-</v>
      </c>
      <c r="Z3954" s="85" t="s">
        <v>82</v>
      </c>
    </row>
    <row r="3955" spans="1:26" ht="6.95" customHeight="1" x14ac:dyDescent="0.3">
      <c r="A3955" s="8"/>
      <c r="B3955" s="157"/>
      <c r="C3955" s="158"/>
      <c r="D3955" s="161" t="s">
        <v>39</v>
      </c>
      <c r="E3955" s="162"/>
      <c r="F3955" s="163" t="s">
        <v>40</v>
      </c>
      <c r="G3955" s="164"/>
      <c r="H3955" s="165"/>
      <c r="I3955" s="164"/>
      <c r="J3955" s="165"/>
      <c r="K3955" s="164"/>
      <c r="L3955" s="165"/>
      <c r="M3955" s="6"/>
      <c r="N3955" s="32"/>
      <c r="Q3955" s="10" t="str">
        <f>+CONCATENATE(E3955,G3955)</f>
        <v/>
      </c>
      <c r="R3955" s="10">
        <f>+H3955</f>
        <v>0</v>
      </c>
      <c r="S3955" s="11"/>
      <c r="T3955" s="10">
        <f>+E3955</f>
        <v>0</v>
      </c>
      <c r="U3955" s="19" t="str">
        <f t="shared" ref="U3955" si="2149">IFERROR(LEFT(G3955,FIND("*",G3955)-1),"-")</f>
        <v>-</v>
      </c>
      <c r="V3955" s="19" t="str">
        <f t="shared" ref="V3955" si="2150">IFERROR(RIGHT(G3955,LEN(G3955)-FIND("*",G3955)),"-")</f>
        <v>-</v>
      </c>
      <c r="W3955" s="20" t="str">
        <f t="shared" si="2146"/>
        <v>-</v>
      </c>
      <c r="X3955" s="20" t="str">
        <f>IFERROR(W3955*H3955,"-")</f>
        <v>-</v>
      </c>
      <c r="Z3955" s="85" t="s">
        <v>82</v>
      </c>
    </row>
    <row r="3956" spans="1:26" ht="6.95" customHeight="1" x14ac:dyDescent="0.3">
      <c r="A3956" s="5"/>
      <c r="B3956" s="157"/>
      <c r="C3956" s="158"/>
      <c r="D3956" s="161"/>
      <c r="E3956" s="162"/>
      <c r="F3956" s="163"/>
      <c r="G3956" s="164"/>
      <c r="H3956" s="165"/>
      <c r="I3956" s="164"/>
      <c r="J3956" s="165"/>
      <c r="K3956" s="164"/>
      <c r="L3956" s="165"/>
      <c r="M3956" s="6"/>
      <c r="N3956" s="32"/>
      <c r="Q3956" s="10" t="str">
        <f>+CONCATENATE(E3955,I3955)</f>
        <v/>
      </c>
      <c r="R3956" s="10">
        <f>+J3955</f>
        <v>0</v>
      </c>
      <c r="S3956" s="11"/>
      <c r="T3956" s="10">
        <f>+E3955</f>
        <v>0</v>
      </c>
      <c r="U3956" s="19" t="str">
        <f>IFERROR(LEFT(I3955,FIND("*",I3955)-1),"-")</f>
        <v>-</v>
      </c>
      <c r="V3956" s="19" t="str">
        <f>IFERROR(RIGHT(I3955,LEN(I3955)-FIND("*",I3955)),"-")</f>
        <v>-</v>
      </c>
      <c r="W3956" s="20" t="str">
        <f t="shared" si="2146"/>
        <v>-</v>
      </c>
      <c r="X3956" s="20" t="str">
        <f t="shared" ref="X3956" si="2151">IFERROR(W3956*J3955,"-")</f>
        <v>-</v>
      </c>
      <c r="Z3956" s="85" t="s">
        <v>82</v>
      </c>
    </row>
    <row r="3957" spans="1:26" ht="6.95" customHeight="1" x14ac:dyDescent="0.3">
      <c r="A3957" s="5"/>
      <c r="B3957" s="157"/>
      <c r="C3957" s="158"/>
      <c r="D3957" s="161"/>
      <c r="E3957" s="162"/>
      <c r="F3957" s="163"/>
      <c r="G3957" s="164"/>
      <c r="H3957" s="165"/>
      <c r="I3957" s="164"/>
      <c r="J3957" s="165"/>
      <c r="K3957" s="164"/>
      <c r="L3957" s="165"/>
      <c r="M3957" s="6"/>
      <c r="N3957" s="32"/>
      <c r="Q3957" s="10" t="str">
        <f>+CONCATENATE(E3955,K3955)</f>
        <v/>
      </c>
      <c r="R3957" s="10">
        <f>+L3955</f>
        <v>0</v>
      </c>
      <c r="S3957" s="11"/>
      <c r="T3957" s="10">
        <f>+E3955</f>
        <v>0</v>
      </c>
      <c r="U3957" s="19" t="str">
        <f>IFERROR(LEFT(K3955,FIND("*",K3955)-1),"-")</f>
        <v>-</v>
      </c>
      <c r="V3957" s="19" t="str">
        <f>IFERROR(RIGHT(K3955,LEN(K3955)-FIND("*",K3955)),"-")</f>
        <v>-</v>
      </c>
      <c r="W3957" s="20" t="str">
        <f t="shared" si="2146"/>
        <v>-</v>
      </c>
      <c r="X3957" s="20" t="str">
        <f>IFERROR(W3957*L3955,"-")</f>
        <v>-</v>
      </c>
      <c r="Z3957" s="85" t="s">
        <v>82</v>
      </c>
    </row>
    <row r="3958" spans="1:26" ht="21" customHeight="1" thickBot="1" x14ac:dyDescent="0.35">
      <c r="A3958" s="5"/>
      <c r="B3958" s="159"/>
      <c r="C3958" s="160"/>
      <c r="D3958" s="166" t="s">
        <v>43</v>
      </c>
      <c r="E3958" s="167"/>
      <c r="F3958" s="167"/>
      <c r="G3958" s="168"/>
      <c r="H3958" s="168"/>
      <c r="I3958" s="168"/>
      <c r="J3958" s="168"/>
      <c r="K3958" s="168"/>
      <c r="L3958" s="168"/>
      <c r="M3958" s="7"/>
      <c r="N3958" s="32"/>
      <c r="Z3958" s="86" t="s">
        <v>81</v>
      </c>
    </row>
    <row r="3959" spans="1:26" ht="9.9499999999999993" customHeight="1" thickBot="1" x14ac:dyDescent="0.35">
      <c r="B3959" s="9"/>
      <c r="C3959" s="109"/>
      <c r="D3959" s="51"/>
      <c r="E3959" s="12"/>
      <c r="F3959" s="51"/>
      <c r="G3959" s="14"/>
      <c r="H3959" s="14"/>
      <c r="I3959" s="14"/>
      <c r="J3959" s="14"/>
      <c r="K3959" s="14"/>
      <c r="L3959" s="14"/>
      <c r="M3959" s="9"/>
      <c r="N3959" s="32"/>
      <c r="U3959" s="18"/>
      <c r="V3959" s="18"/>
      <c r="Z3959" s="85" t="s">
        <v>82</v>
      </c>
    </row>
    <row r="3960" spans="1:26" ht="6.95" customHeight="1" x14ac:dyDescent="0.3">
      <c r="A3960" s="154">
        <f>+A3949+1</f>
        <v>1159</v>
      </c>
      <c r="B3960" s="155"/>
      <c r="C3960" s="156"/>
      <c r="D3960" s="161" t="s">
        <v>39</v>
      </c>
      <c r="E3960" s="162"/>
      <c r="F3960" s="163" t="s">
        <v>40</v>
      </c>
      <c r="G3960" s="164"/>
      <c r="H3960" s="165"/>
      <c r="I3960" s="164"/>
      <c r="J3960" s="165"/>
      <c r="K3960" s="164"/>
      <c r="L3960" s="165"/>
      <c r="M3960" s="6"/>
      <c r="N3960" s="32"/>
      <c r="Q3960" s="10" t="str">
        <f>+CONCATENATE(E3960,G3960)</f>
        <v/>
      </c>
      <c r="R3960" s="10">
        <f>+H3960</f>
        <v>0</v>
      </c>
      <c r="S3960" s="11"/>
      <c r="T3960" s="10">
        <f>+E3960</f>
        <v>0</v>
      </c>
      <c r="U3960" s="19" t="str">
        <f>IFERROR(LEFT(G3960,FIND("*",G3960)-1),"-")</f>
        <v>-</v>
      </c>
      <c r="V3960" s="19" t="str">
        <f>IFERROR(RIGHT(G3960,LEN(G3960)-FIND("*",G3960)),"-")</f>
        <v>-</v>
      </c>
      <c r="W3960" s="20" t="str">
        <f>IFERROR((U3960+V3960)*2/1000,"-")</f>
        <v>-</v>
      </c>
      <c r="X3960" s="20" t="str">
        <f>IFERROR(W3960*H3960,"-")</f>
        <v>-</v>
      </c>
      <c r="Z3960" s="85" t="s">
        <v>82</v>
      </c>
    </row>
    <row r="3961" spans="1:26" ht="6.95" customHeight="1" x14ac:dyDescent="0.3">
      <c r="A3961" s="154"/>
      <c r="B3961" s="157"/>
      <c r="C3961" s="158"/>
      <c r="D3961" s="161"/>
      <c r="E3961" s="162"/>
      <c r="F3961" s="163"/>
      <c r="G3961" s="164"/>
      <c r="H3961" s="165"/>
      <c r="I3961" s="164"/>
      <c r="J3961" s="165"/>
      <c r="K3961" s="164"/>
      <c r="L3961" s="165"/>
      <c r="M3961" s="6"/>
      <c r="N3961" s="32"/>
      <c r="Q3961" s="10" t="str">
        <f>+CONCATENATE(E3960,I3960)</f>
        <v/>
      </c>
      <c r="R3961" s="10">
        <f>+J3960</f>
        <v>0</v>
      </c>
      <c r="S3961" s="11"/>
      <c r="T3961" s="10">
        <f>+E3960</f>
        <v>0</v>
      </c>
      <c r="U3961" s="19" t="str">
        <f>IFERROR(LEFT(I3960,FIND("*",I3960)-1),"-")</f>
        <v>-</v>
      </c>
      <c r="V3961" s="19" t="str">
        <f>IFERROR(RIGHT(I3960,LEN(I3960)-FIND("*",I3960)),"-")</f>
        <v>-</v>
      </c>
      <c r="W3961" s="20" t="str">
        <f t="shared" ref="W3961:W3968" si="2152">IFERROR((U3961+V3961)*2/1000,"-")</f>
        <v>-</v>
      </c>
      <c r="X3961" s="20" t="str">
        <f>IFERROR(W3961*J3960,"-")</f>
        <v>-</v>
      </c>
      <c r="Z3961" s="85" t="s">
        <v>82</v>
      </c>
    </row>
    <row r="3962" spans="1:26" ht="6.95" customHeight="1" x14ac:dyDescent="0.3">
      <c r="A3962" s="154"/>
      <c r="B3962" s="157"/>
      <c r="C3962" s="158"/>
      <c r="D3962" s="161"/>
      <c r="E3962" s="162"/>
      <c r="F3962" s="163"/>
      <c r="G3962" s="164"/>
      <c r="H3962" s="165"/>
      <c r="I3962" s="164"/>
      <c r="J3962" s="165"/>
      <c r="K3962" s="164"/>
      <c r="L3962" s="165"/>
      <c r="M3962" s="6"/>
      <c r="N3962" s="32"/>
      <c r="Q3962" s="10" t="str">
        <f>+CONCATENATE(E3960,K3960)</f>
        <v/>
      </c>
      <c r="R3962" s="10">
        <f>+L3960</f>
        <v>0</v>
      </c>
      <c r="S3962" s="11"/>
      <c r="T3962" s="10">
        <f>+E3960</f>
        <v>0</v>
      </c>
      <c r="U3962" s="19" t="str">
        <f>IFERROR(LEFT(K3960,FIND("*",K3960)-1),"-")</f>
        <v>-</v>
      </c>
      <c r="V3962" s="19" t="str">
        <f>IFERROR(RIGHT(K3960,LEN(K3960)-FIND("*",K3960)),"-")</f>
        <v>-</v>
      </c>
      <c r="W3962" s="20" t="str">
        <f t="shared" si="2152"/>
        <v>-</v>
      </c>
      <c r="X3962" s="20" t="str">
        <f>IFERROR(W3962*L3960,"-")</f>
        <v>-</v>
      </c>
      <c r="Z3962" s="85" t="s">
        <v>82</v>
      </c>
    </row>
    <row r="3963" spans="1:26" ht="6.95" customHeight="1" x14ac:dyDescent="0.3">
      <c r="A3963" s="8"/>
      <c r="B3963" s="157"/>
      <c r="C3963" s="158"/>
      <c r="D3963" s="161" t="s">
        <v>39</v>
      </c>
      <c r="E3963" s="162"/>
      <c r="F3963" s="163" t="s">
        <v>40</v>
      </c>
      <c r="G3963" s="164"/>
      <c r="H3963" s="165"/>
      <c r="I3963" s="164"/>
      <c r="J3963" s="165"/>
      <c r="K3963" s="164"/>
      <c r="L3963" s="165"/>
      <c r="M3963" s="6"/>
      <c r="N3963" s="32"/>
      <c r="Q3963" s="10" t="str">
        <f>+CONCATENATE(E3963,G3963)</f>
        <v/>
      </c>
      <c r="R3963" s="10">
        <f>+H3963</f>
        <v>0</v>
      </c>
      <c r="S3963" s="11"/>
      <c r="T3963" s="10">
        <f>+E3963</f>
        <v>0</v>
      </c>
      <c r="U3963" s="19" t="str">
        <f t="shared" ref="U3963" si="2153">IFERROR(LEFT(G3963,FIND("*",G3963)-1),"-")</f>
        <v>-</v>
      </c>
      <c r="V3963" s="19" t="str">
        <f t="shared" ref="V3963" si="2154">IFERROR(RIGHT(G3963,LEN(G3963)-FIND("*",G3963)),"-")</f>
        <v>-</v>
      </c>
      <c r="W3963" s="20" t="str">
        <f t="shared" si="2152"/>
        <v>-</v>
      </c>
      <c r="X3963" s="20" t="str">
        <f>IFERROR(W3963*H3963,"-")</f>
        <v>-</v>
      </c>
      <c r="Z3963" s="85" t="s">
        <v>82</v>
      </c>
    </row>
    <row r="3964" spans="1:26" ht="6.95" customHeight="1" x14ac:dyDescent="0.3">
      <c r="A3964" s="5"/>
      <c r="B3964" s="157"/>
      <c r="C3964" s="158"/>
      <c r="D3964" s="161"/>
      <c r="E3964" s="162"/>
      <c r="F3964" s="163"/>
      <c r="G3964" s="164"/>
      <c r="H3964" s="165"/>
      <c r="I3964" s="164"/>
      <c r="J3964" s="165"/>
      <c r="K3964" s="164"/>
      <c r="L3964" s="165"/>
      <c r="M3964" s="6"/>
      <c r="N3964" s="32"/>
      <c r="Q3964" s="10" t="str">
        <f>+CONCATENATE(E3963,I3963)</f>
        <v/>
      </c>
      <c r="R3964" s="10">
        <f>+J3963</f>
        <v>0</v>
      </c>
      <c r="S3964" s="11"/>
      <c r="T3964" s="10">
        <f>+E3963</f>
        <v>0</v>
      </c>
      <c r="U3964" s="19" t="str">
        <f>IFERROR(LEFT(I3963,FIND("*",I3963)-1),"-")</f>
        <v>-</v>
      </c>
      <c r="V3964" s="19" t="str">
        <f>IFERROR(RIGHT(I3963,LEN(I3963)-FIND("*",I3963)),"-")</f>
        <v>-</v>
      </c>
      <c r="W3964" s="20" t="str">
        <f t="shared" si="2152"/>
        <v>-</v>
      </c>
      <c r="X3964" s="20" t="str">
        <f>IFERROR(W3964*J3963,"-")</f>
        <v>-</v>
      </c>
      <c r="Z3964" s="85" t="s">
        <v>82</v>
      </c>
    </row>
    <row r="3965" spans="1:26" ht="6.95" customHeight="1" x14ac:dyDescent="0.3">
      <c r="A3965" s="5"/>
      <c r="B3965" s="157"/>
      <c r="C3965" s="158"/>
      <c r="D3965" s="161"/>
      <c r="E3965" s="162"/>
      <c r="F3965" s="163"/>
      <c r="G3965" s="164"/>
      <c r="H3965" s="165"/>
      <c r="I3965" s="164"/>
      <c r="J3965" s="165"/>
      <c r="K3965" s="164"/>
      <c r="L3965" s="165"/>
      <c r="M3965" s="6"/>
      <c r="N3965" s="32"/>
      <c r="Q3965" s="10" t="str">
        <f>+CONCATENATE(E3963,K3963)</f>
        <v/>
      </c>
      <c r="R3965" s="10">
        <f>+L3963</f>
        <v>0</v>
      </c>
      <c r="S3965" s="11"/>
      <c r="T3965" s="10">
        <f>+E3963</f>
        <v>0</v>
      </c>
      <c r="U3965" s="19" t="str">
        <f>IFERROR(LEFT(K3963,FIND("*",K3963)-1),"-")</f>
        <v>-</v>
      </c>
      <c r="V3965" s="19" t="str">
        <f>IFERROR(RIGHT(K3963,LEN(K3963)-FIND("*",K3963)),"-")</f>
        <v>-</v>
      </c>
      <c r="W3965" s="20" t="str">
        <f t="shared" si="2152"/>
        <v>-</v>
      </c>
      <c r="X3965" s="20" t="str">
        <f>IFERROR(W3965*L3963,"-")</f>
        <v>-</v>
      </c>
      <c r="Z3965" s="85" t="s">
        <v>82</v>
      </c>
    </row>
    <row r="3966" spans="1:26" ht="6.95" customHeight="1" x14ac:dyDescent="0.3">
      <c r="A3966" s="8"/>
      <c r="B3966" s="157"/>
      <c r="C3966" s="158"/>
      <c r="D3966" s="161" t="s">
        <v>39</v>
      </c>
      <c r="E3966" s="162"/>
      <c r="F3966" s="163" t="s">
        <v>40</v>
      </c>
      <c r="G3966" s="164"/>
      <c r="H3966" s="165"/>
      <c r="I3966" s="164"/>
      <c r="J3966" s="165"/>
      <c r="K3966" s="164"/>
      <c r="L3966" s="165"/>
      <c r="M3966" s="6"/>
      <c r="N3966" s="32"/>
      <c r="Q3966" s="10" t="str">
        <f>+CONCATENATE(E3966,G3966)</f>
        <v/>
      </c>
      <c r="R3966" s="10">
        <f>+H3966</f>
        <v>0</v>
      </c>
      <c r="S3966" s="11"/>
      <c r="T3966" s="10">
        <f>+E3966</f>
        <v>0</v>
      </c>
      <c r="U3966" s="19" t="str">
        <f t="shared" ref="U3966" si="2155">IFERROR(LEFT(G3966,FIND("*",G3966)-1),"-")</f>
        <v>-</v>
      </c>
      <c r="V3966" s="19" t="str">
        <f t="shared" ref="V3966" si="2156">IFERROR(RIGHT(G3966,LEN(G3966)-FIND("*",G3966)),"-")</f>
        <v>-</v>
      </c>
      <c r="W3966" s="20" t="str">
        <f t="shared" si="2152"/>
        <v>-</v>
      </c>
      <c r="X3966" s="20" t="str">
        <f>IFERROR(W3966*H3966,"-")</f>
        <v>-</v>
      </c>
      <c r="Z3966" s="85" t="s">
        <v>82</v>
      </c>
    </row>
    <row r="3967" spans="1:26" ht="6.95" customHeight="1" x14ac:dyDescent="0.3">
      <c r="A3967" s="5"/>
      <c r="B3967" s="157"/>
      <c r="C3967" s="158"/>
      <c r="D3967" s="161"/>
      <c r="E3967" s="162"/>
      <c r="F3967" s="163"/>
      <c r="G3967" s="164"/>
      <c r="H3967" s="165"/>
      <c r="I3967" s="164"/>
      <c r="J3967" s="165"/>
      <c r="K3967" s="164"/>
      <c r="L3967" s="165"/>
      <c r="M3967" s="6"/>
      <c r="N3967" s="32"/>
      <c r="Q3967" s="10" t="str">
        <f>+CONCATENATE(E3966,I3966)</f>
        <v/>
      </c>
      <c r="R3967" s="10">
        <f>+J3966</f>
        <v>0</v>
      </c>
      <c r="S3967" s="11"/>
      <c r="T3967" s="10">
        <f>+E3966</f>
        <v>0</v>
      </c>
      <c r="U3967" s="19" t="str">
        <f>IFERROR(LEFT(I3966,FIND("*",I3966)-1),"-")</f>
        <v>-</v>
      </c>
      <c r="V3967" s="19" t="str">
        <f>IFERROR(RIGHT(I3966,LEN(I3966)-FIND("*",I3966)),"-")</f>
        <v>-</v>
      </c>
      <c r="W3967" s="20" t="str">
        <f t="shared" si="2152"/>
        <v>-</v>
      </c>
      <c r="X3967" s="20" t="str">
        <f t="shared" ref="X3967" si="2157">IFERROR(W3967*J3966,"-")</f>
        <v>-</v>
      </c>
      <c r="Z3967" s="85" t="s">
        <v>82</v>
      </c>
    </row>
    <row r="3968" spans="1:26" ht="6.95" customHeight="1" x14ac:dyDescent="0.3">
      <c r="A3968" s="5"/>
      <c r="B3968" s="157"/>
      <c r="C3968" s="158"/>
      <c r="D3968" s="161"/>
      <c r="E3968" s="162"/>
      <c r="F3968" s="163"/>
      <c r="G3968" s="164"/>
      <c r="H3968" s="165"/>
      <c r="I3968" s="164"/>
      <c r="J3968" s="165"/>
      <c r="K3968" s="164"/>
      <c r="L3968" s="165"/>
      <c r="M3968" s="6"/>
      <c r="N3968" s="32"/>
      <c r="Q3968" s="10" t="str">
        <f>+CONCATENATE(E3966,K3966)</f>
        <v/>
      </c>
      <c r="R3968" s="10">
        <f>+L3966</f>
        <v>0</v>
      </c>
      <c r="S3968" s="11"/>
      <c r="T3968" s="10">
        <f>+E3966</f>
        <v>0</v>
      </c>
      <c r="U3968" s="19" t="str">
        <f>IFERROR(LEFT(K3966,FIND("*",K3966)-1),"-")</f>
        <v>-</v>
      </c>
      <c r="V3968" s="19" t="str">
        <f>IFERROR(RIGHT(K3966,LEN(K3966)-FIND("*",K3966)),"-")</f>
        <v>-</v>
      </c>
      <c r="W3968" s="20" t="str">
        <f t="shared" si="2152"/>
        <v>-</v>
      </c>
      <c r="X3968" s="20" t="str">
        <f>IFERROR(W3968*L3966,"-")</f>
        <v>-</v>
      </c>
      <c r="Z3968" s="85" t="s">
        <v>82</v>
      </c>
    </row>
    <row r="3969" spans="1:26" ht="21" customHeight="1" thickBot="1" x14ac:dyDescent="0.35">
      <c r="A3969" s="5"/>
      <c r="B3969" s="159"/>
      <c r="C3969" s="160"/>
      <c r="D3969" s="166" t="s">
        <v>43</v>
      </c>
      <c r="E3969" s="167"/>
      <c r="F3969" s="167"/>
      <c r="G3969" s="168"/>
      <c r="H3969" s="168"/>
      <c r="I3969" s="168"/>
      <c r="J3969" s="168"/>
      <c r="K3969" s="168"/>
      <c r="L3969" s="168"/>
      <c r="M3969" s="7"/>
      <c r="N3969" s="32"/>
      <c r="Z3969" s="86" t="s">
        <v>81</v>
      </c>
    </row>
    <row r="3970" spans="1:26" ht="9.9499999999999993" customHeight="1" thickBot="1" x14ac:dyDescent="0.35">
      <c r="B3970" s="9"/>
      <c r="C3970" s="109"/>
      <c r="D3970" s="51"/>
      <c r="E3970" s="12"/>
      <c r="F3970" s="51"/>
      <c r="G3970" s="14"/>
      <c r="H3970" s="14"/>
      <c r="I3970" s="14"/>
      <c r="J3970" s="14"/>
      <c r="K3970" s="14"/>
      <c r="L3970" s="14"/>
      <c r="M3970" s="9"/>
      <c r="N3970" s="32"/>
      <c r="U3970" s="18"/>
      <c r="V3970" s="18"/>
      <c r="Z3970" s="85" t="s">
        <v>82</v>
      </c>
    </row>
    <row r="3971" spans="1:26" ht="6.95" customHeight="1" x14ac:dyDescent="0.3">
      <c r="A3971" s="154">
        <f>+A3960+1</f>
        <v>1160</v>
      </c>
      <c r="B3971" s="155"/>
      <c r="C3971" s="156"/>
      <c r="D3971" s="161" t="s">
        <v>39</v>
      </c>
      <c r="E3971" s="162"/>
      <c r="F3971" s="163" t="s">
        <v>40</v>
      </c>
      <c r="G3971" s="164"/>
      <c r="H3971" s="165"/>
      <c r="I3971" s="164"/>
      <c r="J3971" s="165"/>
      <c r="K3971" s="164"/>
      <c r="L3971" s="165"/>
      <c r="M3971" s="6"/>
      <c r="N3971" s="32"/>
      <c r="Q3971" s="10" t="str">
        <f>+CONCATENATE(E3971,G3971)</f>
        <v/>
      </c>
      <c r="R3971" s="10">
        <f>+H3971</f>
        <v>0</v>
      </c>
      <c r="S3971" s="11"/>
      <c r="T3971" s="10">
        <f>+E3971</f>
        <v>0</v>
      </c>
      <c r="U3971" s="19" t="str">
        <f>IFERROR(LEFT(G3971,FIND("*",G3971)-1),"-")</f>
        <v>-</v>
      </c>
      <c r="V3971" s="19" t="str">
        <f>IFERROR(RIGHT(G3971,LEN(G3971)-FIND("*",G3971)),"-")</f>
        <v>-</v>
      </c>
      <c r="W3971" s="20" t="str">
        <f>IFERROR((U3971+V3971)*2/1000,"-")</f>
        <v>-</v>
      </c>
      <c r="X3971" s="20" t="str">
        <f>IFERROR(W3971*H3971,"-")</f>
        <v>-</v>
      </c>
      <c r="Z3971" s="85" t="s">
        <v>82</v>
      </c>
    </row>
    <row r="3972" spans="1:26" ht="6.95" customHeight="1" x14ac:dyDescent="0.3">
      <c r="A3972" s="154"/>
      <c r="B3972" s="157"/>
      <c r="C3972" s="158"/>
      <c r="D3972" s="161"/>
      <c r="E3972" s="162"/>
      <c r="F3972" s="163"/>
      <c r="G3972" s="164"/>
      <c r="H3972" s="165"/>
      <c r="I3972" s="164"/>
      <c r="J3972" s="165"/>
      <c r="K3972" s="164"/>
      <c r="L3972" s="165"/>
      <c r="M3972" s="6"/>
      <c r="N3972" s="32"/>
      <c r="Q3972" s="10" t="str">
        <f>+CONCATENATE(E3971,I3971)</f>
        <v/>
      </c>
      <c r="R3972" s="10">
        <f>+J3971</f>
        <v>0</v>
      </c>
      <c r="S3972" s="11"/>
      <c r="T3972" s="10">
        <f>+E3971</f>
        <v>0</v>
      </c>
      <c r="U3972" s="19" t="str">
        <f>IFERROR(LEFT(I3971,FIND("*",I3971)-1),"-")</f>
        <v>-</v>
      </c>
      <c r="V3972" s="19" t="str">
        <f>IFERROR(RIGHT(I3971,LEN(I3971)-FIND("*",I3971)),"-")</f>
        <v>-</v>
      </c>
      <c r="W3972" s="20" t="str">
        <f t="shared" ref="W3972:W3979" si="2158">IFERROR((U3972+V3972)*2/1000,"-")</f>
        <v>-</v>
      </c>
      <c r="X3972" s="20" t="str">
        <f>IFERROR(W3972*J3971,"-")</f>
        <v>-</v>
      </c>
      <c r="Z3972" s="85" t="s">
        <v>82</v>
      </c>
    </row>
    <row r="3973" spans="1:26" ht="6.95" customHeight="1" x14ac:dyDescent="0.3">
      <c r="A3973" s="154"/>
      <c r="B3973" s="157"/>
      <c r="C3973" s="158"/>
      <c r="D3973" s="161"/>
      <c r="E3973" s="162"/>
      <c r="F3973" s="163"/>
      <c r="G3973" s="164"/>
      <c r="H3973" s="165"/>
      <c r="I3973" s="164"/>
      <c r="J3973" s="165"/>
      <c r="K3973" s="164"/>
      <c r="L3973" s="165"/>
      <c r="M3973" s="6"/>
      <c r="N3973" s="32"/>
      <c r="Q3973" s="10" t="str">
        <f>+CONCATENATE(E3971,K3971)</f>
        <v/>
      </c>
      <c r="R3973" s="10">
        <f>+L3971</f>
        <v>0</v>
      </c>
      <c r="S3973" s="11"/>
      <c r="T3973" s="10">
        <f>+E3971</f>
        <v>0</v>
      </c>
      <c r="U3973" s="19" t="str">
        <f>IFERROR(LEFT(K3971,FIND("*",K3971)-1),"-")</f>
        <v>-</v>
      </c>
      <c r="V3973" s="19" t="str">
        <f>IFERROR(RIGHT(K3971,LEN(K3971)-FIND("*",K3971)),"-")</f>
        <v>-</v>
      </c>
      <c r="W3973" s="20" t="str">
        <f t="shared" si="2158"/>
        <v>-</v>
      </c>
      <c r="X3973" s="20" t="str">
        <f>IFERROR(W3973*L3971,"-")</f>
        <v>-</v>
      </c>
      <c r="Z3973" s="85" t="s">
        <v>82</v>
      </c>
    </row>
    <row r="3974" spans="1:26" ht="6.95" customHeight="1" x14ac:dyDescent="0.3">
      <c r="A3974" s="8"/>
      <c r="B3974" s="157"/>
      <c r="C3974" s="158"/>
      <c r="D3974" s="161" t="s">
        <v>39</v>
      </c>
      <c r="E3974" s="162"/>
      <c r="F3974" s="163" t="s">
        <v>40</v>
      </c>
      <c r="G3974" s="164"/>
      <c r="H3974" s="165"/>
      <c r="I3974" s="164"/>
      <c r="J3974" s="165"/>
      <c r="K3974" s="164"/>
      <c r="L3974" s="165"/>
      <c r="M3974" s="6"/>
      <c r="N3974" s="32"/>
      <c r="Q3974" s="10" t="str">
        <f>+CONCATENATE(E3974,G3974)</f>
        <v/>
      </c>
      <c r="R3974" s="10">
        <f>+H3974</f>
        <v>0</v>
      </c>
      <c r="S3974" s="11"/>
      <c r="T3974" s="10">
        <f>+E3974</f>
        <v>0</v>
      </c>
      <c r="U3974" s="19" t="str">
        <f t="shared" ref="U3974" si="2159">IFERROR(LEFT(G3974,FIND("*",G3974)-1),"-")</f>
        <v>-</v>
      </c>
      <c r="V3974" s="19" t="str">
        <f t="shared" ref="V3974" si="2160">IFERROR(RIGHT(G3974,LEN(G3974)-FIND("*",G3974)),"-")</f>
        <v>-</v>
      </c>
      <c r="W3974" s="20" t="str">
        <f t="shared" si="2158"/>
        <v>-</v>
      </c>
      <c r="X3974" s="20" t="str">
        <f>IFERROR(W3974*H3974,"-")</f>
        <v>-</v>
      </c>
      <c r="Z3974" s="85" t="s">
        <v>82</v>
      </c>
    </row>
    <row r="3975" spans="1:26" ht="6.95" customHeight="1" x14ac:dyDescent="0.3">
      <c r="A3975" s="5"/>
      <c r="B3975" s="157"/>
      <c r="C3975" s="158"/>
      <c r="D3975" s="161"/>
      <c r="E3975" s="162"/>
      <c r="F3975" s="163"/>
      <c r="G3975" s="164"/>
      <c r="H3975" s="165"/>
      <c r="I3975" s="164"/>
      <c r="J3975" s="165"/>
      <c r="K3975" s="164"/>
      <c r="L3975" s="165"/>
      <c r="M3975" s="6"/>
      <c r="N3975" s="32"/>
      <c r="Q3975" s="10" t="str">
        <f>+CONCATENATE(E3974,I3974)</f>
        <v/>
      </c>
      <c r="R3975" s="10">
        <f>+J3974</f>
        <v>0</v>
      </c>
      <c r="S3975" s="11"/>
      <c r="T3975" s="10">
        <f>+E3974</f>
        <v>0</v>
      </c>
      <c r="U3975" s="19" t="str">
        <f>IFERROR(LEFT(I3974,FIND("*",I3974)-1),"-")</f>
        <v>-</v>
      </c>
      <c r="V3975" s="19" t="str">
        <f>IFERROR(RIGHT(I3974,LEN(I3974)-FIND("*",I3974)),"-")</f>
        <v>-</v>
      </c>
      <c r="W3975" s="20" t="str">
        <f t="shared" si="2158"/>
        <v>-</v>
      </c>
      <c r="X3975" s="20" t="str">
        <f>IFERROR(W3975*J3974,"-")</f>
        <v>-</v>
      </c>
      <c r="Z3975" s="85" t="s">
        <v>82</v>
      </c>
    </row>
    <row r="3976" spans="1:26" ht="6.95" customHeight="1" x14ac:dyDescent="0.3">
      <c r="A3976" s="5"/>
      <c r="B3976" s="157"/>
      <c r="C3976" s="158"/>
      <c r="D3976" s="161"/>
      <c r="E3976" s="162"/>
      <c r="F3976" s="163"/>
      <c r="G3976" s="164"/>
      <c r="H3976" s="165"/>
      <c r="I3976" s="164"/>
      <c r="J3976" s="165"/>
      <c r="K3976" s="164"/>
      <c r="L3976" s="165"/>
      <c r="M3976" s="6"/>
      <c r="N3976" s="32"/>
      <c r="Q3976" s="10" t="str">
        <f>+CONCATENATE(E3974,K3974)</f>
        <v/>
      </c>
      <c r="R3976" s="10">
        <f>+L3974</f>
        <v>0</v>
      </c>
      <c r="S3976" s="11"/>
      <c r="T3976" s="10">
        <f>+E3974</f>
        <v>0</v>
      </c>
      <c r="U3976" s="19" t="str">
        <f>IFERROR(LEFT(K3974,FIND("*",K3974)-1),"-")</f>
        <v>-</v>
      </c>
      <c r="V3976" s="19" t="str">
        <f>IFERROR(RIGHT(K3974,LEN(K3974)-FIND("*",K3974)),"-")</f>
        <v>-</v>
      </c>
      <c r="W3976" s="20" t="str">
        <f t="shared" si="2158"/>
        <v>-</v>
      </c>
      <c r="X3976" s="20" t="str">
        <f>IFERROR(W3976*L3974,"-")</f>
        <v>-</v>
      </c>
      <c r="Z3976" s="85" t="s">
        <v>82</v>
      </c>
    </row>
    <row r="3977" spans="1:26" ht="6.95" customHeight="1" x14ac:dyDescent="0.3">
      <c r="A3977" s="8"/>
      <c r="B3977" s="157"/>
      <c r="C3977" s="158"/>
      <c r="D3977" s="161" t="s">
        <v>39</v>
      </c>
      <c r="E3977" s="162"/>
      <c r="F3977" s="163" t="s">
        <v>40</v>
      </c>
      <c r="G3977" s="164"/>
      <c r="H3977" s="165"/>
      <c r="I3977" s="164"/>
      <c r="J3977" s="165"/>
      <c r="K3977" s="164"/>
      <c r="L3977" s="165"/>
      <c r="M3977" s="6"/>
      <c r="N3977" s="32"/>
      <c r="Q3977" s="10" t="str">
        <f>+CONCATENATE(E3977,G3977)</f>
        <v/>
      </c>
      <c r="R3977" s="10">
        <f>+H3977</f>
        <v>0</v>
      </c>
      <c r="S3977" s="11"/>
      <c r="T3977" s="10">
        <f>+E3977</f>
        <v>0</v>
      </c>
      <c r="U3977" s="19" t="str">
        <f t="shared" ref="U3977" si="2161">IFERROR(LEFT(G3977,FIND("*",G3977)-1),"-")</f>
        <v>-</v>
      </c>
      <c r="V3977" s="19" t="str">
        <f t="shared" ref="V3977" si="2162">IFERROR(RIGHT(G3977,LEN(G3977)-FIND("*",G3977)),"-")</f>
        <v>-</v>
      </c>
      <c r="W3977" s="20" t="str">
        <f t="shared" si="2158"/>
        <v>-</v>
      </c>
      <c r="X3977" s="20" t="str">
        <f>IFERROR(W3977*H3977,"-")</f>
        <v>-</v>
      </c>
      <c r="Z3977" s="85" t="s">
        <v>82</v>
      </c>
    </row>
    <row r="3978" spans="1:26" ht="6.95" customHeight="1" x14ac:dyDescent="0.3">
      <c r="A3978" s="5"/>
      <c r="B3978" s="157"/>
      <c r="C3978" s="158"/>
      <c r="D3978" s="161"/>
      <c r="E3978" s="162"/>
      <c r="F3978" s="163"/>
      <c r="G3978" s="164"/>
      <c r="H3978" s="165"/>
      <c r="I3978" s="164"/>
      <c r="J3978" s="165"/>
      <c r="K3978" s="164"/>
      <c r="L3978" s="165"/>
      <c r="M3978" s="6"/>
      <c r="N3978" s="32"/>
      <c r="Q3978" s="10" t="str">
        <f>+CONCATENATE(E3977,I3977)</f>
        <v/>
      </c>
      <c r="R3978" s="10">
        <f>+J3977</f>
        <v>0</v>
      </c>
      <c r="S3978" s="11"/>
      <c r="T3978" s="10">
        <f>+E3977</f>
        <v>0</v>
      </c>
      <c r="U3978" s="19" t="str">
        <f>IFERROR(LEFT(I3977,FIND("*",I3977)-1),"-")</f>
        <v>-</v>
      </c>
      <c r="V3978" s="19" t="str">
        <f>IFERROR(RIGHT(I3977,LEN(I3977)-FIND("*",I3977)),"-")</f>
        <v>-</v>
      </c>
      <c r="W3978" s="20" t="str">
        <f t="shared" si="2158"/>
        <v>-</v>
      </c>
      <c r="X3978" s="20" t="str">
        <f t="shared" ref="X3978" si="2163">IFERROR(W3978*J3977,"-")</f>
        <v>-</v>
      </c>
      <c r="Z3978" s="85" t="s">
        <v>82</v>
      </c>
    </row>
    <row r="3979" spans="1:26" ht="6.95" customHeight="1" x14ac:dyDescent="0.3">
      <c r="A3979" s="5"/>
      <c r="B3979" s="157"/>
      <c r="C3979" s="158"/>
      <c r="D3979" s="161"/>
      <c r="E3979" s="162"/>
      <c r="F3979" s="163"/>
      <c r="G3979" s="164"/>
      <c r="H3979" s="165"/>
      <c r="I3979" s="164"/>
      <c r="J3979" s="165"/>
      <c r="K3979" s="164"/>
      <c r="L3979" s="165"/>
      <c r="M3979" s="6"/>
      <c r="N3979" s="32"/>
      <c r="Q3979" s="10" t="str">
        <f>+CONCATENATE(E3977,K3977)</f>
        <v/>
      </c>
      <c r="R3979" s="10">
        <f>+L3977</f>
        <v>0</v>
      </c>
      <c r="S3979" s="11"/>
      <c r="T3979" s="10">
        <f>+E3977</f>
        <v>0</v>
      </c>
      <c r="U3979" s="19" t="str">
        <f>IFERROR(LEFT(K3977,FIND("*",K3977)-1),"-")</f>
        <v>-</v>
      </c>
      <c r="V3979" s="19" t="str">
        <f>IFERROR(RIGHT(K3977,LEN(K3977)-FIND("*",K3977)),"-")</f>
        <v>-</v>
      </c>
      <c r="W3979" s="20" t="str">
        <f t="shared" si="2158"/>
        <v>-</v>
      </c>
      <c r="X3979" s="20" t="str">
        <f>IFERROR(W3979*L3977,"-")</f>
        <v>-</v>
      </c>
      <c r="Z3979" s="85" t="s">
        <v>82</v>
      </c>
    </row>
    <row r="3980" spans="1:26" ht="21" customHeight="1" thickBot="1" x14ac:dyDescent="0.35">
      <c r="A3980" s="5"/>
      <c r="B3980" s="159"/>
      <c r="C3980" s="160"/>
      <c r="D3980" s="166" t="s">
        <v>43</v>
      </c>
      <c r="E3980" s="167"/>
      <c r="F3980" s="167"/>
      <c r="G3980" s="168"/>
      <c r="H3980" s="168"/>
      <c r="I3980" s="168"/>
      <c r="J3980" s="168"/>
      <c r="K3980" s="168"/>
      <c r="L3980" s="168"/>
      <c r="M3980" s="7"/>
      <c r="N3980" s="32"/>
      <c r="Z3980" s="86" t="s">
        <v>81</v>
      </c>
    </row>
    <row r="3981" spans="1:26" ht="9.9499999999999993" customHeight="1" thickBot="1" x14ac:dyDescent="0.35">
      <c r="B3981" s="9"/>
      <c r="C3981" s="109"/>
      <c r="D3981" s="51"/>
      <c r="E3981" s="12"/>
      <c r="F3981" s="51"/>
      <c r="G3981" s="14"/>
      <c r="H3981" s="14"/>
      <c r="I3981" s="14"/>
      <c r="J3981" s="14"/>
      <c r="K3981" s="14"/>
      <c r="L3981" s="14"/>
      <c r="M3981" s="9"/>
      <c r="N3981" s="32"/>
      <c r="U3981" s="18"/>
      <c r="V3981" s="18"/>
      <c r="Z3981" s="85" t="s">
        <v>82</v>
      </c>
    </row>
    <row r="3982" spans="1:26" ht="6.95" customHeight="1" x14ac:dyDescent="0.3">
      <c r="A3982" s="154">
        <f>+A3971+1</f>
        <v>1161</v>
      </c>
      <c r="B3982" s="155"/>
      <c r="C3982" s="156"/>
      <c r="D3982" s="161" t="s">
        <v>39</v>
      </c>
      <c r="E3982" s="162"/>
      <c r="F3982" s="163" t="s">
        <v>40</v>
      </c>
      <c r="G3982" s="164"/>
      <c r="H3982" s="165"/>
      <c r="I3982" s="164"/>
      <c r="J3982" s="165"/>
      <c r="K3982" s="164"/>
      <c r="L3982" s="165"/>
      <c r="M3982" s="6"/>
      <c r="N3982" s="32"/>
      <c r="Q3982" s="10" t="str">
        <f>+CONCATENATE(E3982,G3982)</f>
        <v/>
      </c>
      <c r="R3982" s="10">
        <f>+H3982</f>
        <v>0</v>
      </c>
      <c r="S3982" s="11"/>
      <c r="T3982" s="10">
        <f>+E3982</f>
        <v>0</v>
      </c>
      <c r="U3982" s="19" t="str">
        <f>IFERROR(LEFT(G3982,FIND("*",G3982)-1),"-")</f>
        <v>-</v>
      </c>
      <c r="V3982" s="19" t="str">
        <f>IFERROR(RIGHT(G3982,LEN(G3982)-FIND("*",G3982)),"-")</f>
        <v>-</v>
      </c>
      <c r="W3982" s="20" t="str">
        <f>IFERROR((U3982+V3982)*2/1000,"-")</f>
        <v>-</v>
      </c>
      <c r="X3982" s="20" t="str">
        <f>IFERROR(W3982*H3982,"-")</f>
        <v>-</v>
      </c>
      <c r="Z3982" s="85" t="s">
        <v>82</v>
      </c>
    </row>
    <row r="3983" spans="1:26" ht="6.95" customHeight="1" x14ac:dyDescent="0.3">
      <c r="A3983" s="154"/>
      <c r="B3983" s="157"/>
      <c r="C3983" s="158"/>
      <c r="D3983" s="161"/>
      <c r="E3983" s="162"/>
      <c r="F3983" s="163"/>
      <c r="G3983" s="164"/>
      <c r="H3983" s="165"/>
      <c r="I3983" s="164"/>
      <c r="J3983" s="165"/>
      <c r="K3983" s="164"/>
      <c r="L3983" s="165"/>
      <c r="M3983" s="6"/>
      <c r="N3983" s="32"/>
      <c r="Q3983" s="10" t="str">
        <f>+CONCATENATE(E3982,I3982)</f>
        <v/>
      </c>
      <c r="R3983" s="10">
        <f>+J3982</f>
        <v>0</v>
      </c>
      <c r="S3983" s="11"/>
      <c r="T3983" s="10">
        <f>+E3982</f>
        <v>0</v>
      </c>
      <c r="U3983" s="19" t="str">
        <f>IFERROR(LEFT(I3982,FIND("*",I3982)-1),"-")</f>
        <v>-</v>
      </c>
      <c r="V3983" s="19" t="str">
        <f>IFERROR(RIGHT(I3982,LEN(I3982)-FIND("*",I3982)),"-")</f>
        <v>-</v>
      </c>
      <c r="W3983" s="20" t="str">
        <f t="shared" ref="W3983:W3990" si="2164">IFERROR((U3983+V3983)*2/1000,"-")</f>
        <v>-</v>
      </c>
      <c r="X3983" s="20" t="str">
        <f>IFERROR(W3983*J3982,"-")</f>
        <v>-</v>
      </c>
      <c r="Z3983" s="85" t="s">
        <v>82</v>
      </c>
    </row>
    <row r="3984" spans="1:26" ht="6.95" customHeight="1" x14ac:dyDescent="0.3">
      <c r="A3984" s="154"/>
      <c r="B3984" s="157"/>
      <c r="C3984" s="158"/>
      <c r="D3984" s="161"/>
      <c r="E3984" s="162"/>
      <c r="F3984" s="163"/>
      <c r="G3984" s="164"/>
      <c r="H3984" s="165"/>
      <c r="I3984" s="164"/>
      <c r="J3984" s="165"/>
      <c r="K3984" s="164"/>
      <c r="L3984" s="165"/>
      <c r="M3984" s="6"/>
      <c r="N3984" s="32"/>
      <c r="Q3984" s="10" t="str">
        <f>+CONCATENATE(E3982,K3982)</f>
        <v/>
      </c>
      <c r="R3984" s="10">
        <f>+L3982</f>
        <v>0</v>
      </c>
      <c r="S3984" s="11"/>
      <c r="T3984" s="10">
        <f>+E3982</f>
        <v>0</v>
      </c>
      <c r="U3984" s="19" t="str">
        <f>IFERROR(LEFT(K3982,FIND("*",K3982)-1),"-")</f>
        <v>-</v>
      </c>
      <c r="V3984" s="19" t="str">
        <f>IFERROR(RIGHT(K3982,LEN(K3982)-FIND("*",K3982)),"-")</f>
        <v>-</v>
      </c>
      <c r="W3984" s="20" t="str">
        <f t="shared" si="2164"/>
        <v>-</v>
      </c>
      <c r="X3984" s="20" t="str">
        <f>IFERROR(W3984*L3982,"-")</f>
        <v>-</v>
      </c>
      <c r="Z3984" s="85" t="s">
        <v>82</v>
      </c>
    </row>
    <row r="3985" spans="1:26" ht="6.95" customHeight="1" x14ac:dyDescent="0.3">
      <c r="A3985" s="8"/>
      <c r="B3985" s="157"/>
      <c r="C3985" s="158"/>
      <c r="D3985" s="161" t="s">
        <v>39</v>
      </c>
      <c r="E3985" s="162"/>
      <c r="F3985" s="163" t="s">
        <v>40</v>
      </c>
      <c r="G3985" s="164"/>
      <c r="H3985" s="165"/>
      <c r="I3985" s="164"/>
      <c r="J3985" s="165"/>
      <c r="K3985" s="164"/>
      <c r="L3985" s="165"/>
      <c r="M3985" s="6"/>
      <c r="N3985" s="32"/>
      <c r="Q3985" s="10" t="str">
        <f>+CONCATENATE(E3985,G3985)</f>
        <v/>
      </c>
      <c r="R3985" s="10">
        <f>+H3985</f>
        <v>0</v>
      </c>
      <c r="S3985" s="11"/>
      <c r="T3985" s="10">
        <f>+E3985</f>
        <v>0</v>
      </c>
      <c r="U3985" s="19" t="str">
        <f t="shared" ref="U3985" si="2165">IFERROR(LEFT(G3985,FIND("*",G3985)-1),"-")</f>
        <v>-</v>
      </c>
      <c r="V3985" s="19" t="str">
        <f t="shared" ref="V3985" si="2166">IFERROR(RIGHT(G3985,LEN(G3985)-FIND("*",G3985)),"-")</f>
        <v>-</v>
      </c>
      <c r="W3985" s="20" t="str">
        <f t="shared" si="2164"/>
        <v>-</v>
      </c>
      <c r="X3985" s="20" t="str">
        <f>IFERROR(W3985*H3985,"-")</f>
        <v>-</v>
      </c>
      <c r="Z3985" s="85" t="s">
        <v>82</v>
      </c>
    </row>
    <row r="3986" spans="1:26" ht="6.95" customHeight="1" x14ac:dyDescent="0.3">
      <c r="A3986" s="5"/>
      <c r="B3986" s="157"/>
      <c r="C3986" s="158"/>
      <c r="D3986" s="161"/>
      <c r="E3986" s="162"/>
      <c r="F3986" s="163"/>
      <c r="G3986" s="164"/>
      <c r="H3986" s="165"/>
      <c r="I3986" s="164"/>
      <c r="J3986" s="165"/>
      <c r="K3986" s="164"/>
      <c r="L3986" s="165"/>
      <c r="M3986" s="6"/>
      <c r="N3986" s="32"/>
      <c r="Q3986" s="10" t="str">
        <f>+CONCATENATE(E3985,I3985)</f>
        <v/>
      </c>
      <c r="R3986" s="10">
        <f>+J3985</f>
        <v>0</v>
      </c>
      <c r="S3986" s="11"/>
      <c r="T3986" s="10">
        <f>+E3985</f>
        <v>0</v>
      </c>
      <c r="U3986" s="19" t="str">
        <f>IFERROR(LEFT(I3985,FIND("*",I3985)-1),"-")</f>
        <v>-</v>
      </c>
      <c r="V3986" s="19" t="str">
        <f>IFERROR(RIGHT(I3985,LEN(I3985)-FIND("*",I3985)),"-")</f>
        <v>-</v>
      </c>
      <c r="W3986" s="20" t="str">
        <f t="shared" si="2164"/>
        <v>-</v>
      </c>
      <c r="X3986" s="20" t="str">
        <f>IFERROR(W3986*J3985,"-")</f>
        <v>-</v>
      </c>
      <c r="Z3986" s="85" t="s">
        <v>82</v>
      </c>
    </row>
    <row r="3987" spans="1:26" ht="6.95" customHeight="1" x14ac:dyDescent="0.3">
      <c r="A3987" s="5"/>
      <c r="B3987" s="157"/>
      <c r="C3987" s="158"/>
      <c r="D3987" s="161"/>
      <c r="E3987" s="162"/>
      <c r="F3987" s="163"/>
      <c r="G3987" s="164"/>
      <c r="H3987" s="165"/>
      <c r="I3987" s="164"/>
      <c r="J3987" s="165"/>
      <c r="K3987" s="164"/>
      <c r="L3987" s="165"/>
      <c r="M3987" s="6"/>
      <c r="N3987" s="32"/>
      <c r="Q3987" s="10" t="str">
        <f>+CONCATENATE(E3985,K3985)</f>
        <v/>
      </c>
      <c r="R3987" s="10">
        <f>+L3985</f>
        <v>0</v>
      </c>
      <c r="S3987" s="11"/>
      <c r="T3987" s="10">
        <f>+E3985</f>
        <v>0</v>
      </c>
      <c r="U3987" s="19" t="str">
        <f>IFERROR(LEFT(K3985,FIND("*",K3985)-1),"-")</f>
        <v>-</v>
      </c>
      <c r="V3987" s="19" t="str">
        <f>IFERROR(RIGHT(K3985,LEN(K3985)-FIND("*",K3985)),"-")</f>
        <v>-</v>
      </c>
      <c r="W3987" s="20" t="str">
        <f t="shared" si="2164"/>
        <v>-</v>
      </c>
      <c r="X3987" s="20" t="str">
        <f>IFERROR(W3987*L3985,"-")</f>
        <v>-</v>
      </c>
      <c r="Z3987" s="85" t="s">
        <v>82</v>
      </c>
    </row>
    <row r="3988" spans="1:26" ht="6.95" customHeight="1" x14ac:dyDescent="0.3">
      <c r="A3988" s="8"/>
      <c r="B3988" s="157"/>
      <c r="C3988" s="158"/>
      <c r="D3988" s="161" t="s">
        <v>39</v>
      </c>
      <c r="E3988" s="162"/>
      <c r="F3988" s="163" t="s">
        <v>40</v>
      </c>
      <c r="G3988" s="164"/>
      <c r="H3988" s="165"/>
      <c r="I3988" s="164"/>
      <c r="J3988" s="165"/>
      <c r="K3988" s="164"/>
      <c r="L3988" s="165"/>
      <c r="M3988" s="6"/>
      <c r="N3988" s="32"/>
      <c r="Q3988" s="10" t="str">
        <f>+CONCATENATE(E3988,G3988)</f>
        <v/>
      </c>
      <c r="R3988" s="10">
        <f>+H3988</f>
        <v>0</v>
      </c>
      <c r="S3988" s="11"/>
      <c r="T3988" s="10">
        <f>+E3988</f>
        <v>0</v>
      </c>
      <c r="U3988" s="19" t="str">
        <f t="shared" ref="U3988" si="2167">IFERROR(LEFT(G3988,FIND("*",G3988)-1),"-")</f>
        <v>-</v>
      </c>
      <c r="V3988" s="19" t="str">
        <f t="shared" ref="V3988" si="2168">IFERROR(RIGHT(G3988,LEN(G3988)-FIND("*",G3988)),"-")</f>
        <v>-</v>
      </c>
      <c r="W3988" s="20" t="str">
        <f t="shared" si="2164"/>
        <v>-</v>
      </c>
      <c r="X3988" s="20" t="str">
        <f>IFERROR(W3988*H3988,"-")</f>
        <v>-</v>
      </c>
      <c r="Z3988" s="85" t="s">
        <v>82</v>
      </c>
    </row>
    <row r="3989" spans="1:26" ht="6.95" customHeight="1" x14ac:dyDescent="0.3">
      <c r="A3989" s="5"/>
      <c r="B3989" s="157"/>
      <c r="C3989" s="158"/>
      <c r="D3989" s="161"/>
      <c r="E3989" s="162"/>
      <c r="F3989" s="163"/>
      <c r="G3989" s="164"/>
      <c r="H3989" s="165"/>
      <c r="I3989" s="164"/>
      <c r="J3989" s="165"/>
      <c r="K3989" s="164"/>
      <c r="L3989" s="165"/>
      <c r="M3989" s="6"/>
      <c r="N3989" s="32"/>
      <c r="Q3989" s="10" t="str">
        <f>+CONCATENATE(E3988,I3988)</f>
        <v/>
      </c>
      <c r="R3989" s="10">
        <f>+J3988</f>
        <v>0</v>
      </c>
      <c r="S3989" s="11"/>
      <c r="T3989" s="10">
        <f>+E3988</f>
        <v>0</v>
      </c>
      <c r="U3989" s="19" t="str">
        <f>IFERROR(LEFT(I3988,FIND("*",I3988)-1),"-")</f>
        <v>-</v>
      </c>
      <c r="V3989" s="19" t="str">
        <f>IFERROR(RIGHT(I3988,LEN(I3988)-FIND("*",I3988)),"-")</f>
        <v>-</v>
      </c>
      <c r="W3989" s="20" t="str">
        <f t="shared" si="2164"/>
        <v>-</v>
      </c>
      <c r="X3989" s="20" t="str">
        <f t="shared" ref="X3989" si="2169">IFERROR(W3989*J3988,"-")</f>
        <v>-</v>
      </c>
      <c r="Z3989" s="85" t="s">
        <v>82</v>
      </c>
    </row>
    <row r="3990" spans="1:26" ht="6.95" customHeight="1" x14ac:dyDescent="0.3">
      <c r="A3990" s="5"/>
      <c r="B3990" s="157"/>
      <c r="C3990" s="158"/>
      <c r="D3990" s="161"/>
      <c r="E3990" s="162"/>
      <c r="F3990" s="163"/>
      <c r="G3990" s="164"/>
      <c r="H3990" s="165"/>
      <c r="I3990" s="164"/>
      <c r="J3990" s="165"/>
      <c r="K3990" s="164"/>
      <c r="L3990" s="165"/>
      <c r="M3990" s="6"/>
      <c r="N3990" s="32"/>
      <c r="Q3990" s="10" t="str">
        <f>+CONCATENATE(E3988,K3988)</f>
        <v/>
      </c>
      <c r="R3990" s="10">
        <f>+L3988</f>
        <v>0</v>
      </c>
      <c r="S3990" s="11"/>
      <c r="T3990" s="10">
        <f>+E3988</f>
        <v>0</v>
      </c>
      <c r="U3990" s="19" t="str">
        <f>IFERROR(LEFT(K3988,FIND("*",K3988)-1),"-")</f>
        <v>-</v>
      </c>
      <c r="V3990" s="19" t="str">
        <f>IFERROR(RIGHT(K3988,LEN(K3988)-FIND("*",K3988)),"-")</f>
        <v>-</v>
      </c>
      <c r="W3990" s="20" t="str">
        <f t="shared" si="2164"/>
        <v>-</v>
      </c>
      <c r="X3990" s="20" t="str">
        <f>IFERROR(W3990*L3988,"-")</f>
        <v>-</v>
      </c>
      <c r="Z3990" s="85" t="s">
        <v>82</v>
      </c>
    </row>
    <row r="3991" spans="1:26" ht="21" customHeight="1" thickBot="1" x14ac:dyDescent="0.35">
      <c r="A3991" s="5"/>
      <c r="B3991" s="159"/>
      <c r="C3991" s="160"/>
      <c r="D3991" s="166" t="s">
        <v>43</v>
      </c>
      <c r="E3991" s="167"/>
      <c r="F3991" s="167"/>
      <c r="G3991" s="168"/>
      <c r="H3991" s="168"/>
      <c r="I3991" s="168"/>
      <c r="J3991" s="168"/>
      <c r="K3991" s="168"/>
      <c r="L3991" s="168"/>
      <c r="M3991" s="7"/>
      <c r="N3991" s="32"/>
      <c r="Z3991" s="86" t="s">
        <v>81</v>
      </c>
    </row>
    <row r="3992" spans="1:26" ht="9.9499999999999993" customHeight="1" thickBot="1" x14ac:dyDescent="0.35">
      <c r="B3992" s="9"/>
      <c r="C3992" s="109"/>
      <c r="D3992" s="51"/>
      <c r="E3992" s="12"/>
      <c r="F3992" s="51"/>
      <c r="G3992" s="14"/>
      <c r="H3992" s="14"/>
      <c r="I3992" s="14"/>
      <c r="J3992" s="14"/>
      <c r="K3992" s="14"/>
      <c r="L3992" s="14"/>
      <c r="M3992" s="9"/>
      <c r="N3992" s="32"/>
      <c r="U3992" s="18"/>
      <c r="V3992" s="18"/>
      <c r="Z3992" s="85" t="s">
        <v>82</v>
      </c>
    </row>
    <row r="3993" spans="1:26" ht="6.95" customHeight="1" x14ac:dyDescent="0.3">
      <c r="A3993" s="154">
        <f>+A3982+1</f>
        <v>1162</v>
      </c>
      <c r="B3993" s="155"/>
      <c r="C3993" s="156"/>
      <c r="D3993" s="161" t="s">
        <v>39</v>
      </c>
      <c r="E3993" s="162"/>
      <c r="F3993" s="163" t="s">
        <v>40</v>
      </c>
      <c r="G3993" s="164"/>
      <c r="H3993" s="165"/>
      <c r="I3993" s="164"/>
      <c r="J3993" s="165"/>
      <c r="K3993" s="164"/>
      <c r="L3993" s="165"/>
      <c r="M3993" s="6"/>
      <c r="N3993" s="32"/>
      <c r="Q3993" s="10" t="str">
        <f>+CONCATENATE(E3993,G3993)</f>
        <v/>
      </c>
      <c r="R3993" s="10">
        <f>+H3993</f>
        <v>0</v>
      </c>
      <c r="S3993" s="11"/>
      <c r="T3993" s="10">
        <f>+E3993</f>
        <v>0</v>
      </c>
      <c r="U3993" s="19" t="str">
        <f>IFERROR(LEFT(G3993,FIND("*",G3993)-1),"-")</f>
        <v>-</v>
      </c>
      <c r="V3993" s="19" t="str">
        <f>IFERROR(RIGHT(G3993,LEN(G3993)-FIND("*",G3993)),"-")</f>
        <v>-</v>
      </c>
      <c r="W3993" s="20" t="str">
        <f>IFERROR((U3993+V3993)*2/1000,"-")</f>
        <v>-</v>
      </c>
      <c r="X3993" s="20" t="str">
        <f>IFERROR(W3993*H3993,"-")</f>
        <v>-</v>
      </c>
      <c r="Z3993" s="85" t="s">
        <v>82</v>
      </c>
    </row>
    <row r="3994" spans="1:26" ht="6.95" customHeight="1" x14ac:dyDescent="0.3">
      <c r="A3994" s="154"/>
      <c r="B3994" s="157"/>
      <c r="C3994" s="158"/>
      <c r="D3994" s="161"/>
      <c r="E3994" s="162"/>
      <c r="F3994" s="163"/>
      <c r="G3994" s="164"/>
      <c r="H3994" s="165"/>
      <c r="I3994" s="164"/>
      <c r="J3994" s="165"/>
      <c r="K3994" s="164"/>
      <c r="L3994" s="165"/>
      <c r="M3994" s="6"/>
      <c r="N3994" s="32"/>
      <c r="Q3994" s="10" t="str">
        <f>+CONCATENATE(E3993,I3993)</f>
        <v/>
      </c>
      <c r="R3994" s="10">
        <f>+J3993</f>
        <v>0</v>
      </c>
      <c r="S3994" s="11"/>
      <c r="T3994" s="10">
        <f>+E3993</f>
        <v>0</v>
      </c>
      <c r="U3994" s="19" t="str">
        <f>IFERROR(LEFT(I3993,FIND("*",I3993)-1),"-")</f>
        <v>-</v>
      </c>
      <c r="V3994" s="19" t="str">
        <f>IFERROR(RIGHT(I3993,LEN(I3993)-FIND("*",I3993)),"-")</f>
        <v>-</v>
      </c>
      <c r="W3994" s="20" t="str">
        <f t="shared" ref="W3994:W4001" si="2170">IFERROR((U3994+V3994)*2/1000,"-")</f>
        <v>-</v>
      </c>
      <c r="X3994" s="20" t="str">
        <f>IFERROR(W3994*J3993,"-")</f>
        <v>-</v>
      </c>
      <c r="Z3994" s="85" t="s">
        <v>82</v>
      </c>
    </row>
    <row r="3995" spans="1:26" ht="6.95" customHeight="1" x14ac:dyDescent="0.3">
      <c r="A3995" s="154"/>
      <c r="B3995" s="157"/>
      <c r="C3995" s="158"/>
      <c r="D3995" s="161"/>
      <c r="E3995" s="162"/>
      <c r="F3995" s="163"/>
      <c r="G3995" s="164"/>
      <c r="H3995" s="165"/>
      <c r="I3995" s="164"/>
      <c r="J3995" s="165"/>
      <c r="K3995" s="164"/>
      <c r="L3995" s="165"/>
      <c r="M3995" s="6"/>
      <c r="N3995" s="32"/>
      <c r="Q3995" s="10" t="str">
        <f>+CONCATENATE(E3993,K3993)</f>
        <v/>
      </c>
      <c r="R3995" s="10">
        <f>+L3993</f>
        <v>0</v>
      </c>
      <c r="S3995" s="11"/>
      <c r="T3995" s="10">
        <f>+E3993</f>
        <v>0</v>
      </c>
      <c r="U3995" s="19" t="str">
        <f>IFERROR(LEFT(K3993,FIND("*",K3993)-1),"-")</f>
        <v>-</v>
      </c>
      <c r="V3995" s="19" t="str">
        <f>IFERROR(RIGHT(K3993,LEN(K3993)-FIND("*",K3993)),"-")</f>
        <v>-</v>
      </c>
      <c r="W3995" s="20" t="str">
        <f t="shared" si="2170"/>
        <v>-</v>
      </c>
      <c r="X3995" s="20" t="str">
        <f>IFERROR(W3995*L3993,"-")</f>
        <v>-</v>
      </c>
      <c r="Z3995" s="85" t="s">
        <v>82</v>
      </c>
    </row>
    <row r="3996" spans="1:26" ht="6.95" customHeight="1" x14ac:dyDescent="0.3">
      <c r="A3996" s="8"/>
      <c r="B3996" s="157"/>
      <c r="C3996" s="158"/>
      <c r="D3996" s="161" t="s">
        <v>39</v>
      </c>
      <c r="E3996" s="162"/>
      <c r="F3996" s="163" t="s">
        <v>40</v>
      </c>
      <c r="G3996" s="164"/>
      <c r="H3996" s="165"/>
      <c r="I3996" s="164"/>
      <c r="J3996" s="165"/>
      <c r="K3996" s="164"/>
      <c r="L3996" s="165"/>
      <c r="M3996" s="6"/>
      <c r="N3996" s="32"/>
      <c r="Q3996" s="10" t="str">
        <f>+CONCATENATE(E3996,G3996)</f>
        <v/>
      </c>
      <c r="R3996" s="10">
        <f>+H3996</f>
        <v>0</v>
      </c>
      <c r="S3996" s="11"/>
      <c r="T3996" s="10">
        <f>+E3996</f>
        <v>0</v>
      </c>
      <c r="U3996" s="19" t="str">
        <f t="shared" ref="U3996" si="2171">IFERROR(LEFT(G3996,FIND("*",G3996)-1),"-")</f>
        <v>-</v>
      </c>
      <c r="V3996" s="19" t="str">
        <f t="shared" ref="V3996" si="2172">IFERROR(RIGHT(G3996,LEN(G3996)-FIND("*",G3996)),"-")</f>
        <v>-</v>
      </c>
      <c r="W3996" s="20" t="str">
        <f t="shared" si="2170"/>
        <v>-</v>
      </c>
      <c r="X3996" s="20" t="str">
        <f>IFERROR(W3996*H3996,"-")</f>
        <v>-</v>
      </c>
      <c r="Z3996" s="85" t="s">
        <v>82</v>
      </c>
    </row>
    <row r="3997" spans="1:26" ht="6.95" customHeight="1" x14ac:dyDescent="0.3">
      <c r="A3997" s="5"/>
      <c r="B3997" s="157"/>
      <c r="C3997" s="158"/>
      <c r="D3997" s="161"/>
      <c r="E3997" s="162"/>
      <c r="F3997" s="163"/>
      <c r="G3997" s="164"/>
      <c r="H3997" s="165"/>
      <c r="I3997" s="164"/>
      <c r="J3997" s="165"/>
      <c r="K3997" s="164"/>
      <c r="L3997" s="165"/>
      <c r="M3997" s="6"/>
      <c r="N3997" s="32"/>
      <c r="Q3997" s="10" t="str">
        <f>+CONCATENATE(E3996,I3996)</f>
        <v/>
      </c>
      <c r="R3997" s="10">
        <f>+J3996</f>
        <v>0</v>
      </c>
      <c r="S3997" s="11"/>
      <c r="T3997" s="10">
        <f>+E3996</f>
        <v>0</v>
      </c>
      <c r="U3997" s="19" t="str">
        <f>IFERROR(LEFT(I3996,FIND("*",I3996)-1),"-")</f>
        <v>-</v>
      </c>
      <c r="V3997" s="19" t="str">
        <f>IFERROR(RIGHT(I3996,LEN(I3996)-FIND("*",I3996)),"-")</f>
        <v>-</v>
      </c>
      <c r="W3997" s="20" t="str">
        <f t="shared" si="2170"/>
        <v>-</v>
      </c>
      <c r="X3997" s="20" t="str">
        <f>IFERROR(W3997*J3996,"-")</f>
        <v>-</v>
      </c>
      <c r="Z3997" s="85" t="s">
        <v>82</v>
      </c>
    </row>
    <row r="3998" spans="1:26" ht="6.95" customHeight="1" x14ac:dyDescent="0.3">
      <c r="A3998" s="5"/>
      <c r="B3998" s="157"/>
      <c r="C3998" s="158"/>
      <c r="D3998" s="161"/>
      <c r="E3998" s="162"/>
      <c r="F3998" s="163"/>
      <c r="G3998" s="164"/>
      <c r="H3998" s="165"/>
      <c r="I3998" s="164"/>
      <c r="J3998" s="165"/>
      <c r="K3998" s="164"/>
      <c r="L3998" s="165"/>
      <c r="M3998" s="6"/>
      <c r="N3998" s="32"/>
      <c r="Q3998" s="10" t="str">
        <f>+CONCATENATE(E3996,K3996)</f>
        <v/>
      </c>
      <c r="R3998" s="10">
        <f>+L3996</f>
        <v>0</v>
      </c>
      <c r="S3998" s="11"/>
      <c r="T3998" s="10">
        <f>+E3996</f>
        <v>0</v>
      </c>
      <c r="U3998" s="19" t="str">
        <f>IFERROR(LEFT(K3996,FIND("*",K3996)-1),"-")</f>
        <v>-</v>
      </c>
      <c r="V3998" s="19" t="str">
        <f>IFERROR(RIGHT(K3996,LEN(K3996)-FIND("*",K3996)),"-")</f>
        <v>-</v>
      </c>
      <c r="W3998" s="20" t="str">
        <f t="shared" si="2170"/>
        <v>-</v>
      </c>
      <c r="X3998" s="20" t="str">
        <f>IFERROR(W3998*L3996,"-")</f>
        <v>-</v>
      </c>
      <c r="Z3998" s="85" t="s">
        <v>82</v>
      </c>
    </row>
    <row r="3999" spans="1:26" ht="6.95" customHeight="1" x14ac:dyDescent="0.3">
      <c r="A3999" s="8"/>
      <c r="B3999" s="157"/>
      <c r="C3999" s="158"/>
      <c r="D3999" s="161" t="s">
        <v>39</v>
      </c>
      <c r="E3999" s="162"/>
      <c r="F3999" s="163" t="s">
        <v>40</v>
      </c>
      <c r="G3999" s="164"/>
      <c r="H3999" s="165"/>
      <c r="I3999" s="164"/>
      <c r="J3999" s="165"/>
      <c r="K3999" s="164"/>
      <c r="L3999" s="165"/>
      <c r="M3999" s="6"/>
      <c r="N3999" s="32"/>
      <c r="Q3999" s="10" t="str">
        <f>+CONCATENATE(E3999,G3999)</f>
        <v/>
      </c>
      <c r="R3999" s="10">
        <f>+H3999</f>
        <v>0</v>
      </c>
      <c r="S3999" s="11"/>
      <c r="T3999" s="10">
        <f>+E3999</f>
        <v>0</v>
      </c>
      <c r="U3999" s="19" t="str">
        <f t="shared" ref="U3999" si="2173">IFERROR(LEFT(G3999,FIND("*",G3999)-1),"-")</f>
        <v>-</v>
      </c>
      <c r="V3999" s="19" t="str">
        <f t="shared" ref="V3999" si="2174">IFERROR(RIGHT(G3999,LEN(G3999)-FIND("*",G3999)),"-")</f>
        <v>-</v>
      </c>
      <c r="W3999" s="20" t="str">
        <f t="shared" si="2170"/>
        <v>-</v>
      </c>
      <c r="X3999" s="20" t="str">
        <f>IFERROR(W3999*H3999,"-")</f>
        <v>-</v>
      </c>
      <c r="Z3999" s="85" t="s">
        <v>82</v>
      </c>
    </row>
    <row r="4000" spans="1:26" ht="6.95" customHeight="1" x14ac:dyDescent="0.3">
      <c r="A4000" s="5"/>
      <c r="B4000" s="157"/>
      <c r="C4000" s="158"/>
      <c r="D4000" s="161"/>
      <c r="E4000" s="162"/>
      <c r="F4000" s="163"/>
      <c r="G4000" s="164"/>
      <c r="H4000" s="165"/>
      <c r="I4000" s="164"/>
      <c r="J4000" s="165"/>
      <c r="K4000" s="164"/>
      <c r="L4000" s="165"/>
      <c r="M4000" s="6"/>
      <c r="N4000" s="32"/>
      <c r="Q4000" s="10" t="str">
        <f>+CONCATENATE(E3999,I3999)</f>
        <v/>
      </c>
      <c r="R4000" s="10">
        <f>+J3999</f>
        <v>0</v>
      </c>
      <c r="S4000" s="11"/>
      <c r="T4000" s="10">
        <f>+E3999</f>
        <v>0</v>
      </c>
      <c r="U4000" s="19" t="str">
        <f>IFERROR(LEFT(I3999,FIND("*",I3999)-1),"-")</f>
        <v>-</v>
      </c>
      <c r="V4000" s="19" t="str">
        <f>IFERROR(RIGHT(I3999,LEN(I3999)-FIND("*",I3999)),"-")</f>
        <v>-</v>
      </c>
      <c r="W4000" s="20" t="str">
        <f t="shared" si="2170"/>
        <v>-</v>
      </c>
      <c r="X4000" s="20" t="str">
        <f t="shared" ref="X4000" si="2175">IFERROR(W4000*J3999,"-")</f>
        <v>-</v>
      </c>
      <c r="Z4000" s="85" t="s">
        <v>82</v>
      </c>
    </row>
    <row r="4001" spans="1:26" ht="6.95" customHeight="1" x14ac:dyDescent="0.3">
      <c r="A4001" s="5"/>
      <c r="B4001" s="157"/>
      <c r="C4001" s="158"/>
      <c r="D4001" s="161"/>
      <c r="E4001" s="162"/>
      <c r="F4001" s="163"/>
      <c r="G4001" s="164"/>
      <c r="H4001" s="165"/>
      <c r="I4001" s="164"/>
      <c r="J4001" s="165"/>
      <c r="K4001" s="164"/>
      <c r="L4001" s="165"/>
      <c r="M4001" s="6"/>
      <c r="N4001" s="32"/>
      <c r="Q4001" s="10" t="str">
        <f>+CONCATENATE(E3999,K3999)</f>
        <v/>
      </c>
      <c r="R4001" s="10">
        <f>+L3999</f>
        <v>0</v>
      </c>
      <c r="S4001" s="11"/>
      <c r="T4001" s="10">
        <f>+E3999</f>
        <v>0</v>
      </c>
      <c r="U4001" s="19" t="str">
        <f>IFERROR(LEFT(K3999,FIND("*",K3999)-1),"-")</f>
        <v>-</v>
      </c>
      <c r="V4001" s="19" t="str">
        <f>IFERROR(RIGHT(K3999,LEN(K3999)-FIND("*",K3999)),"-")</f>
        <v>-</v>
      </c>
      <c r="W4001" s="20" t="str">
        <f t="shared" si="2170"/>
        <v>-</v>
      </c>
      <c r="X4001" s="20" t="str">
        <f>IFERROR(W4001*L3999,"-")</f>
        <v>-</v>
      </c>
      <c r="Z4001" s="85" t="s">
        <v>82</v>
      </c>
    </row>
    <row r="4002" spans="1:26" ht="21" customHeight="1" thickBot="1" x14ac:dyDescent="0.35">
      <c r="A4002" s="5"/>
      <c r="B4002" s="159"/>
      <c r="C4002" s="160"/>
      <c r="D4002" s="166" t="s">
        <v>43</v>
      </c>
      <c r="E4002" s="167"/>
      <c r="F4002" s="167"/>
      <c r="G4002" s="168"/>
      <c r="H4002" s="168"/>
      <c r="I4002" s="168"/>
      <c r="J4002" s="168"/>
      <c r="K4002" s="168"/>
      <c r="L4002" s="168"/>
      <c r="M4002" s="7"/>
      <c r="N4002" s="32"/>
      <c r="Z4002" s="86" t="s">
        <v>81</v>
      </c>
    </row>
    <row r="4003" spans="1:26" ht="9.9499999999999993" customHeight="1" thickBot="1" x14ac:dyDescent="0.35">
      <c r="B4003" s="9"/>
      <c r="C4003" s="109"/>
      <c r="D4003" s="51"/>
      <c r="E4003" s="12"/>
      <c r="F4003" s="51"/>
      <c r="G4003" s="14"/>
      <c r="H4003" s="14"/>
      <c r="I4003" s="14"/>
      <c r="J4003" s="14"/>
      <c r="K4003" s="14"/>
      <c r="L4003" s="14"/>
      <c r="M4003" s="9"/>
      <c r="N4003" s="32"/>
      <c r="U4003" s="18"/>
      <c r="V4003" s="18"/>
      <c r="Z4003" s="85" t="s">
        <v>82</v>
      </c>
    </row>
    <row r="4004" spans="1:26" ht="6.95" customHeight="1" x14ac:dyDescent="0.3">
      <c r="A4004" s="154">
        <f>+A3993+1</f>
        <v>1163</v>
      </c>
      <c r="B4004" s="155"/>
      <c r="C4004" s="156"/>
      <c r="D4004" s="161" t="s">
        <v>39</v>
      </c>
      <c r="E4004" s="162"/>
      <c r="F4004" s="163" t="s">
        <v>40</v>
      </c>
      <c r="G4004" s="164"/>
      <c r="H4004" s="165"/>
      <c r="I4004" s="164"/>
      <c r="J4004" s="165"/>
      <c r="K4004" s="164"/>
      <c r="L4004" s="165"/>
      <c r="M4004" s="6"/>
      <c r="N4004" s="32"/>
      <c r="Q4004" s="10" t="str">
        <f>+CONCATENATE(E4004,G4004)</f>
        <v/>
      </c>
      <c r="R4004" s="10">
        <f>+H4004</f>
        <v>0</v>
      </c>
      <c r="S4004" s="11"/>
      <c r="T4004" s="10">
        <f>+E4004</f>
        <v>0</v>
      </c>
      <c r="U4004" s="19" t="str">
        <f>IFERROR(LEFT(G4004,FIND("*",G4004)-1),"-")</f>
        <v>-</v>
      </c>
      <c r="V4004" s="19" t="str">
        <f>IFERROR(RIGHT(G4004,LEN(G4004)-FIND("*",G4004)),"-")</f>
        <v>-</v>
      </c>
      <c r="W4004" s="20" t="str">
        <f>IFERROR((U4004+V4004)*2/1000,"-")</f>
        <v>-</v>
      </c>
      <c r="X4004" s="20" t="str">
        <f>IFERROR(W4004*H4004,"-")</f>
        <v>-</v>
      </c>
      <c r="Z4004" s="85" t="s">
        <v>82</v>
      </c>
    </row>
    <row r="4005" spans="1:26" ht="6.95" customHeight="1" x14ac:dyDescent="0.3">
      <c r="A4005" s="154"/>
      <c r="B4005" s="157"/>
      <c r="C4005" s="158"/>
      <c r="D4005" s="161"/>
      <c r="E4005" s="162"/>
      <c r="F4005" s="163"/>
      <c r="G4005" s="164"/>
      <c r="H4005" s="165"/>
      <c r="I4005" s="164"/>
      <c r="J4005" s="165"/>
      <c r="K4005" s="164"/>
      <c r="L4005" s="165"/>
      <c r="M4005" s="6"/>
      <c r="N4005" s="32"/>
      <c r="Q4005" s="10" t="str">
        <f>+CONCATENATE(E4004,I4004)</f>
        <v/>
      </c>
      <c r="R4005" s="10">
        <f>+J4004</f>
        <v>0</v>
      </c>
      <c r="S4005" s="11"/>
      <c r="T4005" s="10">
        <f>+E4004</f>
        <v>0</v>
      </c>
      <c r="U4005" s="19" t="str">
        <f>IFERROR(LEFT(I4004,FIND("*",I4004)-1),"-")</f>
        <v>-</v>
      </c>
      <c r="V4005" s="19" t="str">
        <f>IFERROR(RIGHT(I4004,LEN(I4004)-FIND("*",I4004)),"-")</f>
        <v>-</v>
      </c>
      <c r="W4005" s="20" t="str">
        <f t="shared" ref="W4005:W4012" si="2176">IFERROR((U4005+V4005)*2/1000,"-")</f>
        <v>-</v>
      </c>
      <c r="X4005" s="20" t="str">
        <f>IFERROR(W4005*J4004,"-")</f>
        <v>-</v>
      </c>
      <c r="Z4005" s="85" t="s">
        <v>82</v>
      </c>
    </row>
    <row r="4006" spans="1:26" ht="6.95" customHeight="1" x14ac:dyDescent="0.3">
      <c r="A4006" s="154"/>
      <c r="B4006" s="157"/>
      <c r="C4006" s="158"/>
      <c r="D4006" s="161"/>
      <c r="E4006" s="162"/>
      <c r="F4006" s="163"/>
      <c r="G4006" s="164"/>
      <c r="H4006" s="165"/>
      <c r="I4006" s="164"/>
      <c r="J4006" s="165"/>
      <c r="K4006" s="164"/>
      <c r="L4006" s="165"/>
      <c r="M4006" s="6"/>
      <c r="N4006" s="32"/>
      <c r="Q4006" s="10" t="str">
        <f>+CONCATENATE(E4004,K4004)</f>
        <v/>
      </c>
      <c r="R4006" s="10">
        <f>+L4004</f>
        <v>0</v>
      </c>
      <c r="S4006" s="11"/>
      <c r="T4006" s="10">
        <f>+E4004</f>
        <v>0</v>
      </c>
      <c r="U4006" s="19" t="str">
        <f>IFERROR(LEFT(K4004,FIND("*",K4004)-1),"-")</f>
        <v>-</v>
      </c>
      <c r="V4006" s="19" t="str">
        <f>IFERROR(RIGHT(K4004,LEN(K4004)-FIND("*",K4004)),"-")</f>
        <v>-</v>
      </c>
      <c r="W4006" s="20" t="str">
        <f t="shared" si="2176"/>
        <v>-</v>
      </c>
      <c r="X4006" s="20" t="str">
        <f>IFERROR(W4006*L4004,"-")</f>
        <v>-</v>
      </c>
      <c r="Z4006" s="85" t="s">
        <v>82</v>
      </c>
    </row>
    <row r="4007" spans="1:26" ht="6.95" customHeight="1" x14ac:dyDescent="0.3">
      <c r="A4007" s="8"/>
      <c r="B4007" s="157"/>
      <c r="C4007" s="158"/>
      <c r="D4007" s="161" t="s">
        <v>39</v>
      </c>
      <c r="E4007" s="162"/>
      <c r="F4007" s="163" t="s">
        <v>40</v>
      </c>
      <c r="G4007" s="164"/>
      <c r="H4007" s="165"/>
      <c r="I4007" s="164"/>
      <c r="J4007" s="165"/>
      <c r="K4007" s="164"/>
      <c r="L4007" s="165"/>
      <c r="M4007" s="6"/>
      <c r="N4007" s="32"/>
      <c r="Q4007" s="10" t="str">
        <f>+CONCATENATE(E4007,G4007)</f>
        <v/>
      </c>
      <c r="R4007" s="10">
        <f>+H4007</f>
        <v>0</v>
      </c>
      <c r="S4007" s="11"/>
      <c r="T4007" s="10">
        <f>+E4007</f>
        <v>0</v>
      </c>
      <c r="U4007" s="19" t="str">
        <f t="shared" ref="U4007" si="2177">IFERROR(LEFT(G4007,FIND("*",G4007)-1),"-")</f>
        <v>-</v>
      </c>
      <c r="V4007" s="19" t="str">
        <f t="shared" ref="V4007" si="2178">IFERROR(RIGHT(G4007,LEN(G4007)-FIND("*",G4007)),"-")</f>
        <v>-</v>
      </c>
      <c r="W4007" s="20" t="str">
        <f t="shared" si="2176"/>
        <v>-</v>
      </c>
      <c r="X4007" s="20" t="str">
        <f>IFERROR(W4007*H4007,"-")</f>
        <v>-</v>
      </c>
      <c r="Z4007" s="85" t="s">
        <v>82</v>
      </c>
    </row>
    <row r="4008" spans="1:26" ht="6.95" customHeight="1" x14ac:dyDescent="0.3">
      <c r="A4008" s="5"/>
      <c r="B4008" s="157"/>
      <c r="C4008" s="158"/>
      <c r="D4008" s="161"/>
      <c r="E4008" s="162"/>
      <c r="F4008" s="163"/>
      <c r="G4008" s="164"/>
      <c r="H4008" s="165"/>
      <c r="I4008" s="164"/>
      <c r="J4008" s="165"/>
      <c r="K4008" s="164"/>
      <c r="L4008" s="165"/>
      <c r="M4008" s="6"/>
      <c r="N4008" s="32"/>
      <c r="Q4008" s="10" t="str">
        <f>+CONCATENATE(E4007,I4007)</f>
        <v/>
      </c>
      <c r="R4008" s="10">
        <f>+J4007</f>
        <v>0</v>
      </c>
      <c r="S4008" s="11"/>
      <c r="T4008" s="10">
        <f>+E4007</f>
        <v>0</v>
      </c>
      <c r="U4008" s="19" t="str">
        <f>IFERROR(LEFT(I4007,FIND("*",I4007)-1),"-")</f>
        <v>-</v>
      </c>
      <c r="V4008" s="19" t="str">
        <f>IFERROR(RIGHT(I4007,LEN(I4007)-FIND("*",I4007)),"-")</f>
        <v>-</v>
      </c>
      <c r="W4008" s="20" t="str">
        <f t="shared" si="2176"/>
        <v>-</v>
      </c>
      <c r="X4008" s="20" t="str">
        <f>IFERROR(W4008*J4007,"-")</f>
        <v>-</v>
      </c>
      <c r="Z4008" s="85" t="s">
        <v>82</v>
      </c>
    </row>
    <row r="4009" spans="1:26" ht="6.95" customHeight="1" x14ac:dyDescent="0.3">
      <c r="A4009" s="5"/>
      <c r="B4009" s="157"/>
      <c r="C4009" s="158"/>
      <c r="D4009" s="161"/>
      <c r="E4009" s="162"/>
      <c r="F4009" s="163"/>
      <c r="G4009" s="164"/>
      <c r="H4009" s="165"/>
      <c r="I4009" s="164"/>
      <c r="J4009" s="165"/>
      <c r="K4009" s="164"/>
      <c r="L4009" s="165"/>
      <c r="M4009" s="6"/>
      <c r="N4009" s="32"/>
      <c r="Q4009" s="10" t="str">
        <f>+CONCATENATE(E4007,K4007)</f>
        <v/>
      </c>
      <c r="R4009" s="10">
        <f>+L4007</f>
        <v>0</v>
      </c>
      <c r="S4009" s="11"/>
      <c r="T4009" s="10">
        <f>+E4007</f>
        <v>0</v>
      </c>
      <c r="U4009" s="19" t="str">
        <f>IFERROR(LEFT(K4007,FIND("*",K4007)-1),"-")</f>
        <v>-</v>
      </c>
      <c r="V4009" s="19" t="str">
        <f>IFERROR(RIGHT(K4007,LEN(K4007)-FIND("*",K4007)),"-")</f>
        <v>-</v>
      </c>
      <c r="W4009" s="20" t="str">
        <f t="shared" si="2176"/>
        <v>-</v>
      </c>
      <c r="X4009" s="20" t="str">
        <f>IFERROR(W4009*L4007,"-")</f>
        <v>-</v>
      </c>
      <c r="Z4009" s="85" t="s">
        <v>82</v>
      </c>
    </row>
    <row r="4010" spans="1:26" ht="6.95" customHeight="1" x14ac:dyDescent="0.3">
      <c r="A4010" s="8"/>
      <c r="B4010" s="157"/>
      <c r="C4010" s="158"/>
      <c r="D4010" s="161" t="s">
        <v>39</v>
      </c>
      <c r="E4010" s="162"/>
      <c r="F4010" s="163" t="s">
        <v>40</v>
      </c>
      <c r="G4010" s="164"/>
      <c r="H4010" s="165"/>
      <c r="I4010" s="164"/>
      <c r="J4010" s="165"/>
      <c r="K4010" s="164"/>
      <c r="L4010" s="165"/>
      <c r="M4010" s="6"/>
      <c r="N4010" s="32"/>
      <c r="Q4010" s="10" t="str">
        <f>+CONCATENATE(E4010,G4010)</f>
        <v/>
      </c>
      <c r="R4010" s="10">
        <f>+H4010</f>
        <v>0</v>
      </c>
      <c r="S4010" s="11"/>
      <c r="T4010" s="10">
        <f>+E4010</f>
        <v>0</v>
      </c>
      <c r="U4010" s="19" t="str">
        <f t="shared" ref="U4010" si="2179">IFERROR(LEFT(G4010,FIND("*",G4010)-1),"-")</f>
        <v>-</v>
      </c>
      <c r="V4010" s="19" t="str">
        <f t="shared" ref="V4010" si="2180">IFERROR(RIGHT(G4010,LEN(G4010)-FIND("*",G4010)),"-")</f>
        <v>-</v>
      </c>
      <c r="W4010" s="20" t="str">
        <f t="shared" si="2176"/>
        <v>-</v>
      </c>
      <c r="X4010" s="20" t="str">
        <f>IFERROR(W4010*H4010,"-")</f>
        <v>-</v>
      </c>
      <c r="Z4010" s="85" t="s">
        <v>82</v>
      </c>
    </row>
    <row r="4011" spans="1:26" ht="6.95" customHeight="1" x14ac:dyDescent="0.3">
      <c r="A4011" s="5"/>
      <c r="B4011" s="157"/>
      <c r="C4011" s="158"/>
      <c r="D4011" s="161"/>
      <c r="E4011" s="162"/>
      <c r="F4011" s="163"/>
      <c r="G4011" s="164"/>
      <c r="H4011" s="165"/>
      <c r="I4011" s="164"/>
      <c r="J4011" s="165"/>
      <c r="K4011" s="164"/>
      <c r="L4011" s="165"/>
      <c r="M4011" s="6"/>
      <c r="N4011" s="32"/>
      <c r="Q4011" s="10" t="str">
        <f>+CONCATENATE(E4010,I4010)</f>
        <v/>
      </c>
      <c r="R4011" s="10">
        <f>+J4010</f>
        <v>0</v>
      </c>
      <c r="S4011" s="11"/>
      <c r="T4011" s="10">
        <f>+E4010</f>
        <v>0</v>
      </c>
      <c r="U4011" s="19" t="str">
        <f>IFERROR(LEFT(I4010,FIND("*",I4010)-1),"-")</f>
        <v>-</v>
      </c>
      <c r="V4011" s="19" t="str">
        <f>IFERROR(RIGHT(I4010,LEN(I4010)-FIND("*",I4010)),"-")</f>
        <v>-</v>
      </c>
      <c r="W4011" s="20" t="str">
        <f t="shared" si="2176"/>
        <v>-</v>
      </c>
      <c r="X4011" s="20" t="str">
        <f t="shared" ref="X4011" si="2181">IFERROR(W4011*J4010,"-")</f>
        <v>-</v>
      </c>
      <c r="Z4011" s="85" t="s">
        <v>82</v>
      </c>
    </row>
    <row r="4012" spans="1:26" ht="6.95" customHeight="1" x14ac:dyDescent="0.3">
      <c r="A4012" s="5"/>
      <c r="B4012" s="157"/>
      <c r="C4012" s="158"/>
      <c r="D4012" s="161"/>
      <c r="E4012" s="162"/>
      <c r="F4012" s="163"/>
      <c r="G4012" s="164"/>
      <c r="H4012" s="165"/>
      <c r="I4012" s="164"/>
      <c r="J4012" s="165"/>
      <c r="K4012" s="164"/>
      <c r="L4012" s="165"/>
      <c r="M4012" s="6"/>
      <c r="N4012" s="32"/>
      <c r="Q4012" s="10" t="str">
        <f>+CONCATENATE(E4010,K4010)</f>
        <v/>
      </c>
      <c r="R4012" s="10">
        <f>+L4010</f>
        <v>0</v>
      </c>
      <c r="S4012" s="11"/>
      <c r="T4012" s="10">
        <f>+E4010</f>
        <v>0</v>
      </c>
      <c r="U4012" s="19" t="str">
        <f>IFERROR(LEFT(K4010,FIND("*",K4010)-1),"-")</f>
        <v>-</v>
      </c>
      <c r="V4012" s="19" t="str">
        <f>IFERROR(RIGHT(K4010,LEN(K4010)-FIND("*",K4010)),"-")</f>
        <v>-</v>
      </c>
      <c r="W4012" s="20" t="str">
        <f t="shared" si="2176"/>
        <v>-</v>
      </c>
      <c r="X4012" s="20" t="str">
        <f>IFERROR(W4012*L4010,"-")</f>
        <v>-</v>
      </c>
      <c r="Z4012" s="85" t="s">
        <v>82</v>
      </c>
    </row>
    <row r="4013" spans="1:26" ht="21" customHeight="1" thickBot="1" x14ac:dyDescent="0.35">
      <c r="A4013" s="5"/>
      <c r="B4013" s="159"/>
      <c r="C4013" s="160"/>
      <c r="D4013" s="166" t="s">
        <v>43</v>
      </c>
      <c r="E4013" s="167"/>
      <c r="F4013" s="167"/>
      <c r="G4013" s="168"/>
      <c r="H4013" s="168"/>
      <c r="I4013" s="168"/>
      <c r="J4013" s="168"/>
      <c r="K4013" s="168"/>
      <c r="L4013" s="168"/>
      <c r="M4013" s="7"/>
      <c r="N4013" s="32"/>
      <c r="Z4013" s="86" t="s">
        <v>81</v>
      </c>
    </row>
    <row r="4014" spans="1:26" ht="9.9499999999999993" customHeight="1" thickBot="1" x14ac:dyDescent="0.35">
      <c r="B4014" s="9"/>
      <c r="C4014" s="109"/>
      <c r="D4014" s="51"/>
      <c r="E4014" s="12"/>
      <c r="F4014" s="51"/>
      <c r="G4014" s="14"/>
      <c r="H4014" s="14"/>
      <c r="I4014" s="14"/>
      <c r="J4014" s="14"/>
      <c r="K4014" s="14"/>
      <c r="L4014" s="14"/>
      <c r="M4014" s="9"/>
      <c r="N4014" s="32"/>
      <c r="U4014" s="18"/>
      <c r="V4014" s="18"/>
      <c r="Z4014" s="85" t="s">
        <v>82</v>
      </c>
    </row>
    <row r="4015" spans="1:26" ht="6.95" customHeight="1" x14ac:dyDescent="0.3">
      <c r="A4015" s="154">
        <f>+A4004+1</f>
        <v>1164</v>
      </c>
      <c r="B4015" s="155"/>
      <c r="C4015" s="156"/>
      <c r="D4015" s="161" t="s">
        <v>39</v>
      </c>
      <c r="E4015" s="162"/>
      <c r="F4015" s="163" t="s">
        <v>40</v>
      </c>
      <c r="G4015" s="164"/>
      <c r="H4015" s="165"/>
      <c r="I4015" s="164"/>
      <c r="J4015" s="165"/>
      <c r="K4015" s="164"/>
      <c r="L4015" s="165"/>
      <c r="M4015" s="6"/>
      <c r="N4015" s="32"/>
      <c r="Q4015" s="10" t="str">
        <f>+CONCATENATE(E4015,G4015)</f>
        <v/>
      </c>
      <c r="R4015" s="10">
        <f>+H4015</f>
        <v>0</v>
      </c>
      <c r="S4015" s="11"/>
      <c r="T4015" s="10">
        <f>+E4015</f>
        <v>0</v>
      </c>
      <c r="U4015" s="19" t="str">
        <f>IFERROR(LEFT(G4015,FIND("*",G4015)-1),"-")</f>
        <v>-</v>
      </c>
      <c r="V4015" s="19" t="str">
        <f>IFERROR(RIGHT(G4015,LEN(G4015)-FIND("*",G4015)),"-")</f>
        <v>-</v>
      </c>
      <c r="W4015" s="20" t="str">
        <f>IFERROR((U4015+V4015)*2/1000,"-")</f>
        <v>-</v>
      </c>
      <c r="X4015" s="20" t="str">
        <f>IFERROR(W4015*H4015,"-")</f>
        <v>-</v>
      </c>
      <c r="Z4015" s="85" t="s">
        <v>82</v>
      </c>
    </row>
    <row r="4016" spans="1:26" ht="6.95" customHeight="1" x14ac:dyDescent="0.3">
      <c r="A4016" s="154"/>
      <c r="B4016" s="157"/>
      <c r="C4016" s="158"/>
      <c r="D4016" s="161"/>
      <c r="E4016" s="162"/>
      <c r="F4016" s="163"/>
      <c r="G4016" s="164"/>
      <c r="H4016" s="165"/>
      <c r="I4016" s="164"/>
      <c r="J4016" s="165"/>
      <c r="K4016" s="164"/>
      <c r="L4016" s="165"/>
      <c r="M4016" s="6"/>
      <c r="N4016" s="32"/>
      <c r="Q4016" s="10" t="str">
        <f>+CONCATENATE(E4015,I4015)</f>
        <v/>
      </c>
      <c r="R4016" s="10">
        <f>+J4015</f>
        <v>0</v>
      </c>
      <c r="S4016" s="11"/>
      <c r="T4016" s="10">
        <f>+E4015</f>
        <v>0</v>
      </c>
      <c r="U4016" s="19" t="str">
        <f>IFERROR(LEFT(I4015,FIND("*",I4015)-1),"-")</f>
        <v>-</v>
      </c>
      <c r="V4016" s="19" t="str">
        <f>IFERROR(RIGHT(I4015,LEN(I4015)-FIND("*",I4015)),"-")</f>
        <v>-</v>
      </c>
      <c r="W4016" s="20" t="str">
        <f t="shared" ref="W4016:W4023" si="2182">IFERROR((U4016+V4016)*2/1000,"-")</f>
        <v>-</v>
      </c>
      <c r="X4016" s="20" t="str">
        <f>IFERROR(W4016*J4015,"-")</f>
        <v>-</v>
      </c>
      <c r="Z4016" s="85" t="s">
        <v>82</v>
      </c>
    </row>
    <row r="4017" spans="1:26" ht="6.95" customHeight="1" x14ac:dyDescent="0.3">
      <c r="A4017" s="154"/>
      <c r="B4017" s="157"/>
      <c r="C4017" s="158"/>
      <c r="D4017" s="161"/>
      <c r="E4017" s="162"/>
      <c r="F4017" s="163"/>
      <c r="G4017" s="164"/>
      <c r="H4017" s="165"/>
      <c r="I4017" s="164"/>
      <c r="J4017" s="165"/>
      <c r="K4017" s="164"/>
      <c r="L4017" s="165"/>
      <c r="M4017" s="6"/>
      <c r="N4017" s="32"/>
      <c r="Q4017" s="10" t="str">
        <f>+CONCATENATE(E4015,K4015)</f>
        <v/>
      </c>
      <c r="R4017" s="10">
        <f>+L4015</f>
        <v>0</v>
      </c>
      <c r="S4017" s="11"/>
      <c r="T4017" s="10">
        <f>+E4015</f>
        <v>0</v>
      </c>
      <c r="U4017" s="19" t="str">
        <f>IFERROR(LEFT(K4015,FIND("*",K4015)-1),"-")</f>
        <v>-</v>
      </c>
      <c r="V4017" s="19" t="str">
        <f>IFERROR(RIGHT(K4015,LEN(K4015)-FIND("*",K4015)),"-")</f>
        <v>-</v>
      </c>
      <c r="W4017" s="20" t="str">
        <f t="shared" si="2182"/>
        <v>-</v>
      </c>
      <c r="X4017" s="20" t="str">
        <f>IFERROR(W4017*L4015,"-")</f>
        <v>-</v>
      </c>
      <c r="Z4017" s="85" t="s">
        <v>82</v>
      </c>
    </row>
    <row r="4018" spans="1:26" ht="6.95" customHeight="1" x14ac:dyDescent="0.3">
      <c r="A4018" s="8"/>
      <c r="B4018" s="157"/>
      <c r="C4018" s="158"/>
      <c r="D4018" s="161" t="s">
        <v>39</v>
      </c>
      <c r="E4018" s="162"/>
      <c r="F4018" s="163" t="s">
        <v>40</v>
      </c>
      <c r="G4018" s="164"/>
      <c r="H4018" s="165"/>
      <c r="I4018" s="164"/>
      <c r="J4018" s="165"/>
      <c r="K4018" s="164"/>
      <c r="L4018" s="165"/>
      <c r="M4018" s="6"/>
      <c r="N4018" s="32"/>
      <c r="Q4018" s="10" t="str">
        <f>+CONCATENATE(E4018,G4018)</f>
        <v/>
      </c>
      <c r="R4018" s="10">
        <f>+H4018</f>
        <v>0</v>
      </c>
      <c r="S4018" s="11"/>
      <c r="T4018" s="10">
        <f>+E4018</f>
        <v>0</v>
      </c>
      <c r="U4018" s="19" t="str">
        <f t="shared" ref="U4018" si="2183">IFERROR(LEFT(G4018,FIND("*",G4018)-1),"-")</f>
        <v>-</v>
      </c>
      <c r="V4018" s="19" t="str">
        <f t="shared" ref="V4018" si="2184">IFERROR(RIGHT(G4018,LEN(G4018)-FIND("*",G4018)),"-")</f>
        <v>-</v>
      </c>
      <c r="W4018" s="20" t="str">
        <f t="shared" si="2182"/>
        <v>-</v>
      </c>
      <c r="X4018" s="20" t="str">
        <f>IFERROR(W4018*H4018,"-")</f>
        <v>-</v>
      </c>
      <c r="Z4018" s="85" t="s">
        <v>82</v>
      </c>
    </row>
    <row r="4019" spans="1:26" ht="6.95" customHeight="1" x14ac:dyDescent="0.3">
      <c r="A4019" s="5"/>
      <c r="B4019" s="157"/>
      <c r="C4019" s="158"/>
      <c r="D4019" s="161"/>
      <c r="E4019" s="162"/>
      <c r="F4019" s="163"/>
      <c r="G4019" s="164"/>
      <c r="H4019" s="165"/>
      <c r="I4019" s="164"/>
      <c r="J4019" s="165"/>
      <c r="K4019" s="164"/>
      <c r="L4019" s="165"/>
      <c r="M4019" s="6"/>
      <c r="N4019" s="32"/>
      <c r="Q4019" s="10" t="str">
        <f>+CONCATENATE(E4018,I4018)</f>
        <v/>
      </c>
      <c r="R4019" s="10">
        <f>+J4018</f>
        <v>0</v>
      </c>
      <c r="S4019" s="11"/>
      <c r="T4019" s="10">
        <f>+E4018</f>
        <v>0</v>
      </c>
      <c r="U4019" s="19" t="str">
        <f>IFERROR(LEFT(I4018,FIND("*",I4018)-1),"-")</f>
        <v>-</v>
      </c>
      <c r="V4019" s="19" t="str">
        <f>IFERROR(RIGHT(I4018,LEN(I4018)-FIND("*",I4018)),"-")</f>
        <v>-</v>
      </c>
      <c r="W4019" s="20" t="str">
        <f t="shared" si="2182"/>
        <v>-</v>
      </c>
      <c r="X4019" s="20" t="str">
        <f>IFERROR(W4019*J4018,"-")</f>
        <v>-</v>
      </c>
      <c r="Z4019" s="85" t="s">
        <v>82</v>
      </c>
    </row>
    <row r="4020" spans="1:26" ht="6.95" customHeight="1" x14ac:dyDescent="0.3">
      <c r="A4020" s="5"/>
      <c r="B4020" s="157"/>
      <c r="C4020" s="158"/>
      <c r="D4020" s="161"/>
      <c r="E4020" s="162"/>
      <c r="F4020" s="163"/>
      <c r="G4020" s="164"/>
      <c r="H4020" s="165"/>
      <c r="I4020" s="164"/>
      <c r="J4020" s="165"/>
      <c r="K4020" s="164"/>
      <c r="L4020" s="165"/>
      <c r="M4020" s="6"/>
      <c r="N4020" s="32"/>
      <c r="Q4020" s="10" t="str">
        <f>+CONCATENATE(E4018,K4018)</f>
        <v/>
      </c>
      <c r="R4020" s="10">
        <f>+L4018</f>
        <v>0</v>
      </c>
      <c r="S4020" s="11"/>
      <c r="T4020" s="10">
        <f>+E4018</f>
        <v>0</v>
      </c>
      <c r="U4020" s="19" t="str">
        <f>IFERROR(LEFT(K4018,FIND("*",K4018)-1),"-")</f>
        <v>-</v>
      </c>
      <c r="V4020" s="19" t="str">
        <f>IFERROR(RIGHT(K4018,LEN(K4018)-FIND("*",K4018)),"-")</f>
        <v>-</v>
      </c>
      <c r="W4020" s="20" t="str">
        <f t="shared" si="2182"/>
        <v>-</v>
      </c>
      <c r="X4020" s="20" t="str">
        <f>IFERROR(W4020*L4018,"-")</f>
        <v>-</v>
      </c>
      <c r="Z4020" s="85" t="s">
        <v>82</v>
      </c>
    </row>
    <row r="4021" spans="1:26" ht="6.95" customHeight="1" x14ac:dyDescent="0.3">
      <c r="A4021" s="8"/>
      <c r="B4021" s="157"/>
      <c r="C4021" s="158"/>
      <c r="D4021" s="161" t="s">
        <v>39</v>
      </c>
      <c r="E4021" s="162"/>
      <c r="F4021" s="163" t="s">
        <v>40</v>
      </c>
      <c r="G4021" s="164"/>
      <c r="H4021" s="165"/>
      <c r="I4021" s="164"/>
      <c r="J4021" s="165"/>
      <c r="K4021" s="164"/>
      <c r="L4021" s="165"/>
      <c r="M4021" s="6"/>
      <c r="N4021" s="32"/>
      <c r="Q4021" s="10" t="str">
        <f>+CONCATENATE(E4021,G4021)</f>
        <v/>
      </c>
      <c r="R4021" s="10">
        <f>+H4021</f>
        <v>0</v>
      </c>
      <c r="S4021" s="11"/>
      <c r="T4021" s="10">
        <f>+E4021</f>
        <v>0</v>
      </c>
      <c r="U4021" s="19" t="str">
        <f t="shared" ref="U4021" si="2185">IFERROR(LEFT(G4021,FIND("*",G4021)-1),"-")</f>
        <v>-</v>
      </c>
      <c r="V4021" s="19" t="str">
        <f t="shared" ref="V4021" si="2186">IFERROR(RIGHT(G4021,LEN(G4021)-FIND("*",G4021)),"-")</f>
        <v>-</v>
      </c>
      <c r="W4021" s="20" t="str">
        <f t="shared" si="2182"/>
        <v>-</v>
      </c>
      <c r="X4021" s="20" t="str">
        <f>IFERROR(W4021*H4021,"-")</f>
        <v>-</v>
      </c>
      <c r="Z4021" s="85" t="s">
        <v>82</v>
      </c>
    </row>
    <row r="4022" spans="1:26" ht="6.95" customHeight="1" x14ac:dyDescent="0.3">
      <c r="A4022" s="5"/>
      <c r="B4022" s="157"/>
      <c r="C4022" s="158"/>
      <c r="D4022" s="161"/>
      <c r="E4022" s="162"/>
      <c r="F4022" s="163"/>
      <c r="G4022" s="164"/>
      <c r="H4022" s="165"/>
      <c r="I4022" s="164"/>
      <c r="J4022" s="165"/>
      <c r="K4022" s="164"/>
      <c r="L4022" s="165"/>
      <c r="M4022" s="6"/>
      <c r="N4022" s="32"/>
      <c r="Q4022" s="10" t="str">
        <f>+CONCATENATE(E4021,I4021)</f>
        <v/>
      </c>
      <c r="R4022" s="10">
        <f>+J4021</f>
        <v>0</v>
      </c>
      <c r="S4022" s="11"/>
      <c r="T4022" s="10">
        <f>+E4021</f>
        <v>0</v>
      </c>
      <c r="U4022" s="19" t="str">
        <f>IFERROR(LEFT(I4021,FIND("*",I4021)-1),"-")</f>
        <v>-</v>
      </c>
      <c r="V4022" s="19" t="str">
        <f>IFERROR(RIGHT(I4021,LEN(I4021)-FIND("*",I4021)),"-")</f>
        <v>-</v>
      </c>
      <c r="W4022" s="20" t="str">
        <f t="shared" si="2182"/>
        <v>-</v>
      </c>
      <c r="X4022" s="20" t="str">
        <f t="shared" ref="X4022" si="2187">IFERROR(W4022*J4021,"-")</f>
        <v>-</v>
      </c>
      <c r="Z4022" s="85" t="s">
        <v>82</v>
      </c>
    </row>
    <row r="4023" spans="1:26" ht="6.95" customHeight="1" x14ac:dyDescent="0.3">
      <c r="A4023" s="5"/>
      <c r="B4023" s="157"/>
      <c r="C4023" s="158"/>
      <c r="D4023" s="161"/>
      <c r="E4023" s="162"/>
      <c r="F4023" s="163"/>
      <c r="G4023" s="164"/>
      <c r="H4023" s="165"/>
      <c r="I4023" s="164"/>
      <c r="J4023" s="165"/>
      <c r="K4023" s="164"/>
      <c r="L4023" s="165"/>
      <c r="M4023" s="6"/>
      <c r="N4023" s="32"/>
      <c r="Q4023" s="10" t="str">
        <f>+CONCATENATE(E4021,K4021)</f>
        <v/>
      </c>
      <c r="R4023" s="10">
        <f>+L4021</f>
        <v>0</v>
      </c>
      <c r="S4023" s="11"/>
      <c r="T4023" s="10">
        <f>+E4021</f>
        <v>0</v>
      </c>
      <c r="U4023" s="19" t="str">
        <f>IFERROR(LEFT(K4021,FIND("*",K4021)-1),"-")</f>
        <v>-</v>
      </c>
      <c r="V4023" s="19" t="str">
        <f>IFERROR(RIGHT(K4021,LEN(K4021)-FIND("*",K4021)),"-")</f>
        <v>-</v>
      </c>
      <c r="W4023" s="20" t="str">
        <f t="shared" si="2182"/>
        <v>-</v>
      </c>
      <c r="X4023" s="20" t="str">
        <f>IFERROR(W4023*L4021,"-")</f>
        <v>-</v>
      </c>
      <c r="Z4023" s="85" t="s">
        <v>82</v>
      </c>
    </row>
    <row r="4024" spans="1:26" ht="21" customHeight="1" thickBot="1" x14ac:dyDescent="0.35">
      <c r="A4024" s="5"/>
      <c r="B4024" s="159"/>
      <c r="C4024" s="160"/>
      <c r="D4024" s="166" t="s">
        <v>43</v>
      </c>
      <c r="E4024" s="167"/>
      <c r="F4024" s="167"/>
      <c r="G4024" s="168"/>
      <c r="H4024" s="168"/>
      <c r="I4024" s="168"/>
      <c r="J4024" s="168"/>
      <c r="K4024" s="168"/>
      <c r="L4024" s="168"/>
      <c r="M4024" s="7"/>
      <c r="N4024" s="32"/>
      <c r="Z4024" s="86" t="s">
        <v>81</v>
      </c>
    </row>
    <row r="4025" spans="1:26" ht="9.9499999999999993" customHeight="1" thickBot="1" x14ac:dyDescent="0.35">
      <c r="B4025" s="9"/>
      <c r="C4025" s="109"/>
      <c r="D4025" s="51"/>
      <c r="E4025" s="12"/>
      <c r="F4025" s="51"/>
      <c r="G4025" s="14"/>
      <c r="H4025" s="14"/>
      <c r="I4025" s="14"/>
      <c r="J4025" s="14"/>
      <c r="K4025" s="14"/>
      <c r="L4025" s="14"/>
      <c r="M4025" s="9"/>
      <c r="N4025" s="32"/>
      <c r="U4025" s="18"/>
      <c r="V4025" s="18"/>
      <c r="Z4025" s="85" t="s">
        <v>82</v>
      </c>
    </row>
    <row r="4026" spans="1:26" ht="6.95" customHeight="1" x14ac:dyDescent="0.3">
      <c r="A4026" s="154">
        <f>+A4015+1</f>
        <v>1165</v>
      </c>
      <c r="B4026" s="155"/>
      <c r="C4026" s="156"/>
      <c r="D4026" s="161" t="s">
        <v>39</v>
      </c>
      <c r="E4026" s="162"/>
      <c r="F4026" s="163" t="s">
        <v>40</v>
      </c>
      <c r="G4026" s="164"/>
      <c r="H4026" s="165"/>
      <c r="I4026" s="164"/>
      <c r="J4026" s="165"/>
      <c r="K4026" s="164"/>
      <c r="L4026" s="165"/>
      <c r="M4026" s="6"/>
      <c r="N4026" s="32"/>
      <c r="Q4026" s="10" t="str">
        <f>+CONCATENATE(E4026,G4026)</f>
        <v/>
      </c>
      <c r="R4026" s="10">
        <f>+H4026</f>
        <v>0</v>
      </c>
      <c r="S4026" s="11"/>
      <c r="T4026" s="10">
        <f>+E4026</f>
        <v>0</v>
      </c>
      <c r="U4026" s="19" t="str">
        <f>IFERROR(LEFT(G4026,FIND("*",G4026)-1),"-")</f>
        <v>-</v>
      </c>
      <c r="V4026" s="19" t="str">
        <f>IFERROR(RIGHT(G4026,LEN(G4026)-FIND("*",G4026)),"-")</f>
        <v>-</v>
      </c>
      <c r="W4026" s="20" t="str">
        <f>IFERROR((U4026+V4026)*2/1000,"-")</f>
        <v>-</v>
      </c>
      <c r="X4026" s="20" t="str">
        <f>IFERROR(W4026*H4026,"-")</f>
        <v>-</v>
      </c>
      <c r="Z4026" s="85" t="s">
        <v>82</v>
      </c>
    </row>
    <row r="4027" spans="1:26" ht="6.95" customHeight="1" x14ac:dyDescent="0.3">
      <c r="A4027" s="154"/>
      <c r="B4027" s="157"/>
      <c r="C4027" s="158"/>
      <c r="D4027" s="161"/>
      <c r="E4027" s="162"/>
      <c r="F4027" s="163"/>
      <c r="G4027" s="164"/>
      <c r="H4027" s="165"/>
      <c r="I4027" s="164"/>
      <c r="J4027" s="165"/>
      <c r="K4027" s="164"/>
      <c r="L4027" s="165"/>
      <c r="M4027" s="6"/>
      <c r="N4027" s="32"/>
      <c r="Q4027" s="10" t="str">
        <f>+CONCATENATE(E4026,I4026)</f>
        <v/>
      </c>
      <c r="R4027" s="10">
        <f>+J4026</f>
        <v>0</v>
      </c>
      <c r="S4027" s="11"/>
      <c r="T4027" s="10">
        <f>+E4026</f>
        <v>0</v>
      </c>
      <c r="U4027" s="19" t="str">
        <f>IFERROR(LEFT(I4026,FIND("*",I4026)-1),"-")</f>
        <v>-</v>
      </c>
      <c r="V4027" s="19" t="str">
        <f>IFERROR(RIGHT(I4026,LEN(I4026)-FIND("*",I4026)),"-")</f>
        <v>-</v>
      </c>
      <c r="W4027" s="20" t="str">
        <f t="shared" ref="W4027:W4034" si="2188">IFERROR((U4027+V4027)*2/1000,"-")</f>
        <v>-</v>
      </c>
      <c r="X4027" s="20" t="str">
        <f>IFERROR(W4027*J4026,"-")</f>
        <v>-</v>
      </c>
      <c r="Z4027" s="85" t="s">
        <v>82</v>
      </c>
    </row>
    <row r="4028" spans="1:26" ht="6.95" customHeight="1" x14ac:dyDescent="0.3">
      <c r="A4028" s="154"/>
      <c r="B4028" s="157"/>
      <c r="C4028" s="158"/>
      <c r="D4028" s="161"/>
      <c r="E4028" s="162"/>
      <c r="F4028" s="163"/>
      <c r="G4028" s="164"/>
      <c r="H4028" s="165"/>
      <c r="I4028" s="164"/>
      <c r="J4028" s="165"/>
      <c r="K4028" s="164"/>
      <c r="L4028" s="165"/>
      <c r="M4028" s="6"/>
      <c r="N4028" s="32"/>
      <c r="Q4028" s="10" t="str">
        <f>+CONCATENATE(E4026,K4026)</f>
        <v/>
      </c>
      <c r="R4028" s="10">
        <f>+L4026</f>
        <v>0</v>
      </c>
      <c r="S4028" s="11"/>
      <c r="T4028" s="10">
        <f>+E4026</f>
        <v>0</v>
      </c>
      <c r="U4028" s="19" t="str">
        <f>IFERROR(LEFT(K4026,FIND("*",K4026)-1),"-")</f>
        <v>-</v>
      </c>
      <c r="V4028" s="19" t="str">
        <f>IFERROR(RIGHT(K4026,LEN(K4026)-FIND("*",K4026)),"-")</f>
        <v>-</v>
      </c>
      <c r="W4028" s="20" t="str">
        <f t="shared" si="2188"/>
        <v>-</v>
      </c>
      <c r="X4028" s="20" t="str">
        <f>IFERROR(W4028*L4026,"-")</f>
        <v>-</v>
      </c>
      <c r="Z4028" s="85" t="s">
        <v>82</v>
      </c>
    </row>
    <row r="4029" spans="1:26" ht="6.95" customHeight="1" x14ac:dyDescent="0.3">
      <c r="A4029" s="8"/>
      <c r="B4029" s="157"/>
      <c r="C4029" s="158"/>
      <c r="D4029" s="161" t="s">
        <v>39</v>
      </c>
      <c r="E4029" s="162"/>
      <c r="F4029" s="163" t="s">
        <v>40</v>
      </c>
      <c r="G4029" s="164"/>
      <c r="H4029" s="165"/>
      <c r="I4029" s="164"/>
      <c r="J4029" s="165"/>
      <c r="K4029" s="164"/>
      <c r="L4029" s="165"/>
      <c r="M4029" s="6"/>
      <c r="N4029" s="32"/>
      <c r="Q4029" s="10" t="str">
        <f>+CONCATENATE(E4029,G4029)</f>
        <v/>
      </c>
      <c r="R4029" s="10">
        <f>+H4029</f>
        <v>0</v>
      </c>
      <c r="S4029" s="11"/>
      <c r="T4029" s="10">
        <f>+E4029</f>
        <v>0</v>
      </c>
      <c r="U4029" s="19" t="str">
        <f t="shared" ref="U4029" si="2189">IFERROR(LEFT(G4029,FIND("*",G4029)-1),"-")</f>
        <v>-</v>
      </c>
      <c r="V4029" s="19" t="str">
        <f t="shared" ref="V4029" si="2190">IFERROR(RIGHT(G4029,LEN(G4029)-FIND("*",G4029)),"-")</f>
        <v>-</v>
      </c>
      <c r="W4029" s="20" t="str">
        <f t="shared" si="2188"/>
        <v>-</v>
      </c>
      <c r="X4029" s="20" t="str">
        <f>IFERROR(W4029*H4029,"-")</f>
        <v>-</v>
      </c>
      <c r="Z4029" s="85" t="s">
        <v>82</v>
      </c>
    </row>
    <row r="4030" spans="1:26" ht="6.95" customHeight="1" x14ac:dyDescent="0.3">
      <c r="A4030" s="5"/>
      <c r="B4030" s="157"/>
      <c r="C4030" s="158"/>
      <c r="D4030" s="161"/>
      <c r="E4030" s="162"/>
      <c r="F4030" s="163"/>
      <c r="G4030" s="164"/>
      <c r="H4030" s="165"/>
      <c r="I4030" s="164"/>
      <c r="J4030" s="165"/>
      <c r="K4030" s="164"/>
      <c r="L4030" s="165"/>
      <c r="M4030" s="6"/>
      <c r="N4030" s="32"/>
      <c r="Q4030" s="10" t="str">
        <f>+CONCATENATE(E4029,I4029)</f>
        <v/>
      </c>
      <c r="R4030" s="10">
        <f>+J4029</f>
        <v>0</v>
      </c>
      <c r="S4030" s="11"/>
      <c r="T4030" s="10">
        <f>+E4029</f>
        <v>0</v>
      </c>
      <c r="U4030" s="19" t="str">
        <f>IFERROR(LEFT(I4029,FIND("*",I4029)-1),"-")</f>
        <v>-</v>
      </c>
      <c r="V4030" s="19" t="str">
        <f>IFERROR(RIGHT(I4029,LEN(I4029)-FIND("*",I4029)),"-")</f>
        <v>-</v>
      </c>
      <c r="W4030" s="20" t="str">
        <f t="shared" si="2188"/>
        <v>-</v>
      </c>
      <c r="X4030" s="20" t="str">
        <f>IFERROR(W4030*J4029,"-")</f>
        <v>-</v>
      </c>
      <c r="Z4030" s="85" t="s">
        <v>82</v>
      </c>
    </row>
    <row r="4031" spans="1:26" ht="6.95" customHeight="1" x14ac:dyDescent="0.3">
      <c r="A4031" s="5"/>
      <c r="B4031" s="157"/>
      <c r="C4031" s="158"/>
      <c r="D4031" s="161"/>
      <c r="E4031" s="162"/>
      <c r="F4031" s="163"/>
      <c r="G4031" s="164"/>
      <c r="H4031" s="165"/>
      <c r="I4031" s="164"/>
      <c r="J4031" s="165"/>
      <c r="K4031" s="164"/>
      <c r="L4031" s="165"/>
      <c r="M4031" s="6"/>
      <c r="N4031" s="32"/>
      <c r="Q4031" s="10" t="str">
        <f>+CONCATENATE(E4029,K4029)</f>
        <v/>
      </c>
      <c r="R4031" s="10">
        <f>+L4029</f>
        <v>0</v>
      </c>
      <c r="S4031" s="11"/>
      <c r="T4031" s="10">
        <f>+E4029</f>
        <v>0</v>
      </c>
      <c r="U4031" s="19" t="str">
        <f>IFERROR(LEFT(K4029,FIND("*",K4029)-1),"-")</f>
        <v>-</v>
      </c>
      <c r="V4031" s="19" t="str">
        <f>IFERROR(RIGHT(K4029,LEN(K4029)-FIND("*",K4029)),"-")</f>
        <v>-</v>
      </c>
      <c r="W4031" s="20" t="str">
        <f t="shared" si="2188"/>
        <v>-</v>
      </c>
      <c r="X4031" s="20" t="str">
        <f>IFERROR(W4031*L4029,"-")</f>
        <v>-</v>
      </c>
      <c r="Z4031" s="85" t="s">
        <v>82</v>
      </c>
    </row>
    <row r="4032" spans="1:26" ht="6.95" customHeight="1" x14ac:dyDescent="0.3">
      <c r="A4032" s="8"/>
      <c r="B4032" s="157"/>
      <c r="C4032" s="158"/>
      <c r="D4032" s="161" t="s">
        <v>39</v>
      </c>
      <c r="E4032" s="162"/>
      <c r="F4032" s="163" t="s">
        <v>40</v>
      </c>
      <c r="G4032" s="164"/>
      <c r="H4032" s="165"/>
      <c r="I4032" s="164"/>
      <c r="J4032" s="165"/>
      <c r="K4032" s="164"/>
      <c r="L4032" s="165"/>
      <c r="M4032" s="6"/>
      <c r="N4032" s="32"/>
      <c r="Q4032" s="10" t="str">
        <f>+CONCATENATE(E4032,G4032)</f>
        <v/>
      </c>
      <c r="R4032" s="10">
        <f>+H4032</f>
        <v>0</v>
      </c>
      <c r="S4032" s="11"/>
      <c r="T4032" s="10">
        <f>+E4032</f>
        <v>0</v>
      </c>
      <c r="U4032" s="19" t="str">
        <f t="shared" ref="U4032" si="2191">IFERROR(LEFT(G4032,FIND("*",G4032)-1),"-")</f>
        <v>-</v>
      </c>
      <c r="V4032" s="19" t="str">
        <f t="shared" ref="V4032" si="2192">IFERROR(RIGHT(G4032,LEN(G4032)-FIND("*",G4032)),"-")</f>
        <v>-</v>
      </c>
      <c r="W4032" s="20" t="str">
        <f t="shared" si="2188"/>
        <v>-</v>
      </c>
      <c r="X4032" s="20" t="str">
        <f>IFERROR(W4032*H4032,"-")</f>
        <v>-</v>
      </c>
      <c r="Z4032" s="85" t="s">
        <v>82</v>
      </c>
    </row>
    <row r="4033" spans="1:26" ht="6.95" customHeight="1" x14ac:dyDescent="0.3">
      <c r="A4033" s="5"/>
      <c r="B4033" s="157"/>
      <c r="C4033" s="158"/>
      <c r="D4033" s="161"/>
      <c r="E4033" s="162"/>
      <c r="F4033" s="163"/>
      <c r="G4033" s="164"/>
      <c r="H4033" s="165"/>
      <c r="I4033" s="164"/>
      <c r="J4033" s="165"/>
      <c r="K4033" s="164"/>
      <c r="L4033" s="165"/>
      <c r="M4033" s="6"/>
      <c r="N4033" s="32"/>
      <c r="Q4033" s="10" t="str">
        <f>+CONCATENATE(E4032,I4032)</f>
        <v/>
      </c>
      <c r="R4033" s="10">
        <f>+J4032</f>
        <v>0</v>
      </c>
      <c r="S4033" s="11"/>
      <c r="T4033" s="10">
        <f>+E4032</f>
        <v>0</v>
      </c>
      <c r="U4033" s="19" t="str">
        <f>IFERROR(LEFT(I4032,FIND("*",I4032)-1),"-")</f>
        <v>-</v>
      </c>
      <c r="V4033" s="19" t="str">
        <f>IFERROR(RIGHT(I4032,LEN(I4032)-FIND("*",I4032)),"-")</f>
        <v>-</v>
      </c>
      <c r="W4033" s="20" t="str">
        <f t="shared" si="2188"/>
        <v>-</v>
      </c>
      <c r="X4033" s="20" t="str">
        <f t="shared" ref="X4033" si="2193">IFERROR(W4033*J4032,"-")</f>
        <v>-</v>
      </c>
      <c r="Z4033" s="85" t="s">
        <v>82</v>
      </c>
    </row>
    <row r="4034" spans="1:26" ht="6.95" customHeight="1" x14ac:dyDescent="0.3">
      <c r="A4034" s="5"/>
      <c r="B4034" s="157"/>
      <c r="C4034" s="158"/>
      <c r="D4034" s="161"/>
      <c r="E4034" s="162"/>
      <c r="F4034" s="163"/>
      <c r="G4034" s="164"/>
      <c r="H4034" s="165"/>
      <c r="I4034" s="164"/>
      <c r="J4034" s="165"/>
      <c r="K4034" s="164"/>
      <c r="L4034" s="165"/>
      <c r="M4034" s="6"/>
      <c r="N4034" s="32"/>
      <c r="Q4034" s="10" t="str">
        <f>+CONCATENATE(E4032,K4032)</f>
        <v/>
      </c>
      <c r="R4034" s="10">
        <f>+L4032</f>
        <v>0</v>
      </c>
      <c r="S4034" s="11"/>
      <c r="T4034" s="10">
        <f>+E4032</f>
        <v>0</v>
      </c>
      <c r="U4034" s="19" t="str">
        <f>IFERROR(LEFT(K4032,FIND("*",K4032)-1),"-")</f>
        <v>-</v>
      </c>
      <c r="V4034" s="19" t="str">
        <f>IFERROR(RIGHT(K4032,LEN(K4032)-FIND("*",K4032)),"-")</f>
        <v>-</v>
      </c>
      <c r="W4034" s="20" t="str">
        <f t="shared" si="2188"/>
        <v>-</v>
      </c>
      <c r="X4034" s="20" t="str">
        <f>IFERROR(W4034*L4032,"-")</f>
        <v>-</v>
      </c>
      <c r="Z4034" s="85" t="s">
        <v>82</v>
      </c>
    </row>
    <row r="4035" spans="1:26" ht="21" customHeight="1" thickBot="1" x14ac:dyDescent="0.35">
      <c r="A4035" s="5"/>
      <c r="B4035" s="159"/>
      <c r="C4035" s="160"/>
      <c r="D4035" s="166" t="s">
        <v>43</v>
      </c>
      <c r="E4035" s="167"/>
      <c r="F4035" s="167"/>
      <c r="G4035" s="168"/>
      <c r="H4035" s="168"/>
      <c r="I4035" s="168"/>
      <c r="J4035" s="168"/>
      <c r="K4035" s="168"/>
      <c r="L4035" s="168"/>
      <c r="M4035" s="7"/>
      <c r="N4035" s="32"/>
      <c r="Z4035" s="86" t="s">
        <v>81</v>
      </c>
    </row>
    <row r="4036" spans="1:26" ht="9.9499999999999993" customHeight="1" thickBot="1" x14ac:dyDescent="0.35">
      <c r="B4036" s="9"/>
      <c r="C4036" s="109"/>
      <c r="D4036" s="51"/>
      <c r="E4036" s="12"/>
      <c r="F4036" s="51"/>
      <c r="G4036" s="14"/>
      <c r="H4036" s="14"/>
      <c r="I4036" s="14"/>
      <c r="J4036" s="14"/>
      <c r="K4036" s="14"/>
      <c r="L4036" s="14"/>
      <c r="M4036" s="9"/>
      <c r="N4036" s="32"/>
      <c r="U4036" s="18"/>
      <c r="V4036" s="18"/>
      <c r="Z4036" s="85" t="s">
        <v>82</v>
      </c>
    </row>
    <row r="4037" spans="1:26" ht="6.95" customHeight="1" x14ac:dyDescent="0.3">
      <c r="A4037" s="154">
        <f>+A4026+1</f>
        <v>1166</v>
      </c>
      <c r="B4037" s="155"/>
      <c r="C4037" s="156"/>
      <c r="D4037" s="161" t="s">
        <v>39</v>
      </c>
      <c r="E4037" s="162"/>
      <c r="F4037" s="163" t="s">
        <v>40</v>
      </c>
      <c r="G4037" s="164"/>
      <c r="H4037" s="165"/>
      <c r="I4037" s="164"/>
      <c r="J4037" s="165"/>
      <c r="K4037" s="164"/>
      <c r="L4037" s="165"/>
      <c r="M4037" s="6"/>
      <c r="N4037" s="32"/>
      <c r="Q4037" s="10" t="str">
        <f>+CONCATENATE(E4037,G4037)</f>
        <v/>
      </c>
      <c r="R4037" s="10">
        <f>+H4037</f>
        <v>0</v>
      </c>
      <c r="S4037" s="11"/>
      <c r="T4037" s="10">
        <f>+E4037</f>
        <v>0</v>
      </c>
      <c r="U4037" s="19" t="str">
        <f>IFERROR(LEFT(G4037,FIND("*",G4037)-1),"-")</f>
        <v>-</v>
      </c>
      <c r="V4037" s="19" t="str">
        <f>IFERROR(RIGHT(G4037,LEN(G4037)-FIND("*",G4037)),"-")</f>
        <v>-</v>
      </c>
      <c r="W4037" s="20" t="str">
        <f>IFERROR((U4037+V4037)*2/1000,"-")</f>
        <v>-</v>
      </c>
      <c r="X4037" s="20" t="str">
        <f>IFERROR(W4037*H4037,"-")</f>
        <v>-</v>
      </c>
      <c r="Z4037" s="85" t="s">
        <v>82</v>
      </c>
    </row>
    <row r="4038" spans="1:26" ht="6.95" customHeight="1" x14ac:dyDescent="0.3">
      <c r="A4038" s="154"/>
      <c r="B4038" s="157"/>
      <c r="C4038" s="158"/>
      <c r="D4038" s="161"/>
      <c r="E4038" s="162"/>
      <c r="F4038" s="163"/>
      <c r="G4038" s="164"/>
      <c r="H4038" s="165"/>
      <c r="I4038" s="164"/>
      <c r="J4038" s="165"/>
      <c r="K4038" s="164"/>
      <c r="L4038" s="165"/>
      <c r="M4038" s="6"/>
      <c r="N4038" s="32"/>
      <c r="Q4038" s="10" t="str">
        <f>+CONCATENATE(E4037,I4037)</f>
        <v/>
      </c>
      <c r="R4038" s="10">
        <f>+J4037</f>
        <v>0</v>
      </c>
      <c r="S4038" s="11"/>
      <c r="T4038" s="10">
        <f>+E4037</f>
        <v>0</v>
      </c>
      <c r="U4038" s="19" t="str">
        <f>IFERROR(LEFT(I4037,FIND("*",I4037)-1),"-")</f>
        <v>-</v>
      </c>
      <c r="V4038" s="19" t="str">
        <f>IFERROR(RIGHT(I4037,LEN(I4037)-FIND("*",I4037)),"-")</f>
        <v>-</v>
      </c>
      <c r="W4038" s="20" t="str">
        <f t="shared" ref="W4038:W4045" si="2194">IFERROR((U4038+V4038)*2/1000,"-")</f>
        <v>-</v>
      </c>
      <c r="X4038" s="20" t="str">
        <f>IFERROR(W4038*J4037,"-")</f>
        <v>-</v>
      </c>
      <c r="Z4038" s="85" t="s">
        <v>82</v>
      </c>
    </row>
    <row r="4039" spans="1:26" ht="6.95" customHeight="1" x14ac:dyDescent="0.3">
      <c r="A4039" s="154"/>
      <c r="B4039" s="157"/>
      <c r="C4039" s="158"/>
      <c r="D4039" s="161"/>
      <c r="E4039" s="162"/>
      <c r="F4039" s="163"/>
      <c r="G4039" s="164"/>
      <c r="H4039" s="165"/>
      <c r="I4039" s="164"/>
      <c r="J4039" s="165"/>
      <c r="K4039" s="164"/>
      <c r="L4039" s="165"/>
      <c r="M4039" s="6"/>
      <c r="N4039" s="32"/>
      <c r="Q4039" s="10" t="str">
        <f>+CONCATENATE(E4037,K4037)</f>
        <v/>
      </c>
      <c r="R4039" s="10">
        <f>+L4037</f>
        <v>0</v>
      </c>
      <c r="S4039" s="11"/>
      <c r="T4039" s="10">
        <f>+E4037</f>
        <v>0</v>
      </c>
      <c r="U4039" s="19" t="str">
        <f>IFERROR(LEFT(K4037,FIND("*",K4037)-1),"-")</f>
        <v>-</v>
      </c>
      <c r="V4039" s="19" t="str">
        <f>IFERROR(RIGHT(K4037,LEN(K4037)-FIND("*",K4037)),"-")</f>
        <v>-</v>
      </c>
      <c r="W4039" s="20" t="str">
        <f t="shared" si="2194"/>
        <v>-</v>
      </c>
      <c r="X4039" s="20" t="str">
        <f>IFERROR(W4039*L4037,"-")</f>
        <v>-</v>
      </c>
      <c r="Z4039" s="85" t="s">
        <v>82</v>
      </c>
    </row>
    <row r="4040" spans="1:26" ht="6.95" customHeight="1" x14ac:dyDescent="0.3">
      <c r="A4040" s="8"/>
      <c r="B4040" s="157"/>
      <c r="C4040" s="158"/>
      <c r="D4040" s="161" t="s">
        <v>39</v>
      </c>
      <c r="E4040" s="162"/>
      <c r="F4040" s="163" t="s">
        <v>40</v>
      </c>
      <c r="G4040" s="164"/>
      <c r="H4040" s="165"/>
      <c r="I4040" s="164"/>
      <c r="J4040" s="165"/>
      <c r="K4040" s="164"/>
      <c r="L4040" s="165"/>
      <c r="M4040" s="6"/>
      <c r="N4040" s="32"/>
      <c r="Q4040" s="10" t="str">
        <f>+CONCATENATE(E4040,G4040)</f>
        <v/>
      </c>
      <c r="R4040" s="10">
        <f>+H4040</f>
        <v>0</v>
      </c>
      <c r="S4040" s="11"/>
      <c r="T4040" s="10">
        <f>+E4040</f>
        <v>0</v>
      </c>
      <c r="U4040" s="19" t="str">
        <f t="shared" ref="U4040" si="2195">IFERROR(LEFT(G4040,FIND("*",G4040)-1),"-")</f>
        <v>-</v>
      </c>
      <c r="V4040" s="19" t="str">
        <f t="shared" ref="V4040" si="2196">IFERROR(RIGHT(G4040,LEN(G4040)-FIND("*",G4040)),"-")</f>
        <v>-</v>
      </c>
      <c r="W4040" s="20" t="str">
        <f t="shared" si="2194"/>
        <v>-</v>
      </c>
      <c r="X4040" s="20" t="str">
        <f>IFERROR(W4040*H4040,"-")</f>
        <v>-</v>
      </c>
      <c r="Z4040" s="85" t="s">
        <v>82</v>
      </c>
    </row>
    <row r="4041" spans="1:26" ht="6.95" customHeight="1" x14ac:dyDescent="0.3">
      <c r="A4041" s="5"/>
      <c r="B4041" s="157"/>
      <c r="C4041" s="158"/>
      <c r="D4041" s="161"/>
      <c r="E4041" s="162"/>
      <c r="F4041" s="163"/>
      <c r="G4041" s="164"/>
      <c r="H4041" s="165"/>
      <c r="I4041" s="164"/>
      <c r="J4041" s="165"/>
      <c r="K4041" s="164"/>
      <c r="L4041" s="165"/>
      <c r="M4041" s="6"/>
      <c r="N4041" s="32"/>
      <c r="Q4041" s="10" t="str">
        <f>+CONCATENATE(E4040,I4040)</f>
        <v/>
      </c>
      <c r="R4041" s="10">
        <f>+J4040</f>
        <v>0</v>
      </c>
      <c r="S4041" s="11"/>
      <c r="T4041" s="10">
        <f>+E4040</f>
        <v>0</v>
      </c>
      <c r="U4041" s="19" t="str">
        <f>IFERROR(LEFT(I4040,FIND("*",I4040)-1),"-")</f>
        <v>-</v>
      </c>
      <c r="V4041" s="19" t="str">
        <f>IFERROR(RIGHT(I4040,LEN(I4040)-FIND("*",I4040)),"-")</f>
        <v>-</v>
      </c>
      <c r="W4041" s="20" t="str">
        <f t="shared" si="2194"/>
        <v>-</v>
      </c>
      <c r="X4041" s="20" t="str">
        <f>IFERROR(W4041*J4040,"-")</f>
        <v>-</v>
      </c>
      <c r="Z4041" s="85" t="s">
        <v>82</v>
      </c>
    </row>
    <row r="4042" spans="1:26" ht="6.95" customHeight="1" x14ac:dyDescent="0.3">
      <c r="A4042" s="5"/>
      <c r="B4042" s="157"/>
      <c r="C4042" s="158"/>
      <c r="D4042" s="161"/>
      <c r="E4042" s="162"/>
      <c r="F4042" s="163"/>
      <c r="G4042" s="164"/>
      <c r="H4042" s="165"/>
      <c r="I4042" s="164"/>
      <c r="J4042" s="165"/>
      <c r="K4042" s="164"/>
      <c r="L4042" s="165"/>
      <c r="M4042" s="6"/>
      <c r="N4042" s="32"/>
      <c r="Q4042" s="10" t="str">
        <f>+CONCATENATE(E4040,K4040)</f>
        <v/>
      </c>
      <c r="R4042" s="10">
        <f>+L4040</f>
        <v>0</v>
      </c>
      <c r="S4042" s="11"/>
      <c r="T4042" s="10">
        <f>+E4040</f>
        <v>0</v>
      </c>
      <c r="U4042" s="19" t="str">
        <f>IFERROR(LEFT(K4040,FIND("*",K4040)-1),"-")</f>
        <v>-</v>
      </c>
      <c r="V4042" s="19" t="str">
        <f>IFERROR(RIGHT(K4040,LEN(K4040)-FIND("*",K4040)),"-")</f>
        <v>-</v>
      </c>
      <c r="W4042" s="20" t="str">
        <f t="shared" si="2194"/>
        <v>-</v>
      </c>
      <c r="X4042" s="20" t="str">
        <f>IFERROR(W4042*L4040,"-")</f>
        <v>-</v>
      </c>
      <c r="Z4042" s="85" t="s">
        <v>82</v>
      </c>
    </row>
    <row r="4043" spans="1:26" ht="6.95" customHeight="1" x14ac:dyDescent="0.3">
      <c r="A4043" s="8"/>
      <c r="B4043" s="157"/>
      <c r="C4043" s="158"/>
      <c r="D4043" s="161" t="s">
        <v>39</v>
      </c>
      <c r="E4043" s="162"/>
      <c r="F4043" s="163" t="s">
        <v>40</v>
      </c>
      <c r="G4043" s="164"/>
      <c r="H4043" s="165"/>
      <c r="I4043" s="164"/>
      <c r="J4043" s="165"/>
      <c r="K4043" s="164"/>
      <c r="L4043" s="165"/>
      <c r="M4043" s="6"/>
      <c r="N4043" s="32"/>
      <c r="Q4043" s="10" t="str">
        <f>+CONCATENATE(E4043,G4043)</f>
        <v/>
      </c>
      <c r="R4043" s="10">
        <f>+H4043</f>
        <v>0</v>
      </c>
      <c r="S4043" s="11"/>
      <c r="T4043" s="10">
        <f>+E4043</f>
        <v>0</v>
      </c>
      <c r="U4043" s="19" t="str">
        <f t="shared" ref="U4043" si="2197">IFERROR(LEFT(G4043,FIND("*",G4043)-1),"-")</f>
        <v>-</v>
      </c>
      <c r="V4043" s="19" t="str">
        <f t="shared" ref="V4043" si="2198">IFERROR(RIGHT(G4043,LEN(G4043)-FIND("*",G4043)),"-")</f>
        <v>-</v>
      </c>
      <c r="W4043" s="20" t="str">
        <f t="shared" si="2194"/>
        <v>-</v>
      </c>
      <c r="X4043" s="20" t="str">
        <f>IFERROR(W4043*H4043,"-")</f>
        <v>-</v>
      </c>
      <c r="Z4043" s="85" t="s">
        <v>82</v>
      </c>
    </row>
    <row r="4044" spans="1:26" ht="6.95" customHeight="1" x14ac:dyDescent="0.3">
      <c r="A4044" s="5"/>
      <c r="B4044" s="157"/>
      <c r="C4044" s="158"/>
      <c r="D4044" s="161"/>
      <c r="E4044" s="162"/>
      <c r="F4044" s="163"/>
      <c r="G4044" s="164"/>
      <c r="H4044" s="165"/>
      <c r="I4044" s="164"/>
      <c r="J4044" s="165"/>
      <c r="K4044" s="164"/>
      <c r="L4044" s="165"/>
      <c r="M4044" s="6"/>
      <c r="N4044" s="32"/>
      <c r="Q4044" s="10" t="str">
        <f>+CONCATENATE(E4043,I4043)</f>
        <v/>
      </c>
      <c r="R4044" s="10">
        <f>+J4043</f>
        <v>0</v>
      </c>
      <c r="S4044" s="11"/>
      <c r="T4044" s="10">
        <f>+E4043</f>
        <v>0</v>
      </c>
      <c r="U4044" s="19" t="str">
        <f>IFERROR(LEFT(I4043,FIND("*",I4043)-1),"-")</f>
        <v>-</v>
      </c>
      <c r="V4044" s="19" t="str">
        <f>IFERROR(RIGHT(I4043,LEN(I4043)-FIND("*",I4043)),"-")</f>
        <v>-</v>
      </c>
      <c r="W4044" s="20" t="str">
        <f t="shared" si="2194"/>
        <v>-</v>
      </c>
      <c r="X4044" s="20" t="str">
        <f t="shared" ref="X4044" si="2199">IFERROR(W4044*J4043,"-")</f>
        <v>-</v>
      </c>
      <c r="Z4044" s="85" t="s">
        <v>82</v>
      </c>
    </row>
    <row r="4045" spans="1:26" ht="6.95" customHeight="1" x14ac:dyDescent="0.3">
      <c r="A4045" s="5"/>
      <c r="B4045" s="157"/>
      <c r="C4045" s="158"/>
      <c r="D4045" s="161"/>
      <c r="E4045" s="162"/>
      <c r="F4045" s="163"/>
      <c r="G4045" s="164"/>
      <c r="H4045" s="165"/>
      <c r="I4045" s="164"/>
      <c r="J4045" s="165"/>
      <c r="K4045" s="164"/>
      <c r="L4045" s="165"/>
      <c r="M4045" s="6"/>
      <c r="N4045" s="32"/>
      <c r="Q4045" s="10" t="str">
        <f>+CONCATENATE(E4043,K4043)</f>
        <v/>
      </c>
      <c r="R4045" s="10">
        <f>+L4043</f>
        <v>0</v>
      </c>
      <c r="S4045" s="11"/>
      <c r="T4045" s="10">
        <f>+E4043</f>
        <v>0</v>
      </c>
      <c r="U4045" s="19" t="str">
        <f>IFERROR(LEFT(K4043,FIND("*",K4043)-1),"-")</f>
        <v>-</v>
      </c>
      <c r="V4045" s="19" t="str">
        <f>IFERROR(RIGHT(K4043,LEN(K4043)-FIND("*",K4043)),"-")</f>
        <v>-</v>
      </c>
      <c r="W4045" s="20" t="str">
        <f t="shared" si="2194"/>
        <v>-</v>
      </c>
      <c r="X4045" s="20" t="str">
        <f>IFERROR(W4045*L4043,"-")</f>
        <v>-</v>
      </c>
      <c r="Z4045" s="85" t="s">
        <v>82</v>
      </c>
    </row>
    <row r="4046" spans="1:26" ht="21" customHeight="1" thickBot="1" x14ac:dyDescent="0.35">
      <c r="A4046" s="5"/>
      <c r="B4046" s="159"/>
      <c r="C4046" s="160"/>
      <c r="D4046" s="166" t="s">
        <v>43</v>
      </c>
      <c r="E4046" s="167"/>
      <c r="F4046" s="167"/>
      <c r="G4046" s="168"/>
      <c r="H4046" s="168"/>
      <c r="I4046" s="168"/>
      <c r="J4046" s="168"/>
      <c r="K4046" s="168"/>
      <c r="L4046" s="168"/>
      <c r="M4046" s="7"/>
      <c r="N4046" s="32"/>
      <c r="Z4046" s="86" t="s">
        <v>81</v>
      </c>
    </row>
    <row r="4047" spans="1:26" ht="9.9499999999999993" customHeight="1" thickBot="1" x14ac:dyDescent="0.35">
      <c r="B4047" s="9"/>
      <c r="C4047" s="109"/>
      <c r="D4047" s="51"/>
      <c r="E4047" s="12"/>
      <c r="F4047" s="51"/>
      <c r="G4047" s="14"/>
      <c r="H4047" s="14"/>
      <c r="I4047" s="14"/>
      <c r="J4047" s="14"/>
      <c r="K4047" s="14"/>
      <c r="L4047" s="14"/>
      <c r="M4047" s="9"/>
      <c r="N4047" s="32"/>
      <c r="U4047" s="18"/>
      <c r="V4047" s="18"/>
      <c r="Z4047" s="85" t="s">
        <v>82</v>
      </c>
    </row>
    <row r="4048" spans="1:26" ht="6.95" customHeight="1" x14ac:dyDescent="0.3">
      <c r="A4048" s="154">
        <f>+A4037+1</f>
        <v>1167</v>
      </c>
      <c r="B4048" s="155"/>
      <c r="C4048" s="156"/>
      <c r="D4048" s="161" t="s">
        <v>39</v>
      </c>
      <c r="E4048" s="162"/>
      <c r="F4048" s="163" t="s">
        <v>40</v>
      </c>
      <c r="G4048" s="164"/>
      <c r="H4048" s="165"/>
      <c r="I4048" s="164"/>
      <c r="J4048" s="165"/>
      <c r="K4048" s="164"/>
      <c r="L4048" s="165"/>
      <c r="M4048" s="6"/>
      <c r="N4048" s="32"/>
      <c r="Q4048" s="10" t="str">
        <f>+CONCATENATE(E4048,G4048)</f>
        <v/>
      </c>
      <c r="R4048" s="10">
        <f>+H4048</f>
        <v>0</v>
      </c>
      <c r="S4048" s="11"/>
      <c r="T4048" s="10">
        <f>+E4048</f>
        <v>0</v>
      </c>
      <c r="U4048" s="19" t="str">
        <f>IFERROR(LEFT(G4048,FIND("*",G4048)-1),"-")</f>
        <v>-</v>
      </c>
      <c r="V4048" s="19" t="str">
        <f>IFERROR(RIGHT(G4048,LEN(G4048)-FIND("*",G4048)),"-")</f>
        <v>-</v>
      </c>
      <c r="W4048" s="20" t="str">
        <f>IFERROR((U4048+V4048)*2/1000,"-")</f>
        <v>-</v>
      </c>
      <c r="X4048" s="20" t="str">
        <f>IFERROR(W4048*H4048,"-")</f>
        <v>-</v>
      </c>
      <c r="Z4048" s="85" t="s">
        <v>82</v>
      </c>
    </row>
    <row r="4049" spans="1:26" ht="6.95" customHeight="1" x14ac:dyDescent="0.3">
      <c r="A4049" s="154"/>
      <c r="B4049" s="157"/>
      <c r="C4049" s="158"/>
      <c r="D4049" s="161"/>
      <c r="E4049" s="162"/>
      <c r="F4049" s="163"/>
      <c r="G4049" s="164"/>
      <c r="H4049" s="165"/>
      <c r="I4049" s="164"/>
      <c r="J4049" s="165"/>
      <c r="K4049" s="164"/>
      <c r="L4049" s="165"/>
      <c r="M4049" s="6"/>
      <c r="N4049" s="32"/>
      <c r="Q4049" s="10" t="str">
        <f>+CONCATENATE(E4048,I4048)</f>
        <v/>
      </c>
      <c r="R4049" s="10">
        <f>+J4048</f>
        <v>0</v>
      </c>
      <c r="S4049" s="11"/>
      <c r="T4049" s="10">
        <f>+E4048</f>
        <v>0</v>
      </c>
      <c r="U4049" s="19" t="str">
        <f>IFERROR(LEFT(I4048,FIND("*",I4048)-1),"-")</f>
        <v>-</v>
      </c>
      <c r="V4049" s="19" t="str">
        <f>IFERROR(RIGHT(I4048,LEN(I4048)-FIND("*",I4048)),"-")</f>
        <v>-</v>
      </c>
      <c r="W4049" s="20" t="str">
        <f t="shared" ref="W4049:W4056" si="2200">IFERROR((U4049+V4049)*2/1000,"-")</f>
        <v>-</v>
      </c>
      <c r="X4049" s="20" t="str">
        <f>IFERROR(W4049*J4048,"-")</f>
        <v>-</v>
      </c>
      <c r="Z4049" s="85" t="s">
        <v>82</v>
      </c>
    </row>
    <row r="4050" spans="1:26" ht="6.95" customHeight="1" x14ac:dyDescent="0.3">
      <c r="A4050" s="154"/>
      <c r="B4050" s="157"/>
      <c r="C4050" s="158"/>
      <c r="D4050" s="161"/>
      <c r="E4050" s="162"/>
      <c r="F4050" s="163"/>
      <c r="G4050" s="164"/>
      <c r="H4050" s="165"/>
      <c r="I4050" s="164"/>
      <c r="J4050" s="165"/>
      <c r="K4050" s="164"/>
      <c r="L4050" s="165"/>
      <c r="M4050" s="6"/>
      <c r="N4050" s="32"/>
      <c r="Q4050" s="10" t="str">
        <f>+CONCATENATE(E4048,K4048)</f>
        <v/>
      </c>
      <c r="R4050" s="10">
        <f>+L4048</f>
        <v>0</v>
      </c>
      <c r="S4050" s="11"/>
      <c r="T4050" s="10">
        <f>+E4048</f>
        <v>0</v>
      </c>
      <c r="U4050" s="19" t="str">
        <f>IFERROR(LEFT(K4048,FIND("*",K4048)-1),"-")</f>
        <v>-</v>
      </c>
      <c r="V4050" s="19" t="str">
        <f>IFERROR(RIGHT(K4048,LEN(K4048)-FIND("*",K4048)),"-")</f>
        <v>-</v>
      </c>
      <c r="W4050" s="20" t="str">
        <f t="shared" si="2200"/>
        <v>-</v>
      </c>
      <c r="X4050" s="20" t="str">
        <f>IFERROR(W4050*L4048,"-")</f>
        <v>-</v>
      </c>
      <c r="Z4050" s="85" t="s">
        <v>82</v>
      </c>
    </row>
    <row r="4051" spans="1:26" ht="6.95" customHeight="1" x14ac:dyDescent="0.3">
      <c r="A4051" s="8"/>
      <c r="B4051" s="157"/>
      <c r="C4051" s="158"/>
      <c r="D4051" s="161" t="s">
        <v>39</v>
      </c>
      <c r="E4051" s="162"/>
      <c r="F4051" s="163" t="s">
        <v>40</v>
      </c>
      <c r="G4051" s="164"/>
      <c r="H4051" s="165"/>
      <c r="I4051" s="164"/>
      <c r="J4051" s="165"/>
      <c r="K4051" s="164"/>
      <c r="L4051" s="165"/>
      <c r="M4051" s="6"/>
      <c r="N4051" s="32"/>
      <c r="Q4051" s="10" t="str">
        <f>+CONCATENATE(E4051,G4051)</f>
        <v/>
      </c>
      <c r="R4051" s="10">
        <f>+H4051</f>
        <v>0</v>
      </c>
      <c r="S4051" s="11"/>
      <c r="T4051" s="10">
        <f>+E4051</f>
        <v>0</v>
      </c>
      <c r="U4051" s="19" t="str">
        <f t="shared" ref="U4051" si="2201">IFERROR(LEFT(G4051,FIND("*",G4051)-1),"-")</f>
        <v>-</v>
      </c>
      <c r="V4051" s="19" t="str">
        <f t="shared" ref="V4051" si="2202">IFERROR(RIGHT(G4051,LEN(G4051)-FIND("*",G4051)),"-")</f>
        <v>-</v>
      </c>
      <c r="W4051" s="20" t="str">
        <f t="shared" si="2200"/>
        <v>-</v>
      </c>
      <c r="X4051" s="20" t="str">
        <f>IFERROR(W4051*H4051,"-")</f>
        <v>-</v>
      </c>
      <c r="Z4051" s="85" t="s">
        <v>82</v>
      </c>
    </row>
    <row r="4052" spans="1:26" ht="6.95" customHeight="1" x14ac:dyDescent="0.3">
      <c r="A4052" s="5"/>
      <c r="B4052" s="157"/>
      <c r="C4052" s="158"/>
      <c r="D4052" s="161"/>
      <c r="E4052" s="162"/>
      <c r="F4052" s="163"/>
      <c r="G4052" s="164"/>
      <c r="H4052" s="165"/>
      <c r="I4052" s="164"/>
      <c r="J4052" s="165"/>
      <c r="K4052" s="164"/>
      <c r="L4052" s="165"/>
      <c r="M4052" s="6"/>
      <c r="N4052" s="32"/>
      <c r="Q4052" s="10" t="str">
        <f>+CONCATENATE(E4051,I4051)</f>
        <v/>
      </c>
      <c r="R4052" s="10">
        <f>+J4051</f>
        <v>0</v>
      </c>
      <c r="S4052" s="11"/>
      <c r="T4052" s="10">
        <f>+E4051</f>
        <v>0</v>
      </c>
      <c r="U4052" s="19" t="str">
        <f>IFERROR(LEFT(I4051,FIND("*",I4051)-1),"-")</f>
        <v>-</v>
      </c>
      <c r="V4052" s="19" t="str">
        <f>IFERROR(RIGHT(I4051,LEN(I4051)-FIND("*",I4051)),"-")</f>
        <v>-</v>
      </c>
      <c r="W4052" s="20" t="str">
        <f t="shared" si="2200"/>
        <v>-</v>
      </c>
      <c r="X4052" s="20" t="str">
        <f>IFERROR(W4052*J4051,"-")</f>
        <v>-</v>
      </c>
      <c r="Z4052" s="85" t="s">
        <v>82</v>
      </c>
    </row>
    <row r="4053" spans="1:26" ht="6.95" customHeight="1" x14ac:dyDescent="0.3">
      <c r="A4053" s="5"/>
      <c r="B4053" s="157"/>
      <c r="C4053" s="158"/>
      <c r="D4053" s="161"/>
      <c r="E4053" s="162"/>
      <c r="F4053" s="163"/>
      <c r="G4053" s="164"/>
      <c r="H4053" s="165"/>
      <c r="I4053" s="164"/>
      <c r="J4053" s="165"/>
      <c r="K4053" s="164"/>
      <c r="L4053" s="165"/>
      <c r="M4053" s="6"/>
      <c r="N4053" s="32"/>
      <c r="Q4053" s="10" t="str">
        <f>+CONCATENATE(E4051,K4051)</f>
        <v/>
      </c>
      <c r="R4053" s="10">
        <f>+L4051</f>
        <v>0</v>
      </c>
      <c r="S4053" s="11"/>
      <c r="T4053" s="10">
        <f>+E4051</f>
        <v>0</v>
      </c>
      <c r="U4053" s="19" t="str">
        <f>IFERROR(LEFT(K4051,FIND("*",K4051)-1),"-")</f>
        <v>-</v>
      </c>
      <c r="V4053" s="19" t="str">
        <f>IFERROR(RIGHT(K4051,LEN(K4051)-FIND("*",K4051)),"-")</f>
        <v>-</v>
      </c>
      <c r="W4053" s="20" t="str">
        <f t="shared" si="2200"/>
        <v>-</v>
      </c>
      <c r="X4053" s="20" t="str">
        <f>IFERROR(W4053*L4051,"-")</f>
        <v>-</v>
      </c>
      <c r="Z4053" s="85" t="s">
        <v>82</v>
      </c>
    </row>
    <row r="4054" spans="1:26" ht="6.95" customHeight="1" x14ac:dyDescent="0.3">
      <c r="A4054" s="8"/>
      <c r="B4054" s="157"/>
      <c r="C4054" s="158"/>
      <c r="D4054" s="161" t="s">
        <v>39</v>
      </c>
      <c r="E4054" s="162"/>
      <c r="F4054" s="163" t="s">
        <v>40</v>
      </c>
      <c r="G4054" s="164"/>
      <c r="H4054" s="165"/>
      <c r="I4054" s="164"/>
      <c r="J4054" s="165"/>
      <c r="K4054" s="164"/>
      <c r="L4054" s="165"/>
      <c r="M4054" s="6"/>
      <c r="N4054" s="32"/>
      <c r="Q4054" s="10" t="str">
        <f>+CONCATENATE(E4054,G4054)</f>
        <v/>
      </c>
      <c r="R4054" s="10">
        <f>+H4054</f>
        <v>0</v>
      </c>
      <c r="S4054" s="11"/>
      <c r="T4054" s="10">
        <f>+E4054</f>
        <v>0</v>
      </c>
      <c r="U4054" s="19" t="str">
        <f t="shared" ref="U4054" si="2203">IFERROR(LEFT(G4054,FIND("*",G4054)-1),"-")</f>
        <v>-</v>
      </c>
      <c r="V4054" s="19" t="str">
        <f t="shared" ref="V4054" si="2204">IFERROR(RIGHT(G4054,LEN(G4054)-FIND("*",G4054)),"-")</f>
        <v>-</v>
      </c>
      <c r="W4054" s="20" t="str">
        <f t="shared" si="2200"/>
        <v>-</v>
      </c>
      <c r="X4054" s="20" t="str">
        <f>IFERROR(W4054*H4054,"-")</f>
        <v>-</v>
      </c>
      <c r="Z4054" s="85" t="s">
        <v>82</v>
      </c>
    </row>
    <row r="4055" spans="1:26" ht="6.95" customHeight="1" x14ac:dyDescent="0.3">
      <c r="A4055" s="5"/>
      <c r="B4055" s="157"/>
      <c r="C4055" s="158"/>
      <c r="D4055" s="161"/>
      <c r="E4055" s="162"/>
      <c r="F4055" s="163"/>
      <c r="G4055" s="164"/>
      <c r="H4055" s="165"/>
      <c r="I4055" s="164"/>
      <c r="J4055" s="165"/>
      <c r="K4055" s="164"/>
      <c r="L4055" s="165"/>
      <c r="M4055" s="6"/>
      <c r="N4055" s="32"/>
      <c r="Q4055" s="10" t="str">
        <f>+CONCATENATE(E4054,I4054)</f>
        <v/>
      </c>
      <c r="R4055" s="10">
        <f>+J4054</f>
        <v>0</v>
      </c>
      <c r="S4055" s="11"/>
      <c r="T4055" s="10">
        <f>+E4054</f>
        <v>0</v>
      </c>
      <c r="U4055" s="19" t="str">
        <f>IFERROR(LEFT(I4054,FIND("*",I4054)-1),"-")</f>
        <v>-</v>
      </c>
      <c r="V4055" s="19" t="str">
        <f>IFERROR(RIGHT(I4054,LEN(I4054)-FIND("*",I4054)),"-")</f>
        <v>-</v>
      </c>
      <c r="W4055" s="20" t="str">
        <f t="shared" si="2200"/>
        <v>-</v>
      </c>
      <c r="X4055" s="20" t="str">
        <f t="shared" ref="X4055" si="2205">IFERROR(W4055*J4054,"-")</f>
        <v>-</v>
      </c>
      <c r="Z4055" s="85" t="s">
        <v>82</v>
      </c>
    </row>
    <row r="4056" spans="1:26" ht="6.95" customHeight="1" x14ac:dyDescent="0.3">
      <c r="A4056" s="5"/>
      <c r="B4056" s="157"/>
      <c r="C4056" s="158"/>
      <c r="D4056" s="161"/>
      <c r="E4056" s="162"/>
      <c r="F4056" s="163"/>
      <c r="G4056" s="164"/>
      <c r="H4056" s="165"/>
      <c r="I4056" s="164"/>
      <c r="J4056" s="165"/>
      <c r="K4056" s="164"/>
      <c r="L4056" s="165"/>
      <c r="M4056" s="6"/>
      <c r="N4056" s="32"/>
      <c r="Q4056" s="10" t="str">
        <f>+CONCATENATE(E4054,K4054)</f>
        <v/>
      </c>
      <c r="R4056" s="10">
        <f>+L4054</f>
        <v>0</v>
      </c>
      <c r="S4056" s="11"/>
      <c r="T4056" s="10">
        <f>+E4054</f>
        <v>0</v>
      </c>
      <c r="U4056" s="19" t="str">
        <f>IFERROR(LEFT(K4054,FIND("*",K4054)-1),"-")</f>
        <v>-</v>
      </c>
      <c r="V4056" s="19" t="str">
        <f>IFERROR(RIGHT(K4054,LEN(K4054)-FIND("*",K4054)),"-")</f>
        <v>-</v>
      </c>
      <c r="W4056" s="20" t="str">
        <f t="shared" si="2200"/>
        <v>-</v>
      </c>
      <c r="X4056" s="20" t="str">
        <f>IFERROR(W4056*L4054,"-")</f>
        <v>-</v>
      </c>
      <c r="Z4056" s="85" t="s">
        <v>82</v>
      </c>
    </row>
    <row r="4057" spans="1:26" ht="21" customHeight="1" thickBot="1" x14ac:dyDescent="0.35">
      <c r="A4057" s="5"/>
      <c r="B4057" s="159"/>
      <c r="C4057" s="160"/>
      <c r="D4057" s="166" t="s">
        <v>43</v>
      </c>
      <c r="E4057" s="167"/>
      <c r="F4057" s="167"/>
      <c r="G4057" s="168"/>
      <c r="H4057" s="168"/>
      <c r="I4057" s="168"/>
      <c r="J4057" s="168"/>
      <c r="K4057" s="168"/>
      <c r="L4057" s="168"/>
      <c r="M4057" s="7"/>
      <c r="N4057" s="32"/>
      <c r="Z4057" s="86" t="s">
        <v>81</v>
      </c>
    </row>
    <row r="4058" spans="1:26" ht="9.9499999999999993" customHeight="1" thickBot="1" x14ac:dyDescent="0.35">
      <c r="B4058" s="9"/>
      <c r="C4058" s="109"/>
      <c r="D4058" s="51"/>
      <c r="E4058" s="12"/>
      <c r="F4058" s="51"/>
      <c r="G4058" s="14"/>
      <c r="H4058" s="14"/>
      <c r="I4058" s="14"/>
      <c r="J4058" s="14"/>
      <c r="K4058" s="14"/>
      <c r="L4058" s="14"/>
      <c r="M4058" s="9"/>
      <c r="N4058" s="32"/>
      <c r="U4058" s="18"/>
      <c r="V4058" s="18"/>
      <c r="Z4058" s="85" t="s">
        <v>82</v>
      </c>
    </row>
    <row r="4059" spans="1:26" ht="6.95" customHeight="1" x14ac:dyDescent="0.3">
      <c r="A4059" s="154">
        <f>+A4048+1</f>
        <v>1168</v>
      </c>
      <c r="B4059" s="155"/>
      <c r="C4059" s="156"/>
      <c r="D4059" s="161" t="s">
        <v>39</v>
      </c>
      <c r="E4059" s="162"/>
      <c r="F4059" s="163" t="s">
        <v>40</v>
      </c>
      <c r="G4059" s="164"/>
      <c r="H4059" s="165"/>
      <c r="I4059" s="164"/>
      <c r="J4059" s="165"/>
      <c r="K4059" s="164"/>
      <c r="L4059" s="165"/>
      <c r="M4059" s="6"/>
      <c r="N4059" s="32"/>
      <c r="Q4059" s="10" t="str">
        <f>+CONCATENATE(E4059,G4059)</f>
        <v/>
      </c>
      <c r="R4059" s="10">
        <f>+H4059</f>
        <v>0</v>
      </c>
      <c r="S4059" s="11"/>
      <c r="T4059" s="10">
        <f>+E4059</f>
        <v>0</v>
      </c>
      <c r="U4059" s="19" t="str">
        <f>IFERROR(LEFT(G4059,FIND("*",G4059)-1),"-")</f>
        <v>-</v>
      </c>
      <c r="V4059" s="19" t="str">
        <f>IFERROR(RIGHT(G4059,LEN(G4059)-FIND("*",G4059)),"-")</f>
        <v>-</v>
      </c>
      <c r="W4059" s="20" t="str">
        <f>IFERROR((U4059+V4059)*2/1000,"-")</f>
        <v>-</v>
      </c>
      <c r="X4059" s="20" t="str">
        <f>IFERROR(W4059*H4059,"-")</f>
        <v>-</v>
      </c>
      <c r="Z4059" s="85" t="s">
        <v>82</v>
      </c>
    </row>
    <row r="4060" spans="1:26" ht="6.95" customHeight="1" x14ac:dyDescent="0.3">
      <c r="A4060" s="154"/>
      <c r="B4060" s="157"/>
      <c r="C4060" s="158"/>
      <c r="D4060" s="161"/>
      <c r="E4060" s="162"/>
      <c r="F4060" s="163"/>
      <c r="G4060" s="164"/>
      <c r="H4060" s="165"/>
      <c r="I4060" s="164"/>
      <c r="J4060" s="165"/>
      <c r="K4060" s="164"/>
      <c r="L4060" s="165"/>
      <c r="M4060" s="6"/>
      <c r="N4060" s="32"/>
      <c r="Q4060" s="10" t="str">
        <f>+CONCATENATE(E4059,I4059)</f>
        <v/>
      </c>
      <c r="R4060" s="10">
        <f>+J4059</f>
        <v>0</v>
      </c>
      <c r="S4060" s="11"/>
      <c r="T4060" s="10">
        <f>+E4059</f>
        <v>0</v>
      </c>
      <c r="U4060" s="19" t="str">
        <f>IFERROR(LEFT(I4059,FIND("*",I4059)-1),"-")</f>
        <v>-</v>
      </c>
      <c r="V4060" s="19" t="str">
        <f>IFERROR(RIGHT(I4059,LEN(I4059)-FIND("*",I4059)),"-")</f>
        <v>-</v>
      </c>
      <c r="W4060" s="20" t="str">
        <f t="shared" ref="W4060:W4067" si="2206">IFERROR((U4060+V4060)*2/1000,"-")</f>
        <v>-</v>
      </c>
      <c r="X4060" s="20" t="str">
        <f>IFERROR(W4060*J4059,"-")</f>
        <v>-</v>
      </c>
      <c r="Z4060" s="85" t="s">
        <v>82</v>
      </c>
    </row>
    <row r="4061" spans="1:26" ht="6.95" customHeight="1" x14ac:dyDescent="0.3">
      <c r="A4061" s="154"/>
      <c r="B4061" s="157"/>
      <c r="C4061" s="158"/>
      <c r="D4061" s="161"/>
      <c r="E4061" s="162"/>
      <c r="F4061" s="163"/>
      <c r="G4061" s="164"/>
      <c r="H4061" s="165"/>
      <c r="I4061" s="164"/>
      <c r="J4061" s="165"/>
      <c r="K4061" s="164"/>
      <c r="L4061" s="165"/>
      <c r="M4061" s="6"/>
      <c r="N4061" s="32"/>
      <c r="Q4061" s="10" t="str">
        <f>+CONCATENATE(E4059,K4059)</f>
        <v/>
      </c>
      <c r="R4061" s="10">
        <f>+L4059</f>
        <v>0</v>
      </c>
      <c r="S4061" s="11"/>
      <c r="T4061" s="10">
        <f>+E4059</f>
        <v>0</v>
      </c>
      <c r="U4061" s="19" t="str">
        <f>IFERROR(LEFT(K4059,FIND("*",K4059)-1),"-")</f>
        <v>-</v>
      </c>
      <c r="V4061" s="19" t="str">
        <f>IFERROR(RIGHT(K4059,LEN(K4059)-FIND("*",K4059)),"-")</f>
        <v>-</v>
      </c>
      <c r="W4061" s="20" t="str">
        <f t="shared" si="2206"/>
        <v>-</v>
      </c>
      <c r="X4061" s="20" t="str">
        <f>IFERROR(W4061*L4059,"-")</f>
        <v>-</v>
      </c>
      <c r="Z4061" s="85" t="s">
        <v>82</v>
      </c>
    </row>
    <row r="4062" spans="1:26" ht="6.95" customHeight="1" x14ac:dyDescent="0.3">
      <c r="A4062" s="8"/>
      <c r="B4062" s="157"/>
      <c r="C4062" s="158"/>
      <c r="D4062" s="161" t="s">
        <v>39</v>
      </c>
      <c r="E4062" s="162"/>
      <c r="F4062" s="163" t="s">
        <v>40</v>
      </c>
      <c r="G4062" s="164"/>
      <c r="H4062" s="165"/>
      <c r="I4062" s="164"/>
      <c r="J4062" s="165"/>
      <c r="K4062" s="164"/>
      <c r="L4062" s="165"/>
      <c r="M4062" s="6"/>
      <c r="N4062" s="32"/>
      <c r="Q4062" s="10" t="str">
        <f>+CONCATENATE(E4062,G4062)</f>
        <v/>
      </c>
      <c r="R4062" s="10">
        <f>+H4062</f>
        <v>0</v>
      </c>
      <c r="S4062" s="11"/>
      <c r="T4062" s="10">
        <f>+E4062</f>
        <v>0</v>
      </c>
      <c r="U4062" s="19" t="str">
        <f t="shared" ref="U4062" si="2207">IFERROR(LEFT(G4062,FIND("*",G4062)-1),"-")</f>
        <v>-</v>
      </c>
      <c r="V4062" s="19" t="str">
        <f t="shared" ref="V4062" si="2208">IFERROR(RIGHT(G4062,LEN(G4062)-FIND("*",G4062)),"-")</f>
        <v>-</v>
      </c>
      <c r="W4062" s="20" t="str">
        <f t="shared" si="2206"/>
        <v>-</v>
      </c>
      <c r="X4062" s="20" t="str">
        <f>IFERROR(W4062*H4062,"-")</f>
        <v>-</v>
      </c>
      <c r="Z4062" s="85" t="s">
        <v>82</v>
      </c>
    </row>
    <row r="4063" spans="1:26" ht="6.95" customHeight="1" x14ac:dyDescent="0.3">
      <c r="A4063" s="5"/>
      <c r="B4063" s="157"/>
      <c r="C4063" s="158"/>
      <c r="D4063" s="161"/>
      <c r="E4063" s="162"/>
      <c r="F4063" s="163"/>
      <c r="G4063" s="164"/>
      <c r="H4063" s="165"/>
      <c r="I4063" s="164"/>
      <c r="J4063" s="165"/>
      <c r="K4063" s="164"/>
      <c r="L4063" s="165"/>
      <c r="M4063" s="6"/>
      <c r="N4063" s="32"/>
      <c r="Q4063" s="10" t="str">
        <f>+CONCATENATE(E4062,I4062)</f>
        <v/>
      </c>
      <c r="R4063" s="10">
        <f>+J4062</f>
        <v>0</v>
      </c>
      <c r="S4063" s="11"/>
      <c r="T4063" s="10">
        <f>+E4062</f>
        <v>0</v>
      </c>
      <c r="U4063" s="19" t="str">
        <f>IFERROR(LEFT(I4062,FIND("*",I4062)-1),"-")</f>
        <v>-</v>
      </c>
      <c r="V4063" s="19" t="str">
        <f>IFERROR(RIGHT(I4062,LEN(I4062)-FIND("*",I4062)),"-")</f>
        <v>-</v>
      </c>
      <c r="W4063" s="20" t="str">
        <f t="shared" si="2206"/>
        <v>-</v>
      </c>
      <c r="X4063" s="20" t="str">
        <f>IFERROR(W4063*J4062,"-")</f>
        <v>-</v>
      </c>
      <c r="Z4063" s="85" t="s">
        <v>82</v>
      </c>
    </row>
    <row r="4064" spans="1:26" ht="6.95" customHeight="1" x14ac:dyDescent="0.3">
      <c r="A4064" s="5"/>
      <c r="B4064" s="157"/>
      <c r="C4064" s="158"/>
      <c r="D4064" s="161"/>
      <c r="E4064" s="162"/>
      <c r="F4064" s="163"/>
      <c r="G4064" s="164"/>
      <c r="H4064" s="165"/>
      <c r="I4064" s="164"/>
      <c r="J4064" s="165"/>
      <c r="K4064" s="164"/>
      <c r="L4064" s="165"/>
      <c r="M4064" s="6"/>
      <c r="N4064" s="32"/>
      <c r="Q4064" s="10" t="str">
        <f>+CONCATENATE(E4062,K4062)</f>
        <v/>
      </c>
      <c r="R4064" s="10">
        <f>+L4062</f>
        <v>0</v>
      </c>
      <c r="S4064" s="11"/>
      <c r="T4064" s="10">
        <f>+E4062</f>
        <v>0</v>
      </c>
      <c r="U4064" s="19" t="str">
        <f>IFERROR(LEFT(K4062,FIND("*",K4062)-1),"-")</f>
        <v>-</v>
      </c>
      <c r="V4064" s="19" t="str">
        <f>IFERROR(RIGHT(K4062,LEN(K4062)-FIND("*",K4062)),"-")</f>
        <v>-</v>
      </c>
      <c r="W4064" s="20" t="str">
        <f t="shared" si="2206"/>
        <v>-</v>
      </c>
      <c r="X4064" s="20" t="str">
        <f>IFERROR(W4064*L4062,"-")</f>
        <v>-</v>
      </c>
      <c r="Z4064" s="85" t="s">
        <v>82</v>
      </c>
    </row>
    <row r="4065" spans="1:26" ht="6.95" customHeight="1" x14ac:dyDescent="0.3">
      <c r="A4065" s="8"/>
      <c r="B4065" s="157"/>
      <c r="C4065" s="158"/>
      <c r="D4065" s="161" t="s">
        <v>39</v>
      </c>
      <c r="E4065" s="162"/>
      <c r="F4065" s="163" t="s">
        <v>40</v>
      </c>
      <c r="G4065" s="164"/>
      <c r="H4065" s="165"/>
      <c r="I4065" s="164"/>
      <c r="J4065" s="165"/>
      <c r="K4065" s="164"/>
      <c r="L4065" s="165"/>
      <c r="M4065" s="6"/>
      <c r="N4065" s="32"/>
      <c r="Q4065" s="10" t="str">
        <f>+CONCATENATE(E4065,G4065)</f>
        <v/>
      </c>
      <c r="R4065" s="10">
        <f>+H4065</f>
        <v>0</v>
      </c>
      <c r="S4065" s="11"/>
      <c r="T4065" s="10">
        <f>+E4065</f>
        <v>0</v>
      </c>
      <c r="U4065" s="19" t="str">
        <f t="shared" ref="U4065" si="2209">IFERROR(LEFT(G4065,FIND("*",G4065)-1),"-")</f>
        <v>-</v>
      </c>
      <c r="V4065" s="19" t="str">
        <f t="shared" ref="V4065" si="2210">IFERROR(RIGHT(G4065,LEN(G4065)-FIND("*",G4065)),"-")</f>
        <v>-</v>
      </c>
      <c r="W4065" s="20" t="str">
        <f t="shared" si="2206"/>
        <v>-</v>
      </c>
      <c r="X4065" s="20" t="str">
        <f>IFERROR(W4065*H4065,"-")</f>
        <v>-</v>
      </c>
      <c r="Z4065" s="85" t="s">
        <v>82</v>
      </c>
    </row>
    <row r="4066" spans="1:26" ht="6.95" customHeight="1" x14ac:dyDescent="0.3">
      <c r="A4066" s="5"/>
      <c r="B4066" s="157"/>
      <c r="C4066" s="158"/>
      <c r="D4066" s="161"/>
      <c r="E4066" s="162"/>
      <c r="F4066" s="163"/>
      <c r="G4066" s="164"/>
      <c r="H4066" s="165"/>
      <c r="I4066" s="164"/>
      <c r="J4066" s="165"/>
      <c r="K4066" s="164"/>
      <c r="L4066" s="165"/>
      <c r="M4066" s="6"/>
      <c r="N4066" s="32"/>
      <c r="Q4066" s="10" t="str">
        <f>+CONCATENATE(E4065,I4065)</f>
        <v/>
      </c>
      <c r="R4066" s="10">
        <f>+J4065</f>
        <v>0</v>
      </c>
      <c r="S4066" s="11"/>
      <c r="T4066" s="10">
        <f>+E4065</f>
        <v>0</v>
      </c>
      <c r="U4066" s="19" t="str">
        <f>IFERROR(LEFT(I4065,FIND("*",I4065)-1),"-")</f>
        <v>-</v>
      </c>
      <c r="V4066" s="19" t="str">
        <f>IFERROR(RIGHT(I4065,LEN(I4065)-FIND("*",I4065)),"-")</f>
        <v>-</v>
      </c>
      <c r="W4066" s="20" t="str">
        <f t="shared" si="2206"/>
        <v>-</v>
      </c>
      <c r="X4066" s="20" t="str">
        <f t="shared" ref="X4066" si="2211">IFERROR(W4066*J4065,"-")</f>
        <v>-</v>
      </c>
      <c r="Z4066" s="85" t="s">
        <v>82</v>
      </c>
    </row>
    <row r="4067" spans="1:26" ht="6.95" customHeight="1" x14ac:dyDescent="0.3">
      <c r="A4067" s="5"/>
      <c r="B4067" s="157"/>
      <c r="C4067" s="158"/>
      <c r="D4067" s="161"/>
      <c r="E4067" s="162"/>
      <c r="F4067" s="163"/>
      <c r="G4067" s="164"/>
      <c r="H4067" s="165"/>
      <c r="I4067" s="164"/>
      <c r="J4067" s="165"/>
      <c r="K4067" s="164"/>
      <c r="L4067" s="165"/>
      <c r="M4067" s="6"/>
      <c r="N4067" s="32"/>
      <c r="Q4067" s="10" t="str">
        <f>+CONCATENATE(E4065,K4065)</f>
        <v/>
      </c>
      <c r="R4067" s="10">
        <f>+L4065</f>
        <v>0</v>
      </c>
      <c r="S4067" s="11"/>
      <c r="T4067" s="10">
        <f>+E4065</f>
        <v>0</v>
      </c>
      <c r="U4067" s="19" t="str">
        <f>IFERROR(LEFT(K4065,FIND("*",K4065)-1),"-")</f>
        <v>-</v>
      </c>
      <c r="V4067" s="19" t="str">
        <f>IFERROR(RIGHT(K4065,LEN(K4065)-FIND("*",K4065)),"-")</f>
        <v>-</v>
      </c>
      <c r="W4067" s="20" t="str">
        <f t="shared" si="2206"/>
        <v>-</v>
      </c>
      <c r="X4067" s="20" t="str">
        <f>IFERROR(W4067*L4065,"-")</f>
        <v>-</v>
      </c>
      <c r="Z4067" s="85" t="s">
        <v>82</v>
      </c>
    </row>
    <row r="4068" spans="1:26" ht="21" customHeight="1" thickBot="1" x14ac:dyDescent="0.35">
      <c r="A4068" s="5"/>
      <c r="B4068" s="159"/>
      <c r="C4068" s="160"/>
      <c r="D4068" s="166" t="s">
        <v>43</v>
      </c>
      <c r="E4068" s="167"/>
      <c r="F4068" s="167"/>
      <c r="G4068" s="168"/>
      <c r="H4068" s="168"/>
      <c r="I4068" s="168"/>
      <c r="J4068" s="168"/>
      <c r="K4068" s="168"/>
      <c r="L4068" s="168"/>
      <c r="M4068" s="7"/>
      <c r="N4068" s="32"/>
      <c r="Z4068" s="86" t="s">
        <v>81</v>
      </c>
    </row>
    <row r="4069" spans="1:26" ht="9.9499999999999993" customHeight="1" thickBot="1" x14ac:dyDescent="0.35">
      <c r="B4069" s="9"/>
      <c r="C4069" s="109"/>
      <c r="D4069" s="51"/>
      <c r="E4069" s="12"/>
      <c r="F4069" s="51"/>
      <c r="G4069" s="14"/>
      <c r="H4069" s="14"/>
      <c r="I4069" s="14"/>
      <c r="J4069" s="14"/>
      <c r="K4069" s="14"/>
      <c r="L4069" s="14"/>
      <c r="M4069" s="9"/>
      <c r="N4069" s="32"/>
      <c r="U4069" s="18"/>
      <c r="V4069" s="18"/>
      <c r="Z4069" s="85" t="s">
        <v>82</v>
      </c>
    </row>
    <row r="4070" spans="1:26" ht="6.95" customHeight="1" x14ac:dyDescent="0.3">
      <c r="A4070" s="154">
        <f>+A4059+1</f>
        <v>1169</v>
      </c>
      <c r="B4070" s="155"/>
      <c r="C4070" s="156"/>
      <c r="D4070" s="161" t="s">
        <v>39</v>
      </c>
      <c r="E4070" s="162"/>
      <c r="F4070" s="163" t="s">
        <v>40</v>
      </c>
      <c r="G4070" s="164"/>
      <c r="H4070" s="165"/>
      <c r="I4070" s="164"/>
      <c r="J4070" s="165"/>
      <c r="K4070" s="164"/>
      <c r="L4070" s="165"/>
      <c r="M4070" s="6"/>
      <c r="N4070" s="32"/>
      <c r="Q4070" s="10" t="str">
        <f>+CONCATENATE(E4070,G4070)</f>
        <v/>
      </c>
      <c r="R4070" s="10">
        <f>+H4070</f>
        <v>0</v>
      </c>
      <c r="S4070" s="11"/>
      <c r="T4070" s="10">
        <f>+E4070</f>
        <v>0</v>
      </c>
      <c r="U4070" s="19" t="str">
        <f>IFERROR(LEFT(G4070,FIND("*",G4070)-1),"-")</f>
        <v>-</v>
      </c>
      <c r="V4070" s="19" t="str">
        <f>IFERROR(RIGHT(G4070,LEN(G4070)-FIND("*",G4070)),"-")</f>
        <v>-</v>
      </c>
      <c r="W4070" s="20" t="str">
        <f>IFERROR((U4070+V4070)*2/1000,"-")</f>
        <v>-</v>
      </c>
      <c r="X4070" s="20" t="str">
        <f>IFERROR(W4070*H4070,"-")</f>
        <v>-</v>
      </c>
      <c r="Z4070" s="85" t="s">
        <v>82</v>
      </c>
    </row>
    <row r="4071" spans="1:26" ht="6.95" customHeight="1" x14ac:dyDescent="0.3">
      <c r="A4071" s="154"/>
      <c r="B4071" s="157"/>
      <c r="C4071" s="158"/>
      <c r="D4071" s="161"/>
      <c r="E4071" s="162"/>
      <c r="F4071" s="163"/>
      <c r="G4071" s="164"/>
      <c r="H4071" s="165"/>
      <c r="I4071" s="164"/>
      <c r="J4071" s="165"/>
      <c r="K4071" s="164"/>
      <c r="L4071" s="165"/>
      <c r="M4071" s="6"/>
      <c r="N4071" s="32"/>
      <c r="Q4071" s="10" t="str">
        <f>+CONCATENATE(E4070,I4070)</f>
        <v/>
      </c>
      <c r="R4071" s="10">
        <f>+J4070</f>
        <v>0</v>
      </c>
      <c r="S4071" s="11"/>
      <c r="T4071" s="10">
        <f>+E4070</f>
        <v>0</v>
      </c>
      <c r="U4071" s="19" t="str">
        <f>IFERROR(LEFT(I4070,FIND("*",I4070)-1),"-")</f>
        <v>-</v>
      </c>
      <c r="V4071" s="19" t="str">
        <f>IFERROR(RIGHT(I4070,LEN(I4070)-FIND("*",I4070)),"-")</f>
        <v>-</v>
      </c>
      <c r="W4071" s="20" t="str">
        <f t="shared" ref="W4071:W4078" si="2212">IFERROR((U4071+V4071)*2/1000,"-")</f>
        <v>-</v>
      </c>
      <c r="X4071" s="20" t="str">
        <f>IFERROR(W4071*J4070,"-")</f>
        <v>-</v>
      </c>
      <c r="Z4071" s="85" t="s">
        <v>82</v>
      </c>
    </row>
    <row r="4072" spans="1:26" ht="6.95" customHeight="1" x14ac:dyDescent="0.3">
      <c r="A4072" s="154"/>
      <c r="B4072" s="157"/>
      <c r="C4072" s="158"/>
      <c r="D4072" s="161"/>
      <c r="E4072" s="162"/>
      <c r="F4072" s="163"/>
      <c r="G4072" s="164"/>
      <c r="H4072" s="165"/>
      <c r="I4072" s="164"/>
      <c r="J4072" s="165"/>
      <c r="K4072" s="164"/>
      <c r="L4072" s="165"/>
      <c r="M4072" s="6"/>
      <c r="N4072" s="32"/>
      <c r="Q4072" s="10" t="str">
        <f>+CONCATENATE(E4070,K4070)</f>
        <v/>
      </c>
      <c r="R4072" s="10">
        <f>+L4070</f>
        <v>0</v>
      </c>
      <c r="S4072" s="11"/>
      <c r="T4072" s="10">
        <f>+E4070</f>
        <v>0</v>
      </c>
      <c r="U4072" s="19" t="str">
        <f>IFERROR(LEFT(K4070,FIND("*",K4070)-1),"-")</f>
        <v>-</v>
      </c>
      <c r="V4072" s="19" t="str">
        <f>IFERROR(RIGHT(K4070,LEN(K4070)-FIND("*",K4070)),"-")</f>
        <v>-</v>
      </c>
      <c r="W4072" s="20" t="str">
        <f t="shared" si="2212"/>
        <v>-</v>
      </c>
      <c r="X4072" s="20" t="str">
        <f>IFERROR(W4072*L4070,"-")</f>
        <v>-</v>
      </c>
      <c r="Z4072" s="85" t="s">
        <v>82</v>
      </c>
    </row>
    <row r="4073" spans="1:26" ht="6.95" customHeight="1" x14ac:dyDescent="0.3">
      <c r="A4073" s="8"/>
      <c r="B4073" s="157"/>
      <c r="C4073" s="158"/>
      <c r="D4073" s="161" t="s">
        <v>39</v>
      </c>
      <c r="E4073" s="162"/>
      <c r="F4073" s="163" t="s">
        <v>40</v>
      </c>
      <c r="G4073" s="164"/>
      <c r="H4073" s="165"/>
      <c r="I4073" s="164"/>
      <c r="J4073" s="165"/>
      <c r="K4073" s="164"/>
      <c r="L4073" s="165"/>
      <c r="M4073" s="6"/>
      <c r="N4073" s="32"/>
      <c r="Q4073" s="10" t="str">
        <f>+CONCATENATE(E4073,G4073)</f>
        <v/>
      </c>
      <c r="R4073" s="10">
        <f>+H4073</f>
        <v>0</v>
      </c>
      <c r="S4073" s="11"/>
      <c r="T4073" s="10">
        <f>+E4073</f>
        <v>0</v>
      </c>
      <c r="U4073" s="19" t="str">
        <f t="shared" ref="U4073" si="2213">IFERROR(LEFT(G4073,FIND("*",G4073)-1),"-")</f>
        <v>-</v>
      </c>
      <c r="V4073" s="19" t="str">
        <f t="shared" ref="V4073" si="2214">IFERROR(RIGHT(G4073,LEN(G4073)-FIND("*",G4073)),"-")</f>
        <v>-</v>
      </c>
      <c r="W4073" s="20" t="str">
        <f t="shared" si="2212"/>
        <v>-</v>
      </c>
      <c r="X4073" s="20" t="str">
        <f>IFERROR(W4073*H4073,"-")</f>
        <v>-</v>
      </c>
      <c r="Z4073" s="85" t="s">
        <v>82</v>
      </c>
    </row>
    <row r="4074" spans="1:26" ht="6.95" customHeight="1" x14ac:dyDescent="0.3">
      <c r="A4074" s="5"/>
      <c r="B4074" s="157"/>
      <c r="C4074" s="158"/>
      <c r="D4074" s="161"/>
      <c r="E4074" s="162"/>
      <c r="F4074" s="163"/>
      <c r="G4074" s="164"/>
      <c r="H4074" s="165"/>
      <c r="I4074" s="164"/>
      <c r="J4074" s="165"/>
      <c r="K4074" s="164"/>
      <c r="L4074" s="165"/>
      <c r="M4074" s="6"/>
      <c r="N4074" s="32"/>
      <c r="Q4074" s="10" t="str">
        <f>+CONCATENATE(E4073,I4073)</f>
        <v/>
      </c>
      <c r="R4074" s="10">
        <f>+J4073</f>
        <v>0</v>
      </c>
      <c r="S4074" s="11"/>
      <c r="T4074" s="10">
        <f>+E4073</f>
        <v>0</v>
      </c>
      <c r="U4074" s="19" t="str">
        <f>IFERROR(LEFT(I4073,FIND("*",I4073)-1),"-")</f>
        <v>-</v>
      </c>
      <c r="V4074" s="19" t="str">
        <f>IFERROR(RIGHT(I4073,LEN(I4073)-FIND("*",I4073)),"-")</f>
        <v>-</v>
      </c>
      <c r="W4074" s="20" t="str">
        <f t="shared" si="2212"/>
        <v>-</v>
      </c>
      <c r="X4074" s="20" t="str">
        <f>IFERROR(W4074*J4073,"-")</f>
        <v>-</v>
      </c>
      <c r="Z4074" s="85" t="s">
        <v>82</v>
      </c>
    </row>
    <row r="4075" spans="1:26" ht="6.95" customHeight="1" x14ac:dyDescent="0.3">
      <c r="A4075" s="5"/>
      <c r="B4075" s="157"/>
      <c r="C4075" s="158"/>
      <c r="D4075" s="161"/>
      <c r="E4075" s="162"/>
      <c r="F4075" s="163"/>
      <c r="G4075" s="164"/>
      <c r="H4075" s="165"/>
      <c r="I4075" s="164"/>
      <c r="J4075" s="165"/>
      <c r="K4075" s="164"/>
      <c r="L4075" s="165"/>
      <c r="M4075" s="6"/>
      <c r="N4075" s="32"/>
      <c r="Q4075" s="10" t="str">
        <f>+CONCATENATE(E4073,K4073)</f>
        <v/>
      </c>
      <c r="R4075" s="10">
        <f>+L4073</f>
        <v>0</v>
      </c>
      <c r="S4075" s="11"/>
      <c r="T4075" s="10">
        <f>+E4073</f>
        <v>0</v>
      </c>
      <c r="U4075" s="19" t="str">
        <f>IFERROR(LEFT(K4073,FIND("*",K4073)-1),"-")</f>
        <v>-</v>
      </c>
      <c r="V4075" s="19" t="str">
        <f>IFERROR(RIGHT(K4073,LEN(K4073)-FIND("*",K4073)),"-")</f>
        <v>-</v>
      </c>
      <c r="W4075" s="20" t="str">
        <f t="shared" si="2212"/>
        <v>-</v>
      </c>
      <c r="X4075" s="20" t="str">
        <f>IFERROR(W4075*L4073,"-")</f>
        <v>-</v>
      </c>
      <c r="Z4075" s="85" t="s">
        <v>82</v>
      </c>
    </row>
    <row r="4076" spans="1:26" ht="6.95" customHeight="1" x14ac:dyDescent="0.3">
      <c r="A4076" s="8"/>
      <c r="B4076" s="157"/>
      <c r="C4076" s="158"/>
      <c r="D4076" s="161" t="s">
        <v>39</v>
      </c>
      <c r="E4076" s="162"/>
      <c r="F4076" s="163" t="s">
        <v>40</v>
      </c>
      <c r="G4076" s="164"/>
      <c r="H4076" s="165"/>
      <c r="I4076" s="164"/>
      <c r="J4076" s="165"/>
      <c r="K4076" s="164"/>
      <c r="L4076" s="165"/>
      <c r="M4076" s="6"/>
      <c r="N4076" s="32"/>
      <c r="Q4076" s="10" t="str">
        <f>+CONCATENATE(E4076,G4076)</f>
        <v/>
      </c>
      <c r="R4076" s="10">
        <f>+H4076</f>
        <v>0</v>
      </c>
      <c r="S4076" s="11"/>
      <c r="T4076" s="10">
        <f>+E4076</f>
        <v>0</v>
      </c>
      <c r="U4076" s="19" t="str">
        <f t="shared" ref="U4076" si="2215">IFERROR(LEFT(G4076,FIND("*",G4076)-1),"-")</f>
        <v>-</v>
      </c>
      <c r="V4076" s="19" t="str">
        <f t="shared" ref="V4076" si="2216">IFERROR(RIGHT(G4076,LEN(G4076)-FIND("*",G4076)),"-")</f>
        <v>-</v>
      </c>
      <c r="W4076" s="20" t="str">
        <f t="shared" si="2212"/>
        <v>-</v>
      </c>
      <c r="X4076" s="20" t="str">
        <f>IFERROR(W4076*H4076,"-")</f>
        <v>-</v>
      </c>
      <c r="Z4076" s="85" t="s">
        <v>82</v>
      </c>
    </row>
    <row r="4077" spans="1:26" ht="6.95" customHeight="1" x14ac:dyDescent="0.3">
      <c r="A4077" s="5"/>
      <c r="B4077" s="157"/>
      <c r="C4077" s="158"/>
      <c r="D4077" s="161"/>
      <c r="E4077" s="162"/>
      <c r="F4077" s="163"/>
      <c r="G4077" s="164"/>
      <c r="H4077" s="165"/>
      <c r="I4077" s="164"/>
      <c r="J4077" s="165"/>
      <c r="K4077" s="164"/>
      <c r="L4077" s="165"/>
      <c r="M4077" s="6"/>
      <c r="N4077" s="32"/>
      <c r="Q4077" s="10" t="str">
        <f>+CONCATENATE(E4076,I4076)</f>
        <v/>
      </c>
      <c r="R4077" s="10">
        <f>+J4076</f>
        <v>0</v>
      </c>
      <c r="S4077" s="11"/>
      <c r="T4077" s="10">
        <f>+E4076</f>
        <v>0</v>
      </c>
      <c r="U4077" s="19" t="str">
        <f>IFERROR(LEFT(I4076,FIND("*",I4076)-1),"-")</f>
        <v>-</v>
      </c>
      <c r="V4077" s="19" t="str">
        <f>IFERROR(RIGHT(I4076,LEN(I4076)-FIND("*",I4076)),"-")</f>
        <v>-</v>
      </c>
      <c r="W4077" s="20" t="str">
        <f t="shared" si="2212"/>
        <v>-</v>
      </c>
      <c r="X4077" s="20" t="str">
        <f t="shared" ref="X4077" si="2217">IFERROR(W4077*J4076,"-")</f>
        <v>-</v>
      </c>
      <c r="Z4077" s="85" t="s">
        <v>82</v>
      </c>
    </row>
    <row r="4078" spans="1:26" ht="6.95" customHeight="1" x14ac:dyDescent="0.3">
      <c r="A4078" s="5"/>
      <c r="B4078" s="157"/>
      <c r="C4078" s="158"/>
      <c r="D4078" s="161"/>
      <c r="E4078" s="162"/>
      <c r="F4078" s="163"/>
      <c r="G4078" s="164"/>
      <c r="H4078" s="165"/>
      <c r="I4078" s="164"/>
      <c r="J4078" s="165"/>
      <c r="K4078" s="164"/>
      <c r="L4078" s="165"/>
      <c r="M4078" s="6"/>
      <c r="N4078" s="32"/>
      <c r="Q4078" s="10" t="str">
        <f>+CONCATENATE(E4076,K4076)</f>
        <v/>
      </c>
      <c r="R4078" s="10">
        <f>+L4076</f>
        <v>0</v>
      </c>
      <c r="S4078" s="11"/>
      <c r="T4078" s="10">
        <f>+E4076</f>
        <v>0</v>
      </c>
      <c r="U4078" s="19" t="str">
        <f>IFERROR(LEFT(K4076,FIND("*",K4076)-1),"-")</f>
        <v>-</v>
      </c>
      <c r="V4078" s="19" t="str">
        <f>IFERROR(RIGHT(K4076,LEN(K4076)-FIND("*",K4076)),"-")</f>
        <v>-</v>
      </c>
      <c r="W4078" s="20" t="str">
        <f t="shared" si="2212"/>
        <v>-</v>
      </c>
      <c r="X4078" s="20" t="str">
        <f>IFERROR(W4078*L4076,"-")</f>
        <v>-</v>
      </c>
      <c r="Z4078" s="85" t="s">
        <v>82</v>
      </c>
    </row>
    <row r="4079" spans="1:26" ht="21" customHeight="1" thickBot="1" x14ac:dyDescent="0.35">
      <c r="A4079" s="5"/>
      <c r="B4079" s="159"/>
      <c r="C4079" s="160"/>
      <c r="D4079" s="166" t="s">
        <v>43</v>
      </c>
      <c r="E4079" s="167"/>
      <c r="F4079" s="167"/>
      <c r="G4079" s="168"/>
      <c r="H4079" s="168"/>
      <c r="I4079" s="168"/>
      <c r="J4079" s="168"/>
      <c r="K4079" s="168"/>
      <c r="L4079" s="168"/>
      <c r="M4079" s="7"/>
      <c r="N4079" s="32"/>
      <c r="Z4079" s="86" t="s">
        <v>81</v>
      </c>
    </row>
    <row r="4080" spans="1:26" ht="9.9499999999999993" customHeight="1" thickBot="1" x14ac:dyDescent="0.35">
      <c r="B4080" s="9"/>
      <c r="C4080" s="109"/>
      <c r="D4080" s="51"/>
      <c r="E4080" s="12"/>
      <c r="F4080" s="51"/>
      <c r="G4080" s="14"/>
      <c r="H4080" s="14"/>
      <c r="I4080" s="14"/>
      <c r="J4080" s="14"/>
      <c r="K4080" s="14"/>
      <c r="L4080" s="14"/>
      <c r="M4080" s="9"/>
      <c r="N4080" s="32"/>
      <c r="U4080" s="18"/>
      <c r="V4080" s="18"/>
      <c r="Z4080" s="85" t="s">
        <v>82</v>
      </c>
    </row>
    <row r="4081" spans="1:26" ht="6.95" customHeight="1" x14ac:dyDescent="0.3">
      <c r="A4081" s="154">
        <f>+A4070+1</f>
        <v>1170</v>
      </c>
      <c r="B4081" s="155"/>
      <c r="C4081" s="156"/>
      <c r="D4081" s="161" t="s">
        <v>39</v>
      </c>
      <c r="E4081" s="162"/>
      <c r="F4081" s="163" t="s">
        <v>40</v>
      </c>
      <c r="G4081" s="164"/>
      <c r="H4081" s="165"/>
      <c r="I4081" s="164"/>
      <c r="J4081" s="165"/>
      <c r="K4081" s="164"/>
      <c r="L4081" s="165"/>
      <c r="M4081" s="6"/>
      <c r="N4081" s="32"/>
      <c r="Q4081" s="10" t="str">
        <f>+CONCATENATE(E4081,G4081)</f>
        <v/>
      </c>
      <c r="R4081" s="10">
        <f>+H4081</f>
        <v>0</v>
      </c>
      <c r="S4081" s="11"/>
      <c r="T4081" s="10">
        <f>+E4081</f>
        <v>0</v>
      </c>
      <c r="U4081" s="19" t="str">
        <f>IFERROR(LEFT(G4081,FIND("*",G4081)-1),"-")</f>
        <v>-</v>
      </c>
      <c r="V4081" s="19" t="str">
        <f>IFERROR(RIGHT(G4081,LEN(G4081)-FIND("*",G4081)),"-")</f>
        <v>-</v>
      </c>
      <c r="W4081" s="20" t="str">
        <f>IFERROR((U4081+V4081)*2/1000,"-")</f>
        <v>-</v>
      </c>
      <c r="X4081" s="20" t="str">
        <f>IFERROR(W4081*H4081,"-")</f>
        <v>-</v>
      </c>
      <c r="Z4081" s="85" t="s">
        <v>82</v>
      </c>
    </row>
    <row r="4082" spans="1:26" ht="6.95" customHeight="1" x14ac:dyDescent="0.3">
      <c r="A4082" s="154"/>
      <c r="B4082" s="157"/>
      <c r="C4082" s="158"/>
      <c r="D4082" s="161"/>
      <c r="E4082" s="162"/>
      <c r="F4082" s="163"/>
      <c r="G4082" s="164"/>
      <c r="H4082" s="165"/>
      <c r="I4082" s="164"/>
      <c r="J4082" s="165"/>
      <c r="K4082" s="164"/>
      <c r="L4082" s="165"/>
      <c r="M4082" s="6"/>
      <c r="N4082" s="32"/>
      <c r="Q4082" s="10" t="str">
        <f>+CONCATENATE(E4081,I4081)</f>
        <v/>
      </c>
      <c r="R4082" s="10">
        <f>+J4081</f>
        <v>0</v>
      </c>
      <c r="S4082" s="11"/>
      <c r="T4082" s="10">
        <f>+E4081</f>
        <v>0</v>
      </c>
      <c r="U4082" s="19" t="str">
        <f>IFERROR(LEFT(I4081,FIND("*",I4081)-1),"-")</f>
        <v>-</v>
      </c>
      <c r="V4082" s="19" t="str">
        <f>IFERROR(RIGHT(I4081,LEN(I4081)-FIND("*",I4081)),"-")</f>
        <v>-</v>
      </c>
      <c r="W4082" s="20" t="str">
        <f t="shared" ref="W4082:W4089" si="2218">IFERROR((U4082+V4082)*2/1000,"-")</f>
        <v>-</v>
      </c>
      <c r="X4082" s="20" t="str">
        <f>IFERROR(W4082*J4081,"-")</f>
        <v>-</v>
      </c>
      <c r="Z4082" s="85" t="s">
        <v>82</v>
      </c>
    </row>
    <row r="4083" spans="1:26" ht="6.95" customHeight="1" x14ac:dyDescent="0.3">
      <c r="A4083" s="154"/>
      <c r="B4083" s="157"/>
      <c r="C4083" s="158"/>
      <c r="D4083" s="161"/>
      <c r="E4083" s="162"/>
      <c r="F4083" s="163"/>
      <c r="G4083" s="164"/>
      <c r="H4083" s="165"/>
      <c r="I4083" s="164"/>
      <c r="J4083" s="165"/>
      <c r="K4083" s="164"/>
      <c r="L4083" s="165"/>
      <c r="M4083" s="6"/>
      <c r="N4083" s="32"/>
      <c r="Q4083" s="10" t="str">
        <f>+CONCATENATE(E4081,K4081)</f>
        <v/>
      </c>
      <c r="R4083" s="10">
        <f>+L4081</f>
        <v>0</v>
      </c>
      <c r="S4083" s="11"/>
      <c r="T4083" s="10">
        <f>+E4081</f>
        <v>0</v>
      </c>
      <c r="U4083" s="19" t="str">
        <f>IFERROR(LEFT(K4081,FIND("*",K4081)-1),"-")</f>
        <v>-</v>
      </c>
      <c r="V4083" s="19" t="str">
        <f>IFERROR(RIGHT(K4081,LEN(K4081)-FIND("*",K4081)),"-")</f>
        <v>-</v>
      </c>
      <c r="W4083" s="20" t="str">
        <f t="shared" si="2218"/>
        <v>-</v>
      </c>
      <c r="X4083" s="20" t="str">
        <f>IFERROR(W4083*L4081,"-")</f>
        <v>-</v>
      </c>
      <c r="Z4083" s="85" t="s">
        <v>82</v>
      </c>
    </row>
    <row r="4084" spans="1:26" ht="6.95" customHeight="1" x14ac:dyDescent="0.3">
      <c r="A4084" s="8"/>
      <c r="B4084" s="157"/>
      <c r="C4084" s="158"/>
      <c r="D4084" s="161" t="s">
        <v>39</v>
      </c>
      <c r="E4084" s="162"/>
      <c r="F4084" s="163" t="s">
        <v>40</v>
      </c>
      <c r="G4084" s="164"/>
      <c r="H4084" s="165"/>
      <c r="I4084" s="164"/>
      <c r="J4084" s="165"/>
      <c r="K4084" s="164"/>
      <c r="L4084" s="165"/>
      <c r="M4084" s="6"/>
      <c r="N4084" s="32"/>
      <c r="Q4084" s="10" t="str">
        <f>+CONCATENATE(E4084,G4084)</f>
        <v/>
      </c>
      <c r="R4084" s="10">
        <f>+H4084</f>
        <v>0</v>
      </c>
      <c r="S4084" s="11"/>
      <c r="T4084" s="10">
        <f>+E4084</f>
        <v>0</v>
      </c>
      <c r="U4084" s="19" t="str">
        <f t="shared" ref="U4084" si="2219">IFERROR(LEFT(G4084,FIND("*",G4084)-1),"-")</f>
        <v>-</v>
      </c>
      <c r="V4084" s="19" t="str">
        <f t="shared" ref="V4084" si="2220">IFERROR(RIGHT(G4084,LEN(G4084)-FIND("*",G4084)),"-")</f>
        <v>-</v>
      </c>
      <c r="W4084" s="20" t="str">
        <f t="shared" si="2218"/>
        <v>-</v>
      </c>
      <c r="X4084" s="20" t="str">
        <f>IFERROR(W4084*H4084,"-")</f>
        <v>-</v>
      </c>
      <c r="Z4084" s="85" t="s">
        <v>82</v>
      </c>
    </row>
    <row r="4085" spans="1:26" ht="6.95" customHeight="1" x14ac:dyDescent="0.3">
      <c r="A4085" s="5"/>
      <c r="B4085" s="157"/>
      <c r="C4085" s="158"/>
      <c r="D4085" s="161"/>
      <c r="E4085" s="162"/>
      <c r="F4085" s="163"/>
      <c r="G4085" s="164"/>
      <c r="H4085" s="165"/>
      <c r="I4085" s="164"/>
      <c r="J4085" s="165"/>
      <c r="K4085" s="164"/>
      <c r="L4085" s="165"/>
      <c r="M4085" s="6"/>
      <c r="N4085" s="32"/>
      <c r="Q4085" s="10" t="str">
        <f>+CONCATENATE(E4084,I4084)</f>
        <v/>
      </c>
      <c r="R4085" s="10">
        <f>+J4084</f>
        <v>0</v>
      </c>
      <c r="S4085" s="11"/>
      <c r="T4085" s="10">
        <f>+E4084</f>
        <v>0</v>
      </c>
      <c r="U4085" s="19" t="str">
        <f>IFERROR(LEFT(I4084,FIND("*",I4084)-1),"-")</f>
        <v>-</v>
      </c>
      <c r="V4085" s="19" t="str">
        <f>IFERROR(RIGHT(I4084,LEN(I4084)-FIND("*",I4084)),"-")</f>
        <v>-</v>
      </c>
      <c r="W4085" s="20" t="str">
        <f t="shared" si="2218"/>
        <v>-</v>
      </c>
      <c r="X4085" s="20" t="str">
        <f>IFERROR(W4085*J4084,"-")</f>
        <v>-</v>
      </c>
      <c r="Z4085" s="85" t="s">
        <v>82</v>
      </c>
    </row>
    <row r="4086" spans="1:26" ht="6.95" customHeight="1" x14ac:dyDescent="0.3">
      <c r="A4086" s="5"/>
      <c r="B4086" s="157"/>
      <c r="C4086" s="158"/>
      <c r="D4086" s="161"/>
      <c r="E4086" s="162"/>
      <c r="F4086" s="163"/>
      <c r="G4086" s="164"/>
      <c r="H4086" s="165"/>
      <c r="I4086" s="164"/>
      <c r="J4086" s="165"/>
      <c r="K4086" s="164"/>
      <c r="L4086" s="165"/>
      <c r="M4086" s="6"/>
      <c r="N4086" s="32"/>
      <c r="Q4086" s="10" t="str">
        <f>+CONCATENATE(E4084,K4084)</f>
        <v/>
      </c>
      <c r="R4086" s="10">
        <f>+L4084</f>
        <v>0</v>
      </c>
      <c r="S4086" s="11"/>
      <c r="T4086" s="10">
        <f>+E4084</f>
        <v>0</v>
      </c>
      <c r="U4086" s="19" t="str">
        <f>IFERROR(LEFT(K4084,FIND("*",K4084)-1),"-")</f>
        <v>-</v>
      </c>
      <c r="V4086" s="19" t="str">
        <f>IFERROR(RIGHT(K4084,LEN(K4084)-FIND("*",K4084)),"-")</f>
        <v>-</v>
      </c>
      <c r="W4086" s="20" t="str">
        <f t="shared" si="2218"/>
        <v>-</v>
      </c>
      <c r="X4086" s="20" t="str">
        <f>IFERROR(W4086*L4084,"-")</f>
        <v>-</v>
      </c>
      <c r="Z4086" s="85" t="s">
        <v>82</v>
      </c>
    </row>
    <row r="4087" spans="1:26" ht="6.95" customHeight="1" x14ac:dyDescent="0.3">
      <c r="A4087" s="8"/>
      <c r="B4087" s="157"/>
      <c r="C4087" s="158"/>
      <c r="D4087" s="161" t="s">
        <v>39</v>
      </c>
      <c r="E4087" s="162"/>
      <c r="F4087" s="163" t="s">
        <v>40</v>
      </c>
      <c r="G4087" s="164"/>
      <c r="H4087" s="165"/>
      <c r="I4087" s="164"/>
      <c r="J4087" s="165"/>
      <c r="K4087" s="164"/>
      <c r="L4087" s="165"/>
      <c r="M4087" s="6"/>
      <c r="N4087" s="32"/>
      <c r="Q4087" s="10" t="str">
        <f>+CONCATENATE(E4087,G4087)</f>
        <v/>
      </c>
      <c r="R4087" s="10">
        <f>+H4087</f>
        <v>0</v>
      </c>
      <c r="S4087" s="11"/>
      <c r="T4087" s="10">
        <f>+E4087</f>
        <v>0</v>
      </c>
      <c r="U4087" s="19" t="str">
        <f t="shared" ref="U4087" si="2221">IFERROR(LEFT(G4087,FIND("*",G4087)-1),"-")</f>
        <v>-</v>
      </c>
      <c r="V4087" s="19" t="str">
        <f t="shared" ref="V4087" si="2222">IFERROR(RIGHT(G4087,LEN(G4087)-FIND("*",G4087)),"-")</f>
        <v>-</v>
      </c>
      <c r="W4087" s="20" t="str">
        <f t="shared" si="2218"/>
        <v>-</v>
      </c>
      <c r="X4087" s="20" t="str">
        <f>IFERROR(W4087*H4087,"-")</f>
        <v>-</v>
      </c>
      <c r="Z4087" s="85" t="s">
        <v>82</v>
      </c>
    </row>
    <row r="4088" spans="1:26" ht="6.95" customHeight="1" x14ac:dyDescent="0.3">
      <c r="A4088" s="5"/>
      <c r="B4088" s="157"/>
      <c r="C4088" s="158"/>
      <c r="D4088" s="161"/>
      <c r="E4088" s="162"/>
      <c r="F4088" s="163"/>
      <c r="G4088" s="164"/>
      <c r="H4088" s="165"/>
      <c r="I4088" s="164"/>
      <c r="J4088" s="165"/>
      <c r="K4088" s="164"/>
      <c r="L4088" s="165"/>
      <c r="M4088" s="6"/>
      <c r="N4088" s="32"/>
      <c r="Q4088" s="10" t="str">
        <f>+CONCATENATE(E4087,I4087)</f>
        <v/>
      </c>
      <c r="R4088" s="10">
        <f>+J4087</f>
        <v>0</v>
      </c>
      <c r="S4088" s="11"/>
      <c r="T4088" s="10">
        <f>+E4087</f>
        <v>0</v>
      </c>
      <c r="U4088" s="19" t="str">
        <f>IFERROR(LEFT(I4087,FIND("*",I4087)-1),"-")</f>
        <v>-</v>
      </c>
      <c r="V4088" s="19" t="str">
        <f>IFERROR(RIGHT(I4087,LEN(I4087)-FIND("*",I4087)),"-")</f>
        <v>-</v>
      </c>
      <c r="W4088" s="20" t="str">
        <f t="shared" si="2218"/>
        <v>-</v>
      </c>
      <c r="X4088" s="20" t="str">
        <f t="shared" ref="X4088" si="2223">IFERROR(W4088*J4087,"-")</f>
        <v>-</v>
      </c>
      <c r="Z4088" s="85" t="s">
        <v>82</v>
      </c>
    </row>
    <row r="4089" spans="1:26" ht="6.95" customHeight="1" x14ac:dyDescent="0.3">
      <c r="A4089" s="5"/>
      <c r="B4089" s="157"/>
      <c r="C4089" s="158"/>
      <c r="D4089" s="161"/>
      <c r="E4089" s="162"/>
      <c r="F4089" s="163"/>
      <c r="G4089" s="164"/>
      <c r="H4089" s="165"/>
      <c r="I4089" s="164"/>
      <c r="J4089" s="165"/>
      <c r="K4089" s="164"/>
      <c r="L4089" s="165"/>
      <c r="M4089" s="6"/>
      <c r="N4089" s="32"/>
      <c r="Q4089" s="10" t="str">
        <f>+CONCATENATE(E4087,K4087)</f>
        <v/>
      </c>
      <c r="R4089" s="10">
        <f>+L4087</f>
        <v>0</v>
      </c>
      <c r="S4089" s="11"/>
      <c r="T4089" s="10">
        <f>+E4087</f>
        <v>0</v>
      </c>
      <c r="U4089" s="19" t="str">
        <f>IFERROR(LEFT(K4087,FIND("*",K4087)-1),"-")</f>
        <v>-</v>
      </c>
      <c r="V4089" s="19" t="str">
        <f>IFERROR(RIGHT(K4087,LEN(K4087)-FIND("*",K4087)),"-")</f>
        <v>-</v>
      </c>
      <c r="W4089" s="20" t="str">
        <f t="shared" si="2218"/>
        <v>-</v>
      </c>
      <c r="X4089" s="20" t="str">
        <f>IFERROR(W4089*L4087,"-")</f>
        <v>-</v>
      </c>
      <c r="Z4089" s="85" t="s">
        <v>82</v>
      </c>
    </row>
    <row r="4090" spans="1:26" ht="21" customHeight="1" thickBot="1" x14ac:dyDescent="0.35">
      <c r="A4090" s="5"/>
      <c r="B4090" s="159"/>
      <c r="C4090" s="160"/>
      <c r="D4090" s="166" t="s">
        <v>43</v>
      </c>
      <c r="E4090" s="167"/>
      <c r="F4090" s="167"/>
      <c r="G4090" s="168"/>
      <c r="H4090" s="168"/>
      <c r="I4090" s="168"/>
      <c r="J4090" s="168"/>
      <c r="K4090" s="168"/>
      <c r="L4090" s="168"/>
      <c r="M4090" s="7"/>
      <c r="N4090" s="32"/>
      <c r="Z4090" s="86" t="s">
        <v>81</v>
      </c>
    </row>
    <row r="4091" spans="1:26" ht="9.9499999999999993" customHeight="1" thickBot="1" x14ac:dyDescent="0.35">
      <c r="B4091" s="9"/>
      <c r="C4091" s="109"/>
      <c r="D4091" s="51"/>
      <c r="E4091" s="12"/>
      <c r="F4091" s="51"/>
      <c r="G4091" s="14"/>
      <c r="H4091" s="14"/>
      <c r="I4091" s="14"/>
      <c r="J4091" s="14"/>
      <c r="K4091" s="14"/>
      <c r="L4091" s="14"/>
      <c r="M4091" s="9"/>
      <c r="N4091" s="32"/>
      <c r="U4091" s="18"/>
      <c r="V4091" s="18"/>
      <c r="Z4091" s="85" t="s">
        <v>82</v>
      </c>
    </row>
    <row r="4092" spans="1:26" ht="6.95" customHeight="1" x14ac:dyDescent="0.3">
      <c r="A4092" s="154">
        <f>+A4081+1</f>
        <v>1171</v>
      </c>
      <c r="B4092" s="155"/>
      <c r="C4092" s="156"/>
      <c r="D4092" s="161" t="s">
        <v>39</v>
      </c>
      <c r="E4092" s="162"/>
      <c r="F4092" s="163" t="s">
        <v>40</v>
      </c>
      <c r="G4092" s="164"/>
      <c r="H4092" s="165"/>
      <c r="I4092" s="164"/>
      <c r="J4092" s="165"/>
      <c r="K4092" s="164"/>
      <c r="L4092" s="165"/>
      <c r="M4092" s="6"/>
      <c r="N4092" s="32"/>
      <c r="Q4092" s="10" t="str">
        <f>+CONCATENATE(E4092,G4092)</f>
        <v/>
      </c>
      <c r="R4092" s="10">
        <f>+H4092</f>
        <v>0</v>
      </c>
      <c r="S4092" s="11"/>
      <c r="T4092" s="10">
        <f>+E4092</f>
        <v>0</v>
      </c>
      <c r="U4092" s="19" t="str">
        <f>IFERROR(LEFT(G4092,FIND("*",G4092)-1),"-")</f>
        <v>-</v>
      </c>
      <c r="V4092" s="19" t="str">
        <f>IFERROR(RIGHT(G4092,LEN(G4092)-FIND("*",G4092)),"-")</f>
        <v>-</v>
      </c>
      <c r="W4092" s="20" t="str">
        <f>IFERROR((U4092+V4092)*2/1000,"-")</f>
        <v>-</v>
      </c>
      <c r="X4092" s="20" t="str">
        <f>IFERROR(W4092*H4092,"-")</f>
        <v>-</v>
      </c>
      <c r="Z4092" s="85" t="s">
        <v>82</v>
      </c>
    </row>
    <row r="4093" spans="1:26" ht="6.95" customHeight="1" x14ac:dyDescent="0.3">
      <c r="A4093" s="154"/>
      <c r="B4093" s="157"/>
      <c r="C4093" s="158"/>
      <c r="D4093" s="161"/>
      <c r="E4093" s="162"/>
      <c r="F4093" s="163"/>
      <c r="G4093" s="164"/>
      <c r="H4093" s="165"/>
      <c r="I4093" s="164"/>
      <c r="J4093" s="165"/>
      <c r="K4093" s="164"/>
      <c r="L4093" s="165"/>
      <c r="M4093" s="6"/>
      <c r="N4093" s="32"/>
      <c r="Q4093" s="10" t="str">
        <f>+CONCATENATE(E4092,I4092)</f>
        <v/>
      </c>
      <c r="R4093" s="10">
        <f>+J4092</f>
        <v>0</v>
      </c>
      <c r="S4093" s="11"/>
      <c r="T4093" s="10">
        <f>+E4092</f>
        <v>0</v>
      </c>
      <c r="U4093" s="19" t="str">
        <f>IFERROR(LEFT(I4092,FIND("*",I4092)-1),"-")</f>
        <v>-</v>
      </c>
      <c r="V4093" s="19" t="str">
        <f>IFERROR(RIGHT(I4092,LEN(I4092)-FIND("*",I4092)),"-")</f>
        <v>-</v>
      </c>
      <c r="W4093" s="20" t="str">
        <f t="shared" ref="W4093:W4100" si="2224">IFERROR((U4093+V4093)*2/1000,"-")</f>
        <v>-</v>
      </c>
      <c r="X4093" s="20" t="str">
        <f>IFERROR(W4093*J4092,"-")</f>
        <v>-</v>
      </c>
      <c r="Z4093" s="85" t="s">
        <v>82</v>
      </c>
    </row>
    <row r="4094" spans="1:26" ht="6.95" customHeight="1" x14ac:dyDescent="0.3">
      <c r="A4094" s="154"/>
      <c r="B4094" s="157"/>
      <c r="C4094" s="158"/>
      <c r="D4094" s="161"/>
      <c r="E4094" s="162"/>
      <c r="F4094" s="163"/>
      <c r="G4094" s="164"/>
      <c r="H4094" s="165"/>
      <c r="I4094" s="164"/>
      <c r="J4094" s="165"/>
      <c r="K4094" s="164"/>
      <c r="L4094" s="165"/>
      <c r="M4094" s="6"/>
      <c r="N4094" s="32"/>
      <c r="Q4094" s="10" t="str">
        <f>+CONCATENATE(E4092,K4092)</f>
        <v/>
      </c>
      <c r="R4094" s="10">
        <f>+L4092</f>
        <v>0</v>
      </c>
      <c r="S4094" s="11"/>
      <c r="T4094" s="10">
        <f>+E4092</f>
        <v>0</v>
      </c>
      <c r="U4094" s="19" t="str">
        <f>IFERROR(LEFT(K4092,FIND("*",K4092)-1),"-")</f>
        <v>-</v>
      </c>
      <c r="V4094" s="19" t="str">
        <f>IFERROR(RIGHT(K4092,LEN(K4092)-FIND("*",K4092)),"-")</f>
        <v>-</v>
      </c>
      <c r="W4094" s="20" t="str">
        <f t="shared" si="2224"/>
        <v>-</v>
      </c>
      <c r="X4094" s="20" t="str">
        <f>IFERROR(W4094*L4092,"-")</f>
        <v>-</v>
      </c>
      <c r="Z4094" s="85" t="s">
        <v>82</v>
      </c>
    </row>
    <row r="4095" spans="1:26" ht="6.95" customHeight="1" x14ac:dyDescent="0.3">
      <c r="A4095" s="8"/>
      <c r="B4095" s="157"/>
      <c r="C4095" s="158"/>
      <c r="D4095" s="161" t="s">
        <v>39</v>
      </c>
      <c r="E4095" s="162"/>
      <c r="F4095" s="163" t="s">
        <v>40</v>
      </c>
      <c r="G4095" s="164"/>
      <c r="H4095" s="165"/>
      <c r="I4095" s="164"/>
      <c r="J4095" s="165"/>
      <c r="K4095" s="164"/>
      <c r="L4095" s="165"/>
      <c r="M4095" s="6"/>
      <c r="N4095" s="32"/>
      <c r="Q4095" s="10" t="str">
        <f>+CONCATENATE(E4095,G4095)</f>
        <v/>
      </c>
      <c r="R4095" s="10">
        <f>+H4095</f>
        <v>0</v>
      </c>
      <c r="S4095" s="11"/>
      <c r="T4095" s="10">
        <f>+E4095</f>
        <v>0</v>
      </c>
      <c r="U4095" s="19" t="str">
        <f t="shared" ref="U4095" si="2225">IFERROR(LEFT(G4095,FIND("*",G4095)-1),"-")</f>
        <v>-</v>
      </c>
      <c r="V4095" s="19" t="str">
        <f t="shared" ref="V4095" si="2226">IFERROR(RIGHT(G4095,LEN(G4095)-FIND("*",G4095)),"-")</f>
        <v>-</v>
      </c>
      <c r="W4095" s="20" t="str">
        <f t="shared" si="2224"/>
        <v>-</v>
      </c>
      <c r="X4095" s="20" t="str">
        <f>IFERROR(W4095*H4095,"-")</f>
        <v>-</v>
      </c>
      <c r="Z4095" s="85" t="s">
        <v>82</v>
      </c>
    </row>
    <row r="4096" spans="1:26" ht="6.95" customHeight="1" x14ac:dyDescent="0.3">
      <c r="A4096" s="5"/>
      <c r="B4096" s="157"/>
      <c r="C4096" s="158"/>
      <c r="D4096" s="161"/>
      <c r="E4096" s="162"/>
      <c r="F4096" s="163"/>
      <c r="G4096" s="164"/>
      <c r="H4096" s="165"/>
      <c r="I4096" s="164"/>
      <c r="J4096" s="165"/>
      <c r="K4096" s="164"/>
      <c r="L4096" s="165"/>
      <c r="M4096" s="6"/>
      <c r="N4096" s="32"/>
      <c r="Q4096" s="10" t="str">
        <f>+CONCATENATE(E4095,I4095)</f>
        <v/>
      </c>
      <c r="R4096" s="10">
        <f>+J4095</f>
        <v>0</v>
      </c>
      <c r="S4096" s="11"/>
      <c r="T4096" s="10">
        <f>+E4095</f>
        <v>0</v>
      </c>
      <c r="U4096" s="19" t="str">
        <f>IFERROR(LEFT(I4095,FIND("*",I4095)-1),"-")</f>
        <v>-</v>
      </c>
      <c r="V4096" s="19" t="str">
        <f>IFERROR(RIGHT(I4095,LEN(I4095)-FIND("*",I4095)),"-")</f>
        <v>-</v>
      </c>
      <c r="W4096" s="20" t="str">
        <f t="shared" si="2224"/>
        <v>-</v>
      </c>
      <c r="X4096" s="20" t="str">
        <f>IFERROR(W4096*J4095,"-")</f>
        <v>-</v>
      </c>
      <c r="Z4096" s="85" t="s">
        <v>82</v>
      </c>
    </row>
    <row r="4097" spans="1:26" ht="6.95" customHeight="1" x14ac:dyDescent="0.3">
      <c r="A4097" s="5"/>
      <c r="B4097" s="157"/>
      <c r="C4097" s="158"/>
      <c r="D4097" s="161"/>
      <c r="E4097" s="162"/>
      <c r="F4097" s="163"/>
      <c r="G4097" s="164"/>
      <c r="H4097" s="165"/>
      <c r="I4097" s="164"/>
      <c r="J4097" s="165"/>
      <c r="K4097" s="164"/>
      <c r="L4097" s="165"/>
      <c r="M4097" s="6"/>
      <c r="N4097" s="32"/>
      <c r="Q4097" s="10" t="str">
        <f>+CONCATENATE(E4095,K4095)</f>
        <v/>
      </c>
      <c r="R4097" s="10">
        <f>+L4095</f>
        <v>0</v>
      </c>
      <c r="S4097" s="11"/>
      <c r="T4097" s="10">
        <f>+E4095</f>
        <v>0</v>
      </c>
      <c r="U4097" s="19" t="str">
        <f>IFERROR(LEFT(K4095,FIND("*",K4095)-1),"-")</f>
        <v>-</v>
      </c>
      <c r="V4097" s="19" t="str">
        <f>IFERROR(RIGHT(K4095,LEN(K4095)-FIND("*",K4095)),"-")</f>
        <v>-</v>
      </c>
      <c r="W4097" s="20" t="str">
        <f t="shared" si="2224"/>
        <v>-</v>
      </c>
      <c r="X4097" s="20" t="str">
        <f>IFERROR(W4097*L4095,"-")</f>
        <v>-</v>
      </c>
      <c r="Z4097" s="85" t="s">
        <v>82</v>
      </c>
    </row>
    <row r="4098" spans="1:26" ht="6.95" customHeight="1" x14ac:dyDescent="0.3">
      <c r="A4098" s="8"/>
      <c r="B4098" s="157"/>
      <c r="C4098" s="158"/>
      <c r="D4098" s="161" t="s">
        <v>39</v>
      </c>
      <c r="E4098" s="162"/>
      <c r="F4098" s="163" t="s">
        <v>40</v>
      </c>
      <c r="G4098" s="164"/>
      <c r="H4098" s="165"/>
      <c r="I4098" s="164"/>
      <c r="J4098" s="165"/>
      <c r="K4098" s="164"/>
      <c r="L4098" s="165"/>
      <c r="M4098" s="6"/>
      <c r="N4098" s="32"/>
      <c r="Q4098" s="10" t="str">
        <f>+CONCATENATE(E4098,G4098)</f>
        <v/>
      </c>
      <c r="R4098" s="10">
        <f>+H4098</f>
        <v>0</v>
      </c>
      <c r="S4098" s="11"/>
      <c r="T4098" s="10">
        <f>+E4098</f>
        <v>0</v>
      </c>
      <c r="U4098" s="19" t="str">
        <f t="shared" ref="U4098" si="2227">IFERROR(LEFT(G4098,FIND("*",G4098)-1),"-")</f>
        <v>-</v>
      </c>
      <c r="V4098" s="19" t="str">
        <f t="shared" ref="V4098" si="2228">IFERROR(RIGHT(G4098,LEN(G4098)-FIND("*",G4098)),"-")</f>
        <v>-</v>
      </c>
      <c r="W4098" s="20" t="str">
        <f t="shared" si="2224"/>
        <v>-</v>
      </c>
      <c r="X4098" s="20" t="str">
        <f>IFERROR(W4098*H4098,"-")</f>
        <v>-</v>
      </c>
      <c r="Z4098" s="85" t="s">
        <v>82</v>
      </c>
    </row>
    <row r="4099" spans="1:26" ht="6.95" customHeight="1" x14ac:dyDescent="0.3">
      <c r="A4099" s="5"/>
      <c r="B4099" s="157"/>
      <c r="C4099" s="158"/>
      <c r="D4099" s="161"/>
      <c r="E4099" s="162"/>
      <c r="F4099" s="163"/>
      <c r="G4099" s="164"/>
      <c r="H4099" s="165"/>
      <c r="I4099" s="164"/>
      <c r="J4099" s="165"/>
      <c r="K4099" s="164"/>
      <c r="L4099" s="165"/>
      <c r="M4099" s="6"/>
      <c r="N4099" s="32"/>
      <c r="Q4099" s="10" t="str">
        <f>+CONCATENATE(E4098,I4098)</f>
        <v/>
      </c>
      <c r="R4099" s="10">
        <f>+J4098</f>
        <v>0</v>
      </c>
      <c r="S4099" s="11"/>
      <c r="T4099" s="10">
        <f>+E4098</f>
        <v>0</v>
      </c>
      <c r="U4099" s="19" t="str">
        <f>IFERROR(LEFT(I4098,FIND("*",I4098)-1),"-")</f>
        <v>-</v>
      </c>
      <c r="V4099" s="19" t="str">
        <f>IFERROR(RIGHT(I4098,LEN(I4098)-FIND("*",I4098)),"-")</f>
        <v>-</v>
      </c>
      <c r="W4099" s="20" t="str">
        <f t="shared" si="2224"/>
        <v>-</v>
      </c>
      <c r="X4099" s="20" t="str">
        <f t="shared" ref="X4099" si="2229">IFERROR(W4099*J4098,"-")</f>
        <v>-</v>
      </c>
      <c r="Z4099" s="85" t="s">
        <v>82</v>
      </c>
    </row>
    <row r="4100" spans="1:26" ht="6.95" customHeight="1" x14ac:dyDescent="0.3">
      <c r="A4100" s="5"/>
      <c r="B4100" s="157"/>
      <c r="C4100" s="158"/>
      <c r="D4100" s="161"/>
      <c r="E4100" s="162"/>
      <c r="F4100" s="163"/>
      <c r="G4100" s="164"/>
      <c r="H4100" s="165"/>
      <c r="I4100" s="164"/>
      <c r="J4100" s="165"/>
      <c r="K4100" s="164"/>
      <c r="L4100" s="165"/>
      <c r="M4100" s="6"/>
      <c r="N4100" s="32"/>
      <c r="Q4100" s="10" t="str">
        <f>+CONCATENATE(E4098,K4098)</f>
        <v/>
      </c>
      <c r="R4100" s="10">
        <f>+L4098</f>
        <v>0</v>
      </c>
      <c r="S4100" s="11"/>
      <c r="T4100" s="10">
        <f>+E4098</f>
        <v>0</v>
      </c>
      <c r="U4100" s="19" t="str">
        <f>IFERROR(LEFT(K4098,FIND("*",K4098)-1),"-")</f>
        <v>-</v>
      </c>
      <c r="V4100" s="19" t="str">
        <f>IFERROR(RIGHT(K4098,LEN(K4098)-FIND("*",K4098)),"-")</f>
        <v>-</v>
      </c>
      <c r="W4100" s="20" t="str">
        <f t="shared" si="2224"/>
        <v>-</v>
      </c>
      <c r="X4100" s="20" t="str">
        <f>IFERROR(W4100*L4098,"-")</f>
        <v>-</v>
      </c>
      <c r="Z4100" s="85" t="s">
        <v>82</v>
      </c>
    </row>
    <row r="4101" spans="1:26" ht="21" customHeight="1" thickBot="1" x14ac:dyDescent="0.35">
      <c r="A4101" s="5"/>
      <c r="B4101" s="159"/>
      <c r="C4101" s="160"/>
      <c r="D4101" s="166" t="s">
        <v>43</v>
      </c>
      <c r="E4101" s="167"/>
      <c r="F4101" s="167"/>
      <c r="G4101" s="168"/>
      <c r="H4101" s="168"/>
      <c r="I4101" s="168"/>
      <c r="J4101" s="168"/>
      <c r="K4101" s="168"/>
      <c r="L4101" s="168"/>
      <c r="M4101" s="7"/>
      <c r="N4101" s="32"/>
      <c r="Z4101" s="86" t="s">
        <v>81</v>
      </c>
    </row>
    <row r="4102" spans="1:26" ht="9.9499999999999993" customHeight="1" thickBot="1" x14ac:dyDescent="0.35">
      <c r="B4102" s="9"/>
      <c r="C4102" s="109"/>
      <c r="D4102" s="51"/>
      <c r="E4102" s="12"/>
      <c r="F4102" s="51"/>
      <c r="G4102" s="14"/>
      <c r="H4102" s="14"/>
      <c r="I4102" s="14"/>
      <c r="J4102" s="14"/>
      <c r="K4102" s="14"/>
      <c r="L4102" s="14"/>
      <c r="M4102" s="9"/>
      <c r="N4102" s="32"/>
      <c r="U4102" s="18"/>
      <c r="V4102" s="18"/>
      <c r="Z4102" s="85" t="s">
        <v>82</v>
      </c>
    </row>
    <row r="4103" spans="1:26" ht="6.95" customHeight="1" x14ac:dyDescent="0.3">
      <c r="A4103" s="154">
        <f>+A4092+1</f>
        <v>1172</v>
      </c>
      <c r="B4103" s="155"/>
      <c r="C4103" s="156"/>
      <c r="D4103" s="161" t="s">
        <v>39</v>
      </c>
      <c r="E4103" s="162"/>
      <c r="F4103" s="163" t="s">
        <v>40</v>
      </c>
      <c r="G4103" s="164"/>
      <c r="H4103" s="165"/>
      <c r="I4103" s="164"/>
      <c r="J4103" s="165"/>
      <c r="K4103" s="164"/>
      <c r="L4103" s="165"/>
      <c r="M4103" s="6"/>
      <c r="N4103" s="32"/>
      <c r="Q4103" s="10" t="str">
        <f>+CONCATENATE(E4103,G4103)</f>
        <v/>
      </c>
      <c r="R4103" s="10">
        <f>+H4103</f>
        <v>0</v>
      </c>
      <c r="S4103" s="11"/>
      <c r="T4103" s="10">
        <f>+E4103</f>
        <v>0</v>
      </c>
      <c r="U4103" s="19" t="str">
        <f>IFERROR(LEFT(G4103,FIND("*",G4103)-1),"-")</f>
        <v>-</v>
      </c>
      <c r="V4103" s="19" t="str">
        <f>IFERROR(RIGHT(G4103,LEN(G4103)-FIND("*",G4103)),"-")</f>
        <v>-</v>
      </c>
      <c r="W4103" s="20" t="str">
        <f>IFERROR((U4103+V4103)*2/1000,"-")</f>
        <v>-</v>
      </c>
      <c r="X4103" s="20" t="str">
        <f>IFERROR(W4103*H4103,"-")</f>
        <v>-</v>
      </c>
      <c r="Z4103" s="85" t="s">
        <v>82</v>
      </c>
    </row>
    <row r="4104" spans="1:26" ht="6.95" customHeight="1" x14ac:dyDescent="0.3">
      <c r="A4104" s="154"/>
      <c r="B4104" s="157"/>
      <c r="C4104" s="158"/>
      <c r="D4104" s="161"/>
      <c r="E4104" s="162"/>
      <c r="F4104" s="163"/>
      <c r="G4104" s="164"/>
      <c r="H4104" s="165"/>
      <c r="I4104" s="164"/>
      <c r="J4104" s="165"/>
      <c r="K4104" s="164"/>
      <c r="L4104" s="165"/>
      <c r="M4104" s="6"/>
      <c r="N4104" s="32"/>
      <c r="Q4104" s="10" t="str">
        <f>+CONCATENATE(E4103,I4103)</f>
        <v/>
      </c>
      <c r="R4104" s="10">
        <f>+J4103</f>
        <v>0</v>
      </c>
      <c r="S4104" s="11"/>
      <c r="T4104" s="10">
        <f>+E4103</f>
        <v>0</v>
      </c>
      <c r="U4104" s="19" t="str">
        <f>IFERROR(LEFT(I4103,FIND("*",I4103)-1),"-")</f>
        <v>-</v>
      </c>
      <c r="V4104" s="19" t="str">
        <f>IFERROR(RIGHT(I4103,LEN(I4103)-FIND("*",I4103)),"-")</f>
        <v>-</v>
      </c>
      <c r="W4104" s="20" t="str">
        <f t="shared" ref="W4104:W4111" si="2230">IFERROR((U4104+V4104)*2/1000,"-")</f>
        <v>-</v>
      </c>
      <c r="X4104" s="20" t="str">
        <f>IFERROR(W4104*J4103,"-")</f>
        <v>-</v>
      </c>
      <c r="Z4104" s="85" t="s">
        <v>82</v>
      </c>
    </row>
    <row r="4105" spans="1:26" ht="6.95" customHeight="1" x14ac:dyDescent="0.3">
      <c r="A4105" s="154"/>
      <c r="B4105" s="157"/>
      <c r="C4105" s="158"/>
      <c r="D4105" s="161"/>
      <c r="E4105" s="162"/>
      <c r="F4105" s="163"/>
      <c r="G4105" s="164"/>
      <c r="H4105" s="165"/>
      <c r="I4105" s="164"/>
      <c r="J4105" s="165"/>
      <c r="K4105" s="164"/>
      <c r="L4105" s="165"/>
      <c r="M4105" s="6"/>
      <c r="N4105" s="32"/>
      <c r="Q4105" s="10" t="str">
        <f>+CONCATENATE(E4103,K4103)</f>
        <v/>
      </c>
      <c r="R4105" s="10">
        <f>+L4103</f>
        <v>0</v>
      </c>
      <c r="S4105" s="11"/>
      <c r="T4105" s="10">
        <f>+E4103</f>
        <v>0</v>
      </c>
      <c r="U4105" s="19" t="str">
        <f>IFERROR(LEFT(K4103,FIND("*",K4103)-1),"-")</f>
        <v>-</v>
      </c>
      <c r="V4105" s="19" t="str">
        <f>IFERROR(RIGHT(K4103,LEN(K4103)-FIND("*",K4103)),"-")</f>
        <v>-</v>
      </c>
      <c r="W4105" s="20" t="str">
        <f t="shared" si="2230"/>
        <v>-</v>
      </c>
      <c r="X4105" s="20" t="str">
        <f>IFERROR(W4105*L4103,"-")</f>
        <v>-</v>
      </c>
      <c r="Z4105" s="85" t="s">
        <v>82</v>
      </c>
    </row>
    <row r="4106" spans="1:26" ht="6.95" customHeight="1" x14ac:dyDescent="0.3">
      <c r="A4106" s="8"/>
      <c r="B4106" s="157"/>
      <c r="C4106" s="158"/>
      <c r="D4106" s="161" t="s">
        <v>39</v>
      </c>
      <c r="E4106" s="162"/>
      <c r="F4106" s="163" t="s">
        <v>40</v>
      </c>
      <c r="G4106" s="164"/>
      <c r="H4106" s="165"/>
      <c r="I4106" s="164"/>
      <c r="J4106" s="165"/>
      <c r="K4106" s="164"/>
      <c r="L4106" s="165"/>
      <c r="M4106" s="6"/>
      <c r="N4106" s="32"/>
      <c r="Q4106" s="10" t="str">
        <f>+CONCATENATE(E4106,G4106)</f>
        <v/>
      </c>
      <c r="R4106" s="10">
        <f>+H4106</f>
        <v>0</v>
      </c>
      <c r="S4106" s="11"/>
      <c r="T4106" s="10">
        <f>+E4106</f>
        <v>0</v>
      </c>
      <c r="U4106" s="19" t="str">
        <f t="shared" ref="U4106" si="2231">IFERROR(LEFT(G4106,FIND("*",G4106)-1),"-")</f>
        <v>-</v>
      </c>
      <c r="V4106" s="19" t="str">
        <f t="shared" ref="V4106" si="2232">IFERROR(RIGHT(G4106,LEN(G4106)-FIND("*",G4106)),"-")</f>
        <v>-</v>
      </c>
      <c r="W4106" s="20" t="str">
        <f t="shared" si="2230"/>
        <v>-</v>
      </c>
      <c r="X4106" s="20" t="str">
        <f>IFERROR(W4106*H4106,"-")</f>
        <v>-</v>
      </c>
      <c r="Z4106" s="85" t="s">
        <v>82</v>
      </c>
    </row>
    <row r="4107" spans="1:26" ht="6.95" customHeight="1" x14ac:dyDescent="0.3">
      <c r="A4107" s="5"/>
      <c r="B4107" s="157"/>
      <c r="C4107" s="158"/>
      <c r="D4107" s="161"/>
      <c r="E4107" s="162"/>
      <c r="F4107" s="163"/>
      <c r="G4107" s="164"/>
      <c r="H4107" s="165"/>
      <c r="I4107" s="164"/>
      <c r="J4107" s="165"/>
      <c r="K4107" s="164"/>
      <c r="L4107" s="165"/>
      <c r="M4107" s="6"/>
      <c r="N4107" s="32"/>
      <c r="Q4107" s="10" t="str">
        <f>+CONCATENATE(E4106,I4106)</f>
        <v/>
      </c>
      <c r="R4107" s="10">
        <f>+J4106</f>
        <v>0</v>
      </c>
      <c r="S4107" s="11"/>
      <c r="T4107" s="10">
        <f>+E4106</f>
        <v>0</v>
      </c>
      <c r="U4107" s="19" t="str">
        <f>IFERROR(LEFT(I4106,FIND("*",I4106)-1),"-")</f>
        <v>-</v>
      </c>
      <c r="V4107" s="19" t="str">
        <f>IFERROR(RIGHT(I4106,LEN(I4106)-FIND("*",I4106)),"-")</f>
        <v>-</v>
      </c>
      <c r="W4107" s="20" t="str">
        <f t="shared" si="2230"/>
        <v>-</v>
      </c>
      <c r="X4107" s="20" t="str">
        <f>IFERROR(W4107*J4106,"-")</f>
        <v>-</v>
      </c>
      <c r="Z4107" s="85" t="s">
        <v>82</v>
      </c>
    </row>
    <row r="4108" spans="1:26" ht="6.95" customHeight="1" x14ac:dyDescent="0.3">
      <c r="A4108" s="5"/>
      <c r="B4108" s="157"/>
      <c r="C4108" s="158"/>
      <c r="D4108" s="161"/>
      <c r="E4108" s="162"/>
      <c r="F4108" s="163"/>
      <c r="G4108" s="164"/>
      <c r="H4108" s="165"/>
      <c r="I4108" s="164"/>
      <c r="J4108" s="165"/>
      <c r="K4108" s="164"/>
      <c r="L4108" s="165"/>
      <c r="M4108" s="6"/>
      <c r="N4108" s="32"/>
      <c r="Q4108" s="10" t="str">
        <f>+CONCATENATE(E4106,K4106)</f>
        <v/>
      </c>
      <c r="R4108" s="10">
        <f>+L4106</f>
        <v>0</v>
      </c>
      <c r="S4108" s="11"/>
      <c r="T4108" s="10">
        <f>+E4106</f>
        <v>0</v>
      </c>
      <c r="U4108" s="19" t="str">
        <f>IFERROR(LEFT(K4106,FIND("*",K4106)-1),"-")</f>
        <v>-</v>
      </c>
      <c r="V4108" s="19" t="str">
        <f>IFERROR(RIGHT(K4106,LEN(K4106)-FIND("*",K4106)),"-")</f>
        <v>-</v>
      </c>
      <c r="W4108" s="20" t="str">
        <f t="shared" si="2230"/>
        <v>-</v>
      </c>
      <c r="X4108" s="20" t="str">
        <f>IFERROR(W4108*L4106,"-")</f>
        <v>-</v>
      </c>
      <c r="Z4108" s="85" t="s">
        <v>82</v>
      </c>
    </row>
    <row r="4109" spans="1:26" ht="6.95" customHeight="1" x14ac:dyDescent="0.3">
      <c r="A4109" s="8"/>
      <c r="B4109" s="157"/>
      <c r="C4109" s="158"/>
      <c r="D4109" s="161" t="s">
        <v>39</v>
      </c>
      <c r="E4109" s="162"/>
      <c r="F4109" s="163" t="s">
        <v>40</v>
      </c>
      <c r="G4109" s="164"/>
      <c r="H4109" s="165"/>
      <c r="I4109" s="164"/>
      <c r="J4109" s="165"/>
      <c r="K4109" s="164"/>
      <c r="L4109" s="165"/>
      <c r="M4109" s="6"/>
      <c r="N4109" s="32"/>
      <c r="Q4109" s="10" t="str">
        <f>+CONCATENATE(E4109,G4109)</f>
        <v/>
      </c>
      <c r="R4109" s="10">
        <f>+H4109</f>
        <v>0</v>
      </c>
      <c r="S4109" s="11"/>
      <c r="T4109" s="10">
        <f>+E4109</f>
        <v>0</v>
      </c>
      <c r="U4109" s="19" t="str">
        <f t="shared" ref="U4109" si="2233">IFERROR(LEFT(G4109,FIND("*",G4109)-1),"-")</f>
        <v>-</v>
      </c>
      <c r="V4109" s="19" t="str">
        <f t="shared" ref="V4109" si="2234">IFERROR(RIGHT(G4109,LEN(G4109)-FIND("*",G4109)),"-")</f>
        <v>-</v>
      </c>
      <c r="W4109" s="20" t="str">
        <f t="shared" si="2230"/>
        <v>-</v>
      </c>
      <c r="X4109" s="20" t="str">
        <f>IFERROR(W4109*H4109,"-")</f>
        <v>-</v>
      </c>
      <c r="Z4109" s="85" t="s">
        <v>82</v>
      </c>
    </row>
    <row r="4110" spans="1:26" ht="6.95" customHeight="1" x14ac:dyDescent="0.3">
      <c r="A4110" s="5"/>
      <c r="B4110" s="157"/>
      <c r="C4110" s="158"/>
      <c r="D4110" s="161"/>
      <c r="E4110" s="162"/>
      <c r="F4110" s="163"/>
      <c r="G4110" s="164"/>
      <c r="H4110" s="165"/>
      <c r="I4110" s="164"/>
      <c r="J4110" s="165"/>
      <c r="K4110" s="164"/>
      <c r="L4110" s="165"/>
      <c r="M4110" s="6"/>
      <c r="N4110" s="32"/>
      <c r="Q4110" s="10" t="str">
        <f>+CONCATENATE(E4109,I4109)</f>
        <v/>
      </c>
      <c r="R4110" s="10">
        <f>+J4109</f>
        <v>0</v>
      </c>
      <c r="S4110" s="11"/>
      <c r="T4110" s="10">
        <f>+E4109</f>
        <v>0</v>
      </c>
      <c r="U4110" s="19" t="str">
        <f>IFERROR(LEFT(I4109,FIND("*",I4109)-1),"-")</f>
        <v>-</v>
      </c>
      <c r="V4110" s="19" t="str">
        <f>IFERROR(RIGHT(I4109,LEN(I4109)-FIND("*",I4109)),"-")</f>
        <v>-</v>
      </c>
      <c r="W4110" s="20" t="str">
        <f t="shared" si="2230"/>
        <v>-</v>
      </c>
      <c r="X4110" s="20" t="str">
        <f t="shared" ref="X4110" si="2235">IFERROR(W4110*J4109,"-")</f>
        <v>-</v>
      </c>
      <c r="Z4110" s="85" t="s">
        <v>82</v>
      </c>
    </row>
    <row r="4111" spans="1:26" ht="6.95" customHeight="1" x14ac:dyDescent="0.3">
      <c r="A4111" s="5"/>
      <c r="B4111" s="157"/>
      <c r="C4111" s="158"/>
      <c r="D4111" s="161"/>
      <c r="E4111" s="162"/>
      <c r="F4111" s="163"/>
      <c r="G4111" s="164"/>
      <c r="H4111" s="165"/>
      <c r="I4111" s="164"/>
      <c r="J4111" s="165"/>
      <c r="K4111" s="164"/>
      <c r="L4111" s="165"/>
      <c r="M4111" s="6"/>
      <c r="N4111" s="32"/>
      <c r="Q4111" s="10" t="str">
        <f>+CONCATENATE(E4109,K4109)</f>
        <v/>
      </c>
      <c r="R4111" s="10">
        <f>+L4109</f>
        <v>0</v>
      </c>
      <c r="S4111" s="11"/>
      <c r="T4111" s="10">
        <f>+E4109</f>
        <v>0</v>
      </c>
      <c r="U4111" s="19" t="str">
        <f>IFERROR(LEFT(K4109,FIND("*",K4109)-1),"-")</f>
        <v>-</v>
      </c>
      <c r="V4111" s="19" t="str">
        <f>IFERROR(RIGHT(K4109,LEN(K4109)-FIND("*",K4109)),"-")</f>
        <v>-</v>
      </c>
      <c r="W4111" s="20" t="str">
        <f t="shared" si="2230"/>
        <v>-</v>
      </c>
      <c r="X4111" s="20" t="str">
        <f>IFERROR(W4111*L4109,"-")</f>
        <v>-</v>
      </c>
      <c r="Z4111" s="85" t="s">
        <v>82</v>
      </c>
    </row>
    <row r="4112" spans="1:26" ht="21" customHeight="1" thickBot="1" x14ac:dyDescent="0.35">
      <c r="A4112" s="5"/>
      <c r="B4112" s="159"/>
      <c r="C4112" s="160"/>
      <c r="D4112" s="166" t="s">
        <v>43</v>
      </c>
      <c r="E4112" s="167"/>
      <c r="F4112" s="167"/>
      <c r="G4112" s="168"/>
      <c r="H4112" s="168"/>
      <c r="I4112" s="168"/>
      <c r="J4112" s="168"/>
      <c r="K4112" s="168"/>
      <c r="L4112" s="168"/>
      <c r="M4112" s="7"/>
      <c r="N4112" s="32"/>
      <c r="Z4112" s="86" t="s">
        <v>81</v>
      </c>
    </row>
    <row r="4113" spans="1:26" ht="9.9499999999999993" customHeight="1" thickBot="1" x14ac:dyDescent="0.35">
      <c r="B4113" s="9"/>
      <c r="C4113" s="109"/>
      <c r="D4113" s="51"/>
      <c r="E4113" s="12"/>
      <c r="F4113" s="51"/>
      <c r="G4113" s="14"/>
      <c r="H4113" s="14"/>
      <c r="I4113" s="14"/>
      <c r="J4113" s="14"/>
      <c r="K4113" s="14"/>
      <c r="L4113" s="14"/>
      <c r="M4113" s="9"/>
      <c r="N4113" s="32"/>
      <c r="U4113" s="18"/>
      <c r="V4113" s="18"/>
      <c r="Z4113" s="85" t="s">
        <v>82</v>
      </c>
    </row>
    <row r="4114" spans="1:26" ht="6.95" customHeight="1" x14ac:dyDescent="0.3">
      <c r="A4114" s="154">
        <f>+A4103+1</f>
        <v>1173</v>
      </c>
      <c r="B4114" s="155"/>
      <c r="C4114" s="156"/>
      <c r="D4114" s="161" t="s">
        <v>39</v>
      </c>
      <c r="E4114" s="162"/>
      <c r="F4114" s="163" t="s">
        <v>40</v>
      </c>
      <c r="G4114" s="164"/>
      <c r="H4114" s="165"/>
      <c r="I4114" s="164"/>
      <c r="J4114" s="165"/>
      <c r="K4114" s="164"/>
      <c r="L4114" s="165"/>
      <c r="M4114" s="6"/>
      <c r="N4114" s="32"/>
      <c r="Q4114" s="10" t="str">
        <f>+CONCATENATE(E4114,G4114)</f>
        <v/>
      </c>
      <c r="R4114" s="10">
        <f>+H4114</f>
        <v>0</v>
      </c>
      <c r="S4114" s="11"/>
      <c r="T4114" s="10">
        <f>+E4114</f>
        <v>0</v>
      </c>
      <c r="U4114" s="19" t="str">
        <f>IFERROR(LEFT(G4114,FIND("*",G4114)-1),"-")</f>
        <v>-</v>
      </c>
      <c r="V4114" s="19" t="str">
        <f>IFERROR(RIGHT(G4114,LEN(G4114)-FIND("*",G4114)),"-")</f>
        <v>-</v>
      </c>
      <c r="W4114" s="20" t="str">
        <f>IFERROR((U4114+V4114)*2/1000,"-")</f>
        <v>-</v>
      </c>
      <c r="X4114" s="20" t="str">
        <f>IFERROR(W4114*H4114,"-")</f>
        <v>-</v>
      </c>
      <c r="Z4114" s="85" t="s">
        <v>82</v>
      </c>
    </row>
    <row r="4115" spans="1:26" ht="6.95" customHeight="1" x14ac:dyDescent="0.3">
      <c r="A4115" s="154"/>
      <c r="B4115" s="157"/>
      <c r="C4115" s="158"/>
      <c r="D4115" s="161"/>
      <c r="E4115" s="162"/>
      <c r="F4115" s="163"/>
      <c r="G4115" s="164"/>
      <c r="H4115" s="165"/>
      <c r="I4115" s="164"/>
      <c r="J4115" s="165"/>
      <c r="K4115" s="164"/>
      <c r="L4115" s="165"/>
      <c r="M4115" s="6"/>
      <c r="N4115" s="32"/>
      <c r="Q4115" s="10" t="str">
        <f>+CONCATENATE(E4114,I4114)</f>
        <v/>
      </c>
      <c r="R4115" s="10">
        <f>+J4114</f>
        <v>0</v>
      </c>
      <c r="S4115" s="11"/>
      <c r="T4115" s="10">
        <f>+E4114</f>
        <v>0</v>
      </c>
      <c r="U4115" s="19" t="str">
        <f>IFERROR(LEFT(I4114,FIND("*",I4114)-1),"-")</f>
        <v>-</v>
      </c>
      <c r="V4115" s="19" t="str">
        <f>IFERROR(RIGHT(I4114,LEN(I4114)-FIND("*",I4114)),"-")</f>
        <v>-</v>
      </c>
      <c r="W4115" s="20" t="str">
        <f t="shared" ref="W4115:W4122" si="2236">IFERROR((U4115+V4115)*2/1000,"-")</f>
        <v>-</v>
      </c>
      <c r="X4115" s="20" t="str">
        <f>IFERROR(W4115*J4114,"-")</f>
        <v>-</v>
      </c>
      <c r="Z4115" s="85" t="s">
        <v>82</v>
      </c>
    </row>
    <row r="4116" spans="1:26" ht="6.95" customHeight="1" x14ac:dyDescent="0.3">
      <c r="A4116" s="154"/>
      <c r="B4116" s="157"/>
      <c r="C4116" s="158"/>
      <c r="D4116" s="161"/>
      <c r="E4116" s="162"/>
      <c r="F4116" s="163"/>
      <c r="G4116" s="164"/>
      <c r="H4116" s="165"/>
      <c r="I4116" s="164"/>
      <c r="J4116" s="165"/>
      <c r="K4116" s="164"/>
      <c r="L4116" s="165"/>
      <c r="M4116" s="6"/>
      <c r="N4116" s="32"/>
      <c r="Q4116" s="10" t="str">
        <f>+CONCATENATE(E4114,K4114)</f>
        <v/>
      </c>
      <c r="R4116" s="10">
        <f>+L4114</f>
        <v>0</v>
      </c>
      <c r="S4116" s="11"/>
      <c r="T4116" s="10">
        <f>+E4114</f>
        <v>0</v>
      </c>
      <c r="U4116" s="19" t="str">
        <f>IFERROR(LEFT(K4114,FIND("*",K4114)-1),"-")</f>
        <v>-</v>
      </c>
      <c r="V4116" s="19" t="str">
        <f>IFERROR(RIGHT(K4114,LEN(K4114)-FIND("*",K4114)),"-")</f>
        <v>-</v>
      </c>
      <c r="W4116" s="20" t="str">
        <f t="shared" si="2236"/>
        <v>-</v>
      </c>
      <c r="X4116" s="20" t="str">
        <f>IFERROR(W4116*L4114,"-")</f>
        <v>-</v>
      </c>
      <c r="Z4116" s="85" t="s">
        <v>82</v>
      </c>
    </row>
    <row r="4117" spans="1:26" ht="6.95" customHeight="1" x14ac:dyDescent="0.3">
      <c r="A4117" s="8"/>
      <c r="B4117" s="157"/>
      <c r="C4117" s="158"/>
      <c r="D4117" s="161" t="s">
        <v>39</v>
      </c>
      <c r="E4117" s="162"/>
      <c r="F4117" s="163" t="s">
        <v>40</v>
      </c>
      <c r="G4117" s="164"/>
      <c r="H4117" s="165"/>
      <c r="I4117" s="164"/>
      <c r="J4117" s="165"/>
      <c r="K4117" s="164"/>
      <c r="L4117" s="165"/>
      <c r="M4117" s="6"/>
      <c r="N4117" s="32"/>
      <c r="Q4117" s="10" t="str">
        <f>+CONCATENATE(E4117,G4117)</f>
        <v/>
      </c>
      <c r="R4117" s="10">
        <f>+H4117</f>
        <v>0</v>
      </c>
      <c r="S4117" s="11"/>
      <c r="T4117" s="10">
        <f>+E4117</f>
        <v>0</v>
      </c>
      <c r="U4117" s="19" t="str">
        <f t="shared" ref="U4117" si="2237">IFERROR(LEFT(G4117,FIND("*",G4117)-1),"-")</f>
        <v>-</v>
      </c>
      <c r="V4117" s="19" t="str">
        <f t="shared" ref="V4117" si="2238">IFERROR(RIGHT(G4117,LEN(G4117)-FIND("*",G4117)),"-")</f>
        <v>-</v>
      </c>
      <c r="W4117" s="20" t="str">
        <f t="shared" si="2236"/>
        <v>-</v>
      </c>
      <c r="X4117" s="20" t="str">
        <f>IFERROR(W4117*H4117,"-")</f>
        <v>-</v>
      </c>
      <c r="Z4117" s="85" t="s">
        <v>82</v>
      </c>
    </row>
    <row r="4118" spans="1:26" ht="6.95" customHeight="1" x14ac:dyDescent="0.3">
      <c r="A4118" s="5"/>
      <c r="B4118" s="157"/>
      <c r="C4118" s="158"/>
      <c r="D4118" s="161"/>
      <c r="E4118" s="162"/>
      <c r="F4118" s="163"/>
      <c r="G4118" s="164"/>
      <c r="H4118" s="165"/>
      <c r="I4118" s="164"/>
      <c r="J4118" s="165"/>
      <c r="K4118" s="164"/>
      <c r="L4118" s="165"/>
      <c r="M4118" s="6"/>
      <c r="N4118" s="32"/>
      <c r="Q4118" s="10" t="str">
        <f>+CONCATENATE(E4117,I4117)</f>
        <v/>
      </c>
      <c r="R4118" s="10">
        <f>+J4117</f>
        <v>0</v>
      </c>
      <c r="S4118" s="11"/>
      <c r="T4118" s="10">
        <f>+E4117</f>
        <v>0</v>
      </c>
      <c r="U4118" s="19" t="str">
        <f>IFERROR(LEFT(I4117,FIND("*",I4117)-1),"-")</f>
        <v>-</v>
      </c>
      <c r="V4118" s="19" t="str">
        <f>IFERROR(RIGHT(I4117,LEN(I4117)-FIND("*",I4117)),"-")</f>
        <v>-</v>
      </c>
      <c r="W4118" s="20" t="str">
        <f t="shared" si="2236"/>
        <v>-</v>
      </c>
      <c r="X4118" s="20" t="str">
        <f>IFERROR(W4118*J4117,"-")</f>
        <v>-</v>
      </c>
      <c r="Z4118" s="85" t="s">
        <v>82</v>
      </c>
    </row>
    <row r="4119" spans="1:26" ht="6.95" customHeight="1" x14ac:dyDescent="0.3">
      <c r="A4119" s="5"/>
      <c r="B4119" s="157"/>
      <c r="C4119" s="158"/>
      <c r="D4119" s="161"/>
      <c r="E4119" s="162"/>
      <c r="F4119" s="163"/>
      <c r="G4119" s="164"/>
      <c r="H4119" s="165"/>
      <c r="I4119" s="164"/>
      <c r="J4119" s="165"/>
      <c r="K4119" s="164"/>
      <c r="L4119" s="165"/>
      <c r="M4119" s="6"/>
      <c r="N4119" s="32"/>
      <c r="Q4119" s="10" t="str">
        <f>+CONCATENATE(E4117,K4117)</f>
        <v/>
      </c>
      <c r="R4119" s="10">
        <f>+L4117</f>
        <v>0</v>
      </c>
      <c r="S4119" s="11"/>
      <c r="T4119" s="10">
        <f>+E4117</f>
        <v>0</v>
      </c>
      <c r="U4119" s="19" t="str">
        <f>IFERROR(LEFT(K4117,FIND("*",K4117)-1),"-")</f>
        <v>-</v>
      </c>
      <c r="V4119" s="19" t="str">
        <f>IFERROR(RIGHT(K4117,LEN(K4117)-FIND("*",K4117)),"-")</f>
        <v>-</v>
      </c>
      <c r="W4119" s="20" t="str">
        <f t="shared" si="2236"/>
        <v>-</v>
      </c>
      <c r="X4119" s="20" t="str">
        <f>IFERROR(W4119*L4117,"-")</f>
        <v>-</v>
      </c>
      <c r="Z4119" s="85" t="s">
        <v>82</v>
      </c>
    </row>
    <row r="4120" spans="1:26" ht="6.95" customHeight="1" x14ac:dyDescent="0.3">
      <c r="A4120" s="8"/>
      <c r="B4120" s="157"/>
      <c r="C4120" s="158"/>
      <c r="D4120" s="161" t="s">
        <v>39</v>
      </c>
      <c r="E4120" s="162"/>
      <c r="F4120" s="163" t="s">
        <v>40</v>
      </c>
      <c r="G4120" s="164"/>
      <c r="H4120" s="165"/>
      <c r="I4120" s="164"/>
      <c r="J4120" s="165"/>
      <c r="K4120" s="164"/>
      <c r="L4120" s="165"/>
      <c r="M4120" s="6"/>
      <c r="N4120" s="32"/>
      <c r="Q4120" s="10" t="str">
        <f>+CONCATENATE(E4120,G4120)</f>
        <v/>
      </c>
      <c r="R4120" s="10">
        <f>+H4120</f>
        <v>0</v>
      </c>
      <c r="S4120" s="11"/>
      <c r="T4120" s="10">
        <f>+E4120</f>
        <v>0</v>
      </c>
      <c r="U4120" s="19" t="str">
        <f t="shared" ref="U4120" si="2239">IFERROR(LEFT(G4120,FIND("*",G4120)-1),"-")</f>
        <v>-</v>
      </c>
      <c r="V4120" s="19" t="str">
        <f t="shared" ref="V4120" si="2240">IFERROR(RIGHT(G4120,LEN(G4120)-FIND("*",G4120)),"-")</f>
        <v>-</v>
      </c>
      <c r="W4120" s="20" t="str">
        <f t="shared" si="2236"/>
        <v>-</v>
      </c>
      <c r="X4120" s="20" t="str">
        <f>IFERROR(W4120*H4120,"-")</f>
        <v>-</v>
      </c>
      <c r="Z4120" s="85" t="s">
        <v>82</v>
      </c>
    </row>
    <row r="4121" spans="1:26" ht="6.95" customHeight="1" x14ac:dyDescent="0.3">
      <c r="A4121" s="5"/>
      <c r="B4121" s="157"/>
      <c r="C4121" s="158"/>
      <c r="D4121" s="161"/>
      <c r="E4121" s="162"/>
      <c r="F4121" s="163"/>
      <c r="G4121" s="164"/>
      <c r="H4121" s="165"/>
      <c r="I4121" s="164"/>
      <c r="J4121" s="165"/>
      <c r="K4121" s="164"/>
      <c r="L4121" s="165"/>
      <c r="M4121" s="6"/>
      <c r="N4121" s="32"/>
      <c r="Q4121" s="10" t="str">
        <f>+CONCATENATE(E4120,I4120)</f>
        <v/>
      </c>
      <c r="R4121" s="10">
        <f>+J4120</f>
        <v>0</v>
      </c>
      <c r="S4121" s="11"/>
      <c r="T4121" s="10">
        <f>+E4120</f>
        <v>0</v>
      </c>
      <c r="U4121" s="19" t="str">
        <f>IFERROR(LEFT(I4120,FIND("*",I4120)-1),"-")</f>
        <v>-</v>
      </c>
      <c r="V4121" s="19" t="str">
        <f>IFERROR(RIGHT(I4120,LEN(I4120)-FIND("*",I4120)),"-")</f>
        <v>-</v>
      </c>
      <c r="W4121" s="20" t="str">
        <f t="shared" si="2236"/>
        <v>-</v>
      </c>
      <c r="X4121" s="20" t="str">
        <f t="shared" ref="X4121" si="2241">IFERROR(W4121*J4120,"-")</f>
        <v>-</v>
      </c>
      <c r="Z4121" s="85" t="s">
        <v>82</v>
      </c>
    </row>
    <row r="4122" spans="1:26" ht="6.95" customHeight="1" x14ac:dyDescent="0.3">
      <c r="A4122" s="5"/>
      <c r="B4122" s="157"/>
      <c r="C4122" s="158"/>
      <c r="D4122" s="161"/>
      <c r="E4122" s="162"/>
      <c r="F4122" s="163"/>
      <c r="G4122" s="164"/>
      <c r="H4122" s="165"/>
      <c r="I4122" s="164"/>
      <c r="J4122" s="165"/>
      <c r="K4122" s="164"/>
      <c r="L4122" s="165"/>
      <c r="M4122" s="6"/>
      <c r="N4122" s="32"/>
      <c r="Q4122" s="10" t="str">
        <f>+CONCATENATE(E4120,K4120)</f>
        <v/>
      </c>
      <c r="R4122" s="10">
        <f>+L4120</f>
        <v>0</v>
      </c>
      <c r="S4122" s="11"/>
      <c r="T4122" s="10">
        <f>+E4120</f>
        <v>0</v>
      </c>
      <c r="U4122" s="19" t="str">
        <f>IFERROR(LEFT(K4120,FIND("*",K4120)-1),"-")</f>
        <v>-</v>
      </c>
      <c r="V4122" s="19" t="str">
        <f>IFERROR(RIGHT(K4120,LEN(K4120)-FIND("*",K4120)),"-")</f>
        <v>-</v>
      </c>
      <c r="W4122" s="20" t="str">
        <f t="shared" si="2236"/>
        <v>-</v>
      </c>
      <c r="X4122" s="20" t="str">
        <f>IFERROR(W4122*L4120,"-")</f>
        <v>-</v>
      </c>
      <c r="Z4122" s="85" t="s">
        <v>82</v>
      </c>
    </row>
    <row r="4123" spans="1:26" ht="21" customHeight="1" thickBot="1" x14ac:dyDescent="0.35">
      <c r="A4123" s="5"/>
      <c r="B4123" s="159"/>
      <c r="C4123" s="160"/>
      <c r="D4123" s="166" t="s">
        <v>43</v>
      </c>
      <c r="E4123" s="167"/>
      <c r="F4123" s="167"/>
      <c r="G4123" s="168"/>
      <c r="H4123" s="168"/>
      <c r="I4123" s="168"/>
      <c r="J4123" s="168"/>
      <c r="K4123" s="168"/>
      <c r="L4123" s="168"/>
      <c r="M4123" s="7"/>
      <c r="N4123" s="32"/>
      <c r="Z4123" s="86" t="s">
        <v>81</v>
      </c>
    </row>
    <row r="4124" spans="1:26" ht="9.9499999999999993" customHeight="1" thickBot="1" x14ac:dyDescent="0.35">
      <c r="B4124" s="9"/>
      <c r="C4124" s="109"/>
      <c r="D4124" s="51"/>
      <c r="E4124" s="12"/>
      <c r="F4124" s="51"/>
      <c r="G4124" s="14"/>
      <c r="H4124" s="14"/>
      <c r="I4124" s="14"/>
      <c r="J4124" s="14"/>
      <c r="K4124" s="14"/>
      <c r="L4124" s="14"/>
      <c r="M4124" s="9"/>
      <c r="N4124" s="32"/>
      <c r="U4124" s="18"/>
      <c r="V4124" s="18"/>
      <c r="Z4124" s="85" t="s">
        <v>82</v>
      </c>
    </row>
    <row r="4125" spans="1:26" ht="6.95" customHeight="1" x14ac:dyDescent="0.3">
      <c r="A4125" s="154">
        <f>+A4114+1</f>
        <v>1174</v>
      </c>
      <c r="B4125" s="155"/>
      <c r="C4125" s="156"/>
      <c r="D4125" s="161" t="s">
        <v>39</v>
      </c>
      <c r="E4125" s="162"/>
      <c r="F4125" s="163" t="s">
        <v>40</v>
      </c>
      <c r="G4125" s="164"/>
      <c r="H4125" s="165"/>
      <c r="I4125" s="164"/>
      <c r="J4125" s="165"/>
      <c r="K4125" s="164"/>
      <c r="L4125" s="165"/>
      <c r="M4125" s="6"/>
      <c r="N4125" s="32"/>
      <c r="Q4125" s="10" t="str">
        <f>+CONCATENATE(E4125,G4125)</f>
        <v/>
      </c>
      <c r="R4125" s="10">
        <f>+H4125</f>
        <v>0</v>
      </c>
      <c r="S4125" s="11"/>
      <c r="T4125" s="10">
        <f>+E4125</f>
        <v>0</v>
      </c>
      <c r="U4125" s="19" t="str">
        <f>IFERROR(LEFT(G4125,FIND("*",G4125)-1),"-")</f>
        <v>-</v>
      </c>
      <c r="V4125" s="19" t="str">
        <f>IFERROR(RIGHT(G4125,LEN(G4125)-FIND("*",G4125)),"-")</f>
        <v>-</v>
      </c>
      <c r="W4125" s="20" t="str">
        <f>IFERROR((U4125+V4125)*2/1000,"-")</f>
        <v>-</v>
      </c>
      <c r="X4125" s="20" t="str">
        <f>IFERROR(W4125*H4125,"-")</f>
        <v>-</v>
      </c>
      <c r="Z4125" s="85" t="s">
        <v>82</v>
      </c>
    </row>
    <row r="4126" spans="1:26" ht="6.95" customHeight="1" x14ac:dyDescent="0.3">
      <c r="A4126" s="154"/>
      <c r="B4126" s="157"/>
      <c r="C4126" s="158"/>
      <c r="D4126" s="161"/>
      <c r="E4126" s="162"/>
      <c r="F4126" s="163"/>
      <c r="G4126" s="164"/>
      <c r="H4126" s="165"/>
      <c r="I4126" s="164"/>
      <c r="J4126" s="165"/>
      <c r="K4126" s="164"/>
      <c r="L4126" s="165"/>
      <c r="M4126" s="6"/>
      <c r="N4126" s="32"/>
      <c r="Q4126" s="10" t="str">
        <f>+CONCATENATE(E4125,I4125)</f>
        <v/>
      </c>
      <c r="R4126" s="10">
        <f>+J4125</f>
        <v>0</v>
      </c>
      <c r="S4126" s="11"/>
      <c r="T4126" s="10">
        <f>+E4125</f>
        <v>0</v>
      </c>
      <c r="U4126" s="19" t="str">
        <f>IFERROR(LEFT(I4125,FIND("*",I4125)-1),"-")</f>
        <v>-</v>
      </c>
      <c r="V4126" s="19" t="str">
        <f>IFERROR(RIGHT(I4125,LEN(I4125)-FIND("*",I4125)),"-")</f>
        <v>-</v>
      </c>
      <c r="W4126" s="20" t="str">
        <f t="shared" ref="W4126:W4133" si="2242">IFERROR((U4126+V4126)*2/1000,"-")</f>
        <v>-</v>
      </c>
      <c r="X4126" s="20" t="str">
        <f>IFERROR(W4126*J4125,"-")</f>
        <v>-</v>
      </c>
      <c r="Z4126" s="85" t="s">
        <v>82</v>
      </c>
    </row>
    <row r="4127" spans="1:26" ht="6.95" customHeight="1" x14ac:dyDescent="0.3">
      <c r="A4127" s="154"/>
      <c r="B4127" s="157"/>
      <c r="C4127" s="158"/>
      <c r="D4127" s="161"/>
      <c r="E4127" s="162"/>
      <c r="F4127" s="163"/>
      <c r="G4127" s="164"/>
      <c r="H4127" s="165"/>
      <c r="I4127" s="164"/>
      <c r="J4127" s="165"/>
      <c r="K4127" s="164"/>
      <c r="L4127" s="165"/>
      <c r="M4127" s="6"/>
      <c r="N4127" s="32"/>
      <c r="Q4127" s="10" t="str">
        <f>+CONCATENATE(E4125,K4125)</f>
        <v/>
      </c>
      <c r="R4127" s="10">
        <f>+L4125</f>
        <v>0</v>
      </c>
      <c r="S4127" s="11"/>
      <c r="T4127" s="10">
        <f>+E4125</f>
        <v>0</v>
      </c>
      <c r="U4127" s="19" t="str">
        <f>IFERROR(LEFT(K4125,FIND("*",K4125)-1),"-")</f>
        <v>-</v>
      </c>
      <c r="V4127" s="19" t="str">
        <f>IFERROR(RIGHT(K4125,LEN(K4125)-FIND("*",K4125)),"-")</f>
        <v>-</v>
      </c>
      <c r="W4127" s="20" t="str">
        <f t="shared" si="2242"/>
        <v>-</v>
      </c>
      <c r="X4127" s="20" t="str">
        <f>IFERROR(W4127*L4125,"-")</f>
        <v>-</v>
      </c>
      <c r="Z4127" s="85" t="s">
        <v>82</v>
      </c>
    </row>
    <row r="4128" spans="1:26" ht="6.95" customHeight="1" x14ac:dyDescent="0.3">
      <c r="A4128" s="8"/>
      <c r="B4128" s="157"/>
      <c r="C4128" s="158"/>
      <c r="D4128" s="161" t="s">
        <v>39</v>
      </c>
      <c r="E4128" s="162"/>
      <c r="F4128" s="163" t="s">
        <v>40</v>
      </c>
      <c r="G4128" s="164"/>
      <c r="H4128" s="165"/>
      <c r="I4128" s="164"/>
      <c r="J4128" s="165"/>
      <c r="K4128" s="164"/>
      <c r="L4128" s="165"/>
      <c r="M4128" s="6"/>
      <c r="N4128" s="32"/>
      <c r="Q4128" s="10" t="str">
        <f>+CONCATENATE(E4128,G4128)</f>
        <v/>
      </c>
      <c r="R4128" s="10">
        <f>+H4128</f>
        <v>0</v>
      </c>
      <c r="S4128" s="11"/>
      <c r="T4128" s="10">
        <f>+E4128</f>
        <v>0</v>
      </c>
      <c r="U4128" s="19" t="str">
        <f t="shared" ref="U4128" si="2243">IFERROR(LEFT(G4128,FIND("*",G4128)-1),"-")</f>
        <v>-</v>
      </c>
      <c r="V4128" s="19" t="str">
        <f t="shared" ref="V4128" si="2244">IFERROR(RIGHT(G4128,LEN(G4128)-FIND("*",G4128)),"-")</f>
        <v>-</v>
      </c>
      <c r="W4128" s="20" t="str">
        <f t="shared" si="2242"/>
        <v>-</v>
      </c>
      <c r="X4128" s="20" t="str">
        <f>IFERROR(W4128*H4128,"-")</f>
        <v>-</v>
      </c>
      <c r="Z4128" s="85" t="s">
        <v>82</v>
      </c>
    </row>
    <row r="4129" spans="1:26" ht="6.95" customHeight="1" x14ac:dyDescent="0.3">
      <c r="A4129" s="5"/>
      <c r="B4129" s="157"/>
      <c r="C4129" s="158"/>
      <c r="D4129" s="161"/>
      <c r="E4129" s="162"/>
      <c r="F4129" s="163"/>
      <c r="G4129" s="164"/>
      <c r="H4129" s="165"/>
      <c r="I4129" s="164"/>
      <c r="J4129" s="165"/>
      <c r="K4129" s="164"/>
      <c r="L4129" s="165"/>
      <c r="M4129" s="6"/>
      <c r="N4129" s="32"/>
      <c r="Q4129" s="10" t="str">
        <f>+CONCATENATE(E4128,I4128)</f>
        <v/>
      </c>
      <c r="R4129" s="10">
        <f>+J4128</f>
        <v>0</v>
      </c>
      <c r="S4129" s="11"/>
      <c r="T4129" s="10">
        <f>+E4128</f>
        <v>0</v>
      </c>
      <c r="U4129" s="19" t="str">
        <f>IFERROR(LEFT(I4128,FIND("*",I4128)-1),"-")</f>
        <v>-</v>
      </c>
      <c r="V4129" s="19" t="str">
        <f>IFERROR(RIGHT(I4128,LEN(I4128)-FIND("*",I4128)),"-")</f>
        <v>-</v>
      </c>
      <c r="W4129" s="20" t="str">
        <f t="shared" si="2242"/>
        <v>-</v>
      </c>
      <c r="X4129" s="20" t="str">
        <f>IFERROR(W4129*J4128,"-")</f>
        <v>-</v>
      </c>
      <c r="Z4129" s="85" t="s">
        <v>82</v>
      </c>
    </row>
    <row r="4130" spans="1:26" ht="6.95" customHeight="1" x14ac:dyDescent="0.3">
      <c r="A4130" s="5"/>
      <c r="B4130" s="157"/>
      <c r="C4130" s="158"/>
      <c r="D4130" s="161"/>
      <c r="E4130" s="162"/>
      <c r="F4130" s="163"/>
      <c r="G4130" s="164"/>
      <c r="H4130" s="165"/>
      <c r="I4130" s="164"/>
      <c r="J4130" s="165"/>
      <c r="K4130" s="164"/>
      <c r="L4130" s="165"/>
      <c r="M4130" s="6"/>
      <c r="N4130" s="32"/>
      <c r="Q4130" s="10" t="str">
        <f>+CONCATENATE(E4128,K4128)</f>
        <v/>
      </c>
      <c r="R4130" s="10">
        <f>+L4128</f>
        <v>0</v>
      </c>
      <c r="S4130" s="11"/>
      <c r="T4130" s="10">
        <f>+E4128</f>
        <v>0</v>
      </c>
      <c r="U4130" s="19" t="str">
        <f>IFERROR(LEFT(K4128,FIND("*",K4128)-1),"-")</f>
        <v>-</v>
      </c>
      <c r="V4130" s="19" t="str">
        <f>IFERROR(RIGHT(K4128,LEN(K4128)-FIND("*",K4128)),"-")</f>
        <v>-</v>
      </c>
      <c r="W4130" s="20" t="str">
        <f t="shared" si="2242"/>
        <v>-</v>
      </c>
      <c r="X4130" s="20" t="str">
        <f>IFERROR(W4130*L4128,"-")</f>
        <v>-</v>
      </c>
      <c r="Z4130" s="85" t="s">
        <v>82</v>
      </c>
    </row>
    <row r="4131" spans="1:26" ht="6.95" customHeight="1" x14ac:dyDescent="0.3">
      <c r="A4131" s="8"/>
      <c r="B4131" s="157"/>
      <c r="C4131" s="158"/>
      <c r="D4131" s="161" t="s">
        <v>39</v>
      </c>
      <c r="E4131" s="162"/>
      <c r="F4131" s="163" t="s">
        <v>40</v>
      </c>
      <c r="G4131" s="164"/>
      <c r="H4131" s="165"/>
      <c r="I4131" s="164"/>
      <c r="J4131" s="165"/>
      <c r="K4131" s="164"/>
      <c r="L4131" s="165"/>
      <c r="M4131" s="6"/>
      <c r="N4131" s="32"/>
      <c r="Q4131" s="10" t="str">
        <f>+CONCATENATE(E4131,G4131)</f>
        <v/>
      </c>
      <c r="R4131" s="10">
        <f>+H4131</f>
        <v>0</v>
      </c>
      <c r="S4131" s="11"/>
      <c r="T4131" s="10">
        <f>+E4131</f>
        <v>0</v>
      </c>
      <c r="U4131" s="19" t="str">
        <f t="shared" ref="U4131" si="2245">IFERROR(LEFT(G4131,FIND("*",G4131)-1),"-")</f>
        <v>-</v>
      </c>
      <c r="V4131" s="19" t="str">
        <f t="shared" ref="V4131" si="2246">IFERROR(RIGHT(G4131,LEN(G4131)-FIND("*",G4131)),"-")</f>
        <v>-</v>
      </c>
      <c r="W4131" s="20" t="str">
        <f t="shared" si="2242"/>
        <v>-</v>
      </c>
      <c r="X4131" s="20" t="str">
        <f>IFERROR(W4131*H4131,"-")</f>
        <v>-</v>
      </c>
      <c r="Z4131" s="85" t="s">
        <v>82</v>
      </c>
    </row>
    <row r="4132" spans="1:26" ht="6.95" customHeight="1" x14ac:dyDescent="0.3">
      <c r="A4132" s="5"/>
      <c r="B4132" s="157"/>
      <c r="C4132" s="158"/>
      <c r="D4132" s="161"/>
      <c r="E4132" s="162"/>
      <c r="F4132" s="163"/>
      <c r="G4132" s="164"/>
      <c r="H4132" s="165"/>
      <c r="I4132" s="164"/>
      <c r="J4132" s="165"/>
      <c r="K4132" s="164"/>
      <c r="L4132" s="165"/>
      <c r="M4132" s="6"/>
      <c r="N4132" s="32"/>
      <c r="Q4132" s="10" t="str">
        <f>+CONCATENATE(E4131,I4131)</f>
        <v/>
      </c>
      <c r="R4132" s="10">
        <f>+J4131</f>
        <v>0</v>
      </c>
      <c r="S4132" s="11"/>
      <c r="T4132" s="10">
        <f>+E4131</f>
        <v>0</v>
      </c>
      <c r="U4132" s="19" t="str">
        <f>IFERROR(LEFT(I4131,FIND("*",I4131)-1),"-")</f>
        <v>-</v>
      </c>
      <c r="V4132" s="19" t="str">
        <f>IFERROR(RIGHT(I4131,LEN(I4131)-FIND("*",I4131)),"-")</f>
        <v>-</v>
      </c>
      <c r="W4132" s="20" t="str">
        <f t="shared" si="2242"/>
        <v>-</v>
      </c>
      <c r="X4132" s="20" t="str">
        <f t="shared" ref="X4132" si="2247">IFERROR(W4132*J4131,"-")</f>
        <v>-</v>
      </c>
      <c r="Z4132" s="85" t="s">
        <v>82</v>
      </c>
    </row>
    <row r="4133" spans="1:26" ht="6.95" customHeight="1" x14ac:dyDescent="0.3">
      <c r="A4133" s="5"/>
      <c r="B4133" s="157"/>
      <c r="C4133" s="158"/>
      <c r="D4133" s="161"/>
      <c r="E4133" s="162"/>
      <c r="F4133" s="163"/>
      <c r="G4133" s="164"/>
      <c r="H4133" s="165"/>
      <c r="I4133" s="164"/>
      <c r="J4133" s="165"/>
      <c r="K4133" s="164"/>
      <c r="L4133" s="165"/>
      <c r="M4133" s="6"/>
      <c r="N4133" s="32"/>
      <c r="Q4133" s="10" t="str">
        <f>+CONCATENATE(E4131,K4131)</f>
        <v/>
      </c>
      <c r="R4133" s="10">
        <f>+L4131</f>
        <v>0</v>
      </c>
      <c r="S4133" s="11"/>
      <c r="T4133" s="10">
        <f>+E4131</f>
        <v>0</v>
      </c>
      <c r="U4133" s="19" t="str">
        <f>IFERROR(LEFT(K4131,FIND("*",K4131)-1),"-")</f>
        <v>-</v>
      </c>
      <c r="V4133" s="19" t="str">
        <f>IFERROR(RIGHT(K4131,LEN(K4131)-FIND("*",K4131)),"-")</f>
        <v>-</v>
      </c>
      <c r="W4133" s="20" t="str">
        <f t="shared" si="2242"/>
        <v>-</v>
      </c>
      <c r="X4133" s="20" t="str">
        <f>IFERROR(W4133*L4131,"-")</f>
        <v>-</v>
      </c>
      <c r="Z4133" s="85" t="s">
        <v>82</v>
      </c>
    </row>
    <row r="4134" spans="1:26" ht="21" customHeight="1" thickBot="1" x14ac:dyDescent="0.35">
      <c r="A4134" s="5"/>
      <c r="B4134" s="159"/>
      <c r="C4134" s="160"/>
      <c r="D4134" s="166" t="s">
        <v>43</v>
      </c>
      <c r="E4134" s="167"/>
      <c r="F4134" s="167"/>
      <c r="G4134" s="168"/>
      <c r="H4134" s="168"/>
      <c r="I4134" s="168"/>
      <c r="J4134" s="168"/>
      <c r="K4134" s="168"/>
      <c r="L4134" s="168"/>
      <c r="M4134" s="7"/>
      <c r="N4134" s="32"/>
      <c r="Z4134" s="86" t="s">
        <v>81</v>
      </c>
    </row>
    <row r="4135" spans="1:26" ht="9.9499999999999993" customHeight="1" thickBot="1" x14ac:dyDescent="0.35">
      <c r="B4135" s="9"/>
      <c r="C4135" s="109"/>
      <c r="D4135" s="51"/>
      <c r="E4135" s="12"/>
      <c r="F4135" s="51"/>
      <c r="G4135" s="14"/>
      <c r="H4135" s="14"/>
      <c r="I4135" s="14"/>
      <c r="J4135" s="14"/>
      <c r="K4135" s="14"/>
      <c r="L4135" s="14"/>
      <c r="M4135" s="9"/>
      <c r="N4135" s="32"/>
      <c r="U4135" s="18"/>
      <c r="V4135" s="18"/>
      <c r="Z4135" s="85" t="s">
        <v>82</v>
      </c>
    </row>
    <row r="4136" spans="1:26" ht="6.95" customHeight="1" x14ac:dyDescent="0.3">
      <c r="A4136" s="154">
        <f>+A4125+1</f>
        <v>1175</v>
      </c>
      <c r="B4136" s="155"/>
      <c r="C4136" s="156"/>
      <c r="D4136" s="161" t="s">
        <v>39</v>
      </c>
      <c r="E4136" s="162"/>
      <c r="F4136" s="163" t="s">
        <v>40</v>
      </c>
      <c r="G4136" s="164"/>
      <c r="H4136" s="165"/>
      <c r="I4136" s="164"/>
      <c r="J4136" s="165"/>
      <c r="K4136" s="164"/>
      <c r="L4136" s="165"/>
      <c r="M4136" s="6"/>
      <c r="N4136" s="32"/>
      <c r="Q4136" s="10" t="str">
        <f>+CONCATENATE(E4136,G4136)</f>
        <v/>
      </c>
      <c r="R4136" s="10">
        <f>+H4136</f>
        <v>0</v>
      </c>
      <c r="S4136" s="11"/>
      <c r="T4136" s="10">
        <f>+E4136</f>
        <v>0</v>
      </c>
      <c r="U4136" s="19" t="str">
        <f>IFERROR(LEFT(G4136,FIND("*",G4136)-1),"-")</f>
        <v>-</v>
      </c>
      <c r="V4136" s="19" t="str">
        <f>IFERROR(RIGHT(G4136,LEN(G4136)-FIND("*",G4136)),"-")</f>
        <v>-</v>
      </c>
      <c r="W4136" s="20" t="str">
        <f>IFERROR((U4136+V4136)*2/1000,"-")</f>
        <v>-</v>
      </c>
      <c r="X4136" s="20" t="str">
        <f>IFERROR(W4136*H4136,"-")</f>
        <v>-</v>
      </c>
      <c r="Z4136" s="85" t="s">
        <v>82</v>
      </c>
    </row>
    <row r="4137" spans="1:26" ht="6.95" customHeight="1" x14ac:dyDescent="0.3">
      <c r="A4137" s="154"/>
      <c r="B4137" s="157"/>
      <c r="C4137" s="158"/>
      <c r="D4137" s="161"/>
      <c r="E4137" s="162"/>
      <c r="F4137" s="163"/>
      <c r="G4137" s="164"/>
      <c r="H4137" s="165"/>
      <c r="I4137" s="164"/>
      <c r="J4137" s="165"/>
      <c r="K4137" s="164"/>
      <c r="L4137" s="165"/>
      <c r="M4137" s="6"/>
      <c r="N4137" s="32"/>
      <c r="Q4137" s="10" t="str">
        <f>+CONCATENATE(E4136,I4136)</f>
        <v/>
      </c>
      <c r="R4137" s="10">
        <f>+J4136</f>
        <v>0</v>
      </c>
      <c r="S4137" s="11"/>
      <c r="T4137" s="10">
        <f>+E4136</f>
        <v>0</v>
      </c>
      <c r="U4137" s="19" t="str">
        <f>IFERROR(LEFT(I4136,FIND("*",I4136)-1),"-")</f>
        <v>-</v>
      </c>
      <c r="V4137" s="19" t="str">
        <f>IFERROR(RIGHT(I4136,LEN(I4136)-FIND("*",I4136)),"-")</f>
        <v>-</v>
      </c>
      <c r="W4137" s="20" t="str">
        <f t="shared" ref="W4137:W4144" si="2248">IFERROR((U4137+V4137)*2/1000,"-")</f>
        <v>-</v>
      </c>
      <c r="X4137" s="20" t="str">
        <f>IFERROR(W4137*J4136,"-")</f>
        <v>-</v>
      </c>
      <c r="Z4137" s="85" t="s">
        <v>82</v>
      </c>
    </row>
    <row r="4138" spans="1:26" ht="6.95" customHeight="1" x14ac:dyDescent="0.3">
      <c r="A4138" s="154"/>
      <c r="B4138" s="157"/>
      <c r="C4138" s="158"/>
      <c r="D4138" s="161"/>
      <c r="E4138" s="162"/>
      <c r="F4138" s="163"/>
      <c r="G4138" s="164"/>
      <c r="H4138" s="165"/>
      <c r="I4138" s="164"/>
      <c r="J4138" s="165"/>
      <c r="K4138" s="164"/>
      <c r="L4138" s="165"/>
      <c r="M4138" s="6"/>
      <c r="N4138" s="32"/>
      <c r="Q4138" s="10" t="str">
        <f>+CONCATENATE(E4136,K4136)</f>
        <v/>
      </c>
      <c r="R4138" s="10">
        <f>+L4136</f>
        <v>0</v>
      </c>
      <c r="S4138" s="11"/>
      <c r="T4138" s="10">
        <f>+E4136</f>
        <v>0</v>
      </c>
      <c r="U4138" s="19" t="str">
        <f>IFERROR(LEFT(K4136,FIND("*",K4136)-1),"-")</f>
        <v>-</v>
      </c>
      <c r="V4138" s="19" t="str">
        <f>IFERROR(RIGHT(K4136,LEN(K4136)-FIND("*",K4136)),"-")</f>
        <v>-</v>
      </c>
      <c r="W4138" s="20" t="str">
        <f t="shared" si="2248"/>
        <v>-</v>
      </c>
      <c r="X4138" s="20" t="str">
        <f>IFERROR(W4138*L4136,"-")</f>
        <v>-</v>
      </c>
      <c r="Z4138" s="85" t="s">
        <v>82</v>
      </c>
    </row>
    <row r="4139" spans="1:26" ht="6.95" customHeight="1" x14ac:dyDescent="0.3">
      <c r="A4139" s="8"/>
      <c r="B4139" s="157"/>
      <c r="C4139" s="158"/>
      <c r="D4139" s="161" t="s">
        <v>39</v>
      </c>
      <c r="E4139" s="162"/>
      <c r="F4139" s="163" t="s">
        <v>40</v>
      </c>
      <c r="G4139" s="164"/>
      <c r="H4139" s="165"/>
      <c r="I4139" s="164"/>
      <c r="J4139" s="165"/>
      <c r="K4139" s="164"/>
      <c r="L4139" s="165"/>
      <c r="M4139" s="6"/>
      <c r="N4139" s="32"/>
      <c r="Q4139" s="10" t="str">
        <f>+CONCATENATE(E4139,G4139)</f>
        <v/>
      </c>
      <c r="R4139" s="10">
        <f>+H4139</f>
        <v>0</v>
      </c>
      <c r="S4139" s="11"/>
      <c r="T4139" s="10">
        <f>+E4139</f>
        <v>0</v>
      </c>
      <c r="U4139" s="19" t="str">
        <f t="shared" ref="U4139" si="2249">IFERROR(LEFT(G4139,FIND("*",G4139)-1),"-")</f>
        <v>-</v>
      </c>
      <c r="V4139" s="19" t="str">
        <f t="shared" ref="V4139" si="2250">IFERROR(RIGHT(G4139,LEN(G4139)-FIND("*",G4139)),"-")</f>
        <v>-</v>
      </c>
      <c r="W4139" s="20" t="str">
        <f t="shared" si="2248"/>
        <v>-</v>
      </c>
      <c r="X4139" s="20" t="str">
        <f>IFERROR(W4139*H4139,"-")</f>
        <v>-</v>
      </c>
      <c r="Z4139" s="85" t="s">
        <v>82</v>
      </c>
    </row>
    <row r="4140" spans="1:26" ht="6.95" customHeight="1" x14ac:dyDescent="0.3">
      <c r="A4140" s="5"/>
      <c r="B4140" s="157"/>
      <c r="C4140" s="158"/>
      <c r="D4140" s="161"/>
      <c r="E4140" s="162"/>
      <c r="F4140" s="163"/>
      <c r="G4140" s="164"/>
      <c r="H4140" s="165"/>
      <c r="I4140" s="164"/>
      <c r="J4140" s="165"/>
      <c r="K4140" s="164"/>
      <c r="L4140" s="165"/>
      <c r="M4140" s="6"/>
      <c r="N4140" s="32"/>
      <c r="Q4140" s="10" t="str">
        <f>+CONCATENATE(E4139,I4139)</f>
        <v/>
      </c>
      <c r="R4140" s="10">
        <f>+J4139</f>
        <v>0</v>
      </c>
      <c r="S4140" s="11"/>
      <c r="T4140" s="10">
        <f>+E4139</f>
        <v>0</v>
      </c>
      <c r="U4140" s="19" t="str">
        <f>IFERROR(LEFT(I4139,FIND("*",I4139)-1),"-")</f>
        <v>-</v>
      </c>
      <c r="V4140" s="19" t="str">
        <f>IFERROR(RIGHT(I4139,LEN(I4139)-FIND("*",I4139)),"-")</f>
        <v>-</v>
      </c>
      <c r="W4140" s="20" t="str">
        <f t="shared" si="2248"/>
        <v>-</v>
      </c>
      <c r="X4140" s="20" t="str">
        <f>IFERROR(W4140*J4139,"-")</f>
        <v>-</v>
      </c>
      <c r="Z4140" s="85" t="s">
        <v>82</v>
      </c>
    </row>
    <row r="4141" spans="1:26" ht="6.95" customHeight="1" x14ac:dyDescent="0.3">
      <c r="A4141" s="5"/>
      <c r="B4141" s="157"/>
      <c r="C4141" s="158"/>
      <c r="D4141" s="161"/>
      <c r="E4141" s="162"/>
      <c r="F4141" s="163"/>
      <c r="G4141" s="164"/>
      <c r="H4141" s="165"/>
      <c r="I4141" s="164"/>
      <c r="J4141" s="165"/>
      <c r="K4141" s="164"/>
      <c r="L4141" s="165"/>
      <c r="M4141" s="6"/>
      <c r="N4141" s="32"/>
      <c r="Q4141" s="10" t="str">
        <f>+CONCATENATE(E4139,K4139)</f>
        <v/>
      </c>
      <c r="R4141" s="10">
        <f>+L4139</f>
        <v>0</v>
      </c>
      <c r="S4141" s="11"/>
      <c r="T4141" s="10">
        <f>+E4139</f>
        <v>0</v>
      </c>
      <c r="U4141" s="19" t="str">
        <f>IFERROR(LEFT(K4139,FIND("*",K4139)-1),"-")</f>
        <v>-</v>
      </c>
      <c r="V4141" s="19" t="str">
        <f>IFERROR(RIGHT(K4139,LEN(K4139)-FIND("*",K4139)),"-")</f>
        <v>-</v>
      </c>
      <c r="W4141" s="20" t="str">
        <f t="shared" si="2248"/>
        <v>-</v>
      </c>
      <c r="X4141" s="20" t="str">
        <f>IFERROR(W4141*L4139,"-")</f>
        <v>-</v>
      </c>
      <c r="Z4141" s="85" t="s">
        <v>82</v>
      </c>
    </row>
    <row r="4142" spans="1:26" ht="6.95" customHeight="1" x14ac:dyDescent="0.3">
      <c r="A4142" s="8"/>
      <c r="B4142" s="157"/>
      <c r="C4142" s="158"/>
      <c r="D4142" s="161" t="s">
        <v>39</v>
      </c>
      <c r="E4142" s="162"/>
      <c r="F4142" s="163" t="s">
        <v>40</v>
      </c>
      <c r="G4142" s="164"/>
      <c r="H4142" s="165"/>
      <c r="I4142" s="164"/>
      <c r="J4142" s="165"/>
      <c r="K4142" s="164"/>
      <c r="L4142" s="165"/>
      <c r="M4142" s="6"/>
      <c r="N4142" s="32"/>
      <c r="Q4142" s="10" t="str">
        <f>+CONCATENATE(E4142,G4142)</f>
        <v/>
      </c>
      <c r="R4142" s="10">
        <f>+H4142</f>
        <v>0</v>
      </c>
      <c r="S4142" s="11"/>
      <c r="T4142" s="10">
        <f>+E4142</f>
        <v>0</v>
      </c>
      <c r="U4142" s="19" t="str">
        <f t="shared" ref="U4142" si="2251">IFERROR(LEFT(G4142,FIND("*",G4142)-1),"-")</f>
        <v>-</v>
      </c>
      <c r="V4142" s="19" t="str">
        <f t="shared" ref="V4142" si="2252">IFERROR(RIGHT(G4142,LEN(G4142)-FIND("*",G4142)),"-")</f>
        <v>-</v>
      </c>
      <c r="W4142" s="20" t="str">
        <f t="shared" si="2248"/>
        <v>-</v>
      </c>
      <c r="X4142" s="20" t="str">
        <f>IFERROR(W4142*H4142,"-")</f>
        <v>-</v>
      </c>
      <c r="Z4142" s="85" t="s">
        <v>82</v>
      </c>
    </row>
    <row r="4143" spans="1:26" ht="6.95" customHeight="1" x14ac:dyDescent="0.3">
      <c r="A4143" s="5"/>
      <c r="B4143" s="157"/>
      <c r="C4143" s="158"/>
      <c r="D4143" s="161"/>
      <c r="E4143" s="162"/>
      <c r="F4143" s="163"/>
      <c r="G4143" s="164"/>
      <c r="H4143" s="165"/>
      <c r="I4143" s="164"/>
      <c r="J4143" s="165"/>
      <c r="K4143" s="164"/>
      <c r="L4143" s="165"/>
      <c r="M4143" s="6"/>
      <c r="N4143" s="32"/>
      <c r="Q4143" s="10" t="str">
        <f>+CONCATENATE(E4142,I4142)</f>
        <v/>
      </c>
      <c r="R4143" s="10">
        <f>+J4142</f>
        <v>0</v>
      </c>
      <c r="S4143" s="11"/>
      <c r="T4143" s="10">
        <f>+E4142</f>
        <v>0</v>
      </c>
      <c r="U4143" s="19" t="str">
        <f>IFERROR(LEFT(I4142,FIND("*",I4142)-1),"-")</f>
        <v>-</v>
      </c>
      <c r="V4143" s="19" t="str">
        <f>IFERROR(RIGHT(I4142,LEN(I4142)-FIND("*",I4142)),"-")</f>
        <v>-</v>
      </c>
      <c r="W4143" s="20" t="str">
        <f t="shared" si="2248"/>
        <v>-</v>
      </c>
      <c r="X4143" s="20" t="str">
        <f t="shared" ref="X4143" si="2253">IFERROR(W4143*J4142,"-")</f>
        <v>-</v>
      </c>
      <c r="Z4143" s="85" t="s">
        <v>82</v>
      </c>
    </row>
    <row r="4144" spans="1:26" ht="6.95" customHeight="1" x14ac:dyDescent="0.3">
      <c r="A4144" s="5"/>
      <c r="B4144" s="157"/>
      <c r="C4144" s="158"/>
      <c r="D4144" s="161"/>
      <c r="E4144" s="162"/>
      <c r="F4144" s="163"/>
      <c r="G4144" s="164"/>
      <c r="H4144" s="165"/>
      <c r="I4144" s="164"/>
      <c r="J4144" s="165"/>
      <c r="K4144" s="164"/>
      <c r="L4144" s="165"/>
      <c r="M4144" s="6"/>
      <c r="N4144" s="32"/>
      <c r="Q4144" s="10" t="str">
        <f>+CONCATENATE(E4142,K4142)</f>
        <v/>
      </c>
      <c r="R4144" s="10">
        <f>+L4142</f>
        <v>0</v>
      </c>
      <c r="S4144" s="11"/>
      <c r="T4144" s="10">
        <f>+E4142</f>
        <v>0</v>
      </c>
      <c r="U4144" s="19" t="str">
        <f>IFERROR(LEFT(K4142,FIND("*",K4142)-1),"-")</f>
        <v>-</v>
      </c>
      <c r="V4144" s="19" t="str">
        <f>IFERROR(RIGHT(K4142,LEN(K4142)-FIND("*",K4142)),"-")</f>
        <v>-</v>
      </c>
      <c r="W4144" s="20" t="str">
        <f t="shared" si="2248"/>
        <v>-</v>
      </c>
      <c r="X4144" s="20" t="str">
        <f>IFERROR(W4144*L4142,"-")</f>
        <v>-</v>
      </c>
      <c r="Z4144" s="85" t="s">
        <v>82</v>
      </c>
    </row>
    <row r="4145" spans="1:26" ht="21" customHeight="1" thickBot="1" x14ac:dyDescent="0.35">
      <c r="A4145" s="5"/>
      <c r="B4145" s="159"/>
      <c r="C4145" s="160"/>
      <c r="D4145" s="166" t="s">
        <v>43</v>
      </c>
      <c r="E4145" s="167"/>
      <c r="F4145" s="167"/>
      <c r="G4145" s="168"/>
      <c r="H4145" s="168"/>
      <c r="I4145" s="168"/>
      <c r="J4145" s="168"/>
      <c r="K4145" s="168"/>
      <c r="L4145" s="168"/>
      <c r="M4145" s="7"/>
      <c r="N4145" s="32"/>
      <c r="Z4145" s="86" t="s">
        <v>81</v>
      </c>
    </row>
    <row r="4146" spans="1:26" ht="9.9499999999999993" customHeight="1" thickBot="1" x14ac:dyDescent="0.35">
      <c r="B4146" s="9"/>
      <c r="C4146" s="109"/>
      <c r="D4146" s="51"/>
      <c r="E4146" s="12"/>
      <c r="F4146" s="51"/>
      <c r="G4146" s="14"/>
      <c r="H4146" s="14"/>
      <c r="I4146" s="14"/>
      <c r="J4146" s="14"/>
      <c r="K4146" s="14"/>
      <c r="L4146" s="14"/>
      <c r="M4146" s="9"/>
      <c r="N4146" s="32"/>
      <c r="U4146" s="18"/>
      <c r="V4146" s="18"/>
      <c r="Z4146" s="85" t="s">
        <v>82</v>
      </c>
    </row>
    <row r="4147" spans="1:26" ht="6.95" customHeight="1" x14ac:dyDescent="0.3">
      <c r="A4147" s="154">
        <f>+A4136+1</f>
        <v>1176</v>
      </c>
      <c r="B4147" s="155"/>
      <c r="C4147" s="156"/>
      <c r="D4147" s="161" t="s">
        <v>39</v>
      </c>
      <c r="E4147" s="162"/>
      <c r="F4147" s="163" t="s">
        <v>40</v>
      </c>
      <c r="G4147" s="164"/>
      <c r="H4147" s="165"/>
      <c r="I4147" s="164"/>
      <c r="J4147" s="165"/>
      <c r="K4147" s="164"/>
      <c r="L4147" s="165"/>
      <c r="M4147" s="6"/>
      <c r="N4147" s="32"/>
      <c r="Q4147" s="10" t="str">
        <f>+CONCATENATE(E4147,G4147)</f>
        <v/>
      </c>
      <c r="R4147" s="10">
        <f>+H4147</f>
        <v>0</v>
      </c>
      <c r="S4147" s="11"/>
      <c r="T4147" s="10">
        <f>+E4147</f>
        <v>0</v>
      </c>
      <c r="U4147" s="19" t="str">
        <f>IFERROR(LEFT(G4147,FIND("*",G4147)-1),"-")</f>
        <v>-</v>
      </c>
      <c r="V4147" s="19" t="str">
        <f>IFERROR(RIGHT(G4147,LEN(G4147)-FIND("*",G4147)),"-")</f>
        <v>-</v>
      </c>
      <c r="W4147" s="20" t="str">
        <f>IFERROR((U4147+V4147)*2/1000,"-")</f>
        <v>-</v>
      </c>
      <c r="X4147" s="20" t="str">
        <f>IFERROR(W4147*H4147,"-")</f>
        <v>-</v>
      </c>
      <c r="Z4147" s="85" t="s">
        <v>82</v>
      </c>
    </row>
    <row r="4148" spans="1:26" ht="6.95" customHeight="1" x14ac:dyDescent="0.3">
      <c r="A4148" s="154"/>
      <c r="B4148" s="157"/>
      <c r="C4148" s="158"/>
      <c r="D4148" s="161"/>
      <c r="E4148" s="162"/>
      <c r="F4148" s="163"/>
      <c r="G4148" s="164"/>
      <c r="H4148" s="165"/>
      <c r="I4148" s="164"/>
      <c r="J4148" s="165"/>
      <c r="K4148" s="164"/>
      <c r="L4148" s="165"/>
      <c r="M4148" s="6"/>
      <c r="N4148" s="32"/>
      <c r="Q4148" s="10" t="str">
        <f>+CONCATENATE(E4147,I4147)</f>
        <v/>
      </c>
      <c r="R4148" s="10">
        <f>+J4147</f>
        <v>0</v>
      </c>
      <c r="S4148" s="11"/>
      <c r="T4148" s="10">
        <f>+E4147</f>
        <v>0</v>
      </c>
      <c r="U4148" s="19" t="str">
        <f>IFERROR(LEFT(I4147,FIND("*",I4147)-1),"-")</f>
        <v>-</v>
      </c>
      <c r="V4148" s="19" t="str">
        <f>IFERROR(RIGHT(I4147,LEN(I4147)-FIND("*",I4147)),"-")</f>
        <v>-</v>
      </c>
      <c r="W4148" s="20" t="str">
        <f t="shared" ref="W4148:W4155" si="2254">IFERROR((U4148+V4148)*2/1000,"-")</f>
        <v>-</v>
      </c>
      <c r="X4148" s="20" t="str">
        <f>IFERROR(W4148*J4147,"-")</f>
        <v>-</v>
      </c>
      <c r="Z4148" s="85" t="s">
        <v>82</v>
      </c>
    </row>
    <row r="4149" spans="1:26" ht="6.95" customHeight="1" x14ac:dyDescent="0.3">
      <c r="A4149" s="154"/>
      <c r="B4149" s="157"/>
      <c r="C4149" s="158"/>
      <c r="D4149" s="161"/>
      <c r="E4149" s="162"/>
      <c r="F4149" s="163"/>
      <c r="G4149" s="164"/>
      <c r="H4149" s="165"/>
      <c r="I4149" s="164"/>
      <c r="J4149" s="165"/>
      <c r="K4149" s="164"/>
      <c r="L4149" s="165"/>
      <c r="M4149" s="6"/>
      <c r="N4149" s="32"/>
      <c r="Q4149" s="10" t="str">
        <f>+CONCATENATE(E4147,K4147)</f>
        <v/>
      </c>
      <c r="R4149" s="10">
        <f>+L4147</f>
        <v>0</v>
      </c>
      <c r="S4149" s="11"/>
      <c r="T4149" s="10">
        <f>+E4147</f>
        <v>0</v>
      </c>
      <c r="U4149" s="19" t="str">
        <f>IFERROR(LEFT(K4147,FIND("*",K4147)-1),"-")</f>
        <v>-</v>
      </c>
      <c r="V4149" s="19" t="str">
        <f>IFERROR(RIGHT(K4147,LEN(K4147)-FIND("*",K4147)),"-")</f>
        <v>-</v>
      </c>
      <c r="W4149" s="20" t="str">
        <f t="shared" si="2254"/>
        <v>-</v>
      </c>
      <c r="X4149" s="20" t="str">
        <f>IFERROR(W4149*L4147,"-")</f>
        <v>-</v>
      </c>
      <c r="Z4149" s="85" t="s">
        <v>82</v>
      </c>
    </row>
    <row r="4150" spans="1:26" ht="6.95" customHeight="1" x14ac:dyDescent="0.3">
      <c r="A4150" s="8"/>
      <c r="B4150" s="157"/>
      <c r="C4150" s="158"/>
      <c r="D4150" s="161" t="s">
        <v>39</v>
      </c>
      <c r="E4150" s="162"/>
      <c r="F4150" s="163" t="s">
        <v>40</v>
      </c>
      <c r="G4150" s="164"/>
      <c r="H4150" s="165"/>
      <c r="I4150" s="164"/>
      <c r="J4150" s="165"/>
      <c r="K4150" s="164"/>
      <c r="L4150" s="165"/>
      <c r="M4150" s="6"/>
      <c r="N4150" s="32"/>
      <c r="Q4150" s="10" t="str">
        <f>+CONCATENATE(E4150,G4150)</f>
        <v/>
      </c>
      <c r="R4150" s="10">
        <f>+H4150</f>
        <v>0</v>
      </c>
      <c r="S4150" s="11"/>
      <c r="T4150" s="10">
        <f>+E4150</f>
        <v>0</v>
      </c>
      <c r="U4150" s="19" t="str">
        <f t="shared" ref="U4150" si="2255">IFERROR(LEFT(G4150,FIND("*",G4150)-1),"-")</f>
        <v>-</v>
      </c>
      <c r="V4150" s="19" t="str">
        <f t="shared" ref="V4150" si="2256">IFERROR(RIGHT(G4150,LEN(G4150)-FIND("*",G4150)),"-")</f>
        <v>-</v>
      </c>
      <c r="W4150" s="20" t="str">
        <f t="shared" si="2254"/>
        <v>-</v>
      </c>
      <c r="X4150" s="20" t="str">
        <f>IFERROR(W4150*H4150,"-")</f>
        <v>-</v>
      </c>
      <c r="Z4150" s="85" t="s">
        <v>82</v>
      </c>
    </row>
    <row r="4151" spans="1:26" ht="6.95" customHeight="1" x14ac:dyDescent="0.3">
      <c r="A4151" s="5"/>
      <c r="B4151" s="157"/>
      <c r="C4151" s="158"/>
      <c r="D4151" s="161"/>
      <c r="E4151" s="162"/>
      <c r="F4151" s="163"/>
      <c r="G4151" s="164"/>
      <c r="H4151" s="165"/>
      <c r="I4151" s="164"/>
      <c r="J4151" s="165"/>
      <c r="K4151" s="164"/>
      <c r="L4151" s="165"/>
      <c r="M4151" s="6"/>
      <c r="N4151" s="32"/>
      <c r="Q4151" s="10" t="str">
        <f>+CONCATENATE(E4150,I4150)</f>
        <v/>
      </c>
      <c r="R4151" s="10">
        <f>+J4150</f>
        <v>0</v>
      </c>
      <c r="S4151" s="11"/>
      <c r="T4151" s="10">
        <f>+E4150</f>
        <v>0</v>
      </c>
      <c r="U4151" s="19" t="str">
        <f>IFERROR(LEFT(I4150,FIND("*",I4150)-1),"-")</f>
        <v>-</v>
      </c>
      <c r="V4151" s="19" t="str">
        <f>IFERROR(RIGHT(I4150,LEN(I4150)-FIND("*",I4150)),"-")</f>
        <v>-</v>
      </c>
      <c r="W4151" s="20" t="str">
        <f t="shared" si="2254"/>
        <v>-</v>
      </c>
      <c r="X4151" s="20" t="str">
        <f>IFERROR(W4151*J4150,"-")</f>
        <v>-</v>
      </c>
      <c r="Z4151" s="85" t="s">
        <v>82</v>
      </c>
    </row>
    <row r="4152" spans="1:26" ht="6.95" customHeight="1" x14ac:dyDescent="0.3">
      <c r="A4152" s="5"/>
      <c r="B4152" s="157"/>
      <c r="C4152" s="158"/>
      <c r="D4152" s="161"/>
      <c r="E4152" s="162"/>
      <c r="F4152" s="163"/>
      <c r="G4152" s="164"/>
      <c r="H4152" s="165"/>
      <c r="I4152" s="164"/>
      <c r="J4152" s="165"/>
      <c r="K4152" s="164"/>
      <c r="L4152" s="165"/>
      <c r="M4152" s="6"/>
      <c r="N4152" s="32"/>
      <c r="Q4152" s="10" t="str">
        <f>+CONCATENATE(E4150,K4150)</f>
        <v/>
      </c>
      <c r="R4152" s="10">
        <f>+L4150</f>
        <v>0</v>
      </c>
      <c r="S4152" s="11"/>
      <c r="T4152" s="10">
        <f>+E4150</f>
        <v>0</v>
      </c>
      <c r="U4152" s="19" t="str">
        <f>IFERROR(LEFT(K4150,FIND("*",K4150)-1),"-")</f>
        <v>-</v>
      </c>
      <c r="V4152" s="19" t="str">
        <f>IFERROR(RIGHT(K4150,LEN(K4150)-FIND("*",K4150)),"-")</f>
        <v>-</v>
      </c>
      <c r="W4152" s="20" t="str">
        <f t="shared" si="2254"/>
        <v>-</v>
      </c>
      <c r="X4152" s="20" t="str">
        <f>IFERROR(W4152*L4150,"-")</f>
        <v>-</v>
      </c>
      <c r="Z4152" s="85" t="s">
        <v>82</v>
      </c>
    </row>
    <row r="4153" spans="1:26" ht="6.95" customHeight="1" x14ac:dyDescent="0.3">
      <c r="A4153" s="8"/>
      <c r="B4153" s="157"/>
      <c r="C4153" s="158"/>
      <c r="D4153" s="161" t="s">
        <v>39</v>
      </c>
      <c r="E4153" s="162"/>
      <c r="F4153" s="163" t="s">
        <v>40</v>
      </c>
      <c r="G4153" s="164"/>
      <c r="H4153" s="165"/>
      <c r="I4153" s="164"/>
      <c r="J4153" s="165"/>
      <c r="K4153" s="164"/>
      <c r="L4153" s="165"/>
      <c r="M4153" s="6"/>
      <c r="N4153" s="32"/>
      <c r="Q4153" s="10" t="str">
        <f>+CONCATENATE(E4153,G4153)</f>
        <v/>
      </c>
      <c r="R4153" s="10">
        <f>+H4153</f>
        <v>0</v>
      </c>
      <c r="S4153" s="11"/>
      <c r="T4153" s="10">
        <f>+E4153</f>
        <v>0</v>
      </c>
      <c r="U4153" s="19" t="str">
        <f t="shared" ref="U4153" si="2257">IFERROR(LEFT(G4153,FIND("*",G4153)-1),"-")</f>
        <v>-</v>
      </c>
      <c r="V4153" s="19" t="str">
        <f t="shared" ref="V4153" si="2258">IFERROR(RIGHT(G4153,LEN(G4153)-FIND("*",G4153)),"-")</f>
        <v>-</v>
      </c>
      <c r="W4153" s="20" t="str">
        <f t="shared" si="2254"/>
        <v>-</v>
      </c>
      <c r="X4153" s="20" t="str">
        <f>IFERROR(W4153*H4153,"-")</f>
        <v>-</v>
      </c>
      <c r="Z4153" s="85" t="s">
        <v>82</v>
      </c>
    </row>
    <row r="4154" spans="1:26" ht="6.95" customHeight="1" x14ac:dyDescent="0.3">
      <c r="A4154" s="5"/>
      <c r="B4154" s="157"/>
      <c r="C4154" s="158"/>
      <c r="D4154" s="161"/>
      <c r="E4154" s="162"/>
      <c r="F4154" s="163"/>
      <c r="G4154" s="164"/>
      <c r="H4154" s="165"/>
      <c r="I4154" s="164"/>
      <c r="J4154" s="165"/>
      <c r="K4154" s="164"/>
      <c r="L4154" s="165"/>
      <c r="M4154" s="6"/>
      <c r="N4154" s="32"/>
      <c r="Q4154" s="10" t="str">
        <f>+CONCATENATE(E4153,I4153)</f>
        <v/>
      </c>
      <c r="R4154" s="10">
        <f>+J4153</f>
        <v>0</v>
      </c>
      <c r="S4154" s="11"/>
      <c r="T4154" s="10">
        <f>+E4153</f>
        <v>0</v>
      </c>
      <c r="U4154" s="19" t="str">
        <f>IFERROR(LEFT(I4153,FIND("*",I4153)-1),"-")</f>
        <v>-</v>
      </c>
      <c r="V4154" s="19" t="str">
        <f>IFERROR(RIGHT(I4153,LEN(I4153)-FIND("*",I4153)),"-")</f>
        <v>-</v>
      </c>
      <c r="W4154" s="20" t="str">
        <f t="shared" si="2254"/>
        <v>-</v>
      </c>
      <c r="X4154" s="20" t="str">
        <f t="shared" ref="X4154" si="2259">IFERROR(W4154*J4153,"-")</f>
        <v>-</v>
      </c>
      <c r="Z4154" s="85" t="s">
        <v>82</v>
      </c>
    </row>
    <row r="4155" spans="1:26" ht="6.95" customHeight="1" x14ac:dyDescent="0.3">
      <c r="A4155" s="5"/>
      <c r="B4155" s="157"/>
      <c r="C4155" s="158"/>
      <c r="D4155" s="161"/>
      <c r="E4155" s="162"/>
      <c r="F4155" s="163"/>
      <c r="G4155" s="164"/>
      <c r="H4155" s="165"/>
      <c r="I4155" s="164"/>
      <c r="J4155" s="165"/>
      <c r="K4155" s="164"/>
      <c r="L4155" s="165"/>
      <c r="M4155" s="6"/>
      <c r="N4155" s="32"/>
      <c r="Q4155" s="10" t="str">
        <f>+CONCATENATE(E4153,K4153)</f>
        <v/>
      </c>
      <c r="R4155" s="10">
        <f>+L4153</f>
        <v>0</v>
      </c>
      <c r="S4155" s="11"/>
      <c r="T4155" s="10">
        <f>+E4153</f>
        <v>0</v>
      </c>
      <c r="U4155" s="19" t="str">
        <f>IFERROR(LEFT(K4153,FIND("*",K4153)-1),"-")</f>
        <v>-</v>
      </c>
      <c r="V4155" s="19" t="str">
        <f>IFERROR(RIGHT(K4153,LEN(K4153)-FIND("*",K4153)),"-")</f>
        <v>-</v>
      </c>
      <c r="W4155" s="20" t="str">
        <f t="shared" si="2254"/>
        <v>-</v>
      </c>
      <c r="X4155" s="20" t="str">
        <f>IFERROR(W4155*L4153,"-")</f>
        <v>-</v>
      </c>
      <c r="Z4155" s="85" t="s">
        <v>82</v>
      </c>
    </row>
    <row r="4156" spans="1:26" ht="21" customHeight="1" thickBot="1" x14ac:dyDescent="0.35">
      <c r="A4156" s="5"/>
      <c r="B4156" s="159"/>
      <c r="C4156" s="160"/>
      <c r="D4156" s="166" t="s">
        <v>43</v>
      </c>
      <c r="E4156" s="167"/>
      <c r="F4156" s="167"/>
      <c r="G4156" s="168"/>
      <c r="H4156" s="168"/>
      <c r="I4156" s="168"/>
      <c r="J4156" s="168"/>
      <c r="K4156" s="168"/>
      <c r="L4156" s="168"/>
      <c r="M4156" s="7"/>
      <c r="N4156" s="32"/>
      <c r="Z4156" s="86" t="s">
        <v>81</v>
      </c>
    </row>
    <row r="4157" spans="1:26" ht="9.9499999999999993" customHeight="1" thickBot="1" x14ac:dyDescent="0.35">
      <c r="B4157" s="9"/>
      <c r="C4157" s="109"/>
      <c r="D4157" s="51"/>
      <c r="E4157" s="12"/>
      <c r="F4157" s="51"/>
      <c r="G4157" s="14"/>
      <c r="H4157" s="14"/>
      <c r="I4157" s="14"/>
      <c r="J4157" s="14"/>
      <c r="K4157" s="14"/>
      <c r="L4157" s="14"/>
      <c r="M4157" s="9"/>
      <c r="N4157" s="32"/>
      <c r="U4157" s="18"/>
      <c r="V4157" s="18"/>
      <c r="Z4157" s="85" t="s">
        <v>82</v>
      </c>
    </row>
    <row r="4158" spans="1:26" ht="6.95" customHeight="1" x14ac:dyDescent="0.3">
      <c r="A4158" s="154">
        <f>+A4147+1</f>
        <v>1177</v>
      </c>
      <c r="B4158" s="155"/>
      <c r="C4158" s="156"/>
      <c r="D4158" s="161" t="s">
        <v>39</v>
      </c>
      <c r="E4158" s="162"/>
      <c r="F4158" s="163" t="s">
        <v>40</v>
      </c>
      <c r="G4158" s="164"/>
      <c r="H4158" s="165"/>
      <c r="I4158" s="164"/>
      <c r="J4158" s="165"/>
      <c r="K4158" s="164"/>
      <c r="L4158" s="165"/>
      <c r="M4158" s="6"/>
      <c r="N4158" s="32"/>
      <c r="Q4158" s="10" t="str">
        <f>+CONCATENATE(E4158,G4158)</f>
        <v/>
      </c>
      <c r="R4158" s="10">
        <f>+H4158</f>
        <v>0</v>
      </c>
      <c r="S4158" s="11"/>
      <c r="T4158" s="10">
        <f>+E4158</f>
        <v>0</v>
      </c>
      <c r="U4158" s="19" t="str">
        <f>IFERROR(LEFT(G4158,FIND("*",G4158)-1),"-")</f>
        <v>-</v>
      </c>
      <c r="V4158" s="19" t="str">
        <f>IFERROR(RIGHT(G4158,LEN(G4158)-FIND("*",G4158)),"-")</f>
        <v>-</v>
      </c>
      <c r="W4158" s="20" t="str">
        <f>IFERROR((U4158+V4158)*2/1000,"-")</f>
        <v>-</v>
      </c>
      <c r="X4158" s="20" t="str">
        <f>IFERROR(W4158*H4158,"-")</f>
        <v>-</v>
      </c>
      <c r="Z4158" s="85" t="s">
        <v>82</v>
      </c>
    </row>
    <row r="4159" spans="1:26" ht="6.95" customHeight="1" x14ac:dyDescent="0.3">
      <c r="A4159" s="154"/>
      <c r="B4159" s="157"/>
      <c r="C4159" s="158"/>
      <c r="D4159" s="161"/>
      <c r="E4159" s="162"/>
      <c r="F4159" s="163"/>
      <c r="G4159" s="164"/>
      <c r="H4159" s="165"/>
      <c r="I4159" s="164"/>
      <c r="J4159" s="165"/>
      <c r="K4159" s="164"/>
      <c r="L4159" s="165"/>
      <c r="M4159" s="6"/>
      <c r="N4159" s="32"/>
      <c r="Q4159" s="10" t="str">
        <f>+CONCATENATE(E4158,I4158)</f>
        <v/>
      </c>
      <c r="R4159" s="10">
        <f>+J4158</f>
        <v>0</v>
      </c>
      <c r="S4159" s="11"/>
      <c r="T4159" s="10">
        <f>+E4158</f>
        <v>0</v>
      </c>
      <c r="U4159" s="19" t="str">
        <f>IFERROR(LEFT(I4158,FIND("*",I4158)-1),"-")</f>
        <v>-</v>
      </c>
      <c r="V4159" s="19" t="str">
        <f>IFERROR(RIGHT(I4158,LEN(I4158)-FIND("*",I4158)),"-")</f>
        <v>-</v>
      </c>
      <c r="W4159" s="20" t="str">
        <f t="shared" ref="W4159:W4166" si="2260">IFERROR((U4159+V4159)*2/1000,"-")</f>
        <v>-</v>
      </c>
      <c r="X4159" s="20" t="str">
        <f>IFERROR(W4159*J4158,"-")</f>
        <v>-</v>
      </c>
      <c r="Z4159" s="85" t="s">
        <v>82</v>
      </c>
    </row>
    <row r="4160" spans="1:26" ht="6.95" customHeight="1" x14ac:dyDescent="0.3">
      <c r="A4160" s="154"/>
      <c r="B4160" s="157"/>
      <c r="C4160" s="158"/>
      <c r="D4160" s="161"/>
      <c r="E4160" s="162"/>
      <c r="F4160" s="163"/>
      <c r="G4160" s="164"/>
      <c r="H4160" s="165"/>
      <c r="I4160" s="164"/>
      <c r="J4160" s="165"/>
      <c r="K4160" s="164"/>
      <c r="L4160" s="165"/>
      <c r="M4160" s="6"/>
      <c r="N4160" s="32"/>
      <c r="Q4160" s="10" t="str">
        <f>+CONCATENATE(E4158,K4158)</f>
        <v/>
      </c>
      <c r="R4160" s="10">
        <f>+L4158</f>
        <v>0</v>
      </c>
      <c r="S4160" s="11"/>
      <c r="T4160" s="10">
        <f>+E4158</f>
        <v>0</v>
      </c>
      <c r="U4160" s="19" t="str">
        <f>IFERROR(LEFT(K4158,FIND("*",K4158)-1),"-")</f>
        <v>-</v>
      </c>
      <c r="V4160" s="19" t="str">
        <f>IFERROR(RIGHT(K4158,LEN(K4158)-FIND("*",K4158)),"-")</f>
        <v>-</v>
      </c>
      <c r="W4160" s="20" t="str">
        <f t="shared" si="2260"/>
        <v>-</v>
      </c>
      <c r="X4160" s="20" t="str">
        <f>IFERROR(W4160*L4158,"-")</f>
        <v>-</v>
      </c>
      <c r="Z4160" s="85" t="s">
        <v>82</v>
      </c>
    </row>
    <row r="4161" spans="1:26" ht="6.95" customHeight="1" x14ac:dyDescent="0.3">
      <c r="A4161" s="8"/>
      <c r="B4161" s="157"/>
      <c r="C4161" s="158"/>
      <c r="D4161" s="161" t="s">
        <v>39</v>
      </c>
      <c r="E4161" s="162"/>
      <c r="F4161" s="163" t="s">
        <v>40</v>
      </c>
      <c r="G4161" s="164"/>
      <c r="H4161" s="165"/>
      <c r="I4161" s="164"/>
      <c r="J4161" s="165"/>
      <c r="K4161" s="164"/>
      <c r="L4161" s="165"/>
      <c r="M4161" s="6"/>
      <c r="N4161" s="32"/>
      <c r="Q4161" s="10" t="str">
        <f>+CONCATENATE(E4161,G4161)</f>
        <v/>
      </c>
      <c r="R4161" s="10">
        <f>+H4161</f>
        <v>0</v>
      </c>
      <c r="S4161" s="11"/>
      <c r="T4161" s="10">
        <f>+E4161</f>
        <v>0</v>
      </c>
      <c r="U4161" s="19" t="str">
        <f t="shared" ref="U4161" si="2261">IFERROR(LEFT(G4161,FIND("*",G4161)-1),"-")</f>
        <v>-</v>
      </c>
      <c r="V4161" s="19" t="str">
        <f t="shared" ref="V4161" si="2262">IFERROR(RIGHT(G4161,LEN(G4161)-FIND("*",G4161)),"-")</f>
        <v>-</v>
      </c>
      <c r="W4161" s="20" t="str">
        <f t="shared" si="2260"/>
        <v>-</v>
      </c>
      <c r="X4161" s="20" t="str">
        <f>IFERROR(W4161*H4161,"-")</f>
        <v>-</v>
      </c>
      <c r="Z4161" s="85" t="s">
        <v>82</v>
      </c>
    </row>
    <row r="4162" spans="1:26" ht="6.95" customHeight="1" x14ac:dyDescent="0.3">
      <c r="A4162" s="5"/>
      <c r="B4162" s="157"/>
      <c r="C4162" s="158"/>
      <c r="D4162" s="161"/>
      <c r="E4162" s="162"/>
      <c r="F4162" s="163"/>
      <c r="G4162" s="164"/>
      <c r="H4162" s="165"/>
      <c r="I4162" s="164"/>
      <c r="J4162" s="165"/>
      <c r="K4162" s="164"/>
      <c r="L4162" s="165"/>
      <c r="M4162" s="6"/>
      <c r="N4162" s="32"/>
      <c r="Q4162" s="10" t="str">
        <f>+CONCATENATE(E4161,I4161)</f>
        <v/>
      </c>
      <c r="R4162" s="10">
        <f>+J4161</f>
        <v>0</v>
      </c>
      <c r="S4162" s="11"/>
      <c r="T4162" s="10">
        <f>+E4161</f>
        <v>0</v>
      </c>
      <c r="U4162" s="19" t="str">
        <f>IFERROR(LEFT(I4161,FIND("*",I4161)-1),"-")</f>
        <v>-</v>
      </c>
      <c r="V4162" s="19" t="str">
        <f>IFERROR(RIGHT(I4161,LEN(I4161)-FIND("*",I4161)),"-")</f>
        <v>-</v>
      </c>
      <c r="W4162" s="20" t="str">
        <f t="shared" si="2260"/>
        <v>-</v>
      </c>
      <c r="X4162" s="20" t="str">
        <f>IFERROR(W4162*J4161,"-")</f>
        <v>-</v>
      </c>
      <c r="Z4162" s="85" t="s">
        <v>82</v>
      </c>
    </row>
    <row r="4163" spans="1:26" ht="6.95" customHeight="1" x14ac:dyDescent="0.3">
      <c r="A4163" s="5"/>
      <c r="B4163" s="157"/>
      <c r="C4163" s="158"/>
      <c r="D4163" s="161"/>
      <c r="E4163" s="162"/>
      <c r="F4163" s="163"/>
      <c r="G4163" s="164"/>
      <c r="H4163" s="165"/>
      <c r="I4163" s="164"/>
      <c r="J4163" s="165"/>
      <c r="K4163" s="164"/>
      <c r="L4163" s="165"/>
      <c r="M4163" s="6"/>
      <c r="N4163" s="32"/>
      <c r="Q4163" s="10" t="str">
        <f>+CONCATENATE(E4161,K4161)</f>
        <v/>
      </c>
      <c r="R4163" s="10">
        <f>+L4161</f>
        <v>0</v>
      </c>
      <c r="S4163" s="11"/>
      <c r="T4163" s="10">
        <f>+E4161</f>
        <v>0</v>
      </c>
      <c r="U4163" s="19" t="str">
        <f>IFERROR(LEFT(K4161,FIND("*",K4161)-1),"-")</f>
        <v>-</v>
      </c>
      <c r="V4163" s="19" t="str">
        <f>IFERROR(RIGHT(K4161,LEN(K4161)-FIND("*",K4161)),"-")</f>
        <v>-</v>
      </c>
      <c r="W4163" s="20" t="str">
        <f t="shared" si="2260"/>
        <v>-</v>
      </c>
      <c r="X4163" s="20" t="str">
        <f>IFERROR(W4163*L4161,"-")</f>
        <v>-</v>
      </c>
      <c r="Z4163" s="85" t="s">
        <v>82</v>
      </c>
    </row>
    <row r="4164" spans="1:26" ht="6.95" customHeight="1" x14ac:dyDescent="0.3">
      <c r="A4164" s="8"/>
      <c r="B4164" s="157"/>
      <c r="C4164" s="158"/>
      <c r="D4164" s="161" t="s">
        <v>39</v>
      </c>
      <c r="E4164" s="162"/>
      <c r="F4164" s="163" t="s">
        <v>40</v>
      </c>
      <c r="G4164" s="164"/>
      <c r="H4164" s="165"/>
      <c r="I4164" s="164"/>
      <c r="J4164" s="165"/>
      <c r="K4164" s="164"/>
      <c r="L4164" s="165"/>
      <c r="M4164" s="6"/>
      <c r="N4164" s="32"/>
      <c r="Q4164" s="10" t="str">
        <f>+CONCATENATE(E4164,G4164)</f>
        <v/>
      </c>
      <c r="R4164" s="10">
        <f>+H4164</f>
        <v>0</v>
      </c>
      <c r="S4164" s="11"/>
      <c r="T4164" s="10">
        <f>+E4164</f>
        <v>0</v>
      </c>
      <c r="U4164" s="19" t="str">
        <f t="shared" ref="U4164" si="2263">IFERROR(LEFT(G4164,FIND("*",G4164)-1),"-")</f>
        <v>-</v>
      </c>
      <c r="V4164" s="19" t="str">
        <f t="shared" ref="V4164" si="2264">IFERROR(RIGHT(G4164,LEN(G4164)-FIND("*",G4164)),"-")</f>
        <v>-</v>
      </c>
      <c r="W4164" s="20" t="str">
        <f t="shared" si="2260"/>
        <v>-</v>
      </c>
      <c r="X4164" s="20" t="str">
        <f>IFERROR(W4164*H4164,"-")</f>
        <v>-</v>
      </c>
      <c r="Z4164" s="85" t="s">
        <v>82</v>
      </c>
    </row>
    <row r="4165" spans="1:26" ht="6.95" customHeight="1" x14ac:dyDescent="0.3">
      <c r="A4165" s="5"/>
      <c r="B4165" s="157"/>
      <c r="C4165" s="158"/>
      <c r="D4165" s="161"/>
      <c r="E4165" s="162"/>
      <c r="F4165" s="163"/>
      <c r="G4165" s="164"/>
      <c r="H4165" s="165"/>
      <c r="I4165" s="164"/>
      <c r="J4165" s="165"/>
      <c r="K4165" s="164"/>
      <c r="L4165" s="165"/>
      <c r="M4165" s="6"/>
      <c r="N4165" s="32"/>
      <c r="Q4165" s="10" t="str">
        <f>+CONCATENATE(E4164,I4164)</f>
        <v/>
      </c>
      <c r="R4165" s="10">
        <f>+J4164</f>
        <v>0</v>
      </c>
      <c r="S4165" s="11"/>
      <c r="T4165" s="10">
        <f>+E4164</f>
        <v>0</v>
      </c>
      <c r="U4165" s="19" t="str">
        <f>IFERROR(LEFT(I4164,FIND("*",I4164)-1),"-")</f>
        <v>-</v>
      </c>
      <c r="V4165" s="19" t="str">
        <f>IFERROR(RIGHT(I4164,LEN(I4164)-FIND("*",I4164)),"-")</f>
        <v>-</v>
      </c>
      <c r="W4165" s="20" t="str">
        <f t="shared" si="2260"/>
        <v>-</v>
      </c>
      <c r="X4165" s="20" t="str">
        <f t="shared" ref="X4165" si="2265">IFERROR(W4165*J4164,"-")</f>
        <v>-</v>
      </c>
      <c r="Z4165" s="85" t="s">
        <v>82</v>
      </c>
    </row>
    <row r="4166" spans="1:26" ht="6.95" customHeight="1" x14ac:dyDescent="0.3">
      <c r="A4166" s="5"/>
      <c r="B4166" s="157"/>
      <c r="C4166" s="158"/>
      <c r="D4166" s="161"/>
      <c r="E4166" s="162"/>
      <c r="F4166" s="163"/>
      <c r="G4166" s="164"/>
      <c r="H4166" s="165"/>
      <c r="I4166" s="164"/>
      <c r="J4166" s="165"/>
      <c r="K4166" s="164"/>
      <c r="L4166" s="165"/>
      <c r="M4166" s="6"/>
      <c r="N4166" s="32"/>
      <c r="Q4166" s="10" t="str">
        <f>+CONCATENATE(E4164,K4164)</f>
        <v/>
      </c>
      <c r="R4166" s="10">
        <f>+L4164</f>
        <v>0</v>
      </c>
      <c r="S4166" s="11"/>
      <c r="T4166" s="10">
        <f>+E4164</f>
        <v>0</v>
      </c>
      <c r="U4166" s="19" t="str">
        <f>IFERROR(LEFT(K4164,FIND("*",K4164)-1),"-")</f>
        <v>-</v>
      </c>
      <c r="V4166" s="19" t="str">
        <f>IFERROR(RIGHT(K4164,LEN(K4164)-FIND("*",K4164)),"-")</f>
        <v>-</v>
      </c>
      <c r="W4166" s="20" t="str">
        <f t="shared" si="2260"/>
        <v>-</v>
      </c>
      <c r="X4166" s="20" t="str">
        <f>IFERROR(W4166*L4164,"-")</f>
        <v>-</v>
      </c>
      <c r="Z4166" s="85" t="s">
        <v>82</v>
      </c>
    </row>
    <row r="4167" spans="1:26" ht="21" customHeight="1" thickBot="1" x14ac:dyDescent="0.35">
      <c r="A4167" s="5"/>
      <c r="B4167" s="159"/>
      <c r="C4167" s="160"/>
      <c r="D4167" s="166" t="s">
        <v>43</v>
      </c>
      <c r="E4167" s="167"/>
      <c r="F4167" s="167"/>
      <c r="G4167" s="168"/>
      <c r="H4167" s="168"/>
      <c r="I4167" s="168"/>
      <c r="J4167" s="168"/>
      <c r="K4167" s="168"/>
      <c r="L4167" s="168"/>
      <c r="M4167" s="7"/>
      <c r="N4167" s="32"/>
      <c r="Z4167" s="86" t="s">
        <v>81</v>
      </c>
    </row>
    <row r="4168" spans="1:26" ht="9.9499999999999993" customHeight="1" thickBot="1" x14ac:dyDescent="0.35">
      <c r="B4168" s="9"/>
      <c r="C4168" s="109"/>
      <c r="D4168" s="51"/>
      <c r="E4168" s="12"/>
      <c r="F4168" s="51"/>
      <c r="G4168" s="14"/>
      <c r="H4168" s="14"/>
      <c r="I4168" s="14"/>
      <c r="J4168" s="14"/>
      <c r="K4168" s="14"/>
      <c r="L4168" s="14"/>
      <c r="M4168" s="9"/>
      <c r="N4168" s="32"/>
      <c r="U4168" s="18"/>
      <c r="V4168" s="18"/>
      <c r="Z4168" s="85" t="s">
        <v>82</v>
      </c>
    </row>
    <row r="4169" spans="1:26" ht="6.95" customHeight="1" x14ac:dyDescent="0.3">
      <c r="A4169" s="154">
        <f>+A4158+1</f>
        <v>1178</v>
      </c>
      <c r="B4169" s="155"/>
      <c r="C4169" s="156"/>
      <c r="D4169" s="161" t="s">
        <v>39</v>
      </c>
      <c r="E4169" s="162"/>
      <c r="F4169" s="163" t="s">
        <v>40</v>
      </c>
      <c r="G4169" s="164"/>
      <c r="H4169" s="165"/>
      <c r="I4169" s="164"/>
      <c r="J4169" s="165"/>
      <c r="K4169" s="164"/>
      <c r="L4169" s="165"/>
      <c r="M4169" s="6"/>
      <c r="N4169" s="32"/>
      <c r="Q4169" s="10" t="str">
        <f>+CONCATENATE(E4169,G4169)</f>
        <v/>
      </c>
      <c r="R4169" s="10">
        <f>+H4169</f>
        <v>0</v>
      </c>
      <c r="S4169" s="11"/>
      <c r="T4169" s="10">
        <f>+E4169</f>
        <v>0</v>
      </c>
      <c r="U4169" s="19" t="str">
        <f>IFERROR(LEFT(G4169,FIND("*",G4169)-1),"-")</f>
        <v>-</v>
      </c>
      <c r="V4169" s="19" t="str">
        <f>IFERROR(RIGHT(G4169,LEN(G4169)-FIND("*",G4169)),"-")</f>
        <v>-</v>
      </c>
      <c r="W4169" s="20" t="str">
        <f>IFERROR((U4169+V4169)*2/1000,"-")</f>
        <v>-</v>
      </c>
      <c r="X4169" s="20" t="str">
        <f>IFERROR(W4169*H4169,"-")</f>
        <v>-</v>
      </c>
      <c r="Z4169" s="85" t="s">
        <v>82</v>
      </c>
    </row>
    <row r="4170" spans="1:26" ht="6.95" customHeight="1" x14ac:dyDescent="0.3">
      <c r="A4170" s="154"/>
      <c r="B4170" s="157"/>
      <c r="C4170" s="158"/>
      <c r="D4170" s="161"/>
      <c r="E4170" s="162"/>
      <c r="F4170" s="163"/>
      <c r="G4170" s="164"/>
      <c r="H4170" s="165"/>
      <c r="I4170" s="164"/>
      <c r="J4170" s="165"/>
      <c r="K4170" s="164"/>
      <c r="L4170" s="165"/>
      <c r="M4170" s="6"/>
      <c r="N4170" s="32"/>
      <c r="Q4170" s="10" t="str">
        <f>+CONCATENATE(E4169,I4169)</f>
        <v/>
      </c>
      <c r="R4170" s="10">
        <f>+J4169</f>
        <v>0</v>
      </c>
      <c r="S4170" s="11"/>
      <c r="T4170" s="10">
        <f>+E4169</f>
        <v>0</v>
      </c>
      <c r="U4170" s="19" t="str">
        <f>IFERROR(LEFT(I4169,FIND("*",I4169)-1),"-")</f>
        <v>-</v>
      </c>
      <c r="V4170" s="19" t="str">
        <f>IFERROR(RIGHT(I4169,LEN(I4169)-FIND("*",I4169)),"-")</f>
        <v>-</v>
      </c>
      <c r="W4170" s="20" t="str">
        <f t="shared" ref="W4170:W4177" si="2266">IFERROR((U4170+V4170)*2/1000,"-")</f>
        <v>-</v>
      </c>
      <c r="X4170" s="20" t="str">
        <f>IFERROR(W4170*J4169,"-")</f>
        <v>-</v>
      </c>
      <c r="Z4170" s="85" t="s">
        <v>82</v>
      </c>
    </row>
    <row r="4171" spans="1:26" ht="6.95" customHeight="1" x14ac:dyDescent="0.3">
      <c r="A4171" s="154"/>
      <c r="B4171" s="157"/>
      <c r="C4171" s="158"/>
      <c r="D4171" s="161"/>
      <c r="E4171" s="162"/>
      <c r="F4171" s="163"/>
      <c r="G4171" s="164"/>
      <c r="H4171" s="165"/>
      <c r="I4171" s="164"/>
      <c r="J4171" s="165"/>
      <c r="K4171" s="164"/>
      <c r="L4171" s="165"/>
      <c r="M4171" s="6"/>
      <c r="N4171" s="32"/>
      <c r="Q4171" s="10" t="str">
        <f>+CONCATENATE(E4169,K4169)</f>
        <v/>
      </c>
      <c r="R4171" s="10">
        <f>+L4169</f>
        <v>0</v>
      </c>
      <c r="S4171" s="11"/>
      <c r="T4171" s="10">
        <f>+E4169</f>
        <v>0</v>
      </c>
      <c r="U4171" s="19" t="str">
        <f>IFERROR(LEFT(K4169,FIND("*",K4169)-1),"-")</f>
        <v>-</v>
      </c>
      <c r="V4171" s="19" t="str">
        <f>IFERROR(RIGHT(K4169,LEN(K4169)-FIND("*",K4169)),"-")</f>
        <v>-</v>
      </c>
      <c r="W4171" s="20" t="str">
        <f t="shared" si="2266"/>
        <v>-</v>
      </c>
      <c r="X4171" s="20" t="str">
        <f>IFERROR(W4171*L4169,"-")</f>
        <v>-</v>
      </c>
      <c r="Z4171" s="85" t="s">
        <v>82</v>
      </c>
    </row>
    <row r="4172" spans="1:26" ht="6.95" customHeight="1" x14ac:dyDescent="0.3">
      <c r="A4172" s="8"/>
      <c r="B4172" s="157"/>
      <c r="C4172" s="158"/>
      <c r="D4172" s="161" t="s">
        <v>39</v>
      </c>
      <c r="E4172" s="162"/>
      <c r="F4172" s="163" t="s">
        <v>40</v>
      </c>
      <c r="G4172" s="164"/>
      <c r="H4172" s="165"/>
      <c r="I4172" s="164"/>
      <c r="J4172" s="165"/>
      <c r="K4172" s="164"/>
      <c r="L4172" s="165"/>
      <c r="M4172" s="6"/>
      <c r="N4172" s="32"/>
      <c r="Q4172" s="10" t="str">
        <f>+CONCATENATE(E4172,G4172)</f>
        <v/>
      </c>
      <c r="R4172" s="10">
        <f>+H4172</f>
        <v>0</v>
      </c>
      <c r="S4172" s="11"/>
      <c r="T4172" s="10">
        <f>+E4172</f>
        <v>0</v>
      </c>
      <c r="U4172" s="19" t="str">
        <f t="shared" ref="U4172" si="2267">IFERROR(LEFT(G4172,FIND("*",G4172)-1),"-")</f>
        <v>-</v>
      </c>
      <c r="V4172" s="19" t="str">
        <f t="shared" ref="V4172" si="2268">IFERROR(RIGHT(G4172,LEN(G4172)-FIND("*",G4172)),"-")</f>
        <v>-</v>
      </c>
      <c r="W4172" s="20" t="str">
        <f t="shared" si="2266"/>
        <v>-</v>
      </c>
      <c r="X4172" s="20" t="str">
        <f>IFERROR(W4172*H4172,"-")</f>
        <v>-</v>
      </c>
      <c r="Z4172" s="85" t="s">
        <v>82</v>
      </c>
    </row>
    <row r="4173" spans="1:26" ht="6.95" customHeight="1" x14ac:dyDescent="0.3">
      <c r="A4173" s="5"/>
      <c r="B4173" s="157"/>
      <c r="C4173" s="158"/>
      <c r="D4173" s="161"/>
      <c r="E4173" s="162"/>
      <c r="F4173" s="163"/>
      <c r="G4173" s="164"/>
      <c r="H4173" s="165"/>
      <c r="I4173" s="164"/>
      <c r="J4173" s="165"/>
      <c r="K4173" s="164"/>
      <c r="L4173" s="165"/>
      <c r="M4173" s="6"/>
      <c r="N4173" s="32"/>
      <c r="Q4173" s="10" t="str">
        <f>+CONCATENATE(E4172,I4172)</f>
        <v/>
      </c>
      <c r="R4173" s="10">
        <f>+J4172</f>
        <v>0</v>
      </c>
      <c r="S4173" s="11"/>
      <c r="T4173" s="10">
        <f>+E4172</f>
        <v>0</v>
      </c>
      <c r="U4173" s="19" t="str">
        <f>IFERROR(LEFT(I4172,FIND("*",I4172)-1),"-")</f>
        <v>-</v>
      </c>
      <c r="V4173" s="19" t="str">
        <f>IFERROR(RIGHT(I4172,LEN(I4172)-FIND("*",I4172)),"-")</f>
        <v>-</v>
      </c>
      <c r="W4173" s="20" t="str">
        <f t="shared" si="2266"/>
        <v>-</v>
      </c>
      <c r="X4173" s="20" t="str">
        <f>IFERROR(W4173*J4172,"-")</f>
        <v>-</v>
      </c>
      <c r="Z4173" s="85" t="s">
        <v>82</v>
      </c>
    </row>
    <row r="4174" spans="1:26" ht="6.95" customHeight="1" x14ac:dyDescent="0.3">
      <c r="A4174" s="5"/>
      <c r="B4174" s="157"/>
      <c r="C4174" s="158"/>
      <c r="D4174" s="161"/>
      <c r="E4174" s="162"/>
      <c r="F4174" s="163"/>
      <c r="G4174" s="164"/>
      <c r="H4174" s="165"/>
      <c r="I4174" s="164"/>
      <c r="J4174" s="165"/>
      <c r="K4174" s="164"/>
      <c r="L4174" s="165"/>
      <c r="M4174" s="6"/>
      <c r="N4174" s="32"/>
      <c r="Q4174" s="10" t="str">
        <f>+CONCATENATE(E4172,K4172)</f>
        <v/>
      </c>
      <c r="R4174" s="10">
        <f>+L4172</f>
        <v>0</v>
      </c>
      <c r="S4174" s="11"/>
      <c r="T4174" s="10">
        <f>+E4172</f>
        <v>0</v>
      </c>
      <c r="U4174" s="19" t="str">
        <f>IFERROR(LEFT(K4172,FIND("*",K4172)-1),"-")</f>
        <v>-</v>
      </c>
      <c r="V4174" s="19" t="str">
        <f>IFERROR(RIGHT(K4172,LEN(K4172)-FIND("*",K4172)),"-")</f>
        <v>-</v>
      </c>
      <c r="W4174" s="20" t="str">
        <f t="shared" si="2266"/>
        <v>-</v>
      </c>
      <c r="X4174" s="20" t="str">
        <f>IFERROR(W4174*L4172,"-")</f>
        <v>-</v>
      </c>
      <c r="Z4174" s="85" t="s">
        <v>82</v>
      </c>
    </row>
    <row r="4175" spans="1:26" ht="6.95" customHeight="1" x14ac:dyDescent="0.3">
      <c r="A4175" s="8"/>
      <c r="B4175" s="157"/>
      <c r="C4175" s="158"/>
      <c r="D4175" s="161" t="s">
        <v>39</v>
      </c>
      <c r="E4175" s="162"/>
      <c r="F4175" s="163" t="s">
        <v>40</v>
      </c>
      <c r="G4175" s="164"/>
      <c r="H4175" s="165"/>
      <c r="I4175" s="164"/>
      <c r="J4175" s="165"/>
      <c r="K4175" s="164"/>
      <c r="L4175" s="165"/>
      <c r="M4175" s="6"/>
      <c r="N4175" s="32"/>
      <c r="Q4175" s="10" t="str">
        <f>+CONCATENATE(E4175,G4175)</f>
        <v/>
      </c>
      <c r="R4175" s="10">
        <f>+H4175</f>
        <v>0</v>
      </c>
      <c r="S4175" s="11"/>
      <c r="T4175" s="10">
        <f>+E4175</f>
        <v>0</v>
      </c>
      <c r="U4175" s="19" t="str">
        <f t="shared" ref="U4175" si="2269">IFERROR(LEFT(G4175,FIND("*",G4175)-1),"-")</f>
        <v>-</v>
      </c>
      <c r="V4175" s="19" t="str">
        <f t="shared" ref="V4175" si="2270">IFERROR(RIGHT(G4175,LEN(G4175)-FIND("*",G4175)),"-")</f>
        <v>-</v>
      </c>
      <c r="W4175" s="20" t="str">
        <f t="shared" si="2266"/>
        <v>-</v>
      </c>
      <c r="X4175" s="20" t="str">
        <f>IFERROR(W4175*H4175,"-")</f>
        <v>-</v>
      </c>
      <c r="Z4175" s="85" t="s">
        <v>82</v>
      </c>
    </row>
    <row r="4176" spans="1:26" ht="6.95" customHeight="1" x14ac:dyDescent="0.3">
      <c r="A4176" s="5"/>
      <c r="B4176" s="157"/>
      <c r="C4176" s="158"/>
      <c r="D4176" s="161"/>
      <c r="E4176" s="162"/>
      <c r="F4176" s="163"/>
      <c r="G4176" s="164"/>
      <c r="H4176" s="165"/>
      <c r="I4176" s="164"/>
      <c r="J4176" s="165"/>
      <c r="K4176" s="164"/>
      <c r="L4176" s="165"/>
      <c r="M4176" s="6"/>
      <c r="N4176" s="32"/>
      <c r="Q4176" s="10" t="str">
        <f>+CONCATENATE(E4175,I4175)</f>
        <v/>
      </c>
      <c r="R4176" s="10">
        <f>+J4175</f>
        <v>0</v>
      </c>
      <c r="S4176" s="11"/>
      <c r="T4176" s="10">
        <f>+E4175</f>
        <v>0</v>
      </c>
      <c r="U4176" s="19" t="str">
        <f>IFERROR(LEFT(I4175,FIND("*",I4175)-1),"-")</f>
        <v>-</v>
      </c>
      <c r="V4176" s="19" t="str">
        <f>IFERROR(RIGHT(I4175,LEN(I4175)-FIND("*",I4175)),"-")</f>
        <v>-</v>
      </c>
      <c r="W4176" s="20" t="str">
        <f t="shared" si="2266"/>
        <v>-</v>
      </c>
      <c r="X4176" s="20" t="str">
        <f t="shared" ref="X4176" si="2271">IFERROR(W4176*J4175,"-")</f>
        <v>-</v>
      </c>
      <c r="Z4176" s="85" t="s">
        <v>82</v>
      </c>
    </row>
    <row r="4177" spans="1:26" ht="6.95" customHeight="1" x14ac:dyDescent="0.3">
      <c r="A4177" s="5"/>
      <c r="B4177" s="157"/>
      <c r="C4177" s="158"/>
      <c r="D4177" s="161"/>
      <c r="E4177" s="162"/>
      <c r="F4177" s="163"/>
      <c r="G4177" s="164"/>
      <c r="H4177" s="165"/>
      <c r="I4177" s="164"/>
      <c r="J4177" s="165"/>
      <c r="K4177" s="164"/>
      <c r="L4177" s="165"/>
      <c r="M4177" s="6"/>
      <c r="N4177" s="32"/>
      <c r="Q4177" s="10" t="str">
        <f>+CONCATENATE(E4175,K4175)</f>
        <v/>
      </c>
      <c r="R4177" s="10">
        <f>+L4175</f>
        <v>0</v>
      </c>
      <c r="S4177" s="11"/>
      <c r="T4177" s="10">
        <f>+E4175</f>
        <v>0</v>
      </c>
      <c r="U4177" s="19" t="str">
        <f>IFERROR(LEFT(K4175,FIND("*",K4175)-1),"-")</f>
        <v>-</v>
      </c>
      <c r="V4177" s="19" t="str">
        <f>IFERROR(RIGHT(K4175,LEN(K4175)-FIND("*",K4175)),"-")</f>
        <v>-</v>
      </c>
      <c r="W4177" s="20" t="str">
        <f t="shared" si="2266"/>
        <v>-</v>
      </c>
      <c r="X4177" s="20" t="str">
        <f>IFERROR(W4177*L4175,"-")</f>
        <v>-</v>
      </c>
      <c r="Z4177" s="85" t="s">
        <v>82</v>
      </c>
    </row>
    <row r="4178" spans="1:26" ht="21" customHeight="1" thickBot="1" x14ac:dyDescent="0.35">
      <c r="A4178" s="5"/>
      <c r="B4178" s="159"/>
      <c r="C4178" s="160"/>
      <c r="D4178" s="166" t="s">
        <v>43</v>
      </c>
      <c r="E4178" s="167"/>
      <c r="F4178" s="167"/>
      <c r="G4178" s="168"/>
      <c r="H4178" s="168"/>
      <c r="I4178" s="168"/>
      <c r="J4178" s="168"/>
      <c r="K4178" s="168"/>
      <c r="L4178" s="168"/>
      <c r="M4178" s="7"/>
      <c r="N4178" s="32"/>
      <c r="Z4178" s="86" t="s">
        <v>81</v>
      </c>
    </row>
    <row r="4179" spans="1:26" ht="9.9499999999999993" customHeight="1" thickBot="1" x14ac:dyDescent="0.35">
      <c r="B4179" s="9"/>
      <c r="C4179" s="109"/>
      <c r="D4179" s="51"/>
      <c r="E4179" s="12"/>
      <c r="F4179" s="51"/>
      <c r="G4179" s="14"/>
      <c r="H4179" s="14"/>
      <c r="I4179" s="14"/>
      <c r="J4179" s="14"/>
      <c r="K4179" s="14"/>
      <c r="L4179" s="14"/>
      <c r="M4179" s="9"/>
      <c r="N4179" s="32"/>
      <c r="U4179" s="18"/>
      <c r="V4179" s="18"/>
      <c r="Z4179" s="85" t="s">
        <v>82</v>
      </c>
    </row>
    <row r="4180" spans="1:26" ht="6.95" customHeight="1" x14ac:dyDescent="0.3">
      <c r="A4180" s="154">
        <f>+A4169+1</f>
        <v>1179</v>
      </c>
      <c r="B4180" s="155"/>
      <c r="C4180" s="156"/>
      <c r="D4180" s="161" t="s">
        <v>39</v>
      </c>
      <c r="E4180" s="162"/>
      <c r="F4180" s="163" t="s">
        <v>40</v>
      </c>
      <c r="G4180" s="164"/>
      <c r="H4180" s="165"/>
      <c r="I4180" s="164"/>
      <c r="J4180" s="165"/>
      <c r="K4180" s="164"/>
      <c r="L4180" s="165"/>
      <c r="M4180" s="6"/>
      <c r="N4180" s="32"/>
      <c r="Q4180" s="10" t="str">
        <f>+CONCATENATE(E4180,G4180)</f>
        <v/>
      </c>
      <c r="R4180" s="10">
        <f>+H4180</f>
        <v>0</v>
      </c>
      <c r="S4180" s="11"/>
      <c r="T4180" s="10">
        <f>+E4180</f>
        <v>0</v>
      </c>
      <c r="U4180" s="19" t="str">
        <f>IFERROR(LEFT(G4180,FIND("*",G4180)-1),"-")</f>
        <v>-</v>
      </c>
      <c r="V4180" s="19" t="str">
        <f>IFERROR(RIGHT(G4180,LEN(G4180)-FIND("*",G4180)),"-")</f>
        <v>-</v>
      </c>
      <c r="W4180" s="20" t="str">
        <f>IFERROR((U4180+V4180)*2/1000,"-")</f>
        <v>-</v>
      </c>
      <c r="X4180" s="20" t="str">
        <f>IFERROR(W4180*H4180,"-")</f>
        <v>-</v>
      </c>
      <c r="Z4180" s="85" t="s">
        <v>82</v>
      </c>
    </row>
    <row r="4181" spans="1:26" ht="6.95" customHeight="1" x14ac:dyDescent="0.3">
      <c r="A4181" s="154"/>
      <c r="B4181" s="157"/>
      <c r="C4181" s="158"/>
      <c r="D4181" s="161"/>
      <c r="E4181" s="162"/>
      <c r="F4181" s="163"/>
      <c r="G4181" s="164"/>
      <c r="H4181" s="165"/>
      <c r="I4181" s="164"/>
      <c r="J4181" s="165"/>
      <c r="K4181" s="164"/>
      <c r="L4181" s="165"/>
      <c r="M4181" s="6"/>
      <c r="N4181" s="32"/>
      <c r="Q4181" s="10" t="str">
        <f>+CONCATENATE(E4180,I4180)</f>
        <v/>
      </c>
      <c r="R4181" s="10">
        <f>+J4180</f>
        <v>0</v>
      </c>
      <c r="S4181" s="11"/>
      <c r="T4181" s="10">
        <f>+E4180</f>
        <v>0</v>
      </c>
      <c r="U4181" s="19" t="str">
        <f>IFERROR(LEFT(I4180,FIND("*",I4180)-1),"-")</f>
        <v>-</v>
      </c>
      <c r="V4181" s="19" t="str">
        <f>IFERROR(RIGHT(I4180,LEN(I4180)-FIND("*",I4180)),"-")</f>
        <v>-</v>
      </c>
      <c r="W4181" s="20" t="str">
        <f t="shared" ref="W4181:W4188" si="2272">IFERROR((U4181+V4181)*2/1000,"-")</f>
        <v>-</v>
      </c>
      <c r="X4181" s="20" t="str">
        <f>IFERROR(W4181*J4180,"-")</f>
        <v>-</v>
      </c>
      <c r="Z4181" s="85" t="s">
        <v>82</v>
      </c>
    </row>
    <row r="4182" spans="1:26" ht="6.95" customHeight="1" x14ac:dyDescent="0.3">
      <c r="A4182" s="154"/>
      <c r="B4182" s="157"/>
      <c r="C4182" s="158"/>
      <c r="D4182" s="161"/>
      <c r="E4182" s="162"/>
      <c r="F4182" s="163"/>
      <c r="G4182" s="164"/>
      <c r="H4182" s="165"/>
      <c r="I4182" s="164"/>
      <c r="J4182" s="165"/>
      <c r="K4182" s="164"/>
      <c r="L4182" s="165"/>
      <c r="M4182" s="6"/>
      <c r="N4182" s="32"/>
      <c r="Q4182" s="10" t="str">
        <f>+CONCATENATE(E4180,K4180)</f>
        <v/>
      </c>
      <c r="R4182" s="10">
        <f>+L4180</f>
        <v>0</v>
      </c>
      <c r="S4182" s="11"/>
      <c r="T4182" s="10">
        <f>+E4180</f>
        <v>0</v>
      </c>
      <c r="U4182" s="19" t="str">
        <f>IFERROR(LEFT(K4180,FIND("*",K4180)-1),"-")</f>
        <v>-</v>
      </c>
      <c r="V4182" s="19" t="str">
        <f>IFERROR(RIGHT(K4180,LEN(K4180)-FIND("*",K4180)),"-")</f>
        <v>-</v>
      </c>
      <c r="W4182" s="20" t="str">
        <f t="shared" si="2272"/>
        <v>-</v>
      </c>
      <c r="X4182" s="20" t="str">
        <f>IFERROR(W4182*L4180,"-")</f>
        <v>-</v>
      </c>
      <c r="Z4182" s="85" t="s">
        <v>82</v>
      </c>
    </row>
    <row r="4183" spans="1:26" ht="6.95" customHeight="1" x14ac:dyDescent="0.3">
      <c r="A4183" s="8"/>
      <c r="B4183" s="157"/>
      <c r="C4183" s="158"/>
      <c r="D4183" s="161" t="s">
        <v>39</v>
      </c>
      <c r="E4183" s="162"/>
      <c r="F4183" s="163" t="s">
        <v>40</v>
      </c>
      <c r="G4183" s="164"/>
      <c r="H4183" s="165"/>
      <c r="I4183" s="164"/>
      <c r="J4183" s="165"/>
      <c r="K4183" s="164"/>
      <c r="L4183" s="165"/>
      <c r="M4183" s="6"/>
      <c r="N4183" s="32"/>
      <c r="Q4183" s="10" t="str">
        <f>+CONCATENATE(E4183,G4183)</f>
        <v/>
      </c>
      <c r="R4183" s="10">
        <f>+H4183</f>
        <v>0</v>
      </c>
      <c r="S4183" s="11"/>
      <c r="T4183" s="10">
        <f>+E4183</f>
        <v>0</v>
      </c>
      <c r="U4183" s="19" t="str">
        <f t="shared" ref="U4183" si="2273">IFERROR(LEFT(G4183,FIND("*",G4183)-1),"-")</f>
        <v>-</v>
      </c>
      <c r="V4183" s="19" t="str">
        <f t="shared" ref="V4183" si="2274">IFERROR(RIGHT(G4183,LEN(G4183)-FIND("*",G4183)),"-")</f>
        <v>-</v>
      </c>
      <c r="W4183" s="20" t="str">
        <f t="shared" si="2272"/>
        <v>-</v>
      </c>
      <c r="X4183" s="20" t="str">
        <f>IFERROR(W4183*H4183,"-")</f>
        <v>-</v>
      </c>
      <c r="Z4183" s="85" t="s">
        <v>82</v>
      </c>
    </row>
    <row r="4184" spans="1:26" ht="6.95" customHeight="1" x14ac:dyDescent="0.3">
      <c r="A4184" s="5"/>
      <c r="B4184" s="157"/>
      <c r="C4184" s="158"/>
      <c r="D4184" s="161"/>
      <c r="E4184" s="162"/>
      <c r="F4184" s="163"/>
      <c r="G4184" s="164"/>
      <c r="H4184" s="165"/>
      <c r="I4184" s="164"/>
      <c r="J4184" s="165"/>
      <c r="K4184" s="164"/>
      <c r="L4184" s="165"/>
      <c r="M4184" s="6"/>
      <c r="N4184" s="32"/>
      <c r="Q4184" s="10" t="str">
        <f>+CONCATENATE(E4183,I4183)</f>
        <v/>
      </c>
      <c r="R4184" s="10">
        <f>+J4183</f>
        <v>0</v>
      </c>
      <c r="S4184" s="11"/>
      <c r="T4184" s="10">
        <f>+E4183</f>
        <v>0</v>
      </c>
      <c r="U4184" s="19" t="str">
        <f>IFERROR(LEFT(I4183,FIND("*",I4183)-1),"-")</f>
        <v>-</v>
      </c>
      <c r="V4184" s="19" t="str">
        <f>IFERROR(RIGHT(I4183,LEN(I4183)-FIND("*",I4183)),"-")</f>
        <v>-</v>
      </c>
      <c r="W4184" s="20" t="str">
        <f t="shared" si="2272"/>
        <v>-</v>
      </c>
      <c r="X4184" s="20" t="str">
        <f>IFERROR(W4184*J4183,"-")</f>
        <v>-</v>
      </c>
      <c r="Z4184" s="85" t="s">
        <v>82</v>
      </c>
    </row>
    <row r="4185" spans="1:26" ht="6.95" customHeight="1" x14ac:dyDescent="0.3">
      <c r="A4185" s="5"/>
      <c r="B4185" s="157"/>
      <c r="C4185" s="158"/>
      <c r="D4185" s="161"/>
      <c r="E4185" s="162"/>
      <c r="F4185" s="163"/>
      <c r="G4185" s="164"/>
      <c r="H4185" s="165"/>
      <c r="I4185" s="164"/>
      <c r="J4185" s="165"/>
      <c r="K4185" s="164"/>
      <c r="L4185" s="165"/>
      <c r="M4185" s="6"/>
      <c r="N4185" s="32"/>
      <c r="Q4185" s="10" t="str">
        <f>+CONCATENATE(E4183,K4183)</f>
        <v/>
      </c>
      <c r="R4185" s="10">
        <f>+L4183</f>
        <v>0</v>
      </c>
      <c r="S4185" s="11"/>
      <c r="T4185" s="10">
        <f>+E4183</f>
        <v>0</v>
      </c>
      <c r="U4185" s="19" t="str">
        <f>IFERROR(LEFT(K4183,FIND("*",K4183)-1),"-")</f>
        <v>-</v>
      </c>
      <c r="V4185" s="19" t="str">
        <f>IFERROR(RIGHT(K4183,LEN(K4183)-FIND("*",K4183)),"-")</f>
        <v>-</v>
      </c>
      <c r="W4185" s="20" t="str">
        <f t="shared" si="2272"/>
        <v>-</v>
      </c>
      <c r="X4185" s="20" t="str">
        <f>IFERROR(W4185*L4183,"-")</f>
        <v>-</v>
      </c>
      <c r="Z4185" s="85" t="s">
        <v>82</v>
      </c>
    </row>
    <row r="4186" spans="1:26" ht="6.95" customHeight="1" x14ac:dyDescent="0.3">
      <c r="A4186" s="8"/>
      <c r="B4186" s="157"/>
      <c r="C4186" s="158"/>
      <c r="D4186" s="161" t="s">
        <v>39</v>
      </c>
      <c r="E4186" s="162"/>
      <c r="F4186" s="163" t="s">
        <v>40</v>
      </c>
      <c r="G4186" s="164"/>
      <c r="H4186" s="165"/>
      <c r="I4186" s="164"/>
      <c r="J4186" s="165"/>
      <c r="K4186" s="164"/>
      <c r="L4186" s="165"/>
      <c r="M4186" s="6"/>
      <c r="N4186" s="32"/>
      <c r="Q4186" s="10" t="str">
        <f>+CONCATENATE(E4186,G4186)</f>
        <v/>
      </c>
      <c r="R4186" s="10">
        <f>+H4186</f>
        <v>0</v>
      </c>
      <c r="S4186" s="11"/>
      <c r="T4186" s="10">
        <f>+E4186</f>
        <v>0</v>
      </c>
      <c r="U4186" s="19" t="str">
        <f t="shared" ref="U4186" si="2275">IFERROR(LEFT(G4186,FIND("*",G4186)-1),"-")</f>
        <v>-</v>
      </c>
      <c r="V4186" s="19" t="str">
        <f t="shared" ref="V4186" si="2276">IFERROR(RIGHT(G4186,LEN(G4186)-FIND("*",G4186)),"-")</f>
        <v>-</v>
      </c>
      <c r="W4186" s="20" t="str">
        <f t="shared" si="2272"/>
        <v>-</v>
      </c>
      <c r="X4186" s="20" t="str">
        <f>IFERROR(W4186*H4186,"-")</f>
        <v>-</v>
      </c>
      <c r="Z4186" s="85" t="s">
        <v>82</v>
      </c>
    </row>
    <row r="4187" spans="1:26" ht="6.95" customHeight="1" x14ac:dyDescent="0.3">
      <c r="A4187" s="5"/>
      <c r="B4187" s="157"/>
      <c r="C4187" s="158"/>
      <c r="D4187" s="161"/>
      <c r="E4187" s="162"/>
      <c r="F4187" s="163"/>
      <c r="G4187" s="164"/>
      <c r="H4187" s="165"/>
      <c r="I4187" s="164"/>
      <c r="J4187" s="165"/>
      <c r="K4187" s="164"/>
      <c r="L4187" s="165"/>
      <c r="M4187" s="6"/>
      <c r="N4187" s="32"/>
      <c r="Q4187" s="10" t="str">
        <f>+CONCATENATE(E4186,I4186)</f>
        <v/>
      </c>
      <c r="R4187" s="10">
        <f>+J4186</f>
        <v>0</v>
      </c>
      <c r="S4187" s="11"/>
      <c r="T4187" s="10">
        <f>+E4186</f>
        <v>0</v>
      </c>
      <c r="U4187" s="19" t="str">
        <f>IFERROR(LEFT(I4186,FIND("*",I4186)-1),"-")</f>
        <v>-</v>
      </c>
      <c r="V4187" s="19" t="str">
        <f>IFERROR(RIGHT(I4186,LEN(I4186)-FIND("*",I4186)),"-")</f>
        <v>-</v>
      </c>
      <c r="W4187" s="20" t="str">
        <f t="shared" si="2272"/>
        <v>-</v>
      </c>
      <c r="X4187" s="20" t="str">
        <f t="shared" ref="X4187" si="2277">IFERROR(W4187*J4186,"-")</f>
        <v>-</v>
      </c>
      <c r="Z4187" s="85" t="s">
        <v>82</v>
      </c>
    </row>
    <row r="4188" spans="1:26" ht="6.95" customHeight="1" x14ac:dyDescent="0.3">
      <c r="A4188" s="5"/>
      <c r="B4188" s="157"/>
      <c r="C4188" s="158"/>
      <c r="D4188" s="161"/>
      <c r="E4188" s="162"/>
      <c r="F4188" s="163"/>
      <c r="G4188" s="164"/>
      <c r="H4188" s="165"/>
      <c r="I4188" s="164"/>
      <c r="J4188" s="165"/>
      <c r="K4188" s="164"/>
      <c r="L4188" s="165"/>
      <c r="M4188" s="6"/>
      <c r="N4188" s="32"/>
      <c r="Q4188" s="10" t="str">
        <f>+CONCATENATE(E4186,K4186)</f>
        <v/>
      </c>
      <c r="R4188" s="10">
        <f>+L4186</f>
        <v>0</v>
      </c>
      <c r="S4188" s="11"/>
      <c r="T4188" s="10">
        <f>+E4186</f>
        <v>0</v>
      </c>
      <c r="U4188" s="19" t="str">
        <f>IFERROR(LEFT(K4186,FIND("*",K4186)-1),"-")</f>
        <v>-</v>
      </c>
      <c r="V4188" s="19" t="str">
        <f>IFERROR(RIGHT(K4186,LEN(K4186)-FIND("*",K4186)),"-")</f>
        <v>-</v>
      </c>
      <c r="W4188" s="20" t="str">
        <f t="shared" si="2272"/>
        <v>-</v>
      </c>
      <c r="X4188" s="20" t="str">
        <f>IFERROR(W4188*L4186,"-")</f>
        <v>-</v>
      </c>
      <c r="Z4188" s="85" t="s">
        <v>82</v>
      </c>
    </row>
    <row r="4189" spans="1:26" ht="21" customHeight="1" thickBot="1" x14ac:dyDescent="0.35">
      <c r="A4189" s="5"/>
      <c r="B4189" s="159"/>
      <c r="C4189" s="160"/>
      <c r="D4189" s="166" t="s">
        <v>43</v>
      </c>
      <c r="E4189" s="167"/>
      <c r="F4189" s="167"/>
      <c r="G4189" s="168"/>
      <c r="H4189" s="168"/>
      <c r="I4189" s="168"/>
      <c r="J4189" s="168"/>
      <c r="K4189" s="168"/>
      <c r="L4189" s="168"/>
      <c r="M4189" s="7"/>
      <c r="N4189" s="32"/>
      <c r="Z4189" s="86" t="s">
        <v>81</v>
      </c>
    </row>
    <row r="4190" spans="1:26" ht="9.9499999999999993" customHeight="1" thickBot="1" x14ac:dyDescent="0.35">
      <c r="B4190" s="9"/>
      <c r="C4190" s="109"/>
      <c r="D4190" s="51"/>
      <c r="E4190" s="12"/>
      <c r="F4190" s="51"/>
      <c r="G4190" s="14"/>
      <c r="H4190" s="14"/>
      <c r="I4190" s="14"/>
      <c r="J4190" s="14"/>
      <c r="K4190" s="14"/>
      <c r="L4190" s="14"/>
      <c r="M4190" s="9"/>
      <c r="N4190" s="32"/>
      <c r="U4190" s="18"/>
      <c r="V4190" s="18"/>
      <c r="Z4190" s="85" t="s">
        <v>82</v>
      </c>
    </row>
    <row r="4191" spans="1:26" ht="6.95" customHeight="1" x14ac:dyDescent="0.3">
      <c r="A4191" s="154">
        <f>+A4180+1</f>
        <v>1180</v>
      </c>
      <c r="B4191" s="155"/>
      <c r="C4191" s="156"/>
      <c r="D4191" s="161" t="s">
        <v>39</v>
      </c>
      <c r="E4191" s="162"/>
      <c r="F4191" s="163" t="s">
        <v>40</v>
      </c>
      <c r="G4191" s="164"/>
      <c r="H4191" s="165"/>
      <c r="I4191" s="164"/>
      <c r="J4191" s="165"/>
      <c r="K4191" s="164"/>
      <c r="L4191" s="165"/>
      <c r="M4191" s="6"/>
      <c r="N4191" s="32"/>
      <c r="Q4191" s="10" t="str">
        <f>+CONCATENATE(E4191,G4191)</f>
        <v/>
      </c>
      <c r="R4191" s="10">
        <f>+H4191</f>
        <v>0</v>
      </c>
      <c r="S4191" s="11"/>
      <c r="T4191" s="10">
        <f>+E4191</f>
        <v>0</v>
      </c>
      <c r="U4191" s="19" t="str">
        <f>IFERROR(LEFT(G4191,FIND("*",G4191)-1),"-")</f>
        <v>-</v>
      </c>
      <c r="V4191" s="19" t="str">
        <f>IFERROR(RIGHT(G4191,LEN(G4191)-FIND("*",G4191)),"-")</f>
        <v>-</v>
      </c>
      <c r="W4191" s="20" t="str">
        <f>IFERROR((U4191+V4191)*2/1000,"-")</f>
        <v>-</v>
      </c>
      <c r="X4191" s="20" t="str">
        <f>IFERROR(W4191*H4191,"-")</f>
        <v>-</v>
      </c>
      <c r="Z4191" s="85" t="s">
        <v>82</v>
      </c>
    </row>
    <row r="4192" spans="1:26" ht="6.95" customHeight="1" x14ac:dyDescent="0.3">
      <c r="A4192" s="154"/>
      <c r="B4192" s="157"/>
      <c r="C4192" s="158"/>
      <c r="D4192" s="161"/>
      <c r="E4192" s="162"/>
      <c r="F4192" s="163"/>
      <c r="G4192" s="164"/>
      <c r="H4192" s="165"/>
      <c r="I4192" s="164"/>
      <c r="J4192" s="165"/>
      <c r="K4192" s="164"/>
      <c r="L4192" s="165"/>
      <c r="M4192" s="6"/>
      <c r="N4192" s="32"/>
      <c r="Q4192" s="10" t="str">
        <f>+CONCATENATE(E4191,I4191)</f>
        <v/>
      </c>
      <c r="R4192" s="10">
        <f>+J4191</f>
        <v>0</v>
      </c>
      <c r="S4192" s="11"/>
      <c r="T4192" s="10">
        <f>+E4191</f>
        <v>0</v>
      </c>
      <c r="U4192" s="19" t="str">
        <f>IFERROR(LEFT(I4191,FIND("*",I4191)-1),"-")</f>
        <v>-</v>
      </c>
      <c r="V4192" s="19" t="str">
        <f>IFERROR(RIGHT(I4191,LEN(I4191)-FIND("*",I4191)),"-")</f>
        <v>-</v>
      </c>
      <c r="W4192" s="20" t="str">
        <f t="shared" ref="W4192:W4199" si="2278">IFERROR((U4192+V4192)*2/1000,"-")</f>
        <v>-</v>
      </c>
      <c r="X4192" s="20" t="str">
        <f>IFERROR(W4192*J4191,"-")</f>
        <v>-</v>
      </c>
      <c r="Z4192" s="85" t="s">
        <v>82</v>
      </c>
    </row>
    <row r="4193" spans="1:26" ht="6.95" customHeight="1" x14ac:dyDescent="0.3">
      <c r="A4193" s="154"/>
      <c r="B4193" s="157"/>
      <c r="C4193" s="158"/>
      <c r="D4193" s="161"/>
      <c r="E4193" s="162"/>
      <c r="F4193" s="163"/>
      <c r="G4193" s="164"/>
      <c r="H4193" s="165"/>
      <c r="I4193" s="164"/>
      <c r="J4193" s="165"/>
      <c r="K4193" s="164"/>
      <c r="L4193" s="165"/>
      <c r="M4193" s="6"/>
      <c r="N4193" s="32"/>
      <c r="Q4193" s="10" t="str">
        <f>+CONCATENATE(E4191,K4191)</f>
        <v/>
      </c>
      <c r="R4193" s="10">
        <f>+L4191</f>
        <v>0</v>
      </c>
      <c r="S4193" s="11"/>
      <c r="T4193" s="10">
        <f>+E4191</f>
        <v>0</v>
      </c>
      <c r="U4193" s="19" t="str">
        <f>IFERROR(LEFT(K4191,FIND("*",K4191)-1),"-")</f>
        <v>-</v>
      </c>
      <c r="V4193" s="19" t="str">
        <f>IFERROR(RIGHT(K4191,LEN(K4191)-FIND("*",K4191)),"-")</f>
        <v>-</v>
      </c>
      <c r="W4193" s="20" t="str">
        <f t="shared" si="2278"/>
        <v>-</v>
      </c>
      <c r="X4193" s="20" t="str">
        <f>IFERROR(W4193*L4191,"-")</f>
        <v>-</v>
      </c>
      <c r="Z4193" s="85" t="s">
        <v>82</v>
      </c>
    </row>
    <row r="4194" spans="1:26" ht="6.95" customHeight="1" x14ac:dyDescent="0.3">
      <c r="A4194" s="8"/>
      <c r="B4194" s="157"/>
      <c r="C4194" s="158"/>
      <c r="D4194" s="161" t="s">
        <v>39</v>
      </c>
      <c r="E4194" s="162"/>
      <c r="F4194" s="163" t="s">
        <v>40</v>
      </c>
      <c r="G4194" s="164"/>
      <c r="H4194" s="165"/>
      <c r="I4194" s="164"/>
      <c r="J4194" s="165"/>
      <c r="K4194" s="164"/>
      <c r="L4194" s="165"/>
      <c r="M4194" s="6"/>
      <c r="N4194" s="32"/>
      <c r="Q4194" s="10" t="str">
        <f>+CONCATENATE(E4194,G4194)</f>
        <v/>
      </c>
      <c r="R4194" s="10">
        <f>+H4194</f>
        <v>0</v>
      </c>
      <c r="S4194" s="11"/>
      <c r="T4194" s="10">
        <f>+E4194</f>
        <v>0</v>
      </c>
      <c r="U4194" s="19" t="str">
        <f t="shared" ref="U4194" si="2279">IFERROR(LEFT(G4194,FIND("*",G4194)-1),"-")</f>
        <v>-</v>
      </c>
      <c r="V4194" s="19" t="str">
        <f t="shared" ref="V4194" si="2280">IFERROR(RIGHT(G4194,LEN(G4194)-FIND("*",G4194)),"-")</f>
        <v>-</v>
      </c>
      <c r="W4194" s="20" t="str">
        <f t="shared" si="2278"/>
        <v>-</v>
      </c>
      <c r="X4194" s="20" t="str">
        <f>IFERROR(W4194*H4194,"-")</f>
        <v>-</v>
      </c>
      <c r="Z4194" s="85" t="s">
        <v>82</v>
      </c>
    </row>
    <row r="4195" spans="1:26" ht="6.95" customHeight="1" x14ac:dyDescent="0.3">
      <c r="A4195" s="5"/>
      <c r="B4195" s="157"/>
      <c r="C4195" s="158"/>
      <c r="D4195" s="161"/>
      <c r="E4195" s="162"/>
      <c r="F4195" s="163"/>
      <c r="G4195" s="164"/>
      <c r="H4195" s="165"/>
      <c r="I4195" s="164"/>
      <c r="J4195" s="165"/>
      <c r="K4195" s="164"/>
      <c r="L4195" s="165"/>
      <c r="M4195" s="6"/>
      <c r="N4195" s="32"/>
      <c r="Q4195" s="10" t="str">
        <f>+CONCATENATE(E4194,I4194)</f>
        <v/>
      </c>
      <c r="R4195" s="10">
        <f>+J4194</f>
        <v>0</v>
      </c>
      <c r="S4195" s="11"/>
      <c r="T4195" s="10">
        <f>+E4194</f>
        <v>0</v>
      </c>
      <c r="U4195" s="19" t="str">
        <f>IFERROR(LEFT(I4194,FIND("*",I4194)-1),"-")</f>
        <v>-</v>
      </c>
      <c r="V4195" s="19" t="str">
        <f>IFERROR(RIGHT(I4194,LEN(I4194)-FIND("*",I4194)),"-")</f>
        <v>-</v>
      </c>
      <c r="W4195" s="20" t="str">
        <f t="shared" si="2278"/>
        <v>-</v>
      </c>
      <c r="X4195" s="20" t="str">
        <f>IFERROR(W4195*J4194,"-")</f>
        <v>-</v>
      </c>
      <c r="Z4195" s="85" t="s">
        <v>82</v>
      </c>
    </row>
    <row r="4196" spans="1:26" ht="6.95" customHeight="1" x14ac:dyDescent="0.3">
      <c r="A4196" s="5"/>
      <c r="B4196" s="157"/>
      <c r="C4196" s="158"/>
      <c r="D4196" s="161"/>
      <c r="E4196" s="162"/>
      <c r="F4196" s="163"/>
      <c r="G4196" s="164"/>
      <c r="H4196" s="165"/>
      <c r="I4196" s="164"/>
      <c r="J4196" s="165"/>
      <c r="K4196" s="164"/>
      <c r="L4196" s="165"/>
      <c r="M4196" s="6"/>
      <c r="N4196" s="32"/>
      <c r="Q4196" s="10" t="str">
        <f>+CONCATENATE(E4194,K4194)</f>
        <v/>
      </c>
      <c r="R4196" s="10">
        <f>+L4194</f>
        <v>0</v>
      </c>
      <c r="S4196" s="11"/>
      <c r="T4196" s="10">
        <f>+E4194</f>
        <v>0</v>
      </c>
      <c r="U4196" s="19" t="str">
        <f>IFERROR(LEFT(K4194,FIND("*",K4194)-1),"-")</f>
        <v>-</v>
      </c>
      <c r="V4196" s="19" t="str">
        <f>IFERROR(RIGHT(K4194,LEN(K4194)-FIND("*",K4194)),"-")</f>
        <v>-</v>
      </c>
      <c r="W4196" s="20" t="str">
        <f t="shared" si="2278"/>
        <v>-</v>
      </c>
      <c r="X4196" s="20" t="str">
        <f>IFERROR(W4196*L4194,"-")</f>
        <v>-</v>
      </c>
      <c r="Z4196" s="85" t="s">
        <v>82</v>
      </c>
    </row>
    <row r="4197" spans="1:26" ht="6.95" customHeight="1" x14ac:dyDescent="0.3">
      <c r="A4197" s="8"/>
      <c r="B4197" s="157"/>
      <c r="C4197" s="158"/>
      <c r="D4197" s="161" t="s">
        <v>39</v>
      </c>
      <c r="E4197" s="162"/>
      <c r="F4197" s="163" t="s">
        <v>40</v>
      </c>
      <c r="G4197" s="164"/>
      <c r="H4197" s="165"/>
      <c r="I4197" s="164"/>
      <c r="J4197" s="165"/>
      <c r="K4197" s="164"/>
      <c r="L4197" s="165"/>
      <c r="M4197" s="6"/>
      <c r="N4197" s="32"/>
      <c r="Q4197" s="10" t="str">
        <f>+CONCATENATE(E4197,G4197)</f>
        <v/>
      </c>
      <c r="R4197" s="10">
        <f>+H4197</f>
        <v>0</v>
      </c>
      <c r="S4197" s="11"/>
      <c r="T4197" s="10">
        <f>+E4197</f>
        <v>0</v>
      </c>
      <c r="U4197" s="19" t="str">
        <f t="shared" ref="U4197" si="2281">IFERROR(LEFT(G4197,FIND("*",G4197)-1),"-")</f>
        <v>-</v>
      </c>
      <c r="V4197" s="19" t="str">
        <f t="shared" ref="V4197" si="2282">IFERROR(RIGHT(G4197,LEN(G4197)-FIND("*",G4197)),"-")</f>
        <v>-</v>
      </c>
      <c r="W4197" s="20" t="str">
        <f t="shared" si="2278"/>
        <v>-</v>
      </c>
      <c r="X4197" s="20" t="str">
        <f>IFERROR(W4197*H4197,"-")</f>
        <v>-</v>
      </c>
      <c r="Z4197" s="85" t="s">
        <v>82</v>
      </c>
    </row>
    <row r="4198" spans="1:26" ht="6.95" customHeight="1" x14ac:dyDescent="0.3">
      <c r="A4198" s="5"/>
      <c r="B4198" s="157"/>
      <c r="C4198" s="158"/>
      <c r="D4198" s="161"/>
      <c r="E4198" s="162"/>
      <c r="F4198" s="163"/>
      <c r="G4198" s="164"/>
      <c r="H4198" s="165"/>
      <c r="I4198" s="164"/>
      <c r="J4198" s="165"/>
      <c r="K4198" s="164"/>
      <c r="L4198" s="165"/>
      <c r="M4198" s="6"/>
      <c r="N4198" s="32"/>
      <c r="Q4198" s="10" t="str">
        <f>+CONCATENATE(E4197,I4197)</f>
        <v/>
      </c>
      <c r="R4198" s="10">
        <f>+J4197</f>
        <v>0</v>
      </c>
      <c r="S4198" s="11"/>
      <c r="T4198" s="10">
        <f>+E4197</f>
        <v>0</v>
      </c>
      <c r="U4198" s="19" t="str">
        <f>IFERROR(LEFT(I4197,FIND("*",I4197)-1),"-")</f>
        <v>-</v>
      </c>
      <c r="V4198" s="19" t="str">
        <f>IFERROR(RIGHT(I4197,LEN(I4197)-FIND("*",I4197)),"-")</f>
        <v>-</v>
      </c>
      <c r="W4198" s="20" t="str">
        <f t="shared" si="2278"/>
        <v>-</v>
      </c>
      <c r="X4198" s="20" t="str">
        <f t="shared" ref="X4198" si="2283">IFERROR(W4198*J4197,"-")</f>
        <v>-</v>
      </c>
      <c r="Z4198" s="85" t="s">
        <v>82</v>
      </c>
    </row>
    <row r="4199" spans="1:26" ht="6.95" customHeight="1" x14ac:dyDescent="0.3">
      <c r="A4199" s="5"/>
      <c r="B4199" s="157"/>
      <c r="C4199" s="158"/>
      <c r="D4199" s="161"/>
      <c r="E4199" s="162"/>
      <c r="F4199" s="163"/>
      <c r="G4199" s="164"/>
      <c r="H4199" s="165"/>
      <c r="I4199" s="164"/>
      <c r="J4199" s="165"/>
      <c r="K4199" s="164"/>
      <c r="L4199" s="165"/>
      <c r="M4199" s="6"/>
      <c r="N4199" s="32"/>
      <c r="Q4199" s="10" t="str">
        <f>+CONCATENATE(E4197,K4197)</f>
        <v/>
      </c>
      <c r="R4199" s="10">
        <f>+L4197</f>
        <v>0</v>
      </c>
      <c r="S4199" s="11"/>
      <c r="T4199" s="10">
        <f>+E4197</f>
        <v>0</v>
      </c>
      <c r="U4199" s="19" t="str">
        <f>IFERROR(LEFT(K4197,FIND("*",K4197)-1),"-")</f>
        <v>-</v>
      </c>
      <c r="V4199" s="19" t="str">
        <f>IFERROR(RIGHT(K4197,LEN(K4197)-FIND("*",K4197)),"-")</f>
        <v>-</v>
      </c>
      <c r="W4199" s="20" t="str">
        <f t="shared" si="2278"/>
        <v>-</v>
      </c>
      <c r="X4199" s="20" t="str">
        <f>IFERROR(W4199*L4197,"-")</f>
        <v>-</v>
      </c>
      <c r="Z4199" s="85" t="s">
        <v>82</v>
      </c>
    </row>
    <row r="4200" spans="1:26" ht="21" customHeight="1" thickBot="1" x14ac:dyDescent="0.35">
      <c r="A4200" s="5"/>
      <c r="B4200" s="159"/>
      <c r="C4200" s="160"/>
      <c r="D4200" s="166" t="s">
        <v>43</v>
      </c>
      <c r="E4200" s="167"/>
      <c r="F4200" s="167"/>
      <c r="G4200" s="168"/>
      <c r="H4200" s="168"/>
      <c r="I4200" s="168"/>
      <c r="J4200" s="168"/>
      <c r="K4200" s="168"/>
      <c r="L4200" s="168"/>
      <c r="M4200" s="7"/>
      <c r="N4200" s="32"/>
      <c r="Z4200" s="86" t="s">
        <v>81</v>
      </c>
    </row>
    <row r="4201" spans="1:26" ht="9.9499999999999993" customHeight="1" thickBot="1" x14ac:dyDescent="0.35">
      <c r="B4201" s="9"/>
      <c r="C4201" s="109"/>
      <c r="D4201" s="51"/>
      <c r="E4201" s="12"/>
      <c r="F4201" s="51"/>
      <c r="G4201" s="14"/>
      <c r="H4201" s="14"/>
      <c r="I4201" s="14"/>
      <c r="J4201" s="14"/>
      <c r="K4201" s="14"/>
      <c r="L4201" s="14"/>
      <c r="M4201" s="9"/>
      <c r="N4201" s="32"/>
      <c r="U4201" s="18"/>
      <c r="V4201" s="18"/>
      <c r="Z4201" s="85" t="s">
        <v>82</v>
      </c>
    </row>
    <row r="4202" spans="1:26" ht="6.95" customHeight="1" x14ac:dyDescent="0.3">
      <c r="A4202" s="154">
        <f>+A4191+1</f>
        <v>1181</v>
      </c>
      <c r="B4202" s="155"/>
      <c r="C4202" s="156"/>
      <c r="D4202" s="161" t="s">
        <v>39</v>
      </c>
      <c r="E4202" s="162"/>
      <c r="F4202" s="163" t="s">
        <v>40</v>
      </c>
      <c r="G4202" s="164"/>
      <c r="H4202" s="165"/>
      <c r="I4202" s="164"/>
      <c r="J4202" s="165"/>
      <c r="K4202" s="164"/>
      <c r="L4202" s="165"/>
      <c r="M4202" s="6"/>
      <c r="N4202" s="32"/>
      <c r="Q4202" s="10" t="str">
        <f>+CONCATENATE(E4202,G4202)</f>
        <v/>
      </c>
      <c r="R4202" s="10">
        <f>+H4202</f>
        <v>0</v>
      </c>
      <c r="S4202" s="11"/>
      <c r="T4202" s="10">
        <f>+E4202</f>
        <v>0</v>
      </c>
      <c r="U4202" s="19" t="str">
        <f>IFERROR(LEFT(G4202,FIND("*",G4202)-1),"-")</f>
        <v>-</v>
      </c>
      <c r="V4202" s="19" t="str">
        <f>IFERROR(RIGHT(G4202,LEN(G4202)-FIND("*",G4202)),"-")</f>
        <v>-</v>
      </c>
      <c r="W4202" s="20" t="str">
        <f>IFERROR((U4202+V4202)*2/1000,"-")</f>
        <v>-</v>
      </c>
      <c r="X4202" s="20" t="str">
        <f>IFERROR(W4202*H4202,"-")</f>
        <v>-</v>
      </c>
      <c r="Z4202" s="85" t="s">
        <v>82</v>
      </c>
    </row>
    <row r="4203" spans="1:26" ht="6.95" customHeight="1" x14ac:dyDescent="0.3">
      <c r="A4203" s="154"/>
      <c r="B4203" s="157"/>
      <c r="C4203" s="158"/>
      <c r="D4203" s="161"/>
      <c r="E4203" s="162"/>
      <c r="F4203" s="163"/>
      <c r="G4203" s="164"/>
      <c r="H4203" s="165"/>
      <c r="I4203" s="164"/>
      <c r="J4203" s="165"/>
      <c r="K4203" s="164"/>
      <c r="L4203" s="165"/>
      <c r="M4203" s="6"/>
      <c r="N4203" s="32"/>
      <c r="Q4203" s="10" t="str">
        <f>+CONCATENATE(E4202,I4202)</f>
        <v/>
      </c>
      <c r="R4203" s="10">
        <f>+J4202</f>
        <v>0</v>
      </c>
      <c r="S4203" s="11"/>
      <c r="T4203" s="10">
        <f>+E4202</f>
        <v>0</v>
      </c>
      <c r="U4203" s="19" t="str">
        <f>IFERROR(LEFT(I4202,FIND("*",I4202)-1),"-")</f>
        <v>-</v>
      </c>
      <c r="V4203" s="19" t="str">
        <f>IFERROR(RIGHT(I4202,LEN(I4202)-FIND("*",I4202)),"-")</f>
        <v>-</v>
      </c>
      <c r="W4203" s="20" t="str">
        <f t="shared" ref="W4203:W4210" si="2284">IFERROR((U4203+V4203)*2/1000,"-")</f>
        <v>-</v>
      </c>
      <c r="X4203" s="20" t="str">
        <f>IFERROR(W4203*J4202,"-")</f>
        <v>-</v>
      </c>
      <c r="Z4203" s="85" t="s">
        <v>82</v>
      </c>
    </row>
    <row r="4204" spans="1:26" ht="6.95" customHeight="1" x14ac:dyDescent="0.3">
      <c r="A4204" s="154"/>
      <c r="B4204" s="157"/>
      <c r="C4204" s="158"/>
      <c r="D4204" s="161"/>
      <c r="E4204" s="162"/>
      <c r="F4204" s="163"/>
      <c r="G4204" s="164"/>
      <c r="H4204" s="165"/>
      <c r="I4204" s="164"/>
      <c r="J4204" s="165"/>
      <c r="K4204" s="164"/>
      <c r="L4204" s="165"/>
      <c r="M4204" s="6"/>
      <c r="N4204" s="32"/>
      <c r="Q4204" s="10" t="str">
        <f>+CONCATENATE(E4202,K4202)</f>
        <v/>
      </c>
      <c r="R4204" s="10">
        <f>+L4202</f>
        <v>0</v>
      </c>
      <c r="S4204" s="11"/>
      <c r="T4204" s="10">
        <f>+E4202</f>
        <v>0</v>
      </c>
      <c r="U4204" s="19" t="str">
        <f>IFERROR(LEFT(K4202,FIND("*",K4202)-1),"-")</f>
        <v>-</v>
      </c>
      <c r="V4204" s="19" t="str">
        <f>IFERROR(RIGHT(K4202,LEN(K4202)-FIND("*",K4202)),"-")</f>
        <v>-</v>
      </c>
      <c r="W4204" s="20" t="str">
        <f t="shared" si="2284"/>
        <v>-</v>
      </c>
      <c r="X4204" s="20" t="str">
        <f>IFERROR(W4204*L4202,"-")</f>
        <v>-</v>
      </c>
      <c r="Z4204" s="85" t="s">
        <v>82</v>
      </c>
    </row>
    <row r="4205" spans="1:26" ht="6.95" customHeight="1" x14ac:dyDescent="0.3">
      <c r="A4205" s="8"/>
      <c r="B4205" s="157"/>
      <c r="C4205" s="158"/>
      <c r="D4205" s="161" t="s">
        <v>39</v>
      </c>
      <c r="E4205" s="162"/>
      <c r="F4205" s="163" t="s">
        <v>40</v>
      </c>
      <c r="G4205" s="164"/>
      <c r="H4205" s="165"/>
      <c r="I4205" s="164"/>
      <c r="J4205" s="165"/>
      <c r="K4205" s="164"/>
      <c r="L4205" s="165"/>
      <c r="M4205" s="6"/>
      <c r="N4205" s="32"/>
      <c r="Q4205" s="10" t="str">
        <f>+CONCATENATE(E4205,G4205)</f>
        <v/>
      </c>
      <c r="R4205" s="10">
        <f>+H4205</f>
        <v>0</v>
      </c>
      <c r="S4205" s="11"/>
      <c r="T4205" s="10">
        <f>+E4205</f>
        <v>0</v>
      </c>
      <c r="U4205" s="19" t="str">
        <f t="shared" ref="U4205" si="2285">IFERROR(LEFT(G4205,FIND("*",G4205)-1),"-")</f>
        <v>-</v>
      </c>
      <c r="V4205" s="19" t="str">
        <f t="shared" ref="V4205" si="2286">IFERROR(RIGHT(G4205,LEN(G4205)-FIND("*",G4205)),"-")</f>
        <v>-</v>
      </c>
      <c r="W4205" s="20" t="str">
        <f t="shared" si="2284"/>
        <v>-</v>
      </c>
      <c r="X4205" s="20" t="str">
        <f>IFERROR(W4205*H4205,"-")</f>
        <v>-</v>
      </c>
      <c r="Z4205" s="85" t="s">
        <v>82</v>
      </c>
    </row>
    <row r="4206" spans="1:26" ht="6.95" customHeight="1" x14ac:dyDescent="0.3">
      <c r="A4206" s="5"/>
      <c r="B4206" s="157"/>
      <c r="C4206" s="158"/>
      <c r="D4206" s="161"/>
      <c r="E4206" s="162"/>
      <c r="F4206" s="163"/>
      <c r="G4206" s="164"/>
      <c r="H4206" s="165"/>
      <c r="I4206" s="164"/>
      <c r="J4206" s="165"/>
      <c r="K4206" s="164"/>
      <c r="L4206" s="165"/>
      <c r="M4206" s="6"/>
      <c r="N4206" s="32"/>
      <c r="Q4206" s="10" t="str">
        <f>+CONCATENATE(E4205,I4205)</f>
        <v/>
      </c>
      <c r="R4206" s="10">
        <f>+J4205</f>
        <v>0</v>
      </c>
      <c r="S4206" s="11"/>
      <c r="T4206" s="10">
        <f>+E4205</f>
        <v>0</v>
      </c>
      <c r="U4206" s="19" t="str">
        <f>IFERROR(LEFT(I4205,FIND("*",I4205)-1),"-")</f>
        <v>-</v>
      </c>
      <c r="V4206" s="19" t="str">
        <f>IFERROR(RIGHT(I4205,LEN(I4205)-FIND("*",I4205)),"-")</f>
        <v>-</v>
      </c>
      <c r="W4206" s="20" t="str">
        <f t="shared" si="2284"/>
        <v>-</v>
      </c>
      <c r="X4206" s="20" t="str">
        <f>IFERROR(W4206*J4205,"-")</f>
        <v>-</v>
      </c>
      <c r="Z4206" s="85" t="s">
        <v>82</v>
      </c>
    </row>
    <row r="4207" spans="1:26" ht="6.95" customHeight="1" x14ac:dyDescent="0.3">
      <c r="A4207" s="5"/>
      <c r="B4207" s="157"/>
      <c r="C4207" s="158"/>
      <c r="D4207" s="161"/>
      <c r="E4207" s="162"/>
      <c r="F4207" s="163"/>
      <c r="G4207" s="164"/>
      <c r="H4207" s="165"/>
      <c r="I4207" s="164"/>
      <c r="J4207" s="165"/>
      <c r="K4207" s="164"/>
      <c r="L4207" s="165"/>
      <c r="M4207" s="6"/>
      <c r="N4207" s="32"/>
      <c r="Q4207" s="10" t="str">
        <f>+CONCATENATE(E4205,K4205)</f>
        <v/>
      </c>
      <c r="R4207" s="10">
        <f>+L4205</f>
        <v>0</v>
      </c>
      <c r="S4207" s="11"/>
      <c r="T4207" s="10">
        <f>+E4205</f>
        <v>0</v>
      </c>
      <c r="U4207" s="19" t="str">
        <f>IFERROR(LEFT(K4205,FIND("*",K4205)-1),"-")</f>
        <v>-</v>
      </c>
      <c r="V4207" s="19" t="str">
        <f>IFERROR(RIGHT(K4205,LEN(K4205)-FIND("*",K4205)),"-")</f>
        <v>-</v>
      </c>
      <c r="W4207" s="20" t="str">
        <f t="shared" si="2284"/>
        <v>-</v>
      </c>
      <c r="X4207" s="20" t="str">
        <f>IFERROR(W4207*L4205,"-")</f>
        <v>-</v>
      </c>
      <c r="Z4207" s="85" t="s">
        <v>82</v>
      </c>
    </row>
    <row r="4208" spans="1:26" ht="6.95" customHeight="1" x14ac:dyDescent="0.3">
      <c r="A4208" s="8"/>
      <c r="B4208" s="157"/>
      <c r="C4208" s="158"/>
      <c r="D4208" s="161" t="s">
        <v>39</v>
      </c>
      <c r="E4208" s="162"/>
      <c r="F4208" s="163" t="s">
        <v>40</v>
      </c>
      <c r="G4208" s="164"/>
      <c r="H4208" s="165"/>
      <c r="I4208" s="164"/>
      <c r="J4208" s="165"/>
      <c r="K4208" s="164"/>
      <c r="L4208" s="165"/>
      <c r="M4208" s="6"/>
      <c r="N4208" s="32"/>
      <c r="Q4208" s="10" t="str">
        <f>+CONCATENATE(E4208,G4208)</f>
        <v/>
      </c>
      <c r="R4208" s="10">
        <f>+H4208</f>
        <v>0</v>
      </c>
      <c r="S4208" s="11"/>
      <c r="T4208" s="10">
        <f>+E4208</f>
        <v>0</v>
      </c>
      <c r="U4208" s="19" t="str">
        <f t="shared" ref="U4208" si="2287">IFERROR(LEFT(G4208,FIND("*",G4208)-1),"-")</f>
        <v>-</v>
      </c>
      <c r="V4208" s="19" t="str">
        <f t="shared" ref="V4208" si="2288">IFERROR(RIGHT(G4208,LEN(G4208)-FIND("*",G4208)),"-")</f>
        <v>-</v>
      </c>
      <c r="W4208" s="20" t="str">
        <f t="shared" si="2284"/>
        <v>-</v>
      </c>
      <c r="X4208" s="20" t="str">
        <f>IFERROR(W4208*H4208,"-")</f>
        <v>-</v>
      </c>
      <c r="Z4208" s="85" t="s">
        <v>82</v>
      </c>
    </row>
    <row r="4209" spans="1:26" ht="6.95" customHeight="1" x14ac:dyDescent="0.3">
      <c r="A4209" s="5"/>
      <c r="B4209" s="157"/>
      <c r="C4209" s="158"/>
      <c r="D4209" s="161"/>
      <c r="E4209" s="162"/>
      <c r="F4209" s="163"/>
      <c r="G4209" s="164"/>
      <c r="H4209" s="165"/>
      <c r="I4209" s="164"/>
      <c r="J4209" s="165"/>
      <c r="K4209" s="164"/>
      <c r="L4209" s="165"/>
      <c r="M4209" s="6"/>
      <c r="N4209" s="32"/>
      <c r="Q4209" s="10" t="str">
        <f>+CONCATENATE(E4208,I4208)</f>
        <v/>
      </c>
      <c r="R4209" s="10">
        <f>+J4208</f>
        <v>0</v>
      </c>
      <c r="S4209" s="11"/>
      <c r="T4209" s="10">
        <f>+E4208</f>
        <v>0</v>
      </c>
      <c r="U4209" s="19" t="str">
        <f>IFERROR(LEFT(I4208,FIND("*",I4208)-1),"-")</f>
        <v>-</v>
      </c>
      <c r="V4209" s="19" t="str">
        <f>IFERROR(RIGHT(I4208,LEN(I4208)-FIND("*",I4208)),"-")</f>
        <v>-</v>
      </c>
      <c r="W4209" s="20" t="str">
        <f t="shared" si="2284"/>
        <v>-</v>
      </c>
      <c r="X4209" s="20" t="str">
        <f t="shared" ref="X4209" si="2289">IFERROR(W4209*J4208,"-")</f>
        <v>-</v>
      </c>
      <c r="Z4209" s="85" t="s">
        <v>82</v>
      </c>
    </row>
    <row r="4210" spans="1:26" ht="6.95" customHeight="1" x14ac:dyDescent="0.3">
      <c r="A4210" s="5"/>
      <c r="B4210" s="157"/>
      <c r="C4210" s="158"/>
      <c r="D4210" s="161"/>
      <c r="E4210" s="162"/>
      <c r="F4210" s="163"/>
      <c r="G4210" s="164"/>
      <c r="H4210" s="165"/>
      <c r="I4210" s="164"/>
      <c r="J4210" s="165"/>
      <c r="K4210" s="164"/>
      <c r="L4210" s="165"/>
      <c r="M4210" s="6"/>
      <c r="N4210" s="32"/>
      <c r="Q4210" s="10" t="str">
        <f>+CONCATENATE(E4208,K4208)</f>
        <v/>
      </c>
      <c r="R4210" s="10">
        <f>+L4208</f>
        <v>0</v>
      </c>
      <c r="S4210" s="11"/>
      <c r="T4210" s="10">
        <f>+E4208</f>
        <v>0</v>
      </c>
      <c r="U4210" s="19" t="str">
        <f>IFERROR(LEFT(K4208,FIND("*",K4208)-1),"-")</f>
        <v>-</v>
      </c>
      <c r="V4210" s="19" t="str">
        <f>IFERROR(RIGHT(K4208,LEN(K4208)-FIND("*",K4208)),"-")</f>
        <v>-</v>
      </c>
      <c r="W4210" s="20" t="str">
        <f t="shared" si="2284"/>
        <v>-</v>
      </c>
      <c r="X4210" s="20" t="str">
        <f>IFERROR(W4210*L4208,"-")</f>
        <v>-</v>
      </c>
      <c r="Z4210" s="85" t="s">
        <v>82</v>
      </c>
    </row>
    <row r="4211" spans="1:26" ht="21" customHeight="1" thickBot="1" x14ac:dyDescent="0.35">
      <c r="A4211" s="5"/>
      <c r="B4211" s="159"/>
      <c r="C4211" s="160"/>
      <c r="D4211" s="166" t="s">
        <v>43</v>
      </c>
      <c r="E4211" s="167"/>
      <c r="F4211" s="167"/>
      <c r="G4211" s="168"/>
      <c r="H4211" s="168"/>
      <c r="I4211" s="168"/>
      <c r="J4211" s="168"/>
      <c r="K4211" s="168"/>
      <c r="L4211" s="168"/>
      <c r="M4211" s="7"/>
      <c r="N4211" s="32"/>
      <c r="Z4211" s="86" t="s">
        <v>81</v>
      </c>
    </row>
    <row r="4212" spans="1:26" ht="9.9499999999999993" customHeight="1" thickBot="1" x14ac:dyDescent="0.35">
      <c r="B4212" s="9"/>
      <c r="C4212" s="109"/>
      <c r="D4212" s="51"/>
      <c r="E4212" s="12"/>
      <c r="F4212" s="51"/>
      <c r="G4212" s="14"/>
      <c r="H4212" s="14"/>
      <c r="I4212" s="14"/>
      <c r="J4212" s="14"/>
      <c r="K4212" s="14"/>
      <c r="L4212" s="14"/>
      <c r="M4212" s="9"/>
      <c r="N4212" s="32"/>
      <c r="U4212" s="18"/>
      <c r="V4212" s="18"/>
      <c r="Z4212" s="85" t="s">
        <v>82</v>
      </c>
    </row>
    <row r="4213" spans="1:26" ht="6.95" customHeight="1" x14ac:dyDescent="0.3">
      <c r="A4213" s="154">
        <f>+A4202+1</f>
        <v>1182</v>
      </c>
      <c r="B4213" s="155"/>
      <c r="C4213" s="156"/>
      <c r="D4213" s="161" t="s">
        <v>39</v>
      </c>
      <c r="E4213" s="162"/>
      <c r="F4213" s="163" t="s">
        <v>40</v>
      </c>
      <c r="G4213" s="164"/>
      <c r="H4213" s="165"/>
      <c r="I4213" s="164"/>
      <c r="J4213" s="165"/>
      <c r="K4213" s="164"/>
      <c r="L4213" s="165"/>
      <c r="M4213" s="6"/>
      <c r="N4213" s="32"/>
      <c r="Q4213" s="10" t="str">
        <f>+CONCATENATE(E4213,G4213)</f>
        <v/>
      </c>
      <c r="R4213" s="10">
        <f>+H4213</f>
        <v>0</v>
      </c>
      <c r="S4213" s="11"/>
      <c r="T4213" s="10">
        <f>+E4213</f>
        <v>0</v>
      </c>
      <c r="U4213" s="19" t="str">
        <f>IFERROR(LEFT(G4213,FIND("*",G4213)-1),"-")</f>
        <v>-</v>
      </c>
      <c r="V4213" s="19" t="str">
        <f>IFERROR(RIGHT(G4213,LEN(G4213)-FIND("*",G4213)),"-")</f>
        <v>-</v>
      </c>
      <c r="W4213" s="20" t="str">
        <f>IFERROR((U4213+V4213)*2/1000,"-")</f>
        <v>-</v>
      </c>
      <c r="X4213" s="20" t="str">
        <f>IFERROR(W4213*H4213,"-")</f>
        <v>-</v>
      </c>
      <c r="Z4213" s="85" t="s">
        <v>82</v>
      </c>
    </row>
    <row r="4214" spans="1:26" ht="6.95" customHeight="1" x14ac:dyDescent="0.3">
      <c r="A4214" s="154"/>
      <c r="B4214" s="157"/>
      <c r="C4214" s="158"/>
      <c r="D4214" s="161"/>
      <c r="E4214" s="162"/>
      <c r="F4214" s="163"/>
      <c r="G4214" s="164"/>
      <c r="H4214" s="165"/>
      <c r="I4214" s="164"/>
      <c r="J4214" s="165"/>
      <c r="K4214" s="164"/>
      <c r="L4214" s="165"/>
      <c r="M4214" s="6"/>
      <c r="N4214" s="32"/>
      <c r="Q4214" s="10" t="str">
        <f>+CONCATENATE(E4213,I4213)</f>
        <v/>
      </c>
      <c r="R4214" s="10">
        <f>+J4213</f>
        <v>0</v>
      </c>
      <c r="S4214" s="11"/>
      <c r="T4214" s="10">
        <f>+E4213</f>
        <v>0</v>
      </c>
      <c r="U4214" s="19" t="str">
        <f>IFERROR(LEFT(I4213,FIND("*",I4213)-1),"-")</f>
        <v>-</v>
      </c>
      <c r="V4214" s="19" t="str">
        <f>IFERROR(RIGHT(I4213,LEN(I4213)-FIND("*",I4213)),"-")</f>
        <v>-</v>
      </c>
      <c r="W4214" s="20" t="str">
        <f t="shared" ref="W4214:W4221" si="2290">IFERROR((U4214+V4214)*2/1000,"-")</f>
        <v>-</v>
      </c>
      <c r="X4214" s="20" t="str">
        <f>IFERROR(W4214*J4213,"-")</f>
        <v>-</v>
      </c>
      <c r="Z4214" s="85" t="s">
        <v>82</v>
      </c>
    </row>
    <row r="4215" spans="1:26" ht="6.95" customHeight="1" x14ac:dyDescent="0.3">
      <c r="A4215" s="154"/>
      <c r="B4215" s="157"/>
      <c r="C4215" s="158"/>
      <c r="D4215" s="161"/>
      <c r="E4215" s="162"/>
      <c r="F4215" s="163"/>
      <c r="G4215" s="164"/>
      <c r="H4215" s="165"/>
      <c r="I4215" s="164"/>
      <c r="J4215" s="165"/>
      <c r="K4215" s="164"/>
      <c r="L4215" s="165"/>
      <c r="M4215" s="6"/>
      <c r="N4215" s="32"/>
      <c r="Q4215" s="10" t="str">
        <f>+CONCATENATE(E4213,K4213)</f>
        <v/>
      </c>
      <c r="R4215" s="10">
        <f>+L4213</f>
        <v>0</v>
      </c>
      <c r="S4215" s="11"/>
      <c r="T4215" s="10">
        <f>+E4213</f>
        <v>0</v>
      </c>
      <c r="U4215" s="19" t="str">
        <f>IFERROR(LEFT(K4213,FIND("*",K4213)-1),"-")</f>
        <v>-</v>
      </c>
      <c r="V4215" s="19" t="str">
        <f>IFERROR(RIGHT(K4213,LEN(K4213)-FIND("*",K4213)),"-")</f>
        <v>-</v>
      </c>
      <c r="W4215" s="20" t="str">
        <f t="shared" si="2290"/>
        <v>-</v>
      </c>
      <c r="X4215" s="20" t="str">
        <f>IFERROR(W4215*L4213,"-")</f>
        <v>-</v>
      </c>
      <c r="Z4215" s="85" t="s">
        <v>82</v>
      </c>
    </row>
    <row r="4216" spans="1:26" ht="6.95" customHeight="1" x14ac:dyDescent="0.3">
      <c r="A4216" s="8"/>
      <c r="B4216" s="157"/>
      <c r="C4216" s="158"/>
      <c r="D4216" s="161" t="s">
        <v>39</v>
      </c>
      <c r="E4216" s="162"/>
      <c r="F4216" s="163" t="s">
        <v>40</v>
      </c>
      <c r="G4216" s="164"/>
      <c r="H4216" s="165"/>
      <c r="I4216" s="164"/>
      <c r="J4216" s="165"/>
      <c r="K4216" s="164"/>
      <c r="L4216" s="165"/>
      <c r="M4216" s="6"/>
      <c r="N4216" s="32"/>
      <c r="Q4216" s="10" t="str">
        <f>+CONCATENATE(E4216,G4216)</f>
        <v/>
      </c>
      <c r="R4216" s="10">
        <f>+H4216</f>
        <v>0</v>
      </c>
      <c r="S4216" s="11"/>
      <c r="T4216" s="10">
        <f>+E4216</f>
        <v>0</v>
      </c>
      <c r="U4216" s="19" t="str">
        <f t="shared" ref="U4216" si="2291">IFERROR(LEFT(G4216,FIND("*",G4216)-1),"-")</f>
        <v>-</v>
      </c>
      <c r="V4216" s="19" t="str">
        <f t="shared" ref="V4216" si="2292">IFERROR(RIGHT(G4216,LEN(G4216)-FIND("*",G4216)),"-")</f>
        <v>-</v>
      </c>
      <c r="W4216" s="20" t="str">
        <f t="shared" si="2290"/>
        <v>-</v>
      </c>
      <c r="X4216" s="20" t="str">
        <f>IFERROR(W4216*H4216,"-")</f>
        <v>-</v>
      </c>
      <c r="Z4216" s="85" t="s">
        <v>82</v>
      </c>
    </row>
    <row r="4217" spans="1:26" ht="6.95" customHeight="1" x14ac:dyDescent="0.3">
      <c r="A4217" s="5"/>
      <c r="B4217" s="157"/>
      <c r="C4217" s="158"/>
      <c r="D4217" s="161"/>
      <c r="E4217" s="162"/>
      <c r="F4217" s="163"/>
      <c r="G4217" s="164"/>
      <c r="H4217" s="165"/>
      <c r="I4217" s="164"/>
      <c r="J4217" s="165"/>
      <c r="K4217" s="164"/>
      <c r="L4217" s="165"/>
      <c r="M4217" s="6"/>
      <c r="N4217" s="32"/>
      <c r="Q4217" s="10" t="str">
        <f>+CONCATENATE(E4216,I4216)</f>
        <v/>
      </c>
      <c r="R4217" s="10">
        <f>+J4216</f>
        <v>0</v>
      </c>
      <c r="S4217" s="11"/>
      <c r="T4217" s="10">
        <f>+E4216</f>
        <v>0</v>
      </c>
      <c r="U4217" s="19" t="str">
        <f>IFERROR(LEFT(I4216,FIND("*",I4216)-1),"-")</f>
        <v>-</v>
      </c>
      <c r="V4217" s="19" t="str">
        <f>IFERROR(RIGHT(I4216,LEN(I4216)-FIND("*",I4216)),"-")</f>
        <v>-</v>
      </c>
      <c r="W4217" s="20" t="str">
        <f t="shared" si="2290"/>
        <v>-</v>
      </c>
      <c r="X4217" s="20" t="str">
        <f>IFERROR(W4217*J4216,"-")</f>
        <v>-</v>
      </c>
      <c r="Z4217" s="85" t="s">
        <v>82</v>
      </c>
    </row>
    <row r="4218" spans="1:26" ht="6.95" customHeight="1" x14ac:dyDescent="0.3">
      <c r="A4218" s="5"/>
      <c r="B4218" s="157"/>
      <c r="C4218" s="158"/>
      <c r="D4218" s="161"/>
      <c r="E4218" s="162"/>
      <c r="F4218" s="163"/>
      <c r="G4218" s="164"/>
      <c r="H4218" s="165"/>
      <c r="I4218" s="164"/>
      <c r="J4218" s="165"/>
      <c r="K4218" s="164"/>
      <c r="L4218" s="165"/>
      <c r="M4218" s="6"/>
      <c r="N4218" s="32"/>
      <c r="Q4218" s="10" t="str">
        <f>+CONCATENATE(E4216,K4216)</f>
        <v/>
      </c>
      <c r="R4218" s="10">
        <f>+L4216</f>
        <v>0</v>
      </c>
      <c r="S4218" s="11"/>
      <c r="T4218" s="10">
        <f>+E4216</f>
        <v>0</v>
      </c>
      <c r="U4218" s="19" t="str">
        <f>IFERROR(LEFT(K4216,FIND("*",K4216)-1),"-")</f>
        <v>-</v>
      </c>
      <c r="V4218" s="19" t="str">
        <f>IFERROR(RIGHT(K4216,LEN(K4216)-FIND("*",K4216)),"-")</f>
        <v>-</v>
      </c>
      <c r="W4218" s="20" t="str">
        <f t="shared" si="2290"/>
        <v>-</v>
      </c>
      <c r="X4218" s="20" t="str">
        <f>IFERROR(W4218*L4216,"-")</f>
        <v>-</v>
      </c>
      <c r="Z4218" s="85" t="s">
        <v>82</v>
      </c>
    </row>
    <row r="4219" spans="1:26" ht="6.95" customHeight="1" x14ac:dyDescent="0.3">
      <c r="A4219" s="8"/>
      <c r="B4219" s="157"/>
      <c r="C4219" s="158"/>
      <c r="D4219" s="161" t="s">
        <v>39</v>
      </c>
      <c r="E4219" s="162"/>
      <c r="F4219" s="163" t="s">
        <v>40</v>
      </c>
      <c r="G4219" s="164"/>
      <c r="H4219" s="165"/>
      <c r="I4219" s="164"/>
      <c r="J4219" s="165"/>
      <c r="K4219" s="164"/>
      <c r="L4219" s="165"/>
      <c r="M4219" s="6"/>
      <c r="N4219" s="32"/>
      <c r="Q4219" s="10" t="str">
        <f>+CONCATENATE(E4219,G4219)</f>
        <v/>
      </c>
      <c r="R4219" s="10">
        <f>+H4219</f>
        <v>0</v>
      </c>
      <c r="S4219" s="11"/>
      <c r="T4219" s="10">
        <f>+E4219</f>
        <v>0</v>
      </c>
      <c r="U4219" s="19" t="str">
        <f t="shared" ref="U4219" si="2293">IFERROR(LEFT(G4219,FIND("*",G4219)-1),"-")</f>
        <v>-</v>
      </c>
      <c r="V4219" s="19" t="str">
        <f t="shared" ref="V4219" si="2294">IFERROR(RIGHT(G4219,LEN(G4219)-FIND("*",G4219)),"-")</f>
        <v>-</v>
      </c>
      <c r="W4219" s="20" t="str">
        <f t="shared" si="2290"/>
        <v>-</v>
      </c>
      <c r="X4219" s="20" t="str">
        <f>IFERROR(W4219*H4219,"-")</f>
        <v>-</v>
      </c>
      <c r="Z4219" s="85" t="s">
        <v>82</v>
      </c>
    </row>
    <row r="4220" spans="1:26" ht="6.95" customHeight="1" x14ac:dyDescent="0.3">
      <c r="A4220" s="5"/>
      <c r="B4220" s="157"/>
      <c r="C4220" s="158"/>
      <c r="D4220" s="161"/>
      <c r="E4220" s="162"/>
      <c r="F4220" s="163"/>
      <c r="G4220" s="164"/>
      <c r="H4220" s="165"/>
      <c r="I4220" s="164"/>
      <c r="J4220" s="165"/>
      <c r="K4220" s="164"/>
      <c r="L4220" s="165"/>
      <c r="M4220" s="6"/>
      <c r="N4220" s="32"/>
      <c r="Q4220" s="10" t="str">
        <f>+CONCATENATE(E4219,I4219)</f>
        <v/>
      </c>
      <c r="R4220" s="10">
        <f>+J4219</f>
        <v>0</v>
      </c>
      <c r="S4220" s="11"/>
      <c r="T4220" s="10">
        <f>+E4219</f>
        <v>0</v>
      </c>
      <c r="U4220" s="19" t="str">
        <f>IFERROR(LEFT(I4219,FIND("*",I4219)-1),"-")</f>
        <v>-</v>
      </c>
      <c r="V4220" s="19" t="str">
        <f>IFERROR(RIGHT(I4219,LEN(I4219)-FIND("*",I4219)),"-")</f>
        <v>-</v>
      </c>
      <c r="W4220" s="20" t="str">
        <f t="shared" si="2290"/>
        <v>-</v>
      </c>
      <c r="X4220" s="20" t="str">
        <f t="shared" ref="X4220" si="2295">IFERROR(W4220*J4219,"-")</f>
        <v>-</v>
      </c>
      <c r="Z4220" s="85" t="s">
        <v>82</v>
      </c>
    </row>
    <row r="4221" spans="1:26" ht="6.95" customHeight="1" x14ac:dyDescent="0.3">
      <c r="A4221" s="5"/>
      <c r="B4221" s="157"/>
      <c r="C4221" s="158"/>
      <c r="D4221" s="161"/>
      <c r="E4221" s="162"/>
      <c r="F4221" s="163"/>
      <c r="G4221" s="164"/>
      <c r="H4221" s="165"/>
      <c r="I4221" s="164"/>
      <c r="J4221" s="165"/>
      <c r="K4221" s="164"/>
      <c r="L4221" s="165"/>
      <c r="M4221" s="6"/>
      <c r="N4221" s="32"/>
      <c r="Q4221" s="10" t="str">
        <f>+CONCATENATE(E4219,K4219)</f>
        <v/>
      </c>
      <c r="R4221" s="10">
        <f>+L4219</f>
        <v>0</v>
      </c>
      <c r="S4221" s="11"/>
      <c r="T4221" s="10">
        <f>+E4219</f>
        <v>0</v>
      </c>
      <c r="U4221" s="19" t="str">
        <f>IFERROR(LEFT(K4219,FIND("*",K4219)-1),"-")</f>
        <v>-</v>
      </c>
      <c r="V4221" s="19" t="str">
        <f>IFERROR(RIGHT(K4219,LEN(K4219)-FIND("*",K4219)),"-")</f>
        <v>-</v>
      </c>
      <c r="W4221" s="20" t="str">
        <f t="shared" si="2290"/>
        <v>-</v>
      </c>
      <c r="X4221" s="20" t="str">
        <f>IFERROR(W4221*L4219,"-")</f>
        <v>-</v>
      </c>
      <c r="Z4221" s="85" t="s">
        <v>82</v>
      </c>
    </row>
    <row r="4222" spans="1:26" ht="21" customHeight="1" thickBot="1" x14ac:dyDescent="0.35">
      <c r="A4222" s="5"/>
      <c r="B4222" s="159"/>
      <c r="C4222" s="160"/>
      <c r="D4222" s="166" t="s">
        <v>43</v>
      </c>
      <c r="E4222" s="167"/>
      <c r="F4222" s="167"/>
      <c r="G4222" s="168"/>
      <c r="H4222" s="168"/>
      <c r="I4222" s="168"/>
      <c r="J4222" s="168"/>
      <c r="K4222" s="168"/>
      <c r="L4222" s="168"/>
      <c r="M4222" s="7"/>
      <c r="N4222" s="32"/>
      <c r="Z4222" s="86" t="s">
        <v>81</v>
      </c>
    </row>
    <row r="4223" spans="1:26" ht="9.9499999999999993" customHeight="1" thickBot="1" x14ac:dyDescent="0.35">
      <c r="B4223" s="9"/>
      <c r="C4223" s="109"/>
      <c r="D4223" s="51"/>
      <c r="E4223" s="12"/>
      <c r="F4223" s="51"/>
      <c r="G4223" s="14"/>
      <c r="H4223" s="14"/>
      <c r="I4223" s="14"/>
      <c r="J4223" s="14"/>
      <c r="K4223" s="14"/>
      <c r="L4223" s="14"/>
      <c r="M4223" s="9"/>
      <c r="N4223" s="32"/>
      <c r="U4223" s="18"/>
      <c r="V4223" s="18"/>
      <c r="Z4223" s="85" t="s">
        <v>82</v>
      </c>
    </row>
    <row r="4224" spans="1:26" ht="6.95" customHeight="1" x14ac:dyDescent="0.3">
      <c r="A4224" s="154">
        <f>+A4213+1</f>
        <v>1183</v>
      </c>
      <c r="B4224" s="155"/>
      <c r="C4224" s="156"/>
      <c r="D4224" s="161" t="s">
        <v>39</v>
      </c>
      <c r="E4224" s="162"/>
      <c r="F4224" s="163" t="s">
        <v>40</v>
      </c>
      <c r="G4224" s="164"/>
      <c r="H4224" s="165"/>
      <c r="I4224" s="164"/>
      <c r="J4224" s="165"/>
      <c r="K4224" s="164"/>
      <c r="L4224" s="165"/>
      <c r="M4224" s="6"/>
      <c r="N4224" s="32"/>
      <c r="Q4224" s="10" t="str">
        <f>+CONCATENATE(E4224,G4224)</f>
        <v/>
      </c>
      <c r="R4224" s="10">
        <f>+H4224</f>
        <v>0</v>
      </c>
      <c r="S4224" s="11"/>
      <c r="T4224" s="10">
        <f>+E4224</f>
        <v>0</v>
      </c>
      <c r="U4224" s="19" t="str">
        <f>IFERROR(LEFT(G4224,FIND("*",G4224)-1),"-")</f>
        <v>-</v>
      </c>
      <c r="V4224" s="19" t="str">
        <f>IFERROR(RIGHT(G4224,LEN(G4224)-FIND("*",G4224)),"-")</f>
        <v>-</v>
      </c>
      <c r="W4224" s="20" t="str">
        <f>IFERROR((U4224+V4224)*2/1000,"-")</f>
        <v>-</v>
      </c>
      <c r="X4224" s="20" t="str">
        <f>IFERROR(W4224*H4224,"-")</f>
        <v>-</v>
      </c>
      <c r="Z4224" s="85" t="s">
        <v>82</v>
      </c>
    </row>
    <row r="4225" spans="1:26" ht="6.95" customHeight="1" x14ac:dyDescent="0.3">
      <c r="A4225" s="154"/>
      <c r="B4225" s="157"/>
      <c r="C4225" s="158"/>
      <c r="D4225" s="161"/>
      <c r="E4225" s="162"/>
      <c r="F4225" s="163"/>
      <c r="G4225" s="164"/>
      <c r="H4225" s="165"/>
      <c r="I4225" s="164"/>
      <c r="J4225" s="165"/>
      <c r="K4225" s="164"/>
      <c r="L4225" s="165"/>
      <c r="M4225" s="6"/>
      <c r="N4225" s="32"/>
      <c r="Q4225" s="10" t="str">
        <f>+CONCATENATE(E4224,I4224)</f>
        <v/>
      </c>
      <c r="R4225" s="10">
        <f>+J4224</f>
        <v>0</v>
      </c>
      <c r="S4225" s="11"/>
      <c r="T4225" s="10">
        <f>+E4224</f>
        <v>0</v>
      </c>
      <c r="U4225" s="19" t="str">
        <f>IFERROR(LEFT(I4224,FIND("*",I4224)-1),"-")</f>
        <v>-</v>
      </c>
      <c r="V4225" s="19" t="str">
        <f>IFERROR(RIGHT(I4224,LEN(I4224)-FIND("*",I4224)),"-")</f>
        <v>-</v>
      </c>
      <c r="W4225" s="20" t="str">
        <f t="shared" ref="W4225:W4232" si="2296">IFERROR((U4225+V4225)*2/1000,"-")</f>
        <v>-</v>
      </c>
      <c r="X4225" s="20" t="str">
        <f>IFERROR(W4225*J4224,"-")</f>
        <v>-</v>
      </c>
      <c r="Z4225" s="85" t="s">
        <v>82</v>
      </c>
    </row>
    <row r="4226" spans="1:26" ht="6.95" customHeight="1" x14ac:dyDescent="0.3">
      <c r="A4226" s="154"/>
      <c r="B4226" s="157"/>
      <c r="C4226" s="158"/>
      <c r="D4226" s="161"/>
      <c r="E4226" s="162"/>
      <c r="F4226" s="163"/>
      <c r="G4226" s="164"/>
      <c r="H4226" s="165"/>
      <c r="I4226" s="164"/>
      <c r="J4226" s="165"/>
      <c r="K4226" s="164"/>
      <c r="L4226" s="165"/>
      <c r="M4226" s="6"/>
      <c r="N4226" s="32"/>
      <c r="Q4226" s="10" t="str">
        <f>+CONCATENATE(E4224,K4224)</f>
        <v/>
      </c>
      <c r="R4226" s="10">
        <f>+L4224</f>
        <v>0</v>
      </c>
      <c r="S4226" s="11"/>
      <c r="T4226" s="10">
        <f>+E4224</f>
        <v>0</v>
      </c>
      <c r="U4226" s="19" t="str">
        <f>IFERROR(LEFT(K4224,FIND("*",K4224)-1),"-")</f>
        <v>-</v>
      </c>
      <c r="V4226" s="19" t="str">
        <f>IFERROR(RIGHT(K4224,LEN(K4224)-FIND("*",K4224)),"-")</f>
        <v>-</v>
      </c>
      <c r="W4226" s="20" t="str">
        <f t="shared" si="2296"/>
        <v>-</v>
      </c>
      <c r="X4226" s="20" t="str">
        <f>IFERROR(W4226*L4224,"-")</f>
        <v>-</v>
      </c>
      <c r="Z4226" s="85" t="s">
        <v>82</v>
      </c>
    </row>
    <row r="4227" spans="1:26" ht="6.95" customHeight="1" x14ac:dyDescent="0.3">
      <c r="A4227" s="8"/>
      <c r="B4227" s="157"/>
      <c r="C4227" s="158"/>
      <c r="D4227" s="161" t="s">
        <v>39</v>
      </c>
      <c r="E4227" s="162"/>
      <c r="F4227" s="163" t="s">
        <v>40</v>
      </c>
      <c r="G4227" s="164"/>
      <c r="H4227" s="165"/>
      <c r="I4227" s="164"/>
      <c r="J4227" s="165"/>
      <c r="K4227" s="164"/>
      <c r="L4227" s="165"/>
      <c r="M4227" s="6"/>
      <c r="N4227" s="32"/>
      <c r="Q4227" s="10" t="str">
        <f>+CONCATENATE(E4227,G4227)</f>
        <v/>
      </c>
      <c r="R4227" s="10">
        <f>+H4227</f>
        <v>0</v>
      </c>
      <c r="S4227" s="11"/>
      <c r="T4227" s="10">
        <f>+E4227</f>
        <v>0</v>
      </c>
      <c r="U4227" s="19" t="str">
        <f t="shared" ref="U4227" si="2297">IFERROR(LEFT(G4227,FIND("*",G4227)-1),"-")</f>
        <v>-</v>
      </c>
      <c r="V4227" s="19" t="str">
        <f t="shared" ref="V4227" si="2298">IFERROR(RIGHT(G4227,LEN(G4227)-FIND("*",G4227)),"-")</f>
        <v>-</v>
      </c>
      <c r="W4227" s="20" t="str">
        <f t="shared" si="2296"/>
        <v>-</v>
      </c>
      <c r="X4227" s="20" t="str">
        <f>IFERROR(W4227*H4227,"-")</f>
        <v>-</v>
      </c>
      <c r="Z4227" s="85" t="s">
        <v>82</v>
      </c>
    </row>
    <row r="4228" spans="1:26" ht="6.95" customHeight="1" x14ac:dyDescent="0.3">
      <c r="A4228" s="5"/>
      <c r="B4228" s="157"/>
      <c r="C4228" s="158"/>
      <c r="D4228" s="161"/>
      <c r="E4228" s="162"/>
      <c r="F4228" s="163"/>
      <c r="G4228" s="164"/>
      <c r="H4228" s="165"/>
      <c r="I4228" s="164"/>
      <c r="J4228" s="165"/>
      <c r="K4228" s="164"/>
      <c r="L4228" s="165"/>
      <c r="M4228" s="6"/>
      <c r="N4228" s="32"/>
      <c r="Q4228" s="10" t="str">
        <f>+CONCATENATE(E4227,I4227)</f>
        <v/>
      </c>
      <c r="R4228" s="10">
        <f>+J4227</f>
        <v>0</v>
      </c>
      <c r="S4228" s="11"/>
      <c r="T4228" s="10">
        <f>+E4227</f>
        <v>0</v>
      </c>
      <c r="U4228" s="19" t="str">
        <f>IFERROR(LEFT(I4227,FIND("*",I4227)-1),"-")</f>
        <v>-</v>
      </c>
      <c r="V4228" s="19" t="str">
        <f>IFERROR(RIGHT(I4227,LEN(I4227)-FIND("*",I4227)),"-")</f>
        <v>-</v>
      </c>
      <c r="W4228" s="20" t="str">
        <f t="shared" si="2296"/>
        <v>-</v>
      </c>
      <c r="X4228" s="20" t="str">
        <f>IFERROR(W4228*J4227,"-")</f>
        <v>-</v>
      </c>
      <c r="Z4228" s="85" t="s">
        <v>82</v>
      </c>
    </row>
    <row r="4229" spans="1:26" ht="6.95" customHeight="1" x14ac:dyDescent="0.3">
      <c r="A4229" s="5"/>
      <c r="B4229" s="157"/>
      <c r="C4229" s="158"/>
      <c r="D4229" s="161"/>
      <c r="E4229" s="162"/>
      <c r="F4229" s="163"/>
      <c r="G4229" s="164"/>
      <c r="H4229" s="165"/>
      <c r="I4229" s="164"/>
      <c r="J4229" s="165"/>
      <c r="K4229" s="164"/>
      <c r="L4229" s="165"/>
      <c r="M4229" s="6"/>
      <c r="N4229" s="32"/>
      <c r="Q4229" s="10" t="str">
        <f>+CONCATENATE(E4227,K4227)</f>
        <v/>
      </c>
      <c r="R4229" s="10">
        <f>+L4227</f>
        <v>0</v>
      </c>
      <c r="S4229" s="11"/>
      <c r="T4229" s="10">
        <f>+E4227</f>
        <v>0</v>
      </c>
      <c r="U4229" s="19" t="str">
        <f>IFERROR(LEFT(K4227,FIND("*",K4227)-1),"-")</f>
        <v>-</v>
      </c>
      <c r="V4229" s="19" t="str">
        <f>IFERROR(RIGHT(K4227,LEN(K4227)-FIND("*",K4227)),"-")</f>
        <v>-</v>
      </c>
      <c r="W4229" s="20" t="str">
        <f t="shared" si="2296"/>
        <v>-</v>
      </c>
      <c r="X4229" s="20" t="str">
        <f>IFERROR(W4229*L4227,"-")</f>
        <v>-</v>
      </c>
      <c r="Z4229" s="85" t="s">
        <v>82</v>
      </c>
    </row>
    <row r="4230" spans="1:26" ht="6.95" customHeight="1" x14ac:dyDescent="0.3">
      <c r="A4230" s="8"/>
      <c r="B4230" s="157"/>
      <c r="C4230" s="158"/>
      <c r="D4230" s="161" t="s">
        <v>39</v>
      </c>
      <c r="E4230" s="162"/>
      <c r="F4230" s="163" t="s">
        <v>40</v>
      </c>
      <c r="G4230" s="164"/>
      <c r="H4230" s="165"/>
      <c r="I4230" s="164"/>
      <c r="J4230" s="165"/>
      <c r="K4230" s="164"/>
      <c r="L4230" s="165"/>
      <c r="M4230" s="6"/>
      <c r="N4230" s="32"/>
      <c r="Q4230" s="10" t="str">
        <f>+CONCATENATE(E4230,G4230)</f>
        <v/>
      </c>
      <c r="R4230" s="10">
        <f>+H4230</f>
        <v>0</v>
      </c>
      <c r="S4230" s="11"/>
      <c r="T4230" s="10">
        <f>+E4230</f>
        <v>0</v>
      </c>
      <c r="U4230" s="19" t="str">
        <f t="shared" ref="U4230" si="2299">IFERROR(LEFT(G4230,FIND("*",G4230)-1),"-")</f>
        <v>-</v>
      </c>
      <c r="V4230" s="19" t="str">
        <f t="shared" ref="V4230" si="2300">IFERROR(RIGHT(G4230,LEN(G4230)-FIND("*",G4230)),"-")</f>
        <v>-</v>
      </c>
      <c r="W4230" s="20" t="str">
        <f t="shared" si="2296"/>
        <v>-</v>
      </c>
      <c r="X4230" s="20" t="str">
        <f>IFERROR(W4230*H4230,"-")</f>
        <v>-</v>
      </c>
      <c r="Z4230" s="85" t="s">
        <v>82</v>
      </c>
    </row>
    <row r="4231" spans="1:26" ht="6.95" customHeight="1" x14ac:dyDescent="0.3">
      <c r="A4231" s="5"/>
      <c r="B4231" s="157"/>
      <c r="C4231" s="158"/>
      <c r="D4231" s="161"/>
      <c r="E4231" s="162"/>
      <c r="F4231" s="163"/>
      <c r="G4231" s="164"/>
      <c r="H4231" s="165"/>
      <c r="I4231" s="164"/>
      <c r="J4231" s="165"/>
      <c r="K4231" s="164"/>
      <c r="L4231" s="165"/>
      <c r="M4231" s="6"/>
      <c r="N4231" s="32"/>
      <c r="Q4231" s="10" t="str">
        <f>+CONCATENATE(E4230,I4230)</f>
        <v/>
      </c>
      <c r="R4231" s="10">
        <f>+J4230</f>
        <v>0</v>
      </c>
      <c r="S4231" s="11"/>
      <c r="T4231" s="10">
        <f>+E4230</f>
        <v>0</v>
      </c>
      <c r="U4231" s="19" t="str">
        <f>IFERROR(LEFT(I4230,FIND("*",I4230)-1),"-")</f>
        <v>-</v>
      </c>
      <c r="V4231" s="19" t="str">
        <f>IFERROR(RIGHT(I4230,LEN(I4230)-FIND("*",I4230)),"-")</f>
        <v>-</v>
      </c>
      <c r="W4231" s="20" t="str">
        <f t="shared" si="2296"/>
        <v>-</v>
      </c>
      <c r="X4231" s="20" t="str">
        <f t="shared" ref="X4231" si="2301">IFERROR(W4231*J4230,"-")</f>
        <v>-</v>
      </c>
      <c r="Z4231" s="85" t="s">
        <v>82</v>
      </c>
    </row>
    <row r="4232" spans="1:26" ht="6.95" customHeight="1" x14ac:dyDescent="0.3">
      <c r="A4232" s="5"/>
      <c r="B4232" s="157"/>
      <c r="C4232" s="158"/>
      <c r="D4232" s="161"/>
      <c r="E4232" s="162"/>
      <c r="F4232" s="163"/>
      <c r="G4232" s="164"/>
      <c r="H4232" s="165"/>
      <c r="I4232" s="164"/>
      <c r="J4232" s="165"/>
      <c r="K4232" s="164"/>
      <c r="L4232" s="165"/>
      <c r="M4232" s="6"/>
      <c r="N4232" s="32"/>
      <c r="Q4232" s="10" t="str">
        <f>+CONCATENATE(E4230,K4230)</f>
        <v/>
      </c>
      <c r="R4232" s="10">
        <f>+L4230</f>
        <v>0</v>
      </c>
      <c r="S4232" s="11"/>
      <c r="T4232" s="10">
        <f>+E4230</f>
        <v>0</v>
      </c>
      <c r="U4232" s="19" t="str">
        <f>IFERROR(LEFT(K4230,FIND("*",K4230)-1),"-")</f>
        <v>-</v>
      </c>
      <c r="V4232" s="19" t="str">
        <f>IFERROR(RIGHT(K4230,LEN(K4230)-FIND("*",K4230)),"-")</f>
        <v>-</v>
      </c>
      <c r="W4232" s="20" t="str">
        <f t="shared" si="2296"/>
        <v>-</v>
      </c>
      <c r="X4232" s="20" t="str">
        <f>IFERROR(W4232*L4230,"-")</f>
        <v>-</v>
      </c>
      <c r="Z4232" s="85" t="s">
        <v>82</v>
      </c>
    </row>
    <row r="4233" spans="1:26" ht="21" customHeight="1" thickBot="1" x14ac:dyDescent="0.35">
      <c r="A4233" s="5"/>
      <c r="B4233" s="159"/>
      <c r="C4233" s="160"/>
      <c r="D4233" s="166" t="s">
        <v>43</v>
      </c>
      <c r="E4233" s="167"/>
      <c r="F4233" s="167"/>
      <c r="G4233" s="168"/>
      <c r="H4233" s="168"/>
      <c r="I4233" s="168"/>
      <c r="J4233" s="168"/>
      <c r="K4233" s="168"/>
      <c r="L4233" s="168"/>
      <c r="M4233" s="7"/>
      <c r="N4233" s="32"/>
      <c r="Z4233" s="86" t="s">
        <v>81</v>
      </c>
    </row>
    <row r="4234" spans="1:26" ht="9.9499999999999993" customHeight="1" thickBot="1" x14ac:dyDescent="0.35">
      <c r="B4234" s="9"/>
      <c r="C4234" s="109"/>
      <c r="D4234" s="51"/>
      <c r="E4234" s="12"/>
      <c r="F4234" s="51"/>
      <c r="G4234" s="14"/>
      <c r="H4234" s="14"/>
      <c r="I4234" s="14"/>
      <c r="J4234" s="14"/>
      <c r="K4234" s="14"/>
      <c r="L4234" s="14"/>
      <c r="M4234" s="9"/>
      <c r="N4234" s="32"/>
      <c r="U4234" s="18"/>
      <c r="V4234" s="18"/>
      <c r="Z4234" s="85" t="s">
        <v>82</v>
      </c>
    </row>
    <row r="4235" spans="1:26" ht="6.95" customHeight="1" x14ac:dyDescent="0.3">
      <c r="A4235" s="154">
        <f>+A4224+1</f>
        <v>1184</v>
      </c>
      <c r="B4235" s="155"/>
      <c r="C4235" s="156"/>
      <c r="D4235" s="161" t="s">
        <v>39</v>
      </c>
      <c r="E4235" s="162"/>
      <c r="F4235" s="163" t="s">
        <v>40</v>
      </c>
      <c r="G4235" s="164"/>
      <c r="H4235" s="165"/>
      <c r="I4235" s="164"/>
      <c r="J4235" s="165"/>
      <c r="K4235" s="164"/>
      <c r="L4235" s="165"/>
      <c r="M4235" s="6"/>
      <c r="N4235" s="32"/>
      <c r="Q4235" s="10" t="str">
        <f>+CONCATENATE(E4235,G4235)</f>
        <v/>
      </c>
      <c r="R4235" s="10">
        <f>+H4235</f>
        <v>0</v>
      </c>
      <c r="S4235" s="11"/>
      <c r="T4235" s="10">
        <f>+E4235</f>
        <v>0</v>
      </c>
      <c r="U4235" s="19" t="str">
        <f>IFERROR(LEFT(G4235,FIND("*",G4235)-1),"-")</f>
        <v>-</v>
      </c>
      <c r="V4235" s="19" t="str">
        <f>IFERROR(RIGHT(G4235,LEN(G4235)-FIND("*",G4235)),"-")</f>
        <v>-</v>
      </c>
      <c r="W4235" s="20" t="str">
        <f>IFERROR((U4235+V4235)*2/1000,"-")</f>
        <v>-</v>
      </c>
      <c r="X4235" s="20" t="str">
        <f>IFERROR(W4235*H4235,"-")</f>
        <v>-</v>
      </c>
      <c r="Z4235" s="85" t="s">
        <v>82</v>
      </c>
    </row>
    <row r="4236" spans="1:26" ht="6.95" customHeight="1" x14ac:dyDescent="0.3">
      <c r="A4236" s="154"/>
      <c r="B4236" s="157"/>
      <c r="C4236" s="158"/>
      <c r="D4236" s="161"/>
      <c r="E4236" s="162"/>
      <c r="F4236" s="163"/>
      <c r="G4236" s="164"/>
      <c r="H4236" s="165"/>
      <c r="I4236" s="164"/>
      <c r="J4236" s="165"/>
      <c r="K4236" s="164"/>
      <c r="L4236" s="165"/>
      <c r="M4236" s="6"/>
      <c r="N4236" s="32"/>
      <c r="Q4236" s="10" t="str">
        <f>+CONCATENATE(E4235,I4235)</f>
        <v/>
      </c>
      <c r="R4236" s="10">
        <f>+J4235</f>
        <v>0</v>
      </c>
      <c r="S4236" s="11"/>
      <c r="T4236" s="10">
        <f>+E4235</f>
        <v>0</v>
      </c>
      <c r="U4236" s="19" t="str">
        <f>IFERROR(LEFT(I4235,FIND("*",I4235)-1),"-")</f>
        <v>-</v>
      </c>
      <c r="V4236" s="19" t="str">
        <f>IFERROR(RIGHT(I4235,LEN(I4235)-FIND("*",I4235)),"-")</f>
        <v>-</v>
      </c>
      <c r="W4236" s="20" t="str">
        <f t="shared" ref="W4236:W4243" si="2302">IFERROR((U4236+V4236)*2/1000,"-")</f>
        <v>-</v>
      </c>
      <c r="X4236" s="20" t="str">
        <f>IFERROR(W4236*J4235,"-")</f>
        <v>-</v>
      </c>
      <c r="Z4236" s="85" t="s">
        <v>82</v>
      </c>
    </row>
    <row r="4237" spans="1:26" ht="6.95" customHeight="1" x14ac:dyDescent="0.3">
      <c r="A4237" s="154"/>
      <c r="B4237" s="157"/>
      <c r="C4237" s="158"/>
      <c r="D4237" s="161"/>
      <c r="E4237" s="162"/>
      <c r="F4237" s="163"/>
      <c r="G4237" s="164"/>
      <c r="H4237" s="165"/>
      <c r="I4237" s="164"/>
      <c r="J4237" s="165"/>
      <c r="K4237" s="164"/>
      <c r="L4237" s="165"/>
      <c r="M4237" s="6"/>
      <c r="N4237" s="32"/>
      <c r="Q4237" s="10" t="str">
        <f>+CONCATENATE(E4235,K4235)</f>
        <v/>
      </c>
      <c r="R4237" s="10">
        <f>+L4235</f>
        <v>0</v>
      </c>
      <c r="S4237" s="11"/>
      <c r="T4237" s="10">
        <f>+E4235</f>
        <v>0</v>
      </c>
      <c r="U4237" s="19" t="str">
        <f>IFERROR(LEFT(K4235,FIND("*",K4235)-1),"-")</f>
        <v>-</v>
      </c>
      <c r="V4237" s="19" t="str">
        <f>IFERROR(RIGHT(K4235,LEN(K4235)-FIND("*",K4235)),"-")</f>
        <v>-</v>
      </c>
      <c r="W4237" s="20" t="str">
        <f t="shared" si="2302"/>
        <v>-</v>
      </c>
      <c r="X4237" s="20" t="str">
        <f>IFERROR(W4237*L4235,"-")</f>
        <v>-</v>
      </c>
      <c r="Z4237" s="85" t="s">
        <v>82</v>
      </c>
    </row>
    <row r="4238" spans="1:26" ht="6.95" customHeight="1" x14ac:dyDescent="0.3">
      <c r="A4238" s="8"/>
      <c r="B4238" s="157"/>
      <c r="C4238" s="158"/>
      <c r="D4238" s="161" t="s">
        <v>39</v>
      </c>
      <c r="E4238" s="162"/>
      <c r="F4238" s="163" t="s">
        <v>40</v>
      </c>
      <c r="G4238" s="164"/>
      <c r="H4238" s="165"/>
      <c r="I4238" s="164"/>
      <c r="J4238" s="165"/>
      <c r="K4238" s="164"/>
      <c r="L4238" s="165"/>
      <c r="M4238" s="6"/>
      <c r="N4238" s="32"/>
      <c r="Q4238" s="10" t="str">
        <f>+CONCATENATE(E4238,G4238)</f>
        <v/>
      </c>
      <c r="R4238" s="10">
        <f>+H4238</f>
        <v>0</v>
      </c>
      <c r="S4238" s="11"/>
      <c r="T4238" s="10">
        <f>+E4238</f>
        <v>0</v>
      </c>
      <c r="U4238" s="19" t="str">
        <f t="shared" ref="U4238" si="2303">IFERROR(LEFT(G4238,FIND("*",G4238)-1),"-")</f>
        <v>-</v>
      </c>
      <c r="V4238" s="19" t="str">
        <f t="shared" ref="V4238" si="2304">IFERROR(RIGHT(G4238,LEN(G4238)-FIND("*",G4238)),"-")</f>
        <v>-</v>
      </c>
      <c r="W4238" s="20" t="str">
        <f t="shared" si="2302"/>
        <v>-</v>
      </c>
      <c r="X4238" s="20" t="str">
        <f>IFERROR(W4238*H4238,"-")</f>
        <v>-</v>
      </c>
      <c r="Z4238" s="85" t="s">
        <v>82</v>
      </c>
    </row>
    <row r="4239" spans="1:26" ht="6.95" customHeight="1" x14ac:dyDescent="0.3">
      <c r="A4239" s="5"/>
      <c r="B4239" s="157"/>
      <c r="C4239" s="158"/>
      <c r="D4239" s="161"/>
      <c r="E4239" s="162"/>
      <c r="F4239" s="163"/>
      <c r="G4239" s="164"/>
      <c r="H4239" s="165"/>
      <c r="I4239" s="164"/>
      <c r="J4239" s="165"/>
      <c r="K4239" s="164"/>
      <c r="L4239" s="165"/>
      <c r="M4239" s="6"/>
      <c r="N4239" s="32"/>
      <c r="Q4239" s="10" t="str">
        <f>+CONCATENATE(E4238,I4238)</f>
        <v/>
      </c>
      <c r="R4239" s="10">
        <f>+J4238</f>
        <v>0</v>
      </c>
      <c r="S4239" s="11"/>
      <c r="T4239" s="10">
        <f>+E4238</f>
        <v>0</v>
      </c>
      <c r="U4239" s="19" t="str">
        <f>IFERROR(LEFT(I4238,FIND("*",I4238)-1),"-")</f>
        <v>-</v>
      </c>
      <c r="V4239" s="19" t="str">
        <f>IFERROR(RIGHT(I4238,LEN(I4238)-FIND("*",I4238)),"-")</f>
        <v>-</v>
      </c>
      <c r="W4239" s="20" t="str">
        <f t="shared" si="2302"/>
        <v>-</v>
      </c>
      <c r="X4239" s="20" t="str">
        <f>IFERROR(W4239*J4238,"-")</f>
        <v>-</v>
      </c>
      <c r="Z4239" s="85" t="s">
        <v>82</v>
      </c>
    </row>
    <row r="4240" spans="1:26" ht="6.95" customHeight="1" x14ac:dyDescent="0.3">
      <c r="A4240" s="5"/>
      <c r="B4240" s="157"/>
      <c r="C4240" s="158"/>
      <c r="D4240" s="161"/>
      <c r="E4240" s="162"/>
      <c r="F4240" s="163"/>
      <c r="G4240" s="164"/>
      <c r="H4240" s="165"/>
      <c r="I4240" s="164"/>
      <c r="J4240" s="165"/>
      <c r="K4240" s="164"/>
      <c r="L4240" s="165"/>
      <c r="M4240" s="6"/>
      <c r="N4240" s="32"/>
      <c r="Q4240" s="10" t="str">
        <f>+CONCATENATE(E4238,K4238)</f>
        <v/>
      </c>
      <c r="R4240" s="10">
        <f>+L4238</f>
        <v>0</v>
      </c>
      <c r="S4240" s="11"/>
      <c r="T4240" s="10">
        <f>+E4238</f>
        <v>0</v>
      </c>
      <c r="U4240" s="19" t="str">
        <f>IFERROR(LEFT(K4238,FIND("*",K4238)-1),"-")</f>
        <v>-</v>
      </c>
      <c r="V4240" s="19" t="str">
        <f>IFERROR(RIGHT(K4238,LEN(K4238)-FIND("*",K4238)),"-")</f>
        <v>-</v>
      </c>
      <c r="W4240" s="20" t="str">
        <f t="shared" si="2302"/>
        <v>-</v>
      </c>
      <c r="X4240" s="20" t="str">
        <f>IFERROR(W4240*L4238,"-")</f>
        <v>-</v>
      </c>
      <c r="Z4240" s="85" t="s">
        <v>82</v>
      </c>
    </row>
    <row r="4241" spans="1:26" ht="6.95" customHeight="1" x14ac:dyDescent="0.3">
      <c r="A4241" s="8"/>
      <c r="B4241" s="157"/>
      <c r="C4241" s="158"/>
      <c r="D4241" s="161" t="s">
        <v>39</v>
      </c>
      <c r="E4241" s="162"/>
      <c r="F4241" s="163" t="s">
        <v>40</v>
      </c>
      <c r="G4241" s="164"/>
      <c r="H4241" s="165"/>
      <c r="I4241" s="164"/>
      <c r="J4241" s="165"/>
      <c r="K4241" s="164"/>
      <c r="L4241" s="165"/>
      <c r="M4241" s="6"/>
      <c r="N4241" s="32"/>
      <c r="Q4241" s="10" t="str">
        <f>+CONCATENATE(E4241,G4241)</f>
        <v/>
      </c>
      <c r="R4241" s="10">
        <f>+H4241</f>
        <v>0</v>
      </c>
      <c r="S4241" s="11"/>
      <c r="T4241" s="10">
        <f>+E4241</f>
        <v>0</v>
      </c>
      <c r="U4241" s="19" t="str">
        <f t="shared" ref="U4241" si="2305">IFERROR(LEFT(G4241,FIND("*",G4241)-1),"-")</f>
        <v>-</v>
      </c>
      <c r="V4241" s="19" t="str">
        <f t="shared" ref="V4241" si="2306">IFERROR(RIGHT(G4241,LEN(G4241)-FIND("*",G4241)),"-")</f>
        <v>-</v>
      </c>
      <c r="W4241" s="20" t="str">
        <f t="shared" si="2302"/>
        <v>-</v>
      </c>
      <c r="X4241" s="20" t="str">
        <f>IFERROR(W4241*H4241,"-")</f>
        <v>-</v>
      </c>
      <c r="Z4241" s="85" t="s">
        <v>82</v>
      </c>
    </row>
    <row r="4242" spans="1:26" ht="6.95" customHeight="1" x14ac:dyDescent="0.3">
      <c r="A4242" s="5"/>
      <c r="B4242" s="157"/>
      <c r="C4242" s="158"/>
      <c r="D4242" s="161"/>
      <c r="E4242" s="162"/>
      <c r="F4242" s="163"/>
      <c r="G4242" s="164"/>
      <c r="H4242" s="165"/>
      <c r="I4242" s="164"/>
      <c r="J4242" s="165"/>
      <c r="K4242" s="164"/>
      <c r="L4242" s="165"/>
      <c r="M4242" s="6"/>
      <c r="N4242" s="32"/>
      <c r="Q4242" s="10" t="str">
        <f>+CONCATENATE(E4241,I4241)</f>
        <v/>
      </c>
      <c r="R4242" s="10">
        <f>+J4241</f>
        <v>0</v>
      </c>
      <c r="S4242" s="11"/>
      <c r="T4242" s="10">
        <f>+E4241</f>
        <v>0</v>
      </c>
      <c r="U4242" s="19" t="str">
        <f>IFERROR(LEFT(I4241,FIND("*",I4241)-1),"-")</f>
        <v>-</v>
      </c>
      <c r="V4242" s="19" t="str">
        <f>IFERROR(RIGHT(I4241,LEN(I4241)-FIND("*",I4241)),"-")</f>
        <v>-</v>
      </c>
      <c r="W4242" s="20" t="str">
        <f t="shared" si="2302"/>
        <v>-</v>
      </c>
      <c r="X4242" s="20" t="str">
        <f t="shared" ref="X4242" si="2307">IFERROR(W4242*J4241,"-")</f>
        <v>-</v>
      </c>
      <c r="Z4242" s="85" t="s">
        <v>82</v>
      </c>
    </row>
    <row r="4243" spans="1:26" ht="6.95" customHeight="1" x14ac:dyDescent="0.3">
      <c r="A4243" s="5"/>
      <c r="B4243" s="157"/>
      <c r="C4243" s="158"/>
      <c r="D4243" s="161"/>
      <c r="E4243" s="162"/>
      <c r="F4243" s="163"/>
      <c r="G4243" s="164"/>
      <c r="H4243" s="165"/>
      <c r="I4243" s="164"/>
      <c r="J4243" s="165"/>
      <c r="K4243" s="164"/>
      <c r="L4243" s="165"/>
      <c r="M4243" s="6"/>
      <c r="N4243" s="32"/>
      <c r="Q4243" s="10" t="str">
        <f>+CONCATENATE(E4241,K4241)</f>
        <v/>
      </c>
      <c r="R4243" s="10">
        <f>+L4241</f>
        <v>0</v>
      </c>
      <c r="S4243" s="11"/>
      <c r="T4243" s="10">
        <f>+E4241</f>
        <v>0</v>
      </c>
      <c r="U4243" s="19" t="str">
        <f>IFERROR(LEFT(K4241,FIND("*",K4241)-1),"-")</f>
        <v>-</v>
      </c>
      <c r="V4243" s="19" t="str">
        <f>IFERROR(RIGHT(K4241,LEN(K4241)-FIND("*",K4241)),"-")</f>
        <v>-</v>
      </c>
      <c r="W4243" s="20" t="str">
        <f t="shared" si="2302"/>
        <v>-</v>
      </c>
      <c r="X4243" s="20" t="str">
        <f>IFERROR(W4243*L4241,"-")</f>
        <v>-</v>
      </c>
      <c r="Z4243" s="85" t="s">
        <v>82</v>
      </c>
    </row>
    <row r="4244" spans="1:26" ht="21" customHeight="1" thickBot="1" x14ac:dyDescent="0.35">
      <c r="A4244" s="5"/>
      <c r="B4244" s="159"/>
      <c r="C4244" s="160"/>
      <c r="D4244" s="166" t="s">
        <v>43</v>
      </c>
      <c r="E4244" s="167"/>
      <c r="F4244" s="167"/>
      <c r="G4244" s="168"/>
      <c r="H4244" s="168"/>
      <c r="I4244" s="168"/>
      <c r="J4244" s="168"/>
      <c r="K4244" s="168"/>
      <c r="L4244" s="168"/>
      <c r="M4244" s="7"/>
      <c r="N4244" s="32"/>
      <c r="Z4244" s="86" t="s">
        <v>81</v>
      </c>
    </row>
    <row r="4245" spans="1:26" ht="9.9499999999999993" customHeight="1" thickBot="1" x14ac:dyDescent="0.35">
      <c r="B4245" s="9"/>
      <c r="C4245" s="109"/>
      <c r="D4245" s="51"/>
      <c r="E4245" s="12"/>
      <c r="F4245" s="51"/>
      <c r="G4245" s="14"/>
      <c r="H4245" s="14"/>
      <c r="I4245" s="14"/>
      <c r="J4245" s="14"/>
      <c r="K4245" s="14"/>
      <c r="L4245" s="14"/>
      <c r="M4245" s="9"/>
      <c r="N4245" s="32"/>
      <c r="U4245" s="18"/>
      <c r="V4245" s="18"/>
      <c r="Z4245" s="85" t="s">
        <v>82</v>
      </c>
    </row>
    <row r="4246" spans="1:26" ht="6.95" customHeight="1" x14ac:dyDescent="0.3">
      <c r="A4246" s="154">
        <f>+A4235+1</f>
        <v>1185</v>
      </c>
      <c r="B4246" s="155"/>
      <c r="C4246" s="156"/>
      <c r="D4246" s="161" t="s">
        <v>39</v>
      </c>
      <c r="E4246" s="162"/>
      <c r="F4246" s="163" t="s">
        <v>40</v>
      </c>
      <c r="G4246" s="164"/>
      <c r="H4246" s="165"/>
      <c r="I4246" s="164"/>
      <c r="J4246" s="165"/>
      <c r="K4246" s="164"/>
      <c r="L4246" s="165"/>
      <c r="M4246" s="6"/>
      <c r="N4246" s="32"/>
      <c r="Q4246" s="10" t="str">
        <f>+CONCATENATE(E4246,G4246)</f>
        <v/>
      </c>
      <c r="R4246" s="10">
        <f>+H4246</f>
        <v>0</v>
      </c>
      <c r="S4246" s="11"/>
      <c r="T4246" s="10">
        <f>+E4246</f>
        <v>0</v>
      </c>
      <c r="U4246" s="19" t="str">
        <f>IFERROR(LEFT(G4246,FIND("*",G4246)-1),"-")</f>
        <v>-</v>
      </c>
      <c r="V4246" s="19" t="str">
        <f>IFERROR(RIGHT(G4246,LEN(G4246)-FIND("*",G4246)),"-")</f>
        <v>-</v>
      </c>
      <c r="W4246" s="20" t="str">
        <f>IFERROR((U4246+V4246)*2/1000,"-")</f>
        <v>-</v>
      </c>
      <c r="X4246" s="20" t="str">
        <f>IFERROR(W4246*H4246,"-")</f>
        <v>-</v>
      </c>
      <c r="Z4246" s="85" t="s">
        <v>82</v>
      </c>
    </row>
    <row r="4247" spans="1:26" ht="6.95" customHeight="1" x14ac:dyDescent="0.3">
      <c r="A4247" s="154"/>
      <c r="B4247" s="157"/>
      <c r="C4247" s="158"/>
      <c r="D4247" s="161"/>
      <c r="E4247" s="162"/>
      <c r="F4247" s="163"/>
      <c r="G4247" s="164"/>
      <c r="H4247" s="165"/>
      <c r="I4247" s="164"/>
      <c r="J4247" s="165"/>
      <c r="K4247" s="164"/>
      <c r="L4247" s="165"/>
      <c r="M4247" s="6"/>
      <c r="N4247" s="32"/>
      <c r="Q4247" s="10" t="str">
        <f>+CONCATENATE(E4246,I4246)</f>
        <v/>
      </c>
      <c r="R4247" s="10">
        <f>+J4246</f>
        <v>0</v>
      </c>
      <c r="S4247" s="11"/>
      <c r="T4247" s="10">
        <f>+E4246</f>
        <v>0</v>
      </c>
      <c r="U4247" s="19" t="str">
        <f>IFERROR(LEFT(I4246,FIND("*",I4246)-1),"-")</f>
        <v>-</v>
      </c>
      <c r="V4247" s="19" t="str">
        <f>IFERROR(RIGHT(I4246,LEN(I4246)-FIND("*",I4246)),"-")</f>
        <v>-</v>
      </c>
      <c r="W4247" s="20" t="str">
        <f t="shared" ref="W4247:W4254" si="2308">IFERROR((U4247+V4247)*2/1000,"-")</f>
        <v>-</v>
      </c>
      <c r="X4247" s="20" t="str">
        <f>IFERROR(W4247*J4246,"-")</f>
        <v>-</v>
      </c>
      <c r="Z4247" s="85" t="s">
        <v>82</v>
      </c>
    </row>
    <row r="4248" spans="1:26" ht="6.95" customHeight="1" x14ac:dyDescent="0.3">
      <c r="A4248" s="154"/>
      <c r="B4248" s="157"/>
      <c r="C4248" s="158"/>
      <c r="D4248" s="161"/>
      <c r="E4248" s="162"/>
      <c r="F4248" s="163"/>
      <c r="G4248" s="164"/>
      <c r="H4248" s="165"/>
      <c r="I4248" s="164"/>
      <c r="J4248" s="165"/>
      <c r="K4248" s="164"/>
      <c r="L4248" s="165"/>
      <c r="M4248" s="6"/>
      <c r="N4248" s="32"/>
      <c r="Q4248" s="10" t="str">
        <f>+CONCATENATE(E4246,K4246)</f>
        <v/>
      </c>
      <c r="R4248" s="10">
        <f>+L4246</f>
        <v>0</v>
      </c>
      <c r="S4248" s="11"/>
      <c r="T4248" s="10">
        <f>+E4246</f>
        <v>0</v>
      </c>
      <c r="U4248" s="19" t="str">
        <f>IFERROR(LEFT(K4246,FIND("*",K4246)-1),"-")</f>
        <v>-</v>
      </c>
      <c r="V4248" s="19" t="str">
        <f>IFERROR(RIGHT(K4246,LEN(K4246)-FIND("*",K4246)),"-")</f>
        <v>-</v>
      </c>
      <c r="W4248" s="20" t="str">
        <f t="shared" si="2308"/>
        <v>-</v>
      </c>
      <c r="X4248" s="20" t="str">
        <f>IFERROR(W4248*L4246,"-")</f>
        <v>-</v>
      </c>
      <c r="Z4248" s="85" t="s">
        <v>82</v>
      </c>
    </row>
    <row r="4249" spans="1:26" ht="6.95" customHeight="1" x14ac:dyDescent="0.3">
      <c r="A4249" s="8"/>
      <c r="B4249" s="157"/>
      <c r="C4249" s="158"/>
      <c r="D4249" s="161" t="s">
        <v>39</v>
      </c>
      <c r="E4249" s="162"/>
      <c r="F4249" s="163" t="s">
        <v>40</v>
      </c>
      <c r="G4249" s="164"/>
      <c r="H4249" s="165"/>
      <c r="I4249" s="164"/>
      <c r="J4249" s="165"/>
      <c r="K4249" s="164"/>
      <c r="L4249" s="165"/>
      <c r="M4249" s="6"/>
      <c r="N4249" s="32"/>
      <c r="Q4249" s="10" t="str">
        <f>+CONCATENATE(E4249,G4249)</f>
        <v/>
      </c>
      <c r="R4249" s="10">
        <f>+H4249</f>
        <v>0</v>
      </c>
      <c r="S4249" s="11"/>
      <c r="T4249" s="10">
        <f>+E4249</f>
        <v>0</v>
      </c>
      <c r="U4249" s="19" t="str">
        <f t="shared" ref="U4249" si="2309">IFERROR(LEFT(G4249,FIND("*",G4249)-1),"-")</f>
        <v>-</v>
      </c>
      <c r="V4249" s="19" t="str">
        <f t="shared" ref="V4249" si="2310">IFERROR(RIGHT(G4249,LEN(G4249)-FIND("*",G4249)),"-")</f>
        <v>-</v>
      </c>
      <c r="W4249" s="20" t="str">
        <f t="shared" si="2308"/>
        <v>-</v>
      </c>
      <c r="X4249" s="20" t="str">
        <f>IFERROR(W4249*H4249,"-")</f>
        <v>-</v>
      </c>
      <c r="Z4249" s="85" t="s">
        <v>82</v>
      </c>
    </row>
    <row r="4250" spans="1:26" ht="6.95" customHeight="1" x14ac:dyDescent="0.3">
      <c r="A4250" s="5"/>
      <c r="B4250" s="157"/>
      <c r="C4250" s="158"/>
      <c r="D4250" s="161"/>
      <c r="E4250" s="162"/>
      <c r="F4250" s="163"/>
      <c r="G4250" s="164"/>
      <c r="H4250" s="165"/>
      <c r="I4250" s="164"/>
      <c r="J4250" s="165"/>
      <c r="K4250" s="164"/>
      <c r="L4250" s="165"/>
      <c r="M4250" s="6"/>
      <c r="N4250" s="32"/>
      <c r="Q4250" s="10" t="str">
        <f>+CONCATENATE(E4249,I4249)</f>
        <v/>
      </c>
      <c r="R4250" s="10">
        <f>+J4249</f>
        <v>0</v>
      </c>
      <c r="S4250" s="11"/>
      <c r="T4250" s="10">
        <f>+E4249</f>
        <v>0</v>
      </c>
      <c r="U4250" s="19" t="str">
        <f>IFERROR(LEFT(I4249,FIND("*",I4249)-1),"-")</f>
        <v>-</v>
      </c>
      <c r="V4250" s="19" t="str">
        <f>IFERROR(RIGHT(I4249,LEN(I4249)-FIND("*",I4249)),"-")</f>
        <v>-</v>
      </c>
      <c r="W4250" s="20" t="str">
        <f t="shared" si="2308"/>
        <v>-</v>
      </c>
      <c r="X4250" s="20" t="str">
        <f>IFERROR(W4250*J4249,"-")</f>
        <v>-</v>
      </c>
      <c r="Z4250" s="85" t="s">
        <v>82</v>
      </c>
    </row>
    <row r="4251" spans="1:26" ht="6.95" customHeight="1" x14ac:dyDescent="0.3">
      <c r="A4251" s="5"/>
      <c r="B4251" s="157"/>
      <c r="C4251" s="158"/>
      <c r="D4251" s="161"/>
      <c r="E4251" s="162"/>
      <c r="F4251" s="163"/>
      <c r="G4251" s="164"/>
      <c r="H4251" s="165"/>
      <c r="I4251" s="164"/>
      <c r="J4251" s="165"/>
      <c r="K4251" s="164"/>
      <c r="L4251" s="165"/>
      <c r="M4251" s="6"/>
      <c r="N4251" s="32"/>
      <c r="Q4251" s="10" t="str">
        <f>+CONCATENATE(E4249,K4249)</f>
        <v/>
      </c>
      <c r="R4251" s="10">
        <f>+L4249</f>
        <v>0</v>
      </c>
      <c r="S4251" s="11"/>
      <c r="T4251" s="10">
        <f>+E4249</f>
        <v>0</v>
      </c>
      <c r="U4251" s="19" t="str">
        <f>IFERROR(LEFT(K4249,FIND("*",K4249)-1),"-")</f>
        <v>-</v>
      </c>
      <c r="V4251" s="19" t="str">
        <f>IFERROR(RIGHT(K4249,LEN(K4249)-FIND("*",K4249)),"-")</f>
        <v>-</v>
      </c>
      <c r="W4251" s="20" t="str">
        <f t="shared" si="2308"/>
        <v>-</v>
      </c>
      <c r="X4251" s="20" t="str">
        <f>IFERROR(W4251*L4249,"-")</f>
        <v>-</v>
      </c>
      <c r="Z4251" s="85" t="s">
        <v>82</v>
      </c>
    </row>
    <row r="4252" spans="1:26" ht="6.95" customHeight="1" x14ac:dyDescent="0.3">
      <c r="A4252" s="8"/>
      <c r="B4252" s="157"/>
      <c r="C4252" s="158"/>
      <c r="D4252" s="161" t="s">
        <v>39</v>
      </c>
      <c r="E4252" s="162"/>
      <c r="F4252" s="163" t="s">
        <v>40</v>
      </c>
      <c r="G4252" s="164"/>
      <c r="H4252" s="165"/>
      <c r="I4252" s="164"/>
      <c r="J4252" s="165"/>
      <c r="K4252" s="164"/>
      <c r="L4252" s="165"/>
      <c r="M4252" s="6"/>
      <c r="N4252" s="32"/>
      <c r="Q4252" s="10" t="str">
        <f>+CONCATENATE(E4252,G4252)</f>
        <v/>
      </c>
      <c r="R4252" s="10">
        <f>+H4252</f>
        <v>0</v>
      </c>
      <c r="S4252" s="11"/>
      <c r="T4252" s="10">
        <f>+E4252</f>
        <v>0</v>
      </c>
      <c r="U4252" s="19" t="str">
        <f t="shared" ref="U4252" si="2311">IFERROR(LEFT(G4252,FIND("*",G4252)-1),"-")</f>
        <v>-</v>
      </c>
      <c r="V4252" s="19" t="str">
        <f t="shared" ref="V4252" si="2312">IFERROR(RIGHT(G4252,LEN(G4252)-FIND("*",G4252)),"-")</f>
        <v>-</v>
      </c>
      <c r="W4252" s="20" t="str">
        <f t="shared" si="2308"/>
        <v>-</v>
      </c>
      <c r="X4252" s="20" t="str">
        <f>IFERROR(W4252*H4252,"-")</f>
        <v>-</v>
      </c>
      <c r="Z4252" s="85" t="s">
        <v>82</v>
      </c>
    </row>
    <row r="4253" spans="1:26" ht="6.95" customHeight="1" x14ac:dyDescent="0.3">
      <c r="A4253" s="5"/>
      <c r="B4253" s="157"/>
      <c r="C4253" s="158"/>
      <c r="D4253" s="161"/>
      <c r="E4253" s="162"/>
      <c r="F4253" s="163"/>
      <c r="G4253" s="164"/>
      <c r="H4253" s="165"/>
      <c r="I4253" s="164"/>
      <c r="J4253" s="165"/>
      <c r="K4253" s="164"/>
      <c r="L4253" s="165"/>
      <c r="M4253" s="6"/>
      <c r="N4253" s="32"/>
      <c r="Q4253" s="10" t="str">
        <f>+CONCATENATE(E4252,I4252)</f>
        <v/>
      </c>
      <c r="R4253" s="10">
        <f>+J4252</f>
        <v>0</v>
      </c>
      <c r="S4253" s="11"/>
      <c r="T4253" s="10">
        <f>+E4252</f>
        <v>0</v>
      </c>
      <c r="U4253" s="19" t="str">
        <f>IFERROR(LEFT(I4252,FIND("*",I4252)-1),"-")</f>
        <v>-</v>
      </c>
      <c r="V4253" s="19" t="str">
        <f>IFERROR(RIGHT(I4252,LEN(I4252)-FIND("*",I4252)),"-")</f>
        <v>-</v>
      </c>
      <c r="W4253" s="20" t="str">
        <f t="shared" si="2308"/>
        <v>-</v>
      </c>
      <c r="X4253" s="20" t="str">
        <f t="shared" ref="X4253" si="2313">IFERROR(W4253*J4252,"-")</f>
        <v>-</v>
      </c>
      <c r="Z4253" s="85" t="s">
        <v>82</v>
      </c>
    </row>
    <row r="4254" spans="1:26" ht="6.95" customHeight="1" x14ac:dyDescent="0.3">
      <c r="A4254" s="5"/>
      <c r="B4254" s="157"/>
      <c r="C4254" s="158"/>
      <c r="D4254" s="161"/>
      <c r="E4254" s="162"/>
      <c r="F4254" s="163"/>
      <c r="G4254" s="164"/>
      <c r="H4254" s="165"/>
      <c r="I4254" s="164"/>
      <c r="J4254" s="165"/>
      <c r="K4254" s="164"/>
      <c r="L4254" s="165"/>
      <c r="M4254" s="6"/>
      <c r="N4254" s="32"/>
      <c r="Q4254" s="10" t="str">
        <f>+CONCATENATE(E4252,K4252)</f>
        <v/>
      </c>
      <c r="R4254" s="10">
        <f>+L4252</f>
        <v>0</v>
      </c>
      <c r="S4254" s="11"/>
      <c r="T4254" s="10">
        <f>+E4252</f>
        <v>0</v>
      </c>
      <c r="U4254" s="19" t="str">
        <f>IFERROR(LEFT(K4252,FIND("*",K4252)-1),"-")</f>
        <v>-</v>
      </c>
      <c r="V4254" s="19" t="str">
        <f>IFERROR(RIGHT(K4252,LEN(K4252)-FIND("*",K4252)),"-")</f>
        <v>-</v>
      </c>
      <c r="W4254" s="20" t="str">
        <f t="shared" si="2308"/>
        <v>-</v>
      </c>
      <c r="X4254" s="20" t="str">
        <f>IFERROR(W4254*L4252,"-")</f>
        <v>-</v>
      </c>
      <c r="Z4254" s="85" t="s">
        <v>82</v>
      </c>
    </row>
    <row r="4255" spans="1:26" ht="21" customHeight="1" thickBot="1" x14ac:dyDescent="0.35">
      <c r="A4255" s="5"/>
      <c r="B4255" s="159"/>
      <c r="C4255" s="160"/>
      <c r="D4255" s="166" t="s">
        <v>43</v>
      </c>
      <c r="E4255" s="167"/>
      <c r="F4255" s="167"/>
      <c r="G4255" s="168"/>
      <c r="H4255" s="168"/>
      <c r="I4255" s="168"/>
      <c r="J4255" s="168"/>
      <c r="K4255" s="168"/>
      <c r="L4255" s="168"/>
      <c r="M4255" s="7"/>
      <c r="N4255" s="32"/>
      <c r="Z4255" s="86" t="s">
        <v>81</v>
      </c>
    </row>
    <row r="4256" spans="1:26" ht="9.9499999999999993" customHeight="1" thickBot="1" x14ac:dyDescent="0.35">
      <c r="B4256" s="9"/>
      <c r="C4256" s="109"/>
      <c r="D4256" s="51"/>
      <c r="E4256" s="12"/>
      <c r="F4256" s="51"/>
      <c r="G4256" s="14"/>
      <c r="H4256" s="14"/>
      <c r="I4256" s="14"/>
      <c r="J4256" s="14"/>
      <c r="K4256" s="14"/>
      <c r="L4256" s="14"/>
      <c r="M4256" s="9"/>
      <c r="N4256" s="32"/>
      <c r="U4256" s="18"/>
      <c r="V4256" s="18"/>
      <c r="Z4256" s="85" t="s">
        <v>82</v>
      </c>
    </row>
    <row r="4257" spans="1:26" ht="6.95" customHeight="1" x14ac:dyDescent="0.3">
      <c r="A4257" s="154">
        <f>+A4246+1</f>
        <v>1186</v>
      </c>
      <c r="B4257" s="155"/>
      <c r="C4257" s="156"/>
      <c r="D4257" s="161" t="s">
        <v>39</v>
      </c>
      <c r="E4257" s="162"/>
      <c r="F4257" s="163" t="s">
        <v>40</v>
      </c>
      <c r="G4257" s="164"/>
      <c r="H4257" s="165"/>
      <c r="I4257" s="164"/>
      <c r="J4257" s="165"/>
      <c r="K4257" s="164"/>
      <c r="L4257" s="165"/>
      <c r="M4257" s="6"/>
      <c r="N4257" s="32"/>
      <c r="Q4257" s="10" t="str">
        <f>+CONCATENATE(E4257,G4257)</f>
        <v/>
      </c>
      <c r="R4257" s="10">
        <f>+H4257</f>
        <v>0</v>
      </c>
      <c r="S4257" s="11"/>
      <c r="T4257" s="10">
        <f>+E4257</f>
        <v>0</v>
      </c>
      <c r="U4257" s="19" t="str">
        <f>IFERROR(LEFT(G4257,FIND("*",G4257)-1),"-")</f>
        <v>-</v>
      </c>
      <c r="V4257" s="19" t="str">
        <f>IFERROR(RIGHT(G4257,LEN(G4257)-FIND("*",G4257)),"-")</f>
        <v>-</v>
      </c>
      <c r="W4257" s="20" t="str">
        <f>IFERROR((U4257+V4257)*2/1000,"-")</f>
        <v>-</v>
      </c>
      <c r="X4257" s="20" t="str">
        <f>IFERROR(W4257*H4257,"-")</f>
        <v>-</v>
      </c>
      <c r="Z4257" s="85" t="s">
        <v>82</v>
      </c>
    </row>
    <row r="4258" spans="1:26" ht="6.95" customHeight="1" x14ac:dyDescent="0.3">
      <c r="A4258" s="154"/>
      <c r="B4258" s="157"/>
      <c r="C4258" s="158"/>
      <c r="D4258" s="161"/>
      <c r="E4258" s="162"/>
      <c r="F4258" s="163"/>
      <c r="G4258" s="164"/>
      <c r="H4258" s="165"/>
      <c r="I4258" s="164"/>
      <c r="J4258" s="165"/>
      <c r="K4258" s="164"/>
      <c r="L4258" s="165"/>
      <c r="M4258" s="6"/>
      <c r="N4258" s="32"/>
      <c r="Q4258" s="10" t="str">
        <f>+CONCATENATE(E4257,I4257)</f>
        <v/>
      </c>
      <c r="R4258" s="10">
        <f>+J4257</f>
        <v>0</v>
      </c>
      <c r="S4258" s="11"/>
      <c r="T4258" s="10">
        <f>+E4257</f>
        <v>0</v>
      </c>
      <c r="U4258" s="19" t="str">
        <f>IFERROR(LEFT(I4257,FIND("*",I4257)-1),"-")</f>
        <v>-</v>
      </c>
      <c r="V4258" s="19" t="str">
        <f>IFERROR(RIGHT(I4257,LEN(I4257)-FIND("*",I4257)),"-")</f>
        <v>-</v>
      </c>
      <c r="W4258" s="20" t="str">
        <f t="shared" ref="W4258:W4265" si="2314">IFERROR((U4258+V4258)*2/1000,"-")</f>
        <v>-</v>
      </c>
      <c r="X4258" s="20" t="str">
        <f>IFERROR(W4258*J4257,"-")</f>
        <v>-</v>
      </c>
      <c r="Z4258" s="85" t="s">
        <v>82</v>
      </c>
    </row>
    <row r="4259" spans="1:26" ht="6.95" customHeight="1" x14ac:dyDescent="0.3">
      <c r="A4259" s="154"/>
      <c r="B4259" s="157"/>
      <c r="C4259" s="158"/>
      <c r="D4259" s="161"/>
      <c r="E4259" s="162"/>
      <c r="F4259" s="163"/>
      <c r="G4259" s="164"/>
      <c r="H4259" s="165"/>
      <c r="I4259" s="164"/>
      <c r="J4259" s="165"/>
      <c r="K4259" s="164"/>
      <c r="L4259" s="165"/>
      <c r="M4259" s="6"/>
      <c r="N4259" s="32"/>
      <c r="Q4259" s="10" t="str">
        <f>+CONCATENATE(E4257,K4257)</f>
        <v/>
      </c>
      <c r="R4259" s="10">
        <f>+L4257</f>
        <v>0</v>
      </c>
      <c r="S4259" s="11"/>
      <c r="T4259" s="10">
        <f>+E4257</f>
        <v>0</v>
      </c>
      <c r="U4259" s="19" t="str">
        <f>IFERROR(LEFT(K4257,FIND("*",K4257)-1),"-")</f>
        <v>-</v>
      </c>
      <c r="V4259" s="19" t="str">
        <f>IFERROR(RIGHT(K4257,LEN(K4257)-FIND("*",K4257)),"-")</f>
        <v>-</v>
      </c>
      <c r="W4259" s="20" t="str">
        <f t="shared" si="2314"/>
        <v>-</v>
      </c>
      <c r="X4259" s="20" t="str">
        <f>IFERROR(W4259*L4257,"-")</f>
        <v>-</v>
      </c>
      <c r="Z4259" s="85" t="s">
        <v>82</v>
      </c>
    </row>
    <row r="4260" spans="1:26" ht="6.95" customHeight="1" x14ac:dyDescent="0.3">
      <c r="A4260" s="8"/>
      <c r="B4260" s="157"/>
      <c r="C4260" s="158"/>
      <c r="D4260" s="161" t="s">
        <v>39</v>
      </c>
      <c r="E4260" s="162"/>
      <c r="F4260" s="163" t="s">
        <v>40</v>
      </c>
      <c r="G4260" s="164"/>
      <c r="H4260" s="165"/>
      <c r="I4260" s="164"/>
      <c r="J4260" s="165"/>
      <c r="K4260" s="164"/>
      <c r="L4260" s="165"/>
      <c r="M4260" s="6"/>
      <c r="N4260" s="32"/>
      <c r="Q4260" s="10" t="str">
        <f>+CONCATENATE(E4260,G4260)</f>
        <v/>
      </c>
      <c r="R4260" s="10">
        <f>+H4260</f>
        <v>0</v>
      </c>
      <c r="S4260" s="11"/>
      <c r="T4260" s="10">
        <f>+E4260</f>
        <v>0</v>
      </c>
      <c r="U4260" s="19" t="str">
        <f t="shared" ref="U4260" si="2315">IFERROR(LEFT(G4260,FIND("*",G4260)-1),"-")</f>
        <v>-</v>
      </c>
      <c r="V4260" s="19" t="str">
        <f t="shared" ref="V4260" si="2316">IFERROR(RIGHT(G4260,LEN(G4260)-FIND("*",G4260)),"-")</f>
        <v>-</v>
      </c>
      <c r="W4260" s="20" t="str">
        <f t="shared" si="2314"/>
        <v>-</v>
      </c>
      <c r="X4260" s="20" t="str">
        <f>IFERROR(W4260*H4260,"-")</f>
        <v>-</v>
      </c>
      <c r="Z4260" s="85" t="s">
        <v>82</v>
      </c>
    </row>
    <row r="4261" spans="1:26" ht="6.95" customHeight="1" x14ac:dyDescent="0.3">
      <c r="A4261" s="5"/>
      <c r="B4261" s="157"/>
      <c r="C4261" s="158"/>
      <c r="D4261" s="161"/>
      <c r="E4261" s="162"/>
      <c r="F4261" s="163"/>
      <c r="G4261" s="164"/>
      <c r="H4261" s="165"/>
      <c r="I4261" s="164"/>
      <c r="J4261" s="165"/>
      <c r="K4261" s="164"/>
      <c r="L4261" s="165"/>
      <c r="M4261" s="6"/>
      <c r="N4261" s="32"/>
      <c r="Q4261" s="10" t="str">
        <f>+CONCATENATE(E4260,I4260)</f>
        <v/>
      </c>
      <c r="R4261" s="10">
        <f>+J4260</f>
        <v>0</v>
      </c>
      <c r="S4261" s="11"/>
      <c r="T4261" s="10">
        <f>+E4260</f>
        <v>0</v>
      </c>
      <c r="U4261" s="19" t="str">
        <f>IFERROR(LEFT(I4260,FIND("*",I4260)-1),"-")</f>
        <v>-</v>
      </c>
      <c r="V4261" s="19" t="str">
        <f>IFERROR(RIGHT(I4260,LEN(I4260)-FIND("*",I4260)),"-")</f>
        <v>-</v>
      </c>
      <c r="W4261" s="20" t="str">
        <f t="shared" si="2314"/>
        <v>-</v>
      </c>
      <c r="X4261" s="20" t="str">
        <f>IFERROR(W4261*J4260,"-")</f>
        <v>-</v>
      </c>
      <c r="Z4261" s="85" t="s">
        <v>82</v>
      </c>
    </row>
    <row r="4262" spans="1:26" ht="6.95" customHeight="1" x14ac:dyDescent="0.3">
      <c r="A4262" s="5"/>
      <c r="B4262" s="157"/>
      <c r="C4262" s="158"/>
      <c r="D4262" s="161"/>
      <c r="E4262" s="162"/>
      <c r="F4262" s="163"/>
      <c r="G4262" s="164"/>
      <c r="H4262" s="165"/>
      <c r="I4262" s="164"/>
      <c r="J4262" s="165"/>
      <c r="K4262" s="164"/>
      <c r="L4262" s="165"/>
      <c r="M4262" s="6"/>
      <c r="N4262" s="32"/>
      <c r="Q4262" s="10" t="str">
        <f>+CONCATENATE(E4260,K4260)</f>
        <v/>
      </c>
      <c r="R4262" s="10">
        <f>+L4260</f>
        <v>0</v>
      </c>
      <c r="S4262" s="11"/>
      <c r="T4262" s="10">
        <f>+E4260</f>
        <v>0</v>
      </c>
      <c r="U4262" s="19" t="str">
        <f>IFERROR(LEFT(K4260,FIND("*",K4260)-1),"-")</f>
        <v>-</v>
      </c>
      <c r="V4262" s="19" t="str">
        <f>IFERROR(RIGHT(K4260,LEN(K4260)-FIND("*",K4260)),"-")</f>
        <v>-</v>
      </c>
      <c r="W4262" s="20" t="str">
        <f t="shared" si="2314"/>
        <v>-</v>
      </c>
      <c r="X4262" s="20" t="str">
        <f>IFERROR(W4262*L4260,"-")</f>
        <v>-</v>
      </c>
      <c r="Z4262" s="85" t="s">
        <v>82</v>
      </c>
    </row>
    <row r="4263" spans="1:26" ht="6.95" customHeight="1" x14ac:dyDescent="0.3">
      <c r="A4263" s="8"/>
      <c r="B4263" s="157"/>
      <c r="C4263" s="158"/>
      <c r="D4263" s="161" t="s">
        <v>39</v>
      </c>
      <c r="E4263" s="162"/>
      <c r="F4263" s="163" t="s">
        <v>40</v>
      </c>
      <c r="G4263" s="164"/>
      <c r="H4263" s="165"/>
      <c r="I4263" s="164"/>
      <c r="J4263" s="165"/>
      <c r="K4263" s="164"/>
      <c r="L4263" s="165"/>
      <c r="M4263" s="6"/>
      <c r="N4263" s="32"/>
      <c r="Q4263" s="10" t="str">
        <f>+CONCATENATE(E4263,G4263)</f>
        <v/>
      </c>
      <c r="R4263" s="10">
        <f>+H4263</f>
        <v>0</v>
      </c>
      <c r="S4263" s="11"/>
      <c r="T4263" s="10">
        <f>+E4263</f>
        <v>0</v>
      </c>
      <c r="U4263" s="19" t="str">
        <f t="shared" ref="U4263" si="2317">IFERROR(LEFT(G4263,FIND("*",G4263)-1),"-")</f>
        <v>-</v>
      </c>
      <c r="V4263" s="19" t="str">
        <f t="shared" ref="V4263" si="2318">IFERROR(RIGHT(G4263,LEN(G4263)-FIND("*",G4263)),"-")</f>
        <v>-</v>
      </c>
      <c r="W4263" s="20" t="str">
        <f t="shared" si="2314"/>
        <v>-</v>
      </c>
      <c r="X4263" s="20" t="str">
        <f>IFERROR(W4263*H4263,"-")</f>
        <v>-</v>
      </c>
      <c r="Z4263" s="85" t="s">
        <v>82</v>
      </c>
    </row>
    <row r="4264" spans="1:26" ht="6.95" customHeight="1" x14ac:dyDescent="0.3">
      <c r="A4264" s="5"/>
      <c r="B4264" s="157"/>
      <c r="C4264" s="158"/>
      <c r="D4264" s="161"/>
      <c r="E4264" s="162"/>
      <c r="F4264" s="163"/>
      <c r="G4264" s="164"/>
      <c r="H4264" s="165"/>
      <c r="I4264" s="164"/>
      <c r="J4264" s="165"/>
      <c r="K4264" s="164"/>
      <c r="L4264" s="165"/>
      <c r="M4264" s="6"/>
      <c r="N4264" s="32"/>
      <c r="Q4264" s="10" t="str">
        <f>+CONCATENATE(E4263,I4263)</f>
        <v/>
      </c>
      <c r="R4264" s="10">
        <f>+J4263</f>
        <v>0</v>
      </c>
      <c r="S4264" s="11"/>
      <c r="T4264" s="10">
        <f>+E4263</f>
        <v>0</v>
      </c>
      <c r="U4264" s="19" t="str">
        <f>IFERROR(LEFT(I4263,FIND("*",I4263)-1),"-")</f>
        <v>-</v>
      </c>
      <c r="V4264" s="19" t="str">
        <f>IFERROR(RIGHT(I4263,LEN(I4263)-FIND("*",I4263)),"-")</f>
        <v>-</v>
      </c>
      <c r="W4264" s="20" t="str">
        <f t="shared" si="2314"/>
        <v>-</v>
      </c>
      <c r="X4264" s="20" t="str">
        <f t="shared" ref="X4264" si="2319">IFERROR(W4264*J4263,"-")</f>
        <v>-</v>
      </c>
      <c r="Z4264" s="85" t="s">
        <v>82</v>
      </c>
    </row>
    <row r="4265" spans="1:26" ht="6.95" customHeight="1" x14ac:dyDescent="0.3">
      <c r="A4265" s="5"/>
      <c r="B4265" s="157"/>
      <c r="C4265" s="158"/>
      <c r="D4265" s="161"/>
      <c r="E4265" s="162"/>
      <c r="F4265" s="163"/>
      <c r="G4265" s="164"/>
      <c r="H4265" s="165"/>
      <c r="I4265" s="164"/>
      <c r="J4265" s="165"/>
      <c r="K4265" s="164"/>
      <c r="L4265" s="165"/>
      <c r="M4265" s="6"/>
      <c r="N4265" s="32"/>
      <c r="Q4265" s="10" t="str">
        <f>+CONCATENATE(E4263,K4263)</f>
        <v/>
      </c>
      <c r="R4265" s="10">
        <f>+L4263</f>
        <v>0</v>
      </c>
      <c r="S4265" s="11"/>
      <c r="T4265" s="10">
        <f>+E4263</f>
        <v>0</v>
      </c>
      <c r="U4265" s="19" t="str">
        <f>IFERROR(LEFT(K4263,FIND("*",K4263)-1),"-")</f>
        <v>-</v>
      </c>
      <c r="V4265" s="19" t="str">
        <f>IFERROR(RIGHT(K4263,LEN(K4263)-FIND("*",K4263)),"-")</f>
        <v>-</v>
      </c>
      <c r="W4265" s="20" t="str">
        <f t="shared" si="2314"/>
        <v>-</v>
      </c>
      <c r="X4265" s="20" t="str">
        <f>IFERROR(W4265*L4263,"-")</f>
        <v>-</v>
      </c>
      <c r="Z4265" s="85" t="s">
        <v>82</v>
      </c>
    </row>
    <row r="4266" spans="1:26" ht="21" customHeight="1" thickBot="1" x14ac:dyDescent="0.35">
      <c r="A4266" s="5"/>
      <c r="B4266" s="159"/>
      <c r="C4266" s="160"/>
      <c r="D4266" s="166" t="s">
        <v>43</v>
      </c>
      <c r="E4266" s="167"/>
      <c r="F4266" s="167"/>
      <c r="G4266" s="168"/>
      <c r="H4266" s="168"/>
      <c r="I4266" s="168"/>
      <c r="J4266" s="168"/>
      <c r="K4266" s="168"/>
      <c r="L4266" s="168"/>
      <c r="M4266" s="7"/>
      <c r="N4266" s="32"/>
      <c r="Z4266" s="86" t="s">
        <v>81</v>
      </c>
    </row>
    <row r="4267" spans="1:26" ht="9.9499999999999993" customHeight="1" thickBot="1" x14ac:dyDescent="0.35">
      <c r="B4267" s="9"/>
      <c r="C4267" s="109"/>
      <c r="D4267" s="51"/>
      <c r="E4267" s="12"/>
      <c r="F4267" s="51"/>
      <c r="G4267" s="14"/>
      <c r="H4267" s="14"/>
      <c r="I4267" s="14"/>
      <c r="J4267" s="14"/>
      <c r="K4267" s="14"/>
      <c r="L4267" s="14"/>
      <c r="M4267" s="9"/>
      <c r="N4267" s="32"/>
      <c r="U4267" s="18"/>
      <c r="V4267" s="18"/>
      <c r="Z4267" s="85" t="s">
        <v>82</v>
      </c>
    </row>
    <row r="4268" spans="1:26" ht="6.95" customHeight="1" x14ac:dyDescent="0.3">
      <c r="A4268" s="154">
        <f>+A4257+1</f>
        <v>1187</v>
      </c>
      <c r="B4268" s="155"/>
      <c r="C4268" s="156"/>
      <c r="D4268" s="161" t="s">
        <v>39</v>
      </c>
      <c r="E4268" s="162"/>
      <c r="F4268" s="163" t="s">
        <v>40</v>
      </c>
      <c r="G4268" s="164"/>
      <c r="H4268" s="165"/>
      <c r="I4268" s="164"/>
      <c r="J4268" s="165"/>
      <c r="K4268" s="164"/>
      <c r="L4268" s="165"/>
      <c r="M4268" s="6"/>
      <c r="N4268" s="32"/>
      <c r="Q4268" s="10" t="str">
        <f>+CONCATENATE(E4268,G4268)</f>
        <v/>
      </c>
      <c r="R4268" s="10">
        <f>+H4268</f>
        <v>0</v>
      </c>
      <c r="S4268" s="11"/>
      <c r="T4268" s="10">
        <f>+E4268</f>
        <v>0</v>
      </c>
      <c r="U4268" s="19" t="str">
        <f>IFERROR(LEFT(G4268,FIND("*",G4268)-1),"-")</f>
        <v>-</v>
      </c>
      <c r="V4268" s="19" t="str">
        <f>IFERROR(RIGHT(G4268,LEN(G4268)-FIND("*",G4268)),"-")</f>
        <v>-</v>
      </c>
      <c r="W4268" s="20" t="str">
        <f>IFERROR((U4268+V4268)*2/1000,"-")</f>
        <v>-</v>
      </c>
      <c r="X4268" s="20" t="str">
        <f>IFERROR(W4268*H4268,"-")</f>
        <v>-</v>
      </c>
      <c r="Z4268" s="85" t="s">
        <v>82</v>
      </c>
    </row>
    <row r="4269" spans="1:26" ht="6.95" customHeight="1" x14ac:dyDescent="0.3">
      <c r="A4269" s="154"/>
      <c r="B4269" s="157"/>
      <c r="C4269" s="158"/>
      <c r="D4269" s="161"/>
      <c r="E4269" s="162"/>
      <c r="F4269" s="163"/>
      <c r="G4269" s="164"/>
      <c r="H4269" s="165"/>
      <c r="I4269" s="164"/>
      <c r="J4269" s="165"/>
      <c r="K4269" s="164"/>
      <c r="L4269" s="165"/>
      <c r="M4269" s="6"/>
      <c r="N4269" s="32"/>
      <c r="Q4269" s="10" t="str">
        <f>+CONCATENATE(E4268,I4268)</f>
        <v/>
      </c>
      <c r="R4269" s="10">
        <f>+J4268</f>
        <v>0</v>
      </c>
      <c r="S4269" s="11"/>
      <c r="T4269" s="10">
        <f>+E4268</f>
        <v>0</v>
      </c>
      <c r="U4269" s="19" t="str">
        <f>IFERROR(LEFT(I4268,FIND("*",I4268)-1),"-")</f>
        <v>-</v>
      </c>
      <c r="V4269" s="19" t="str">
        <f>IFERROR(RIGHT(I4268,LEN(I4268)-FIND("*",I4268)),"-")</f>
        <v>-</v>
      </c>
      <c r="W4269" s="20" t="str">
        <f t="shared" ref="W4269:W4276" si="2320">IFERROR((U4269+V4269)*2/1000,"-")</f>
        <v>-</v>
      </c>
      <c r="X4269" s="20" t="str">
        <f>IFERROR(W4269*J4268,"-")</f>
        <v>-</v>
      </c>
      <c r="Z4269" s="85" t="s">
        <v>82</v>
      </c>
    </row>
    <row r="4270" spans="1:26" ht="6.95" customHeight="1" x14ac:dyDescent="0.3">
      <c r="A4270" s="154"/>
      <c r="B4270" s="157"/>
      <c r="C4270" s="158"/>
      <c r="D4270" s="161"/>
      <c r="E4270" s="162"/>
      <c r="F4270" s="163"/>
      <c r="G4270" s="164"/>
      <c r="H4270" s="165"/>
      <c r="I4270" s="164"/>
      <c r="J4270" s="165"/>
      <c r="K4270" s="164"/>
      <c r="L4270" s="165"/>
      <c r="M4270" s="6"/>
      <c r="N4270" s="32"/>
      <c r="Q4270" s="10" t="str">
        <f>+CONCATENATE(E4268,K4268)</f>
        <v/>
      </c>
      <c r="R4270" s="10">
        <f>+L4268</f>
        <v>0</v>
      </c>
      <c r="S4270" s="11"/>
      <c r="T4270" s="10">
        <f>+E4268</f>
        <v>0</v>
      </c>
      <c r="U4270" s="19" t="str">
        <f>IFERROR(LEFT(K4268,FIND("*",K4268)-1),"-")</f>
        <v>-</v>
      </c>
      <c r="V4270" s="19" t="str">
        <f>IFERROR(RIGHT(K4268,LEN(K4268)-FIND("*",K4268)),"-")</f>
        <v>-</v>
      </c>
      <c r="W4270" s="20" t="str">
        <f t="shared" si="2320"/>
        <v>-</v>
      </c>
      <c r="X4270" s="20" t="str">
        <f>IFERROR(W4270*L4268,"-")</f>
        <v>-</v>
      </c>
      <c r="Z4270" s="85" t="s">
        <v>82</v>
      </c>
    </row>
    <row r="4271" spans="1:26" ht="6.95" customHeight="1" x14ac:dyDescent="0.3">
      <c r="A4271" s="8"/>
      <c r="B4271" s="157"/>
      <c r="C4271" s="158"/>
      <c r="D4271" s="161" t="s">
        <v>39</v>
      </c>
      <c r="E4271" s="162"/>
      <c r="F4271" s="163" t="s">
        <v>40</v>
      </c>
      <c r="G4271" s="164"/>
      <c r="H4271" s="165"/>
      <c r="I4271" s="164"/>
      <c r="J4271" s="165"/>
      <c r="K4271" s="164"/>
      <c r="L4271" s="165"/>
      <c r="M4271" s="6"/>
      <c r="N4271" s="32"/>
      <c r="Q4271" s="10" t="str">
        <f>+CONCATENATE(E4271,G4271)</f>
        <v/>
      </c>
      <c r="R4271" s="10">
        <f>+H4271</f>
        <v>0</v>
      </c>
      <c r="S4271" s="11"/>
      <c r="T4271" s="10">
        <f>+E4271</f>
        <v>0</v>
      </c>
      <c r="U4271" s="19" t="str">
        <f t="shared" ref="U4271" si="2321">IFERROR(LEFT(G4271,FIND("*",G4271)-1),"-")</f>
        <v>-</v>
      </c>
      <c r="V4271" s="19" t="str">
        <f t="shared" ref="V4271" si="2322">IFERROR(RIGHT(G4271,LEN(G4271)-FIND("*",G4271)),"-")</f>
        <v>-</v>
      </c>
      <c r="W4271" s="20" t="str">
        <f t="shared" si="2320"/>
        <v>-</v>
      </c>
      <c r="X4271" s="20" t="str">
        <f>IFERROR(W4271*H4271,"-")</f>
        <v>-</v>
      </c>
      <c r="Z4271" s="85" t="s">
        <v>82</v>
      </c>
    </row>
    <row r="4272" spans="1:26" ht="6.95" customHeight="1" x14ac:dyDescent="0.3">
      <c r="A4272" s="5"/>
      <c r="B4272" s="157"/>
      <c r="C4272" s="158"/>
      <c r="D4272" s="161"/>
      <c r="E4272" s="162"/>
      <c r="F4272" s="163"/>
      <c r="G4272" s="164"/>
      <c r="H4272" s="165"/>
      <c r="I4272" s="164"/>
      <c r="J4272" s="165"/>
      <c r="K4272" s="164"/>
      <c r="L4272" s="165"/>
      <c r="M4272" s="6"/>
      <c r="N4272" s="32"/>
      <c r="Q4272" s="10" t="str">
        <f>+CONCATENATE(E4271,I4271)</f>
        <v/>
      </c>
      <c r="R4272" s="10">
        <f>+J4271</f>
        <v>0</v>
      </c>
      <c r="S4272" s="11"/>
      <c r="T4272" s="10">
        <f>+E4271</f>
        <v>0</v>
      </c>
      <c r="U4272" s="19" t="str">
        <f>IFERROR(LEFT(I4271,FIND("*",I4271)-1),"-")</f>
        <v>-</v>
      </c>
      <c r="V4272" s="19" t="str">
        <f>IFERROR(RIGHT(I4271,LEN(I4271)-FIND("*",I4271)),"-")</f>
        <v>-</v>
      </c>
      <c r="W4272" s="20" t="str">
        <f t="shared" si="2320"/>
        <v>-</v>
      </c>
      <c r="X4272" s="20" t="str">
        <f>IFERROR(W4272*J4271,"-")</f>
        <v>-</v>
      </c>
      <c r="Z4272" s="85" t="s">
        <v>82</v>
      </c>
    </row>
    <row r="4273" spans="1:26" ht="6.95" customHeight="1" x14ac:dyDescent="0.3">
      <c r="A4273" s="5"/>
      <c r="B4273" s="157"/>
      <c r="C4273" s="158"/>
      <c r="D4273" s="161"/>
      <c r="E4273" s="162"/>
      <c r="F4273" s="163"/>
      <c r="G4273" s="164"/>
      <c r="H4273" s="165"/>
      <c r="I4273" s="164"/>
      <c r="J4273" s="165"/>
      <c r="K4273" s="164"/>
      <c r="L4273" s="165"/>
      <c r="M4273" s="6"/>
      <c r="N4273" s="32"/>
      <c r="Q4273" s="10" t="str">
        <f>+CONCATENATE(E4271,K4271)</f>
        <v/>
      </c>
      <c r="R4273" s="10">
        <f>+L4271</f>
        <v>0</v>
      </c>
      <c r="S4273" s="11"/>
      <c r="T4273" s="10">
        <f>+E4271</f>
        <v>0</v>
      </c>
      <c r="U4273" s="19" t="str">
        <f>IFERROR(LEFT(K4271,FIND("*",K4271)-1),"-")</f>
        <v>-</v>
      </c>
      <c r="V4273" s="19" t="str">
        <f>IFERROR(RIGHT(K4271,LEN(K4271)-FIND("*",K4271)),"-")</f>
        <v>-</v>
      </c>
      <c r="W4273" s="20" t="str">
        <f t="shared" si="2320"/>
        <v>-</v>
      </c>
      <c r="X4273" s="20" t="str">
        <f>IFERROR(W4273*L4271,"-")</f>
        <v>-</v>
      </c>
      <c r="Z4273" s="85" t="s">
        <v>82</v>
      </c>
    </row>
    <row r="4274" spans="1:26" ht="6.95" customHeight="1" x14ac:dyDescent="0.3">
      <c r="A4274" s="8"/>
      <c r="B4274" s="157"/>
      <c r="C4274" s="158"/>
      <c r="D4274" s="161" t="s">
        <v>39</v>
      </c>
      <c r="E4274" s="162"/>
      <c r="F4274" s="163" t="s">
        <v>40</v>
      </c>
      <c r="G4274" s="164"/>
      <c r="H4274" s="165"/>
      <c r="I4274" s="164"/>
      <c r="J4274" s="165"/>
      <c r="K4274" s="164"/>
      <c r="L4274" s="165"/>
      <c r="M4274" s="6"/>
      <c r="N4274" s="32"/>
      <c r="Q4274" s="10" t="str">
        <f>+CONCATENATE(E4274,G4274)</f>
        <v/>
      </c>
      <c r="R4274" s="10">
        <f>+H4274</f>
        <v>0</v>
      </c>
      <c r="S4274" s="11"/>
      <c r="T4274" s="10">
        <f>+E4274</f>
        <v>0</v>
      </c>
      <c r="U4274" s="19" t="str">
        <f t="shared" ref="U4274" si="2323">IFERROR(LEFT(G4274,FIND("*",G4274)-1),"-")</f>
        <v>-</v>
      </c>
      <c r="V4274" s="19" t="str">
        <f t="shared" ref="V4274" si="2324">IFERROR(RIGHT(G4274,LEN(G4274)-FIND("*",G4274)),"-")</f>
        <v>-</v>
      </c>
      <c r="W4274" s="20" t="str">
        <f t="shared" si="2320"/>
        <v>-</v>
      </c>
      <c r="X4274" s="20" t="str">
        <f>IFERROR(W4274*H4274,"-")</f>
        <v>-</v>
      </c>
      <c r="Z4274" s="85" t="s">
        <v>82</v>
      </c>
    </row>
    <row r="4275" spans="1:26" ht="6.95" customHeight="1" x14ac:dyDescent="0.3">
      <c r="A4275" s="5"/>
      <c r="B4275" s="157"/>
      <c r="C4275" s="158"/>
      <c r="D4275" s="161"/>
      <c r="E4275" s="162"/>
      <c r="F4275" s="163"/>
      <c r="G4275" s="164"/>
      <c r="H4275" s="165"/>
      <c r="I4275" s="164"/>
      <c r="J4275" s="165"/>
      <c r="K4275" s="164"/>
      <c r="L4275" s="165"/>
      <c r="M4275" s="6"/>
      <c r="N4275" s="32"/>
      <c r="Q4275" s="10" t="str">
        <f>+CONCATENATE(E4274,I4274)</f>
        <v/>
      </c>
      <c r="R4275" s="10">
        <f>+J4274</f>
        <v>0</v>
      </c>
      <c r="S4275" s="11"/>
      <c r="T4275" s="10">
        <f>+E4274</f>
        <v>0</v>
      </c>
      <c r="U4275" s="19" t="str">
        <f>IFERROR(LEFT(I4274,FIND("*",I4274)-1),"-")</f>
        <v>-</v>
      </c>
      <c r="V4275" s="19" t="str">
        <f>IFERROR(RIGHT(I4274,LEN(I4274)-FIND("*",I4274)),"-")</f>
        <v>-</v>
      </c>
      <c r="W4275" s="20" t="str">
        <f t="shared" si="2320"/>
        <v>-</v>
      </c>
      <c r="X4275" s="20" t="str">
        <f t="shared" ref="X4275" si="2325">IFERROR(W4275*J4274,"-")</f>
        <v>-</v>
      </c>
      <c r="Z4275" s="85" t="s">
        <v>82</v>
      </c>
    </row>
    <row r="4276" spans="1:26" ht="6.95" customHeight="1" x14ac:dyDescent="0.3">
      <c r="A4276" s="5"/>
      <c r="B4276" s="157"/>
      <c r="C4276" s="158"/>
      <c r="D4276" s="161"/>
      <c r="E4276" s="162"/>
      <c r="F4276" s="163"/>
      <c r="G4276" s="164"/>
      <c r="H4276" s="165"/>
      <c r="I4276" s="164"/>
      <c r="J4276" s="165"/>
      <c r="K4276" s="164"/>
      <c r="L4276" s="165"/>
      <c r="M4276" s="6"/>
      <c r="N4276" s="32"/>
      <c r="Q4276" s="10" t="str">
        <f>+CONCATENATE(E4274,K4274)</f>
        <v/>
      </c>
      <c r="R4276" s="10">
        <f>+L4274</f>
        <v>0</v>
      </c>
      <c r="S4276" s="11"/>
      <c r="T4276" s="10">
        <f>+E4274</f>
        <v>0</v>
      </c>
      <c r="U4276" s="19" t="str">
        <f>IFERROR(LEFT(K4274,FIND("*",K4274)-1),"-")</f>
        <v>-</v>
      </c>
      <c r="V4276" s="19" t="str">
        <f>IFERROR(RIGHT(K4274,LEN(K4274)-FIND("*",K4274)),"-")</f>
        <v>-</v>
      </c>
      <c r="W4276" s="20" t="str">
        <f t="shared" si="2320"/>
        <v>-</v>
      </c>
      <c r="X4276" s="20" t="str">
        <f>IFERROR(W4276*L4274,"-")</f>
        <v>-</v>
      </c>
      <c r="Z4276" s="85" t="s">
        <v>82</v>
      </c>
    </row>
    <row r="4277" spans="1:26" ht="21" customHeight="1" thickBot="1" x14ac:dyDescent="0.35">
      <c r="A4277" s="5"/>
      <c r="B4277" s="159"/>
      <c r="C4277" s="160"/>
      <c r="D4277" s="166" t="s">
        <v>43</v>
      </c>
      <c r="E4277" s="167"/>
      <c r="F4277" s="167"/>
      <c r="G4277" s="168"/>
      <c r="H4277" s="168"/>
      <c r="I4277" s="168"/>
      <c r="J4277" s="168"/>
      <c r="K4277" s="168"/>
      <c r="L4277" s="168"/>
      <c r="M4277" s="7"/>
      <c r="N4277" s="32"/>
      <c r="Z4277" s="86" t="s">
        <v>81</v>
      </c>
    </row>
    <row r="4278" spans="1:26" ht="9.9499999999999993" customHeight="1" thickBot="1" x14ac:dyDescent="0.35">
      <c r="B4278" s="9"/>
      <c r="C4278" s="109"/>
      <c r="D4278" s="51"/>
      <c r="E4278" s="12"/>
      <c r="F4278" s="51"/>
      <c r="G4278" s="14"/>
      <c r="H4278" s="14"/>
      <c r="I4278" s="14"/>
      <c r="J4278" s="14"/>
      <c r="K4278" s="14"/>
      <c r="L4278" s="14"/>
      <c r="M4278" s="9"/>
      <c r="N4278" s="32"/>
      <c r="U4278" s="18"/>
      <c r="V4278" s="18"/>
      <c r="Z4278" s="85" t="s">
        <v>82</v>
      </c>
    </row>
    <row r="4279" spans="1:26" ht="6.95" customHeight="1" x14ac:dyDescent="0.3">
      <c r="A4279" s="154">
        <f>+A4268+1</f>
        <v>1188</v>
      </c>
      <c r="B4279" s="155"/>
      <c r="C4279" s="156"/>
      <c r="D4279" s="161" t="s">
        <v>39</v>
      </c>
      <c r="E4279" s="162"/>
      <c r="F4279" s="163" t="s">
        <v>40</v>
      </c>
      <c r="G4279" s="164"/>
      <c r="H4279" s="165"/>
      <c r="I4279" s="164"/>
      <c r="J4279" s="165"/>
      <c r="K4279" s="164"/>
      <c r="L4279" s="165"/>
      <c r="M4279" s="6"/>
      <c r="N4279" s="32"/>
      <c r="Q4279" s="10" t="str">
        <f>+CONCATENATE(E4279,G4279)</f>
        <v/>
      </c>
      <c r="R4279" s="10">
        <f>+H4279</f>
        <v>0</v>
      </c>
      <c r="S4279" s="11"/>
      <c r="T4279" s="10">
        <f>+E4279</f>
        <v>0</v>
      </c>
      <c r="U4279" s="19" t="str">
        <f>IFERROR(LEFT(G4279,FIND("*",G4279)-1),"-")</f>
        <v>-</v>
      </c>
      <c r="V4279" s="19" t="str">
        <f>IFERROR(RIGHT(G4279,LEN(G4279)-FIND("*",G4279)),"-")</f>
        <v>-</v>
      </c>
      <c r="W4279" s="20" t="str">
        <f>IFERROR((U4279+V4279)*2/1000,"-")</f>
        <v>-</v>
      </c>
      <c r="X4279" s="20" t="str">
        <f>IFERROR(W4279*H4279,"-")</f>
        <v>-</v>
      </c>
      <c r="Z4279" s="85" t="s">
        <v>82</v>
      </c>
    </row>
    <row r="4280" spans="1:26" ht="6.95" customHeight="1" x14ac:dyDescent="0.3">
      <c r="A4280" s="154"/>
      <c r="B4280" s="157"/>
      <c r="C4280" s="158"/>
      <c r="D4280" s="161"/>
      <c r="E4280" s="162"/>
      <c r="F4280" s="163"/>
      <c r="G4280" s="164"/>
      <c r="H4280" s="165"/>
      <c r="I4280" s="164"/>
      <c r="J4280" s="165"/>
      <c r="K4280" s="164"/>
      <c r="L4280" s="165"/>
      <c r="M4280" s="6"/>
      <c r="N4280" s="32"/>
      <c r="Q4280" s="10" t="str">
        <f>+CONCATENATE(E4279,I4279)</f>
        <v/>
      </c>
      <c r="R4280" s="10">
        <f>+J4279</f>
        <v>0</v>
      </c>
      <c r="S4280" s="11"/>
      <c r="T4280" s="10">
        <f>+E4279</f>
        <v>0</v>
      </c>
      <c r="U4280" s="19" t="str">
        <f>IFERROR(LEFT(I4279,FIND("*",I4279)-1),"-")</f>
        <v>-</v>
      </c>
      <c r="V4280" s="19" t="str">
        <f>IFERROR(RIGHT(I4279,LEN(I4279)-FIND("*",I4279)),"-")</f>
        <v>-</v>
      </c>
      <c r="W4280" s="20" t="str">
        <f t="shared" ref="W4280:W4287" si="2326">IFERROR((U4280+V4280)*2/1000,"-")</f>
        <v>-</v>
      </c>
      <c r="X4280" s="20" t="str">
        <f>IFERROR(W4280*J4279,"-")</f>
        <v>-</v>
      </c>
      <c r="Z4280" s="85" t="s">
        <v>82</v>
      </c>
    </row>
    <row r="4281" spans="1:26" ht="6.95" customHeight="1" x14ac:dyDescent="0.3">
      <c r="A4281" s="154"/>
      <c r="B4281" s="157"/>
      <c r="C4281" s="158"/>
      <c r="D4281" s="161"/>
      <c r="E4281" s="162"/>
      <c r="F4281" s="163"/>
      <c r="G4281" s="164"/>
      <c r="H4281" s="165"/>
      <c r="I4281" s="164"/>
      <c r="J4281" s="165"/>
      <c r="K4281" s="164"/>
      <c r="L4281" s="165"/>
      <c r="M4281" s="6"/>
      <c r="N4281" s="32"/>
      <c r="Q4281" s="10" t="str">
        <f>+CONCATENATE(E4279,K4279)</f>
        <v/>
      </c>
      <c r="R4281" s="10">
        <f>+L4279</f>
        <v>0</v>
      </c>
      <c r="S4281" s="11"/>
      <c r="T4281" s="10">
        <f>+E4279</f>
        <v>0</v>
      </c>
      <c r="U4281" s="19" t="str">
        <f>IFERROR(LEFT(K4279,FIND("*",K4279)-1),"-")</f>
        <v>-</v>
      </c>
      <c r="V4281" s="19" t="str">
        <f>IFERROR(RIGHT(K4279,LEN(K4279)-FIND("*",K4279)),"-")</f>
        <v>-</v>
      </c>
      <c r="W4281" s="20" t="str">
        <f t="shared" si="2326"/>
        <v>-</v>
      </c>
      <c r="X4281" s="20" t="str">
        <f>IFERROR(W4281*L4279,"-")</f>
        <v>-</v>
      </c>
      <c r="Z4281" s="85" t="s">
        <v>82</v>
      </c>
    </row>
    <row r="4282" spans="1:26" ht="6.95" customHeight="1" x14ac:dyDescent="0.3">
      <c r="A4282" s="8"/>
      <c r="B4282" s="157"/>
      <c r="C4282" s="158"/>
      <c r="D4282" s="161" t="s">
        <v>39</v>
      </c>
      <c r="E4282" s="162"/>
      <c r="F4282" s="163" t="s">
        <v>40</v>
      </c>
      <c r="G4282" s="164"/>
      <c r="H4282" s="165"/>
      <c r="I4282" s="164"/>
      <c r="J4282" s="165"/>
      <c r="K4282" s="164"/>
      <c r="L4282" s="165"/>
      <c r="M4282" s="6"/>
      <c r="N4282" s="32"/>
      <c r="Q4282" s="10" t="str">
        <f>+CONCATENATE(E4282,G4282)</f>
        <v/>
      </c>
      <c r="R4282" s="10">
        <f>+H4282</f>
        <v>0</v>
      </c>
      <c r="S4282" s="11"/>
      <c r="T4282" s="10">
        <f>+E4282</f>
        <v>0</v>
      </c>
      <c r="U4282" s="19" t="str">
        <f t="shared" ref="U4282" si="2327">IFERROR(LEFT(G4282,FIND("*",G4282)-1),"-")</f>
        <v>-</v>
      </c>
      <c r="V4282" s="19" t="str">
        <f t="shared" ref="V4282" si="2328">IFERROR(RIGHT(G4282,LEN(G4282)-FIND("*",G4282)),"-")</f>
        <v>-</v>
      </c>
      <c r="W4282" s="20" t="str">
        <f t="shared" si="2326"/>
        <v>-</v>
      </c>
      <c r="X4282" s="20" t="str">
        <f>IFERROR(W4282*H4282,"-")</f>
        <v>-</v>
      </c>
      <c r="Z4282" s="85" t="s">
        <v>82</v>
      </c>
    </row>
    <row r="4283" spans="1:26" ht="6.95" customHeight="1" x14ac:dyDescent="0.3">
      <c r="A4283" s="5"/>
      <c r="B4283" s="157"/>
      <c r="C4283" s="158"/>
      <c r="D4283" s="161"/>
      <c r="E4283" s="162"/>
      <c r="F4283" s="163"/>
      <c r="G4283" s="164"/>
      <c r="H4283" s="165"/>
      <c r="I4283" s="164"/>
      <c r="J4283" s="165"/>
      <c r="K4283" s="164"/>
      <c r="L4283" s="165"/>
      <c r="M4283" s="6"/>
      <c r="N4283" s="32"/>
      <c r="Q4283" s="10" t="str">
        <f>+CONCATENATE(E4282,I4282)</f>
        <v/>
      </c>
      <c r="R4283" s="10">
        <f>+J4282</f>
        <v>0</v>
      </c>
      <c r="S4283" s="11"/>
      <c r="T4283" s="10">
        <f>+E4282</f>
        <v>0</v>
      </c>
      <c r="U4283" s="19" t="str">
        <f>IFERROR(LEFT(I4282,FIND("*",I4282)-1),"-")</f>
        <v>-</v>
      </c>
      <c r="V4283" s="19" t="str">
        <f>IFERROR(RIGHT(I4282,LEN(I4282)-FIND("*",I4282)),"-")</f>
        <v>-</v>
      </c>
      <c r="W4283" s="20" t="str">
        <f t="shared" si="2326"/>
        <v>-</v>
      </c>
      <c r="X4283" s="20" t="str">
        <f>IFERROR(W4283*J4282,"-")</f>
        <v>-</v>
      </c>
      <c r="Z4283" s="85" t="s">
        <v>82</v>
      </c>
    </row>
    <row r="4284" spans="1:26" ht="6.95" customHeight="1" x14ac:dyDescent="0.3">
      <c r="A4284" s="5"/>
      <c r="B4284" s="157"/>
      <c r="C4284" s="158"/>
      <c r="D4284" s="161"/>
      <c r="E4284" s="162"/>
      <c r="F4284" s="163"/>
      <c r="G4284" s="164"/>
      <c r="H4284" s="165"/>
      <c r="I4284" s="164"/>
      <c r="J4284" s="165"/>
      <c r="K4284" s="164"/>
      <c r="L4284" s="165"/>
      <c r="M4284" s="6"/>
      <c r="N4284" s="32"/>
      <c r="Q4284" s="10" t="str">
        <f>+CONCATENATE(E4282,K4282)</f>
        <v/>
      </c>
      <c r="R4284" s="10">
        <f>+L4282</f>
        <v>0</v>
      </c>
      <c r="S4284" s="11"/>
      <c r="T4284" s="10">
        <f>+E4282</f>
        <v>0</v>
      </c>
      <c r="U4284" s="19" t="str">
        <f>IFERROR(LEFT(K4282,FIND("*",K4282)-1),"-")</f>
        <v>-</v>
      </c>
      <c r="V4284" s="19" t="str">
        <f>IFERROR(RIGHT(K4282,LEN(K4282)-FIND("*",K4282)),"-")</f>
        <v>-</v>
      </c>
      <c r="W4284" s="20" t="str">
        <f t="shared" si="2326"/>
        <v>-</v>
      </c>
      <c r="X4284" s="20" t="str">
        <f>IFERROR(W4284*L4282,"-")</f>
        <v>-</v>
      </c>
      <c r="Z4284" s="85" t="s">
        <v>82</v>
      </c>
    </row>
    <row r="4285" spans="1:26" ht="6.95" customHeight="1" x14ac:dyDescent="0.3">
      <c r="A4285" s="8"/>
      <c r="B4285" s="157"/>
      <c r="C4285" s="158"/>
      <c r="D4285" s="161" t="s">
        <v>39</v>
      </c>
      <c r="E4285" s="162"/>
      <c r="F4285" s="163" t="s">
        <v>40</v>
      </c>
      <c r="G4285" s="164"/>
      <c r="H4285" s="165"/>
      <c r="I4285" s="164"/>
      <c r="J4285" s="165"/>
      <c r="K4285" s="164"/>
      <c r="L4285" s="165"/>
      <c r="M4285" s="6"/>
      <c r="N4285" s="32"/>
      <c r="Q4285" s="10" t="str">
        <f>+CONCATENATE(E4285,G4285)</f>
        <v/>
      </c>
      <c r="R4285" s="10">
        <f>+H4285</f>
        <v>0</v>
      </c>
      <c r="S4285" s="11"/>
      <c r="T4285" s="10">
        <f>+E4285</f>
        <v>0</v>
      </c>
      <c r="U4285" s="19" t="str">
        <f t="shared" ref="U4285" si="2329">IFERROR(LEFT(G4285,FIND("*",G4285)-1),"-")</f>
        <v>-</v>
      </c>
      <c r="V4285" s="19" t="str">
        <f t="shared" ref="V4285" si="2330">IFERROR(RIGHT(G4285,LEN(G4285)-FIND("*",G4285)),"-")</f>
        <v>-</v>
      </c>
      <c r="W4285" s="20" t="str">
        <f t="shared" si="2326"/>
        <v>-</v>
      </c>
      <c r="X4285" s="20" t="str">
        <f>IFERROR(W4285*H4285,"-")</f>
        <v>-</v>
      </c>
      <c r="Z4285" s="85" t="s">
        <v>82</v>
      </c>
    </row>
    <row r="4286" spans="1:26" ht="6.95" customHeight="1" x14ac:dyDescent="0.3">
      <c r="A4286" s="5"/>
      <c r="B4286" s="157"/>
      <c r="C4286" s="158"/>
      <c r="D4286" s="161"/>
      <c r="E4286" s="162"/>
      <c r="F4286" s="163"/>
      <c r="G4286" s="164"/>
      <c r="H4286" s="165"/>
      <c r="I4286" s="164"/>
      <c r="J4286" s="165"/>
      <c r="K4286" s="164"/>
      <c r="L4286" s="165"/>
      <c r="M4286" s="6"/>
      <c r="N4286" s="32"/>
      <c r="Q4286" s="10" t="str">
        <f>+CONCATENATE(E4285,I4285)</f>
        <v/>
      </c>
      <c r="R4286" s="10">
        <f>+J4285</f>
        <v>0</v>
      </c>
      <c r="S4286" s="11"/>
      <c r="T4286" s="10">
        <f>+E4285</f>
        <v>0</v>
      </c>
      <c r="U4286" s="19" t="str">
        <f>IFERROR(LEFT(I4285,FIND("*",I4285)-1),"-")</f>
        <v>-</v>
      </c>
      <c r="V4286" s="19" t="str">
        <f>IFERROR(RIGHT(I4285,LEN(I4285)-FIND("*",I4285)),"-")</f>
        <v>-</v>
      </c>
      <c r="W4286" s="20" t="str">
        <f t="shared" si="2326"/>
        <v>-</v>
      </c>
      <c r="X4286" s="20" t="str">
        <f t="shared" ref="X4286" si="2331">IFERROR(W4286*J4285,"-")</f>
        <v>-</v>
      </c>
      <c r="Z4286" s="85" t="s">
        <v>82</v>
      </c>
    </row>
    <row r="4287" spans="1:26" ht="6.95" customHeight="1" x14ac:dyDescent="0.3">
      <c r="A4287" s="5"/>
      <c r="B4287" s="157"/>
      <c r="C4287" s="158"/>
      <c r="D4287" s="161"/>
      <c r="E4287" s="162"/>
      <c r="F4287" s="163"/>
      <c r="G4287" s="164"/>
      <c r="H4287" s="165"/>
      <c r="I4287" s="164"/>
      <c r="J4287" s="165"/>
      <c r="K4287" s="164"/>
      <c r="L4287" s="165"/>
      <c r="M4287" s="6"/>
      <c r="N4287" s="32"/>
      <c r="Q4287" s="10" t="str">
        <f>+CONCATENATE(E4285,K4285)</f>
        <v/>
      </c>
      <c r="R4287" s="10">
        <f>+L4285</f>
        <v>0</v>
      </c>
      <c r="S4287" s="11"/>
      <c r="T4287" s="10">
        <f>+E4285</f>
        <v>0</v>
      </c>
      <c r="U4287" s="19" t="str">
        <f>IFERROR(LEFT(K4285,FIND("*",K4285)-1),"-")</f>
        <v>-</v>
      </c>
      <c r="V4287" s="19" t="str">
        <f>IFERROR(RIGHT(K4285,LEN(K4285)-FIND("*",K4285)),"-")</f>
        <v>-</v>
      </c>
      <c r="W4287" s="20" t="str">
        <f t="shared" si="2326"/>
        <v>-</v>
      </c>
      <c r="X4287" s="20" t="str">
        <f>IFERROR(W4287*L4285,"-")</f>
        <v>-</v>
      </c>
      <c r="Z4287" s="85" t="s">
        <v>82</v>
      </c>
    </row>
    <row r="4288" spans="1:26" ht="21" customHeight="1" thickBot="1" x14ac:dyDescent="0.35">
      <c r="A4288" s="5"/>
      <c r="B4288" s="159"/>
      <c r="C4288" s="160"/>
      <c r="D4288" s="166" t="s">
        <v>43</v>
      </c>
      <c r="E4288" s="167"/>
      <c r="F4288" s="167"/>
      <c r="G4288" s="168"/>
      <c r="H4288" s="168"/>
      <c r="I4288" s="168"/>
      <c r="J4288" s="168"/>
      <c r="K4288" s="168"/>
      <c r="L4288" s="168"/>
      <c r="M4288" s="7"/>
      <c r="N4288" s="32"/>
      <c r="Z4288" s="86" t="s">
        <v>81</v>
      </c>
    </row>
    <row r="4289" spans="1:26" ht="9.9499999999999993" customHeight="1" thickBot="1" x14ac:dyDescent="0.35">
      <c r="B4289" s="9"/>
      <c r="C4289" s="109"/>
      <c r="D4289" s="51"/>
      <c r="E4289" s="12"/>
      <c r="F4289" s="51"/>
      <c r="G4289" s="14"/>
      <c r="H4289" s="14"/>
      <c r="I4289" s="14"/>
      <c r="J4289" s="14"/>
      <c r="K4289" s="14"/>
      <c r="L4289" s="14"/>
      <c r="M4289" s="9"/>
      <c r="N4289" s="32"/>
      <c r="U4289" s="18"/>
      <c r="V4289" s="18"/>
      <c r="Z4289" s="85" t="s">
        <v>82</v>
      </c>
    </row>
    <row r="4290" spans="1:26" ht="6.95" customHeight="1" x14ac:dyDescent="0.3">
      <c r="A4290" s="154">
        <f>+A4279+1</f>
        <v>1189</v>
      </c>
      <c r="B4290" s="155"/>
      <c r="C4290" s="156"/>
      <c r="D4290" s="161" t="s">
        <v>39</v>
      </c>
      <c r="E4290" s="162"/>
      <c r="F4290" s="163" t="s">
        <v>40</v>
      </c>
      <c r="G4290" s="164"/>
      <c r="H4290" s="165"/>
      <c r="I4290" s="164"/>
      <c r="J4290" s="165"/>
      <c r="K4290" s="164"/>
      <c r="L4290" s="165"/>
      <c r="M4290" s="6"/>
      <c r="N4290" s="32"/>
      <c r="Q4290" s="10" t="str">
        <f>+CONCATENATE(E4290,G4290)</f>
        <v/>
      </c>
      <c r="R4290" s="10">
        <f>+H4290</f>
        <v>0</v>
      </c>
      <c r="S4290" s="11"/>
      <c r="T4290" s="10">
        <f>+E4290</f>
        <v>0</v>
      </c>
      <c r="U4290" s="19" t="str">
        <f>IFERROR(LEFT(G4290,FIND("*",G4290)-1),"-")</f>
        <v>-</v>
      </c>
      <c r="V4290" s="19" t="str">
        <f>IFERROR(RIGHT(G4290,LEN(G4290)-FIND("*",G4290)),"-")</f>
        <v>-</v>
      </c>
      <c r="W4290" s="20" t="str">
        <f>IFERROR((U4290+V4290)*2/1000,"-")</f>
        <v>-</v>
      </c>
      <c r="X4290" s="20" t="str">
        <f>IFERROR(W4290*H4290,"-")</f>
        <v>-</v>
      </c>
      <c r="Z4290" s="85" t="s">
        <v>82</v>
      </c>
    </row>
    <row r="4291" spans="1:26" ht="6.95" customHeight="1" x14ac:dyDescent="0.3">
      <c r="A4291" s="154"/>
      <c r="B4291" s="157"/>
      <c r="C4291" s="158"/>
      <c r="D4291" s="161"/>
      <c r="E4291" s="162"/>
      <c r="F4291" s="163"/>
      <c r="G4291" s="164"/>
      <c r="H4291" s="165"/>
      <c r="I4291" s="164"/>
      <c r="J4291" s="165"/>
      <c r="K4291" s="164"/>
      <c r="L4291" s="165"/>
      <c r="M4291" s="6"/>
      <c r="N4291" s="32"/>
      <c r="Q4291" s="10" t="str">
        <f>+CONCATENATE(E4290,I4290)</f>
        <v/>
      </c>
      <c r="R4291" s="10">
        <f>+J4290</f>
        <v>0</v>
      </c>
      <c r="S4291" s="11"/>
      <c r="T4291" s="10">
        <f>+E4290</f>
        <v>0</v>
      </c>
      <c r="U4291" s="19" t="str">
        <f>IFERROR(LEFT(I4290,FIND("*",I4290)-1),"-")</f>
        <v>-</v>
      </c>
      <c r="V4291" s="19" t="str">
        <f>IFERROR(RIGHT(I4290,LEN(I4290)-FIND("*",I4290)),"-")</f>
        <v>-</v>
      </c>
      <c r="W4291" s="20" t="str">
        <f t="shared" ref="W4291:W4298" si="2332">IFERROR((U4291+V4291)*2/1000,"-")</f>
        <v>-</v>
      </c>
      <c r="X4291" s="20" t="str">
        <f>IFERROR(W4291*J4290,"-")</f>
        <v>-</v>
      </c>
      <c r="Z4291" s="85" t="s">
        <v>82</v>
      </c>
    </row>
    <row r="4292" spans="1:26" ht="6.95" customHeight="1" x14ac:dyDescent="0.3">
      <c r="A4292" s="154"/>
      <c r="B4292" s="157"/>
      <c r="C4292" s="158"/>
      <c r="D4292" s="161"/>
      <c r="E4292" s="162"/>
      <c r="F4292" s="163"/>
      <c r="G4292" s="164"/>
      <c r="H4292" s="165"/>
      <c r="I4292" s="164"/>
      <c r="J4292" s="165"/>
      <c r="K4292" s="164"/>
      <c r="L4292" s="165"/>
      <c r="M4292" s="6"/>
      <c r="N4292" s="32"/>
      <c r="Q4292" s="10" t="str">
        <f>+CONCATENATE(E4290,K4290)</f>
        <v/>
      </c>
      <c r="R4292" s="10">
        <f>+L4290</f>
        <v>0</v>
      </c>
      <c r="S4292" s="11"/>
      <c r="T4292" s="10">
        <f>+E4290</f>
        <v>0</v>
      </c>
      <c r="U4292" s="19" t="str">
        <f>IFERROR(LEFT(K4290,FIND("*",K4290)-1),"-")</f>
        <v>-</v>
      </c>
      <c r="V4292" s="19" t="str">
        <f>IFERROR(RIGHT(K4290,LEN(K4290)-FIND("*",K4290)),"-")</f>
        <v>-</v>
      </c>
      <c r="W4292" s="20" t="str">
        <f t="shared" si="2332"/>
        <v>-</v>
      </c>
      <c r="X4292" s="20" t="str">
        <f>IFERROR(W4292*L4290,"-")</f>
        <v>-</v>
      </c>
      <c r="Z4292" s="85" t="s">
        <v>82</v>
      </c>
    </row>
    <row r="4293" spans="1:26" ht="6.95" customHeight="1" x14ac:dyDescent="0.3">
      <c r="A4293" s="8"/>
      <c r="B4293" s="157"/>
      <c r="C4293" s="158"/>
      <c r="D4293" s="161" t="s">
        <v>39</v>
      </c>
      <c r="E4293" s="162"/>
      <c r="F4293" s="163" t="s">
        <v>40</v>
      </c>
      <c r="G4293" s="164"/>
      <c r="H4293" s="165"/>
      <c r="I4293" s="164"/>
      <c r="J4293" s="165"/>
      <c r="K4293" s="164"/>
      <c r="L4293" s="165"/>
      <c r="M4293" s="6"/>
      <c r="N4293" s="32"/>
      <c r="Q4293" s="10" t="str">
        <f>+CONCATENATE(E4293,G4293)</f>
        <v/>
      </c>
      <c r="R4293" s="10">
        <f>+H4293</f>
        <v>0</v>
      </c>
      <c r="S4293" s="11"/>
      <c r="T4293" s="10">
        <f>+E4293</f>
        <v>0</v>
      </c>
      <c r="U4293" s="19" t="str">
        <f t="shared" ref="U4293" si="2333">IFERROR(LEFT(G4293,FIND("*",G4293)-1),"-")</f>
        <v>-</v>
      </c>
      <c r="V4293" s="19" t="str">
        <f t="shared" ref="V4293" si="2334">IFERROR(RIGHT(G4293,LEN(G4293)-FIND("*",G4293)),"-")</f>
        <v>-</v>
      </c>
      <c r="W4293" s="20" t="str">
        <f t="shared" si="2332"/>
        <v>-</v>
      </c>
      <c r="X4293" s="20" t="str">
        <f>IFERROR(W4293*H4293,"-")</f>
        <v>-</v>
      </c>
      <c r="Z4293" s="85" t="s">
        <v>82</v>
      </c>
    </row>
    <row r="4294" spans="1:26" ht="6.95" customHeight="1" x14ac:dyDescent="0.3">
      <c r="A4294" s="5"/>
      <c r="B4294" s="157"/>
      <c r="C4294" s="158"/>
      <c r="D4294" s="161"/>
      <c r="E4294" s="162"/>
      <c r="F4294" s="163"/>
      <c r="G4294" s="164"/>
      <c r="H4294" s="165"/>
      <c r="I4294" s="164"/>
      <c r="J4294" s="165"/>
      <c r="K4294" s="164"/>
      <c r="L4294" s="165"/>
      <c r="M4294" s="6"/>
      <c r="N4294" s="32"/>
      <c r="Q4294" s="10" t="str">
        <f>+CONCATENATE(E4293,I4293)</f>
        <v/>
      </c>
      <c r="R4294" s="10">
        <f>+J4293</f>
        <v>0</v>
      </c>
      <c r="S4294" s="11"/>
      <c r="T4294" s="10">
        <f>+E4293</f>
        <v>0</v>
      </c>
      <c r="U4294" s="19" t="str">
        <f>IFERROR(LEFT(I4293,FIND("*",I4293)-1),"-")</f>
        <v>-</v>
      </c>
      <c r="V4294" s="19" t="str">
        <f>IFERROR(RIGHT(I4293,LEN(I4293)-FIND("*",I4293)),"-")</f>
        <v>-</v>
      </c>
      <c r="W4294" s="20" t="str">
        <f t="shared" si="2332"/>
        <v>-</v>
      </c>
      <c r="X4294" s="20" t="str">
        <f>IFERROR(W4294*J4293,"-")</f>
        <v>-</v>
      </c>
      <c r="Z4294" s="85" t="s">
        <v>82</v>
      </c>
    </row>
    <row r="4295" spans="1:26" ht="6.95" customHeight="1" x14ac:dyDescent="0.3">
      <c r="A4295" s="5"/>
      <c r="B4295" s="157"/>
      <c r="C4295" s="158"/>
      <c r="D4295" s="161"/>
      <c r="E4295" s="162"/>
      <c r="F4295" s="163"/>
      <c r="G4295" s="164"/>
      <c r="H4295" s="165"/>
      <c r="I4295" s="164"/>
      <c r="J4295" s="165"/>
      <c r="K4295" s="164"/>
      <c r="L4295" s="165"/>
      <c r="M4295" s="6"/>
      <c r="N4295" s="32"/>
      <c r="Q4295" s="10" t="str">
        <f>+CONCATENATE(E4293,K4293)</f>
        <v/>
      </c>
      <c r="R4295" s="10">
        <f>+L4293</f>
        <v>0</v>
      </c>
      <c r="S4295" s="11"/>
      <c r="T4295" s="10">
        <f>+E4293</f>
        <v>0</v>
      </c>
      <c r="U4295" s="19" t="str">
        <f>IFERROR(LEFT(K4293,FIND("*",K4293)-1),"-")</f>
        <v>-</v>
      </c>
      <c r="V4295" s="19" t="str">
        <f>IFERROR(RIGHT(K4293,LEN(K4293)-FIND("*",K4293)),"-")</f>
        <v>-</v>
      </c>
      <c r="W4295" s="20" t="str">
        <f t="shared" si="2332"/>
        <v>-</v>
      </c>
      <c r="X4295" s="20" t="str">
        <f>IFERROR(W4295*L4293,"-")</f>
        <v>-</v>
      </c>
      <c r="Z4295" s="85" t="s">
        <v>82</v>
      </c>
    </row>
    <row r="4296" spans="1:26" ht="6.95" customHeight="1" x14ac:dyDescent="0.3">
      <c r="A4296" s="8"/>
      <c r="B4296" s="157"/>
      <c r="C4296" s="158"/>
      <c r="D4296" s="161" t="s">
        <v>39</v>
      </c>
      <c r="E4296" s="162"/>
      <c r="F4296" s="163" t="s">
        <v>40</v>
      </c>
      <c r="G4296" s="164"/>
      <c r="H4296" s="165"/>
      <c r="I4296" s="164"/>
      <c r="J4296" s="165"/>
      <c r="K4296" s="164"/>
      <c r="L4296" s="165"/>
      <c r="M4296" s="6"/>
      <c r="N4296" s="32"/>
      <c r="Q4296" s="10" t="str">
        <f>+CONCATENATE(E4296,G4296)</f>
        <v/>
      </c>
      <c r="R4296" s="10">
        <f>+H4296</f>
        <v>0</v>
      </c>
      <c r="S4296" s="11"/>
      <c r="T4296" s="10">
        <f>+E4296</f>
        <v>0</v>
      </c>
      <c r="U4296" s="19" t="str">
        <f t="shared" ref="U4296" si="2335">IFERROR(LEFT(G4296,FIND("*",G4296)-1),"-")</f>
        <v>-</v>
      </c>
      <c r="V4296" s="19" t="str">
        <f t="shared" ref="V4296" si="2336">IFERROR(RIGHT(G4296,LEN(G4296)-FIND("*",G4296)),"-")</f>
        <v>-</v>
      </c>
      <c r="W4296" s="20" t="str">
        <f t="shared" si="2332"/>
        <v>-</v>
      </c>
      <c r="X4296" s="20" t="str">
        <f>IFERROR(W4296*H4296,"-")</f>
        <v>-</v>
      </c>
      <c r="Z4296" s="85" t="s">
        <v>82</v>
      </c>
    </row>
    <row r="4297" spans="1:26" ht="6.95" customHeight="1" x14ac:dyDescent="0.3">
      <c r="A4297" s="5"/>
      <c r="B4297" s="157"/>
      <c r="C4297" s="158"/>
      <c r="D4297" s="161"/>
      <c r="E4297" s="162"/>
      <c r="F4297" s="163"/>
      <c r="G4297" s="164"/>
      <c r="H4297" s="165"/>
      <c r="I4297" s="164"/>
      <c r="J4297" s="165"/>
      <c r="K4297" s="164"/>
      <c r="L4297" s="165"/>
      <c r="M4297" s="6"/>
      <c r="N4297" s="32"/>
      <c r="Q4297" s="10" t="str">
        <f>+CONCATENATE(E4296,I4296)</f>
        <v/>
      </c>
      <c r="R4297" s="10">
        <f>+J4296</f>
        <v>0</v>
      </c>
      <c r="S4297" s="11"/>
      <c r="T4297" s="10">
        <f>+E4296</f>
        <v>0</v>
      </c>
      <c r="U4297" s="19" t="str">
        <f>IFERROR(LEFT(I4296,FIND("*",I4296)-1),"-")</f>
        <v>-</v>
      </c>
      <c r="V4297" s="19" t="str">
        <f>IFERROR(RIGHT(I4296,LEN(I4296)-FIND("*",I4296)),"-")</f>
        <v>-</v>
      </c>
      <c r="W4297" s="20" t="str">
        <f t="shared" si="2332"/>
        <v>-</v>
      </c>
      <c r="X4297" s="20" t="str">
        <f t="shared" ref="X4297" si="2337">IFERROR(W4297*J4296,"-")</f>
        <v>-</v>
      </c>
      <c r="Z4297" s="85" t="s">
        <v>82</v>
      </c>
    </row>
    <row r="4298" spans="1:26" ht="6.95" customHeight="1" x14ac:dyDescent="0.3">
      <c r="A4298" s="5"/>
      <c r="B4298" s="157"/>
      <c r="C4298" s="158"/>
      <c r="D4298" s="161"/>
      <c r="E4298" s="162"/>
      <c r="F4298" s="163"/>
      <c r="G4298" s="164"/>
      <c r="H4298" s="165"/>
      <c r="I4298" s="164"/>
      <c r="J4298" s="165"/>
      <c r="K4298" s="164"/>
      <c r="L4298" s="165"/>
      <c r="M4298" s="6"/>
      <c r="N4298" s="32"/>
      <c r="Q4298" s="10" t="str">
        <f>+CONCATENATE(E4296,K4296)</f>
        <v/>
      </c>
      <c r="R4298" s="10">
        <f>+L4296</f>
        <v>0</v>
      </c>
      <c r="S4298" s="11"/>
      <c r="T4298" s="10">
        <f>+E4296</f>
        <v>0</v>
      </c>
      <c r="U4298" s="19" t="str">
        <f>IFERROR(LEFT(K4296,FIND("*",K4296)-1),"-")</f>
        <v>-</v>
      </c>
      <c r="V4298" s="19" t="str">
        <f>IFERROR(RIGHT(K4296,LEN(K4296)-FIND("*",K4296)),"-")</f>
        <v>-</v>
      </c>
      <c r="W4298" s="20" t="str">
        <f t="shared" si="2332"/>
        <v>-</v>
      </c>
      <c r="X4298" s="20" t="str">
        <f>IFERROR(W4298*L4296,"-")</f>
        <v>-</v>
      </c>
      <c r="Z4298" s="85" t="s">
        <v>82</v>
      </c>
    </row>
    <row r="4299" spans="1:26" ht="21" customHeight="1" thickBot="1" x14ac:dyDescent="0.35">
      <c r="A4299" s="5"/>
      <c r="B4299" s="159"/>
      <c r="C4299" s="160"/>
      <c r="D4299" s="166" t="s">
        <v>43</v>
      </c>
      <c r="E4299" s="167"/>
      <c r="F4299" s="167"/>
      <c r="G4299" s="168"/>
      <c r="H4299" s="168"/>
      <c r="I4299" s="168"/>
      <c r="J4299" s="168"/>
      <c r="K4299" s="168"/>
      <c r="L4299" s="168"/>
      <c r="M4299" s="7"/>
      <c r="N4299" s="32"/>
      <c r="Z4299" s="86" t="s">
        <v>81</v>
      </c>
    </row>
    <row r="4300" spans="1:26" ht="9.9499999999999993" customHeight="1" thickBot="1" x14ac:dyDescent="0.35">
      <c r="B4300" s="9"/>
      <c r="C4300" s="109"/>
      <c r="D4300" s="51"/>
      <c r="E4300" s="12"/>
      <c r="F4300" s="51"/>
      <c r="G4300" s="14"/>
      <c r="H4300" s="14"/>
      <c r="I4300" s="14"/>
      <c r="J4300" s="14"/>
      <c r="K4300" s="14"/>
      <c r="L4300" s="14"/>
      <c r="M4300" s="9"/>
      <c r="N4300" s="32"/>
      <c r="U4300" s="18"/>
      <c r="V4300" s="18"/>
      <c r="Z4300" s="85" t="s">
        <v>82</v>
      </c>
    </row>
    <row r="4301" spans="1:26" ht="6.95" customHeight="1" x14ac:dyDescent="0.3">
      <c r="A4301" s="154">
        <f>+A4290+1</f>
        <v>1190</v>
      </c>
      <c r="B4301" s="155"/>
      <c r="C4301" s="156"/>
      <c r="D4301" s="161" t="s">
        <v>39</v>
      </c>
      <c r="E4301" s="162"/>
      <c r="F4301" s="163" t="s">
        <v>40</v>
      </c>
      <c r="G4301" s="164"/>
      <c r="H4301" s="165"/>
      <c r="I4301" s="164"/>
      <c r="J4301" s="165"/>
      <c r="K4301" s="164"/>
      <c r="L4301" s="165"/>
      <c r="M4301" s="6"/>
      <c r="N4301" s="32"/>
      <c r="Q4301" s="10" t="str">
        <f>+CONCATENATE(E4301,G4301)</f>
        <v/>
      </c>
      <c r="R4301" s="10">
        <f>+H4301</f>
        <v>0</v>
      </c>
      <c r="S4301" s="11"/>
      <c r="T4301" s="10">
        <f>+E4301</f>
        <v>0</v>
      </c>
      <c r="U4301" s="19" t="str">
        <f>IFERROR(LEFT(G4301,FIND("*",G4301)-1),"-")</f>
        <v>-</v>
      </c>
      <c r="V4301" s="19" t="str">
        <f>IFERROR(RIGHT(G4301,LEN(G4301)-FIND("*",G4301)),"-")</f>
        <v>-</v>
      </c>
      <c r="W4301" s="20" t="str">
        <f>IFERROR((U4301+V4301)*2/1000,"-")</f>
        <v>-</v>
      </c>
      <c r="X4301" s="20" t="str">
        <f>IFERROR(W4301*H4301,"-")</f>
        <v>-</v>
      </c>
      <c r="Z4301" s="85" t="s">
        <v>82</v>
      </c>
    </row>
    <row r="4302" spans="1:26" ht="6.95" customHeight="1" x14ac:dyDescent="0.3">
      <c r="A4302" s="154"/>
      <c r="B4302" s="157"/>
      <c r="C4302" s="158"/>
      <c r="D4302" s="161"/>
      <c r="E4302" s="162"/>
      <c r="F4302" s="163"/>
      <c r="G4302" s="164"/>
      <c r="H4302" s="165"/>
      <c r="I4302" s="164"/>
      <c r="J4302" s="165"/>
      <c r="K4302" s="164"/>
      <c r="L4302" s="165"/>
      <c r="M4302" s="6"/>
      <c r="N4302" s="32"/>
      <c r="Q4302" s="10" t="str">
        <f>+CONCATENATE(E4301,I4301)</f>
        <v/>
      </c>
      <c r="R4302" s="10">
        <f>+J4301</f>
        <v>0</v>
      </c>
      <c r="S4302" s="11"/>
      <c r="T4302" s="10">
        <f>+E4301</f>
        <v>0</v>
      </c>
      <c r="U4302" s="19" t="str">
        <f>IFERROR(LEFT(I4301,FIND("*",I4301)-1),"-")</f>
        <v>-</v>
      </c>
      <c r="V4302" s="19" t="str">
        <f>IFERROR(RIGHT(I4301,LEN(I4301)-FIND("*",I4301)),"-")</f>
        <v>-</v>
      </c>
      <c r="W4302" s="20" t="str">
        <f t="shared" ref="W4302:W4309" si="2338">IFERROR((U4302+V4302)*2/1000,"-")</f>
        <v>-</v>
      </c>
      <c r="X4302" s="20" t="str">
        <f>IFERROR(W4302*J4301,"-")</f>
        <v>-</v>
      </c>
      <c r="Z4302" s="85" t="s">
        <v>82</v>
      </c>
    </row>
    <row r="4303" spans="1:26" ht="6.95" customHeight="1" x14ac:dyDescent="0.3">
      <c r="A4303" s="154"/>
      <c r="B4303" s="157"/>
      <c r="C4303" s="158"/>
      <c r="D4303" s="161"/>
      <c r="E4303" s="162"/>
      <c r="F4303" s="163"/>
      <c r="G4303" s="164"/>
      <c r="H4303" s="165"/>
      <c r="I4303" s="164"/>
      <c r="J4303" s="165"/>
      <c r="K4303" s="164"/>
      <c r="L4303" s="165"/>
      <c r="M4303" s="6"/>
      <c r="N4303" s="32"/>
      <c r="Q4303" s="10" t="str">
        <f>+CONCATENATE(E4301,K4301)</f>
        <v/>
      </c>
      <c r="R4303" s="10">
        <f>+L4301</f>
        <v>0</v>
      </c>
      <c r="S4303" s="11"/>
      <c r="T4303" s="10">
        <f>+E4301</f>
        <v>0</v>
      </c>
      <c r="U4303" s="19" t="str">
        <f>IFERROR(LEFT(K4301,FIND("*",K4301)-1),"-")</f>
        <v>-</v>
      </c>
      <c r="V4303" s="19" t="str">
        <f>IFERROR(RIGHT(K4301,LEN(K4301)-FIND("*",K4301)),"-")</f>
        <v>-</v>
      </c>
      <c r="W4303" s="20" t="str">
        <f t="shared" si="2338"/>
        <v>-</v>
      </c>
      <c r="X4303" s="20" t="str">
        <f>IFERROR(W4303*L4301,"-")</f>
        <v>-</v>
      </c>
      <c r="Z4303" s="85" t="s">
        <v>82</v>
      </c>
    </row>
    <row r="4304" spans="1:26" ht="6.95" customHeight="1" x14ac:dyDescent="0.3">
      <c r="A4304" s="8"/>
      <c r="B4304" s="157"/>
      <c r="C4304" s="158"/>
      <c r="D4304" s="161" t="s">
        <v>39</v>
      </c>
      <c r="E4304" s="162"/>
      <c r="F4304" s="163" t="s">
        <v>40</v>
      </c>
      <c r="G4304" s="164"/>
      <c r="H4304" s="165"/>
      <c r="I4304" s="164"/>
      <c r="J4304" s="165"/>
      <c r="K4304" s="164"/>
      <c r="L4304" s="165"/>
      <c r="M4304" s="6"/>
      <c r="N4304" s="32"/>
      <c r="Q4304" s="10" t="str">
        <f>+CONCATENATE(E4304,G4304)</f>
        <v/>
      </c>
      <c r="R4304" s="10">
        <f>+H4304</f>
        <v>0</v>
      </c>
      <c r="S4304" s="11"/>
      <c r="T4304" s="10">
        <f>+E4304</f>
        <v>0</v>
      </c>
      <c r="U4304" s="19" t="str">
        <f t="shared" ref="U4304" si="2339">IFERROR(LEFT(G4304,FIND("*",G4304)-1),"-")</f>
        <v>-</v>
      </c>
      <c r="V4304" s="19" t="str">
        <f t="shared" ref="V4304" si="2340">IFERROR(RIGHT(G4304,LEN(G4304)-FIND("*",G4304)),"-")</f>
        <v>-</v>
      </c>
      <c r="W4304" s="20" t="str">
        <f t="shared" si="2338"/>
        <v>-</v>
      </c>
      <c r="X4304" s="20" t="str">
        <f>IFERROR(W4304*H4304,"-")</f>
        <v>-</v>
      </c>
      <c r="Z4304" s="85" t="s">
        <v>82</v>
      </c>
    </row>
    <row r="4305" spans="1:26" ht="6.95" customHeight="1" x14ac:dyDescent="0.3">
      <c r="A4305" s="5"/>
      <c r="B4305" s="157"/>
      <c r="C4305" s="158"/>
      <c r="D4305" s="161"/>
      <c r="E4305" s="162"/>
      <c r="F4305" s="163"/>
      <c r="G4305" s="164"/>
      <c r="H4305" s="165"/>
      <c r="I4305" s="164"/>
      <c r="J4305" s="165"/>
      <c r="K4305" s="164"/>
      <c r="L4305" s="165"/>
      <c r="M4305" s="6"/>
      <c r="N4305" s="32"/>
      <c r="Q4305" s="10" t="str">
        <f>+CONCATENATE(E4304,I4304)</f>
        <v/>
      </c>
      <c r="R4305" s="10">
        <f>+J4304</f>
        <v>0</v>
      </c>
      <c r="S4305" s="11"/>
      <c r="T4305" s="10">
        <f>+E4304</f>
        <v>0</v>
      </c>
      <c r="U4305" s="19" t="str">
        <f>IFERROR(LEFT(I4304,FIND("*",I4304)-1),"-")</f>
        <v>-</v>
      </c>
      <c r="V4305" s="19" t="str">
        <f>IFERROR(RIGHT(I4304,LEN(I4304)-FIND("*",I4304)),"-")</f>
        <v>-</v>
      </c>
      <c r="W4305" s="20" t="str">
        <f t="shared" si="2338"/>
        <v>-</v>
      </c>
      <c r="X4305" s="20" t="str">
        <f>IFERROR(W4305*J4304,"-")</f>
        <v>-</v>
      </c>
      <c r="Z4305" s="85" t="s">
        <v>82</v>
      </c>
    </row>
    <row r="4306" spans="1:26" ht="6.95" customHeight="1" x14ac:dyDescent="0.3">
      <c r="A4306" s="5"/>
      <c r="B4306" s="157"/>
      <c r="C4306" s="158"/>
      <c r="D4306" s="161"/>
      <c r="E4306" s="162"/>
      <c r="F4306" s="163"/>
      <c r="G4306" s="164"/>
      <c r="H4306" s="165"/>
      <c r="I4306" s="164"/>
      <c r="J4306" s="165"/>
      <c r="K4306" s="164"/>
      <c r="L4306" s="165"/>
      <c r="M4306" s="6"/>
      <c r="N4306" s="32"/>
      <c r="Q4306" s="10" t="str">
        <f>+CONCATENATE(E4304,K4304)</f>
        <v/>
      </c>
      <c r="R4306" s="10">
        <f>+L4304</f>
        <v>0</v>
      </c>
      <c r="S4306" s="11"/>
      <c r="T4306" s="10">
        <f>+E4304</f>
        <v>0</v>
      </c>
      <c r="U4306" s="19" t="str">
        <f>IFERROR(LEFT(K4304,FIND("*",K4304)-1),"-")</f>
        <v>-</v>
      </c>
      <c r="V4306" s="19" t="str">
        <f>IFERROR(RIGHT(K4304,LEN(K4304)-FIND("*",K4304)),"-")</f>
        <v>-</v>
      </c>
      <c r="W4306" s="20" t="str">
        <f t="shared" si="2338"/>
        <v>-</v>
      </c>
      <c r="X4306" s="20" t="str">
        <f>IFERROR(W4306*L4304,"-")</f>
        <v>-</v>
      </c>
      <c r="Z4306" s="85" t="s">
        <v>82</v>
      </c>
    </row>
    <row r="4307" spans="1:26" ht="6.95" customHeight="1" x14ac:dyDescent="0.3">
      <c r="A4307" s="8"/>
      <c r="B4307" s="157"/>
      <c r="C4307" s="158"/>
      <c r="D4307" s="161" t="s">
        <v>39</v>
      </c>
      <c r="E4307" s="162"/>
      <c r="F4307" s="163" t="s">
        <v>40</v>
      </c>
      <c r="G4307" s="164"/>
      <c r="H4307" s="165"/>
      <c r="I4307" s="164"/>
      <c r="J4307" s="165"/>
      <c r="K4307" s="164"/>
      <c r="L4307" s="165"/>
      <c r="M4307" s="6"/>
      <c r="N4307" s="32"/>
      <c r="Q4307" s="10" t="str">
        <f>+CONCATENATE(E4307,G4307)</f>
        <v/>
      </c>
      <c r="R4307" s="10">
        <f>+H4307</f>
        <v>0</v>
      </c>
      <c r="S4307" s="11"/>
      <c r="T4307" s="10">
        <f>+E4307</f>
        <v>0</v>
      </c>
      <c r="U4307" s="19" t="str">
        <f t="shared" ref="U4307" si="2341">IFERROR(LEFT(G4307,FIND("*",G4307)-1),"-")</f>
        <v>-</v>
      </c>
      <c r="V4307" s="19" t="str">
        <f t="shared" ref="V4307" si="2342">IFERROR(RIGHT(G4307,LEN(G4307)-FIND("*",G4307)),"-")</f>
        <v>-</v>
      </c>
      <c r="W4307" s="20" t="str">
        <f t="shared" si="2338"/>
        <v>-</v>
      </c>
      <c r="X4307" s="20" t="str">
        <f>IFERROR(W4307*H4307,"-")</f>
        <v>-</v>
      </c>
      <c r="Z4307" s="85" t="s">
        <v>82</v>
      </c>
    </row>
    <row r="4308" spans="1:26" ht="6.95" customHeight="1" x14ac:dyDescent="0.3">
      <c r="A4308" s="5"/>
      <c r="B4308" s="157"/>
      <c r="C4308" s="158"/>
      <c r="D4308" s="161"/>
      <c r="E4308" s="162"/>
      <c r="F4308" s="163"/>
      <c r="G4308" s="164"/>
      <c r="H4308" s="165"/>
      <c r="I4308" s="164"/>
      <c r="J4308" s="165"/>
      <c r="K4308" s="164"/>
      <c r="L4308" s="165"/>
      <c r="M4308" s="6"/>
      <c r="N4308" s="32"/>
      <c r="Q4308" s="10" t="str">
        <f>+CONCATENATE(E4307,I4307)</f>
        <v/>
      </c>
      <c r="R4308" s="10">
        <f>+J4307</f>
        <v>0</v>
      </c>
      <c r="S4308" s="11"/>
      <c r="T4308" s="10">
        <f>+E4307</f>
        <v>0</v>
      </c>
      <c r="U4308" s="19" t="str">
        <f>IFERROR(LEFT(I4307,FIND("*",I4307)-1),"-")</f>
        <v>-</v>
      </c>
      <c r="V4308" s="19" t="str">
        <f>IFERROR(RIGHT(I4307,LEN(I4307)-FIND("*",I4307)),"-")</f>
        <v>-</v>
      </c>
      <c r="W4308" s="20" t="str">
        <f t="shared" si="2338"/>
        <v>-</v>
      </c>
      <c r="X4308" s="20" t="str">
        <f t="shared" ref="X4308" si="2343">IFERROR(W4308*J4307,"-")</f>
        <v>-</v>
      </c>
      <c r="Z4308" s="85" t="s">
        <v>82</v>
      </c>
    </row>
    <row r="4309" spans="1:26" ht="6.95" customHeight="1" x14ac:dyDescent="0.3">
      <c r="A4309" s="5"/>
      <c r="B4309" s="157"/>
      <c r="C4309" s="158"/>
      <c r="D4309" s="161"/>
      <c r="E4309" s="162"/>
      <c r="F4309" s="163"/>
      <c r="G4309" s="164"/>
      <c r="H4309" s="165"/>
      <c r="I4309" s="164"/>
      <c r="J4309" s="165"/>
      <c r="K4309" s="164"/>
      <c r="L4309" s="165"/>
      <c r="M4309" s="6"/>
      <c r="N4309" s="32"/>
      <c r="Q4309" s="10" t="str">
        <f>+CONCATENATE(E4307,K4307)</f>
        <v/>
      </c>
      <c r="R4309" s="10">
        <f>+L4307</f>
        <v>0</v>
      </c>
      <c r="S4309" s="11"/>
      <c r="T4309" s="10">
        <f>+E4307</f>
        <v>0</v>
      </c>
      <c r="U4309" s="19" t="str">
        <f>IFERROR(LEFT(K4307,FIND("*",K4307)-1),"-")</f>
        <v>-</v>
      </c>
      <c r="V4309" s="19" t="str">
        <f>IFERROR(RIGHT(K4307,LEN(K4307)-FIND("*",K4307)),"-")</f>
        <v>-</v>
      </c>
      <c r="W4309" s="20" t="str">
        <f t="shared" si="2338"/>
        <v>-</v>
      </c>
      <c r="X4309" s="20" t="str">
        <f>IFERROR(W4309*L4307,"-")</f>
        <v>-</v>
      </c>
      <c r="Z4309" s="85" t="s">
        <v>82</v>
      </c>
    </row>
    <row r="4310" spans="1:26" ht="21" customHeight="1" thickBot="1" x14ac:dyDescent="0.35">
      <c r="A4310" s="5"/>
      <c r="B4310" s="159"/>
      <c r="C4310" s="160"/>
      <c r="D4310" s="166" t="s">
        <v>43</v>
      </c>
      <c r="E4310" s="167"/>
      <c r="F4310" s="167"/>
      <c r="G4310" s="168"/>
      <c r="H4310" s="168"/>
      <c r="I4310" s="168"/>
      <c r="J4310" s="168"/>
      <c r="K4310" s="168"/>
      <c r="L4310" s="168"/>
      <c r="M4310" s="7"/>
      <c r="N4310" s="32"/>
      <c r="Z4310" s="86" t="s">
        <v>81</v>
      </c>
    </row>
    <row r="4311" spans="1:26" ht="9.9499999999999993" customHeight="1" thickBot="1" x14ac:dyDescent="0.35">
      <c r="B4311" s="9"/>
      <c r="C4311" s="109"/>
      <c r="D4311" s="51"/>
      <c r="E4311" s="12"/>
      <c r="F4311" s="51"/>
      <c r="G4311" s="14"/>
      <c r="H4311" s="14"/>
      <c r="I4311" s="14"/>
      <c r="J4311" s="14"/>
      <c r="K4311" s="14"/>
      <c r="L4311" s="14"/>
      <c r="M4311" s="9"/>
      <c r="N4311" s="32"/>
      <c r="U4311" s="18"/>
      <c r="V4311" s="18"/>
      <c r="Z4311" s="85" t="s">
        <v>82</v>
      </c>
    </row>
    <row r="4312" spans="1:26" ht="6.95" customHeight="1" x14ac:dyDescent="0.3">
      <c r="A4312" s="154">
        <f>+A4301+1</f>
        <v>1191</v>
      </c>
      <c r="B4312" s="155"/>
      <c r="C4312" s="156"/>
      <c r="D4312" s="161" t="s">
        <v>39</v>
      </c>
      <c r="E4312" s="162"/>
      <c r="F4312" s="163" t="s">
        <v>40</v>
      </c>
      <c r="G4312" s="164"/>
      <c r="H4312" s="165"/>
      <c r="I4312" s="164"/>
      <c r="J4312" s="165"/>
      <c r="K4312" s="164"/>
      <c r="L4312" s="165"/>
      <c r="M4312" s="6"/>
      <c r="N4312" s="32"/>
      <c r="Q4312" s="10" t="str">
        <f>+CONCATENATE(E4312,G4312)</f>
        <v/>
      </c>
      <c r="R4312" s="10">
        <f>+H4312</f>
        <v>0</v>
      </c>
      <c r="S4312" s="11"/>
      <c r="T4312" s="10">
        <f>+E4312</f>
        <v>0</v>
      </c>
      <c r="U4312" s="19" t="str">
        <f>IFERROR(LEFT(G4312,FIND("*",G4312)-1),"-")</f>
        <v>-</v>
      </c>
      <c r="V4312" s="19" t="str">
        <f>IFERROR(RIGHT(G4312,LEN(G4312)-FIND("*",G4312)),"-")</f>
        <v>-</v>
      </c>
      <c r="W4312" s="20" t="str">
        <f>IFERROR((U4312+V4312)*2/1000,"-")</f>
        <v>-</v>
      </c>
      <c r="X4312" s="20" t="str">
        <f>IFERROR(W4312*H4312,"-")</f>
        <v>-</v>
      </c>
      <c r="Z4312" s="85" t="s">
        <v>82</v>
      </c>
    </row>
    <row r="4313" spans="1:26" ht="6.95" customHeight="1" x14ac:dyDescent="0.3">
      <c r="A4313" s="154"/>
      <c r="B4313" s="157"/>
      <c r="C4313" s="158"/>
      <c r="D4313" s="161"/>
      <c r="E4313" s="162"/>
      <c r="F4313" s="163"/>
      <c r="G4313" s="164"/>
      <c r="H4313" s="165"/>
      <c r="I4313" s="164"/>
      <c r="J4313" s="165"/>
      <c r="K4313" s="164"/>
      <c r="L4313" s="165"/>
      <c r="M4313" s="6"/>
      <c r="N4313" s="32"/>
      <c r="Q4313" s="10" t="str">
        <f>+CONCATENATE(E4312,I4312)</f>
        <v/>
      </c>
      <c r="R4313" s="10">
        <f>+J4312</f>
        <v>0</v>
      </c>
      <c r="S4313" s="11"/>
      <c r="T4313" s="10">
        <f>+E4312</f>
        <v>0</v>
      </c>
      <c r="U4313" s="19" t="str">
        <f>IFERROR(LEFT(I4312,FIND("*",I4312)-1),"-")</f>
        <v>-</v>
      </c>
      <c r="V4313" s="19" t="str">
        <f>IFERROR(RIGHT(I4312,LEN(I4312)-FIND("*",I4312)),"-")</f>
        <v>-</v>
      </c>
      <c r="W4313" s="20" t="str">
        <f t="shared" ref="W4313:W4320" si="2344">IFERROR((U4313+V4313)*2/1000,"-")</f>
        <v>-</v>
      </c>
      <c r="X4313" s="20" t="str">
        <f>IFERROR(W4313*J4312,"-")</f>
        <v>-</v>
      </c>
      <c r="Z4313" s="85" t="s">
        <v>82</v>
      </c>
    </row>
    <row r="4314" spans="1:26" ht="6.95" customHeight="1" x14ac:dyDescent="0.3">
      <c r="A4314" s="154"/>
      <c r="B4314" s="157"/>
      <c r="C4314" s="158"/>
      <c r="D4314" s="161"/>
      <c r="E4314" s="162"/>
      <c r="F4314" s="163"/>
      <c r="G4314" s="164"/>
      <c r="H4314" s="165"/>
      <c r="I4314" s="164"/>
      <c r="J4314" s="165"/>
      <c r="K4314" s="164"/>
      <c r="L4314" s="165"/>
      <c r="M4314" s="6"/>
      <c r="N4314" s="32"/>
      <c r="Q4314" s="10" t="str">
        <f>+CONCATENATE(E4312,K4312)</f>
        <v/>
      </c>
      <c r="R4314" s="10">
        <f>+L4312</f>
        <v>0</v>
      </c>
      <c r="S4314" s="11"/>
      <c r="T4314" s="10">
        <f>+E4312</f>
        <v>0</v>
      </c>
      <c r="U4314" s="19" t="str">
        <f>IFERROR(LEFT(K4312,FIND("*",K4312)-1),"-")</f>
        <v>-</v>
      </c>
      <c r="V4314" s="19" t="str">
        <f>IFERROR(RIGHT(K4312,LEN(K4312)-FIND("*",K4312)),"-")</f>
        <v>-</v>
      </c>
      <c r="W4314" s="20" t="str">
        <f t="shared" si="2344"/>
        <v>-</v>
      </c>
      <c r="X4314" s="20" t="str">
        <f>IFERROR(W4314*L4312,"-")</f>
        <v>-</v>
      </c>
      <c r="Z4314" s="85" t="s">
        <v>82</v>
      </c>
    </row>
    <row r="4315" spans="1:26" ht="6.95" customHeight="1" x14ac:dyDescent="0.3">
      <c r="A4315" s="8"/>
      <c r="B4315" s="157"/>
      <c r="C4315" s="158"/>
      <c r="D4315" s="161" t="s">
        <v>39</v>
      </c>
      <c r="E4315" s="162"/>
      <c r="F4315" s="163" t="s">
        <v>40</v>
      </c>
      <c r="G4315" s="164"/>
      <c r="H4315" s="165"/>
      <c r="I4315" s="164"/>
      <c r="J4315" s="165"/>
      <c r="K4315" s="164"/>
      <c r="L4315" s="165"/>
      <c r="M4315" s="6"/>
      <c r="N4315" s="32"/>
      <c r="Q4315" s="10" t="str">
        <f>+CONCATENATE(E4315,G4315)</f>
        <v/>
      </c>
      <c r="R4315" s="10">
        <f>+H4315</f>
        <v>0</v>
      </c>
      <c r="S4315" s="11"/>
      <c r="T4315" s="10">
        <f>+E4315</f>
        <v>0</v>
      </c>
      <c r="U4315" s="19" t="str">
        <f t="shared" ref="U4315" si="2345">IFERROR(LEFT(G4315,FIND("*",G4315)-1),"-")</f>
        <v>-</v>
      </c>
      <c r="V4315" s="19" t="str">
        <f t="shared" ref="V4315" si="2346">IFERROR(RIGHT(G4315,LEN(G4315)-FIND("*",G4315)),"-")</f>
        <v>-</v>
      </c>
      <c r="W4315" s="20" t="str">
        <f t="shared" si="2344"/>
        <v>-</v>
      </c>
      <c r="X4315" s="20" t="str">
        <f>IFERROR(W4315*H4315,"-")</f>
        <v>-</v>
      </c>
      <c r="Z4315" s="85" t="s">
        <v>82</v>
      </c>
    </row>
    <row r="4316" spans="1:26" ht="6.95" customHeight="1" x14ac:dyDescent="0.3">
      <c r="A4316" s="5"/>
      <c r="B4316" s="157"/>
      <c r="C4316" s="158"/>
      <c r="D4316" s="161"/>
      <c r="E4316" s="162"/>
      <c r="F4316" s="163"/>
      <c r="G4316" s="164"/>
      <c r="H4316" s="165"/>
      <c r="I4316" s="164"/>
      <c r="J4316" s="165"/>
      <c r="K4316" s="164"/>
      <c r="L4316" s="165"/>
      <c r="M4316" s="6"/>
      <c r="N4316" s="32"/>
      <c r="Q4316" s="10" t="str">
        <f>+CONCATENATE(E4315,I4315)</f>
        <v/>
      </c>
      <c r="R4316" s="10">
        <f>+J4315</f>
        <v>0</v>
      </c>
      <c r="S4316" s="11"/>
      <c r="T4316" s="10">
        <f>+E4315</f>
        <v>0</v>
      </c>
      <c r="U4316" s="19" t="str">
        <f>IFERROR(LEFT(I4315,FIND("*",I4315)-1),"-")</f>
        <v>-</v>
      </c>
      <c r="V4316" s="19" t="str">
        <f>IFERROR(RIGHT(I4315,LEN(I4315)-FIND("*",I4315)),"-")</f>
        <v>-</v>
      </c>
      <c r="W4316" s="20" t="str">
        <f t="shared" si="2344"/>
        <v>-</v>
      </c>
      <c r="X4316" s="20" t="str">
        <f>IFERROR(W4316*J4315,"-")</f>
        <v>-</v>
      </c>
      <c r="Z4316" s="85" t="s">
        <v>82</v>
      </c>
    </row>
    <row r="4317" spans="1:26" ht="6.95" customHeight="1" x14ac:dyDescent="0.3">
      <c r="A4317" s="5"/>
      <c r="B4317" s="157"/>
      <c r="C4317" s="158"/>
      <c r="D4317" s="161"/>
      <c r="E4317" s="162"/>
      <c r="F4317" s="163"/>
      <c r="G4317" s="164"/>
      <c r="H4317" s="165"/>
      <c r="I4317" s="164"/>
      <c r="J4317" s="165"/>
      <c r="K4317" s="164"/>
      <c r="L4317" s="165"/>
      <c r="M4317" s="6"/>
      <c r="N4317" s="32"/>
      <c r="Q4317" s="10" t="str">
        <f>+CONCATENATE(E4315,K4315)</f>
        <v/>
      </c>
      <c r="R4317" s="10">
        <f>+L4315</f>
        <v>0</v>
      </c>
      <c r="S4317" s="11"/>
      <c r="T4317" s="10">
        <f>+E4315</f>
        <v>0</v>
      </c>
      <c r="U4317" s="19" t="str">
        <f>IFERROR(LEFT(K4315,FIND("*",K4315)-1),"-")</f>
        <v>-</v>
      </c>
      <c r="V4317" s="19" t="str">
        <f>IFERROR(RIGHT(K4315,LEN(K4315)-FIND("*",K4315)),"-")</f>
        <v>-</v>
      </c>
      <c r="W4317" s="20" t="str">
        <f t="shared" si="2344"/>
        <v>-</v>
      </c>
      <c r="X4317" s="20" t="str">
        <f>IFERROR(W4317*L4315,"-")</f>
        <v>-</v>
      </c>
      <c r="Z4317" s="85" t="s">
        <v>82</v>
      </c>
    </row>
    <row r="4318" spans="1:26" ht="6.95" customHeight="1" x14ac:dyDescent="0.3">
      <c r="A4318" s="8"/>
      <c r="B4318" s="157"/>
      <c r="C4318" s="158"/>
      <c r="D4318" s="161" t="s">
        <v>39</v>
      </c>
      <c r="E4318" s="162"/>
      <c r="F4318" s="163" t="s">
        <v>40</v>
      </c>
      <c r="G4318" s="164"/>
      <c r="H4318" s="165"/>
      <c r="I4318" s="164"/>
      <c r="J4318" s="165"/>
      <c r="K4318" s="164"/>
      <c r="L4318" s="165"/>
      <c r="M4318" s="6"/>
      <c r="N4318" s="32"/>
      <c r="Q4318" s="10" t="str">
        <f>+CONCATENATE(E4318,G4318)</f>
        <v/>
      </c>
      <c r="R4318" s="10">
        <f>+H4318</f>
        <v>0</v>
      </c>
      <c r="S4318" s="11"/>
      <c r="T4318" s="10">
        <f>+E4318</f>
        <v>0</v>
      </c>
      <c r="U4318" s="19" t="str">
        <f t="shared" ref="U4318" si="2347">IFERROR(LEFT(G4318,FIND("*",G4318)-1),"-")</f>
        <v>-</v>
      </c>
      <c r="V4318" s="19" t="str">
        <f t="shared" ref="V4318" si="2348">IFERROR(RIGHT(G4318,LEN(G4318)-FIND("*",G4318)),"-")</f>
        <v>-</v>
      </c>
      <c r="W4318" s="20" t="str">
        <f t="shared" si="2344"/>
        <v>-</v>
      </c>
      <c r="X4318" s="20" t="str">
        <f>IFERROR(W4318*H4318,"-")</f>
        <v>-</v>
      </c>
      <c r="Z4318" s="85" t="s">
        <v>82</v>
      </c>
    </row>
    <row r="4319" spans="1:26" ht="6.95" customHeight="1" x14ac:dyDescent="0.3">
      <c r="A4319" s="5"/>
      <c r="B4319" s="157"/>
      <c r="C4319" s="158"/>
      <c r="D4319" s="161"/>
      <c r="E4319" s="162"/>
      <c r="F4319" s="163"/>
      <c r="G4319" s="164"/>
      <c r="H4319" s="165"/>
      <c r="I4319" s="164"/>
      <c r="J4319" s="165"/>
      <c r="K4319" s="164"/>
      <c r="L4319" s="165"/>
      <c r="M4319" s="6"/>
      <c r="N4319" s="32"/>
      <c r="Q4319" s="10" t="str">
        <f>+CONCATENATE(E4318,I4318)</f>
        <v/>
      </c>
      <c r="R4319" s="10">
        <f>+J4318</f>
        <v>0</v>
      </c>
      <c r="S4319" s="11"/>
      <c r="T4319" s="10">
        <f>+E4318</f>
        <v>0</v>
      </c>
      <c r="U4319" s="19" t="str">
        <f>IFERROR(LEFT(I4318,FIND("*",I4318)-1),"-")</f>
        <v>-</v>
      </c>
      <c r="V4319" s="19" t="str">
        <f>IFERROR(RIGHT(I4318,LEN(I4318)-FIND("*",I4318)),"-")</f>
        <v>-</v>
      </c>
      <c r="W4319" s="20" t="str">
        <f t="shared" si="2344"/>
        <v>-</v>
      </c>
      <c r="X4319" s="20" t="str">
        <f t="shared" ref="X4319" si="2349">IFERROR(W4319*J4318,"-")</f>
        <v>-</v>
      </c>
      <c r="Z4319" s="85" t="s">
        <v>82</v>
      </c>
    </row>
    <row r="4320" spans="1:26" ht="6.95" customHeight="1" x14ac:dyDescent="0.3">
      <c r="A4320" s="5"/>
      <c r="B4320" s="157"/>
      <c r="C4320" s="158"/>
      <c r="D4320" s="161"/>
      <c r="E4320" s="162"/>
      <c r="F4320" s="163"/>
      <c r="G4320" s="164"/>
      <c r="H4320" s="165"/>
      <c r="I4320" s="164"/>
      <c r="J4320" s="165"/>
      <c r="K4320" s="164"/>
      <c r="L4320" s="165"/>
      <c r="M4320" s="6"/>
      <c r="N4320" s="32"/>
      <c r="Q4320" s="10" t="str">
        <f>+CONCATENATE(E4318,K4318)</f>
        <v/>
      </c>
      <c r="R4320" s="10">
        <f>+L4318</f>
        <v>0</v>
      </c>
      <c r="S4320" s="11"/>
      <c r="T4320" s="10">
        <f>+E4318</f>
        <v>0</v>
      </c>
      <c r="U4320" s="19" t="str">
        <f>IFERROR(LEFT(K4318,FIND("*",K4318)-1),"-")</f>
        <v>-</v>
      </c>
      <c r="V4320" s="19" t="str">
        <f>IFERROR(RIGHT(K4318,LEN(K4318)-FIND("*",K4318)),"-")</f>
        <v>-</v>
      </c>
      <c r="W4320" s="20" t="str">
        <f t="shared" si="2344"/>
        <v>-</v>
      </c>
      <c r="X4320" s="20" t="str">
        <f>IFERROR(W4320*L4318,"-")</f>
        <v>-</v>
      </c>
      <c r="Z4320" s="85" t="s">
        <v>82</v>
      </c>
    </row>
    <row r="4321" spans="1:26" ht="21" customHeight="1" thickBot="1" x14ac:dyDescent="0.35">
      <c r="A4321" s="5"/>
      <c r="B4321" s="159"/>
      <c r="C4321" s="160"/>
      <c r="D4321" s="166" t="s">
        <v>43</v>
      </c>
      <c r="E4321" s="167"/>
      <c r="F4321" s="167"/>
      <c r="G4321" s="168"/>
      <c r="H4321" s="168"/>
      <c r="I4321" s="168"/>
      <c r="J4321" s="168"/>
      <c r="K4321" s="168"/>
      <c r="L4321" s="168"/>
      <c r="M4321" s="7"/>
      <c r="N4321" s="32"/>
      <c r="Z4321" s="86" t="s">
        <v>81</v>
      </c>
    </row>
    <row r="4322" spans="1:26" ht="9.9499999999999993" customHeight="1" thickBot="1" x14ac:dyDescent="0.35">
      <c r="B4322" s="9"/>
      <c r="C4322" s="109"/>
      <c r="D4322" s="51"/>
      <c r="E4322" s="12"/>
      <c r="F4322" s="51"/>
      <c r="G4322" s="14"/>
      <c r="H4322" s="14"/>
      <c r="I4322" s="14"/>
      <c r="J4322" s="14"/>
      <c r="K4322" s="14"/>
      <c r="L4322" s="14"/>
      <c r="M4322" s="9"/>
      <c r="N4322" s="32"/>
      <c r="U4322" s="18"/>
      <c r="V4322" s="18"/>
      <c r="Z4322" s="85" t="s">
        <v>82</v>
      </c>
    </row>
    <row r="4323" spans="1:26" ht="6.95" customHeight="1" x14ac:dyDescent="0.3">
      <c r="A4323" s="154">
        <f>+A4312+1</f>
        <v>1192</v>
      </c>
      <c r="B4323" s="155"/>
      <c r="C4323" s="156"/>
      <c r="D4323" s="161" t="s">
        <v>39</v>
      </c>
      <c r="E4323" s="162"/>
      <c r="F4323" s="163" t="s">
        <v>40</v>
      </c>
      <c r="G4323" s="164"/>
      <c r="H4323" s="165"/>
      <c r="I4323" s="164"/>
      <c r="J4323" s="165"/>
      <c r="K4323" s="164"/>
      <c r="L4323" s="165"/>
      <c r="M4323" s="6"/>
      <c r="N4323" s="32"/>
      <c r="Q4323" s="10" t="str">
        <f>+CONCATENATE(E4323,G4323)</f>
        <v/>
      </c>
      <c r="R4323" s="10">
        <f>+H4323</f>
        <v>0</v>
      </c>
      <c r="S4323" s="11"/>
      <c r="T4323" s="10">
        <f>+E4323</f>
        <v>0</v>
      </c>
      <c r="U4323" s="19" t="str">
        <f>IFERROR(LEFT(G4323,FIND("*",G4323)-1),"-")</f>
        <v>-</v>
      </c>
      <c r="V4323" s="19" t="str">
        <f>IFERROR(RIGHT(G4323,LEN(G4323)-FIND("*",G4323)),"-")</f>
        <v>-</v>
      </c>
      <c r="W4323" s="20" t="str">
        <f>IFERROR((U4323+V4323)*2/1000,"-")</f>
        <v>-</v>
      </c>
      <c r="X4323" s="20" t="str">
        <f>IFERROR(W4323*H4323,"-")</f>
        <v>-</v>
      </c>
      <c r="Z4323" s="85" t="s">
        <v>82</v>
      </c>
    </row>
    <row r="4324" spans="1:26" ht="6.95" customHeight="1" x14ac:dyDescent="0.3">
      <c r="A4324" s="154"/>
      <c r="B4324" s="157"/>
      <c r="C4324" s="158"/>
      <c r="D4324" s="161"/>
      <c r="E4324" s="162"/>
      <c r="F4324" s="163"/>
      <c r="G4324" s="164"/>
      <c r="H4324" s="165"/>
      <c r="I4324" s="164"/>
      <c r="J4324" s="165"/>
      <c r="K4324" s="164"/>
      <c r="L4324" s="165"/>
      <c r="M4324" s="6"/>
      <c r="N4324" s="32"/>
      <c r="Q4324" s="10" t="str">
        <f>+CONCATENATE(E4323,I4323)</f>
        <v/>
      </c>
      <c r="R4324" s="10">
        <f>+J4323</f>
        <v>0</v>
      </c>
      <c r="S4324" s="11"/>
      <c r="T4324" s="10">
        <f>+E4323</f>
        <v>0</v>
      </c>
      <c r="U4324" s="19" t="str">
        <f>IFERROR(LEFT(I4323,FIND("*",I4323)-1),"-")</f>
        <v>-</v>
      </c>
      <c r="V4324" s="19" t="str">
        <f>IFERROR(RIGHT(I4323,LEN(I4323)-FIND("*",I4323)),"-")</f>
        <v>-</v>
      </c>
      <c r="W4324" s="20" t="str">
        <f t="shared" ref="W4324:W4331" si="2350">IFERROR((U4324+V4324)*2/1000,"-")</f>
        <v>-</v>
      </c>
      <c r="X4324" s="20" t="str">
        <f>IFERROR(W4324*J4323,"-")</f>
        <v>-</v>
      </c>
      <c r="Z4324" s="85" t="s">
        <v>82</v>
      </c>
    </row>
    <row r="4325" spans="1:26" ht="6.95" customHeight="1" x14ac:dyDescent="0.3">
      <c r="A4325" s="154"/>
      <c r="B4325" s="157"/>
      <c r="C4325" s="158"/>
      <c r="D4325" s="161"/>
      <c r="E4325" s="162"/>
      <c r="F4325" s="163"/>
      <c r="G4325" s="164"/>
      <c r="H4325" s="165"/>
      <c r="I4325" s="164"/>
      <c r="J4325" s="165"/>
      <c r="K4325" s="164"/>
      <c r="L4325" s="165"/>
      <c r="M4325" s="6"/>
      <c r="N4325" s="32"/>
      <c r="Q4325" s="10" t="str">
        <f>+CONCATENATE(E4323,K4323)</f>
        <v/>
      </c>
      <c r="R4325" s="10">
        <f>+L4323</f>
        <v>0</v>
      </c>
      <c r="S4325" s="11"/>
      <c r="T4325" s="10">
        <f>+E4323</f>
        <v>0</v>
      </c>
      <c r="U4325" s="19" t="str">
        <f>IFERROR(LEFT(K4323,FIND("*",K4323)-1),"-")</f>
        <v>-</v>
      </c>
      <c r="V4325" s="19" t="str">
        <f>IFERROR(RIGHT(K4323,LEN(K4323)-FIND("*",K4323)),"-")</f>
        <v>-</v>
      </c>
      <c r="W4325" s="20" t="str">
        <f t="shared" si="2350"/>
        <v>-</v>
      </c>
      <c r="X4325" s="20" t="str">
        <f>IFERROR(W4325*L4323,"-")</f>
        <v>-</v>
      </c>
      <c r="Z4325" s="85" t="s">
        <v>82</v>
      </c>
    </row>
    <row r="4326" spans="1:26" ht="6.95" customHeight="1" x14ac:dyDescent="0.3">
      <c r="A4326" s="8"/>
      <c r="B4326" s="157"/>
      <c r="C4326" s="158"/>
      <c r="D4326" s="161" t="s">
        <v>39</v>
      </c>
      <c r="E4326" s="162"/>
      <c r="F4326" s="163" t="s">
        <v>40</v>
      </c>
      <c r="G4326" s="164"/>
      <c r="H4326" s="165"/>
      <c r="I4326" s="164"/>
      <c r="J4326" s="165"/>
      <c r="K4326" s="164"/>
      <c r="L4326" s="165"/>
      <c r="M4326" s="6"/>
      <c r="N4326" s="32"/>
      <c r="Q4326" s="10" t="str">
        <f>+CONCATENATE(E4326,G4326)</f>
        <v/>
      </c>
      <c r="R4326" s="10">
        <f>+H4326</f>
        <v>0</v>
      </c>
      <c r="S4326" s="11"/>
      <c r="T4326" s="10">
        <f>+E4326</f>
        <v>0</v>
      </c>
      <c r="U4326" s="19" t="str">
        <f t="shared" ref="U4326" si="2351">IFERROR(LEFT(G4326,FIND("*",G4326)-1),"-")</f>
        <v>-</v>
      </c>
      <c r="V4326" s="19" t="str">
        <f t="shared" ref="V4326" si="2352">IFERROR(RIGHT(G4326,LEN(G4326)-FIND("*",G4326)),"-")</f>
        <v>-</v>
      </c>
      <c r="W4326" s="20" t="str">
        <f t="shared" si="2350"/>
        <v>-</v>
      </c>
      <c r="X4326" s="20" t="str">
        <f>IFERROR(W4326*H4326,"-")</f>
        <v>-</v>
      </c>
      <c r="Z4326" s="85" t="s">
        <v>82</v>
      </c>
    </row>
    <row r="4327" spans="1:26" ht="6.95" customHeight="1" x14ac:dyDescent="0.3">
      <c r="A4327" s="5"/>
      <c r="B4327" s="157"/>
      <c r="C4327" s="158"/>
      <c r="D4327" s="161"/>
      <c r="E4327" s="162"/>
      <c r="F4327" s="163"/>
      <c r="G4327" s="164"/>
      <c r="H4327" s="165"/>
      <c r="I4327" s="164"/>
      <c r="J4327" s="165"/>
      <c r="K4327" s="164"/>
      <c r="L4327" s="165"/>
      <c r="M4327" s="6"/>
      <c r="N4327" s="32"/>
      <c r="Q4327" s="10" t="str">
        <f>+CONCATENATE(E4326,I4326)</f>
        <v/>
      </c>
      <c r="R4327" s="10">
        <f>+J4326</f>
        <v>0</v>
      </c>
      <c r="S4327" s="11"/>
      <c r="T4327" s="10">
        <f>+E4326</f>
        <v>0</v>
      </c>
      <c r="U4327" s="19" t="str">
        <f>IFERROR(LEFT(I4326,FIND("*",I4326)-1),"-")</f>
        <v>-</v>
      </c>
      <c r="V4327" s="19" t="str">
        <f>IFERROR(RIGHT(I4326,LEN(I4326)-FIND("*",I4326)),"-")</f>
        <v>-</v>
      </c>
      <c r="W4327" s="20" t="str">
        <f t="shared" si="2350"/>
        <v>-</v>
      </c>
      <c r="X4327" s="20" t="str">
        <f>IFERROR(W4327*J4326,"-")</f>
        <v>-</v>
      </c>
      <c r="Z4327" s="85" t="s">
        <v>82</v>
      </c>
    </row>
    <row r="4328" spans="1:26" ht="6.95" customHeight="1" x14ac:dyDescent="0.3">
      <c r="A4328" s="5"/>
      <c r="B4328" s="157"/>
      <c r="C4328" s="158"/>
      <c r="D4328" s="161"/>
      <c r="E4328" s="162"/>
      <c r="F4328" s="163"/>
      <c r="G4328" s="164"/>
      <c r="H4328" s="165"/>
      <c r="I4328" s="164"/>
      <c r="J4328" s="165"/>
      <c r="K4328" s="164"/>
      <c r="L4328" s="165"/>
      <c r="M4328" s="6"/>
      <c r="N4328" s="32"/>
      <c r="Q4328" s="10" t="str">
        <f>+CONCATENATE(E4326,K4326)</f>
        <v/>
      </c>
      <c r="R4328" s="10">
        <f>+L4326</f>
        <v>0</v>
      </c>
      <c r="S4328" s="11"/>
      <c r="T4328" s="10">
        <f>+E4326</f>
        <v>0</v>
      </c>
      <c r="U4328" s="19" t="str">
        <f>IFERROR(LEFT(K4326,FIND("*",K4326)-1),"-")</f>
        <v>-</v>
      </c>
      <c r="V4328" s="19" t="str">
        <f>IFERROR(RIGHT(K4326,LEN(K4326)-FIND("*",K4326)),"-")</f>
        <v>-</v>
      </c>
      <c r="W4328" s="20" t="str">
        <f t="shared" si="2350"/>
        <v>-</v>
      </c>
      <c r="X4328" s="20" t="str">
        <f>IFERROR(W4328*L4326,"-")</f>
        <v>-</v>
      </c>
      <c r="Z4328" s="85" t="s">
        <v>82</v>
      </c>
    </row>
    <row r="4329" spans="1:26" ht="6.95" customHeight="1" x14ac:dyDescent="0.3">
      <c r="A4329" s="8"/>
      <c r="B4329" s="157"/>
      <c r="C4329" s="158"/>
      <c r="D4329" s="161" t="s">
        <v>39</v>
      </c>
      <c r="E4329" s="162"/>
      <c r="F4329" s="163" t="s">
        <v>40</v>
      </c>
      <c r="G4329" s="164"/>
      <c r="H4329" s="165"/>
      <c r="I4329" s="164"/>
      <c r="J4329" s="165"/>
      <c r="K4329" s="164"/>
      <c r="L4329" s="165"/>
      <c r="M4329" s="6"/>
      <c r="N4329" s="32"/>
      <c r="Q4329" s="10" t="str">
        <f>+CONCATENATE(E4329,G4329)</f>
        <v/>
      </c>
      <c r="R4329" s="10">
        <f>+H4329</f>
        <v>0</v>
      </c>
      <c r="S4329" s="11"/>
      <c r="T4329" s="10">
        <f>+E4329</f>
        <v>0</v>
      </c>
      <c r="U4329" s="19" t="str">
        <f t="shared" ref="U4329" si="2353">IFERROR(LEFT(G4329,FIND("*",G4329)-1),"-")</f>
        <v>-</v>
      </c>
      <c r="V4329" s="19" t="str">
        <f t="shared" ref="V4329" si="2354">IFERROR(RIGHT(G4329,LEN(G4329)-FIND("*",G4329)),"-")</f>
        <v>-</v>
      </c>
      <c r="W4329" s="20" t="str">
        <f t="shared" si="2350"/>
        <v>-</v>
      </c>
      <c r="X4329" s="20" t="str">
        <f>IFERROR(W4329*H4329,"-")</f>
        <v>-</v>
      </c>
      <c r="Z4329" s="85" t="s">
        <v>82</v>
      </c>
    </row>
    <row r="4330" spans="1:26" ht="6.95" customHeight="1" x14ac:dyDescent="0.3">
      <c r="A4330" s="5"/>
      <c r="B4330" s="157"/>
      <c r="C4330" s="158"/>
      <c r="D4330" s="161"/>
      <c r="E4330" s="162"/>
      <c r="F4330" s="163"/>
      <c r="G4330" s="164"/>
      <c r="H4330" s="165"/>
      <c r="I4330" s="164"/>
      <c r="J4330" s="165"/>
      <c r="K4330" s="164"/>
      <c r="L4330" s="165"/>
      <c r="M4330" s="6"/>
      <c r="N4330" s="32"/>
      <c r="Q4330" s="10" t="str">
        <f>+CONCATENATE(E4329,I4329)</f>
        <v/>
      </c>
      <c r="R4330" s="10">
        <f>+J4329</f>
        <v>0</v>
      </c>
      <c r="S4330" s="11"/>
      <c r="T4330" s="10">
        <f>+E4329</f>
        <v>0</v>
      </c>
      <c r="U4330" s="19" t="str">
        <f>IFERROR(LEFT(I4329,FIND("*",I4329)-1),"-")</f>
        <v>-</v>
      </c>
      <c r="V4330" s="19" t="str">
        <f>IFERROR(RIGHT(I4329,LEN(I4329)-FIND("*",I4329)),"-")</f>
        <v>-</v>
      </c>
      <c r="W4330" s="20" t="str">
        <f t="shared" si="2350"/>
        <v>-</v>
      </c>
      <c r="X4330" s="20" t="str">
        <f t="shared" ref="X4330" si="2355">IFERROR(W4330*J4329,"-")</f>
        <v>-</v>
      </c>
      <c r="Z4330" s="85" t="s">
        <v>82</v>
      </c>
    </row>
    <row r="4331" spans="1:26" ht="6.95" customHeight="1" x14ac:dyDescent="0.3">
      <c r="A4331" s="5"/>
      <c r="B4331" s="157"/>
      <c r="C4331" s="158"/>
      <c r="D4331" s="161"/>
      <c r="E4331" s="162"/>
      <c r="F4331" s="163"/>
      <c r="G4331" s="164"/>
      <c r="H4331" s="165"/>
      <c r="I4331" s="164"/>
      <c r="J4331" s="165"/>
      <c r="K4331" s="164"/>
      <c r="L4331" s="165"/>
      <c r="M4331" s="6"/>
      <c r="N4331" s="32"/>
      <c r="Q4331" s="10" t="str">
        <f>+CONCATENATE(E4329,K4329)</f>
        <v/>
      </c>
      <c r="R4331" s="10">
        <f>+L4329</f>
        <v>0</v>
      </c>
      <c r="S4331" s="11"/>
      <c r="T4331" s="10">
        <f>+E4329</f>
        <v>0</v>
      </c>
      <c r="U4331" s="19" t="str">
        <f>IFERROR(LEFT(K4329,FIND("*",K4329)-1),"-")</f>
        <v>-</v>
      </c>
      <c r="V4331" s="19" t="str">
        <f>IFERROR(RIGHT(K4329,LEN(K4329)-FIND("*",K4329)),"-")</f>
        <v>-</v>
      </c>
      <c r="W4331" s="20" t="str">
        <f t="shared" si="2350"/>
        <v>-</v>
      </c>
      <c r="X4331" s="20" t="str">
        <f>IFERROR(W4331*L4329,"-")</f>
        <v>-</v>
      </c>
      <c r="Z4331" s="85" t="s">
        <v>82</v>
      </c>
    </row>
    <row r="4332" spans="1:26" ht="21" customHeight="1" thickBot="1" x14ac:dyDescent="0.35">
      <c r="A4332" s="5"/>
      <c r="B4332" s="159"/>
      <c r="C4332" s="160"/>
      <c r="D4332" s="166" t="s">
        <v>43</v>
      </c>
      <c r="E4332" s="167"/>
      <c r="F4332" s="167"/>
      <c r="G4332" s="168"/>
      <c r="H4332" s="168"/>
      <c r="I4332" s="168"/>
      <c r="J4332" s="168"/>
      <c r="K4332" s="168"/>
      <c r="L4332" s="168"/>
      <c r="M4332" s="7"/>
      <c r="N4332" s="32"/>
      <c r="Z4332" s="86" t="s">
        <v>81</v>
      </c>
    </row>
    <row r="4333" spans="1:26" ht="9.9499999999999993" customHeight="1" thickBot="1" x14ac:dyDescent="0.35">
      <c r="B4333" s="9"/>
      <c r="C4333" s="109"/>
      <c r="D4333" s="51"/>
      <c r="E4333" s="12"/>
      <c r="F4333" s="51"/>
      <c r="G4333" s="14"/>
      <c r="H4333" s="14"/>
      <c r="I4333" s="14"/>
      <c r="J4333" s="14"/>
      <c r="K4333" s="14"/>
      <c r="L4333" s="14"/>
      <c r="M4333" s="9"/>
      <c r="N4333" s="32"/>
      <c r="U4333" s="18"/>
      <c r="V4333" s="18"/>
      <c r="Z4333" s="85" t="s">
        <v>82</v>
      </c>
    </row>
    <row r="4334" spans="1:26" ht="6.95" customHeight="1" x14ac:dyDescent="0.3">
      <c r="A4334" s="154">
        <f>+A4323+1</f>
        <v>1193</v>
      </c>
      <c r="B4334" s="155"/>
      <c r="C4334" s="156"/>
      <c r="D4334" s="161" t="s">
        <v>39</v>
      </c>
      <c r="E4334" s="162"/>
      <c r="F4334" s="163" t="s">
        <v>40</v>
      </c>
      <c r="G4334" s="164"/>
      <c r="H4334" s="165"/>
      <c r="I4334" s="164"/>
      <c r="J4334" s="165"/>
      <c r="K4334" s="164"/>
      <c r="L4334" s="165"/>
      <c r="M4334" s="6"/>
      <c r="N4334" s="32"/>
      <c r="Q4334" s="10" t="str">
        <f>+CONCATENATE(E4334,G4334)</f>
        <v/>
      </c>
      <c r="R4334" s="10">
        <f>+H4334</f>
        <v>0</v>
      </c>
      <c r="S4334" s="11"/>
      <c r="T4334" s="10">
        <f>+E4334</f>
        <v>0</v>
      </c>
      <c r="U4334" s="19" t="str">
        <f>IFERROR(LEFT(G4334,FIND("*",G4334)-1),"-")</f>
        <v>-</v>
      </c>
      <c r="V4334" s="19" t="str">
        <f>IFERROR(RIGHT(G4334,LEN(G4334)-FIND("*",G4334)),"-")</f>
        <v>-</v>
      </c>
      <c r="W4334" s="20" t="str">
        <f>IFERROR((U4334+V4334)*2/1000,"-")</f>
        <v>-</v>
      </c>
      <c r="X4334" s="20" t="str">
        <f>IFERROR(W4334*H4334,"-")</f>
        <v>-</v>
      </c>
      <c r="Z4334" s="85" t="s">
        <v>82</v>
      </c>
    </row>
    <row r="4335" spans="1:26" ht="6.95" customHeight="1" x14ac:dyDescent="0.3">
      <c r="A4335" s="154"/>
      <c r="B4335" s="157"/>
      <c r="C4335" s="158"/>
      <c r="D4335" s="161"/>
      <c r="E4335" s="162"/>
      <c r="F4335" s="163"/>
      <c r="G4335" s="164"/>
      <c r="H4335" s="165"/>
      <c r="I4335" s="164"/>
      <c r="J4335" s="165"/>
      <c r="K4335" s="164"/>
      <c r="L4335" s="165"/>
      <c r="M4335" s="6"/>
      <c r="N4335" s="32"/>
      <c r="Q4335" s="10" t="str">
        <f>+CONCATENATE(E4334,I4334)</f>
        <v/>
      </c>
      <c r="R4335" s="10">
        <f>+J4334</f>
        <v>0</v>
      </c>
      <c r="S4335" s="11"/>
      <c r="T4335" s="10">
        <f>+E4334</f>
        <v>0</v>
      </c>
      <c r="U4335" s="19" t="str">
        <f>IFERROR(LEFT(I4334,FIND("*",I4334)-1),"-")</f>
        <v>-</v>
      </c>
      <c r="V4335" s="19" t="str">
        <f>IFERROR(RIGHT(I4334,LEN(I4334)-FIND("*",I4334)),"-")</f>
        <v>-</v>
      </c>
      <c r="W4335" s="20" t="str">
        <f t="shared" ref="W4335:W4342" si="2356">IFERROR((U4335+V4335)*2/1000,"-")</f>
        <v>-</v>
      </c>
      <c r="X4335" s="20" t="str">
        <f>IFERROR(W4335*J4334,"-")</f>
        <v>-</v>
      </c>
      <c r="Z4335" s="85" t="s">
        <v>82</v>
      </c>
    </row>
    <row r="4336" spans="1:26" ht="6.95" customHeight="1" x14ac:dyDescent="0.3">
      <c r="A4336" s="154"/>
      <c r="B4336" s="157"/>
      <c r="C4336" s="158"/>
      <c r="D4336" s="161"/>
      <c r="E4336" s="162"/>
      <c r="F4336" s="163"/>
      <c r="G4336" s="164"/>
      <c r="H4336" s="165"/>
      <c r="I4336" s="164"/>
      <c r="J4336" s="165"/>
      <c r="K4336" s="164"/>
      <c r="L4336" s="165"/>
      <c r="M4336" s="6"/>
      <c r="N4336" s="32"/>
      <c r="Q4336" s="10" t="str">
        <f>+CONCATENATE(E4334,K4334)</f>
        <v/>
      </c>
      <c r="R4336" s="10">
        <f>+L4334</f>
        <v>0</v>
      </c>
      <c r="S4336" s="11"/>
      <c r="T4336" s="10">
        <f>+E4334</f>
        <v>0</v>
      </c>
      <c r="U4336" s="19" t="str">
        <f>IFERROR(LEFT(K4334,FIND("*",K4334)-1),"-")</f>
        <v>-</v>
      </c>
      <c r="V4336" s="19" t="str">
        <f>IFERROR(RIGHT(K4334,LEN(K4334)-FIND("*",K4334)),"-")</f>
        <v>-</v>
      </c>
      <c r="W4336" s="20" t="str">
        <f t="shared" si="2356"/>
        <v>-</v>
      </c>
      <c r="X4336" s="20" t="str">
        <f>IFERROR(W4336*L4334,"-")</f>
        <v>-</v>
      </c>
      <c r="Z4336" s="85" t="s">
        <v>82</v>
      </c>
    </row>
    <row r="4337" spans="1:26" ht="6.95" customHeight="1" x14ac:dyDescent="0.3">
      <c r="A4337" s="8"/>
      <c r="B4337" s="157"/>
      <c r="C4337" s="158"/>
      <c r="D4337" s="161" t="s">
        <v>39</v>
      </c>
      <c r="E4337" s="162"/>
      <c r="F4337" s="163" t="s">
        <v>40</v>
      </c>
      <c r="G4337" s="164"/>
      <c r="H4337" s="165"/>
      <c r="I4337" s="164"/>
      <c r="J4337" s="165"/>
      <c r="K4337" s="164"/>
      <c r="L4337" s="165"/>
      <c r="M4337" s="6"/>
      <c r="N4337" s="32"/>
      <c r="Q4337" s="10" t="str">
        <f>+CONCATENATE(E4337,G4337)</f>
        <v/>
      </c>
      <c r="R4337" s="10">
        <f>+H4337</f>
        <v>0</v>
      </c>
      <c r="S4337" s="11"/>
      <c r="T4337" s="10">
        <f>+E4337</f>
        <v>0</v>
      </c>
      <c r="U4337" s="19" t="str">
        <f t="shared" ref="U4337" si="2357">IFERROR(LEFT(G4337,FIND("*",G4337)-1),"-")</f>
        <v>-</v>
      </c>
      <c r="V4337" s="19" t="str">
        <f t="shared" ref="V4337" si="2358">IFERROR(RIGHT(G4337,LEN(G4337)-FIND("*",G4337)),"-")</f>
        <v>-</v>
      </c>
      <c r="W4337" s="20" t="str">
        <f t="shared" si="2356"/>
        <v>-</v>
      </c>
      <c r="X4337" s="20" t="str">
        <f>IFERROR(W4337*H4337,"-")</f>
        <v>-</v>
      </c>
      <c r="Z4337" s="85" t="s">
        <v>82</v>
      </c>
    </row>
    <row r="4338" spans="1:26" ht="6.95" customHeight="1" x14ac:dyDescent="0.3">
      <c r="A4338" s="5"/>
      <c r="B4338" s="157"/>
      <c r="C4338" s="158"/>
      <c r="D4338" s="161"/>
      <c r="E4338" s="162"/>
      <c r="F4338" s="163"/>
      <c r="G4338" s="164"/>
      <c r="H4338" s="165"/>
      <c r="I4338" s="164"/>
      <c r="J4338" s="165"/>
      <c r="K4338" s="164"/>
      <c r="L4338" s="165"/>
      <c r="M4338" s="6"/>
      <c r="N4338" s="32"/>
      <c r="Q4338" s="10" t="str">
        <f>+CONCATENATE(E4337,I4337)</f>
        <v/>
      </c>
      <c r="R4338" s="10">
        <f>+J4337</f>
        <v>0</v>
      </c>
      <c r="S4338" s="11"/>
      <c r="T4338" s="10">
        <f>+E4337</f>
        <v>0</v>
      </c>
      <c r="U4338" s="19" t="str">
        <f>IFERROR(LEFT(I4337,FIND("*",I4337)-1),"-")</f>
        <v>-</v>
      </c>
      <c r="V4338" s="19" t="str">
        <f>IFERROR(RIGHT(I4337,LEN(I4337)-FIND("*",I4337)),"-")</f>
        <v>-</v>
      </c>
      <c r="W4338" s="20" t="str">
        <f t="shared" si="2356"/>
        <v>-</v>
      </c>
      <c r="X4338" s="20" t="str">
        <f>IFERROR(W4338*J4337,"-")</f>
        <v>-</v>
      </c>
      <c r="Z4338" s="85" t="s">
        <v>82</v>
      </c>
    </row>
    <row r="4339" spans="1:26" ht="6.95" customHeight="1" x14ac:dyDescent="0.3">
      <c r="A4339" s="5"/>
      <c r="B4339" s="157"/>
      <c r="C4339" s="158"/>
      <c r="D4339" s="161"/>
      <c r="E4339" s="162"/>
      <c r="F4339" s="163"/>
      <c r="G4339" s="164"/>
      <c r="H4339" s="165"/>
      <c r="I4339" s="164"/>
      <c r="J4339" s="165"/>
      <c r="K4339" s="164"/>
      <c r="L4339" s="165"/>
      <c r="M4339" s="6"/>
      <c r="N4339" s="32"/>
      <c r="Q4339" s="10" t="str">
        <f>+CONCATENATE(E4337,K4337)</f>
        <v/>
      </c>
      <c r="R4339" s="10">
        <f>+L4337</f>
        <v>0</v>
      </c>
      <c r="S4339" s="11"/>
      <c r="T4339" s="10">
        <f>+E4337</f>
        <v>0</v>
      </c>
      <c r="U4339" s="19" t="str">
        <f>IFERROR(LEFT(K4337,FIND("*",K4337)-1),"-")</f>
        <v>-</v>
      </c>
      <c r="V4339" s="19" t="str">
        <f>IFERROR(RIGHT(K4337,LEN(K4337)-FIND("*",K4337)),"-")</f>
        <v>-</v>
      </c>
      <c r="W4339" s="20" t="str">
        <f t="shared" si="2356"/>
        <v>-</v>
      </c>
      <c r="X4339" s="20" t="str">
        <f>IFERROR(W4339*L4337,"-")</f>
        <v>-</v>
      </c>
      <c r="Z4339" s="85" t="s">
        <v>82</v>
      </c>
    </row>
    <row r="4340" spans="1:26" ht="6.95" customHeight="1" x14ac:dyDescent="0.3">
      <c r="A4340" s="8"/>
      <c r="B4340" s="157"/>
      <c r="C4340" s="158"/>
      <c r="D4340" s="161" t="s">
        <v>39</v>
      </c>
      <c r="E4340" s="162"/>
      <c r="F4340" s="163" t="s">
        <v>40</v>
      </c>
      <c r="G4340" s="164"/>
      <c r="H4340" s="165"/>
      <c r="I4340" s="164"/>
      <c r="J4340" s="165"/>
      <c r="K4340" s="164"/>
      <c r="L4340" s="165"/>
      <c r="M4340" s="6"/>
      <c r="N4340" s="32"/>
      <c r="Q4340" s="10" t="str">
        <f>+CONCATENATE(E4340,G4340)</f>
        <v/>
      </c>
      <c r="R4340" s="10">
        <f>+H4340</f>
        <v>0</v>
      </c>
      <c r="S4340" s="11"/>
      <c r="T4340" s="10">
        <f>+E4340</f>
        <v>0</v>
      </c>
      <c r="U4340" s="19" t="str">
        <f t="shared" ref="U4340" si="2359">IFERROR(LEFT(G4340,FIND("*",G4340)-1),"-")</f>
        <v>-</v>
      </c>
      <c r="V4340" s="19" t="str">
        <f t="shared" ref="V4340" si="2360">IFERROR(RIGHT(G4340,LEN(G4340)-FIND("*",G4340)),"-")</f>
        <v>-</v>
      </c>
      <c r="W4340" s="20" t="str">
        <f t="shared" si="2356"/>
        <v>-</v>
      </c>
      <c r="X4340" s="20" t="str">
        <f>IFERROR(W4340*H4340,"-")</f>
        <v>-</v>
      </c>
      <c r="Z4340" s="85" t="s">
        <v>82</v>
      </c>
    </row>
    <row r="4341" spans="1:26" ht="6.95" customHeight="1" x14ac:dyDescent="0.3">
      <c r="A4341" s="5"/>
      <c r="B4341" s="157"/>
      <c r="C4341" s="158"/>
      <c r="D4341" s="161"/>
      <c r="E4341" s="162"/>
      <c r="F4341" s="163"/>
      <c r="G4341" s="164"/>
      <c r="H4341" s="165"/>
      <c r="I4341" s="164"/>
      <c r="J4341" s="165"/>
      <c r="K4341" s="164"/>
      <c r="L4341" s="165"/>
      <c r="M4341" s="6"/>
      <c r="N4341" s="32"/>
      <c r="Q4341" s="10" t="str">
        <f>+CONCATENATE(E4340,I4340)</f>
        <v/>
      </c>
      <c r="R4341" s="10">
        <f>+J4340</f>
        <v>0</v>
      </c>
      <c r="S4341" s="11"/>
      <c r="T4341" s="10">
        <f>+E4340</f>
        <v>0</v>
      </c>
      <c r="U4341" s="19" t="str">
        <f>IFERROR(LEFT(I4340,FIND("*",I4340)-1),"-")</f>
        <v>-</v>
      </c>
      <c r="V4341" s="19" t="str">
        <f>IFERROR(RIGHT(I4340,LEN(I4340)-FIND("*",I4340)),"-")</f>
        <v>-</v>
      </c>
      <c r="W4341" s="20" t="str">
        <f t="shared" si="2356"/>
        <v>-</v>
      </c>
      <c r="X4341" s="20" t="str">
        <f t="shared" ref="X4341" si="2361">IFERROR(W4341*J4340,"-")</f>
        <v>-</v>
      </c>
      <c r="Z4341" s="85" t="s">
        <v>82</v>
      </c>
    </row>
    <row r="4342" spans="1:26" ht="6.95" customHeight="1" x14ac:dyDescent="0.3">
      <c r="A4342" s="5"/>
      <c r="B4342" s="157"/>
      <c r="C4342" s="158"/>
      <c r="D4342" s="161"/>
      <c r="E4342" s="162"/>
      <c r="F4342" s="163"/>
      <c r="G4342" s="164"/>
      <c r="H4342" s="165"/>
      <c r="I4342" s="164"/>
      <c r="J4342" s="165"/>
      <c r="K4342" s="164"/>
      <c r="L4342" s="165"/>
      <c r="M4342" s="6"/>
      <c r="N4342" s="32"/>
      <c r="Q4342" s="10" t="str">
        <f>+CONCATENATE(E4340,K4340)</f>
        <v/>
      </c>
      <c r="R4342" s="10">
        <f>+L4340</f>
        <v>0</v>
      </c>
      <c r="S4342" s="11"/>
      <c r="T4342" s="10">
        <f>+E4340</f>
        <v>0</v>
      </c>
      <c r="U4342" s="19" t="str">
        <f>IFERROR(LEFT(K4340,FIND("*",K4340)-1),"-")</f>
        <v>-</v>
      </c>
      <c r="V4342" s="19" t="str">
        <f>IFERROR(RIGHT(K4340,LEN(K4340)-FIND("*",K4340)),"-")</f>
        <v>-</v>
      </c>
      <c r="W4342" s="20" t="str">
        <f t="shared" si="2356"/>
        <v>-</v>
      </c>
      <c r="X4342" s="20" t="str">
        <f>IFERROR(W4342*L4340,"-")</f>
        <v>-</v>
      </c>
      <c r="Z4342" s="85" t="s">
        <v>82</v>
      </c>
    </row>
    <row r="4343" spans="1:26" ht="21" customHeight="1" thickBot="1" x14ac:dyDescent="0.35">
      <c r="A4343" s="5"/>
      <c r="B4343" s="159"/>
      <c r="C4343" s="160"/>
      <c r="D4343" s="166" t="s">
        <v>43</v>
      </c>
      <c r="E4343" s="167"/>
      <c r="F4343" s="167"/>
      <c r="G4343" s="168"/>
      <c r="H4343" s="168"/>
      <c r="I4343" s="168"/>
      <c r="J4343" s="168"/>
      <c r="K4343" s="168"/>
      <c r="L4343" s="168"/>
      <c r="M4343" s="7"/>
      <c r="N4343" s="32"/>
      <c r="Z4343" s="86" t="s">
        <v>81</v>
      </c>
    </row>
    <row r="4344" spans="1:26" ht="9.9499999999999993" customHeight="1" thickBot="1" x14ac:dyDescent="0.35">
      <c r="B4344" s="9"/>
      <c r="C4344" s="109"/>
      <c r="D4344" s="51"/>
      <c r="E4344" s="12"/>
      <c r="F4344" s="51"/>
      <c r="G4344" s="14"/>
      <c r="H4344" s="14"/>
      <c r="I4344" s="14"/>
      <c r="J4344" s="14"/>
      <c r="K4344" s="14"/>
      <c r="L4344" s="14"/>
      <c r="M4344" s="9"/>
      <c r="N4344" s="32"/>
      <c r="U4344" s="18"/>
      <c r="V4344" s="18"/>
      <c r="Z4344" s="85" t="s">
        <v>82</v>
      </c>
    </row>
    <row r="4345" spans="1:26" ht="6.95" customHeight="1" x14ac:dyDescent="0.3">
      <c r="A4345" s="154">
        <f>+A4334+1</f>
        <v>1194</v>
      </c>
      <c r="B4345" s="155"/>
      <c r="C4345" s="156"/>
      <c r="D4345" s="161" t="s">
        <v>39</v>
      </c>
      <c r="E4345" s="162"/>
      <c r="F4345" s="163" t="s">
        <v>40</v>
      </c>
      <c r="G4345" s="164"/>
      <c r="H4345" s="165"/>
      <c r="I4345" s="164"/>
      <c r="J4345" s="165"/>
      <c r="K4345" s="164"/>
      <c r="L4345" s="165"/>
      <c r="M4345" s="6"/>
      <c r="N4345" s="32"/>
      <c r="Q4345" s="10" t="str">
        <f>+CONCATENATE(E4345,G4345)</f>
        <v/>
      </c>
      <c r="R4345" s="10">
        <f>+H4345</f>
        <v>0</v>
      </c>
      <c r="S4345" s="11"/>
      <c r="T4345" s="10">
        <f>+E4345</f>
        <v>0</v>
      </c>
      <c r="U4345" s="19" t="str">
        <f>IFERROR(LEFT(G4345,FIND("*",G4345)-1),"-")</f>
        <v>-</v>
      </c>
      <c r="V4345" s="19" t="str">
        <f>IFERROR(RIGHT(G4345,LEN(G4345)-FIND("*",G4345)),"-")</f>
        <v>-</v>
      </c>
      <c r="W4345" s="20" t="str">
        <f>IFERROR((U4345+V4345)*2/1000,"-")</f>
        <v>-</v>
      </c>
      <c r="X4345" s="20" t="str">
        <f>IFERROR(W4345*H4345,"-")</f>
        <v>-</v>
      </c>
      <c r="Z4345" s="85" t="s">
        <v>82</v>
      </c>
    </row>
    <row r="4346" spans="1:26" ht="6.95" customHeight="1" x14ac:dyDescent="0.3">
      <c r="A4346" s="154"/>
      <c r="B4346" s="157"/>
      <c r="C4346" s="158"/>
      <c r="D4346" s="161"/>
      <c r="E4346" s="162"/>
      <c r="F4346" s="163"/>
      <c r="G4346" s="164"/>
      <c r="H4346" s="165"/>
      <c r="I4346" s="164"/>
      <c r="J4346" s="165"/>
      <c r="K4346" s="164"/>
      <c r="L4346" s="165"/>
      <c r="M4346" s="6"/>
      <c r="N4346" s="32"/>
      <c r="Q4346" s="10" t="str">
        <f>+CONCATENATE(E4345,I4345)</f>
        <v/>
      </c>
      <c r="R4346" s="10">
        <f>+J4345</f>
        <v>0</v>
      </c>
      <c r="S4346" s="11"/>
      <c r="T4346" s="10">
        <f>+E4345</f>
        <v>0</v>
      </c>
      <c r="U4346" s="19" t="str">
        <f>IFERROR(LEFT(I4345,FIND("*",I4345)-1),"-")</f>
        <v>-</v>
      </c>
      <c r="V4346" s="19" t="str">
        <f>IFERROR(RIGHT(I4345,LEN(I4345)-FIND("*",I4345)),"-")</f>
        <v>-</v>
      </c>
      <c r="W4346" s="20" t="str">
        <f t="shared" ref="W4346:W4353" si="2362">IFERROR((U4346+V4346)*2/1000,"-")</f>
        <v>-</v>
      </c>
      <c r="X4346" s="20" t="str">
        <f>IFERROR(W4346*J4345,"-")</f>
        <v>-</v>
      </c>
      <c r="Z4346" s="85" t="s">
        <v>82</v>
      </c>
    </row>
    <row r="4347" spans="1:26" ht="6.95" customHeight="1" x14ac:dyDescent="0.3">
      <c r="A4347" s="154"/>
      <c r="B4347" s="157"/>
      <c r="C4347" s="158"/>
      <c r="D4347" s="161"/>
      <c r="E4347" s="162"/>
      <c r="F4347" s="163"/>
      <c r="G4347" s="164"/>
      <c r="H4347" s="165"/>
      <c r="I4347" s="164"/>
      <c r="J4347" s="165"/>
      <c r="K4347" s="164"/>
      <c r="L4347" s="165"/>
      <c r="M4347" s="6"/>
      <c r="N4347" s="32"/>
      <c r="Q4347" s="10" t="str">
        <f>+CONCATENATE(E4345,K4345)</f>
        <v/>
      </c>
      <c r="R4347" s="10">
        <f>+L4345</f>
        <v>0</v>
      </c>
      <c r="S4347" s="11"/>
      <c r="T4347" s="10">
        <f>+E4345</f>
        <v>0</v>
      </c>
      <c r="U4347" s="19" t="str">
        <f>IFERROR(LEFT(K4345,FIND("*",K4345)-1),"-")</f>
        <v>-</v>
      </c>
      <c r="V4347" s="19" t="str">
        <f>IFERROR(RIGHT(K4345,LEN(K4345)-FIND("*",K4345)),"-")</f>
        <v>-</v>
      </c>
      <c r="W4347" s="20" t="str">
        <f t="shared" si="2362"/>
        <v>-</v>
      </c>
      <c r="X4347" s="20" t="str">
        <f>IFERROR(W4347*L4345,"-")</f>
        <v>-</v>
      </c>
      <c r="Z4347" s="85" t="s">
        <v>82</v>
      </c>
    </row>
    <row r="4348" spans="1:26" ht="6.95" customHeight="1" x14ac:dyDescent="0.3">
      <c r="A4348" s="8"/>
      <c r="B4348" s="157"/>
      <c r="C4348" s="158"/>
      <c r="D4348" s="161" t="s">
        <v>39</v>
      </c>
      <c r="E4348" s="162"/>
      <c r="F4348" s="163" t="s">
        <v>40</v>
      </c>
      <c r="G4348" s="164"/>
      <c r="H4348" s="165"/>
      <c r="I4348" s="164"/>
      <c r="J4348" s="165"/>
      <c r="K4348" s="164"/>
      <c r="L4348" s="165"/>
      <c r="M4348" s="6"/>
      <c r="N4348" s="32"/>
      <c r="Q4348" s="10" t="str">
        <f>+CONCATENATE(E4348,G4348)</f>
        <v/>
      </c>
      <c r="R4348" s="10">
        <f>+H4348</f>
        <v>0</v>
      </c>
      <c r="S4348" s="11"/>
      <c r="T4348" s="10">
        <f>+E4348</f>
        <v>0</v>
      </c>
      <c r="U4348" s="19" t="str">
        <f t="shared" ref="U4348" si="2363">IFERROR(LEFT(G4348,FIND("*",G4348)-1),"-")</f>
        <v>-</v>
      </c>
      <c r="V4348" s="19" t="str">
        <f t="shared" ref="V4348" si="2364">IFERROR(RIGHT(G4348,LEN(G4348)-FIND("*",G4348)),"-")</f>
        <v>-</v>
      </c>
      <c r="W4348" s="20" t="str">
        <f t="shared" si="2362"/>
        <v>-</v>
      </c>
      <c r="X4348" s="20" t="str">
        <f>IFERROR(W4348*H4348,"-")</f>
        <v>-</v>
      </c>
      <c r="Z4348" s="85" t="s">
        <v>82</v>
      </c>
    </row>
    <row r="4349" spans="1:26" ht="6.95" customHeight="1" x14ac:dyDescent="0.3">
      <c r="A4349" s="5"/>
      <c r="B4349" s="157"/>
      <c r="C4349" s="158"/>
      <c r="D4349" s="161"/>
      <c r="E4349" s="162"/>
      <c r="F4349" s="163"/>
      <c r="G4349" s="164"/>
      <c r="H4349" s="165"/>
      <c r="I4349" s="164"/>
      <c r="J4349" s="165"/>
      <c r="K4349" s="164"/>
      <c r="L4349" s="165"/>
      <c r="M4349" s="6"/>
      <c r="N4349" s="32"/>
      <c r="Q4349" s="10" t="str">
        <f>+CONCATENATE(E4348,I4348)</f>
        <v/>
      </c>
      <c r="R4349" s="10">
        <f>+J4348</f>
        <v>0</v>
      </c>
      <c r="S4349" s="11"/>
      <c r="T4349" s="10">
        <f>+E4348</f>
        <v>0</v>
      </c>
      <c r="U4349" s="19" t="str">
        <f>IFERROR(LEFT(I4348,FIND("*",I4348)-1),"-")</f>
        <v>-</v>
      </c>
      <c r="V4349" s="19" t="str">
        <f>IFERROR(RIGHT(I4348,LEN(I4348)-FIND("*",I4348)),"-")</f>
        <v>-</v>
      </c>
      <c r="W4349" s="20" t="str">
        <f t="shared" si="2362"/>
        <v>-</v>
      </c>
      <c r="X4349" s="20" t="str">
        <f>IFERROR(W4349*J4348,"-")</f>
        <v>-</v>
      </c>
      <c r="Z4349" s="85" t="s">
        <v>82</v>
      </c>
    </row>
    <row r="4350" spans="1:26" ht="6.95" customHeight="1" x14ac:dyDescent="0.3">
      <c r="A4350" s="5"/>
      <c r="B4350" s="157"/>
      <c r="C4350" s="158"/>
      <c r="D4350" s="161"/>
      <c r="E4350" s="162"/>
      <c r="F4350" s="163"/>
      <c r="G4350" s="164"/>
      <c r="H4350" s="165"/>
      <c r="I4350" s="164"/>
      <c r="J4350" s="165"/>
      <c r="K4350" s="164"/>
      <c r="L4350" s="165"/>
      <c r="M4350" s="6"/>
      <c r="N4350" s="32"/>
      <c r="Q4350" s="10" t="str">
        <f>+CONCATENATE(E4348,K4348)</f>
        <v/>
      </c>
      <c r="R4350" s="10">
        <f>+L4348</f>
        <v>0</v>
      </c>
      <c r="S4350" s="11"/>
      <c r="T4350" s="10">
        <f>+E4348</f>
        <v>0</v>
      </c>
      <c r="U4350" s="19" t="str">
        <f>IFERROR(LEFT(K4348,FIND("*",K4348)-1),"-")</f>
        <v>-</v>
      </c>
      <c r="V4350" s="19" t="str">
        <f>IFERROR(RIGHT(K4348,LEN(K4348)-FIND("*",K4348)),"-")</f>
        <v>-</v>
      </c>
      <c r="W4350" s="20" t="str">
        <f t="shared" si="2362"/>
        <v>-</v>
      </c>
      <c r="X4350" s="20" t="str">
        <f>IFERROR(W4350*L4348,"-")</f>
        <v>-</v>
      </c>
      <c r="Z4350" s="85" t="s">
        <v>82</v>
      </c>
    </row>
    <row r="4351" spans="1:26" ht="6.95" customHeight="1" x14ac:dyDescent="0.3">
      <c r="A4351" s="8"/>
      <c r="B4351" s="157"/>
      <c r="C4351" s="158"/>
      <c r="D4351" s="161" t="s">
        <v>39</v>
      </c>
      <c r="E4351" s="162"/>
      <c r="F4351" s="163" t="s">
        <v>40</v>
      </c>
      <c r="G4351" s="164"/>
      <c r="H4351" s="165"/>
      <c r="I4351" s="164"/>
      <c r="J4351" s="165"/>
      <c r="K4351" s="164"/>
      <c r="L4351" s="165"/>
      <c r="M4351" s="6"/>
      <c r="N4351" s="32"/>
      <c r="Q4351" s="10" t="str">
        <f>+CONCATENATE(E4351,G4351)</f>
        <v/>
      </c>
      <c r="R4351" s="10">
        <f>+H4351</f>
        <v>0</v>
      </c>
      <c r="S4351" s="11"/>
      <c r="T4351" s="10">
        <f>+E4351</f>
        <v>0</v>
      </c>
      <c r="U4351" s="19" t="str">
        <f t="shared" ref="U4351" si="2365">IFERROR(LEFT(G4351,FIND("*",G4351)-1),"-")</f>
        <v>-</v>
      </c>
      <c r="V4351" s="19" t="str">
        <f t="shared" ref="V4351" si="2366">IFERROR(RIGHT(G4351,LEN(G4351)-FIND("*",G4351)),"-")</f>
        <v>-</v>
      </c>
      <c r="W4351" s="20" t="str">
        <f t="shared" si="2362"/>
        <v>-</v>
      </c>
      <c r="X4351" s="20" t="str">
        <f>IFERROR(W4351*H4351,"-")</f>
        <v>-</v>
      </c>
      <c r="Z4351" s="85" t="s">
        <v>82</v>
      </c>
    </row>
    <row r="4352" spans="1:26" ht="6.95" customHeight="1" x14ac:dyDescent="0.3">
      <c r="A4352" s="5"/>
      <c r="B4352" s="157"/>
      <c r="C4352" s="158"/>
      <c r="D4352" s="161"/>
      <c r="E4352" s="162"/>
      <c r="F4352" s="163"/>
      <c r="G4352" s="164"/>
      <c r="H4352" s="165"/>
      <c r="I4352" s="164"/>
      <c r="J4352" s="165"/>
      <c r="K4352" s="164"/>
      <c r="L4352" s="165"/>
      <c r="M4352" s="6"/>
      <c r="N4352" s="32"/>
      <c r="Q4352" s="10" t="str">
        <f>+CONCATENATE(E4351,I4351)</f>
        <v/>
      </c>
      <c r="R4352" s="10">
        <f>+J4351</f>
        <v>0</v>
      </c>
      <c r="S4352" s="11"/>
      <c r="T4352" s="10">
        <f>+E4351</f>
        <v>0</v>
      </c>
      <c r="U4352" s="19" t="str">
        <f>IFERROR(LEFT(I4351,FIND("*",I4351)-1),"-")</f>
        <v>-</v>
      </c>
      <c r="V4352" s="19" t="str">
        <f>IFERROR(RIGHT(I4351,LEN(I4351)-FIND("*",I4351)),"-")</f>
        <v>-</v>
      </c>
      <c r="W4352" s="20" t="str">
        <f t="shared" si="2362"/>
        <v>-</v>
      </c>
      <c r="X4352" s="20" t="str">
        <f t="shared" ref="X4352" si="2367">IFERROR(W4352*J4351,"-")</f>
        <v>-</v>
      </c>
      <c r="Z4352" s="85" t="s">
        <v>82</v>
      </c>
    </row>
    <row r="4353" spans="1:26" ht="6.95" customHeight="1" x14ac:dyDescent="0.3">
      <c r="A4353" s="5"/>
      <c r="B4353" s="157"/>
      <c r="C4353" s="158"/>
      <c r="D4353" s="161"/>
      <c r="E4353" s="162"/>
      <c r="F4353" s="163"/>
      <c r="G4353" s="164"/>
      <c r="H4353" s="165"/>
      <c r="I4353" s="164"/>
      <c r="J4353" s="165"/>
      <c r="K4353" s="164"/>
      <c r="L4353" s="165"/>
      <c r="M4353" s="6"/>
      <c r="N4353" s="32"/>
      <c r="Q4353" s="10" t="str">
        <f>+CONCATENATE(E4351,K4351)</f>
        <v/>
      </c>
      <c r="R4353" s="10">
        <f>+L4351</f>
        <v>0</v>
      </c>
      <c r="S4353" s="11"/>
      <c r="T4353" s="10">
        <f>+E4351</f>
        <v>0</v>
      </c>
      <c r="U4353" s="19" t="str">
        <f>IFERROR(LEFT(K4351,FIND("*",K4351)-1),"-")</f>
        <v>-</v>
      </c>
      <c r="V4353" s="19" t="str">
        <f>IFERROR(RIGHT(K4351,LEN(K4351)-FIND("*",K4351)),"-")</f>
        <v>-</v>
      </c>
      <c r="W4353" s="20" t="str">
        <f t="shared" si="2362"/>
        <v>-</v>
      </c>
      <c r="X4353" s="20" t="str">
        <f>IFERROR(W4353*L4351,"-")</f>
        <v>-</v>
      </c>
      <c r="Z4353" s="85" t="s">
        <v>82</v>
      </c>
    </row>
    <row r="4354" spans="1:26" ht="21" customHeight="1" thickBot="1" x14ac:dyDescent="0.35">
      <c r="A4354" s="5"/>
      <c r="B4354" s="159"/>
      <c r="C4354" s="160"/>
      <c r="D4354" s="166" t="s">
        <v>43</v>
      </c>
      <c r="E4354" s="167"/>
      <c r="F4354" s="167"/>
      <c r="G4354" s="168"/>
      <c r="H4354" s="168"/>
      <c r="I4354" s="168"/>
      <c r="J4354" s="168"/>
      <c r="K4354" s="168"/>
      <c r="L4354" s="168"/>
      <c r="M4354" s="7"/>
      <c r="N4354" s="32"/>
      <c r="Z4354" s="86" t="s">
        <v>81</v>
      </c>
    </row>
    <row r="4355" spans="1:26" ht="9.9499999999999993" customHeight="1" thickBot="1" x14ac:dyDescent="0.35">
      <c r="B4355" s="9"/>
      <c r="C4355" s="109"/>
      <c r="D4355" s="51"/>
      <c r="E4355" s="12"/>
      <c r="F4355" s="51"/>
      <c r="G4355" s="14"/>
      <c r="H4355" s="14"/>
      <c r="I4355" s="14"/>
      <c r="J4355" s="14"/>
      <c r="K4355" s="14"/>
      <c r="L4355" s="14"/>
      <c r="M4355" s="9"/>
      <c r="N4355" s="32"/>
      <c r="U4355" s="18"/>
      <c r="V4355" s="18"/>
      <c r="Z4355" s="85" t="s">
        <v>82</v>
      </c>
    </row>
    <row r="4356" spans="1:26" ht="6.95" customHeight="1" x14ac:dyDescent="0.3">
      <c r="A4356" s="154">
        <f>+A4345+1</f>
        <v>1195</v>
      </c>
      <c r="B4356" s="155"/>
      <c r="C4356" s="156"/>
      <c r="D4356" s="161" t="s">
        <v>39</v>
      </c>
      <c r="E4356" s="162"/>
      <c r="F4356" s="163" t="s">
        <v>40</v>
      </c>
      <c r="G4356" s="164"/>
      <c r="H4356" s="165"/>
      <c r="I4356" s="164"/>
      <c r="J4356" s="165"/>
      <c r="K4356" s="164"/>
      <c r="L4356" s="165"/>
      <c r="M4356" s="6"/>
      <c r="N4356" s="32"/>
      <c r="Q4356" s="10" t="str">
        <f>+CONCATENATE(E4356,G4356)</f>
        <v/>
      </c>
      <c r="R4356" s="10">
        <f>+H4356</f>
        <v>0</v>
      </c>
      <c r="S4356" s="11"/>
      <c r="T4356" s="10">
        <f>+E4356</f>
        <v>0</v>
      </c>
      <c r="U4356" s="19" t="str">
        <f>IFERROR(LEFT(G4356,FIND("*",G4356)-1),"-")</f>
        <v>-</v>
      </c>
      <c r="V4356" s="19" t="str">
        <f>IFERROR(RIGHT(G4356,LEN(G4356)-FIND("*",G4356)),"-")</f>
        <v>-</v>
      </c>
      <c r="W4356" s="20" t="str">
        <f>IFERROR((U4356+V4356)*2/1000,"-")</f>
        <v>-</v>
      </c>
      <c r="X4356" s="20" t="str">
        <f>IFERROR(W4356*H4356,"-")</f>
        <v>-</v>
      </c>
      <c r="Z4356" s="85" t="s">
        <v>82</v>
      </c>
    </row>
    <row r="4357" spans="1:26" ht="6.95" customHeight="1" x14ac:dyDescent="0.3">
      <c r="A4357" s="154"/>
      <c r="B4357" s="157"/>
      <c r="C4357" s="158"/>
      <c r="D4357" s="161"/>
      <c r="E4357" s="162"/>
      <c r="F4357" s="163"/>
      <c r="G4357" s="164"/>
      <c r="H4357" s="165"/>
      <c r="I4357" s="164"/>
      <c r="J4357" s="165"/>
      <c r="K4357" s="164"/>
      <c r="L4357" s="165"/>
      <c r="M4357" s="6"/>
      <c r="N4357" s="32"/>
      <c r="Q4357" s="10" t="str">
        <f>+CONCATENATE(E4356,I4356)</f>
        <v/>
      </c>
      <c r="R4357" s="10">
        <f>+J4356</f>
        <v>0</v>
      </c>
      <c r="S4357" s="11"/>
      <c r="T4357" s="10">
        <f>+E4356</f>
        <v>0</v>
      </c>
      <c r="U4357" s="19" t="str">
        <f>IFERROR(LEFT(I4356,FIND("*",I4356)-1),"-")</f>
        <v>-</v>
      </c>
      <c r="V4357" s="19" t="str">
        <f>IFERROR(RIGHT(I4356,LEN(I4356)-FIND("*",I4356)),"-")</f>
        <v>-</v>
      </c>
      <c r="W4357" s="20" t="str">
        <f t="shared" ref="W4357:W4364" si="2368">IFERROR((U4357+V4357)*2/1000,"-")</f>
        <v>-</v>
      </c>
      <c r="X4357" s="20" t="str">
        <f>IFERROR(W4357*J4356,"-")</f>
        <v>-</v>
      </c>
      <c r="Z4357" s="85" t="s">
        <v>82</v>
      </c>
    </row>
    <row r="4358" spans="1:26" ht="6.95" customHeight="1" x14ac:dyDescent="0.3">
      <c r="A4358" s="154"/>
      <c r="B4358" s="157"/>
      <c r="C4358" s="158"/>
      <c r="D4358" s="161"/>
      <c r="E4358" s="162"/>
      <c r="F4358" s="163"/>
      <c r="G4358" s="164"/>
      <c r="H4358" s="165"/>
      <c r="I4358" s="164"/>
      <c r="J4358" s="165"/>
      <c r="K4358" s="164"/>
      <c r="L4358" s="165"/>
      <c r="M4358" s="6"/>
      <c r="N4358" s="32"/>
      <c r="Q4358" s="10" t="str">
        <f>+CONCATENATE(E4356,K4356)</f>
        <v/>
      </c>
      <c r="R4358" s="10">
        <f>+L4356</f>
        <v>0</v>
      </c>
      <c r="S4358" s="11"/>
      <c r="T4358" s="10">
        <f>+E4356</f>
        <v>0</v>
      </c>
      <c r="U4358" s="19" t="str">
        <f>IFERROR(LEFT(K4356,FIND("*",K4356)-1),"-")</f>
        <v>-</v>
      </c>
      <c r="V4358" s="19" t="str">
        <f>IFERROR(RIGHT(K4356,LEN(K4356)-FIND("*",K4356)),"-")</f>
        <v>-</v>
      </c>
      <c r="W4358" s="20" t="str">
        <f t="shared" si="2368"/>
        <v>-</v>
      </c>
      <c r="X4358" s="20" t="str">
        <f>IFERROR(W4358*L4356,"-")</f>
        <v>-</v>
      </c>
      <c r="Z4358" s="85" t="s">
        <v>82</v>
      </c>
    </row>
    <row r="4359" spans="1:26" ht="6.95" customHeight="1" x14ac:dyDescent="0.3">
      <c r="A4359" s="8"/>
      <c r="B4359" s="157"/>
      <c r="C4359" s="158"/>
      <c r="D4359" s="161" t="s">
        <v>39</v>
      </c>
      <c r="E4359" s="162"/>
      <c r="F4359" s="163" t="s">
        <v>40</v>
      </c>
      <c r="G4359" s="164"/>
      <c r="H4359" s="165"/>
      <c r="I4359" s="164"/>
      <c r="J4359" s="165"/>
      <c r="K4359" s="164"/>
      <c r="L4359" s="165"/>
      <c r="M4359" s="6"/>
      <c r="N4359" s="32"/>
      <c r="Q4359" s="10" t="str">
        <f>+CONCATENATE(E4359,G4359)</f>
        <v/>
      </c>
      <c r="R4359" s="10">
        <f>+H4359</f>
        <v>0</v>
      </c>
      <c r="S4359" s="11"/>
      <c r="T4359" s="10">
        <f>+E4359</f>
        <v>0</v>
      </c>
      <c r="U4359" s="19" t="str">
        <f t="shared" ref="U4359" si="2369">IFERROR(LEFT(G4359,FIND("*",G4359)-1),"-")</f>
        <v>-</v>
      </c>
      <c r="V4359" s="19" t="str">
        <f t="shared" ref="V4359" si="2370">IFERROR(RIGHT(G4359,LEN(G4359)-FIND("*",G4359)),"-")</f>
        <v>-</v>
      </c>
      <c r="W4359" s="20" t="str">
        <f t="shared" si="2368"/>
        <v>-</v>
      </c>
      <c r="X4359" s="20" t="str">
        <f>IFERROR(W4359*H4359,"-")</f>
        <v>-</v>
      </c>
      <c r="Z4359" s="85" t="s">
        <v>82</v>
      </c>
    </row>
    <row r="4360" spans="1:26" ht="6.95" customHeight="1" x14ac:dyDescent="0.3">
      <c r="A4360" s="5"/>
      <c r="B4360" s="157"/>
      <c r="C4360" s="158"/>
      <c r="D4360" s="161"/>
      <c r="E4360" s="162"/>
      <c r="F4360" s="163"/>
      <c r="G4360" s="164"/>
      <c r="H4360" s="165"/>
      <c r="I4360" s="164"/>
      <c r="J4360" s="165"/>
      <c r="K4360" s="164"/>
      <c r="L4360" s="165"/>
      <c r="M4360" s="6"/>
      <c r="N4360" s="32"/>
      <c r="Q4360" s="10" t="str">
        <f>+CONCATENATE(E4359,I4359)</f>
        <v/>
      </c>
      <c r="R4360" s="10">
        <f>+J4359</f>
        <v>0</v>
      </c>
      <c r="S4360" s="11"/>
      <c r="T4360" s="10">
        <f>+E4359</f>
        <v>0</v>
      </c>
      <c r="U4360" s="19" t="str">
        <f>IFERROR(LEFT(I4359,FIND("*",I4359)-1),"-")</f>
        <v>-</v>
      </c>
      <c r="V4360" s="19" t="str">
        <f>IFERROR(RIGHT(I4359,LEN(I4359)-FIND("*",I4359)),"-")</f>
        <v>-</v>
      </c>
      <c r="W4360" s="20" t="str">
        <f t="shared" si="2368"/>
        <v>-</v>
      </c>
      <c r="X4360" s="20" t="str">
        <f>IFERROR(W4360*J4359,"-")</f>
        <v>-</v>
      </c>
      <c r="Z4360" s="85" t="s">
        <v>82</v>
      </c>
    </row>
    <row r="4361" spans="1:26" ht="6.95" customHeight="1" x14ac:dyDescent="0.3">
      <c r="A4361" s="5"/>
      <c r="B4361" s="157"/>
      <c r="C4361" s="158"/>
      <c r="D4361" s="161"/>
      <c r="E4361" s="162"/>
      <c r="F4361" s="163"/>
      <c r="G4361" s="164"/>
      <c r="H4361" s="165"/>
      <c r="I4361" s="164"/>
      <c r="J4361" s="165"/>
      <c r="K4361" s="164"/>
      <c r="L4361" s="165"/>
      <c r="M4361" s="6"/>
      <c r="N4361" s="32"/>
      <c r="Q4361" s="10" t="str">
        <f>+CONCATENATE(E4359,K4359)</f>
        <v/>
      </c>
      <c r="R4361" s="10">
        <f>+L4359</f>
        <v>0</v>
      </c>
      <c r="S4361" s="11"/>
      <c r="T4361" s="10">
        <f>+E4359</f>
        <v>0</v>
      </c>
      <c r="U4361" s="19" t="str">
        <f>IFERROR(LEFT(K4359,FIND("*",K4359)-1),"-")</f>
        <v>-</v>
      </c>
      <c r="V4361" s="19" t="str">
        <f>IFERROR(RIGHT(K4359,LEN(K4359)-FIND("*",K4359)),"-")</f>
        <v>-</v>
      </c>
      <c r="W4361" s="20" t="str">
        <f t="shared" si="2368"/>
        <v>-</v>
      </c>
      <c r="X4361" s="20" t="str">
        <f>IFERROR(W4361*L4359,"-")</f>
        <v>-</v>
      </c>
      <c r="Z4361" s="85" t="s">
        <v>82</v>
      </c>
    </row>
    <row r="4362" spans="1:26" ht="6.95" customHeight="1" x14ac:dyDescent="0.3">
      <c r="A4362" s="8"/>
      <c r="B4362" s="157"/>
      <c r="C4362" s="158"/>
      <c r="D4362" s="161" t="s">
        <v>39</v>
      </c>
      <c r="E4362" s="162"/>
      <c r="F4362" s="163" t="s">
        <v>40</v>
      </c>
      <c r="G4362" s="164"/>
      <c r="H4362" s="165"/>
      <c r="I4362" s="164"/>
      <c r="J4362" s="165"/>
      <c r="K4362" s="164"/>
      <c r="L4362" s="165"/>
      <c r="M4362" s="6"/>
      <c r="N4362" s="32"/>
      <c r="Q4362" s="10" t="str">
        <f>+CONCATENATE(E4362,G4362)</f>
        <v/>
      </c>
      <c r="R4362" s="10">
        <f>+H4362</f>
        <v>0</v>
      </c>
      <c r="S4362" s="11"/>
      <c r="T4362" s="10">
        <f>+E4362</f>
        <v>0</v>
      </c>
      <c r="U4362" s="19" t="str">
        <f t="shared" ref="U4362" si="2371">IFERROR(LEFT(G4362,FIND("*",G4362)-1),"-")</f>
        <v>-</v>
      </c>
      <c r="V4362" s="19" t="str">
        <f t="shared" ref="V4362" si="2372">IFERROR(RIGHT(G4362,LEN(G4362)-FIND("*",G4362)),"-")</f>
        <v>-</v>
      </c>
      <c r="W4362" s="20" t="str">
        <f t="shared" si="2368"/>
        <v>-</v>
      </c>
      <c r="X4362" s="20" t="str">
        <f>IFERROR(W4362*H4362,"-")</f>
        <v>-</v>
      </c>
      <c r="Z4362" s="85" t="s">
        <v>82</v>
      </c>
    </row>
    <row r="4363" spans="1:26" ht="6.95" customHeight="1" x14ac:dyDescent="0.3">
      <c r="A4363" s="5"/>
      <c r="B4363" s="157"/>
      <c r="C4363" s="158"/>
      <c r="D4363" s="161"/>
      <c r="E4363" s="162"/>
      <c r="F4363" s="163"/>
      <c r="G4363" s="164"/>
      <c r="H4363" s="165"/>
      <c r="I4363" s="164"/>
      <c r="J4363" s="165"/>
      <c r="K4363" s="164"/>
      <c r="L4363" s="165"/>
      <c r="M4363" s="6"/>
      <c r="N4363" s="32"/>
      <c r="Q4363" s="10" t="str">
        <f>+CONCATENATE(E4362,I4362)</f>
        <v/>
      </c>
      <c r="R4363" s="10">
        <f>+J4362</f>
        <v>0</v>
      </c>
      <c r="S4363" s="11"/>
      <c r="T4363" s="10">
        <f>+E4362</f>
        <v>0</v>
      </c>
      <c r="U4363" s="19" t="str">
        <f>IFERROR(LEFT(I4362,FIND("*",I4362)-1),"-")</f>
        <v>-</v>
      </c>
      <c r="V4363" s="19" t="str">
        <f>IFERROR(RIGHT(I4362,LEN(I4362)-FIND("*",I4362)),"-")</f>
        <v>-</v>
      </c>
      <c r="W4363" s="20" t="str">
        <f t="shared" si="2368"/>
        <v>-</v>
      </c>
      <c r="X4363" s="20" t="str">
        <f t="shared" ref="X4363" si="2373">IFERROR(W4363*J4362,"-")</f>
        <v>-</v>
      </c>
      <c r="Z4363" s="85" t="s">
        <v>82</v>
      </c>
    </row>
    <row r="4364" spans="1:26" ht="6.95" customHeight="1" x14ac:dyDescent="0.3">
      <c r="A4364" s="5"/>
      <c r="B4364" s="157"/>
      <c r="C4364" s="158"/>
      <c r="D4364" s="161"/>
      <c r="E4364" s="162"/>
      <c r="F4364" s="163"/>
      <c r="G4364" s="164"/>
      <c r="H4364" s="165"/>
      <c r="I4364" s="164"/>
      <c r="J4364" s="165"/>
      <c r="K4364" s="164"/>
      <c r="L4364" s="165"/>
      <c r="M4364" s="6"/>
      <c r="N4364" s="32"/>
      <c r="Q4364" s="10" t="str">
        <f>+CONCATENATE(E4362,K4362)</f>
        <v/>
      </c>
      <c r="R4364" s="10">
        <f>+L4362</f>
        <v>0</v>
      </c>
      <c r="S4364" s="11"/>
      <c r="T4364" s="10">
        <f>+E4362</f>
        <v>0</v>
      </c>
      <c r="U4364" s="19" t="str">
        <f>IFERROR(LEFT(K4362,FIND("*",K4362)-1),"-")</f>
        <v>-</v>
      </c>
      <c r="V4364" s="19" t="str">
        <f>IFERROR(RIGHT(K4362,LEN(K4362)-FIND("*",K4362)),"-")</f>
        <v>-</v>
      </c>
      <c r="W4364" s="20" t="str">
        <f t="shared" si="2368"/>
        <v>-</v>
      </c>
      <c r="X4364" s="20" t="str">
        <f>IFERROR(W4364*L4362,"-")</f>
        <v>-</v>
      </c>
      <c r="Z4364" s="85" t="s">
        <v>82</v>
      </c>
    </row>
    <row r="4365" spans="1:26" ht="21" customHeight="1" thickBot="1" x14ac:dyDescent="0.35">
      <c r="A4365" s="5"/>
      <c r="B4365" s="159"/>
      <c r="C4365" s="160"/>
      <c r="D4365" s="166" t="s">
        <v>43</v>
      </c>
      <c r="E4365" s="167"/>
      <c r="F4365" s="167"/>
      <c r="G4365" s="168"/>
      <c r="H4365" s="168"/>
      <c r="I4365" s="168"/>
      <c r="J4365" s="168"/>
      <c r="K4365" s="168"/>
      <c r="L4365" s="168"/>
      <c r="M4365" s="7"/>
      <c r="N4365" s="32"/>
      <c r="Z4365" s="86" t="s">
        <v>81</v>
      </c>
    </row>
    <row r="4366" spans="1:26" ht="9.9499999999999993" customHeight="1" thickBot="1" x14ac:dyDescent="0.35">
      <c r="B4366" s="9"/>
      <c r="C4366" s="109"/>
      <c r="D4366" s="51"/>
      <c r="E4366" s="12"/>
      <c r="F4366" s="51"/>
      <c r="G4366" s="14"/>
      <c r="H4366" s="14"/>
      <c r="I4366" s="14"/>
      <c r="J4366" s="14"/>
      <c r="K4366" s="14"/>
      <c r="L4366" s="14"/>
      <c r="M4366" s="9"/>
      <c r="N4366" s="32"/>
      <c r="U4366" s="18"/>
      <c r="V4366" s="18"/>
      <c r="Z4366" s="85" t="s">
        <v>82</v>
      </c>
    </row>
    <row r="4367" spans="1:26" ht="6.95" customHeight="1" x14ac:dyDescent="0.3">
      <c r="A4367" s="154">
        <f>+A4356+1</f>
        <v>1196</v>
      </c>
      <c r="B4367" s="155"/>
      <c r="C4367" s="156"/>
      <c r="D4367" s="161" t="s">
        <v>39</v>
      </c>
      <c r="E4367" s="162"/>
      <c r="F4367" s="163" t="s">
        <v>40</v>
      </c>
      <c r="G4367" s="164"/>
      <c r="H4367" s="165"/>
      <c r="I4367" s="164"/>
      <c r="J4367" s="165"/>
      <c r="K4367" s="164"/>
      <c r="L4367" s="165"/>
      <c r="M4367" s="6"/>
      <c r="N4367" s="32"/>
      <c r="Q4367" s="10" t="str">
        <f>+CONCATENATE(E4367,G4367)</f>
        <v/>
      </c>
      <c r="R4367" s="10">
        <f>+H4367</f>
        <v>0</v>
      </c>
      <c r="S4367" s="11"/>
      <c r="T4367" s="10">
        <f>+E4367</f>
        <v>0</v>
      </c>
      <c r="U4367" s="19" t="str">
        <f>IFERROR(LEFT(G4367,FIND("*",G4367)-1),"-")</f>
        <v>-</v>
      </c>
      <c r="V4367" s="19" t="str">
        <f>IFERROR(RIGHT(G4367,LEN(G4367)-FIND("*",G4367)),"-")</f>
        <v>-</v>
      </c>
      <c r="W4367" s="20" t="str">
        <f>IFERROR((U4367+V4367)*2/1000,"-")</f>
        <v>-</v>
      </c>
      <c r="X4367" s="20" t="str">
        <f>IFERROR(W4367*H4367,"-")</f>
        <v>-</v>
      </c>
      <c r="Z4367" s="85" t="s">
        <v>82</v>
      </c>
    </row>
    <row r="4368" spans="1:26" ht="6.95" customHeight="1" x14ac:dyDescent="0.3">
      <c r="A4368" s="154"/>
      <c r="B4368" s="157"/>
      <c r="C4368" s="158"/>
      <c r="D4368" s="161"/>
      <c r="E4368" s="162"/>
      <c r="F4368" s="163"/>
      <c r="G4368" s="164"/>
      <c r="H4368" s="165"/>
      <c r="I4368" s="164"/>
      <c r="J4368" s="165"/>
      <c r="K4368" s="164"/>
      <c r="L4368" s="165"/>
      <c r="M4368" s="6"/>
      <c r="N4368" s="32"/>
      <c r="Q4368" s="10" t="str">
        <f>+CONCATENATE(E4367,I4367)</f>
        <v/>
      </c>
      <c r="R4368" s="10">
        <f>+J4367</f>
        <v>0</v>
      </c>
      <c r="S4368" s="11"/>
      <c r="T4368" s="10">
        <f>+E4367</f>
        <v>0</v>
      </c>
      <c r="U4368" s="19" t="str">
        <f>IFERROR(LEFT(I4367,FIND("*",I4367)-1),"-")</f>
        <v>-</v>
      </c>
      <c r="V4368" s="19" t="str">
        <f>IFERROR(RIGHT(I4367,LEN(I4367)-FIND("*",I4367)),"-")</f>
        <v>-</v>
      </c>
      <c r="W4368" s="20" t="str">
        <f t="shared" ref="W4368:W4375" si="2374">IFERROR((U4368+V4368)*2/1000,"-")</f>
        <v>-</v>
      </c>
      <c r="X4368" s="20" t="str">
        <f>IFERROR(W4368*J4367,"-")</f>
        <v>-</v>
      </c>
      <c r="Z4368" s="85" t="s">
        <v>82</v>
      </c>
    </row>
    <row r="4369" spans="1:26" ht="6.95" customHeight="1" x14ac:dyDescent="0.3">
      <c r="A4369" s="154"/>
      <c r="B4369" s="157"/>
      <c r="C4369" s="158"/>
      <c r="D4369" s="161"/>
      <c r="E4369" s="162"/>
      <c r="F4369" s="163"/>
      <c r="G4369" s="164"/>
      <c r="H4369" s="165"/>
      <c r="I4369" s="164"/>
      <c r="J4369" s="165"/>
      <c r="K4369" s="164"/>
      <c r="L4369" s="165"/>
      <c r="M4369" s="6"/>
      <c r="N4369" s="32"/>
      <c r="Q4369" s="10" t="str">
        <f>+CONCATENATE(E4367,K4367)</f>
        <v/>
      </c>
      <c r="R4369" s="10">
        <f>+L4367</f>
        <v>0</v>
      </c>
      <c r="S4369" s="11"/>
      <c r="T4369" s="10">
        <f>+E4367</f>
        <v>0</v>
      </c>
      <c r="U4369" s="19" t="str">
        <f>IFERROR(LEFT(K4367,FIND("*",K4367)-1),"-")</f>
        <v>-</v>
      </c>
      <c r="V4369" s="19" t="str">
        <f>IFERROR(RIGHT(K4367,LEN(K4367)-FIND("*",K4367)),"-")</f>
        <v>-</v>
      </c>
      <c r="W4369" s="20" t="str">
        <f t="shared" si="2374"/>
        <v>-</v>
      </c>
      <c r="X4369" s="20" t="str">
        <f>IFERROR(W4369*L4367,"-")</f>
        <v>-</v>
      </c>
      <c r="Z4369" s="85" t="s">
        <v>82</v>
      </c>
    </row>
    <row r="4370" spans="1:26" ht="6.95" customHeight="1" x14ac:dyDescent="0.3">
      <c r="A4370" s="8"/>
      <c r="B4370" s="157"/>
      <c r="C4370" s="158"/>
      <c r="D4370" s="161" t="s">
        <v>39</v>
      </c>
      <c r="E4370" s="162"/>
      <c r="F4370" s="163" t="s">
        <v>40</v>
      </c>
      <c r="G4370" s="164"/>
      <c r="H4370" s="165"/>
      <c r="I4370" s="164"/>
      <c r="J4370" s="165"/>
      <c r="K4370" s="164"/>
      <c r="L4370" s="165"/>
      <c r="M4370" s="6"/>
      <c r="N4370" s="32"/>
      <c r="Q4370" s="10" t="str">
        <f>+CONCATENATE(E4370,G4370)</f>
        <v/>
      </c>
      <c r="R4370" s="10">
        <f>+H4370</f>
        <v>0</v>
      </c>
      <c r="S4370" s="11"/>
      <c r="T4370" s="10">
        <f>+E4370</f>
        <v>0</v>
      </c>
      <c r="U4370" s="19" t="str">
        <f t="shared" ref="U4370" si="2375">IFERROR(LEFT(G4370,FIND("*",G4370)-1),"-")</f>
        <v>-</v>
      </c>
      <c r="V4370" s="19" t="str">
        <f t="shared" ref="V4370" si="2376">IFERROR(RIGHT(G4370,LEN(G4370)-FIND("*",G4370)),"-")</f>
        <v>-</v>
      </c>
      <c r="W4370" s="20" t="str">
        <f t="shared" si="2374"/>
        <v>-</v>
      </c>
      <c r="X4370" s="20" t="str">
        <f>IFERROR(W4370*H4370,"-")</f>
        <v>-</v>
      </c>
      <c r="Z4370" s="85" t="s">
        <v>82</v>
      </c>
    </row>
    <row r="4371" spans="1:26" ht="6.95" customHeight="1" x14ac:dyDescent="0.3">
      <c r="A4371" s="5"/>
      <c r="B4371" s="157"/>
      <c r="C4371" s="158"/>
      <c r="D4371" s="161"/>
      <c r="E4371" s="162"/>
      <c r="F4371" s="163"/>
      <c r="G4371" s="164"/>
      <c r="H4371" s="165"/>
      <c r="I4371" s="164"/>
      <c r="J4371" s="165"/>
      <c r="K4371" s="164"/>
      <c r="L4371" s="165"/>
      <c r="M4371" s="6"/>
      <c r="N4371" s="32"/>
      <c r="Q4371" s="10" t="str">
        <f>+CONCATENATE(E4370,I4370)</f>
        <v/>
      </c>
      <c r="R4371" s="10">
        <f>+J4370</f>
        <v>0</v>
      </c>
      <c r="S4371" s="11"/>
      <c r="T4371" s="10">
        <f>+E4370</f>
        <v>0</v>
      </c>
      <c r="U4371" s="19" t="str">
        <f>IFERROR(LEFT(I4370,FIND("*",I4370)-1),"-")</f>
        <v>-</v>
      </c>
      <c r="V4371" s="19" t="str">
        <f>IFERROR(RIGHT(I4370,LEN(I4370)-FIND("*",I4370)),"-")</f>
        <v>-</v>
      </c>
      <c r="W4371" s="20" t="str">
        <f t="shared" si="2374"/>
        <v>-</v>
      </c>
      <c r="X4371" s="20" t="str">
        <f>IFERROR(W4371*J4370,"-")</f>
        <v>-</v>
      </c>
      <c r="Z4371" s="85" t="s">
        <v>82</v>
      </c>
    </row>
    <row r="4372" spans="1:26" ht="6.95" customHeight="1" x14ac:dyDescent="0.3">
      <c r="A4372" s="5"/>
      <c r="B4372" s="157"/>
      <c r="C4372" s="158"/>
      <c r="D4372" s="161"/>
      <c r="E4372" s="162"/>
      <c r="F4372" s="163"/>
      <c r="G4372" s="164"/>
      <c r="H4372" s="165"/>
      <c r="I4372" s="164"/>
      <c r="J4372" s="165"/>
      <c r="K4372" s="164"/>
      <c r="L4372" s="165"/>
      <c r="M4372" s="6"/>
      <c r="N4372" s="32"/>
      <c r="Q4372" s="10" t="str">
        <f>+CONCATENATE(E4370,K4370)</f>
        <v/>
      </c>
      <c r="R4372" s="10">
        <f>+L4370</f>
        <v>0</v>
      </c>
      <c r="S4372" s="11"/>
      <c r="T4372" s="10">
        <f>+E4370</f>
        <v>0</v>
      </c>
      <c r="U4372" s="19" t="str">
        <f>IFERROR(LEFT(K4370,FIND("*",K4370)-1),"-")</f>
        <v>-</v>
      </c>
      <c r="V4372" s="19" t="str">
        <f>IFERROR(RIGHT(K4370,LEN(K4370)-FIND("*",K4370)),"-")</f>
        <v>-</v>
      </c>
      <c r="W4372" s="20" t="str">
        <f t="shared" si="2374"/>
        <v>-</v>
      </c>
      <c r="X4372" s="20" t="str">
        <f>IFERROR(W4372*L4370,"-")</f>
        <v>-</v>
      </c>
      <c r="Z4372" s="85" t="s">
        <v>82</v>
      </c>
    </row>
    <row r="4373" spans="1:26" ht="6.95" customHeight="1" x14ac:dyDescent="0.3">
      <c r="A4373" s="8"/>
      <c r="B4373" s="157"/>
      <c r="C4373" s="158"/>
      <c r="D4373" s="161" t="s">
        <v>39</v>
      </c>
      <c r="E4373" s="162"/>
      <c r="F4373" s="163" t="s">
        <v>40</v>
      </c>
      <c r="G4373" s="164"/>
      <c r="H4373" s="165"/>
      <c r="I4373" s="164"/>
      <c r="J4373" s="165"/>
      <c r="K4373" s="164"/>
      <c r="L4373" s="165"/>
      <c r="M4373" s="6"/>
      <c r="N4373" s="32"/>
      <c r="Q4373" s="10" t="str">
        <f>+CONCATENATE(E4373,G4373)</f>
        <v/>
      </c>
      <c r="R4373" s="10">
        <f>+H4373</f>
        <v>0</v>
      </c>
      <c r="S4373" s="11"/>
      <c r="T4373" s="10">
        <f>+E4373</f>
        <v>0</v>
      </c>
      <c r="U4373" s="19" t="str">
        <f t="shared" ref="U4373" si="2377">IFERROR(LEFT(G4373,FIND("*",G4373)-1),"-")</f>
        <v>-</v>
      </c>
      <c r="V4373" s="19" t="str">
        <f t="shared" ref="V4373" si="2378">IFERROR(RIGHT(G4373,LEN(G4373)-FIND("*",G4373)),"-")</f>
        <v>-</v>
      </c>
      <c r="W4373" s="20" t="str">
        <f t="shared" si="2374"/>
        <v>-</v>
      </c>
      <c r="X4373" s="20" t="str">
        <f>IFERROR(W4373*H4373,"-")</f>
        <v>-</v>
      </c>
      <c r="Z4373" s="85" t="s">
        <v>82</v>
      </c>
    </row>
    <row r="4374" spans="1:26" ht="6.95" customHeight="1" x14ac:dyDescent="0.3">
      <c r="A4374" s="5"/>
      <c r="B4374" s="157"/>
      <c r="C4374" s="158"/>
      <c r="D4374" s="161"/>
      <c r="E4374" s="162"/>
      <c r="F4374" s="163"/>
      <c r="G4374" s="164"/>
      <c r="H4374" s="165"/>
      <c r="I4374" s="164"/>
      <c r="J4374" s="165"/>
      <c r="K4374" s="164"/>
      <c r="L4374" s="165"/>
      <c r="M4374" s="6"/>
      <c r="N4374" s="32"/>
      <c r="Q4374" s="10" t="str">
        <f>+CONCATENATE(E4373,I4373)</f>
        <v/>
      </c>
      <c r="R4374" s="10">
        <f>+J4373</f>
        <v>0</v>
      </c>
      <c r="S4374" s="11"/>
      <c r="T4374" s="10">
        <f>+E4373</f>
        <v>0</v>
      </c>
      <c r="U4374" s="19" t="str">
        <f>IFERROR(LEFT(I4373,FIND("*",I4373)-1),"-")</f>
        <v>-</v>
      </c>
      <c r="V4374" s="19" t="str">
        <f>IFERROR(RIGHT(I4373,LEN(I4373)-FIND("*",I4373)),"-")</f>
        <v>-</v>
      </c>
      <c r="W4374" s="20" t="str">
        <f t="shared" si="2374"/>
        <v>-</v>
      </c>
      <c r="X4374" s="20" t="str">
        <f t="shared" ref="X4374" si="2379">IFERROR(W4374*J4373,"-")</f>
        <v>-</v>
      </c>
      <c r="Z4374" s="85" t="s">
        <v>82</v>
      </c>
    </row>
    <row r="4375" spans="1:26" ht="6.95" customHeight="1" x14ac:dyDescent="0.3">
      <c r="A4375" s="5"/>
      <c r="B4375" s="157"/>
      <c r="C4375" s="158"/>
      <c r="D4375" s="161"/>
      <c r="E4375" s="162"/>
      <c r="F4375" s="163"/>
      <c r="G4375" s="164"/>
      <c r="H4375" s="165"/>
      <c r="I4375" s="164"/>
      <c r="J4375" s="165"/>
      <c r="K4375" s="164"/>
      <c r="L4375" s="165"/>
      <c r="M4375" s="6"/>
      <c r="N4375" s="32"/>
      <c r="Q4375" s="10" t="str">
        <f>+CONCATENATE(E4373,K4373)</f>
        <v/>
      </c>
      <c r="R4375" s="10">
        <f>+L4373</f>
        <v>0</v>
      </c>
      <c r="S4375" s="11"/>
      <c r="T4375" s="10">
        <f>+E4373</f>
        <v>0</v>
      </c>
      <c r="U4375" s="19" t="str">
        <f>IFERROR(LEFT(K4373,FIND("*",K4373)-1),"-")</f>
        <v>-</v>
      </c>
      <c r="V4375" s="19" t="str">
        <f>IFERROR(RIGHT(K4373,LEN(K4373)-FIND("*",K4373)),"-")</f>
        <v>-</v>
      </c>
      <c r="W4375" s="20" t="str">
        <f t="shared" si="2374"/>
        <v>-</v>
      </c>
      <c r="X4375" s="20" t="str">
        <f>IFERROR(W4375*L4373,"-")</f>
        <v>-</v>
      </c>
      <c r="Z4375" s="85" t="s">
        <v>82</v>
      </c>
    </row>
    <row r="4376" spans="1:26" ht="21" customHeight="1" thickBot="1" x14ac:dyDescent="0.35">
      <c r="A4376" s="5"/>
      <c r="B4376" s="159"/>
      <c r="C4376" s="160"/>
      <c r="D4376" s="166" t="s">
        <v>43</v>
      </c>
      <c r="E4376" s="167"/>
      <c r="F4376" s="167"/>
      <c r="G4376" s="168"/>
      <c r="H4376" s="168"/>
      <c r="I4376" s="168"/>
      <c r="J4376" s="168"/>
      <c r="K4376" s="168"/>
      <c r="L4376" s="168"/>
      <c r="M4376" s="7"/>
      <c r="N4376" s="32"/>
      <c r="Z4376" s="86" t="s">
        <v>81</v>
      </c>
    </row>
    <row r="4377" spans="1:26" ht="9.9499999999999993" customHeight="1" thickBot="1" x14ac:dyDescent="0.35">
      <c r="B4377" s="9"/>
      <c r="C4377" s="109"/>
      <c r="D4377" s="51"/>
      <c r="E4377" s="12"/>
      <c r="F4377" s="51"/>
      <c r="G4377" s="14"/>
      <c r="H4377" s="14"/>
      <c r="I4377" s="14"/>
      <c r="J4377" s="14"/>
      <c r="K4377" s="14"/>
      <c r="L4377" s="14"/>
      <c r="M4377" s="9"/>
      <c r="N4377" s="32"/>
      <c r="U4377" s="18"/>
      <c r="V4377" s="18"/>
      <c r="Z4377" s="85" t="s">
        <v>82</v>
      </c>
    </row>
    <row r="4378" spans="1:26" ht="6.95" customHeight="1" x14ac:dyDescent="0.3">
      <c r="A4378" s="154">
        <f>+A4367+1</f>
        <v>1197</v>
      </c>
      <c r="B4378" s="155"/>
      <c r="C4378" s="156"/>
      <c r="D4378" s="161" t="s">
        <v>39</v>
      </c>
      <c r="E4378" s="162"/>
      <c r="F4378" s="163" t="s">
        <v>40</v>
      </c>
      <c r="G4378" s="164"/>
      <c r="H4378" s="165"/>
      <c r="I4378" s="164"/>
      <c r="J4378" s="165"/>
      <c r="K4378" s="164"/>
      <c r="L4378" s="165"/>
      <c r="M4378" s="6"/>
      <c r="N4378" s="32"/>
      <c r="Q4378" s="10" t="str">
        <f>+CONCATENATE(E4378,G4378)</f>
        <v/>
      </c>
      <c r="R4378" s="10">
        <f>+H4378</f>
        <v>0</v>
      </c>
      <c r="S4378" s="11"/>
      <c r="T4378" s="10">
        <f>+E4378</f>
        <v>0</v>
      </c>
      <c r="U4378" s="19" t="str">
        <f>IFERROR(LEFT(G4378,FIND("*",G4378)-1),"-")</f>
        <v>-</v>
      </c>
      <c r="V4378" s="19" t="str">
        <f>IFERROR(RIGHT(G4378,LEN(G4378)-FIND("*",G4378)),"-")</f>
        <v>-</v>
      </c>
      <c r="W4378" s="20" t="str">
        <f>IFERROR((U4378+V4378)*2/1000,"-")</f>
        <v>-</v>
      </c>
      <c r="X4378" s="20" t="str">
        <f>IFERROR(W4378*H4378,"-")</f>
        <v>-</v>
      </c>
      <c r="Z4378" s="85" t="s">
        <v>82</v>
      </c>
    </row>
    <row r="4379" spans="1:26" ht="6.95" customHeight="1" x14ac:dyDescent="0.3">
      <c r="A4379" s="154"/>
      <c r="B4379" s="157"/>
      <c r="C4379" s="158"/>
      <c r="D4379" s="161"/>
      <c r="E4379" s="162"/>
      <c r="F4379" s="163"/>
      <c r="G4379" s="164"/>
      <c r="H4379" s="165"/>
      <c r="I4379" s="164"/>
      <c r="J4379" s="165"/>
      <c r="K4379" s="164"/>
      <c r="L4379" s="165"/>
      <c r="M4379" s="6"/>
      <c r="N4379" s="32"/>
      <c r="Q4379" s="10" t="str">
        <f>+CONCATENATE(E4378,I4378)</f>
        <v/>
      </c>
      <c r="R4379" s="10">
        <f>+J4378</f>
        <v>0</v>
      </c>
      <c r="S4379" s="11"/>
      <c r="T4379" s="10">
        <f>+E4378</f>
        <v>0</v>
      </c>
      <c r="U4379" s="19" t="str">
        <f>IFERROR(LEFT(I4378,FIND("*",I4378)-1),"-")</f>
        <v>-</v>
      </c>
      <c r="V4379" s="19" t="str">
        <f>IFERROR(RIGHT(I4378,LEN(I4378)-FIND("*",I4378)),"-")</f>
        <v>-</v>
      </c>
      <c r="W4379" s="20" t="str">
        <f t="shared" ref="W4379:W4386" si="2380">IFERROR((U4379+V4379)*2/1000,"-")</f>
        <v>-</v>
      </c>
      <c r="X4379" s="20" t="str">
        <f>IFERROR(W4379*J4378,"-")</f>
        <v>-</v>
      </c>
      <c r="Z4379" s="85" t="s">
        <v>82</v>
      </c>
    </row>
    <row r="4380" spans="1:26" ht="6.95" customHeight="1" x14ac:dyDescent="0.3">
      <c r="A4380" s="154"/>
      <c r="B4380" s="157"/>
      <c r="C4380" s="158"/>
      <c r="D4380" s="161"/>
      <c r="E4380" s="162"/>
      <c r="F4380" s="163"/>
      <c r="G4380" s="164"/>
      <c r="H4380" s="165"/>
      <c r="I4380" s="164"/>
      <c r="J4380" s="165"/>
      <c r="K4380" s="164"/>
      <c r="L4380" s="165"/>
      <c r="M4380" s="6"/>
      <c r="N4380" s="32"/>
      <c r="Q4380" s="10" t="str">
        <f>+CONCATENATE(E4378,K4378)</f>
        <v/>
      </c>
      <c r="R4380" s="10">
        <f>+L4378</f>
        <v>0</v>
      </c>
      <c r="S4380" s="11"/>
      <c r="T4380" s="10">
        <f>+E4378</f>
        <v>0</v>
      </c>
      <c r="U4380" s="19" t="str">
        <f>IFERROR(LEFT(K4378,FIND("*",K4378)-1),"-")</f>
        <v>-</v>
      </c>
      <c r="V4380" s="19" t="str">
        <f>IFERROR(RIGHT(K4378,LEN(K4378)-FIND("*",K4378)),"-")</f>
        <v>-</v>
      </c>
      <c r="W4380" s="20" t="str">
        <f t="shared" si="2380"/>
        <v>-</v>
      </c>
      <c r="X4380" s="20" t="str">
        <f>IFERROR(W4380*L4378,"-")</f>
        <v>-</v>
      </c>
      <c r="Z4380" s="85" t="s">
        <v>82</v>
      </c>
    </row>
    <row r="4381" spans="1:26" ht="6.95" customHeight="1" x14ac:dyDescent="0.3">
      <c r="A4381" s="8"/>
      <c r="B4381" s="157"/>
      <c r="C4381" s="158"/>
      <c r="D4381" s="161" t="s">
        <v>39</v>
      </c>
      <c r="E4381" s="162"/>
      <c r="F4381" s="163" t="s">
        <v>40</v>
      </c>
      <c r="G4381" s="164"/>
      <c r="H4381" s="165"/>
      <c r="I4381" s="164"/>
      <c r="J4381" s="165"/>
      <c r="K4381" s="164"/>
      <c r="L4381" s="165"/>
      <c r="M4381" s="6"/>
      <c r="N4381" s="32"/>
      <c r="Q4381" s="10" t="str">
        <f>+CONCATENATE(E4381,G4381)</f>
        <v/>
      </c>
      <c r="R4381" s="10">
        <f>+H4381</f>
        <v>0</v>
      </c>
      <c r="S4381" s="11"/>
      <c r="T4381" s="10">
        <f>+E4381</f>
        <v>0</v>
      </c>
      <c r="U4381" s="19" t="str">
        <f t="shared" ref="U4381" si="2381">IFERROR(LEFT(G4381,FIND("*",G4381)-1),"-")</f>
        <v>-</v>
      </c>
      <c r="V4381" s="19" t="str">
        <f t="shared" ref="V4381" si="2382">IFERROR(RIGHT(G4381,LEN(G4381)-FIND("*",G4381)),"-")</f>
        <v>-</v>
      </c>
      <c r="W4381" s="20" t="str">
        <f t="shared" si="2380"/>
        <v>-</v>
      </c>
      <c r="X4381" s="20" t="str">
        <f>IFERROR(W4381*H4381,"-")</f>
        <v>-</v>
      </c>
      <c r="Z4381" s="85" t="s">
        <v>82</v>
      </c>
    </row>
    <row r="4382" spans="1:26" ht="6.95" customHeight="1" x14ac:dyDescent="0.3">
      <c r="A4382" s="5"/>
      <c r="B4382" s="157"/>
      <c r="C4382" s="158"/>
      <c r="D4382" s="161"/>
      <c r="E4382" s="162"/>
      <c r="F4382" s="163"/>
      <c r="G4382" s="164"/>
      <c r="H4382" s="165"/>
      <c r="I4382" s="164"/>
      <c r="J4382" s="165"/>
      <c r="K4382" s="164"/>
      <c r="L4382" s="165"/>
      <c r="M4382" s="6"/>
      <c r="N4382" s="32"/>
      <c r="Q4382" s="10" t="str">
        <f>+CONCATENATE(E4381,I4381)</f>
        <v/>
      </c>
      <c r="R4382" s="10">
        <f>+J4381</f>
        <v>0</v>
      </c>
      <c r="S4382" s="11"/>
      <c r="T4382" s="10">
        <f>+E4381</f>
        <v>0</v>
      </c>
      <c r="U4382" s="19" t="str">
        <f>IFERROR(LEFT(I4381,FIND("*",I4381)-1),"-")</f>
        <v>-</v>
      </c>
      <c r="V4382" s="19" t="str">
        <f>IFERROR(RIGHT(I4381,LEN(I4381)-FIND("*",I4381)),"-")</f>
        <v>-</v>
      </c>
      <c r="W4382" s="20" t="str">
        <f t="shared" si="2380"/>
        <v>-</v>
      </c>
      <c r="X4382" s="20" t="str">
        <f>IFERROR(W4382*J4381,"-")</f>
        <v>-</v>
      </c>
      <c r="Z4382" s="85" t="s">
        <v>82</v>
      </c>
    </row>
    <row r="4383" spans="1:26" ht="6.95" customHeight="1" x14ac:dyDescent="0.3">
      <c r="A4383" s="5"/>
      <c r="B4383" s="157"/>
      <c r="C4383" s="158"/>
      <c r="D4383" s="161"/>
      <c r="E4383" s="162"/>
      <c r="F4383" s="163"/>
      <c r="G4383" s="164"/>
      <c r="H4383" s="165"/>
      <c r="I4383" s="164"/>
      <c r="J4383" s="165"/>
      <c r="K4383" s="164"/>
      <c r="L4383" s="165"/>
      <c r="M4383" s="6"/>
      <c r="N4383" s="32"/>
      <c r="Q4383" s="10" t="str">
        <f>+CONCATENATE(E4381,K4381)</f>
        <v/>
      </c>
      <c r="R4383" s="10">
        <f>+L4381</f>
        <v>0</v>
      </c>
      <c r="S4383" s="11"/>
      <c r="T4383" s="10">
        <f>+E4381</f>
        <v>0</v>
      </c>
      <c r="U4383" s="19" t="str">
        <f>IFERROR(LEFT(K4381,FIND("*",K4381)-1),"-")</f>
        <v>-</v>
      </c>
      <c r="V4383" s="19" t="str">
        <f>IFERROR(RIGHT(K4381,LEN(K4381)-FIND("*",K4381)),"-")</f>
        <v>-</v>
      </c>
      <c r="W4383" s="20" t="str">
        <f t="shared" si="2380"/>
        <v>-</v>
      </c>
      <c r="X4383" s="20" t="str">
        <f>IFERROR(W4383*L4381,"-")</f>
        <v>-</v>
      </c>
      <c r="Z4383" s="85" t="s">
        <v>82</v>
      </c>
    </row>
    <row r="4384" spans="1:26" ht="6.95" customHeight="1" x14ac:dyDescent="0.3">
      <c r="A4384" s="8"/>
      <c r="B4384" s="157"/>
      <c r="C4384" s="158"/>
      <c r="D4384" s="161" t="s">
        <v>39</v>
      </c>
      <c r="E4384" s="162"/>
      <c r="F4384" s="163" t="s">
        <v>40</v>
      </c>
      <c r="G4384" s="164"/>
      <c r="H4384" s="165"/>
      <c r="I4384" s="164"/>
      <c r="J4384" s="165"/>
      <c r="K4384" s="164"/>
      <c r="L4384" s="165"/>
      <c r="M4384" s="6"/>
      <c r="N4384" s="32"/>
      <c r="Q4384" s="10" t="str">
        <f>+CONCATENATE(E4384,G4384)</f>
        <v/>
      </c>
      <c r="R4384" s="10">
        <f>+H4384</f>
        <v>0</v>
      </c>
      <c r="S4384" s="11"/>
      <c r="T4384" s="10">
        <f>+E4384</f>
        <v>0</v>
      </c>
      <c r="U4384" s="19" t="str">
        <f t="shared" ref="U4384" si="2383">IFERROR(LEFT(G4384,FIND("*",G4384)-1),"-")</f>
        <v>-</v>
      </c>
      <c r="V4384" s="19" t="str">
        <f t="shared" ref="V4384" si="2384">IFERROR(RIGHT(G4384,LEN(G4384)-FIND("*",G4384)),"-")</f>
        <v>-</v>
      </c>
      <c r="W4384" s="20" t="str">
        <f t="shared" si="2380"/>
        <v>-</v>
      </c>
      <c r="X4384" s="20" t="str">
        <f>IFERROR(W4384*H4384,"-")</f>
        <v>-</v>
      </c>
      <c r="Z4384" s="85" t="s">
        <v>82</v>
      </c>
    </row>
    <row r="4385" spans="1:26" ht="6.95" customHeight="1" x14ac:dyDescent="0.3">
      <c r="A4385" s="5"/>
      <c r="B4385" s="157"/>
      <c r="C4385" s="158"/>
      <c r="D4385" s="161"/>
      <c r="E4385" s="162"/>
      <c r="F4385" s="163"/>
      <c r="G4385" s="164"/>
      <c r="H4385" s="165"/>
      <c r="I4385" s="164"/>
      <c r="J4385" s="165"/>
      <c r="K4385" s="164"/>
      <c r="L4385" s="165"/>
      <c r="M4385" s="6"/>
      <c r="N4385" s="32"/>
      <c r="Q4385" s="10" t="str">
        <f>+CONCATENATE(E4384,I4384)</f>
        <v/>
      </c>
      <c r="R4385" s="10">
        <f>+J4384</f>
        <v>0</v>
      </c>
      <c r="S4385" s="11"/>
      <c r="T4385" s="10">
        <f>+E4384</f>
        <v>0</v>
      </c>
      <c r="U4385" s="19" t="str">
        <f>IFERROR(LEFT(I4384,FIND("*",I4384)-1),"-")</f>
        <v>-</v>
      </c>
      <c r="V4385" s="19" t="str">
        <f>IFERROR(RIGHT(I4384,LEN(I4384)-FIND("*",I4384)),"-")</f>
        <v>-</v>
      </c>
      <c r="W4385" s="20" t="str">
        <f t="shared" si="2380"/>
        <v>-</v>
      </c>
      <c r="X4385" s="20" t="str">
        <f t="shared" ref="X4385" si="2385">IFERROR(W4385*J4384,"-")</f>
        <v>-</v>
      </c>
      <c r="Z4385" s="85" t="s">
        <v>82</v>
      </c>
    </row>
    <row r="4386" spans="1:26" ht="6.95" customHeight="1" x14ac:dyDescent="0.3">
      <c r="A4386" s="5"/>
      <c r="B4386" s="157"/>
      <c r="C4386" s="158"/>
      <c r="D4386" s="161"/>
      <c r="E4386" s="162"/>
      <c r="F4386" s="163"/>
      <c r="G4386" s="164"/>
      <c r="H4386" s="165"/>
      <c r="I4386" s="164"/>
      <c r="J4386" s="165"/>
      <c r="K4386" s="164"/>
      <c r="L4386" s="165"/>
      <c r="M4386" s="6"/>
      <c r="N4386" s="32"/>
      <c r="Q4386" s="10" t="str">
        <f>+CONCATENATE(E4384,K4384)</f>
        <v/>
      </c>
      <c r="R4386" s="10">
        <f>+L4384</f>
        <v>0</v>
      </c>
      <c r="S4386" s="11"/>
      <c r="T4386" s="10">
        <f>+E4384</f>
        <v>0</v>
      </c>
      <c r="U4386" s="19" t="str">
        <f>IFERROR(LEFT(K4384,FIND("*",K4384)-1),"-")</f>
        <v>-</v>
      </c>
      <c r="V4386" s="19" t="str">
        <f>IFERROR(RIGHT(K4384,LEN(K4384)-FIND("*",K4384)),"-")</f>
        <v>-</v>
      </c>
      <c r="W4386" s="20" t="str">
        <f t="shared" si="2380"/>
        <v>-</v>
      </c>
      <c r="X4386" s="20" t="str">
        <f>IFERROR(W4386*L4384,"-")</f>
        <v>-</v>
      </c>
      <c r="Z4386" s="85" t="s">
        <v>82</v>
      </c>
    </row>
    <row r="4387" spans="1:26" ht="21" customHeight="1" thickBot="1" x14ac:dyDescent="0.35">
      <c r="A4387" s="5"/>
      <c r="B4387" s="159"/>
      <c r="C4387" s="160"/>
      <c r="D4387" s="166" t="s">
        <v>43</v>
      </c>
      <c r="E4387" s="167"/>
      <c r="F4387" s="167"/>
      <c r="G4387" s="168"/>
      <c r="H4387" s="168"/>
      <c r="I4387" s="168"/>
      <c r="J4387" s="168"/>
      <c r="K4387" s="168"/>
      <c r="L4387" s="168"/>
      <c r="M4387" s="7"/>
      <c r="N4387" s="32"/>
      <c r="Z4387" s="86" t="s">
        <v>81</v>
      </c>
    </row>
    <row r="4388" spans="1:26" ht="9.9499999999999993" customHeight="1" thickBot="1" x14ac:dyDescent="0.35">
      <c r="B4388" s="9"/>
      <c r="C4388" s="109"/>
      <c r="D4388" s="51"/>
      <c r="E4388" s="12"/>
      <c r="F4388" s="51"/>
      <c r="G4388" s="14"/>
      <c r="H4388" s="14"/>
      <c r="I4388" s="14"/>
      <c r="J4388" s="14"/>
      <c r="K4388" s="14"/>
      <c r="L4388" s="14"/>
      <c r="M4388" s="9"/>
      <c r="N4388" s="32"/>
      <c r="U4388" s="18"/>
      <c r="V4388" s="18"/>
      <c r="Z4388" s="85" t="s">
        <v>82</v>
      </c>
    </row>
    <row r="4389" spans="1:26" ht="6.95" customHeight="1" x14ac:dyDescent="0.3">
      <c r="A4389" s="154">
        <f>+A4378+1</f>
        <v>1198</v>
      </c>
      <c r="B4389" s="155"/>
      <c r="C4389" s="156"/>
      <c r="D4389" s="161" t="s">
        <v>39</v>
      </c>
      <c r="E4389" s="162"/>
      <c r="F4389" s="163" t="s">
        <v>40</v>
      </c>
      <c r="G4389" s="164"/>
      <c r="H4389" s="165"/>
      <c r="I4389" s="164"/>
      <c r="J4389" s="165"/>
      <c r="K4389" s="164"/>
      <c r="L4389" s="165"/>
      <c r="M4389" s="6"/>
      <c r="N4389" s="32"/>
      <c r="Q4389" s="10" t="str">
        <f>+CONCATENATE(E4389,G4389)</f>
        <v/>
      </c>
      <c r="R4389" s="10">
        <f>+H4389</f>
        <v>0</v>
      </c>
      <c r="S4389" s="11"/>
      <c r="T4389" s="10">
        <f>+E4389</f>
        <v>0</v>
      </c>
      <c r="U4389" s="19" t="str">
        <f>IFERROR(LEFT(G4389,FIND("*",G4389)-1),"-")</f>
        <v>-</v>
      </c>
      <c r="V4389" s="19" t="str">
        <f>IFERROR(RIGHT(G4389,LEN(G4389)-FIND("*",G4389)),"-")</f>
        <v>-</v>
      </c>
      <c r="W4389" s="20" t="str">
        <f>IFERROR((U4389+V4389)*2/1000,"-")</f>
        <v>-</v>
      </c>
      <c r="X4389" s="20" t="str">
        <f>IFERROR(W4389*H4389,"-")</f>
        <v>-</v>
      </c>
      <c r="Z4389" s="85" t="s">
        <v>82</v>
      </c>
    </row>
    <row r="4390" spans="1:26" ht="6.95" customHeight="1" x14ac:dyDescent="0.3">
      <c r="A4390" s="154"/>
      <c r="B4390" s="157"/>
      <c r="C4390" s="158"/>
      <c r="D4390" s="161"/>
      <c r="E4390" s="162"/>
      <c r="F4390" s="163"/>
      <c r="G4390" s="164"/>
      <c r="H4390" s="165"/>
      <c r="I4390" s="164"/>
      <c r="J4390" s="165"/>
      <c r="K4390" s="164"/>
      <c r="L4390" s="165"/>
      <c r="M4390" s="6"/>
      <c r="N4390" s="32"/>
      <c r="Q4390" s="10" t="str">
        <f>+CONCATENATE(E4389,I4389)</f>
        <v/>
      </c>
      <c r="R4390" s="10">
        <f>+J4389</f>
        <v>0</v>
      </c>
      <c r="S4390" s="11"/>
      <c r="T4390" s="10">
        <f>+E4389</f>
        <v>0</v>
      </c>
      <c r="U4390" s="19" t="str">
        <f>IFERROR(LEFT(I4389,FIND("*",I4389)-1),"-")</f>
        <v>-</v>
      </c>
      <c r="V4390" s="19" t="str">
        <f>IFERROR(RIGHT(I4389,LEN(I4389)-FIND("*",I4389)),"-")</f>
        <v>-</v>
      </c>
      <c r="W4390" s="20" t="str">
        <f t="shared" ref="W4390:W4397" si="2386">IFERROR((U4390+V4390)*2/1000,"-")</f>
        <v>-</v>
      </c>
      <c r="X4390" s="20" t="str">
        <f>IFERROR(W4390*J4389,"-")</f>
        <v>-</v>
      </c>
      <c r="Z4390" s="85" t="s">
        <v>82</v>
      </c>
    </row>
    <row r="4391" spans="1:26" ht="6.95" customHeight="1" x14ac:dyDescent="0.3">
      <c r="A4391" s="154"/>
      <c r="B4391" s="157"/>
      <c r="C4391" s="158"/>
      <c r="D4391" s="161"/>
      <c r="E4391" s="162"/>
      <c r="F4391" s="163"/>
      <c r="G4391" s="164"/>
      <c r="H4391" s="165"/>
      <c r="I4391" s="164"/>
      <c r="J4391" s="165"/>
      <c r="K4391" s="164"/>
      <c r="L4391" s="165"/>
      <c r="M4391" s="6"/>
      <c r="N4391" s="32"/>
      <c r="Q4391" s="10" t="str">
        <f>+CONCATENATE(E4389,K4389)</f>
        <v/>
      </c>
      <c r="R4391" s="10">
        <f>+L4389</f>
        <v>0</v>
      </c>
      <c r="S4391" s="11"/>
      <c r="T4391" s="10">
        <f>+E4389</f>
        <v>0</v>
      </c>
      <c r="U4391" s="19" t="str">
        <f>IFERROR(LEFT(K4389,FIND("*",K4389)-1),"-")</f>
        <v>-</v>
      </c>
      <c r="V4391" s="19" t="str">
        <f>IFERROR(RIGHT(K4389,LEN(K4389)-FIND("*",K4389)),"-")</f>
        <v>-</v>
      </c>
      <c r="W4391" s="20" t="str">
        <f t="shared" si="2386"/>
        <v>-</v>
      </c>
      <c r="X4391" s="20" t="str">
        <f>IFERROR(W4391*L4389,"-")</f>
        <v>-</v>
      </c>
      <c r="Z4391" s="85" t="s">
        <v>82</v>
      </c>
    </row>
    <row r="4392" spans="1:26" ht="6.95" customHeight="1" x14ac:dyDescent="0.3">
      <c r="A4392" s="8"/>
      <c r="B4392" s="157"/>
      <c r="C4392" s="158"/>
      <c r="D4392" s="161" t="s">
        <v>39</v>
      </c>
      <c r="E4392" s="162"/>
      <c r="F4392" s="163" t="s">
        <v>40</v>
      </c>
      <c r="G4392" s="164"/>
      <c r="H4392" s="165"/>
      <c r="I4392" s="164"/>
      <c r="J4392" s="165"/>
      <c r="K4392" s="164"/>
      <c r="L4392" s="165"/>
      <c r="M4392" s="6"/>
      <c r="N4392" s="32"/>
      <c r="Q4392" s="10" t="str">
        <f>+CONCATENATE(E4392,G4392)</f>
        <v/>
      </c>
      <c r="R4392" s="10">
        <f>+H4392</f>
        <v>0</v>
      </c>
      <c r="S4392" s="11"/>
      <c r="T4392" s="10">
        <f>+E4392</f>
        <v>0</v>
      </c>
      <c r="U4392" s="19" t="str">
        <f t="shared" ref="U4392" si="2387">IFERROR(LEFT(G4392,FIND("*",G4392)-1),"-")</f>
        <v>-</v>
      </c>
      <c r="V4392" s="19" t="str">
        <f t="shared" ref="V4392" si="2388">IFERROR(RIGHT(G4392,LEN(G4392)-FIND("*",G4392)),"-")</f>
        <v>-</v>
      </c>
      <c r="W4392" s="20" t="str">
        <f t="shared" si="2386"/>
        <v>-</v>
      </c>
      <c r="X4392" s="20" t="str">
        <f>IFERROR(W4392*H4392,"-")</f>
        <v>-</v>
      </c>
      <c r="Z4392" s="85" t="s">
        <v>82</v>
      </c>
    </row>
    <row r="4393" spans="1:26" ht="6.95" customHeight="1" x14ac:dyDescent="0.3">
      <c r="A4393" s="5"/>
      <c r="B4393" s="157"/>
      <c r="C4393" s="158"/>
      <c r="D4393" s="161"/>
      <c r="E4393" s="162"/>
      <c r="F4393" s="163"/>
      <c r="G4393" s="164"/>
      <c r="H4393" s="165"/>
      <c r="I4393" s="164"/>
      <c r="J4393" s="165"/>
      <c r="K4393" s="164"/>
      <c r="L4393" s="165"/>
      <c r="M4393" s="6"/>
      <c r="N4393" s="32"/>
      <c r="Q4393" s="10" t="str">
        <f>+CONCATENATE(E4392,I4392)</f>
        <v/>
      </c>
      <c r="R4393" s="10">
        <f>+J4392</f>
        <v>0</v>
      </c>
      <c r="S4393" s="11"/>
      <c r="T4393" s="10">
        <f>+E4392</f>
        <v>0</v>
      </c>
      <c r="U4393" s="19" t="str">
        <f>IFERROR(LEFT(I4392,FIND("*",I4392)-1),"-")</f>
        <v>-</v>
      </c>
      <c r="V4393" s="19" t="str">
        <f>IFERROR(RIGHT(I4392,LEN(I4392)-FIND("*",I4392)),"-")</f>
        <v>-</v>
      </c>
      <c r="W4393" s="20" t="str">
        <f t="shared" si="2386"/>
        <v>-</v>
      </c>
      <c r="X4393" s="20" t="str">
        <f>IFERROR(W4393*J4392,"-")</f>
        <v>-</v>
      </c>
      <c r="Z4393" s="85" t="s">
        <v>82</v>
      </c>
    </row>
    <row r="4394" spans="1:26" ht="6.95" customHeight="1" x14ac:dyDescent="0.3">
      <c r="A4394" s="5"/>
      <c r="B4394" s="157"/>
      <c r="C4394" s="158"/>
      <c r="D4394" s="161"/>
      <c r="E4394" s="162"/>
      <c r="F4394" s="163"/>
      <c r="G4394" s="164"/>
      <c r="H4394" s="165"/>
      <c r="I4394" s="164"/>
      <c r="J4394" s="165"/>
      <c r="K4394" s="164"/>
      <c r="L4394" s="165"/>
      <c r="M4394" s="6"/>
      <c r="N4394" s="32"/>
      <c r="Q4394" s="10" t="str">
        <f>+CONCATENATE(E4392,K4392)</f>
        <v/>
      </c>
      <c r="R4394" s="10">
        <f>+L4392</f>
        <v>0</v>
      </c>
      <c r="S4394" s="11"/>
      <c r="T4394" s="10">
        <f>+E4392</f>
        <v>0</v>
      </c>
      <c r="U4394" s="19" t="str">
        <f>IFERROR(LEFT(K4392,FIND("*",K4392)-1),"-")</f>
        <v>-</v>
      </c>
      <c r="V4394" s="19" t="str">
        <f>IFERROR(RIGHT(K4392,LEN(K4392)-FIND("*",K4392)),"-")</f>
        <v>-</v>
      </c>
      <c r="W4394" s="20" t="str">
        <f t="shared" si="2386"/>
        <v>-</v>
      </c>
      <c r="X4394" s="20" t="str">
        <f>IFERROR(W4394*L4392,"-")</f>
        <v>-</v>
      </c>
      <c r="Z4394" s="85" t="s">
        <v>82</v>
      </c>
    </row>
    <row r="4395" spans="1:26" ht="6.95" customHeight="1" x14ac:dyDescent="0.3">
      <c r="A4395" s="8"/>
      <c r="B4395" s="157"/>
      <c r="C4395" s="158"/>
      <c r="D4395" s="161" t="s">
        <v>39</v>
      </c>
      <c r="E4395" s="162"/>
      <c r="F4395" s="163" t="s">
        <v>40</v>
      </c>
      <c r="G4395" s="164"/>
      <c r="H4395" s="165"/>
      <c r="I4395" s="164"/>
      <c r="J4395" s="165"/>
      <c r="K4395" s="164"/>
      <c r="L4395" s="165"/>
      <c r="M4395" s="6"/>
      <c r="N4395" s="32"/>
      <c r="Q4395" s="10" t="str">
        <f>+CONCATENATE(E4395,G4395)</f>
        <v/>
      </c>
      <c r="R4395" s="10">
        <f>+H4395</f>
        <v>0</v>
      </c>
      <c r="S4395" s="11"/>
      <c r="T4395" s="10">
        <f>+E4395</f>
        <v>0</v>
      </c>
      <c r="U4395" s="19" t="str">
        <f t="shared" ref="U4395" si="2389">IFERROR(LEFT(G4395,FIND("*",G4395)-1),"-")</f>
        <v>-</v>
      </c>
      <c r="V4395" s="19" t="str">
        <f t="shared" ref="V4395" si="2390">IFERROR(RIGHT(G4395,LEN(G4395)-FIND("*",G4395)),"-")</f>
        <v>-</v>
      </c>
      <c r="W4395" s="20" t="str">
        <f t="shared" si="2386"/>
        <v>-</v>
      </c>
      <c r="X4395" s="20" t="str">
        <f>IFERROR(W4395*H4395,"-")</f>
        <v>-</v>
      </c>
      <c r="Z4395" s="85" t="s">
        <v>82</v>
      </c>
    </row>
    <row r="4396" spans="1:26" ht="6.95" customHeight="1" x14ac:dyDescent="0.3">
      <c r="A4396" s="5"/>
      <c r="B4396" s="157"/>
      <c r="C4396" s="158"/>
      <c r="D4396" s="161"/>
      <c r="E4396" s="162"/>
      <c r="F4396" s="163"/>
      <c r="G4396" s="164"/>
      <c r="H4396" s="165"/>
      <c r="I4396" s="164"/>
      <c r="J4396" s="165"/>
      <c r="K4396" s="164"/>
      <c r="L4396" s="165"/>
      <c r="M4396" s="6"/>
      <c r="N4396" s="32"/>
      <c r="Q4396" s="10" t="str">
        <f>+CONCATENATE(E4395,I4395)</f>
        <v/>
      </c>
      <c r="R4396" s="10">
        <f>+J4395</f>
        <v>0</v>
      </c>
      <c r="S4396" s="11"/>
      <c r="T4396" s="10">
        <f>+E4395</f>
        <v>0</v>
      </c>
      <c r="U4396" s="19" t="str">
        <f>IFERROR(LEFT(I4395,FIND("*",I4395)-1),"-")</f>
        <v>-</v>
      </c>
      <c r="V4396" s="19" t="str">
        <f>IFERROR(RIGHT(I4395,LEN(I4395)-FIND("*",I4395)),"-")</f>
        <v>-</v>
      </c>
      <c r="W4396" s="20" t="str">
        <f t="shared" si="2386"/>
        <v>-</v>
      </c>
      <c r="X4396" s="20" t="str">
        <f t="shared" ref="X4396" si="2391">IFERROR(W4396*J4395,"-")</f>
        <v>-</v>
      </c>
      <c r="Z4396" s="85" t="s">
        <v>82</v>
      </c>
    </row>
    <row r="4397" spans="1:26" ht="6.95" customHeight="1" x14ac:dyDescent="0.3">
      <c r="A4397" s="5"/>
      <c r="B4397" s="157"/>
      <c r="C4397" s="158"/>
      <c r="D4397" s="161"/>
      <c r="E4397" s="162"/>
      <c r="F4397" s="163"/>
      <c r="G4397" s="164"/>
      <c r="H4397" s="165"/>
      <c r="I4397" s="164"/>
      <c r="J4397" s="165"/>
      <c r="K4397" s="164"/>
      <c r="L4397" s="165"/>
      <c r="M4397" s="6"/>
      <c r="N4397" s="32"/>
      <c r="Q4397" s="10" t="str">
        <f>+CONCATENATE(E4395,K4395)</f>
        <v/>
      </c>
      <c r="R4397" s="10">
        <f>+L4395</f>
        <v>0</v>
      </c>
      <c r="S4397" s="11"/>
      <c r="T4397" s="10">
        <f>+E4395</f>
        <v>0</v>
      </c>
      <c r="U4397" s="19" t="str">
        <f>IFERROR(LEFT(K4395,FIND("*",K4395)-1),"-")</f>
        <v>-</v>
      </c>
      <c r="V4397" s="19" t="str">
        <f>IFERROR(RIGHT(K4395,LEN(K4395)-FIND("*",K4395)),"-")</f>
        <v>-</v>
      </c>
      <c r="W4397" s="20" t="str">
        <f t="shared" si="2386"/>
        <v>-</v>
      </c>
      <c r="X4397" s="20" t="str">
        <f>IFERROR(W4397*L4395,"-")</f>
        <v>-</v>
      </c>
      <c r="Z4397" s="85" t="s">
        <v>82</v>
      </c>
    </row>
    <row r="4398" spans="1:26" ht="21" customHeight="1" thickBot="1" x14ac:dyDescent="0.35">
      <c r="A4398" s="5"/>
      <c r="B4398" s="159"/>
      <c r="C4398" s="160"/>
      <c r="D4398" s="166" t="s">
        <v>43</v>
      </c>
      <c r="E4398" s="167"/>
      <c r="F4398" s="167"/>
      <c r="G4398" s="168"/>
      <c r="H4398" s="168"/>
      <c r="I4398" s="168"/>
      <c r="J4398" s="168"/>
      <c r="K4398" s="168"/>
      <c r="L4398" s="168"/>
      <c r="M4398" s="7"/>
      <c r="N4398" s="32"/>
      <c r="Z4398" s="86" t="s">
        <v>81</v>
      </c>
    </row>
    <row r="4399" spans="1:26" ht="9.9499999999999993" customHeight="1" thickBot="1" x14ac:dyDescent="0.35">
      <c r="B4399" s="9"/>
      <c r="C4399" s="109"/>
      <c r="D4399" s="51"/>
      <c r="E4399" s="12"/>
      <c r="F4399" s="51"/>
      <c r="G4399" s="14"/>
      <c r="H4399" s="14"/>
      <c r="I4399" s="14"/>
      <c r="J4399" s="14"/>
      <c r="K4399" s="14"/>
      <c r="L4399" s="14"/>
      <c r="M4399" s="9"/>
      <c r="N4399" s="32"/>
      <c r="U4399" s="18"/>
      <c r="V4399" s="18"/>
      <c r="Z4399" s="85" t="s">
        <v>82</v>
      </c>
    </row>
    <row r="4400" spans="1:26" ht="6.95" customHeight="1" x14ac:dyDescent="0.3">
      <c r="A4400" s="154">
        <f>+A4389+1</f>
        <v>1199</v>
      </c>
      <c r="B4400" s="155"/>
      <c r="C4400" s="156"/>
      <c r="D4400" s="161" t="s">
        <v>39</v>
      </c>
      <c r="E4400" s="162"/>
      <c r="F4400" s="163" t="s">
        <v>40</v>
      </c>
      <c r="G4400" s="164"/>
      <c r="H4400" s="165"/>
      <c r="I4400" s="164"/>
      <c r="J4400" s="165"/>
      <c r="K4400" s="164"/>
      <c r="L4400" s="165"/>
      <c r="M4400" s="6"/>
      <c r="N4400" s="32"/>
      <c r="Q4400" s="10" t="str">
        <f>+CONCATENATE(E4400,G4400)</f>
        <v/>
      </c>
      <c r="R4400" s="10">
        <f>+H4400</f>
        <v>0</v>
      </c>
      <c r="S4400" s="11"/>
      <c r="T4400" s="10">
        <f>+E4400</f>
        <v>0</v>
      </c>
      <c r="U4400" s="19" t="str">
        <f>IFERROR(LEFT(G4400,FIND("*",G4400)-1),"-")</f>
        <v>-</v>
      </c>
      <c r="V4400" s="19" t="str">
        <f>IFERROR(RIGHT(G4400,LEN(G4400)-FIND("*",G4400)),"-")</f>
        <v>-</v>
      </c>
      <c r="W4400" s="20" t="str">
        <f>IFERROR((U4400+V4400)*2/1000,"-")</f>
        <v>-</v>
      </c>
      <c r="X4400" s="20" t="str">
        <f>IFERROR(W4400*H4400,"-")</f>
        <v>-</v>
      </c>
      <c r="Z4400" s="85" t="s">
        <v>82</v>
      </c>
    </row>
    <row r="4401" spans="1:26" ht="6.95" customHeight="1" x14ac:dyDescent="0.3">
      <c r="A4401" s="154"/>
      <c r="B4401" s="157"/>
      <c r="C4401" s="158"/>
      <c r="D4401" s="161"/>
      <c r="E4401" s="162"/>
      <c r="F4401" s="163"/>
      <c r="G4401" s="164"/>
      <c r="H4401" s="165"/>
      <c r="I4401" s="164"/>
      <c r="J4401" s="165"/>
      <c r="K4401" s="164"/>
      <c r="L4401" s="165"/>
      <c r="M4401" s="6"/>
      <c r="N4401" s="32"/>
      <c r="Q4401" s="10" t="str">
        <f>+CONCATENATE(E4400,I4400)</f>
        <v/>
      </c>
      <c r="R4401" s="10">
        <f>+J4400</f>
        <v>0</v>
      </c>
      <c r="S4401" s="11"/>
      <c r="T4401" s="10">
        <f>+E4400</f>
        <v>0</v>
      </c>
      <c r="U4401" s="19" t="str">
        <f>IFERROR(LEFT(I4400,FIND("*",I4400)-1),"-")</f>
        <v>-</v>
      </c>
      <c r="V4401" s="19" t="str">
        <f>IFERROR(RIGHT(I4400,LEN(I4400)-FIND("*",I4400)),"-")</f>
        <v>-</v>
      </c>
      <c r="W4401" s="20" t="str">
        <f t="shared" ref="W4401:W4408" si="2392">IFERROR((U4401+V4401)*2/1000,"-")</f>
        <v>-</v>
      </c>
      <c r="X4401" s="20" t="str">
        <f>IFERROR(W4401*J4400,"-")</f>
        <v>-</v>
      </c>
      <c r="Z4401" s="85" t="s">
        <v>82</v>
      </c>
    </row>
    <row r="4402" spans="1:26" ht="6.95" customHeight="1" x14ac:dyDescent="0.3">
      <c r="A4402" s="154"/>
      <c r="B4402" s="157"/>
      <c r="C4402" s="158"/>
      <c r="D4402" s="161"/>
      <c r="E4402" s="162"/>
      <c r="F4402" s="163"/>
      <c r="G4402" s="164"/>
      <c r="H4402" s="165"/>
      <c r="I4402" s="164"/>
      <c r="J4402" s="165"/>
      <c r="K4402" s="164"/>
      <c r="L4402" s="165"/>
      <c r="M4402" s="6"/>
      <c r="N4402" s="32"/>
      <c r="Q4402" s="10" t="str">
        <f>+CONCATENATE(E4400,K4400)</f>
        <v/>
      </c>
      <c r="R4402" s="10">
        <f>+L4400</f>
        <v>0</v>
      </c>
      <c r="S4402" s="11"/>
      <c r="T4402" s="10">
        <f>+E4400</f>
        <v>0</v>
      </c>
      <c r="U4402" s="19" t="str">
        <f>IFERROR(LEFT(K4400,FIND("*",K4400)-1),"-")</f>
        <v>-</v>
      </c>
      <c r="V4402" s="19" t="str">
        <f>IFERROR(RIGHT(K4400,LEN(K4400)-FIND("*",K4400)),"-")</f>
        <v>-</v>
      </c>
      <c r="W4402" s="20" t="str">
        <f t="shared" si="2392"/>
        <v>-</v>
      </c>
      <c r="X4402" s="20" t="str">
        <f>IFERROR(W4402*L4400,"-")</f>
        <v>-</v>
      </c>
      <c r="Z4402" s="85" t="s">
        <v>82</v>
      </c>
    </row>
    <row r="4403" spans="1:26" ht="6.95" customHeight="1" x14ac:dyDescent="0.3">
      <c r="A4403" s="8"/>
      <c r="B4403" s="157"/>
      <c r="C4403" s="158"/>
      <c r="D4403" s="161" t="s">
        <v>39</v>
      </c>
      <c r="E4403" s="162"/>
      <c r="F4403" s="163" t="s">
        <v>40</v>
      </c>
      <c r="G4403" s="164"/>
      <c r="H4403" s="165"/>
      <c r="I4403" s="164"/>
      <c r="J4403" s="165"/>
      <c r="K4403" s="164"/>
      <c r="L4403" s="165"/>
      <c r="M4403" s="6"/>
      <c r="N4403" s="32"/>
      <c r="Q4403" s="10" t="str">
        <f>+CONCATENATE(E4403,G4403)</f>
        <v/>
      </c>
      <c r="R4403" s="10">
        <f>+H4403</f>
        <v>0</v>
      </c>
      <c r="S4403" s="11"/>
      <c r="T4403" s="10">
        <f>+E4403</f>
        <v>0</v>
      </c>
      <c r="U4403" s="19" t="str">
        <f t="shared" ref="U4403" si="2393">IFERROR(LEFT(G4403,FIND("*",G4403)-1),"-")</f>
        <v>-</v>
      </c>
      <c r="V4403" s="19" t="str">
        <f t="shared" ref="V4403" si="2394">IFERROR(RIGHT(G4403,LEN(G4403)-FIND("*",G4403)),"-")</f>
        <v>-</v>
      </c>
      <c r="W4403" s="20" t="str">
        <f t="shared" si="2392"/>
        <v>-</v>
      </c>
      <c r="X4403" s="20" t="str">
        <f>IFERROR(W4403*H4403,"-")</f>
        <v>-</v>
      </c>
      <c r="Z4403" s="85" t="s">
        <v>82</v>
      </c>
    </row>
    <row r="4404" spans="1:26" ht="6.95" customHeight="1" x14ac:dyDescent="0.3">
      <c r="A4404" s="5"/>
      <c r="B4404" s="157"/>
      <c r="C4404" s="158"/>
      <c r="D4404" s="161"/>
      <c r="E4404" s="162"/>
      <c r="F4404" s="163"/>
      <c r="G4404" s="164"/>
      <c r="H4404" s="165"/>
      <c r="I4404" s="164"/>
      <c r="J4404" s="165"/>
      <c r="K4404" s="164"/>
      <c r="L4404" s="165"/>
      <c r="M4404" s="6"/>
      <c r="N4404" s="32"/>
      <c r="Q4404" s="10" t="str">
        <f>+CONCATENATE(E4403,I4403)</f>
        <v/>
      </c>
      <c r="R4404" s="10">
        <f>+J4403</f>
        <v>0</v>
      </c>
      <c r="S4404" s="11"/>
      <c r="T4404" s="10">
        <f>+E4403</f>
        <v>0</v>
      </c>
      <c r="U4404" s="19" t="str">
        <f>IFERROR(LEFT(I4403,FIND("*",I4403)-1),"-")</f>
        <v>-</v>
      </c>
      <c r="V4404" s="19" t="str">
        <f>IFERROR(RIGHT(I4403,LEN(I4403)-FIND("*",I4403)),"-")</f>
        <v>-</v>
      </c>
      <c r="W4404" s="20" t="str">
        <f t="shared" si="2392"/>
        <v>-</v>
      </c>
      <c r="X4404" s="20" t="str">
        <f>IFERROR(W4404*J4403,"-")</f>
        <v>-</v>
      </c>
      <c r="Z4404" s="85" t="s">
        <v>82</v>
      </c>
    </row>
    <row r="4405" spans="1:26" ht="6.95" customHeight="1" x14ac:dyDescent="0.3">
      <c r="A4405" s="5"/>
      <c r="B4405" s="157"/>
      <c r="C4405" s="158"/>
      <c r="D4405" s="161"/>
      <c r="E4405" s="162"/>
      <c r="F4405" s="163"/>
      <c r="G4405" s="164"/>
      <c r="H4405" s="165"/>
      <c r="I4405" s="164"/>
      <c r="J4405" s="165"/>
      <c r="K4405" s="164"/>
      <c r="L4405" s="165"/>
      <c r="M4405" s="6"/>
      <c r="N4405" s="32"/>
      <c r="Q4405" s="10" t="str">
        <f>+CONCATENATE(E4403,K4403)</f>
        <v/>
      </c>
      <c r="R4405" s="10">
        <f>+L4403</f>
        <v>0</v>
      </c>
      <c r="S4405" s="11"/>
      <c r="T4405" s="10">
        <f>+E4403</f>
        <v>0</v>
      </c>
      <c r="U4405" s="19" t="str">
        <f>IFERROR(LEFT(K4403,FIND("*",K4403)-1),"-")</f>
        <v>-</v>
      </c>
      <c r="V4405" s="19" t="str">
        <f>IFERROR(RIGHT(K4403,LEN(K4403)-FIND("*",K4403)),"-")</f>
        <v>-</v>
      </c>
      <c r="W4405" s="20" t="str">
        <f t="shared" si="2392"/>
        <v>-</v>
      </c>
      <c r="X4405" s="20" t="str">
        <f>IFERROR(W4405*L4403,"-")</f>
        <v>-</v>
      </c>
      <c r="Z4405" s="85" t="s">
        <v>82</v>
      </c>
    </row>
    <row r="4406" spans="1:26" ht="6.95" customHeight="1" x14ac:dyDescent="0.3">
      <c r="A4406" s="8"/>
      <c r="B4406" s="157"/>
      <c r="C4406" s="158"/>
      <c r="D4406" s="161" t="s">
        <v>39</v>
      </c>
      <c r="E4406" s="162"/>
      <c r="F4406" s="163" t="s">
        <v>40</v>
      </c>
      <c r="G4406" s="164"/>
      <c r="H4406" s="165"/>
      <c r="I4406" s="164"/>
      <c r="J4406" s="165"/>
      <c r="K4406" s="164"/>
      <c r="L4406" s="165"/>
      <c r="M4406" s="6"/>
      <c r="N4406" s="32"/>
      <c r="Q4406" s="10" t="str">
        <f>+CONCATENATE(E4406,G4406)</f>
        <v/>
      </c>
      <c r="R4406" s="10">
        <f>+H4406</f>
        <v>0</v>
      </c>
      <c r="S4406" s="11"/>
      <c r="T4406" s="10">
        <f>+E4406</f>
        <v>0</v>
      </c>
      <c r="U4406" s="19" t="str">
        <f t="shared" ref="U4406" si="2395">IFERROR(LEFT(G4406,FIND("*",G4406)-1),"-")</f>
        <v>-</v>
      </c>
      <c r="V4406" s="19" t="str">
        <f t="shared" ref="V4406" si="2396">IFERROR(RIGHT(G4406,LEN(G4406)-FIND("*",G4406)),"-")</f>
        <v>-</v>
      </c>
      <c r="W4406" s="20" t="str">
        <f t="shared" si="2392"/>
        <v>-</v>
      </c>
      <c r="X4406" s="20" t="str">
        <f>IFERROR(W4406*H4406,"-")</f>
        <v>-</v>
      </c>
      <c r="Z4406" s="85" t="s">
        <v>82</v>
      </c>
    </row>
    <row r="4407" spans="1:26" ht="6.95" customHeight="1" x14ac:dyDescent="0.3">
      <c r="A4407" s="5"/>
      <c r="B4407" s="157"/>
      <c r="C4407" s="158"/>
      <c r="D4407" s="161"/>
      <c r="E4407" s="162"/>
      <c r="F4407" s="163"/>
      <c r="G4407" s="164"/>
      <c r="H4407" s="165"/>
      <c r="I4407" s="164"/>
      <c r="J4407" s="165"/>
      <c r="K4407" s="164"/>
      <c r="L4407" s="165"/>
      <c r="M4407" s="6"/>
      <c r="N4407" s="32"/>
      <c r="Q4407" s="10" t="str">
        <f>+CONCATENATE(E4406,I4406)</f>
        <v/>
      </c>
      <c r="R4407" s="10">
        <f>+J4406</f>
        <v>0</v>
      </c>
      <c r="S4407" s="11"/>
      <c r="T4407" s="10">
        <f>+E4406</f>
        <v>0</v>
      </c>
      <c r="U4407" s="19" t="str">
        <f>IFERROR(LEFT(I4406,FIND("*",I4406)-1),"-")</f>
        <v>-</v>
      </c>
      <c r="V4407" s="19" t="str">
        <f>IFERROR(RIGHT(I4406,LEN(I4406)-FIND("*",I4406)),"-")</f>
        <v>-</v>
      </c>
      <c r="W4407" s="20" t="str">
        <f t="shared" si="2392"/>
        <v>-</v>
      </c>
      <c r="X4407" s="20" t="str">
        <f t="shared" ref="X4407" si="2397">IFERROR(W4407*J4406,"-")</f>
        <v>-</v>
      </c>
      <c r="Z4407" s="85" t="s">
        <v>82</v>
      </c>
    </row>
    <row r="4408" spans="1:26" ht="6.95" customHeight="1" x14ac:dyDescent="0.3">
      <c r="A4408" s="5"/>
      <c r="B4408" s="157"/>
      <c r="C4408" s="158"/>
      <c r="D4408" s="161"/>
      <c r="E4408" s="162"/>
      <c r="F4408" s="163"/>
      <c r="G4408" s="164"/>
      <c r="H4408" s="165"/>
      <c r="I4408" s="164"/>
      <c r="J4408" s="165"/>
      <c r="K4408" s="164"/>
      <c r="L4408" s="165"/>
      <c r="M4408" s="6"/>
      <c r="N4408" s="32"/>
      <c r="Q4408" s="10" t="str">
        <f>+CONCATENATE(E4406,K4406)</f>
        <v/>
      </c>
      <c r="R4408" s="10">
        <f>+L4406</f>
        <v>0</v>
      </c>
      <c r="S4408" s="11"/>
      <c r="T4408" s="10">
        <f>+E4406</f>
        <v>0</v>
      </c>
      <c r="U4408" s="19" t="str">
        <f>IFERROR(LEFT(K4406,FIND("*",K4406)-1),"-")</f>
        <v>-</v>
      </c>
      <c r="V4408" s="19" t="str">
        <f>IFERROR(RIGHT(K4406,LEN(K4406)-FIND("*",K4406)),"-")</f>
        <v>-</v>
      </c>
      <c r="W4408" s="20" t="str">
        <f t="shared" si="2392"/>
        <v>-</v>
      </c>
      <c r="X4408" s="20" t="str">
        <f>IFERROR(W4408*L4406,"-")</f>
        <v>-</v>
      </c>
      <c r="Z4408" s="85" t="s">
        <v>82</v>
      </c>
    </row>
    <row r="4409" spans="1:26" ht="21" customHeight="1" thickBot="1" x14ac:dyDescent="0.35">
      <c r="A4409" s="5"/>
      <c r="B4409" s="159"/>
      <c r="C4409" s="160"/>
      <c r="D4409" s="166" t="s">
        <v>43</v>
      </c>
      <c r="E4409" s="167"/>
      <c r="F4409" s="167"/>
      <c r="G4409" s="168"/>
      <c r="H4409" s="168"/>
      <c r="I4409" s="168"/>
      <c r="J4409" s="168"/>
      <c r="K4409" s="168"/>
      <c r="L4409" s="168"/>
      <c r="M4409" s="7"/>
      <c r="N4409" s="32"/>
      <c r="Z4409" s="86" t="s">
        <v>81</v>
      </c>
    </row>
    <row r="4410" spans="1:26" ht="9.9499999999999993" customHeight="1" thickBot="1" x14ac:dyDescent="0.35">
      <c r="B4410" s="9"/>
      <c r="C4410" s="109"/>
      <c r="D4410" s="51"/>
      <c r="E4410" s="12"/>
      <c r="F4410" s="51"/>
      <c r="G4410" s="14"/>
      <c r="H4410" s="14"/>
      <c r="I4410" s="14"/>
      <c r="J4410" s="14"/>
      <c r="K4410" s="14"/>
      <c r="L4410" s="14"/>
      <c r="M4410" s="9"/>
      <c r="N4410" s="32"/>
      <c r="U4410" s="18"/>
      <c r="V4410" s="18"/>
      <c r="Z4410" s="85" t="s">
        <v>82</v>
      </c>
    </row>
    <row r="4411" spans="1:26" ht="6.95" customHeight="1" x14ac:dyDescent="0.3">
      <c r="A4411" s="154">
        <f>+A4400+1</f>
        <v>1200</v>
      </c>
      <c r="B4411" s="155"/>
      <c r="C4411" s="156"/>
      <c r="D4411" s="161" t="s">
        <v>39</v>
      </c>
      <c r="E4411" s="162"/>
      <c r="F4411" s="163" t="s">
        <v>40</v>
      </c>
      <c r="G4411" s="164"/>
      <c r="H4411" s="165"/>
      <c r="I4411" s="164"/>
      <c r="J4411" s="165"/>
      <c r="K4411" s="164"/>
      <c r="L4411" s="165"/>
      <c r="M4411" s="6"/>
      <c r="N4411" s="32"/>
      <c r="Q4411" s="10" t="str">
        <f>+CONCATENATE(E4411,G4411)</f>
        <v/>
      </c>
      <c r="R4411" s="10">
        <f>+H4411</f>
        <v>0</v>
      </c>
      <c r="S4411" s="11"/>
      <c r="T4411" s="10">
        <f>+E4411</f>
        <v>0</v>
      </c>
      <c r="U4411" s="19" t="str">
        <f>IFERROR(LEFT(G4411,FIND("*",G4411)-1),"-")</f>
        <v>-</v>
      </c>
      <c r="V4411" s="19" t="str">
        <f>IFERROR(RIGHT(G4411,LEN(G4411)-FIND("*",G4411)),"-")</f>
        <v>-</v>
      </c>
      <c r="W4411" s="20" t="str">
        <f>IFERROR((U4411+V4411)*2/1000,"-")</f>
        <v>-</v>
      </c>
      <c r="X4411" s="20" t="str">
        <f>IFERROR(W4411*H4411,"-")</f>
        <v>-</v>
      </c>
      <c r="Z4411" s="85" t="s">
        <v>82</v>
      </c>
    </row>
    <row r="4412" spans="1:26" ht="6.95" customHeight="1" x14ac:dyDescent="0.3">
      <c r="A4412" s="154"/>
      <c r="B4412" s="157"/>
      <c r="C4412" s="158"/>
      <c r="D4412" s="161"/>
      <c r="E4412" s="162"/>
      <c r="F4412" s="163"/>
      <c r="G4412" s="164"/>
      <c r="H4412" s="165"/>
      <c r="I4412" s="164"/>
      <c r="J4412" s="165"/>
      <c r="K4412" s="164"/>
      <c r="L4412" s="165"/>
      <c r="M4412" s="6"/>
      <c r="N4412" s="32"/>
      <c r="Q4412" s="10" t="str">
        <f>+CONCATENATE(E4411,I4411)</f>
        <v/>
      </c>
      <c r="R4412" s="10">
        <f>+J4411</f>
        <v>0</v>
      </c>
      <c r="S4412" s="11"/>
      <c r="T4412" s="10">
        <f>+E4411</f>
        <v>0</v>
      </c>
      <c r="U4412" s="19" t="str">
        <f>IFERROR(LEFT(I4411,FIND("*",I4411)-1),"-")</f>
        <v>-</v>
      </c>
      <c r="V4412" s="19" t="str">
        <f>IFERROR(RIGHT(I4411,LEN(I4411)-FIND("*",I4411)),"-")</f>
        <v>-</v>
      </c>
      <c r="W4412" s="20" t="str">
        <f t="shared" ref="W4412:W4419" si="2398">IFERROR((U4412+V4412)*2/1000,"-")</f>
        <v>-</v>
      </c>
      <c r="X4412" s="20" t="str">
        <f>IFERROR(W4412*J4411,"-")</f>
        <v>-</v>
      </c>
      <c r="Z4412" s="85" t="s">
        <v>82</v>
      </c>
    </row>
    <row r="4413" spans="1:26" ht="6.95" customHeight="1" x14ac:dyDescent="0.3">
      <c r="A4413" s="154"/>
      <c r="B4413" s="157"/>
      <c r="C4413" s="158"/>
      <c r="D4413" s="161"/>
      <c r="E4413" s="162"/>
      <c r="F4413" s="163"/>
      <c r="G4413" s="164"/>
      <c r="H4413" s="165"/>
      <c r="I4413" s="164"/>
      <c r="J4413" s="165"/>
      <c r="K4413" s="164"/>
      <c r="L4413" s="165"/>
      <c r="M4413" s="6"/>
      <c r="N4413" s="32"/>
      <c r="Q4413" s="10" t="str">
        <f>+CONCATENATE(E4411,K4411)</f>
        <v/>
      </c>
      <c r="R4413" s="10">
        <f>+L4411</f>
        <v>0</v>
      </c>
      <c r="S4413" s="11"/>
      <c r="T4413" s="10">
        <f>+E4411</f>
        <v>0</v>
      </c>
      <c r="U4413" s="19" t="str">
        <f>IFERROR(LEFT(K4411,FIND("*",K4411)-1),"-")</f>
        <v>-</v>
      </c>
      <c r="V4413" s="19" t="str">
        <f>IFERROR(RIGHT(K4411,LEN(K4411)-FIND("*",K4411)),"-")</f>
        <v>-</v>
      </c>
      <c r="W4413" s="20" t="str">
        <f t="shared" si="2398"/>
        <v>-</v>
      </c>
      <c r="X4413" s="20" t="str">
        <f>IFERROR(W4413*L4411,"-")</f>
        <v>-</v>
      </c>
      <c r="Z4413" s="85" t="s">
        <v>82</v>
      </c>
    </row>
    <row r="4414" spans="1:26" ht="6.95" customHeight="1" x14ac:dyDescent="0.3">
      <c r="A4414" s="8"/>
      <c r="B4414" s="157"/>
      <c r="C4414" s="158"/>
      <c r="D4414" s="161" t="s">
        <v>39</v>
      </c>
      <c r="E4414" s="162"/>
      <c r="F4414" s="163" t="s">
        <v>40</v>
      </c>
      <c r="G4414" s="164"/>
      <c r="H4414" s="165"/>
      <c r="I4414" s="164"/>
      <c r="J4414" s="165"/>
      <c r="K4414" s="164"/>
      <c r="L4414" s="165"/>
      <c r="M4414" s="6"/>
      <c r="N4414" s="32"/>
      <c r="Q4414" s="10" t="str">
        <f>+CONCATENATE(E4414,G4414)</f>
        <v/>
      </c>
      <c r="R4414" s="10">
        <f>+H4414</f>
        <v>0</v>
      </c>
      <c r="S4414" s="11"/>
      <c r="T4414" s="10">
        <f>+E4414</f>
        <v>0</v>
      </c>
      <c r="U4414" s="19" t="str">
        <f t="shared" ref="U4414" si="2399">IFERROR(LEFT(G4414,FIND("*",G4414)-1),"-")</f>
        <v>-</v>
      </c>
      <c r="V4414" s="19" t="str">
        <f t="shared" ref="V4414" si="2400">IFERROR(RIGHT(G4414,LEN(G4414)-FIND("*",G4414)),"-")</f>
        <v>-</v>
      </c>
      <c r="W4414" s="20" t="str">
        <f t="shared" si="2398"/>
        <v>-</v>
      </c>
      <c r="X4414" s="20" t="str">
        <f>IFERROR(W4414*H4414,"-")</f>
        <v>-</v>
      </c>
      <c r="Z4414" s="85" t="s">
        <v>82</v>
      </c>
    </row>
    <row r="4415" spans="1:26" ht="6.95" customHeight="1" x14ac:dyDescent="0.3">
      <c r="A4415" s="5"/>
      <c r="B4415" s="157"/>
      <c r="C4415" s="158"/>
      <c r="D4415" s="161"/>
      <c r="E4415" s="162"/>
      <c r="F4415" s="163"/>
      <c r="G4415" s="164"/>
      <c r="H4415" s="165"/>
      <c r="I4415" s="164"/>
      <c r="J4415" s="165"/>
      <c r="K4415" s="164"/>
      <c r="L4415" s="165"/>
      <c r="M4415" s="6"/>
      <c r="N4415" s="32"/>
      <c r="Q4415" s="10" t="str">
        <f>+CONCATENATE(E4414,I4414)</f>
        <v/>
      </c>
      <c r="R4415" s="10">
        <f>+J4414</f>
        <v>0</v>
      </c>
      <c r="S4415" s="11"/>
      <c r="T4415" s="10">
        <f>+E4414</f>
        <v>0</v>
      </c>
      <c r="U4415" s="19" t="str">
        <f>IFERROR(LEFT(I4414,FIND("*",I4414)-1),"-")</f>
        <v>-</v>
      </c>
      <c r="V4415" s="19" t="str">
        <f>IFERROR(RIGHT(I4414,LEN(I4414)-FIND("*",I4414)),"-")</f>
        <v>-</v>
      </c>
      <c r="W4415" s="20" t="str">
        <f t="shared" si="2398"/>
        <v>-</v>
      </c>
      <c r="X4415" s="20" t="str">
        <f>IFERROR(W4415*J4414,"-")</f>
        <v>-</v>
      </c>
      <c r="Z4415" s="85" t="s">
        <v>82</v>
      </c>
    </row>
    <row r="4416" spans="1:26" ht="6.95" customHeight="1" x14ac:dyDescent="0.3">
      <c r="A4416" s="5"/>
      <c r="B4416" s="157"/>
      <c r="C4416" s="158"/>
      <c r="D4416" s="161"/>
      <c r="E4416" s="162"/>
      <c r="F4416" s="163"/>
      <c r="G4416" s="164"/>
      <c r="H4416" s="165"/>
      <c r="I4416" s="164"/>
      <c r="J4416" s="165"/>
      <c r="K4416" s="164"/>
      <c r="L4416" s="165"/>
      <c r="M4416" s="6"/>
      <c r="N4416" s="32"/>
      <c r="Q4416" s="10" t="str">
        <f>+CONCATENATE(E4414,K4414)</f>
        <v/>
      </c>
      <c r="R4416" s="10">
        <f>+L4414</f>
        <v>0</v>
      </c>
      <c r="S4416" s="11"/>
      <c r="T4416" s="10">
        <f>+E4414</f>
        <v>0</v>
      </c>
      <c r="U4416" s="19" t="str">
        <f>IFERROR(LEFT(K4414,FIND("*",K4414)-1),"-")</f>
        <v>-</v>
      </c>
      <c r="V4416" s="19" t="str">
        <f>IFERROR(RIGHT(K4414,LEN(K4414)-FIND("*",K4414)),"-")</f>
        <v>-</v>
      </c>
      <c r="W4416" s="20" t="str">
        <f t="shared" si="2398"/>
        <v>-</v>
      </c>
      <c r="X4416" s="20" t="str">
        <f>IFERROR(W4416*L4414,"-")</f>
        <v>-</v>
      </c>
      <c r="Z4416" s="85" t="s">
        <v>82</v>
      </c>
    </row>
    <row r="4417" spans="1:26" ht="6.95" customHeight="1" x14ac:dyDescent="0.3">
      <c r="A4417" s="8"/>
      <c r="B4417" s="157"/>
      <c r="C4417" s="158"/>
      <c r="D4417" s="161" t="s">
        <v>39</v>
      </c>
      <c r="E4417" s="162"/>
      <c r="F4417" s="163" t="s">
        <v>40</v>
      </c>
      <c r="G4417" s="164"/>
      <c r="H4417" s="165"/>
      <c r="I4417" s="164"/>
      <c r="J4417" s="165"/>
      <c r="K4417" s="164"/>
      <c r="L4417" s="165"/>
      <c r="M4417" s="6"/>
      <c r="N4417" s="32"/>
      <c r="Q4417" s="10" t="str">
        <f>+CONCATENATE(E4417,G4417)</f>
        <v/>
      </c>
      <c r="R4417" s="10">
        <f>+H4417</f>
        <v>0</v>
      </c>
      <c r="S4417" s="11"/>
      <c r="T4417" s="10">
        <f>+E4417</f>
        <v>0</v>
      </c>
      <c r="U4417" s="19" t="str">
        <f t="shared" ref="U4417" si="2401">IFERROR(LEFT(G4417,FIND("*",G4417)-1),"-")</f>
        <v>-</v>
      </c>
      <c r="V4417" s="19" t="str">
        <f t="shared" ref="V4417" si="2402">IFERROR(RIGHT(G4417,LEN(G4417)-FIND("*",G4417)),"-")</f>
        <v>-</v>
      </c>
      <c r="W4417" s="20" t="str">
        <f t="shared" si="2398"/>
        <v>-</v>
      </c>
      <c r="X4417" s="20" t="str">
        <f>IFERROR(W4417*H4417,"-")</f>
        <v>-</v>
      </c>
      <c r="Z4417" s="85" t="s">
        <v>82</v>
      </c>
    </row>
    <row r="4418" spans="1:26" ht="6.95" customHeight="1" x14ac:dyDescent="0.3">
      <c r="A4418" s="5"/>
      <c r="B4418" s="157"/>
      <c r="C4418" s="158"/>
      <c r="D4418" s="161"/>
      <c r="E4418" s="162"/>
      <c r="F4418" s="163"/>
      <c r="G4418" s="164"/>
      <c r="H4418" s="165"/>
      <c r="I4418" s="164"/>
      <c r="J4418" s="165"/>
      <c r="K4418" s="164"/>
      <c r="L4418" s="165"/>
      <c r="M4418" s="6"/>
      <c r="N4418" s="32"/>
      <c r="Q4418" s="10" t="str">
        <f>+CONCATENATE(E4417,I4417)</f>
        <v/>
      </c>
      <c r="R4418" s="10">
        <f>+J4417</f>
        <v>0</v>
      </c>
      <c r="S4418" s="11"/>
      <c r="T4418" s="10">
        <f>+E4417</f>
        <v>0</v>
      </c>
      <c r="U4418" s="19" t="str">
        <f>IFERROR(LEFT(I4417,FIND("*",I4417)-1),"-")</f>
        <v>-</v>
      </c>
      <c r="V4418" s="19" t="str">
        <f>IFERROR(RIGHT(I4417,LEN(I4417)-FIND("*",I4417)),"-")</f>
        <v>-</v>
      </c>
      <c r="W4418" s="20" t="str">
        <f t="shared" si="2398"/>
        <v>-</v>
      </c>
      <c r="X4418" s="20" t="str">
        <f t="shared" ref="X4418" si="2403">IFERROR(W4418*J4417,"-")</f>
        <v>-</v>
      </c>
      <c r="Z4418" s="85" t="s">
        <v>82</v>
      </c>
    </row>
    <row r="4419" spans="1:26" ht="6.95" customHeight="1" x14ac:dyDescent="0.3">
      <c r="A4419" s="5"/>
      <c r="B4419" s="157"/>
      <c r="C4419" s="158"/>
      <c r="D4419" s="161"/>
      <c r="E4419" s="162"/>
      <c r="F4419" s="163"/>
      <c r="G4419" s="164"/>
      <c r="H4419" s="165"/>
      <c r="I4419" s="164"/>
      <c r="J4419" s="165"/>
      <c r="K4419" s="164"/>
      <c r="L4419" s="165"/>
      <c r="M4419" s="6"/>
      <c r="N4419" s="32"/>
      <c r="Q4419" s="10" t="str">
        <f>+CONCATENATE(E4417,K4417)</f>
        <v/>
      </c>
      <c r="R4419" s="10">
        <f>+L4417</f>
        <v>0</v>
      </c>
      <c r="S4419" s="11"/>
      <c r="T4419" s="10">
        <f>+E4417</f>
        <v>0</v>
      </c>
      <c r="U4419" s="19" t="str">
        <f>IFERROR(LEFT(K4417,FIND("*",K4417)-1),"-")</f>
        <v>-</v>
      </c>
      <c r="V4419" s="19" t="str">
        <f>IFERROR(RIGHT(K4417,LEN(K4417)-FIND("*",K4417)),"-")</f>
        <v>-</v>
      </c>
      <c r="W4419" s="20" t="str">
        <f t="shared" si="2398"/>
        <v>-</v>
      </c>
      <c r="X4419" s="20" t="str">
        <f>IFERROR(W4419*L4417,"-")</f>
        <v>-</v>
      </c>
      <c r="Z4419" s="85" t="s">
        <v>82</v>
      </c>
    </row>
    <row r="4420" spans="1:26" ht="21" customHeight="1" thickBot="1" x14ac:dyDescent="0.35">
      <c r="A4420" s="5"/>
      <c r="B4420" s="159"/>
      <c r="C4420" s="160"/>
      <c r="D4420" s="166" t="s">
        <v>43</v>
      </c>
      <c r="E4420" s="167"/>
      <c r="F4420" s="167"/>
      <c r="G4420" s="168"/>
      <c r="H4420" s="168"/>
      <c r="I4420" s="168"/>
      <c r="J4420" s="168"/>
      <c r="K4420" s="168"/>
      <c r="L4420" s="168"/>
      <c r="M4420" s="7"/>
      <c r="N4420" s="32"/>
      <c r="Z4420" s="86" t="s">
        <v>81</v>
      </c>
    </row>
    <row r="4421" spans="1:26" ht="9.9499999999999993" customHeight="1" thickBot="1" x14ac:dyDescent="0.35">
      <c r="B4421" s="9"/>
      <c r="C4421" s="109"/>
      <c r="D4421" s="51"/>
      <c r="E4421" s="12"/>
      <c r="F4421" s="51"/>
      <c r="G4421" s="14"/>
      <c r="H4421" s="14"/>
      <c r="I4421" s="14"/>
      <c r="J4421" s="14"/>
      <c r="K4421" s="14"/>
      <c r="L4421" s="14"/>
      <c r="M4421" s="9"/>
      <c r="N4421" s="32"/>
      <c r="U4421" s="18"/>
      <c r="V4421" s="18"/>
      <c r="Z4421" s="85" t="s">
        <v>82</v>
      </c>
    </row>
    <row r="4422" spans="1:26" ht="6.95" customHeight="1" x14ac:dyDescent="0.3">
      <c r="A4422" s="154">
        <f>+A4411+1</f>
        <v>1201</v>
      </c>
      <c r="B4422" s="155"/>
      <c r="C4422" s="156"/>
      <c r="D4422" s="161" t="s">
        <v>39</v>
      </c>
      <c r="E4422" s="162"/>
      <c r="F4422" s="163" t="s">
        <v>40</v>
      </c>
      <c r="G4422" s="164"/>
      <c r="H4422" s="165"/>
      <c r="I4422" s="164"/>
      <c r="J4422" s="165"/>
      <c r="K4422" s="164"/>
      <c r="L4422" s="165"/>
      <c r="M4422" s="6"/>
      <c r="N4422" s="32"/>
      <c r="Q4422" s="10" t="str">
        <f>+CONCATENATE(E4422,G4422)</f>
        <v/>
      </c>
      <c r="R4422" s="10">
        <f>+H4422</f>
        <v>0</v>
      </c>
      <c r="S4422" s="11"/>
      <c r="T4422" s="10">
        <f>+E4422</f>
        <v>0</v>
      </c>
      <c r="U4422" s="19" t="str">
        <f>IFERROR(LEFT(G4422,FIND("*",G4422)-1),"-")</f>
        <v>-</v>
      </c>
      <c r="V4422" s="19" t="str">
        <f>IFERROR(RIGHT(G4422,LEN(G4422)-FIND("*",G4422)),"-")</f>
        <v>-</v>
      </c>
      <c r="W4422" s="20" t="str">
        <f>IFERROR((U4422+V4422)*2/1000,"-")</f>
        <v>-</v>
      </c>
      <c r="X4422" s="20" t="str">
        <f>IFERROR(W4422*H4422,"-")</f>
        <v>-</v>
      </c>
      <c r="Z4422" s="85" t="s">
        <v>82</v>
      </c>
    </row>
    <row r="4423" spans="1:26" ht="6.95" customHeight="1" x14ac:dyDescent="0.3">
      <c r="A4423" s="154"/>
      <c r="B4423" s="157"/>
      <c r="C4423" s="158"/>
      <c r="D4423" s="161"/>
      <c r="E4423" s="162"/>
      <c r="F4423" s="163"/>
      <c r="G4423" s="164"/>
      <c r="H4423" s="165"/>
      <c r="I4423" s="164"/>
      <c r="J4423" s="165"/>
      <c r="K4423" s="164"/>
      <c r="L4423" s="165"/>
      <c r="M4423" s="6"/>
      <c r="N4423" s="32"/>
      <c r="Q4423" s="10" t="str">
        <f>+CONCATENATE(E4422,I4422)</f>
        <v/>
      </c>
      <c r="R4423" s="10">
        <f>+J4422</f>
        <v>0</v>
      </c>
      <c r="S4423" s="11"/>
      <c r="T4423" s="10">
        <f>+E4422</f>
        <v>0</v>
      </c>
      <c r="U4423" s="19" t="str">
        <f>IFERROR(LEFT(I4422,FIND("*",I4422)-1),"-")</f>
        <v>-</v>
      </c>
      <c r="V4423" s="19" t="str">
        <f>IFERROR(RIGHT(I4422,LEN(I4422)-FIND("*",I4422)),"-")</f>
        <v>-</v>
      </c>
      <c r="W4423" s="20" t="str">
        <f t="shared" ref="W4423:W4430" si="2404">IFERROR((U4423+V4423)*2/1000,"-")</f>
        <v>-</v>
      </c>
      <c r="X4423" s="20" t="str">
        <f>IFERROR(W4423*J4422,"-")</f>
        <v>-</v>
      </c>
      <c r="Z4423" s="85" t="s">
        <v>82</v>
      </c>
    </row>
    <row r="4424" spans="1:26" ht="6.95" customHeight="1" x14ac:dyDescent="0.3">
      <c r="A4424" s="154"/>
      <c r="B4424" s="157"/>
      <c r="C4424" s="158"/>
      <c r="D4424" s="161"/>
      <c r="E4424" s="162"/>
      <c r="F4424" s="163"/>
      <c r="G4424" s="164"/>
      <c r="H4424" s="165"/>
      <c r="I4424" s="164"/>
      <c r="J4424" s="165"/>
      <c r="K4424" s="164"/>
      <c r="L4424" s="165"/>
      <c r="M4424" s="6"/>
      <c r="N4424" s="32"/>
      <c r="Q4424" s="10" t="str">
        <f>+CONCATENATE(E4422,K4422)</f>
        <v/>
      </c>
      <c r="R4424" s="10">
        <f>+L4422</f>
        <v>0</v>
      </c>
      <c r="S4424" s="11"/>
      <c r="T4424" s="10">
        <f>+E4422</f>
        <v>0</v>
      </c>
      <c r="U4424" s="19" t="str">
        <f>IFERROR(LEFT(K4422,FIND("*",K4422)-1),"-")</f>
        <v>-</v>
      </c>
      <c r="V4424" s="19" t="str">
        <f>IFERROR(RIGHT(K4422,LEN(K4422)-FIND("*",K4422)),"-")</f>
        <v>-</v>
      </c>
      <c r="W4424" s="20" t="str">
        <f t="shared" si="2404"/>
        <v>-</v>
      </c>
      <c r="X4424" s="20" t="str">
        <f>IFERROR(W4424*L4422,"-")</f>
        <v>-</v>
      </c>
      <c r="Z4424" s="85" t="s">
        <v>82</v>
      </c>
    </row>
    <row r="4425" spans="1:26" ht="6.95" customHeight="1" x14ac:dyDescent="0.3">
      <c r="A4425" s="8"/>
      <c r="B4425" s="157"/>
      <c r="C4425" s="158"/>
      <c r="D4425" s="161" t="s">
        <v>39</v>
      </c>
      <c r="E4425" s="162"/>
      <c r="F4425" s="163" t="s">
        <v>40</v>
      </c>
      <c r="G4425" s="164"/>
      <c r="H4425" s="165"/>
      <c r="I4425" s="164"/>
      <c r="J4425" s="165"/>
      <c r="K4425" s="164"/>
      <c r="L4425" s="165"/>
      <c r="M4425" s="6"/>
      <c r="N4425" s="32"/>
      <c r="Q4425" s="10" t="str">
        <f>+CONCATENATE(E4425,G4425)</f>
        <v/>
      </c>
      <c r="R4425" s="10">
        <f>+H4425</f>
        <v>0</v>
      </c>
      <c r="S4425" s="11"/>
      <c r="T4425" s="10">
        <f>+E4425</f>
        <v>0</v>
      </c>
      <c r="U4425" s="19" t="str">
        <f t="shared" ref="U4425" si="2405">IFERROR(LEFT(G4425,FIND("*",G4425)-1),"-")</f>
        <v>-</v>
      </c>
      <c r="V4425" s="19" t="str">
        <f t="shared" ref="V4425" si="2406">IFERROR(RIGHT(G4425,LEN(G4425)-FIND("*",G4425)),"-")</f>
        <v>-</v>
      </c>
      <c r="W4425" s="20" t="str">
        <f t="shared" si="2404"/>
        <v>-</v>
      </c>
      <c r="X4425" s="20" t="str">
        <f>IFERROR(W4425*H4425,"-")</f>
        <v>-</v>
      </c>
      <c r="Z4425" s="85" t="s">
        <v>82</v>
      </c>
    </row>
    <row r="4426" spans="1:26" ht="6.95" customHeight="1" x14ac:dyDescent="0.3">
      <c r="A4426" s="5"/>
      <c r="B4426" s="157"/>
      <c r="C4426" s="158"/>
      <c r="D4426" s="161"/>
      <c r="E4426" s="162"/>
      <c r="F4426" s="163"/>
      <c r="G4426" s="164"/>
      <c r="H4426" s="165"/>
      <c r="I4426" s="164"/>
      <c r="J4426" s="165"/>
      <c r="K4426" s="164"/>
      <c r="L4426" s="165"/>
      <c r="M4426" s="6"/>
      <c r="N4426" s="32"/>
      <c r="Q4426" s="10" t="str">
        <f>+CONCATENATE(E4425,I4425)</f>
        <v/>
      </c>
      <c r="R4426" s="10">
        <f>+J4425</f>
        <v>0</v>
      </c>
      <c r="S4426" s="11"/>
      <c r="T4426" s="10">
        <f>+E4425</f>
        <v>0</v>
      </c>
      <c r="U4426" s="19" t="str">
        <f>IFERROR(LEFT(I4425,FIND("*",I4425)-1),"-")</f>
        <v>-</v>
      </c>
      <c r="V4426" s="19" t="str">
        <f>IFERROR(RIGHT(I4425,LEN(I4425)-FIND("*",I4425)),"-")</f>
        <v>-</v>
      </c>
      <c r="W4426" s="20" t="str">
        <f t="shared" si="2404"/>
        <v>-</v>
      </c>
      <c r="X4426" s="20" t="str">
        <f>IFERROR(W4426*J4425,"-")</f>
        <v>-</v>
      </c>
      <c r="Z4426" s="85" t="s">
        <v>82</v>
      </c>
    </row>
    <row r="4427" spans="1:26" ht="6.95" customHeight="1" x14ac:dyDescent="0.3">
      <c r="A4427" s="5"/>
      <c r="B4427" s="157"/>
      <c r="C4427" s="158"/>
      <c r="D4427" s="161"/>
      <c r="E4427" s="162"/>
      <c r="F4427" s="163"/>
      <c r="G4427" s="164"/>
      <c r="H4427" s="165"/>
      <c r="I4427" s="164"/>
      <c r="J4427" s="165"/>
      <c r="K4427" s="164"/>
      <c r="L4427" s="165"/>
      <c r="M4427" s="6"/>
      <c r="N4427" s="32"/>
      <c r="Q4427" s="10" t="str">
        <f>+CONCATENATE(E4425,K4425)</f>
        <v/>
      </c>
      <c r="R4427" s="10">
        <f>+L4425</f>
        <v>0</v>
      </c>
      <c r="S4427" s="11"/>
      <c r="T4427" s="10">
        <f>+E4425</f>
        <v>0</v>
      </c>
      <c r="U4427" s="19" t="str">
        <f>IFERROR(LEFT(K4425,FIND("*",K4425)-1),"-")</f>
        <v>-</v>
      </c>
      <c r="V4427" s="19" t="str">
        <f>IFERROR(RIGHT(K4425,LEN(K4425)-FIND("*",K4425)),"-")</f>
        <v>-</v>
      </c>
      <c r="W4427" s="20" t="str">
        <f t="shared" si="2404"/>
        <v>-</v>
      </c>
      <c r="X4427" s="20" t="str">
        <f>IFERROR(W4427*L4425,"-")</f>
        <v>-</v>
      </c>
      <c r="Z4427" s="85" t="s">
        <v>82</v>
      </c>
    </row>
    <row r="4428" spans="1:26" ht="6.95" customHeight="1" x14ac:dyDescent="0.3">
      <c r="A4428" s="8"/>
      <c r="B4428" s="157"/>
      <c r="C4428" s="158"/>
      <c r="D4428" s="161" t="s">
        <v>39</v>
      </c>
      <c r="E4428" s="162"/>
      <c r="F4428" s="163" t="s">
        <v>40</v>
      </c>
      <c r="G4428" s="164"/>
      <c r="H4428" s="165"/>
      <c r="I4428" s="164"/>
      <c r="J4428" s="165"/>
      <c r="K4428" s="164"/>
      <c r="L4428" s="165"/>
      <c r="M4428" s="6"/>
      <c r="N4428" s="32"/>
      <c r="Q4428" s="10" t="str">
        <f>+CONCATENATE(E4428,G4428)</f>
        <v/>
      </c>
      <c r="R4428" s="10">
        <f>+H4428</f>
        <v>0</v>
      </c>
      <c r="S4428" s="11"/>
      <c r="T4428" s="10">
        <f>+E4428</f>
        <v>0</v>
      </c>
      <c r="U4428" s="19" t="str">
        <f t="shared" ref="U4428" si="2407">IFERROR(LEFT(G4428,FIND("*",G4428)-1),"-")</f>
        <v>-</v>
      </c>
      <c r="V4428" s="19" t="str">
        <f t="shared" ref="V4428" si="2408">IFERROR(RIGHT(G4428,LEN(G4428)-FIND("*",G4428)),"-")</f>
        <v>-</v>
      </c>
      <c r="W4428" s="20" t="str">
        <f t="shared" si="2404"/>
        <v>-</v>
      </c>
      <c r="X4428" s="20" t="str">
        <f>IFERROR(W4428*H4428,"-")</f>
        <v>-</v>
      </c>
      <c r="Z4428" s="85" t="s">
        <v>82</v>
      </c>
    </row>
    <row r="4429" spans="1:26" ht="6.95" customHeight="1" x14ac:dyDescent="0.3">
      <c r="A4429" s="5"/>
      <c r="B4429" s="157"/>
      <c r="C4429" s="158"/>
      <c r="D4429" s="161"/>
      <c r="E4429" s="162"/>
      <c r="F4429" s="163"/>
      <c r="G4429" s="164"/>
      <c r="H4429" s="165"/>
      <c r="I4429" s="164"/>
      <c r="J4429" s="165"/>
      <c r="K4429" s="164"/>
      <c r="L4429" s="165"/>
      <c r="M4429" s="6"/>
      <c r="N4429" s="32"/>
      <c r="Q4429" s="10" t="str">
        <f>+CONCATENATE(E4428,I4428)</f>
        <v/>
      </c>
      <c r="R4429" s="10">
        <f>+J4428</f>
        <v>0</v>
      </c>
      <c r="S4429" s="11"/>
      <c r="T4429" s="10">
        <f>+E4428</f>
        <v>0</v>
      </c>
      <c r="U4429" s="19" t="str">
        <f>IFERROR(LEFT(I4428,FIND("*",I4428)-1),"-")</f>
        <v>-</v>
      </c>
      <c r="V4429" s="19" t="str">
        <f>IFERROR(RIGHT(I4428,LEN(I4428)-FIND("*",I4428)),"-")</f>
        <v>-</v>
      </c>
      <c r="W4429" s="20" t="str">
        <f t="shared" si="2404"/>
        <v>-</v>
      </c>
      <c r="X4429" s="20" t="str">
        <f t="shared" ref="X4429" si="2409">IFERROR(W4429*J4428,"-")</f>
        <v>-</v>
      </c>
      <c r="Z4429" s="85" t="s">
        <v>82</v>
      </c>
    </row>
    <row r="4430" spans="1:26" ht="6.95" customHeight="1" x14ac:dyDescent="0.3">
      <c r="A4430" s="5"/>
      <c r="B4430" s="157"/>
      <c r="C4430" s="158"/>
      <c r="D4430" s="161"/>
      <c r="E4430" s="162"/>
      <c r="F4430" s="163"/>
      <c r="G4430" s="164"/>
      <c r="H4430" s="165"/>
      <c r="I4430" s="164"/>
      <c r="J4430" s="165"/>
      <c r="K4430" s="164"/>
      <c r="L4430" s="165"/>
      <c r="M4430" s="6"/>
      <c r="N4430" s="32"/>
      <c r="Q4430" s="10" t="str">
        <f>+CONCATENATE(E4428,K4428)</f>
        <v/>
      </c>
      <c r="R4430" s="10">
        <f>+L4428</f>
        <v>0</v>
      </c>
      <c r="S4430" s="11"/>
      <c r="T4430" s="10">
        <f>+E4428</f>
        <v>0</v>
      </c>
      <c r="U4430" s="19" t="str">
        <f>IFERROR(LEFT(K4428,FIND("*",K4428)-1),"-")</f>
        <v>-</v>
      </c>
      <c r="V4430" s="19" t="str">
        <f>IFERROR(RIGHT(K4428,LEN(K4428)-FIND("*",K4428)),"-")</f>
        <v>-</v>
      </c>
      <c r="W4430" s="20" t="str">
        <f t="shared" si="2404"/>
        <v>-</v>
      </c>
      <c r="X4430" s="20" t="str">
        <f>IFERROR(W4430*L4428,"-")</f>
        <v>-</v>
      </c>
      <c r="Z4430" s="85" t="s">
        <v>82</v>
      </c>
    </row>
    <row r="4431" spans="1:26" ht="21" customHeight="1" thickBot="1" x14ac:dyDescent="0.35">
      <c r="A4431" s="5"/>
      <c r="B4431" s="159"/>
      <c r="C4431" s="160"/>
      <c r="D4431" s="166" t="s">
        <v>43</v>
      </c>
      <c r="E4431" s="167"/>
      <c r="F4431" s="167"/>
      <c r="G4431" s="168"/>
      <c r="H4431" s="168"/>
      <c r="I4431" s="168"/>
      <c r="J4431" s="168"/>
      <c r="K4431" s="168"/>
      <c r="L4431" s="168"/>
      <c r="M4431" s="7"/>
      <c r="N4431" s="32"/>
      <c r="Z4431" s="86" t="s">
        <v>81</v>
      </c>
    </row>
    <row r="4432" spans="1:26" ht="9.9499999999999993" customHeight="1" thickBot="1" x14ac:dyDescent="0.35">
      <c r="B4432" s="9"/>
      <c r="C4432" s="109"/>
      <c r="D4432" s="51"/>
      <c r="E4432" s="12"/>
      <c r="F4432" s="51"/>
      <c r="G4432" s="14"/>
      <c r="H4432" s="14"/>
      <c r="I4432" s="14"/>
      <c r="J4432" s="14"/>
      <c r="K4432" s="14"/>
      <c r="L4432" s="14"/>
      <c r="M4432" s="9"/>
      <c r="N4432" s="32"/>
      <c r="U4432" s="18"/>
      <c r="V4432" s="18"/>
      <c r="Z4432" s="85" t="s">
        <v>82</v>
      </c>
    </row>
    <row r="4433" spans="1:26" ht="6.95" customHeight="1" x14ac:dyDescent="0.3">
      <c r="A4433" s="154">
        <f>+A4422+1</f>
        <v>1202</v>
      </c>
      <c r="B4433" s="155"/>
      <c r="C4433" s="156"/>
      <c r="D4433" s="161" t="s">
        <v>39</v>
      </c>
      <c r="E4433" s="162"/>
      <c r="F4433" s="163" t="s">
        <v>40</v>
      </c>
      <c r="G4433" s="164"/>
      <c r="H4433" s="165"/>
      <c r="I4433" s="164"/>
      <c r="J4433" s="165"/>
      <c r="K4433" s="164"/>
      <c r="L4433" s="165"/>
      <c r="M4433" s="6"/>
      <c r="N4433" s="32"/>
      <c r="Q4433" s="10" t="str">
        <f>+CONCATENATE(E4433,G4433)</f>
        <v/>
      </c>
      <c r="R4433" s="10">
        <f>+H4433</f>
        <v>0</v>
      </c>
      <c r="S4433" s="11"/>
      <c r="T4433" s="10">
        <f>+E4433</f>
        <v>0</v>
      </c>
      <c r="U4433" s="19" t="str">
        <f>IFERROR(LEFT(G4433,FIND("*",G4433)-1),"-")</f>
        <v>-</v>
      </c>
      <c r="V4433" s="19" t="str">
        <f>IFERROR(RIGHT(G4433,LEN(G4433)-FIND("*",G4433)),"-")</f>
        <v>-</v>
      </c>
      <c r="W4433" s="20" t="str">
        <f>IFERROR((U4433+V4433)*2/1000,"-")</f>
        <v>-</v>
      </c>
      <c r="X4433" s="20" t="str">
        <f>IFERROR(W4433*H4433,"-")</f>
        <v>-</v>
      </c>
      <c r="Z4433" s="85" t="s">
        <v>82</v>
      </c>
    </row>
    <row r="4434" spans="1:26" ht="6.95" customHeight="1" x14ac:dyDescent="0.3">
      <c r="A4434" s="154"/>
      <c r="B4434" s="157"/>
      <c r="C4434" s="158"/>
      <c r="D4434" s="161"/>
      <c r="E4434" s="162"/>
      <c r="F4434" s="163"/>
      <c r="G4434" s="164"/>
      <c r="H4434" s="165"/>
      <c r="I4434" s="164"/>
      <c r="J4434" s="165"/>
      <c r="K4434" s="164"/>
      <c r="L4434" s="165"/>
      <c r="M4434" s="6"/>
      <c r="N4434" s="32"/>
      <c r="Q4434" s="10" t="str">
        <f>+CONCATENATE(E4433,I4433)</f>
        <v/>
      </c>
      <c r="R4434" s="10">
        <f>+J4433</f>
        <v>0</v>
      </c>
      <c r="S4434" s="11"/>
      <c r="T4434" s="10">
        <f>+E4433</f>
        <v>0</v>
      </c>
      <c r="U4434" s="19" t="str">
        <f>IFERROR(LEFT(I4433,FIND("*",I4433)-1),"-")</f>
        <v>-</v>
      </c>
      <c r="V4434" s="19" t="str">
        <f>IFERROR(RIGHT(I4433,LEN(I4433)-FIND("*",I4433)),"-")</f>
        <v>-</v>
      </c>
      <c r="W4434" s="20" t="str">
        <f t="shared" ref="W4434:W4441" si="2410">IFERROR((U4434+V4434)*2/1000,"-")</f>
        <v>-</v>
      </c>
      <c r="X4434" s="20" t="str">
        <f>IFERROR(W4434*J4433,"-")</f>
        <v>-</v>
      </c>
      <c r="Z4434" s="85" t="s">
        <v>82</v>
      </c>
    </row>
    <row r="4435" spans="1:26" ht="6.95" customHeight="1" x14ac:dyDescent="0.3">
      <c r="A4435" s="154"/>
      <c r="B4435" s="157"/>
      <c r="C4435" s="158"/>
      <c r="D4435" s="161"/>
      <c r="E4435" s="162"/>
      <c r="F4435" s="163"/>
      <c r="G4435" s="164"/>
      <c r="H4435" s="165"/>
      <c r="I4435" s="164"/>
      <c r="J4435" s="165"/>
      <c r="K4435" s="164"/>
      <c r="L4435" s="165"/>
      <c r="M4435" s="6"/>
      <c r="N4435" s="32"/>
      <c r="Q4435" s="10" t="str">
        <f>+CONCATENATE(E4433,K4433)</f>
        <v/>
      </c>
      <c r="R4435" s="10">
        <f>+L4433</f>
        <v>0</v>
      </c>
      <c r="S4435" s="11"/>
      <c r="T4435" s="10">
        <f>+E4433</f>
        <v>0</v>
      </c>
      <c r="U4435" s="19" t="str">
        <f>IFERROR(LEFT(K4433,FIND("*",K4433)-1),"-")</f>
        <v>-</v>
      </c>
      <c r="V4435" s="19" t="str">
        <f>IFERROR(RIGHT(K4433,LEN(K4433)-FIND("*",K4433)),"-")</f>
        <v>-</v>
      </c>
      <c r="W4435" s="20" t="str">
        <f t="shared" si="2410"/>
        <v>-</v>
      </c>
      <c r="X4435" s="20" t="str">
        <f>IFERROR(W4435*L4433,"-")</f>
        <v>-</v>
      </c>
      <c r="Z4435" s="85" t="s">
        <v>82</v>
      </c>
    </row>
    <row r="4436" spans="1:26" ht="6.95" customHeight="1" x14ac:dyDescent="0.3">
      <c r="A4436" s="8"/>
      <c r="B4436" s="157"/>
      <c r="C4436" s="158"/>
      <c r="D4436" s="161" t="s">
        <v>39</v>
      </c>
      <c r="E4436" s="162"/>
      <c r="F4436" s="163" t="s">
        <v>40</v>
      </c>
      <c r="G4436" s="164"/>
      <c r="H4436" s="165"/>
      <c r="I4436" s="164"/>
      <c r="J4436" s="165"/>
      <c r="K4436" s="164"/>
      <c r="L4436" s="165"/>
      <c r="M4436" s="6"/>
      <c r="N4436" s="32"/>
      <c r="Q4436" s="10" t="str">
        <f>+CONCATENATE(E4436,G4436)</f>
        <v/>
      </c>
      <c r="R4436" s="10">
        <f>+H4436</f>
        <v>0</v>
      </c>
      <c r="S4436" s="11"/>
      <c r="T4436" s="10">
        <f>+E4436</f>
        <v>0</v>
      </c>
      <c r="U4436" s="19" t="str">
        <f t="shared" ref="U4436" si="2411">IFERROR(LEFT(G4436,FIND("*",G4436)-1),"-")</f>
        <v>-</v>
      </c>
      <c r="V4436" s="19" t="str">
        <f t="shared" ref="V4436" si="2412">IFERROR(RIGHT(G4436,LEN(G4436)-FIND("*",G4436)),"-")</f>
        <v>-</v>
      </c>
      <c r="W4436" s="20" t="str">
        <f t="shared" si="2410"/>
        <v>-</v>
      </c>
      <c r="X4436" s="20" t="str">
        <f>IFERROR(W4436*H4436,"-")</f>
        <v>-</v>
      </c>
      <c r="Z4436" s="85" t="s">
        <v>82</v>
      </c>
    </row>
    <row r="4437" spans="1:26" ht="6.95" customHeight="1" x14ac:dyDescent="0.3">
      <c r="A4437" s="5"/>
      <c r="B4437" s="157"/>
      <c r="C4437" s="158"/>
      <c r="D4437" s="161"/>
      <c r="E4437" s="162"/>
      <c r="F4437" s="163"/>
      <c r="G4437" s="164"/>
      <c r="H4437" s="165"/>
      <c r="I4437" s="164"/>
      <c r="J4437" s="165"/>
      <c r="K4437" s="164"/>
      <c r="L4437" s="165"/>
      <c r="M4437" s="6"/>
      <c r="N4437" s="32"/>
      <c r="Q4437" s="10" t="str">
        <f>+CONCATENATE(E4436,I4436)</f>
        <v/>
      </c>
      <c r="R4437" s="10">
        <f>+J4436</f>
        <v>0</v>
      </c>
      <c r="S4437" s="11"/>
      <c r="T4437" s="10">
        <f>+E4436</f>
        <v>0</v>
      </c>
      <c r="U4437" s="19" t="str">
        <f>IFERROR(LEFT(I4436,FIND("*",I4436)-1),"-")</f>
        <v>-</v>
      </c>
      <c r="V4437" s="19" t="str">
        <f>IFERROR(RIGHT(I4436,LEN(I4436)-FIND("*",I4436)),"-")</f>
        <v>-</v>
      </c>
      <c r="W4437" s="20" t="str">
        <f t="shared" si="2410"/>
        <v>-</v>
      </c>
      <c r="X4437" s="20" t="str">
        <f>IFERROR(W4437*J4436,"-")</f>
        <v>-</v>
      </c>
      <c r="Z4437" s="85" t="s">
        <v>82</v>
      </c>
    </row>
    <row r="4438" spans="1:26" ht="6.95" customHeight="1" x14ac:dyDescent="0.3">
      <c r="A4438" s="5"/>
      <c r="B4438" s="157"/>
      <c r="C4438" s="158"/>
      <c r="D4438" s="161"/>
      <c r="E4438" s="162"/>
      <c r="F4438" s="163"/>
      <c r="G4438" s="164"/>
      <c r="H4438" s="165"/>
      <c r="I4438" s="164"/>
      <c r="J4438" s="165"/>
      <c r="K4438" s="164"/>
      <c r="L4438" s="165"/>
      <c r="M4438" s="6"/>
      <c r="N4438" s="32"/>
      <c r="Q4438" s="10" t="str">
        <f>+CONCATENATE(E4436,K4436)</f>
        <v/>
      </c>
      <c r="R4438" s="10">
        <f>+L4436</f>
        <v>0</v>
      </c>
      <c r="S4438" s="11"/>
      <c r="T4438" s="10">
        <f>+E4436</f>
        <v>0</v>
      </c>
      <c r="U4438" s="19" t="str">
        <f>IFERROR(LEFT(K4436,FIND("*",K4436)-1),"-")</f>
        <v>-</v>
      </c>
      <c r="V4438" s="19" t="str">
        <f>IFERROR(RIGHT(K4436,LEN(K4436)-FIND("*",K4436)),"-")</f>
        <v>-</v>
      </c>
      <c r="W4438" s="20" t="str">
        <f t="shared" si="2410"/>
        <v>-</v>
      </c>
      <c r="X4438" s="20" t="str">
        <f>IFERROR(W4438*L4436,"-")</f>
        <v>-</v>
      </c>
      <c r="Z4438" s="85" t="s">
        <v>82</v>
      </c>
    </row>
    <row r="4439" spans="1:26" ht="6.95" customHeight="1" x14ac:dyDescent="0.3">
      <c r="A4439" s="8"/>
      <c r="B4439" s="157"/>
      <c r="C4439" s="158"/>
      <c r="D4439" s="161" t="s">
        <v>39</v>
      </c>
      <c r="E4439" s="162"/>
      <c r="F4439" s="163" t="s">
        <v>40</v>
      </c>
      <c r="G4439" s="164"/>
      <c r="H4439" s="165"/>
      <c r="I4439" s="164"/>
      <c r="J4439" s="165"/>
      <c r="K4439" s="164"/>
      <c r="L4439" s="165"/>
      <c r="M4439" s="6"/>
      <c r="N4439" s="32"/>
      <c r="Q4439" s="10" t="str">
        <f>+CONCATENATE(E4439,G4439)</f>
        <v/>
      </c>
      <c r="R4439" s="10">
        <f>+H4439</f>
        <v>0</v>
      </c>
      <c r="S4439" s="11"/>
      <c r="T4439" s="10">
        <f>+E4439</f>
        <v>0</v>
      </c>
      <c r="U4439" s="19" t="str">
        <f t="shared" ref="U4439" si="2413">IFERROR(LEFT(G4439,FIND("*",G4439)-1),"-")</f>
        <v>-</v>
      </c>
      <c r="V4439" s="19" t="str">
        <f t="shared" ref="V4439" si="2414">IFERROR(RIGHT(G4439,LEN(G4439)-FIND("*",G4439)),"-")</f>
        <v>-</v>
      </c>
      <c r="W4439" s="20" t="str">
        <f t="shared" si="2410"/>
        <v>-</v>
      </c>
      <c r="X4439" s="20" t="str">
        <f>IFERROR(W4439*H4439,"-")</f>
        <v>-</v>
      </c>
      <c r="Z4439" s="85" t="s">
        <v>82</v>
      </c>
    </row>
    <row r="4440" spans="1:26" ht="6.95" customHeight="1" x14ac:dyDescent="0.3">
      <c r="A4440" s="5"/>
      <c r="B4440" s="157"/>
      <c r="C4440" s="158"/>
      <c r="D4440" s="161"/>
      <c r="E4440" s="162"/>
      <c r="F4440" s="163"/>
      <c r="G4440" s="164"/>
      <c r="H4440" s="165"/>
      <c r="I4440" s="164"/>
      <c r="J4440" s="165"/>
      <c r="K4440" s="164"/>
      <c r="L4440" s="165"/>
      <c r="M4440" s="6"/>
      <c r="N4440" s="32"/>
      <c r="Q4440" s="10" t="str">
        <f>+CONCATENATE(E4439,I4439)</f>
        <v/>
      </c>
      <c r="R4440" s="10">
        <f>+J4439</f>
        <v>0</v>
      </c>
      <c r="S4440" s="11"/>
      <c r="T4440" s="10">
        <f>+E4439</f>
        <v>0</v>
      </c>
      <c r="U4440" s="19" t="str">
        <f>IFERROR(LEFT(I4439,FIND("*",I4439)-1),"-")</f>
        <v>-</v>
      </c>
      <c r="V4440" s="19" t="str">
        <f>IFERROR(RIGHT(I4439,LEN(I4439)-FIND("*",I4439)),"-")</f>
        <v>-</v>
      </c>
      <c r="W4440" s="20" t="str">
        <f t="shared" si="2410"/>
        <v>-</v>
      </c>
      <c r="X4440" s="20" t="str">
        <f t="shared" ref="X4440" si="2415">IFERROR(W4440*J4439,"-")</f>
        <v>-</v>
      </c>
      <c r="Z4440" s="85" t="s">
        <v>82</v>
      </c>
    </row>
    <row r="4441" spans="1:26" ht="6.95" customHeight="1" x14ac:dyDescent="0.3">
      <c r="A4441" s="5"/>
      <c r="B4441" s="157"/>
      <c r="C4441" s="158"/>
      <c r="D4441" s="161"/>
      <c r="E4441" s="162"/>
      <c r="F4441" s="163"/>
      <c r="G4441" s="164"/>
      <c r="H4441" s="165"/>
      <c r="I4441" s="164"/>
      <c r="J4441" s="165"/>
      <c r="K4441" s="164"/>
      <c r="L4441" s="165"/>
      <c r="M4441" s="6"/>
      <c r="N4441" s="32"/>
      <c r="Q4441" s="10" t="str">
        <f>+CONCATENATE(E4439,K4439)</f>
        <v/>
      </c>
      <c r="R4441" s="10">
        <f>+L4439</f>
        <v>0</v>
      </c>
      <c r="S4441" s="11"/>
      <c r="T4441" s="10">
        <f>+E4439</f>
        <v>0</v>
      </c>
      <c r="U4441" s="19" t="str">
        <f>IFERROR(LEFT(K4439,FIND("*",K4439)-1),"-")</f>
        <v>-</v>
      </c>
      <c r="V4441" s="19" t="str">
        <f>IFERROR(RIGHT(K4439,LEN(K4439)-FIND("*",K4439)),"-")</f>
        <v>-</v>
      </c>
      <c r="W4441" s="20" t="str">
        <f t="shared" si="2410"/>
        <v>-</v>
      </c>
      <c r="X4441" s="20" t="str">
        <f>IFERROR(W4441*L4439,"-")</f>
        <v>-</v>
      </c>
      <c r="Z4441" s="85" t="s">
        <v>82</v>
      </c>
    </row>
    <row r="4442" spans="1:26" ht="21" customHeight="1" thickBot="1" x14ac:dyDescent="0.35">
      <c r="A4442" s="5"/>
      <c r="B4442" s="159"/>
      <c r="C4442" s="160"/>
      <c r="D4442" s="166" t="s">
        <v>43</v>
      </c>
      <c r="E4442" s="167"/>
      <c r="F4442" s="167"/>
      <c r="G4442" s="168"/>
      <c r="H4442" s="168"/>
      <c r="I4442" s="168"/>
      <c r="J4442" s="168"/>
      <c r="K4442" s="168"/>
      <c r="L4442" s="168"/>
      <c r="M4442" s="7"/>
      <c r="N4442" s="32"/>
      <c r="Z4442" s="86" t="s">
        <v>81</v>
      </c>
    </row>
    <row r="4443" spans="1:26" ht="9.9499999999999993" customHeight="1" thickBot="1" x14ac:dyDescent="0.35">
      <c r="B4443" s="9"/>
      <c r="C4443" s="109"/>
      <c r="D4443" s="51"/>
      <c r="E4443" s="12"/>
      <c r="F4443" s="51"/>
      <c r="G4443" s="14"/>
      <c r="H4443" s="14"/>
      <c r="I4443" s="14"/>
      <c r="J4443" s="14"/>
      <c r="K4443" s="14"/>
      <c r="L4443" s="14"/>
      <c r="M4443" s="9"/>
      <c r="N4443" s="32"/>
      <c r="U4443" s="18"/>
      <c r="V4443" s="18"/>
      <c r="Z4443" s="85" t="s">
        <v>82</v>
      </c>
    </row>
    <row r="4444" spans="1:26" ht="6.95" customHeight="1" x14ac:dyDescent="0.3">
      <c r="A4444" s="154">
        <f>+A4433+1</f>
        <v>1203</v>
      </c>
      <c r="B4444" s="155"/>
      <c r="C4444" s="156"/>
      <c r="D4444" s="161" t="s">
        <v>39</v>
      </c>
      <c r="E4444" s="162"/>
      <c r="F4444" s="163" t="s">
        <v>40</v>
      </c>
      <c r="G4444" s="164"/>
      <c r="H4444" s="165"/>
      <c r="I4444" s="164"/>
      <c r="J4444" s="165"/>
      <c r="K4444" s="164"/>
      <c r="L4444" s="165"/>
      <c r="M4444" s="6"/>
      <c r="N4444" s="32"/>
      <c r="Q4444" s="10" t="str">
        <f>+CONCATENATE(E4444,G4444)</f>
        <v/>
      </c>
      <c r="R4444" s="10">
        <f>+H4444</f>
        <v>0</v>
      </c>
      <c r="S4444" s="11"/>
      <c r="T4444" s="10">
        <f>+E4444</f>
        <v>0</v>
      </c>
      <c r="U4444" s="19" t="str">
        <f>IFERROR(LEFT(G4444,FIND("*",G4444)-1),"-")</f>
        <v>-</v>
      </c>
      <c r="V4444" s="19" t="str">
        <f>IFERROR(RIGHT(G4444,LEN(G4444)-FIND("*",G4444)),"-")</f>
        <v>-</v>
      </c>
      <c r="W4444" s="20" t="str">
        <f>IFERROR((U4444+V4444)*2/1000,"-")</f>
        <v>-</v>
      </c>
      <c r="X4444" s="20" t="str">
        <f>IFERROR(W4444*H4444,"-")</f>
        <v>-</v>
      </c>
      <c r="Z4444" s="85" t="s">
        <v>82</v>
      </c>
    </row>
    <row r="4445" spans="1:26" ht="6.95" customHeight="1" x14ac:dyDescent="0.3">
      <c r="A4445" s="154"/>
      <c r="B4445" s="157"/>
      <c r="C4445" s="158"/>
      <c r="D4445" s="161"/>
      <c r="E4445" s="162"/>
      <c r="F4445" s="163"/>
      <c r="G4445" s="164"/>
      <c r="H4445" s="165"/>
      <c r="I4445" s="164"/>
      <c r="J4445" s="165"/>
      <c r="K4445" s="164"/>
      <c r="L4445" s="165"/>
      <c r="M4445" s="6"/>
      <c r="N4445" s="32"/>
      <c r="Q4445" s="10" t="str">
        <f>+CONCATENATE(E4444,I4444)</f>
        <v/>
      </c>
      <c r="R4445" s="10">
        <f>+J4444</f>
        <v>0</v>
      </c>
      <c r="S4445" s="11"/>
      <c r="T4445" s="10">
        <f>+E4444</f>
        <v>0</v>
      </c>
      <c r="U4445" s="19" t="str">
        <f>IFERROR(LEFT(I4444,FIND("*",I4444)-1),"-")</f>
        <v>-</v>
      </c>
      <c r="V4445" s="19" t="str">
        <f>IFERROR(RIGHT(I4444,LEN(I4444)-FIND("*",I4444)),"-")</f>
        <v>-</v>
      </c>
      <c r="W4445" s="20" t="str">
        <f t="shared" ref="W4445:W4452" si="2416">IFERROR((U4445+V4445)*2/1000,"-")</f>
        <v>-</v>
      </c>
      <c r="X4445" s="20" t="str">
        <f>IFERROR(W4445*J4444,"-")</f>
        <v>-</v>
      </c>
      <c r="Z4445" s="85" t="s">
        <v>82</v>
      </c>
    </row>
    <row r="4446" spans="1:26" ht="6.95" customHeight="1" x14ac:dyDescent="0.3">
      <c r="A4446" s="154"/>
      <c r="B4446" s="157"/>
      <c r="C4446" s="158"/>
      <c r="D4446" s="161"/>
      <c r="E4446" s="162"/>
      <c r="F4446" s="163"/>
      <c r="G4446" s="164"/>
      <c r="H4446" s="165"/>
      <c r="I4446" s="164"/>
      <c r="J4446" s="165"/>
      <c r="K4446" s="164"/>
      <c r="L4446" s="165"/>
      <c r="M4446" s="6"/>
      <c r="N4446" s="32"/>
      <c r="Q4446" s="10" t="str">
        <f>+CONCATENATE(E4444,K4444)</f>
        <v/>
      </c>
      <c r="R4446" s="10">
        <f>+L4444</f>
        <v>0</v>
      </c>
      <c r="S4446" s="11"/>
      <c r="T4446" s="10">
        <f>+E4444</f>
        <v>0</v>
      </c>
      <c r="U4446" s="19" t="str">
        <f>IFERROR(LEFT(K4444,FIND("*",K4444)-1),"-")</f>
        <v>-</v>
      </c>
      <c r="V4446" s="19" t="str">
        <f>IFERROR(RIGHT(K4444,LEN(K4444)-FIND("*",K4444)),"-")</f>
        <v>-</v>
      </c>
      <c r="W4446" s="20" t="str">
        <f t="shared" si="2416"/>
        <v>-</v>
      </c>
      <c r="X4446" s="20" t="str">
        <f>IFERROR(W4446*L4444,"-")</f>
        <v>-</v>
      </c>
      <c r="Z4446" s="85" t="s">
        <v>82</v>
      </c>
    </row>
    <row r="4447" spans="1:26" ht="6.95" customHeight="1" x14ac:dyDescent="0.3">
      <c r="A4447" s="8"/>
      <c r="B4447" s="157"/>
      <c r="C4447" s="158"/>
      <c r="D4447" s="161" t="s">
        <v>39</v>
      </c>
      <c r="E4447" s="162"/>
      <c r="F4447" s="163" t="s">
        <v>40</v>
      </c>
      <c r="G4447" s="164"/>
      <c r="H4447" s="165"/>
      <c r="I4447" s="164"/>
      <c r="J4447" s="165"/>
      <c r="K4447" s="164"/>
      <c r="L4447" s="165"/>
      <c r="M4447" s="6"/>
      <c r="N4447" s="32"/>
      <c r="Q4447" s="10" t="str">
        <f>+CONCATENATE(E4447,G4447)</f>
        <v/>
      </c>
      <c r="R4447" s="10">
        <f>+H4447</f>
        <v>0</v>
      </c>
      <c r="S4447" s="11"/>
      <c r="T4447" s="10">
        <f>+E4447</f>
        <v>0</v>
      </c>
      <c r="U4447" s="19" t="str">
        <f t="shared" ref="U4447" si="2417">IFERROR(LEFT(G4447,FIND("*",G4447)-1),"-")</f>
        <v>-</v>
      </c>
      <c r="V4447" s="19" t="str">
        <f t="shared" ref="V4447" si="2418">IFERROR(RIGHT(G4447,LEN(G4447)-FIND("*",G4447)),"-")</f>
        <v>-</v>
      </c>
      <c r="W4447" s="20" t="str">
        <f t="shared" si="2416"/>
        <v>-</v>
      </c>
      <c r="X4447" s="20" t="str">
        <f>IFERROR(W4447*H4447,"-")</f>
        <v>-</v>
      </c>
      <c r="Z4447" s="85" t="s">
        <v>82</v>
      </c>
    </row>
    <row r="4448" spans="1:26" ht="6.95" customHeight="1" x14ac:dyDescent="0.3">
      <c r="A4448" s="5"/>
      <c r="B4448" s="157"/>
      <c r="C4448" s="158"/>
      <c r="D4448" s="161"/>
      <c r="E4448" s="162"/>
      <c r="F4448" s="163"/>
      <c r="G4448" s="164"/>
      <c r="H4448" s="165"/>
      <c r="I4448" s="164"/>
      <c r="J4448" s="165"/>
      <c r="K4448" s="164"/>
      <c r="L4448" s="165"/>
      <c r="M4448" s="6"/>
      <c r="N4448" s="32"/>
      <c r="Q4448" s="10" t="str">
        <f>+CONCATENATE(E4447,I4447)</f>
        <v/>
      </c>
      <c r="R4448" s="10">
        <f>+J4447</f>
        <v>0</v>
      </c>
      <c r="S4448" s="11"/>
      <c r="T4448" s="10">
        <f>+E4447</f>
        <v>0</v>
      </c>
      <c r="U4448" s="19" t="str">
        <f>IFERROR(LEFT(I4447,FIND("*",I4447)-1),"-")</f>
        <v>-</v>
      </c>
      <c r="V4448" s="19" t="str">
        <f>IFERROR(RIGHT(I4447,LEN(I4447)-FIND("*",I4447)),"-")</f>
        <v>-</v>
      </c>
      <c r="W4448" s="20" t="str">
        <f t="shared" si="2416"/>
        <v>-</v>
      </c>
      <c r="X4448" s="20" t="str">
        <f>IFERROR(W4448*J4447,"-")</f>
        <v>-</v>
      </c>
      <c r="Z4448" s="85" t="s">
        <v>82</v>
      </c>
    </row>
    <row r="4449" spans="1:26" ht="6.95" customHeight="1" x14ac:dyDescent="0.3">
      <c r="A4449" s="5"/>
      <c r="B4449" s="157"/>
      <c r="C4449" s="158"/>
      <c r="D4449" s="161"/>
      <c r="E4449" s="162"/>
      <c r="F4449" s="163"/>
      <c r="G4449" s="164"/>
      <c r="H4449" s="165"/>
      <c r="I4449" s="164"/>
      <c r="J4449" s="165"/>
      <c r="K4449" s="164"/>
      <c r="L4449" s="165"/>
      <c r="M4449" s="6"/>
      <c r="N4449" s="32"/>
      <c r="Q4449" s="10" t="str">
        <f>+CONCATENATE(E4447,K4447)</f>
        <v/>
      </c>
      <c r="R4449" s="10">
        <f>+L4447</f>
        <v>0</v>
      </c>
      <c r="S4449" s="11"/>
      <c r="T4449" s="10">
        <f>+E4447</f>
        <v>0</v>
      </c>
      <c r="U4449" s="19" t="str">
        <f>IFERROR(LEFT(K4447,FIND("*",K4447)-1),"-")</f>
        <v>-</v>
      </c>
      <c r="V4449" s="19" t="str">
        <f>IFERROR(RIGHT(K4447,LEN(K4447)-FIND("*",K4447)),"-")</f>
        <v>-</v>
      </c>
      <c r="W4449" s="20" t="str">
        <f t="shared" si="2416"/>
        <v>-</v>
      </c>
      <c r="X4449" s="20" t="str">
        <f>IFERROR(W4449*L4447,"-")</f>
        <v>-</v>
      </c>
      <c r="Z4449" s="85" t="s">
        <v>82</v>
      </c>
    </row>
    <row r="4450" spans="1:26" ht="6.95" customHeight="1" x14ac:dyDescent="0.3">
      <c r="A4450" s="8"/>
      <c r="B4450" s="157"/>
      <c r="C4450" s="158"/>
      <c r="D4450" s="161" t="s">
        <v>39</v>
      </c>
      <c r="E4450" s="162"/>
      <c r="F4450" s="163" t="s">
        <v>40</v>
      </c>
      <c r="G4450" s="164"/>
      <c r="H4450" s="165"/>
      <c r="I4450" s="164"/>
      <c r="J4450" s="165"/>
      <c r="K4450" s="164"/>
      <c r="L4450" s="165"/>
      <c r="M4450" s="6"/>
      <c r="N4450" s="32"/>
      <c r="Q4450" s="10" t="str">
        <f>+CONCATENATE(E4450,G4450)</f>
        <v/>
      </c>
      <c r="R4450" s="10">
        <f>+H4450</f>
        <v>0</v>
      </c>
      <c r="S4450" s="11"/>
      <c r="T4450" s="10">
        <f>+E4450</f>
        <v>0</v>
      </c>
      <c r="U4450" s="19" t="str">
        <f t="shared" ref="U4450" si="2419">IFERROR(LEFT(G4450,FIND("*",G4450)-1),"-")</f>
        <v>-</v>
      </c>
      <c r="V4450" s="19" t="str">
        <f t="shared" ref="V4450" si="2420">IFERROR(RIGHT(G4450,LEN(G4450)-FIND("*",G4450)),"-")</f>
        <v>-</v>
      </c>
      <c r="W4450" s="20" t="str">
        <f t="shared" si="2416"/>
        <v>-</v>
      </c>
      <c r="X4450" s="20" t="str">
        <f>IFERROR(W4450*H4450,"-")</f>
        <v>-</v>
      </c>
      <c r="Z4450" s="85" t="s">
        <v>82</v>
      </c>
    </row>
    <row r="4451" spans="1:26" ht="6.95" customHeight="1" x14ac:dyDescent="0.3">
      <c r="A4451" s="5"/>
      <c r="B4451" s="157"/>
      <c r="C4451" s="158"/>
      <c r="D4451" s="161"/>
      <c r="E4451" s="162"/>
      <c r="F4451" s="163"/>
      <c r="G4451" s="164"/>
      <c r="H4451" s="165"/>
      <c r="I4451" s="164"/>
      <c r="J4451" s="165"/>
      <c r="K4451" s="164"/>
      <c r="L4451" s="165"/>
      <c r="M4451" s="6"/>
      <c r="N4451" s="32"/>
      <c r="Q4451" s="10" t="str">
        <f>+CONCATENATE(E4450,I4450)</f>
        <v/>
      </c>
      <c r="R4451" s="10">
        <f>+J4450</f>
        <v>0</v>
      </c>
      <c r="S4451" s="11"/>
      <c r="T4451" s="10">
        <f>+E4450</f>
        <v>0</v>
      </c>
      <c r="U4451" s="19" t="str">
        <f>IFERROR(LEFT(I4450,FIND("*",I4450)-1),"-")</f>
        <v>-</v>
      </c>
      <c r="V4451" s="19" t="str">
        <f>IFERROR(RIGHT(I4450,LEN(I4450)-FIND("*",I4450)),"-")</f>
        <v>-</v>
      </c>
      <c r="W4451" s="20" t="str">
        <f t="shared" si="2416"/>
        <v>-</v>
      </c>
      <c r="X4451" s="20" t="str">
        <f t="shared" ref="X4451" si="2421">IFERROR(W4451*J4450,"-")</f>
        <v>-</v>
      </c>
      <c r="Z4451" s="85" t="s">
        <v>82</v>
      </c>
    </row>
    <row r="4452" spans="1:26" ht="6.95" customHeight="1" x14ac:dyDescent="0.3">
      <c r="A4452" s="5"/>
      <c r="B4452" s="157"/>
      <c r="C4452" s="158"/>
      <c r="D4452" s="161"/>
      <c r="E4452" s="162"/>
      <c r="F4452" s="163"/>
      <c r="G4452" s="164"/>
      <c r="H4452" s="165"/>
      <c r="I4452" s="164"/>
      <c r="J4452" s="165"/>
      <c r="K4452" s="164"/>
      <c r="L4452" s="165"/>
      <c r="M4452" s="6"/>
      <c r="N4452" s="32"/>
      <c r="Q4452" s="10" t="str">
        <f>+CONCATENATE(E4450,K4450)</f>
        <v/>
      </c>
      <c r="R4452" s="10">
        <f>+L4450</f>
        <v>0</v>
      </c>
      <c r="S4452" s="11"/>
      <c r="T4452" s="10">
        <f>+E4450</f>
        <v>0</v>
      </c>
      <c r="U4452" s="19" t="str">
        <f>IFERROR(LEFT(K4450,FIND("*",K4450)-1),"-")</f>
        <v>-</v>
      </c>
      <c r="V4452" s="19" t="str">
        <f>IFERROR(RIGHT(K4450,LEN(K4450)-FIND("*",K4450)),"-")</f>
        <v>-</v>
      </c>
      <c r="W4452" s="20" t="str">
        <f t="shared" si="2416"/>
        <v>-</v>
      </c>
      <c r="X4452" s="20" t="str">
        <f>IFERROR(W4452*L4450,"-")</f>
        <v>-</v>
      </c>
      <c r="Z4452" s="85" t="s">
        <v>82</v>
      </c>
    </row>
    <row r="4453" spans="1:26" ht="21" customHeight="1" thickBot="1" x14ac:dyDescent="0.35">
      <c r="A4453" s="5"/>
      <c r="B4453" s="159"/>
      <c r="C4453" s="160"/>
      <c r="D4453" s="166" t="s">
        <v>43</v>
      </c>
      <c r="E4453" s="167"/>
      <c r="F4453" s="167"/>
      <c r="G4453" s="168"/>
      <c r="H4453" s="168"/>
      <c r="I4453" s="168"/>
      <c r="J4453" s="168"/>
      <c r="K4453" s="168"/>
      <c r="L4453" s="168"/>
      <c r="M4453" s="7"/>
      <c r="N4453" s="32"/>
      <c r="Z4453" s="86" t="s">
        <v>81</v>
      </c>
    </row>
    <row r="4454" spans="1:26" ht="9.9499999999999993" customHeight="1" thickBot="1" x14ac:dyDescent="0.35">
      <c r="B4454" s="9"/>
      <c r="C4454" s="109"/>
      <c r="D4454" s="51"/>
      <c r="E4454" s="12"/>
      <c r="F4454" s="51"/>
      <c r="G4454" s="14"/>
      <c r="H4454" s="14"/>
      <c r="I4454" s="14"/>
      <c r="J4454" s="14"/>
      <c r="K4454" s="14"/>
      <c r="L4454" s="14"/>
      <c r="M4454" s="9"/>
      <c r="N4454" s="32"/>
      <c r="U4454" s="18"/>
      <c r="V4454" s="18"/>
      <c r="Z4454" s="85" t="s">
        <v>82</v>
      </c>
    </row>
    <row r="4455" spans="1:26" ht="6.95" customHeight="1" x14ac:dyDescent="0.3">
      <c r="A4455" s="154">
        <f>+A4444+1</f>
        <v>1204</v>
      </c>
      <c r="B4455" s="155"/>
      <c r="C4455" s="156"/>
      <c r="D4455" s="161" t="s">
        <v>39</v>
      </c>
      <c r="E4455" s="162"/>
      <c r="F4455" s="163" t="s">
        <v>40</v>
      </c>
      <c r="G4455" s="164"/>
      <c r="H4455" s="165"/>
      <c r="I4455" s="164"/>
      <c r="J4455" s="165"/>
      <c r="K4455" s="164"/>
      <c r="L4455" s="165"/>
      <c r="M4455" s="6"/>
      <c r="N4455" s="32"/>
      <c r="Q4455" s="10" t="str">
        <f>+CONCATENATE(E4455,G4455)</f>
        <v/>
      </c>
      <c r="R4455" s="10">
        <f>+H4455</f>
        <v>0</v>
      </c>
      <c r="S4455" s="11"/>
      <c r="T4455" s="10">
        <f>+E4455</f>
        <v>0</v>
      </c>
      <c r="U4455" s="19" t="str">
        <f>IFERROR(LEFT(G4455,FIND("*",G4455)-1),"-")</f>
        <v>-</v>
      </c>
      <c r="V4455" s="19" t="str">
        <f>IFERROR(RIGHT(G4455,LEN(G4455)-FIND("*",G4455)),"-")</f>
        <v>-</v>
      </c>
      <c r="W4455" s="20" t="str">
        <f>IFERROR((U4455+V4455)*2/1000,"-")</f>
        <v>-</v>
      </c>
      <c r="X4455" s="20" t="str">
        <f>IFERROR(W4455*H4455,"-")</f>
        <v>-</v>
      </c>
      <c r="Z4455" s="85" t="s">
        <v>82</v>
      </c>
    </row>
    <row r="4456" spans="1:26" ht="6.95" customHeight="1" x14ac:dyDescent="0.3">
      <c r="A4456" s="154"/>
      <c r="B4456" s="157"/>
      <c r="C4456" s="158"/>
      <c r="D4456" s="161"/>
      <c r="E4456" s="162"/>
      <c r="F4456" s="163"/>
      <c r="G4456" s="164"/>
      <c r="H4456" s="165"/>
      <c r="I4456" s="164"/>
      <c r="J4456" s="165"/>
      <c r="K4456" s="164"/>
      <c r="L4456" s="165"/>
      <c r="M4456" s="6"/>
      <c r="N4456" s="32"/>
      <c r="Q4456" s="10" t="str">
        <f>+CONCATENATE(E4455,I4455)</f>
        <v/>
      </c>
      <c r="R4456" s="10">
        <f>+J4455</f>
        <v>0</v>
      </c>
      <c r="S4456" s="11"/>
      <c r="T4456" s="10">
        <f>+E4455</f>
        <v>0</v>
      </c>
      <c r="U4456" s="19" t="str">
        <f>IFERROR(LEFT(I4455,FIND("*",I4455)-1),"-")</f>
        <v>-</v>
      </c>
      <c r="V4456" s="19" t="str">
        <f>IFERROR(RIGHT(I4455,LEN(I4455)-FIND("*",I4455)),"-")</f>
        <v>-</v>
      </c>
      <c r="W4456" s="20" t="str">
        <f t="shared" ref="W4456:W4463" si="2422">IFERROR((U4456+V4456)*2/1000,"-")</f>
        <v>-</v>
      </c>
      <c r="X4456" s="20" t="str">
        <f>IFERROR(W4456*J4455,"-")</f>
        <v>-</v>
      </c>
      <c r="Z4456" s="85" t="s">
        <v>82</v>
      </c>
    </row>
    <row r="4457" spans="1:26" ht="6.95" customHeight="1" x14ac:dyDescent="0.3">
      <c r="A4457" s="154"/>
      <c r="B4457" s="157"/>
      <c r="C4457" s="158"/>
      <c r="D4457" s="161"/>
      <c r="E4457" s="162"/>
      <c r="F4457" s="163"/>
      <c r="G4457" s="164"/>
      <c r="H4457" s="165"/>
      <c r="I4457" s="164"/>
      <c r="J4457" s="165"/>
      <c r="K4457" s="164"/>
      <c r="L4457" s="165"/>
      <c r="M4457" s="6"/>
      <c r="N4457" s="32"/>
      <c r="Q4457" s="10" t="str">
        <f>+CONCATENATE(E4455,K4455)</f>
        <v/>
      </c>
      <c r="R4457" s="10">
        <f>+L4455</f>
        <v>0</v>
      </c>
      <c r="S4457" s="11"/>
      <c r="T4457" s="10">
        <f>+E4455</f>
        <v>0</v>
      </c>
      <c r="U4457" s="19" t="str">
        <f>IFERROR(LEFT(K4455,FIND("*",K4455)-1),"-")</f>
        <v>-</v>
      </c>
      <c r="V4457" s="19" t="str">
        <f>IFERROR(RIGHT(K4455,LEN(K4455)-FIND("*",K4455)),"-")</f>
        <v>-</v>
      </c>
      <c r="W4457" s="20" t="str">
        <f t="shared" si="2422"/>
        <v>-</v>
      </c>
      <c r="X4457" s="20" t="str">
        <f>IFERROR(W4457*L4455,"-")</f>
        <v>-</v>
      </c>
      <c r="Z4457" s="85" t="s">
        <v>82</v>
      </c>
    </row>
    <row r="4458" spans="1:26" ht="6.95" customHeight="1" x14ac:dyDescent="0.3">
      <c r="A4458" s="8"/>
      <c r="B4458" s="157"/>
      <c r="C4458" s="158"/>
      <c r="D4458" s="161" t="s">
        <v>39</v>
      </c>
      <c r="E4458" s="162"/>
      <c r="F4458" s="163" t="s">
        <v>40</v>
      </c>
      <c r="G4458" s="164"/>
      <c r="H4458" s="165"/>
      <c r="I4458" s="164"/>
      <c r="J4458" s="165"/>
      <c r="K4458" s="164"/>
      <c r="L4458" s="165"/>
      <c r="M4458" s="6"/>
      <c r="N4458" s="32"/>
      <c r="Q4458" s="10" t="str">
        <f>+CONCATENATE(E4458,G4458)</f>
        <v/>
      </c>
      <c r="R4458" s="10">
        <f>+H4458</f>
        <v>0</v>
      </c>
      <c r="S4458" s="11"/>
      <c r="T4458" s="10">
        <f>+E4458</f>
        <v>0</v>
      </c>
      <c r="U4458" s="19" t="str">
        <f t="shared" ref="U4458" si="2423">IFERROR(LEFT(G4458,FIND("*",G4458)-1),"-")</f>
        <v>-</v>
      </c>
      <c r="V4458" s="19" t="str">
        <f t="shared" ref="V4458" si="2424">IFERROR(RIGHT(G4458,LEN(G4458)-FIND("*",G4458)),"-")</f>
        <v>-</v>
      </c>
      <c r="W4458" s="20" t="str">
        <f t="shared" si="2422"/>
        <v>-</v>
      </c>
      <c r="X4458" s="20" t="str">
        <f>IFERROR(W4458*H4458,"-")</f>
        <v>-</v>
      </c>
      <c r="Z4458" s="85" t="s">
        <v>82</v>
      </c>
    </row>
    <row r="4459" spans="1:26" ht="6.95" customHeight="1" x14ac:dyDescent="0.3">
      <c r="A4459" s="5"/>
      <c r="B4459" s="157"/>
      <c r="C4459" s="158"/>
      <c r="D4459" s="161"/>
      <c r="E4459" s="162"/>
      <c r="F4459" s="163"/>
      <c r="G4459" s="164"/>
      <c r="H4459" s="165"/>
      <c r="I4459" s="164"/>
      <c r="J4459" s="165"/>
      <c r="K4459" s="164"/>
      <c r="L4459" s="165"/>
      <c r="M4459" s="6"/>
      <c r="N4459" s="32"/>
      <c r="Q4459" s="10" t="str">
        <f>+CONCATENATE(E4458,I4458)</f>
        <v/>
      </c>
      <c r="R4459" s="10">
        <f>+J4458</f>
        <v>0</v>
      </c>
      <c r="S4459" s="11"/>
      <c r="T4459" s="10">
        <f>+E4458</f>
        <v>0</v>
      </c>
      <c r="U4459" s="19" t="str">
        <f>IFERROR(LEFT(I4458,FIND("*",I4458)-1),"-")</f>
        <v>-</v>
      </c>
      <c r="V4459" s="19" t="str">
        <f>IFERROR(RIGHT(I4458,LEN(I4458)-FIND("*",I4458)),"-")</f>
        <v>-</v>
      </c>
      <c r="W4459" s="20" t="str">
        <f t="shared" si="2422"/>
        <v>-</v>
      </c>
      <c r="X4459" s="20" t="str">
        <f>IFERROR(W4459*J4458,"-")</f>
        <v>-</v>
      </c>
      <c r="Z4459" s="85" t="s">
        <v>82</v>
      </c>
    </row>
    <row r="4460" spans="1:26" ht="6.95" customHeight="1" x14ac:dyDescent="0.3">
      <c r="A4460" s="5"/>
      <c r="B4460" s="157"/>
      <c r="C4460" s="158"/>
      <c r="D4460" s="161"/>
      <c r="E4460" s="162"/>
      <c r="F4460" s="163"/>
      <c r="G4460" s="164"/>
      <c r="H4460" s="165"/>
      <c r="I4460" s="164"/>
      <c r="J4460" s="165"/>
      <c r="K4460" s="164"/>
      <c r="L4460" s="165"/>
      <c r="M4460" s="6"/>
      <c r="N4460" s="32"/>
      <c r="Q4460" s="10" t="str">
        <f>+CONCATENATE(E4458,K4458)</f>
        <v/>
      </c>
      <c r="R4460" s="10">
        <f>+L4458</f>
        <v>0</v>
      </c>
      <c r="S4460" s="11"/>
      <c r="T4460" s="10">
        <f>+E4458</f>
        <v>0</v>
      </c>
      <c r="U4460" s="19" t="str">
        <f>IFERROR(LEFT(K4458,FIND("*",K4458)-1),"-")</f>
        <v>-</v>
      </c>
      <c r="V4460" s="19" t="str">
        <f>IFERROR(RIGHT(K4458,LEN(K4458)-FIND("*",K4458)),"-")</f>
        <v>-</v>
      </c>
      <c r="W4460" s="20" t="str">
        <f t="shared" si="2422"/>
        <v>-</v>
      </c>
      <c r="X4460" s="20" t="str">
        <f>IFERROR(W4460*L4458,"-")</f>
        <v>-</v>
      </c>
      <c r="Z4460" s="85" t="s">
        <v>82</v>
      </c>
    </row>
    <row r="4461" spans="1:26" ht="6.95" customHeight="1" x14ac:dyDescent="0.3">
      <c r="A4461" s="8"/>
      <c r="B4461" s="157"/>
      <c r="C4461" s="158"/>
      <c r="D4461" s="161" t="s">
        <v>39</v>
      </c>
      <c r="E4461" s="162"/>
      <c r="F4461" s="163" t="s">
        <v>40</v>
      </c>
      <c r="G4461" s="164"/>
      <c r="H4461" s="165"/>
      <c r="I4461" s="164"/>
      <c r="J4461" s="165"/>
      <c r="K4461" s="164"/>
      <c r="L4461" s="165"/>
      <c r="M4461" s="6"/>
      <c r="N4461" s="32"/>
      <c r="Q4461" s="10" t="str">
        <f>+CONCATENATE(E4461,G4461)</f>
        <v/>
      </c>
      <c r="R4461" s="10">
        <f>+H4461</f>
        <v>0</v>
      </c>
      <c r="S4461" s="11"/>
      <c r="T4461" s="10">
        <f>+E4461</f>
        <v>0</v>
      </c>
      <c r="U4461" s="19" t="str">
        <f t="shared" ref="U4461" si="2425">IFERROR(LEFT(G4461,FIND("*",G4461)-1),"-")</f>
        <v>-</v>
      </c>
      <c r="V4461" s="19" t="str">
        <f t="shared" ref="V4461" si="2426">IFERROR(RIGHT(G4461,LEN(G4461)-FIND("*",G4461)),"-")</f>
        <v>-</v>
      </c>
      <c r="W4461" s="20" t="str">
        <f t="shared" si="2422"/>
        <v>-</v>
      </c>
      <c r="X4461" s="20" t="str">
        <f>IFERROR(W4461*H4461,"-")</f>
        <v>-</v>
      </c>
      <c r="Z4461" s="85" t="s">
        <v>82</v>
      </c>
    </row>
    <row r="4462" spans="1:26" ht="6.95" customHeight="1" x14ac:dyDescent="0.3">
      <c r="A4462" s="5"/>
      <c r="B4462" s="157"/>
      <c r="C4462" s="158"/>
      <c r="D4462" s="161"/>
      <c r="E4462" s="162"/>
      <c r="F4462" s="163"/>
      <c r="G4462" s="164"/>
      <c r="H4462" s="165"/>
      <c r="I4462" s="164"/>
      <c r="J4462" s="165"/>
      <c r="K4462" s="164"/>
      <c r="L4462" s="165"/>
      <c r="M4462" s="6"/>
      <c r="N4462" s="32"/>
      <c r="Q4462" s="10" t="str">
        <f>+CONCATENATE(E4461,I4461)</f>
        <v/>
      </c>
      <c r="R4462" s="10">
        <f>+J4461</f>
        <v>0</v>
      </c>
      <c r="S4462" s="11"/>
      <c r="T4462" s="10">
        <f>+E4461</f>
        <v>0</v>
      </c>
      <c r="U4462" s="19" t="str">
        <f>IFERROR(LEFT(I4461,FIND("*",I4461)-1),"-")</f>
        <v>-</v>
      </c>
      <c r="V4462" s="19" t="str">
        <f>IFERROR(RIGHT(I4461,LEN(I4461)-FIND("*",I4461)),"-")</f>
        <v>-</v>
      </c>
      <c r="W4462" s="20" t="str">
        <f t="shared" si="2422"/>
        <v>-</v>
      </c>
      <c r="X4462" s="20" t="str">
        <f t="shared" ref="X4462" si="2427">IFERROR(W4462*J4461,"-")</f>
        <v>-</v>
      </c>
      <c r="Z4462" s="85" t="s">
        <v>82</v>
      </c>
    </row>
    <row r="4463" spans="1:26" ht="6.95" customHeight="1" x14ac:dyDescent="0.3">
      <c r="A4463" s="5"/>
      <c r="B4463" s="157"/>
      <c r="C4463" s="158"/>
      <c r="D4463" s="161"/>
      <c r="E4463" s="162"/>
      <c r="F4463" s="163"/>
      <c r="G4463" s="164"/>
      <c r="H4463" s="165"/>
      <c r="I4463" s="164"/>
      <c r="J4463" s="165"/>
      <c r="K4463" s="164"/>
      <c r="L4463" s="165"/>
      <c r="M4463" s="6"/>
      <c r="N4463" s="32"/>
      <c r="Q4463" s="10" t="str">
        <f>+CONCATENATE(E4461,K4461)</f>
        <v/>
      </c>
      <c r="R4463" s="10">
        <f>+L4461</f>
        <v>0</v>
      </c>
      <c r="S4463" s="11"/>
      <c r="T4463" s="10">
        <f>+E4461</f>
        <v>0</v>
      </c>
      <c r="U4463" s="19" t="str">
        <f>IFERROR(LEFT(K4461,FIND("*",K4461)-1),"-")</f>
        <v>-</v>
      </c>
      <c r="V4463" s="19" t="str">
        <f>IFERROR(RIGHT(K4461,LEN(K4461)-FIND("*",K4461)),"-")</f>
        <v>-</v>
      </c>
      <c r="W4463" s="20" t="str">
        <f t="shared" si="2422"/>
        <v>-</v>
      </c>
      <c r="X4463" s="20" t="str">
        <f>IFERROR(W4463*L4461,"-")</f>
        <v>-</v>
      </c>
      <c r="Z4463" s="85" t="s">
        <v>82</v>
      </c>
    </row>
    <row r="4464" spans="1:26" ht="21" customHeight="1" thickBot="1" x14ac:dyDescent="0.35">
      <c r="A4464" s="5"/>
      <c r="B4464" s="159"/>
      <c r="C4464" s="160"/>
      <c r="D4464" s="166" t="s">
        <v>43</v>
      </c>
      <c r="E4464" s="167"/>
      <c r="F4464" s="167"/>
      <c r="G4464" s="168"/>
      <c r="H4464" s="168"/>
      <c r="I4464" s="168"/>
      <c r="J4464" s="168"/>
      <c r="K4464" s="168"/>
      <c r="L4464" s="168"/>
      <c r="M4464" s="7"/>
      <c r="N4464" s="32"/>
      <c r="Z4464" s="86" t="s">
        <v>81</v>
      </c>
    </row>
    <row r="4465" spans="1:26" ht="9.9499999999999993" customHeight="1" thickBot="1" x14ac:dyDescent="0.35">
      <c r="B4465" s="9"/>
      <c r="C4465" s="109"/>
      <c r="D4465" s="51"/>
      <c r="E4465" s="12"/>
      <c r="F4465" s="51"/>
      <c r="G4465" s="14"/>
      <c r="H4465" s="14"/>
      <c r="I4465" s="14"/>
      <c r="J4465" s="14"/>
      <c r="K4465" s="14"/>
      <c r="L4465" s="14"/>
      <c r="M4465" s="9"/>
      <c r="N4465" s="32"/>
      <c r="U4465" s="18"/>
      <c r="V4465" s="18"/>
      <c r="Z4465" s="85" t="s">
        <v>82</v>
      </c>
    </row>
    <row r="4466" spans="1:26" ht="6.95" customHeight="1" x14ac:dyDescent="0.3">
      <c r="A4466" s="154">
        <f>+A4455+1</f>
        <v>1205</v>
      </c>
      <c r="B4466" s="155"/>
      <c r="C4466" s="156"/>
      <c r="D4466" s="161" t="s">
        <v>39</v>
      </c>
      <c r="E4466" s="162"/>
      <c r="F4466" s="163" t="s">
        <v>40</v>
      </c>
      <c r="G4466" s="164"/>
      <c r="H4466" s="165"/>
      <c r="I4466" s="164"/>
      <c r="J4466" s="165"/>
      <c r="K4466" s="164"/>
      <c r="L4466" s="165"/>
      <c r="M4466" s="6"/>
      <c r="N4466" s="32"/>
      <c r="Q4466" s="10" t="str">
        <f>+CONCATENATE(E4466,G4466)</f>
        <v/>
      </c>
      <c r="R4466" s="10">
        <f>+H4466</f>
        <v>0</v>
      </c>
      <c r="S4466" s="11"/>
      <c r="T4466" s="10">
        <f>+E4466</f>
        <v>0</v>
      </c>
      <c r="U4466" s="19" t="str">
        <f>IFERROR(LEFT(G4466,FIND("*",G4466)-1),"-")</f>
        <v>-</v>
      </c>
      <c r="V4466" s="19" t="str">
        <f>IFERROR(RIGHT(G4466,LEN(G4466)-FIND("*",G4466)),"-")</f>
        <v>-</v>
      </c>
      <c r="W4466" s="20" t="str">
        <f>IFERROR((U4466+V4466)*2/1000,"-")</f>
        <v>-</v>
      </c>
      <c r="X4466" s="20" t="str">
        <f>IFERROR(W4466*H4466,"-")</f>
        <v>-</v>
      </c>
      <c r="Z4466" s="85" t="s">
        <v>82</v>
      </c>
    </row>
    <row r="4467" spans="1:26" ht="6.95" customHeight="1" x14ac:dyDescent="0.3">
      <c r="A4467" s="154"/>
      <c r="B4467" s="157"/>
      <c r="C4467" s="158"/>
      <c r="D4467" s="161"/>
      <c r="E4467" s="162"/>
      <c r="F4467" s="163"/>
      <c r="G4467" s="164"/>
      <c r="H4467" s="165"/>
      <c r="I4467" s="164"/>
      <c r="J4467" s="165"/>
      <c r="K4467" s="164"/>
      <c r="L4467" s="165"/>
      <c r="M4467" s="6"/>
      <c r="N4467" s="32"/>
      <c r="Q4467" s="10" t="str">
        <f>+CONCATENATE(E4466,I4466)</f>
        <v/>
      </c>
      <c r="R4467" s="10">
        <f>+J4466</f>
        <v>0</v>
      </c>
      <c r="S4467" s="11"/>
      <c r="T4467" s="10">
        <f>+E4466</f>
        <v>0</v>
      </c>
      <c r="U4467" s="19" t="str">
        <f>IFERROR(LEFT(I4466,FIND("*",I4466)-1),"-")</f>
        <v>-</v>
      </c>
      <c r="V4467" s="19" t="str">
        <f>IFERROR(RIGHT(I4466,LEN(I4466)-FIND("*",I4466)),"-")</f>
        <v>-</v>
      </c>
      <c r="W4467" s="20" t="str">
        <f t="shared" ref="W4467:W4474" si="2428">IFERROR((U4467+V4467)*2/1000,"-")</f>
        <v>-</v>
      </c>
      <c r="X4467" s="20" t="str">
        <f>IFERROR(W4467*J4466,"-")</f>
        <v>-</v>
      </c>
      <c r="Z4467" s="85" t="s">
        <v>82</v>
      </c>
    </row>
    <row r="4468" spans="1:26" ht="6.95" customHeight="1" x14ac:dyDescent="0.3">
      <c r="A4468" s="154"/>
      <c r="B4468" s="157"/>
      <c r="C4468" s="158"/>
      <c r="D4468" s="161"/>
      <c r="E4468" s="162"/>
      <c r="F4468" s="163"/>
      <c r="G4468" s="164"/>
      <c r="H4468" s="165"/>
      <c r="I4468" s="164"/>
      <c r="J4468" s="165"/>
      <c r="K4468" s="164"/>
      <c r="L4468" s="165"/>
      <c r="M4468" s="6"/>
      <c r="N4468" s="32"/>
      <c r="Q4468" s="10" t="str">
        <f>+CONCATENATE(E4466,K4466)</f>
        <v/>
      </c>
      <c r="R4468" s="10">
        <f>+L4466</f>
        <v>0</v>
      </c>
      <c r="S4468" s="11"/>
      <c r="T4468" s="10">
        <f>+E4466</f>
        <v>0</v>
      </c>
      <c r="U4468" s="19" t="str">
        <f>IFERROR(LEFT(K4466,FIND("*",K4466)-1),"-")</f>
        <v>-</v>
      </c>
      <c r="V4468" s="19" t="str">
        <f>IFERROR(RIGHT(K4466,LEN(K4466)-FIND("*",K4466)),"-")</f>
        <v>-</v>
      </c>
      <c r="W4468" s="20" t="str">
        <f t="shared" si="2428"/>
        <v>-</v>
      </c>
      <c r="X4468" s="20" t="str">
        <f>IFERROR(W4468*L4466,"-")</f>
        <v>-</v>
      </c>
      <c r="Z4468" s="85" t="s">
        <v>82</v>
      </c>
    </row>
    <row r="4469" spans="1:26" ht="6.95" customHeight="1" x14ac:dyDescent="0.3">
      <c r="A4469" s="8"/>
      <c r="B4469" s="157"/>
      <c r="C4469" s="158"/>
      <c r="D4469" s="161" t="s">
        <v>39</v>
      </c>
      <c r="E4469" s="162"/>
      <c r="F4469" s="163" t="s">
        <v>40</v>
      </c>
      <c r="G4469" s="164"/>
      <c r="H4469" s="165"/>
      <c r="I4469" s="164"/>
      <c r="J4469" s="165"/>
      <c r="K4469" s="164"/>
      <c r="L4469" s="165"/>
      <c r="M4469" s="6"/>
      <c r="N4469" s="32"/>
      <c r="Q4469" s="10" t="str">
        <f>+CONCATENATE(E4469,G4469)</f>
        <v/>
      </c>
      <c r="R4469" s="10">
        <f>+H4469</f>
        <v>0</v>
      </c>
      <c r="S4469" s="11"/>
      <c r="T4469" s="10">
        <f>+E4469</f>
        <v>0</v>
      </c>
      <c r="U4469" s="19" t="str">
        <f t="shared" ref="U4469" si="2429">IFERROR(LEFT(G4469,FIND("*",G4469)-1),"-")</f>
        <v>-</v>
      </c>
      <c r="V4469" s="19" t="str">
        <f t="shared" ref="V4469" si="2430">IFERROR(RIGHT(G4469,LEN(G4469)-FIND("*",G4469)),"-")</f>
        <v>-</v>
      </c>
      <c r="W4469" s="20" t="str">
        <f t="shared" si="2428"/>
        <v>-</v>
      </c>
      <c r="X4469" s="20" t="str">
        <f>IFERROR(W4469*H4469,"-")</f>
        <v>-</v>
      </c>
      <c r="Z4469" s="85" t="s">
        <v>82</v>
      </c>
    </row>
    <row r="4470" spans="1:26" ht="6.95" customHeight="1" x14ac:dyDescent="0.3">
      <c r="A4470" s="5"/>
      <c r="B4470" s="157"/>
      <c r="C4470" s="158"/>
      <c r="D4470" s="161"/>
      <c r="E4470" s="162"/>
      <c r="F4470" s="163"/>
      <c r="G4470" s="164"/>
      <c r="H4470" s="165"/>
      <c r="I4470" s="164"/>
      <c r="J4470" s="165"/>
      <c r="K4470" s="164"/>
      <c r="L4470" s="165"/>
      <c r="M4470" s="6"/>
      <c r="N4470" s="32"/>
      <c r="Q4470" s="10" t="str">
        <f>+CONCATENATE(E4469,I4469)</f>
        <v/>
      </c>
      <c r="R4470" s="10">
        <f>+J4469</f>
        <v>0</v>
      </c>
      <c r="S4470" s="11"/>
      <c r="T4470" s="10">
        <f>+E4469</f>
        <v>0</v>
      </c>
      <c r="U4470" s="19" t="str">
        <f>IFERROR(LEFT(I4469,FIND("*",I4469)-1),"-")</f>
        <v>-</v>
      </c>
      <c r="V4470" s="19" t="str">
        <f>IFERROR(RIGHT(I4469,LEN(I4469)-FIND("*",I4469)),"-")</f>
        <v>-</v>
      </c>
      <c r="W4470" s="20" t="str">
        <f t="shared" si="2428"/>
        <v>-</v>
      </c>
      <c r="X4470" s="20" t="str">
        <f>IFERROR(W4470*J4469,"-")</f>
        <v>-</v>
      </c>
      <c r="Z4470" s="85" t="s">
        <v>82</v>
      </c>
    </row>
    <row r="4471" spans="1:26" ht="6.95" customHeight="1" x14ac:dyDescent="0.3">
      <c r="A4471" s="5"/>
      <c r="B4471" s="157"/>
      <c r="C4471" s="158"/>
      <c r="D4471" s="161"/>
      <c r="E4471" s="162"/>
      <c r="F4471" s="163"/>
      <c r="G4471" s="164"/>
      <c r="H4471" s="165"/>
      <c r="I4471" s="164"/>
      <c r="J4471" s="165"/>
      <c r="K4471" s="164"/>
      <c r="L4471" s="165"/>
      <c r="M4471" s="6"/>
      <c r="N4471" s="32"/>
      <c r="Q4471" s="10" t="str">
        <f>+CONCATENATE(E4469,K4469)</f>
        <v/>
      </c>
      <c r="R4471" s="10">
        <f>+L4469</f>
        <v>0</v>
      </c>
      <c r="S4471" s="11"/>
      <c r="T4471" s="10">
        <f>+E4469</f>
        <v>0</v>
      </c>
      <c r="U4471" s="19" t="str">
        <f>IFERROR(LEFT(K4469,FIND("*",K4469)-1),"-")</f>
        <v>-</v>
      </c>
      <c r="V4471" s="19" t="str">
        <f>IFERROR(RIGHT(K4469,LEN(K4469)-FIND("*",K4469)),"-")</f>
        <v>-</v>
      </c>
      <c r="W4471" s="20" t="str">
        <f t="shared" si="2428"/>
        <v>-</v>
      </c>
      <c r="X4471" s="20" t="str">
        <f>IFERROR(W4471*L4469,"-")</f>
        <v>-</v>
      </c>
      <c r="Z4471" s="85" t="s">
        <v>82</v>
      </c>
    </row>
    <row r="4472" spans="1:26" ht="6.95" customHeight="1" x14ac:dyDescent="0.3">
      <c r="A4472" s="8"/>
      <c r="B4472" s="157"/>
      <c r="C4472" s="158"/>
      <c r="D4472" s="161" t="s">
        <v>39</v>
      </c>
      <c r="E4472" s="162"/>
      <c r="F4472" s="163" t="s">
        <v>40</v>
      </c>
      <c r="G4472" s="164"/>
      <c r="H4472" s="165"/>
      <c r="I4472" s="164"/>
      <c r="J4472" s="165"/>
      <c r="K4472" s="164"/>
      <c r="L4472" s="165"/>
      <c r="M4472" s="6"/>
      <c r="N4472" s="32"/>
      <c r="Q4472" s="10" t="str">
        <f>+CONCATENATE(E4472,G4472)</f>
        <v/>
      </c>
      <c r="R4472" s="10">
        <f>+H4472</f>
        <v>0</v>
      </c>
      <c r="S4472" s="11"/>
      <c r="T4472" s="10">
        <f>+E4472</f>
        <v>0</v>
      </c>
      <c r="U4472" s="19" t="str">
        <f t="shared" ref="U4472" si="2431">IFERROR(LEFT(G4472,FIND("*",G4472)-1),"-")</f>
        <v>-</v>
      </c>
      <c r="V4472" s="19" t="str">
        <f t="shared" ref="V4472" si="2432">IFERROR(RIGHT(G4472,LEN(G4472)-FIND("*",G4472)),"-")</f>
        <v>-</v>
      </c>
      <c r="W4472" s="20" t="str">
        <f t="shared" si="2428"/>
        <v>-</v>
      </c>
      <c r="X4472" s="20" t="str">
        <f>IFERROR(W4472*H4472,"-")</f>
        <v>-</v>
      </c>
      <c r="Z4472" s="85" t="s">
        <v>82</v>
      </c>
    </row>
    <row r="4473" spans="1:26" ht="6.95" customHeight="1" x14ac:dyDescent="0.3">
      <c r="A4473" s="5"/>
      <c r="B4473" s="157"/>
      <c r="C4473" s="158"/>
      <c r="D4473" s="161"/>
      <c r="E4473" s="162"/>
      <c r="F4473" s="163"/>
      <c r="G4473" s="164"/>
      <c r="H4473" s="165"/>
      <c r="I4473" s="164"/>
      <c r="J4473" s="165"/>
      <c r="K4473" s="164"/>
      <c r="L4473" s="165"/>
      <c r="M4473" s="6"/>
      <c r="N4473" s="32"/>
      <c r="Q4473" s="10" t="str">
        <f>+CONCATENATE(E4472,I4472)</f>
        <v/>
      </c>
      <c r="R4473" s="10">
        <f>+J4472</f>
        <v>0</v>
      </c>
      <c r="S4473" s="11"/>
      <c r="T4473" s="10">
        <f>+E4472</f>
        <v>0</v>
      </c>
      <c r="U4473" s="19" t="str">
        <f>IFERROR(LEFT(I4472,FIND("*",I4472)-1),"-")</f>
        <v>-</v>
      </c>
      <c r="V4473" s="19" t="str">
        <f>IFERROR(RIGHT(I4472,LEN(I4472)-FIND("*",I4472)),"-")</f>
        <v>-</v>
      </c>
      <c r="W4473" s="20" t="str">
        <f t="shared" si="2428"/>
        <v>-</v>
      </c>
      <c r="X4473" s="20" t="str">
        <f t="shared" ref="X4473" si="2433">IFERROR(W4473*J4472,"-")</f>
        <v>-</v>
      </c>
      <c r="Z4473" s="85" t="s">
        <v>82</v>
      </c>
    </row>
    <row r="4474" spans="1:26" ht="6.95" customHeight="1" x14ac:dyDescent="0.3">
      <c r="A4474" s="5"/>
      <c r="B4474" s="157"/>
      <c r="C4474" s="158"/>
      <c r="D4474" s="161"/>
      <c r="E4474" s="162"/>
      <c r="F4474" s="163"/>
      <c r="G4474" s="164"/>
      <c r="H4474" s="165"/>
      <c r="I4474" s="164"/>
      <c r="J4474" s="165"/>
      <c r="K4474" s="164"/>
      <c r="L4474" s="165"/>
      <c r="M4474" s="6"/>
      <c r="N4474" s="32"/>
      <c r="Q4474" s="10" t="str">
        <f>+CONCATENATE(E4472,K4472)</f>
        <v/>
      </c>
      <c r="R4474" s="10">
        <f>+L4472</f>
        <v>0</v>
      </c>
      <c r="S4474" s="11"/>
      <c r="T4474" s="10">
        <f>+E4472</f>
        <v>0</v>
      </c>
      <c r="U4474" s="19" t="str">
        <f>IFERROR(LEFT(K4472,FIND("*",K4472)-1),"-")</f>
        <v>-</v>
      </c>
      <c r="V4474" s="19" t="str">
        <f>IFERROR(RIGHT(K4472,LEN(K4472)-FIND("*",K4472)),"-")</f>
        <v>-</v>
      </c>
      <c r="W4474" s="20" t="str">
        <f t="shared" si="2428"/>
        <v>-</v>
      </c>
      <c r="X4474" s="20" t="str">
        <f>IFERROR(W4474*L4472,"-")</f>
        <v>-</v>
      </c>
      <c r="Z4474" s="85" t="s">
        <v>82</v>
      </c>
    </row>
    <row r="4475" spans="1:26" ht="21" customHeight="1" thickBot="1" x14ac:dyDescent="0.35">
      <c r="A4475" s="5"/>
      <c r="B4475" s="159"/>
      <c r="C4475" s="160"/>
      <c r="D4475" s="166" t="s">
        <v>43</v>
      </c>
      <c r="E4475" s="167"/>
      <c r="F4475" s="167"/>
      <c r="G4475" s="168"/>
      <c r="H4475" s="168"/>
      <c r="I4475" s="168"/>
      <c r="J4475" s="168"/>
      <c r="K4475" s="168"/>
      <c r="L4475" s="168"/>
      <c r="M4475" s="7"/>
      <c r="N4475" s="32"/>
      <c r="Z4475" s="86" t="s">
        <v>81</v>
      </c>
    </row>
    <row r="4476" spans="1:26" ht="9.9499999999999993" customHeight="1" thickBot="1" x14ac:dyDescent="0.35">
      <c r="B4476" s="9"/>
      <c r="C4476" s="109"/>
      <c r="D4476" s="51"/>
      <c r="E4476" s="12"/>
      <c r="F4476" s="51"/>
      <c r="G4476" s="14"/>
      <c r="H4476" s="14"/>
      <c r="I4476" s="14"/>
      <c r="J4476" s="14"/>
      <c r="K4476" s="14"/>
      <c r="L4476" s="14"/>
      <c r="M4476" s="9"/>
      <c r="N4476" s="32"/>
      <c r="U4476" s="18"/>
      <c r="V4476" s="18"/>
      <c r="Z4476" s="85" t="s">
        <v>82</v>
      </c>
    </row>
    <row r="4477" spans="1:26" ht="6.95" customHeight="1" x14ac:dyDescent="0.3">
      <c r="A4477" s="154">
        <f>+A4466+1</f>
        <v>1206</v>
      </c>
      <c r="B4477" s="155"/>
      <c r="C4477" s="156"/>
      <c r="D4477" s="161" t="s">
        <v>39</v>
      </c>
      <c r="E4477" s="162"/>
      <c r="F4477" s="163" t="s">
        <v>40</v>
      </c>
      <c r="G4477" s="164"/>
      <c r="H4477" s="165"/>
      <c r="I4477" s="164"/>
      <c r="J4477" s="165"/>
      <c r="K4477" s="164"/>
      <c r="L4477" s="165"/>
      <c r="M4477" s="6"/>
      <c r="N4477" s="32"/>
      <c r="Q4477" s="10" t="str">
        <f>+CONCATENATE(E4477,G4477)</f>
        <v/>
      </c>
      <c r="R4477" s="10">
        <f>+H4477</f>
        <v>0</v>
      </c>
      <c r="S4477" s="11"/>
      <c r="T4477" s="10">
        <f>+E4477</f>
        <v>0</v>
      </c>
      <c r="U4477" s="19" t="str">
        <f>IFERROR(LEFT(G4477,FIND("*",G4477)-1),"-")</f>
        <v>-</v>
      </c>
      <c r="V4477" s="19" t="str">
        <f>IFERROR(RIGHT(G4477,LEN(G4477)-FIND("*",G4477)),"-")</f>
        <v>-</v>
      </c>
      <c r="W4477" s="20" t="str">
        <f>IFERROR((U4477+V4477)*2/1000,"-")</f>
        <v>-</v>
      </c>
      <c r="X4477" s="20" t="str">
        <f>IFERROR(W4477*H4477,"-")</f>
        <v>-</v>
      </c>
      <c r="Z4477" s="85" t="s">
        <v>82</v>
      </c>
    </row>
    <row r="4478" spans="1:26" ht="6.95" customHeight="1" x14ac:dyDescent="0.3">
      <c r="A4478" s="154"/>
      <c r="B4478" s="157"/>
      <c r="C4478" s="158"/>
      <c r="D4478" s="161"/>
      <c r="E4478" s="162"/>
      <c r="F4478" s="163"/>
      <c r="G4478" s="164"/>
      <c r="H4478" s="165"/>
      <c r="I4478" s="164"/>
      <c r="J4478" s="165"/>
      <c r="K4478" s="164"/>
      <c r="L4478" s="165"/>
      <c r="M4478" s="6"/>
      <c r="N4478" s="32"/>
      <c r="Q4478" s="10" t="str">
        <f>+CONCATENATE(E4477,I4477)</f>
        <v/>
      </c>
      <c r="R4478" s="10">
        <f>+J4477</f>
        <v>0</v>
      </c>
      <c r="S4478" s="11"/>
      <c r="T4478" s="10">
        <f>+E4477</f>
        <v>0</v>
      </c>
      <c r="U4478" s="19" t="str">
        <f>IFERROR(LEFT(I4477,FIND("*",I4477)-1),"-")</f>
        <v>-</v>
      </c>
      <c r="V4478" s="19" t="str">
        <f>IFERROR(RIGHT(I4477,LEN(I4477)-FIND("*",I4477)),"-")</f>
        <v>-</v>
      </c>
      <c r="W4478" s="20" t="str">
        <f t="shared" ref="W4478:W4485" si="2434">IFERROR((U4478+V4478)*2/1000,"-")</f>
        <v>-</v>
      </c>
      <c r="X4478" s="20" t="str">
        <f>IFERROR(W4478*J4477,"-")</f>
        <v>-</v>
      </c>
      <c r="Z4478" s="85" t="s">
        <v>82</v>
      </c>
    </row>
    <row r="4479" spans="1:26" ht="6.95" customHeight="1" x14ac:dyDescent="0.3">
      <c r="A4479" s="154"/>
      <c r="B4479" s="157"/>
      <c r="C4479" s="158"/>
      <c r="D4479" s="161"/>
      <c r="E4479" s="162"/>
      <c r="F4479" s="163"/>
      <c r="G4479" s="164"/>
      <c r="H4479" s="165"/>
      <c r="I4479" s="164"/>
      <c r="J4479" s="165"/>
      <c r="K4479" s="164"/>
      <c r="L4479" s="165"/>
      <c r="M4479" s="6"/>
      <c r="N4479" s="32"/>
      <c r="Q4479" s="10" t="str">
        <f>+CONCATENATE(E4477,K4477)</f>
        <v/>
      </c>
      <c r="R4479" s="10">
        <f>+L4477</f>
        <v>0</v>
      </c>
      <c r="S4479" s="11"/>
      <c r="T4479" s="10">
        <f>+E4477</f>
        <v>0</v>
      </c>
      <c r="U4479" s="19" t="str">
        <f>IFERROR(LEFT(K4477,FIND("*",K4477)-1),"-")</f>
        <v>-</v>
      </c>
      <c r="V4479" s="19" t="str">
        <f>IFERROR(RIGHT(K4477,LEN(K4477)-FIND("*",K4477)),"-")</f>
        <v>-</v>
      </c>
      <c r="W4479" s="20" t="str">
        <f t="shared" si="2434"/>
        <v>-</v>
      </c>
      <c r="X4479" s="20" t="str">
        <f>IFERROR(W4479*L4477,"-")</f>
        <v>-</v>
      </c>
      <c r="Z4479" s="85" t="s">
        <v>82</v>
      </c>
    </row>
    <row r="4480" spans="1:26" ht="6.95" customHeight="1" x14ac:dyDescent="0.3">
      <c r="A4480" s="8"/>
      <c r="B4480" s="157"/>
      <c r="C4480" s="158"/>
      <c r="D4480" s="161" t="s">
        <v>39</v>
      </c>
      <c r="E4480" s="162"/>
      <c r="F4480" s="163" t="s">
        <v>40</v>
      </c>
      <c r="G4480" s="164"/>
      <c r="H4480" s="165"/>
      <c r="I4480" s="164"/>
      <c r="J4480" s="165"/>
      <c r="K4480" s="164"/>
      <c r="L4480" s="165"/>
      <c r="M4480" s="6"/>
      <c r="N4480" s="32"/>
      <c r="Q4480" s="10" t="str">
        <f>+CONCATENATE(E4480,G4480)</f>
        <v/>
      </c>
      <c r="R4480" s="10">
        <f>+H4480</f>
        <v>0</v>
      </c>
      <c r="S4480" s="11"/>
      <c r="T4480" s="10">
        <f>+E4480</f>
        <v>0</v>
      </c>
      <c r="U4480" s="19" t="str">
        <f t="shared" ref="U4480" si="2435">IFERROR(LEFT(G4480,FIND("*",G4480)-1),"-")</f>
        <v>-</v>
      </c>
      <c r="V4480" s="19" t="str">
        <f t="shared" ref="V4480" si="2436">IFERROR(RIGHT(G4480,LEN(G4480)-FIND("*",G4480)),"-")</f>
        <v>-</v>
      </c>
      <c r="W4480" s="20" t="str">
        <f t="shared" si="2434"/>
        <v>-</v>
      </c>
      <c r="X4480" s="20" t="str">
        <f>IFERROR(W4480*H4480,"-")</f>
        <v>-</v>
      </c>
      <c r="Z4480" s="85" t="s">
        <v>82</v>
      </c>
    </row>
    <row r="4481" spans="1:26" ht="6.95" customHeight="1" x14ac:dyDescent="0.3">
      <c r="A4481" s="5"/>
      <c r="B4481" s="157"/>
      <c r="C4481" s="158"/>
      <c r="D4481" s="161"/>
      <c r="E4481" s="162"/>
      <c r="F4481" s="163"/>
      <c r="G4481" s="164"/>
      <c r="H4481" s="165"/>
      <c r="I4481" s="164"/>
      <c r="J4481" s="165"/>
      <c r="K4481" s="164"/>
      <c r="L4481" s="165"/>
      <c r="M4481" s="6"/>
      <c r="N4481" s="32"/>
      <c r="Q4481" s="10" t="str">
        <f>+CONCATENATE(E4480,I4480)</f>
        <v/>
      </c>
      <c r="R4481" s="10">
        <f>+J4480</f>
        <v>0</v>
      </c>
      <c r="S4481" s="11"/>
      <c r="T4481" s="10">
        <f>+E4480</f>
        <v>0</v>
      </c>
      <c r="U4481" s="19" t="str">
        <f>IFERROR(LEFT(I4480,FIND("*",I4480)-1),"-")</f>
        <v>-</v>
      </c>
      <c r="V4481" s="19" t="str">
        <f>IFERROR(RIGHT(I4480,LEN(I4480)-FIND("*",I4480)),"-")</f>
        <v>-</v>
      </c>
      <c r="W4481" s="20" t="str">
        <f t="shared" si="2434"/>
        <v>-</v>
      </c>
      <c r="X4481" s="20" t="str">
        <f>IFERROR(W4481*J4480,"-")</f>
        <v>-</v>
      </c>
      <c r="Z4481" s="85" t="s">
        <v>82</v>
      </c>
    </row>
    <row r="4482" spans="1:26" ht="6.95" customHeight="1" x14ac:dyDescent="0.3">
      <c r="A4482" s="5"/>
      <c r="B4482" s="157"/>
      <c r="C4482" s="158"/>
      <c r="D4482" s="161"/>
      <c r="E4482" s="162"/>
      <c r="F4482" s="163"/>
      <c r="G4482" s="164"/>
      <c r="H4482" s="165"/>
      <c r="I4482" s="164"/>
      <c r="J4482" s="165"/>
      <c r="K4482" s="164"/>
      <c r="L4482" s="165"/>
      <c r="M4482" s="6"/>
      <c r="N4482" s="32"/>
      <c r="Q4482" s="10" t="str">
        <f>+CONCATENATE(E4480,K4480)</f>
        <v/>
      </c>
      <c r="R4482" s="10">
        <f>+L4480</f>
        <v>0</v>
      </c>
      <c r="S4482" s="11"/>
      <c r="T4482" s="10">
        <f>+E4480</f>
        <v>0</v>
      </c>
      <c r="U4482" s="19" t="str">
        <f>IFERROR(LEFT(K4480,FIND("*",K4480)-1),"-")</f>
        <v>-</v>
      </c>
      <c r="V4482" s="19" t="str">
        <f>IFERROR(RIGHT(K4480,LEN(K4480)-FIND("*",K4480)),"-")</f>
        <v>-</v>
      </c>
      <c r="W4482" s="20" t="str">
        <f t="shared" si="2434"/>
        <v>-</v>
      </c>
      <c r="X4482" s="20" t="str">
        <f>IFERROR(W4482*L4480,"-")</f>
        <v>-</v>
      </c>
      <c r="Z4482" s="85" t="s">
        <v>82</v>
      </c>
    </row>
    <row r="4483" spans="1:26" ht="6.95" customHeight="1" x14ac:dyDescent="0.3">
      <c r="A4483" s="8"/>
      <c r="B4483" s="157"/>
      <c r="C4483" s="158"/>
      <c r="D4483" s="161" t="s">
        <v>39</v>
      </c>
      <c r="E4483" s="162"/>
      <c r="F4483" s="163" t="s">
        <v>40</v>
      </c>
      <c r="G4483" s="164"/>
      <c r="H4483" s="165"/>
      <c r="I4483" s="164"/>
      <c r="J4483" s="165"/>
      <c r="K4483" s="164"/>
      <c r="L4483" s="165"/>
      <c r="M4483" s="6"/>
      <c r="N4483" s="32"/>
      <c r="Q4483" s="10" t="str">
        <f>+CONCATENATE(E4483,G4483)</f>
        <v/>
      </c>
      <c r="R4483" s="10">
        <f>+H4483</f>
        <v>0</v>
      </c>
      <c r="S4483" s="11"/>
      <c r="T4483" s="10">
        <f>+E4483</f>
        <v>0</v>
      </c>
      <c r="U4483" s="19" t="str">
        <f t="shared" ref="U4483" si="2437">IFERROR(LEFT(G4483,FIND("*",G4483)-1),"-")</f>
        <v>-</v>
      </c>
      <c r="V4483" s="19" t="str">
        <f t="shared" ref="V4483" si="2438">IFERROR(RIGHT(G4483,LEN(G4483)-FIND("*",G4483)),"-")</f>
        <v>-</v>
      </c>
      <c r="W4483" s="20" t="str">
        <f t="shared" si="2434"/>
        <v>-</v>
      </c>
      <c r="X4483" s="20" t="str">
        <f>IFERROR(W4483*H4483,"-")</f>
        <v>-</v>
      </c>
      <c r="Z4483" s="85" t="s">
        <v>82</v>
      </c>
    </row>
    <row r="4484" spans="1:26" ht="6.95" customHeight="1" x14ac:dyDescent="0.3">
      <c r="A4484" s="5"/>
      <c r="B4484" s="157"/>
      <c r="C4484" s="158"/>
      <c r="D4484" s="161"/>
      <c r="E4484" s="162"/>
      <c r="F4484" s="163"/>
      <c r="G4484" s="164"/>
      <c r="H4484" s="165"/>
      <c r="I4484" s="164"/>
      <c r="J4484" s="165"/>
      <c r="K4484" s="164"/>
      <c r="L4484" s="165"/>
      <c r="M4484" s="6"/>
      <c r="N4484" s="32"/>
      <c r="Q4484" s="10" t="str">
        <f>+CONCATENATE(E4483,I4483)</f>
        <v/>
      </c>
      <c r="R4484" s="10">
        <f>+J4483</f>
        <v>0</v>
      </c>
      <c r="S4484" s="11"/>
      <c r="T4484" s="10">
        <f>+E4483</f>
        <v>0</v>
      </c>
      <c r="U4484" s="19" t="str">
        <f>IFERROR(LEFT(I4483,FIND("*",I4483)-1),"-")</f>
        <v>-</v>
      </c>
      <c r="V4484" s="19" t="str">
        <f>IFERROR(RIGHT(I4483,LEN(I4483)-FIND("*",I4483)),"-")</f>
        <v>-</v>
      </c>
      <c r="W4484" s="20" t="str">
        <f t="shared" si="2434"/>
        <v>-</v>
      </c>
      <c r="X4484" s="20" t="str">
        <f t="shared" ref="X4484" si="2439">IFERROR(W4484*J4483,"-")</f>
        <v>-</v>
      </c>
      <c r="Z4484" s="85" t="s">
        <v>82</v>
      </c>
    </row>
    <row r="4485" spans="1:26" ht="6.95" customHeight="1" x14ac:dyDescent="0.3">
      <c r="A4485" s="5"/>
      <c r="B4485" s="157"/>
      <c r="C4485" s="158"/>
      <c r="D4485" s="161"/>
      <c r="E4485" s="162"/>
      <c r="F4485" s="163"/>
      <c r="G4485" s="164"/>
      <c r="H4485" s="165"/>
      <c r="I4485" s="164"/>
      <c r="J4485" s="165"/>
      <c r="K4485" s="164"/>
      <c r="L4485" s="165"/>
      <c r="M4485" s="6"/>
      <c r="N4485" s="32"/>
      <c r="Q4485" s="10" t="str">
        <f>+CONCATENATE(E4483,K4483)</f>
        <v/>
      </c>
      <c r="R4485" s="10">
        <f>+L4483</f>
        <v>0</v>
      </c>
      <c r="S4485" s="11"/>
      <c r="T4485" s="10">
        <f>+E4483</f>
        <v>0</v>
      </c>
      <c r="U4485" s="19" t="str">
        <f>IFERROR(LEFT(K4483,FIND("*",K4483)-1),"-")</f>
        <v>-</v>
      </c>
      <c r="V4485" s="19" t="str">
        <f>IFERROR(RIGHT(K4483,LEN(K4483)-FIND("*",K4483)),"-")</f>
        <v>-</v>
      </c>
      <c r="W4485" s="20" t="str">
        <f t="shared" si="2434"/>
        <v>-</v>
      </c>
      <c r="X4485" s="20" t="str">
        <f>IFERROR(W4485*L4483,"-")</f>
        <v>-</v>
      </c>
      <c r="Z4485" s="85" t="s">
        <v>82</v>
      </c>
    </row>
    <row r="4486" spans="1:26" ht="21" customHeight="1" thickBot="1" x14ac:dyDescent="0.35">
      <c r="A4486" s="5"/>
      <c r="B4486" s="159"/>
      <c r="C4486" s="160"/>
      <c r="D4486" s="166" t="s">
        <v>43</v>
      </c>
      <c r="E4486" s="167"/>
      <c r="F4486" s="167"/>
      <c r="G4486" s="168"/>
      <c r="H4486" s="168"/>
      <c r="I4486" s="168"/>
      <c r="J4486" s="168"/>
      <c r="K4486" s="168"/>
      <c r="L4486" s="168"/>
      <c r="M4486" s="7"/>
      <c r="N4486" s="32"/>
      <c r="Z4486" s="86" t="s">
        <v>81</v>
      </c>
    </row>
    <row r="4487" spans="1:26" ht="9.9499999999999993" customHeight="1" thickBot="1" x14ac:dyDescent="0.35">
      <c r="B4487" s="9"/>
      <c r="C4487" s="109"/>
      <c r="D4487" s="51"/>
      <c r="E4487" s="12"/>
      <c r="F4487" s="51"/>
      <c r="G4487" s="14"/>
      <c r="H4487" s="14"/>
      <c r="I4487" s="14"/>
      <c r="J4487" s="14"/>
      <c r="K4487" s="14"/>
      <c r="L4487" s="14"/>
      <c r="M4487" s="9"/>
      <c r="N4487" s="32"/>
      <c r="U4487" s="18"/>
      <c r="V4487" s="18"/>
      <c r="Z4487" s="85" t="s">
        <v>82</v>
      </c>
    </row>
    <row r="4488" spans="1:26" ht="6.95" customHeight="1" x14ac:dyDescent="0.3">
      <c r="A4488" s="154">
        <f>+A4477+1</f>
        <v>1207</v>
      </c>
      <c r="B4488" s="155"/>
      <c r="C4488" s="156"/>
      <c r="D4488" s="161" t="s">
        <v>39</v>
      </c>
      <c r="E4488" s="162"/>
      <c r="F4488" s="163" t="s">
        <v>40</v>
      </c>
      <c r="G4488" s="164"/>
      <c r="H4488" s="165"/>
      <c r="I4488" s="164"/>
      <c r="J4488" s="165"/>
      <c r="K4488" s="164"/>
      <c r="L4488" s="165"/>
      <c r="M4488" s="6"/>
      <c r="N4488" s="32"/>
      <c r="Q4488" s="10" t="str">
        <f>+CONCATENATE(E4488,G4488)</f>
        <v/>
      </c>
      <c r="R4488" s="10">
        <f>+H4488</f>
        <v>0</v>
      </c>
      <c r="S4488" s="11"/>
      <c r="T4488" s="10">
        <f>+E4488</f>
        <v>0</v>
      </c>
      <c r="U4488" s="19" t="str">
        <f>IFERROR(LEFT(G4488,FIND("*",G4488)-1),"-")</f>
        <v>-</v>
      </c>
      <c r="V4488" s="19" t="str">
        <f>IFERROR(RIGHT(G4488,LEN(G4488)-FIND("*",G4488)),"-")</f>
        <v>-</v>
      </c>
      <c r="W4488" s="20" t="str">
        <f>IFERROR((U4488+V4488)*2/1000,"-")</f>
        <v>-</v>
      </c>
      <c r="X4488" s="20" t="str">
        <f>IFERROR(W4488*H4488,"-")</f>
        <v>-</v>
      </c>
      <c r="Z4488" s="85" t="s">
        <v>82</v>
      </c>
    </row>
    <row r="4489" spans="1:26" ht="6.95" customHeight="1" x14ac:dyDescent="0.3">
      <c r="A4489" s="154"/>
      <c r="B4489" s="157"/>
      <c r="C4489" s="158"/>
      <c r="D4489" s="161"/>
      <c r="E4489" s="162"/>
      <c r="F4489" s="163"/>
      <c r="G4489" s="164"/>
      <c r="H4489" s="165"/>
      <c r="I4489" s="164"/>
      <c r="J4489" s="165"/>
      <c r="K4489" s="164"/>
      <c r="L4489" s="165"/>
      <c r="M4489" s="6"/>
      <c r="N4489" s="32"/>
      <c r="Q4489" s="10" t="str">
        <f>+CONCATENATE(E4488,I4488)</f>
        <v/>
      </c>
      <c r="R4489" s="10">
        <f>+J4488</f>
        <v>0</v>
      </c>
      <c r="S4489" s="11"/>
      <c r="T4489" s="10">
        <f>+E4488</f>
        <v>0</v>
      </c>
      <c r="U4489" s="19" t="str">
        <f>IFERROR(LEFT(I4488,FIND("*",I4488)-1),"-")</f>
        <v>-</v>
      </c>
      <c r="V4489" s="19" t="str">
        <f>IFERROR(RIGHT(I4488,LEN(I4488)-FIND("*",I4488)),"-")</f>
        <v>-</v>
      </c>
      <c r="W4489" s="20" t="str">
        <f t="shared" ref="W4489:W4496" si="2440">IFERROR((U4489+V4489)*2/1000,"-")</f>
        <v>-</v>
      </c>
      <c r="X4489" s="20" t="str">
        <f>IFERROR(W4489*J4488,"-")</f>
        <v>-</v>
      </c>
      <c r="Z4489" s="85" t="s">
        <v>82</v>
      </c>
    </row>
    <row r="4490" spans="1:26" ht="6.95" customHeight="1" x14ac:dyDescent="0.3">
      <c r="A4490" s="154"/>
      <c r="B4490" s="157"/>
      <c r="C4490" s="158"/>
      <c r="D4490" s="161"/>
      <c r="E4490" s="162"/>
      <c r="F4490" s="163"/>
      <c r="G4490" s="164"/>
      <c r="H4490" s="165"/>
      <c r="I4490" s="164"/>
      <c r="J4490" s="165"/>
      <c r="K4490" s="164"/>
      <c r="L4490" s="165"/>
      <c r="M4490" s="6"/>
      <c r="N4490" s="32"/>
      <c r="Q4490" s="10" t="str">
        <f>+CONCATENATE(E4488,K4488)</f>
        <v/>
      </c>
      <c r="R4490" s="10">
        <f>+L4488</f>
        <v>0</v>
      </c>
      <c r="S4490" s="11"/>
      <c r="T4490" s="10">
        <f>+E4488</f>
        <v>0</v>
      </c>
      <c r="U4490" s="19" t="str">
        <f>IFERROR(LEFT(K4488,FIND("*",K4488)-1),"-")</f>
        <v>-</v>
      </c>
      <c r="V4490" s="19" t="str">
        <f>IFERROR(RIGHT(K4488,LEN(K4488)-FIND("*",K4488)),"-")</f>
        <v>-</v>
      </c>
      <c r="W4490" s="20" t="str">
        <f t="shared" si="2440"/>
        <v>-</v>
      </c>
      <c r="X4490" s="20" t="str">
        <f>IFERROR(W4490*L4488,"-")</f>
        <v>-</v>
      </c>
      <c r="Z4490" s="85" t="s">
        <v>82</v>
      </c>
    </row>
    <row r="4491" spans="1:26" ht="6.95" customHeight="1" x14ac:dyDescent="0.3">
      <c r="A4491" s="8"/>
      <c r="B4491" s="157"/>
      <c r="C4491" s="158"/>
      <c r="D4491" s="161" t="s">
        <v>39</v>
      </c>
      <c r="E4491" s="162"/>
      <c r="F4491" s="163" t="s">
        <v>40</v>
      </c>
      <c r="G4491" s="164"/>
      <c r="H4491" s="165"/>
      <c r="I4491" s="164"/>
      <c r="J4491" s="165"/>
      <c r="K4491" s="164"/>
      <c r="L4491" s="165"/>
      <c r="M4491" s="6"/>
      <c r="N4491" s="32"/>
      <c r="Q4491" s="10" t="str">
        <f>+CONCATENATE(E4491,G4491)</f>
        <v/>
      </c>
      <c r="R4491" s="10">
        <f>+H4491</f>
        <v>0</v>
      </c>
      <c r="S4491" s="11"/>
      <c r="T4491" s="10">
        <f>+E4491</f>
        <v>0</v>
      </c>
      <c r="U4491" s="19" t="str">
        <f t="shared" ref="U4491" si="2441">IFERROR(LEFT(G4491,FIND("*",G4491)-1),"-")</f>
        <v>-</v>
      </c>
      <c r="V4491" s="19" t="str">
        <f t="shared" ref="V4491" si="2442">IFERROR(RIGHT(G4491,LEN(G4491)-FIND("*",G4491)),"-")</f>
        <v>-</v>
      </c>
      <c r="W4491" s="20" t="str">
        <f t="shared" si="2440"/>
        <v>-</v>
      </c>
      <c r="X4491" s="20" t="str">
        <f>IFERROR(W4491*H4491,"-")</f>
        <v>-</v>
      </c>
      <c r="Z4491" s="85" t="s">
        <v>82</v>
      </c>
    </row>
    <row r="4492" spans="1:26" ht="6.95" customHeight="1" x14ac:dyDescent="0.3">
      <c r="A4492" s="5"/>
      <c r="B4492" s="157"/>
      <c r="C4492" s="158"/>
      <c r="D4492" s="161"/>
      <c r="E4492" s="162"/>
      <c r="F4492" s="163"/>
      <c r="G4492" s="164"/>
      <c r="H4492" s="165"/>
      <c r="I4492" s="164"/>
      <c r="J4492" s="165"/>
      <c r="K4492" s="164"/>
      <c r="L4492" s="165"/>
      <c r="M4492" s="6"/>
      <c r="N4492" s="32"/>
      <c r="Q4492" s="10" t="str">
        <f>+CONCATENATE(E4491,I4491)</f>
        <v/>
      </c>
      <c r="R4492" s="10">
        <f>+J4491</f>
        <v>0</v>
      </c>
      <c r="S4492" s="11"/>
      <c r="T4492" s="10">
        <f>+E4491</f>
        <v>0</v>
      </c>
      <c r="U4492" s="19" t="str">
        <f>IFERROR(LEFT(I4491,FIND("*",I4491)-1),"-")</f>
        <v>-</v>
      </c>
      <c r="V4492" s="19" t="str">
        <f>IFERROR(RIGHT(I4491,LEN(I4491)-FIND("*",I4491)),"-")</f>
        <v>-</v>
      </c>
      <c r="W4492" s="20" t="str">
        <f t="shared" si="2440"/>
        <v>-</v>
      </c>
      <c r="X4492" s="20" t="str">
        <f>IFERROR(W4492*J4491,"-")</f>
        <v>-</v>
      </c>
      <c r="Z4492" s="85" t="s">
        <v>82</v>
      </c>
    </row>
    <row r="4493" spans="1:26" ht="6.95" customHeight="1" x14ac:dyDescent="0.3">
      <c r="A4493" s="5"/>
      <c r="B4493" s="157"/>
      <c r="C4493" s="158"/>
      <c r="D4493" s="161"/>
      <c r="E4493" s="162"/>
      <c r="F4493" s="163"/>
      <c r="G4493" s="164"/>
      <c r="H4493" s="165"/>
      <c r="I4493" s="164"/>
      <c r="J4493" s="165"/>
      <c r="K4493" s="164"/>
      <c r="L4493" s="165"/>
      <c r="M4493" s="6"/>
      <c r="N4493" s="32"/>
      <c r="Q4493" s="10" t="str">
        <f>+CONCATENATE(E4491,K4491)</f>
        <v/>
      </c>
      <c r="R4493" s="10">
        <f>+L4491</f>
        <v>0</v>
      </c>
      <c r="S4493" s="11"/>
      <c r="T4493" s="10">
        <f>+E4491</f>
        <v>0</v>
      </c>
      <c r="U4493" s="19" t="str">
        <f>IFERROR(LEFT(K4491,FIND("*",K4491)-1),"-")</f>
        <v>-</v>
      </c>
      <c r="V4493" s="19" t="str">
        <f>IFERROR(RIGHT(K4491,LEN(K4491)-FIND("*",K4491)),"-")</f>
        <v>-</v>
      </c>
      <c r="W4493" s="20" t="str">
        <f t="shared" si="2440"/>
        <v>-</v>
      </c>
      <c r="X4493" s="20" t="str">
        <f>IFERROR(W4493*L4491,"-")</f>
        <v>-</v>
      </c>
      <c r="Z4493" s="85" t="s">
        <v>82</v>
      </c>
    </row>
    <row r="4494" spans="1:26" ht="6.95" customHeight="1" x14ac:dyDescent="0.3">
      <c r="A4494" s="8"/>
      <c r="B4494" s="157"/>
      <c r="C4494" s="158"/>
      <c r="D4494" s="161" t="s">
        <v>39</v>
      </c>
      <c r="E4494" s="162"/>
      <c r="F4494" s="163" t="s">
        <v>40</v>
      </c>
      <c r="G4494" s="164"/>
      <c r="H4494" s="165"/>
      <c r="I4494" s="164"/>
      <c r="J4494" s="165"/>
      <c r="K4494" s="164"/>
      <c r="L4494" s="165"/>
      <c r="M4494" s="6"/>
      <c r="N4494" s="32"/>
      <c r="Q4494" s="10" t="str">
        <f>+CONCATENATE(E4494,G4494)</f>
        <v/>
      </c>
      <c r="R4494" s="10">
        <f>+H4494</f>
        <v>0</v>
      </c>
      <c r="S4494" s="11"/>
      <c r="T4494" s="10">
        <f>+E4494</f>
        <v>0</v>
      </c>
      <c r="U4494" s="19" t="str">
        <f t="shared" ref="U4494" si="2443">IFERROR(LEFT(G4494,FIND("*",G4494)-1),"-")</f>
        <v>-</v>
      </c>
      <c r="V4494" s="19" t="str">
        <f t="shared" ref="V4494" si="2444">IFERROR(RIGHT(G4494,LEN(G4494)-FIND("*",G4494)),"-")</f>
        <v>-</v>
      </c>
      <c r="W4494" s="20" t="str">
        <f t="shared" si="2440"/>
        <v>-</v>
      </c>
      <c r="X4494" s="20" t="str">
        <f>IFERROR(W4494*H4494,"-")</f>
        <v>-</v>
      </c>
      <c r="Z4494" s="85" t="s">
        <v>82</v>
      </c>
    </row>
    <row r="4495" spans="1:26" ht="6.95" customHeight="1" x14ac:dyDescent="0.3">
      <c r="A4495" s="5"/>
      <c r="B4495" s="157"/>
      <c r="C4495" s="158"/>
      <c r="D4495" s="161"/>
      <c r="E4495" s="162"/>
      <c r="F4495" s="163"/>
      <c r="G4495" s="164"/>
      <c r="H4495" s="165"/>
      <c r="I4495" s="164"/>
      <c r="J4495" s="165"/>
      <c r="K4495" s="164"/>
      <c r="L4495" s="165"/>
      <c r="M4495" s="6"/>
      <c r="N4495" s="32"/>
      <c r="Q4495" s="10" t="str">
        <f>+CONCATENATE(E4494,I4494)</f>
        <v/>
      </c>
      <c r="R4495" s="10">
        <f>+J4494</f>
        <v>0</v>
      </c>
      <c r="S4495" s="11"/>
      <c r="T4495" s="10">
        <f>+E4494</f>
        <v>0</v>
      </c>
      <c r="U4495" s="19" t="str">
        <f>IFERROR(LEFT(I4494,FIND("*",I4494)-1),"-")</f>
        <v>-</v>
      </c>
      <c r="V4495" s="19" t="str">
        <f>IFERROR(RIGHT(I4494,LEN(I4494)-FIND("*",I4494)),"-")</f>
        <v>-</v>
      </c>
      <c r="W4495" s="20" t="str">
        <f t="shared" si="2440"/>
        <v>-</v>
      </c>
      <c r="X4495" s="20" t="str">
        <f t="shared" ref="X4495" si="2445">IFERROR(W4495*J4494,"-")</f>
        <v>-</v>
      </c>
      <c r="Z4495" s="85" t="s">
        <v>82</v>
      </c>
    </row>
    <row r="4496" spans="1:26" ht="6.95" customHeight="1" x14ac:dyDescent="0.3">
      <c r="A4496" s="5"/>
      <c r="B4496" s="157"/>
      <c r="C4496" s="158"/>
      <c r="D4496" s="161"/>
      <c r="E4496" s="162"/>
      <c r="F4496" s="163"/>
      <c r="G4496" s="164"/>
      <c r="H4496" s="165"/>
      <c r="I4496" s="164"/>
      <c r="J4496" s="165"/>
      <c r="K4496" s="164"/>
      <c r="L4496" s="165"/>
      <c r="M4496" s="6"/>
      <c r="N4496" s="32"/>
      <c r="Q4496" s="10" t="str">
        <f>+CONCATENATE(E4494,K4494)</f>
        <v/>
      </c>
      <c r="R4496" s="10">
        <f>+L4494</f>
        <v>0</v>
      </c>
      <c r="S4496" s="11"/>
      <c r="T4496" s="10">
        <f>+E4494</f>
        <v>0</v>
      </c>
      <c r="U4496" s="19" t="str">
        <f>IFERROR(LEFT(K4494,FIND("*",K4494)-1),"-")</f>
        <v>-</v>
      </c>
      <c r="V4496" s="19" t="str">
        <f>IFERROR(RIGHT(K4494,LEN(K4494)-FIND("*",K4494)),"-")</f>
        <v>-</v>
      </c>
      <c r="W4496" s="20" t="str">
        <f t="shared" si="2440"/>
        <v>-</v>
      </c>
      <c r="X4496" s="20" t="str">
        <f>IFERROR(W4496*L4494,"-")</f>
        <v>-</v>
      </c>
      <c r="Z4496" s="85" t="s">
        <v>82</v>
      </c>
    </row>
    <row r="4497" spans="1:26" ht="21" customHeight="1" thickBot="1" x14ac:dyDescent="0.35">
      <c r="A4497" s="5"/>
      <c r="B4497" s="159"/>
      <c r="C4497" s="160"/>
      <c r="D4497" s="166" t="s">
        <v>43</v>
      </c>
      <c r="E4497" s="167"/>
      <c r="F4497" s="167"/>
      <c r="G4497" s="168"/>
      <c r="H4497" s="168"/>
      <c r="I4497" s="168"/>
      <c r="J4497" s="168"/>
      <c r="K4497" s="168"/>
      <c r="L4497" s="168"/>
      <c r="M4497" s="7"/>
      <c r="N4497" s="32"/>
      <c r="Z4497" s="86" t="s">
        <v>81</v>
      </c>
    </row>
    <row r="4498" spans="1:26" ht="9.9499999999999993" customHeight="1" thickBot="1" x14ac:dyDescent="0.35">
      <c r="B4498" s="9"/>
      <c r="C4498" s="109"/>
      <c r="D4498" s="51"/>
      <c r="E4498" s="12"/>
      <c r="F4498" s="51"/>
      <c r="G4498" s="14"/>
      <c r="H4498" s="14"/>
      <c r="I4498" s="14"/>
      <c r="J4498" s="14"/>
      <c r="K4498" s="14"/>
      <c r="L4498" s="14"/>
      <c r="M4498" s="9"/>
      <c r="N4498" s="32"/>
      <c r="U4498" s="18"/>
      <c r="V4498" s="18"/>
      <c r="Z4498" s="85" t="s">
        <v>82</v>
      </c>
    </row>
    <row r="4499" spans="1:26" ht="6.95" customHeight="1" x14ac:dyDescent="0.3">
      <c r="A4499" s="154">
        <f>+A4488+1</f>
        <v>1208</v>
      </c>
      <c r="B4499" s="155"/>
      <c r="C4499" s="156"/>
      <c r="D4499" s="161" t="s">
        <v>39</v>
      </c>
      <c r="E4499" s="162"/>
      <c r="F4499" s="163" t="s">
        <v>40</v>
      </c>
      <c r="G4499" s="164"/>
      <c r="H4499" s="165"/>
      <c r="I4499" s="164"/>
      <c r="J4499" s="165"/>
      <c r="K4499" s="164"/>
      <c r="L4499" s="165"/>
      <c r="M4499" s="6"/>
      <c r="N4499" s="32"/>
      <c r="Q4499" s="10" t="str">
        <f>+CONCATENATE(E4499,G4499)</f>
        <v/>
      </c>
      <c r="R4499" s="10">
        <f>+H4499</f>
        <v>0</v>
      </c>
      <c r="S4499" s="11"/>
      <c r="T4499" s="10">
        <f>+E4499</f>
        <v>0</v>
      </c>
      <c r="U4499" s="19" t="str">
        <f>IFERROR(LEFT(G4499,FIND("*",G4499)-1),"-")</f>
        <v>-</v>
      </c>
      <c r="V4499" s="19" t="str">
        <f>IFERROR(RIGHT(G4499,LEN(G4499)-FIND("*",G4499)),"-")</f>
        <v>-</v>
      </c>
      <c r="W4499" s="20" t="str">
        <f>IFERROR((U4499+V4499)*2/1000,"-")</f>
        <v>-</v>
      </c>
      <c r="X4499" s="20" t="str">
        <f>IFERROR(W4499*H4499,"-")</f>
        <v>-</v>
      </c>
      <c r="Z4499" s="85" t="s">
        <v>82</v>
      </c>
    </row>
    <row r="4500" spans="1:26" ht="6.95" customHeight="1" x14ac:dyDescent="0.3">
      <c r="A4500" s="154"/>
      <c r="B4500" s="157"/>
      <c r="C4500" s="158"/>
      <c r="D4500" s="161"/>
      <c r="E4500" s="162"/>
      <c r="F4500" s="163"/>
      <c r="G4500" s="164"/>
      <c r="H4500" s="165"/>
      <c r="I4500" s="164"/>
      <c r="J4500" s="165"/>
      <c r="K4500" s="164"/>
      <c r="L4500" s="165"/>
      <c r="M4500" s="6"/>
      <c r="N4500" s="32"/>
      <c r="Q4500" s="10" t="str">
        <f>+CONCATENATE(E4499,I4499)</f>
        <v/>
      </c>
      <c r="R4500" s="10">
        <f>+J4499</f>
        <v>0</v>
      </c>
      <c r="S4500" s="11"/>
      <c r="T4500" s="10">
        <f>+E4499</f>
        <v>0</v>
      </c>
      <c r="U4500" s="19" t="str">
        <f>IFERROR(LEFT(I4499,FIND("*",I4499)-1),"-")</f>
        <v>-</v>
      </c>
      <c r="V4500" s="19" t="str">
        <f>IFERROR(RIGHT(I4499,LEN(I4499)-FIND("*",I4499)),"-")</f>
        <v>-</v>
      </c>
      <c r="W4500" s="20" t="str">
        <f t="shared" ref="W4500:W4507" si="2446">IFERROR((U4500+V4500)*2/1000,"-")</f>
        <v>-</v>
      </c>
      <c r="X4500" s="20" t="str">
        <f>IFERROR(W4500*J4499,"-")</f>
        <v>-</v>
      </c>
      <c r="Z4500" s="85" t="s">
        <v>82</v>
      </c>
    </row>
    <row r="4501" spans="1:26" ht="6.95" customHeight="1" x14ac:dyDescent="0.3">
      <c r="A4501" s="154"/>
      <c r="B4501" s="157"/>
      <c r="C4501" s="158"/>
      <c r="D4501" s="161"/>
      <c r="E4501" s="162"/>
      <c r="F4501" s="163"/>
      <c r="G4501" s="164"/>
      <c r="H4501" s="165"/>
      <c r="I4501" s="164"/>
      <c r="J4501" s="165"/>
      <c r="K4501" s="164"/>
      <c r="L4501" s="165"/>
      <c r="M4501" s="6"/>
      <c r="N4501" s="32"/>
      <c r="Q4501" s="10" t="str">
        <f>+CONCATENATE(E4499,K4499)</f>
        <v/>
      </c>
      <c r="R4501" s="10">
        <f>+L4499</f>
        <v>0</v>
      </c>
      <c r="S4501" s="11"/>
      <c r="T4501" s="10">
        <f>+E4499</f>
        <v>0</v>
      </c>
      <c r="U4501" s="19" t="str">
        <f>IFERROR(LEFT(K4499,FIND("*",K4499)-1),"-")</f>
        <v>-</v>
      </c>
      <c r="V4501" s="19" t="str">
        <f>IFERROR(RIGHT(K4499,LEN(K4499)-FIND("*",K4499)),"-")</f>
        <v>-</v>
      </c>
      <c r="W4501" s="20" t="str">
        <f t="shared" si="2446"/>
        <v>-</v>
      </c>
      <c r="X4501" s="20" t="str">
        <f>IFERROR(W4501*L4499,"-")</f>
        <v>-</v>
      </c>
      <c r="Z4501" s="85" t="s">
        <v>82</v>
      </c>
    </row>
    <row r="4502" spans="1:26" ht="6.95" customHeight="1" x14ac:dyDescent="0.3">
      <c r="A4502" s="8"/>
      <c r="B4502" s="157"/>
      <c r="C4502" s="158"/>
      <c r="D4502" s="161" t="s">
        <v>39</v>
      </c>
      <c r="E4502" s="162"/>
      <c r="F4502" s="163" t="s">
        <v>40</v>
      </c>
      <c r="G4502" s="164"/>
      <c r="H4502" s="165"/>
      <c r="I4502" s="164"/>
      <c r="J4502" s="165"/>
      <c r="K4502" s="164"/>
      <c r="L4502" s="165"/>
      <c r="M4502" s="6"/>
      <c r="N4502" s="32"/>
      <c r="Q4502" s="10" t="str">
        <f>+CONCATENATE(E4502,G4502)</f>
        <v/>
      </c>
      <c r="R4502" s="10">
        <f>+H4502</f>
        <v>0</v>
      </c>
      <c r="S4502" s="11"/>
      <c r="T4502" s="10">
        <f>+E4502</f>
        <v>0</v>
      </c>
      <c r="U4502" s="19" t="str">
        <f t="shared" ref="U4502" si="2447">IFERROR(LEFT(G4502,FIND("*",G4502)-1),"-")</f>
        <v>-</v>
      </c>
      <c r="V4502" s="19" t="str">
        <f t="shared" ref="V4502" si="2448">IFERROR(RIGHT(G4502,LEN(G4502)-FIND("*",G4502)),"-")</f>
        <v>-</v>
      </c>
      <c r="W4502" s="20" t="str">
        <f t="shared" si="2446"/>
        <v>-</v>
      </c>
      <c r="X4502" s="20" t="str">
        <f>IFERROR(W4502*H4502,"-")</f>
        <v>-</v>
      </c>
      <c r="Z4502" s="85" t="s">
        <v>82</v>
      </c>
    </row>
    <row r="4503" spans="1:26" ht="6.95" customHeight="1" x14ac:dyDescent="0.3">
      <c r="A4503" s="5"/>
      <c r="B4503" s="157"/>
      <c r="C4503" s="158"/>
      <c r="D4503" s="161"/>
      <c r="E4503" s="162"/>
      <c r="F4503" s="163"/>
      <c r="G4503" s="164"/>
      <c r="H4503" s="165"/>
      <c r="I4503" s="164"/>
      <c r="J4503" s="165"/>
      <c r="K4503" s="164"/>
      <c r="L4503" s="165"/>
      <c r="M4503" s="6"/>
      <c r="N4503" s="32"/>
      <c r="Q4503" s="10" t="str">
        <f>+CONCATENATE(E4502,I4502)</f>
        <v/>
      </c>
      <c r="R4503" s="10">
        <f>+J4502</f>
        <v>0</v>
      </c>
      <c r="S4503" s="11"/>
      <c r="T4503" s="10">
        <f>+E4502</f>
        <v>0</v>
      </c>
      <c r="U4503" s="19" t="str">
        <f>IFERROR(LEFT(I4502,FIND("*",I4502)-1),"-")</f>
        <v>-</v>
      </c>
      <c r="V4503" s="19" t="str">
        <f>IFERROR(RIGHT(I4502,LEN(I4502)-FIND("*",I4502)),"-")</f>
        <v>-</v>
      </c>
      <c r="W4503" s="20" t="str">
        <f t="shared" si="2446"/>
        <v>-</v>
      </c>
      <c r="X4503" s="20" t="str">
        <f>IFERROR(W4503*J4502,"-")</f>
        <v>-</v>
      </c>
      <c r="Z4503" s="85" t="s">
        <v>82</v>
      </c>
    </row>
    <row r="4504" spans="1:26" ht="6.95" customHeight="1" x14ac:dyDescent="0.3">
      <c r="A4504" s="5"/>
      <c r="B4504" s="157"/>
      <c r="C4504" s="158"/>
      <c r="D4504" s="161"/>
      <c r="E4504" s="162"/>
      <c r="F4504" s="163"/>
      <c r="G4504" s="164"/>
      <c r="H4504" s="165"/>
      <c r="I4504" s="164"/>
      <c r="J4504" s="165"/>
      <c r="K4504" s="164"/>
      <c r="L4504" s="165"/>
      <c r="M4504" s="6"/>
      <c r="N4504" s="32"/>
      <c r="Q4504" s="10" t="str">
        <f>+CONCATENATE(E4502,K4502)</f>
        <v/>
      </c>
      <c r="R4504" s="10">
        <f>+L4502</f>
        <v>0</v>
      </c>
      <c r="S4504" s="11"/>
      <c r="T4504" s="10">
        <f>+E4502</f>
        <v>0</v>
      </c>
      <c r="U4504" s="19" t="str">
        <f>IFERROR(LEFT(K4502,FIND("*",K4502)-1),"-")</f>
        <v>-</v>
      </c>
      <c r="V4504" s="19" t="str">
        <f>IFERROR(RIGHT(K4502,LEN(K4502)-FIND("*",K4502)),"-")</f>
        <v>-</v>
      </c>
      <c r="W4504" s="20" t="str">
        <f t="shared" si="2446"/>
        <v>-</v>
      </c>
      <c r="X4504" s="20" t="str">
        <f>IFERROR(W4504*L4502,"-")</f>
        <v>-</v>
      </c>
      <c r="Z4504" s="85" t="s">
        <v>82</v>
      </c>
    </row>
    <row r="4505" spans="1:26" ht="6.95" customHeight="1" x14ac:dyDescent="0.3">
      <c r="A4505" s="8"/>
      <c r="B4505" s="157"/>
      <c r="C4505" s="158"/>
      <c r="D4505" s="161" t="s">
        <v>39</v>
      </c>
      <c r="E4505" s="162"/>
      <c r="F4505" s="163" t="s">
        <v>40</v>
      </c>
      <c r="G4505" s="164"/>
      <c r="H4505" s="165"/>
      <c r="I4505" s="164"/>
      <c r="J4505" s="165"/>
      <c r="K4505" s="164"/>
      <c r="L4505" s="165"/>
      <c r="M4505" s="6"/>
      <c r="N4505" s="32"/>
      <c r="Q4505" s="10" t="str">
        <f>+CONCATENATE(E4505,G4505)</f>
        <v/>
      </c>
      <c r="R4505" s="10">
        <f>+H4505</f>
        <v>0</v>
      </c>
      <c r="S4505" s="11"/>
      <c r="T4505" s="10">
        <f>+E4505</f>
        <v>0</v>
      </c>
      <c r="U4505" s="19" t="str">
        <f t="shared" ref="U4505" si="2449">IFERROR(LEFT(G4505,FIND("*",G4505)-1),"-")</f>
        <v>-</v>
      </c>
      <c r="V4505" s="19" t="str">
        <f t="shared" ref="V4505" si="2450">IFERROR(RIGHT(G4505,LEN(G4505)-FIND("*",G4505)),"-")</f>
        <v>-</v>
      </c>
      <c r="W4505" s="20" t="str">
        <f t="shared" si="2446"/>
        <v>-</v>
      </c>
      <c r="X4505" s="20" t="str">
        <f>IFERROR(W4505*H4505,"-")</f>
        <v>-</v>
      </c>
      <c r="Z4505" s="85" t="s">
        <v>82</v>
      </c>
    </row>
    <row r="4506" spans="1:26" ht="6.95" customHeight="1" x14ac:dyDescent="0.3">
      <c r="A4506" s="5"/>
      <c r="B4506" s="157"/>
      <c r="C4506" s="158"/>
      <c r="D4506" s="161"/>
      <c r="E4506" s="162"/>
      <c r="F4506" s="163"/>
      <c r="G4506" s="164"/>
      <c r="H4506" s="165"/>
      <c r="I4506" s="164"/>
      <c r="J4506" s="165"/>
      <c r="K4506" s="164"/>
      <c r="L4506" s="165"/>
      <c r="M4506" s="6"/>
      <c r="N4506" s="32"/>
      <c r="Q4506" s="10" t="str">
        <f>+CONCATENATE(E4505,I4505)</f>
        <v/>
      </c>
      <c r="R4506" s="10">
        <f>+J4505</f>
        <v>0</v>
      </c>
      <c r="S4506" s="11"/>
      <c r="T4506" s="10">
        <f>+E4505</f>
        <v>0</v>
      </c>
      <c r="U4506" s="19" t="str">
        <f>IFERROR(LEFT(I4505,FIND("*",I4505)-1),"-")</f>
        <v>-</v>
      </c>
      <c r="V4506" s="19" t="str">
        <f>IFERROR(RIGHT(I4505,LEN(I4505)-FIND("*",I4505)),"-")</f>
        <v>-</v>
      </c>
      <c r="W4506" s="20" t="str">
        <f t="shared" si="2446"/>
        <v>-</v>
      </c>
      <c r="X4506" s="20" t="str">
        <f t="shared" ref="X4506" si="2451">IFERROR(W4506*J4505,"-")</f>
        <v>-</v>
      </c>
      <c r="Z4506" s="85" t="s">
        <v>82</v>
      </c>
    </row>
    <row r="4507" spans="1:26" ht="6.95" customHeight="1" x14ac:dyDescent="0.3">
      <c r="A4507" s="5"/>
      <c r="B4507" s="157"/>
      <c r="C4507" s="158"/>
      <c r="D4507" s="161"/>
      <c r="E4507" s="162"/>
      <c r="F4507" s="163"/>
      <c r="G4507" s="164"/>
      <c r="H4507" s="165"/>
      <c r="I4507" s="164"/>
      <c r="J4507" s="165"/>
      <c r="K4507" s="164"/>
      <c r="L4507" s="165"/>
      <c r="M4507" s="6"/>
      <c r="N4507" s="32"/>
      <c r="Q4507" s="10" t="str">
        <f>+CONCATENATE(E4505,K4505)</f>
        <v/>
      </c>
      <c r="R4507" s="10">
        <f>+L4505</f>
        <v>0</v>
      </c>
      <c r="S4507" s="11"/>
      <c r="T4507" s="10">
        <f>+E4505</f>
        <v>0</v>
      </c>
      <c r="U4507" s="19" t="str">
        <f>IFERROR(LEFT(K4505,FIND("*",K4505)-1),"-")</f>
        <v>-</v>
      </c>
      <c r="V4507" s="19" t="str">
        <f>IFERROR(RIGHT(K4505,LEN(K4505)-FIND("*",K4505)),"-")</f>
        <v>-</v>
      </c>
      <c r="W4507" s="20" t="str">
        <f t="shared" si="2446"/>
        <v>-</v>
      </c>
      <c r="X4507" s="20" t="str">
        <f>IFERROR(W4507*L4505,"-")</f>
        <v>-</v>
      </c>
      <c r="Z4507" s="85" t="s">
        <v>82</v>
      </c>
    </row>
    <row r="4508" spans="1:26" ht="21" customHeight="1" thickBot="1" x14ac:dyDescent="0.35">
      <c r="A4508" s="5"/>
      <c r="B4508" s="159"/>
      <c r="C4508" s="160"/>
      <c r="D4508" s="166" t="s">
        <v>43</v>
      </c>
      <c r="E4508" s="167"/>
      <c r="F4508" s="167"/>
      <c r="G4508" s="168"/>
      <c r="H4508" s="168"/>
      <c r="I4508" s="168"/>
      <c r="J4508" s="168"/>
      <c r="K4508" s="168"/>
      <c r="L4508" s="168"/>
      <c r="M4508" s="7"/>
      <c r="N4508" s="32"/>
      <c r="Z4508" s="86" t="s">
        <v>81</v>
      </c>
    </row>
    <row r="4509" spans="1:26" ht="9.9499999999999993" customHeight="1" thickBot="1" x14ac:dyDescent="0.35">
      <c r="B4509" s="9"/>
      <c r="C4509" s="109"/>
      <c r="D4509" s="51"/>
      <c r="E4509" s="12"/>
      <c r="F4509" s="51"/>
      <c r="G4509" s="14"/>
      <c r="H4509" s="14"/>
      <c r="I4509" s="14"/>
      <c r="J4509" s="14"/>
      <c r="K4509" s="14"/>
      <c r="L4509" s="14"/>
      <c r="M4509" s="9"/>
      <c r="N4509" s="32"/>
      <c r="U4509" s="18"/>
      <c r="V4509" s="18"/>
      <c r="Z4509" s="85" t="s">
        <v>82</v>
      </c>
    </row>
    <row r="4510" spans="1:26" ht="6.95" customHeight="1" x14ac:dyDescent="0.3">
      <c r="A4510" s="154">
        <f>+A4499+1</f>
        <v>1209</v>
      </c>
      <c r="B4510" s="155"/>
      <c r="C4510" s="156"/>
      <c r="D4510" s="161" t="s">
        <v>39</v>
      </c>
      <c r="E4510" s="162"/>
      <c r="F4510" s="163" t="s">
        <v>40</v>
      </c>
      <c r="G4510" s="164"/>
      <c r="H4510" s="165"/>
      <c r="I4510" s="164"/>
      <c r="J4510" s="165"/>
      <c r="K4510" s="164"/>
      <c r="L4510" s="165"/>
      <c r="M4510" s="6"/>
      <c r="N4510" s="32"/>
      <c r="Q4510" s="10" t="str">
        <f>+CONCATENATE(E4510,G4510)</f>
        <v/>
      </c>
      <c r="R4510" s="10">
        <f>+H4510</f>
        <v>0</v>
      </c>
      <c r="S4510" s="11"/>
      <c r="T4510" s="10">
        <f>+E4510</f>
        <v>0</v>
      </c>
      <c r="U4510" s="19" t="str">
        <f>IFERROR(LEFT(G4510,FIND("*",G4510)-1),"-")</f>
        <v>-</v>
      </c>
      <c r="V4510" s="19" t="str">
        <f>IFERROR(RIGHT(G4510,LEN(G4510)-FIND("*",G4510)),"-")</f>
        <v>-</v>
      </c>
      <c r="W4510" s="20" t="str">
        <f>IFERROR((U4510+V4510)*2/1000,"-")</f>
        <v>-</v>
      </c>
      <c r="X4510" s="20" t="str">
        <f>IFERROR(W4510*H4510,"-")</f>
        <v>-</v>
      </c>
      <c r="Z4510" s="85" t="s">
        <v>82</v>
      </c>
    </row>
    <row r="4511" spans="1:26" ht="6.95" customHeight="1" x14ac:dyDescent="0.3">
      <c r="A4511" s="154"/>
      <c r="B4511" s="157"/>
      <c r="C4511" s="158"/>
      <c r="D4511" s="161"/>
      <c r="E4511" s="162"/>
      <c r="F4511" s="163"/>
      <c r="G4511" s="164"/>
      <c r="H4511" s="165"/>
      <c r="I4511" s="164"/>
      <c r="J4511" s="165"/>
      <c r="K4511" s="164"/>
      <c r="L4511" s="165"/>
      <c r="M4511" s="6"/>
      <c r="N4511" s="32"/>
      <c r="Q4511" s="10" t="str">
        <f>+CONCATENATE(E4510,I4510)</f>
        <v/>
      </c>
      <c r="R4511" s="10">
        <f>+J4510</f>
        <v>0</v>
      </c>
      <c r="S4511" s="11"/>
      <c r="T4511" s="10">
        <f>+E4510</f>
        <v>0</v>
      </c>
      <c r="U4511" s="19" t="str">
        <f>IFERROR(LEFT(I4510,FIND("*",I4510)-1),"-")</f>
        <v>-</v>
      </c>
      <c r="V4511" s="19" t="str">
        <f>IFERROR(RIGHT(I4510,LEN(I4510)-FIND("*",I4510)),"-")</f>
        <v>-</v>
      </c>
      <c r="W4511" s="20" t="str">
        <f t="shared" ref="W4511:W4518" si="2452">IFERROR((U4511+V4511)*2/1000,"-")</f>
        <v>-</v>
      </c>
      <c r="X4511" s="20" t="str">
        <f>IFERROR(W4511*J4510,"-")</f>
        <v>-</v>
      </c>
      <c r="Z4511" s="85" t="s">
        <v>82</v>
      </c>
    </row>
    <row r="4512" spans="1:26" ht="6.95" customHeight="1" x14ac:dyDescent="0.3">
      <c r="A4512" s="154"/>
      <c r="B4512" s="157"/>
      <c r="C4512" s="158"/>
      <c r="D4512" s="161"/>
      <c r="E4512" s="162"/>
      <c r="F4512" s="163"/>
      <c r="G4512" s="164"/>
      <c r="H4512" s="165"/>
      <c r="I4512" s="164"/>
      <c r="J4512" s="165"/>
      <c r="K4512" s="164"/>
      <c r="L4512" s="165"/>
      <c r="M4512" s="6"/>
      <c r="N4512" s="32"/>
      <c r="Q4512" s="10" t="str">
        <f>+CONCATENATE(E4510,K4510)</f>
        <v/>
      </c>
      <c r="R4512" s="10">
        <f>+L4510</f>
        <v>0</v>
      </c>
      <c r="S4512" s="11"/>
      <c r="T4512" s="10">
        <f>+E4510</f>
        <v>0</v>
      </c>
      <c r="U4512" s="19" t="str">
        <f>IFERROR(LEFT(K4510,FIND("*",K4510)-1),"-")</f>
        <v>-</v>
      </c>
      <c r="V4512" s="19" t="str">
        <f>IFERROR(RIGHT(K4510,LEN(K4510)-FIND("*",K4510)),"-")</f>
        <v>-</v>
      </c>
      <c r="W4512" s="20" t="str">
        <f t="shared" si="2452"/>
        <v>-</v>
      </c>
      <c r="X4512" s="20" t="str">
        <f>IFERROR(W4512*L4510,"-")</f>
        <v>-</v>
      </c>
      <c r="Z4512" s="85" t="s">
        <v>82</v>
      </c>
    </row>
    <row r="4513" spans="1:26" ht="6.95" customHeight="1" x14ac:dyDescent="0.3">
      <c r="A4513" s="8"/>
      <c r="B4513" s="157"/>
      <c r="C4513" s="158"/>
      <c r="D4513" s="161" t="s">
        <v>39</v>
      </c>
      <c r="E4513" s="162"/>
      <c r="F4513" s="163" t="s">
        <v>40</v>
      </c>
      <c r="G4513" s="164"/>
      <c r="H4513" s="165"/>
      <c r="I4513" s="164"/>
      <c r="J4513" s="165"/>
      <c r="K4513" s="164"/>
      <c r="L4513" s="165"/>
      <c r="M4513" s="6"/>
      <c r="N4513" s="32"/>
      <c r="Q4513" s="10" t="str">
        <f>+CONCATENATE(E4513,G4513)</f>
        <v/>
      </c>
      <c r="R4513" s="10">
        <f>+H4513</f>
        <v>0</v>
      </c>
      <c r="S4513" s="11"/>
      <c r="T4513" s="10">
        <f>+E4513</f>
        <v>0</v>
      </c>
      <c r="U4513" s="19" t="str">
        <f t="shared" ref="U4513" si="2453">IFERROR(LEFT(G4513,FIND("*",G4513)-1),"-")</f>
        <v>-</v>
      </c>
      <c r="V4513" s="19" t="str">
        <f t="shared" ref="V4513" si="2454">IFERROR(RIGHT(G4513,LEN(G4513)-FIND("*",G4513)),"-")</f>
        <v>-</v>
      </c>
      <c r="W4513" s="20" t="str">
        <f t="shared" si="2452"/>
        <v>-</v>
      </c>
      <c r="X4513" s="20" t="str">
        <f>IFERROR(W4513*H4513,"-")</f>
        <v>-</v>
      </c>
      <c r="Z4513" s="85" t="s">
        <v>82</v>
      </c>
    </row>
    <row r="4514" spans="1:26" ht="6.95" customHeight="1" x14ac:dyDescent="0.3">
      <c r="A4514" s="5"/>
      <c r="B4514" s="157"/>
      <c r="C4514" s="158"/>
      <c r="D4514" s="161"/>
      <c r="E4514" s="162"/>
      <c r="F4514" s="163"/>
      <c r="G4514" s="164"/>
      <c r="H4514" s="165"/>
      <c r="I4514" s="164"/>
      <c r="J4514" s="165"/>
      <c r="K4514" s="164"/>
      <c r="L4514" s="165"/>
      <c r="M4514" s="6"/>
      <c r="N4514" s="32"/>
      <c r="Q4514" s="10" t="str">
        <f>+CONCATENATE(E4513,I4513)</f>
        <v/>
      </c>
      <c r="R4514" s="10">
        <f>+J4513</f>
        <v>0</v>
      </c>
      <c r="S4514" s="11"/>
      <c r="T4514" s="10">
        <f>+E4513</f>
        <v>0</v>
      </c>
      <c r="U4514" s="19" t="str">
        <f>IFERROR(LEFT(I4513,FIND("*",I4513)-1),"-")</f>
        <v>-</v>
      </c>
      <c r="V4514" s="19" t="str">
        <f>IFERROR(RIGHT(I4513,LEN(I4513)-FIND("*",I4513)),"-")</f>
        <v>-</v>
      </c>
      <c r="W4514" s="20" t="str">
        <f t="shared" si="2452"/>
        <v>-</v>
      </c>
      <c r="X4514" s="20" t="str">
        <f>IFERROR(W4514*J4513,"-")</f>
        <v>-</v>
      </c>
      <c r="Z4514" s="85" t="s">
        <v>82</v>
      </c>
    </row>
    <row r="4515" spans="1:26" ht="6.95" customHeight="1" x14ac:dyDescent="0.3">
      <c r="A4515" s="5"/>
      <c r="B4515" s="157"/>
      <c r="C4515" s="158"/>
      <c r="D4515" s="161"/>
      <c r="E4515" s="162"/>
      <c r="F4515" s="163"/>
      <c r="G4515" s="164"/>
      <c r="H4515" s="165"/>
      <c r="I4515" s="164"/>
      <c r="J4515" s="165"/>
      <c r="K4515" s="164"/>
      <c r="L4515" s="165"/>
      <c r="M4515" s="6"/>
      <c r="N4515" s="32"/>
      <c r="Q4515" s="10" t="str">
        <f>+CONCATENATE(E4513,K4513)</f>
        <v/>
      </c>
      <c r="R4515" s="10">
        <f>+L4513</f>
        <v>0</v>
      </c>
      <c r="S4515" s="11"/>
      <c r="T4515" s="10">
        <f>+E4513</f>
        <v>0</v>
      </c>
      <c r="U4515" s="19" t="str">
        <f>IFERROR(LEFT(K4513,FIND("*",K4513)-1),"-")</f>
        <v>-</v>
      </c>
      <c r="V4515" s="19" t="str">
        <f>IFERROR(RIGHT(K4513,LEN(K4513)-FIND("*",K4513)),"-")</f>
        <v>-</v>
      </c>
      <c r="W4515" s="20" t="str">
        <f t="shared" si="2452"/>
        <v>-</v>
      </c>
      <c r="X4515" s="20" t="str">
        <f>IFERROR(W4515*L4513,"-")</f>
        <v>-</v>
      </c>
      <c r="Z4515" s="85" t="s">
        <v>82</v>
      </c>
    </row>
    <row r="4516" spans="1:26" ht="6.95" customHeight="1" x14ac:dyDescent="0.3">
      <c r="A4516" s="8"/>
      <c r="B4516" s="157"/>
      <c r="C4516" s="158"/>
      <c r="D4516" s="161" t="s">
        <v>39</v>
      </c>
      <c r="E4516" s="162"/>
      <c r="F4516" s="163" t="s">
        <v>40</v>
      </c>
      <c r="G4516" s="164"/>
      <c r="H4516" s="165"/>
      <c r="I4516" s="164"/>
      <c r="J4516" s="165"/>
      <c r="K4516" s="164"/>
      <c r="L4516" s="165"/>
      <c r="M4516" s="6"/>
      <c r="N4516" s="32"/>
      <c r="Q4516" s="10" t="str">
        <f>+CONCATENATE(E4516,G4516)</f>
        <v/>
      </c>
      <c r="R4516" s="10">
        <f>+H4516</f>
        <v>0</v>
      </c>
      <c r="S4516" s="11"/>
      <c r="T4516" s="10">
        <f>+E4516</f>
        <v>0</v>
      </c>
      <c r="U4516" s="19" t="str">
        <f t="shared" ref="U4516" si="2455">IFERROR(LEFT(G4516,FIND("*",G4516)-1),"-")</f>
        <v>-</v>
      </c>
      <c r="V4516" s="19" t="str">
        <f t="shared" ref="V4516" si="2456">IFERROR(RIGHT(G4516,LEN(G4516)-FIND("*",G4516)),"-")</f>
        <v>-</v>
      </c>
      <c r="W4516" s="20" t="str">
        <f t="shared" si="2452"/>
        <v>-</v>
      </c>
      <c r="X4516" s="20" t="str">
        <f>IFERROR(W4516*H4516,"-")</f>
        <v>-</v>
      </c>
      <c r="Z4516" s="85" t="s">
        <v>82</v>
      </c>
    </row>
    <row r="4517" spans="1:26" ht="6.95" customHeight="1" x14ac:dyDescent="0.3">
      <c r="A4517" s="5"/>
      <c r="B4517" s="157"/>
      <c r="C4517" s="158"/>
      <c r="D4517" s="161"/>
      <c r="E4517" s="162"/>
      <c r="F4517" s="163"/>
      <c r="G4517" s="164"/>
      <c r="H4517" s="165"/>
      <c r="I4517" s="164"/>
      <c r="J4517" s="165"/>
      <c r="K4517" s="164"/>
      <c r="L4517" s="165"/>
      <c r="M4517" s="6"/>
      <c r="N4517" s="32"/>
      <c r="Q4517" s="10" t="str">
        <f>+CONCATENATE(E4516,I4516)</f>
        <v/>
      </c>
      <c r="R4517" s="10">
        <f>+J4516</f>
        <v>0</v>
      </c>
      <c r="S4517" s="11"/>
      <c r="T4517" s="10">
        <f>+E4516</f>
        <v>0</v>
      </c>
      <c r="U4517" s="19" t="str">
        <f>IFERROR(LEFT(I4516,FIND("*",I4516)-1),"-")</f>
        <v>-</v>
      </c>
      <c r="V4517" s="19" t="str">
        <f>IFERROR(RIGHT(I4516,LEN(I4516)-FIND("*",I4516)),"-")</f>
        <v>-</v>
      </c>
      <c r="W4517" s="20" t="str">
        <f t="shared" si="2452"/>
        <v>-</v>
      </c>
      <c r="X4517" s="20" t="str">
        <f t="shared" ref="X4517" si="2457">IFERROR(W4517*J4516,"-")</f>
        <v>-</v>
      </c>
      <c r="Z4517" s="85" t="s">
        <v>82</v>
      </c>
    </row>
    <row r="4518" spans="1:26" ht="6.95" customHeight="1" x14ac:dyDescent="0.3">
      <c r="A4518" s="5"/>
      <c r="B4518" s="157"/>
      <c r="C4518" s="158"/>
      <c r="D4518" s="161"/>
      <c r="E4518" s="162"/>
      <c r="F4518" s="163"/>
      <c r="G4518" s="164"/>
      <c r="H4518" s="165"/>
      <c r="I4518" s="164"/>
      <c r="J4518" s="165"/>
      <c r="K4518" s="164"/>
      <c r="L4518" s="165"/>
      <c r="M4518" s="6"/>
      <c r="N4518" s="32"/>
      <c r="Q4518" s="10" t="str">
        <f>+CONCATENATE(E4516,K4516)</f>
        <v/>
      </c>
      <c r="R4518" s="10">
        <f>+L4516</f>
        <v>0</v>
      </c>
      <c r="S4518" s="11"/>
      <c r="T4518" s="10">
        <f>+E4516</f>
        <v>0</v>
      </c>
      <c r="U4518" s="19" t="str">
        <f>IFERROR(LEFT(K4516,FIND("*",K4516)-1),"-")</f>
        <v>-</v>
      </c>
      <c r="V4518" s="19" t="str">
        <f>IFERROR(RIGHT(K4516,LEN(K4516)-FIND("*",K4516)),"-")</f>
        <v>-</v>
      </c>
      <c r="W4518" s="20" t="str">
        <f t="shared" si="2452"/>
        <v>-</v>
      </c>
      <c r="X4518" s="20" t="str">
        <f>IFERROR(W4518*L4516,"-")</f>
        <v>-</v>
      </c>
      <c r="Z4518" s="85" t="s">
        <v>82</v>
      </c>
    </row>
    <row r="4519" spans="1:26" ht="21" customHeight="1" thickBot="1" x14ac:dyDescent="0.35">
      <c r="A4519" s="5"/>
      <c r="B4519" s="159"/>
      <c r="C4519" s="160"/>
      <c r="D4519" s="166" t="s">
        <v>43</v>
      </c>
      <c r="E4519" s="167"/>
      <c r="F4519" s="167"/>
      <c r="G4519" s="168"/>
      <c r="H4519" s="168"/>
      <c r="I4519" s="168"/>
      <c r="J4519" s="168"/>
      <c r="K4519" s="168"/>
      <c r="L4519" s="168"/>
      <c r="M4519" s="7"/>
      <c r="N4519" s="32"/>
      <c r="Z4519" s="86" t="s">
        <v>81</v>
      </c>
    </row>
    <row r="4520" spans="1:26" ht="9.9499999999999993" customHeight="1" thickBot="1" x14ac:dyDescent="0.35">
      <c r="B4520" s="9"/>
      <c r="C4520" s="109"/>
      <c r="D4520" s="51"/>
      <c r="E4520" s="12"/>
      <c r="F4520" s="51"/>
      <c r="G4520" s="14"/>
      <c r="H4520" s="14"/>
      <c r="I4520" s="14"/>
      <c r="J4520" s="14"/>
      <c r="K4520" s="14"/>
      <c r="L4520" s="14"/>
      <c r="M4520" s="9"/>
      <c r="N4520" s="32"/>
      <c r="U4520" s="18"/>
      <c r="V4520" s="18"/>
      <c r="Z4520" s="85" t="s">
        <v>82</v>
      </c>
    </row>
    <row r="4521" spans="1:26" ht="6.95" customHeight="1" x14ac:dyDescent="0.3">
      <c r="A4521" s="154">
        <f>+A4510+1</f>
        <v>1210</v>
      </c>
      <c r="B4521" s="155"/>
      <c r="C4521" s="156"/>
      <c r="D4521" s="161" t="s">
        <v>39</v>
      </c>
      <c r="E4521" s="162"/>
      <c r="F4521" s="163" t="s">
        <v>40</v>
      </c>
      <c r="G4521" s="164"/>
      <c r="H4521" s="165"/>
      <c r="I4521" s="164"/>
      <c r="J4521" s="165"/>
      <c r="K4521" s="164"/>
      <c r="L4521" s="165"/>
      <c r="M4521" s="6"/>
      <c r="N4521" s="32"/>
      <c r="Q4521" s="10" t="str">
        <f>+CONCATENATE(E4521,G4521)</f>
        <v/>
      </c>
      <c r="R4521" s="10">
        <f>+H4521</f>
        <v>0</v>
      </c>
      <c r="S4521" s="11"/>
      <c r="T4521" s="10">
        <f>+E4521</f>
        <v>0</v>
      </c>
      <c r="U4521" s="19" t="str">
        <f>IFERROR(LEFT(G4521,FIND("*",G4521)-1),"-")</f>
        <v>-</v>
      </c>
      <c r="V4521" s="19" t="str">
        <f>IFERROR(RIGHT(G4521,LEN(G4521)-FIND("*",G4521)),"-")</f>
        <v>-</v>
      </c>
      <c r="W4521" s="20" t="str">
        <f>IFERROR((U4521+V4521)*2/1000,"-")</f>
        <v>-</v>
      </c>
      <c r="X4521" s="20" t="str">
        <f>IFERROR(W4521*H4521,"-")</f>
        <v>-</v>
      </c>
      <c r="Z4521" s="85" t="s">
        <v>82</v>
      </c>
    </row>
    <row r="4522" spans="1:26" ht="6.95" customHeight="1" x14ac:dyDescent="0.3">
      <c r="A4522" s="154"/>
      <c r="B4522" s="157"/>
      <c r="C4522" s="158"/>
      <c r="D4522" s="161"/>
      <c r="E4522" s="162"/>
      <c r="F4522" s="163"/>
      <c r="G4522" s="164"/>
      <c r="H4522" s="165"/>
      <c r="I4522" s="164"/>
      <c r="J4522" s="165"/>
      <c r="K4522" s="164"/>
      <c r="L4522" s="165"/>
      <c r="M4522" s="6"/>
      <c r="N4522" s="32"/>
      <c r="Q4522" s="10" t="str">
        <f>+CONCATENATE(E4521,I4521)</f>
        <v/>
      </c>
      <c r="R4522" s="10">
        <f>+J4521</f>
        <v>0</v>
      </c>
      <c r="S4522" s="11"/>
      <c r="T4522" s="10">
        <f>+E4521</f>
        <v>0</v>
      </c>
      <c r="U4522" s="19" t="str">
        <f>IFERROR(LEFT(I4521,FIND("*",I4521)-1),"-")</f>
        <v>-</v>
      </c>
      <c r="V4522" s="19" t="str">
        <f>IFERROR(RIGHT(I4521,LEN(I4521)-FIND("*",I4521)),"-")</f>
        <v>-</v>
      </c>
      <c r="W4522" s="20" t="str">
        <f t="shared" ref="W4522:W4529" si="2458">IFERROR((U4522+V4522)*2/1000,"-")</f>
        <v>-</v>
      </c>
      <c r="X4522" s="20" t="str">
        <f>IFERROR(W4522*J4521,"-")</f>
        <v>-</v>
      </c>
      <c r="Z4522" s="85" t="s">
        <v>82</v>
      </c>
    </row>
    <row r="4523" spans="1:26" ht="6.95" customHeight="1" x14ac:dyDescent="0.3">
      <c r="A4523" s="154"/>
      <c r="B4523" s="157"/>
      <c r="C4523" s="158"/>
      <c r="D4523" s="161"/>
      <c r="E4523" s="162"/>
      <c r="F4523" s="163"/>
      <c r="G4523" s="164"/>
      <c r="H4523" s="165"/>
      <c r="I4523" s="164"/>
      <c r="J4523" s="165"/>
      <c r="K4523" s="164"/>
      <c r="L4523" s="165"/>
      <c r="M4523" s="6"/>
      <c r="N4523" s="32"/>
      <c r="Q4523" s="10" t="str">
        <f>+CONCATENATE(E4521,K4521)</f>
        <v/>
      </c>
      <c r="R4523" s="10">
        <f>+L4521</f>
        <v>0</v>
      </c>
      <c r="S4523" s="11"/>
      <c r="T4523" s="10">
        <f>+E4521</f>
        <v>0</v>
      </c>
      <c r="U4523" s="19" t="str">
        <f>IFERROR(LEFT(K4521,FIND("*",K4521)-1),"-")</f>
        <v>-</v>
      </c>
      <c r="V4523" s="19" t="str">
        <f>IFERROR(RIGHT(K4521,LEN(K4521)-FIND("*",K4521)),"-")</f>
        <v>-</v>
      </c>
      <c r="W4523" s="20" t="str">
        <f t="shared" si="2458"/>
        <v>-</v>
      </c>
      <c r="X4523" s="20" t="str">
        <f>IFERROR(W4523*L4521,"-")</f>
        <v>-</v>
      </c>
      <c r="Z4523" s="85" t="s">
        <v>82</v>
      </c>
    </row>
    <row r="4524" spans="1:26" ht="6.95" customHeight="1" x14ac:dyDescent="0.3">
      <c r="A4524" s="8"/>
      <c r="B4524" s="157"/>
      <c r="C4524" s="158"/>
      <c r="D4524" s="161" t="s">
        <v>39</v>
      </c>
      <c r="E4524" s="162"/>
      <c r="F4524" s="163" t="s">
        <v>40</v>
      </c>
      <c r="G4524" s="164"/>
      <c r="H4524" s="165"/>
      <c r="I4524" s="164"/>
      <c r="J4524" s="165"/>
      <c r="K4524" s="164"/>
      <c r="L4524" s="165"/>
      <c r="M4524" s="6"/>
      <c r="N4524" s="32"/>
      <c r="Q4524" s="10" t="str">
        <f>+CONCATENATE(E4524,G4524)</f>
        <v/>
      </c>
      <c r="R4524" s="10">
        <f>+H4524</f>
        <v>0</v>
      </c>
      <c r="S4524" s="11"/>
      <c r="T4524" s="10">
        <f>+E4524</f>
        <v>0</v>
      </c>
      <c r="U4524" s="19" t="str">
        <f t="shared" ref="U4524" si="2459">IFERROR(LEFT(G4524,FIND("*",G4524)-1),"-")</f>
        <v>-</v>
      </c>
      <c r="V4524" s="19" t="str">
        <f t="shared" ref="V4524" si="2460">IFERROR(RIGHT(G4524,LEN(G4524)-FIND("*",G4524)),"-")</f>
        <v>-</v>
      </c>
      <c r="W4524" s="20" t="str">
        <f t="shared" si="2458"/>
        <v>-</v>
      </c>
      <c r="X4524" s="20" t="str">
        <f>IFERROR(W4524*H4524,"-")</f>
        <v>-</v>
      </c>
      <c r="Z4524" s="85" t="s">
        <v>82</v>
      </c>
    </row>
    <row r="4525" spans="1:26" ht="6.95" customHeight="1" x14ac:dyDescent="0.3">
      <c r="A4525" s="5"/>
      <c r="B4525" s="157"/>
      <c r="C4525" s="158"/>
      <c r="D4525" s="161"/>
      <c r="E4525" s="162"/>
      <c r="F4525" s="163"/>
      <c r="G4525" s="164"/>
      <c r="H4525" s="165"/>
      <c r="I4525" s="164"/>
      <c r="J4525" s="165"/>
      <c r="K4525" s="164"/>
      <c r="L4525" s="165"/>
      <c r="M4525" s="6"/>
      <c r="N4525" s="32"/>
      <c r="Q4525" s="10" t="str">
        <f>+CONCATENATE(E4524,I4524)</f>
        <v/>
      </c>
      <c r="R4525" s="10">
        <f>+J4524</f>
        <v>0</v>
      </c>
      <c r="S4525" s="11"/>
      <c r="T4525" s="10">
        <f>+E4524</f>
        <v>0</v>
      </c>
      <c r="U4525" s="19" t="str">
        <f>IFERROR(LEFT(I4524,FIND("*",I4524)-1),"-")</f>
        <v>-</v>
      </c>
      <c r="V4525" s="19" t="str">
        <f>IFERROR(RIGHT(I4524,LEN(I4524)-FIND("*",I4524)),"-")</f>
        <v>-</v>
      </c>
      <c r="W4525" s="20" t="str">
        <f t="shared" si="2458"/>
        <v>-</v>
      </c>
      <c r="X4525" s="20" t="str">
        <f>IFERROR(W4525*J4524,"-")</f>
        <v>-</v>
      </c>
      <c r="Z4525" s="85" t="s">
        <v>82</v>
      </c>
    </row>
    <row r="4526" spans="1:26" ht="6.95" customHeight="1" x14ac:dyDescent="0.3">
      <c r="A4526" s="5"/>
      <c r="B4526" s="157"/>
      <c r="C4526" s="158"/>
      <c r="D4526" s="161"/>
      <c r="E4526" s="162"/>
      <c r="F4526" s="163"/>
      <c r="G4526" s="164"/>
      <c r="H4526" s="165"/>
      <c r="I4526" s="164"/>
      <c r="J4526" s="165"/>
      <c r="K4526" s="164"/>
      <c r="L4526" s="165"/>
      <c r="M4526" s="6"/>
      <c r="N4526" s="32"/>
      <c r="Q4526" s="10" t="str">
        <f>+CONCATENATE(E4524,K4524)</f>
        <v/>
      </c>
      <c r="R4526" s="10">
        <f>+L4524</f>
        <v>0</v>
      </c>
      <c r="S4526" s="11"/>
      <c r="T4526" s="10">
        <f>+E4524</f>
        <v>0</v>
      </c>
      <c r="U4526" s="19" t="str">
        <f>IFERROR(LEFT(K4524,FIND("*",K4524)-1),"-")</f>
        <v>-</v>
      </c>
      <c r="V4526" s="19" t="str">
        <f>IFERROR(RIGHT(K4524,LEN(K4524)-FIND("*",K4524)),"-")</f>
        <v>-</v>
      </c>
      <c r="W4526" s="20" t="str">
        <f t="shared" si="2458"/>
        <v>-</v>
      </c>
      <c r="X4526" s="20" t="str">
        <f>IFERROR(W4526*L4524,"-")</f>
        <v>-</v>
      </c>
      <c r="Z4526" s="85" t="s">
        <v>82</v>
      </c>
    </row>
    <row r="4527" spans="1:26" ht="6.95" customHeight="1" x14ac:dyDescent="0.3">
      <c r="A4527" s="8"/>
      <c r="B4527" s="157"/>
      <c r="C4527" s="158"/>
      <c r="D4527" s="161" t="s">
        <v>39</v>
      </c>
      <c r="E4527" s="162"/>
      <c r="F4527" s="163" t="s">
        <v>40</v>
      </c>
      <c r="G4527" s="164"/>
      <c r="H4527" s="165"/>
      <c r="I4527" s="164"/>
      <c r="J4527" s="165"/>
      <c r="K4527" s="164"/>
      <c r="L4527" s="165"/>
      <c r="M4527" s="6"/>
      <c r="N4527" s="32"/>
      <c r="Q4527" s="10" t="str">
        <f>+CONCATENATE(E4527,G4527)</f>
        <v/>
      </c>
      <c r="R4527" s="10">
        <f>+H4527</f>
        <v>0</v>
      </c>
      <c r="S4527" s="11"/>
      <c r="T4527" s="10">
        <f>+E4527</f>
        <v>0</v>
      </c>
      <c r="U4527" s="19" t="str">
        <f t="shared" ref="U4527" si="2461">IFERROR(LEFT(G4527,FIND("*",G4527)-1),"-")</f>
        <v>-</v>
      </c>
      <c r="V4527" s="19" t="str">
        <f t="shared" ref="V4527" si="2462">IFERROR(RIGHT(G4527,LEN(G4527)-FIND("*",G4527)),"-")</f>
        <v>-</v>
      </c>
      <c r="W4527" s="20" t="str">
        <f t="shared" si="2458"/>
        <v>-</v>
      </c>
      <c r="X4527" s="20" t="str">
        <f>IFERROR(W4527*H4527,"-")</f>
        <v>-</v>
      </c>
      <c r="Z4527" s="85" t="s">
        <v>82</v>
      </c>
    </row>
    <row r="4528" spans="1:26" ht="6.95" customHeight="1" x14ac:dyDescent="0.3">
      <c r="A4528" s="5"/>
      <c r="B4528" s="157"/>
      <c r="C4528" s="158"/>
      <c r="D4528" s="161"/>
      <c r="E4528" s="162"/>
      <c r="F4528" s="163"/>
      <c r="G4528" s="164"/>
      <c r="H4528" s="165"/>
      <c r="I4528" s="164"/>
      <c r="J4528" s="165"/>
      <c r="K4528" s="164"/>
      <c r="L4528" s="165"/>
      <c r="M4528" s="6"/>
      <c r="N4528" s="32"/>
      <c r="Q4528" s="10" t="str">
        <f>+CONCATENATE(E4527,I4527)</f>
        <v/>
      </c>
      <c r="R4528" s="10">
        <f>+J4527</f>
        <v>0</v>
      </c>
      <c r="S4528" s="11"/>
      <c r="T4528" s="10">
        <f>+E4527</f>
        <v>0</v>
      </c>
      <c r="U4528" s="19" t="str">
        <f>IFERROR(LEFT(I4527,FIND("*",I4527)-1),"-")</f>
        <v>-</v>
      </c>
      <c r="V4528" s="19" t="str">
        <f>IFERROR(RIGHT(I4527,LEN(I4527)-FIND("*",I4527)),"-")</f>
        <v>-</v>
      </c>
      <c r="W4528" s="20" t="str">
        <f t="shared" si="2458"/>
        <v>-</v>
      </c>
      <c r="X4528" s="20" t="str">
        <f t="shared" ref="X4528" si="2463">IFERROR(W4528*J4527,"-")</f>
        <v>-</v>
      </c>
      <c r="Z4528" s="85" t="s">
        <v>82</v>
      </c>
    </row>
    <row r="4529" spans="1:26" ht="6.95" customHeight="1" x14ac:dyDescent="0.3">
      <c r="A4529" s="5"/>
      <c r="B4529" s="157"/>
      <c r="C4529" s="158"/>
      <c r="D4529" s="161"/>
      <c r="E4529" s="162"/>
      <c r="F4529" s="163"/>
      <c r="G4529" s="164"/>
      <c r="H4529" s="165"/>
      <c r="I4529" s="164"/>
      <c r="J4529" s="165"/>
      <c r="K4529" s="164"/>
      <c r="L4529" s="165"/>
      <c r="M4529" s="6"/>
      <c r="N4529" s="32"/>
      <c r="Q4529" s="10" t="str">
        <f>+CONCATENATE(E4527,K4527)</f>
        <v/>
      </c>
      <c r="R4529" s="10">
        <f>+L4527</f>
        <v>0</v>
      </c>
      <c r="S4529" s="11"/>
      <c r="T4529" s="10">
        <f>+E4527</f>
        <v>0</v>
      </c>
      <c r="U4529" s="19" t="str">
        <f>IFERROR(LEFT(K4527,FIND("*",K4527)-1),"-")</f>
        <v>-</v>
      </c>
      <c r="V4529" s="19" t="str">
        <f>IFERROR(RIGHT(K4527,LEN(K4527)-FIND("*",K4527)),"-")</f>
        <v>-</v>
      </c>
      <c r="W4529" s="20" t="str">
        <f t="shared" si="2458"/>
        <v>-</v>
      </c>
      <c r="X4529" s="20" t="str">
        <f>IFERROR(W4529*L4527,"-")</f>
        <v>-</v>
      </c>
      <c r="Z4529" s="85" t="s">
        <v>82</v>
      </c>
    </row>
    <row r="4530" spans="1:26" ht="21" customHeight="1" thickBot="1" x14ac:dyDescent="0.35">
      <c r="A4530" s="5"/>
      <c r="B4530" s="159"/>
      <c r="C4530" s="160"/>
      <c r="D4530" s="166" t="s">
        <v>43</v>
      </c>
      <c r="E4530" s="167"/>
      <c r="F4530" s="167"/>
      <c r="G4530" s="168"/>
      <c r="H4530" s="168"/>
      <c r="I4530" s="168"/>
      <c r="J4530" s="168"/>
      <c r="K4530" s="168"/>
      <c r="L4530" s="168"/>
      <c r="M4530" s="7"/>
      <c r="N4530" s="32"/>
      <c r="Z4530" s="86" t="s">
        <v>81</v>
      </c>
    </row>
    <row r="4531" spans="1:26" ht="9.9499999999999993" customHeight="1" thickBot="1" x14ac:dyDescent="0.35">
      <c r="B4531" s="9"/>
      <c r="C4531" s="109"/>
      <c r="D4531" s="51"/>
      <c r="E4531" s="12"/>
      <c r="F4531" s="51"/>
      <c r="G4531" s="14"/>
      <c r="H4531" s="14"/>
      <c r="I4531" s="14"/>
      <c r="J4531" s="14"/>
      <c r="K4531" s="14"/>
      <c r="L4531" s="14"/>
      <c r="M4531" s="9"/>
      <c r="N4531" s="32"/>
      <c r="U4531" s="18"/>
      <c r="V4531" s="18"/>
      <c r="Z4531" s="85" t="s">
        <v>82</v>
      </c>
    </row>
    <row r="4532" spans="1:26" ht="6.95" customHeight="1" x14ac:dyDescent="0.3">
      <c r="A4532" s="154">
        <f>+A4521+1</f>
        <v>1211</v>
      </c>
      <c r="B4532" s="155"/>
      <c r="C4532" s="156"/>
      <c r="D4532" s="161" t="s">
        <v>39</v>
      </c>
      <c r="E4532" s="162"/>
      <c r="F4532" s="163" t="s">
        <v>40</v>
      </c>
      <c r="G4532" s="164"/>
      <c r="H4532" s="165"/>
      <c r="I4532" s="164"/>
      <c r="J4532" s="165"/>
      <c r="K4532" s="164"/>
      <c r="L4532" s="165"/>
      <c r="M4532" s="6"/>
      <c r="N4532" s="32"/>
      <c r="Q4532" s="10" t="str">
        <f>+CONCATENATE(E4532,G4532)</f>
        <v/>
      </c>
      <c r="R4532" s="10">
        <f>+H4532</f>
        <v>0</v>
      </c>
      <c r="S4532" s="11"/>
      <c r="T4532" s="10">
        <f>+E4532</f>
        <v>0</v>
      </c>
      <c r="U4532" s="19" t="str">
        <f>IFERROR(LEFT(G4532,FIND("*",G4532)-1),"-")</f>
        <v>-</v>
      </c>
      <c r="V4532" s="19" t="str">
        <f>IFERROR(RIGHT(G4532,LEN(G4532)-FIND("*",G4532)),"-")</f>
        <v>-</v>
      </c>
      <c r="W4532" s="20" t="str">
        <f>IFERROR((U4532+V4532)*2/1000,"-")</f>
        <v>-</v>
      </c>
      <c r="X4532" s="20" t="str">
        <f>IFERROR(W4532*H4532,"-")</f>
        <v>-</v>
      </c>
      <c r="Z4532" s="85" t="s">
        <v>82</v>
      </c>
    </row>
    <row r="4533" spans="1:26" ht="6.95" customHeight="1" x14ac:dyDescent="0.3">
      <c r="A4533" s="154"/>
      <c r="B4533" s="157"/>
      <c r="C4533" s="158"/>
      <c r="D4533" s="161"/>
      <c r="E4533" s="162"/>
      <c r="F4533" s="163"/>
      <c r="G4533" s="164"/>
      <c r="H4533" s="165"/>
      <c r="I4533" s="164"/>
      <c r="J4533" s="165"/>
      <c r="K4533" s="164"/>
      <c r="L4533" s="165"/>
      <c r="M4533" s="6"/>
      <c r="N4533" s="32"/>
      <c r="Q4533" s="10" t="str">
        <f>+CONCATENATE(E4532,I4532)</f>
        <v/>
      </c>
      <c r="R4533" s="10">
        <f>+J4532</f>
        <v>0</v>
      </c>
      <c r="S4533" s="11"/>
      <c r="T4533" s="10">
        <f>+E4532</f>
        <v>0</v>
      </c>
      <c r="U4533" s="19" t="str">
        <f>IFERROR(LEFT(I4532,FIND("*",I4532)-1),"-")</f>
        <v>-</v>
      </c>
      <c r="V4533" s="19" t="str">
        <f>IFERROR(RIGHT(I4532,LEN(I4532)-FIND("*",I4532)),"-")</f>
        <v>-</v>
      </c>
      <c r="W4533" s="20" t="str">
        <f t="shared" ref="W4533:W4540" si="2464">IFERROR((U4533+V4533)*2/1000,"-")</f>
        <v>-</v>
      </c>
      <c r="X4533" s="20" t="str">
        <f>IFERROR(W4533*J4532,"-")</f>
        <v>-</v>
      </c>
      <c r="Z4533" s="85" t="s">
        <v>82</v>
      </c>
    </row>
    <row r="4534" spans="1:26" ht="6.95" customHeight="1" x14ac:dyDescent="0.3">
      <c r="A4534" s="154"/>
      <c r="B4534" s="157"/>
      <c r="C4534" s="158"/>
      <c r="D4534" s="161"/>
      <c r="E4534" s="162"/>
      <c r="F4534" s="163"/>
      <c r="G4534" s="164"/>
      <c r="H4534" s="165"/>
      <c r="I4534" s="164"/>
      <c r="J4534" s="165"/>
      <c r="K4534" s="164"/>
      <c r="L4534" s="165"/>
      <c r="M4534" s="6"/>
      <c r="N4534" s="32"/>
      <c r="Q4534" s="10" t="str">
        <f>+CONCATENATE(E4532,K4532)</f>
        <v/>
      </c>
      <c r="R4534" s="10">
        <f>+L4532</f>
        <v>0</v>
      </c>
      <c r="S4534" s="11"/>
      <c r="T4534" s="10">
        <f>+E4532</f>
        <v>0</v>
      </c>
      <c r="U4534" s="19" t="str">
        <f>IFERROR(LEFT(K4532,FIND("*",K4532)-1),"-")</f>
        <v>-</v>
      </c>
      <c r="V4534" s="19" t="str">
        <f>IFERROR(RIGHT(K4532,LEN(K4532)-FIND("*",K4532)),"-")</f>
        <v>-</v>
      </c>
      <c r="W4534" s="20" t="str">
        <f t="shared" si="2464"/>
        <v>-</v>
      </c>
      <c r="X4534" s="20" t="str">
        <f>IFERROR(W4534*L4532,"-")</f>
        <v>-</v>
      </c>
      <c r="Z4534" s="85" t="s">
        <v>82</v>
      </c>
    </row>
    <row r="4535" spans="1:26" ht="6.95" customHeight="1" x14ac:dyDescent="0.3">
      <c r="A4535" s="8"/>
      <c r="B4535" s="157"/>
      <c r="C4535" s="158"/>
      <c r="D4535" s="161" t="s">
        <v>39</v>
      </c>
      <c r="E4535" s="162"/>
      <c r="F4535" s="163" t="s">
        <v>40</v>
      </c>
      <c r="G4535" s="164"/>
      <c r="H4535" s="165"/>
      <c r="I4535" s="164"/>
      <c r="J4535" s="165"/>
      <c r="K4535" s="164"/>
      <c r="L4535" s="165"/>
      <c r="M4535" s="6"/>
      <c r="N4535" s="32"/>
      <c r="Q4535" s="10" t="str">
        <f>+CONCATENATE(E4535,G4535)</f>
        <v/>
      </c>
      <c r="R4535" s="10">
        <f>+H4535</f>
        <v>0</v>
      </c>
      <c r="S4535" s="11"/>
      <c r="T4535" s="10">
        <f>+E4535</f>
        <v>0</v>
      </c>
      <c r="U4535" s="19" t="str">
        <f t="shared" ref="U4535" si="2465">IFERROR(LEFT(G4535,FIND("*",G4535)-1),"-")</f>
        <v>-</v>
      </c>
      <c r="V4535" s="19" t="str">
        <f t="shared" ref="V4535" si="2466">IFERROR(RIGHT(G4535,LEN(G4535)-FIND("*",G4535)),"-")</f>
        <v>-</v>
      </c>
      <c r="W4535" s="20" t="str">
        <f t="shared" si="2464"/>
        <v>-</v>
      </c>
      <c r="X4535" s="20" t="str">
        <f>IFERROR(W4535*H4535,"-")</f>
        <v>-</v>
      </c>
      <c r="Z4535" s="85" t="s">
        <v>82</v>
      </c>
    </row>
    <row r="4536" spans="1:26" ht="6.95" customHeight="1" x14ac:dyDescent="0.3">
      <c r="A4536" s="5"/>
      <c r="B4536" s="157"/>
      <c r="C4536" s="158"/>
      <c r="D4536" s="161"/>
      <c r="E4536" s="162"/>
      <c r="F4536" s="163"/>
      <c r="G4536" s="164"/>
      <c r="H4536" s="165"/>
      <c r="I4536" s="164"/>
      <c r="J4536" s="165"/>
      <c r="K4536" s="164"/>
      <c r="L4536" s="165"/>
      <c r="M4536" s="6"/>
      <c r="N4536" s="32"/>
      <c r="Q4536" s="10" t="str">
        <f>+CONCATENATE(E4535,I4535)</f>
        <v/>
      </c>
      <c r="R4536" s="10">
        <f>+J4535</f>
        <v>0</v>
      </c>
      <c r="S4536" s="11"/>
      <c r="T4536" s="10">
        <f>+E4535</f>
        <v>0</v>
      </c>
      <c r="U4536" s="19" t="str">
        <f>IFERROR(LEFT(I4535,FIND("*",I4535)-1),"-")</f>
        <v>-</v>
      </c>
      <c r="V4536" s="19" t="str">
        <f>IFERROR(RIGHT(I4535,LEN(I4535)-FIND("*",I4535)),"-")</f>
        <v>-</v>
      </c>
      <c r="W4536" s="20" t="str">
        <f t="shared" si="2464"/>
        <v>-</v>
      </c>
      <c r="X4536" s="20" t="str">
        <f>IFERROR(W4536*J4535,"-")</f>
        <v>-</v>
      </c>
      <c r="Z4536" s="85" t="s">
        <v>82</v>
      </c>
    </row>
    <row r="4537" spans="1:26" ht="6.95" customHeight="1" x14ac:dyDescent="0.3">
      <c r="A4537" s="5"/>
      <c r="B4537" s="157"/>
      <c r="C4537" s="158"/>
      <c r="D4537" s="161"/>
      <c r="E4537" s="162"/>
      <c r="F4537" s="163"/>
      <c r="G4537" s="164"/>
      <c r="H4537" s="165"/>
      <c r="I4537" s="164"/>
      <c r="J4537" s="165"/>
      <c r="K4537" s="164"/>
      <c r="L4537" s="165"/>
      <c r="M4537" s="6"/>
      <c r="N4537" s="32"/>
      <c r="Q4537" s="10" t="str">
        <f>+CONCATENATE(E4535,K4535)</f>
        <v/>
      </c>
      <c r="R4537" s="10">
        <f>+L4535</f>
        <v>0</v>
      </c>
      <c r="S4537" s="11"/>
      <c r="T4537" s="10">
        <f>+E4535</f>
        <v>0</v>
      </c>
      <c r="U4537" s="19" t="str">
        <f>IFERROR(LEFT(K4535,FIND("*",K4535)-1),"-")</f>
        <v>-</v>
      </c>
      <c r="V4537" s="19" t="str">
        <f>IFERROR(RIGHT(K4535,LEN(K4535)-FIND("*",K4535)),"-")</f>
        <v>-</v>
      </c>
      <c r="W4537" s="20" t="str">
        <f t="shared" si="2464"/>
        <v>-</v>
      </c>
      <c r="X4537" s="20" t="str">
        <f>IFERROR(W4537*L4535,"-")</f>
        <v>-</v>
      </c>
      <c r="Z4537" s="85" t="s">
        <v>82</v>
      </c>
    </row>
    <row r="4538" spans="1:26" ht="6.95" customHeight="1" x14ac:dyDescent="0.3">
      <c r="A4538" s="8"/>
      <c r="B4538" s="157"/>
      <c r="C4538" s="158"/>
      <c r="D4538" s="161" t="s">
        <v>39</v>
      </c>
      <c r="E4538" s="162"/>
      <c r="F4538" s="163" t="s">
        <v>40</v>
      </c>
      <c r="G4538" s="164"/>
      <c r="H4538" s="165"/>
      <c r="I4538" s="164"/>
      <c r="J4538" s="165"/>
      <c r="K4538" s="164"/>
      <c r="L4538" s="165"/>
      <c r="M4538" s="6"/>
      <c r="N4538" s="32"/>
      <c r="Q4538" s="10" t="str">
        <f>+CONCATENATE(E4538,G4538)</f>
        <v/>
      </c>
      <c r="R4538" s="10">
        <f>+H4538</f>
        <v>0</v>
      </c>
      <c r="S4538" s="11"/>
      <c r="T4538" s="10">
        <f>+E4538</f>
        <v>0</v>
      </c>
      <c r="U4538" s="19" t="str">
        <f t="shared" ref="U4538" si="2467">IFERROR(LEFT(G4538,FIND("*",G4538)-1),"-")</f>
        <v>-</v>
      </c>
      <c r="V4538" s="19" t="str">
        <f t="shared" ref="V4538" si="2468">IFERROR(RIGHT(G4538,LEN(G4538)-FIND("*",G4538)),"-")</f>
        <v>-</v>
      </c>
      <c r="W4538" s="20" t="str">
        <f t="shared" si="2464"/>
        <v>-</v>
      </c>
      <c r="X4538" s="20" t="str">
        <f>IFERROR(W4538*H4538,"-")</f>
        <v>-</v>
      </c>
      <c r="Z4538" s="85" t="s">
        <v>82</v>
      </c>
    </row>
    <row r="4539" spans="1:26" ht="6.95" customHeight="1" x14ac:dyDescent="0.3">
      <c r="A4539" s="5"/>
      <c r="B4539" s="157"/>
      <c r="C4539" s="158"/>
      <c r="D4539" s="161"/>
      <c r="E4539" s="162"/>
      <c r="F4539" s="163"/>
      <c r="G4539" s="164"/>
      <c r="H4539" s="165"/>
      <c r="I4539" s="164"/>
      <c r="J4539" s="165"/>
      <c r="K4539" s="164"/>
      <c r="L4539" s="165"/>
      <c r="M4539" s="6"/>
      <c r="N4539" s="32"/>
      <c r="Q4539" s="10" t="str">
        <f>+CONCATENATE(E4538,I4538)</f>
        <v/>
      </c>
      <c r="R4539" s="10">
        <f>+J4538</f>
        <v>0</v>
      </c>
      <c r="S4539" s="11"/>
      <c r="T4539" s="10">
        <f>+E4538</f>
        <v>0</v>
      </c>
      <c r="U4539" s="19" t="str">
        <f>IFERROR(LEFT(I4538,FIND("*",I4538)-1),"-")</f>
        <v>-</v>
      </c>
      <c r="V4539" s="19" t="str">
        <f>IFERROR(RIGHT(I4538,LEN(I4538)-FIND("*",I4538)),"-")</f>
        <v>-</v>
      </c>
      <c r="W4539" s="20" t="str">
        <f t="shared" si="2464"/>
        <v>-</v>
      </c>
      <c r="X4539" s="20" t="str">
        <f t="shared" ref="X4539" si="2469">IFERROR(W4539*J4538,"-")</f>
        <v>-</v>
      </c>
      <c r="Z4539" s="85" t="s">
        <v>82</v>
      </c>
    </row>
    <row r="4540" spans="1:26" ht="6.95" customHeight="1" x14ac:dyDescent="0.3">
      <c r="A4540" s="5"/>
      <c r="B4540" s="157"/>
      <c r="C4540" s="158"/>
      <c r="D4540" s="161"/>
      <c r="E4540" s="162"/>
      <c r="F4540" s="163"/>
      <c r="G4540" s="164"/>
      <c r="H4540" s="165"/>
      <c r="I4540" s="164"/>
      <c r="J4540" s="165"/>
      <c r="K4540" s="164"/>
      <c r="L4540" s="165"/>
      <c r="M4540" s="6"/>
      <c r="N4540" s="32"/>
      <c r="Q4540" s="10" t="str">
        <f>+CONCATENATE(E4538,K4538)</f>
        <v/>
      </c>
      <c r="R4540" s="10">
        <f>+L4538</f>
        <v>0</v>
      </c>
      <c r="S4540" s="11"/>
      <c r="T4540" s="10">
        <f>+E4538</f>
        <v>0</v>
      </c>
      <c r="U4540" s="19" t="str">
        <f>IFERROR(LEFT(K4538,FIND("*",K4538)-1),"-")</f>
        <v>-</v>
      </c>
      <c r="V4540" s="19" t="str">
        <f>IFERROR(RIGHT(K4538,LEN(K4538)-FIND("*",K4538)),"-")</f>
        <v>-</v>
      </c>
      <c r="W4540" s="20" t="str">
        <f t="shared" si="2464"/>
        <v>-</v>
      </c>
      <c r="X4540" s="20" t="str">
        <f>IFERROR(W4540*L4538,"-")</f>
        <v>-</v>
      </c>
      <c r="Z4540" s="85" t="s">
        <v>82</v>
      </c>
    </row>
    <row r="4541" spans="1:26" ht="21" customHeight="1" thickBot="1" x14ac:dyDescent="0.35">
      <c r="A4541" s="5"/>
      <c r="B4541" s="159"/>
      <c r="C4541" s="160"/>
      <c r="D4541" s="166" t="s">
        <v>43</v>
      </c>
      <c r="E4541" s="167"/>
      <c r="F4541" s="167"/>
      <c r="G4541" s="168"/>
      <c r="H4541" s="168"/>
      <c r="I4541" s="168"/>
      <c r="J4541" s="168"/>
      <c r="K4541" s="168"/>
      <c r="L4541" s="168"/>
      <c r="M4541" s="7"/>
      <c r="N4541" s="32"/>
      <c r="Z4541" s="86" t="s">
        <v>81</v>
      </c>
    </row>
    <row r="4542" spans="1:26" ht="9.9499999999999993" customHeight="1" thickBot="1" x14ac:dyDescent="0.35">
      <c r="B4542" s="9"/>
      <c r="C4542" s="109"/>
      <c r="D4542" s="51"/>
      <c r="E4542" s="12"/>
      <c r="F4542" s="51"/>
      <c r="G4542" s="14"/>
      <c r="H4542" s="14"/>
      <c r="I4542" s="14"/>
      <c r="J4542" s="14"/>
      <c r="K4542" s="14"/>
      <c r="L4542" s="14"/>
      <c r="M4542" s="9"/>
      <c r="N4542" s="32"/>
      <c r="U4542" s="18"/>
      <c r="V4542" s="18"/>
      <c r="Z4542" s="85" t="s">
        <v>82</v>
      </c>
    </row>
    <row r="4543" spans="1:26" ht="6.95" customHeight="1" x14ac:dyDescent="0.3">
      <c r="A4543" s="154">
        <f>+A4532+1</f>
        <v>1212</v>
      </c>
      <c r="B4543" s="155"/>
      <c r="C4543" s="156"/>
      <c r="D4543" s="161" t="s">
        <v>39</v>
      </c>
      <c r="E4543" s="162"/>
      <c r="F4543" s="163" t="s">
        <v>40</v>
      </c>
      <c r="G4543" s="164"/>
      <c r="H4543" s="165"/>
      <c r="I4543" s="164"/>
      <c r="J4543" s="165"/>
      <c r="K4543" s="164"/>
      <c r="L4543" s="165"/>
      <c r="M4543" s="6"/>
      <c r="N4543" s="32"/>
      <c r="Q4543" s="10" t="str">
        <f>+CONCATENATE(E4543,G4543)</f>
        <v/>
      </c>
      <c r="R4543" s="10">
        <f>+H4543</f>
        <v>0</v>
      </c>
      <c r="S4543" s="11"/>
      <c r="T4543" s="10">
        <f>+E4543</f>
        <v>0</v>
      </c>
      <c r="U4543" s="19" t="str">
        <f>IFERROR(LEFT(G4543,FIND("*",G4543)-1),"-")</f>
        <v>-</v>
      </c>
      <c r="V4543" s="19" t="str">
        <f>IFERROR(RIGHT(G4543,LEN(G4543)-FIND("*",G4543)),"-")</f>
        <v>-</v>
      </c>
      <c r="W4543" s="20" t="str">
        <f>IFERROR((U4543+V4543)*2/1000,"-")</f>
        <v>-</v>
      </c>
      <c r="X4543" s="20" t="str">
        <f>IFERROR(W4543*H4543,"-")</f>
        <v>-</v>
      </c>
      <c r="Z4543" s="85" t="s">
        <v>82</v>
      </c>
    </row>
    <row r="4544" spans="1:26" ht="6.95" customHeight="1" x14ac:dyDescent="0.3">
      <c r="A4544" s="154"/>
      <c r="B4544" s="157"/>
      <c r="C4544" s="158"/>
      <c r="D4544" s="161"/>
      <c r="E4544" s="162"/>
      <c r="F4544" s="163"/>
      <c r="G4544" s="164"/>
      <c r="H4544" s="165"/>
      <c r="I4544" s="164"/>
      <c r="J4544" s="165"/>
      <c r="K4544" s="164"/>
      <c r="L4544" s="165"/>
      <c r="M4544" s="6"/>
      <c r="N4544" s="32"/>
      <c r="Q4544" s="10" t="str">
        <f>+CONCATENATE(E4543,I4543)</f>
        <v/>
      </c>
      <c r="R4544" s="10">
        <f>+J4543</f>
        <v>0</v>
      </c>
      <c r="S4544" s="11"/>
      <c r="T4544" s="10">
        <f>+E4543</f>
        <v>0</v>
      </c>
      <c r="U4544" s="19" t="str">
        <f>IFERROR(LEFT(I4543,FIND("*",I4543)-1),"-")</f>
        <v>-</v>
      </c>
      <c r="V4544" s="19" t="str">
        <f>IFERROR(RIGHT(I4543,LEN(I4543)-FIND("*",I4543)),"-")</f>
        <v>-</v>
      </c>
      <c r="W4544" s="20" t="str">
        <f t="shared" ref="W4544:W4551" si="2470">IFERROR((U4544+V4544)*2/1000,"-")</f>
        <v>-</v>
      </c>
      <c r="X4544" s="20" t="str">
        <f>IFERROR(W4544*J4543,"-")</f>
        <v>-</v>
      </c>
      <c r="Z4544" s="85" t="s">
        <v>82</v>
      </c>
    </row>
    <row r="4545" spans="1:26" ht="6.95" customHeight="1" x14ac:dyDescent="0.3">
      <c r="A4545" s="154"/>
      <c r="B4545" s="157"/>
      <c r="C4545" s="158"/>
      <c r="D4545" s="161"/>
      <c r="E4545" s="162"/>
      <c r="F4545" s="163"/>
      <c r="G4545" s="164"/>
      <c r="H4545" s="165"/>
      <c r="I4545" s="164"/>
      <c r="J4545" s="165"/>
      <c r="K4545" s="164"/>
      <c r="L4545" s="165"/>
      <c r="M4545" s="6"/>
      <c r="N4545" s="32"/>
      <c r="Q4545" s="10" t="str">
        <f>+CONCATENATE(E4543,K4543)</f>
        <v/>
      </c>
      <c r="R4545" s="10">
        <f>+L4543</f>
        <v>0</v>
      </c>
      <c r="S4545" s="11"/>
      <c r="T4545" s="10">
        <f>+E4543</f>
        <v>0</v>
      </c>
      <c r="U4545" s="19" t="str">
        <f>IFERROR(LEFT(K4543,FIND("*",K4543)-1),"-")</f>
        <v>-</v>
      </c>
      <c r="V4545" s="19" t="str">
        <f>IFERROR(RIGHT(K4543,LEN(K4543)-FIND("*",K4543)),"-")</f>
        <v>-</v>
      </c>
      <c r="W4545" s="20" t="str">
        <f t="shared" si="2470"/>
        <v>-</v>
      </c>
      <c r="X4545" s="20" t="str">
        <f>IFERROR(W4545*L4543,"-")</f>
        <v>-</v>
      </c>
      <c r="Z4545" s="85" t="s">
        <v>82</v>
      </c>
    </row>
    <row r="4546" spans="1:26" ht="6.95" customHeight="1" x14ac:dyDescent="0.3">
      <c r="A4546" s="8"/>
      <c r="B4546" s="157"/>
      <c r="C4546" s="158"/>
      <c r="D4546" s="161" t="s">
        <v>39</v>
      </c>
      <c r="E4546" s="162"/>
      <c r="F4546" s="163" t="s">
        <v>40</v>
      </c>
      <c r="G4546" s="164"/>
      <c r="H4546" s="165"/>
      <c r="I4546" s="164"/>
      <c r="J4546" s="165"/>
      <c r="K4546" s="164"/>
      <c r="L4546" s="165"/>
      <c r="M4546" s="6"/>
      <c r="N4546" s="32"/>
      <c r="Q4546" s="10" t="str">
        <f>+CONCATENATE(E4546,G4546)</f>
        <v/>
      </c>
      <c r="R4546" s="10">
        <f>+H4546</f>
        <v>0</v>
      </c>
      <c r="S4546" s="11"/>
      <c r="T4546" s="10">
        <f>+E4546</f>
        <v>0</v>
      </c>
      <c r="U4546" s="19" t="str">
        <f t="shared" ref="U4546" si="2471">IFERROR(LEFT(G4546,FIND("*",G4546)-1),"-")</f>
        <v>-</v>
      </c>
      <c r="V4546" s="19" t="str">
        <f t="shared" ref="V4546" si="2472">IFERROR(RIGHT(G4546,LEN(G4546)-FIND("*",G4546)),"-")</f>
        <v>-</v>
      </c>
      <c r="W4546" s="20" t="str">
        <f t="shared" si="2470"/>
        <v>-</v>
      </c>
      <c r="X4546" s="20" t="str">
        <f>IFERROR(W4546*H4546,"-")</f>
        <v>-</v>
      </c>
      <c r="Z4546" s="85" t="s">
        <v>82</v>
      </c>
    </row>
    <row r="4547" spans="1:26" ht="6.95" customHeight="1" x14ac:dyDescent="0.3">
      <c r="A4547" s="5"/>
      <c r="B4547" s="157"/>
      <c r="C4547" s="158"/>
      <c r="D4547" s="161"/>
      <c r="E4547" s="162"/>
      <c r="F4547" s="163"/>
      <c r="G4547" s="164"/>
      <c r="H4547" s="165"/>
      <c r="I4547" s="164"/>
      <c r="J4547" s="165"/>
      <c r="K4547" s="164"/>
      <c r="L4547" s="165"/>
      <c r="M4547" s="6"/>
      <c r="N4547" s="32"/>
      <c r="Q4547" s="10" t="str">
        <f>+CONCATENATE(E4546,I4546)</f>
        <v/>
      </c>
      <c r="R4547" s="10">
        <f>+J4546</f>
        <v>0</v>
      </c>
      <c r="S4547" s="11"/>
      <c r="T4547" s="10">
        <f>+E4546</f>
        <v>0</v>
      </c>
      <c r="U4547" s="19" t="str">
        <f>IFERROR(LEFT(I4546,FIND("*",I4546)-1),"-")</f>
        <v>-</v>
      </c>
      <c r="V4547" s="19" t="str">
        <f>IFERROR(RIGHT(I4546,LEN(I4546)-FIND("*",I4546)),"-")</f>
        <v>-</v>
      </c>
      <c r="W4547" s="20" t="str">
        <f t="shared" si="2470"/>
        <v>-</v>
      </c>
      <c r="X4547" s="20" t="str">
        <f>IFERROR(W4547*J4546,"-")</f>
        <v>-</v>
      </c>
      <c r="Z4547" s="85" t="s">
        <v>82</v>
      </c>
    </row>
    <row r="4548" spans="1:26" ht="6.95" customHeight="1" x14ac:dyDescent="0.3">
      <c r="A4548" s="5"/>
      <c r="B4548" s="157"/>
      <c r="C4548" s="158"/>
      <c r="D4548" s="161"/>
      <c r="E4548" s="162"/>
      <c r="F4548" s="163"/>
      <c r="G4548" s="164"/>
      <c r="H4548" s="165"/>
      <c r="I4548" s="164"/>
      <c r="J4548" s="165"/>
      <c r="K4548" s="164"/>
      <c r="L4548" s="165"/>
      <c r="M4548" s="6"/>
      <c r="N4548" s="32"/>
      <c r="Q4548" s="10" t="str">
        <f>+CONCATENATE(E4546,K4546)</f>
        <v/>
      </c>
      <c r="R4548" s="10">
        <f>+L4546</f>
        <v>0</v>
      </c>
      <c r="S4548" s="11"/>
      <c r="T4548" s="10">
        <f>+E4546</f>
        <v>0</v>
      </c>
      <c r="U4548" s="19" t="str">
        <f>IFERROR(LEFT(K4546,FIND("*",K4546)-1),"-")</f>
        <v>-</v>
      </c>
      <c r="V4548" s="19" t="str">
        <f>IFERROR(RIGHT(K4546,LEN(K4546)-FIND("*",K4546)),"-")</f>
        <v>-</v>
      </c>
      <c r="W4548" s="20" t="str">
        <f t="shared" si="2470"/>
        <v>-</v>
      </c>
      <c r="X4548" s="20" t="str">
        <f>IFERROR(W4548*L4546,"-")</f>
        <v>-</v>
      </c>
      <c r="Z4548" s="85" t="s">
        <v>82</v>
      </c>
    </row>
    <row r="4549" spans="1:26" ht="6.95" customHeight="1" x14ac:dyDescent="0.3">
      <c r="A4549" s="8"/>
      <c r="B4549" s="157"/>
      <c r="C4549" s="158"/>
      <c r="D4549" s="161" t="s">
        <v>39</v>
      </c>
      <c r="E4549" s="162"/>
      <c r="F4549" s="163" t="s">
        <v>40</v>
      </c>
      <c r="G4549" s="164"/>
      <c r="H4549" s="165"/>
      <c r="I4549" s="164"/>
      <c r="J4549" s="165"/>
      <c r="K4549" s="164"/>
      <c r="L4549" s="165"/>
      <c r="M4549" s="6"/>
      <c r="N4549" s="32"/>
      <c r="Q4549" s="10" t="str">
        <f>+CONCATENATE(E4549,G4549)</f>
        <v/>
      </c>
      <c r="R4549" s="10">
        <f>+H4549</f>
        <v>0</v>
      </c>
      <c r="S4549" s="11"/>
      <c r="T4549" s="10">
        <f>+E4549</f>
        <v>0</v>
      </c>
      <c r="U4549" s="19" t="str">
        <f t="shared" ref="U4549" si="2473">IFERROR(LEFT(G4549,FIND("*",G4549)-1),"-")</f>
        <v>-</v>
      </c>
      <c r="V4549" s="19" t="str">
        <f t="shared" ref="V4549" si="2474">IFERROR(RIGHT(G4549,LEN(G4549)-FIND("*",G4549)),"-")</f>
        <v>-</v>
      </c>
      <c r="W4549" s="20" t="str">
        <f t="shared" si="2470"/>
        <v>-</v>
      </c>
      <c r="X4549" s="20" t="str">
        <f>IFERROR(W4549*H4549,"-")</f>
        <v>-</v>
      </c>
      <c r="Z4549" s="85" t="s">
        <v>82</v>
      </c>
    </row>
    <row r="4550" spans="1:26" ht="6.95" customHeight="1" x14ac:dyDescent="0.3">
      <c r="A4550" s="5"/>
      <c r="B4550" s="157"/>
      <c r="C4550" s="158"/>
      <c r="D4550" s="161"/>
      <c r="E4550" s="162"/>
      <c r="F4550" s="163"/>
      <c r="G4550" s="164"/>
      <c r="H4550" s="165"/>
      <c r="I4550" s="164"/>
      <c r="J4550" s="165"/>
      <c r="K4550" s="164"/>
      <c r="L4550" s="165"/>
      <c r="M4550" s="6"/>
      <c r="N4550" s="32"/>
      <c r="Q4550" s="10" t="str">
        <f>+CONCATENATE(E4549,I4549)</f>
        <v/>
      </c>
      <c r="R4550" s="10">
        <f>+J4549</f>
        <v>0</v>
      </c>
      <c r="S4550" s="11"/>
      <c r="T4550" s="10">
        <f>+E4549</f>
        <v>0</v>
      </c>
      <c r="U4550" s="19" t="str">
        <f>IFERROR(LEFT(I4549,FIND("*",I4549)-1),"-")</f>
        <v>-</v>
      </c>
      <c r="V4550" s="19" t="str">
        <f>IFERROR(RIGHT(I4549,LEN(I4549)-FIND("*",I4549)),"-")</f>
        <v>-</v>
      </c>
      <c r="W4550" s="20" t="str">
        <f t="shared" si="2470"/>
        <v>-</v>
      </c>
      <c r="X4550" s="20" t="str">
        <f t="shared" ref="X4550" si="2475">IFERROR(W4550*J4549,"-")</f>
        <v>-</v>
      </c>
      <c r="Z4550" s="85" t="s">
        <v>82</v>
      </c>
    </row>
    <row r="4551" spans="1:26" ht="6.95" customHeight="1" x14ac:dyDescent="0.3">
      <c r="A4551" s="5"/>
      <c r="B4551" s="157"/>
      <c r="C4551" s="158"/>
      <c r="D4551" s="161"/>
      <c r="E4551" s="162"/>
      <c r="F4551" s="163"/>
      <c r="G4551" s="164"/>
      <c r="H4551" s="165"/>
      <c r="I4551" s="164"/>
      <c r="J4551" s="165"/>
      <c r="K4551" s="164"/>
      <c r="L4551" s="165"/>
      <c r="M4551" s="6"/>
      <c r="N4551" s="32"/>
      <c r="Q4551" s="10" t="str">
        <f>+CONCATENATE(E4549,K4549)</f>
        <v/>
      </c>
      <c r="R4551" s="10">
        <f>+L4549</f>
        <v>0</v>
      </c>
      <c r="S4551" s="11"/>
      <c r="T4551" s="10">
        <f>+E4549</f>
        <v>0</v>
      </c>
      <c r="U4551" s="19" t="str">
        <f>IFERROR(LEFT(K4549,FIND("*",K4549)-1),"-")</f>
        <v>-</v>
      </c>
      <c r="V4551" s="19" t="str">
        <f>IFERROR(RIGHT(K4549,LEN(K4549)-FIND("*",K4549)),"-")</f>
        <v>-</v>
      </c>
      <c r="W4551" s="20" t="str">
        <f t="shared" si="2470"/>
        <v>-</v>
      </c>
      <c r="X4551" s="20" t="str">
        <f>IFERROR(W4551*L4549,"-")</f>
        <v>-</v>
      </c>
      <c r="Z4551" s="85" t="s">
        <v>82</v>
      </c>
    </row>
    <row r="4552" spans="1:26" ht="21" customHeight="1" thickBot="1" x14ac:dyDescent="0.35">
      <c r="A4552" s="5"/>
      <c r="B4552" s="159"/>
      <c r="C4552" s="160"/>
      <c r="D4552" s="166" t="s">
        <v>43</v>
      </c>
      <c r="E4552" s="167"/>
      <c r="F4552" s="167"/>
      <c r="G4552" s="168"/>
      <c r="H4552" s="168"/>
      <c r="I4552" s="168"/>
      <c r="J4552" s="168"/>
      <c r="K4552" s="168"/>
      <c r="L4552" s="168"/>
      <c r="M4552" s="7"/>
      <c r="N4552" s="32"/>
      <c r="Z4552" s="86" t="s">
        <v>81</v>
      </c>
    </row>
    <row r="4553" spans="1:26" ht="9.9499999999999993" customHeight="1" thickBot="1" x14ac:dyDescent="0.35">
      <c r="B4553" s="9"/>
      <c r="C4553" s="109"/>
      <c r="D4553" s="51"/>
      <c r="E4553" s="12"/>
      <c r="F4553" s="51"/>
      <c r="G4553" s="14"/>
      <c r="H4553" s="14"/>
      <c r="I4553" s="14"/>
      <c r="J4553" s="14"/>
      <c r="K4553" s="14"/>
      <c r="L4553" s="14"/>
      <c r="M4553" s="9"/>
      <c r="N4553" s="32"/>
      <c r="U4553" s="18"/>
      <c r="V4553" s="18"/>
      <c r="Z4553" s="85" t="s">
        <v>82</v>
      </c>
    </row>
    <row r="4554" spans="1:26" ht="6.95" customHeight="1" x14ac:dyDescent="0.3">
      <c r="A4554" s="154">
        <f>+A4543+1</f>
        <v>1213</v>
      </c>
      <c r="B4554" s="155"/>
      <c r="C4554" s="156"/>
      <c r="D4554" s="161" t="s">
        <v>39</v>
      </c>
      <c r="E4554" s="162"/>
      <c r="F4554" s="163" t="s">
        <v>40</v>
      </c>
      <c r="G4554" s="164"/>
      <c r="H4554" s="165"/>
      <c r="I4554" s="164"/>
      <c r="J4554" s="165"/>
      <c r="K4554" s="164"/>
      <c r="L4554" s="165"/>
      <c r="M4554" s="6"/>
      <c r="N4554" s="32"/>
      <c r="Q4554" s="10" t="str">
        <f>+CONCATENATE(E4554,G4554)</f>
        <v/>
      </c>
      <c r="R4554" s="10">
        <f>+H4554</f>
        <v>0</v>
      </c>
      <c r="S4554" s="11"/>
      <c r="T4554" s="10">
        <f>+E4554</f>
        <v>0</v>
      </c>
      <c r="U4554" s="19" t="str">
        <f>IFERROR(LEFT(G4554,FIND("*",G4554)-1),"-")</f>
        <v>-</v>
      </c>
      <c r="V4554" s="19" t="str">
        <f>IFERROR(RIGHT(G4554,LEN(G4554)-FIND("*",G4554)),"-")</f>
        <v>-</v>
      </c>
      <c r="W4554" s="20" t="str">
        <f>IFERROR((U4554+V4554)*2/1000,"-")</f>
        <v>-</v>
      </c>
      <c r="X4554" s="20" t="str">
        <f>IFERROR(W4554*H4554,"-")</f>
        <v>-</v>
      </c>
      <c r="Z4554" s="85" t="s">
        <v>82</v>
      </c>
    </row>
    <row r="4555" spans="1:26" ht="6.95" customHeight="1" x14ac:dyDescent="0.3">
      <c r="A4555" s="154"/>
      <c r="B4555" s="157"/>
      <c r="C4555" s="158"/>
      <c r="D4555" s="161"/>
      <c r="E4555" s="162"/>
      <c r="F4555" s="163"/>
      <c r="G4555" s="164"/>
      <c r="H4555" s="165"/>
      <c r="I4555" s="164"/>
      <c r="J4555" s="165"/>
      <c r="K4555" s="164"/>
      <c r="L4555" s="165"/>
      <c r="M4555" s="6"/>
      <c r="N4555" s="32"/>
      <c r="Q4555" s="10" t="str">
        <f>+CONCATENATE(E4554,I4554)</f>
        <v/>
      </c>
      <c r="R4555" s="10">
        <f>+J4554</f>
        <v>0</v>
      </c>
      <c r="S4555" s="11"/>
      <c r="T4555" s="10">
        <f>+E4554</f>
        <v>0</v>
      </c>
      <c r="U4555" s="19" t="str">
        <f>IFERROR(LEFT(I4554,FIND("*",I4554)-1),"-")</f>
        <v>-</v>
      </c>
      <c r="V4555" s="19" t="str">
        <f>IFERROR(RIGHT(I4554,LEN(I4554)-FIND("*",I4554)),"-")</f>
        <v>-</v>
      </c>
      <c r="W4555" s="20" t="str">
        <f t="shared" ref="W4555:W4562" si="2476">IFERROR((U4555+V4555)*2/1000,"-")</f>
        <v>-</v>
      </c>
      <c r="X4555" s="20" t="str">
        <f>IFERROR(W4555*J4554,"-")</f>
        <v>-</v>
      </c>
      <c r="Z4555" s="85" t="s">
        <v>82</v>
      </c>
    </row>
    <row r="4556" spans="1:26" ht="6.95" customHeight="1" x14ac:dyDescent="0.3">
      <c r="A4556" s="154"/>
      <c r="B4556" s="157"/>
      <c r="C4556" s="158"/>
      <c r="D4556" s="161"/>
      <c r="E4556" s="162"/>
      <c r="F4556" s="163"/>
      <c r="G4556" s="164"/>
      <c r="H4556" s="165"/>
      <c r="I4556" s="164"/>
      <c r="J4556" s="165"/>
      <c r="K4556" s="164"/>
      <c r="L4556" s="165"/>
      <c r="M4556" s="6"/>
      <c r="N4556" s="32"/>
      <c r="Q4556" s="10" t="str">
        <f>+CONCATENATE(E4554,K4554)</f>
        <v/>
      </c>
      <c r="R4556" s="10">
        <f>+L4554</f>
        <v>0</v>
      </c>
      <c r="S4556" s="11"/>
      <c r="T4556" s="10">
        <f>+E4554</f>
        <v>0</v>
      </c>
      <c r="U4556" s="19" t="str">
        <f>IFERROR(LEFT(K4554,FIND("*",K4554)-1),"-")</f>
        <v>-</v>
      </c>
      <c r="V4556" s="19" t="str">
        <f>IFERROR(RIGHT(K4554,LEN(K4554)-FIND("*",K4554)),"-")</f>
        <v>-</v>
      </c>
      <c r="W4556" s="20" t="str">
        <f t="shared" si="2476"/>
        <v>-</v>
      </c>
      <c r="X4556" s="20" t="str">
        <f>IFERROR(W4556*L4554,"-")</f>
        <v>-</v>
      </c>
      <c r="Z4556" s="85" t="s">
        <v>82</v>
      </c>
    </row>
    <row r="4557" spans="1:26" ht="6.95" customHeight="1" x14ac:dyDescent="0.3">
      <c r="A4557" s="8"/>
      <c r="B4557" s="157"/>
      <c r="C4557" s="158"/>
      <c r="D4557" s="161" t="s">
        <v>39</v>
      </c>
      <c r="E4557" s="162"/>
      <c r="F4557" s="163" t="s">
        <v>40</v>
      </c>
      <c r="G4557" s="164"/>
      <c r="H4557" s="165"/>
      <c r="I4557" s="164"/>
      <c r="J4557" s="165"/>
      <c r="K4557" s="164"/>
      <c r="L4557" s="165"/>
      <c r="M4557" s="6"/>
      <c r="N4557" s="32"/>
      <c r="Q4557" s="10" t="str">
        <f>+CONCATENATE(E4557,G4557)</f>
        <v/>
      </c>
      <c r="R4557" s="10">
        <f>+H4557</f>
        <v>0</v>
      </c>
      <c r="S4557" s="11"/>
      <c r="T4557" s="10">
        <f>+E4557</f>
        <v>0</v>
      </c>
      <c r="U4557" s="19" t="str">
        <f t="shared" ref="U4557" si="2477">IFERROR(LEFT(G4557,FIND("*",G4557)-1),"-")</f>
        <v>-</v>
      </c>
      <c r="V4557" s="19" t="str">
        <f t="shared" ref="V4557" si="2478">IFERROR(RIGHT(G4557,LEN(G4557)-FIND("*",G4557)),"-")</f>
        <v>-</v>
      </c>
      <c r="W4557" s="20" t="str">
        <f t="shared" si="2476"/>
        <v>-</v>
      </c>
      <c r="X4557" s="20" t="str">
        <f>IFERROR(W4557*H4557,"-")</f>
        <v>-</v>
      </c>
      <c r="Z4557" s="85" t="s">
        <v>82</v>
      </c>
    </row>
    <row r="4558" spans="1:26" ht="6.95" customHeight="1" x14ac:dyDescent="0.3">
      <c r="A4558" s="5"/>
      <c r="B4558" s="157"/>
      <c r="C4558" s="158"/>
      <c r="D4558" s="161"/>
      <c r="E4558" s="162"/>
      <c r="F4558" s="163"/>
      <c r="G4558" s="164"/>
      <c r="H4558" s="165"/>
      <c r="I4558" s="164"/>
      <c r="J4558" s="165"/>
      <c r="K4558" s="164"/>
      <c r="L4558" s="165"/>
      <c r="M4558" s="6"/>
      <c r="N4558" s="32"/>
      <c r="Q4558" s="10" t="str">
        <f>+CONCATENATE(E4557,I4557)</f>
        <v/>
      </c>
      <c r="R4558" s="10">
        <f>+J4557</f>
        <v>0</v>
      </c>
      <c r="S4558" s="11"/>
      <c r="T4558" s="10">
        <f>+E4557</f>
        <v>0</v>
      </c>
      <c r="U4558" s="19" t="str">
        <f>IFERROR(LEFT(I4557,FIND("*",I4557)-1),"-")</f>
        <v>-</v>
      </c>
      <c r="V4558" s="19" t="str">
        <f>IFERROR(RIGHT(I4557,LEN(I4557)-FIND("*",I4557)),"-")</f>
        <v>-</v>
      </c>
      <c r="W4558" s="20" t="str">
        <f t="shared" si="2476"/>
        <v>-</v>
      </c>
      <c r="X4558" s="20" t="str">
        <f>IFERROR(W4558*J4557,"-")</f>
        <v>-</v>
      </c>
      <c r="Z4558" s="85" t="s">
        <v>82</v>
      </c>
    </row>
    <row r="4559" spans="1:26" ht="6.95" customHeight="1" x14ac:dyDescent="0.3">
      <c r="A4559" s="5"/>
      <c r="B4559" s="157"/>
      <c r="C4559" s="158"/>
      <c r="D4559" s="161"/>
      <c r="E4559" s="162"/>
      <c r="F4559" s="163"/>
      <c r="G4559" s="164"/>
      <c r="H4559" s="165"/>
      <c r="I4559" s="164"/>
      <c r="J4559" s="165"/>
      <c r="K4559" s="164"/>
      <c r="L4559" s="165"/>
      <c r="M4559" s="6"/>
      <c r="N4559" s="32"/>
      <c r="Q4559" s="10" t="str">
        <f>+CONCATENATE(E4557,K4557)</f>
        <v/>
      </c>
      <c r="R4559" s="10">
        <f>+L4557</f>
        <v>0</v>
      </c>
      <c r="S4559" s="11"/>
      <c r="T4559" s="10">
        <f>+E4557</f>
        <v>0</v>
      </c>
      <c r="U4559" s="19" t="str">
        <f>IFERROR(LEFT(K4557,FIND("*",K4557)-1),"-")</f>
        <v>-</v>
      </c>
      <c r="V4559" s="19" t="str">
        <f>IFERROR(RIGHT(K4557,LEN(K4557)-FIND("*",K4557)),"-")</f>
        <v>-</v>
      </c>
      <c r="W4559" s="20" t="str">
        <f t="shared" si="2476"/>
        <v>-</v>
      </c>
      <c r="X4559" s="20" t="str">
        <f>IFERROR(W4559*L4557,"-")</f>
        <v>-</v>
      </c>
      <c r="Z4559" s="85" t="s">
        <v>82</v>
      </c>
    </row>
    <row r="4560" spans="1:26" ht="6.95" customHeight="1" x14ac:dyDescent="0.3">
      <c r="A4560" s="8"/>
      <c r="B4560" s="157"/>
      <c r="C4560" s="158"/>
      <c r="D4560" s="161" t="s">
        <v>39</v>
      </c>
      <c r="E4560" s="162"/>
      <c r="F4560" s="163" t="s">
        <v>40</v>
      </c>
      <c r="G4560" s="164"/>
      <c r="H4560" s="165"/>
      <c r="I4560" s="164"/>
      <c r="J4560" s="165"/>
      <c r="K4560" s="164"/>
      <c r="L4560" s="165"/>
      <c r="M4560" s="6"/>
      <c r="N4560" s="32"/>
      <c r="Q4560" s="10" t="str">
        <f>+CONCATENATE(E4560,G4560)</f>
        <v/>
      </c>
      <c r="R4560" s="10">
        <f>+H4560</f>
        <v>0</v>
      </c>
      <c r="S4560" s="11"/>
      <c r="T4560" s="10">
        <f>+E4560</f>
        <v>0</v>
      </c>
      <c r="U4560" s="19" t="str">
        <f t="shared" ref="U4560" si="2479">IFERROR(LEFT(G4560,FIND("*",G4560)-1),"-")</f>
        <v>-</v>
      </c>
      <c r="V4560" s="19" t="str">
        <f t="shared" ref="V4560" si="2480">IFERROR(RIGHT(G4560,LEN(G4560)-FIND("*",G4560)),"-")</f>
        <v>-</v>
      </c>
      <c r="W4560" s="20" t="str">
        <f t="shared" si="2476"/>
        <v>-</v>
      </c>
      <c r="X4560" s="20" t="str">
        <f>IFERROR(W4560*H4560,"-")</f>
        <v>-</v>
      </c>
      <c r="Z4560" s="85" t="s">
        <v>82</v>
      </c>
    </row>
    <row r="4561" spans="1:26" ht="6.95" customHeight="1" x14ac:dyDescent="0.3">
      <c r="A4561" s="5"/>
      <c r="B4561" s="157"/>
      <c r="C4561" s="158"/>
      <c r="D4561" s="161"/>
      <c r="E4561" s="162"/>
      <c r="F4561" s="163"/>
      <c r="G4561" s="164"/>
      <c r="H4561" s="165"/>
      <c r="I4561" s="164"/>
      <c r="J4561" s="165"/>
      <c r="K4561" s="164"/>
      <c r="L4561" s="165"/>
      <c r="M4561" s="6"/>
      <c r="N4561" s="32"/>
      <c r="Q4561" s="10" t="str">
        <f>+CONCATENATE(E4560,I4560)</f>
        <v/>
      </c>
      <c r="R4561" s="10">
        <f>+J4560</f>
        <v>0</v>
      </c>
      <c r="S4561" s="11"/>
      <c r="T4561" s="10">
        <f>+E4560</f>
        <v>0</v>
      </c>
      <c r="U4561" s="19" t="str">
        <f>IFERROR(LEFT(I4560,FIND("*",I4560)-1),"-")</f>
        <v>-</v>
      </c>
      <c r="V4561" s="19" t="str">
        <f>IFERROR(RIGHT(I4560,LEN(I4560)-FIND("*",I4560)),"-")</f>
        <v>-</v>
      </c>
      <c r="W4561" s="20" t="str">
        <f t="shared" si="2476"/>
        <v>-</v>
      </c>
      <c r="X4561" s="20" t="str">
        <f t="shared" ref="X4561" si="2481">IFERROR(W4561*J4560,"-")</f>
        <v>-</v>
      </c>
      <c r="Z4561" s="85" t="s">
        <v>82</v>
      </c>
    </row>
    <row r="4562" spans="1:26" ht="6.95" customHeight="1" x14ac:dyDescent="0.3">
      <c r="A4562" s="5"/>
      <c r="B4562" s="157"/>
      <c r="C4562" s="158"/>
      <c r="D4562" s="161"/>
      <c r="E4562" s="162"/>
      <c r="F4562" s="163"/>
      <c r="G4562" s="164"/>
      <c r="H4562" s="165"/>
      <c r="I4562" s="164"/>
      <c r="J4562" s="165"/>
      <c r="K4562" s="164"/>
      <c r="L4562" s="165"/>
      <c r="M4562" s="6"/>
      <c r="N4562" s="32"/>
      <c r="Q4562" s="10" t="str">
        <f>+CONCATENATE(E4560,K4560)</f>
        <v/>
      </c>
      <c r="R4562" s="10">
        <f>+L4560</f>
        <v>0</v>
      </c>
      <c r="S4562" s="11"/>
      <c r="T4562" s="10">
        <f>+E4560</f>
        <v>0</v>
      </c>
      <c r="U4562" s="19" t="str">
        <f>IFERROR(LEFT(K4560,FIND("*",K4560)-1),"-")</f>
        <v>-</v>
      </c>
      <c r="V4562" s="19" t="str">
        <f>IFERROR(RIGHT(K4560,LEN(K4560)-FIND("*",K4560)),"-")</f>
        <v>-</v>
      </c>
      <c r="W4562" s="20" t="str">
        <f t="shared" si="2476"/>
        <v>-</v>
      </c>
      <c r="X4562" s="20" t="str">
        <f>IFERROR(W4562*L4560,"-")</f>
        <v>-</v>
      </c>
      <c r="Z4562" s="85" t="s">
        <v>82</v>
      </c>
    </row>
    <row r="4563" spans="1:26" ht="21" customHeight="1" thickBot="1" x14ac:dyDescent="0.35">
      <c r="A4563" s="5"/>
      <c r="B4563" s="159"/>
      <c r="C4563" s="160"/>
      <c r="D4563" s="166" t="s">
        <v>43</v>
      </c>
      <c r="E4563" s="167"/>
      <c r="F4563" s="167"/>
      <c r="G4563" s="168"/>
      <c r="H4563" s="168"/>
      <c r="I4563" s="168"/>
      <c r="J4563" s="168"/>
      <c r="K4563" s="168"/>
      <c r="L4563" s="168"/>
      <c r="M4563" s="7"/>
      <c r="N4563" s="32"/>
      <c r="Z4563" s="86" t="s">
        <v>81</v>
      </c>
    </row>
    <row r="4564" spans="1:26" ht="9.9499999999999993" customHeight="1" thickBot="1" x14ac:dyDescent="0.35">
      <c r="B4564" s="9"/>
      <c r="C4564" s="109"/>
      <c r="D4564" s="51"/>
      <c r="E4564" s="12"/>
      <c r="F4564" s="51"/>
      <c r="G4564" s="14"/>
      <c r="H4564" s="14"/>
      <c r="I4564" s="14"/>
      <c r="J4564" s="14"/>
      <c r="K4564" s="14"/>
      <c r="L4564" s="14"/>
      <c r="M4564" s="9"/>
      <c r="N4564" s="32"/>
      <c r="U4564" s="18"/>
      <c r="V4564" s="18"/>
      <c r="Z4564" s="85" t="s">
        <v>82</v>
      </c>
    </row>
    <row r="4565" spans="1:26" ht="6.95" customHeight="1" x14ac:dyDescent="0.3">
      <c r="A4565" s="154">
        <f>+A4554+1</f>
        <v>1214</v>
      </c>
      <c r="B4565" s="155"/>
      <c r="C4565" s="156"/>
      <c r="D4565" s="161" t="s">
        <v>39</v>
      </c>
      <c r="E4565" s="162"/>
      <c r="F4565" s="163" t="s">
        <v>40</v>
      </c>
      <c r="G4565" s="164"/>
      <c r="H4565" s="165"/>
      <c r="I4565" s="164"/>
      <c r="J4565" s="165"/>
      <c r="K4565" s="164"/>
      <c r="L4565" s="165"/>
      <c r="M4565" s="6"/>
      <c r="N4565" s="32"/>
      <c r="Q4565" s="10" t="str">
        <f>+CONCATENATE(E4565,G4565)</f>
        <v/>
      </c>
      <c r="R4565" s="10">
        <f>+H4565</f>
        <v>0</v>
      </c>
      <c r="S4565" s="11"/>
      <c r="T4565" s="10">
        <f>+E4565</f>
        <v>0</v>
      </c>
      <c r="U4565" s="19" t="str">
        <f>IFERROR(LEFT(G4565,FIND("*",G4565)-1),"-")</f>
        <v>-</v>
      </c>
      <c r="V4565" s="19" t="str">
        <f>IFERROR(RIGHT(G4565,LEN(G4565)-FIND("*",G4565)),"-")</f>
        <v>-</v>
      </c>
      <c r="W4565" s="20" t="str">
        <f>IFERROR((U4565+V4565)*2/1000,"-")</f>
        <v>-</v>
      </c>
      <c r="X4565" s="20" t="str">
        <f>IFERROR(W4565*H4565,"-")</f>
        <v>-</v>
      </c>
      <c r="Z4565" s="85" t="s">
        <v>82</v>
      </c>
    </row>
    <row r="4566" spans="1:26" ht="6.95" customHeight="1" x14ac:dyDescent="0.3">
      <c r="A4566" s="154"/>
      <c r="B4566" s="157"/>
      <c r="C4566" s="158"/>
      <c r="D4566" s="161"/>
      <c r="E4566" s="162"/>
      <c r="F4566" s="163"/>
      <c r="G4566" s="164"/>
      <c r="H4566" s="165"/>
      <c r="I4566" s="164"/>
      <c r="J4566" s="165"/>
      <c r="K4566" s="164"/>
      <c r="L4566" s="165"/>
      <c r="M4566" s="6"/>
      <c r="N4566" s="32"/>
      <c r="Q4566" s="10" t="str">
        <f>+CONCATENATE(E4565,I4565)</f>
        <v/>
      </c>
      <c r="R4566" s="10">
        <f>+J4565</f>
        <v>0</v>
      </c>
      <c r="S4566" s="11"/>
      <c r="T4566" s="10">
        <f>+E4565</f>
        <v>0</v>
      </c>
      <c r="U4566" s="19" t="str">
        <f>IFERROR(LEFT(I4565,FIND("*",I4565)-1),"-")</f>
        <v>-</v>
      </c>
      <c r="V4566" s="19" t="str">
        <f>IFERROR(RIGHT(I4565,LEN(I4565)-FIND("*",I4565)),"-")</f>
        <v>-</v>
      </c>
      <c r="W4566" s="20" t="str">
        <f t="shared" ref="W4566:W4573" si="2482">IFERROR((U4566+V4566)*2/1000,"-")</f>
        <v>-</v>
      </c>
      <c r="X4566" s="20" t="str">
        <f>IFERROR(W4566*J4565,"-")</f>
        <v>-</v>
      </c>
      <c r="Z4566" s="85" t="s">
        <v>82</v>
      </c>
    </row>
    <row r="4567" spans="1:26" ht="6.95" customHeight="1" x14ac:dyDescent="0.3">
      <c r="A4567" s="154"/>
      <c r="B4567" s="157"/>
      <c r="C4567" s="158"/>
      <c r="D4567" s="161"/>
      <c r="E4567" s="162"/>
      <c r="F4567" s="163"/>
      <c r="G4567" s="164"/>
      <c r="H4567" s="165"/>
      <c r="I4567" s="164"/>
      <c r="J4567" s="165"/>
      <c r="K4567" s="164"/>
      <c r="L4567" s="165"/>
      <c r="M4567" s="6"/>
      <c r="N4567" s="32"/>
      <c r="Q4567" s="10" t="str">
        <f>+CONCATENATE(E4565,K4565)</f>
        <v/>
      </c>
      <c r="R4567" s="10">
        <f>+L4565</f>
        <v>0</v>
      </c>
      <c r="S4567" s="11"/>
      <c r="T4567" s="10">
        <f>+E4565</f>
        <v>0</v>
      </c>
      <c r="U4567" s="19" t="str">
        <f>IFERROR(LEFT(K4565,FIND("*",K4565)-1),"-")</f>
        <v>-</v>
      </c>
      <c r="V4567" s="19" t="str">
        <f>IFERROR(RIGHT(K4565,LEN(K4565)-FIND("*",K4565)),"-")</f>
        <v>-</v>
      </c>
      <c r="W4567" s="20" t="str">
        <f t="shared" si="2482"/>
        <v>-</v>
      </c>
      <c r="X4567" s="20" t="str">
        <f>IFERROR(W4567*L4565,"-")</f>
        <v>-</v>
      </c>
      <c r="Z4567" s="85" t="s">
        <v>82</v>
      </c>
    </row>
    <row r="4568" spans="1:26" ht="6.95" customHeight="1" x14ac:dyDescent="0.3">
      <c r="A4568" s="8"/>
      <c r="B4568" s="157"/>
      <c r="C4568" s="158"/>
      <c r="D4568" s="161" t="s">
        <v>39</v>
      </c>
      <c r="E4568" s="162"/>
      <c r="F4568" s="163" t="s">
        <v>40</v>
      </c>
      <c r="G4568" s="164"/>
      <c r="H4568" s="165"/>
      <c r="I4568" s="164"/>
      <c r="J4568" s="165"/>
      <c r="K4568" s="164"/>
      <c r="L4568" s="165"/>
      <c r="M4568" s="6"/>
      <c r="N4568" s="32"/>
      <c r="Q4568" s="10" t="str">
        <f>+CONCATENATE(E4568,G4568)</f>
        <v/>
      </c>
      <c r="R4568" s="10">
        <f>+H4568</f>
        <v>0</v>
      </c>
      <c r="S4568" s="11"/>
      <c r="T4568" s="10">
        <f>+E4568</f>
        <v>0</v>
      </c>
      <c r="U4568" s="19" t="str">
        <f t="shared" ref="U4568" si="2483">IFERROR(LEFT(G4568,FIND("*",G4568)-1),"-")</f>
        <v>-</v>
      </c>
      <c r="V4568" s="19" t="str">
        <f t="shared" ref="V4568" si="2484">IFERROR(RIGHT(G4568,LEN(G4568)-FIND("*",G4568)),"-")</f>
        <v>-</v>
      </c>
      <c r="W4568" s="20" t="str">
        <f t="shared" si="2482"/>
        <v>-</v>
      </c>
      <c r="X4568" s="20" t="str">
        <f>IFERROR(W4568*H4568,"-")</f>
        <v>-</v>
      </c>
      <c r="Z4568" s="85" t="s">
        <v>82</v>
      </c>
    </row>
    <row r="4569" spans="1:26" ht="6.95" customHeight="1" x14ac:dyDescent="0.3">
      <c r="A4569" s="5"/>
      <c r="B4569" s="157"/>
      <c r="C4569" s="158"/>
      <c r="D4569" s="161"/>
      <c r="E4569" s="162"/>
      <c r="F4569" s="163"/>
      <c r="G4569" s="164"/>
      <c r="H4569" s="165"/>
      <c r="I4569" s="164"/>
      <c r="J4569" s="165"/>
      <c r="K4569" s="164"/>
      <c r="L4569" s="165"/>
      <c r="M4569" s="6"/>
      <c r="N4569" s="32"/>
      <c r="Q4569" s="10" t="str">
        <f>+CONCATENATE(E4568,I4568)</f>
        <v/>
      </c>
      <c r="R4569" s="10">
        <f>+J4568</f>
        <v>0</v>
      </c>
      <c r="S4569" s="11"/>
      <c r="T4569" s="10">
        <f>+E4568</f>
        <v>0</v>
      </c>
      <c r="U4569" s="19" t="str">
        <f>IFERROR(LEFT(I4568,FIND("*",I4568)-1),"-")</f>
        <v>-</v>
      </c>
      <c r="V4569" s="19" t="str">
        <f>IFERROR(RIGHT(I4568,LEN(I4568)-FIND("*",I4568)),"-")</f>
        <v>-</v>
      </c>
      <c r="W4569" s="20" t="str">
        <f t="shared" si="2482"/>
        <v>-</v>
      </c>
      <c r="X4569" s="20" t="str">
        <f>IFERROR(W4569*J4568,"-")</f>
        <v>-</v>
      </c>
      <c r="Z4569" s="85" t="s">
        <v>82</v>
      </c>
    </row>
    <row r="4570" spans="1:26" ht="6.95" customHeight="1" x14ac:dyDescent="0.3">
      <c r="A4570" s="5"/>
      <c r="B4570" s="157"/>
      <c r="C4570" s="158"/>
      <c r="D4570" s="161"/>
      <c r="E4570" s="162"/>
      <c r="F4570" s="163"/>
      <c r="G4570" s="164"/>
      <c r="H4570" s="165"/>
      <c r="I4570" s="164"/>
      <c r="J4570" s="165"/>
      <c r="K4570" s="164"/>
      <c r="L4570" s="165"/>
      <c r="M4570" s="6"/>
      <c r="N4570" s="32"/>
      <c r="Q4570" s="10" t="str">
        <f>+CONCATENATE(E4568,K4568)</f>
        <v/>
      </c>
      <c r="R4570" s="10">
        <f>+L4568</f>
        <v>0</v>
      </c>
      <c r="S4570" s="11"/>
      <c r="T4570" s="10">
        <f>+E4568</f>
        <v>0</v>
      </c>
      <c r="U4570" s="19" t="str">
        <f>IFERROR(LEFT(K4568,FIND("*",K4568)-1),"-")</f>
        <v>-</v>
      </c>
      <c r="V4570" s="19" t="str">
        <f>IFERROR(RIGHT(K4568,LEN(K4568)-FIND("*",K4568)),"-")</f>
        <v>-</v>
      </c>
      <c r="W4570" s="20" t="str">
        <f t="shared" si="2482"/>
        <v>-</v>
      </c>
      <c r="X4570" s="20" t="str">
        <f>IFERROR(W4570*L4568,"-")</f>
        <v>-</v>
      </c>
      <c r="Z4570" s="85" t="s">
        <v>82</v>
      </c>
    </row>
    <row r="4571" spans="1:26" ht="6.95" customHeight="1" x14ac:dyDescent="0.3">
      <c r="A4571" s="8"/>
      <c r="B4571" s="157"/>
      <c r="C4571" s="158"/>
      <c r="D4571" s="161" t="s">
        <v>39</v>
      </c>
      <c r="E4571" s="162"/>
      <c r="F4571" s="163" t="s">
        <v>40</v>
      </c>
      <c r="G4571" s="164"/>
      <c r="H4571" s="165"/>
      <c r="I4571" s="164"/>
      <c r="J4571" s="165"/>
      <c r="K4571" s="164"/>
      <c r="L4571" s="165"/>
      <c r="M4571" s="6"/>
      <c r="N4571" s="32"/>
      <c r="Q4571" s="10" t="str">
        <f>+CONCATENATE(E4571,G4571)</f>
        <v/>
      </c>
      <c r="R4571" s="10">
        <f>+H4571</f>
        <v>0</v>
      </c>
      <c r="S4571" s="11"/>
      <c r="T4571" s="10">
        <f>+E4571</f>
        <v>0</v>
      </c>
      <c r="U4571" s="19" t="str">
        <f t="shared" ref="U4571" si="2485">IFERROR(LEFT(G4571,FIND("*",G4571)-1),"-")</f>
        <v>-</v>
      </c>
      <c r="V4571" s="19" t="str">
        <f t="shared" ref="V4571" si="2486">IFERROR(RIGHT(G4571,LEN(G4571)-FIND("*",G4571)),"-")</f>
        <v>-</v>
      </c>
      <c r="W4571" s="20" t="str">
        <f t="shared" si="2482"/>
        <v>-</v>
      </c>
      <c r="X4571" s="20" t="str">
        <f>IFERROR(W4571*H4571,"-")</f>
        <v>-</v>
      </c>
      <c r="Z4571" s="85" t="s">
        <v>82</v>
      </c>
    </row>
    <row r="4572" spans="1:26" ht="6.95" customHeight="1" x14ac:dyDescent="0.3">
      <c r="A4572" s="5"/>
      <c r="B4572" s="157"/>
      <c r="C4572" s="158"/>
      <c r="D4572" s="161"/>
      <c r="E4572" s="162"/>
      <c r="F4572" s="163"/>
      <c r="G4572" s="164"/>
      <c r="H4572" s="165"/>
      <c r="I4572" s="164"/>
      <c r="J4572" s="165"/>
      <c r="K4572" s="164"/>
      <c r="L4572" s="165"/>
      <c r="M4572" s="6"/>
      <c r="N4572" s="32"/>
      <c r="Q4572" s="10" t="str">
        <f>+CONCATENATE(E4571,I4571)</f>
        <v/>
      </c>
      <c r="R4572" s="10">
        <f>+J4571</f>
        <v>0</v>
      </c>
      <c r="S4572" s="11"/>
      <c r="T4572" s="10">
        <f>+E4571</f>
        <v>0</v>
      </c>
      <c r="U4572" s="19" t="str">
        <f>IFERROR(LEFT(I4571,FIND("*",I4571)-1),"-")</f>
        <v>-</v>
      </c>
      <c r="V4572" s="19" t="str">
        <f>IFERROR(RIGHT(I4571,LEN(I4571)-FIND("*",I4571)),"-")</f>
        <v>-</v>
      </c>
      <c r="W4572" s="20" t="str">
        <f t="shared" si="2482"/>
        <v>-</v>
      </c>
      <c r="X4572" s="20" t="str">
        <f t="shared" ref="X4572" si="2487">IFERROR(W4572*J4571,"-")</f>
        <v>-</v>
      </c>
      <c r="Z4572" s="85" t="s">
        <v>82</v>
      </c>
    </row>
    <row r="4573" spans="1:26" ht="6.95" customHeight="1" x14ac:dyDescent="0.3">
      <c r="A4573" s="5"/>
      <c r="B4573" s="157"/>
      <c r="C4573" s="158"/>
      <c r="D4573" s="161"/>
      <c r="E4573" s="162"/>
      <c r="F4573" s="163"/>
      <c r="G4573" s="164"/>
      <c r="H4573" s="165"/>
      <c r="I4573" s="164"/>
      <c r="J4573" s="165"/>
      <c r="K4573" s="164"/>
      <c r="L4573" s="165"/>
      <c r="M4573" s="6"/>
      <c r="N4573" s="32"/>
      <c r="Q4573" s="10" t="str">
        <f>+CONCATENATE(E4571,K4571)</f>
        <v/>
      </c>
      <c r="R4573" s="10">
        <f>+L4571</f>
        <v>0</v>
      </c>
      <c r="S4573" s="11"/>
      <c r="T4573" s="10">
        <f>+E4571</f>
        <v>0</v>
      </c>
      <c r="U4573" s="19" t="str">
        <f>IFERROR(LEFT(K4571,FIND("*",K4571)-1),"-")</f>
        <v>-</v>
      </c>
      <c r="V4573" s="19" t="str">
        <f>IFERROR(RIGHT(K4571,LEN(K4571)-FIND("*",K4571)),"-")</f>
        <v>-</v>
      </c>
      <c r="W4573" s="20" t="str">
        <f t="shared" si="2482"/>
        <v>-</v>
      </c>
      <c r="X4573" s="20" t="str">
        <f>IFERROR(W4573*L4571,"-")</f>
        <v>-</v>
      </c>
      <c r="Z4573" s="85" t="s">
        <v>82</v>
      </c>
    </row>
    <row r="4574" spans="1:26" ht="21" customHeight="1" thickBot="1" x14ac:dyDescent="0.35">
      <c r="A4574" s="5"/>
      <c r="B4574" s="159"/>
      <c r="C4574" s="160"/>
      <c r="D4574" s="166" t="s">
        <v>43</v>
      </c>
      <c r="E4574" s="167"/>
      <c r="F4574" s="167"/>
      <c r="G4574" s="168"/>
      <c r="H4574" s="168"/>
      <c r="I4574" s="168"/>
      <c r="J4574" s="168"/>
      <c r="K4574" s="168"/>
      <c r="L4574" s="168"/>
      <c r="M4574" s="7"/>
      <c r="N4574" s="32"/>
      <c r="Z4574" s="86" t="s">
        <v>81</v>
      </c>
    </row>
    <row r="4575" spans="1:26" ht="9.9499999999999993" customHeight="1" thickBot="1" x14ac:dyDescent="0.35">
      <c r="B4575" s="9"/>
      <c r="C4575" s="109"/>
      <c r="D4575" s="51"/>
      <c r="E4575" s="12"/>
      <c r="F4575" s="51"/>
      <c r="G4575" s="14"/>
      <c r="H4575" s="14"/>
      <c r="I4575" s="14"/>
      <c r="J4575" s="14"/>
      <c r="K4575" s="14"/>
      <c r="L4575" s="14"/>
      <c r="M4575" s="9"/>
      <c r="N4575" s="32"/>
      <c r="U4575" s="18"/>
      <c r="V4575" s="18"/>
      <c r="Z4575" s="85" t="s">
        <v>82</v>
      </c>
    </row>
    <row r="4576" spans="1:26" ht="6.95" customHeight="1" x14ac:dyDescent="0.3">
      <c r="A4576" s="154">
        <f>+A4565+1</f>
        <v>1215</v>
      </c>
      <c r="B4576" s="155"/>
      <c r="C4576" s="156"/>
      <c r="D4576" s="161" t="s">
        <v>39</v>
      </c>
      <c r="E4576" s="162"/>
      <c r="F4576" s="163" t="s">
        <v>40</v>
      </c>
      <c r="G4576" s="164"/>
      <c r="H4576" s="165"/>
      <c r="I4576" s="164"/>
      <c r="J4576" s="165"/>
      <c r="K4576" s="164"/>
      <c r="L4576" s="165"/>
      <c r="M4576" s="6"/>
      <c r="N4576" s="32"/>
      <c r="Q4576" s="10" t="str">
        <f>+CONCATENATE(E4576,G4576)</f>
        <v/>
      </c>
      <c r="R4576" s="10">
        <f>+H4576</f>
        <v>0</v>
      </c>
      <c r="S4576" s="11"/>
      <c r="T4576" s="10">
        <f>+E4576</f>
        <v>0</v>
      </c>
      <c r="U4576" s="19" t="str">
        <f>IFERROR(LEFT(G4576,FIND("*",G4576)-1),"-")</f>
        <v>-</v>
      </c>
      <c r="V4576" s="19" t="str">
        <f>IFERROR(RIGHT(G4576,LEN(G4576)-FIND("*",G4576)),"-")</f>
        <v>-</v>
      </c>
      <c r="W4576" s="20" t="str">
        <f>IFERROR((U4576+V4576)*2/1000,"-")</f>
        <v>-</v>
      </c>
      <c r="X4576" s="20" t="str">
        <f>IFERROR(W4576*H4576,"-")</f>
        <v>-</v>
      </c>
      <c r="Z4576" s="85" t="s">
        <v>82</v>
      </c>
    </row>
    <row r="4577" spans="1:26" ht="6.95" customHeight="1" x14ac:dyDescent="0.3">
      <c r="A4577" s="154"/>
      <c r="B4577" s="157"/>
      <c r="C4577" s="158"/>
      <c r="D4577" s="161"/>
      <c r="E4577" s="162"/>
      <c r="F4577" s="163"/>
      <c r="G4577" s="164"/>
      <c r="H4577" s="165"/>
      <c r="I4577" s="164"/>
      <c r="J4577" s="165"/>
      <c r="K4577" s="164"/>
      <c r="L4577" s="165"/>
      <c r="M4577" s="6"/>
      <c r="N4577" s="32"/>
      <c r="Q4577" s="10" t="str">
        <f>+CONCATENATE(E4576,I4576)</f>
        <v/>
      </c>
      <c r="R4577" s="10">
        <f>+J4576</f>
        <v>0</v>
      </c>
      <c r="S4577" s="11"/>
      <c r="T4577" s="10">
        <f>+E4576</f>
        <v>0</v>
      </c>
      <c r="U4577" s="19" t="str">
        <f>IFERROR(LEFT(I4576,FIND("*",I4576)-1),"-")</f>
        <v>-</v>
      </c>
      <c r="V4577" s="19" t="str">
        <f>IFERROR(RIGHT(I4576,LEN(I4576)-FIND("*",I4576)),"-")</f>
        <v>-</v>
      </c>
      <c r="W4577" s="20" t="str">
        <f t="shared" ref="W4577:W4584" si="2488">IFERROR((U4577+V4577)*2/1000,"-")</f>
        <v>-</v>
      </c>
      <c r="X4577" s="20" t="str">
        <f>IFERROR(W4577*J4576,"-")</f>
        <v>-</v>
      </c>
      <c r="Z4577" s="85" t="s">
        <v>82</v>
      </c>
    </row>
    <row r="4578" spans="1:26" ht="6.95" customHeight="1" x14ac:dyDescent="0.3">
      <c r="A4578" s="154"/>
      <c r="B4578" s="157"/>
      <c r="C4578" s="158"/>
      <c r="D4578" s="161"/>
      <c r="E4578" s="162"/>
      <c r="F4578" s="163"/>
      <c r="G4578" s="164"/>
      <c r="H4578" s="165"/>
      <c r="I4578" s="164"/>
      <c r="J4578" s="165"/>
      <c r="K4578" s="164"/>
      <c r="L4578" s="165"/>
      <c r="M4578" s="6"/>
      <c r="N4578" s="32"/>
      <c r="Q4578" s="10" t="str">
        <f>+CONCATENATE(E4576,K4576)</f>
        <v/>
      </c>
      <c r="R4578" s="10">
        <f>+L4576</f>
        <v>0</v>
      </c>
      <c r="S4578" s="11"/>
      <c r="T4578" s="10">
        <f>+E4576</f>
        <v>0</v>
      </c>
      <c r="U4578" s="19" t="str">
        <f>IFERROR(LEFT(K4576,FIND("*",K4576)-1),"-")</f>
        <v>-</v>
      </c>
      <c r="V4578" s="19" t="str">
        <f>IFERROR(RIGHT(K4576,LEN(K4576)-FIND("*",K4576)),"-")</f>
        <v>-</v>
      </c>
      <c r="W4578" s="20" t="str">
        <f t="shared" si="2488"/>
        <v>-</v>
      </c>
      <c r="X4578" s="20" t="str">
        <f>IFERROR(W4578*L4576,"-")</f>
        <v>-</v>
      </c>
      <c r="Z4578" s="85" t="s">
        <v>82</v>
      </c>
    </row>
    <row r="4579" spans="1:26" ht="6.95" customHeight="1" x14ac:dyDescent="0.3">
      <c r="A4579" s="8"/>
      <c r="B4579" s="157"/>
      <c r="C4579" s="158"/>
      <c r="D4579" s="161" t="s">
        <v>39</v>
      </c>
      <c r="E4579" s="162"/>
      <c r="F4579" s="163" t="s">
        <v>40</v>
      </c>
      <c r="G4579" s="164"/>
      <c r="H4579" s="165"/>
      <c r="I4579" s="164"/>
      <c r="J4579" s="165"/>
      <c r="K4579" s="164"/>
      <c r="L4579" s="165"/>
      <c r="M4579" s="6"/>
      <c r="N4579" s="32"/>
      <c r="Q4579" s="10" t="str">
        <f>+CONCATENATE(E4579,G4579)</f>
        <v/>
      </c>
      <c r="R4579" s="10">
        <f>+H4579</f>
        <v>0</v>
      </c>
      <c r="S4579" s="11"/>
      <c r="T4579" s="10">
        <f>+E4579</f>
        <v>0</v>
      </c>
      <c r="U4579" s="19" t="str">
        <f t="shared" ref="U4579" si="2489">IFERROR(LEFT(G4579,FIND("*",G4579)-1),"-")</f>
        <v>-</v>
      </c>
      <c r="V4579" s="19" t="str">
        <f t="shared" ref="V4579" si="2490">IFERROR(RIGHT(G4579,LEN(G4579)-FIND("*",G4579)),"-")</f>
        <v>-</v>
      </c>
      <c r="W4579" s="20" t="str">
        <f t="shared" si="2488"/>
        <v>-</v>
      </c>
      <c r="X4579" s="20" t="str">
        <f>IFERROR(W4579*H4579,"-")</f>
        <v>-</v>
      </c>
      <c r="Z4579" s="85" t="s">
        <v>82</v>
      </c>
    </row>
    <row r="4580" spans="1:26" ht="6.95" customHeight="1" x14ac:dyDescent="0.3">
      <c r="A4580" s="5"/>
      <c r="B4580" s="157"/>
      <c r="C4580" s="158"/>
      <c r="D4580" s="161"/>
      <c r="E4580" s="162"/>
      <c r="F4580" s="163"/>
      <c r="G4580" s="164"/>
      <c r="H4580" s="165"/>
      <c r="I4580" s="164"/>
      <c r="J4580" s="165"/>
      <c r="K4580" s="164"/>
      <c r="L4580" s="165"/>
      <c r="M4580" s="6"/>
      <c r="N4580" s="32"/>
      <c r="Q4580" s="10" t="str">
        <f>+CONCATENATE(E4579,I4579)</f>
        <v/>
      </c>
      <c r="R4580" s="10">
        <f>+J4579</f>
        <v>0</v>
      </c>
      <c r="S4580" s="11"/>
      <c r="T4580" s="10">
        <f>+E4579</f>
        <v>0</v>
      </c>
      <c r="U4580" s="19" t="str">
        <f>IFERROR(LEFT(I4579,FIND("*",I4579)-1),"-")</f>
        <v>-</v>
      </c>
      <c r="V4580" s="19" t="str">
        <f>IFERROR(RIGHT(I4579,LEN(I4579)-FIND("*",I4579)),"-")</f>
        <v>-</v>
      </c>
      <c r="W4580" s="20" t="str">
        <f t="shared" si="2488"/>
        <v>-</v>
      </c>
      <c r="X4580" s="20" t="str">
        <f>IFERROR(W4580*J4579,"-")</f>
        <v>-</v>
      </c>
      <c r="Z4580" s="85" t="s">
        <v>82</v>
      </c>
    </row>
    <row r="4581" spans="1:26" ht="6.95" customHeight="1" x14ac:dyDescent="0.3">
      <c r="A4581" s="5"/>
      <c r="B4581" s="157"/>
      <c r="C4581" s="158"/>
      <c r="D4581" s="161"/>
      <c r="E4581" s="162"/>
      <c r="F4581" s="163"/>
      <c r="G4581" s="164"/>
      <c r="H4581" s="165"/>
      <c r="I4581" s="164"/>
      <c r="J4581" s="165"/>
      <c r="K4581" s="164"/>
      <c r="L4581" s="165"/>
      <c r="M4581" s="6"/>
      <c r="N4581" s="32"/>
      <c r="Q4581" s="10" t="str">
        <f>+CONCATENATE(E4579,K4579)</f>
        <v/>
      </c>
      <c r="R4581" s="10">
        <f>+L4579</f>
        <v>0</v>
      </c>
      <c r="S4581" s="11"/>
      <c r="T4581" s="10">
        <f>+E4579</f>
        <v>0</v>
      </c>
      <c r="U4581" s="19" t="str">
        <f>IFERROR(LEFT(K4579,FIND("*",K4579)-1),"-")</f>
        <v>-</v>
      </c>
      <c r="V4581" s="19" t="str">
        <f>IFERROR(RIGHT(K4579,LEN(K4579)-FIND("*",K4579)),"-")</f>
        <v>-</v>
      </c>
      <c r="W4581" s="20" t="str">
        <f t="shared" si="2488"/>
        <v>-</v>
      </c>
      <c r="X4581" s="20" t="str">
        <f>IFERROR(W4581*L4579,"-")</f>
        <v>-</v>
      </c>
      <c r="Z4581" s="85" t="s">
        <v>82</v>
      </c>
    </row>
    <row r="4582" spans="1:26" ht="6.95" customHeight="1" x14ac:dyDescent="0.3">
      <c r="A4582" s="8"/>
      <c r="B4582" s="157"/>
      <c r="C4582" s="158"/>
      <c r="D4582" s="161" t="s">
        <v>39</v>
      </c>
      <c r="E4582" s="162"/>
      <c r="F4582" s="163" t="s">
        <v>40</v>
      </c>
      <c r="G4582" s="164"/>
      <c r="H4582" s="165"/>
      <c r="I4582" s="164"/>
      <c r="J4582" s="165"/>
      <c r="K4582" s="164"/>
      <c r="L4582" s="165"/>
      <c r="M4582" s="6"/>
      <c r="N4582" s="32"/>
      <c r="Q4582" s="10" t="str">
        <f>+CONCATENATE(E4582,G4582)</f>
        <v/>
      </c>
      <c r="R4582" s="10">
        <f>+H4582</f>
        <v>0</v>
      </c>
      <c r="S4582" s="11"/>
      <c r="T4582" s="10">
        <f>+E4582</f>
        <v>0</v>
      </c>
      <c r="U4582" s="19" t="str">
        <f t="shared" ref="U4582" si="2491">IFERROR(LEFT(G4582,FIND("*",G4582)-1),"-")</f>
        <v>-</v>
      </c>
      <c r="V4582" s="19" t="str">
        <f t="shared" ref="V4582" si="2492">IFERROR(RIGHT(G4582,LEN(G4582)-FIND("*",G4582)),"-")</f>
        <v>-</v>
      </c>
      <c r="W4582" s="20" t="str">
        <f t="shared" si="2488"/>
        <v>-</v>
      </c>
      <c r="X4582" s="20" t="str">
        <f>IFERROR(W4582*H4582,"-")</f>
        <v>-</v>
      </c>
      <c r="Z4582" s="85" t="s">
        <v>82</v>
      </c>
    </row>
    <row r="4583" spans="1:26" ht="6.95" customHeight="1" x14ac:dyDescent="0.3">
      <c r="A4583" s="5"/>
      <c r="B4583" s="157"/>
      <c r="C4583" s="158"/>
      <c r="D4583" s="161"/>
      <c r="E4583" s="162"/>
      <c r="F4583" s="163"/>
      <c r="G4583" s="164"/>
      <c r="H4583" s="165"/>
      <c r="I4583" s="164"/>
      <c r="J4583" s="165"/>
      <c r="K4583" s="164"/>
      <c r="L4583" s="165"/>
      <c r="M4583" s="6"/>
      <c r="N4583" s="32"/>
      <c r="Q4583" s="10" t="str">
        <f>+CONCATENATE(E4582,I4582)</f>
        <v/>
      </c>
      <c r="R4583" s="10">
        <f>+J4582</f>
        <v>0</v>
      </c>
      <c r="S4583" s="11"/>
      <c r="T4583" s="10">
        <f>+E4582</f>
        <v>0</v>
      </c>
      <c r="U4583" s="19" t="str">
        <f>IFERROR(LEFT(I4582,FIND("*",I4582)-1),"-")</f>
        <v>-</v>
      </c>
      <c r="V4583" s="19" t="str">
        <f>IFERROR(RIGHT(I4582,LEN(I4582)-FIND("*",I4582)),"-")</f>
        <v>-</v>
      </c>
      <c r="W4583" s="20" t="str">
        <f t="shared" si="2488"/>
        <v>-</v>
      </c>
      <c r="X4583" s="20" t="str">
        <f t="shared" ref="X4583" si="2493">IFERROR(W4583*J4582,"-")</f>
        <v>-</v>
      </c>
      <c r="Z4583" s="85" t="s">
        <v>82</v>
      </c>
    </row>
    <row r="4584" spans="1:26" ht="6.95" customHeight="1" x14ac:dyDescent="0.3">
      <c r="A4584" s="5"/>
      <c r="B4584" s="157"/>
      <c r="C4584" s="158"/>
      <c r="D4584" s="161"/>
      <c r="E4584" s="162"/>
      <c r="F4584" s="163"/>
      <c r="G4584" s="164"/>
      <c r="H4584" s="165"/>
      <c r="I4584" s="164"/>
      <c r="J4584" s="165"/>
      <c r="K4584" s="164"/>
      <c r="L4584" s="165"/>
      <c r="M4584" s="6"/>
      <c r="N4584" s="32"/>
      <c r="Q4584" s="10" t="str">
        <f>+CONCATENATE(E4582,K4582)</f>
        <v/>
      </c>
      <c r="R4584" s="10">
        <f>+L4582</f>
        <v>0</v>
      </c>
      <c r="S4584" s="11"/>
      <c r="T4584" s="10">
        <f>+E4582</f>
        <v>0</v>
      </c>
      <c r="U4584" s="19" t="str">
        <f>IFERROR(LEFT(K4582,FIND("*",K4582)-1),"-")</f>
        <v>-</v>
      </c>
      <c r="V4584" s="19" t="str">
        <f>IFERROR(RIGHT(K4582,LEN(K4582)-FIND("*",K4582)),"-")</f>
        <v>-</v>
      </c>
      <c r="W4584" s="20" t="str">
        <f t="shared" si="2488"/>
        <v>-</v>
      </c>
      <c r="X4584" s="20" t="str">
        <f>IFERROR(W4584*L4582,"-")</f>
        <v>-</v>
      </c>
      <c r="Z4584" s="85" t="s">
        <v>82</v>
      </c>
    </row>
    <row r="4585" spans="1:26" ht="21" customHeight="1" thickBot="1" x14ac:dyDescent="0.35">
      <c r="A4585" s="5"/>
      <c r="B4585" s="159"/>
      <c r="C4585" s="160"/>
      <c r="D4585" s="166" t="s">
        <v>43</v>
      </c>
      <c r="E4585" s="167"/>
      <c r="F4585" s="167"/>
      <c r="G4585" s="168"/>
      <c r="H4585" s="168"/>
      <c r="I4585" s="168"/>
      <c r="J4585" s="168"/>
      <c r="K4585" s="168"/>
      <c r="L4585" s="168"/>
      <c r="M4585" s="7"/>
      <c r="N4585" s="32"/>
      <c r="Z4585" s="86" t="s">
        <v>81</v>
      </c>
    </row>
    <row r="4586" spans="1:26" ht="9.9499999999999993" customHeight="1" thickBot="1" x14ac:dyDescent="0.35">
      <c r="B4586" s="9"/>
      <c r="C4586" s="109"/>
      <c r="D4586" s="51"/>
      <c r="E4586" s="12"/>
      <c r="F4586" s="51"/>
      <c r="G4586" s="14"/>
      <c r="H4586" s="14"/>
      <c r="I4586" s="14"/>
      <c r="J4586" s="14"/>
      <c r="K4586" s="14"/>
      <c r="L4586" s="14"/>
      <c r="M4586" s="9"/>
      <c r="N4586" s="32"/>
      <c r="U4586" s="18"/>
      <c r="V4586" s="18"/>
      <c r="Z4586" s="85" t="s">
        <v>82</v>
      </c>
    </row>
    <row r="4587" spans="1:26" ht="6.95" customHeight="1" x14ac:dyDescent="0.3">
      <c r="A4587" s="154">
        <f>+A4576+1</f>
        <v>1216</v>
      </c>
      <c r="B4587" s="155"/>
      <c r="C4587" s="156"/>
      <c r="D4587" s="161" t="s">
        <v>39</v>
      </c>
      <c r="E4587" s="162"/>
      <c r="F4587" s="163" t="s">
        <v>40</v>
      </c>
      <c r="G4587" s="164"/>
      <c r="H4587" s="165"/>
      <c r="I4587" s="164"/>
      <c r="J4587" s="165"/>
      <c r="K4587" s="164"/>
      <c r="L4587" s="165"/>
      <c r="M4587" s="6"/>
      <c r="N4587" s="32"/>
      <c r="Q4587" s="10" t="str">
        <f>+CONCATENATE(E4587,G4587)</f>
        <v/>
      </c>
      <c r="R4587" s="10">
        <f>+H4587</f>
        <v>0</v>
      </c>
      <c r="S4587" s="11"/>
      <c r="T4587" s="10">
        <f>+E4587</f>
        <v>0</v>
      </c>
      <c r="U4587" s="19" t="str">
        <f>IFERROR(LEFT(G4587,FIND("*",G4587)-1),"-")</f>
        <v>-</v>
      </c>
      <c r="V4587" s="19" t="str">
        <f>IFERROR(RIGHT(G4587,LEN(G4587)-FIND("*",G4587)),"-")</f>
        <v>-</v>
      </c>
      <c r="W4587" s="20" t="str">
        <f>IFERROR((U4587+V4587)*2/1000,"-")</f>
        <v>-</v>
      </c>
      <c r="X4587" s="20" t="str">
        <f>IFERROR(W4587*H4587,"-")</f>
        <v>-</v>
      </c>
      <c r="Z4587" s="85" t="s">
        <v>82</v>
      </c>
    </row>
    <row r="4588" spans="1:26" ht="6.95" customHeight="1" x14ac:dyDescent="0.3">
      <c r="A4588" s="154"/>
      <c r="B4588" s="157"/>
      <c r="C4588" s="158"/>
      <c r="D4588" s="161"/>
      <c r="E4588" s="162"/>
      <c r="F4588" s="163"/>
      <c r="G4588" s="164"/>
      <c r="H4588" s="165"/>
      <c r="I4588" s="164"/>
      <c r="J4588" s="165"/>
      <c r="K4588" s="164"/>
      <c r="L4588" s="165"/>
      <c r="M4588" s="6"/>
      <c r="N4588" s="32"/>
      <c r="Q4588" s="10" t="str">
        <f>+CONCATENATE(E4587,I4587)</f>
        <v/>
      </c>
      <c r="R4588" s="10">
        <f>+J4587</f>
        <v>0</v>
      </c>
      <c r="S4588" s="11"/>
      <c r="T4588" s="10">
        <f>+E4587</f>
        <v>0</v>
      </c>
      <c r="U4588" s="19" t="str">
        <f>IFERROR(LEFT(I4587,FIND("*",I4587)-1),"-")</f>
        <v>-</v>
      </c>
      <c r="V4588" s="19" t="str">
        <f>IFERROR(RIGHT(I4587,LEN(I4587)-FIND("*",I4587)),"-")</f>
        <v>-</v>
      </c>
      <c r="W4588" s="20" t="str">
        <f t="shared" ref="W4588:W4595" si="2494">IFERROR((U4588+V4588)*2/1000,"-")</f>
        <v>-</v>
      </c>
      <c r="X4588" s="20" t="str">
        <f>IFERROR(W4588*J4587,"-")</f>
        <v>-</v>
      </c>
      <c r="Z4588" s="85" t="s">
        <v>82</v>
      </c>
    </row>
    <row r="4589" spans="1:26" ht="6.95" customHeight="1" x14ac:dyDescent="0.3">
      <c r="A4589" s="154"/>
      <c r="B4589" s="157"/>
      <c r="C4589" s="158"/>
      <c r="D4589" s="161"/>
      <c r="E4589" s="162"/>
      <c r="F4589" s="163"/>
      <c r="G4589" s="164"/>
      <c r="H4589" s="165"/>
      <c r="I4589" s="164"/>
      <c r="J4589" s="165"/>
      <c r="K4589" s="164"/>
      <c r="L4589" s="165"/>
      <c r="M4589" s="6"/>
      <c r="N4589" s="32"/>
      <c r="Q4589" s="10" t="str">
        <f>+CONCATENATE(E4587,K4587)</f>
        <v/>
      </c>
      <c r="R4589" s="10">
        <f>+L4587</f>
        <v>0</v>
      </c>
      <c r="S4589" s="11"/>
      <c r="T4589" s="10">
        <f>+E4587</f>
        <v>0</v>
      </c>
      <c r="U4589" s="19" t="str">
        <f>IFERROR(LEFT(K4587,FIND("*",K4587)-1),"-")</f>
        <v>-</v>
      </c>
      <c r="V4589" s="19" t="str">
        <f>IFERROR(RIGHT(K4587,LEN(K4587)-FIND("*",K4587)),"-")</f>
        <v>-</v>
      </c>
      <c r="W4589" s="20" t="str">
        <f t="shared" si="2494"/>
        <v>-</v>
      </c>
      <c r="X4589" s="20" t="str">
        <f>IFERROR(W4589*L4587,"-")</f>
        <v>-</v>
      </c>
      <c r="Z4589" s="85" t="s">
        <v>82</v>
      </c>
    </row>
    <row r="4590" spans="1:26" ht="6.95" customHeight="1" x14ac:dyDescent="0.3">
      <c r="A4590" s="8"/>
      <c r="B4590" s="157"/>
      <c r="C4590" s="158"/>
      <c r="D4590" s="161" t="s">
        <v>39</v>
      </c>
      <c r="E4590" s="162"/>
      <c r="F4590" s="163" t="s">
        <v>40</v>
      </c>
      <c r="G4590" s="164"/>
      <c r="H4590" s="165"/>
      <c r="I4590" s="164"/>
      <c r="J4590" s="165"/>
      <c r="K4590" s="164"/>
      <c r="L4590" s="165"/>
      <c r="M4590" s="6"/>
      <c r="N4590" s="32"/>
      <c r="Q4590" s="10" t="str">
        <f>+CONCATENATE(E4590,G4590)</f>
        <v/>
      </c>
      <c r="R4590" s="10">
        <f>+H4590</f>
        <v>0</v>
      </c>
      <c r="S4590" s="11"/>
      <c r="T4590" s="10">
        <f>+E4590</f>
        <v>0</v>
      </c>
      <c r="U4590" s="19" t="str">
        <f t="shared" ref="U4590" si="2495">IFERROR(LEFT(G4590,FIND("*",G4590)-1),"-")</f>
        <v>-</v>
      </c>
      <c r="V4590" s="19" t="str">
        <f t="shared" ref="V4590" si="2496">IFERROR(RIGHT(G4590,LEN(G4590)-FIND("*",G4590)),"-")</f>
        <v>-</v>
      </c>
      <c r="W4590" s="20" t="str">
        <f t="shared" si="2494"/>
        <v>-</v>
      </c>
      <c r="X4590" s="20" t="str">
        <f>IFERROR(W4590*H4590,"-")</f>
        <v>-</v>
      </c>
      <c r="Z4590" s="85" t="s">
        <v>82</v>
      </c>
    </row>
    <row r="4591" spans="1:26" ht="6.95" customHeight="1" x14ac:dyDescent="0.3">
      <c r="A4591" s="5"/>
      <c r="B4591" s="157"/>
      <c r="C4591" s="158"/>
      <c r="D4591" s="161"/>
      <c r="E4591" s="162"/>
      <c r="F4591" s="163"/>
      <c r="G4591" s="164"/>
      <c r="H4591" s="165"/>
      <c r="I4591" s="164"/>
      <c r="J4591" s="165"/>
      <c r="K4591" s="164"/>
      <c r="L4591" s="165"/>
      <c r="M4591" s="6"/>
      <c r="N4591" s="32"/>
      <c r="Q4591" s="10" t="str">
        <f>+CONCATENATE(E4590,I4590)</f>
        <v/>
      </c>
      <c r="R4591" s="10">
        <f>+J4590</f>
        <v>0</v>
      </c>
      <c r="S4591" s="11"/>
      <c r="T4591" s="10">
        <f>+E4590</f>
        <v>0</v>
      </c>
      <c r="U4591" s="19" t="str">
        <f>IFERROR(LEFT(I4590,FIND("*",I4590)-1),"-")</f>
        <v>-</v>
      </c>
      <c r="V4591" s="19" t="str">
        <f>IFERROR(RIGHT(I4590,LEN(I4590)-FIND("*",I4590)),"-")</f>
        <v>-</v>
      </c>
      <c r="W4591" s="20" t="str">
        <f t="shared" si="2494"/>
        <v>-</v>
      </c>
      <c r="X4591" s="20" t="str">
        <f>IFERROR(W4591*J4590,"-")</f>
        <v>-</v>
      </c>
      <c r="Z4591" s="85" t="s">
        <v>82</v>
      </c>
    </row>
    <row r="4592" spans="1:26" ht="6.95" customHeight="1" x14ac:dyDescent="0.3">
      <c r="A4592" s="5"/>
      <c r="B4592" s="157"/>
      <c r="C4592" s="158"/>
      <c r="D4592" s="161"/>
      <c r="E4592" s="162"/>
      <c r="F4592" s="163"/>
      <c r="G4592" s="164"/>
      <c r="H4592" s="165"/>
      <c r="I4592" s="164"/>
      <c r="J4592" s="165"/>
      <c r="K4592" s="164"/>
      <c r="L4592" s="165"/>
      <c r="M4592" s="6"/>
      <c r="N4592" s="32"/>
      <c r="Q4592" s="10" t="str">
        <f>+CONCATENATE(E4590,K4590)</f>
        <v/>
      </c>
      <c r="R4592" s="10">
        <f>+L4590</f>
        <v>0</v>
      </c>
      <c r="S4592" s="11"/>
      <c r="T4592" s="10">
        <f>+E4590</f>
        <v>0</v>
      </c>
      <c r="U4592" s="19" t="str">
        <f>IFERROR(LEFT(K4590,FIND("*",K4590)-1),"-")</f>
        <v>-</v>
      </c>
      <c r="V4592" s="19" t="str">
        <f>IFERROR(RIGHT(K4590,LEN(K4590)-FIND("*",K4590)),"-")</f>
        <v>-</v>
      </c>
      <c r="W4592" s="20" t="str">
        <f t="shared" si="2494"/>
        <v>-</v>
      </c>
      <c r="X4592" s="20" t="str">
        <f>IFERROR(W4592*L4590,"-")</f>
        <v>-</v>
      </c>
      <c r="Z4592" s="85" t="s">
        <v>82</v>
      </c>
    </row>
    <row r="4593" spans="1:26" ht="6.95" customHeight="1" x14ac:dyDescent="0.3">
      <c r="A4593" s="8"/>
      <c r="B4593" s="157"/>
      <c r="C4593" s="158"/>
      <c r="D4593" s="161" t="s">
        <v>39</v>
      </c>
      <c r="E4593" s="162"/>
      <c r="F4593" s="163" t="s">
        <v>40</v>
      </c>
      <c r="G4593" s="164"/>
      <c r="H4593" s="165"/>
      <c r="I4593" s="164"/>
      <c r="J4593" s="165"/>
      <c r="K4593" s="164"/>
      <c r="L4593" s="165"/>
      <c r="M4593" s="6"/>
      <c r="N4593" s="32"/>
      <c r="Q4593" s="10" t="str">
        <f>+CONCATENATE(E4593,G4593)</f>
        <v/>
      </c>
      <c r="R4593" s="10">
        <f>+H4593</f>
        <v>0</v>
      </c>
      <c r="S4593" s="11"/>
      <c r="T4593" s="10">
        <f>+E4593</f>
        <v>0</v>
      </c>
      <c r="U4593" s="19" t="str">
        <f t="shared" ref="U4593" si="2497">IFERROR(LEFT(G4593,FIND("*",G4593)-1),"-")</f>
        <v>-</v>
      </c>
      <c r="V4593" s="19" t="str">
        <f t="shared" ref="V4593" si="2498">IFERROR(RIGHT(G4593,LEN(G4593)-FIND("*",G4593)),"-")</f>
        <v>-</v>
      </c>
      <c r="W4593" s="20" t="str">
        <f t="shared" si="2494"/>
        <v>-</v>
      </c>
      <c r="X4593" s="20" t="str">
        <f>IFERROR(W4593*H4593,"-")</f>
        <v>-</v>
      </c>
      <c r="Z4593" s="85" t="s">
        <v>82</v>
      </c>
    </row>
    <row r="4594" spans="1:26" ht="6.95" customHeight="1" x14ac:dyDescent="0.3">
      <c r="A4594" s="5"/>
      <c r="B4594" s="157"/>
      <c r="C4594" s="158"/>
      <c r="D4594" s="161"/>
      <c r="E4594" s="162"/>
      <c r="F4594" s="163"/>
      <c r="G4594" s="164"/>
      <c r="H4594" s="165"/>
      <c r="I4594" s="164"/>
      <c r="J4594" s="165"/>
      <c r="K4594" s="164"/>
      <c r="L4594" s="165"/>
      <c r="M4594" s="6"/>
      <c r="N4594" s="32"/>
      <c r="Q4594" s="10" t="str">
        <f>+CONCATENATE(E4593,I4593)</f>
        <v/>
      </c>
      <c r="R4594" s="10">
        <f>+J4593</f>
        <v>0</v>
      </c>
      <c r="S4594" s="11"/>
      <c r="T4594" s="10">
        <f>+E4593</f>
        <v>0</v>
      </c>
      <c r="U4594" s="19" t="str">
        <f>IFERROR(LEFT(I4593,FIND("*",I4593)-1),"-")</f>
        <v>-</v>
      </c>
      <c r="V4594" s="19" t="str">
        <f>IFERROR(RIGHT(I4593,LEN(I4593)-FIND("*",I4593)),"-")</f>
        <v>-</v>
      </c>
      <c r="W4594" s="20" t="str">
        <f t="shared" si="2494"/>
        <v>-</v>
      </c>
      <c r="X4594" s="20" t="str">
        <f t="shared" ref="X4594" si="2499">IFERROR(W4594*J4593,"-")</f>
        <v>-</v>
      </c>
      <c r="Z4594" s="85" t="s">
        <v>82</v>
      </c>
    </row>
    <row r="4595" spans="1:26" ht="6.95" customHeight="1" x14ac:dyDescent="0.3">
      <c r="A4595" s="5"/>
      <c r="B4595" s="157"/>
      <c r="C4595" s="158"/>
      <c r="D4595" s="161"/>
      <c r="E4595" s="162"/>
      <c r="F4595" s="163"/>
      <c r="G4595" s="164"/>
      <c r="H4595" s="165"/>
      <c r="I4595" s="164"/>
      <c r="J4595" s="165"/>
      <c r="K4595" s="164"/>
      <c r="L4595" s="165"/>
      <c r="M4595" s="6"/>
      <c r="N4595" s="32"/>
      <c r="Q4595" s="10" t="str">
        <f>+CONCATENATE(E4593,K4593)</f>
        <v/>
      </c>
      <c r="R4595" s="10">
        <f>+L4593</f>
        <v>0</v>
      </c>
      <c r="S4595" s="11"/>
      <c r="T4595" s="10">
        <f>+E4593</f>
        <v>0</v>
      </c>
      <c r="U4595" s="19" t="str">
        <f>IFERROR(LEFT(K4593,FIND("*",K4593)-1),"-")</f>
        <v>-</v>
      </c>
      <c r="V4595" s="19" t="str">
        <f>IFERROR(RIGHT(K4593,LEN(K4593)-FIND("*",K4593)),"-")</f>
        <v>-</v>
      </c>
      <c r="W4595" s="20" t="str">
        <f t="shared" si="2494"/>
        <v>-</v>
      </c>
      <c r="X4595" s="20" t="str">
        <f>IFERROR(W4595*L4593,"-")</f>
        <v>-</v>
      </c>
      <c r="Z4595" s="85" t="s">
        <v>82</v>
      </c>
    </row>
    <row r="4596" spans="1:26" ht="21" customHeight="1" thickBot="1" x14ac:dyDescent="0.35">
      <c r="A4596" s="5"/>
      <c r="B4596" s="159"/>
      <c r="C4596" s="160"/>
      <c r="D4596" s="166" t="s">
        <v>43</v>
      </c>
      <c r="E4596" s="167"/>
      <c r="F4596" s="167"/>
      <c r="G4596" s="168"/>
      <c r="H4596" s="168"/>
      <c r="I4596" s="168"/>
      <c r="J4596" s="168"/>
      <c r="K4596" s="168"/>
      <c r="L4596" s="168"/>
      <c r="M4596" s="7"/>
      <c r="N4596" s="32"/>
      <c r="Z4596" s="86" t="s">
        <v>81</v>
      </c>
    </row>
    <row r="4597" spans="1:26" ht="9.9499999999999993" customHeight="1" thickBot="1" x14ac:dyDescent="0.35">
      <c r="B4597" s="9"/>
      <c r="C4597" s="109"/>
      <c r="D4597" s="51"/>
      <c r="E4597" s="12"/>
      <c r="F4597" s="51"/>
      <c r="G4597" s="14"/>
      <c r="H4597" s="14"/>
      <c r="I4597" s="14"/>
      <c r="J4597" s="14"/>
      <c r="K4597" s="14"/>
      <c r="L4597" s="14"/>
      <c r="M4597" s="9"/>
      <c r="N4597" s="32"/>
      <c r="U4597" s="18"/>
      <c r="V4597" s="18"/>
      <c r="Z4597" s="85" t="s">
        <v>82</v>
      </c>
    </row>
    <row r="4598" spans="1:26" ht="6.95" customHeight="1" x14ac:dyDescent="0.3">
      <c r="A4598" s="154">
        <f>+A4587+1</f>
        <v>1217</v>
      </c>
      <c r="B4598" s="155"/>
      <c r="C4598" s="156"/>
      <c r="D4598" s="161" t="s">
        <v>39</v>
      </c>
      <c r="E4598" s="162"/>
      <c r="F4598" s="163" t="s">
        <v>40</v>
      </c>
      <c r="G4598" s="164"/>
      <c r="H4598" s="165"/>
      <c r="I4598" s="164"/>
      <c r="J4598" s="165"/>
      <c r="K4598" s="164"/>
      <c r="L4598" s="165"/>
      <c r="M4598" s="6"/>
      <c r="N4598" s="32"/>
      <c r="Q4598" s="10" t="str">
        <f>+CONCATENATE(E4598,G4598)</f>
        <v/>
      </c>
      <c r="R4598" s="10">
        <f>+H4598</f>
        <v>0</v>
      </c>
      <c r="S4598" s="11"/>
      <c r="T4598" s="10">
        <f>+E4598</f>
        <v>0</v>
      </c>
      <c r="U4598" s="19" t="str">
        <f>IFERROR(LEFT(G4598,FIND("*",G4598)-1),"-")</f>
        <v>-</v>
      </c>
      <c r="V4598" s="19" t="str">
        <f>IFERROR(RIGHT(G4598,LEN(G4598)-FIND("*",G4598)),"-")</f>
        <v>-</v>
      </c>
      <c r="W4598" s="20" t="str">
        <f>IFERROR((U4598+V4598)*2/1000,"-")</f>
        <v>-</v>
      </c>
      <c r="X4598" s="20" t="str">
        <f>IFERROR(W4598*H4598,"-")</f>
        <v>-</v>
      </c>
      <c r="Z4598" s="85" t="s">
        <v>82</v>
      </c>
    </row>
    <row r="4599" spans="1:26" ht="6.95" customHeight="1" x14ac:dyDescent="0.3">
      <c r="A4599" s="154"/>
      <c r="B4599" s="157"/>
      <c r="C4599" s="158"/>
      <c r="D4599" s="161"/>
      <c r="E4599" s="162"/>
      <c r="F4599" s="163"/>
      <c r="G4599" s="164"/>
      <c r="H4599" s="165"/>
      <c r="I4599" s="164"/>
      <c r="J4599" s="165"/>
      <c r="K4599" s="164"/>
      <c r="L4599" s="165"/>
      <c r="M4599" s="6"/>
      <c r="N4599" s="32"/>
      <c r="Q4599" s="10" t="str">
        <f>+CONCATENATE(E4598,I4598)</f>
        <v/>
      </c>
      <c r="R4599" s="10">
        <f>+J4598</f>
        <v>0</v>
      </c>
      <c r="S4599" s="11"/>
      <c r="T4599" s="10">
        <f>+E4598</f>
        <v>0</v>
      </c>
      <c r="U4599" s="19" t="str">
        <f>IFERROR(LEFT(I4598,FIND("*",I4598)-1),"-")</f>
        <v>-</v>
      </c>
      <c r="V4599" s="19" t="str">
        <f>IFERROR(RIGHT(I4598,LEN(I4598)-FIND("*",I4598)),"-")</f>
        <v>-</v>
      </c>
      <c r="W4599" s="20" t="str">
        <f t="shared" ref="W4599:W4606" si="2500">IFERROR((U4599+V4599)*2/1000,"-")</f>
        <v>-</v>
      </c>
      <c r="X4599" s="20" t="str">
        <f>IFERROR(W4599*J4598,"-")</f>
        <v>-</v>
      </c>
      <c r="Z4599" s="85" t="s">
        <v>82</v>
      </c>
    </row>
    <row r="4600" spans="1:26" ht="6.95" customHeight="1" x14ac:dyDescent="0.3">
      <c r="A4600" s="154"/>
      <c r="B4600" s="157"/>
      <c r="C4600" s="158"/>
      <c r="D4600" s="161"/>
      <c r="E4600" s="162"/>
      <c r="F4600" s="163"/>
      <c r="G4600" s="164"/>
      <c r="H4600" s="165"/>
      <c r="I4600" s="164"/>
      <c r="J4600" s="165"/>
      <c r="K4600" s="164"/>
      <c r="L4600" s="165"/>
      <c r="M4600" s="6"/>
      <c r="N4600" s="32"/>
      <c r="Q4600" s="10" t="str">
        <f>+CONCATENATE(E4598,K4598)</f>
        <v/>
      </c>
      <c r="R4600" s="10">
        <f>+L4598</f>
        <v>0</v>
      </c>
      <c r="S4600" s="11"/>
      <c r="T4600" s="10">
        <f>+E4598</f>
        <v>0</v>
      </c>
      <c r="U4600" s="19" t="str">
        <f>IFERROR(LEFT(K4598,FIND("*",K4598)-1),"-")</f>
        <v>-</v>
      </c>
      <c r="V4600" s="19" t="str">
        <f>IFERROR(RIGHT(K4598,LEN(K4598)-FIND("*",K4598)),"-")</f>
        <v>-</v>
      </c>
      <c r="W4600" s="20" t="str">
        <f t="shared" si="2500"/>
        <v>-</v>
      </c>
      <c r="X4600" s="20" t="str">
        <f>IFERROR(W4600*L4598,"-")</f>
        <v>-</v>
      </c>
      <c r="Z4600" s="85" t="s">
        <v>82</v>
      </c>
    </row>
    <row r="4601" spans="1:26" ht="6.95" customHeight="1" x14ac:dyDescent="0.3">
      <c r="A4601" s="8"/>
      <c r="B4601" s="157"/>
      <c r="C4601" s="158"/>
      <c r="D4601" s="161" t="s">
        <v>39</v>
      </c>
      <c r="E4601" s="162"/>
      <c r="F4601" s="163" t="s">
        <v>40</v>
      </c>
      <c r="G4601" s="164"/>
      <c r="H4601" s="165"/>
      <c r="I4601" s="164"/>
      <c r="J4601" s="165"/>
      <c r="K4601" s="164"/>
      <c r="L4601" s="165"/>
      <c r="M4601" s="6"/>
      <c r="N4601" s="32"/>
      <c r="Q4601" s="10" t="str">
        <f>+CONCATENATE(E4601,G4601)</f>
        <v/>
      </c>
      <c r="R4601" s="10">
        <f>+H4601</f>
        <v>0</v>
      </c>
      <c r="S4601" s="11"/>
      <c r="T4601" s="10">
        <f>+E4601</f>
        <v>0</v>
      </c>
      <c r="U4601" s="19" t="str">
        <f t="shared" ref="U4601" si="2501">IFERROR(LEFT(G4601,FIND("*",G4601)-1),"-")</f>
        <v>-</v>
      </c>
      <c r="V4601" s="19" t="str">
        <f t="shared" ref="V4601" si="2502">IFERROR(RIGHT(G4601,LEN(G4601)-FIND("*",G4601)),"-")</f>
        <v>-</v>
      </c>
      <c r="W4601" s="20" t="str">
        <f t="shared" si="2500"/>
        <v>-</v>
      </c>
      <c r="X4601" s="20" t="str">
        <f>IFERROR(W4601*H4601,"-")</f>
        <v>-</v>
      </c>
      <c r="Z4601" s="85" t="s">
        <v>82</v>
      </c>
    </row>
    <row r="4602" spans="1:26" ht="6.95" customHeight="1" x14ac:dyDescent="0.3">
      <c r="A4602" s="5"/>
      <c r="B4602" s="157"/>
      <c r="C4602" s="158"/>
      <c r="D4602" s="161"/>
      <c r="E4602" s="162"/>
      <c r="F4602" s="163"/>
      <c r="G4602" s="164"/>
      <c r="H4602" s="165"/>
      <c r="I4602" s="164"/>
      <c r="J4602" s="165"/>
      <c r="K4602" s="164"/>
      <c r="L4602" s="165"/>
      <c r="M4602" s="6"/>
      <c r="N4602" s="32"/>
      <c r="Q4602" s="10" t="str">
        <f>+CONCATENATE(E4601,I4601)</f>
        <v/>
      </c>
      <c r="R4602" s="10">
        <f>+J4601</f>
        <v>0</v>
      </c>
      <c r="S4602" s="11"/>
      <c r="T4602" s="10">
        <f>+E4601</f>
        <v>0</v>
      </c>
      <c r="U4602" s="19" t="str">
        <f>IFERROR(LEFT(I4601,FIND("*",I4601)-1),"-")</f>
        <v>-</v>
      </c>
      <c r="V4602" s="19" t="str">
        <f>IFERROR(RIGHT(I4601,LEN(I4601)-FIND("*",I4601)),"-")</f>
        <v>-</v>
      </c>
      <c r="W4602" s="20" t="str">
        <f t="shared" si="2500"/>
        <v>-</v>
      </c>
      <c r="X4602" s="20" t="str">
        <f>IFERROR(W4602*J4601,"-")</f>
        <v>-</v>
      </c>
      <c r="Z4602" s="85" t="s">
        <v>82</v>
      </c>
    </row>
    <row r="4603" spans="1:26" ht="6.95" customHeight="1" x14ac:dyDescent="0.3">
      <c r="A4603" s="5"/>
      <c r="B4603" s="157"/>
      <c r="C4603" s="158"/>
      <c r="D4603" s="161"/>
      <c r="E4603" s="162"/>
      <c r="F4603" s="163"/>
      <c r="G4603" s="164"/>
      <c r="H4603" s="165"/>
      <c r="I4603" s="164"/>
      <c r="J4603" s="165"/>
      <c r="K4603" s="164"/>
      <c r="L4603" s="165"/>
      <c r="M4603" s="6"/>
      <c r="N4603" s="32"/>
      <c r="Q4603" s="10" t="str">
        <f>+CONCATENATE(E4601,K4601)</f>
        <v/>
      </c>
      <c r="R4603" s="10">
        <f>+L4601</f>
        <v>0</v>
      </c>
      <c r="S4603" s="11"/>
      <c r="T4603" s="10">
        <f>+E4601</f>
        <v>0</v>
      </c>
      <c r="U4603" s="19" t="str">
        <f>IFERROR(LEFT(K4601,FIND("*",K4601)-1),"-")</f>
        <v>-</v>
      </c>
      <c r="V4603" s="19" t="str">
        <f>IFERROR(RIGHT(K4601,LEN(K4601)-FIND("*",K4601)),"-")</f>
        <v>-</v>
      </c>
      <c r="W4603" s="20" t="str">
        <f t="shared" si="2500"/>
        <v>-</v>
      </c>
      <c r="X4603" s="20" t="str">
        <f>IFERROR(W4603*L4601,"-")</f>
        <v>-</v>
      </c>
      <c r="Z4603" s="85" t="s">
        <v>82</v>
      </c>
    </row>
    <row r="4604" spans="1:26" ht="6.95" customHeight="1" x14ac:dyDescent="0.3">
      <c r="A4604" s="8"/>
      <c r="B4604" s="157"/>
      <c r="C4604" s="158"/>
      <c r="D4604" s="161" t="s">
        <v>39</v>
      </c>
      <c r="E4604" s="162"/>
      <c r="F4604" s="163" t="s">
        <v>40</v>
      </c>
      <c r="G4604" s="164"/>
      <c r="H4604" s="165"/>
      <c r="I4604" s="164"/>
      <c r="J4604" s="165"/>
      <c r="K4604" s="164"/>
      <c r="L4604" s="165"/>
      <c r="M4604" s="6"/>
      <c r="N4604" s="32"/>
      <c r="Q4604" s="10" t="str">
        <f>+CONCATENATE(E4604,G4604)</f>
        <v/>
      </c>
      <c r="R4604" s="10">
        <f>+H4604</f>
        <v>0</v>
      </c>
      <c r="S4604" s="11"/>
      <c r="T4604" s="10">
        <f>+E4604</f>
        <v>0</v>
      </c>
      <c r="U4604" s="19" t="str">
        <f t="shared" ref="U4604" si="2503">IFERROR(LEFT(G4604,FIND("*",G4604)-1),"-")</f>
        <v>-</v>
      </c>
      <c r="V4604" s="19" t="str">
        <f t="shared" ref="V4604" si="2504">IFERROR(RIGHT(G4604,LEN(G4604)-FIND("*",G4604)),"-")</f>
        <v>-</v>
      </c>
      <c r="W4604" s="20" t="str">
        <f t="shared" si="2500"/>
        <v>-</v>
      </c>
      <c r="X4604" s="20" t="str">
        <f>IFERROR(W4604*H4604,"-")</f>
        <v>-</v>
      </c>
      <c r="Z4604" s="85" t="s">
        <v>82</v>
      </c>
    </row>
    <row r="4605" spans="1:26" ht="6.95" customHeight="1" x14ac:dyDescent="0.3">
      <c r="A4605" s="5"/>
      <c r="B4605" s="157"/>
      <c r="C4605" s="158"/>
      <c r="D4605" s="161"/>
      <c r="E4605" s="162"/>
      <c r="F4605" s="163"/>
      <c r="G4605" s="164"/>
      <c r="H4605" s="165"/>
      <c r="I4605" s="164"/>
      <c r="J4605" s="165"/>
      <c r="K4605" s="164"/>
      <c r="L4605" s="165"/>
      <c r="M4605" s="6"/>
      <c r="N4605" s="32"/>
      <c r="Q4605" s="10" t="str">
        <f>+CONCATENATE(E4604,I4604)</f>
        <v/>
      </c>
      <c r="R4605" s="10">
        <f>+J4604</f>
        <v>0</v>
      </c>
      <c r="S4605" s="11"/>
      <c r="T4605" s="10">
        <f>+E4604</f>
        <v>0</v>
      </c>
      <c r="U4605" s="19" t="str">
        <f>IFERROR(LEFT(I4604,FIND("*",I4604)-1),"-")</f>
        <v>-</v>
      </c>
      <c r="V4605" s="19" t="str">
        <f>IFERROR(RIGHT(I4604,LEN(I4604)-FIND("*",I4604)),"-")</f>
        <v>-</v>
      </c>
      <c r="W4605" s="20" t="str">
        <f t="shared" si="2500"/>
        <v>-</v>
      </c>
      <c r="X4605" s="20" t="str">
        <f t="shared" ref="X4605" si="2505">IFERROR(W4605*J4604,"-")</f>
        <v>-</v>
      </c>
      <c r="Z4605" s="85" t="s">
        <v>82</v>
      </c>
    </row>
    <row r="4606" spans="1:26" ht="6.95" customHeight="1" x14ac:dyDescent="0.3">
      <c r="A4606" s="5"/>
      <c r="B4606" s="157"/>
      <c r="C4606" s="158"/>
      <c r="D4606" s="161"/>
      <c r="E4606" s="162"/>
      <c r="F4606" s="163"/>
      <c r="G4606" s="164"/>
      <c r="H4606" s="165"/>
      <c r="I4606" s="164"/>
      <c r="J4606" s="165"/>
      <c r="K4606" s="164"/>
      <c r="L4606" s="165"/>
      <c r="M4606" s="6"/>
      <c r="N4606" s="32"/>
      <c r="Q4606" s="10" t="str">
        <f>+CONCATENATE(E4604,K4604)</f>
        <v/>
      </c>
      <c r="R4606" s="10">
        <f>+L4604</f>
        <v>0</v>
      </c>
      <c r="S4606" s="11"/>
      <c r="T4606" s="10">
        <f>+E4604</f>
        <v>0</v>
      </c>
      <c r="U4606" s="19" t="str">
        <f>IFERROR(LEFT(K4604,FIND("*",K4604)-1),"-")</f>
        <v>-</v>
      </c>
      <c r="V4606" s="19" t="str">
        <f>IFERROR(RIGHT(K4604,LEN(K4604)-FIND("*",K4604)),"-")</f>
        <v>-</v>
      </c>
      <c r="W4606" s="20" t="str">
        <f t="shared" si="2500"/>
        <v>-</v>
      </c>
      <c r="X4606" s="20" t="str">
        <f>IFERROR(W4606*L4604,"-")</f>
        <v>-</v>
      </c>
      <c r="Z4606" s="85" t="s">
        <v>82</v>
      </c>
    </row>
    <row r="4607" spans="1:26" ht="21" customHeight="1" thickBot="1" x14ac:dyDescent="0.35">
      <c r="A4607" s="5"/>
      <c r="B4607" s="159"/>
      <c r="C4607" s="160"/>
      <c r="D4607" s="166" t="s">
        <v>43</v>
      </c>
      <c r="E4607" s="167"/>
      <c r="F4607" s="167"/>
      <c r="G4607" s="168"/>
      <c r="H4607" s="168"/>
      <c r="I4607" s="168"/>
      <c r="J4607" s="168"/>
      <c r="K4607" s="168"/>
      <c r="L4607" s="168"/>
      <c r="M4607" s="7"/>
      <c r="N4607" s="32"/>
      <c r="Z4607" s="86" t="s">
        <v>81</v>
      </c>
    </row>
    <row r="4608" spans="1:26" ht="9.9499999999999993" customHeight="1" thickBot="1" x14ac:dyDescent="0.35">
      <c r="B4608" s="9"/>
      <c r="C4608" s="109"/>
      <c r="D4608" s="51"/>
      <c r="E4608" s="12"/>
      <c r="F4608" s="51"/>
      <c r="G4608" s="14"/>
      <c r="H4608" s="14"/>
      <c r="I4608" s="14"/>
      <c r="J4608" s="14"/>
      <c r="K4608" s="14"/>
      <c r="L4608" s="14"/>
      <c r="M4608" s="9"/>
      <c r="N4608" s="32"/>
      <c r="U4608" s="18"/>
      <c r="V4608" s="18"/>
      <c r="Z4608" s="85" t="s">
        <v>82</v>
      </c>
    </row>
    <row r="4609" spans="1:26" ht="6.95" customHeight="1" x14ac:dyDescent="0.3">
      <c r="A4609" s="154">
        <f>+A4598+1</f>
        <v>1218</v>
      </c>
      <c r="B4609" s="155"/>
      <c r="C4609" s="156"/>
      <c r="D4609" s="161" t="s">
        <v>39</v>
      </c>
      <c r="E4609" s="162"/>
      <c r="F4609" s="163" t="s">
        <v>40</v>
      </c>
      <c r="G4609" s="164"/>
      <c r="H4609" s="165"/>
      <c r="I4609" s="164"/>
      <c r="J4609" s="165"/>
      <c r="K4609" s="164"/>
      <c r="L4609" s="165"/>
      <c r="M4609" s="6"/>
      <c r="N4609" s="32"/>
      <c r="Q4609" s="10" t="str">
        <f>+CONCATENATE(E4609,G4609)</f>
        <v/>
      </c>
      <c r="R4609" s="10">
        <f>+H4609</f>
        <v>0</v>
      </c>
      <c r="S4609" s="11"/>
      <c r="T4609" s="10">
        <f>+E4609</f>
        <v>0</v>
      </c>
      <c r="U4609" s="19" t="str">
        <f>IFERROR(LEFT(G4609,FIND("*",G4609)-1),"-")</f>
        <v>-</v>
      </c>
      <c r="V4609" s="19" t="str">
        <f>IFERROR(RIGHT(G4609,LEN(G4609)-FIND("*",G4609)),"-")</f>
        <v>-</v>
      </c>
      <c r="W4609" s="20" t="str">
        <f>IFERROR((U4609+V4609)*2/1000,"-")</f>
        <v>-</v>
      </c>
      <c r="X4609" s="20" t="str">
        <f>IFERROR(W4609*H4609,"-")</f>
        <v>-</v>
      </c>
      <c r="Z4609" s="85" t="s">
        <v>82</v>
      </c>
    </row>
    <row r="4610" spans="1:26" ht="6.95" customHeight="1" x14ac:dyDescent="0.3">
      <c r="A4610" s="154"/>
      <c r="B4610" s="157"/>
      <c r="C4610" s="158"/>
      <c r="D4610" s="161"/>
      <c r="E4610" s="162"/>
      <c r="F4610" s="163"/>
      <c r="G4610" s="164"/>
      <c r="H4610" s="165"/>
      <c r="I4610" s="164"/>
      <c r="J4610" s="165"/>
      <c r="K4610" s="164"/>
      <c r="L4610" s="165"/>
      <c r="M4610" s="6"/>
      <c r="N4610" s="32"/>
      <c r="Q4610" s="10" t="str">
        <f>+CONCATENATE(E4609,I4609)</f>
        <v/>
      </c>
      <c r="R4610" s="10">
        <f>+J4609</f>
        <v>0</v>
      </c>
      <c r="S4610" s="11"/>
      <c r="T4610" s="10">
        <f>+E4609</f>
        <v>0</v>
      </c>
      <c r="U4610" s="19" t="str">
        <f>IFERROR(LEFT(I4609,FIND("*",I4609)-1),"-")</f>
        <v>-</v>
      </c>
      <c r="V4610" s="19" t="str">
        <f>IFERROR(RIGHT(I4609,LEN(I4609)-FIND("*",I4609)),"-")</f>
        <v>-</v>
      </c>
      <c r="W4610" s="20" t="str">
        <f t="shared" ref="W4610:W4617" si="2506">IFERROR((U4610+V4610)*2/1000,"-")</f>
        <v>-</v>
      </c>
      <c r="X4610" s="20" t="str">
        <f>IFERROR(W4610*J4609,"-")</f>
        <v>-</v>
      </c>
      <c r="Z4610" s="85" t="s">
        <v>82</v>
      </c>
    </row>
    <row r="4611" spans="1:26" ht="6.95" customHeight="1" x14ac:dyDescent="0.3">
      <c r="A4611" s="154"/>
      <c r="B4611" s="157"/>
      <c r="C4611" s="158"/>
      <c r="D4611" s="161"/>
      <c r="E4611" s="162"/>
      <c r="F4611" s="163"/>
      <c r="G4611" s="164"/>
      <c r="H4611" s="165"/>
      <c r="I4611" s="164"/>
      <c r="J4611" s="165"/>
      <c r="K4611" s="164"/>
      <c r="L4611" s="165"/>
      <c r="M4611" s="6"/>
      <c r="N4611" s="32"/>
      <c r="Q4611" s="10" t="str">
        <f>+CONCATENATE(E4609,K4609)</f>
        <v/>
      </c>
      <c r="R4611" s="10">
        <f>+L4609</f>
        <v>0</v>
      </c>
      <c r="S4611" s="11"/>
      <c r="T4611" s="10">
        <f>+E4609</f>
        <v>0</v>
      </c>
      <c r="U4611" s="19" t="str">
        <f>IFERROR(LEFT(K4609,FIND("*",K4609)-1),"-")</f>
        <v>-</v>
      </c>
      <c r="V4611" s="19" t="str">
        <f>IFERROR(RIGHT(K4609,LEN(K4609)-FIND("*",K4609)),"-")</f>
        <v>-</v>
      </c>
      <c r="W4611" s="20" t="str">
        <f t="shared" si="2506"/>
        <v>-</v>
      </c>
      <c r="X4611" s="20" t="str">
        <f>IFERROR(W4611*L4609,"-")</f>
        <v>-</v>
      </c>
      <c r="Z4611" s="85" t="s">
        <v>82</v>
      </c>
    </row>
    <row r="4612" spans="1:26" ht="6.95" customHeight="1" x14ac:dyDescent="0.3">
      <c r="A4612" s="8"/>
      <c r="B4612" s="157"/>
      <c r="C4612" s="158"/>
      <c r="D4612" s="161" t="s">
        <v>39</v>
      </c>
      <c r="E4612" s="162"/>
      <c r="F4612" s="163" t="s">
        <v>40</v>
      </c>
      <c r="G4612" s="164"/>
      <c r="H4612" s="165"/>
      <c r="I4612" s="164"/>
      <c r="J4612" s="165"/>
      <c r="K4612" s="164"/>
      <c r="L4612" s="165"/>
      <c r="M4612" s="6"/>
      <c r="N4612" s="32"/>
      <c r="Q4612" s="10" t="str">
        <f>+CONCATENATE(E4612,G4612)</f>
        <v/>
      </c>
      <c r="R4612" s="10">
        <f>+H4612</f>
        <v>0</v>
      </c>
      <c r="S4612" s="11"/>
      <c r="T4612" s="10">
        <f>+E4612</f>
        <v>0</v>
      </c>
      <c r="U4612" s="19" t="str">
        <f t="shared" ref="U4612" si="2507">IFERROR(LEFT(G4612,FIND("*",G4612)-1),"-")</f>
        <v>-</v>
      </c>
      <c r="V4612" s="19" t="str">
        <f t="shared" ref="V4612" si="2508">IFERROR(RIGHT(G4612,LEN(G4612)-FIND("*",G4612)),"-")</f>
        <v>-</v>
      </c>
      <c r="W4612" s="20" t="str">
        <f t="shared" si="2506"/>
        <v>-</v>
      </c>
      <c r="X4612" s="20" t="str">
        <f>IFERROR(W4612*H4612,"-")</f>
        <v>-</v>
      </c>
      <c r="Z4612" s="85" t="s">
        <v>82</v>
      </c>
    </row>
    <row r="4613" spans="1:26" ht="6.95" customHeight="1" x14ac:dyDescent="0.3">
      <c r="A4613" s="5"/>
      <c r="B4613" s="157"/>
      <c r="C4613" s="158"/>
      <c r="D4613" s="161"/>
      <c r="E4613" s="162"/>
      <c r="F4613" s="163"/>
      <c r="G4613" s="164"/>
      <c r="H4613" s="165"/>
      <c r="I4613" s="164"/>
      <c r="J4613" s="165"/>
      <c r="K4613" s="164"/>
      <c r="L4613" s="165"/>
      <c r="M4613" s="6"/>
      <c r="N4613" s="32"/>
      <c r="Q4613" s="10" t="str">
        <f>+CONCATENATE(E4612,I4612)</f>
        <v/>
      </c>
      <c r="R4613" s="10">
        <f>+J4612</f>
        <v>0</v>
      </c>
      <c r="S4613" s="11"/>
      <c r="T4613" s="10">
        <f>+E4612</f>
        <v>0</v>
      </c>
      <c r="U4613" s="19" t="str">
        <f>IFERROR(LEFT(I4612,FIND("*",I4612)-1),"-")</f>
        <v>-</v>
      </c>
      <c r="V4613" s="19" t="str">
        <f>IFERROR(RIGHT(I4612,LEN(I4612)-FIND("*",I4612)),"-")</f>
        <v>-</v>
      </c>
      <c r="W4613" s="20" t="str">
        <f t="shared" si="2506"/>
        <v>-</v>
      </c>
      <c r="X4613" s="20" t="str">
        <f>IFERROR(W4613*J4612,"-")</f>
        <v>-</v>
      </c>
      <c r="Z4613" s="85" t="s">
        <v>82</v>
      </c>
    </row>
    <row r="4614" spans="1:26" ht="6.95" customHeight="1" x14ac:dyDescent="0.3">
      <c r="A4614" s="5"/>
      <c r="B4614" s="157"/>
      <c r="C4614" s="158"/>
      <c r="D4614" s="161"/>
      <c r="E4614" s="162"/>
      <c r="F4614" s="163"/>
      <c r="G4614" s="164"/>
      <c r="H4614" s="165"/>
      <c r="I4614" s="164"/>
      <c r="J4614" s="165"/>
      <c r="K4614" s="164"/>
      <c r="L4614" s="165"/>
      <c r="M4614" s="6"/>
      <c r="N4614" s="32"/>
      <c r="Q4614" s="10" t="str">
        <f>+CONCATENATE(E4612,K4612)</f>
        <v/>
      </c>
      <c r="R4614" s="10">
        <f>+L4612</f>
        <v>0</v>
      </c>
      <c r="S4614" s="11"/>
      <c r="T4614" s="10">
        <f>+E4612</f>
        <v>0</v>
      </c>
      <c r="U4614" s="19" t="str">
        <f>IFERROR(LEFT(K4612,FIND("*",K4612)-1),"-")</f>
        <v>-</v>
      </c>
      <c r="V4614" s="19" t="str">
        <f>IFERROR(RIGHT(K4612,LEN(K4612)-FIND("*",K4612)),"-")</f>
        <v>-</v>
      </c>
      <c r="W4614" s="20" t="str">
        <f t="shared" si="2506"/>
        <v>-</v>
      </c>
      <c r="X4614" s="20" t="str">
        <f>IFERROR(W4614*L4612,"-")</f>
        <v>-</v>
      </c>
      <c r="Z4614" s="85" t="s">
        <v>82</v>
      </c>
    </row>
    <row r="4615" spans="1:26" ht="6.95" customHeight="1" x14ac:dyDescent="0.3">
      <c r="A4615" s="8"/>
      <c r="B4615" s="157"/>
      <c r="C4615" s="158"/>
      <c r="D4615" s="161" t="s">
        <v>39</v>
      </c>
      <c r="E4615" s="162"/>
      <c r="F4615" s="163" t="s">
        <v>40</v>
      </c>
      <c r="G4615" s="164"/>
      <c r="H4615" s="165"/>
      <c r="I4615" s="164"/>
      <c r="J4615" s="165"/>
      <c r="K4615" s="164"/>
      <c r="L4615" s="165"/>
      <c r="M4615" s="6"/>
      <c r="N4615" s="32"/>
      <c r="Q4615" s="10" t="str">
        <f>+CONCATENATE(E4615,G4615)</f>
        <v/>
      </c>
      <c r="R4615" s="10">
        <f>+H4615</f>
        <v>0</v>
      </c>
      <c r="S4615" s="11"/>
      <c r="T4615" s="10">
        <f>+E4615</f>
        <v>0</v>
      </c>
      <c r="U4615" s="19" t="str">
        <f t="shared" ref="U4615" si="2509">IFERROR(LEFT(G4615,FIND("*",G4615)-1),"-")</f>
        <v>-</v>
      </c>
      <c r="V4615" s="19" t="str">
        <f t="shared" ref="V4615" si="2510">IFERROR(RIGHT(G4615,LEN(G4615)-FIND("*",G4615)),"-")</f>
        <v>-</v>
      </c>
      <c r="W4615" s="20" t="str">
        <f t="shared" si="2506"/>
        <v>-</v>
      </c>
      <c r="X4615" s="20" t="str">
        <f>IFERROR(W4615*H4615,"-")</f>
        <v>-</v>
      </c>
      <c r="Z4615" s="85" t="s">
        <v>82</v>
      </c>
    </row>
    <row r="4616" spans="1:26" ht="6.95" customHeight="1" x14ac:dyDescent="0.3">
      <c r="A4616" s="5"/>
      <c r="B4616" s="157"/>
      <c r="C4616" s="158"/>
      <c r="D4616" s="161"/>
      <c r="E4616" s="162"/>
      <c r="F4616" s="163"/>
      <c r="G4616" s="164"/>
      <c r="H4616" s="165"/>
      <c r="I4616" s="164"/>
      <c r="J4616" s="165"/>
      <c r="K4616" s="164"/>
      <c r="L4616" s="165"/>
      <c r="M4616" s="6"/>
      <c r="N4616" s="32"/>
      <c r="Q4616" s="10" t="str">
        <f>+CONCATENATE(E4615,I4615)</f>
        <v/>
      </c>
      <c r="R4616" s="10">
        <f>+J4615</f>
        <v>0</v>
      </c>
      <c r="S4616" s="11"/>
      <c r="T4616" s="10">
        <f>+E4615</f>
        <v>0</v>
      </c>
      <c r="U4616" s="19" t="str">
        <f>IFERROR(LEFT(I4615,FIND("*",I4615)-1),"-")</f>
        <v>-</v>
      </c>
      <c r="V4616" s="19" t="str">
        <f>IFERROR(RIGHT(I4615,LEN(I4615)-FIND("*",I4615)),"-")</f>
        <v>-</v>
      </c>
      <c r="W4616" s="20" t="str">
        <f t="shared" si="2506"/>
        <v>-</v>
      </c>
      <c r="X4616" s="20" t="str">
        <f t="shared" ref="X4616" si="2511">IFERROR(W4616*J4615,"-")</f>
        <v>-</v>
      </c>
      <c r="Z4616" s="85" t="s">
        <v>82</v>
      </c>
    </row>
    <row r="4617" spans="1:26" ht="6.95" customHeight="1" x14ac:dyDescent="0.3">
      <c r="A4617" s="5"/>
      <c r="B4617" s="157"/>
      <c r="C4617" s="158"/>
      <c r="D4617" s="161"/>
      <c r="E4617" s="162"/>
      <c r="F4617" s="163"/>
      <c r="G4617" s="164"/>
      <c r="H4617" s="165"/>
      <c r="I4617" s="164"/>
      <c r="J4617" s="165"/>
      <c r="K4617" s="164"/>
      <c r="L4617" s="165"/>
      <c r="M4617" s="6"/>
      <c r="N4617" s="32"/>
      <c r="Q4617" s="10" t="str">
        <f>+CONCATENATE(E4615,K4615)</f>
        <v/>
      </c>
      <c r="R4617" s="10">
        <f>+L4615</f>
        <v>0</v>
      </c>
      <c r="S4617" s="11"/>
      <c r="T4617" s="10">
        <f>+E4615</f>
        <v>0</v>
      </c>
      <c r="U4617" s="19" t="str">
        <f>IFERROR(LEFT(K4615,FIND("*",K4615)-1),"-")</f>
        <v>-</v>
      </c>
      <c r="V4617" s="19" t="str">
        <f>IFERROR(RIGHT(K4615,LEN(K4615)-FIND("*",K4615)),"-")</f>
        <v>-</v>
      </c>
      <c r="W4617" s="20" t="str">
        <f t="shared" si="2506"/>
        <v>-</v>
      </c>
      <c r="X4617" s="20" t="str">
        <f>IFERROR(W4617*L4615,"-")</f>
        <v>-</v>
      </c>
      <c r="Z4617" s="85" t="s">
        <v>82</v>
      </c>
    </row>
    <row r="4618" spans="1:26" ht="21" customHeight="1" thickBot="1" x14ac:dyDescent="0.35">
      <c r="A4618" s="5"/>
      <c r="B4618" s="159"/>
      <c r="C4618" s="160"/>
      <c r="D4618" s="166" t="s">
        <v>43</v>
      </c>
      <c r="E4618" s="167"/>
      <c r="F4618" s="167"/>
      <c r="G4618" s="168"/>
      <c r="H4618" s="168"/>
      <c r="I4618" s="168"/>
      <c r="J4618" s="168"/>
      <c r="K4618" s="168"/>
      <c r="L4618" s="168"/>
      <c r="M4618" s="7"/>
      <c r="N4618" s="32"/>
      <c r="Z4618" s="86" t="s">
        <v>81</v>
      </c>
    </row>
    <row r="4619" spans="1:26" ht="9.9499999999999993" customHeight="1" thickBot="1" x14ac:dyDescent="0.35">
      <c r="B4619" s="9"/>
      <c r="C4619" s="109"/>
      <c r="D4619" s="51"/>
      <c r="E4619" s="12"/>
      <c r="F4619" s="51"/>
      <c r="G4619" s="14"/>
      <c r="H4619" s="14"/>
      <c r="I4619" s="14"/>
      <c r="J4619" s="14"/>
      <c r="K4619" s="14"/>
      <c r="L4619" s="14"/>
      <c r="M4619" s="9"/>
      <c r="N4619" s="32"/>
      <c r="U4619" s="18"/>
      <c r="V4619" s="18"/>
      <c r="Z4619" s="85" t="s">
        <v>82</v>
      </c>
    </row>
    <row r="4620" spans="1:26" ht="6.95" customHeight="1" x14ac:dyDescent="0.3">
      <c r="A4620" s="154">
        <f>+A4609+1</f>
        <v>1219</v>
      </c>
      <c r="B4620" s="155"/>
      <c r="C4620" s="156"/>
      <c r="D4620" s="161" t="s">
        <v>39</v>
      </c>
      <c r="E4620" s="162"/>
      <c r="F4620" s="163" t="s">
        <v>40</v>
      </c>
      <c r="G4620" s="164"/>
      <c r="H4620" s="165"/>
      <c r="I4620" s="164"/>
      <c r="J4620" s="165"/>
      <c r="K4620" s="164"/>
      <c r="L4620" s="165"/>
      <c r="M4620" s="6"/>
      <c r="N4620" s="32"/>
      <c r="Q4620" s="10" t="str">
        <f>+CONCATENATE(E4620,G4620)</f>
        <v/>
      </c>
      <c r="R4620" s="10">
        <f>+H4620</f>
        <v>0</v>
      </c>
      <c r="S4620" s="11"/>
      <c r="T4620" s="10">
        <f>+E4620</f>
        <v>0</v>
      </c>
      <c r="U4620" s="19" t="str">
        <f>IFERROR(LEFT(G4620,FIND("*",G4620)-1),"-")</f>
        <v>-</v>
      </c>
      <c r="V4620" s="19" t="str">
        <f>IFERROR(RIGHT(G4620,LEN(G4620)-FIND("*",G4620)),"-")</f>
        <v>-</v>
      </c>
      <c r="W4620" s="20" t="str">
        <f>IFERROR((U4620+V4620)*2/1000,"-")</f>
        <v>-</v>
      </c>
      <c r="X4620" s="20" t="str">
        <f>IFERROR(W4620*H4620,"-")</f>
        <v>-</v>
      </c>
      <c r="Z4620" s="85" t="s">
        <v>82</v>
      </c>
    </row>
    <row r="4621" spans="1:26" ht="6.95" customHeight="1" x14ac:dyDescent="0.3">
      <c r="A4621" s="154"/>
      <c r="B4621" s="157"/>
      <c r="C4621" s="158"/>
      <c r="D4621" s="161"/>
      <c r="E4621" s="162"/>
      <c r="F4621" s="163"/>
      <c r="G4621" s="164"/>
      <c r="H4621" s="165"/>
      <c r="I4621" s="164"/>
      <c r="J4621" s="165"/>
      <c r="K4621" s="164"/>
      <c r="L4621" s="165"/>
      <c r="M4621" s="6"/>
      <c r="N4621" s="32"/>
      <c r="Q4621" s="10" t="str">
        <f>+CONCATENATE(E4620,I4620)</f>
        <v/>
      </c>
      <c r="R4621" s="10">
        <f>+J4620</f>
        <v>0</v>
      </c>
      <c r="S4621" s="11"/>
      <c r="T4621" s="10">
        <f>+E4620</f>
        <v>0</v>
      </c>
      <c r="U4621" s="19" t="str">
        <f>IFERROR(LEFT(I4620,FIND("*",I4620)-1),"-")</f>
        <v>-</v>
      </c>
      <c r="V4621" s="19" t="str">
        <f>IFERROR(RIGHT(I4620,LEN(I4620)-FIND("*",I4620)),"-")</f>
        <v>-</v>
      </c>
      <c r="W4621" s="20" t="str">
        <f t="shared" ref="W4621:W4628" si="2512">IFERROR((U4621+V4621)*2/1000,"-")</f>
        <v>-</v>
      </c>
      <c r="X4621" s="20" t="str">
        <f>IFERROR(W4621*J4620,"-")</f>
        <v>-</v>
      </c>
      <c r="Z4621" s="85" t="s">
        <v>82</v>
      </c>
    </row>
    <row r="4622" spans="1:26" ht="6.95" customHeight="1" x14ac:dyDescent="0.3">
      <c r="A4622" s="154"/>
      <c r="B4622" s="157"/>
      <c r="C4622" s="158"/>
      <c r="D4622" s="161"/>
      <c r="E4622" s="162"/>
      <c r="F4622" s="163"/>
      <c r="G4622" s="164"/>
      <c r="H4622" s="165"/>
      <c r="I4622" s="164"/>
      <c r="J4622" s="165"/>
      <c r="K4622" s="164"/>
      <c r="L4622" s="165"/>
      <c r="M4622" s="6"/>
      <c r="N4622" s="32"/>
      <c r="Q4622" s="10" t="str">
        <f>+CONCATENATE(E4620,K4620)</f>
        <v/>
      </c>
      <c r="R4622" s="10">
        <f>+L4620</f>
        <v>0</v>
      </c>
      <c r="S4622" s="11"/>
      <c r="T4622" s="10">
        <f>+E4620</f>
        <v>0</v>
      </c>
      <c r="U4622" s="19" t="str">
        <f>IFERROR(LEFT(K4620,FIND("*",K4620)-1),"-")</f>
        <v>-</v>
      </c>
      <c r="V4622" s="19" t="str">
        <f>IFERROR(RIGHT(K4620,LEN(K4620)-FIND("*",K4620)),"-")</f>
        <v>-</v>
      </c>
      <c r="W4622" s="20" t="str">
        <f t="shared" si="2512"/>
        <v>-</v>
      </c>
      <c r="X4622" s="20" t="str">
        <f>IFERROR(W4622*L4620,"-")</f>
        <v>-</v>
      </c>
      <c r="Z4622" s="85" t="s">
        <v>82</v>
      </c>
    </row>
    <row r="4623" spans="1:26" ht="6.95" customHeight="1" x14ac:dyDescent="0.3">
      <c r="A4623" s="8"/>
      <c r="B4623" s="157"/>
      <c r="C4623" s="158"/>
      <c r="D4623" s="161" t="s">
        <v>39</v>
      </c>
      <c r="E4623" s="162"/>
      <c r="F4623" s="163" t="s">
        <v>40</v>
      </c>
      <c r="G4623" s="164"/>
      <c r="H4623" s="165"/>
      <c r="I4623" s="164"/>
      <c r="J4623" s="165"/>
      <c r="K4623" s="164"/>
      <c r="L4623" s="165"/>
      <c r="M4623" s="6"/>
      <c r="N4623" s="32"/>
      <c r="Q4623" s="10" t="str">
        <f>+CONCATENATE(E4623,G4623)</f>
        <v/>
      </c>
      <c r="R4623" s="10">
        <f>+H4623</f>
        <v>0</v>
      </c>
      <c r="S4623" s="11"/>
      <c r="T4623" s="10">
        <f>+E4623</f>
        <v>0</v>
      </c>
      <c r="U4623" s="19" t="str">
        <f t="shared" ref="U4623" si="2513">IFERROR(LEFT(G4623,FIND("*",G4623)-1),"-")</f>
        <v>-</v>
      </c>
      <c r="V4623" s="19" t="str">
        <f t="shared" ref="V4623" si="2514">IFERROR(RIGHT(G4623,LEN(G4623)-FIND("*",G4623)),"-")</f>
        <v>-</v>
      </c>
      <c r="W4623" s="20" t="str">
        <f t="shared" si="2512"/>
        <v>-</v>
      </c>
      <c r="X4623" s="20" t="str">
        <f>IFERROR(W4623*H4623,"-")</f>
        <v>-</v>
      </c>
      <c r="Z4623" s="85" t="s">
        <v>82</v>
      </c>
    </row>
    <row r="4624" spans="1:26" ht="6.95" customHeight="1" x14ac:dyDescent="0.3">
      <c r="A4624" s="5"/>
      <c r="B4624" s="157"/>
      <c r="C4624" s="158"/>
      <c r="D4624" s="161"/>
      <c r="E4624" s="162"/>
      <c r="F4624" s="163"/>
      <c r="G4624" s="164"/>
      <c r="H4624" s="165"/>
      <c r="I4624" s="164"/>
      <c r="J4624" s="165"/>
      <c r="K4624" s="164"/>
      <c r="L4624" s="165"/>
      <c r="M4624" s="6"/>
      <c r="N4624" s="32"/>
      <c r="Q4624" s="10" t="str">
        <f>+CONCATENATE(E4623,I4623)</f>
        <v/>
      </c>
      <c r="R4624" s="10">
        <f>+J4623</f>
        <v>0</v>
      </c>
      <c r="S4624" s="11"/>
      <c r="T4624" s="10">
        <f>+E4623</f>
        <v>0</v>
      </c>
      <c r="U4624" s="19" t="str">
        <f>IFERROR(LEFT(I4623,FIND("*",I4623)-1),"-")</f>
        <v>-</v>
      </c>
      <c r="V4624" s="19" t="str">
        <f>IFERROR(RIGHT(I4623,LEN(I4623)-FIND("*",I4623)),"-")</f>
        <v>-</v>
      </c>
      <c r="W4624" s="20" t="str">
        <f t="shared" si="2512"/>
        <v>-</v>
      </c>
      <c r="X4624" s="20" t="str">
        <f>IFERROR(W4624*J4623,"-")</f>
        <v>-</v>
      </c>
      <c r="Z4624" s="85" t="s">
        <v>82</v>
      </c>
    </row>
    <row r="4625" spans="1:26" ht="6.95" customHeight="1" x14ac:dyDescent="0.3">
      <c r="A4625" s="5"/>
      <c r="B4625" s="157"/>
      <c r="C4625" s="158"/>
      <c r="D4625" s="161"/>
      <c r="E4625" s="162"/>
      <c r="F4625" s="163"/>
      <c r="G4625" s="164"/>
      <c r="H4625" s="165"/>
      <c r="I4625" s="164"/>
      <c r="J4625" s="165"/>
      <c r="K4625" s="164"/>
      <c r="L4625" s="165"/>
      <c r="M4625" s="6"/>
      <c r="N4625" s="32"/>
      <c r="Q4625" s="10" t="str">
        <f>+CONCATENATE(E4623,K4623)</f>
        <v/>
      </c>
      <c r="R4625" s="10">
        <f>+L4623</f>
        <v>0</v>
      </c>
      <c r="S4625" s="11"/>
      <c r="T4625" s="10">
        <f>+E4623</f>
        <v>0</v>
      </c>
      <c r="U4625" s="19" t="str">
        <f>IFERROR(LEFT(K4623,FIND("*",K4623)-1),"-")</f>
        <v>-</v>
      </c>
      <c r="V4625" s="19" t="str">
        <f>IFERROR(RIGHT(K4623,LEN(K4623)-FIND("*",K4623)),"-")</f>
        <v>-</v>
      </c>
      <c r="W4625" s="20" t="str">
        <f t="shared" si="2512"/>
        <v>-</v>
      </c>
      <c r="X4625" s="20" t="str">
        <f>IFERROR(W4625*L4623,"-")</f>
        <v>-</v>
      </c>
      <c r="Z4625" s="85" t="s">
        <v>82</v>
      </c>
    </row>
    <row r="4626" spans="1:26" ht="6.95" customHeight="1" x14ac:dyDescent="0.3">
      <c r="A4626" s="8"/>
      <c r="B4626" s="157"/>
      <c r="C4626" s="158"/>
      <c r="D4626" s="161" t="s">
        <v>39</v>
      </c>
      <c r="E4626" s="162"/>
      <c r="F4626" s="163" t="s">
        <v>40</v>
      </c>
      <c r="G4626" s="164"/>
      <c r="H4626" s="165"/>
      <c r="I4626" s="164"/>
      <c r="J4626" s="165"/>
      <c r="K4626" s="164"/>
      <c r="L4626" s="165"/>
      <c r="M4626" s="6"/>
      <c r="N4626" s="32"/>
      <c r="Q4626" s="10" t="str">
        <f>+CONCATENATE(E4626,G4626)</f>
        <v/>
      </c>
      <c r="R4626" s="10">
        <f>+H4626</f>
        <v>0</v>
      </c>
      <c r="S4626" s="11"/>
      <c r="T4626" s="10">
        <f>+E4626</f>
        <v>0</v>
      </c>
      <c r="U4626" s="19" t="str">
        <f t="shared" ref="U4626" si="2515">IFERROR(LEFT(G4626,FIND("*",G4626)-1),"-")</f>
        <v>-</v>
      </c>
      <c r="V4626" s="19" t="str">
        <f t="shared" ref="V4626" si="2516">IFERROR(RIGHT(G4626,LEN(G4626)-FIND("*",G4626)),"-")</f>
        <v>-</v>
      </c>
      <c r="W4626" s="20" t="str">
        <f t="shared" si="2512"/>
        <v>-</v>
      </c>
      <c r="X4626" s="20" t="str">
        <f>IFERROR(W4626*H4626,"-")</f>
        <v>-</v>
      </c>
      <c r="Z4626" s="85" t="s">
        <v>82</v>
      </c>
    </row>
    <row r="4627" spans="1:26" ht="6.95" customHeight="1" x14ac:dyDescent="0.3">
      <c r="A4627" s="5"/>
      <c r="B4627" s="157"/>
      <c r="C4627" s="158"/>
      <c r="D4627" s="161"/>
      <c r="E4627" s="162"/>
      <c r="F4627" s="163"/>
      <c r="G4627" s="164"/>
      <c r="H4627" s="165"/>
      <c r="I4627" s="164"/>
      <c r="J4627" s="165"/>
      <c r="K4627" s="164"/>
      <c r="L4627" s="165"/>
      <c r="M4627" s="6"/>
      <c r="N4627" s="32"/>
      <c r="Q4627" s="10" t="str">
        <f>+CONCATENATE(E4626,I4626)</f>
        <v/>
      </c>
      <c r="R4627" s="10">
        <f>+J4626</f>
        <v>0</v>
      </c>
      <c r="S4627" s="11"/>
      <c r="T4627" s="10">
        <f>+E4626</f>
        <v>0</v>
      </c>
      <c r="U4627" s="19" t="str">
        <f>IFERROR(LEFT(I4626,FIND("*",I4626)-1),"-")</f>
        <v>-</v>
      </c>
      <c r="V4627" s="19" t="str">
        <f>IFERROR(RIGHT(I4626,LEN(I4626)-FIND("*",I4626)),"-")</f>
        <v>-</v>
      </c>
      <c r="W4627" s="20" t="str">
        <f t="shared" si="2512"/>
        <v>-</v>
      </c>
      <c r="X4627" s="20" t="str">
        <f t="shared" ref="X4627" si="2517">IFERROR(W4627*J4626,"-")</f>
        <v>-</v>
      </c>
      <c r="Z4627" s="85" t="s">
        <v>82</v>
      </c>
    </row>
    <row r="4628" spans="1:26" ht="6.95" customHeight="1" x14ac:dyDescent="0.3">
      <c r="A4628" s="5"/>
      <c r="B4628" s="157"/>
      <c r="C4628" s="158"/>
      <c r="D4628" s="161"/>
      <c r="E4628" s="162"/>
      <c r="F4628" s="163"/>
      <c r="G4628" s="164"/>
      <c r="H4628" s="165"/>
      <c r="I4628" s="164"/>
      <c r="J4628" s="165"/>
      <c r="K4628" s="164"/>
      <c r="L4628" s="165"/>
      <c r="M4628" s="6"/>
      <c r="N4628" s="32"/>
      <c r="Q4628" s="10" t="str">
        <f>+CONCATENATE(E4626,K4626)</f>
        <v/>
      </c>
      <c r="R4628" s="10">
        <f>+L4626</f>
        <v>0</v>
      </c>
      <c r="S4628" s="11"/>
      <c r="T4628" s="10">
        <f>+E4626</f>
        <v>0</v>
      </c>
      <c r="U4628" s="19" t="str">
        <f>IFERROR(LEFT(K4626,FIND("*",K4626)-1),"-")</f>
        <v>-</v>
      </c>
      <c r="V4628" s="19" t="str">
        <f>IFERROR(RIGHT(K4626,LEN(K4626)-FIND("*",K4626)),"-")</f>
        <v>-</v>
      </c>
      <c r="W4628" s="20" t="str">
        <f t="shared" si="2512"/>
        <v>-</v>
      </c>
      <c r="X4628" s="20" t="str">
        <f>IFERROR(W4628*L4626,"-")</f>
        <v>-</v>
      </c>
      <c r="Z4628" s="85" t="s">
        <v>82</v>
      </c>
    </row>
    <row r="4629" spans="1:26" ht="21" customHeight="1" thickBot="1" x14ac:dyDescent="0.35">
      <c r="A4629" s="5"/>
      <c r="B4629" s="159"/>
      <c r="C4629" s="160"/>
      <c r="D4629" s="166" t="s">
        <v>43</v>
      </c>
      <c r="E4629" s="167"/>
      <c r="F4629" s="167"/>
      <c r="G4629" s="168"/>
      <c r="H4629" s="168"/>
      <c r="I4629" s="168"/>
      <c r="J4629" s="168"/>
      <c r="K4629" s="168"/>
      <c r="L4629" s="168"/>
      <c r="M4629" s="7"/>
      <c r="N4629" s="32"/>
      <c r="Z4629" s="86" t="s">
        <v>81</v>
      </c>
    </row>
    <row r="4630" spans="1:26" ht="9.9499999999999993" customHeight="1" thickBot="1" x14ac:dyDescent="0.35">
      <c r="B4630" s="9"/>
      <c r="C4630" s="109"/>
      <c r="D4630" s="51"/>
      <c r="E4630" s="12"/>
      <c r="F4630" s="51"/>
      <c r="G4630" s="14"/>
      <c r="H4630" s="14"/>
      <c r="I4630" s="14"/>
      <c r="J4630" s="14"/>
      <c r="K4630" s="14"/>
      <c r="L4630" s="14"/>
      <c r="M4630" s="9"/>
      <c r="N4630" s="32"/>
      <c r="U4630" s="18"/>
      <c r="V4630" s="18"/>
      <c r="Z4630" s="85" t="s">
        <v>82</v>
      </c>
    </row>
    <row r="4631" spans="1:26" ht="6.95" customHeight="1" x14ac:dyDescent="0.3">
      <c r="A4631" s="154">
        <f>+A4620+1</f>
        <v>1220</v>
      </c>
      <c r="B4631" s="155"/>
      <c r="C4631" s="156"/>
      <c r="D4631" s="161" t="s">
        <v>39</v>
      </c>
      <c r="E4631" s="162"/>
      <c r="F4631" s="163" t="s">
        <v>40</v>
      </c>
      <c r="G4631" s="164"/>
      <c r="H4631" s="165"/>
      <c r="I4631" s="164"/>
      <c r="J4631" s="165"/>
      <c r="K4631" s="164"/>
      <c r="L4631" s="165"/>
      <c r="M4631" s="6"/>
      <c r="N4631" s="32"/>
      <c r="Q4631" s="10" t="str">
        <f>+CONCATENATE(E4631,G4631)</f>
        <v/>
      </c>
      <c r="R4631" s="10">
        <f>+H4631</f>
        <v>0</v>
      </c>
      <c r="S4631" s="11"/>
      <c r="T4631" s="10">
        <f>+E4631</f>
        <v>0</v>
      </c>
      <c r="U4631" s="19" t="str">
        <f>IFERROR(LEFT(G4631,FIND("*",G4631)-1),"-")</f>
        <v>-</v>
      </c>
      <c r="V4631" s="19" t="str">
        <f>IFERROR(RIGHT(G4631,LEN(G4631)-FIND("*",G4631)),"-")</f>
        <v>-</v>
      </c>
      <c r="W4631" s="20" t="str">
        <f>IFERROR((U4631+V4631)*2/1000,"-")</f>
        <v>-</v>
      </c>
      <c r="X4631" s="20" t="str">
        <f>IFERROR(W4631*H4631,"-")</f>
        <v>-</v>
      </c>
      <c r="Z4631" s="85" t="s">
        <v>82</v>
      </c>
    </row>
    <row r="4632" spans="1:26" ht="6.95" customHeight="1" x14ac:dyDescent="0.3">
      <c r="A4632" s="154"/>
      <c r="B4632" s="157"/>
      <c r="C4632" s="158"/>
      <c r="D4632" s="161"/>
      <c r="E4632" s="162"/>
      <c r="F4632" s="163"/>
      <c r="G4632" s="164"/>
      <c r="H4632" s="165"/>
      <c r="I4632" s="164"/>
      <c r="J4632" s="165"/>
      <c r="K4632" s="164"/>
      <c r="L4632" s="165"/>
      <c r="M4632" s="6"/>
      <c r="N4632" s="32"/>
      <c r="Q4632" s="10" t="str">
        <f>+CONCATENATE(E4631,I4631)</f>
        <v/>
      </c>
      <c r="R4632" s="10">
        <f>+J4631</f>
        <v>0</v>
      </c>
      <c r="S4632" s="11"/>
      <c r="T4632" s="10">
        <f>+E4631</f>
        <v>0</v>
      </c>
      <c r="U4632" s="19" t="str">
        <f>IFERROR(LEFT(I4631,FIND("*",I4631)-1),"-")</f>
        <v>-</v>
      </c>
      <c r="V4632" s="19" t="str">
        <f>IFERROR(RIGHT(I4631,LEN(I4631)-FIND("*",I4631)),"-")</f>
        <v>-</v>
      </c>
      <c r="W4632" s="20" t="str">
        <f t="shared" ref="W4632:W4639" si="2518">IFERROR((U4632+V4632)*2/1000,"-")</f>
        <v>-</v>
      </c>
      <c r="X4632" s="20" t="str">
        <f>IFERROR(W4632*J4631,"-")</f>
        <v>-</v>
      </c>
      <c r="Z4632" s="85" t="s">
        <v>82</v>
      </c>
    </row>
    <row r="4633" spans="1:26" ht="6.95" customHeight="1" x14ac:dyDescent="0.3">
      <c r="A4633" s="154"/>
      <c r="B4633" s="157"/>
      <c r="C4633" s="158"/>
      <c r="D4633" s="161"/>
      <c r="E4633" s="162"/>
      <c r="F4633" s="163"/>
      <c r="G4633" s="164"/>
      <c r="H4633" s="165"/>
      <c r="I4633" s="164"/>
      <c r="J4633" s="165"/>
      <c r="K4633" s="164"/>
      <c r="L4633" s="165"/>
      <c r="M4633" s="6"/>
      <c r="N4633" s="32"/>
      <c r="Q4633" s="10" t="str">
        <f>+CONCATENATE(E4631,K4631)</f>
        <v/>
      </c>
      <c r="R4633" s="10">
        <f>+L4631</f>
        <v>0</v>
      </c>
      <c r="S4633" s="11"/>
      <c r="T4633" s="10">
        <f>+E4631</f>
        <v>0</v>
      </c>
      <c r="U4633" s="19" t="str">
        <f>IFERROR(LEFT(K4631,FIND("*",K4631)-1),"-")</f>
        <v>-</v>
      </c>
      <c r="V4633" s="19" t="str">
        <f>IFERROR(RIGHT(K4631,LEN(K4631)-FIND("*",K4631)),"-")</f>
        <v>-</v>
      </c>
      <c r="W4633" s="20" t="str">
        <f t="shared" si="2518"/>
        <v>-</v>
      </c>
      <c r="X4633" s="20" t="str">
        <f>IFERROR(W4633*L4631,"-")</f>
        <v>-</v>
      </c>
      <c r="Z4633" s="85" t="s">
        <v>82</v>
      </c>
    </row>
    <row r="4634" spans="1:26" ht="6.95" customHeight="1" x14ac:dyDescent="0.3">
      <c r="A4634" s="8"/>
      <c r="B4634" s="157"/>
      <c r="C4634" s="158"/>
      <c r="D4634" s="161" t="s">
        <v>39</v>
      </c>
      <c r="E4634" s="162"/>
      <c r="F4634" s="163" t="s">
        <v>40</v>
      </c>
      <c r="G4634" s="164"/>
      <c r="H4634" s="165"/>
      <c r="I4634" s="164"/>
      <c r="J4634" s="165"/>
      <c r="K4634" s="164"/>
      <c r="L4634" s="165"/>
      <c r="M4634" s="6"/>
      <c r="N4634" s="32"/>
      <c r="Q4634" s="10" t="str">
        <f>+CONCATENATE(E4634,G4634)</f>
        <v/>
      </c>
      <c r="R4634" s="10">
        <f>+H4634</f>
        <v>0</v>
      </c>
      <c r="S4634" s="11"/>
      <c r="T4634" s="10">
        <f>+E4634</f>
        <v>0</v>
      </c>
      <c r="U4634" s="19" t="str">
        <f t="shared" ref="U4634" si="2519">IFERROR(LEFT(G4634,FIND("*",G4634)-1),"-")</f>
        <v>-</v>
      </c>
      <c r="V4634" s="19" t="str">
        <f t="shared" ref="V4634" si="2520">IFERROR(RIGHT(G4634,LEN(G4634)-FIND("*",G4634)),"-")</f>
        <v>-</v>
      </c>
      <c r="W4634" s="20" t="str">
        <f t="shared" si="2518"/>
        <v>-</v>
      </c>
      <c r="X4634" s="20" t="str">
        <f>IFERROR(W4634*H4634,"-")</f>
        <v>-</v>
      </c>
      <c r="Z4634" s="85" t="s">
        <v>82</v>
      </c>
    </row>
    <row r="4635" spans="1:26" ht="6.95" customHeight="1" x14ac:dyDescent="0.3">
      <c r="A4635" s="5"/>
      <c r="B4635" s="157"/>
      <c r="C4635" s="158"/>
      <c r="D4635" s="161"/>
      <c r="E4635" s="162"/>
      <c r="F4635" s="163"/>
      <c r="G4635" s="164"/>
      <c r="H4635" s="165"/>
      <c r="I4635" s="164"/>
      <c r="J4635" s="165"/>
      <c r="K4635" s="164"/>
      <c r="L4635" s="165"/>
      <c r="M4635" s="6"/>
      <c r="N4635" s="32"/>
      <c r="Q4635" s="10" t="str">
        <f>+CONCATENATE(E4634,I4634)</f>
        <v/>
      </c>
      <c r="R4635" s="10">
        <f>+J4634</f>
        <v>0</v>
      </c>
      <c r="S4635" s="11"/>
      <c r="T4635" s="10">
        <f>+E4634</f>
        <v>0</v>
      </c>
      <c r="U4635" s="19" t="str">
        <f>IFERROR(LEFT(I4634,FIND("*",I4634)-1),"-")</f>
        <v>-</v>
      </c>
      <c r="V4635" s="19" t="str">
        <f>IFERROR(RIGHT(I4634,LEN(I4634)-FIND("*",I4634)),"-")</f>
        <v>-</v>
      </c>
      <c r="W4635" s="20" t="str">
        <f t="shared" si="2518"/>
        <v>-</v>
      </c>
      <c r="X4635" s="20" t="str">
        <f>IFERROR(W4635*J4634,"-")</f>
        <v>-</v>
      </c>
      <c r="Z4635" s="85" t="s">
        <v>82</v>
      </c>
    </row>
    <row r="4636" spans="1:26" ht="6.95" customHeight="1" x14ac:dyDescent="0.3">
      <c r="A4636" s="5"/>
      <c r="B4636" s="157"/>
      <c r="C4636" s="158"/>
      <c r="D4636" s="161"/>
      <c r="E4636" s="162"/>
      <c r="F4636" s="163"/>
      <c r="G4636" s="164"/>
      <c r="H4636" s="165"/>
      <c r="I4636" s="164"/>
      <c r="J4636" s="165"/>
      <c r="K4636" s="164"/>
      <c r="L4636" s="165"/>
      <c r="M4636" s="6"/>
      <c r="N4636" s="32"/>
      <c r="Q4636" s="10" t="str">
        <f>+CONCATENATE(E4634,K4634)</f>
        <v/>
      </c>
      <c r="R4636" s="10">
        <f>+L4634</f>
        <v>0</v>
      </c>
      <c r="S4636" s="11"/>
      <c r="T4636" s="10">
        <f>+E4634</f>
        <v>0</v>
      </c>
      <c r="U4636" s="19" t="str">
        <f>IFERROR(LEFT(K4634,FIND("*",K4634)-1),"-")</f>
        <v>-</v>
      </c>
      <c r="V4636" s="19" t="str">
        <f>IFERROR(RIGHT(K4634,LEN(K4634)-FIND("*",K4634)),"-")</f>
        <v>-</v>
      </c>
      <c r="W4636" s="20" t="str">
        <f t="shared" si="2518"/>
        <v>-</v>
      </c>
      <c r="X4636" s="20" t="str">
        <f>IFERROR(W4636*L4634,"-")</f>
        <v>-</v>
      </c>
      <c r="Z4636" s="85" t="s">
        <v>82</v>
      </c>
    </row>
    <row r="4637" spans="1:26" ht="6.95" customHeight="1" x14ac:dyDescent="0.3">
      <c r="A4637" s="8"/>
      <c r="B4637" s="157"/>
      <c r="C4637" s="158"/>
      <c r="D4637" s="161" t="s">
        <v>39</v>
      </c>
      <c r="E4637" s="162"/>
      <c r="F4637" s="163" t="s">
        <v>40</v>
      </c>
      <c r="G4637" s="164"/>
      <c r="H4637" s="165"/>
      <c r="I4637" s="164"/>
      <c r="J4637" s="165"/>
      <c r="K4637" s="164"/>
      <c r="L4637" s="165"/>
      <c r="M4637" s="6"/>
      <c r="N4637" s="32"/>
      <c r="Q4637" s="10" t="str">
        <f>+CONCATENATE(E4637,G4637)</f>
        <v/>
      </c>
      <c r="R4637" s="10">
        <f>+H4637</f>
        <v>0</v>
      </c>
      <c r="S4637" s="11"/>
      <c r="T4637" s="10">
        <f>+E4637</f>
        <v>0</v>
      </c>
      <c r="U4637" s="19" t="str">
        <f t="shared" ref="U4637" si="2521">IFERROR(LEFT(G4637,FIND("*",G4637)-1),"-")</f>
        <v>-</v>
      </c>
      <c r="V4637" s="19" t="str">
        <f t="shared" ref="V4637" si="2522">IFERROR(RIGHT(G4637,LEN(G4637)-FIND("*",G4637)),"-")</f>
        <v>-</v>
      </c>
      <c r="W4637" s="20" t="str">
        <f t="shared" si="2518"/>
        <v>-</v>
      </c>
      <c r="X4637" s="20" t="str">
        <f>IFERROR(W4637*H4637,"-")</f>
        <v>-</v>
      </c>
      <c r="Z4637" s="85" t="s">
        <v>82</v>
      </c>
    </row>
    <row r="4638" spans="1:26" ht="6.95" customHeight="1" x14ac:dyDescent="0.3">
      <c r="A4638" s="5"/>
      <c r="B4638" s="157"/>
      <c r="C4638" s="158"/>
      <c r="D4638" s="161"/>
      <c r="E4638" s="162"/>
      <c r="F4638" s="163"/>
      <c r="G4638" s="164"/>
      <c r="H4638" s="165"/>
      <c r="I4638" s="164"/>
      <c r="J4638" s="165"/>
      <c r="K4638" s="164"/>
      <c r="L4638" s="165"/>
      <c r="M4638" s="6"/>
      <c r="N4638" s="32"/>
      <c r="Q4638" s="10" t="str">
        <f>+CONCATENATE(E4637,I4637)</f>
        <v/>
      </c>
      <c r="R4638" s="10">
        <f>+J4637</f>
        <v>0</v>
      </c>
      <c r="S4638" s="11"/>
      <c r="T4638" s="10">
        <f>+E4637</f>
        <v>0</v>
      </c>
      <c r="U4638" s="19" t="str">
        <f>IFERROR(LEFT(I4637,FIND("*",I4637)-1),"-")</f>
        <v>-</v>
      </c>
      <c r="V4638" s="19" t="str">
        <f>IFERROR(RIGHT(I4637,LEN(I4637)-FIND("*",I4637)),"-")</f>
        <v>-</v>
      </c>
      <c r="W4638" s="20" t="str">
        <f t="shared" si="2518"/>
        <v>-</v>
      </c>
      <c r="X4638" s="20" t="str">
        <f t="shared" ref="X4638" si="2523">IFERROR(W4638*J4637,"-")</f>
        <v>-</v>
      </c>
      <c r="Z4638" s="85" t="s">
        <v>82</v>
      </c>
    </row>
    <row r="4639" spans="1:26" ht="6.95" customHeight="1" x14ac:dyDescent="0.3">
      <c r="A4639" s="5"/>
      <c r="B4639" s="157"/>
      <c r="C4639" s="158"/>
      <c r="D4639" s="161"/>
      <c r="E4639" s="162"/>
      <c r="F4639" s="163"/>
      <c r="G4639" s="164"/>
      <c r="H4639" s="165"/>
      <c r="I4639" s="164"/>
      <c r="J4639" s="165"/>
      <c r="K4639" s="164"/>
      <c r="L4639" s="165"/>
      <c r="M4639" s="6"/>
      <c r="N4639" s="32"/>
      <c r="Q4639" s="10" t="str">
        <f>+CONCATENATE(E4637,K4637)</f>
        <v/>
      </c>
      <c r="R4639" s="10">
        <f>+L4637</f>
        <v>0</v>
      </c>
      <c r="S4639" s="11"/>
      <c r="T4639" s="10">
        <f>+E4637</f>
        <v>0</v>
      </c>
      <c r="U4639" s="19" t="str">
        <f>IFERROR(LEFT(K4637,FIND("*",K4637)-1),"-")</f>
        <v>-</v>
      </c>
      <c r="V4639" s="19" t="str">
        <f>IFERROR(RIGHT(K4637,LEN(K4637)-FIND("*",K4637)),"-")</f>
        <v>-</v>
      </c>
      <c r="W4639" s="20" t="str">
        <f t="shared" si="2518"/>
        <v>-</v>
      </c>
      <c r="X4639" s="20" t="str">
        <f>IFERROR(W4639*L4637,"-")</f>
        <v>-</v>
      </c>
      <c r="Z4639" s="85" t="s">
        <v>82</v>
      </c>
    </row>
    <row r="4640" spans="1:26" ht="21" customHeight="1" thickBot="1" x14ac:dyDescent="0.35">
      <c r="A4640" s="5"/>
      <c r="B4640" s="159"/>
      <c r="C4640" s="160"/>
      <c r="D4640" s="166" t="s">
        <v>43</v>
      </c>
      <c r="E4640" s="167"/>
      <c r="F4640" s="167"/>
      <c r="G4640" s="168"/>
      <c r="H4640" s="168"/>
      <c r="I4640" s="168"/>
      <c r="J4640" s="168"/>
      <c r="K4640" s="168"/>
      <c r="L4640" s="168"/>
      <c r="M4640" s="7"/>
      <c r="N4640" s="32"/>
      <c r="Z4640" s="86" t="s">
        <v>81</v>
      </c>
    </row>
    <row r="4641" spans="1:26" ht="9.9499999999999993" customHeight="1" thickBot="1" x14ac:dyDescent="0.35">
      <c r="B4641" s="9"/>
      <c r="C4641" s="109"/>
      <c r="D4641" s="51"/>
      <c r="E4641" s="12"/>
      <c r="F4641" s="51"/>
      <c r="G4641" s="14"/>
      <c r="H4641" s="14"/>
      <c r="I4641" s="14"/>
      <c r="J4641" s="14"/>
      <c r="K4641" s="14"/>
      <c r="L4641" s="14"/>
      <c r="M4641" s="9"/>
      <c r="N4641" s="32"/>
      <c r="U4641" s="18"/>
      <c r="V4641" s="18"/>
      <c r="Z4641" s="85" t="s">
        <v>82</v>
      </c>
    </row>
    <row r="4642" spans="1:26" ht="6.95" customHeight="1" x14ac:dyDescent="0.3">
      <c r="A4642" s="154">
        <f>+A4631+1</f>
        <v>1221</v>
      </c>
      <c r="B4642" s="155"/>
      <c r="C4642" s="156"/>
      <c r="D4642" s="161" t="s">
        <v>39</v>
      </c>
      <c r="E4642" s="162"/>
      <c r="F4642" s="163" t="s">
        <v>40</v>
      </c>
      <c r="G4642" s="164"/>
      <c r="H4642" s="165"/>
      <c r="I4642" s="164"/>
      <c r="J4642" s="165"/>
      <c r="K4642" s="164"/>
      <c r="L4642" s="165"/>
      <c r="M4642" s="6"/>
      <c r="N4642" s="32"/>
      <c r="Q4642" s="10" t="str">
        <f>+CONCATENATE(E4642,G4642)</f>
        <v/>
      </c>
      <c r="R4642" s="10">
        <f>+H4642</f>
        <v>0</v>
      </c>
      <c r="S4642" s="11"/>
      <c r="T4642" s="10">
        <f>+E4642</f>
        <v>0</v>
      </c>
      <c r="U4642" s="19" t="str">
        <f>IFERROR(LEFT(G4642,FIND("*",G4642)-1),"-")</f>
        <v>-</v>
      </c>
      <c r="V4642" s="19" t="str">
        <f>IFERROR(RIGHT(G4642,LEN(G4642)-FIND("*",G4642)),"-")</f>
        <v>-</v>
      </c>
      <c r="W4642" s="20" t="str">
        <f>IFERROR((U4642+V4642)*2/1000,"-")</f>
        <v>-</v>
      </c>
      <c r="X4642" s="20" t="str">
        <f>IFERROR(W4642*H4642,"-")</f>
        <v>-</v>
      </c>
      <c r="Z4642" s="85" t="s">
        <v>82</v>
      </c>
    </row>
    <row r="4643" spans="1:26" ht="6.95" customHeight="1" x14ac:dyDescent="0.3">
      <c r="A4643" s="154"/>
      <c r="B4643" s="157"/>
      <c r="C4643" s="158"/>
      <c r="D4643" s="161"/>
      <c r="E4643" s="162"/>
      <c r="F4643" s="163"/>
      <c r="G4643" s="164"/>
      <c r="H4643" s="165"/>
      <c r="I4643" s="164"/>
      <c r="J4643" s="165"/>
      <c r="K4643" s="164"/>
      <c r="L4643" s="165"/>
      <c r="M4643" s="6"/>
      <c r="N4643" s="32"/>
      <c r="Q4643" s="10" t="str">
        <f>+CONCATENATE(E4642,I4642)</f>
        <v/>
      </c>
      <c r="R4643" s="10">
        <f>+J4642</f>
        <v>0</v>
      </c>
      <c r="S4643" s="11"/>
      <c r="T4643" s="10">
        <f>+E4642</f>
        <v>0</v>
      </c>
      <c r="U4643" s="19" t="str">
        <f>IFERROR(LEFT(I4642,FIND("*",I4642)-1),"-")</f>
        <v>-</v>
      </c>
      <c r="V4643" s="19" t="str">
        <f>IFERROR(RIGHT(I4642,LEN(I4642)-FIND("*",I4642)),"-")</f>
        <v>-</v>
      </c>
      <c r="W4643" s="20" t="str">
        <f t="shared" ref="W4643:W4650" si="2524">IFERROR((U4643+V4643)*2/1000,"-")</f>
        <v>-</v>
      </c>
      <c r="X4643" s="20" t="str">
        <f>IFERROR(W4643*J4642,"-")</f>
        <v>-</v>
      </c>
      <c r="Z4643" s="85" t="s">
        <v>82</v>
      </c>
    </row>
    <row r="4644" spans="1:26" ht="6.95" customHeight="1" x14ac:dyDescent="0.3">
      <c r="A4644" s="154"/>
      <c r="B4644" s="157"/>
      <c r="C4644" s="158"/>
      <c r="D4644" s="161"/>
      <c r="E4644" s="162"/>
      <c r="F4644" s="163"/>
      <c r="G4644" s="164"/>
      <c r="H4644" s="165"/>
      <c r="I4644" s="164"/>
      <c r="J4644" s="165"/>
      <c r="K4644" s="164"/>
      <c r="L4644" s="165"/>
      <c r="M4644" s="6"/>
      <c r="N4644" s="32"/>
      <c r="Q4644" s="10" t="str">
        <f>+CONCATENATE(E4642,K4642)</f>
        <v/>
      </c>
      <c r="R4644" s="10">
        <f>+L4642</f>
        <v>0</v>
      </c>
      <c r="S4644" s="11"/>
      <c r="T4644" s="10">
        <f>+E4642</f>
        <v>0</v>
      </c>
      <c r="U4644" s="19" t="str">
        <f>IFERROR(LEFT(K4642,FIND("*",K4642)-1),"-")</f>
        <v>-</v>
      </c>
      <c r="V4644" s="19" t="str">
        <f>IFERROR(RIGHT(K4642,LEN(K4642)-FIND("*",K4642)),"-")</f>
        <v>-</v>
      </c>
      <c r="W4644" s="20" t="str">
        <f t="shared" si="2524"/>
        <v>-</v>
      </c>
      <c r="X4644" s="20" t="str">
        <f>IFERROR(W4644*L4642,"-")</f>
        <v>-</v>
      </c>
      <c r="Z4644" s="85" t="s">
        <v>82</v>
      </c>
    </row>
    <row r="4645" spans="1:26" ht="6.95" customHeight="1" x14ac:dyDescent="0.3">
      <c r="A4645" s="8"/>
      <c r="B4645" s="157"/>
      <c r="C4645" s="158"/>
      <c r="D4645" s="161" t="s">
        <v>39</v>
      </c>
      <c r="E4645" s="162"/>
      <c r="F4645" s="163" t="s">
        <v>40</v>
      </c>
      <c r="G4645" s="164"/>
      <c r="H4645" s="165"/>
      <c r="I4645" s="164"/>
      <c r="J4645" s="165"/>
      <c r="K4645" s="164"/>
      <c r="L4645" s="165"/>
      <c r="M4645" s="6"/>
      <c r="N4645" s="32"/>
      <c r="Q4645" s="10" t="str">
        <f>+CONCATENATE(E4645,G4645)</f>
        <v/>
      </c>
      <c r="R4645" s="10">
        <f>+H4645</f>
        <v>0</v>
      </c>
      <c r="S4645" s="11"/>
      <c r="T4645" s="10">
        <f>+E4645</f>
        <v>0</v>
      </c>
      <c r="U4645" s="19" t="str">
        <f t="shared" ref="U4645" si="2525">IFERROR(LEFT(G4645,FIND("*",G4645)-1),"-")</f>
        <v>-</v>
      </c>
      <c r="V4645" s="19" t="str">
        <f t="shared" ref="V4645" si="2526">IFERROR(RIGHT(G4645,LEN(G4645)-FIND("*",G4645)),"-")</f>
        <v>-</v>
      </c>
      <c r="W4645" s="20" t="str">
        <f t="shared" si="2524"/>
        <v>-</v>
      </c>
      <c r="X4645" s="20" t="str">
        <f>IFERROR(W4645*H4645,"-")</f>
        <v>-</v>
      </c>
      <c r="Z4645" s="85" t="s">
        <v>82</v>
      </c>
    </row>
    <row r="4646" spans="1:26" ht="6.95" customHeight="1" x14ac:dyDescent="0.3">
      <c r="A4646" s="5"/>
      <c r="B4646" s="157"/>
      <c r="C4646" s="158"/>
      <c r="D4646" s="161"/>
      <c r="E4646" s="162"/>
      <c r="F4646" s="163"/>
      <c r="G4646" s="164"/>
      <c r="H4646" s="165"/>
      <c r="I4646" s="164"/>
      <c r="J4646" s="165"/>
      <c r="K4646" s="164"/>
      <c r="L4646" s="165"/>
      <c r="M4646" s="6"/>
      <c r="N4646" s="32"/>
      <c r="Q4646" s="10" t="str">
        <f>+CONCATENATE(E4645,I4645)</f>
        <v/>
      </c>
      <c r="R4646" s="10">
        <f>+J4645</f>
        <v>0</v>
      </c>
      <c r="S4646" s="11"/>
      <c r="T4646" s="10">
        <f>+E4645</f>
        <v>0</v>
      </c>
      <c r="U4646" s="19" t="str">
        <f>IFERROR(LEFT(I4645,FIND("*",I4645)-1),"-")</f>
        <v>-</v>
      </c>
      <c r="V4646" s="19" t="str">
        <f>IFERROR(RIGHT(I4645,LEN(I4645)-FIND("*",I4645)),"-")</f>
        <v>-</v>
      </c>
      <c r="W4646" s="20" t="str">
        <f t="shared" si="2524"/>
        <v>-</v>
      </c>
      <c r="X4646" s="20" t="str">
        <f>IFERROR(W4646*J4645,"-")</f>
        <v>-</v>
      </c>
      <c r="Z4646" s="85" t="s">
        <v>82</v>
      </c>
    </row>
    <row r="4647" spans="1:26" ht="6.95" customHeight="1" x14ac:dyDescent="0.3">
      <c r="A4647" s="5"/>
      <c r="B4647" s="157"/>
      <c r="C4647" s="158"/>
      <c r="D4647" s="161"/>
      <c r="E4647" s="162"/>
      <c r="F4647" s="163"/>
      <c r="G4647" s="164"/>
      <c r="H4647" s="165"/>
      <c r="I4647" s="164"/>
      <c r="J4647" s="165"/>
      <c r="K4647" s="164"/>
      <c r="L4647" s="165"/>
      <c r="M4647" s="6"/>
      <c r="N4647" s="32"/>
      <c r="Q4647" s="10" t="str">
        <f>+CONCATENATE(E4645,K4645)</f>
        <v/>
      </c>
      <c r="R4647" s="10">
        <f>+L4645</f>
        <v>0</v>
      </c>
      <c r="S4647" s="11"/>
      <c r="T4647" s="10">
        <f>+E4645</f>
        <v>0</v>
      </c>
      <c r="U4647" s="19" t="str">
        <f>IFERROR(LEFT(K4645,FIND("*",K4645)-1),"-")</f>
        <v>-</v>
      </c>
      <c r="V4647" s="19" t="str">
        <f>IFERROR(RIGHT(K4645,LEN(K4645)-FIND("*",K4645)),"-")</f>
        <v>-</v>
      </c>
      <c r="W4647" s="20" t="str">
        <f t="shared" si="2524"/>
        <v>-</v>
      </c>
      <c r="X4647" s="20" t="str">
        <f>IFERROR(W4647*L4645,"-")</f>
        <v>-</v>
      </c>
      <c r="Z4647" s="85" t="s">
        <v>82</v>
      </c>
    </row>
    <row r="4648" spans="1:26" ht="6.95" customHeight="1" x14ac:dyDescent="0.3">
      <c r="A4648" s="8"/>
      <c r="B4648" s="157"/>
      <c r="C4648" s="158"/>
      <c r="D4648" s="161" t="s">
        <v>39</v>
      </c>
      <c r="E4648" s="162"/>
      <c r="F4648" s="163" t="s">
        <v>40</v>
      </c>
      <c r="G4648" s="164"/>
      <c r="H4648" s="165"/>
      <c r="I4648" s="164"/>
      <c r="J4648" s="165"/>
      <c r="K4648" s="164"/>
      <c r="L4648" s="165"/>
      <c r="M4648" s="6"/>
      <c r="N4648" s="32"/>
      <c r="Q4648" s="10" t="str">
        <f>+CONCATENATE(E4648,G4648)</f>
        <v/>
      </c>
      <c r="R4648" s="10">
        <f>+H4648</f>
        <v>0</v>
      </c>
      <c r="S4648" s="11"/>
      <c r="T4648" s="10">
        <f>+E4648</f>
        <v>0</v>
      </c>
      <c r="U4648" s="19" t="str">
        <f t="shared" ref="U4648" si="2527">IFERROR(LEFT(G4648,FIND("*",G4648)-1),"-")</f>
        <v>-</v>
      </c>
      <c r="V4648" s="19" t="str">
        <f t="shared" ref="V4648" si="2528">IFERROR(RIGHT(G4648,LEN(G4648)-FIND("*",G4648)),"-")</f>
        <v>-</v>
      </c>
      <c r="W4648" s="20" t="str">
        <f t="shared" si="2524"/>
        <v>-</v>
      </c>
      <c r="X4648" s="20" t="str">
        <f>IFERROR(W4648*H4648,"-")</f>
        <v>-</v>
      </c>
      <c r="Z4648" s="85" t="s">
        <v>82</v>
      </c>
    </row>
    <row r="4649" spans="1:26" ht="6.95" customHeight="1" x14ac:dyDescent="0.3">
      <c r="A4649" s="5"/>
      <c r="B4649" s="157"/>
      <c r="C4649" s="158"/>
      <c r="D4649" s="161"/>
      <c r="E4649" s="162"/>
      <c r="F4649" s="163"/>
      <c r="G4649" s="164"/>
      <c r="H4649" s="165"/>
      <c r="I4649" s="164"/>
      <c r="J4649" s="165"/>
      <c r="K4649" s="164"/>
      <c r="L4649" s="165"/>
      <c r="M4649" s="6"/>
      <c r="N4649" s="32"/>
      <c r="Q4649" s="10" t="str">
        <f>+CONCATENATE(E4648,I4648)</f>
        <v/>
      </c>
      <c r="R4649" s="10">
        <f>+J4648</f>
        <v>0</v>
      </c>
      <c r="S4649" s="11"/>
      <c r="T4649" s="10">
        <f>+E4648</f>
        <v>0</v>
      </c>
      <c r="U4649" s="19" t="str">
        <f>IFERROR(LEFT(I4648,FIND("*",I4648)-1),"-")</f>
        <v>-</v>
      </c>
      <c r="V4649" s="19" t="str">
        <f>IFERROR(RIGHT(I4648,LEN(I4648)-FIND("*",I4648)),"-")</f>
        <v>-</v>
      </c>
      <c r="W4649" s="20" t="str">
        <f t="shared" si="2524"/>
        <v>-</v>
      </c>
      <c r="X4649" s="20" t="str">
        <f t="shared" ref="X4649" si="2529">IFERROR(W4649*J4648,"-")</f>
        <v>-</v>
      </c>
      <c r="Z4649" s="85" t="s">
        <v>82</v>
      </c>
    </row>
    <row r="4650" spans="1:26" ht="6.95" customHeight="1" x14ac:dyDescent="0.3">
      <c r="A4650" s="5"/>
      <c r="B4650" s="157"/>
      <c r="C4650" s="158"/>
      <c r="D4650" s="161"/>
      <c r="E4650" s="162"/>
      <c r="F4650" s="163"/>
      <c r="G4650" s="164"/>
      <c r="H4650" s="165"/>
      <c r="I4650" s="164"/>
      <c r="J4650" s="165"/>
      <c r="K4650" s="164"/>
      <c r="L4650" s="165"/>
      <c r="M4650" s="6"/>
      <c r="N4650" s="32"/>
      <c r="Q4650" s="10" t="str">
        <f>+CONCATENATE(E4648,K4648)</f>
        <v/>
      </c>
      <c r="R4650" s="10">
        <f>+L4648</f>
        <v>0</v>
      </c>
      <c r="S4650" s="11"/>
      <c r="T4650" s="10">
        <f>+E4648</f>
        <v>0</v>
      </c>
      <c r="U4650" s="19" t="str">
        <f>IFERROR(LEFT(K4648,FIND("*",K4648)-1),"-")</f>
        <v>-</v>
      </c>
      <c r="V4650" s="19" t="str">
        <f>IFERROR(RIGHT(K4648,LEN(K4648)-FIND("*",K4648)),"-")</f>
        <v>-</v>
      </c>
      <c r="W4650" s="20" t="str">
        <f t="shared" si="2524"/>
        <v>-</v>
      </c>
      <c r="X4650" s="20" t="str">
        <f>IFERROR(W4650*L4648,"-")</f>
        <v>-</v>
      </c>
      <c r="Z4650" s="85" t="s">
        <v>82</v>
      </c>
    </row>
    <row r="4651" spans="1:26" ht="21" customHeight="1" thickBot="1" x14ac:dyDescent="0.35">
      <c r="A4651" s="5"/>
      <c r="B4651" s="159"/>
      <c r="C4651" s="160"/>
      <c r="D4651" s="166" t="s">
        <v>43</v>
      </c>
      <c r="E4651" s="167"/>
      <c r="F4651" s="167"/>
      <c r="G4651" s="168"/>
      <c r="H4651" s="168"/>
      <c r="I4651" s="168"/>
      <c r="J4651" s="168"/>
      <c r="K4651" s="168"/>
      <c r="L4651" s="168"/>
      <c r="M4651" s="7"/>
      <c r="N4651" s="32"/>
      <c r="Z4651" s="86" t="s">
        <v>81</v>
      </c>
    </row>
    <row r="4652" spans="1:26" ht="9.9499999999999993" customHeight="1" thickBot="1" x14ac:dyDescent="0.35">
      <c r="B4652" s="9"/>
      <c r="C4652" s="109"/>
      <c r="D4652" s="51"/>
      <c r="E4652" s="12"/>
      <c r="F4652" s="51"/>
      <c r="G4652" s="14"/>
      <c r="H4652" s="14"/>
      <c r="I4652" s="14"/>
      <c r="J4652" s="14"/>
      <c r="K4652" s="14"/>
      <c r="L4652" s="14"/>
      <c r="M4652" s="9"/>
      <c r="N4652" s="32"/>
      <c r="U4652" s="18"/>
      <c r="V4652" s="18"/>
      <c r="Z4652" s="85" t="s">
        <v>82</v>
      </c>
    </row>
    <row r="4653" spans="1:26" ht="6.95" customHeight="1" x14ac:dyDescent="0.3">
      <c r="A4653" s="154">
        <f>+A4642+1</f>
        <v>1222</v>
      </c>
      <c r="B4653" s="155"/>
      <c r="C4653" s="156"/>
      <c r="D4653" s="161" t="s">
        <v>39</v>
      </c>
      <c r="E4653" s="162"/>
      <c r="F4653" s="163" t="s">
        <v>40</v>
      </c>
      <c r="G4653" s="164"/>
      <c r="H4653" s="165"/>
      <c r="I4653" s="164"/>
      <c r="J4653" s="165"/>
      <c r="K4653" s="164"/>
      <c r="L4653" s="165"/>
      <c r="M4653" s="6"/>
      <c r="N4653" s="32"/>
      <c r="Q4653" s="10" t="str">
        <f>+CONCATENATE(E4653,G4653)</f>
        <v/>
      </c>
      <c r="R4653" s="10">
        <f>+H4653</f>
        <v>0</v>
      </c>
      <c r="S4653" s="11"/>
      <c r="T4653" s="10">
        <f>+E4653</f>
        <v>0</v>
      </c>
      <c r="U4653" s="19" t="str">
        <f>IFERROR(LEFT(G4653,FIND("*",G4653)-1),"-")</f>
        <v>-</v>
      </c>
      <c r="V4653" s="19" t="str">
        <f>IFERROR(RIGHT(G4653,LEN(G4653)-FIND("*",G4653)),"-")</f>
        <v>-</v>
      </c>
      <c r="W4653" s="20" t="str">
        <f>IFERROR((U4653+V4653)*2/1000,"-")</f>
        <v>-</v>
      </c>
      <c r="X4653" s="20" t="str">
        <f>IFERROR(W4653*H4653,"-")</f>
        <v>-</v>
      </c>
      <c r="Z4653" s="85" t="s">
        <v>82</v>
      </c>
    </row>
    <row r="4654" spans="1:26" ht="6.95" customHeight="1" x14ac:dyDescent="0.3">
      <c r="A4654" s="154"/>
      <c r="B4654" s="157"/>
      <c r="C4654" s="158"/>
      <c r="D4654" s="161"/>
      <c r="E4654" s="162"/>
      <c r="F4654" s="163"/>
      <c r="G4654" s="164"/>
      <c r="H4654" s="165"/>
      <c r="I4654" s="164"/>
      <c r="J4654" s="165"/>
      <c r="K4654" s="164"/>
      <c r="L4654" s="165"/>
      <c r="M4654" s="6"/>
      <c r="N4654" s="32"/>
      <c r="Q4654" s="10" t="str">
        <f>+CONCATENATE(E4653,I4653)</f>
        <v/>
      </c>
      <c r="R4654" s="10">
        <f>+J4653</f>
        <v>0</v>
      </c>
      <c r="S4654" s="11"/>
      <c r="T4654" s="10">
        <f>+E4653</f>
        <v>0</v>
      </c>
      <c r="U4654" s="19" t="str">
        <f>IFERROR(LEFT(I4653,FIND("*",I4653)-1),"-")</f>
        <v>-</v>
      </c>
      <c r="V4654" s="19" t="str">
        <f>IFERROR(RIGHT(I4653,LEN(I4653)-FIND("*",I4653)),"-")</f>
        <v>-</v>
      </c>
      <c r="W4654" s="20" t="str">
        <f t="shared" ref="W4654:W4661" si="2530">IFERROR((U4654+V4654)*2/1000,"-")</f>
        <v>-</v>
      </c>
      <c r="X4654" s="20" t="str">
        <f>IFERROR(W4654*J4653,"-")</f>
        <v>-</v>
      </c>
      <c r="Z4654" s="85" t="s">
        <v>82</v>
      </c>
    </row>
    <row r="4655" spans="1:26" ht="6.95" customHeight="1" x14ac:dyDescent="0.3">
      <c r="A4655" s="154"/>
      <c r="B4655" s="157"/>
      <c r="C4655" s="158"/>
      <c r="D4655" s="161"/>
      <c r="E4655" s="162"/>
      <c r="F4655" s="163"/>
      <c r="G4655" s="164"/>
      <c r="H4655" s="165"/>
      <c r="I4655" s="164"/>
      <c r="J4655" s="165"/>
      <c r="K4655" s="164"/>
      <c r="L4655" s="165"/>
      <c r="M4655" s="6"/>
      <c r="N4655" s="32"/>
      <c r="Q4655" s="10" t="str">
        <f>+CONCATENATE(E4653,K4653)</f>
        <v/>
      </c>
      <c r="R4655" s="10">
        <f>+L4653</f>
        <v>0</v>
      </c>
      <c r="S4655" s="11"/>
      <c r="T4655" s="10">
        <f>+E4653</f>
        <v>0</v>
      </c>
      <c r="U4655" s="19" t="str">
        <f>IFERROR(LEFT(K4653,FIND("*",K4653)-1),"-")</f>
        <v>-</v>
      </c>
      <c r="V4655" s="19" t="str">
        <f>IFERROR(RIGHT(K4653,LEN(K4653)-FIND("*",K4653)),"-")</f>
        <v>-</v>
      </c>
      <c r="W4655" s="20" t="str">
        <f t="shared" si="2530"/>
        <v>-</v>
      </c>
      <c r="X4655" s="20" t="str">
        <f>IFERROR(W4655*L4653,"-")</f>
        <v>-</v>
      </c>
      <c r="Z4655" s="85" t="s">
        <v>82</v>
      </c>
    </row>
    <row r="4656" spans="1:26" ht="6.95" customHeight="1" x14ac:dyDescent="0.3">
      <c r="A4656" s="8"/>
      <c r="B4656" s="157"/>
      <c r="C4656" s="158"/>
      <c r="D4656" s="161" t="s">
        <v>39</v>
      </c>
      <c r="E4656" s="162"/>
      <c r="F4656" s="163" t="s">
        <v>40</v>
      </c>
      <c r="G4656" s="164"/>
      <c r="H4656" s="165"/>
      <c r="I4656" s="164"/>
      <c r="J4656" s="165"/>
      <c r="K4656" s="164"/>
      <c r="L4656" s="165"/>
      <c r="M4656" s="6"/>
      <c r="N4656" s="32"/>
      <c r="Q4656" s="10" t="str">
        <f>+CONCATENATE(E4656,G4656)</f>
        <v/>
      </c>
      <c r="R4656" s="10">
        <f>+H4656</f>
        <v>0</v>
      </c>
      <c r="S4656" s="11"/>
      <c r="T4656" s="10">
        <f>+E4656</f>
        <v>0</v>
      </c>
      <c r="U4656" s="19" t="str">
        <f t="shared" ref="U4656" si="2531">IFERROR(LEFT(G4656,FIND("*",G4656)-1),"-")</f>
        <v>-</v>
      </c>
      <c r="V4656" s="19" t="str">
        <f t="shared" ref="V4656" si="2532">IFERROR(RIGHT(G4656,LEN(G4656)-FIND("*",G4656)),"-")</f>
        <v>-</v>
      </c>
      <c r="W4656" s="20" t="str">
        <f t="shared" si="2530"/>
        <v>-</v>
      </c>
      <c r="X4656" s="20" t="str">
        <f>IFERROR(W4656*H4656,"-")</f>
        <v>-</v>
      </c>
      <c r="Z4656" s="85" t="s">
        <v>82</v>
      </c>
    </row>
    <row r="4657" spans="1:26" ht="6.95" customHeight="1" x14ac:dyDescent="0.3">
      <c r="A4657" s="5"/>
      <c r="B4657" s="157"/>
      <c r="C4657" s="158"/>
      <c r="D4657" s="161"/>
      <c r="E4657" s="162"/>
      <c r="F4657" s="163"/>
      <c r="G4657" s="164"/>
      <c r="H4657" s="165"/>
      <c r="I4657" s="164"/>
      <c r="J4657" s="165"/>
      <c r="K4657" s="164"/>
      <c r="L4657" s="165"/>
      <c r="M4657" s="6"/>
      <c r="N4657" s="32"/>
      <c r="Q4657" s="10" t="str">
        <f>+CONCATENATE(E4656,I4656)</f>
        <v/>
      </c>
      <c r="R4657" s="10">
        <f>+J4656</f>
        <v>0</v>
      </c>
      <c r="S4657" s="11"/>
      <c r="T4657" s="10">
        <f>+E4656</f>
        <v>0</v>
      </c>
      <c r="U4657" s="19" t="str">
        <f>IFERROR(LEFT(I4656,FIND("*",I4656)-1),"-")</f>
        <v>-</v>
      </c>
      <c r="V4657" s="19" t="str">
        <f>IFERROR(RIGHT(I4656,LEN(I4656)-FIND("*",I4656)),"-")</f>
        <v>-</v>
      </c>
      <c r="W4657" s="20" t="str">
        <f t="shared" si="2530"/>
        <v>-</v>
      </c>
      <c r="X4657" s="20" t="str">
        <f>IFERROR(W4657*J4656,"-")</f>
        <v>-</v>
      </c>
      <c r="Z4657" s="85" t="s">
        <v>82</v>
      </c>
    </row>
    <row r="4658" spans="1:26" ht="6.95" customHeight="1" x14ac:dyDescent="0.3">
      <c r="A4658" s="5"/>
      <c r="B4658" s="157"/>
      <c r="C4658" s="158"/>
      <c r="D4658" s="161"/>
      <c r="E4658" s="162"/>
      <c r="F4658" s="163"/>
      <c r="G4658" s="164"/>
      <c r="H4658" s="165"/>
      <c r="I4658" s="164"/>
      <c r="J4658" s="165"/>
      <c r="K4658" s="164"/>
      <c r="L4658" s="165"/>
      <c r="M4658" s="6"/>
      <c r="N4658" s="32"/>
      <c r="Q4658" s="10" t="str">
        <f>+CONCATENATE(E4656,K4656)</f>
        <v/>
      </c>
      <c r="R4658" s="10">
        <f>+L4656</f>
        <v>0</v>
      </c>
      <c r="S4658" s="11"/>
      <c r="T4658" s="10">
        <f>+E4656</f>
        <v>0</v>
      </c>
      <c r="U4658" s="19" t="str">
        <f>IFERROR(LEFT(K4656,FIND("*",K4656)-1),"-")</f>
        <v>-</v>
      </c>
      <c r="V4658" s="19" t="str">
        <f>IFERROR(RIGHT(K4656,LEN(K4656)-FIND("*",K4656)),"-")</f>
        <v>-</v>
      </c>
      <c r="W4658" s="20" t="str">
        <f t="shared" si="2530"/>
        <v>-</v>
      </c>
      <c r="X4658" s="20" t="str">
        <f>IFERROR(W4658*L4656,"-")</f>
        <v>-</v>
      </c>
      <c r="Z4658" s="85" t="s">
        <v>82</v>
      </c>
    </row>
    <row r="4659" spans="1:26" ht="6.95" customHeight="1" x14ac:dyDescent="0.3">
      <c r="A4659" s="8"/>
      <c r="B4659" s="157"/>
      <c r="C4659" s="158"/>
      <c r="D4659" s="161" t="s">
        <v>39</v>
      </c>
      <c r="E4659" s="162"/>
      <c r="F4659" s="163" t="s">
        <v>40</v>
      </c>
      <c r="G4659" s="164"/>
      <c r="H4659" s="165"/>
      <c r="I4659" s="164"/>
      <c r="J4659" s="165"/>
      <c r="K4659" s="164"/>
      <c r="L4659" s="165"/>
      <c r="M4659" s="6"/>
      <c r="N4659" s="32"/>
      <c r="Q4659" s="10" t="str">
        <f>+CONCATENATE(E4659,G4659)</f>
        <v/>
      </c>
      <c r="R4659" s="10">
        <f>+H4659</f>
        <v>0</v>
      </c>
      <c r="S4659" s="11"/>
      <c r="T4659" s="10">
        <f>+E4659</f>
        <v>0</v>
      </c>
      <c r="U4659" s="19" t="str">
        <f t="shared" ref="U4659" si="2533">IFERROR(LEFT(G4659,FIND("*",G4659)-1),"-")</f>
        <v>-</v>
      </c>
      <c r="V4659" s="19" t="str">
        <f t="shared" ref="V4659" si="2534">IFERROR(RIGHT(G4659,LEN(G4659)-FIND("*",G4659)),"-")</f>
        <v>-</v>
      </c>
      <c r="W4659" s="20" t="str">
        <f t="shared" si="2530"/>
        <v>-</v>
      </c>
      <c r="X4659" s="20" t="str">
        <f>IFERROR(W4659*H4659,"-")</f>
        <v>-</v>
      </c>
      <c r="Z4659" s="85" t="s">
        <v>82</v>
      </c>
    </row>
    <row r="4660" spans="1:26" ht="6.95" customHeight="1" x14ac:dyDescent="0.3">
      <c r="A4660" s="5"/>
      <c r="B4660" s="157"/>
      <c r="C4660" s="158"/>
      <c r="D4660" s="161"/>
      <c r="E4660" s="162"/>
      <c r="F4660" s="163"/>
      <c r="G4660" s="164"/>
      <c r="H4660" s="165"/>
      <c r="I4660" s="164"/>
      <c r="J4660" s="165"/>
      <c r="K4660" s="164"/>
      <c r="L4660" s="165"/>
      <c r="M4660" s="6"/>
      <c r="N4660" s="32"/>
      <c r="Q4660" s="10" t="str">
        <f>+CONCATENATE(E4659,I4659)</f>
        <v/>
      </c>
      <c r="R4660" s="10">
        <f>+J4659</f>
        <v>0</v>
      </c>
      <c r="S4660" s="11"/>
      <c r="T4660" s="10">
        <f>+E4659</f>
        <v>0</v>
      </c>
      <c r="U4660" s="19" t="str">
        <f>IFERROR(LEFT(I4659,FIND("*",I4659)-1),"-")</f>
        <v>-</v>
      </c>
      <c r="V4660" s="19" t="str">
        <f>IFERROR(RIGHT(I4659,LEN(I4659)-FIND("*",I4659)),"-")</f>
        <v>-</v>
      </c>
      <c r="W4660" s="20" t="str">
        <f t="shared" si="2530"/>
        <v>-</v>
      </c>
      <c r="X4660" s="20" t="str">
        <f t="shared" ref="X4660" si="2535">IFERROR(W4660*J4659,"-")</f>
        <v>-</v>
      </c>
      <c r="Z4660" s="85" t="s">
        <v>82</v>
      </c>
    </row>
    <row r="4661" spans="1:26" ht="6.95" customHeight="1" x14ac:dyDescent="0.3">
      <c r="A4661" s="5"/>
      <c r="B4661" s="157"/>
      <c r="C4661" s="158"/>
      <c r="D4661" s="161"/>
      <c r="E4661" s="162"/>
      <c r="F4661" s="163"/>
      <c r="G4661" s="164"/>
      <c r="H4661" s="165"/>
      <c r="I4661" s="164"/>
      <c r="J4661" s="165"/>
      <c r="K4661" s="164"/>
      <c r="L4661" s="165"/>
      <c r="M4661" s="6"/>
      <c r="N4661" s="32"/>
      <c r="Q4661" s="10" t="str">
        <f>+CONCATENATE(E4659,K4659)</f>
        <v/>
      </c>
      <c r="R4661" s="10">
        <f>+L4659</f>
        <v>0</v>
      </c>
      <c r="S4661" s="11"/>
      <c r="T4661" s="10">
        <f>+E4659</f>
        <v>0</v>
      </c>
      <c r="U4661" s="19" t="str">
        <f>IFERROR(LEFT(K4659,FIND("*",K4659)-1),"-")</f>
        <v>-</v>
      </c>
      <c r="V4661" s="19" t="str">
        <f>IFERROR(RIGHT(K4659,LEN(K4659)-FIND("*",K4659)),"-")</f>
        <v>-</v>
      </c>
      <c r="W4661" s="20" t="str">
        <f t="shared" si="2530"/>
        <v>-</v>
      </c>
      <c r="X4661" s="20" t="str">
        <f>IFERROR(W4661*L4659,"-")</f>
        <v>-</v>
      </c>
      <c r="Z4661" s="85" t="s">
        <v>82</v>
      </c>
    </row>
    <row r="4662" spans="1:26" ht="21" customHeight="1" thickBot="1" x14ac:dyDescent="0.35">
      <c r="A4662" s="5"/>
      <c r="B4662" s="159"/>
      <c r="C4662" s="160"/>
      <c r="D4662" s="166" t="s">
        <v>43</v>
      </c>
      <c r="E4662" s="167"/>
      <c r="F4662" s="167"/>
      <c r="G4662" s="168"/>
      <c r="H4662" s="168"/>
      <c r="I4662" s="168"/>
      <c r="J4662" s="168"/>
      <c r="K4662" s="168"/>
      <c r="L4662" s="168"/>
      <c r="M4662" s="7"/>
      <c r="N4662" s="32"/>
      <c r="Z4662" s="86" t="s">
        <v>81</v>
      </c>
    </row>
    <row r="4663" spans="1:26" ht="9.9499999999999993" customHeight="1" thickBot="1" x14ac:dyDescent="0.35">
      <c r="B4663" s="9"/>
      <c r="C4663" s="109"/>
      <c r="D4663" s="51"/>
      <c r="E4663" s="12"/>
      <c r="F4663" s="51"/>
      <c r="G4663" s="14"/>
      <c r="H4663" s="14"/>
      <c r="I4663" s="14"/>
      <c r="J4663" s="14"/>
      <c r="K4663" s="14"/>
      <c r="L4663" s="14"/>
      <c r="M4663" s="9"/>
      <c r="N4663" s="32"/>
      <c r="U4663" s="18"/>
      <c r="V4663" s="18"/>
      <c r="Z4663" s="85" t="s">
        <v>82</v>
      </c>
    </row>
    <row r="4664" spans="1:26" ht="6.95" customHeight="1" x14ac:dyDescent="0.3">
      <c r="A4664" s="154">
        <f>+A4653+1</f>
        <v>1223</v>
      </c>
      <c r="B4664" s="155"/>
      <c r="C4664" s="156"/>
      <c r="D4664" s="161" t="s">
        <v>39</v>
      </c>
      <c r="E4664" s="162"/>
      <c r="F4664" s="163" t="s">
        <v>40</v>
      </c>
      <c r="G4664" s="164"/>
      <c r="H4664" s="165"/>
      <c r="I4664" s="164"/>
      <c r="J4664" s="165"/>
      <c r="K4664" s="164"/>
      <c r="L4664" s="165"/>
      <c r="M4664" s="6"/>
      <c r="N4664" s="32"/>
      <c r="Q4664" s="10" t="str">
        <f>+CONCATENATE(E4664,G4664)</f>
        <v/>
      </c>
      <c r="R4664" s="10">
        <f>+H4664</f>
        <v>0</v>
      </c>
      <c r="S4664" s="11"/>
      <c r="T4664" s="10">
        <f>+E4664</f>
        <v>0</v>
      </c>
      <c r="U4664" s="19" t="str">
        <f>IFERROR(LEFT(G4664,FIND("*",G4664)-1),"-")</f>
        <v>-</v>
      </c>
      <c r="V4664" s="19" t="str">
        <f>IFERROR(RIGHT(G4664,LEN(G4664)-FIND("*",G4664)),"-")</f>
        <v>-</v>
      </c>
      <c r="W4664" s="20" t="str">
        <f>IFERROR((U4664+V4664)*2/1000,"-")</f>
        <v>-</v>
      </c>
      <c r="X4664" s="20" t="str">
        <f>IFERROR(W4664*H4664,"-")</f>
        <v>-</v>
      </c>
      <c r="Z4664" s="85" t="s">
        <v>82</v>
      </c>
    </row>
    <row r="4665" spans="1:26" ht="6.95" customHeight="1" x14ac:dyDescent="0.3">
      <c r="A4665" s="154"/>
      <c r="B4665" s="157"/>
      <c r="C4665" s="158"/>
      <c r="D4665" s="161"/>
      <c r="E4665" s="162"/>
      <c r="F4665" s="163"/>
      <c r="G4665" s="164"/>
      <c r="H4665" s="165"/>
      <c r="I4665" s="164"/>
      <c r="J4665" s="165"/>
      <c r="K4665" s="164"/>
      <c r="L4665" s="165"/>
      <c r="M4665" s="6"/>
      <c r="N4665" s="32"/>
      <c r="Q4665" s="10" t="str">
        <f>+CONCATENATE(E4664,I4664)</f>
        <v/>
      </c>
      <c r="R4665" s="10">
        <f>+J4664</f>
        <v>0</v>
      </c>
      <c r="S4665" s="11"/>
      <c r="T4665" s="10">
        <f>+E4664</f>
        <v>0</v>
      </c>
      <c r="U4665" s="19" t="str">
        <f>IFERROR(LEFT(I4664,FIND("*",I4664)-1),"-")</f>
        <v>-</v>
      </c>
      <c r="V4665" s="19" t="str">
        <f>IFERROR(RIGHT(I4664,LEN(I4664)-FIND("*",I4664)),"-")</f>
        <v>-</v>
      </c>
      <c r="W4665" s="20" t="str">
        <f t="shared" ref="W4665:W4672" si="2536">IFERROR((U4665+V4665)*2/1000,"-")</f>
        <v>-</v>
      </c>
      <c r="X4665" s="20" t="str">
        <f>IFERROR(W4665*J4664,"-")</f>
        <v>-</v>
      </c>
      <c r="Z4665" s="85" t="s">
        <v>82</v>
      </c>
    </row>
    <row r="4666" spans="1:26" ht="6.95" customHeight="1" x14ac:dyDescent="0.3">
      <c r="A4666" s="154"/>
      <c r="B4666" s="157"/>
      <c r="C4666" s="158"/>
      <c r="D4666" s="161"/>
      <c r="E4666" s="162"/>
      <c r="F4666" s="163"/>
      <c r="G4666" s="164"/>
      <c r="H4666" s="165"/>
      <c r="I4666" s="164"/>
      <c r="J4666" s="165"/>
      <c r="K4666" s="164"/>
      <c r="L4666" s="165"/>
      <c r="M4666" s="6"/>
      <c r="N4666" s="32"/>
      <c r="Q4666" s="10" t="str">
        <f>+CONCATENATE(E4664,K4664)</f>
        <v/>
      </c>
      <c r="R4666" s="10">
        <f>+L4664</f>
        <v>0</v>
      </c>
      <c r="S4666" s="11"/>
      <c r="T4666" s="10">
        <f>+E4664</f>
        <v>0</v>
      </c>
      <c r="U4666" s="19" t="str">
        <f>IFERROR(LEFT(K4664,FIND("*",K4664)-1),"-")</f>
        <v>-</v>
      </c>
      <c r="V4666" s="19" t="str">
        <f>IFERROR(RIGHT(K4664,LEN(K4664)-FIND("*",K4664)),"-")</f>
        <v>-</v>
      </c>
      <c r="W4666" s="20" t="str">
        <f t="shared" si="2536"/>
        <v>-</v>
      </c>
      <c r="X4666" s="20" t="str">
        <f>IFERROR(W4666*L4664,"-")</f>
        <v>-</v>
      </c>
      <c r="Z4666" s="85" t="s">
        <v>82</v>
      </c>
    </row>
    <row r="4667" spans="1:26" ht="6.95" customHeight="1" x14ac:dyDescent="0.3">
      <c r="A4667" s="8"/>
      <c r="B4667" s="157"/>
      <c r="C4667" s="158"/>
      <c r="D4667" s="161" t="s">
        <v>39</v>
      </c>
      <c r="E4667" s="162"/>
      <c r="F4667" s="163" t="s">
        <v>40</v>
      </c>
      <c r="G4667" s="164"/>
      <c r="H4667" s="165"/>
      <c r="I4667" s="164"/>
      <c r="J4667" s="165"/>
      <c r="K4667" s="164"/>
      <c r="L4667" s="165"/>
      <c r="M4667" s="6"/>
      <c r="N4667" s="32"/>
      <c r="Q4667" s="10" t="str">
        <f>+CONCATENATE(E4667,G4667)</f>
        <v/>
      </c>
      <c r="R4667" s="10">
        <f>+H4667</f>
        <v>0</v>
      </c>
      <c r="S4667" s="11"/>
      <c r="T4667" s="10">
        <f>+E4667</f>
        <v>0</v>
      </c>
      <c r="U4667" s="19" t="str">
        <f t="shared" ref="U4667" si="2537">IFERROR(LEFT(G4667,FIND("*",G4667)-1),"-")</f>
        <v>-</v>
      </c>
      <c r="V4667" s="19" t="str">
        <f t="shared" ref="V4667" si="2538">IFERROR(RIGHT(G4667,LEN(G4667)-FIND("*",G4667)),"-")</f>
        <v>-</v>
      </c>
      <c r="W4667" s="20" t="str">
        <f t="shared" si="2536"/>
        <v>-</v>
      </c>
      <c r="X4667" s="20" t="str">
        <f>IFERROR(W4667*H4667,"-")</f>
        <v>-</v>
      </c>
      <c r="Z4667" s="85" t="s">
        <v>82</v>
      </c>
    </row>
    <row r="4668" spans="1:26" ht="6.95" customHeight="1" x14ac:dyDescent="0.3">
      <c r="A4668" s="5"/>
      <c r="B4668" s="157"/>
      <c r="C4668" s="158"/>
      <c r="D4668" s="161"/>
      <c r="E4668" s="162"/>
      <c r="F4668" s="163"/>
      <c r="G4668" s="164"/>
      <c r="H4668" s="165"/>
      <c r="I4668" s="164"/>
      <c r="J4668" s="165"/>
      <c r="K4668" s="164"/>
      <c r="L4668" s="165"/>
      <c r="M4668" s="6"/>
      <c r="N4668" s="32"/>
      <c r="Q4668" s="10" t="str">
        <f>+CONCATENATE(E4667,I4667)</f>
        <v/>
      </c>
      <c r="R4668" s="10">
        <f>+J4667</f>
        <v>0</v>
      </c>
      <c r="S4668" s="11"/>
      <c r="T4668" s="10">
        <f>+E4667</f>
        <v>0</v>
      </c>
      <c r="U4668" s="19" t="str">
        <f>IFERROR(LEFT(I4667,FIND("*",I4667)-1),"-")</f>
        <v>-</v>
      </c>
      <c r="V4668" s="19" t="str">
        <f>IFERROR(RIGHT(I4667,LEN(I4667)-FIND("*",I4667)),"-")</f>
        <v>-</v>
      </c>
      <c r="W4668" s="20" t="str">
        <f t="shared" si="2536"/>
        <v>-</v>
      </c>
      <c r="X4668" s="20" t="str">
        <f>IFERROR(W4668*J4667,"-")</f>
        <v>-</v>
      </c>
      <c r="Z4668" s="85" t="s">
        <v>82</v>
      </c>
    </row>
    <row r="4669" spans="1:26" ht="6.95" customHeight="1" x14ac:dyDescent="0.3">
      <c r="A4669" s="5"/>
      <c r="B4669" s="157"/>
      <c r="C4669" s="158"/>
      <c r="D4669" s="161"/>
      <c r="E4669" s="162"/>
      <c r="F4669" s="163"/>
      <c r="G4669" s="164"/>
      <c r="H4669" s="165"/>
      <c r="I4669" s="164"/>
      <c r="J4669" s="165"/>
      <c r="K4669" s="164"/>
      <c r="L4669" s="165"/>
      <c r="M4669" s="6"/>
      <c r="N4669" s="32"/>
      <c r="Q4669" s="10" t="str">
        <f>+CONCATENATE(E4667,K4667)</f>
        <v/>
      </c>
      <c r="R4669" s="10">
        <f>+L4667</f>
        <v>0</v>
      </c>
      <c r="S4669" s="11"/>
      <c r="T4669" s="10">
        <f>+E4667</f>
        <v>0</v>
      </c>
      <c r="U4669" s="19" t="str">
        <f>IFERROR(LEFT(K4667,FIND("*",K4667)-1),"-")</f>
        <v>-</v>
      </c>
      <c r="V4669" s="19" t="str">
        <f>IFERROR(RIGHT(K4667,LEN(K4667)-FIND("*",K4667)),"-")</f>
        <v>-</v>
      </c>
      <c r="W4669" s="20" t="str">
        <f t="shared" si="2536"/>
        <v>-</v>
      </c>
      <c r="X4669" s="20" t="str">
        <f>IFERROR(W4669*L4667,"-")</f>
        <v>-</v>
      </c>
      <c r="Z4669" s="85" t="s">
        <v>82</v>
      </c>
    </row>
    <row r="4670" spans="1:26" ht="6.95" customHeight="1" x14ac:dyDescent="0.3">
      <c r="A4670" s="8"/>
      <c r="B4670" s="157"/>
      <c r="C4670" s="158"/>
      <c r="D4670" s="161" t="s">
        <v>39</v>
      </c>
      <c r="E4670" s="162"/>
      <c r="F4670" s="163" t="s">
        <v>40</v>
      </c>
      <c r="G4670" s="164"/>
      <c r="H4670" s="165"/>
      <c r="I4670" s="164"/>
      <c r="J4670" s="165"/>
      <c r="K4670" s="164"/>
      <c r="L4670" s="165"/>
      <c r="M4670" s="6"/>
      <c r="N4670" s="32"/>
      <c r="Q4670" s="10" t="str">
        <f>+CONCATENATE(E4670,G4670)</f>
        <v/>
      </c>
      <c r="R4670" s="10">
        <f>+H4670</f>
        <v>0</v>
      </c>
      <c r="S4670" s="11"/>
      <c r="T4670" s="10">
        <f>+E4670</f>
        <v>0</v>
      </c>
      <c r="U4670" s="19" t="str">
        <f t="shared" ref="U4670" si="2539">IFERROR(LEFT(G4670,FIND("*",G4670)-1),"-")</f>
        <v>-</v>
      </c>
      <c r="V4670" s="19" t="str">
        <f t="shared" ref="V4670" si="2540">IFERROR(RIGHT(G4670,LEN(G4670)-FIND("*",G4670)),"-")</f>
        <v>-</v>
      </c>
      <c r="W4670" s="20" t="str">
        <f t="shared" si="2536"/>
        <v>-</v>
      </c>
      <c r="X4670" s="20" t="str">
        <f>IFERROR(W4670*H4670,"-")</f>
        <v>-</v>
      </c>
      <c r="Z4670" s="85" t="s">
        <v>82</v>
      </c>
    </row>
    <row r="4671" spans="1:26" ht="6.95" customHeight="1" x14ac:dyDescent="0.3">
      <c r="A4671" s="5"/>
      <c r="B4671" s="157"/>
      <c r="C4671" s="158"/>
      <c r="D4671" s="161"/>
      <c r="E4671" s="162"/>
      <c r="F4671" s="163"/>
      <c r="G4671" s="164"/>
      <c r="H4671" s="165"/>
      <c r="I4671" s="164"/>
      <c r="J4671" s="165"/>
      <c r="K4671" s="164"/>
      <c r="L4671" s="165"/>
      <c r="M4671" s="6"/>
      <c r="N4671" s="32"/>
      <c r="Q4671" s="10" t="str">
        <f>+CONCATENATE(E4670,I4670)</f>
        <v/>
      </c>
      <c r="R4671" s="10">
        <f>+J4670</f>
        <v>0</v>
      </c>
      <c r="S4671" s="11"/>
      <c r="T4671" s="10">
        <f>+E4670</f>
        <v>0</v>
      </c>
      <c r="U4671" s="19" t="str">
        <f>IFERROR(LEFT(I4670,FIND("*",I4670)-1),"-")</f>
        <v>-</v>
      </c>
      <c r="V4671" s="19" t="str">
        <f>IFERROR(RIGHT(I4670,LEN(I4670)-FIND("*",I4670)),"-")</f>
        <v>-</v>
      </c>
      <c r="W4671" s="20" t="str">
        <f t="shared" si="2536"/>
        <v>-</v>
      </c>
      <c r="X4671" s="20" t="str">
        <f t="shared" ref="X4671" si="2541">IFERROR(W4671*J4670,"-")</f>
        <v>-</v>
      </c>
      <c r="Z4671" s="85" t="s">
        <v>82</v>
      </c>
    </row>
    <row r="4672" spans="1:26" ht="6.95" customHeight="1" x14ac:dyDescent="0.3">
      <c r="A4672" s="5"/>
      <c r="B4672" s="157"/>
      <c r="C4672" s="158"/>
      <c r="D4672" s="161"/>
      <c r="E4672" s="162"/>
      <c r="F4672" s="163"/>
      <c r="G4672" s="164"/>
      <c r="H4672" s="165"/>
      <c r="I4672" s="164"/>
      <c r="J4672" s="165"/>
      <c r="K4672" s="164"/>
      <c r="L4672" s="165"/>
      <c r="M4672" s="6"/>
      <c r="N4672" s="32"/>
      <c r="Q4672" s="10" t="str">
        <f>+CONCATENATE(E4670,K4670)</f>
        <v/>
      </c>
      <c r="R4672" s="10">
        <f>+L4670</f>
        <v>0</v>
      </c>
      <c r="S4672" s="11"/>
      <c r="T4672" s="10">
        <f>+E4670</f>
        <v>0</v>
      </c>
      <c r="U4672" s="19" t="str">
        <f>IFERROR(LEFT(K4670,FIND("*",K4670)-1),"-")</f>
        <v>-</v>
      </c>
      <c r="V4672" s="19" t="str">
        <f>IFERROR(RIGHT(K4670,LEN(K4670)-FIND("*",K4670)),"-")</f>
        <v>-</v>
      </c>
      <c r="W4672" s="20" t="str">
        <f t="shared" si="2536"/>
        <v>-</v>
      </c>
      <c r="X4672" s="20" t="str">
        <f>IFERROR(W4672*L4670,"-")</f>
        <v>-</v>
      </c>
      <c r="Z4672" s="85" t="s">
        <v>82</v>
      </c>
    </row>
    <row r="4673" spans="1:26" ht="21" customHeight="1" thickBot="1" x14ac:dyDescent="0.35">
      <c r="A4673" s="5"/>
      <c r="B4673" s="159"/>
      <c r="C4673" s="160"/>
      <c r="D4673" s="166" t="s">
        <v>43</v>
      </c>
      <c r="E4673" s="167"/>
      <c r="F4673" s="167"/>
      <c r="G4673" s="168"/>
      <c r="H4673" s="168"/>
      <c r="I4673" s="168"/>
      <c r="J4673" s="168"/>
      <c r="K4673" s="168"/>
      <c r="L4673" s="168"/>
      <c r="M4673" s="7"/>
      <c r="N4673" s="32"/>
      <c r="Z4673" s="86" t="s">
        <v>81</v>
      </c>
    </row>
    <row r="4674" spans="1:26" ht="9.9499999999999993" customHeight="1" thickBot="1" x14ac:dyDescent="0.35">
      <c r="B4674" s="9"/>
      <c r="C4674" s="109"/>
      <c r="D4674" s="51"/>
      <c r="E4674" s="12"/>
      <c r="F4674" s="51"/>
      <c r="G4674" s="14"/>
      <c r="H4674" s="14"/>
      <c r="I4674" s="14"/>
      <c r="J4674" s="14"/>
      <c r="K4674" s="14"/>
      <c r="L4674" s="14"/>
      <c r="M4674" s="9"/>
      <c r="N4674" s="32"/>
      <c r="U4674" s="18"/>
      <c r="V4674" s="18"/>
      <c r="Z4674" s="85" t="s">
        <v>82</v>
      </c>
    </row>
    <row r="4675" spans="1:26" ht="6.95" customHeight="1" x14ac:dyDescent="0.3">
      <c r="A4675" s="154">
        <f>+A4664+1</f>
        <v>1224</v>
      </c>
      <c r="B4675" s="155"/>
      <c r="C4675" s="156"/>
      <c r="D4675" s="161" t="s">
        <v>39</v>
      </c>
      <c r="E4675" s="162"/>
      <c r="F4675" s="163" t="s">
        <v>40</v>
      </c>
      <c r="G4675" s="164"/>
      <c r="H4675" s="165"/>
      <c r="I4675" s="164"/>
      <c r="J4675" s="165"/>
      <c r="K4675" s="164"/>
      <c r="L4675" s="165"/>
      <c r="M4675" s="6"/>
      <c r="N4675" s="32"/>
      <c r="Q4675" s="10" t="str">
        <f>+CONCATENATE(E4675,G4675)</f>
        <v/>
      </c>
      <c r="R4675" s="10">
        <f>+H4675</f>
        <v>0</v>
      </c>
      <c r="S4675" s="11"/>
      <c r="T4675" s="10">
        <f>+E4675</f>
        <v>0</v>
      </c>
      <c r="U4675" s="19" t="str">
        <f>IFERROR(LEFT(G4675,FIND("*",G4675)-1),"-")</f>
        <v>-</v>
      </c>
      <c r="V4675" s="19" t="str">
        <f>IFERROR(RIGHT(G4675,LEN(G4675)-FIND("*",G4675)),"-")</f>
        <v>-</v>
      </c>
      <c r="W4675" s="20" t="str">
        <f>IFERROR((U4675+V4675)*2/1000,"-")</f>
        <v>-</v>
      </c>
      <c r="X4675" s="20" t="str">
        <f>IFERROR(W4675*H4675,"-")</f>
        <v>-</v>
      </c>
      <c r="Z4675" s="85" t="s">
        <v>82</v>
      </c>
    </row>
    <row r="4676" spans="1:26" ht="6.95" customHeight="1" x14ac:dyDescent="0.3">
      <c r="A4676" s="154"/>
      <c r="B4676" s="157"/>
      <c r="C4676" s="158"/>
      <c r="D4676" s="161"/>
      <c r="E4676" s="162"/>
      <c r="F4676" s="163"/>
      <c r="G4676" s="164"/>
      <c r="H4676" s="165"/>
      <c r="I4676" s="164"/>
      <c r="J4676" s="165"/>
      <c r="K4676" s="164"/>
      <c r="L4676" s="165"/>
      <c r="M4676" s="6"/>
      <c r="N4676" s="32"/>
      <c r="Q4676" s="10" t="str">
        <f>+CONCATENATE(E4675,I4675)</f>
        <v/>
      </c>
      <c r="R4676" s="10">
        <f>+J4675</f>
        <v>0</v>
      </c>
      <c r="S4676" s="11"/>
      <c r="T4676" s="10">
        <f>+E4675</f>
        <v>0</v>
      </c>
      <c r="U4676" s="19" t="str">
        <f>IFERROR(LEFT(I4675,FIND("*",I4675)-1),"-")</f>
        <v>-</v>
      </c>
      <c r="V4676" s="19" t="str">
        <f>IFERROR(RIGHT(I4675,LEN(I4675)-FIND("*",I4675)),"-")</f>
        <v>-</v>
      </c>
      <c r="W4676" s="20" t="str">
        <f t="shared" ref="W4676:W4683" si="2542">IFERROR((U4676+V4676)*2/1000,"-")</f>
        <v>-</v>
      </c>
      <c r="X4676" s="20" t="str">
        <f>IFERROR(W4676*J4675,"-")</f>
        <v>-</v>
      </c>
      <c r="Z4676" s="85" t="s">
        <v>82</v>
      </c>
    </row>
    <row r="4677" spans="1:26" ht="6.95" customHeight="1" x14ac:dyDescent="0.3">
      <c r="A4677" s="154"/>
      <c r="B4677" s="157"/>
      <c r="C4677" s="158"/>
      <c r="D4677" s="161"/>
      <c r="E4677" s="162"/>
      <c r="F4677" s="163"/>
      <c r="G4677" s="164"/>
      <c r="H4677" s="165"/>
      <c r="I4677" s="164"/>
      <c r="J4677" s="165"/>
      <c r="K4677" s="164"/>
      <c r="L4677" s="165"/>
      <c r="M4677" s="6"/>
      <c r="N4677" s="32"/>
      <c r="Q4677" s="10" t="str">
        <f>+CONCATENATE(E4675,K4675)</f>
        <v/>
      </c>
      <c r="R4677" s="10">
        <f>+L4675</f>
        <v>0</v>
      </c>
      <c r="S4677" s="11"/>
      <c r="T4677" s="10">
        <f>+E4675</f>
        <v>0</v>
      </c>
      <c r="U4677" s="19" t="str">
        <f>IFERROR(LEFT(K4675,FIND("*",K4675)-1),"-")</f>
        <v>-</v>
      </c>
      <c r="V4677" s="19" t="str">
        <f>IFERROR(RIGHT(K4675,LEN(K4675)-FIND("*",K4675)),"-")</f>
        <v>-</v>
      </c>
      <c r="W4677" s="20" t="str">
        <f t="shared" si="2542"/>
        <v>-</v>
      </c>
      <c r="X4677" s="20" t="str">
        <f>IFERROR(W4677*L4675,"-")</f>
        <v>-</v>
      </c>
      <c r="Z4677" s="85" t="s">
        <v>82</v>
      </c>
    </row>
    <row r="4678" spans="1:26" ht="6.95" customHeight="1" x14ac:dyDescent="0.3">
      <c r="A4678" s="8"/>
      <c r="B4678" s="157"/>
      <c r="C4678" s="158"/>
      <c r="D4678" s="161" t="s">
        <v>39</v>
      </c>
      <c r="E4678" s="162"/>
      <c r="F4678" s="163" t="s">
        <v>40</v>
      </c>
      <c r="G4678" s="164"/>
      <c r="H4678" s="165"/>
      <c r="I4678" s="164"/>
      <c r="J4678" s="165"/>
      <c r="K4678" s="164"/>
      <c r="L4678" s="165"/>
      <c r="M4678" s="6"/>
      <c r="N4678" s="32"/>
      <c r="Q4678" s="10" t="str">
        <f>+CONCATENATE(E4678,G4678)</f>
        <v/>
      </c>
      <c r="R4678" s="10">
        <f>+H4678</f>
        <v>0</v>
      </c>
      <c r="S4678" s="11"/>
      <c r="T4678" s="10">
        <f>+E4678</f>
        <v>0</v>
      </c>
      <c r="U4678" s="19" t="str">
        <f t="shared" ref="U4678" si="2543">IFERROR(LEFT(G4678,FIND("*",G4678)-1),"-")</f>
        <v>-</v>
      </c>
      <c r="V4678" s="19" t="str">
        <f t="shared" ref="V4678" si="2544">IFERROR(RIGHT(G4678,LEN(G4678)-FIND("*",G4678)),"-")</f>
        <v>-</v>
      </c>
      <c r="W4678" s="20" t="str">
        <f t="shared" si="2542"/>
        <v>-</v>
      </c>
      <c r="X4678" s="20" t="str">
        <f>IFERROR(W4678*H4678,"-")</f>
        <v>-</v>
      </c>
      <c r="Z4678" s="85" t="s">
        <v>82</v>
      </c>
    </row>
    <row r="4679" spans="1:26" ht="6.95" customHeight="1" x14ac:dyDescent="0.3">
      <c r="A4679" s="5"/>
      <c r="B4679" s="157"/>
      <c r="C4679" s="158"/>
      <c r="D4679" s="161"/>
      <c r="E4679" s="162"/>
      <c r="F4679" s="163"/>
      <c r="G4679" s="164"/>
      <c r="H4679" s="165"/>
      <c r="I4679" s="164"/>
      <c r="J4679" s="165"/>
      <c r="K4679" s="164"/>
      <c r="L4679" s="165"/>
      <c r="M4679" s="6"/>
      <c r="N4679" s="32"/>
      <c r="Q4679" s="10" t="str">
        <f>+CONCATENATE(E4678,I4678)</f>
        <v/>
      </c>
      <c r="R4679" s="10">
        <f>+J4678</f>
        <v>0</v>
      </c>
      <c r="S4679" s="11"/>
      <c r="T4679" s="10">
        <f>+E4678</f>
        <v>0</v>
      </c>
      <c r="U4679" s="19" t="str">
        <f>IFERROR(LEFT(I4678,FIND("*",I4678)-1),"-")</f>
        <v>-</v>
      </c>
      <c r="V4679" s="19" t="str">
        <f>IFERROR(RIGHT(I4678,LEN(I4678)-FIND("*",I4678)),"-")</f>
        <v>-</v>
      </c>
      <c r="W4679" s="20" t="str">
        <f t="shared" si="2542"/>
        <v>-</v>
      </c>
      <c r="X4679" s="20" t="str">
        <f>IFERROR(W4679*J4678,"-")</f>
        <v>-</v>
      </c>
      <c r="Z4679" s="85" t="s">
        <v>82</v>
      </c>
    </row>
    <row r="4680" spans="1:26" ht="6.95" customHeight="1" x14ac:dyDescent="0.3">
      <c r="A4680" s="5"/>
      <c r="B4680" s="157"/>
      <c r="C4680" s="158"/>
      <c r="D4680" s="161"/>
      <c r="E4680" s="162"/>
      <c r="F4680" s="163"/>
      <c r="G4680" s="164"/>
      <c r="H4680" s="165"/>
      <c r="I4680" s="164"/>
      <c r="J4680" s="165"/>
      <c r="K4680" s="164"/>
      <c r="L4680" s="165"/>
      <c r="M4680" s="6"/>
      <c r="N4680" s="32"/>
      <c r="Q4680" s="10" t="str">
        <f>+CONCATENATE(E4678,K4678)</f>
        <v/>
      </c>
      <c r="R4680" s="10">
        <f>+L4678</f>
        <v>0</v>
      </c>
      <c r="S4680" s="11"/>
      <c r="T4680" s="10">
        <f>+E4678</f>
        <v>0</v>
      </c>
      <c r="U4680" s="19" t="str">
        <f>IFERROR(LEFT(K4678,FIND("*",K4678)-1),"-")</f>
        <v>-</v>
      </c>
      <c r="V4680" s="19" t="str">
        <f>IFERROR(RIGHT(K4678,LEN(K4678)-FIND("*",K4678)),"-")</f>
        <v>-</v>
      </c>
      <c r="W4680" s="20" t="str">
        <f t="shared" si="2542"/>
        <v>-</v>
      </c>
      <c r="X4680" s="20" t="str">
        <f>IFERROR(W4680*L4678,"-")</f>
        <v>-</v>
      </c>
      <c r="Z4680" s="85" t="s">
        <v>82</v>
      </c>
    </row>
    <row r="4681" spans="1:26" ht="6.95" customHeight="1" x14ac:dyDescent="0.3">
      <c r="A4681" s="8"/>
      <c r="B4681" s="157"/>
      <c r="C4681" s="158"/>
      <c r="D4681" s="161" t="s">
        <v>39</v>
      </c>
      <c r="E4681" s="162"/>
      <c r="F4681" s="163" t="s">
        <v>40</v>
      </c>
      <c r="G4681" s="164"/>
      <c r="H4681" s="165"/>
      <c r="I4681" s="164"/>
      <c r="J4681" s="165"/>
      <c r="K4681" s="164"/>
      <c r="L4681" s="165"/>
      <c r="M4681" s="6"/>
      <c r="N4681" s="32"/>
      <c r="Q4681" s="10" t="str">
        <f>+CONCATENATE(E4681,G4681)</f>
        <v/>
      </c>
      <c r="R4681" s="10">
        <f>+H4681</f>
        <v>0</v>
      </c>
      <c r="S4681" s="11"/>
      <c r="T4681" s="10">
        <f>+E4681</f>
        <v>0</v>
      </c>
      <c r="U4681" s="19" t="str">
        <f t="shared" ref="U4681" si="2545">IFERROR(LEFT(G4681,FIND("*",G4681)-1),"-")</f>
        <v>-</v>
      </c>
      <c r="V4681" s="19" t="str">
        <f t="shared" ref="V4681" si="2546">IFERROR(RIGHT(G4681,LEN(G4681)-FIND("*",G4681)),"-")</f>
        <v>-</v>
      </c>
      <c r="W4681" s="20" t="str">
        <f t="shared" si="2542"/>
        <v>-</v>
      </c>
      <c r="X4681" s="20" t="str">
        <f>IFERROR(W4681*H4681,"-")</f>
        <v>-</v>
      </c>
      <c r="Z4681" s="85" t="s">
        <v>82</v>
      </c>
    </row>
    <row r="4682" spans="1:26" ht="6.95" customHeight="1" x14ac:dyDescent="0.3">
      <c r="A4682" s="5"/>
      <c r="B4682" s="157"/>
      <c r="C4682" s="158"/>
      <c r="D4682" s="161"/>
      <c r="E4682" s="162"/>
      <c r="F4682" s="163"/>
      <c r="G4682" s="164"/>
      <c r="H4682" s="165"/>
      <c r="I4682" s="164"/>
      <c r="J4682" s="165"/>
      <c r="K4682" s="164"/>
      <c r="L4682" s="165"/>
      <c r="M4682" s="6"/>
      <c r="N4682" s="32"/>
      <c r="Q4682" s="10" t="str">
        <f>+CONCATENATE(E4681,I4681)</f>
        <v/>
      </c>
      <c r="R4682" s="10">
        <f>+J4681</f>
        <v>0</v>
      </c>
      <c r="S4682" s="11"/>
      <c r="T4682" s="10">
        <f>+E4681</f>
        <v>0</v>
      </c>
      <c r="U4682" s="19" t="str">
        <f>IFERROR(LEFT(I4681,FIND("*",I4681)-1),"-")</f>
        <v>-</v>
      </c>
      <c r="V4682" s="19" t="str">
        <f>IFERROR(RIGHT(I4681,LEN(I4681)-FIND("*",I4681)),"-")</f>
        <v>-</v>
      </c>
      <c r="W4682" s="20" t="str">
        <f t="shared" si="2542"/>
        <v>-</v>
      </c>
      <c r="X4682" s="20" t="str">
        <f t="shared" ref="X4682" si="2547">IFERROR(W4682*J4681,"-")</f>
        <v>-</v>
      </c>
      <c r="Z4682" s="85" t="s">
        <v>82</v>
      </c>
    </row>
    <row r="4683" spans="1:26" ht="6.95" customHeight="1" x14ac:dyDescent="0.3">
      <c r="A4683" s="5"/>
      <c r="B4683" s="157"/>
      <c r="C4683" s="158"/>
      <c r="D4683" s="161"/>
      <c r="E4683" s="162"/>
      <c r="F4683" s="163"/>
      <c r="G4683" s="164"/>
      <c r="H4683" s="165"/>
      <c r="I4683" s="164"/>
      <c r="J4683" s="165"/>
      <c r="K4683" s="164"/>
      <c r="L4683" s="165"/>
      <c r="M4683" s="6"/>
      <c r="N4683" s="32"/>
      <c r="Q4683" s="10" t="str">
        <f>+CONCATENATE(E4681,K4681)</f>
        <v/>
      </c>
      <c r="R4683" s="10">
        <f>+L4681</f>
        <v>0</v>
      </c>
      <c r="S4683" s="11"/>
      <c r="T4683" s="10">
        <f>+E4681</f>
        <v>0</v>
      </c>
      <c r="U4683" s="19" t="str">
        <f>IFERROR(LEFT(K4681,FIND("*",K4681)-1),"-")</f>
        <v>-</v>
      </c>
      <c r="V4683" s="19" t="str">
        <f>IFERROR(RIGHT(K4681,LEN(K4681)-FIND("*",K4681)),"-")</f>
        <v>-</v>
      </c>
      <c r="W4683" s="20" t="str">
        <f t="shared" si="2542"/>
        <v>-</v>
      </c>
      <c r="X4683" s="20" t="str">
        <f>IFERROR(W4683*L4681,"-")</f>
        <v>-</v>
      </c>
      <c r="Z4683" s="85" t="s">
        <v>82</v>
      </c>
    </row>
    <row r="4684" spans="1:26" ht="21" customHeight="1" thickBot="1" x14ac:dyDescent="0.35">
      <c r="A4684" s="5"/>
      <c r="B4684" s="159"/>
      <c r="C4684" s="160"/>
      <c r="D4684" s="166" t="s">
        <v>43</v>
      </c>
      <c r="E4684" s="167"/>
      <c r="F4684" s="167"/>
      <c r="G4684" s="168"/>
      <c r="H4684" s="168"/>
      <c r="I4684" s="168"/>
      <c r="J4684" s="168"/>
      <c r="K4684" s="168"/>
      <c r="L4684" s="168"/>
      <c r="M4684" s="7"/>
      <c r="N4684" s="32"/>
      <c r="Z4684" s="86" t="s">
        <v>81</v>
      </c>
    </row>
    <row r="4685" spans="1:26" ht="9.9499999999999993" customHeight="1" thickBot="1" x14ac:dyDescent="0.35">
      <c r="B4685" s="9"/>
      <c r="C4685" s="109"/>
      <c r="D4685" s="51"/>
      <c r="E4685" s="12"/>
      <c r="F4685" s="51"/>
      <c r="G4685" s="14"/>
      <c r="H4685" s="14"/>
      <c r="I4685" s="14"/>
      <c r="J4685" s="14"/>
      <c r="K4685" s="14"/>
      <c r="L4685" s="14"/>
      <c r="M4685" s="9"/>
      <c r="N4685" s="32"/>
      <c r="U4685" s="18"/>
      <c r="V4685" s="18"/>
      <c r="Z4685" s="85" t="s">
        <v>82</v>
      </c>
    </row>
    <row r="4686" spans="1:26" ht="6.95" customHeight="1" x14ac:dyDescent="0.3">
      <c r="A4686" s="154">
        <f>+A4675+1</f>
        <v>1225</v>
      </c>
      <c r="B4686" s="155"/>
      <c r="C4686" s="156"/>
      <c r="D4686" s="161" t="s">
        <v>39</v>
      </c>
      <c r="E4686" s="162"/>
      <c r="F4686" s="163" t="s">
        <v>40</v>
      </c>
      <c r="G4686" s="164"/>
      <c r="H4686" s="165"/>
      <c r="I4686" s="164"/>
      <c r="J4686" s="165"/>
      <c r="K4686" s="164"/>
      <c r="L4686" s="165"/>
      <c r="M4686" s="6"/>
      <c r="N4686" s="32"/>
      <c r="Q4686" s="10" t="str">
        <f>+CONCATENATE(E4686,G4686)</f>
        <v/>
      </c>
      <c r="R4686" s="10">
        <f>+H4686</f>
        <v>0</v>
      </c>
      <c r="S4686" s="11"/>
      <c r="T4686" s="10">
        <f>+E4686</f>
        <v>0</v>
      </c>
      <c r="U4686" s="19" t="str">
        <f>IFERROR(LEFT(G4686,FIND("*",G4686)-1),"-")</f>
        <v>-</v>
      </c>
      <c r="V4686" s="19" t="str">
        <f>IFERROR(RIGHT(G4686,LEN(G4686)-FIND("*",G4686)),"-")</f>
        <v>-</v>
      </c>
      <c r="W4686" s="20" t="str">
        <f>IFERROR((U4686+V4686)*2/1000,"-")</f>
        <v>-</v>
      </c>
      <c r="X4686" s="20" t="str">
        <f>IFERROR(W4686*H4686,"-")</f>
        <v>-</v>
      </c>
      <c r="Z4686" s="85" t="s">
        <v>82</v>
      </c>
    </row>
    <row r="4687" spans="1:26" ht="6.95" customHeight="1" x14ac:dyDescent="0.3">
      <c r="A4687" s="154"/>
      <c r="B4687" s="157"/>
      <c r="C4687" s="158"/>
      <c r="D4687" s="161"/>
      <c r="E4687" s="162"/>
      <c r="F4687" s="163"/>
      <c r="G4687" s="164"/>
      <c r="H4687" s="165"/>
      <c r="I4687" s="164"/>
      <c r="J4687" s="165"/>
      <c r="K4687" s="164"/>
      <c r="L4687" s="165"/>
      <c r="M4687" s="6"/>
      <c r="N4687" s="32"/>
      <c r="Q4687" s="10" t="str">
        <f>+CONCATENATE(E4686,I4686)</f>
        <v/>
      </c>
      <c r="R4687" s="10">
        <f>+J4686</f>
        <v>0</v>
      </c>
      <c r="S4687" s="11"/>
      <c r="T4687" s="10">
        <f>+E4686</f>
        <v>0</v>
      </c>
      <c r="U4687" s="19" t="str">
        <f>IFERROR(LEFT(I4686,FIND("*",I4686)-1),"-")</f>
        <v>-</v>
      </c>
      <c r="V4687" s="19" t="str">
        <f>IFERROR(RIGHT(I4686,LEN(I4686)-FIND("*",I4686)),"-")</f>
        <v>-</v>
      </c>
      <c r="W4687" s="20" t="str">
        <f t="shared" ref="W4687:W4694" si="2548">IFERROR((U4687+V4687)*2/1000,"-")</f>
        <v>-</v>
      </c>
      <c r="X4687" s="20" t="str">
        <f>IFERROR(W4687*J4686,"-")</f>
        <v>-</v>
      </c>
      <c r="Z4687" s="85" t="s">
        <v>82</v>
      </c>
    </row>
    <row r="4688" spans="1:26" ht="6.95" customHeight="1" x14ac:dyDescent="0.3">
      <c r="A4688" s="154"/>
      <c r="B4688" s="157"/>
      <c r="C4688" s="158"/>
      <c r="D4688" s="161"/>
      <c r="E4688" s="162"/>
      <c r="F4688" s="163"/>
      <c r="G4688" s="164"/>
      <c r="H4688" s="165"/>
      <c r="I4688" s="164"/>
      <c r="J4688" s="165"/>
      <c r="K4688" s="164"/>
      <c r="L4688" s="165"/>
      <c r="M4688" s="6"/>
      <c r="N4688" s="32"/>
      <c r="Q4688" s="10" t="str">
        <f>+CONCATENATE(E4686,K4686)</f>
        <v/>
      </c>
      <c r="R4688" s="10">
        <f>+L4686</f>
        <v>0</v>
      </c>
      <c r="S4688" s="11"/>
      <c r="T4688" s="10">
        <f>+E4686</f>
        <v>0</v>
      </c>
      <c r="U4688" s="19" t="str">
        <f>IFERROR(LEFT(K4686,FIND("*",K4686)-1),"-")</f>
        <v>-</v>
      </c>
      <c r="V4688" s="19" t="str">
        <f>IFERROR(RIGHT(K4686,LEN(K4686)-FIND("*",K4686)),"-")</f>
        <v>-</v>
      </c>
      <c r="W4688" s="20" t="str">
        <f t="shared" si="2548"/>
        <v>-</v>
      </c>
      <c r="X4688" s="20" t="str">
        <f>IFERROR(W4688*L4686,"-")</f>
        <v>-</v>
      </c>
      <c r="Z4688" s="85" t="s">
        <v>82</v>
      </c>
    </row>
    <row r="4689" spans="1:26" ht="6.95" customHeight="1" x14ac:dyDescent="0.3">
      <c r="A4689" s="8"/>
      <c r="B4689" s="157"/>
      <c r="C4689" s="158"/>
      <c r="D4689" s="161" t="s">
        <v>39</v>
      </c>
      <c r="E4689" s="162"/>
      <c r="F4689" s="163" t="s">
        <v>40</v>
      </c>
      <c r="G4689" s="164"/>
      <c r="H4689" s="165"/>
      <c r="I4689" s="164"/>
      <c r="J4689" s="165"/>
      <c r="K4689" s="164"/>
      <c r="L4689" s="165"/>
      <c r="M4689" s="6"/>
      <c r="N4689" s="32"/>
      <c r="Q4689" s="10" t="str">
        <f>+CONCATENATE(E4689,G4689)</f>
        <v/>
      </c>
      <c r="R4689" s="10">
        <f>+H4689</f>
        <v>0</v>
      </c>
      <c r="S4689" s="11"/>
      <c r="T4689" s="10">
        <f>+E4689</f>
        <v>0</v>
      </c>
      <c r="U4689" s="19" t="str">
        <f t="shared" ref="U4689" si="2549">IFERROR(LEFT(G4689,FIND("*",G4689)-1),"-")</f>
        <v>-</v>
      </c>
      <c r="V4689" s="19" t="str">
        <f t="shared" ref="V4689" si="2550">IFERROR(RIGHT(G4689,LEN(G4689)-FIND("*",G4689)),"-")</f>
        <v>-</v>
      </c>
      <c r="W4689" s="20" t="str">
        <f t="shared" si="2548"/>
        <v>-</v>
      </c>
      <c r="X4689" s="20" t="str">
        <f>IFERROR(W4689*H4689,"-")</f>
        <v>-</v>
      </c>
      <c r="Z4689" s="85" t="s">
        <v>82</v>
      </c>
    </row>
    <row r="4690" spans="1:26" ht="6.95" customHeight="1" x14ac:dyDescent="0.3">
      <c r="A4690" s="5"/>
      <c r="B4690" s="157"/>
      <c r="C4690" s="158"/>
      <c r="D4690" s="161"/>
      <c r="E4690" s="162"/>
      <c r="F4690" s="163"/>
      <c r="G4690" s="164"/>
      <c r="H4690" s="165"/>
      <c r="I4690" s="164"/>
      <c r="J4690" s="165"/>
      <c r="K4690" s="164"/>
      <c r="L4690" s="165"/>
      <c r="M4690" s="6"/>
      <c r="N4690" s="32"/>
      <c r="Q4690" s="10" t="str">
        <f>+CONCATENATE(E4689,I4689)</f>
        <v/>
      </c>
      <c r="R4690" s="10">
        <f>+J4689</f>
        <v>0</v>
      </c>
      <c r="S4690" s="11"/>
      <c r="T4690" s="10">
        <f>+E4689</f>
        <v>0</v>
      </c>
      <c r="U4690" s="19" t="str">
        <f>IFERROR(LEFT(I4689,FIND("*",I4689)-1),"-")</f>
        <v>-</v>
      </c>
      <c r="V4690" s="19" t="str">
        <f>IFERROR(RIGHT(I4689,LEN(I4689)-FIND("*",I4689)),"-")</f>
        <v>-</v>
      </c>
      <c r="W4690" s="20" t="str">
        <f t="shared" si="2548"/>
        <v>-</v>
      </c>
      <c r="X4690" s="20" t="str">
        <f>IFERROR(W4690*J4689,"-")</f>
        <v>-</v>
      </c>
      <c r="Z4690" s="85" t="s">
        <v>82</v>
      </c>
    </row>
    <row r="4691" spans="1:26" ht="6.95" customHeight="1" x14ac:dyDescent="0.3">
      <c r="A4691" s="5"/>
      <c r="B4691" s="157"/>
      <c r="C4691" s="158"/>
      <c r="D4691" s="161"/>
      <c r="E4691" s="162"/>
      <c r="F4691" s="163"/>
      <c r="G4691" s="164"/>
      <c r="H4691" s="165"/>
      <c r="I4691" s="164"/>
      <c r="J4691" s="165"/>
      <c r="K4691" s="164"/>
      <c r="L4691" s="165"/>
      <c r="M4691" s="6"/>
      <c r="N4691" s="32"/>
      <c r="Q4691" s="10" t="str">
        <f>+CONCATENATE(E4689,K4689)</f>
        <v/>
      </c>
      <c r="R4691" s="10">
        <f>+L4689</f>
        <v>0</v>
      </c>
      <c r="S4691" s="11"/>
      <c r="T4691" s="10">
        <f>+E4689</f>
        <v>0</v>
      </c>
      <c r="U4691" s="19" t="str">
        <f>IFERROR(LEFT(K4689,FIND("*",K4689)-1),"-")</f>
        <v>-</v>
      </c>
      <c r="V4691" s="19" t="str">
        <f>IFERROR(RIGHT(K4689,LEN(K4689)-FIND("*",K4689)),"-")</f>
        <v>-</v>
      </c>
      <c r="W4691" s="20" t="str">
        <f t="shared" si="2548"/>
        <v>-</v>
      </c>
      <c r="X4691" s="20" t="str">
        <f>IFERROR(W4691*L4689,"-")</f>
        <v>-</v>
      </c>
      <c r="Z4691" s="85" t="s">
        <v>82</v>
      </c>
    </row>
    <row r="4692" spans="1:26" ht="6.95" customHeight="1" x14ac:dyDescent="0.3">
      <c r="A4692" s="8"/>
      <c r="B4692" s="157"/>
      <c r="C4692" s="158"/>
      <c r="D4692" s="161" t="s">
        <v>39</v>
      </c>
      <c r="E4692" s="162"/>
      <c r="F4692" s="163" t="s">
        <v>40</v>
      </c>
      <c r="G4692" s="164"/>
      <c r="H4692" s="165"/>
      <c r="I4692" s="164"/>
      <c r="J4692" s="165"/>
      <c r="K4692" s="164"/>
      <c r="L4692" s="165"/>
      <c r="M4692" s="6"/>
      <c r="N4692" s="32"/>
      <c r="Q4692" s="10" t="str">
        <f>+CONCATENATE(E4692,G4692)</f>
        <v/>
      </c>
      <c r="R4692" s="10">
        <f>+H4692</f>
        <v>0</v>
      </c>
      <c r="S4692" s="11"/>
      <c r="T4692" s="10">
        <f>+E4692</f>
        <v>0</v>
      </c>
      <c r="U4692" s="19" t="str">
        <f t="shared" ref="U4692" si="2551">IFERROR(LEFT(G4692,FIND("*",G4692)-1),"-")</f>
        <v>-</v>
      </c>
      <c r="V4692" s="19" t="str">
        <f t="shared" ref="V4692" si="2552">IFERROR(RIGHT(G4692,LEN(G4692)-FIND("*",G4692)),"-")</f>
        <v>-</v>
      </c>
      <c r="W4692" s="20" t="str">
        <f t="shared" si="2548"/>
        <v>-</v>
      </c>
      <c r="X4692" s="20" t="str">
        <f>IFERROR(W4692*H4692,"-")</f>
        <v>-</v>
      </c>
      <c r="Z4692" s="85" t="s">
        <v>82</v>
      </c>
    </row>
    <row r="4693" spans="1:26" ht="6.95" customHeight="1" x14ac:dyDescent="0.3">
      <c r="A4693" s="5"/>
      <c r="B4693" s="157"/>
      <c r="C4693" s="158"/>
      <c r="D4693" s="161"/>
      <c r="E4693" s="162"/>
      <c r="F4693" s="163"/>
      <c r="G4693" s="164"/>
      <c r="H4693" s="165"/>
      <c r="I4693" s="164"/>
      <c r="J4693" s="165"/>
      <c r="K4693" s="164"/>
      <c r="L4693" s="165"/>
      <c r="M4693" s="6"/>
      <c r="N4693" s="32"/>
      <c r="Q4693" s="10" t="str">
        <f>+CONCATENATE(E4692,I4692)</f>
        <v/>
      </c>
      <c r="R4693" s="10">
        <f>+J4692</f>
        <v>0</v>
      </c>
      <c r="S4693" s="11"/>
      <c r="T4693" s="10">
        <f>+E4692</f>
        <v>0</v>
      </c>
      <c r="U4693" s="19" t="str">
        <f>IFERROR(LEFT(I4692,FIND("*",I4692)-1),"-")</f>
        <v>-</v>
      </c>
      <c r="V4693" s="19" t="str">
        <f>IFERROR(RIGHT(I4692,LEN(I4692)-FIND("*",I4692)),"-")</f>
        <v>-</v>
      </c>
      <c r="W4693" s="20" t="str">
        <f t="shared" si="2548"/>
        <v>-</v>
      </c>
      <c r="X4693" s="20" t="str">
        <f t="shared" ref="X4693" si="2553">IFERROR(W4693*J4692,"-")</f>
        <v>-</v>
      </c>
      <c r="Z4693" s="85" t="s">
        <v>82</v>
      </c>
    </row>
    <row r="4694" spans="1:26" ht="6.95" customHeight="1" x14ac:dyDescent="0.3">
      <c r="A4694" s="5"/>
      <c r="B4694" s="157"/>
      <c r="C4694" s="158"/>
      <c r="D4694" s="161"/>
      <c r="E4694" s="162"/>
      <c r="F4694" s="163"/>
      <c r="G4694" s="164"/>
      <c r="H4694" s="165"/>
      <c r="I4694" s="164"/>
      <c r="J4694" s="165"/>
      <c r="K4694" s="164"/>
      <c r="L4694" s="165"/>
      <c r="M4694" s="6"/>
      <c r="N4694" s="32"/>
      <c r="Q4694" s="10" t="str">
        <f>+CONCATENATE(E4692,K4692)</f>
        <v/>
      </c>
      <c r="R4694" s="10">
        <f>+L4692</f>
        <v>0</v>
      </c>
      <c r="S4694" s="11"/>
      <c r="T4694" s="10">
        <f>+E4692</f>
        <v>0</v>
      </c>
      <c r="U4694" s="19" t="str">
        <f>IFERROR(LEFT(K4692,FIND("*",K4692)-1),"-")</f>
        <v>-</v>
      </c>
      <c r="V4694" s="19" t="str">
        <f>IFERROR(RIGHT(K4692,LEN(K4692)-FIND("*",K4692)),"-")</f>
        <v>-</v>
      </c>
      <c r="W4694" s="20" t="str">
        <f t="shared" si="2548"/>
        <v>-</v>
      </c>
      <c r="X4694" s="20" t="str">
        <f>IFERROR(W4694*L4692,"-")</f>
        <v>-</v>
      </c>
      <c r="Z4694" s="85" t="s">
        <v>82</v>
      </c>
    </row>
    <row r="4695" spans="1:26" ht="21" customHeight="1" thickBot="1" x14ac:dyDescent="0.35">
      <c r="A4695" s="5"/>
      <c r="B4695" s="159"/>
      <c r="C4695" s="160"/>
      <c r="D4695" s="166" t="s">
        <v>43</v>
      </c>
      <c r="E4695" s="167"/>
      <c r="F4695" s="167"/>
      <c r="G4695" s="168"/>
      <c r="H4695" s="168"/>
      <c r="I4695" s="168"/>
      <c r="J4695" s="168"/>
      <c r="K4695" s="168"/>
      <c r="L4695" s="168"/>
      <c r="M4695" s="7"/>
      <c r="N4695" s="32"/>
      <c r="Z4695" s="86" t="s">
        <v>81</v>
      </c>
    </row>
    <row r="4696" spans="1:26" ht="9.9499999999999993" customHeight="1" thickBot="1" x14ac:dyDescent="0.35">
      <c r="B4696" s="9"/>
      <c r="C4696" s="109"/>
      <c r="D4696" s="51"/>
      <c r="E4696" s="12"/>
      <c r="F4696" s="51"/>
      <c r="G4696" s="14"/>
      <c r="H4696" s="14"/>
      <c r="I4696" s="14"/>
      <c r="J4696" s="14"/>
      <c r="K4696" s="14"/>
      <c r="L4696" s="14"/>
      <c r="M4696" s="9"/>
      <c r="N4696" s="32"/>
      <c r="U4696" s="18"/>
      <c r="V4696" s="18"/>
      <c r="Z4696" s="85" t="s">
        <v>82</v>
      </c>
    </row>
    <row r="4697" spans="1:26" ht="6.95" customHeight="1" x14ac:dyDescent="0.3">
      <c r="A4697" s="154">
        <f>+A4686+1</f>
        <v>1226</v>
      </c>
      <c r="B4697" s="155"/>
      <c r="C4697" s="156"/>
      <c r="D4697" s="161" t="s">
        <v>39</v>
      </c>
      <c r="E4697" s="162"/>
      <c r="F4697" s="163" t="s">
        <v>40</v>
      </c>
      <c r="G4697" s="164"/>
      <c r="H4697" s="165"/>
      <c r="I4697" s="164"/>
      <c r="J4697" s="165"/>
      <c r="K4697" s="164"/>
      <c r="L4697" s="165"/>
      <c r="M4697" s="6"/>
      <c r="N4697" s="32"/>
      <c r="Q4697" s="10" t="str">
        <f>+CONCATENATE(E4697,G4697)</f>
        <v/>
      </c>
      <c r="R4697" s="10">
        <f>+H4697</f>
        <v>0</v>
      </c>
      <c r="S4697" s="11"/>
      <c r="T4697" s="10">
        <f>+E4697</f>
        <v>0</v>
      </c>
      <c r="U4697" s="19" t="str">
        <f>IFERROR(LEFT(G4697,FIND("*",G4697)-1),"-")</f>
        <v>-</v>
      </c>
      <c r="V4697" s="19" t="str">
        <f>IFERROR(RIGHT(G4697,LEN(G4697)-FIND("*",G4697)),"-")</f>
        <v>-</v>
      </c>
      <c r="W4697" s="20" t="str">
        <f>IFERROR((U4697+V4697)*2/1000,"-")</f>
        <v>-</v>
      </c>
      <c r="X4697" s="20" t="str">
        <f>IFERROR(W4697*H4697,"-")</f>
        <v>-</v>
      </c>
      <c r="Z4697" s="85" t="s">
        <v>82</v>
      </c>
    </row>
    <row r="4698" spans="1:26" ht="6.95" customHeight="1" x14ac:dyDescent="0.3">
      <c r="A4698" s="154"/>
      <c r="B4698" s="157"/>
      <c r="C4698" s="158"/>
      <c r="D4698" s="161"/>
      <c r="E4698" s="162"/>
      <c r="F4698" s="163"/>
      <c r="G4698" s="164"/>
      <c r="H4698" s="165"/>
      <c r="I4698" s="164"/>
      <c r="J4698" s="165"/>
      <c r="K4698" s="164"/>
      <c r="L4698" s="165"/>
      <c r="M4698" s="6"/>
      <c r="N4698" s="32"/>
      <c r="Q4698" s="10" t="str">
        <f>+CONCATENATE(E4697,I4697)</f>
        <v/>
      </c>
      <c r="R4698" s="10">
        <f>+J4697</f>
        <v>0</v>
      </c>
      <c r="S4698" s="11"/>
      <c r="T4698" s="10">
        <f>+E4697</f>
        <v>0</v>
      </c>
      <c r="U4698" s="19" t="str">
        <f>IFERROR(LEFT(I4697,FIND("*",I4697)-1),"-")</f>
        <v>-</v>
      </c>
      <c r="V4698" s="19" t="str">
        <f>IFERROR(RIGHT(I4697,LEN(I4697)-FIND("*",I4697)),"-")</f>
        <v>-</v>
      </c>
      <c r="W4698" s="20" t="str">
        <f t="shared" ref="W4698:W4705" si="2554">IFERROR((U4698+V4698)*2/1000,"-")</f>
        <v>-</v>
      </c>
      <c r="X4698" s="20" t="str">
        <f>IFERROR(W4698*J4697,"-")</f>
        <v>-</v>
      </c>
      <c r="Z4698" s="85" t="s">
        <v>82</v>
      </c>
    </row>
    <row r="4699" spans="1:26" ht="6.95" customHeight="1" x14ac:dyDescent="0.3">
      <c r="A4699" s="154"/>
      <c r="B4699" s="157"/>
      <c r="C4699" s="158"/>
      <c r="D4699" s="161"/>
      <c r="E4699" s="162"/>
      <c r="F4699" s="163"/>
      <c r="G4699" s="164"/>
      <c r="H4699" s="165"/>
      <c r="I4699" s="164"/>
      <c r="J4699" s="165"/>
      <c r="K4699" s="164"/>
      <c r="L4699" s="165"/>
      <c r="M4699" s="6"/>
      <c r="N4699" s="32"/>
      <c r="Q4699" s="10" t="str">
        <f>+CONCATENATE(E4697,K4697)</f>
        <v/>
      </c>
      <c r="R4699" s="10">
        <f>+L4697</f>
        <v>0</v>
      </c>
      <c r="S4699" s="11"/>
      <c r="T4699" s="10">
        <f>+E4697</f>
        <v>0</v>
      </c>
      <c r="U4699" s="19" t="str">
        <f>IFERROR(LEFT(K4697,FIND("*",K4697)-1),"-")</f>
        <v>-</v>
      </c>
      <c r="V4699" s="19" t="str">
        <f>IFERROR(RIGHT(K4697,LEN(K4697)-FIND("*",K4697)),"-")</f>
        <v>-</v>
      </c>
      <c r="W4699" s="20" t="str">
        <f t="shared" si="2554"/>
        <v>-</v>
      </c>
      <c r="X4699" s="20" t="str">
        <f>IFERROR(W4699*L4697,"-")</f>
        <v>-</v>
      </c>
      <c r="Z4699" s="85" t="s">
        <v>82</v>
      </c>
    </row>
    <row r="4700" spans="1:26" ht="6.95" customHeight="1" x14ac:dyDescent="0.3">
      <c r="A4700" s="8"/>
      <c r="B4700" s="157"/>
      <c r="C4700" s="158"/>
      <c r="D4700" s="161" t="s">
        <v>39</v>
      </c>
      <c r="E4700" s="162"/>
      <c r="F4700" s="163" t="s">
        <v>40</v>
      </c>
      <c r="G4700" s="164"/>
      <c r="H4700" s="165"/>
      <c r="I4700" s="164"/>
      <c r="J4700" s="165"/>
      <c r="K4700" s="164"/>
      <c r="L4700" s="165"/>
      <c r="M4700" s="6"/>
      <c r="N4700" s="32"/>
      <c r="Q4700" s="10" t="str">
        <f>+CONCATENATE(E4700,G4700)</f>
        <v/>
      </c>
      <c r="R4700" s="10">
        <f>+H4700</f>
        <v>0</v>
      </c>
      <c r="S4700" s="11"/>
      <c r="T4700" s="10">
        <f>+E4700</f>
        <v>0</v>
      </c>
      <c r="U4700" s="19" t="str">
        <f t="shared" ref="U4700" si="2555">IFERROR(LEFT(G4700,FIND("*",G4700)-1),"-")</f>
        <v>-</v>
      </c>
      <c r="V4700" s="19" t="str">
        <f t="shared" ref="V4700" si="2556">IFERROR(RIGHT(G4700,LEN(G4700)-FIND("*",G4700)),"-")</f>
        <v>-</v>
      </c>
      <c r="W4700" s="20" t="str">
        <f t="shared" si="2554"/>
        <v>-</v>
      </c>
      <c r="X4700" s="20" t="str">
        <f>IFERROR(W4700*H4700,"-")</f>
        <v>-</v>
      </c>
      <c r="Z4700" s="85" t="s">
        <v>82</v>
      </c>
    </row>
    <row r="4701" spans="1:26" ht="6.95" customHeight="1" x14ac:dyDescent="0.3">
      <c r="A4701" s="5"/>
      <c r="B4701" s="157"/>
      <c r="C4701" s="158"/>
      <c r="D4701" s="161"/>
      <c r="E4701" s="162"/>
      <c r="F4701" s="163"/>
      <c r="G4701" s="164"/>
      <c r="H4701" s="165"/>
      <c r="I4701" s="164"/>
      <c r="J4701" s="165"/>
      <c r="K4701" s="164"/>
      <c r="L4701" s="165"/>
      <c r="M4701" s="6"/>
      <c r="N4701" s="32"/>
      <c r="Q4701" s="10" t="str">
        <f>+CONCATENATE(E4700,I4700)</f>
        <v/>
      </c>
      <c r="R4701" s="10">
        <f>+J4700</f>
        <v>0</v>
      </c>
      <c r="S4701" s="11"/>
      <c r="T4701" s="10">
        <f>+E4700</f>
        <v>0</v>
      </c>
      <c r="U4701" s="19" t="str">
        <f>IFERROR(LEFT(I4700,FIND("*",I4700)-1),"-")</f>
        <v>-</v>
      </c>
      <c r="V4701" s="19" t="str">
        <f>IFERROR(RIGHT(I4700,LEN(I4700)-FIND("*",I4700)),"-")</f>
        <v>-</v>
      </c>
      <c r="W4701" s="20" t="str">
        <f t="shared" si="2554"/>
        <v>-</v>
      </c>
      <c r="X4701" s="20" t="str">
        <f>IFERROR(W4701*J4700,"-")</f>
        <v>-</v>
      </c>
      <c r="Z4701" s="85" t="s">
        <v>82</v>
      </c>
    </row>
    <row r="4702" spans="1:26" ht="6.95" customHeight="1" x14ac:dyDescent="0.3">
      <c r="A4702" s="5"/>
      <c r="B4702" s="157"/>
      <c r="C4702" s="158"/>
      <c r="D4702" s="161"/>
      <c r="E4702" s="162"/>
      <c r="F4702" s="163"/>
      <c r="G4702" s="164"/>
      <c r="H4702" s="165"/>
      <c r="I4702" s="164"/>
      <c r="J4702" s="165"/>
      <c r="K4702" s="164"/>
      <c r="L4702" s="165"/>
      <c r="M4702" s="6"/>
      <c r="N4702" s="32"/>
      <c r="Q4702" s="10" t="str">
        <f>+CONCATENATE(E4700,K4700)</f>
        <v/>
      </c>
      <c r="R4702" s="10">
        <f>+L4700</f>
        <v>0</v>
      </c>
      <c r="S4702" s="11"/>
      <c r="T4702" s="10">
        <f>+E4700</f>
        <v>0</v>
      </c>
      <c r="U4702" s="19" t="str">
        <f>IFERROR(LEFT(K4700,FIND("*",K4700)-1),"-")</f>
        <v>-</v>
      </c>
      <c r="V4702" s="19" t="str">
        <f>IFERROR(RIGHT(K4700,LEN(K4700)-FIND("*",K4700)),"-")</f>
        <v>-</v>
      </c>
      <c r="W4702" s="20" t="str">
        <f t="shared" si="2554"/>
        <v>-</v>
      </c>
      <c r="X4702" s="20" t="str">
        <f>IFERROR(W4702*L4700,"-")</f>
        <v>-</v>
      </c>
      <c r="Z4702" s="85" t="s">
        <v>82</v>
      </c>
    </row>
    <row r="4703" spans="1:26" ht="6.95" customHeight="1" x14ac:dyDescent="0.3">
      <c r="A4703" s="8"/>
      <c r="B4703" s="157"/>
      <c r="C4703" s="158"/>
      <c r="D4703" s="161" t="s">
        <v>39</v>
      </c>
      <c r="E4703" s="162"/>
      <c r="F4703" s="163" t="s">
        <v>40</v>
      </c>
      <c r="G4703" s="164"/>
      <c r="H4703" s="165"/>
      <c r="I4703" s="164"/>
      <c r="J4703" s="165"/>
      <c r="K4703" s="164"/>
      <c r="L4703" s="165"/>
      <c r="M4703" s="6"/>
      <c r="N4703" s="32"/>
      <c r="Q4703" s="10" t="str">
        <f>+CONCATENATE(E4703,G4703)</f>
        <v/>
      </c>
      <c r="R4703" s="10">
        <f>+H4703</f>
        <v>0</v>
      </c>
      <c r="S4703" s="11"/>
      <c r="T4703" s="10">
        <f>+E4703</f>
        <v>0</v>
      </c>
      <c r="U4703" s="19" t="str">
        <f t="shared" ref="U4703" si="2557">IFERROR(LEFT(G4703,FIND("*",G4703)-1),"-")</f>
        <v>-</v>
      </c>
      <c r="V4703" s="19" t="str">
        <f t="shared" ref="V4703" si="2558">IFERROR(RIGHT(G4703,LEN(G4703)-FIND("*",G4703)),"-")</f>
        <v>-</v>
      </c>
      <c r="W4703" s="20" t="str">
        <f t="shared" si="2554"/>
        <v>-</v>
      </c>
      <c r="X4703" s="20" t="str">
        <f>IFERROR(W4703*H4703,"-")</f>
        <v>-</v>
      </c>
      <c r="Z4703" s="85" t="s">
        <v>82</v>
      </c>
    </row>
    <row r="4704" spans="1:26" ht="6.95" customHeight="1" x14ac:dyDescent="0.3">
      <c r="A4704" s="5"/>
      <c r="B4704" s="157"/>
      <c r="C4704" s="158"/>
      <c r="D4704" s="161"/>
      <c r="E4704" s="162"/>
      <c r="F4704" s="163"/>
      <c r="G4704" s="164"/>
      <c r="H4704" s="165"/>
      <c r="I4704" s="164"/>
      <c r="J4704" s="165"/>
      <c r="K4704" s="164"/>
      <c r="L4704" s="165"/>
      <c r="M4704" s="6"/>
      <c r="N4704" s="32"/>
      <c r="Q4704" s="10" t="str">
        <f>+CONCATENATE(E4703,I4703)</f>
        <v/>
      </c>
      <c r="R4704" s="10">
        <f>+J4703</f>
        <v>0</v>
      </c>
      <c r="S4704" s="11"/>
      <c r="T4704" s="10">
        <f>+E4703</f>
        <v>0</v>
      </c>
      <c r="U4704" s="19" t="str">
        <f>IFERROR(LEFT(I4703,FIND("*",I4703)-1),"-")</f>
        <v>-</v>
      </c>
      <c r="V4704" s="19" t="str">
        <f>IFERROR(RIGHT(I4703,LEN(I4703)-FIND("*",I4703)),"-")</f>
        <v>-</v>
      </c>
      <c r="W4704" s="20" t="str">
        <f t="shared" si="2554"/>
        <v>-</v>
      </c>
      <c r="X4704" s="20" t="str">
        <f t="shared" ref="X4704" si="2559">IFERROR(W4704*J4703,"-")</f>
        <v>-</v>
      </c>
      <c r="Z4704" s="85" t="s">
        <v>82</v>
      </c>
    </row>
    <row r="4705" spans="1:26" ht="6.95" customHeight="1" x14ac:dyDescent="0.3">
      <c r="A4705" s="5"/>
      <c r="B4705" s="157"/>
      <c r="C4705" s="158"/>
      <c r="D4705" s="161"/>
      <c r="E4705" s="162"/>
      <c r="F4705" s="163"/>
      <c r="G4705" s="164"/>
      <c r="H4705" s="165"/>
      <c r="I4705" s="164"/>
      <c r="J4705" s="165"/>
      <c r="K4705" s="164"/>
      <c r="L4705" s="165"/>
      <c r="M4705" s="6"/>
      <c r="N4705" s="32"/>
      <c r="Q4705" s="10" t="str">
        <f>+CONCATENATE(E4703,K4703)</f>
        <v/>
      </c>
      <c r="R4705" s="10">
        <f>+L4703</f>
        <v>0</v>
      </c>
      <c r="S4705" s="11"/>
      <c r="T4705" s="10">
        <f>+E4703</f>
        <v>0</v>
      </c>
      <c r="U4705" s="19" t="str">
        <f>IFERROR(LEFT(K4703,FIND("*",K4703)-1),"-")</f>
        <v>-</v>
      </c>
      <c r="V4705" s="19" t="str">
        <f>IFERROR(RIGHT(K4703,LEN(K4703)-FIND("*",K4703)),"-")</f>
        <v>-</v>
      </c>
      <c r="W4705" s="20" t="str">
        <f t="shared" si="2554"/>
        <v>-</v>
      </c>
      <c r="X4705" s="20" t="str">
        <f>IFERROR(W4705*L4703,"-")</f>
        <v>-</v>
      </c>
      <c r="Z4705" s="85" t="s">
        <v>82</v>
      </c>
    </row>
    <row r="4706" spans="1:26" ht="21" customHeight="1" thickBot="1" x14ac:dyDescent="0.35">
      <c r="A4706" s="5"/>
      <c r="B4706" s="159"/>
      <c r="C4706" s="160"/>
      <c r="D4706" s="166" t="s">
        <v>43</v>
      </c>
      <c r="E4706" s="167"/>
      <c r="F4706" s="167"/>
      <c r="G4706" s="168"/>
      <c r="H4706" s="168"/>
      <c r="I4706" s="168"/>
      <c r="J4706" s="168"/>
      <c r="K4706" s="168"/>
      <c r="L4706" s="168"/>
      <c r="M4706" s="7"/>
      <c r="N4706" s="32"/>
      <c r="Z4706" s="86" t="s">
        <v>81</v>
      </c>
    </row>
    <row r="4707" spans="1:26" ht="9.9499999999999993" customHeight="1" thickBot="1" x14ac:dyDescent="0.35">
      <c r="B4707" s="9"/>
      <c r="C4707" s="109"/>
      <c r="D4707" s="51"/>
      <c r="E4707" s="12"/>
      <c r="F4707" s="51"/>
      <c r="G4707" s="14"/>
      <c r="H4707" s="14"/>
      <c r="I4707" s="14"/>
      <c r="J4707" s="14"/>
      <c r="K4707" s="14"/>
      <c r="L4707" s="14"/>
      <c r="M4707" s="9"/>
      <c r="N4707" s="32"/>
      <c r="U4707" s="18"/>
      <c r="V4707" s="18"/>
      <c r="Z4707" s="85" t="s">
        <v>82</v>
      </c>
    </row>
    <row r="4708" spans="1:26" ht="6.95" customHeight="1" x14ac:dyDescent="0.3">
      <c r="A4708" s="154">
        <f>+A4697+1</f>
        <v>1227</v>
      </c>
      <c r="B4708" s="155"/>
      <c r="C4708" s="156"/>
      <c r="D4708" s="161" t="s">
        <v>39</v>
      </c>
      <c r="E4708" s="162"/>
      <c r="F4708" s="163" t="s">
        <v>40</v>
      </c>
      <c r="G4708" s="164"/>
      <c r="H4708" s="165"/>
      <c r="I4708" s="164"/>
      <c r="J4708" s="165"/>
      <c r="K4708" s="164"/>
      <c r="L4708" s="165"/>
      <c r="M4708" s="6"/>
      <c r="N4708" s="32"/>
      <c r="Q4708" s="10" t="str">
        <f>+CONCATENATE(E4708,G4708)</f>
        <v/>
      </c>
      <c r="R4708" s="10">
        <f>+H4708</f>
        <v>0</v>
      </c>
      <c r="S4708" s="11"/>
      <c r="T4708" s="10">
        <f>+E4708</f>
        <v>0</v>
      </c>
      <c r="U4708" s="19" t="str">
        <f>IFERROR(LEFT(G4708,FIND("*",G4708)-1),"-")</f>
        <v>-</v>
      </c>
      <c r="V4708" s="19" t="str">
        <f>IFERROR(RIGHT(G4708,LEN(G4708)-FIND("*",G4708)),"-")</f>
        <v>-</v>
      </c>
      <c r="W4708" s="20" t="str">
        <f>IFERROR((U4708+V4708)*2/1000,"-")</f>
        <v>-</v>
      </c>
      <c r="X4708" s="20" t="str">
        <f>IFERROR(W4708*H4708,"-")</f>
        <v>-</v>
      </c>
      <c r="Z4708" s="85" t="s">
        <v>82</v>
      </c>
    </row>
    <row r="4709" spans="1:26" ht="6.95" customHeight="1" x14ac:dyDescent="0.3">
      <c r="A4709" s="154"/>
      <c r="B4709" s="157"/>
      <c r="C4709" s="158"/>
      <c r="D4709" s="161"/>
      <c r="E4709" s="162"/>
      <c r="F4709" s="163"/>
      <c r="G4709" s="164"/>
      <c r="H4709" s="165"/>
      <c r="I4709" s="164"/>
      <c r="J4709" s="165"/>
      <c r="K4709" s="164"/>
      <c r="L4709" s="165"/>
      <c r="M4709" s="6"/>
      <c r="N4709" s="32"/>
      <c r="Q4709" s="10" t="str">
        <f>+CONCATENATE(E4708,I4708)</f>
        <v/>
      </c>
      <c r="R4709" s="10">
        <f>+J4708</f>
        <v>0</v>
      </c>
      <c r="S4709" s="11"/>
      <c r="T4709" s="10">
        <f>+E4708</f>
        <v>0</v>
      </c>
      <c r="U4709" s="19" t="str">
        <f>IFERROR(LEFT(I4708,FIND("*",I4708)-1),"-")</f>
        <v>-</v>
      </c>
      <c r="V4709" s="19" t="str">
        <f>IFERROR(RIGHT(I4708,LEN(I4708)-FIND("*",I4708)),"-")</f>
        <v>-</v>
      </c>
      <c r="W4709" s="20" t="str">
        <f t="shared" ref="W4709:W4716" si="2560">IFERROR((U4709+V4709)*2/1000,"-")</f>
        <v>-</v>
      </c>
      <c r="X4709" s="20" t="str">
        <f>IFERROR(W4709*J4708,"-")</f>
        <v>-</v>
      </c>
      <c r="Z4709" s="85" t="s">
        <v>82</v>
      </c>
    </row>
    <row r="4710" spans="1:26" ht="6.95" customHeight="1" x14ac:dyDescent="0.3">
      <c r="A4710" s="154"/>
      <c r="B4710" s="157"/>
      <c r="C4710" s="158"/>
      <c r="D4710" s="161"/>
      <c r="E4710" s="162"/>
      <c r="F4710" s="163"/>
      <c r="G4710" s="164"/>
      <c r="H4710" s="165"/>
      <c r="I4710" s="164"/>
      <c r="J4710" s="165"/>
      <c r="K4710" s="164"/>
      <c r="L4710" s="165"/>
      <c r="M4710" s="6"/>
      <c r="N4710" s="32"/>
      <c r="Q4710" s="10" t="str">
        <f>+CONCATENATE(E4708,K4708)</f>
        <v/>
      </c>
      <c r="R4710" s="10">
        <f>+L4708</f>
        <v>0</v>
      </c>
      <c r="S4710" s="11"/>
      <c r="T4710" s="10">
        <f>+E4708</f>
        <v>0</v>
      </c>
      <c r="U4710" s="19" t="str">
        <f>IFERROR(LEFT(K4708,FIND("*",K4708)-1),"-")</f>
        <v>-</v>
      </c>
      <c r="V4710" s="19" t="str">
        <f>IFERROR(RIGHT(K4708,LEN(K4708)-FIND("*",K4708)),"-")</f>
        <v>-</v>
      </c>
      <c r="W4710" s="20" t="str">
        <f t="shared" si="2560"/>
        <v>-</v>
      </c>
      <c r="X4710" s="20" t="str">
        <f>IFERROR(W4710*L4708,"-")</f>
        <v>-</v>
      </c>
      <c r="Z4710" s="85" t="s">
        <v>82</v>
      </c>
    </row>
    <row r="4711" spans="1:26" ht="6.95" customHeight="1" x14ac:dyDescent="0.3">
      <c r="A4711" s="8"/>
      <c r="B4711" s="157"/>
      <c r="C4711" s="158"/>
      <c r="D4711" s="161" t="s">
        <v>39</v>
      </c>
      <c r="E4711" s="162"/>
      <c r="F4711" s="163" t="s">
        <v>40</v>
      </c>
      <c r="G4711" s="164"/>
      <c r="H4711" s="165"/>
      <c r="I4711" s="164"/>
      <c r="J4711" s="165"/>
      <c r="K4711" s="164"/>
      <c r="L4711" s="165"/>
      <c r="M4711" s="6"/>
      <c r="N4711" s="32"/>
      <c r="Q4711" s="10" t="str">
        <f>+CONCATENATE(E4711,G4711)</f>
        <v/>
      </c>
      <c r="R4711" s="10">
        <f>+H4711</f>
        <v>0</v>
      </c>
      <c r="S4711" s="11"/>
      <c r="T4711" s="10">
        <f>+E4711</f>
        <v>0</v>
      </c>
      <c r="U4711" s="19" t="str">
        <f t="shared" ref="U4711" si="2561">IFERROR(LEFT(G4711,FIND("*",G4711)-1),"-")</f>
        <v>-</v>
      </c>
      <c r="V4711" s="19" t="str">
        <f t="shared" ref="V4711" si="2562">IFERROR(RIGHT(G4711,LEN(G4711)-FIND("*",G4711)),"-")</f>
        <v>-</v>
      </c>
      <c r="W4711" s="20" t="str">
        <f t="shared" si="2560"/>
        <v>-</v>
      </c>
      <c r="X4711" s="20" t="str">
        <f>IFERROR(W4711*H4711,"-")</f>
        <v>-</v>
      </c>
      <c r="Z4711" s="85" t="s">
        <v>82</v>
      </c>
    </row>
    <row r="4712" spans="1:26" ht="6.95" customHeight="1" x14ac:dyDescent="0.3">
      <c r="A4712" s="5"/>
      <c r="B4712" s="157"/>
      <c r="C4712" s="158"/>
      <c r="D4712" s="161"/>
      <c r="E4712" s="162"/>
      <c r="F4712" s="163"/>
      <c r="G4712" s="164"/>
      <c r="H4712" s="165"/>
      <c r="I4712" s="164"/>
      <c r="J4712" s="165"/>
      <c r="K4712" s="164"/>
      <c r="L4712" s="165"/>
      <c r="M4712" s="6"/>
      <c r="N4712" s="32"/>
      <c r="Q4712" s="10" t="str">
        <f>+CONCATENATE(E4711,I4711)</f>
        <v/>
      </c>
      <c r="R4712" s="10">
        <f>+J4711</f>
        <v>0</v>
      </c>
      <c r="S4712" s="11"/>
      <c r="T4712" s="10">
        <f>+E4711</f>
        <v>0</v>
      </c>
      <c r="U4712" s="19" t="str">
        <f>IFERROR(LEFT(I4711,FIND("*",I4711)-1),"-")</f>
        <v>-</v>
      </c>
      <c r="V4712" s="19" t="str">
        <f>IFERROR(RIGHT(I4711,LEN(I4711)-FIND("*",I4711)),"-")</f>
        <v>-</v>
      </c>
      <c r="W4712" s="20" t="str">
        <f t="shared" si="2560"/>
        <v>-</v>
      </c>
      <c r="X4712" s="20" t="str">
        <f>IFERROR(W4712*J4711,"-")</f>
        <v>-</v>
      </c>
      <c r="Z4712" s="85" t="s">
        <v>82</v>
      </c>
    </row>
    <row r="4713" spans="1:26" ht="6.95" customHeight="1" x14ac:dyDescent="0.3">
      <c r="A4713" s="5"/>
      <c r="B4713" s="157"/>
      <c r="C4713" s="158"/>
      <c r="D4713" s="161"/>
      <c r="E4713" s="162"/>
      <c r="F4713" s="163"/>
      <c r="G4713" s="164"/>
      <c r="H4713" s="165"/>
      <c r="I4713" s="164"/>
      <c r="J4713" s="165"/>
      <c r="K4713" s="164"/>
      <c r="L4713" s="165"/>
      <c r="M4713" s="6"/>
      <c r="N4713" s="32"/>
      <c r="Q4713" s="10" t="str">
        <f>+CONCATENATE(E4711,K4711)</f>
        <v/>
      </c>
      <c r="R4713" s="10">
        <f>+L4711</f>
        <v>0</v>
      </c>
      <c r="S4713" s="11"/>
      <c r="T4713" s="10">
        <f>+E4711</f>
        <v>0</v>
      </c>
      <c r="U4713" s="19" t="str">
        <f>IFERROR(LEFT(K4711,FIND("*",K4711)-1),"-")</f>
        <v>-</v>
      </c>
      <c r="V4713" s="19" t="str">
        <f>IFERROR(RIGHT(K4711,LEN(K4711)-FIND("*",K4711)),"-")</f>
        <v>-</v>
      </c>
      <c r="W4713" s="20" t="str">
        <f t="shared" si="2560"/>
        <v>-</v>
      </c>
      <c r="X4713" s="20" t="str">
        <f>IFERROR(W4713*L4711,"-")</f>
        <v>-</v>
      </c>
      <c r="Z4713" s="85" t="s">
        <v>82</v>
      </c>
    </row>
    <row r="4714" spans="1:26" ht="6.95" customHeight="1" x14ac:dyDescent="0.3">
      <c r="A4714" s="8"/>
      <c r="B4714" s="157"/>
      <c r="C4714" s="158"/>
      <c r="D4714" s="161" t="s">
        <v>39</v>
      </c>
      <c r="E4714" s="162"/>
      <c r="F4714" s="163" t="s">
        <v>40</v>
      </c>
      <c r="G4714" s="164"/>
      <c r="H4714" s="165"/>
      <c r="I4714" s="164"/>
      <c r="J4714" s="165"/>
      <c r="K4714" s="164"/>
      <c r="L4714" s="165"/>
      <c r="M4714" s="6"/>
      <c r="N4714" s="32"/>
      <c r="Q4714" s="10" t="str">
        <f>+CONCATENATE(E4714,G4714)</f>
        <v/>
      </c>
      <c r="R4714" s="10">
        <f>+H4714</f>
        <v>0</v>
      </c>
      <c r="S4714" s="11"/>
      <c r="T4714" s="10">
        <f>+E4714</f>
        <v>0</v>
      </c>
      <c r="U4714" s="19" t="str">
        <f t="shared" ref="U4714" si="2563">IFERROR(LEFT(G4714,FIND("*",G4714)-1),"-")</f>
        <v>-</v>
      </c>
      <c r="V4714" s="19" t="str">
        <f t="shared" ref="V4714" si="2564">IFERROR(RIGHT(G4714,LEN(G4714)-FIND("*",G4714)),"-")</f>
        <v>-</v>
      </c>
      <c r="W4714" s="20" t="str">
        <f t="shared" si="2560"/>
        <v>-</v>
      </c>
      <c r="X4714" s="20" t="str">
        <f>IFERROR(W4714*H4714,"-")</f>
        <v>-</v>
      </c>
      <c r="Z4714" s="85" t="s">
        <v>82</v>
      </c>
    </row>
    <row r="4715" spans="1:26" ht="6.95" customHeight="1" x14ac:dyDescent="0.3">
      <c r="A4715" s="5"/>
      <c r="B4715" s="157"/>
      <c r="C4715" s="158"/>
      <c r="D4715" s="161"/>
      <c r="E4715" s="162"/>
      <c r="F4715" s="163"/>
      <c r="G4715" s="164"/>
      <c r="H4715" s="165"/>
      <c r="I4715" s="164"/>
      <c r="J4715" s="165"/>
      <c r="K4715" s="164"/>
      <c r="L4715" s="165"/>
      <c r="M4715" s="6"/>
      <c r="N4715" s="32"/>
      <c r="Q4715" s="10" t="str">
        <f>+CONCATENATE(E4714,I4714)</f>
        <v/>
      </c>
      <c r="R4715" s="10">
        <f>+J4714</f>
        <v>0</v>
      </c>
      <c r="S4715" s="11"/>
      <c r="T4715" s="10">
        <f>+E4714</f>
        <v>0</v>
      </c>
      <c r="U4715" s="19" t="str">
        <f>IFERROR(LEFT(I4714,FIND("*",I4714)-1),"-")</f>
        <v>-</v>
      </c>
      <c r="V4715" s="19" t="str">
        <f>IFERROR(RIGHT(I4714,LEN(I4714)-FIND("*",I4714)),"-")</f>
        <v>-</v>
      </c>
      <c r="W4715" s="20" t="str">
        <f t="shared" si="2560"/>
        <v>-</v>
      </c>
      <c r="X4715" s="20" t="str">
        <f t="shared" ref="X4715" si="2565">IFERROR(W4715*J4714,"-")</f>
        <v>-</v>
      </c>
      <c r="Z4715" s="85" t="s">
        <v>82</v>
      </c>
    </row>
    <row r="4716" spans="1:26" ht="6.95" customHeight="1" x14ac:dyDescent="0.3">
      <c r="A4716" s="5"/>
      <c r="B4716" s="157"/>
      <c r="C4716" s="158"/>
      <c r="D4716" s="161"/>
      <c r="E4716" s="162"/>
      <c r="F4716" s="163"/>
      <c r="G4716" s="164"/>
      <c r="H4716" s="165"/>
      <c r="I4716" s="164"/>
      <c r="J4716" s="165"/>
      <c r="K4716" s="164"/>
      <c r="L4716" s="165"/>
      <c r="M4716" s="6"/>
      <c r="N4716" s="32"/>
      <c r="Q4716" s="10" t="str">
        <f>+CONCATENATE(E4714,K4714)</f>
        <v/>
      </c>
      <c r="R4716" s="10">
        <f>+L4714</f>
        <v>0</v>
      </c>
      <c r="S4716" s="11"/>
      <c r="T4716" s="10">
        <f>+E4714</f>
        <v>0</v>
      </c>
      <c r="U4716" s="19" t="str">
        <f>IFERROR(LEFT(K4714,FIND("*",K4714)-1),"-")</f>
        <v>-</v>
      </c>
      <c r="V4716" s="19" t="str">
        <f>IFERROR(RIGHT(K4714,LEN(K4714)-FIND("*",K4714)),"-")</f>
        <v>-</v>
      </c>
      <c r="W4716" s="20" t="str">
        <f t="shared" si="2560"/>
        <v>-</v>
      </c>
      <c r="X4716" s="20" t="str">
        <f>IFERROR(W4716*L4714,"-")</f>
        <v>-</v>
      </c>
      <c r="Z4716" s="85" t="s">
        <v>82</v>
      </c>
    </row>
    <row r="4717" spans="1:26" ht="21" customHeight="1" thickBot="1" x14ac:dyDescent="0.35">
      <c r="A4717" s="5"/>
      <c r="B4717" s="159"/>
      <c r="C4717" s="160"/>
      <c r="D4717" s="166" t="s">
        <v>43</v>
      </c>
      <c r="E4717" s="167"/>
      <c r="F4717" s="167"/>
      <c r="G4717" s="168"/>
      <c r="H4717" s="168"/>
      <c r="I4717" s="168"/>
      <c r="J4717" s="168"/>
      <c r="K4717" s="168"/>
      <c r="L4717" s="168"/>
      <c r="M4717" s="7"/>
      <c r="N4717" s="32"/>
      <c r="Z4717" s="86" t="s">
        <v>81</v>
      </c>
    </row>
    <row r="4718" spans="1:26" ht="9.9499999999999993" customHeight="1" thickBot="1" x14ac:dyDescent="0.35">
      <c r="B4718" s="9"/>
      <c r="C4718" s="109"/>
      <c r="D4718" s="51"/>
      <c r="E4718" s="12"/>
      <c r="F4718" s="51"/>
      <c r="G4718" s="14"/>
      <c r="H4718" s="14"/>
      <c r="I4718" s="14"/>
      <c r="J4718" s="14"/>
      <c r="K4718" s="14"/>
      <c r="L4718" s="14"/>
      <c r="M4718" s="9"/>
      <c r="N4718" s="32"/>
      <c r="U4718" s="18"/>
      <c r="V4718" s="18"/>
      <c r="Z4718" s="85" t="s">
        <v>82</v>
      </c>
    </row>
    <row r="4719" spans="1:26" ht="6.95" customHeight="1" x14ac:dyDescent="0.3">
      <c r="A4719" s="154">
        <f>+A4708+1</f>
        <v>1228</v>
      </c>
      <c r="B4719" s="155"/>
      <c r="C4719" s="156"/>
      <c r="D4719" s="161" t="s">
        <v>39</v>
      </c>
      <c r="E4719" s="162"/>
      <c r="F4719" s="163" t="s">
        <v>40</v>
      </c>
      <c r="G4719" s="164"/>
      <c r="H4719" s="165"/>
      <c r="I4719" s="164"/>
      <c r="J4719" s="165"/>
      <c r="K4719" s="164"/>
      <c r="L4719" s="165"/>
      <c r="M4719" s="6"/>
      <c r="N4719" s="32"/>
      <c r="Q4719" s="10" t="str">
        <f>+CONCATENATE(E4719,G4719)</f>
        <v/>
      </c>
      <c r="R4719" s="10">
        <f>+H4719</f>
        <v>0</v>
      </c>
      <c r="S4719" s="11"/>
      <c r="T4719" s="10">
        <f>+E4719</f>
        <v>0</v>
      </c>
      <c r="U4719" s="19" t="str">
        <f>IFERROR(LEFT(G4719,FIND("*",G4719)-1),"-")</f>
        <v>-</v>
      </c>
      <c r="V4719" s="19" t="str">
        <f>IFERROR(RIGHT(G4719,LEN(G4719)-FIND("*",G4719)),"-")</f>
        <v>-</v>
      </c>
      <c r="W4719" s="20" t="str">
        <f>IFERROR((U4719+V4719)*2/1000,"-")</f>
        <v>-</v>
      </c>
      <c r="X4719" s="20" t="str">
        <f>IFERROR(W4719*H4719,"-")</f>
        <v>-</v>
      </c>
      <c r="Z4719" s="85" t="s">
        <v>82</v>
      </c>
    </row>
    <row r="4720" spans="1:26" ht="6.95" customHeight="1" x14ac:dyDescent="0.3">
      <c r="A4720" s="154"/>
      <c r="B4720" s="157"/>
      <c r="C4720" s="158"/>
      <c r="D4720" s="161"/>
      <c r="E4720" s="162"/>
      <c r="F4720" s="163"/>
      <c r="G4720" s="164"/>
      <c r="H4720" s="165"/>
      <c r="I4720" s="164"/>
      <c r="J4720" s="165"/>
      <c r="K4720" s="164"/>
      <c r="L4720" s="165"/>
      <c r="M4720" s="6"/>
      <c r="N4720" s="32"/>
      <c r="Q4720" s="10" t="str">
        <f>+CONCATENATE(E4719,I4719)</f>
        <v/>
      </c>
      <c r="R4720" s="10">
        <f>+J4719</f>
        <v>0</v>
      </c>
      <c r="S4720" s="11"/>
      <c r="T4720" s="10">
        <f>+E4719</f>
        <v>0</v>
      </c>
      <c r="U4720" s="19" t="str">
        <f>IFERROR(LEFT(I4719,FIND("*",I4719)-1),"-")</f>
        <v>-</v>
      </c>
      <c r="V4720" s="19" t="str">
        <f>IFERROR(RIGHT(I4719,LEN(I4719)-FIND("*",I4719)),"-")</f>
        <v>-</v>
      </c>
      <c r="W4720" s="20" t="str">
        <f t="shared" ref="W4720:W4727" si="2566">IFERROR((U4720+V4720)*2/1000,"-")</f>
        <v>-</v>
      </c>
      <c r="X4720" s="20" t="str">
        <f>IFERROR(W4720*J4719,"-")</f>
        <v>-</v>
      </c>
      <c r="Z4720" s="85" t="s">
        <v>82</v>
      </c>
    </row>
    <row r="4721" spans="1:26" ht="6.95" customHeight="1" x14ac:dyDescent="0.3">
      <c r="A4721" s="154"/>
      <c r="B4721" s="157"/>
      <c r="C4721" s="158"/>
      <c r="D4721" s="161"/>
      <c r="E4721" s="162"/>
      <c r="F4721" s="163"/>
      <c r="G4721" s="164"/>
      <c r="H4721" s="165"/>
      <c r="I4721" s="164"/>
      <c r="J4721" s="165"/>
      <c r="K4721" s="164"/>
      <c r="L4721" s="165"/>
      <c r="M4721" s="6"/>
      <c r="N4721" s="32"/>
      <c r="Q4721" s="10" t="str">
        <f>+CONCATENATE(E4719,K4719)</f>
        <v/>
      </c>
      <c r="R4721" s="10">
        <f>+L4719</f>
        <v>0</v>
      </c>
      <c r="S4721" s="11"/>
      <c r="T4721" s="10">
        <f>+E4719</f>
        <v>0</v>
      </c>
      <c r="U4721" s="19" t="str">
        <f>IFERROR(LEFT(K4719,FIND("*",K4719)-1),"-")</f>
        <v>-</v>
      </c>
      <c r="V4721" s="19" t="str">
        <f>IFERROR(RIGHT(K4719,LEN(K4719)-FIND("*",K4719)),"-")</f>
        <v>-</v>
      </c>
      <c r="W4721" s="20" t="str">
        <f t="shared" si="2566"/>
        <v>-</v>
      </c>
      <c r="X4721" s="20" t="str">
        <f>IFERROR(W4721*L4719,"-")</f>
        <v>-</v>
      </c>
      <c r="Z4721" s="85" t="s">
        <v>82</v>
      </c>
    </row>
    <row r="4722" spans="1:26" ht="6.95" customHeight="1" x14ac:dyDescent="0.3">
      <c r="A4722" s="8"/>
      <c r="B4722" s="157"/>
      <c r="C4722" s="158"/>
      <c r="D4722" s="161" t="s">
        <v>39</v>
      </c>
      <c r="E4722" s="162"/>
      <c r="F4722" s="163" t="s">
        <v>40</v>
      </c>
      <c r="G4722" s="164"/>
      <c r="H4722" s="165"/>
      <c r="I4722" s="164"/>
      <c r="J4722" s="165"/>
      <c r="K4722" s="164"/>
      <c r="L4722" s="165"/>
      <c r="M4722" s="6"/>
      <c r="N4722" s="32"/>
      <c r="Q4722" s="10" t="str">
        <f>+CONCATENATE(E4722,G4722)</f>
        <v/>
      </c>
      <c r="R4722" s="10">
        <f>+H4722</f>
        <v>0</v>
      </c>
      <c r="S4722" s="11"/>
      <c r="T4722" s="10">
        <f>+E4722</f>
        <v>0</v>
      </c>
      <c r="U4722" s="19" t="str">
        <f t="shared" ref="U4722" si="2567">IFERROR(LEFT(G4722,FIND("*",G4722)-1),"-")</f>
        <v>-</v>
      </c>
      <c r="V4722" s="19" t="str">
        <f t="shared" ref="V4722" si="2568">IFERROR(RIGHT(G4722,LEN(G4722)-FIND("*",G4722)),"-")</f>
        <v>-</v>
      </c>
      <c r="W4722" s="20" t="str">
        <f t="shared" si="2566"/>
        <v>-</v>
      </c>
      <c r="X4722" s="20" t="str">
        <f>IFERROR(W4722*H4722,"-")</f>
        <v>-</v>
      </c>
      <c r="Z4722" s="85" t="s">
        <v>82</v>
      </c>
    </row>
    <row r="4723" spans="1:26" ht="6.95" customHeight="1" x14ac:dyDescent="0.3">
      <c r="A4723" s="5"/>
      <c r="B4723" s="157"/>
      <c r="C4723" s="158"/>
      <c r="D4723" s="161"/>
      <c r="E4723" s="162"/>
      <c r="F4723" s="163"/>
      <c r="G4723" s="164"/>
      <c r="H4723" s="165"/>
      <c r="I4723" s="164"/>
      <c r="J4723" s="165"/>
      <c r="K4723" s="164"/>
      <c r="L4723" s="165"/>
      <c r="M4723" s="6"/>
      <c r="N4723" s="32"/>
      <c r="Q4723" s="10" t="str">
        <f>+CONCATENATE(E4722,I4722)</f>
        <v/>
      </c>
      <c r="R4723" s="10">
        <f>+J4722</f>
        <v>0</v>
      </c>
      <c r="S4723" s="11"/>
      <c r="T4723" s="10">
        <f>+E4722</f>
        <v>0</v>
      </c>
      <c r="U4723" s="19" t="str">
        <f>IFERROR(LEFT(I4722,FIND("*",I4722)-1),"-")</f>
        <v>-</v>
      </c>
      <c r="V4723" s="19" t="str">
        <f>IFERROR(RIGHT(I4722,LEN(I4722)-FIND("*",I4722)),"-")</f>
        <v>-</v>
      </c>
      <c r="W4723" s="20" t="str">
        <f t="shared" si="2566"/>
        <v>-</v>
      </c>
      <c r="X4723" s="20" t="str">
        <f>IFERROR(W4723*J4722,"-")</f>
        <v>-</v>
      </c>
      <c r="Z4723" s="85" t="s">
        <v>82</v>
      </c>
    </row>
    <row r="4724" spans="1:26" ht="6.95" customHeight="1" x14ac:dyDescent="0.3">
      <c r="A4724" s="5"/>
      <c r="B4724" s="157"/>
      <c r="C4724" s="158"/>
      <c r="D4724" s="161"/>
      <c r="E4724" s="162"/>
      <c r="F4724" s="163"/>
      <c r="G4724" s="164"/>
      <c r="H4724" s="165"/>
      <c r="I4724" s="164"/>
      <c r="J4724" s="165"/>
      <c r="K4724" s="164"/>
      <c r="L4724" s="165"/>
      <c r="M4724" s="6"/>
      <c r="N4724" s="32"/>
      <c r="Q4724" s="10" t="str">
        <f>+CONCATENATE(E4722,K4722)</f>
        <v/>
      </c>
      <c r="R4724" s="10">
        <f>+L4722</f>
        <v>0</v>
      </c>
      <c r="S4724" s="11"/>
      <c r="T4724" s="10">
        <f>+E4722</f>
        <v>0</v>
      </c>
      <c r="U4724" s="19" t="str">
        <f>IFERROR(LEFT(K4722,FIND("*",K4722)-1),"-")</f>
        <v>-</v>
      </c>
      <c r="V4724" s="19" t="str">
        <f>IFERROR(RIGHT(K4722,LEN(K4722)-FIND("*",K4722)),"-")</f>
        <v>-</v>
      </c>
      <c r="W4724" s="20" t="str">
        <f t="shared" si="2566"/>
        <v>-</v>
      </c>
      <c r="X4724" s="20" t="str">
        <f>IFERROR(W4724*L4722,"-")</f>
        <v>-</v>
      </c>
      <c r="Z4724" s="85" t="s">
        <v>82</v>
      </c>
    </row>
    <row r="4725" spans="1:26" ht="6.95" customHeight="1" x14ac:dyDescent="0.3">
      <c r="A4725" s="8"/>
      <c r="B4725" s="157"/>
      <c r="C4725" s="158"/>
      <c r="D4725" s="161" t="s">
        <v>39</v>
      </c>
      <c r="E4725" s="162"/>
      <c r="F4725" s="163" t="s">
        <v>40</v>
      </c>
      <c r="G4725" s="164"/>
      <c r="H4725" s="165"/>
      <c r="I4725" s="164"/>
      <c r="J4725" s="165"/>
      <c r="K4725" s="164"/>
      <c r="L4725" s="165"/>
      <c r="M4725" s="6"/>
      <c r="N4725" s="32"/>
      <c r="Q4725" s="10" t="str">
        <f>+CONCATENATE(E4725,G4725)</f>
        <v/>
      </c>
      <c r="R4725" s="10">
        <f>+H4725</f>
        <v>0</v>
      </c>
      <c r="S4725" s="11"/>
      <c r="T4725" s="10">
        <f>+E4725</f>
        <v>0</v>
      </c>
      <c r="U4725" s="19" t="str">
        <f t="shared" ref="U4725" si="2569">IFERROR(LEFT(G4725,FIND("*",G4725)-1),"-")</f>
        <v>-</v>
      </c>
      <c r="V4725" s="19" t="str">
        <f t="shared" ref="V4725" si="2570">IFERROR(RIGHT(G4725,LEN(G4725)-FIND("*",G4725)),"-")</f>
        <v>-</v>
      </c>
      <c r="W4725" s="20" t="str">
        <f t="shared" si="2566"/>
        <v>-</v>
      </c>
      <c r="X4725" s="20" t="str">
        <f>IFERROR(W4725*H4725,"-")</f>
        <v>-</v>
      </c>
      <c r="Z4725" s="85" t="s">
        <v>82</v>
      </c>
    </row>
    <row r="4726" spans="1:26" ht="6.95" customHeight="1" x14ac:dyDescent="0.3">
      <c r="A4726" s="5"/>
      <c r="B4726" s="157"/>
      <c r="C4726" s="158"/>
      <c r="D4726" s="161"/>
      <c r="E4726" s="162"/>
      <c r="F4726" s="163"/>
      <c r="G4726" s="164"/>
      <c r="H4726" s="165"/>
      <c r="I4726" s="164"/>
      <c r="J4726" s="165"/>
      <c r="K4726" s="164"/>
      <c r="L4726" s="165"/>
      <c r="M4726" s="6"/>
      <c r="N4726" s="32"/>
      <c r="Q4726" s="10" t="str">
        <f>+CONCATENATE(E4725,I4725)</f>
        <v/>
      </c>
      <c r="R4726" s="10">
        <f>+J4725</f>
        <v>0</v>
      </c>
      <c r="S4726" s="11"/>
      <c r="T4726" s="10">
        <f>+E4725</f>
        <v>0</v>
      </c>
      <c r="U4726" s="19" t="str">
        <f>IFERROR(LEFT(I4725,FIND("*",I4725)-1),"-")</f>
        <v>-</v>
      </c>
      <c r="V4726" s="19" t="str">
        <f>IFERROR(RIGHT(I4725,LEN(I4725)-FIND("*",I4725)),"-")</f>
        <v>-</v>
      </c>
      <c r="W4726" s="20" t="str">
        <f t="shared" si="2566"/>
        <v>-</v>
      </c>
      <c r="X4726" s="20" t="str">
        <f t="shared" ref="X4726" si="2571">IFERROR(W4726*J4725,"-")</f>
        <v>-</v>
      </c>
      <c r="Z4726" s="85" t="s">
        <v>82</v>
      </c>
    </row>
    <row r="4727" spans="1:26" ht="6.95" customHeight="1" x14ac:dyDescent="0.3">
      <c r="A4727" s="5"/>
      <c r="B4727" s="157"/>
      <c r="C4727" s="158"/>
      <c r="D4727" s="161"/>
      <c r="E4727" s="162"/>
      <c r="F4727" s="163"/>
      <c r="G4727" s="164"/>
      <c r="H4727" s="165"/>
      <c r="I4727" s="164"/>
      <c r="J4727" s="165"/>
      <c r="K4727" s="164"/>
      <c r="L4727" s="165"/>
      <c r="M4727" s="6"/>
      <c r="N4727" s="32"/>
      <c r="Q4727" s="10" t="str">
        <f>+CONCATENATE(E4725,K4725)</f>
        <v/>
      </c>
      <c r="R4727" s="10">
        <f>+L4725</f>
        <v>0</v>
      </c>
      <c r="S4727" s="11"/>
      <c r="T4727" s="10">
        <f>+E4725</f>
        <v>0</v>
      </c>
      <c r="U4727" s="19" t="str">
        <f>IFERROR(LEFT(K4725,FIND("*",K4725)-1),"-")</f>
        <v>-</v>
      </c>
      <c r="V4727" s="19" t="str">
        <f>IFERROR(RIGHT(K4725,LEN(K4725)-FIND("*",K4725)),"-")</f>
        <v>-</v>
      </c>
      <c r="W4727" s="20" t="str">
        <f t="shared" si="2566"/>
        <v>-</v>
      </c>
      <c r="X4727" s="20" t="str">
        <f>IFERROR(W4727*L4725,"-")</f>
        <v>-</v>
      </c>
      <c r="Z4727" s="85" t="s">
        <v>82</v>
      </c>
    </row>
    <row r="4728" spans="1:26" ht="21" customHeight="1" thickBot="1" x14ac:dyDescent="0.35">
      <c r="A4728" s="5"/>
      <c r="B4728" s="159"/>
      <c r="C4728" s="160"/>
      <c r="D4728" s="166" t="s">
        <v>43</v>
      </c>
      <c r="E4728" s="167"/>
      <c r="F4728" s="167"/>
      <c r="G4728" s="168"/>
      <c r="H4728" s="168"/>
      <c r="I4728" s="168"/>
      <c r="J4728" s="168"/>
      <c r="K4728" s="168"/>
      <c r="L4728" s="168"/>
      <c r="M4728" s="7"/>
      <c r="N4728" s="32"/>
      <c r="Z4728" s="86" t="s">
        <v>81</v>
      </c>
    </row>
    <row r="4729" spans="1:26" ht="9.9499999999999993" customHeight="1" thickBot="1" x14ac:dyDescent="0.35">
      <c r="B4729" s="9"/>
      <c r="C4729" s="109"/>
      <c r="D4729" s="51"/>
      <c r="E4729" s="12"/>
      <c r="F4729" s="51"/>
      <c r="G4729" s="14"/>
      <c r="H4729" s="14"/>
      <c r="I4729" s="14"/>
      <c r="J4729" s="14"/>
      <c r="K4729" s="14"/>
      <c r="L4729" s="14"/>
      <c r="M4729" s="9"/>
      <c r="N4729" s="32"/>
      <c r="U4729" s="18"/>
      <c r="V4729" s="18"/>
      <c r="Z4729" s="85" t="s">
        <v>82</v>
      </c>
    </row>
    <row r="4730" spans="1:26" ht="6.95" customHeight="1" x14ac:dyDescent="0.3">
      <c r="A4730" s="154">
        <f>+A4719+1</f>
        <v>1229</v>
      </c>
      <c r="B4730" s="155"/>
      <c r="C4730" s="156"/>
      <c r="D4730" s="161" t="s">
        <v>39</v>
      </c>
      <c r="E4730" s="162"/>
      <c r="F4730" s="163" t="s">
        <v>40</v>
      </c>
      <c r="G4730" s="164"/>
      <c r="H4730" s="165"/>
      <c r="I4730" s="164"/>
      <c r="J4730" s="165"/>
      <c r="K4730" s="164"/>
      <c r="L4730" s="165"/>
      <c r="M4730" s="6"/>
      <c r="N4730" s="32"/>
      <c r="Q4730" s="10" t="str">
        <f>+CONCATENATE(E4730,G4730)</f>
        <v/>
      </c>
      <c r="R4730" s="10">
        <f>+H4730</f>
        <v>0</v>
      </c>
      <c r="S4730" s="11"/>
      <c r="T4730" s="10">
        <f>+E4730</f>
        <v>0</v>
      </c>
      <c r="U4730" s="19" t="str">
        <f>IFERROR(LEFT(G4730,FIND("*",G4730)-1),"-")</f>
        <v>-</v>
      </c>
      <c r="V4730" s="19" t="str">
        <f>IFERROR(RIGHT(G4730,LEN(G4730)-FIND("*",G4730)),"-")</f>
        <v>-</v>
      </c>
      <c r="W4730" s="20" t="str">
        <f>IFERROR((U4730+V4730)*2/1000,"-")</f>
        <v>-</v>
      </c>
      <c r="X4730" s="20" t="str">
        <f>IFERROR(W4730*H4730,"-")</f>
        <v>-</v>
      </c>
      <c r="Z4730" s="85" t="s">
        <v>82</v>
      </c>
    </row>
    <row r="4731" spans="1:26" ht="6.95" customHeight="1" x14ac:dyDescent="0.3">
      <c r="A4731" s="154"/>
      <c r="B4731" s="157"/>
      <c r="C4731" s="158"/>
      <c r="D4731" s="161"/>
      <c r="E4731" s="162"/>
      <c r="F4731" s="163"/>
      <c r="G4731" s="164"/>
      <c r="H4731" s="165"/>
      <c r="I4731" s="164"/>
      <c r="J4731" s="165"/>
      <c r="K4731" s="164"/>
      <c r="L4731" s="165"/>
      <c r="M4731" s="6"/>
      <c r="N4731" s="32"/>
      <c r="Q4731" s="10" t="str">
        <f>+CONCATENATE(E4730,I4730)</f>
        <v/>
      </c>
      <c r="R4731" s="10">
        <f>+J4730</f>
        <v>0</v>
      </c>
      <c r="S4731" s="11"/>
      <c r="T4731" s="10">
        <f>+E4730</f>
        <v>0</v>
      </c>
      <c r="U4731" s="19" t="str">
        <f>IFERROR(LEFT(I4730,FIND("*",I4730)-1),"-")</f>
        <v>-</v>
      </c>
      <c r="V4731" s="19" t="str">
        <f>IFERROR(RIGHT(I4730,LEN(I4730)-FIND("*",I4730)),"-")</f>
        <v>-</v>
      </c>
      <c r="W4731" s="20" t="str">
        <f t="shared" ref="W4731:W4738" si="2572">IFERROR((U4731+V4731)*2/1000,"-")</f>
        <v>-</v>
      </c>
      <c r="X4731" s="20" t="str">
        <f>IFERROR(W4731*J4730,"-")</f>
        <v>-</v>
      </c>
      <c r="Z4731" s="85" t="s">
        <v>82</v>
      </c>
    </row>
    <row r="4732" spans="1:26" ht="6.95" customHeight="1" x14ac:dyDescent="0.3">
      <c r="A4732" s="154"/>
      <c r="B4732" s="157"/>
      <c r="C4732" s="158"/>
      <c r="D4732" s="161"/>
      <c r="E4732" s="162"/>
      <c r="F4732" s="163"/>
      <c r="G4732" s="164"/>
      <c r="H4732" s="165"/>
      <c r="I4732" s="164"/>
      <c r="J4732" s="165"/>
      <c r="K4732" s="164"/>
      <c r="L4732" s="165"/>
      <c r="M4732" s="6"/>
      <c r="N4732" s="32"/>
      <c r="Q4732" s="10" t="str">
        <f>+CONCATENATE(E4730,K4730)</f>
        <v/>
      </c>
      <c r="R4732" s="10">
        <f>+L4730</f>
        <v>0</v>
      </c>
      <c r="S4732" s="11"/>
      <c r="T4732" s="10">
        <f>+E4730</f>
        <v>0</v>
      </c>
      <c r="U4732" s="19" t="str">
        <f>IFERROR(LEFT(K4730,FIND("*",K4730)-1),"-")</f>
        <v>-</v>
      </c>
      <c r="V4732" s="19" t="str">
        <f>IFERROR(RIGHT(K4730,LEN(K4730)-FIND("*",K4730)),"-")</f>
        <v>-</v>
      </c>
      <c r="W4732" s="20" t="str">
        <f t="shared" si="2572"/>
        <v>-</v>
      </c>
      <c r="X4732" s="20" t="str">
        <f>IFERROR(W4732*L4730,"-")</f>
        <v>-</v>
      </c>
      <c r="Z4732" s="85" t="s">
        <v>82</v>
      </c>
    </row>
    <row r="4733" spans="1:26" ht="6.95" customHeight="1" x14ac:dyDescent="0.3">
      <c r="A4733" s="8"/>
      <c r="B4733" s="157"/>
      <c r="C4733" s="158"/>
      <c r="D4733" s="161" t="s">
        <v>39</v>
      </c>
      <c r="E4733" s="162"/>
      <c r="F4733" s="163" t="s">
        <v>40</v>
      </c>
      <c r="G4733" s="164"/>
      <c r="H4733" s="165"/>
      <c r="I4733" s="164"/>
      <c r="J4733" s="165"/>
      <c r="K4733" s="164"/>
      <c r="L4733" s="165"/>
      <c r="M4733" s="6"/>
      <c r="N4733" s="32"/>
      <c r="Q4733" s="10" t="str">
        <f>+CONCATENATE(E4733,G4733)</f>
        <v/>
      </c>
      <c r="R4733" s="10">
        <f>+H4733</f>
        <v>0</v>
      </c>
      <c r="S4733" s="11"/>
      <c r="T4733" s="10">
        <f>+E4733</f>
        <v>0</v>
      </c>
      <c r="U4733" s="19" t="str">
        <f t="shared" ref="U4733" si="2573">IFERROR(LEFT(G4733,FIND("*",G4733)-1),"-")</f>
        <v>-</v>
      </c>
      <c r="V4733" s="19" t="str">
        <f t="shared" ref="V4733" si="2574">IFERROR(RIGHT(G4733,LEN(G4733)-FIND("*",G4733)),"-")</f>
        <v>-</v>
      </c>
      <c r="W4733" s="20" t="str">
        <f t="shared" si="2572"/>
        <v>-</v>
      </c>
      <c r="X4733" s="20" t="str">
        <f>IFERROR(W4733*H4733,"-")</f>
        <v>-</v>
      </c>
      <c r="Z4733" s="85" t="s">
        <v>82</v>
      </c>
    </row>
    <row r="4734" spans="1:26" ht="6.95" customHeight="1" x14ac:dyDescent="0.3">
      <c r="A4734" s="5"/>
      <c r="B4734" s="157"/>
      <c r="C4734" s="158"/>
      <c r="D4734" s="161"/>
      <c r="E4734" s="162"/>
      <c r="F4734" s="163"/>
      <c r="G4734" s="164"/>
      <c r="H4734" s="165"/>
      <c r="I4734" s="164"/>
      <c r="J4734" s="165"/>
      <c r="K4734" s="164"/>
      <c r="L4734" s="165"/>
      <c r="M4734" s="6"/>
      <c r="N4734" s="32"/>
      <c r="Q4734" s="10" t="str">
        <f>+CONCATENATE(E4733,I4733)</f>
        <v/>
      </c>
      <c r="R4734" s="10">
        <f>+J4733</f>
        <v>0</v>
      </c>
      <c r="S4734" s="11"/>
      <c r="T4734" s="10">
        <f>+E4733</f>
        <v>0</v>
      </c>
      <c r="U4734" s="19" t="str">
        <f>IFERROR(LEFT(I4733,FIND("*",I4733)-1),"-")</f>
        <v>-</v>
      </c>
      <c r="V4734" s="19" t="str">
        <f>IFERROR(RIGHT(I4733,LEN(I4733)-FIND("*",I4733)),"-")</f>
        <v>-</v>
      </c>
      <c r="W4734" s="20" t="str">
        <f t="shared" si="2572"/>
        <v>-</v>
      </c>
      <c r="X4734" s="20" t="str">
        <f>IFERROR(W4734*J4733,"-")</f>
        <v>-</v>
      </c>
      <c r="Z4734" s="85" t="s">
        <v>82</v>
      </c>
    </row>
    <row r="4735" spans="1:26" ht="6.95" customHeight="1" x14ac:dyDescent="0.3">
      <c r="A4735" s="5"/>
      <c r="B4735" s="157"/>
      <c r="C4735" s="158"/>
      <c r="D4735" s="161"/>
      <c r="E4735" s="162"/>
      <c r="F4735" s="163"/>
      <c r="G4735" s="164"/>
      <c r="H4735" s="165"/>
      <c r="I4735" s="164"/>
      <c r="J4735" s="165"/>
      <c r="K4735" s="164"/>
      <c r="L4735" s="165"/>
      <c r="M4735" s="6"/>
      <c r="N4735" s="32"/>
      <c r="Q4735" s="10" t="str">
        <f>+CONCATENATE(E4733,K4733)</f>
        <v/>
      </c>
      <c r="R4735" s="10">
        <f>+L4733</f>
        <v>0</v>
      </c>
      <c r="S4735" s="11"/>
      <c r="T4735" s="10">
        <f>+E4733</f>
        <v>0</v>
      </c>
      <c r="U4735" s="19" t="str">
        <f>IFERROR(LEFT(K4733,FIND("*",K4733)-1),"-")</f>
        <v>-</v>
      </c>
      <c r="V4735" s="19" t="str">
        <f>IFERROR(RIGHT(K4733,LEN(K4733)-FIND("*",K4733)),"-")</f>
        <v>-</v>
      </c>
      <c r="W4735" s="20" t="str">
        <f t="shared" si="2572"/>
        <v>-</v>
      </c>
      <c r="X4735" s="20" t="str">
        <f>IFERROR(W4735*L4733,"-")</f>
        <v>-</v>
      </c>
      <c r="Z4735" s="85" t="s">
        <v>82</v>
      </c>
    </row>
    <row r="4736" spans="1:26" ht="6.95" customHeight="1" x14ac:dyDescent="0.3">
      <c r="A4736" s="8"/>
      <c r="B4736" s="157"/>
      <c r="C4736" s="158"/>
      <c r="D4736" s="161" t="s">
        <v>39</v>
      </c>
      <c r="E4736" s="162"/>
      <c r="F4736" s="163" t="s">
        <v>40</v>
      </c>
      <c r="G4736" s="164"/>
      <c r="H4736" s="165"/>
      <c r="I4736" s="164"/>
      <c r="J4736" s="165"/>
      <c r="K4736" s="164"/>
      <c r="L4736" s="165"/>
      <c r="M4736" s="6"/>
      <c r="N4736" s="32"/>
      <c r="Q4736" s="10" t="str">
        <f>+CONCATENATE(E4736,G4736)</f>
        <v/>
      </c>
      <c r="R4736" s="10">
        <f>+H4736</f>
        <v>0</v>
      </c>
      <c r="S4736" s="11"/>
      <c r="T4736" s="10">
        <f>+E4736</f>
        <v>0</v>
      </c>
      <c r="U4736" s="19" t="str">
        <f t="shared" ref="U4736" si="2575">IFERROR(LEFT(G4736,FIND("*",G4736)-1),"-")</f>
        <v>-</v>
      </c>
      <c r="V4736" s="19" t="str">
        <f t="shared" ref="V4736" si="2576">IFERROR(RIGHT(G4736,LEN(G4736)-FIND("*",G4736)),"-")</f>
        <v>-</v>
      </c>
      <c r="W4736" s="20" t="str">
        <f t="shared" si="2572"/>
        <v>-</v>
      </c>
      <c r="X4736" s="20" t="str">
        <f>IFERROR(W4736*H4736,"-")</f>
        <v>-</v>
      </c>
      <c r="Z4736" s="85" t="s">
        <v>82</v>
      </c>
    </row>
    <row r="4737" spans="1:26" ht="6.95" customHeight="1" x14ac:dyDescent="0.3">
      <c r="A4737" s="5"/>
      <c r="B4737" s="157"/>
      <c r="C4737" s="158"/>
      <c r="D4737" s="161"/>
      <c r="E4737" s="162"/>
      <c r="F4737" s="163"/>
      <c r="G4737" s="164"/>
      <c r="H4737" s="165"/>
      <c r="I4737" s="164"/>
      <c r="J4737" s="165"/>
      <c r="K4737" s="164"/>
      <c r="L4737" s="165"/>
      <c r="M4737" s="6"/>
      <c r="N4737" s="32"/>
      <c r="Q4737" s="10" t="str">
        <f>+CONCATENATE(E4736,I4736)</f>
        <v/>
      </c>
      <c r="R4737" s="10">
        <f>+J4736</f>
        <v>0</v>
      </c>
      <c r="S4737" s="11"/>
      <c r="T4737" s="10">
        <f>+E4736</f>
        <v>0</v>
      </c>
      <c r="U4737" s="19" t="str">
        <f>IFERROR(LEFT(I4736,FIND("*",I4736)-1),"-")</f>
        <v>-</v>
      </c>
      <c r="V4737" s="19" t="str">
        <f>IFERROR(RIGHT(I4736,LEN(I4736)-FIND("*",I4736)),"-")</f>
        <v>-</v>
      </c>
      <c r="W4737" s="20" t="str">
        <f t="shared" si="2572"/>
        <v>-</v>
      </c>
      <c r="X4737" s="20" t="str">
        <f t="shared" ref="X4737" si="2577">IFERROR(W4737*J4736,"-")</f>
        <v>-</v>
      </c>
      <c r="Z4737" s="85" t="s">
        <v>82</v>
      </c>
    </row>
    <row r="4738" spans="1:26" ht="6.95" customHeight="1" x14ac:dyDescent="0.3">
      <c r="A4738" s="5"/>
      <c r="B4738" s="157"/>
      <c r="C4738" s="158"/>
      <c r="D4738" s="161"/>
      <c r="E4738" s="162"/>
      <c r="F4738" s="163"/>
      <c r="G4738" s="164"/>
      <c r="H4738" s="165"/>
      <c r="I4738" s="164"/>
      <c r="J4738" s="165"/>
      <c r="K4738" s="164"/>
      <c r="L4738" s="165"/>
      <c r="M4738" s="6"/>
      <c r="N4738" s="32"/>
      <c r="Q4738" s="10" t="str">
        <f>+CONCATENATE(E4736,K4736)</f>
        <v/>
      </c>
      <c r="R4738" s="10">
        <f>+L4736</f>
        <v>0</v>
      </c>
      <c r="S4738" s="11"/>
      <c r="T4738" s="10">
        <f>+E4736</f>
        <v>0</v>
      </c>
      <c r="U4738" s="19" t="str">
        <f>IFERROR(LEFT(K4736,FIND("*",K4736)-1),"-")</f>
        <v>-</v>
      </c>
      <c r="V4738" s="19" t="str">
        <f>IFERROR(RIGHT(K4736,LEN(K4736)-FIND("*",K4736)),"-")</f>
        <v>-</v>
      </c>
      <c r="W4738" s="20" t="str">
        <f t="shared" si="2572"/>
        <v>-</v>
      </c>
      <c r="X4738" s="20" t="str">
        <f>IFERROR(W4738*L4736,"-")</f>
        <v>-</v>
      </c>
      <c r="Z4738" s="85" t="s">
        <v>82</v>
      </c>
    </row>
    <row r="4739" spans="1:26" ht="21" customHeight="1" thickBot="1" x14ac:dyDescent="0.35">
      <c r="A4739" s="5"/>
      <c r="B4739" s="159"/>
      <c r="C4739" s="160"/>
      <c r="D4739" s="166" t="s">
        <v>43</v>
      </c>
      <c r="E4739" s="167"/>
      <c r="F4739" s="167"/>
      <c r="G4739" s="168"/>
      <c r="H4739" s="168"/>
      <c r="I4739" s="168"/>
      <c r="J4739" s="168"/>
      <c r="K4739" s="168"/>
      <c r="L4739" s="168"/>
      <c r="M4739" s="7"/>
      <c r="N4739" s="32"/>
      <c r="Z4739" s="86" t="s">
        <v>81</v>
      </c>
    </row>
    <row r="4740" spans="1:26" ht="9.9499999999999993" customHeight="1" thickBot="1" x14ac:dyDescent="0.35">
      <c r="B4740" s="9"/>
      <c r="C4740" s="109"/>
      <c r="D4740" s="51"/>
      <c r="E4740" s="12"/>
      <c r="F4740" s="51"/>
      <c r="G4740" s="14"/>
      <c r="H4740" s="14"/>
      <c r="I4740" s="14"/>
      <c r="J4740" s="14"/>
      <c r="K4740" s="14"/>
      <c r="L4740" s="14"/>
      <c r="M4740" s="9"/>
      <c r="N4740" s="32"/>
      <c r="U4740" s="18"/>
      <c r="V4740" s="18"/>
      <c r="Z4740" s="85" t="s">
        <v>82</v>
      </c>
    </row>
    <row r="4741" spans="1:26" ht="6.95" customHeight="1" x14ac:dyDescent="0.3">
      <c r="A4741" s="154">
        <f>+A4730+1</f>
        <v>1230</v>
      </c>
      <c r="B4741" s="155"/>
      <c r="C4741" s="156"/>
      <c r="D4741" s="161" t="s">
        <v>39</v>
      </c>
      <c r="E4741" s="162"/>
      <c r="F4741" s="163" t="s">
        <v>40</v>
      </c>
      <c r="G4741" s="164"/>
      <c r="H4741" s="165"/>
      <c r="I4741" s="164"/>
      <c r="J4741" s="165"/>
      <c r="K4741" s="164"/>
      <c r="L4741" s="165"/>
      <c r="M4741" s="6"/>
      <c r="N4741" s="32"/>
      <c r="Q4741" s="10" t="str">
        <f>+CONCATENATE(E4741,G4741)</f>
        <v/>
      </c>
      <c r="R4741" s="10">
        <f>+H4741</f>
        <v>0</v>
      </c>
      <c r="S4741" s="11"/>
      <c r="T4741" s="10">
        <f>+E4741</f>
        <v>0</v>
      </c>
      <c r="U4741" s="19" t="str">
        <f>IFERROR(LEFT(G4741,FIND("*",G4741)-1),"-")</f>
        <v>-</v>
      </c>
      <c r="V4741" s="19" t="str">
        <f>IFERROR(RIGHT(G4741,LEN(G4741)-FIND("*",G4741)),"-")</f>
        <v>-</v>
      </c>
      <c r="W4741" s="20" t="str">
        <f>IFERROR((U4741+V4741)*2/1000,"-")</f>
        <v>-</v>
      </c>
      <c r="X4741" s="20" t="str">
        <f>IFERROR(W4741*H4741,"-")</f>
        <v>-</v>
      </c>
      <c r="Z4741" s="85" t="s">
        <v>82</v>
      </c>
    </row>
    <row r="4742" spans="1:26" ht="6.95" customHeight="1" x14ac:dyDescent="0.3">
      <c r="A4742" s="154"/>
      <c r="B4742" s="157"/>
      <c r="C4742" s="158"/>
      <c r="D4742" s="161"/>
      <c r="E4742" s="162"/>
      <c r="F4742" s="163"/>
      <c r="G4742" s="164"/>
      <c r="H4742" s="165"/>
      <c r="I4742" s="164"/>
      <c r="J4742" s="165"/>
      <c r="K4742" s="164"/>
      <c r="L4742" s="165"/>
      <c r="M4742" s="6"/>
      <c r="N4742" s="32"/>
      <c r="Q4742" s="10" t="str">
        <f>+CONCATENATE(E4741,I4741)</f>
        <v/>
      </c>
      <c r="R4742" s="10">
        <f>+J4741</f>
        <v>0</v>
      </c>
      <c r="S4742" s="11"/>
      <c r="T4742" s="10">
        <f>+E4741</f>
        <v>0</v>
      </c>
      <c r="U4742" s="19" t="str">
        <f>IFERROR(LEFT(I4741,FIND("*",I4741)-1),"-")</f>
        <v>-</v>
      </c>
      <c r="V4742" s="19" t="str">
        <f>IFERROR(RIGHT(I4741,LEN(I4741)-FIND("*",I4741)),"-")</f>
        <v>-</v>
      </c>
      <c r="W4742" s="20" t="str">
        <f t="shared" ref="W4742:W4749" si="2578">IFERROR((U4742+V4742)*2/1000,"-")</f>
        <v>-</v>
      </c>
      <c r="X4742" s="20" t="str">
        <f>IFERROR(W4742*J4741,"-")</f>
        <v>-</v>
      </c>
      <c r="Z4742" s="85" t="s">
        <v>82</v>
      </c>
    </row>
    <row r="4743" spans="1:26" ht="6.95" customHeight="1" x14ac:dyDescent="0.3">
      <c r="A4743" s="154"/>
      <c r="B4743" s="157"/>
      <c r="C4743" s="158"/>
      <c r="D4743" s="161"/>
      <c r="E4743" s="162"/>
      <c r="F4743" s="163"/>
      <c r="G4743" s="164"/>
      <c r="H4743" s="165"/>
      <c r="I4743" s="164"/>
      <c r="J4743" s="165"/>
      <c r="K4743" s="164"/>
      <c r="L4743" s="165"/>
      <c r="M4743" s="6"/>
      <c r="N4743" s="32"/>
      <c r="Q4743" s="10" t="str">
        <f>+CONCATENATE(E4741,K4741)</f>
        <v/>
      </c>
      <c r="R4743" s="10">
        <f>+L4741</f>
        <v>0</v>
      </c>
      <c r="S4743" s="11"/>
      <c r="T4743" s="10">
        <f>+E4741</f>
        <v>0</v>
      </c>
      <c r="U4743" s="19" t="str">
        <f>IFERROR(LEFT(K4741,FIND("*",K4741)-1),"-")</f>
        <v>-</v>
      </c>
      <c r="V4743" s="19" t="str">
        <f>IFERROR(RIGHT(K4741,LEN(K4741)-FIND("*",K4741)),"-")</f>
        <v>-</v>
      </c>
      <c r="W4743" s="20" t="str">
        <f t="shared" si="2578"/>
        <v>-</v>
      </c>
      <c r="X4743" s="20" t="str">
        <f>IFERROR(W4743*L4741,"-")</f>
        <v>-</v>
      </c>
      <c r="Z4743" s="85" t="s">
        <v>82</v>
      </c>
    </row>
    <row r="4744" spans="1:26" ht="6.95" customHeight="1" x14ac:dyDescent="0.3">
      <c r="A4744" s="8"/>
      <c r="B4744" s="157"/>
      <c r="C4744" s="158"/>
      <c r="D4744" s="161" t="s">
        <v>39</v>
      </c>
      <c r="E4744" s="162"/>
      <c r="F4744" s="163" t="s">
        <v>40</v>
      </c>
      <c r="G4744" s="164"/>
      <c r="H4744" s="165"/>
      <c r="I4744" s="164"/>
      <c r="J4744" s="165"/>
      <c r="K4744" s="164"/>
      <c r="L4744" s="165"/>
      <c r="M4744" s="6"/>
      <c r="N4744" s="32"/>
      <c r="Q4744" s="10" t="str">
        <f>+CONCATENATE(E4744,G4744)</f>
        <v/>
      </c>
      <c r="R4744" s="10">
        <f>+H4744</f>
        <v>0</v>
      </c>
      <c r="S4744" s="11"/>
      <c r="T4744" s="10">
        <f>+E4744</f>
        <v>0</v>
      </c>
      <c r="U4744" s="19" t="str">
        <f t="shared" ref="U4744" si="2579">IFERROR(LEFT(G4744,FIND("*",G4744)-1),"-")</f>
        <v>-</v>
      </c>
      <c r="V4744" s="19" t="str">
        <f t="shared" ref="V4744" si="2580">IFERROR(RIGHT(G4744,LEN(G4744)-FIND("*",G4744)),"-")</f>
        <v>-</v>
      </c>
      <c r="W4744" s="20" t="str">
        <f t="shared" si="2578"/>
        <v>-</v>
      </c>
      <c r="X4744" s="20" t="str">
        <f>IFERROR(W4744*H4744,"-")</f>
        <v>-</v>
      </c>
      <c r="Z4744" s="85" t="s">
        <v>82</v>
      </c>
    </row>
    <row r="4745" spans="1:26" ht="6.95" customHeight="1" x14ac:dyDescent="0.3">
      <c r="A4745" s="5"/>
      <c r="B4745" s="157"/>
      <c r="C4745" s="158"/>
      <c r="D4745" s="161"/>
      <c r="E4745" s="162"/>
      <c r="F4745" s="163"/>
      <c r="G4745" s="164"/>
      <c r="H4745" s="165"/>
      <c r="I4745" s="164"/>
      <c r="J4745" s="165"/>
      <c r="K4745" s="164"/>
      <c r="L4745" s="165"/>
      <c r="M4745" s="6"/>
      <c r="N4745" s="32"/>
      <c r="Q4745" s="10" t="str">
        <f>+CONCATENATE(E4744,I4744)</f>
        <v/>
      </c>
      <c r="R4745" s="10">
        <f>+J4744</f>
        <v>0</v>
      </c>
      <c r="S4745" s="11"/>
      <c r="T4745" s="10">
        <f>+E4744</f>
        <v>0</v>
      </c>
      <c r="U4745" s="19" t="str">
        <f>IFERROR(LEFT(I4744,FIND("*",I4744)-1),"-")</f>
        <v>-</v>
      </c>
      <c r="V4745" s="19" t="str">
        <f>IFERROR(RIGHT(I4744,LEN(I4744)-FIND("*",I4744)),"-")</f>
        <v>-</v>
      </c>
      <c r="W4745" s="20" t="str">
        <f t="shared" si="2578"/>
        <v>-</v>
      </c>
      <c r="X4745" s="20" t="str">
        <f>IFERROR(W4745*J4744,"-")</f>
        <v>-</v>
      </c>
      <c r="Z4745" s="85" t="s">
        <v>82</v>
      </c>
    </row>
    <row r="4746" spans="1:26" ht="6.95" customHeight="1" x14ac:dyDescent="0.3">
      <c r="A4746" s="5"/>
      <c r="B4746" s="157"/>
      <c r="C4746" s="158"/>
      <c r="D4746" s="161"/>
      <c r="E4746" s="162"/>
      <c r="F4746" s="163"/>
      <c r="G4746" s="164"/>
      <c r="H4746" s="165"/>
      <c r="I4746" s="164"/>
      <c r="J4746" s="165"/>
      <c r="K4746" s="164"/>
      <c r="L4746" s="165"/>
      <c r="M4746" s="6"/>
      <c r="N4746" s="32"/>
      <c r="Q4746" s="10" t="str">
        <f>+CONCATENATE(E4744,K4744)</f>
        <v/>
      </c>
      <c r="R4746" s="10">
        <f>+L4744</f>
        <v>0</v>
      </c>
      <c r="S4746" s="11"/>
      <c r="T4746" s="10">
        <f>+E4744</f>
        <v>0</v>
      </c>
      <c r="U4746" s="19" t="str">
        <f>IFERROR(LEFT(K4744,FIND("*",K4744)-1),"-")</f>
        <v>-</v>
      </c>
      <c r="V4746" s="19" t="str">
        <f>IFERROR(RIGHT(K4744,LEN(K4744)-FIND("*",K4744)),"-")</f>
        <v>-</v>
      </c>
      <c r="W4746" s="20" t="str">
        <f t="shared" si="2578"/>
        <v>-</v>
      </c>
      <c r="X4746" s="20" t="str">
        <f>IFERROR(W4746*L4744,"-")</f>
        <v>-</v>
      </c>
      <c r="Z4746" s="85" t="s">
        <v>82</v>
      </c>
    </row>
    <row r="4747" spans="1:26" ht="6.95" customHeight="1" x14ac:dyDescent="0.3">
      <c r="A4747" s="8"/>
      <c r="B4747" s="157"/>
      <c r="C4747" s="158"/>
      <c r="D4747" s="161" t="s">
        <v>39</v>
      </c>
      <c r="E4747" s="162"/>
      <c r="F4747" s="163" t="s">
        <v>40</v>
      </c>
      <c r="G4747" s="164"/>
      <c r="H4747" s="165"/>
      <c r="I4747" s="164"/>
      <c r="J4747" s="165"/>
      <c r="K4747" s="164"/>
      <c r="L4747" s="165"/>
      <c r="M4747" s="6"/>
      <c r="N4747" s="32"/>
      <c r="Q4747" s="10" t="str">
        <f>+CONCATENATE(E4747,G4747)</f>
        <v/>
      </c>
      <c r="R4747" s="10">
        <f>+H4747</f>
        <v>0</v>
      </c>
      <c r="S4747" s="11"/>
      <c r="T4747" s="10">
        <f>+E4747</f>
        <v>0</v>
      </c>
      <c r="U4747" s="19" t="str">
        <f t="shared" ref="U4747" si="2581">IFERROR(LEFT(G4747,FIND("*",G4747)-1),"-")</f>
        <v>-</v>
      </c>
      <c r="V4747" s="19" t="str">
        <f t="shared" ref="V4747" si="2582">IFERROR(RIGHT(G4747,LEN(G4747)-FIND("*",G4747)),"-")</f>
        <v>-</v>
      </c>
      <c r="W4747" s="20" t="str">
        <f t="shared" si="2578"/>
        <v>-</v>
      </c>
      <c r="X4747" s="20" t="str">
        <f>IFERROR(W4747*H4747,"-")</f>
        <v>-</v>
      </c>
      <c r="Z4747" s="85" t="s">
        <v>82</v>
      </c>
    </row>
    <row r="4748" spans="1:26" ht="6.95" customHeight="1" x14ac:dyDescent="0.3">
      <c r="A4748" s="5"/>
      <c r="B4748" s="157"/>
      <c r="C4748" s="158"/>
      <c r="D4748" s="161"/>
      <c r="E4748" s="162"/>
      <c r="F4748" s="163"/>
      <c r="G4748" s="164"/>
      <c r="H4748" s="165"/>
      <c r="I4748" s="164"/>
      <c r="J4748" s="165"/>
      <c r="K4748" s="164"/>
      <c r="L4748" s="165"/>
      <c r="M4748" s="6"/>
      <c r="N4748" s="32"/>
      <c r="Q4748" s="10" t="str">
        <f>+CONCATENATE(E4747,I4747)</f>
        <v/>
      </c>
      <c r="R4748" s="10">
        <f>+J4747</f>
        <v>0</v>
      </c>
      <c r="S4748" s="11"/>
      <c r="T4748" s="10">
        <f>+E4747</f>
        <v>0</v>
      </c>
      <c r="U4748" s="19" t="str">
        <f>IFERROR(LEFT(I4747,FIND("*",I4747)-1),"-")</f>
        <v>-</v>
      </c>
      <c r="V4748" s="19" t="str">
        <f>IFERROR(RIGHT(I4747,LEN(I4747)-FIND("*",I4747)),"-")</f>
        <v>-</v>
      </c>
      <c r="W4748" s="20" t="str">
        <f t="shared" si="2578"/>
        <v>-</v>
      </c>
      <c r="X4748" s="20" t="str">
        <f t="shared" ref="X4748" si="2583">IFERROR(W4748*J4747,"-")</f>
        <v>-</v>
      </c>
      <c r="Z4748" s="85" t="s">
        <v>82</v>
      </c>
    </row>
    <row r="4749" spans="1:26" ht="6.95" customHeight="1" x14ac:dyDescent="0.3">
      <c r="A4749" s="5"/>
      <c r="B4749" s="157"/>
      <c r="C4749" s="158"/>
      <c r="D4749" s="161"/>
      <c r="E4749" s="162"/>
      <c r="F4749" s="163"/>
      <c r="G4749" s="164"/>
      <c r="H4749" s="165"/>
      <c r="I4749" s="164"/>
      <c r="J4749" s="165"/>
      <c r="K4749" s="164"/>
      <c r="L4749" s="165"/>
      <c r="M4749" s="6"/>
      <c r="N4749" s="32"/>
      <c r="Q4749" s="10" t="str">
        <f>+CONCATENATE(E4747,K4747)</f>
        <v/>
      </c>
      <c r="R4749" s="10">
        <f>+L4747</f>
        <v>0</v>
      </c>
      <c r="S4749" s="11"/>
      <c r="T4749" s="10">
        <f>+E4747</f>
        <v>0</v>
      </c>
      <c r="U4749" s="19" t="str">
        <f>IFERROR(LEFT(K4747,FIND("*",K4747)-1),"-")</f>
        <v>-</v>
      </c>
      <c r="V4749" s="19" t="str">
        <f>IFERROR(RIGHT(K4747,LEN(K4747)-FIND("*",K4747)),"-")</f>
        <v>-</v>
      </c>
      <c r="W4749" s="20" t="str">
        <f t="shared" si="2578"/>
        <v>-</v>
      </c>
      <c r="X4749" s="20" t="str">
        <f>IFERROR(W4749*L4747,"-")</f>
        <v>-</v>
      </c>
      <c r="Z4749" s="85" t="s">
        <v>82</v>
      </c>
    </row>
    <row r="4750" spans="1:26" ht="21" customHeight="1" thickBot="1" x14ac:dyDescent="0.35">
      <c r="A4750" s="5"/>
      <c r="B4750" s="159"/>
      <c r="C4750" s="160"/>
      <c r="D4750" s="166" t="s">
        <v>43</v>
      </c>
      <c r="E4750" s="167"/>
      <c r="F4750" s="167"/>
      <c r="G4750" s="168"/>
      <c r="H4750" s="168"/>
      <c r="I4750" s="168"/>
      <c r="J4750" s="168"/>
      <c r="K4750" s="168"/>
      <c r="L4750" s="168"/>
      <c r="M4750" s="7"/>
      <c r="N4750" s="32"/>
      <c r="Z4750" s="86" t="s">
        <v>81</v>
      </c>
    </row>
    <row r="4751" spans="1:26" ht="9.9499999999999993" customHeight="1" thickBot="1" x14ac:dyDescent="0.35">
      <c r="B4751" s="9"/>
      <c r="C4751" s="109"/>
      <c r="D4751" s="51"/>
      <c r="E4751" s="12"/>
      <c r="F4751" s="51"/>
      <c r="G4751" s="14"/>
      <c r="H4751" s="14"/>
      <c r="I4751" s="14"/>
      <c r="J4751" s="14"/>
      <c r="K4751" s="14"/>
      <c r="L4751" s="14"/>
      <c r="M4751" s="9"/>
      <c r="N4751" s="32"/>
      <c r="U4751" s="18"/>
      <c r="V4751" s="18"/>
      <c r="Z4751" s="85" t="s">
        <v>82</v>
      </c>
    </row>
    <row r="4752" spans="1:26" ht="6.95" customHeight="1" x14ac:dyDescent="0.3">
      <c r="A4752" s="154">
        <f>+A4741+1</f>
        <v>1231</v>
      </c>
      <c r="B4752" s="155"/>
      <c r="C4752" s="156"/>
      <c r="D4752" s="161" t="s">
        <v>39</v>
      </c>
      <c r="E4752" s="162"/>
      <c r="F4752" s="163" t="s">
        <v>40</v>
      </c>
      <c r="G4752" s="164"/>
      <c r="H4752" s="165"/>
      <c r="I4752" s="164"/>
      <c r="J4752" s="165"/>
      <c r="K4752" s="164"/>
      <c r="L4752" s="165"/>
      <c r="M4752" s="6"/>
      <c r="N4752" s="32"/>
      <c r="Q4752" s="10" t="str">
        <f>+CONCATENATE(E4752,G4752)</f>
        <v/>
      </c>
      <c r="R4752" s="10">
        <f>+H4752</f>
        <v>0</v>
      </c>
      <c r="S4752" s="11"/>
      <c r="T4752" s="10">
        <f>+E4752</f>
        <v>0</v>
      </c>
      <c r="U4752" s="19" t="str">
        <f>IFERROR(LEFT(G4752,FIND("*",G4752)-1),"-")</f>
        <v>-</v>
      </c>
      <c r="V4752" s="19" t="str">
        <f>IFERROR(RIGHT(G4752,LEN(G4752)-FIND("*",G4752)),"-")</f>
        <v>-</v>
      </c>
      <c r="W4752" s="20" t="str">
        <f>IFERROR((U4752+V4752)*2/1000,"-")</f>
        <v>-</v>
      </c>
      <c r="X4752" s="20" t="str">
        <f>IFERROR(W4752*H4752,"-")</f>
        <v>-</v>
      </c>
      <c r="Z4752" s="85" t="s">
        <v>82</v>
      </c>
    </row>
    <row r="4753" spans="1:26" ht="6.95" customHeight="1" x14ac:dyDescent="0.3">
      <c r="A4753" s="154"/>
      <c r="B4753" s="157"/>
      <c r="C4753" s="158"/>
      <c r="D4753" s="161"/>
      <c r="E4753" s="162"/>
      <c r="F4753" s="163"/>
      <c r="G4753" s="164"/>
      <c r="H4753" s="165"/>
      <c r="I4753" s="164"/>
      <c r="J4753" s="165"/>
      <c r="K4753" s="164"/>
      <c r="L4753" s="165"/>
      <c r="M4753" s="6"/>
      <c r="N4753" s="32"/>
      <c r="Q4753" s="10" t="str">
        <f>+CONCATENATE(E4752,I4752)</f>
        <v/>
      </c>
      <c r="R4753" s="10">
        <f>+J4752</f>
        <v>0</v>
      </c>
      <c r="S4753" s="11"/>
      <c r="T4753" s="10">
        <f>+E4752</f>
        <v>0</v>
      </c>
      <c r="U4753" s="19" t="str">
        <f>IFERROR(LEFT(I4752,FIND("*",I4752)-1),"-")</f>
        <v>-</v>
      </c>
      <c r="V4753" s="19" t="str">
        <f>IFERROR(RIGHT(I4752,LEN(I4752)-FIND("*",I4752)),"-")</f>
        <v>-</v>
      </c>
      <c r="W4753" s="20" t="str">
        <f t="shared" ref="W4753:W4760" si="2584">IFERROR((U4753+V4753)*2/1000,"-")</f>
        <v>-</v>
      </c>
      <c r="X4753" s="20" t="str">
        <f>IFERROR(W4753*J4752,"-")</f>
        <v>-</v>
      </c>
      <c r="Z4753" s="85" t="s">
        <v>82</v>
      </c>
    </row>
    <row r="4754" spans="1:26" ht="6.95" customHeight="1" x14ac:dyDescent="0.3">
      <c r="A4754" s="154"/>
      <c r="B4754" s="157"/>
      <c r="C4754" s="158"/>
      <c r="D4754" s="161"/>
      <c r="E4754" s="162"/>
      <c r="F4754" s="163"/>
      <c r="G4754" s="164"/>
      <c r="H4754" s="165"/>
      <c r="I4754" s="164"/>
      <c r="J4754" s="165"/>
      <c r="K4754" s="164"/>
      <c r="L4754" s="165"/>
      <c r="M4754" s="6"/>
      <c r="N4754" s="32"/>
      <c r="Q4754" s="10" t="str">
        <f>+CONCATENATE(E4752,K4752)</f>
        <v/>
      </c>
      <c r="R4754" s="10">
        <f>+L4752</f>
        <v>0</v>
      </c>
      <c r="S4754" s="11"/>
      <c r="T4754" s="10">
        <f>+E4752</f>
        <v>0</v>
      </c>
      <c r="U4754" s="19" t="str">
        <f>IFERROR(LEFT(K4752,FIND("*",K4752)-1),"-")</f>
        <v>-</v>
      </c>
      <c r="V4754" s="19" t="str">
        <f>IFERROR(RIGHT(K4752,LEN(K4752)-FIND("*",K4752)),"-")</f>
        <v>-</v>
      </c>
      <c r="W4754" s="20" t="str">
        <f t="shared" si="2584"/>
        <v>-</v>
      </c>
      <c r="X4754" s="20" t="str">
        <f>IFERROR(W4754*L4752,"-")</f>
        <v>-</v>
      </c>
      <c r="Z4754" s="85" t="s">
        <v>82</v>
      </c>
    </row>
    <row r="4755" spans="1:26" ht="6.95" customHeight="1" x14ac:dyDescent="0.3">
      <c r="A4755" s="8"/>
      <c r="B4755" s="157"/>
      <c r="C4755" s="158"/>
      <c r="D4755" s="161" t="s">
        <v>39</v>
      </c>
      <c r="E4755" s="162"/>
      <c r="F4755" s="163" t="s">
        <v>40</v>
      </c>
      <c r="G4755" s="164"/>
      <c r="H4755" s="165"/>
      <c r="I4755" s="164"/>
      <c r="J4755" s="165"/>
      <c r="K4755" s="164"/>
      <c r="L4755" s="165"/>
      <c r="M4755" s="6"/>
      <c r="N4755" s="32"/>
      <c r="Q4755" s="10" t="str">
        <f>+CONCATENATE(E4755,G4755)</f>
        <v/>
      </c>
      <c r="R4755" s="10">
        <f>+H4755</f>
        <v>0</v>
      </c>
      <c r="S4755" s="11"/>
      <c r="T4755" s="10">
        <f>+E4755</f>
        <v>0</v>
      </c>
      <c r="U4755" s="19" t="str">
        <f t="shared" ref="U4755" si="2585">IFERROR(LEFT(G4755,FIND("*",G4755)-1),"-")</f>
        <v>-</v>
      </c>
      <c r="V4755" s="19" t="str">
        <f t="shared" ref="V4755" si="2586">IFERROR(RIGHT(G4755,LEN(G4755)-FIND("*",G4755)),"-")</f>
        <v>-</v>
      </c>
      <c r="W4755" s="20" t="str">
        <f t="shared" si="2584"/>
        <v>-</v>
      </c>
      <c r="X4755" s="20" t="str">
        <f>IFERROR(W4755*H4755,"-")</f>
        <v>-</v>
      </c>
      <c r="Z4755" s="85" t="s">
        <v>82</v>
      </c>
    </row>
    <row r="4756" spans="1:26" ht="6.95" customHeight="1" x14ac:dyDescent="0.3">
      <c r="A4756" s="5"/>
      <c r="B4756" s="157"/>
      <c r="C4756" s="158"/>
      <c r="D4756" s="161"/>
      <c r="E4756" s="162"/>
      <c r="F4756" s="163"/>
      <c r="G4756" s="164"/>
      <c r="H4756" s="165"/>
      <c r="I4756" s="164"/>
      <c r="J4756" s="165"/>
      <c r="K4756" s="164"/>
      <c r="L4756" s="165"/>
      <c r="M4756" s="6"/>
      <c r="N4756" s="32"/>
      <c r="Q4756" s="10" t="str">
        <f>+CONCATENATE(E4755,I4755)</f>
        <v/>
      </c>
      <c r="R4756" s="10">
        <f>+J4755</f>
        <v>0</v>
      </c>
      <c r="S4756" s="11"/>
      <c r="T4756" s="10">
        <f>+E4755</f>
        <v>0</v>
      </c>
      <c r="U4756" s="19" t="str">
        <f>IFERROR(LEFT(I4755,FIND("*",I4755)-1),"-")</f>
        <v>-</v>
      </c>
      <c r="V4756" s="19" t="str">
        <f>IFERROR(RIGHT(I4755,LEN(I4755)-FIND("*",I4755)),"-")</f>
        <v>-</v>
      </c>
      <c r="W4756" s="20" t="str">
        <f t="shared" si="2584"/>
        <v>-</v>
      </c>
      <c r="X4756" s="20" t="str">
        <f>IFERROR(W4756*J4755,"-")</f>
        <v>-</v>
      </c>
      <c r="Z4756" s="85" t="s">
        <v>82</v>
      </c>
    </row>
    <row r="4757" spans="1:26" ht="6.95" customHeight="1" x14ac:dyDescent="0.3">
      <c r="A4757" s="5"/>
      <c r="B4757" s="157"/>
      <c r="C4757" s="158"/>
      <c r="D4757" s="161"/>
      <c r="E4757" s="162"/>
      <c r="F4757" s="163"/>
      <c r="G4757" s="164"/>
      <c r="H4757" s="165"/>
      <c r="I4757" s="164"/>
      <c r="J4757" s="165"/>
      <c r="K4757" s="164"/>
      <c r="L4757" s="165"/>
      <c r="M4757" s="6"/>
      <c r="N4757" s="32"/>
      <c r="Q4757" s="10" t="str">
        <f>+CONCATENATE(E4755,K4755)</f>
        <v/>
      </c>
      <c r="R4757" s="10">
        <f>+L4755</f>
        <v>0</v>
      </c>
      <c r="S4757" s="11"/>
      <c r="T4757" s="10">
        <f>+E4755</f>
        <v>0</v>
      </c>
      <c r="U4757" s="19" t="str">
        <f>IFERROR(LEFT(K4755,FIND("*",K4755)-1),"-")</f>
        <v>-</v>
      </c>
      <c r="V4757" s="19" t="str">
        <f>IFERROR(RIGHT(K4755,LEN(K4755)-FIND("*",K4755)),"-")</f>
        <v>-</v>
      </c>
      <c r="W4757" s="20" t="str">
        <f t="shared" si="2584"/>
        <v>-</v>
      </c>
      <c r="X4757" s="20" t="str">
        <f>IFERROR(W4757*L4755,"-")</f>
        <v>-</v>
      </c>
      <c r="Z4757" s="85" t="s">
        <v>82</v>
      </c>
    </row>
    <row r="4758" spans="1:26" ht="6.95" customHeight="1" x14ac:dyDescent="0.3">
      <c r="A4758" s="8"/>
      <c r="B4758" s="157"/>
      <c r="C4758" s="158"/>
      <c r="D4758" s="161" t="s">
        <v>39</v>
      </c>
      <c r="E4758" s="162"/>
      <c r="F4758" s="163" t="s">
        <v>40</v>
      </c>
      <c r="G4758" s="164"/>
      <c r="H4758" s="165"/>
      <c r="I4758" s="164"/>
      <c r="J4758" s="165"/>
      <c r="K4758" s="164"/>
      <c r="L4758" s="165"/>
      <c r="M4758" s="6"/>
      <c r="N4758" s="32"/>
      <c r="Q4758" s="10" t="str">
        <f>+CONCATENATE(E4758,G4758)</f>
        <v/>
      </c>
      <c r="R4758" s="10">
        <f>+H4758</f>
        <v>0</v>
      </c>
      <c r="S4758" s="11"/>
      <c r="T4758" s="10">
        <f>+E4758</f>
        <v>0</v>
      </c>
      <c r="U4758" s="19" t="str">
        <f t="shared" ref="U4758" si="2587">IFERROR(LEFT(G4758,FIND("*",G4758)-1),"-")</f>
        <v>-</v>
      </c>
      <c r="V4758" s="19" t="str">
        <f t="shared" ref="V4758" si="2588">IFERROR(RIGHT(G4758,LEN(G4758)-FIND("*",G4758)),"-")</f>
        <v>-</v>
      </c>
      <c r="W4758" s="20" t="str">
        <f t="shared" si="2584"/>
        <v>-</v>
      </c>
      <c r="X4758" s="20" t="str">
        <f>IFERROR(W4758*H4758,"-")</f>
        <v>-</v>
      </c>
      <c r="Z4758" s="85" t="s">
        <v>82</v>
      </c>
    </row>
    <row r="4759" spans="1:26" ht="6.95" customHeight="1" x14ac:dyDescent="0.3">
      <c r="A4759" s="5"/>
      <c r="B4759" s="157"/>
      <c r="C4759" s="158"/>
      <c r="D4759" s="161"/>
      <c r="E4759" s="162"/>
      <c r="F4759" s="163"/>
      <c r="G4759" s="164"/>
      <c r="H4759" s="165"/>
      <c r="I4759" s="164"/>
      <c r="J4759" s="165"/>
      <c r="K4759" s="164"/>
      <c r="L4759" s="165"/>
      <c r="M4759" s="6"/>
      <c r="N4759" s="32"/>
      <c r="Q4759" s="10" t="str">
        <f>+CONCATENATE(E4758,I4758)</f>
        <v/>
      </c>
      <c r="R4759" s="10">
        <f>+J4758</f>
        <v>0</v>
      </c>
      <c r="S4759" s="11"/>
      <c r="T4759" s="10">
        <f>+E4758</f>
        <v>0</v>
      </c>
      <c r="U4759" s="19" t="str">
        <f>IFERROR(LEFT(I4758,FIND("*",I4758)-1),"-")</f>
        <v>-</v>
      </c>
      <c r="V4759" s="19" t="str">
        <f>IFERROR(RIGHT(I4758,LEN(I4758)-FIND("*",I4758)),"-")</f>
        <v>-</v>
      </c>
      <c r="W4759" s="20" t="str">
        <f t="shared" si="2584"/>
        <v>-</v>
      </c>
      <c r="X4759" s="20" t="str">
        <f t="shared" ref="X4759" si="2589">IFERROR(W4759*J4758,"-")</f>
        <v>-</v>
      </c>
      <c r="Z4759" s="85" t="s">
        <v>82</v>
      </c>
    </row>
    <row r="4760" spans="1:26" ht="6.95" customHeight="1" x14ac:dyDescent="0.3">
      <c r="A4760" s="5"/>
      <c r="B4760" s="157"/>
      <c r="C4760" s="158"/>
      <c r="D4760" s="161"/>
      <c r="E4760" s="162"/>
      <c r="F4760" s="163"/>
      <c r="G4760" s="164"/>
      <c r="H4760" s="165"/>
      <c r="I4760" s="164"/>
      <c r="J4760" s="165"/>
      <c r="K4760" s="164"/>
      <c r="L4760" s="165"/>
      <c r="M4760" s="6"/>
      <c r="N4760" s="32"/>
      <c r="Q4760" s="10" t="str">
        <f>+CONCATENATE(E4758,K4758)</f>
        <v/>
      </c>
      <c r="R4760" s="10">
        <f>+L4758</f>
        <v>0</v>
      </c>
      <c r="S4760" s="11"/>
      <c r="T4760" s="10">
        <f>+E4758</f>
        <v>0</v>
      </c>
      <c r="U4760" s="19" t="str">
        <f>IFERROR(LEFT(K4758,FIND("*",K4758)-1),"-")</f>
        <v>-</v>
      </c>
      <c r="V4760" s="19" t="str">
        <f>IFERROR(RIGHT(K4758,LEN(K4758)-FIND("*",K4758)),"-")</f>
        <v>-</v>
      </c>
      <c r="W4760" s="20" t="str">
        <f t="shared" si="2584"/>
        <v>-</v>
      </c>
      <c r="X4760" s="20" t="str">
        <f>IFERROR(W4760*L4758,"-")</f>
        <v>-</v>
      </c>
      <c r="Z4760" s="85" t="s">
        <v>82</v>
      </c>
    </row>
    <row r="4761" spans="1:26" ht="21" customHeight="1" thickBot="1" x14ac:dyDescent="0.35">
      <c r="A4761" s="5"/>
      <c r="B4761" s="159"/>
      <c r="C4761" s="160"/>
      <c r="D4761" s="166" t="s">
        <v>43</v>
      </c>
      <c r="E4761" s="167"/>
      <c r="F4761" s="167"/>
      <c r="G4761" s="168"/>
      <c r="H4761" s="168"/>
      <c r="I4761" s="168"/>
      <c r="J4761" s="168"/>
      <c r="K4761" s="168"/>
      <c r="L4761" s="168"/>
      <c r="M4761" s="7"/>
      <c r="N4761" s="32"/>
      <c r="Z4761" s="86" t="s">
        <v>81</v>
      </c>
    </row>
    <row r="4762" spans="1:26" ht="9.9499999999999993" customHeight="1" thickBot="1" x14ac:dyDescent="0.35">
      <c r="B4762" s="9"/>
      <c r="C4762" s="109"/>
      <c r="D4762" s="51"/>
      <c r="E4762" s="12"/>
      <c r="F4762" s="51"/>
      <c r="G4762" s="14"/>
      <c r="H4762" s="14"/>
      <c r="I4762" s="14"/>
      <c r="J4762" s="14"/>
      <c r="K4762" s="14"/>
      <c r="L4762" s="14"/>
      <c r="M4762" s="9"/>
      <c r="N4762" s="32"/>
      <c r="U4762" s="18"/>
      <c r="V4762" s="18"/>
      <c r="Z4762" s="85" t="s">
        <v>82</v>
      </c>
    </row>
    <row r="4763" spans="1:26" ht="6.95" customHeight="1" x14ac:dyDescent="0.3">
      <c r="A4763" s="154">
        <f>+A4752+1</f>
        <v>1232</v>
      </c>
      <c r="B4763" s="155"/>
      <c r="C4763" s="156"/>
      <c r="D4763" s="161" t="s">
        <v>39</v>
      </c>
      <c r="E4763" s="162"/>
      <c r="F4763" s="163" t="s">
        <v>40</v>
      </c>
      <c r="G4763" s="164"/>
      <c r="H4763" s="165"/>
      <c r="I4763" s="164"/>
      <c r="J4763" s="165"/>
      <c r="K4763" s="164"/>
      <c r="L4763" s="165"/>
      <c r="M4763" s="6"/>
      <c r="N4763" s="32"/>
      <c r="Q4763" s="10" t="str">
        <f>+CONCATENATE(E4763,G4763)</f>
        <v/>
      </c>
      <c r="R4763" s="10">
        <f>+H4763</f>
        <v>0</v>
      </c>
      <c r="S4763" s="11"/>
      <c r="T4763" s="10">
        <f>+E4763</f>
        <v>0</v>
      </c>
      <c r="U4763" s="19" t="str">
        <f>IFERROR(LEFT(G4763,FIND("*",G4763)-1),"-")</f>
        <v>-</v>
      </c>
      <c r="V4763" s="19" t="str">
        <f>IFERROR(RIGHT(G4763,LEN(G4763)-FIND("*",G4763)),"-")</f>
        <v>-</v>
      </c>
      <c r="W4763" s="20" t="str">
        <f>IFERROR((U4763+V4763)*2/1000,"-")</f>
        <v>-</v>
      </c>
      <c r="X4763" s="20" t="str">
        <f>IFERROR(W4763*H4763,"-")</f>
        <v>-</v>
      </c>
      <c r="Z4763" s="85" t="s">
        <v>82</v>
      </c>
    </row>
    <row r="4764" spans="1:26" ht="6.95" customHeight="1" x14ac:dyDescent="0.3">
      <c r="A4764" s="154"/>
      <c r="B4764" s="157"/>
      <c r="C4764" s="158"/>
      <c r="D4764" s="161"/>
      <c r="E4764" s="162"/>
      <c r="F4764" s="163"/>
      <c r="G4764" s="164"/>
      <c r="H4764" s="165"/>
      <c r="I4764" s="164"/>
      <c r="J4764" s="165"/>
      <c r="K4764" s="164"/>
      <c r="L4764" s="165"/>
      <c r="M4764" s="6"/>
      <c r="N4764" s="32"/>
      <c r="Q4764" s="10" t="str">
        <f>+CONCATENATE(E4763,I4763)</f>
        <v/>
      </c>
      <c r="R4764" s="10">
        <f>+J4763</f>
        <v>0</v>
      </c>
      <c r="S4764" s="11"/>
      <c r="T4764" s="10">
        <f>+E4763</f>
        <v>0</v>
      </c>
      <c r="U4764" s="19" t="str">
        <f>IFERROR(LEFT(I4763,FIND("*",I4763)-1),"-")</f>
        <v>-</v>
      </c>
      <c r="V4764" s="19" t="str">
        <f>IFERROR(RIGHT(I4763,LEN(I4763)-FIND("*",I4763)),"-")</f>
        <v>-</v>
      </c>
      <c r="W4764" s="20" t="str">
        <f t="shared" ref="W4764:W4771" si="2590">IFERROR((U4764+V4764)*2/1000,"-")</f>
        <v>-</v>
      </c>
      <c r="X4764" s="20" t="str">
        <f>IFERROR(W4764*J4763,"-")</f>
        <v>-</v>
      </c>
      <c r="Z4764" s="85" t="s">
        <v>82</v>
      </c>
    </row>
    <row r="4765" spans="1:26" ht="6.95" customHeight="1" x14ac:dyDescent="0.3">
      <c r="A4765" s="154"/>
      <c r="B4765" s="157"/>
      <c r="C4765" s="158"/>
      <c r="D4765" s="161"/>
      <c r="E4765" s="162"/>
      <c r="F4765" s="163"/>
      <c r="G4765" s="164"/>
      <c r="H4765" s="165"/>
      <c r="I4765" s="164"/>
      <c r="J4765" s="165"/>
      <c r="K4765" s="164"/>
      <c r="L4765" s="165"/>
      <c r="M4765" s="6"/>
      <c r="N4765" s="32"/>
      <c r="Q4765" s="10" t="str">
        <f>+CONCATENATE(E4763,K4763)</f>
        <v/>
      </c>
      <c r="R4765" s="10">
        <f>+L4763</f>
        <v>0</v>
      </c>
      <c r="S4765" s="11"/>
      <c r="T4765" s="10">
        <f>+E4763</f>
        <v>0</v>
      </c>
      <c r="U4765" s="19" t="str">
        <f>IFERROR(LEFT(K4763,FIND("*",K4763)-1),"-")</f>
        <v>-</v>
      </c>
      <c r="V4765" s="19" t="str">
        <f>IFERROR(RIGHT(K4763,LEN(K4763)-FIND("*",K4763)),"-")</f>
        <v>-</v>
      </c>
      <c r="W4765" s="20" t="str">
        <f t="shared" si="2590"/>
        <v>-</v>
      </c>
      <c r="X4765" s="20" t="str">
        <f>IFERROR(W4765*L4763,"-")</f>
        <v>-</v>
      </c>
      <c r="Z4765" s="85" t="s">
        <v>82</v>
      </c>
    </row>
    <row r="4766" spans="1:26" ht="6.95" customHeight="1" x14ac:dyDescent="0.3">
      <c r="A4766" s="8"/>
      <c r="B4766" s="157"/>
      <c r="C4766" s="158"/>
      <c r="D4766" s="161" t="s">
        <v>39</v>
      </c>
      <c r="E4766" s="162"/>
      <c r="F4766" s="163" t="s">
        <v>40</v>
      </c>
      <c r="G4766" s="164"/>
      <c r="H4766" s="165"/>
      <c r="I4766" s="164"/>
      <c r="J4766" s="165"/>
      <c r="K4766" s="164"/>
      <c r="L4766" s="165"/>
      <c r="M4766" s="6"/>
      <c r="N4766" s="32"/>
      <c r="Q4766" s="10" t="str">
        <f>+CONCATENATE(E4766,G4766)</f>
        <v/>
      </c>
      <c r="R4766" s="10">
        <f>+H4766</f>
        <v>0</v>
      </c>
      <c r="S4766" s="11"/>
      <c r="T4766" s="10">
        <f>+E4766</f>
        <v>0</v>
      </c>
      <c r="U4766" s="19" t="str">
        <f t="shared" ref="U4766" si="2591">IFERROR(LEFT(G4766,FIND("*",G4766)-1),"-")</f>
        <v>-</v>
      </c>
      <c r="V4766" s="19" t="str">
        <f t="shared" ref="V4766" si="2592">IFERROR(RIGHT(G4766,LEN(G4766)-FIND("*",G4766)),"-")</f>
        <v>-</v>
      </c>
      <c r="W4766" s="20" t="str">
        <f t="shared" si="2590"/>
        <v>-</v>
      </c>
      <c r="X4766" s="20" t="str">
        <f>IFERROR(W4766*H4766,"-")</f>
        <v>-</v>
      </c>
      <c r="Z4766" s="85" t="s">
        <v>82</v>
      </c>
    </row>
    <row r="4767" spans="1:26" ht="6.95" customHeight="1" x14ac:dyDescent="0.3">
      <c r="A4767" s="5"/>
      <c r="B4767" s="157"/>
      <c r="C4767" s="158"/>
      <c r="D4767" s="161"/>
      <c r="E4767" s="162"/>
      <c r="F4767" s="163"/>
      <c r="G4767" s="164"/>
      <c r="H4767" s="165"/>
      <c r="I4767" s="164"/>
      <c r="J4767" s="165"/>
      <c r="K4767" s="164"/>
      <c r="L4767" s="165"/>
      <c r="M4767" s="6"/>
      <c r="N4767" s="32"/>
      <c r="Q4767" s="10" t="str">
        <f>+CONCATENATE(E4766,I4766)</f>
        <v/>
      </c>
      <c r="R4767" s="10">
        <f>+J4766</f>
        <v>0</v>
      </c>
      <c r="S4767" s="11"/>
      <c r="T4767" s="10">
        <f>+E4766</f>
        <v>0</v>
      </c>
      <c r="U4767" s="19" t="str">
        <f>IFERROR(LEFT(I4766,FIND("*",I4766)-1),"-")</f>
        <v>-</v>
      </c>
      <c r="V4767" s="19" t="str">
        <f>IFERROR(RIGHT(I4766,LEN(I4766)-FIND("*",I4766)),"-")</f>
        <v>-</v>
      </c>
      <c r="W4767" s="20" t="str">
        <f t="shared" si="2590"/>
        <v>-</v>
      </c>
      <c r="X4767" s="20" t="str">
        <f>IFERROR(W4767*J4766,"-")</f>
        <v>-</v>
      </c>
      <c r="Z4767" s="85" t="s">
        <v>82</v>
      </c>
    </row>
    <row r="4768" spans="1:26" ht="6.95" customHeight="1" x14ac:dyDescent="0.3">
      <c r="A4768" s="5"/>
      <c r="B4768" s="157"/>
      <c r="C4768" s="158"/>
      <c r="D4768" s="161"/>
      <c r="E4768" s="162"/>
      <c r="F4768" s="163"/>
      <c r="G4768" s="164"/>
      <c r="H4768" s="165"/>
      <c r="I4768" s="164"/>
      <c r="J4768" s="165"/>
      <c r="K4768" s="164"/>
      <c r="L4768" s="165"/>
      <c r="M4768" s="6"/>
      <c r="N4768" s="32"/>
      <c r="Q4768" s="10" t="str">
        <f>+CONCATENATE(E4766,K4766)</f>
        <v/>
      </c>
      <c r="R4768" s="10">
        <f>+L4766</f>
        <v>0</v>
      </c>
      <c r="S4768" s="11"/>
      <c r="T4768" s="10">
        <f>+E4766</f>
        <v>0</v>
      </c>
      <c r="U4768" s="19" t="str">
        <f>IFERROR(LEFT(K4766,FIND("*",K4766)-1),"-")</f>
        <v>-</v>
      </c>
      <c r="V4768" s="19" t="str">
        <f>IFERROR(RIGHT(K4766,LEN(K4766)-FIND("*",K4766)),"-")</f>
        <v>-</v>
      </c>
      <c r="W4768" s="20" t="str">
        <f t="shared" si="2590"/>
        <v>-</v>
      </c>
      <c r="X4768" s="20" t="str">
        <f>IFERROR(W4768*L4766,"-")</f>
        <v>-</v>
      </c>
      <c r="Z4768" s="85" t="s">
        <v>82</v>
      </c>
    </row>
    <row r="4769" spans="1:26" ht="6.95" customHeight="1" x14ac:dyDescent="0.3">
      <c r="A4769" s="8"/>
      <c r="B4769" s="157"/>
      <c r="C4769" s="158"/>
      <c r="D4769" s="161" t="s">
        <v>39</v>
      </c>
      <c r="E4769" s="162"/>
      <c r="F4769" s="163" t="s">
        <v>40</v>
      </c>
      <c r="G4769" s="164"/>
      <c r="H4769" s="165"/>
      <c r="I4769" s="164"/>
      <c r="J4769" s="165"/>
      <c r="K4769" s="164"/>
      <c r="L4769" s="165"/>
      <c r="M4769" s="6"/>
      <c r="N4769" s="32"/>
      <c r="Q4769" s="10" t="str">
        <f>+CONCATENATE(E4769,G4769)</f>
        <v/>
      </c>
      <c r="R4769" s="10">
        <f>+H4769</f>
        <v>0</v>
      </c>
      <c r="S4769" s="11"/>
      <c r="T4769" s="10">
        <f>+E4769</f>
        <v>0</v>
      </c>
      <c r="U4769" s="19" t="str">
        <f t="shared" ref="U4769" si="2593">IFERROR(LEFT(G4769,FIND("*",G4769)-1),"-")</f>
        <v>-</v>
      </c>
      <c r="V4769" s="19" t="str">
        <f t="shared" ref="V4769" si="2594">IFERROR(RIGHT(G4769,LEN(G4769)-FIND("*",G4769)),"-")</f>
        <v>-</v>
      </c>
      <c r="W4769" s="20" t="str">
        <f t="shared" si="2590"/>
        <v>-</v>
      </c>
      <c r="X4769" s="20" t="str">
        <f>IFERROR(W4769*H4769,"-")</f>
        <v>-</v>
      </c>
      <c r="Z4769" s="85" t="s">
        <v>82</v>
      </c>
    </row>
    <row r="4770" spans="1:26" ht="6.95" customHeight="1" x14ac:dyDescent="0.3">
      <c r="A4770" s="5"/>
      <c r="B4770" s="157"/>
      <c r="C4770" s="158"/>
      <c r="D4770" s="161"/>
      <c r="E4770" s="162"/>
      <c r="F4770" s="163"/>
      <c r="G4770" s="164"/>
      <c r="H4770" s="165"/>
      <c r="I4770" s="164"/>
      <c r="J4770" s="165"/>
      <c r="K4770" s="164"/>
      <c r="L4770" s="165"/>
      <c r="M4770" s="6"/>
      <c r="N4770" s="32"/>
      <c r="Q4770" s="10" t="str">
        <f>+CONCATENATE(E4769,I4769)</f>
        <v/>
      </c>
      <c r="R4770" s="10">
        <f>+J4769</f>
        <v>0</v>
      </c>
      <c r="S4770" s="11"/>
      <c r="T4770" s="10">
        <f>+E4769</f>
        <v>0</v>
      </c>
      <c r="U4770" s="19" t="str">
        <f>IFERROR(LEFT(I4769,FIND("*",I4769)-1),"-")</f>
        <v>-</v>
      </c>
      <c r="V4770" s="19" t="str">
        <f>IFERROR(RIGHT(I4769,LEN(I4769)-FIND("*",I4769)),"-")</f>
        <v>-</v>
      </c>
      <c r="W4770" s="20" t="str">
        <f t="shared" si="2590"/>
        <v>-</v>
      </c>
      <c r="X4770" s="20" t="str">
        <f t="shared" ref="X4770" si="2595">IFERROR(W4770*J4769,"-")</f>
        <v>-</v>
      </c>
      <c r="Z4770" s="85" t="s">
        <v>82</v>
      </c>
    </row>
    <row r="4771" spans="1:26" ht="6.95" customHeight="1" x14ac:dyDescent="0.3">
      <c r="A4771" s="5"/>
      <c r="B4771" s="157"/>
      <c r="C4771" s="158"/>
      <c r="D4771" s="161"/>
      <c r="E4771" s="162"/>
      <c r="F4771" s="163"/>
      <c r="G4771" s="164"/>
      <c r="H4771" s="165"/>
      <c r="I4771" s="164"/>
      <c r="J4771" s="165"/>
      <c r="K4771" s="164"/>
      <c r="L4771" s="165"/>
      <c r="M4771" s="6"/>
      <c r="N4771" s="32"/>
      <c r="Q4771" s="10" t="str">
        <f>+CONCATENATE(E4769,K4769)</f>
        <v/>
      </c>
      <c r="R4771" s="10">
        <f>+L4769</f>
        <v>0</v>
      </c>
      <c r="S4771" s="11"/>
      <c r="T4771" s="10">
        <f>+E4769</f>
        <v>0</v>
      </c>
      <c r="U4771" s="19" t="str">
        <f>IFERROR(LEFT(K4769,FIND("*",K4769)-1),"-")</f>
        <v>-</v>
      </c>
      <c r="V4771" s="19" t="str">
        <f>IFERROR(RIGHT(K4769,LEN(K4769)-FIND("*",K4769)),"-")</f>
        <v>-</v>
      </c>
      <c r="W4771" s="20" t="str">
        <f t="shared" si="2590"/>
        <v>-</v>
      </c>
      <c r="X4771" s="20" t="str">
        <f>IFERROR(W4771*L4769,"-")</f>
        <v>-</v>
      </c>
      <c r="Z4771" s="85" t="s">
        <v>82</v>
      </c>
    </row>
    <row r="4772" spans="1:26" ht="21" customHeight="1" thickBot="1" x14ac:dyDescent="0.35">
      <c r="A4772" s="5"/>
      <c r="B4772" s="159"/>
      <c r="C4772" s="160"/>
      <c r="D4772" s="166" t="s">
        <v>43</v>
      </c>
      <c r="E4772" s="167"/>
      <c r="F4772" s="167"/>
      <c r="G4772" s="168"/>
      <c r="H4772" s="168"/>
      <c r="I4772" s="168"/>
      <c r="J4772" s="168"/>
      <c r="K4772" s="168"/>
      <c r="L4772" s="168"/>
      <c r="M4772" s="7"/>
      <c r="N4772" s="32"/>
      <c r="Z4772" s="86" t="s">
        <v>81</v>
      </c>
    </row>
    <row r="4773" spans="1:26" ht="9.9499999999999993" customHeight="1" thickBot="1" x14ac:dyDescent="0.35">
      <c r="B4773" s="9"/>
      <c r="C4773" s="109"/>
      <c r="D4773" s="51"/>
      <c r="E4773" s="12"/>
      <c r="F4773" s="51"/>
      <c r="G4773" s="14"/>
      <c r="H4773" s="14"/>
      <c r="I4773" s="14"/>
      <c r="J4773" s="14"/>
      <c r="K4773" s="14"/>
      <c r="L4773" s="14"/>
      <c r="M4773" s="9"/>
      <c r="N4773" s="32"/>
      <c r="U4773" s="18"/>
      <c r="V4773" s="18"/>
      <c r="Z4773" s="85" t="s">
        <v>82</v>
      </c>
    </row>
    <row r="4774" spans="1:26" ht="6.95" customHeight="1" x14ac:dyDescent="0.3">
      <c r="A4774" s="154">
        <f>+A4763+1</f>
        <v>1233</v>
      </c>
      <c r="B4774" s="155"/>
      <c r="C4774" s="156"/>
      <c r="D4774" s="161" t="s">
        <v>39</v>
      </c>
      <c r="E4774" s="162"/>
      <c r="F4774" s="163" t="s">
        <v>40</v>
      </c>
      <c r="G4774" s="164"/>
      <c r="H4774" s="165"/>
      <c r="I4774" s="164"/>
      <c r="J4774" s="165"/>
      <c r="K4774" s="164"/>
      <c r="L4774" s="165"/>
      <c r="M4774" s="6"/>
      <c r="N4774" s="32"/>
      <c r="Q4774" s="10" t="str">
        <f>+CONCATENATE(E4774,G4774)</f>
        <v/>
      </c>
      <c r="R4774" s="10">
        <f>+H4774</f>
        <v>0</v>
      </c>
      <c r="S4774" s="11"/>
      <c r="T4774" s="10">
        <f>+E4774</f>
        <v>0</v>
      </c>
      <c r="U4774" s="19" t="str">
        <f>IFERROR(LEFT(G4774,FIND("*",G4774)-1),"-")</f>
        <v>-</v>
      </c>
      <c r="V4774" s="19" t="str">
        <f>IFERROR(RIGHT(G4774,LEN(G4774)-FIND("*",G4774)),"-")</f>
        <v>-</v>
      </c>
      <c r="W4774" s="20" t="str">
        <f>IFERROR((U4774+V4774)*2/1000,"-")</f>
        <v>-</v>
      </c>
      <c r="X4774" s="20" t="str">
        <f>IFERROR(W4774*H4774,"-")</f>
        <v>-</v>
      </c>
      <c r="Z4774" s="85" t="s">
        <v>82</v>
      </c>
    </row>
    <row r="4775" spans="1:26" ht="6.95" customHeight="1" x14ac:dyDescent="0.3">
      <c r="A4775" s="154"/>
      <c r="B4775" s="157"/>
      <c r="C4775" s="158"/>
      <c r="D4775" s="161"/>
      <c r="E4775" s="162"/>
      <c r="F4775" s="163"/>
      <c r="G4775" s="164"/>
      <c r="H4775" s="165"/>
      <c r="I4775" s="164"/>
      <c r="J4775" s="165"/>
      <c r="K4775" s="164"/>
      <c r="L4775" s="165"/>
      <c r="M4775" s="6"/>
      <c r="N4775" s="32"/>
      <c r="Q4775" s="10" t="str">
        <f>+CONCATENATE(E4774,I4774)</f>
        <v/>
      </c>
      <c r="R4775" s="10">
        <f>+J4774</f>
        <v>0</v>
      </c>
      <c r="S4775" s="11"/>
      <c r="T4775" s="10">
        <f>+E4774</f>
        <v>0</v>
      </c>
      <c r="U4775" s="19" t="str">
        <f>IFERROR(LEFT(I4774,FIND("*",I4774)-1),"-")</f>
        <v>-</v>
      </c>
      <c r="V4775" s="19" t="str">
        <f>IFERROR(RIGHT(I4774,LEN(I4774)-FIND("*",I4774)),"-")</f>
        <v>-</v>
      </c>
      <c r="W4775" s="20" t="str">
        <f t="shared" ref="W4775:W4782" si="2596">IFERROR((U4775+V4775)*2/1000,"-")</f>
        <v>-</v>
      </c>
      <c r="X4775" s="20" t="str">
        <f>IFERROR(W4775*J4774,"-")</f>
        <v>-</v>
      </c>
      <c r="Z4775" s="85" t="s">
        <v>82</v>
      </c>
    </row>
    <row r="4776" spans="1:26" ht="6.95" customHeight="1" x14ac:dyDescent="0.3">
      <c r="A4776" s="154"/>
      <c r="B4776" s="157"/>
      <c r="C4776" s="158"/>
      <c r="D4776" s="161"/>
      <c r="E4776" s="162"/>
      <c r="F4776" s="163"/>
      <c r="G4776" s="164"/>
      <c r="H4776" s="165"/>
      <c r="I4776" s="164"/>
      <c r="J4776" s="165"/>
      <c r="K4776" s="164"/>
      <c r="L4776" s="165"/>
      <c r="M4776" s="6"/>
      <c r="N4776" s="32"/>
      <c r="Q4776" s="10" t="str">
        <f>+CONCATENATE(E4774,K4774)</f>
        <v/>
      </c>
      <c r="R4776" s="10">
        <f>+L4774</f>
        <v>0</v>
      </c>
      <c r="S4776" s="11"/>
      <c r="T4776" s="10">
        <f>+E4774</f>
        <v>0</v>
      </c>
      <c r="U4776" s="19" t="str">
        <f>IFERROR(LEFT(K4774,FIND("*",K4774)-1),"-")</f>
        <v>-</v>
      </c>
      <c r="V4776" s="19" t="str">
        <f>IFERROR(RIGHT(K4774,LEN(K4774)-FIND("*",K4774)),"-")</f>
        <v>-</v>
      </c>
      <c r="W4776" s="20" t="str">
        <f t="shared" si="2596"/>
        <v>-</v>
      </c>
      <c r="X4776" s="20" t="str">
        <f>IFERROR(W4776*L4774,"-")</f>
        <v>-</v>
      </c>
      <c r="Z4776" s="85" t="s">
        <v>82</v>
      </c>
    </row>
    <row r="4777" spans="1:26" ht="6.95" customHeight="1" x14ac:dyDescent="0.3">
      <c r="A4777" s="8"/>
      <c r="B4777" s="157"/>
      <c r="C4777" s="158"/>
      <c r="D4777" s="161" t="s">
        <v>39</v>
      </c>
      <c r="E4777" s="162"/>
      <c r="F4777" s="163" t="s">
        <v>40</v>
      </c>
      <c r="G4777" s="164"/>
      <c r="H4777" s="165"/>
      <c r="I4777" s="164"/>
      <c r="J4777" s="165"/>
      <c r="K4777" s="164"/>
      <c r="L4777" s="165"/>
      <c r="M4777" s="6"/>
      <c r="N4777" s="32"/>
      <c r="Q4777" s="10" t="str">
        <f>+CONCATENATE(E4777,G4777)</f>
        <v/>
      </c>
      <c r="R4777" s="10">
        <f>+H4777</f>
        <v>0</v>
      </c>
      <c r="S4777" s="11"/>
      <c r="T4777" s="10">
        <f>+E4777</f>
        <v>0</v>
      </c>
      <c r="U4777" s="19" t="str">
        <f t="shared" ref="U4777" si="2597">IFERROR(LEFT(G4777,FIND("*",G4777)-1),"-")</f>
        <v>-</v>
      </c>
      <c r="V4777" s="19" t="str">
        <f t="shared" ref="V4777" si="2598">IFERROR(RIGHT(G4777,LEN(G4777)-FIND("*",G4777)),"-")</f>
        <v>-</v>
      </c>
      <c r="W4777" s="20" t="str">
        <f t="shared" si="2596"/>
        <v>-</v>
      </c>
      <c r="X4777" s="20" t="str">
        <f>IFERROR(W4777*H4777,"-")</f>
        <v>-</v>
      </c>
      <c r="Z4777" s="85" t="s">
        <v>82</v>
      </c>
    </row>
    <row r="4778" spans="1:26" ht="6.95" customHeight="1" x14ac:dyDescent="0.3">
      <c r="A4778" s="5"/>
      <c r="B4778" s="157"/>
      <c r="C4778" s="158"/>
      <c r="D4778" s="161"/>
      <c r="E4778" s="162"/>
      <c r="F4778" s="163"/>
      <c r="G4778" s="164"/>
      <c r="H4778" s="165"/>
      <c r="I4778" s="164"/>
      <c r="J4778" s="165"/>
      <c r="K4778" s="164"/>
      <c r="L4778" s="165"/>
      <c r="M4778" s="6"/>
      <c r="N4778" s="32"/>
      <c r="Q4778" s="10" t="str">
        <f>+CONCATENATE(E4777,I4777)</f>
        <v/>
      </c>
      <c r="R4778" s="10">
        <f>+J4777</f>
        <v>0</v>
      </c>
      <c r="S4778" s="11"/>
      <c r="T4778" s="10">
        <f>+E4777</f>
        <v>0</v>
      </c>
      <c r="U4778" s="19" t="str">
        <f>IFERROR(LEFT(I4777,FIND("*",I4777)-1),"-")</f>
        <v>-</v>
      </c>
      <c r="V4778" s="19" t="str">
        <f>IFERROR(RIGHT(I4777,LEN(I4777)-FIND("*",I4777)),"-")</f>
        <v>-</v>
      </c>
      <c r="W4778" s="20" t="str">
        <f t="shared" si="2596"/>
        <v>-</v>
      </c>
      <c r="X4778" s="20" t="str">
        <f>IFERROR(W4778*J4777,"-")</f>
        <v>-</v>
      </c>
      <c r="Z4778" s="85" t="s">
        <v>82</v>
      </c>
    </row>
    <row r="4779" spans="1:26" ht="6.95" customHeight="1" x14ac:dyDescent="0.3">
      <c r="A4779" s="5"/>
      <c r="B4779" s="157"/>
      <c r="C4779" s="158"/>
      <c r="D4779" s="161"/>
      <c r="E4779" s="162"/>
      <c r="F4779" s="163"/>
      <c r="G4779" s="164"/>
      <c r="H4779" s="165"/>
      <c r="I4779" s="164"/>
      <c r="J4779" s="165"/>
      <c r="K4779" s="164"/>
      <c r="L4779" s="165"/>
      <c r="M4779" s="6"/>
      <c r="N4779" s="32"/>
      <c r="Q4779" s="10" t="str">
        <f>+CONCATENATE(E4777,K4777)</f>
        <v/>
      </c>
      <c r="R4779" s="10">
        <f>+L4777</f>
        <v>0</v>
      </c>
      <c r="S4779" s="11"/>
      <c r="T4779" s="10">
        <f>+E4777</f>
        <v>0</v>
      </c>
      <c r="U4779" s="19" t="str">
        <f>IFERROR(LEFT(K4777,FIND("*",K4777)-1),"-")</f>
        <v>-</v>
      </c>
      <c r="V4779" s="19" t="str">
        <f>IFERROR(RIGHT(K4777,LEN(K4777)-FIND("*",K4777)),"-")</f>
        <v>-</v>
      </c>
      <c r="W4779" s="20" t="str">
        <f t="shared" si="2596"/>
        <v>-</v>
      </c>
      <c r="X4779" s="20" t="str">
        <f>IFERROR(W4779*L4777,"-")</f>
        <v>-</v>
      </c>
      <c r="Z4779" s="85" t="s">
        <v>82</v>
      </c>
    </row>
    <row r="4780" spans="1:26" ht="6.95" customHeight="1" x14ac:dyDescent="0.3">
      <c r="A4780" s="8"/>
      <c r="B4780" s="157"/>
      <c r="C4780" s="158"/>
      <c r="D4780" s="161" t="s">
        <v>39</v>
      </c>
      <c r="E4780" s="162"/>
      <c r="F4780" s="163" t="s">
        <v>40</v>
      </c>
      <c r="G4780" s="164"/>
      <c r="H4780" s="165"/>
      <c r="I4780" s="164"/>
      <c r="J4780" s="165"/>
      <c r="K4780" s="164"/>
      <c r="L4780" s="165"/>
      <c r="M4780" s="6"/>
      <c r="N4780" s="32"/>
      <c r="Q4780" s="10" t="str">
        <f>+CONCATENATE(E4780,G4780)</f>
        <v/>
      </c>
      <c r="R4780" s="10">
        <f>+H4780</f>
        <v>0</v>
      </c>
      <c r="S4780" s="11"/>
      <c r="T4780" s="10">
        <f>+E4780</f>
        <v>0</v>
      </c>
      <c r="U4780" s="19" t="str">
        <f t="shared" ref="U4780" si="2599">IFERROR(LEFT(G4780,FIND("*",G4780)-1),"-")</f>
        <v>-</v>
      </c>
      <c r="V4780" s="19" t="str">
        <f t="shared" ref="V4780" si="2600">IFERROR(RIGHT(G4780,LEN(G4780)-FIND("*",G4780)),"-")</f>
        <v>-</v>
      </c>
      <c r="W4780" s="20" t="str">
        <f t="shared" si="2596"/>
        <v>-</v>
      </c>
      <c r="X4780" s="20" t="str">
        <f>IFERROR(W4780*H4780,"-")</f>
        <v>-</v>
      </c>
      <c r="Z4780" s="85" t="s">
        <v>82</v>
      </c>
    </row>
    <row r="4781" spans="1:26" ht="6.95" customHeight="1" x14ac:dyDescent="0.3">
      <c r="A4781" s="5"/>
      <c r="B4781" s="157"/>
      <c r="C4781" s="158"/>
      <c r="D4781" s="161"/>
      <c r="E4781" s="162"/>
      <c r="F4781" s="163"/>
      <c r="G4781" s="164"/>
      <c r="H4781" s="165"/>
      <c r="I4781" s="164"/>
      <c r="J4781" s="165"/>
      <c r="K4781" s="164"/>
      <c r="L4781" s="165"/>
      <c r="M4781" s="6"/>
      <c r="N4781" s="32"/>
      <c r="Q4781" s="10" t="str">
        <f>+CONCATENATE(E4780,I4780)</f>
        <v/>
      </c>
      <c r="R4781" s="10">
        <f>+J4780</f>
        <v>0</v>
      </c>
      <c r="S4781" s="11"/>
      <c r="T4781" s="10">
        <f>+E4780</f>
        <v>0</v>
      </c>
      <c r="U4781" s="19" t="str">
        <f>IFERROR(LEFT(I4780,FIND("*",I4780)-1),"-")</f>
        <v>-</v>
      </c>
      <c r="V4781" s="19" t="str">
        <f>IFERROR(RIGHT(I4780,LEN(I4780)-FIND("*",I4780)),"-")</f>
        <v>-</v>
      </c>
      <c r="W4781" s="20" t="str">
        <f t="shared" si="2596"/>
        <v>-</v>
      </c>
      <c r="X4781" s="20" t="str">
        <f t="shared" ref="X4781" si="2601">IFERROR(W4781*J4780,"-")</f>
        <v>-</v>
      </c>
      <c r="Z4781" s="85" t="s">
        <v>82</v>
      </c>
    </row>
    <row r="4782" spans="1:26" ht="6.95" customHeight="1" x14ac:dyDescent="0.3">
      <c r="A4782" s="5"/>
      <c r="B4782" s="157"/>
      <c r="C4782" s="158"/>
      <c r="D4782" s="161"/>
      <c r="E4782" s="162"/>
      <c r="F4782" s="163"/>
      <c r="G4782" s="164"/>
      <c r="H4782" s="165"/>
      <c r="I4782" s="164"/>
      <c r="J4782" s="165"/>
      <c r="K4782" s="164"/>
      <c r="L4782" s="165"/>
      <c r="M4782" s="6"/>
      <c r="N4782" s="32"/>
      <c r="Q4782" s="10" t="str">
        <f>+CONCATENATE(E4780,K4780)</f>
        <v/>
      </c>
      <c r="R4782" s="10">
        <f>+L4780</f>
        <v>0</v>
      </c>
      <c r="S4782" s="11"/>
      <c r="T4782" s="10">
        <f>+E4780</f>
        <v>0</v>
      </c>
      <c r="U4782" s="19" t="str">
        <f>IFERROR(LEFT(K4780,FIND("*",K4780)-1),"-")</f>
        <v>-</v>
      </c>
      <c r="V4782" s="19" t="str">
        <f>IFERROR(RIGHT(K4780,LEN(K4780)-FIND("*",K4780)),"-")</f>
        <v>-</v>
      </c>
      <c r="W4782" s="20" t="str">
        <f t="shared" si="2596"/>
        <v>-</v>
      </c>
      <c r="X4782" s="20" t="str">
        <f>IFERROR(W4782*L4780,"-")</f>
        <v>-</v>
      </c>
      <c r="Z4782" s="85" t="s">
        <v>82</v>
      </c>
    </row>
    <row r="4783" spans="1:26" ht="21" customHeight="1" thickBot="1" x14ac:dyDescent="0.35">
      <c r="A4783" s="5"/>
      <c r="B4783" s="159"/>
      <c r="C4783" s="160"/>
      <c r="D4783" s="166" t="s">
        <v>43</v>
      </c>
      <c r="E4783" s="167"/>
      <c r="F4783" s="167"/>
      <c r="G4783" s="168"/>
      <c r="H4783" s="168"/>
      <c r="I4783" s="168"/>
      <c r="J4783" s="168"/>
      <c r="K4783" s="168"/>
      <c r="L4783" s="168"/>
      <c r="M4783" s="7"/>
      <c r="N4783" s="32"/>
      <c r="Z4783" s="86" t="s">
        <v>81</v>
      </c>
    </row>
    <row r="4784" spans="1:26" ht="9.9499999999999993" customHeight="1" thickBot="1" x14ac:dyDescent="0.35">
      <c r="B4784" s="9"/>
      <c r="C4784" s="109"/>
      <c r="D4784" s="51"/>
      <c r="E4784" s="12"/>
      <c r="F4784" s="51"/>
      <c r="G4784" s="14"/>
      <c r="H4784" s="14"/>
      <c r="I4784" s="14"/>
      <c r="J4784" s="14"/>
      <c r="K4784" s="14"/>
      <c r="L4784" s="14"/>
      <c r="M4784" s="9"/>
      <c r="N4784" s="32"/>
      <c r="U4784" s="18"/>
      <c r="V4784" s="18"/>
      <c r="Z4784" s="85" t="s">
        <v>82</v>
      </c>
    </row>
    <row r="4785" spans="1:26" ht="6.95" customHeight="1" x14ac:dyDescent="0.3">
      <c r="A4785" s="154">
        <f>+A4774+1</f>
        <v>1234</v>
      </c>
      <c r="B4785" s="155"/>
      <c r="C4785" s="156"/>
      <c r="D4785" s="161" t="s">
        <v>39</v>
      </c>
      <c r="E4785" s="162"/>
      <c r="F4785" s="163" t="s">
        <v>40</v>
      </c>
      <c r="G4785" s="164"/>
      <c r="H4785" s="165"/>
      <c r="I4785" s="164"/>
      <c r="J4785" s="165"/>
      <c r="K4785" s="164"/>
      <c r="L4785" s="165"/>
      <c r="M4785" s="6"/>
      <c r="N4785" s="32"/>
      <c r="Q4785" s="10" t="str">
        <f>+CONCATENATE(E4785,G4785)</f>
        <v/>
      </c>
      <c r="R4785" s="10">
        <f>+H4785</f>
        <v>0</v>
      </c>
      <c r="S4785" s="11"/>
      <c r="T4785" s="10">
        <f>+E4785</f>
        <v>0</v>
      </c>
      <c r="U4785" s="19" t="str">
        <f>IFERROR(LEFT(G4785,FIND("*",G4785)-1),"-")</f>
        <v>-</v>
      </c>
      <c r="V4785" s="19" t="str">
        <f>IFERROR(RIGHT(G4785,LEN(G4785)-FIND("*",G4785)),"-")</f>
        <v>-</v>
      </c>
      <c r="W4785" s="20" t="str">
        <f>IFERROR((U4785+V4785)*2/1000,"-")</f>
        <v>-</v>
      </c>
      <c r="X4785" s="20" t="str">
        <f>IFERROR(W4785*H4785,"-")</f>
        <v>-</v>
      </c>
      <c r="Z4785" s="85" t="s">
        <v>82</v>
      </c>
    </row>
    <row r="4786" spans="1:26" ht="6.95" customHeight="1" x14ac:dyDescent="0.3">
      <c r="A4786" s="154"/>
      <c r="B4786" s="157"/>
      <c r="C4786" s="158"/>
      <c r="D4786" s="161"/>
      <c r="E4786" s="162"/>
      <c r="F4786" s="163"/>
      <c r="G4786" s="164"/>
      <c r="H4786" s="165"/>
      <c r="I4786" s="164"/>
      <c r="J4786" s="165"/>
      <c r="K4786" s="164"/>
      <c r="L4786" s="165"/>
      <c r="M4786" s="6"/>
      <c r="N4786" s="32"/>
      <c r="Q4786" s="10" t="str">
        <f>+CONCATENATE(E4785,I4785)</f>
        <v/>
      </c>
      <c r="R4786" s="10">
        <f>+J4785</f>
        <v>0</v>
      </c>
      <c r="S4786" s="11"/>
      <c r="T4786" s="10">
        <f>+E4785</f>
        <v>0</v>
      </c>
      <c r="U4786" s="19" t="str">
        <f>IFERROR(LEFT(I4785,FIND("*",I4785)-1),"-")</f>
        <v>-</v>
      </c>
      <c r="V4786" s="19" t="str">
        <f>IFERROR(RIGHT(I4785,LEN(I4785)-FIND("*",I4785)),"-")</f>
        <v>-</v>
      </c>
      <c r="W4786" s="20" t="str">
        <f t="shared" ref="W4786:W4793" si="2602">IFERROR((U4786+V4786)*2/1000,"-")</f>
        <v>-</v>
      </c>
      <c r="X4786" s="20" t="str">
        <f>IFERROR(W4786*J4785,"-")</f>
        <v>-</v>
      </c>
      <c r="Z4786" s="85" t="s">
        <v>82</v>
      </c>
    </row>
    <row r="4787" spans="1:26" ht="6.95" customHeight="1" x14ac:dyDescent="0.3">
      <c r="A4787" s="154"/>
      <c r="B4787" s="157"/>
      <c r="C4787" s="158"/>
      <c r="D4787" s="161"/>
      <c r="E4787" s="162"/>
      <c r="F4787" s="163"/>
      <c r="G4787" s="164"/>
      <c r="H4787" s="165"/>
      <c r="I4787" s="164"/>
      <c r="J4787" s="165"/>
      <c r="K4787" s="164"/>
      <c r="L4787" s="165"/>
      <c r="M4787" s="6"/>
      <c r="N4787" s="32"/>
      <c r="Q4787" s="10" t="str">
        <f>+CONCATENATE(E4785,K4785)</f>
        <v/>
      </c>
      <c r="R4787" s="10">
        <f>+L4785</f>
        <v>0</v>
      </c>
      <c r="S4787" s="11"/>
      <c r="T4787" s="10">
        <f>+E4785</f>
        <v>0</v>
      </c>
      <c r="U4787" s="19" t="str">
        <f>IFERROR(LEFT(K4785,FIND("*",K4785)-1),"-")</f>
        <v>-</v>
      </c>
      <c r="V4787" s="19" t="str">
        <f>IFERROR(RIGHT(K4785,LEN(K4785)-FIND("*",K4785)),"-")</f>
        <v>-</v>
      </c>
      <c r="W4787" s="20" t="str">
        <f t="shared" si="2602"/>
        <v>-</v>
      </c>
      <c r="X4787" s="20" t="str">
        <f>IFERROR(W4787*L4785,"-")</f>
        <v>-</v>
      </c>
      <c r="Z4787" s="85" t="s">
        <v>82</v>
      </c>
    </row>
    <row r="4788" spans="1:26" ht="6.95" customHeight="1" x14ac:dyDescent="0.3">
      <c r="A4788" s="8"/>
      <c r="B4788" s="157"/>
      <c r="C4788" s="158"/>
      <c r="D4788" s="161" t="s">
        <v>39</v>
      </c>
      <c r="E4788" s="162"/>
      <c r="F4788" s="163" t="s">
        <v>40</v>
      </c>
      <c r="G4788" s="164"/>
      <c r="H4788" s="165"/>
      <c r="I4788" s="164"/>
      <c r="J4788" s="165"/>
      <c r="K4788" s="164"/>
      <c r="L4788" s="165"/>
      <c r="M4788" s="6"/>
      <c r="N4788" s="32"/>
      <c r="Q4788" s="10" t="str">
        <f>+CONCATENATE(E4788,G4788)</f>
        <v/>
      </c>
      <c r="R4788" s="10">
        <f>+H4788</f>
        <v>0</v>
      </c>
      <c r="S4788" s="11"/>
      <c r="T4788" s="10">
        <f>+E4788</f>
        <v>0</v>
      </c>
      <c r="U4788" s="19" t="str">
        <f t="shared" ref="U4788" si="2603">IFERROR(LEFT(G4788,FIND("*",G4788)-1),"-")</f>
        <v>-</v>
      </c>
      <c r="V4788" s="19" t="str">
        <f t="shared" ref="V4788" si="2604">IFERROR(RIGHT(G4788,LEN(G4788)-FIND("*",G4788)),"-")</f>
        <v>-</v>
      </c>
      <c r="W4788" s="20" t="str">
        <f t="shared" si="2602"/>
        <v>-</v>
      </c>
      <c r="X4788" s="20" t="str">
        <f>IFERROR(W4788*H4788,"-")</f>
        <v>-</v>
      </c>
      <c r="Z4788" s="85" t="s">
        <v>82</v>
      </c>
    </row>
    <row r="4789" spans="1:26" ht="6.95" customHeight="1" x14ac:dyDescent="0.3">
      <c r="A4789" s="5"/>
      <c r="B4789" s="157"/>
      <c r="C4789" s="158"/>
      <c r="D4789" s="161"/>
      <c r="E4789" s="162"/>
      <c r="F4789" s="163"/>
      <c r="G4789" s="164"/>
      <c r="H4789" s="165"/>
      <c r="I4789" s="164"/>
      <c r="J4789" s="165"/>
      <c r="K4789" s="164"/>
      <c r="L4789" s="165"/>
      <c r="M4789" s="6"/>
      <c r="N4789" s="32"/>
      <c r="Q4789" s="10" t="str">
        <f>+CONCATENATE(E4788,I4788)</f>
        <v/>
      </c>
      <c r="R4789" s="10">
        <f>+J4788</f>
        <v>0</v>
      </c>
      <c r="S4789" s="11"/>
      <c r="T4789" s="10">
        <f>+E4788</f>
        <v>0</v>
      </c>
      <c r="U4789" s="19" t="str">
        <f>IFERROR(LEFT(I4788,FIND("*",I4788)-1),"-")</f>
        <v>-</v>
      </c>
      <c r="V4789" s="19" t="str">
        <f>IFERROR(RIGHT(I4788,LEN(I4788)-FIND("*",I4788)),"-")</f>
        <v>-</v>
      </c>
      <c r="W4789" s="20" t="str">
        <f t="shared" si="2602"/>
        <v>-</v>
      </c>
      <c r="X4789" s="20" t="str">
        <f>IFERROR(W4789*J4788,"-")</f>
        <v>-</v>
      </c>
      <c r="Z4789" s="85" t="s">
        <v>82</v>
      </c>
    </row>
    <row r="4790" spans="1:26" ht="6.95" customHeight="1" x14ac:dyDescent="0.3">
      <c r="A4790" s="5"/>
      <c r="B4790" s="157"/>
      <c r="C4790" s="158"/>
      <c r="D4790" s="161"/>
      <c r="E4790" s="162"/>
      <c r="F4790" s="163"/>
      <c r="G4790" s="164"/>
      <c r="H4790" s="165"/>
      <c r="I4790" s="164"/>
      <c r="J4790" s="165"/>
      <c r="K4790" s="164"/>
      <c r="L4790" s="165"/>
      <c r="M4790" s="6"/>
      <c r="N4790" s="32"/>
      <c r="Q4790" s="10" t="str">
        <f>+CONCATENATE(E4788,K4788)</f>
        <v/>
      </c>
      <c r="R4790" s="10">
        <f>+L4788</f>
        <v>0</v>
      </c>
      <c r="S4790" s="11"/>
      <c r="T4790" s="10">
        <f>+E4788</f>
        <v>0</v>
      </c>
      <c r="U4790" s="19" t="str">
        <f>IFERROR(LEFT(K4788,FIND("*",K4788)-1),"-")</f>
        <v>-</v>
      </c>
      <c r="V4790" s="19" t="str">
        <f>IFERROR(RIGHT(K4788,LEN(K4788)-FIND("*",K4788)),"-")</f>
        <v>-</v>
      </c>
      <c r="W4790" s="20" t="str">
        <f t="shared" si="2602"/>
        <v>-</v>
      </c>
      <c r="X4790" s="20" t="str">
        <f>IFERROR(W4790*L4788,"-")</f>
        <v>-</v>
      </c>
      <c r="Z4790" s="85" t="s">
        <v>82</v>
      </c>
    </row>
    <row r="4791" spans="1:26" ht="6.95" customHeight="1" x14ac:dyDescent="0.3">
      <c r="A4791" s="8"/>
      <c r="B4791" s="157"/>
      <c r="C4791" s="158"/>
      <c r="D4791" s="161" t="s">
        <v>39</v>
      </c>
      <c r="E4791" s="162"/>
      <c r="F4791" s="163" t="s">
        <v>40</v>
      </c>
      <c r="G4791" s="164"/>
      <c r="H4791" s="165"/>
      <c r="I4791" s="164"/>
      <c r="J4791" s="165"/>
      <c r="K4791" s="164"/>
      <c r="L4791" s="165"/>
      <c r="M4791" s="6"/>
      <c r="N4791" s="32"/>
      <c r="Q4791" s="10" t="str">
        <f>+CONCATENATE(E4791,G4791)</f>
        <v/>
      </c>
      <c r="R4791" s="10">
        <f>+H4791</f>
        <v>0</v>
      </c>
      <c r="S4791" s="11"/>
      <c r="T4791" s="10">
        <f>+E4791</f>
        <v>0</v>
      </c>
      <c r="U4791" s="19" t="str">
        <f t="shared" ref="U4791" si="2605">IFERROR(LEFT(G4791,FIND("*",G4791)-1),"-")</f>
        <v>-</v>
      </c>
      <c r="V4791" s="19" t="str">
        <f t="shared" ref="V4791" si="2606">IFERROR(RIGHT(G4791,LEN(G4791)-FIND("*",G4791)),"-")</f>
        <v>-</v>
      </c>
      <c r="W4791" s="20" t="str">
        <f t="shared" si="2602"/>
        <v>-</v>
      </c>
      <c r="X4791" s="20" t="str">
        <f>IFERROR(W4791*H4791,"-")</f>
        <v>-</v>
      </c>
      <c r="Z4791" s="85" t="s">
        <v>82</v>
      </c>
    </row>
    <row r="4792" spans="1:26" ht="6.95" customHeight="1" x14ac:dyDescent="0.3">
      <c r="A4792" s="5"/>
      <c r="B4792" s="157"/>
      <c r="C4792" s="158"/>
      <c r="D4792" s="161"/>
      <c r="E4792" s="162"/>
      <c r="F4792" s="163"/>
      <c r="G4792" s="164"/>
      <c r="H4792" s="165"/>
      <c r="I4792" s="164"/>
      <c r="J4792" s="165"/>
      <c r="K4792" s="164"/>
      <c r="L4792" s="165"/>
      <c r="M4792" s="6"/>
      <c r="N4792" s="32"/>
      <c r="Q4792" s="10" t="str">
        <f>+CONCATENATE(E4791,I4791)</f>
        <v/>
      </c>
      <c r="R4792" s="10">
        <f>+J4791</f>
        <v>0</v>
      </c>
      <c r="S4792" s="11"/>
      <c r="T4792" s="10">
        <f>+E4791</f>
        <v>0</v>
      </c>
      <c r="U4792" s="19" t="str">
        <f>IFERROR(LEFT(I4791,FIND("*",I4791)-1),"-")</f>
        <v>-</v>
      </c>
      <c r="V4792" s="19" t="str">
        <f>IFERROR(RIGHT(I4791,LEN(I4791)-FIND("*",I4791)),"-")</f>
        <v>-</v>
      </c>
      <c r="W4792" s="20" t="str">
        <f t="shared" si="2602"/>
        <v>-</v>
      </c>
      <c r="X4792" s="20" t="str">
        <f t="shared" ref="X4792" si="2607">IFERROR(W4792*J4791,"-")</f>
        <v>-</v>
      </c>
      <c r="Z4792" s="85" t="s">
        <v>82</v>
      </c>
    </row>
    <row r="4793" spans="1:26" ht="6.95" customHeight="1" x14ac:dyDescent="0.3">
      <c r="A4793" s="5"/>
      <c r="B4793" s="157"/>
      <c r="C4793" s="158"/>
      <c r="D4793" s="161"/>
      <c r="E4793" s="162"/>
      <c r="F4793" s="163"/>
      <c r="G4793" s="164"/>
      <c r="H4793" s="165"/>
      <c r="I4793" s="164"/>
      <c r="J4793" s="165"/>
      <c r="K4793" s="164"/>
      <c r="L4793" s="165"/>
      <c r="M4793" s="6"/>
      <c r="N4793" s="32"/>
      <c r="Q4793" s="10" t="str">
        <f>+CONCATENATE(E4791,K4791)</f>
        <v/>
      </c>
      <c r="R4793" s="10">
        <f>+L4791</f>
        <v>0</v>
      </c>
      <c r="S4793" s="11"/>
      <c r="T4793" s="10">
        <f>+E4791</f>
        <v>0</v>
      </c>
      <c r="U4793" s="19" t="str">
        <f>IFERROR(LEFT(K4791,FIND("*",K4791)-1),"-")</f>
        <v>-</v>
      </c>
      <c r="V4793" s="19" t="str">
        <f>IFERROR(RIGHT(K4791,LEN(K4791)-FIND("*",K4791)),"-")</f>
        <v>-</v>
      </c>
      <c r="W4793" s="20" t="str">
        <f t="shared" si="2602"/>
        <v>-</v>
      </c>
      <c r="X4793" s="20" t="str">
        <f>IFERROR(W4793*L4791,"-")</f>
        <v>-</v>
      </c>
      <c r="Z4793" s="85" t="s">
        <v>82</v>
      </c>
    </row>
    <row r="4794" spans="1:26" ht="21" customHeight="1" thickBot="1" x14ac:dyDescent="0.35">
      <c r="A4794" s="5"/>
      <c r="B4794" s="159"/>
      <c r="C4794" s="160"/>
      <c r="D4794" s="166" t="s">
        <v>43</v>
      </c>
      <c r="E4794" s="167"/>
      <c r="F4794" s="167"/>
      <c r="G4794" s="168"/>
      <c r="H4794" s="168"/>
      <c r="I4794" s="168"/>
      <c r="J4794" s="168"/>
      <c r="K4794" s="168"/>
      <c r="L4794" s="168"/>
      <c r="M4794" s="7"/>
      <c r="N4794" s="32"/>
      <c r="Z4794" s="86" t="s">
        <v>81</v>
      </c>
    </row>
    <row r="4795" spans="1:26" ht="9.9499999999999993" customHeight="1" thickBot="1" x14ac:dyDescent="0.35">
      <c r="B4795" s="9"/>
      <c r="C4795" s="109"/>
      <c r="D4795" s="51"/>
      <c r="E4795" s="12"/>
      <c r="F4795" s="51"/>
      <c r="G4795" s="14"/>
      <c r="H4795" s="14"/>
      <c r="I4795" s="14"/>
      <c r="J4795" s="14"/>
      <c r="K4795" s="14"/>
      <c r="L4795" s="14"/>
      <c r="M4795" s="9"/>
      <c r="N4795" s="32"/>
      <c r="U4795" s="18"/>
      <c r="V4795" s="18"/>
      <c r="Z4795" s="85" t="s">
        <v>82</v>
      </c>
    </row>
    <row r="4796" spans="1:26" ht="6.95" customHeight="1" x14ac:dyDescent="0.3">
      <c r="A4796" s="154">
        <f>+A4785+1</f>
        <v>1235</v>
      </c>
      <c r="B4796" s="155"/>
      <c r="C4796" s="156"/>
      <c r="D4796" s="161" t="s">
        <v>39</v>
      </c>
      <c r="E4796" s="162"/>
      <c r="F4796" s="163" t="s">
        <v>40</v>
      </c>
      <c r="G4796" s="164"/>
      <c r="H4796" s="165"/>
      <c r="I4796" s="164"/>
      <c r="J4796" s="165"/>
      <c r="K4796" s="164"/>
      <c r="L4796" s="165"/>
      <c r="M4796" s="6"/>
      <c r="N4796" s="32"/>
      <c r="Q4796" s="10" t="str">
        <f>+CONCATENATE(E4796,G4796)</f>
        <v/>
      </c>
      <c r="R4796" s="10">
        <f>+H4796</f>
        <v>0</v>
      </c>
      <c r="S4796" s="11"/>
      <c r="T4796" s="10">
        <f>+E4796</f>
        <v>0</v>
      </c>
      <c r="U4796" s="19" t="str">
        <f>IFERROR(LEFT(G4796,FIND("*",G4796)-1),"-")</f>
        <v>-</v>
      </c>
      <c r="V4796" s="19" t="str">
        <f>IFERROR(RIGHT(G4796,LEN(G4796)-FIND("*",G4796)),"-")</f>
        <v>-</v>
      </c>
      <c r="W4796" s="20" t="str">
        <f>IFERROR((U4796+V4796)*2/1000,"-")</f>
        <v>-</v>
      </c>
      <c r="X4796" s="20" t="str">
        <f>IFERROR(W4796*H4796,"-")</f>
        <v>-</v>
      </c>
      <c r="Z4796" s="85" t="s">
        <v>82</v>
      </c>
    </row>
    <row r="4797" spans="1:26" ht="6.95" customHeight="1" x14ac:dyDescent="0.3">
      <c r="A4797" s="154"/>
      <c r="B4797" s="157"/>
      <c r="C4797" s="158"/>
      <c r="D4797" s="161"/>
      <c r="E4797" s="162"/>
      <c r="F4797" s="163"/>
      <c r="G4797" s="164"/>
      <c r="H4797" s="165"/>
      <c r="I4797" s="164"/>
      <c r="J4797" s="165"/>
      <c r="K4797" s="164"/>
      <c r="L4797" s="165"/>
      <c r="M4797" s="6"/>
      <c r="N4797" s="32"/>
      <c r="Q4797" s="10" t="str">
        <f>+CONCATENATE(E4796,I4796)</f>
        <v/>
      </c>
      <c r="R4797" s="10">
        <f>+J4796</f>
        <v>0</v>
      </c>
      <c r="S4797" s="11"/>
      <c r="T4797" s="10">
        <f>+E4796</f>
        <v>0</v>
      </c>
      <c r="U4797" s="19" t="str">
        <f>IFERROR(LEFT(I4796,FIND("*",I4796)-1),"-")</f>
        <v>-</v>
      </c>
      <c r="V4797" s="19" t="str">
        <f>IFERROR(RIGHT(I4796,LEN(I4796)-FIND("*",I4796)),"-")</f>
        <v>-</v>
      </c>
      <c r="W4797" s="20" t="str">
        <f t="shared" ref="W4797:W4804" si="2608">IFERROR((U4797+V4797)*2/1000,"-")</f>
        <v>-</v>
      </c>
      <c r="X4797" s="20" t="str">
        <f>IFERROR(W4797*J4796,"-")</f>
        <v>-</v>
      </c>
      <c r="Z4797" s="85" t="s">
        <v>82</v>
      </c>
    </row>
    <row r="4798" spans="1:26" ht="6.95" customHeight="1" x14ac:dyDescent="0.3">
      <c r="A4798" s="154"/>
      <c r="B4798" s="157"/>
      <c r="C4798" s="158"/>
      <c r="D4798" s="161"/>
      <c r="E4798" s="162"/>
      <c r="F4798" s="163"/>
      <c r="G4798" s="164"/>
      <c r="H4798" s="165"/>
      <c r="I4798" s="164"/>
      <c r="J4798" s="165"/>
      <c r="K4798" s="164"/>
      <c r="L4798" s="165"/>
      <c r="M4798" s="6"/>
      <c r="N4798" s="32"/>
      <c r="Q4798" s="10" t="str">
        <f>+CONCATENATE(E4796,K4796)</f>
        <v/>
      </c>
      <c r="R4798" s="10">
        <f>+L4796</f>
        <v>0</v>
      </c>
      <c r="S4798" s="11"/>
      <c r="T4798" s="10">
        <f>+E4796</f>
        <v>0</v>
      </c>
      <c r="U4798" s="19" t="str">
        <f>IFERROR(LEFT(K4796,FIND("*",K4796)-1),"-")</f>
        <v>-</v>
      </c>
      <c r="V4798" s="19" t="str">
        <f>IFERROR(RIGHT(K4796,LEN(K4796)-FIND("*",K4796)),"-")</f>
        <v>-</v>
      </c>
      <c r="W4798" s="20" t="str">
        <f t="shared" si="2608"/>
        <v>-</v>
      </c>
      <c r="X4798" s="20" t="str">
        <f>IFERROR(W4798*L4796,"-")</f>
        <v>-</v>
      </c>
      <c r="Z4798" s="85" t="s">
        <v>82</v>
      </c>
    </row>
    <row r="4799" spans="1:26" ht="6.95" customHeight="1" x14ac:dyDescent="0.3">
      <c r="A4799" s="8"/>
      <c r="B4799" s="157"/>
      <c r="C4799" s="158"/>
      <c r="D4799" s="161" t="s">
        <v>39</v>
      </c>
      <c r="E4799" s="162"/>
      <c r="F4799" s="163" t="s">
        <v>40</v>
      </c>
      <c r="G4799" s="164"/>
      <c r="H4799" s="165"/>
      <c r="I4799" s="164"/>
      <c r="J4799" s="165"/>
      <c r="K4799" s="164"/>
      <c r="L4799" s="165"/>
      <c r="M4799" s="6"/>
      <c r="N4799" s="32"/>
      <c r="Q4799" s="10" t="str">
        <f>+CONCATENATE(E4799,G4799)</f>
        <v/>
      </c>
      <c r="R4799" s="10">
        <f>+H4799</f>
        <v>0</v>
      </c>
      <c r="S4799" s="11"/>
      <c r="T4799" s="10">
        <f>+E4799</f>
        <v>0</v>
      </c>
      <c r="U4799" s="19" t="str">
        <f t="shared" ref="U4799" si="2609">IFERROR(LEFT(G4799,FIND("*",G4799)-1),"-")</f>
        <v>-</v>
      </c>
      <c r="V4799" s="19" t="str">
        <f t="shared" ref="V4799" si="2610">IFERROR(RIGHT(G4799,LEN(G4799)-FIND("*",G4799)),"-")</f>
        <v>-</v>
      </c>
      <c r="W4799" s="20" t="str">
        <f t="shared" si="2608"/>
        <v>-</v>
      </c>
      <c r="X4799" s="20" t="str">
        <f>IFERROR(W4799*H4799,"-")</f>
        <v>-</v>
      </c>
      <c r="Z4799" s="85" t="s">
        <v>82</v>
      </c>
    </row>
    <row r="4800" spans="1:26" ht="6.95" customHeight="1" x14ac:dyDescent="0.3">
      <c r="A4800" s="5"/>
      <c r="B4800" s="157"/>
      <c r="C4800" s="158"/>
      <c r="D4800" s="161"/>
      <c r="E4800" s="162"/>
      <c r="F4800" s="163"/>
      <c r="G4800" s="164"/>
      <c r="H4800" s="165"/>
      <c r="I4800" s="164"/>
      <c r="J4800" s="165"/>
      <c r="K4800" s="164"/>
      <c r="L4800" s="165"/>
      <c r="M4800" s="6"/>
      <c r="N4800" s="32"/>
      <c r="Q4800" s="10" t="str">
        <f>+CONCATENATE(E4799,I4799)</f>
        <v/>
      </c>
      <c r="R4800" s="10">
        <f>+J4799</f>
        <v>0</v>
      </c>
      <c r="S4800" s="11"/>
      <c r="T4800" s="10">
        <f>+E4799</f>
        <v>0</v>
      </c>
      <c r="U4800" s="19" t="str">
        <f>IFERROR(LEFT(I4799,FIND("*",I4799)-1),"-")</f>
        <v>-</v>
      </c>
      <c r="V4800" s="19" t="str">
        <f>IFERROR(RIGHT(I4799,LEN(I4799)-FIND("*",I4799)),"-")</f>
        <v>-</v>
      </c>
      <c r="W4800" s="20" t="str">
        <f t="shared" si="2608"/>
        <v>-</v>
      </c>
      <c r="X4800" s="20" t="str">
        <f>IFERROR(W4800*J4799,"-")</f>
        <v>-</v>
      </c>
      <c r="Z4800" s="85" t="s">
        <v>82</v>
      </c>
    </row>
    <row r="4801" spans="1:26" ht="6.95" customHeight="1" x14ac:dyDescent="0.3">
      <c r="A4801" s="5"/>
      <c r="B4801" s="157"/>
      <c r="C4801" s="158"/>
      <c r="D4801" s="161"/>
      <c r="E4801" s="162"/>
      <c r="F4801" s="163"/>
      <c r="G4801" s="164"/>
      <c r="H4801" s="165"/>
      <c r="I4801" s="164"/>
      <c r="J4801" s="165"/>
      <c r="K4801" s="164"/>
      <c r="L4801" s="165"/>
      <c r="M4801" s="6"/>
      <c r="N4801" s="32"/>
      <c r="Q4801" s="10" t="str">
        <f>+CONCATENATE(E4799,K4799)</f>
        <v/>
      </c>
      <c r="R4801" s="10">
        <f>+L4799</f>
        <v>0</v>
      </c>
      <c r="S4801" s="11"/>
      <c r="T4801" s="10">
        <f>+E4799</f>
        <v>0</v>
      </c>
      <c r="U4801" s="19" t="str">
        <f>IFERROR(LEFT(K4799,FIND("*",K4799)-1),"-")</f>
        <v>-</v>
      </c>
      <c r="V4801" s="19" t="str">
        <f>IFERROR(RIGHT(K4799,LEN(K4799)-FIND("*",K4799)),"-")</f>
        <v>-</v>
      </c>
      <c r="W4801" s="20" t="str">
        <f t="shared" si="2608"/>
        <v>-</v>
      </c>
      <c r="X4801" s="20" t="str">
        <f>IFERROR(W4801*L4799,"-")</f>
        <v>-</v>
      </c>
      <c r="Z4801" s="85" t="s">
        <v>82</v>
      </c>
    </row>
    <row r="4802" spans="1:26" ht="6.95" customHeight="1" x14ac:dyDescent="0.3">
      <c r="A4802" s="8"/>
      <c r="B4802" s="157"/>
      <c r="C4802" s="158"/>
      <c r="D4802" s="161" t="s">
        <v>39</v>
      </c>
      <c r="E4802" s="162"/>
      <c r="F4802" s="163" t="s">
        <v>40</v>
      </c>
      <c r="G4802" s="164"/>
      <c r="H4802" s="165"/>
      <c r="I4802" s="164"/>
      <c r="J4802" s="165"/>
      <c r="K4802" s="164"/>
      <c r="L4802" s="165"/>
      <c r="M4802" s="6"/>
      <c r="N4802" s="32"/>
      <c r="Q4802" s="10" t="str">
        <f>+CONCATENATE(E4802,G4802)</f>
        <v/>
      </c>
      <c r="R4802" s="10">
        <f>+H4802</f>
        <v>0</v>
      </c>
      <c r="S4802" s="11"/>
      <c r="T4802" s="10">
        <f>+E4802</f>
        <v>0</v>
      </c>
      <c r="U4802" s="19" t="str">
        <f t="shared" ref="U4802" si="2611">IFERROR(LEFT(G4802,FIND("*",G4802)-1),"-")</f>
        <v>-</v>
      </c>
      <c r="V4802" s="19" t="str">
        <f t="shared" ref="V4802" si="2612">IFERROR(RIGHT(G4802,LEN(G4802)-FIND("*",G4802)),"-")</f>
        <v>-</v>
      </c>
      <c r="W4802" s="20" t="str">
        <f t="shared" si="2608"/>
        <v>-</v>
      </c>
      <c r="X4802" s="20" t="str">
        <f>IFERROR(W4802*H4802,"-")</f>
        <v>-</v>
      </c>
      <c r="Z4802" s="85" t="s">
        <v>82</v>
      </c>
    </row>
    <row r="4803" spans="1:26" ht="6.95" customHeight="1" x14ac:dyDescent="0.3">
      <c r="A4803" s="5"/>
      <c r="B4803" s="157"/>
      <c r="C4803" s="158"/>
      <c r="D4803" s="161"/>
      <c r="E4803" s="162"/>
      <c r="F4803" s="163"/>
      <c r="G4803" s="164"/>
      <c r="H4803" s="165"/>
      <c r="I4803" s="164"/>
      <c r="J4803" s="165"/>
      <c r="K4803" s="164"/>
      <c r="L4803" s="165"/>
      <c r="M4803" s="6"/>
      <c r="N4803" s="32"/>
      <c r="Q4803" s="10" t="str">
        <f>+CONCATENATE(E4802,I4802)</f>
        <v/>
      </c>
      <c r="R4803" s="10">
        <f>+J4802</f>
        <v>0</v>
      </c>
      <c r="S4803" s="11"/>
      <c r="T4803" s="10">
        <f>+E4802</f>
        <v>0</v>
      </c>
      <c r="U4803" s="19" t="str">
        <f>IFERROR(LEFT(I4802,FIND("*",I4802)-1),"-")</f>
        <v>-</v>
      </c>
      <c r="V4803" s="19" t="str">
        <f>IFERROR(RIGHT(I4802,LEN(I4802)-FIND("*",I4802)),"-")</f>
        <v>-</v>
      </c>
      <c r="W4803" s="20" t="str">
        <f t="shared" si="2608"/>
        <v>-</v>
      </c>
      <c r="X4803" s="20" t="str">
        <f t="shared" ref="X4803" si="2613">IFERROR(W4803*J4802,"-")</f>
        <v>-</v>
      </c>
      <c r="Z4803" s="85" t="s">
        <v>82</v>
      </c>
    </row>
    <row r="4804" spans="1:26" ht="6.95" customHeight="1" x14ac:dyDescent="0.3">
      <c r="A4804" s="5"/>
      <c r="B4804" s="157"/>
      <c r="C4804" s="158"/>
      <c r="D4804" s="161"/>
      <c r="E4804" s="162"/>
      <c r="F4804" s="163"/>
      <c r="G4804" s="164"/>
      <c r="H4804" s="165"/>
      <c r="I4804" s="164"/>
      <c r="J4804" s="165"/>
      <c r="K4804" s="164"/>
      <c r="L4804" s="165"/>
      <c r="M4804" s="6"/>
      <c r="N4804" s="32"/>
      <c r="Q4804" s="10" t="str">
        <f>+CONCATENATE(E4802,K4802)</f>
        <v/>
      </c>
      <c r="R4804" s="10">
        <f>+L4802</f>
        <v>0</v>
      </c>
      <c r="S4804" s="11"/>
      <c r="T4804" s="10">
        <f>+E4802</f>
        <v>0</v>
      </c>
      <c r="U4804" s="19" t="str">
        <f>IFERROR(LEFT(K4802,FIND("*",K4802)-1),"-")</f>
        <v>-</v>
      </c>
      <c r="V4804" s="19" t="str">
        <f>IFERROR(RIGHT(K4802,LEN(K4802)-FIND("*",K4802)),"-")</f>
        <v>-</v>
      </c>
      <c r="W4804" s="20" t="str">
        <f t="shared" si="2608"/>
        <v>-</v>
      </c>
      <c r="X4804" s="20" t="str">
        <f>IFERROR(W4804*L4802,"-")</f>
        <v>-</v>
      </c>
      <c r="Z4804" s="85" t="s">
        <v>82</v>
      </c>
    </row>
    <row r="4805" spans="1:26" ht="21" customHeight="1" thickBot="1" x14ac:dyDescent="0.35">
      <c r="A4805" s="5"/>
      <c r="B4805" s="159"/>
      <c r="C4805" s="160"/>
      <c r="D4805" s="166" t="s">
        <v>43</v>
      </c>
      <c r="E4805" s="167"/>
      <c r="F4805" s="167"/>
      <c r="G4805" s="168"/>
      <c r="H4805" s="168"/>
      <c r="I4805" s="168"/>
      <c r="J4805" s="168"/>
      <c r="K4805" s="168"/>
      <c r="L4805" s="168"/>
      <c r="M4805" s="7"/>
      <c r="N4805" s="32"/>
      <c r="Z4805" s="86" t="s">
        <v>81</v>
      </c>
    </row>
    <row r="4806" spans="1:26" ht="9.9499999999999993" customHeight="1" thickBot="1" x14ac:dyDescent="0.35">
      <c r="B4806" s="9"/>
      <c r="C4806" s="109"/>
      <c r="D4806" s="51"/>
      <c r="E4806" s="12"/>
      <c r="F4806" s="51"/>
      <c r="G4806" s="14"/>
      <c r="H4806" s="14"/>
      <c r="I4806" s="14"/>
      <c r="J4806" s="14"/>
      <c r="K4806" s="14"/>
      <c r="L4806" s="14"/>
      <c r="M4806" s="9"/>
      <c r="N4806" s="32"/>
      <c r="U4806" s="18"/>
      <c r="V4806" s="18"/>
      <c r="Z4806" s="85" t="s">
        <v>82</v>
      </c>
    </row>
    <row r="4807" spans="1:26" ht="6.95" customHeight="1" x14ac:dyDescent="0.3">
      <c r="A4807" s="154">
        <f>+A4796+1</f>
        <v>1236</v>
      </c>
      <c r="B4807" s="155"/>
      <c r="C4807" s="156"/>
      <c r="D4807" s="161" t="s">
        <v>39</v>
      </c>
      <c r="E4807" s="162"/>
      <c r="F4807" s="163" t="s">
        <v>40</v>
      </c>
      <c r="G4807" s="164"/>
      <c r="H4807" s="165"/>
      <c r="I4807" s="164"/>
      <c r="J4807" s="165"/>
      <c r="K4807" s="164"/>
      <c r="L4807" s="165"/>
      <c r="M4807" s="6"/>
      <c r="N4807" s="32"/>
      <c r="Q4807" s="10" t="str">
        <f>+CONCATENATE(E4807,G4807)</f>
        <v/>
      </c>
      <c r="R4807" s="10">
        <f>+H4807</f>
        <v>0</v>
      </c>
      <c r="S4807" s="11"/>
      <c r="T4807" s="10">
        <f>+E4807</f>
        <v>0</v>
      </c>
      <c r="U4807" s="19" t="str">
        <f>IFERROR(LEFT(G4807,FIND("*",G4807)-1),"-")</f>
        <v>-</v>
      </c>
      <c r="V4807" s="19" t="str">
        <f>IFERROR(RIGHT(G4807,LEN(G4807)-FIND("*",G4807)),"-")</f>
        <v>-</v>
      </c>
      <c r="W4807" s="20" t="str">
        <f>IFERROR((U4807+V4807)*2/1000,"-")</f>
        <v>-</v>
      </c>
      <c r="X4807" s="20" t="str">
        <f>IFERROR(W4807*H4807,"-")</f>
        <v>-</v>
      </c>
      <c r="Z4807" s="85" t="s">
        <v>82</v>
      </c>
    </row>
    <row r="4808" spans="1:26" ht="6.95" customHeight="1" x14ac:dyDescent="0.3">
      <c r="A4808" s="154"/>
      <c r="B4808" s="157"/>
      <c r="C4808" s="158"/>
      <c r="D4808" s="161"/>
      <c r="E4808" s="162"/>
      <c r="F4808" s="163"/>
      <c r="G4808" s="164"/>
      <c r="H4808" s="165"/>
      <c r="I4808" s="164"/>
      <c r="J4808" s="165"/>
      <c r="K4808" s="164"/>
      <c r="L4808" s="165"/>
      <c r="M4808" s="6"/>
      <c r="N4808" s="32"/>
      <c r="Q4808" s="10" t="str">
        <f>+CONCATENATE(E4807,I4807)</f>
        <v/>
      </c>
      <c r="R4808" s="10">
        <f>+J4807</f>
        <v>0</v>
      </c>
      <c r="S4808" s="11"/>
      <c r="T4808" s="10">
        <f>+E4807</f>
        <v>0</v>
      </c>
      <c r="U4808" s="19" t="str">
        <f>IFERROR(LEFT(I4807,FIND("*",I4807)-1),"-")</f>
        <v>-</v>
      </c>
      <c r="V4808" s="19" t="str">
        <f>IFERROR(RIGHT(I4807,LEN(I4807)-FIND("*",I4807)),"-")</f>
        <v>-</v>
      </c>
      <c r="W4808" s="20" t="str">
        <f t="shared" ref="W4808:W4815" si="2614">IFERROR((U4808+V4808)*2/1000,"-")</f>
        <v>-</v>
      </c>
      <c r="X4808" s="20" t="str">
        <f>IFERROR(W4808*J4807,"-")</f>
        <v>-</v>
      </c>
      <c r="Z4808" s="85" t="s">
        <v>82</v>
      </c>
    </row>
    <row r="4809" spans="1:26" ht="6.95" customHeight="1" x14ac:dyDescent="0.3">
      <c r="A4809" s="154"/>
      <c r="B4809" s="157"/>
      <c r="C4809" s="158"/>
      <c r="D4809" s="161"/>
      <c r="E4809" s="162"/>
      <c r="F4809" s="163"/>
      <c r="G4809" s="164"/>
      <c r="H4809" s="165"/>
      <c r="I4809" s="164"/>
      <c r="J4809" s="165"/>
      <c r="K4809" s="164"/>
      <c r="L4809" s="165"/>
      <c r="M4809" s="6"/>
      <c r="N4809" s="32"/>
      <c r="Q4809" s="10" t="str">
        <f>+CONCATENATE(E4807,K4807)</f>
        <v/>
      </c>
      <c r="R4809" s="10">
        <f>+L4807</f>
        <v>0</v>
      </c>
      <c r="S4809" s="11"/>
      <c r="T4809" s="10">
        <f>+E4807</f>
        <v>0</v>
      </c>
      <c r="U4809" s="19" t="str">
        <f>IFERROR(LEFT(K4807,FIND("*",K4807)-1),"-")</f>
        <v>-</v>
      </c>
      <c r="V4809" s="19" t="str">
        <f>IFERROR(RIGHT(K4807,LEN(K4807)-FIND("*",K4807)),"-")</f>
        <v>-</v>
      </c>
      <c r="W4809" s="20" t="str">
        <f t="shared" si="2614"/>
        <v>-</v>
      </c>
      <c r="X4809" s="20" t="str">
        <f>IFERROR(W4809*L4807,"-")</f>
        <v>-</v>
      </c>
      <c r="Z4809" s="85" t="s">
        <v>82</v>
      </c>
    </row>
    <row r="4810" spans="1:26" ht="6.95" customHeight="1" x14ac:dyDescent="0.3">
      <c r="A4810" s="8"/>
      <c r="B4810" s="157"/>
      <c r="C4810" s="158"/>
      <c r="D4810" s="161" t="s">
        <v>39</v>
      </c>
      <c r="E4810" s="162"/>
      <c r="F4810" s="163" t="s">
        <v>40</v>
      </c>
      <c r="G4810" s="164"/>
      <c r="H4810" s="165"/>
      <c r="I4810" s="164"/>
      <c r="J4810" s="165"/>
      <c r="K4810" s="164"/>
      <c r="L4810" s="165"/>
      <c r="M4810" s="6"/>
      <c r="N4810" s="32"/>
      <c r="Q4810" s="10" t="str">
        <f>+CONCATENATE(E4810,G4810)</f>
        <v/>
      </c>
      <c r="R4810" s="10">
        <f>+H4810</f>
        <v>0</v>
      </c>
      <c r="S4810" s="11"/>
      <c r="T4810" s="10">
        <f>+E4810</f>
        <v>0</v>
      </c>
      <c r="U4810" s="19" t="str">
        <f t="shared" ref="U4810" si="2615">IFERROR(LEFT(G4810,FIND("*",G4810)-1),"-")</f>
        <v>-</v>
      </c>
      <c r="V4810" s="19" t="str">
        <f t="shared" ref="V4810" si="2616">IFERROR(RIGHT(G4810,LEN(G4810)-FIND("*",G4810)),"-")</f>
        <v>-</v>
      </c>
      <c r="W4810" s="20" t="str">
        <f t="shared" si="2614"/>
        <v>-</v>
      </c>
      <c r="X4810" s="20" t="str">
        <f>IFERROR(W4810*H4810,"-")</f>
        <v>-</v>
      </c>
      <c r="Z4810" s="85" t="s">
        <v>82</v>
      </c>
    </row>
    <row r="4811" spans="1:26" ht="6.95" customHeight="1" x14ac:dyDescent="0.3">
      <c r="A4811" s="5"/>
      <c r="B4811" s="157"/>
      <c r="C4811" s="158"/>
      <c r="D4811" s="161"/>
      <c r="E4811" s="162"/>
      <c r="F4811" s="163"/>
      <c r="G4811" s="164"/>
      <c r="H4811" s="165"/>
      <c r="I4811" s="164"/>
      <c r="J4811" s="165"/>
      <c r="K4811" s="164"/>
      <c r="L4811" s="165"/>
      <c r="M4811" s="6"/>
      <c r="N4811" s="32"/>
      <c r="Q4811" s="10" t="str">
        <f>+CONCATENATE(E4810,I4810)</f>
        <v/>
      </c>
      <c r="R4811" s="10">
        <f>+J4810</f>
        <v>0</v>
      </c>
      <c r="S4811" s="11"/>
      <c r="T4811" s="10">
        <f>+E4810</f>
        <v>0</v>
      </c>
      <c r="U4811" s="19" t="str">
        <f>IFERROR(LEFT(I4810,FIND("*",I4810)-1),"-")</f>
        <v>-</v>
      </c>
      <c r="V4811" s="19" t="str">
        <f>IFERROR(RIGHT(I4810,LEN(I4810)-FIND("*",I4810)),"-")</f>
        <v>-</v>
      </c>
      <c r="W4811" s="20" t="str">
        <f t="shared" si="2614"/>
        <v>-</v>
      </c>
      <c r="X4811" s="20" t="str">
        <f>IFERROR(W4811*J4810,"-")</f>
        <v>-</v>
      </c>
      <c r="Z4811" s="85" t="s">
        <v>82</v>
      </c>
    </row>
    <row r="4812" spans="1:26" ht="6.95" customHeight="1" x14ac:dyDescent="0.3">
      <c r="A4812" s="5"/>
      <c r="B4812" s="157"/>
      <c r="C4812" s="158"/>
      <c r="D4812" s="161"/>
      <c r="E4812" s="162"/>
      <c r="F4812" s="163"/>
      <c r="G4812" s="164"/>
      <c r="H4812" s="165"/>
      <c r="I4812" s="164"/>
      <c r="J4812" s="165"/>
      <c r="K4812" s="164"/>
      <c r="L4812" s="165"/>
      <c r="M4812" s="6"/>
      <c r="N4812" s="32"/>
      <c r="Q4812" s="10" t="str">
        <f>+CONCATENATE(E4810,K4810)</f>
        <v/>
      </c>
      <c r="R4812" s="10">
        <f>+L4810</f>
        <v>0</v>
      </c>
      <c r="S4812" s="11"/>
      <c r="T4812" s="10">
        <f>+E4810</f>
        <v>0</v>
      </c>
      <c r="U4812" s="19" t="str">
        <f>IFERROR(LEFT(K4810,FIND("*",K4810)-1),"-")</f>
        <v>-</v>
      </c>
      <c r="V4812" s="19" t="str">
        <f>IFERROR(RIGHT(K4810,LEN(K4810)-FIND("*",K4810)),"-")</f>
        <v>-</v>
      </c>
      <c r="W4812" s="20" t="str">
        <f t="shared" si="2614"/>
        <v>-</v>
      </c>
      <c r="X4812" s="20" t="str">
        <f>IFERROR(W4812*L4810,"-")</f>
        <v>-</v>
      </c>
      <c r="Z4812" s="85" t="s">
        <v>82</v>
      </c>
    </row>
    <row r="4813" spans="1:26" ht="6.95" customHeight="1" x14ac:dyDescent="0.3">
      <c r="A4813" s="8"/>
      <c r="B4813" s="157"/>
      <c r="C4813" s="158"/>
      <c r="D4813" s="161" t="s">
        <v>39</v>
      </c>
      <c r="E4813" s="162"/>
      <c r="F4813" s="163" t="s">
        <v>40</v>
      </c>
      <c r="G4813" s="164"/>
      <c r="H4813" s="165"/>
      <c r="I4813" s="164"/>
      <c r="J4813" s="165"/>
      <c r="K4813" s="164"/>
      <c r="L4813" s="165"/>
      <c r="M4813" s="6"/>
      <c r="N4813" s="32"/>
      <c r="Q4813" s="10" t="str">
        <f>+CONCATENATE(E4813,G4813)</f>
        <v/>
      </c>
      <c r="R4813" s="10">
        <f>+H4813</f>
        <v>0</v>
      </c>
      <c r="S4813" s="11"/>
      <c r="T4813" s="10">
        <f>+E4813</f>
        <v>0</v>
      </c>
      <c r="U4813" s="19" t="str">
        <f t="shared" ref="U4813" si="2617">IFERROR(LEFT(G4813,FIND("*",G4813)-1),"-")</f>
        <v>-</v>
      </c>
      <c r="V4813" s="19" t="str">
        <f t="shared" ref="V4813" si="2618">IFERROR(RIGHT(G4813,LEN(G4813)-FIND("*",G4813)),"-")</f>
        <v>-</v>
      </c>
      <c r="W4813" s="20" t="str">
        <f t="shared" si="2614"/>
        <v>-</v>
      </c>
      <c r="X4813" s="20" t="str">
        <f>IFERROR(W4813*H4813,"-")</f>
        <v>-</v>
      </c>
      <c r="Z4813" s="85" t="s">
        <v>82</v>
      </c>
    </row>
    <row r="4814" spans="1:26" ht="6.95" customHeight="1" x14ac:dyDescent="0.3">
      <c r="A4814" s="5"/>
      <c r="B4814" s="157"/>
      <c r="C4814" s="158"/>
      <c r="D4814" s="161"/>
      <c r="E4814" s="162"/>
      <c r="F4814" s="163"/>
      <c r="G4814" s="164"/>
      <c r="H4814" s="165"/>
      <c r="I4814" s="164"/>
      <c r="J4814" s="165"/>
      <c r="K4814" s="164"/>
      <c r="L4814" s="165"/>
      <c r="M4814" s="6"/>
      <c r="N4814" s="32"/>
      <c r="Q4814" s="10" t="str">
        <f>+CONCATENATE(E4813,I4813)</f>
        <v/>
      </c>
      <c r="R4814" s="10">
        <f>+J4813</f>
        <v>0</v>
      </c>
      <c r="S4814" s="11"/>
      <c r="T4814" s="10">
        <f>+E4813</f>
        <v>0</v>
      </c>
      <c r="U4814" s="19" t="str">
        <f>IFERROR(LEFT(I4813,FIND("*",I4813)-1),"-")</f>
        <v>-</v>
      </c>
      <c r="V4814" s="19" t="str">
        <f>IFERROR(RIGHT(I4813,LEN(I4813)-FIND("*",I4813)),"-")</f>
        <v>-</v>
      </c>
      <c r="W4814" s="20" t="str">
        <f t="shared" si="2614"/>
        <v>-</v>
      </c>
      <c r="X4814" s="20" t="str">
        <f t="shared" ref="X4814" si="2619">IFERROR(W4814*J4813,"-")</f>
        <v>-</v>
      </c>
      <c r="Z4814" s="85" t="s">
        <v>82</v>
      </c>
    </row>
    <row r="4815" spans="1:26" ht="6.95" customHeight="1" x14ac:dyDescent="0.3">
      <c r="A4815" s="5"/>
      <c r="B4815" s="157"/>
      <c r="C4815" s="158"/>
      <c r="D4815" s="161"/>
      <c r="E4815" s="162"/>
      <c r="F4815" s="163"/>
      <c r="G4815" s="164"/>
      <c r="H4815" s="165"/>
      <c r="I4815" s="164"/>
      <c r="J4815" s="165"/>
      <c r="K4815" s="164"/>
      <c r="L4815" s="165"/>
      <c r="M4815" s="6"/>
      <c r="N4815" s="32"/>
      <c r="Q4815" s="10" t="str">
        <f>+CONCATENATE(E4813,K4813)</f>
        <v/>
      </c>
      <c r="R4815" s="10">
        <f>+L4813</f>
        <v>0</v>
      </c>
      <c r="S4815" s="11"/>
      <c r="T4815" s="10">
        <f>+E4813</f>
        <v>0</v>
      </c>
      <c r="U4815" s="19" t="str">
        <f>IFERROR(LEFT(K4813,FIND("*",K4813)-1),"-")</f>
        <v>-</v>
      </c>
      <c r="V4815" s="19" t="str">
        <f>IFERROR(RIGHT(K4813,LEN(K4813)-FIND("*",K4813)),"-")</f>
        <v>-</v>
      </c>
      <c r="W4815" s="20" t="str">
        <f t="shared" si="2614"/>
        <v>-</v>
      </c>
      <c r="X4815" s="20" t="str">
        <f>IFERROR(W4815*L4813,"-")</f>
        <v>-</v>
      </c>
      <c r="Z4815" s="85" t="s">
        <v>82</v>
      </c>
    </row>
    <row r="4816" spans="1:26" ht="21" customHeight="1" thickBot="1" x14ac:dyDescent="0.35">
      <c r="A4816" s="5"/>
      <c r="B4816" s="159"/>
      <c r="C4816" s="160"/>
      <c r="D4816" s="166" t="s">
        <v>43</v>
      </c>
      <c r="E4816" s="167"/>
      <c r="F4816" s="167"/>
      <c r="G4816" s="168"/>
      <c r="H4816" s="168"/>
      <c r="I4816" s="168"/>
      <c r="J4816" s="168"/>
      <c r="K4816" s="168"/>
      <c r="L4816" s="168"/>
      <c r="M4816" s="7"/>
      <c r="N4816" s="32"/>
      <c r="Z4816" s="86" t="s">
        <v>81</v>
      </c>
    </row>
    <row r="4817" spans="1:26" ht="9.9499999999999993" customHeight="1" thickBot="1" x14ac:dyDescent="0.35">
      <c r="B4817" s="9"/>
      <c r="C4817" s="109"/>
      <c r="D4817" s="51"/>
      <c r="E4817" s="12"/>
      <c r="F4817" s="51"/>
      <c r="G4817" s="14"/>
      <c r="H4817" s="14"/>
      <c r="I4817" s="14"/>
      <c r="J4817" s="14"/>
      <c r="K4817" s="14"/>
      <c r="L4817" s="14"/>
      <c r="M4817" s="9"/>
      <c r="N4817" s="32"/>
      <c r="U4817" s="18"/>
      <c r="V4817" s="18"/>
      <c r="Z4817" s="85" t="s">
        <v>82</v>
      </c>
    </row>
    <row r="4818" spans="1:26" ht="6.95" customHeight="1" x14ac:dyDescent="0.3">
      <c r="A4818" s="154">
        <f>+A4807+1</f>
        <v>1237</v>
      </c>
      <c r="B4818" s="155"/>
      <c r="C4818" s="156"/>
      <c r="D4818" s="161" t="s">
        <v>39</v>
      </c>
      <c r="E4818" s="162"/>
      <c r="F4818" s="163" t="s">
        <v>40</v>
      </c>
      <c r="G4818" s="164"/>
      <c r="H4818" s="165"/>
      <c r="I4818" s="164"/>
      <c r="J4818" s="165"/>
      <c r="K4818" s="164"/>
      <c r="L4818" s="165"/>
      <c r="M4818" s="6"/>
      <c r="N4818" s="32"/>
      <c r="Q4818" s="10" t="str">
        <f>+CONCATENATE(E4818,G4818)</f>
        <v/>
      </c>
      <c r="R4818" s="10">
        <f>+H4818</f>
        <v>0</v>
      </c>
      <c r="S4818" s="11"/>
      <c r="T4818" s="10">
        <f>+E4818</f>
        <v>0</v>
      </c>
      <c r="U4818" s="19" t="str">
        <f>IFERROR(LEFT(G4818,FIND("*",G4818)-1),"-")</f>
        <v>-</v>
      </c>
      <c r="V4818" s="19" t="str">
        <f>IFERROR(RIGHT(G4818,LEN(G4818)-FIND("*",G4818)),"-")</f>
        <v>-</v>
      </c>
      <c r="W4818" s="20" t="str">
        <f>IFERROR((U4818+V4818)*2/1000,"-")</f>
        <v>-</v>
      </c>
      <c r="X4818" s="20" t="str">
        <f>IFERROR(W4818*H4818,"-")</f>
        <v>-</v>
      </c>
      <c r="Z4818" s="85" t="s">
        <v>82</v>
      </c>
    </row>
    <row r="4819" spans="1:26" ht="6.95" customHeight="1" x14ac:dyDescent="0.3">
      <c r="A4819" s="154"/>
      <c r="B4819" s="157"/>
      <c r="C4819" s="158"/>
      <c r="D4819" s="161"/>
      <c r="E4819" s="162"/>
      <c r="F4819" s="163"/>
      <c r="G4819" s="164"/>
      <c r="H4819" s="165"/>
      <c r="I4819" s="164"/>
      <c r="J4819" s="165"/>
      <c r="K4819" s="164"/>
      <c r="L4819" s="165"/>
      <c r="M4819" s="6"/>
      <c r="N4819" s="32"/>
      <c r="Q4819" s="10" t="str">
        <f>+CONCATENATE(E4818,I4818)</f>
        <v/>
      </c>
      <c r="R4819" s="10">
        <f>+J4818</f>
        <v>0</v>
      </c>
      <c r="S4819" s="11"/>
      <c r="T4819" s="10">
        <f>+E4818</f>
        <v>0</v>
      </c>
      <c r="U4819" s="19" t="str">
        <f>IFERROR(LEFT(I4818,FIND("*",I4818)-1),"-")</f>
        <v>-</v>
      </c>
      <c r="V4819" s="19" t="str">
        <f>IFERROR(RIGHT(I4818,LEN(I4818)-FIND("*",I4818)),"-")</f>
        <v>-</v>
      </c>
      <c r="W4819" s="20" t="str">
        <f t="shared" ref="W4819:W4826" si="2620">IFERROR((U4819+V4819)*2/1000,"-")</f>
        <v>-</v>
      </c>
      <c r="X4819" s="20" t="str">
        <f>IFERROR(W4819*J4818,"-")</f>
        <v>-</v>
      </c>
      <c r="Z4819" s="85" t="s">
        <v>82</v>
      </c>
    </row>
    <row r="4820" spans="1:26" ht="6.95" customHeight="1" x14ac:dyDescent="0.3">
      <c r="A4820" s="154"/>
      <c r="B4820" s="157"/>
      <c r="C4820" s="158"/>
      <c r="D4820" s="161"/>
      <c r="E4820" s="162"/>
      <c r="F4820" s="163"/>
      <c r="G4820" s="164"/>
      <c r="H4820" s="165"/>
      <c r="I4820" s="164"/>
      <c r="J4820" s="165"/>
      <c r="K4820" s="164"/>
      <c r="L4820" s="165"/>
      <c r="M4820" s="6"/>
      <c r="N4820" s="32"/>
      <c r="Q4820" s="10" t="str">
        <f>+CONCATENATE(E4818,K4818)</f>
        <v/>
      </c>
      <c r="R4820" s="10">
        <f>+L4818</f>
        <v>0</v>
      </c>
      <c r="S4820" s="11"/>
      <c r="T4820" s="10">
        <f>+E4818</f>
        <v>0</v>
      </c>
      <c r="U4820" s="19" t="str">
        <f>IFERROR(LEFT(K4818,FIND("*",K4818)-1),"-")</f>
        <v>-</v>
      </c>
      <c r="V4820" s="19" t="str">
        <f>IFERROR(RIGHT(K4818,LEN(K4818)-FIND("*",K4818)),"-")</f>
        <v>-</v>
      </c>
      <c r="W4820" s="20" t="str">
        <f t="shared" si="2620"/>
        <v>-</v>
      </c>
      <c r="X4820" s="20" t="str">
        <f>IFERROR(W4820*L4818,"-")</f>
        <v>-</v>
      </c>
      <c r="Z4820" s="85" t="s">
        <v>82</v>
      </c>
    </row>
    <row r="4821" spans="1:26" ht="6.95" customHeight="1" x14ac:dyDescent="0.3">
      <c r="A4821" s="8"/>
      <c r="B4821" s="157"/>
      <c r="C4821" s="158"/>
      <c r="D4821" s="161" t="s">
        <v>39</v>
      </c>
      <c r="E4821" s="162"/>
      <c r="F4821" s="163" t="s">
        <v>40</v>
      </c>
      <c r="G4821" s="164"/>
      <c r="H4821" s="165"/>
      <c r="I4821" s="164"/>
      <c r="J4821" s="165"/>
      <c r="K4821" s="164"/>
      <c r="L4821" s="165"/>
      <c r="M4821" s="6"/>
      <c r="N4821" s="32"/>
      <c r="Q4821" s="10" t="str">
        <f>+CONCATENATE(E4821,G4821)</f>
        <v/>
      </c>
      <c r="R4821" s="10">
        <f>+H4821</f>
        <v>0</v>
      </c>
      <c r="S4821" s="11"/>
      <c r="T4821" s="10">
        <f>+E4821</f>
        <v>0</v>
      </c>
      <c r="U4821" s="19" t="str">
        <f t="shared" ref="U4821" si="2621">IFERROR(LEFT(G4821,FIND("*",G4821)-1),"-")</f>
        <v>-</v>
      </c>
      <c r="V4821" s="19" t="str">
        <f t="shared" ref="V4821" si="2622">IFERROR(RIGHT(G4821,LEN(G4821)-FIND("*",G4821)),"-")</f>
        <v>-</v>
      </c>
      <c r="W4821" s="20" t="str">
        <f t="shared" si="2620"/>
        <v>-</v>
      </c>
      <c r="X4821" s="20" t="str">
        <f>IFERROR(W4821*H4821,"-")</f>
        <v>-</v>
      </c>
      <c r="Z4821" s="85" t="s">
        <v>82</v>
      </c>
    </row>
    <row r="4822" spans="1:26" ht="6.95" customHeight="1" x14ac:dyDescent="0.3">
      <c r="A4822" s="5"/>
      <c r="B4822" s="157"/>
      <c r="C4822" s="158"/>
      <c r="D4822" s="161"/>
      <c r="E4822" s="162"/>
      <c r="F4822" s="163"/>
      <c r="G4822" s="164"/>
      <c r="H4822" s="165"/>
      <c r="I4822" s="164"/>
      <c r="J4822" s="165"/>
      <c r="K4822" s="164"/>
      <c r="L4822" s="165"/>
      <c r="M4822" s="6"/>
      <c r="N4822" s="32"/>
      <c r="Q4822" s="10" t="str">
        <f>+CONCATENATE(E4821,I4821)</f>
        <v/>
      </c>
      <c r="R4822" s="10">
        <f>+J4821</f>
        <v>0</v>
      </c>
      <c r="S4822" s="11"/>
      <c r="T4822" s="10">
        <f>+E4821</f>
        <v>0</v>
      </c>
      <c r="U4822" s="19" t="str">
        <f>IFERROR(LEFT(I4821,FIND("*",I4821)-1),"-")</f>
        <v>-</v>
      </c>
      <c r="V4822" s="19" t="str">
        <f>IFERROR(RIGHT(I4821,LEN(I4821)-FIND("*",I4821)),"-")</f>
        <v>-</v>
      </c>
      <c r="W4822" s="20" t="str">
        <f t="shared" si="2620"/>
        <v>-</v>
      </c>
      <c r="X4822" s="20" t="str">
        <f>IFERROR(W4822*J4821,"-")</f>
        <v>-</v>
      </c>
      <c r="Z4822" s="85" t="s">
        <v>82</v>
      </c>
    </row>
    <row r="4823" spans="1:26" ht="6.95" customHeight="1" x14ac:dyDescent="0.3">
      <c r="A4823" s="5"/>
      <c r="B4823" s="157"/>
      <c r="C4823" s="158"/>
      <c r="D4823" s="161"/>
      <c r="E4823" s="162"/>
      <c r="F4823" s="163"/>
      <c r="G4823" s="164"/>
      <c r="H4823" s="165"/>
      <c r="I4823" s="164"/>
      <c r="J4823" s="165"/>
      <c r="K4823" s="164"/>
      <c r="L4823" s="165"/>
      <c r="M4823" s="6"/>
      <c r="N4823" s="32"/>
      <c r="Q4823" s="10" t="str">
        <f>+CONCATENATE(E4821,K4821)</f>
        <v/>
      </c>
      <c r="R4823" s="10">
        <f>+L4821</f>
        <v>0</v>
      </c>
      <c r="S4823" s="11"/>
      <c r="T4823" s="10">
        <f>+E4821</f>
        <v>0</v>
      </c>
      <c r="U4823" s="19" t="str">
        <f>IFERROR(LEFT(K4821,FIND("*",K4821)-1),"-")</f>
        <v>-</v>
      </c>
      <c r="V4823" s="19" t="str">
        <f>IFERROR(RIGHT(K4821,LEN(K4821)-FIND("*",K4821)),"-")</f>
        <v>-</v>
      </c>
      <c r="W4823" s="20" t="str">
        <f t="shared" si="2620"/>
        <v>-</v>
      </c>
      <c r="X4823" s="20" t="str">
        <f>IFERROR(W4823*L4821,"-")</f>
        <v>-</v>
      </c>
      <c r="Z4823" s="85" t="s">
        <v>82</v>
      </c>
    </row>
    <row r="4824" spans="1:26" ht="6.95" customHeight="1" x14ac:dyDescent="0.3">
      <c r="A4824" s="8"/>
      <c r="B4824" s="157"/>
      <c r="C4824" s="158"/>
      <c r="D4824" s="161" t="s">
        <v>39</v>
      </c>
      <c r="E4824" s="162"/>
      <c r="F4824" s="163" t="s">
        <v>40</v>
      </c>
      <c r="G4824" s="164"/>
      <c r="H4824" s="165"/>
      <c r="I4824" s="164"/>
      <c r="J4824" s="165"/>
      <c r="K4824" s="164"/>
      <c r="L4824" s="165"/>
      <c r="M4824" s="6"/>
      <c r="N4824" s="32"/>
      <c r="Q4824" s="10" t="str">
        <f>+CONCATENATE(E4824,G4824)</f>
        <v/>
      </c>
      <c r="R4824" s="10">
        <f>+H4824</f>
        <v>0</v>
      </c>
      <c r="S4824" s="11"/>
      <c r="T4824" s="10">
        <f>+E4824</f>
        <v>0</v>
      </c>
      <c r="U4824" s="19" t="str">
        <f t="shared" ref="U4824" si="2623">IFERROR(LEFT(G4824,FIND("*",G4824)-1),"-")</f>
        <v>-</v>
      </c>
      <c r="V4824" s="19" t="str">
        <f t="shared" ref="V4824" si="2624">IFERROR(RIGHT(G4824,LEN(G4824)-FIND("*",G4824)),"-")</f>
        <v>-</v>
      </c>
      <c r="W4824" s="20" t="str">
        <f t="shared" si="2620"/>
        <v>-</v>
      </c>
      <c r="X4824" s="20" t="str">
        <f>IFERROR(W4824*H4824,"-")</f>
        <v>-</v>
      </c>
      <c r="Z4824" s="85" t="s">
        <v>82</v>
      </c>
    </row>
    <row r="4825" spans="1:26" ht="6.95" customHeight="1" x14ac:dyDescent="0.3">
      <c r="A4825" s="5"/>
      <c r="B4825" s="157"/>
      <c r="C4825" s="158"/>
      <c r="D4825" s="161"/>
      <c r="E4825" s="162"/>
      <c r="F4825" s="163"/>
      <c r="G4825" s="164"/>
      <c r="H4825" s="165"/>
      <c r="I4825" s="164"/>
      <c r="J4825" s="165"/>
      <c r="K4825" s="164"/>
      <c r="L4825" s="165"/>
      <c r="M4825" s="6"/>
      <c r="N4825" s="32"/>
      <c r="Q4825" s="10" t="str">
        <f>+CONCATENATE(E4824,I4824)</f>
        <v/>
      </c>
      <c r="R4825" s="10">
        <f>+J4824</f>
        <v>0</v>
      </c>
      <c r="S4825" s="11"/>
      <c r="T4825" s="10">
        <f>+E4824</f>
        <v>0</v>
      </c>
      <c r="U4825" s="19" t="str">
        <f>IFERROR(LEFT(I4824,FIND("*",I4824)-1),"-")</f>
        <v>-</v>
      </c>
      <c r="V4825" s="19" t="str">
        <f>IFERROR(RIGHT(I4824,LEN(I4824)-FIND("*",I4824)),"-")</f>
        <v>-</v>
      </c>
      <c r="W4825" s="20" t="str">
        <f t="shared" si="2620"/>
        <v>-</v>
      </c>
      <c r="X4825" s="20" t="str">
        <f t="shared" ref="X4825" si="2625">IFERROR(W4825*J4824,"-")</f>
        <v>-</v>
      </c>
      <c r="Z4825" s="85" t="s">
        <v>82</v>
      </c>
    </row>
    <row r="4826" spans="1:26" ht="6.95" customHeight="1" x14ac:dyDescent="0.3">
      <c r="A4826" s="5"/>
      <c r="B4826" s="157"/>
      <c r="C4826" s="158"/>
      <c r="D4826" s="161"/>
      <c r="E4826" s="162"/>
      <c r="F4826" s="163"/>
      <c r="G4826" s="164"/>
      <c r="H4826" s="165"/>
      <c r="I4826" s="164"/>
      <c r="J4826" s="165"/>
      <c r="K4826" s="164"/>
      <c r="L4826" s="165"/>
      <c r="M4826" s="6"/>
      <c r="N4826" s="32"/>
      <c r="Q4826" s="10" t="str">
        <f>+CONCATENATE(E4824,K4824)</f>
        <v/>
      </c>
      <c r="R4826" s="10">
        <f>+L4824</f>
        <v>0</v>
      </c>
      <c r="S4826" s="11"/>
      <c r="T4826" s="10">
        <f>+E4824</f>
        <v>0</v>
      </c>
      <c r="U4826" s="19" t="str">
        <f>IFERROR(LEFT(K4824,FIND("*",K4824)-1),"-")</f>
        <v>-</v>
      </c>
      <c r="V4826" s="19" t="str">
        <f>IFERROR(RIGHT(K4824,LEN(K4824)-FIND("*",K4824)),"-")</f>
        <v>-</v>
      </c>
      <c r="W4826" s="20" t="str">
        <f t="shared" si="2620"/>
        <v>-</v>
      </c>
      <c r="X4826" s="20" t="str">
        <f>IFERROR(W4826*L4824,"-")</f>
        <v>-</v>
      </c>
      <c r="Z4826" s="85" t="s">
        <v>82</v>
      </c>
    </row>
    <row r="4827" spans="1:26" ht="21" customHeight="1" thickBot="1" x14ac:dyDescent="0.35">
      <c r="A4827" s="5"/>
      <c r="B4827" s="159"/>
      <c r="C4827" s="160"/>
      <c r="D4827" s="166" t="s">
        <v>43</v>
      </c>
      <c r="E4827" s="167"/>
      <c r="F4827" s="167"/>
      <c r="G4827" s="168"/>
      <c r="H4827" s="168"/>
      <c r="I4827" s="168"/>
      <c r="J4827" s="168"/>
      <c r="K4827" s="168"/>
      <c r="L4827" s="168"/>
      <c r="M4827" s="7"/>
      <c r="N4827" s="32"/>
      <c r="Z4827" s="86" t="s">
        <v>81</v>
      </c>
    </row>
    <row r="4828" spans="1:26" ht="9.9499999999999993" customHeight="1" thickBot="1" x14ac:dyDescent="0.35">
      <c r="B4828" s="9"/>
      <c r="C4828" s="109"/>
      <c r="D4828" s="51"/>
      <c r="E4828" s="12"/>
      <c r="F4828" s="51"/>
      <c r="G4828" s="14"/>
      <c r="H4828" s="14"/>
      <c r="I4828" s="14"/>
      <c r="J4828" s="14"/>
      <c r="K4828" s="14"/>
      <c r="L4828" s="14"/>
      <c r="M4828" s="9"/>
      <c r="N4828" s="32"/>
      <c r="U4828" s="18"/>
      <c r="V4828" s="18"/>
      <c r="Z4828" s="85" t="s">
        <v>82</v>
      </c>
    </row>
    <row r="4829" spans="1:26" ht="6.95" customHeight="1" x14ac:dyDescent="0.3">
      <c r="A4829" s="154">
        <f>+A4818+1</f>
        <v>1238</v>
      </c>
      <c r="B4829" s="155"/>
      <c r="C4829" s="156"/>
      <c r="D4829" s="161" t="s">
        <v>39</v>
      </c>
      <c r="E4829" s="162"/>
      <c r="F4829" s="163" t="s">
        <v>40</v>
      </c>
      <c r="G4829" s="164"/>
      <c r="H4829" s="165"/>
      <c r="I4829" s="164"/>
      <c r="J4829" s="165"/>
      <c r="K4829" s="164"/>
      <c r="L4829" s="165"/>
      <c r="M4829" s="6"/>
      <c r="N4829" s="32"/>
      <c r="Q4829" s="10" t="str">
        <f>+CONCATENATE(E4829,G4829)</f>
        <v/>
      </c>
      <c r="R4829" s="10">
        <f>+H4829</f>
        <v>0</v>
      </c>
      <c r="S4829" s="11"/>
      <c r="T4829" s="10">
        <f>+E4829</f>
        <v>0</v>
      </c>
      <c r="U4829" s="19" t="str">
        <f>IFERROR(LEFT(G4829,FIND("*",G4829)-1),"-")</f>
        <v>-</v>
      </c>
      <c r="V4829" s="19" t="str">
        <f>IFERROR(RIGHT(G4829,LEN(G4829)-FIND("*",G4829)),"-")</f>
        <v>-</v>
      </c>
      <c r="W4829" s="20" t="str">
        <f>IFERROR((U4829+V4829)*2/1000,"-")</f>
        <v>-</v>
      </c>
      <c r="X4829" s="20" t="str">
        <f>IFERROR(W4829*H4829,"-")</f>
        <v>-</v>
      </c>
      <c r="Z4829" s="85" t="s">
        <v>82</v>
      </c>
    </row>
    <row r="4830" spans="1:26" ht="6.95" customHeight="1" x14ac:dyDescent="0.3">
      <c r="A4830" s="154"/>
      <c r="B4830" s="157"/>
      <c r="C4830" s="158"/>
      <c r="D4830" s="161"/>
      <c r="E4830" s="162"/>
      <c r="F4830" s="163"/>
      <c r="G4830" s="164"/>
      <c r="H4830" s="165"/>
      <c r="I4830" s="164"/>
      <c r="J4830" s="165"/>
      <c r="K4830" s="164"/>
      <c r="L4830" s="165"/>
      <c r="M4830" s="6"/>
      <c r="N4830" s="32"/>
      <c r="Q4830" s="10" t="str">
        <f>+CONCATENATE(E4829,I4829)</f>
        <v/>
      </c>
      <c r="R4830" s="10">
        <f>+J4829</f>
        <v>0</v>
      </c>
      <c r="S4830" s="11"/>
      <c r="T4830" s="10">
        <f>+E4829</f>
        <v>0</v>
      </c>
      <c r="U4830" s="19" t="str">
        <f>IFERROR(LEFT(I4829,FIND("*",I4829)-1),"-")</f>
        <v>-</v>
      </c>
      <c r="V4830" s="19" t="str">
        <f>IFERROR(RIGHT(I4829,LEN(I4829)-FIND("*",I4829)),"-")</f>
        <v>-</v>
      </c>
      <c r="W4830" s="20" t="str">
        <f t="shared" ref="W4830:W4837" si="2626">IFERROR((U4830+V4830)*2/1000,"-")</f>
        <v>-</v>
      </c>
      <c r="X4830" s="20" t="str">
        <f>IFERROR(W4830*J4829,"-")</f>
        <v>-</v>
      </c>
      <c r="Z4830" s="85" t="s">
        <v>82</v>
      </c>
    </row>
    <row r="4831" spans="1:26" ht="6.95" customHeight="1" x14ac:dyDescent="0.3">
      <c r="A4831" s="154"/>
      <c r="B4831" s="157"/>
      <c r="C4831" s="158"/>
      <c r="D4831" s="161"/>
      <c r="E4831" s="162"/>
      <c r="F4831" s="163"/>
      <c r="G4831" s="164"/>
      <c r="H4831" s="165"/>
      <c r="I4831" s="164"/>
      <c r="J4831" s="165"/>
      <c r="K4831" s="164"/>
      <c r="L4831" s="165"/>
      <c r="M4831" s="6"/>
      <c r="N4831" s="32"/>
      <c r="Q4831" s="10" t="str">
        <f>+CONCATENATE(E4829,K4829)</f>
        <v/>
      </c>
      <c r="R4831" s="10">
        <f>+L4829</f>
        <v>0</v>
      </c>
      <c r="S4831" s="11"/>
      <c r="T4831" s="10">
        <f>+E4829</f>
        <v>0</v>
      </c>
      <c r="U4831" s="19" t="str">
        <f>IFERROR(LEFT(K4829,FIND("*",K4829)-1),"-")</f>
        <v>-</v>
      </c>
      <c r="V4831" s="19" t="str">
        <f>IFERROR(RIGHT(K4829,LEN(K4829)-FIND("*",K4829)),"-")</f>
        <v>-</v>
      </c>
      <c r="W4831" s="20" t="str">
        <f t="shared" si="2626"/>
        <v>-</v>
      </c>
      <c r="X4831" s="20" t="str">
        <f>IFERROR(W4831*L4829,"-")</f>
        <v>-</v>
      </c>
      <c r="Z4831" s="85" t="s">
        <v>82</v>
      </c>
    </row>
    <row r="4832" spans="1:26" ht="6.95" customHeight="1" x14ac:dyDescent="0.3">
      <c r="A4832" s="8"/>
      <c r="B4832" s="157"/>
      <c r="C4832" s="158"/>
      <c r="D4832" s="161" t="s">
        <v>39</v>
      </c>
      <c r="E4832" s="162"/>
      <c r="F4832" s="163" t="s">
        <v>40</v>
      </c>
      <c r="G4832" s="164"/>
      <c r="H4832" s="165"/>
      <c r="I4832" s="164"/>
      <c r="J4832" s="165"/>
      <c r="K4832" s="164"/>
      <c r="L4832" s="165"/>
      <c r="M4832" s="6"/>
      <c r="N4832" s="32"/>
      <c r="Q4832" s="10" t="str">
        <f>+CONCATENATE(E4832,G4832)</f>
        <v/>
      </c>
      <c r="R4832" s="10">
        <f>+H4832</f>
        <v>0</v>
      </c>
      <c r="S4832" s="11"/>
      <c r="T4832" s="10">
        <f>+E4832</f>
        <v>0</v>
      </c>
      <c r="U4832" s="19" t="str">
        <f t="shared" ref="U4832" si="2627">IFERROR(LEFT(G4832,FIND("*",G4832)-1),"-")</f>
        <v>-</v>
      </c>
      <c r="V4832" s="19" t="str">
        <f t="shared" ref="V4832" si="2628">IFERROR(RIGHT(G4832,LEN(G4832)-FIND("*",G4832)),"-")</f>
        <v>-</v>
      </c>
      <c r="W4832" s="20" t="str">
        <f t="shared" si="2626"/>
        <v>-</v>
      </c>
      <c r="X4832" s="20" t="str">
        <f>IFERROR(W4832*H4832,"-")</f>
        <v>-</v>
      </c>
      <c r="Z4832" s="85" t="s">
        <v>82</v>
      </c>
    </row>
    <row r="4833" spans="1:26" ht="6.95" customHeight="1" x14ac:dyDescent="0.3">
      <c r="A4833" s="5"/>
      <c r="B4833" s="157"/>
      <c r="C4833" s="158"/>
      <c r="D4833" s="161"/>
      <c r="E4833" s="162"/>
      <c r="F4833" s="163"/>
      <c r="G4833" s="164"/>
      <c r="H4833" s="165"/>
      <c r="I4833" s="164"/>
      <c r="J4833" s="165"/>
      <c r="K4833" s="164"/>
      <c r="L4833" s="165"/>
      <c r="M4833" s="6"/>
      <c r="N4833" s="32"/>
      <c r="Q4833" s="10" t="str">
        <f>+CONCATENATE(E4832,I4832)</f>
        <v/>
      </c>
      <c r="R4833" s="10">
        <f>+J4832</f>
        <v>0</v>
      </c>
      <c r="S4833" s="11"/>
      <c r="T4833" s="10">
        <f>+E4832</f>
        <v>0</v>
      </c>
      <c r="U4833" s="19" t="str">
        <f>IFERROR(LEFT(I4832,FIND("*",I4832)-1),"-")</f>
        <v>-</v>
      </c>
      <c r="V4833" s="19" t="str">
        <f>IFERROR(RIGHT(I4832,LEN(I4832)-FIND("*",I4832)),"-")</f>
        <v>-</v>
      </c>
      <c r="W4833" s="20" t="str">
        <f t="shared" si="2626"/>
        <v>-</v>
      </c>
      <c r="X4833" s="20" t="str">
        <f>IFERROR(W4833*J4832,"-")</f>
        <v>-</v>
      </c>
      <c r="Z4833" s="85" t="s">
        <v>82</v>
      </c>
    </row>
    <row r="4834" spans="1:26" ht="6.95" customHeight="1" x14ac:dyDescent="0.3">
      <c r="A4834" s="5"/>
      <c r="B4834" s="157"/>
      <c r="C4834" s="158"/>
      <c r="D4834" s="161"/>
      <c r="E4834" s="162"/>
      <c r="F4834" s="163"/>
      <c r="G4834" s="164"/>
      <c r="H4834" s="165"/>
      <c r="I4834" s="164"/>
      <c r="J4834" s="165"/>
      <c r="K4834" s="164"/>
      <c r="L4834" s="165"/>
      <c r="M4834" s="6"/>
      <c r="N4834" s="32"/>
      <c r="Q4834" s="10" t="str">
        <f>+CONCATENATE(E4832,K4832)</f>
        <v/>
      </c>
      <c r="R4834" s="10">
        <f>+L4832</f>
        <v>0</v>
      </c>
      <c r="S4834" s="11"/>
      <c r="T4834" s="10">
        <f>+E4832</f>
        <v>0</v>
      </c>
      <c r="U4834" s="19" t="str">
        <f>IFERROR(LEFT(K4832,FIND("*",K4832)-1),"-")</f>
        <v>-</v>
      </c>
      <c r="V4834" s="19" t="str">
        <f>IFERROR(RIGHT(K4832,LEN(K4832)-FIND("*",K4832)),"-")</f>
        <v>-</v>
      </c>
      <c r="W4834" s="20" t="str">
        <f t="shared" si="2626"/>
        <v>-</v>
      </c>
      <c r="X4834" s="20" t="str">
        <f>IFERROR(W4834*L4832,"-")</f>
        <v>-</v>
      </c>
      <c r="Z4834" s="85" t="s">
        <v>82</v>
      </c>
    </row>
    <row r="4835" spans="1:26" ht="6.95" customHeight="1" x14ac:dyDescent="0.3">
      <c r="A4835" s="8"/>
      <c r="B4835" s="157"/>
      <c r="C4835" s="158"/>
      <c r="D4835" s="161" t="s">
        <v>39</v>
      </c>
      <c r="E4835" s="162"/>
      <c r="F4835" s="163" t="s">
        <v>40</v>
      </c>
      <c r="G4835" s="164"/>
      <c r="H4835" s="165"/>
      <c r="I4835" s="164"/>
      <c r="J4835" s="165"/>
      <c r="K4835" s="164"/>
      <c r="L4835" s="165"/>
      <c r="M4835" s="6"/>
      <c r="N4835" s="32"/>
      <c r="Q4835" s="10" t="str">
        <f>+CONCATENATE(E4835,G4835)</f>
        <v/>
      </c>
      <c r="R4835" s="10">
        <f>+H4835</f>
        <v>0</v>
      </c>
      <c r="S4835" s="11"/>
      <c r="T4835" s="10">
        <f>+E4835</f>
        <v>0</v>
      </c>
      <c r="U4835" s="19" t="str">
        <f t="shared" ref="U4835" si="2629">IFERROR(LEFT(G4835,FIND("*",G4835)-1),"-")</f>
        <v>-</v>
      </c>
      <c r="V4835" s="19" t="str">
        <f t="shared" ref="V4835" si="2630">IFERROR(RIGHT(G4835,LEN(G4835)-FIND("*",G4835)),"-")</f>
        <v>-</v>
      </c>
      <c r="W4835" s="20" t="str">
        <f t="shared" si="2626"/>
        <v>-</v>
      </c>
      <c r="X4835" s="20" t="str">
        <f>IFERROR(W4835*H4835,"-")</f>
        <v>-</v>
      </c>
      <c r="Z4835" s="85" t="s">
        <v>82</v>
      </c>
    </row>
    <row r="4836" spans="1:26" ht="6.95" customHeight="1" x14ac:dyDescent="0.3">
      <c r="A4836" s="5"/>
      <c r="B4836" s="157"/>
      <c r="C4836" s="158"/>
      <c r="D4836" s="161"/>
      <c r="E4836" s="162"/>
      <c r="F4836" s="163"/>
      <c r="G4836" s="164"/>
      <c r="H4836" s="165"/>
      <c r="I4836" s="164"/>
      <c r="J4836" s="165"/>
      <c r="K4836" s="164"/>
      <c r="L4836" s="165"/>
      <c r="M4836" s="6"/>
      <c r="N4836" s="32"/>
      <c r="Q4836" s="10" t="str">
        <f>+CONCATENATE(E4835,I4835)</f>
        <v/>
      </c>
      <c r="R4836" s="10">
        <f>+J4835</f>
        <v>0</v>
      </c>
      <c r="S4836" s="11"/>
      <c r="T4836" s="10">
        <f>+E4835</f>
        <v>0</v>
      </c>
      <c r="U4836" s="19" t="str">
        <f>IFERROR(LEFT(I4835,FIND("*",I4835)-1),"-")</f>
        <v>-</v>
      </c>
      <c r="V4836" s="19" t="str">
        <f>IFERROR(RIGHT(I4835,LEN(I4835)-FIND("*",I4835)),"-")</f>
        <v>-</v>
      </c>
      <c r="W4836" s="20" t="str">
        <f t="shared" si="2626"/>
        <v>-</v>
      </c>
      <c r="X4836" s="20" t="str">
        <f t="shared" ref="X4836" si="2631">IFERROR(W4836*J4835,"-")</f>
        <v>-</v>
      </c>
      <c r="Z4836" s="85" t="s">
        <v>82</v>
      </c>
    </row>
    <row r="4837" spans="1:26" ht="6.95" customHeight="1" x14ac:dyDescent="0.3">
      <c r="A4837" s="5"/>
      <c r="B4837" s="157"/>
      <c r="C4837" s="158"/>
      <c r="D4837" s="161"/>
      <c r="E4837" s="162"/>
      <c r="F4837" s="163"/>
      <c r="G4837" s="164"/>
      <c r="H4837" s="165"/>
      <c r="I4837" s="164"/>
      <c r="J4837" s="165"/>
      <c r="K4837" s="164"/>
      <c r="L4837" s="165"/>
      <c r="M4837" s="6"/>
      <c r="N4837" s="32"/>
      <c r="Q4837" s="10" t="str">
        <f>+CONCATENATE(E4835,K4835)</f>
        <v/>
      </c>
      <c r="R4837" s="10">
        <f>+L4835</f>
        <v>0</v>
      </c>
      <c r="S4837" s="11"/>
      <c r="T4837" s="10">
        <f>+E4835</f>
        <v>0</v>
      </c>
      <c r="U4837" s="19" t="str">
        <f>IFERROR(LEFT(K4835,FIND("*",K4835)-1),"-")</f>
        <v>-</v>
      </c>
      <c r="V4837" s="19" t="str">
        <f>IFERROR(RIGHT(K4835,LEN(K4835)-FIND("*",K4835)),"-")</f>
        <v>-</v>
      </c>
      <c r="W4837" s="20" t="str">
        <f t="shared" si="2626"/>
        <v>-</v>
      </c>
      <c r="X4837" s="20" t="str">
        <f>IFERROR(W4837*L4835,"-")</f>
        <v>-</v>
      </c>
      <c r="Z4837" s="85" t="s">
        <v>82</v>
      </c>
    </row>
    <row r="4838" spans="1:26" ht="21" customHeight="1" thickBot="1" x14ac:dyDescent="0.35">
      <c r="A4838" s="5"/>
      <c r="B4838" s="159"/>
      <c r="C4838" s="160"/>
      <c r="D4838" s="166" t="s">
        <v>43</v>
      </c>
      <c r="E4838" s="167"/>
      <c r="F4838" s="167"/>
      <c r="G4838" s="168"/>
      <c r="H4838" s="168"/>
      <c r="I4838" s="168"/>
      <c r="J4838" s="168"/>
      <c r="K4838" s="168"/>
      <c r="L4838" s="168"/>
      <c r="M4838" s="7"/>
      <c r="N4838" s="32"/>
      <c r="Z4838" s="86" t="s">
        <v>81</v>
      </c>
    </row>
    <row r="4839" spans="1:26" ht="9.9499999999999993" customHeight="1" thickBot="1" x14ac:dyDescent="0.35">
      <c r="B4839" s="9"/>
      <c r="C4839" s="109"/>
      <c r="D4839" s="51"/>
      <c r="E4839" s="12"/>
      <c r="F4839" s="51"/>
      <c r="G4839" s="14"/>
      <c r="H4839" s="14"/>
      <c r="I4839" s="14"/>
      <c r="J4839" s="14"/>
      <c r="K4839" s="14"/>
      <c r="L4839" s="14"/>
      <c r="M4839" s="9"/>
      <c r="N4839" s="32"/>
      <c r="U4839" s="18"/>
      <c r="V4839" s="18"/>
      <c r="Z4839" s="85" t="s">
        <v>82</v>
      </c>
    </row>
    <row r="4840" spans="1:26" ht="6.95" customHeight="1" x14ac:dyDescent="0.3">
      <c r="A4840" s="154">
        <f>+A4829+1</f>
        <v>1239</v>
      </c>
      <c r="B4840" s="155"/>
      <c r="C4840" s="156"/>
      <c r="D4840" s="161" t="s">
        <v>39</v>
      </c>
      <c r="E4840" s="162"/>
      <c r="F4840" s="163" t="s">
        <v>40</v>
      </c>
      <c r="G4840" s="164"/>
      <c r="H4840" s="165"/>
      <c r="I4840" s="164"/>
      <c r="J4840" s="165"/>
      <c r="K4840" s="164"/>
      <c r="L4840" s="165"/>
      <c r="M4840" s="6"/>
      <c r="N4840" s="32"/>
      <c r="Q4840" s="10" t="str">
        <f>+CONCATENATE(E4840,G4840)</f>
        <v/>
      </c>
      <c r="R4840" s="10">
        <f>+H4840</f>
        <v>0</v>
      </c>
      <c r="S4840" s="11"/>
      <c r="T4840" s="10">
        <f>+E4840</f>
        <v>0</v>
      </c>
      <c r="U4840" s="19" t="str">
        <f>IFERROR(LEFT(G4840,FIND("*",G4840)-1),"-")</f>
        <v>-</v>
      </c>
      <c r="V4840" s="19" t="str">
        <f>IFERROR(RIGHT(G4840,LEN(G4840)-FIND("*",G4840)),"-")</f>
        <v>-</v>
      </c>
      <c r="W4840" s="20" t="str">
        <f>IFERROR((U4840+V4840)*2/1000,"-")</f>
        <v>-</v>
      </c>
      <c r="X4840" s="20" t="str">
        <f>IFERROR(W4840*H4840,"-")</f>
        <v>-</v>
      </c>
      <c r="Z4840" s="85" t="s">
        <v>82</v>
      </c>
    </row>
    <row r="4841" spans="1:26" ht="6.95" customHeight="1" x14ac:dyDescent="0.3">
      <c r="A4841" s="154"/>
      <c r="B4841" s="157"/>
      <c r="C4841" s="158"/>
      <c r="D4841" s="161"/>
      <c r="E4841" s="162"/>
      <c r="F4841" s="163"/>
      <c r="G4841" s="164"/>
      <c r="H4841" s="165"/>
      <c r="I4841" s="164"/>
      <c r="J4841" s="165"/>
      <c r="K4841" s="164"/>
      <c r="L4841" s="165"/>
      <c r="M4841" s="6"/>
      <c r="N4841" s="32"/>
      <c r="Q4841" s="10" t="str">
        <f>+CONCATENATE(E4840,I4840)</f>
        <v/>
      </c>
      <c r="R4841" s="10">
        <f>+J4840</f>
        <v>0</v>
      </c>
      <c r="S4841" s="11"/>
      <c r="T4841" s="10">
        <f>+E4840</f>
        <v>0</v>
      </c>
      <c r="U4841" s="19" t="str">
        <f>IFERROR(LEFT(I4840,FIND("*",I4840)-1),"-")</f>
        <v>-</v>
      </c>
      <c r="V4841" s="19" t="str">
        <f>IFERROR(RIGHT(I4840,LEN(I4840)-FIND("*",I4840)),"-")</f>
        <v>-</v>
      </c>
      <c r="W4841" s="20" t="str">
        <f t="shared" ref="W4841:W4848" si="2632">IFERROR((U4841+V4841)*2/1000,"-")</f>
        <v>-</v>
      </c>
      <c r="X4841" s="20" t="str">
        <f>IFERROR(W4841*J4840,"-")</f>
        <v>-</v>
      </c>
      <c r="Z4841" s="85" t="s">
        <v>82</v>
      </c>
    </row>
    <row r="4842" spans="1:26" ht="6.95" customHeight="1" x14ac:dyDescent="0.3">
      <c r="A4842" s="154"/>
      <c r="B4842" s="157"/>
      <c r="C4842" s="158"/>
      <c r="D4842" s="161"/>
      <c r="E4842" s="162"/>
      <c r="F4842" s="163"/>
      <c r="G4842" s="164"/>
      <c r="H4842" s="165"/>
      <c r="I4842" s="164"/>
      <c r="J4842" s="165"/>
      <c r="K4842" s="164"/>
      <c r="L4842" s="165"/>
      <c r="M4842" s="6"/>
      <c r="N4842" s="32"/>
      <c r="Q4842" s="10" t="str">
        <f>+CONCATENATE(E4840,K4840)</f>
        <v/>
      </c>
      <c r="R4842" s="10">
        <f>+L4840</f>
        <v>0</v>
      </c>
      <c r="S4842" s="11"/>
      <c r="T4842" s="10">
        <f>+E4840</f>
        <v>0</v>
      </c>
      <c r="U4842" s="19" t="str">
        <f>IFERROR(LEFT(K4840,FIND("*",K4840)-1),"-")</f>
        <v>-</v>
      </c>
      <c r="V4842" s="19" t="str">
        <f>IFERROR(RIGHT(K4840,LEN(K4840)-FIND("*",K4840)),"-")</f>
        <v>-</v>
      </c>
      <c r="W4842" s="20" t="str">
        <f t="shared" si="2632"/>
        <v>-</v>
      </c>
      <c r="X4842" s="20" t="str">
        <f>IFERROR(W4842*L4840,"-")</f>
        <v>-</v>
      </c>
      <c r="Z4842" s="85" t="s">
        <v>82</v>
      </c>
    </row>
    <row r="4843" spans="1:26" ht="6.95" customHeight="1" x14ac:dyDescent="0.3">
      <c r="A4843" s="8"/>
      <c r="B4843" s="157"/>
      <c r="C4843" s="158"/>
      <c r="D4843" s="161" t="s">
        <v>39</v>
      </c>
      <c r="E4843" s="162"/>
      <c r="F4843" s="163" t="s">
        <v>40</v>
      </c>
      <c r="G4843" s="164"/>
      <c r="H4843" s="165"/>
      <c r="I4843" s="164"/>
      <c r="J4843" s="165"/>
      <c r="K4843" s="164"/>
      <c r="L4843" s="165"/>
      <c r="M4843" s="6"/>
      <c r="N4843" s="32"/>
      <c r="Q4843" s="10" t="str">
        <f>+CONCATENATE(E4843,G4843)</f>
        <v/>
      </c>
      <c r="R4843" s="10">
        <f>+H4843</f>
        <v>0</v>
      </c>
      <c r="S4843" s="11"/>
      <c r="T4843" s="10">
        <f>+E4843</f>
        <v>0</v>
      </c>
      <c r="U4843" s="19" t="str">
        <f t="shared" ref="U4843" si="2633">IFERROR(LEFT(G4843,FIND("*",G4843)-1),"-")</f>
        <v>-</v>
      </c>
      <c r="V4843" s="19" t="str">
        <f t="shared" ref="V4843" si="2634">IFERROR(RIGHT(G4843,LEN(G4843)-FIND("*",G4843)),"-")</f>
        <v>-</v>
      </c>
      <c r="W4843" s="20" t="str">
        <f t="shared" si="2632"/>
        <v>-</v>
      </c>
      <c r="X4843" s="20" t="str">
        <f>IFERROR(W4843*H4843,"-")</f>
        <v>-</v>
      </c>
      <c r="Z4843" s="85" t="s">
        <v>82</v>
      </c>
    </row>
    <row r="4844" spans="1:26" ht="6.95" customHeight="1" x14ac:dyDescent="0.3">
      <c r="A4844" s="5"/>
      <c r="B4844" s="157"/>
      <c r="C4844" s="158"/>
      <c r="D4844" s="161"/>
      <c r="E4844" s="162"/>
      <c r="F4844" s="163"/>
      <c r="G4844" s="164"/>
      <c r="H4844" s="165"/>
      <c r="I4844" s="164"/>
      <c r="J4844" s="165"/>
      <c r="K4844" s="164"/>
      <c r="L4844" s="165"/>
      <c r="M4844" s="6"/>
      <c r="N4844" s="32"/>
      <c r="Q4844" s="10" t="str">
        <f>+CONCATENATE(E4843,I4843)</f>
        <v/>
      </c>
      <c r="R4844" s="10">
        <f>+J4843</f>
        <v>0</v>
      </c>
      <c r="S4844" s="11"/>
      <c r="T4844" s="10">
        <f>+E4843</f>
        <v>0</v>
      </c>
      <c r="U4844" s="19" t="str">
        <f>IFERROR(LEFT(I4843,FIND("*",I4843)-1),"-")</f>
        <v>-</v>
      </c>
      <c r="V4844" s="19" t="str">
        <f>IFERROR(RIGHT(I4843,LEN(I4843)-FIND("*",I4843)),"-")</f>
        <v>-</v>
      </c>
      <c r="W4844" s="20" t="str">
        <f t="shared" si="2632"/>
        <v>-</v>
      </c>
      <c r="X4844" s="20" t="str">
        <f>IFERROR(W4844*J4843,"-")</f>
        <v>-</v>
      </c>
      <c r="Z4844" s="85" t="s">
        <v>82</v>
      </c>
    </row>
    <row r="4845" spans="1:26" ht="6.95" customHeight="1" x14ac:dyDescent="0.3">
      <c r="A4845" s="5"/>
      <c r="B4845" s="157"/>
      <c r="C4845" s="158"/>
      <c r="D4845" s="161"/>
      <c r="E4845" s="162"/>
      <c r="F4845" s="163"/>
      <c r="G4845" s="164"/>
      <c r="H4845" s="165"/>
      <c r="I4845" s="164"/>
      <c r="J4845" s="165"/>
      <c r="K4845" s="164"/>
      <c r="L4845" s="165"/>
      <c r="M4845" s="6"/>
      <c r="N4845" s="32"/>
      <c r="Q4845" s="10" t="str">
        <f>+CONCATENATE(E4843,K4843)</f>
        <v/>
      </c>
      <c r="R4845" s="10">
        <f>+L4843</f>
        <v>0</v>
      </c>
      <c r="S4845" s="11"/>
      <c r="T4845" s="10">
        <f>+E4843</f>
        <v>0</v>
      </c>
      <c r="U4845" s="19" t="str">
        <f>IFERROR(LEFT(K4843,FIND("*",K4843)-1),"-")</f>
        <v>-</v>
      </c>
      <c r="V4845" s="19" t="str">
        <f>IFERROR(RIGHT(K4843,LEN(K4843)-FIND("*",K4843)),"-")</f>
        <v>-</v>
      </c>
      <c r="W4845" s="20" t="str">
        <f t="shared" si="2632"/>
        <v>-</v>
      </c>
      <c r="X4845" s="20" t="str">
        <f>IFERROR(W4845*L4843,"-")</f>
        <v>-</v>
      </c>
      <c r="Z4845" s="85" t="s">
        <v>82</v>
      </c>
    </row>
    <row r="4846" spans="1:26" ht="6.95" customHeight="1" x14ac:dyDescent="0.3">
      <c r="A4846" s="8"/>
      <c r="B4846" s="157"/>
      <c r="C4846" s="158"/>
      <c r="D4846" s="161" t="s">
        <v>39</v>
      </c>
      <c r="E4846" s="162"/>
      <c r="F4846" s="163" t="s">
        <v>40</v>
      </c>
      <c r="G4846" s="164"/>
      <c r="H4846" s="165"/>
      <c r="I4846" s="164"/>
      <c r="J4846" s="165"/>
      <c r="K4846" s="164"/>
      <c r="L4846" s="165"/>
      <c r="M4846" s="6"/>
      <c r="N4846" s="32"/>
      <c r="Q4846" s="10" t="str">
        <f>+CONCATENATE(E4846,G4846)</f>
        <v/>
      </c>
      <c r="R4846" s="10">
        <f>+H4846</f>
        <v>0</v>
      </c>
      <c r="S4846" s="11"/>
      <c r="T4846" s="10">
        <f>+E4846</f>
        <v>0</v>
      </c>
      <c r="U4846" s="19" t="str">
        <f t="shared" ref="U4846" si="2635">IFERROR(LEFT(G4846,FIND("*",G4846)-1),"-")</f>
        <v>-</v>
      </c>
      <c r="V4846" s="19" t="str">
        <f t="shared" ref="V4846" si="2636">IFERROR(RIGHT(G4846,LEN(G4846)-FIND("*",G4846)),"-")</f>
        <v>-</v>
      </c>
      <c r="W4846" s="20" t="str">
        <f t="shared" si="2632"/>
        <v>-</v>
      </c>
      <c r="X4846" s="20" t="str">
        <f>IFERROR(W4846*H4846,"-")</f>
        <v>-</v>
      </c>
      <c r="Z4846" s="85" t="s">
        <v>82</v>
      </c>
    </row>
    <row r="4847" spans="1:26" ht="6.95" customHeight="1" x14ac:dyDescent="0.3">
      <c r="A4847" s="5"/>
      <c r="B4847" s="157"/>
      <c r="C4847" s="158"/>
      <c r="D4847" s="161"/>
      <c r="E4847" s="162"/>
      <c r="F4847" s="163"/>
      <c r="G4847" s="164"/>
      <c r="H4847" s="165"/>
      <c r="I4847" s="164"/>
      <c r="J4847" s="165"/>
      <c r="K4847" s="164"/>
      <c r="L4847" s="165"/>
      <c r="M4847" s="6"/>
      <c r="N4847" s="32"/>
      <c r="Q4847" s="10" t="str">
        <f>+CONCATENATE(E4846,I4846)</f>
        <v/>
      </c>
      <c r="R4847" s="10">
        <f>+J4846</f>
        <v>0</v>
      </c>
      <c r="S4847" s="11"/>
      <c r="T4847" s="10">
        <f>+E4846</f>
        <v>0</v>
      </c>
      <c r="U4847" s="19" t="str">
        <f>IFERROR(LEFT(I4846,FIND("*",I4846)-1),"-")</f>
        <v>-</v>
      </c>
      <c r="V4847" s="19" t="str">
        <f>IFERROR(RIGHT(I4846,LEN(I4846)-FIND("*",I4846)),"-")</f>
        <v>-</v>
      </c>
      <c r="W4847" s="20" t="str">
        <f t="shared" si="2632"/>
        <v>-</v>
      </c>
      <c r="X4847" s="20" t="str">
        <f t="shared" ref="X4847" si="2637">IFERROR(W4847*J4846,"-")</f>
        <v>-</v>
      </c>
      <c r="Z4847" s="85" t="s">
        <v>82</v>
      </c>
    </row>
    <row r="4848" spans="1:26" ht="6.95" customHeight="1" x14ac:dyDescent="0.3">
      <c r="A4848" s="5"/>
      <c r="B4848" s="157"/>
      <c r="C4848" s="158"/>
      <c r="D4848" s="161"/>
      <c r="E4848" s="162"/>
      <c r="F4848" s="163"/>
      <c r="G4848" s="164"/>
      <c r="H4848" s="165"/>
      <c r="I4848" s="164"/>
      <c r="J4848" s="165"/>
      <c r="K4848" s="164"/>
      <c r="L4848" s="165"/>
      <c r="M4848" s="6"/>
      <c r="N4848" s="32"/>
      <c r="Q4848" s="10" t="str">
        <f>+CONCATENATE(E4846,K4846)</f>
        <v/>
      </c>
      <c r="R4848" s="10">
        <f>+L4846</f>
        <v>0</v>
      </c>
      <c r="S4848" s="11"/>
      <c r="T4848" s="10">
        <f>+E4846</f>
        <v>0</v>
      </c>
      <c r="U4848" s="19" t="str">
        <f>IFERROR(LEFT(K4846,FIND("*",K4846)-1),"-")</f>
        <v>-</v>
      </c>
      <c r="V4848" s="19" t="str">
        <f>IFERROR(RIGHT(K4846,LEN(K4846)-FIND("*",K4846)),"-")</f>
        <v>-</v>
      </c>
      <c r="W4848" s="20" t="str">
        <f t="shared" si="2632"/>
        <v>-</v>
      </c>
      <c r="X4848" s="20" t="str">
        <f>IFERROR(W4848*L4846,"-")</f>
        <v>-</v>
      </c>
      <c r="Z4848" s="85" t="s">
        <v>82</v>
      </c>
    </row>
    <row r="4849" spans="1:26" ht="21" customHeight="1" thickBot="1" x14ac:dyDescent="0.35">
      <c r="A4849" s="5"/>
      <c r="B4849" s="159"/>
      <c r="C4849" s="160"/>
      <c r="D4849" s="166" t="s">
        <v>43</v>
      </c>
      <c r="E4849" s="167"/>
      <c r="F4849" s="167"/>
      <c r="G4849" s="168"/>
      <c r="H4849" s="168"/>
      <c r="I4849" s="168"/>
      <c r="J4849" s="168"/>
      <c r="K4849" s="168"/>
      <c r="L4849" s="168"/>
      <c r="M4849" s="7"/>
      <c r="N4849" s="32"/>
      <c r="Z4849" s="86" t="s">
        <v>81</v>
      </c>
    </row>
    <row r="4850" spans="1:26" ht="9.9499999999999993" customHeight="1" thickBot="1" x14ac:dyDescent="0.35">
      <c r="B4850" s="9"/>
      <c r="C4850" s="109"/>
      <c r="D4850" s="51"/>
      <c r="E4850" s="12"/>
      <c r="F4850" s="51"/>
      <c r="G4850" s="14"/>
      <c r="H4850" s="14"/>
      <c r="I4850" s="14"/>
      <c r="J4850" s="14"/>
      <c r="K4850" s="14"/>
      <c r="L4850" s="14"/>
      <c r="M4850" s="9"/>
      <c r="N4850" s="32"/>
      <c r="U4850" s="18"/>
      <c r="V4850" s="18"/>
      <c r="Z4850" s="85" t="s">
        <v>82</v>
      </c>
    </row>
    <row r="4851" spans="1:26" ht="6.95" customHeight="1" x14ac:dyDescent="0.3">
      <c r="A4851" s="154">
        <f>+A4840+1</f>
        <v>1240</v>
      </c>
      <c r="B4851" s="155"/>
      <c r="C4851" s="156"/>
      <c r="D4851" s="161" t="s">
        <v>39</v>
      </c>
      <c r="E4851" s="162"/>
      <c r="F4851" s="163" t="s">
        <v>40</v>
      </c>
      <c r="G4851" s="164"/>
      <c r="H4851" s="165"/>
      <c r="I4851" s="164"/>
      <c r="J4851" s="165"/>
      <c r="K4851" s="164"/>
      <c r="L4851" s="165"/>
      <c r="M4851" s="6"/>
      <c r="N4851" s="32"/>
      <c r="Q4851" s="10" t="str">
        <f>+CONCATENATE(E4851,G4851)</f>
        <v/>
      </c>
      <c r="R4851" s="10">
        <f>+H4851</f>
        <v>0</v>
      </c>
      <c r="S4851" s="11"/>
      <c r="T4851" s="10">
        <f>+E4851</f>
        <v>0</v>
      </c>
      <c r="U4851" s="19" t="str">
        <f>IFERROR(LEFT(G4851,FIND("*",G4851)-1),"-")</f>
        <v>-</v>
      </c>
      <c r="V4851" s="19" t="str">
        <f>IFERROR(RIGHT(G4851,LEN(G4851)-FIND("*",G4851)),"-")</f>
        <v>-</v>
      </c>
      <c r="W4851" s="20" t="str">
        <f>IFERROR((U4851+V4851)*2/1000,"-")</f>
        <v>-</v>
      </c>
      <c r="X4851" s="20" t="str">
        <f>IFERROR(W4851*H4851,"-")</f>
        <v>-</v>
      </c>
      <c r="Z4851" s="85" t="s">
        <v>82</v>
      </c>
    </row>
    <row r="4852" spans="1:26" ht="6.95" customHeight="1" x14ac:dyDescent="0.3">
      <c r="A4852" s="154"/>
      <c r="B4852" s="157"/>
      <c r="C4852" s="158"/>
      <c r="D4852" s="161"/>
      <c r="E4852" s="162"/>
      <c r="F4852" s="163"/>
      <c r="G4852" s="164"/>
      <c r="H4852" s="165"/>
      <c r="I4852" s="164"/>
      <c r="J4852" s="165"/>
      <c r="K4852" s="164"/>
      <c r="L4852" s="165"/>
      <c r="M4852" s="6"/>
      <c r="N4852" s="32"/>
      <c r="Q4852" s="10" t="str">
        <f>+CONCATENATE(E4851,I4851)</f>
        <v/>
      </c>
      <c r="R4852" s="10">
        <f>+J4851</f>
        <v>0</v>
      </c>
      <c r="S4852" s="11"/>
      <c r="T4852" s="10">
        <f>+E4851</f>
        <v>0</v>
      </c>
      <c r="U4852" s="19" t="str">
        <f>IFERROR(LEFT(I4851,FIND("*",I4851)-1),"-")</f>
        <v>-</v>
      </c>
      <c r="V4852" s="19" t="str">
        <f>IFERROR(RIGHT(I4851,LEN(I4851)-FIND("*",I4851)),"-")</f>
        <v>-</v>
      </c>
      <c r="W4852" s="20" t="str">
        <f t="shared" ref="W4852:W4859" si="2638">IFERROR((U4852+V4852)*2/1000,"-")</f>
        <v>-</v>
      </c>
      <c r="X4852" s="20" t="str">
        <f>IFERROR(W4852*J4851,"-")</f>
        <v>-</v>
      </c>
      <c r="Z4852" s="85" t="s">
        <v>82</v>
      </c>
    </row>
    <row r="4853" spans="1:26" ht="6.95" customHeight="1" x14ac:dyDescent="0.3">
      <c r="A4853" s="154"/>
      <c r="B4853" s="157"/>
      <c r="C4853" s="158"/>
      <c r="D4853" s="161"/>
      <c r="E4853" s="162"/>
      <c r="F4853" s="163"/>
      <c r="G4853" s="164"/>
      <c r="H4853" s="165"/>
      <c r="I4853" s="164"/>
      <c r="J4853" s="165"/>
      <c r="K4853" s="164"/>
      <c r="L4853" s="165"/>
      <c r="M4853" s="6"/>
      <c r="N4853" s="32"/>
      <c r="Q4853" s="10" t="str">
        <f>+CONCATENATE(E4851,K4851)</f>
        <v/>
      </c>
      <c r="R4853" s="10">
        <f>+L4851</f>
        <v>0</v>
      </c>
      <c r="S4853" s="11"/>
      <c r="T4853" s="10">
        <f>+E4851</f>
        <v>0</v>
      </c>
      <c r="U4853" s="19" t="str">
        <f>IFERROR(LEFT(K4851,FIND("*",K4851)-1),"-")</f>
        <v>-</v>
      </c>
      <c r="V4853" s="19" t="str">
        <f>IFERROR(RIGHT(K4851,LEN(K4851)-FIND("*",K4851)),"-")</f>
        <v>-</v>
      </c>
      <c r="W4853" s="20" t="str">
        <f t="shared" si="2638"/>
        <v>-</v>
      </c>
      <c r="X4853" s="20" t="str">
        <f>IFERROR(W4853*L4851,"-")</f>
        <v>-</v>
      </c>
      <c r="Z4853" s="85" t="s">
        <v>82</v>
      </c>
    </row>
    <row r="4854" spans="1:26" ht="6.95" customHeight="1" x14ac:dyDescent="0.3">
      <c r="A4854" s="8"/>
      <c r="B4854" s="157"/>
      <c r="C4854" s="158"/>
      <c r="D4854" s="161" t="s">
        <v>39</v>
      </c>
      <c r="E4854" s="162"/>
      <c r="F4854" s="163" t="s">
        <v>40</v>
      </c>
      <c r="G4854" s="164"/>
      <c r="H4854" s="165"/>
      <c r="I4854" s="164"/>
      <c r="J4854" s="165"/>
      <c r="K4854" s="164"/>
      <c r="L4854" s="165"/>
      <c r="M4854" s="6"/>
      <c r="N4854" s="32"/>
      <c r="Q4854" s="10" t="str">
        <f>+CONCATENATE(E4854,G4854)</f>
        <v/>
      </c>
      <c r="R4854" s="10">
        <f>+H4854</f>
        <v>0</v>
      </c>
      <c r="S4854" s="11"/>
      <c r="T4854" s="10">
        <f>+E4854</f>
        <v>0</v>
      </c>
      <c r="U4854" s="19" t="str">
        <f t="shared" ref="U4854" si="2639">IFERROR(LEFT(G4854,FIND("*",G4854)-1),"-")</f>
        <v>-</v>
      </c>
      <c r="V4854" s="19" t="str">
        <f t="shared" ref="V4854" si="2640">IFERROR(RIGHT(G4854,LEN(G4854)-FIND("*",G4854)),"-")</f>
        <v>-</v>
      </c>
      <c r="W4854" s="20" t="str">
        <f t="shared" si="2638"/>
        <v>-</v>
      </c>
      <c r="X4854" s="20" t="str">
        <f>IFERROR(W4854*H4854,"-")</f>
        <v>-</v>
      </c>
      <c r="Z4854" s="85" t="s">
        <v>82</v>
      </c>
    </row>
    <row r="4855" spans="1:26" ht="6.95" customHeight="1" x14ac:dyDescent="0.3">
      <c r="A4855" s="5"/>
      <c r="B4855" s="157"/>
      <c r="C4855" s="158"/>
      <c r="D4855" s="161"/>
      <c r="E4855" s="162"/>
      <c r="F4855" s="163"/>
      <c r="G4855" s="164"/>
      <c r="H4855" s="165"/>
      <c r="I4855" s="164"/>
      <c r="J4855" s="165"/>
      <c r="K4855" s="164"/>
      <c r="L4855" s="165"/>
      <c r="M4855" s="6"/>
      <c r="N4855" s="32"/>
      <c r="Q4855" s="10" t="str">
        <f>+CONCATENATE(E4854,I4854)</f>
        <v/>
      </c>
      <c r="R4855" s="10">
        <f>+J4854</f>
        <v>0</v>
      </c>
      <c r="S4855" s="11"/>
      <c r="T4855" s="10">
        <f>+E4854</f>
        <v>0</v>
      </c>
      <c r="U4855" s="19" t="str">
        <f>IFERROR(LEFT(I4854,FIND("*",I4854)-1),"-")</f>
        <v>-</v>
      </c>
      <c r="V4855" s="19" t="str">
        <f>IFERROR(RIGHT(I4854,LEN(I4854)-FIND("*",I4854)),"-")</f>
        <v>-</v>
      </c>
      <c r="W4855" s="20" t="str">
        <f t="shared" si="2638"/>
        <v>-</v>
      </c>
      <c r="X4855" s="20" t="str">
        <f>IFERROR(W4855*J4854,"-")</f>
        <v>-</v>
      </c>
      <c r="Z4855" s="85" t="s">
        <v>82</v>
      </c>
    </row>
    <row r="4856" spans="1:26" ht="6.95" customHeight="1" x14ac:dyDescent="0.3">
      <c r="A4856" s="5"/>
      <c r="B4856" s="157"/>
      <c r="C4856" s="158"/>
      <c r="D4856" s="161"/>
      <c r="E4856" s="162"/>
      <c r="F4856" s="163"/>
      <c r="G4856" s="164"/>
      <c r="H4856" s="165"/>
      <c r="I4856" s="164"/>
      <c r="J4856" s="165"/>
      <c r="K4856" s="164"/>
      <c r="L4856" s="165"/>
      <c r="M4856" s="6"/>
      <c r="N4856" s="32"/>
      <c r="Q4856" s="10" t="str">
        <f>+CONCATENATE(E4854,K4854)</f>
        <v/>
      </c>
      <c r="R4856" s="10">
        <f>+L4854</f>
        <v>0</v>
      </c>
      <c r="S4856" s="11"/>
      <c r="T4856" s="10">
        <f>+E4854</f>
        <v>0</v>
      </c>
      <c r="U4856" s="19" t="str">
        <f>IFERROR(LEFT(K4854,FIND("*",K4854)-1),"-")</f>
        <v>-</v>
      </c>
      <c r="V4856" s="19" t="str">
        <f>IFERROR(RIGHT(K4854,LEN(K4854)-FIND("*",K4854)),"-")</f>
        <v>-</v>
      </c>
      <c r="W4856" s="20" t="str">
        <f t="shared" si="2638"/>
        <v>-</v>
      </c>
      <c r="X4856" s="20" t="str">
        <f>IFERROR(W4856*L4854,"-")</f>
        <v>-</v>
      </c>
      <c r="Z4856" s="85" t="s">
        <v>82</v>
      </c>
    </row>
    <row r="4857" spans="1:26" ht="6.95" customHeight="1" x14ac:dyDescent="0.3">
      <c r="A4857" s="8"/>
      <c r="B4857" s="157"/>
      <c r="C4857" s="158"/>
      <c r="D4857" s="161" t="s">
        <v>39</v>
      </c>
      <c r="E4857" s="162"/>
      <c r="F4857" s="163" t="s">
        <v>40</v>
      </c>
      <c r="G4857" s="164"/>
      <c r="H4857" s="165"/>
      <c r="I4857" s="164"/>
      <c r="J4857" s="165"/>
      <c r="K4857" s="164"/>
      <c r="L4857" s="165"/>
      <c r="M4857" s="6"/>
      <c r="N4857" s="32"/>
      <c r="Q4857" s="10" t="str">
        <f>+CONCATENATE(E4857,G4857)</f>
        <v/>
      </c>
      <c r="R4857" s="10">
        <f>+H4857</f>
        <v>0</v>
      </c>
      <c r="S4857" s="11"/>
      <c r="T4857" s="10">
        <f>+E4857</f>
        <v>0</v>
      </c>
      <c r="U4857" s="19" t="str">
        <f t="shared" ref="U4857" si="2641">IFERROR(LEFT(G4857,FIND("*",G4857)-1),"-")</f>
        <v>-</v>
      </c>
      <c r="V4857" s="19" t="str">
        <f t="shared" ref="V4857" si="2642">IFERROR(RIGHT(G4857,LEN(G4857)-FIND("*",G4857)),"-")</f>
        <v>-</v>
      </c>
      <c r="W4857" s="20" t="str">
        <f t="shared" si="2638"/>
        <v>-</v>
      </c>
      <c r="X4857" s="20" t="str">
        <f>IFERROR(W4857*H4857,"-")</f>
        <v>-</v>
      </c>
      <c r="Z4857" s="85" t="s">
        <v>82</v>
      </c>
    </row>
    <row r="4858" spans="1:26" ht="6.95" customHeight="1" x14ac:dyDescent="0.3">
      <c r="A4858" s="5"/>
      <c r="B4858" s="157"/>
      <c r="C4858" s="158"/>
      <c r="D4858" s="161"/>
      <c r="E4858" s="162"/>
      <c r="F4858" s="163"/>
      <c r="G4858" s="164"/>
      <c r="H4858" s="165"/>
      <c r="I4858" s="164"/>
      <c r="J4858" s="165"/>
      <c r="K4858" s="164"/>
      <c r="L4858" s="165"/>
      <c r="M4858" s="6"/>
      <c r="N4858" s="32"/>
      <c r="Q4858" s="10" t="str">
        <f>+CONCATENATE(E4857,I4857)</f>
        <v/>
      </c>
      <c r="R4858" s="10">
        <f>+J4857</f>
        <v>0</v>
      </c>
      <c r="S4858" s="11"/>
      <c r="T4858" s="10">
        <f>+E4857</f>
        <v>0</v>
      </c>
      <c r="U4858" s="19" t="str">
        <f>IFERROR(LEFT(I4857,FIND("*",I4857)-1),"-")</f>
        <v>-</v>
      </c>
      <c r="V4858" s="19" t="str">
        <f>IFERROR(RIGHT(I4857,LEN(I4857)-FIND("*",I4857)),"-")</f>
        <v>-</v>
      </c>
      <c r="W4858" s="20" t="str">
        <f t="shared" si="2638"/>
        <v>-</v>
      </c>
      <c r="X4858" s="20" t="str">
        <f t="shared" ref="X4858" si="2643">IFERROR(W4858*J4857,"-")</f>
        <v>-</v>
      </c>
      <c r="Z4858" s="85" t="s">
        <v>82</v>
      </c>
    </row>
    <row r="4859" spans="1:26" ht="6.95" customHeight="1" x14ac:dyDescent="0.3">
      <c r="A4859" s="5"/>
      <c r="B4859" s="157"/>
      <c r="C4859" s="158"/>
      <c r="D4859" s="161"/>
      <c r="E4859" s="162"/>
      <c r="F4859" s="163"/>
      <c r="G4859" s="164"/>
      <c r="H4859" s="165"/>
      <c r="I4859" s="164"/>
      <c r="J4859" s="165"/>
      <c r="K4859" s="164"/>
      <c r="L4859" s="165"/>
      <c r="M4859" s="6"/>
      <c r="N4859" s="32"/>
      <c r="Q4859" s="10" t="str">
        <f>+CONCATENATE(E4857,K4857)</f>
        <v/>
      </c>
      <c r="R4859" s="10">
        <f>+L4857</f>
        <v>0</v>
      </c>
      <c r="S4859" s="11"/>
      <c r="T4859" s="10">
        <f>+E4857</f>
        <v>0</v>
      </c>
      <c r="U4859" s="19" t="str">
        <f>IFERROR(LEFT(K4857,FIND("*",K4857)-1),"-")</f>
        <v>-</v>
      </c>
      <c r="V4859" s="19" t="str">
        <f>IFERROR(RIGHT(K4857,LEN(K4857)-FIND("*",K4857)),"-")</f>
        <v>-</v>
      </c>
      <c r="W4859" s="20" t="str">
        <f t="shared" si="2638"/>
        <v>-</v>
      </c>
      <c r="X4859" s="20" t="str">
        <f>IFERROR(W4859*L4857,"-")</f>
        <v>-</v>
      </c>
      <c r="Z4859" s="85" t="s">
        <v>82</v>
      </c>
    </row>
    <row r="4860" spans="1:26" ht="21" customHeight="1" thickBot="1" x14ac:dyDescent="0.35">
      <c r="A4860" s="5"/>
      <c r="B4860" s="159"/>
      <c r="C4860" s="160"/>
      <c r="D4860" s="166" t="s">
        <v>43</v>
      </c>
      <c r="E4860" s="167"/>
      <c r="F4860" s="167"/>
      <c r="G4860" s="168"/>
      <c r="H4860" s="168"/>
      <c r="I4860" s="168"/>
      <c r="J4860" s="168"/>
      <c r="K4860" s="168"/>
      <c r="L4860" s="168"/>
      <c r="M4860" s="7"/>
      <c r="N4860" s="32"/>
      <c r="Z4860" s="86" t="s">
        <v>81</v>
      </c>
    </row>
    <row r="4861" spans="1:26" ht="9.9499999999999993" customHeight="1" thickBot="1" x14ac:dyDescent="0.35">
      <c r="B4861" s="9"/>
      <c r="C4861" s="109"/>
      <c r="D4861" s="51"/>
      <c r="E4861" s="12"/>
      <c r="F4861" s="51"/>
      <c r="G4861" s="14"/>
      <c r="H4861" s="14"/>
      <c r="I4861" s="14"/>
      <c r="J4861" s="14"/>
      <c r="K4861" s="14"/>
      <c r="L4861" s="14"/>
      <c r="M4861" s="9"/>
      <c r="N4861" s="32"/>
      <c r="U4861" s="18"/>
      <c r="V4861" s="18"/>
      <c r="Z4861" s="85" t="s">
        <v>82</v>
      </c>
    </row>
    <row r="4862" spans="1:26" ht="6.95" customHeight="1" x14ac:dyDescent="0.3">
      <c r="A4862" s="154">
        <f>+A4851+1</f>
        <v>1241</v>
      </c>
      <c r="B4862" s="155"/>
      <c r="C4862" s="156"/>
      <c r="D4862" s="161" t="s">
        <v>39</v>
      </c>
      <c r="E4862" s="162"/>
      <c r="F4862" s="163" t="s">
        <v>40</v>
      </c>
      <c r="G4862" s="164"/>
      <c r="H4862" s="165"/>
      <c r="I4862" s="164"/>
      <c r="J4862" s="165"/>
      <c r="K4862" s="164"/>
      <c r="L4862" s="165"/>
      <c r="M4862" s="6"/>
      <c r="N4862" s="32"/>
      <c r="Q4862" s="10" t="str">
        <f>+CONCATENATE(E4862,G4862)</f>
        <v/>
      </c>
      <c r="R4862" s="10">
        <f>+H4862</f>
        <v>0</v>
      </c>
      <c r="S4862" s="11"/>
      <c r="T4862" s="10">
        <f>+E4862</f>
        <v>0</v>
      </c>
      <c r="U4862" s="19" t="str">
        <f>IFERROR(LEFT(G4862,FIND("*",G4862)-1),"-")</f>
        <v>-</v>
      </c>
      <c r="V4862" s="19" t="str">
        <f>IFERROR(RIGHT(G4862,LEN(G4862)-FIND("*",G4862)),"-")</f>
        <v>-</v>
      </c>
      <c r="W4862" s="20" t="str">
        <f>IFERROR((U4862+V4862)*2/1000,"-")</f>
        <v>-</v>
      </c>
      <c r="X4862" s="20" t="str">
        <f>IFERROR(W4862*H4862,"-")</f>
        <v>-</v>
      </c>
      <c r="Z4862" s="85" t="s">
        <v>82</v>
      </c>
    </row>
    <row r="4863" spans="1:26" ht="6.95" customHeight="1" x14ac:dyDescent="0.3">
      <c r="A4863" s="154"/>
      <c r="B4863" s="157"/>
      <c r="C4863" s="158"/>
      <c r="D4863" s="161"/>
      <c r="E4863" s="162"/>
      <c r="F4863" s="163"/>
      <c r="G4863" s="164"/>
      <c r="H4863" s="165"/>
      <c r="I4863" s="164"/>
      <c r="J4863" s="165"/>
      <c r="K4863" s="164"/>
      <c r="L4863" s="165"/>
      <c r="M4863" s="6"/>
      <c r="N4863" s="32"/>
      <c r="Q4863" s="10" t="str">
        <f>+CONCATENATE(E4862,I4862)</f>
        <v/>
      </c>
      <c r="R4863" s="10">
        <f>+J4862</f>
        <v>0</v>
      </c>
      <c r="S4863" s="11"/>
      <c r="T4863" s="10">
        <f>+E4862</f>
        <v>0</v>
      </c>
      <c r="U4863" s="19" t="str">
        <f>IFERROR(LEFT(I4862,FIND("*",I4862)-1),"-")</f>
        <v>-</v>
      </c>
      <c r="V4863" s="19" t="str">
        <f>IFERROR(RIGHT(I4862,LEN(I4862)-FIND("*",I4862)),"-")</f>
        <v>-</v>
      </c>
      <c r="W4863" s="20" t="str">
        <f t="shared" ref="W4863:W4870" si="2644">IFERROR((U4863+V4863)*2/1000,"-")</f>
        <v>-</v>
      </c>
      <c r="X4863" s="20" t="str">
        <f>IFERROR(W4863*J4862,"-")</f>
        <v>-</v>
      </c>
      <c r="Z4863" s="85" t="s">
        <v>82</v>
      </c>
    </row>
    <row r="4864" spans="1:26" ht="6.95" customHeight="1" x14ac:dyDescent="0.3">
      <c r="A4864" s="154"/>
      <c r="B4864" s="157"/>
      <c r="C4864" s="158"/>
      <c r="D4864" s="161"/>
      <c r="E4864" s="162"/>
      <c r="F4864" s="163"/>
      <c r="G4864" s="164"/>
      <c r="H4864" s="165"/>
      <c r="I4864" s="164"/>
      <c r="J4864" s="165"/>
      <c r="K4864" s="164"/>
      <c r="L4864" s="165"/>
      <c r="M4864" s="6"/>
      <c r="N4864" s="32"/>
      <c r="Q4864" s="10" t="str">
        <f>+CONCATENATE(E4862,K4862)</f>
        <v/>
      </c>
      <c r="R4864" s="10">
        <f>+L4862</f>
        <v>0</v>
      </c>
      <c r="S4864" s="11"/>
      <c r="T4864" s="10">
        <f>+E4862</f>
        <v>0</v>
      </c>
      <c r="U4864" s="19" t="str">
        <f>IFERROR(LEFT(K4862,FIND("*",K4862)-1),"-")</f>
        <v>-</v>
      </c>
      <c r="V4864" s="19" t="str">
        <f>IFERROR(RIGHT(K4862,LEN(K4862)-FIND("*",K4862)),"-")</f>
        <v>-</v>
      </c>
      <c r="W4864" s="20" t="str">
        <f t="shared" si="2644"/>
        <v>-</v>
      </c>
      <c r="X4864" s="20" t="str">
        <f>IFERROR(W4864*L4862,"-")</f>
        <v>-</v>
      </c>
      <c r="Z4864" s="85" t="s">
        <v>82</v>
      </c>
    </row>
    <row r="4865" spans="1:26" ht="6.95" customHeight="1" x14ac:dyDescent="0.3">
      <c r="A4865" s="8"/>
      <c r="B4865" s="157"/>
      <c r="C4865" s="158"/>
      <c r="D4865" s="161" t="s">
        <v>39</v>
      </c>
      <c r="E4865" s="162"/>
      <c r="F4865" s="163" t="s">
        <v>40</v>
      </c>
      <c r="G4865" s="164"/>
      <c r="H4865" s="165"/>
      <c r="I4865" s="164"/>
      <c r="J4865" s="165"/>
      <c r="K4865" s="164"/>
      <c r="L4865" s="165"/>
      <c r="M4865" s="6"/>
      <c r="N4865" s="32"/>
      <c r="Q4865" s="10" t="str">
        <f>+CONCATENATE(E4865,G4865)</f>
        <v/>
      </c>
      <c r="R4865" s="10">
        <f>+H4865</f>
        <v>0</v>
      </c>
      <c r="S4865" s="11"/>
      <c r="T4865" s="10">
        <f>+E4865</f>
        <v>0</v>
      </c>
      <c r="U4865" s="19" t="str">
        <f t="shared" ref="U4865" si="2645">IFERROR(LEFT(G4865,FIND("*",G4865)-1),"-")</f>
        <v>-</v>
      </c>
      <c r="V4865" s="19" t="str">
        <f t="shared" ref="V4865" si="2646">IFERROR(RIGHT(G4865,LEN(G4865)-FIND("*",G4865)),"-")</f>
        <v>-</v>
      </c>
      <c r="W4865" s="20" t="str">
        <f t="shared" si="2644"/>
        <v>-</v>
      </c>
      <c r="X4865" s="20" t="str">
        <f>IFERROR(W4865*H4865,"-")</f>
        <v>-</v>
      </c>
      <c r="Z4865" s="85" t="s">
        <v>82</v>
      </c>
    </row>
    <row r="4866" spans="1:26" ht="6.95" customHeight="1" x14ac:dyDescent="0.3">
      <c r="A4866" s="5"/>
      <c r="B4866" s="157"/>
      <c r="C4866" s="158"/>
      <c r="D4866" s="161"/>
      <c r="E4866" s="162"/>
      <c r="F4866" s="163"/>
      <c r="G4866" s="164"/>
      <c r="H4866" s="165"/>
      <c r="I4866" s="164"/>
      <c r="J4866" s="165"/>
      <c r="K4866" s="164"/>
      <c r="L4866" s="165"/>
      <c r="M4866" s="6"/>
      <c r="N4866" s="32"/>
      <c r="Q4866" s="10" t="str">
        <f>+CONCATENATE(E4865,I4865)</f>
        <v/>
      </c>
      <c r="R4866" s="10">
        <f>+J4865</f>
        <v>0</v>
      </c>
      <c r="S4866" s="11"/>
      <c r="T4866" s="10">
        <f>+E4865</f>
        <v>0</v>
      </c>
      <c r="U4866" s="19" t="str">
        <f>IFERROR(LEFT(I4865,FIND("*",I4865)-1),"-")</f>
        <v>-</v>
      </c>
      <c r="V4866" s="19" t="str">
        <f>IFERROR(RIGHT(I4865,LEN(I4865)-FIND("*",I4865)),"-")</f>
        <v>-</v>
      </c>
      <c r="W4866" s="20" t="str">
        <f t="shared" si="2644"/>
        <v>-</v>
      </c>
      <c r="X4866" s="20" t="str">
        <f>IFERROR(W4866*J4865,"-")</f>
        <v>-</v>
      </c>
      <c r="Z4866" s="85" t="s">
        <v>82</v>
      </c>
    </row>
    <row r="4867" spans="1:26" ht="6.95" customHeight="1" x14ac:dyDescent="0.3">
      <c r="A4867" s="5"/>
      <c r="B4867" s="157"/>
      <c r="C4867" s="158"/>
      <c r="D4867" s="161"/>
      <c r="E4867" s="162"/>
      <c r="F4867" s="163"/>
      <c r="G4867" s="164"/>
      <c r="H4867" s="165"/>
      <c r="I4867" s="164"/>
      <c r="J4867" s="165"/>
      <c r="K4867" s="164"/>
      <c r="L4867" s="165"/>
      <c r="M4867" s="6"/>
      <c r="N4867" s="32"/>
      <c r="Q4867" s="10" t="str">
        <f>+CONCATENATE(E4865,K4865)</f>
        <v/>
      </c>
      <c r="R4867" s="10">
        <f>+L4865</f>
        <v>0</v>
      </c>
      <c r="S4867" s="11"/>
      <c r="T4867" s="10">
        <f>+E4865</f>
        <v>0</v>
      </c>
      <c r="U4867" s="19" t="str">
        <f>IFERROR(LEFT(K4865,FIND("*",K4865)-1),"-")</f>
        <v>-</v>
      </c>
      <c r="V4867" s="19" t="str">
        <f>IFERROR(RIGHT(K4865,LEN(K4865)-FIND("*",K4865)),"-")</f>
        <v>-</v>
      </c>
      <c r="W4867" s="20" t="str">
        <f t="shared" si="2644"/>
        <v>-</v>
      </c>
      <c r="X4867" s="20" t="str">
        <f>IFERROR(W4867*L4865,"-")</f>
        <v>-</v>
      </c>
      <c r="Z4867" s="85" t="s">
        <v>82</v>
      </c>
    </row>
    <row r="4868" spans="1:26" ht="6.95" customHeight="1" x14ac:dyDescent="0.3">
      <c r="A4868" s="8"/>
      <c r="B4868" s="157"/>
      <c r="C4868" s="158"/>
      <c r="D4868" s="161" t="s">
        <v>39</v>
      </c>
      <c r="E4868" s="162"/>
      <c r="F4868" s="163" t="s">
        <v>40</v>
      </c>
      <c r="G4868" s="164"/>
      <c r="H4868" s="165"/>
      <c r="I4868" s="164"/>
      <c r="J4868" s="165"/>
      <c r="K4868" s="164"/>
      <c r="L4868" s="165"/>
      <c r="M4868" s="6"/>
      <c r="N4868" s="32"/>
      <c r="Q4868" s="10" t="str">
        <f>+CONCATENATE(E4868,G4868)</f>
        <v/>
      </c>
      <c r="R4868" s="10">
        <f>+H4868</f>
        <v>0</v>
      </c>
      <c r="S4868" s="11"/>
      <c r="T4868" s="10">
        <f>+E4868</f>
        <v>0</v>
      </c>
      <c r="U4868" s="19" t="str">
        <f t="shared" ref="U4868" si="2647">IFERROR(LEFT(G4868,FIND("*",G4868)-1),"-")</f>
        <v>-</v>
      </c>
      <c r="V4868" s="19" t="str">
        <f t="shared" ref="V4868" si="2648">IFERROR(RIGHT(G4868,LEN(G4868)-FIND("*",G4868)),"-")</f>
        <v>-</v>
      </c>
      <c r="W4868" s="20" t="str">
        <f t="shared" si="2644"/>
        <v>-</v>
      </c>
      <c r="X4868" s="20" t="str">
        <f>IFERROR(W4868*H4868,"-")</f>
        <v>-</v>
      </c>
      <c r="Z4868" s="85" t="s">
        <v>82</v>
      </c>
    </row>
    <row r="4869" spans="1:26" ht="6.95" customHeight="1" x14ac:dyDescent="0.3">
      <c r="A4869" s="5"/>
      <c r="B4869" s="157"/>
      <c r="C4869" s="158"/>
      <c r="D4869" s="161"/>
      <c r="E4869" s="162"/>
      <c r="F4869" s="163"/>
      <c r="G4869" s="164"/>
      <c r="H4869" s="165"/>
      <c r="I4869" s="164"/>
      <c r="J4869" s="165"/>
      <c r="K4869" s="164"/>
      <c r="L4869" s="165"/>
      <c r="M4869" s="6"/>
      <c r="N4869" s="32"/>
      <c r="Q4869" s="10" t="str">
        <f>+CONCATENATE(E4868,I4868)</f>
        <v/>
      </c>
      <c r="R4869" s="10">
        <f>+J4868</f>
        <v>0</v>
      </c>
      <c r="S4869" s="11"/>
      <c r="T4869" s="10">
        <f>+E4868</f>
        <v>0</v>
      </c>
      <c r="U4869" s="19" t="str">
        <f>IFERROR(LEFT(I4868,FIND("*",I4868)-1),"-")</f>
        <v>-</v>
      </c>
      <c r="V4869" s="19" t="str">
        <f>IFERROR(RIGHT(I4868,LEN(I4868)-FIND("*",I4868)),"-")</f>
        <v>-</v>
      </c>
      <c r="W4869" s="20" t="str">
        <f t="shared" si="2644"/>
        <v>-</v>
      </c>
      <c r="X4869" s="20" t="str">
        <f t="shared" ref="X4869" si="2649">IFERROR(W4869*J4868,"-")</f>
        <v>-</v>
      </c>
      <c r="Z4869" s="85" t="s">
        <v>82</v>
      </c>
    </row>
    <row r="4870" spans="1:26" ht="6.95" customHeight="1" x14ac:dyDescent="0.3">
      <c r="A4870" s="5"/>
      <c r="B4870" s="157"/>
      <c r="C4870" s="158"/>
      <c r="D4870" s="161"/>
      <c r="E4870" s="162"/>
      <c r="F4870" s="163"/>
      <c r="G4870" s="164"/>
      <c r="H4870" s="165"/>
      <c r="I4870" s="164"/>
      <c r="J4870" s="165"/>
      <c r="K4870" s="164"/>
      <c r="L4870" s="165"/>
      <c r="M4870" s="6"/>
      <c r="N4870" s="32"/>
      <c r="Q4870" s="10" t="str">
        <f>+CONCATENATE(E4868,K4868)</f>
        <v/>
      </c>
      <c r="R4870" s="10">
        <f>+L4868</f>
        <v>0</v>
      </c>
      <c r="S4870" s="11"/>
      <c r="T4870" s="10">
        <f>+E4868</f>
        <v>0</v>
      </c>
      <c r="U4870" s="19" t="str">
        <f>IFERROR(LEFT(K4868,FIND("*",K4868)-1),"-")</f>
        <v>-</v>
      </c>
      <c r="V4870" s="19" t="str">
        <f>IFERROR(RIGHT(K4868,LEN(K4868)-FIND("*",K4868)),"-")</f>
        <v>-</v>
      </c>
      <c r="W4870" s="20" t="str">
        <f t="shared" si="2644"/>
        <v>-</v>
      </c>
      <c r="X4870" s="20" t="str">
        <f>IFERROR(W4870*L4868,"-")</f>
        <v>-</v>
      </c>
      <c r="Z4870" s="85" t="s">
        <v>82</v>
      </c>
    </row>
    <row r="4871" spans="1:26" ht="21" customHeight="1" thickBot="1" x14ac:dyDescent="0.35">
      <c r="A4871" s="5"/>
      <c r="B4871" s="159"/>
      <c r="C4871" s="160"/>
      <c r="D4871" s="166" t="s">
        <v>43</v>
      </c>
      <c r="E4871" s="167"/>
      <c r="F4871" s="167"/>
      <c r="G4871" s="168"/>
      <c r="H4871" s="168"/>
      <c r="I4871" s="168"/>
      <c r="J4871" s="168"/>
      <c r="K4871" s="168"/>
      <c r="L4871" s="168"/>
      <c r="M4871" s="7"/>
      <c r="N4871" s="32"/>
      <c r="Z4871" s="86" t="s">
        <v>81</v>
      </c>
    </row>
    <row r="4872" spans="1:26" ht="9.9499999999999993" customHeight="1" thickBot="1" x14ac:dyDescent="0.35">
      <c r="B4872" s="9"/>
      <c r="C4872" s="109"/>
      <c r="D4872" s="51"/>
      <c r="E4872" s="12"/>
      <c r="F4872" s="51"/>
      <c r="G4872" s="14"/>
      <c r="H4872" s="14"/>
      <c r="I4872" s="14"/>
      <c r="J4872" s="14"/>
      <c r="K4872" s="14"/>
      <c r="L4872" s="14"/>
      <c r="M4872" s="9"/>
      <c r="N4872" s="32"/>
      <c r="U4872" s="18"/>
      <c r="V4872" s="18"/>
      <c r="Z4872" s="85" t="s">
        <v>82</v>
      </c>
    </row>
    <row r="4873" spans="1:26" ht="6.95" customHeight="1" x14ac:dyDescent="0.3">
      <c r="A4873" s="154">
        <f>+A4862+1</f>
        <v>1242</v>
      </c>
      <c r="B4873" s="155"/>
      <c r="C4873" s="156"/>
      <c r="D4873" s="161" t="s">
        <v>39</v>
      </c>
      <c r="E4873" s="162"/>
      <c r="F4873" s="163" t="s">
        <v>40</v>
      </c>
      <c r="G4873" s="164"/>
      <c r="H4873" s="165"/>
      <c r="I4873" s="164"/>
      <c r="J4873" s="165"/>
      <c r="K4873" s="164"/>
      <c r="L4873" s="165"/>
      <c r="M4873" s="6"/>
      <c r="N4873" s="32"/>
      <c r="Q4873" s="10" t="str">
        <f>+CONCATENATE(E4873,G4873)</f>
        <v/>
      </c>
      <c r="R4873" s="10">
        <f>+H4873</f>
        <v>0</v>
      </c>
      <c r="S4873" s="11"/>
      <c r="T4873" s="10">
        <f>+E4873</f>
        <v>0</v>
      </c>
      <c r="U4873" s="19" t="str">
        <f>IFERROR(LEFT(G4873,FIND("*",G4873)-1),"-")</f>
        <v>-</v>
      </c>
      <c r="V4873" s="19" t="str">
        <f>IFERROR(RIGHT(G4873,LEN(G4873)-FIND("*",G4873)),"-")</f>
        <v>-</v>
      </c>
      <c r="W4873" s="20" t="str">
        <f>IFERROR((U4873+V4873)*2/1000,"-")</f>
        <v>-</v>
      </c>
      <c r="X4873" s="20" t="str">
        <f>IFERROR(W4873*H4873,"-")</f>
        <v>-</v>
      </c>
      <c r="Z4873" s="85" t="s">
        <v>82</v>
      </c>
    </row>
    <row r="4874" spans="1:26" ht="6.95" customHeight="1" x14ac:dyDescent="0.3">
      <c r="A4874" s="154"/>
      <c r="B4874" s="157"/>
      <c r="C4874" s="158"/>
      <c r="D4874" s="161"/>
      <c r="E4874" s="162"/>
      <c r="F4874" s="163"/>
      <c r="G4874" s="164"/>
      <c r="H4874" s="165"/>
      <c r="I4874" s="164"/>
      <c r="J4874" s="165"/>
      <c r="K4874" s="164"/>
      <c r="L4874" s="165"/>
      <c r="M4874" s="6"/>
      <c r="N4874" s="32"/>
      <c r="Q4874" s="10" t="str">
        <f>+CONCATENATE(E4873,I4873)</f>
        <v/>
      </c>
      <c r="R4874" s="10">
        <f>+J4873</f>
        <v>0</v>
      </c>
      <c r="S4874" s="11"/>
      <c r="T4874" s="10">
        <f>+E4873</f>
        <v>0</v>
      </c>
      <c r="U4874" s="19" t="str">
        <f>IFERROR(LEFT(I4873,FIND("*",I4873)-1),"-")</f>
        <v>-</v>
      </c>
      <c r="V4874" s="19" t="str">
        <f>IFERROR(RIGHT(I4873,LEN(I4873)-FIND("*",I4873)),"-")</f>
        <v>-</v>
      </c>
      <c r="W4874" s="20" t="str">
        <f t="shared" ref="W4874:W4881" si="2650">IFERROR((U4874+V4874)*2/1000,"-")</f>
        <v>-</v>
      </c>
      <c r="X4874" s="20" t="str">
        <f>IFERROR(W4874*J4873,"-")</f>
        <v>-</v>
      </c>
      <c r="Z4874" s="85" t="s">
        <v>82</v>
      </c>
    </row>
    <row r="4875" spans="1:26" ht="6.95" customHeight="1" x14ac:dyDescent="0.3">
      <c r="A4875" s="154"/>
      <c r="B4875" s="157"/>
      <c r="C4875" s="158"/>
      <c r="D4875" s="161"/>
      <c r="E4875" s="162"/>
      <c r="F4875" s="163"/>
      <c r="G4875" s="164"/>
      <c r="H4875" s="165"/>
      <c r="I4875" s="164"/>
      <c r="J4875" s="165"/>
      <c r="K4875" s="164"/>
      <c r="L4875" s="165"/>
      <c r="M4875" s="6"/>
      <c r="N4875" s="32"/>
      <c r="Q4875" s="10" t="str">
        <f>+CONCATENATE(E4873,K4873)</f>
        <v/>
      </c>
      <c r="R4875" s="10">
        <f>+L4873</f>
        <v>0</v>
      </c>
      <c r="S4875" s="11"/>
      <c r="T4875" s="10">
        <f>+E4873</f>
        <v>0</v>
      </c>
      <c r="U4875" s="19" t="str">
        <f>IFERROR(LEFT(K4873,FIND("*",K4873)-1),"-")</f>
        <v>-</v>
      </c>
      <c r="V4875" s="19" t="str">
        <f>IFERROR(RIGHT(K4873,LEN(K4873)-FIND("*",K4873)),"-")</f>
        <v>-</v>
      </c>
      <c r="W4875" s="20" t="str">
        <f t="shared" si="2650"/>
        <v>-</v>
      </c>
      <c r="X4875" s="20" t="str">
        <f>IFERROR(W4875*L4873,"-")</f>
        <v>-</v>
      </c>
      <c r="Z4875" s="85" t="s">
        <v>82</v>
      </c>
    </row>
    <row r="4876" spans="1:26" ht="6.95" customHeight="1" x14ac:dyDescent="0.3">
      <c r="A4876" s="8"/>
      <c r="B4876" s="157"/>
      <c r="C4876" s="158"/>
      <c r="D4876" s="161" t="s">
        <v>39</v>
      </c>
      <c r="E4876" s="162"/>
      <c r="F4876" s="163" t="s">
        <v>40</v>
      </c>
      <c r="G4876" s="164"/>
      <c r="H4876" s="165"/>
      <c r="I4876" s="164"/>
      <c r="J4876" s="165"/>
      <c r="K4876" s="164"/>
      <c r="L4876" s="165"/>
      <c r="M4876" s="6"/>
      <c r="N4876" s="32"/>
      <c r="Q4876" s="10" t="str">
        <f>+CONCATENATE(E4876,G4876)</f>
        <v/>
      </c>
      <c r="R4876" s="10">
        <f>+H4876</f>
        <v>0</v>
      </c>
      <c r="S4876" s="11"/>
      <c r="T4876" s="10">
        <f>+E4876</f>
        <v>0</v>
      </c>
      <c r="U4876" s="19" t="str">
        <f t="shared" ref="U4876" si="2651">IFERROR(LEFT(G4876,FIND("*",G4876)-1),"-")</f>
        <v>-</v>
      </c>
      <c r="V4876" s="19" t="str">
        <f t="shared" ref="V4876" si="2652">IFERROR(RIGHT(G4876,LEN(G4876)-FIND("*",G4876)),"-")</f>
        <v>-</v>
      </c>
      <c r="W4876" s="20" t="str">
        <f t="shared" si="2650"/>
        <v>-</v>
      </c>
      <c r="X4876" s="20" t="str">
        <f>IFERROR(W4876*H4876,"-")</f>
        <v>-</v>
      </c>
      <c r="Z4876" s="85" t="s">
        <v>82</v>
      </c>
    </row>
    <row r="4877" spans="1:26" ht="6.95" customHeight="1" x14ac:dyDescent="0.3">
      <c r="A4877" s="5"/>
      <c r="B4877" s="157"/>
      <c r="C4877" s="158"/>
      <c r="D4877" s="161"/>
      <c r="E4877" s="162"/>
      <c r="F4877" s="163"/>
      <c r="G4877" s="164"/>
      <c r="H4877" s="165"/>
      <c r="I4877" s="164"/>
      <c r="J4877" s="165"/>
      <c r="K4877" s="164"/>
      <c r="L4877" s="165"/>
      <c r="M4877" s="6"/>
      <c r="N4877" s="32"/>
      <c r="Q4877" s="10" t="str">
        <f>+CONCATENATE(E4876,I4876)</f>
        <v/>
      </c>
      <c r="R4877" s="10">
        <f>+J4876</f>
        <v>0</v>
      </c>
      <c r="S4877" s="11"/>
      <c r="T4877" s="10">
        <f>+E4876</f>
        <v>0</v>
      </c>
      <c r="U4877" s="19" t="str">
        <f>IFERROR(LEFT(I4876,FIND("*",I4876)-1),"-")</f>
        <v>-</v>
      </c>
      <c r="V4877" s="19" t="str">
        <f>IFERROR(RIGHT(I4876,LEN(I4876)-FIND("*",I4876)),"-")</f>
        <v>-</v>
      </c>
      <c r="W4877" s="20" t="str">
        <f t="shared" si="2650"/>
        <v>-</v>
      </c>
      <c r="X4877" s="20" t="str">
        <f>IFERROR(W4877*J4876,"-")</f>
        <v>-</v>
      </c>
      <c r="Z4877" s="85" t="s">
        <v>82</v>
      </c>
    </row>
    <row r="4878" spans="1:26" ht="6.95" customHeight="1" x14ac:dyDescent="0.3">
      <c r="A4878" s="5"/>
      <c r="B4878" s="157"/>
      <c r="C4878" s="158"/>
      <c r="D4878" s="161"/>
      <c r="E4878" s="162"/>
      <c r="F4878" s="163"/>
      <c r="G4878" s="164"/>
      <c r="H4878" s="165"/>
      <c r="I4878" s="164"/>
      <c r="J4878" s="165"/>
      <c r="K4878" s="164"/>
      <c r="L4878" s="165"/>
      <c r="M4878" s="6"/>
      <c r="N4878" s="32"/>
      <c r="Q4878" s="10" t="str">
        <f>+CONCATENATE(E4876,K4876)</f>
        <v/>
      </c>
      <c r="R4878" s="10">
        <f>+L4876</f>
        <v>0</v>
      </c>
      <c r="S4878" s="11"/>
      <c r="T4878" s="10">
        <f>+E4876</f>
        <v>0</v>
      </c>
      <c r="U4878" s="19" t="str">
        <f>IFERROR(LEFT(K4876,FIND("*",K4876)-1),"-")</f>
        <v>-</v>
      </c>
      <c r="V4878" s="19" t="str">
        <f>IFERROR(RIGHT(K4876,LEN(K4876)-FIND("*",K4876)),"-")</f>
        <v>-</v>
      </c>
      <c r="W4878" s="20" t="str">
        <f t="shared" si="2650"/>
        <v>-</v>
      </c>
      <c r="X4878" s="20" t="str">
        <f>IFERROR(W4878*L4876,"-")</f>
        <v>-</v>
      </c>
      <c r="Z4878" s="85" t="s">
        <v>82</v>
      </c>
    </row>
    <row r="4879" spans="1:26" ht="6.95" customHeight="1" x14ac:dyDescent="0.3">
      <c r="A4879" s="8"/>
      <c r="B4879" s="157"/>
      <c r="C4879" s="158"/>
      <c r="D4879" s="161" t="s">
        <v>39</v>
      </c>
      <c r="E4879" s="162"/>
      <c r="F4879" s="163" t="s">
        <v>40</v>
      </c>
      <c r="G4879" s="164"/>
      <c r="H4879" s="165"/>
      <c r="I4879" s="164"/>
      <c r="J4879" s="165"/>
      <c r="K4879" s="164"/>
      <c r="L4879" s="165"/>
      <c r="M4879" s="6"/>
      <c r="N4879" s="32"/>
      <c r="Q4879" s="10" t="str">
        <f>+CONCATENATE(E4879,G4879)</f>
        <v/>
      </c>
      <c r="R4879" s="10">
        <f>+H4879</f>
        <v>0</v>
      </c>
      <c r="S4879" s="11"/>
      <c r="T4879" s="10">
        <f>+E4879</f>
        <v>0</v>
      </c>
      <c r="U4879" s="19" t="str">
        <f t="shared" ref="U4879" si="2653">IFERROR(LEFT(G4879,FIND("*",G4879)-1),"-")</f>
        <v>-</v>
      </c>
      <c r="V4879" s="19" t="str">
        <f t="shared" ref="V4879" si="2654">IFERROR(RIGHT(G4879,LEN(G4879)-FIND("*",G4879)),"-")</f>
        <v>-</v>
      </c>
      <c r="W4879" s="20" t="str">
        <f t="shared" si="2650"/>
        <v>-</v>
      </c>
      <c r="X4879" s="20" t="str">
        <f>IFERROR(W4879*H4879,"-")</f>
        <v>-</v>
      </c>
      <c r="Z4879" s="85" t="s">
        <v>82</v>
      </c>
    </row>
    <row r="4880" spans="1:26" ht="6.95" customHeight="1" x14ac:dyDescent="0.3">
      <c r="A4880" s="5"/>
      <c r="B4880" s="157"/>
      <c r="C4880" s="158"/>
      <c r="D4880" s="161"/>
      <c r="E4880" s="162"/>
      <c r="F4880" s="163"/>
      <c r="G4880" s="164"/>
      <c r="H4880" s="165"/>
      <c r="I4880" s="164"/>
      <c r="J4880" s="165"/>
      <c r="K4880" s="164"/>
      <c r="L4880" s="165"/>
      <c r="M4880" s="6"/>
      <c r="N4880" s="32"/>
      <c r="Q4880" s="10" t="str">
        <f>+CONCATENATE(E4879,I4879)</f>
        <v/>
      </c>
      <c r="R4880" s="10">
        <f>+J4879</f>
        <v>0</v>
      </c>
      <c r="S4880" s="11"/>
      <c r="T4880" s="10">
        <f>+E4879</f>
        <v>0</v>
      </c>
      <c r="U4880" s="19" t="str">
        <f>IFERROR(LEFT(I4879,FIND("*",I4879)-1),"-")</f>
        <v>-</v>
      </c>
      <c r="V4880" s="19" t="str">
        <f>IFERROR(RIGHT(I4879,LEN(I4879)-FIND("*",I4879)),"-")</f>
        <v>-</v>
      </c>
      <c r="W4880" s="20" t="str">
        <f t="shared" si="2650"/>
        <v>-</v>
      </c>
      <c r="X4880" s="20" t="str">
        <f t="shared" ref="X4880" si="2655">IFERROR(W4880*J4879,"-")</f>
        <v>-</v>
      </c>
      <c r="Z4880" s="85" t="s">
        <v>82</v>
      </c>
    </row>
    <row r="4881" spans="1:26" ht="6.95" customHeight="1" x14ac:dyDescent="0.3">
      <c r="A4881" s="5"/>
      <c r="B4881" s="157"/>
      <c r="C4881" s="158"/>
      <c r="D4881" s="161"/>
      <c r="E4881" s="162"/>
      <c r="F4881" s="163"/>
      <c r="G4881" s="164"/>
      <c r="H4881" s="165"/>
      <c r="I4881" s="164"/>
      <c r="J4881" s="165"/>
      <c r="K4881" s="164"/>
      <c r="L4881" s="165"/>
      <c r="M4881" s="6"/>
      <c r="N4881" s="32"/>
      <c r="Q4881" s="10" t="str">
        <f>+CONCATENATE(E4879,K4879)</f>
        <v/>
      </c>
      <c r="R4881" s="10">
        <f>+L4879</f>
        <v>0</v>
      </c>
      <c r="S4881" s="11"/>
      <c r="T4881" s="10">
        <f>+E4879</f>
        <v>0</v>
      </c>
      <c r="U4881" s="19" t="str">
        <f>IFERROR(LEFT(K4879,FIND("*",K4879)-1),"-")</f>
        <v>-</v>
      </c>
      <c r="V4881" s="19" t="str">
        <f>IFERROR(RIGHT(K4879,LEN(K4879)-FIND("*",K4879)),"-")</f>
        <v>-</v>
      </c>
      <c r="W4881" s="20" t="str">
        <f t="shared" si="2650"/>
        <v>-</v>
      </c>
      <c r="X4881" s="20" t="str">
        <f>IFERROR(W4881*L4879,"-")</f>
        <v>-</v>
      </c>
      <c r="Z4881" s="85" t="s">
        <v>82</v>
      </c>
    </row>
    <row r="4882" spans="1:26" ht="21" customHeight="1" thickBot="1" x14ac:dyDescent="0.35">
      <c r="A4882" s="5"/>
      <c r="B4882" s="159"/>
      <c r="C4882" s="160"/>
      <c r="D4882" s="166" t="s">
        <v>43</v>
      </c>
      <c r="E4882" s="167"/>
      <c r="F4882" s="167"/>
      <c r="G4882" s="168"/>
      <c r="H4882" s="168"/>
      <c r="I4882" s="168"/>
      <c r="J4882" s="168"/>
      <c r="K4882" s="168"/>
      <c r="L4882" s="168"/>
      <c r="M4882" s="7"/>
      <c r="N4882" s="32"/>
      <c r="Z4882" s="86" t="s">
        <v>81</v>
      </c>
    </row>
    <row r="4883" spans="1:26" ht="9.9499999999999993" customHeight="1" thickBot="1" x14ac:dyDescent="0.35">
      <c r="B4883" s="9"/>
      <c r="C4883" s="109"/>
      <c r="D4883" s="51"/>
      <c r="E4883" s="12"/>
      <c r="F4883" s="51"/>
      <c r="G4883" s="14"/>
      <c r="H4883" s="14"/>
      <c r="I4883" s="14"/>
      <c r="J4883" s="14"/>
      <c r="K4883" s="14"/>
      <c r="L4883" s="14"/>
      <c r="M4883" s="9"/>
      <c r="N4883" s="32"/>
      <c r="U4883" s="18"/>
      <c r="V4883" s="18"/>
      <c r="Z4883" s="85" t="s">
        <v>82</v>
      </c>
    </row>
    <row r="4884" spans="1:26" ht="6.95" customHeight="1" x14ac:dyDescent="0.3">
      <c r="A4884" s="154">
        <f>+A4873+1</f>
        <v>1243</v>
      </c>
      <c r="B4884" s="155"/>
      <c r="C4884" s="156"/>
      <c r="D4884" s="161" t="s">
        <v>39</v>
      </c>
      <c r="E4884" s="162"/>
      <c r="F4884" s="163" t="s">
        <v>40</v>
      </c>
      <c r="G4884" s="164"/>
      <c r="H4884" s="165"/>
      <c r="I4884" s="164"/>
      <c r="J4884" s="165"/>
      <c r="K4884" s="164"/>
      <c r="L4884" s="165"/>
      <c r="M4884" s="6"/>
      <c r="N4884" s="32"/>
      <c r="Q4884" s="10" t="str">
        <f>+CONCATENATE(E4884,G4884)</f>
        <v/>
      </c>
      <c r="R4884" s="10">
        <f>+H4884</f>
        <v>0</v>
      </c>
      <c r="S4884" s="11"/>
      <c r="T4884" s="10">
        <f>+E4884</f>
        <v>0</v>
      </c>
      <c r="U4884" s="19" t="str">
        <f>IFERROR(LEFT(G4884,FIND("*",G4884)-1),"-")</f>
        <v>-</v>
      </c>
      <c r="V4884" s="19" t="str">
        <f>IFERROR(RIGHT(G4884,LEN(G4884)-FIND("*",G4884)),"-")</f>
        <v>-</v>
      </c>
      <c r="W4884" s="20" t="str">
        <f>IFERROR((U4884+V4884)*2/1000,"-")</f>
        <v>-</v>
      </c>
      <c r="X4884" s="20" t="str">
        <f>IFERROR(W4884*H4884,"-")</f>
        <v>-</v>
      </c>
      <c r="Z4884" s="85" t="s">
        <v>82</v>
      </c>
    </row>
    <row r="4885" spans="1:26" ht="6.95" customHeight="1" x14ac:dyDescent="0.3">
      <c r="A4885" s="154"/>
      <c r="B4885" s="157"/>
      <c r="C4885" s="158"/>
      <c r="D4885" s="161"/>
      <c r="E4885" s="162"/>
      <c r="F4885" s="163"/>
      <c r="G4885" s="164"/>
      <c r="H4885" s="165"/>
      <c r="I4885" s="164"/>
      <c r="J4885" s="165"/>
      <c r="K4885" s="164"/>
      <c r="L4885" s="165"/>
      <c r="M4885" s="6"/>
      <c r="N4885" s="32"/>
      <c r="Q4885" s="10" t="str">
        <f>+CONCATENATE(E4884,I4884)</f>
        <v/>
      </c>
      <c r="R4885" s="10">
        <f>+J4884</f>
        <v>0</v>
      </c>
      <c r="S4885" s="11"/>
      <c r="T4885" s="10">
        <f>+E4884</f>
        <v>0</v>
      </c>
      <c r="U4885" s="19" t="str">
        <f>IFERROR(LEFT(I4884,FIND("*",I4884)-1),"-")</f>
        <v>-</v>
      </c>
      <c r="V4885" s="19" t="str">
        <f>IFERROR(RIGHT(I4884,LEN(I4884)-FIND("*",I4884)),"-")</f>
        <v>-</v>
      </c>
      <c r="W4885" s="20" t="str">
        <f t="shared" ref="W4885:W4892" si="2656">IFERROR((U4885+V4885)*2/1000,"-")</f>
        <v>-</v>
      </c>
      <c r="X4885" s="20" t="str">
        <f>IFERROR(W4885*J4884,"-")</f>
        <v>-</v>
      </c>
      <c r="Z4885" s="85" t="s">
        <v>82</v>
      </c>
    </row>
    <row r="4886" spans="1:26" ht="6.95" customHeight="1" x14ac:dyDescent="0.3">
      <c r="A4886" s="154"/>
      <c r="B4886" s="157"/>
      <c r="C4886" s="158"/>
      <c r="D4886" s="161"/>
      <c r="E4886" s="162"/>
      <c r="F4886" s="163"/>
      <c r="G4886" s="164"/>
      <c r="H4886" s="165"/>
      <c r="I4886" s="164"/>
      <c r="J4886" s="165"/>
      <c r="K4886" s="164"/>
      <c r="L4886" s="165"/>
      <c r="M4886" s="6"/>
      <c r="N4886" s="32"/>
      <c r="Q4886" s="10" t="str">
        <f>+CONCATENATE(E4884,K4884)</f>
        <v/>
      </c>
      <c r="R4886" s="10">
        <f>+L4884</f>
        <v>0</v>
      </c>
      <c r="S4886" s="11"/>
      <c r="T4886" s="10">
        <f>+E4884</f>
        <v>0</v>
      </c>
      <c r="U4886" s="19" t="str">
        <f>IFERROR(LEFT(K4884,FIND("*",K4884)-1),"-")</f>
        <v>-</v>
      </c>
      <c r="V4886" s="19" t="str">
        <f>IFERROR(RIGHT(K4884,LEN(K4884)-FIND("*",K4884)),"-")</f>
        <v>-</v>
      </c>
      <c r="W4886" s="20" t="str">
        <f t="shared" si="2656"/>
        <v>-</v>
      </c>
      <c r="X4886" s="20" t="str">
        <f>IFERROR(W4886*L4884,"-")</f>
        <v>-</v>
      </c>
      <c r="Z4886" s="85" t="s">
        <v>82</v>
      </c>
    </row>
    <row r="4887" spans="1:26" ht="6.95" customHeight="1" x14ac:dyDescent="0.3">
      <c r="A4887" s="8"/>
      <c r="B4887" s="157"/>
      <c r="C4887" s="158"/>
      <c r="D4887" s="161" t="s">
        <v>39</v>
      </c>
      <c r="E4887" s="162"/>
      <c r="F4887" s="163" t="s">
        <v>40</v>
      </c>
      <c r="G4887" s="164"/>
      <c r="H4887" s="165"/>
      <c r="I4887" s="164"/>
      <c r="J4887" s="165"/>
      <c r="K4887" s="164"/>
      <c r="L4887" s="165"/>
      <c r="M4887" s="6"/>
      <c r="N4887" s="32"/>
      <c r="Q4887" s="10" t="str">
        <f>+CONCATENATE(E4887,G4887)</f>
        <v/>
      </c>
      <c r="R4887" s="10">
        <f>+H4887</f>
        <v>0</v>
      </c>
      <c r="S4887" s="11"/>
      <c r="T4887" s="10">
        <f>+E4887</f>
        <v>0</v>
      </c>
      <c r="U4887" s="19" t="str">
        <f t="shared" ref="U4887" si="2657">IFERROR(LEFT(G4887,FIND("*",G4887)-1),"-")</f>
        <v>-</v>
      </c>
      <c r="V4887" s="19" t="str">
        <f t="shared" ref="V4887" si="2658">IFERROR(RIGHT(G4887,LEN(G4887)-FIND("*",G4887)),"-")</f>
        <v>-</v>
      </c>
      <c r="W4887" s="20" t="str">
        <f t="shared" si="2656"/>
        <v>-</v>
      </c>
      <c r="X4887" s="20" t="str">
        <f>IFERROR(W4887*H4887,"-")</f>
        <v>-</v>
      </c>
      <c r="Z4887" s="85" t="s">
        <v>82</v>
      </c>
    </row>
    <row r="4888" spans="1:26" ht="6.95" customHeight="1" x14ac:dyDescent="0.3">
      <c r="A4888" s="5"/>
      <c r="B4888" s="157"/>
      <c r="C4888" s="158"/>
      <c r="D4888" s="161"/>
      <c r="E4888" s="162"/>
      <c r="F4888" s="163"/>
      <c r="G4888" s="164"/>
      <c r="H4888" s="165"/>
      <c r="I4888" s="164"/>
      <c r="J4888" s="165"/>
      <c r="K4888" s="164"/>
      <c r="L4888" s="165"/>
      <c r="M4888" s="6"/>
      <c r="N4888" s="32"/>
      <c r="Q4888" s="10" t="str">
        <f>+CONCATENATE(E4887,I4887)</f>
        <v/>
      </c>
      <c r="R4888" s="10">
        <f>+J4887</f>
        <v>0</v>
      </c>
      <c r="S4888" s="11"/>
      <c r="T4888" s="10">
        <f>+E4887</f>
        <v>0</v>
      </c>
      <c r="U4888" s="19" t="str">
        <f>IFERROR(LEFT(I4887,FIND("*",I4887)-1),"-")</f>
        <v>-</v>
      </c>
      <c r="V4888" s="19" t="str">
        <f>IFERROR(RIGHT(I4887,LEN(I4887)-FIND("*",I4887)),"-")</f>
        <v>-</v>
      </c>
      <c r="W4888" s="20" t="str">
        <f t="shared" si="2656"/>
        <v>-</v>
      </c>
      <c r="X4888" s="20" t="str">
        <f>IFERROR(W4888*J4887,"-")</f>
        <v>-</v>
      </c>
      <c r="Z4888" s="85" t="s">
        <v>82</v>
      </c>
    </row>
    <row r="4889" spans="1:26" ht="6.95" customHeight="1" x14ac:dyDescent="0.3">
      <c r="A4889" s="5"/>
      <c r="B4889" s="157"/>
      <c r="C4889" s="158"/>
      <c r="D4889" s="161"/>
      <c r="E4889" s="162"/>
      <c r="F4889" s="163"/>
      <c r="G4889" s="164"/>
      <c r="H4889" s="165"/>
      <c r="I4889" s="164"/>
      <c r="J4889" s="165"/>
      <c r="K4889" s="164"/>
      <c r="L4889" s="165"/>
      <c r="M4889" s="6"/>
      <c r="N4889" s="32"/>
      <c r="Q4889" s="10" t="str">
        <f>+CONCATENATE(E4887,K4887)</f>
        <v/>
      </c>
      <c r="R4889" s="10">
        <f>+L4887</f>
        <v>0</v>
      </c>
      <c r="S4889" s="11"/>
      <c r="T4889" s="10">
        <f>+E4887</f>
        <v>0</v>
      </c>
      <c r="U4889" s="19" t="str">
        <f>IFERROR(LEFT(K4887,FIND("*",K4887)-1),"-")</f>
        <v>-</v>
      </c>
      <c r="V4889" s="19" t="str">
        <f>IFERROR(RIGHT(K4887,LEN(K4887)-FIND("*",K4887)),"-")</f>
        <v>-</v>
      </c>
      <c r="W4889" s="20" t="str">
        <f t="shared" si="2656"/>
        <v>-</v>
      </c>
      <c r="X4889" s="20" t="str">
        <f>IFERROR(W4889*L4887,"-")</f>
        <v>-</v>
      </c>
      <c r="Z4889" s="85" t="s">
        <v>82</v>
      </c>
    </row>
    <row r="4890" spans="1:26" ht="6.95" customHeight="1" x14ac:dyDescent="0.3">
      <c r="A4890" s="8"/>
      <c r="B4890" s="157"/>
      <c r="C4890" s="158"/>
      <c r="D4890" s="161" t="s">
        <v>39</v>
      </c>
      <c r="E4890" s="162"/>
      <c r="F4890" s="163" t="s">
        <v>40</v>
      </c>
      <c r="G4890" s="164"/>
      <c r="H4890" s="165"/>
      <c r="I4890" s="164"/>
      <c r="J4890" s="165"/>
      <c r="K4890" s="164"/>
      <c r="L4890" s="165"/>
      <c r="M4890" s="6"/>
      <c r="N4890" s="32"/>
      <c r="Q4890" s="10" t="str">
        <f>+CONCATENATE(E4890,G4890)</f>
        <v/>
      </c>
      <c r="R4890" s="10">
        <f>+H4890</f>
        <v>0</v>
      </c>
      <c r="S4890" s="11"/>
      <c r="T4890" s="10">
        <f>+E4890</f>
        <v>0</v>
      </c>
      <c r="U4890" s="19" t="str">
        <f t="shared" ref="U4890" si="2659">IFERROR(LEFT(G4890,FIND("*",G4890)-1),"-")</f>
        <v>-</v>
      </c>
      <c r="V4890" s="19" t="str">
        <f t="shared" ref="V4890" si="2660">IFERROR(RIGHT(G4890,LEN(G4890)-FIND("*",G4890)),"-")</f>
        <v>-</v>
      </c>
      <c r="W4890" s="20" t="str">
        <f t="shared" si="2656"/>
        <v>-</v>
      </c>
      <c r="X4890" s="20" t="str">
        <f>IFERROR(W4890*H4890,"-")</f>
        <v>-</v>
      </c>
      <c r="Z4890" s="85" t="s">
        <v>82</v>
      </c>
    </row>
    <row r="4891" spans="1:26" ht="6.95" customHeight="1" x14ac:dyDescent="0.3">
      <c r="A4891" s="5"/>
      <c r="B4891" s="157"/>
      <c r="C4891" s="158"/>
      <c r="D4891" s="161"/>
      <c r="E4891" s="162"/>
      <c r="F4891" s="163"/>
      <c r="G4891" s="164"/>
      <c r="H4891" s="165"/>
      <c r="I4891" s="164"/>
      <c r="J4891" s="165"/>
      <c r="K4891" s="164"/>
      <c r="L4891" s="165"/>
      <c r="M4891" s="6"/>
      <c r="N4891" s="32"/>
      <c r="Q4891" s="10" t="str">
        <f>+CONCATENATE(E4890,I4890)</f>
        <v/>
      </c>
      <c r="R4891" s="10">
        <f>+J4890</f>
        <v>0</v>
      </c>
      <c r="S4891" s="11"/>
      <c r="T4891" s="10">
        <f>+E4890</f>
        <v>0</v>
      </c>
      <c r="U4891" s="19" t="str">
        <f>IFERROR(LEFT(I4890,FIND("*",I4890)-1),"-")</f>
        <v>-</v>
      </c>
      <c r="V4891" s="19" t="str">
        <f>IFERROR(RIGHT(I4890,LEN(I4890)-FIND("*",I4890)),"-")</f>
        <v>-</v>
      </c>
      <c r="W4891" s="20" t="str">
        <f t="shared" si="2656"/>
        <v>-</v>
      </c>
      <c r="X4891" s="20" t="str">
        <f t="shared" ref="X4891" si="2661">IFERROR(W4891*J4890,"-")</f>
        <v>-</v>
      </c>
      <c r="Z4891" s="85" t="s">
        <v>82</v>
      </c>
    </row>
    <row r="4892" spans="1:26" ht="6.95" customHeight="1" x14ac:dyDescent="0.3">
      <c r="A4892" s="5"/>
      <c r="B4892" s="157"/>
      <c r="C4892" s="158"/>
      <c r="D4892" s="161"/>
      <c r="E4892" s="162"/>
      <c r="F4892" s="163"/>
      <c r="G4892" s="164"/>
      <c r="H4892" s="165"/>
      <c r="I4892" s="164"/>
      <c r="J4892" s="165"/>
      <c r="K4892" s="164"/>
      <c r="L4892" s="165"/>
      <c r="M4892" s="6"/>
      <c r="N4892" s="32"/>
      <c r="Q4892" s="10" t="str">
        <f>+CONCATENATE(E4890,K4890)</f>
        <v/>
      </c>
      <c r="R4892" s="10">
        <f>+L4890</f>
        <v>0</v>
      </c>
      <c r="S4892" s="11"/>
      <c r="T4892" s="10">
        <f>+E4890</f>
        <v>0</v>
      </c>
      <c r="U4892" s="19" t="str">
        <f>IFERROR(LEFT(K4890,FIND("*",K4890)-1),"-")</f>
        <v>-</v>
      </c>
      <c r="V4892" s="19" t="str">
        <f>IFERROR(RIGHT(K4890,LEN(K4890)-FIND("*",K4890)),"-")</f>
        <v>-</v>
      </c>
      <c r="W4892" s="20" t="str">
        <f t="shared" si="2656"/>
        <v>-</v>
      </c>
      <c r="X4892" s="20" t="str">
        <f>IFERROR(W4892*L4890,"-")</f>
        <v>-</v>
      </c>
      <c r="Z4892" s="85" t="s">
        <v>82</v>
      </c>
    </row>
    <row r="4893" spans="1:26" ht="21" customHeight="1" thickBot="1" x14ac:dyDescent="0.35">
      <c r="A4893" s="5"/>
      <c r="B4893" s="159"/>
      <c r="C4893" s="160"/>
      <c r="D4893" s="166" t="s">
        <v>43</v>
      </c>
      <c r="E4893" s="167"/>
      <c r="F4893" s="167"/>
      <c r="G4893" s="168"/>
      <c r="H4893" s="168"/>
      <c r="I4893" s="168"/>
      <c r="J4893" s="168"/>
      <c r="K4893" s="168"/>
      <c r="L4893" s="168"/>
      <c r="M4893" s="7"/>
      <c r="N4893" s="32"/>
      <c r="Z4893" s="86" t="s">
        <v>81</v>
      </c>
    </row>
    <row r="4894" spans="1:26" ht="9.9499999999999993" customHeight="1" thickBot="1" x14ac:dyDescent="0.35">
      <c r="B4894" s="9"/>
      <c r="C4894" s="109"/>
      <c r="D4894" s="51"/>
      <c r="E4894" s="12"/>
      <c r="F4894" s="51"/>
      <c r="G4894" s="14"/>
      <c r="H4894" s="14"/>
      <c r="I4894" s="14"/>
      <c r="J4894" s="14"/>
      <c r="K4894" s="14"/>
      <c r="L4894" s="14"/>
      <c r="M4894" s="9"/>
      <c r="N4894" s="32"/>
      <c r="U4894" s="18"/>
      <c r="V4894" s="18"/>
      <c r="Z4894" s="85" t="s">
        <v>82</v>
      </c>
    </row>
    <row r="4895" spans="1:26" ht="6.95" customHeight="1" x14ac:dyDescent="0.3">
      <c r="A4895" s="154">
        <f>+A4884+1</f>
        <v>1244</v>
      </c>
      <c r="B4895" s="155"/>
      <c r="C4895" s="156"/>
      <c r="D4895" s="161" t="s">
        <v>39</v>
      </c>
      <c r="E4895" s="162"/>
      <c r="F4895" s="163" t="s">
        <v>40</v>
      </c>
      <c r="G4895" s="164"/>
      <c r="H4895" s="165"/>
      <c r="I4895" s="164"/>
      <c r="J4895" s="165"/>
      <c r="K4895" s="164"/>
      <c r="L4895" s="165"/>
      <c r="M4895" s="6"/>
      <c r="N4895" s="32"/>
      <c r="Q4895" s="10" t="str">
        <f>+CONCATENATE(E4895,G4895)</f>
        <v/>
      </c>
      <c r="R4895" s="10">
        <f>+H4895</f>
        <v>0</v>
      </c>
      <c r="S4895" s="11"/>
      <c r="T4895" s="10">
        <f>+E4895</f>
        <v>0</v>
      </c>
      <c r="U4895" s="19" t="str">
        <f>IFERROR(LEFT(G4895,FIND("*",G4895)-1),"-")</f>
        <v>-</v>
      </c>
      <c r="V4895" s="19" t="str">
        <f>IFERROR(RIGHT(G4895,LEN(G4895)-FIND("*",G4895)),"-")</f>
        <v>-</v>
      </c>
      <c r="W4895" s="20" t="str">
        <f>IFERROR((U4895+V4895)*2/1000,"-")</f>
        <v>-</v>
      </c>
      <c r="X4895" s="20" t="str">
        <f>IFERROR(W4895*H4895,"-")</f>
        <v>-</v>
      </c>
      <c r="Z4895" s="85" t="s">
        <v>82</v>
      </c>
    </row>
    <row r="4896" spans="1:26" ht="6.95" customHeight="1" x14ac:dyDescent="0.3">
      <c r="A4896" s="154"/>
      <c r="B4896" s="157"/>
      <c r="C4896" s="158"/>
      <c r="D4896" s="161"/>
      <c r="E4896" s="162"/>
      <c r="F4896" s="163"/>
      <c r="G4896" s="164"/>
      <c r="H4896" s="165"/>
      <c r="I4896" s="164"/>
      <c r="J4896" s="165"/>
      <c r="K4896" s="164"/>
      <c r="L4896" s="165"/>
      <c r="M4896" s="6"/>
      <c r="N4896" s="32"/>
      <c r="Q4896" s="10" t="str">
        <f>+CONCATENATE(E4895,I4895)</f>
        <v/>
      </c>
      <c r="R4896" s="10">
        <f>+J4895</f>
        <v>0</v>
      </c>
      <c r="S4896" s="11"/>
      <c r="T4896" s="10">
        <f>+E4895</f>
        <v>0</v>
      </c>
      <c r="U4896" s="19" t="str">
        <f>IFERROR(LEFT(I4895,FIND("*",I4895)-1),"-")</f>
        <v>-</v>
      </c>
      <c r="V4896" s="19" t="str">
        <f>IFERROR(RIGHT(I4895,LEN(I4895)-FIND("*",I4895)),"-")</f>
        <v>-</v>
      </c>
      <c r="W4896" s="20" t="str">
        <f t="shared" ref="W4896:W4903" si="2662">IFERROR((U4896+V4896)*2/1000,"-")</f>
        <v>-</v>
      </c>
      <c r="X4896" s="20" t="str">
        <f>IFERROR(W4896*J4895,"-")</f>
        <v>-</v>
      </c>
      <c r="Z4896" s="85" t="s">
        <v>82</v>
      </c>
    </row>
    <row r="4897" spans="1:26" ht="6.95" customHeight="1" x14ac:dyDescent="0.3">
      <c r="A4897" s="154"/>
      <c r="B4897" s="157"/>
      <c r="C4897" s="158"/>
      <c r="D4897" s="161"/>
      <c r="E4897" s="162"/>
      <c r="F4897" s="163"/>
      <c r="G4897" s="164"/>
      <c r="H4897" s="165"/>
      <c r="I4897" s="164"/>
      <c r="J4897" s="165"/>
      <c r="K4897" s="164"/>
      <c r="L4897" s="165"/>
      <c r="M4897" s="6"/>
      <c r="N4897" s="32"/>
      <c r="Q4897" s="10" t="str">
        <f>+CONCATENATE(E4895,K4895)</f>
        <v/>
      </c>
      <c r="R4897" s="10">
        <f>+L4895</f>
        <v>0</v>
      </c>
      <c r="S4897" s="11"/>
      <c r="T4897" s="10">
        <f>+E4895</f>
        <v>0</v>
      </c>
      <c r="U4897" s="19" t="str">
        <f>IFERROR(LEFT(K4895,FIND("*",K4895)-1),"-")</f>
        <v>-</v>
      </c>
      <c r="V4897" s="19" t="str">
        <f>IFERROR(RIGHT(K4895,LEN(K4895)-FIND("*",K4895)),"-")</f>
        <v>-</v>
      </c>
      <c r="W4897" s="20" t="str">
        <f t="shared" si="2662"/>
        <v>-</v>
      </c>
      <c r="X4897" s="20" t="str">
        <f>IFERROR(W4897*L4895,"-")</f>
        <v>-</v>
      </c>
      <c r="Z4897" s="85" t="s">
        <v>82</v>
      </c>
    </row>
    <row r="4898" spans="1:26" ht="6.95" customHeight="1" x14ac:dyDescent="0.3">
      <c r="A4898" s="8"/>
      <c r="B4898" s="157"/>
      <c r="C4898" s="158"/>
      <c r="D4898" s="161" t="s">
        <v>39</v>
      </c>
      <c r="E4898" s="162"/>
      <c r="F4898" s="163" t="s">
        <v>40</v>
      </c>
      <c r="G4898" s="164"/>
      <c r="H4898" s="165"/>
      <c r="I4898" s="164"/>
      <c r="J4898" s="165"/>
      <c r="K4898" s="164"/>
      <c r="L4898" s="165"/>
      <c r="M4898" s="6"/>
      <c r="N4898" s="32"/>
      <c r="Q4898" s="10" t="str">
        <f>+CONCATENATE(E4898,G4898)</f>
        <v/>
      </c>
      <c r="R4898" s="10">
        <f>+H4898</f>
        <v>0</v>
      </c>
      <c r="S4898" s="11"/>
      <c r="T4898" s="10">
        <f>+E4898</f>
        <v>0</v>
      </c>
      <c r="U4898" s="19" t="str">
        <f t="shared" ref="U4898" si="2663">IFERROR(LEFT(G4898,FIND("*",G4898)-1),"-")</f>
        <v>-</v>
      </c>
      <c r="V4898" s="19" t="str">
        <f t="shared" ref="V4898" si="2664">IFERROR(RIGHT(G4898,LEN(G4898)-FIND("*",G4898)),"-")</f>
        <v>-</v>
      </c>
      <c r="W4898" s="20" t="str">
        <f t="shared" si="2662"/>
        <v>-</v>
      </c>
      <c r="X4898" s="20" t="str">
        <f>IFERROR(W4898*H4898,"-")</f>
        <v>-</v>
      </c>
      <c r="Z4898" s="85" t="s">
        <v>82</v>
      </c>
    </row>
    <row r="4899" spans="1:26" ht="6.95" customHeight="1" x14ac:dyDescent="0.3">
      <c r="A4899" s="5"/>
      <c r="B4899" s="157"/>
      <c r="C4899" s="158"/>
      <c r="D4899" s="161"/>
      <c r="E4899" s="162"/>
      <c r="F4899" s="163"/>
      <c r="G4899" s="164"/>
      <c r="H4899" s="165"/>
      <c r="I4899" s="164"/>
      <c r="J4899" s="165"/>
      <c r="K4899" s="164"/>
      <c r="L4899" s="165"/>
      <c r="M4899" s="6"/>
      <c r="N4899" s="32"/>
      <c r="Q4899" s="10" t="str">
        <f>+CONCATENATE(E4898,I4898)</f>
        <v/>
      </c>
      <c r="R4899" s="10">
        <f>+J4898</f>
        <v>0</v>
      </c>
      <c r="S4899" s="11"/>
      <c r="T4899" s="10">
        <f>+E4898</f>
        <v>0</v>
      </c>
      <c r="U4899" s="19" t="str">
        <f>IFERROR(LEFT(I4898,FIND("*",I4898)-1),"-")</f>
        <v>-</v>
      </c>
      <c r="V4899" s="19" t="str">
        <f>IFERROR(RIGHT(I4898,LEN(I4898)-FIND("*",I4898)),"-")</f>
        <v>-</v>
      </c>
      <c r="W4899" s="20" t="str">
        <f t="shared" si="2662"/>
        <v>-</v>
      </c>
      <c r="X4899" s="20" t="str">
        <f>IFERROR(W4899*J4898,"-")</f>
        <v>-</v>
      </c>
      <c r="Z4899" s="85" t="s">
        <v>82</v>
      </c>
    </row>
    <row r="4900" spans="1:26" ht="6.95" customHeight="1" x14ac:dyDescent="0.3">
      <c r="A4900" s="5"/>
      <c r="B4900" s="157"/>
      <c r="C4900" s="158"/>
      <c r="D4900" s="161"/>
      <c r="E4900" s="162"/>
      <c r="F4900" s="163"/>
      <c r="G4900" s="164"/>
      <c r="H4900" s="165"/>
      <c r="I4900" s="164"/>
      <c r="J4900" s="165"/>
      <c r="K4900" s="164"/>
      <c r="L4900" s="165"/>
      <c r="M4900" s="6"/>
      <c r="N4900" s="32"/>
      <c r="Q4900" s="10" t="str">
        <f>+CONCATENATE(E4898,K4898)</f>
        <v/>
      </c>
      <c r="R4900" s="10">
        <f>+L4898</f>
        <v>0</v>
      </c>
      <c r="S4900" s="11"/>
      <c r="T4900" s="10">
        <f>+E4898</f>
        <v>0</v>
      </c>
      <c r="U4900" s="19" t="str">
        <f>IFERROR(LEFT(K4898,FIND("*",K4898)-1),"-")</f>
        <v>-</v>
      </c>
      <c r="V4900" s="19" t="str">
        <f>IFERROR(RIGHT(K4898,LEN(K4898)-FIND("*",K4898)),"-")</f>
        <v>-</v>
      </c>
      <c r="W4900" s="20" t="str">
        <f t="shared" si="2662"/>
        <v>-</v>
      </c>
      <c r="X4900" s="20" t="str">
        <f>IFERROR(W4900*L4898,"-")</f>
        <v>-</v>
      </c>
      <c r="Z4900" s="85" t="s">
        <v>82</v>
      </c>
    </row>
    <row r="4901" spans="1:26" ht="6.95" customHeight="1" x14ac:dyDescent="0.3">
      <c r="A4901" s="8"/>
      <c r="B4901" s="157"/>
      <c r="C4901" s="158"/>
      <c r="D4901" s="161" t="s">
        <v>39</v>
      </c>
      <c r="E4901" s="162"/>
      <c r="F4901" s="163" t="s">
        <v>40</v>
      </c>
      <c r="G4901" s="164"/>
      <c r="H4901" s="165"/>
      <c r="I4901" s="164"/>
      <c r="J4901" s="165"/>
      <c r="K4901" s="164"/>
      <c r="L4901" s="165"/>
      <c r="M4901" s="6"/>
      <c r="N4901" s="32"/>
      <c r="Q4901" s="10" t="str">
        <f>+CONCATENATE(E4901,G4901)</f>
        <v/>
      </c>
      <c r="R4901" s="10">
        <f>+H4901</f>
        <v>0</v>
      </c>
      <c r="S4901" s="11"/>
      <c r="T4901" s="10">
        <f>+E4901</f>
        <v>0</v>
      </c>
      <c r="U4901" s="19" t="str">
        <f t="shared" ref="U4901" si="2665">IFERROR(LEFT(G4901,FIND("*",G4901)-1),"-")</f>
        <v>-</v>
      </c>
      <c r="V4901" s="19" t="str">
        <f t="shared" ref="V4901" si="2666">IFERROR(RIGHT(G4901,LEN(G4901)-FIND("*",G4901)),"-")</f>
        <v>-</v>
      </c>
      <c r="W4901" s="20" t="str">
        <f t="shared" si="2662"/>
        <v>-</v>
      </c>
      <c r="X4901" s="20" t="str">
        <f>IFERROR(W4901*H4901,"-")</f>
        <v>-</v>
      </c>
      <c r="Z4901" s="85" t="s">
        <v>82</v>
      </c>
    </row>
    <row r="4902" spans="1:26" ht="6.95" customHeight="1" x14ac:dyDescent="0.3">
      <c r="A4902" s="5"/>
      <c r="B4902" s="157"/>
      <c r="C4902" s="158"/>
      <c r="D4902" s="161"/>
      <c r="E4902" s="162"/>
      <c r="F4902" s="163"/>
      <c r="G4902" s="164"/>
      <c r="H4902" s="165"/>
      <c r="I4902" s="164"/>
      <c r="J4902" s="165"/>
      <c r="K4902" s="164"/>
      <c r="L4902" s="165"/>
      <c r="M4902" s="6"/>
      <c r="N4902" s="32"/>
      <c r="Q4902" s="10" t="str">
        <f>+CONCATENATE(E4901,I4901)</f>
        <v/>
      </c>
      <c r="R4902" s="10">
        <f>+J4901</f>
        <v>0</v>
      </c>
      <c r="S4902" s="11"/>
      <c r="T4902" s="10">
        <f>+E4901</f>
        <v>0</v>
      </c>
      <c r="U4902" s="19" t="str">
        <f>IFERROR(LEFT(I4901,FIND("*",I4901)-1),"-")</f>
        <v>-</v>
      </c>
      <c r="V4902" s="19" t="str">
        <f>IFERROR(RIGHT(I4901,LEN(I4901)-FIND("*",I4901)),"-")</f>
        <v>-</v>
      </c>
      <c r="W4902" s="20" t="str">
        <f t="shared" si="2662"/>
        <v>-</v>
      </c>
      <c r="X4902" s="20" t="str">
        <f t="shared" ref="X4902" si="2667">IFERROR(W4902*J4901,"-")</f>
        <v>-</v>
      </c>
      <c r="Z4902" s="85" t="s">
        <v>82</v>
      </c>
    </row>
    <row r="4903" spans="1:26" ht="6.95" customHeight="1" x14ac:dyDescent="0.3">
      <c r="A4903" s="5"/>
      <c r="B4903" s="157"/>
      <c r="C4903" s="158"/>
      <c r="D4903" s="161"/>
      <c r="E4903" s="162"/>
      <c r="F4903" s="163"/>
      <c r="G4903" s="164"/>
      <c r="H4903" s="165"/>
      <c r="I4903" s="164"/>
      <c r="J4903" s="165"/>
      <c r="K4903" s="164"/>
      <c r="L4903" s="165"/>
      <c r="M4903" s="6"/>
      <c r="N4903" s="32"/>
      <c r="Q4903" s="10" t="str">
        <f>+CONCATENATE(E4901,K4901)</f>
        <v/>
      </c>
      <c r="R4903" s="10">
        <f>+L4901</f>
        <v>0</v>
      </c>
      <c r="S4903" s="11"/>
      <c r="T4903" s="10">
        <f>+E4901</f>
        <v>0</v>
      </c>
      <c r="U4903" s="19" t="str">
        <f>IFERROR(LEFT(K4901,FIND("*",K4901)-1),"-")</f>
        <v>-</v>
      </c>
      <c r="V4903" s="19" t="str">
        <f>IFERROR(RIGHT(K4901,LEN(K4901)-FIND("*",K4901)),"-")</f>
        <v>-</v>
      </c>
      <c r="W4903" s="20" t="str">
        <f t="shared" si="2662"/>
        <v>-</v>
      </c>
      <c r="X4903" s="20" t="str">
        <f>IFERROR(W4903*L4901,"-")</f>
        <v>-</v>
      </c>
      <c r="Z4903" s="85" t="s">
        <v>82</v>
      </c>
    </row>
    <row r="4904" spans="1:26" ht="21" customHeight="1" thickBot="1" x14ac:dyDescent="0.35">
      <c r="A4904" s="5"/>
      <c r="B4904" s="159"/>
      <c r="C4904" s="160"/>
      <c r="D4904" s="166" t="s">
        <v>43</v>
      </c>
      <c r="E4904" s="167"/>
      <c r="F4904" s="167"/>
      <c r="G4904" s="168"/>
      <c r="H4904" s="168"/>
      <c r="I4904" s="168"/>
      <c r="J4904" s="168"/>
      <c r="K4904" s="168"/>
      <c r="L4904" s="168"/>
      <c r="M4904" s="7"/>
      <c r="N4904" s="32"/>
      <c r="Z4904" s="86" t="s">
        <v>81</v>
      </c>
    </row>
    <row r="4905" spans="1:26" ht="9.9499999999999993" customHeight="1" thickBot="1" x14ac:dyDescent="0.35">
      <c r="B4905" s="9"/>
      <c r="C4905" s="109"/>
      <c r="D4905" s="51"/>
      <c r="E4905" s="12"/>
      <c r="F4905" s="51"/>
      <c r="G4905" s="14"/>
      <c r="H4905" s="14"/>
      <c r="I4905" s="14"/>
      <c r="J4905" s="14"/>
      <c r="K4905" s="14"/>
      <c r="L4905" s="14"/>
      <c r="M4905" s="9"/>
      <c r="N4905" s="32"/>
      <c r="U4905" s="18"/>
      <c r="V4905" s="18"/>
      <c r="Z4905" s="85" t="s">
        <v>82</v>
      </c>
    </row>
    <row r="4906" spans="1:26" ht="6.95" customHeight="1" x14ac:dyDescent="0.3">
      <c r="A4906" s="154">
        <f>+A4895+1</f>
        <v>1245</v>
      </c>
      <c r="B4906" s="155"/>
      <c r="C4906" s="156"/>
      <c r="D4906" s="161" t="s">
        <v>39</v>
      </c>
      <c r="E4906" s="162"/>
      <c r="F4906" s="163" t="s">
        <v>40</v>
      </c>
      <c r="G4906" s="164"/>
      <c r="H4906" s="165"/>
      <c r="I4906" s="164"/>
      <c r="J4906" s="165"/>
      <c r="K4906" s="164"/>
      <c r="L4906" s="165"/>
      <c r="M4906" s="6"/>
      <c r="N4906" s="32"/>
      <c r="Q4906" s="10" t="str">
        <f>+CONCATENATE(E4906,G4906)</f>
        <v/>
      </c>
      <c r="R4906" s="10">
        <f>+H4906</f>
        <v>0</v>
      </c>
      <c r="S4906" s="11"/>
      <c r="T4906" s="10">
        <f>+E4906</f>
        <v>0</v>
      </c>
      <c r="U4906" s="19" t="str">
        <f>IFERROR(LEFT(G4906,FIND("*",G4906)-1),"-")</f>
        <v>-</v>
      </c>
      <c r="V4906" s="19" t="str">
        <f>IFERROR(RIGHT(G4906,LEN(G4906)-FIND("*",G4906)),"-")</f>
        <v>-</v>
      </c>
      <c r="W4906" s="20" t="str">
        <f>IFERROR((U4906+V4906)*2/1000,"-")</f>
        <v>-</v>
      </c>
      <c r="X4906" s="20" t="str">
        <f>IFERROR(W4906*H4906,"-")</f>
        <v>-</v>
      </c>
      <c r="Z4906" s="85" t="s">
        <v>82</v>
      </c>
    </row>
    <row r="4907" spans="1:26" ht="6.95" customHeight="1" x14ac:dyDescent="0.3">
      <c r="A4907" s="154"/>
      <c r="B4907" s="157"/>
      <c r="C4907" s="158"/>
      <c r="D4907" s="161"/>
      <c r="E4907" s="162"/>
      <c r="F4907" s="163"/>
      <c r="G4907" s="164"/>
      <c r="H4907" s="165"/>
      <c r="I4907" s="164"/>
      <c r="J4907" s="165"/>
      <c r="K4907" s="164"/>
      <c r="L4907" s="165"/>
      <c r="M4907" s="6"/>
      <c r="N4907" s="32"/>
      <c r="Q4907" s="10" t="str">
        <f>+CONCATENATE(E4906,I4906)</f>
        <v/>
      </c>
      <c r="R4907" s="10">
        <f>+J4906</f>
        <v>0</v>
      </c>
      <c r="S4907" s="11"/>
      <c r="T4907" s="10">
        <f>+E4906</f>
        <v>0</v>
      </c>
      <c r="U4907" s="19" t="str">
        <f>IFERROR(LEFT(I4906,FIND("*",I4906)-1),"-")</f>
        <v>-</v>
      </c>
      <c r="V4907" s="19" t="str">
        <f>IFERROR(RIGHT(I4906,LEN(I4906)-FIND("*",I4906)),"-")</f>
        <v>-</v>
      </c>
      <c r="W4907" s="20" t="str">
        <f t="shared" ref="W4907:W4914" si="2668">IFERROR((U4907+V4907)*2/1000,"-")</f>
        <v>-</v>
      </c>
      <c r="X4907" s="20" t="str">
        <f>IFERROR(W4907*J4906,"-")</f>
        <v>-</v>
      </c>
      <c r="Z4907" s="85" t="s">
        <v>82</v>
      </c>
    </row>
    <row r="4908" spans="1:26" ht="6.95" customHeight="1" x14ac:dyDescent="0.3">
      <c r="A4908" s="154"/>
      <c r="B4908" s="157"/>
      <c r="C4908" s="158"/>
      <c r="D4908" s="161"/>
      <c r="E4908" s="162"/>
      <c r="F4908" s="163"/>
      <c r="G4908" s="164"/>
      <c r="H4908" s="165"/>
      <c r="I4908" s="164"/>
      <c r="J4908" s="165"/>
      <c r="K4908" s="164"/>
      <c r="L4908" s="165"/>
      <c r="M4908" s="6"/>
      <c r="N4908" s="32"/>
      <c r="Q4908" s="10" t="str">
        <f>+CONCATENATE(E4906,K4906)</f>
        <v/>
      </c>
      <c r="R4908" s="10">
        <f>+L4906</f>
        <v>0</v>
      </c>
      <c r="S4908" s="11"/>
      <c r="T4908" s="10">
        <f>+E4906</f>
        <v>0</v>
      </c>
      <c r="U4908" s="19" t="str">
        <f>IFERROR(LEFT(K4906,FIND("*",K4906)-1),"-")</f>
        <v>-</v>
      </c>
      <c r="V4908" s="19" t="str">
        <f>IFERROR(RIGHT(K4906,LEN(K4906)-FIND("*",K4906)),"-")</f>
        <v>-</v>
      </c>
      <c r="W4908" s="20" t="str">
        <f t="shared" si="2668"/>
        <v>-</v>
      </c>
      <c r="X4908" s="20" t="str">
        <f>IFERROR(W4908*L4906,"-")</f>
        <v>-</v>
      </c>
      <c r="Z4908" s="85" t="s">
        <v>82</v>
      </c>
    </row>
    <row r="4909" spans="1:26" ht="6.95" customHeight="1" x14ac:dyDescent="0.3">
      <c r="A4909" s="8"/>
      <c r="B4909" s="157"/>
      <c r="C4909" s="158"/>
      <c r="D4909" s="161" t="s">
        <v>39</v>
      </c>
      <c r="E4909" s="162"/>
      <c r="F4909" s="163" t="s">
        <v>40</v>
      </c>
      <c r="G4909" s="164"/>
      <c r="H4909" s="165"/>
      <c r="I4909" s="164"/>
      <c r="J4909" s="165"/>
      <c r="K4909" s="164"/>
      <c r="L4909" s="165"/>
      <c r="M4909" s="6"/>
      <c r="N4909" s="32"/>
      <c r="Q4909" s="10" t="str">
        <f>+CONCATENATE(E4909,G4909)</f>
        <v/>
      </c>
      <c r="R4909" s="10">
        <f>+H4909</f>
        <v>0</v>
      </c>
      <c r="S4909" s="11"/>
      <c r="T4909" s="10">
        <f>+E4909</f>
        <v>0</v>
      </c>
      <c r="U4909" s="19" t="str">
        <f t="shared" ref="U4909" si="2669">IFERROR(LEFT(G4909,FIND("*",G4909)-1),"-")</f>
        <v>-</v>
      </c>
      <c r="V4909" s="19" t="str">
        <f t="shared" ref="V4909" si="2670">IFERROR(RIGHT(G4909,LEN(G4909)-FIND("*",G4909)),"-")</f>
        <v>-</v>
      </c>
      <c r="W4909" s="20" t="str">
        <f t="shared" si="2668"/>
        <v>-</v>
      </c>
      <c r="X4909" s="20" t="str">
        <f>IFERROR(W4909*H4909,"-")</f>
        <v>-</v>
      </c>
      <c r="Z4909" s="85" t="s">
        <v>82</v>
      </c>
    </row>
    <row r="4910" spans="1:26" ht="6.95" customHeight="1" x14ac:dyDescent="0.3">
      <c r="A4910" s="5"/>
      <c r="B4910" s="157"/>
      <c r="C4910" s="158"/>
      <c r="D4910" s="161"/>
      <c r="E4910" s="162"/>
      <c r="F4910" s="163"/>
      <c r="G4910" s="164"/>
      <c r="H4910" s="165"/>
      <c r="I4910" s="164"/>
      <c r="J4910" s="165"/>
      <c r="K4910" s="164"/>
      <c r="L4910" s="165"/>
      <c r="M4910" s="6"/>
      <c r="N4910" s="32"/>
      <c r="Q4910" s="10" t="str">
        <f>+CONCATENATE(E4909,I4909)</f>
        <v/>
      </c>
      <c r="R4910" s="10">
        <f>+J4909</f>
        <v>0</v>
      </c>
      <c r="S4910" s="11"/>
      <c r="T4910" s="10">
        <f>+E4909</f>
        <v>0</v>
      </c>
      <c r="U4910" s="19" t="str">
        <f>IFERROR(LEFT(I4909,FIND("*",I4909)-1),"-")</f>
        <v>-</v>
      </c>
      <c r="V4910" s="19" t="str">
        <f>IFERROR(RIGHT(I4909,LEN(I4909)-FIND("*",I4909)),"-")</f>
        <v>-</v>
      </c>
      <c r="W4910" s="20" t="str">
        <f t="shared" si="2668"/>
        <v>-</v>
      </c>
      <c r="X4910" s="20" t="str">
        <f>IFERROR(W4910*J4909,"-")</f>
        <v>-</v>
      </c>
      <c r="Z4910" s="85" t="s">
        <v>82</v>
      </c>
    </row>
    <row r="4911" spans="1:26" ht="6.95" customHeight="1" x14ac:dyDescent="0.3">
      <c r="A4911" s="5"/>
      <c r="B4911" s="157"/>
      <c r="C4911" s="158"/>
      <c r="D4911" s="161"/>
      <c r="E4911" s="162"/>
      <c r="F4911" s="163"/>
      <c r="G4911" s="164"/>
      <c r="H4911" s="165"/>
      <c r="I4911" s="164"/>
      <c r="J4911" s="165"/>
      <c r="K4911" s="164"/>
      <c r="L4911" s="165"/>
      <c r="M4911" s="6"/>
      <c r="N4911" s="32"/>
      <c r="Q4911" s="10" t="str">
        <f>+CONCATENATE(E4909,K4909)</f>
        <v/>
      </c>
      <c r="R4911" s="10">
        <f>+L4909</f>
        <v>0</v>
      </c>
      <c r="S4911" s="11"/>
      <c r="T4911" s="10">
        <f>+E4909</f>
        <v>0</v>
      </c>
      <c r="U4911" s="19" t="str">
        <f>IFERROR(LEFT(K4909,FIND("*",K4909)-1),"-")</f>
        <v>-</v>
      </c>
      <c r="V4911" s="19" t="str">
        <f>IFERROR(RIGHT(K4909,LEN(K4909)-FIND("*",K4909)),"-")</f>
        <v>-</v>
      </c>
      <c r="W4911" s="20" t="str">
        <f t="shared" si="2668"/>
        <v>-</v>
      </c>
      <c r="X4911" s="20" t="str">
        <f>IFERROR(W4911*L4909,"-")</f>
        <v>-</v>
      </c>
      <c r="Z4911" s="85" t="s">
        <v>82</v>
      </c>
    </row>
    <row r="4912" spans="1:26" ht="6.95" customHeight="1" x14ac:dyDescent="0.3">
      <c r="A4912" s="8"/>
      <c r="B4912" s="157"/>
      <c r="C4912" s="158"/>
      <c r="D4912" s="161" t="s">
        <v>39</v>
      </c>
      <c r="E4912" s="162"/>
      <c r="F4912" s="163" t="s">
        <v>40</v>
      </c>
      <c r="G4912" s="164"/>
      <c r="H4912" s="165"/>
      <c r="I4912" s="164"/>
      <c r="J4912" s="165"/>
      <c r="K4912" s="164"/>
      <c r="L4912" s="165"/>
      <c r="M4912" s="6"/>
      <c r="N4912" s="32"/>
      <c r="Q4912" s="10" t="str">
        <f>+CONCATENATE(E4912,G4912)</f>
        <v/>
      </c>
      <c r="R4912" s="10">
        <f>+H4912</f>
        <v>0</v>
      </c>
      <c r="S4912" s="11"/>
      <c r="T4912" s="10">
        <f>+E4912</f>
        <v>0</v>
      </c>
      <c r="U4912" s="19" t="str">
        <f t="shared" ref="U4912" si="2671">IFERROR(LEFT(G4912,FIND("*",G4912)-1),"-")</f>
        <v>-</v>
      </c>
      <c r="V4912" s="19" t="str">
        <f t="shared" ref="V4912" si="2672">IFERROR(RIGHT(G4912,LEN(G4912)-FIND("*",G4912)),"-")</f>
        <v>-</v>
      </c>
      <c r="W4912" s="20" t="str">
        <f t="shared" si="2668"/>
        <v>-</v>
      </c>
      <c r="X4912" s="20" t="str">
        <f>IFERROR(W4912*H4912,"-")</f>
        <v>-</v>
      </c>
      <c r="Z4912" s="85" t="s">
        <v>82</v>
      </c>
    </row>
    <row r="4913" spans="1:26" ht="6.95" customHeight="1" x14ac:dyDescent="0.3">
      <c r="A4913" s="5"/>
      <c r="B4913" s="157"/>
      <c r="C4913" s="158"/>
      <c r="D4913" s="161"/>
      <c r="E4913" s="162"/>
      <c r="F4913" s="163"/>
      <c r="G4913" s="164"/>
      <c r="H4913" s="165"/>
      <c r="I4913" s="164"/>
      <c r="J4913" s="165"/>
      <c r="K4913" s="164"/>
      <c r="L4913" s="165"/>
      <c r="M4913" s="6"/>
      <c r="N4913" s="32"/>
      <c r="Q4913" s="10" t="str">
        <f>+CONCATENATE(E4912,I4912)</f>
        <v/>
      </c>
      <c r="R4913" s="10">
        <f>+J4912</f>
        <v>0</v>
      </c>
      <c r="S4913" s="11"/>
      <c r="T4913" s="10">
        <f>+E4912</f>
        <v>0</v>
      </c>
      <c r="U4913" s="19" t="str">
        <f>IFERROR(LEFT(I4912,FIND("*",I4912)-1),"-")</f>
        <v>-</v>
      </c>
      <c r="V4913" s="19" t="str">
        <f>IFERROR(RIGHT(I4912,LEN(I4912)-FIND("*",I4912)),"-")</f>
        <v>-</v>
      </c>
      <c r="W4913" s="20" t="str">
        <f t="shared" si="2668"/>
        <v>-</v>
      </c>
      <c r="X4913" s="20" t="str">
        <f t="shared" ref="X4913" si="2673">IFERROR(W4913*J4912,"-")</f>
        <v>-</v>
      </c>
      <c r="Z4913" s="85" t="s">
        <v>82</v>
      </c>
    </row>
    <row r="4914" spans="1:26" ht="6.95" customHeight="1" x14ac:dyDescent="0.3">
      <c r="A4914" s="5"/>
      <c r="B4914" s="157"/>
      <c r="C4914" s="158"/>
      <c r="D4914" s="161"/>
      <c r="E4914" s="162"/>
      <c r="F4914" s="163"/>
      <c r="G4914" s="164"/>
      <c r="H4914" s="165"/>
      <c r="I4914" s="164"/>
      <c r="J4914" s="165"/>
      <c r="K4914" s="164"/>
      <c r="L4914" s="165"/>
      <c r="M4914" s="6"/>
      <c r="N4914" s="32"/>
      <c r="Q4914" s="10" t="str">
        <f>+CONCATENATE(E4912,K4912)</f>
        <v/>
      </c>
      <c r="R4914" s="10">
        <f>+L4912</f>
        <v>0</v>
      </c>
      <c r="S4914" s="11"/>
      <c r="T4914" s="10">
        <f>+E4912</f>
        <v>0</v>
      </c>
      <c r="U4914" s="19" t="str">
        <f>IFERROR(LEFT(K4912,FIND("*",K4912)-1),"-")</f>
        <v>-</v>
      </c>
      <c r="V4914" s="19" t="str">
        <f>IFERROR(RIGHT(K4912,LEN(K4912)-FIND("*",K4912)),"-")</f>
        <v>-</v>
      </c>
      <c r="W4914" s="20" t="str">
        <f t="shared" si="2668"/>
        <v>-</v>
      </c>
      <c r="X4914" s="20" t="str">
        <f>IFERROR(W4914*L4912,"-")</f>
        <v>-</v>
      </c>
      <c r="Z4914" s="85" t="s">
        <v>82</v>
      </c>
    </row>
    <row r="4915" spans="1:26" ht="21" customHeight="1" thickBot="1" x14ac:dyDescent="0.35">
      <c r="A4915" s="5"/>
      <c r="B4915" s="159"/>
      <c r="C4915" s="160"/>
      <c r="D4915" s="166" t="s">
        <v>43</v>
      </c>
      <c r="E4915" s="167"/>
      <c r="F4915" s="167"/>
      <c r="G4915" s="168"/>
      <c r="H4915" s="168"/>
      <c r="I4915" s="168"/>
      <c r="J4915" s="168"/>
      <c r="K4915" s="168"/>
      <c r="L4915" s="168"/>
      <c r="M4915" s="7"/>
      <c r="N4915" s="32"/>
      <c r="Z4915" s="86" t="s">
        <v>81</v>
      </c>
    </row>
    <row r="4916" spans="1:26" ht="9.9499999999999993" customHeight="1" thickBot="1" x14ac:dyDescent="0.35">
      <c r="B4916" s="9"/>
      <c r="C4916" s="109"/>
      <c r="D4916" s="51"/>
      <c r="E4916" s="12"/>
      <c r="F4916" s="51"/>
      <c r="G4916" s="14"/>
      <c r="H4916" s="14"/>
      <c r="I4916" s="14"/>
      <c r="J4916" s="14"/>
      <c r="K4916" s="14"/>
      <c r="L4916" s="14"/>
      <c r="M4916" s="9"/>
      <c r="N4916" s="32"/>
      <c r="U4916" s="18"/>
      <c r="V4916" s="18"/>
      <c r="Z4916" s="85" t="s">
        <v>82</v>
      </c>
    </row>
    <row r="4917" spans="1:26" ht="6.95" customHeight="1" x14ac:dyDescent="0.3">
      <c r="A4917" s="154">
        <f>+A4906+1</f>
        <v>1246</v>
      </c>
      <c r="B4917" s="155"/>
      <c r="C4917" s="156"/>
      <c r="D4917" s="161" t="s">
        <v>39</v>
      </c>
      <c r="E4917" s="162"/>
      <c r="F4917" s="163" t="s">
        <v>40</v>
      </c>
      <c r="G4917" s="164"/>
      <c r="H4917" s="165"/>
      <c r="I4917" s="164"/>
      <c r="J4917" s="165"/>
      <c r="K4917" s="164"/>
      <c r="L4917" s="165"/>
      <c r="M4917" s="6"/>
      <c r="N4917" s="32"/>
      <c r="Q4917" s="10" t="str">
        <f>+CONCATENATE(E4917,G4917)</f>
        <v/>
      </c>
      <c r="R4917" s="10">
        <f>+H4917</f>
        <v>0</v>
      </c>
      <c r="S4917" s="11"/>
      <c r="T4917" s="10">
        <f>+E4917</f>
        <v>0</v>
      </c>
      <c r="U4917" s="19" t="str">
        <f>IFERROR(LEFT(G4917,FIND("*",G4917)-1),"-")</f>
        <v>-</v>
      </c>
      <c r="V4917" s="19" t="str">
        <f>IFERROR(RIGHT(G4917,LEN(G4917)-FIND("*",G4917)),"-")</f>
        <v>-</v>
      </c>
      <c r="W4917" s="20" t="str">
        <f>IFERROR((U4917+V4917)*2/1000,"-")</f>
        <v>-</v>
      </c>
      <c r="X4917" s="20" t="str">
        <f>IFERROR(W4917*H4917,"-")</f>
        <v>-</v>
      </c>
      <c r="Z4917" s="85" t="s">
        <v>82</v>
      </c>
    </row>
    <row r="4918" spans="1:26" ht="6.95" customHeight="1" x14ac:dyDescent="0.3">
      <c r="A4918" s="154"/>
      <c r="B4918" s="157"/>
      <c r="C4918" s="158"/>
      <c r="D4918" s="161"/>
      <c r="E4918" s="162"/>
      <c r="F4918" s="163"/>
      <c r="G4918" s="164"/>
      <c r="H4918" s="165"/>
      <c r="I4918" s="164"/>
      <c r="J4918" s="165"/>
      <c r="K4918" s="164"/>
      <c r="L4918" s="165"/>
      <c r="M4918" s="6"/>
      <c r="N4918" s="32"/>
      <c r="Q4918" s="10" t="str">
        <f>+CONCATENATE(E4917,I4917)</f>
        <v/>
      </c>
      <c r="R4918" s="10">
        <f>+J4917</f>
        <v>0</v>
      </c>
      <c r="S4918" s="11"/>
      <c r="T4918" s="10">
        <f>+E4917</f>
        <v>0</v>
      </c>
      <c r="U4918" s="19" t="str">
        <f>IFERROR(LEFT(I4917,FIND("*",I4917)-1),"-")</f>
        <v>-</v>
      </c>
      <c r="V4918" s="19" t="str">
        <f>IFERROR(RIGHT(I4917,LEN(I4917)-FIND("*",I4917)),"-")</f>
        <v>-</v>
      </c>
      <c r="W4918" s="20" t="str">
        <f t="shared" ref="W4918:W4925" si="2674">IFERROR((U4918+V4918)*2/1000,"-")</f>
        <v>-</v>
      </c>
      <c r="X4918" s="20" t="str">
        <f>IFERROR(W4918*J4917,"-")</f>
        <v>-</v>
      </c>
      <c r="Z4918" s="85" t="s">
        <v>82</v>
      </c>
    </row>
    <row r="4919" spans="1:26" ht="6.95" customHeight="1" x14ac:dyDescent="0.3">
      <c r="A4919" s="154"/>
      <c r="B4919" s="157"/>
      <c r="C4919" s="158"/>
      <c r="D4919" s="161"/>
      <c r="E4919" s="162"/>
      <c r="F4919" s="163"/>
      <c r="G4919" s="164"/>
      <c r="H4919" s="165"/>
      <c r="I4919" s="164"/>
      <c r="J4919" s="165"/>
      <c r="K4919" s="164"/>
      <c r="L4919" s="165"/>
      <c r="M4919" s="6"/>
      <c r="N4919" s="32"/>
      <c r="Q4919" s="10" t="str">
        <f>+CONCATENATE(E4917,K4917)</f>
        <v/>
      </c>
      <c r="R4919" s="10">
        <f>+L4917</f>
        <v>0</v>
      </c>
      <c r="S4919" s="11"/>
      <c r="T4919" s="10">
        <f>+E4917</f>
        <v>0</v>
      </c>
      <c r="U4919" s="19" t="str">
        <f>IFERROR(LEFT(K4917,FIND("*",K4917)-1),"-")</f>
        <v>-</v>
      </c>
      <c r="V4919" s="19" t="str">
        <f>IFERROR(RIGHT(K4917,LEN(K4917)-FIND("*",K4917)),"-")</f>
        <v>-</v>
      </c>
      <c r="W4919" s="20" t="str">
        <f t="shared" si="2674"/>
        <v>-</v>
      </c>
      <c r="X4919" s="20" t="str">
        <f>IFERROR(W4919*L4917,"-")</f>
        <v>-</v>
      </c>
      <c r="Z4919" s="85" t="s">
        <v>82</v>
      </c>
    </row>
    <row r="4920" spans="1:26" ht="6.95" customHeight="1" x14ac:dyDescent="0.3">
      <c r="A4920" s="8"/>
      <c r="B4920" s="157"/>
      <c r="C4920" s="158"/>
      <c r="D4920" s="161" t="s">
        <v>39</v>
      </c>
      <c r="E4920" s="162"/>
      <c r="F4920" s="163" t="s">
        <v>40</v>
      </c>
      <c r="G4920" s="164"/>
      <c r="H4920" s="165"/>
      <c r="I4920" s="164"/>
      <c r="J4920" s="165"/>
      <c r="K4920" s="164"/>
      <c r="L4920" s="165"/>
      <c r="M4920" s="6"/>
      <c r="N4920" s="32"/>
      <c r="Q4920" s="10" t="str">
        <f>+CONCATENATE(E4920,G4920)</f>
        <v/>
      </c>
      <c r="R4920" s="10">
        <f>+H4920</f>
        <v>0</v>
      </c>
      <c r="S4920" s="11"/>
      <c r="T4920" s="10">
        <f>+E4920</f>
        <v>0</v>
      </c>
      <c r="U4920" s="19" t="str">
        <f t="shared" ref="U4920" si="2675">IFERROR(LEFT(G4920,FIND("*",G4920)-1),"-")</f>
        <v>-</v>
      </c>
      <c r="V4920" s="19" t="str">
        <f t="shared" ref="V4920" si="2676">IFERROR(RIGHT(G4920,LEN(G4920)-FIND("*",G4920)),"-")</f>
        <v>-</v>
      </c>
      <c r="W4920" s="20" t="str">
        <f t="shared" si="2674"/>
        <v>-</v>
      </c>
      <c r="X4920" s="20" t="str">
        <f>IFERROR(W4920*H4920,"-")</f>
        <v>-</v>
      </c>
      <c r="Z4920" s="85" t="s">
        <v>82</v>
      </c>
    </row>
    <row r="4921" spans="1:26" ht="6.95" customHeight="1" x14ac:dyDescent="0.3">
      <c r="A4921" s="5"/>
      <c r="B4921" s="157"/>
      <c r="C4921" s="158"/>
      <c r="D4921" s="161"/>
      <c r="E4921" s="162"/>
      <c r="F4921" s="163"/>
      <c r="G4921" s="164"/>
      <c r="H4921" s="165"/>
      <c r="I4921" s="164"/>
      <c r="J4921" s="165"/>
      <c r="K4921" s="164"/>
      <c r="L4921" s="165"/>
      <c r="M4921" s="6"/>
      <c r="N4921" s="32"/>
      <c r="Q4921" s="10" t="str">
        <f>+CONCATENATE(E4920,I4920)</f>
        <v/>
      </c>
      <c r="R4921" s="10">
        <f>+J4920</f>
        <v>0</v>
      </c>
      <c r="S4921" s="11"/>
      <c r="T4921" s="10">
        <f>+E4920</f>
        <v>0</v>
      </c>
      <c r="U4921" s="19" t="str">
        <f>IFERROR(LEFT(I4920,FIND("*",I4920)-1),"-")</f>
        <v>-</v>
      </c>
      <c r="V4921" s="19" t="str">
        <f>IFERROR(RIGHT(I4920,LEN(I4920)-FIND("*",I4920)),"-")</f>
        <v>-</v>
      </c>
      <c r="W4921" s="20" t="str">
        <f t="shared" si="2674"/>
        <v>-</v>
      </c>
      <c r="X4921" s="20" t="str">
        <f>IFERROR(W4921*J4920,"-")</f>
        <v>-</v>
      </c>
      <c r="Z4921" s="85" t="s">
        <v>82</v>
      </c>
    </row>
    <row r="4922" spans="1:26" ht="6.95" customHeight="1" x14ac:dyDescent="0.3">
      <c r="A4922" s="5"/>
      <c r="B4922" s="157"/>
      <c r="C4922" s="158"/>
      <c r="D4922" s="161"/>
      <c r="E4922" s="162"/>
      <c r="F4922" s="163"/>
      <c r="G4922" s="164"/>
      <c r="H4922" s="165"/>
      <c r="I4922" s="164"/>
      <c r="J4922" s="165"/>
      <c r="K4922" s="164"/>
      <c r="L4922" s="165"/>
      <c r="M4922" s="6"/>
      <c r="N4922" s="32"/>
      <c r="Q4922" s="10" t="str">
        <f>+CONCATENATE(E4920,K4920)</f>
        <v/>
      </c>
      <c r="R4922" s="10">
        <f>+L4920</f>
        <v>0</v>
      </c>
      <c r="S4922" s="11"/>
      <c r="T4922" s="10">
        <f>+E4920</f>
        <v>0</v>
      </c>
      <c r="U4922" s="19" t="str">
        <f>IFERROR(LEFT(K4920,FIND("*",K4920)-1),"-")</f>
        <v>-</v>
      </c>
      <c r="V4922" s="19" t="str">
        <f>IFERROR(RIGHT(K4920,LEN(K4920)-FIND("*",K4920)),"-")</f>
        <v>-</v>
      </c>
      <c r="W4922" s="20" t="str">
        <f t="shared" si="2674"/>
        <v>-</v>
      </c>
      <c r="X4922" s="20" t="str">
        <f>IFERROR(W4922*L4920,"-")</f>
        <v>-</v>
      </c>
      <c r="Z4922" s="85" t="s">
        <v>82</v>
      </c>
    </row>
    <row r="4923" spans="1:26" ht="6.95" customHeight="1" x14ac:dyDescent="0.3">
      <c r="A4923" s="8"/>
      <c r="B4923" s="157"/>
      <c r="C4923" s="158"/>
      <c r="D4923" s="161" t="s">
        <v>39</v>
      </c>
      <c r="E4923" s="162"/>
      <c r="F4923" s="163" t="s">
        <v>40</v>
      </c>
      <c r="G4923" s="164"/>
      <c r="H4923" s="165"/>
      <c r="I4923" s="164"/>
      <c r="J4923" s="165"/>
      <c r="K4923" s="164"/>
      <c r="L4923" s="165"/>
      <c r="M4923" s="6"/>
      <c r="N4923" s="32"/>
      <c r="Q4923" s="10" t="str">
        <f>+CONCATENATE(E4923,G4923)</f>
        <v/>
      </c>
      <c r="R4923" s="10">
        <f>+H4923</f>
        <v>0</v>
      </c>
      <c r="S4923" s="11"/>
      <c r="T4923" s="10">
        <f>+E4923</f>
        <v>0</v>
      </c>
      <c r="U4923" s="19" t="str">
        <f t="shared" ref="U4923" si="2677">IFERROR(LEFT(G4923,FIND("*",G4923)-1),"-")</f>
        <v>-</v>
      </c>
      <c r="V4923" s="19" t="str">
        <f t="shared" ref="V4923" si="2678">IFERROR(RIGHT(G4923,LEN(G4923)-FIND("*",G4923)),"-")</f>
        <v>-</v>
      </c>
      <c r="W4923" s="20" t="str">
        <f t="shared" si="2674"/>
        <v>-</v>
      </c>
      <c r="X4923" s="20" t="str">
        <f>IFERROR(W4923*H4923,"-")</f>
        <v>-</v>
      </c>
      <c r="Z4923" s="85" t="s">
        <v>82</v>
      </c>
    </row>
    <row r="4924" spans="1:26" ht="6.95" customHeight="1" x14ac:dyDescent="0.3">
      <c r="A4924" s="5"/>
      <c r="B4924" s="157"/>
      <c r="C4924" s="158"/>
      <c r="D4924" s="161"/>
      <c r="E4924" s="162"/>
      <c r="F4924" s="163"/>
      <c r="G4924" s="164"/>
      <c r="H4924" s="165"/>
      <c r="I4924" s="164"/>
      <c r="J4924" s="165"/>
      <c r="K4924" s="164"/>
      <c r="L4924" s="165"/>
      <c r="M4924" s="6"/>
      <c r="N4924" s="32"/>
      <c r="Q4924" s="10" t="str">
        <f>+CONCATENATE(E4923,I4923)</f>
        <v/>
      </c>
      <c r="R4924" s="10">
        <f>+J4923</f>
        <v>0</v>
      </c>
      <c r="S4924" s="11"/>
      <c r="T4924" s="10">
        <f>+E4923</f>
        <v>0</v>
      </c>
      <c r="U4924" s="19" t="str">
        <f>IFERROR(LEFT(I4923,FIND("*",I4923)-1),"-")</f>
        <v>-</v>
      </c>
      <c r="V4924" s="19" t="str">
        <f>IFERROR(RIGHT(I4923,LEN(I4923)-FIND("*",I4923)),"-")</f>
        <v>-</v>
      </c>
      <c r="W4924" s="20" t="str">
        <f t="shared" si="2674"/>
        <v>-</v>
      </c>
      <c r="X4924" s="20" t="str">
        <f t="shared" ref="X4924" si="2679">IFERROR(W4924*J4923,"-")</f>
        <v>-</v>
      </c>
      <c r="Z4924" s="85" t="s">
        <v>82</v>
      </c>
    </row>
    <row r="4925" spans="1:26" ht="6.95" customHeight="1" x14ac:dyDescent="0.3">
      <c r="A4925" s="5"/>
      <c r="B4925" s="157"/>
      <c r="C4925" s="158"/>
      <c r="D4925" s="161"/>
      <c r="E4925" s="162"/>
      <c r="F4925" s="163"/>
      <c r="G4925" s="164"/>
      <c r="H4925" s="165"/>
      <c r="I4925" s="164"/>
      <c r="J4925" s="165"/>
      <c r="K4925" s="164"/>
      <c r="L4925" s="165"/>
      <c r="M4925" s="6"/>
      <c r="N4925" s="32"/>
      <c r="Q4925" s="10" t="str">
        <f>+CONCATENATE(E4923,K4923)</f>
        <v/>
      </c>
      <c r="R4925" s="10">
        <f>+L4923</f>
        <v>0</v>
      </c>
      <c r="S4925" s="11"/>
      <c r="T4925" s="10">
        <f>+E4923</f>
        <v>0</v>
      </c>
      <c r="U4925" s="19" t="str">
        <f>IFERROR(LEFT(K4923,FIND("*",K4923)-1),"-")</f>
        <v>-</v>
      </c>
      <c r="V4925" s="19" t="str">
        <f>IFERROR(RIGHT(K4923,LEN(K4923)-FIND("*",K4923)),"-")</f>
        <v>-</v>
      </c>
      <c r="W4925" s="20" t="str">
        <f t="shared" si="2674"/>
        <v>-</v>
      </c>
      <c r="X4925" s="20" t="str">
        <f>IFERROR(W4925*L4923,"-")</f>
        <v>-</v>
      </c>
      <c r="Z4925" s="85" t="s">
        <v>82</v>
      </c>
    </row>
    <row r="4926" spans="1:26" ht="21" customHeight="1" thickBot="1" x14ac:dyDescent="0.35">
      <c r="A4926" s="5"/>
      <c r="B4926" s="159"/>
      <c r="C4926" s="160"/>
      <c r="D4926" s="166" t="s">
        <v>43</v>
      </c>
      <c r="E4926" s="167"/>
      <c r="F4926" s="167"/>
      <c r="G4926" s="168"/>
      <c r="H4926" s="168"/>
      <c r="I4926" s="168"/>
      <c r="J4926" s="168"/>
      <c r="K4926" s="168"/>
      <c r="L4926" s="168"/>
      <c r="M4926" s="7"/>
      <c r="N4926" s="32"/>
      <c r="Z4926" s="86" t="s">
        <v>81</v>
      </c>
    </row>
    <row r="4927" spans="1:26" ht="9.9499999999999993" customHeight="1" thickBot="1" x14ac:dyDescent="0.35">
      <c r="B4927" s="9"/>
      <c r="C4927" s="109"/>
      <c r="D4927" s="51"/>
      <c r="E4927" s="12"/>
      <c r="F4927" s="51"/>
      <c r="G4927" s="14"/>
      <c r="H4927" s="14"/>
      <c r="I4927" s="14"/>
      <c r="J4927" s="14"/>
      <c r="K4927" s="14"/>
      <c r="L4927" s="14"/>
      <c r="M4927" s="9"/>
      <c r="N4927" s="32"/>
      <c r="U4927" s="18"/>
      <c r="V4927" s="18"/>
      <c r="Z4927" s="85" t="s">
        <v>82</v>
      </c>
    </row>
    <row r="4928" spans="1:26" ht="6.95" customHeight="1" x14ac:dyDescent="0.3">
      <c r="A4928" s="154">
        <f>+A4917+1</f>
        <v>1247</v>
      </c>
      <c r="B4928" s="155"/>
      <c r="C4928" s="156"/>
      <c r="D4928" s="161" t="s">
        <v>39</v>
      </c>
      <c r="E4928" s="162"/>
      <c r="F4928" s="163" t="s">
        <v>40</v>
      </c>
      <c r="G4928" s="164"/>
      <c r="H4928" s="165"/>
      <c r="I4928" s="164"/>
      <c r="J4928" s="165"/>
      <c r="K4928" s="164"/>
      <c r="L4928" s="165"/>
      <c r="M4928" s="6"/>
      <c r="N4928" s="32"/>
      <c r="Q4928" s="10" t="str">
        <f>+CONCATENATE(E4928,G4928)</f>
        <v/>
      </c>
      <c r="R4928" s="10">
        <f>+H4928</f>
        <v>0</v>
      </c>
      <c r="S4928" s="11"/>
      <c r="T4928" s="10">
        <f>+E4928</f>
        <v>0</v>
      </c>
      <c r="U4928" s="19" t="str">
        <f>IFERROR(LEFT(G4928,FIND("*",G4928)-1),"-")</f>
        <v>-</v>
      </c>
      <c r="V4928" s="19" t="str">
        <f>IFERROR(RIGHT(G4928,LEN(G4928)-FIND("*",G4928)),"-")</f>
        <v>-</v>
      </c>
      <c r="W4928" s="20" t="str">
        <f>IFERROR((U4928+V4928)*2/1000,"-")</f>
        <v>-</v>
      </c>
      <c r="X4928" s="20" t="str">
        <f>IFERROR(W4928*H4928,"-")</f>
        <v>-</v>
      </c>
      <c r="Z4928" s="85" t="s">
        <v>82</v>
      </c>
    </row>
    <row r="4929" spans="1:26" ht="6.95" customHeight="1" x14ac:dyDescent="0.3">
      <c r="A4929" s="154"/>
      <c r="B4929" s="157"/>
      <c r="C4929" s="158"/>
      <c r="D4929" s="161"/>
      <c r="E4929" s="162"/>
      <c r="F4929" s="163"/>
      <c r="G4929" s="164"/>
      <c r="H4929" s="165"/>
      <c r="I4929" s="164"/>
      <c r="J4929" s="165"/>
      <c r="K4929" s="164"/>
      <c r="L4929" s="165"/>
      <c r="M4929" s="6"/>
      <c r="N4929" s="32"/>
      <c r="Q4929" s="10" t="str">
        <f>+CONCATENATE(E4928,I4928)</f>
        <v/>
      </c>
      <c r="R4929" s="10">
        <f>+J4928</f>
        <v>0</v>
      </c>
      <c r="S4929" s="11"/>
      <c r="T4929" s="10">
        <f>+E4928</f>
        <v>0</v>
      </c>
      <c r="U4929" s="19" t="str">
        <f>IFERROR(LEFT(I4928,FIND("*",I4928)-1),"-")</f>
        <v>-</v>
      </c>
      <c r="V4929" s="19" t="str">
        <f>IFERROR(RIGHT(I4928,LEN(I4928)-FIND("*",I4928)),"-")</f>
        <v>-</v>
      </c>
      <c r="W4929" s="20" t="str">
        <f t="shared" ref="W4929:W4936" si="2680">IFERROR((U4929+V4929)*2/1000,"-")</f>
        <v>-</v>
      </c>
      <c r="X4929" s="20" t="str">
        <f>IFERROR(W4929*J4928,"-")</f>
        <v>-</v>
      </c>
      <c r="Z4929" s="85" t="s">
        <v>82</v>
      </c>
    </row>
    <row r="4930" spans="1:26" ht="6.95" customHeight="1" x14ac:dyDescent="0.3">
      <c r="A4930" s="154"/>
      <c r="B4930" s="157"/>
      <c r="C4930" s="158"/>
      <c r="D4930" s="161"/>
      <c r="E4930" s="162"/>
      <c r="F4930" s="163"/>
      <c r="G4930" s="164"/>
      <c r="H4930" s="165"/>
      <c r="I4930" s="164"/>
      <c r="J4930" s="165"/>
      <c r="K4930" s="164"/>
      <c r="L4930" s="165"/>
      <c r="M4930" s="6"/>
      <c r="N4930" s="32"/>
      <c r="Q4930" s="10" t="str">
        <f>+CONCATENATE(E4928,K4928)</f>
        <v/>
      </c>
      <c r="R4930" s="10">
        <f>+L4928</f>
        <v>0</v>
      </c>
      <c r="S4930" s="11"/>
      <c r="T4930" s="10">
        <f>+E4928</f>
        <v>0</v>
      </c>
      <c r="U4930" s="19" t="str">
        <f>IFERROR(LEFT(K4928,FIND("*",K4928)-1),"-")</f>
        <v>-</v>
      </c>
      <c r="V4930" s="19" t="str">
        <f>IFERROR(RIGHT(K4928,LEN(K4928)-FIND("*",K4928)),"-")</f>
        <v>-</v>
      </c>
      <c r="W4930" s="20" t="str">
        <f t="shared" si="2680"/>
        <v>-</v>
      </c>
      <c r="X4930" s="20" t="str">
        <f>IFERROR(W4930*L4928,"-")</f>
        <v>-</v>
      </c>
      <c r="Z4930" s="85" t="s">
        <v>82</v>
      </c>
    </row>
    <row r="4931" spans="1:26" ht="6.95" customHeight="1" x14ac:dyDescent="0.3">
      <c r="A4931" s="8"/>
      <c r="B4931" s="157"/>
      <c r="C4931" s="158"/>
      <c r="D4931" s="161" t="s">
        <v>39</v>
      </c>
      <c r="E4931" s="162"/>
      <c r="F4931" s="163" t="s">
        <v>40</v>
      </c>
      <c r="G4931" s="164"/>
      <c r="H4931" s="165"/>
      <c r="I4931" s="164"/>
      <c r="J4931" s="165"/>
      <c r="K4931" s="164"/>
      <c r="L4931" s="165"/>
      <c r="M4931" s="6"/>
      <c r="N4931" s="32"/>
      <c r="Q4931" s="10" t="str">
        <f>+CONCATENATE(E4931,G4931)</f>
        <v/>
      </c>
      <c r="R4931" s="10">
        <f>+H4931</f>
        <v>0</v>
      </c>
      <c r="S4931" s="11"/>
      <c r="T4931" s="10">
        <f>+E4931</f>
        <v>0</v>
      </c>
      <c r="U4931" s="19" t="str">
        <f t="shared" ref="U4931" si="2681">IFERROR(LEFT(G4931,FIND("*",G4931)-1),"-")</f>
        <v>-</v>
      </c>
      <c r="V4931" s="19" t="str">
        <f t="shared" ref="V4931" si="2682">IFERROR(RIGHT(G4931,LEN(G4931)-FIND("*",G4931)),"-")</f>
        <v>-</v>
      </c>
      <c r="W4931" s="20" t="str">
        <f t="shared" si="2680"/>
        <v>-</v>
      </c>
      <c r="X4931" s="20" t="str">
        <f>IFERROR(W4931*H4931,"-")</f>
        <v>-</v>
      </c>
      <c r="Z4931" s="85" t="s">
        <v>82</v>
      </c>
    </row>
    <row r="4932" spans="1:26" ht="6.95" customHeight="1" x14ac:dyDescent="0.3">
      <c r="A4932" s="5"/>
      <c r="B4932" s="157"/>
      <c r="C4932" s="158"/>
      <c r="D4932" s="161"/>
      <c r="E4932" s="162"/>
      <c r="F4932" s="163"/>
      <c r="G4932" s="164"/>
      <c r="H4932" s="165"/>
      <c r="I4932" s="164"/>
      <c r="J4932" s="165"/>
      <c r="K4932" s="164"/>
      <c r="L4932" s="165"/>
      <c r="M4932" s="6"/>
      <c r="N4932" s="32"/>
      <c r="Q4932" s="10" t="str">
        <f>+CONCATENATE(E4931,I4931)</f>
        <v/>
      </c>
      <c r="R4932" s="10">
        <f>+J4931</f>
        <v>0</v>
      </c>
      <c r="S4932" s="11"/>
      <c r="T4932" s="10">
        <f>+E4931</f>
        <v>0</v>
      </c>
      <c r="U4932" s="19" t="str">
        <f>IFERROR(LEFT(I4931,FIND("*",I4931)-1),"-")</f>
        <v>-</v>
      </c>
      <c r="V4932" s="19" t="str">
        <f>IFERROR(RIGHT(I4931,LEN(I4931)-FIND("*",I4931)),"-")</f>
        <v>-</v>
      </c>
      <c r="W4932" s="20" t="str">
        <f t="shared" si="2680"/>
        <v>-</v>
      </c>
      <c r="X4932" s="20" t="str">
        <f>IFERROR(W4932*J4931,"-")</f>
        <v>-</v>
      </c>
      <c r="Z4932" s="85" t="s">
        <v>82</v>
      </c>
    </row>
    <row r="4933" spans="1:26" ht="6.95" customHeight="1" x14ac:dyDescent="0.3">
      <c r="A4933" s="5"/>
      <c r="B4933" s="157"/>
      <c r="C4933" s="158"/>
      <c r="D4933" s="161"/>
      <c r="E4933" s="162"/>
      <c r="F4933" s="163"/>
      <c r="G4933" s="164"/>
      <c r="H4933" s="165"/>
      <c r="I4933" s="164"/>
      <c r="J4933" s="165"/>
      <c r="K4933" s="164"/>
      <c r="L4933" s="165"/>
      <c r="M4933" s="6"/>
      <c r="N4933" s="32"/>
      <c r="Q4933" s="10" t="str">
        <f>+CONCATENATE(E4931,K4931)</f>
        <v/>
      </c>
      <c r="R4933" s="10">
        <f>+L4931</f>
        <v>0</v>
      </c>
      <c r="S4933" s="11"/>
      <c r="T4933" s="10">
        <f>+E4931</f>
        <v>0</v>
      </c>
      <c r="U4933" s="19" t="str">
        <f>IFERROR(LEFT(K4931,FIND("*",K4931)-1),"-")</f>
        <v>-</v>
      </c>
      <c r="V4933" s="19" t="str">
        <f>IFERROR(RIGHT(K4931,LEN(K4931)-FIND("*",K4931)),"-")</f>
        <v>-</v>
      </c>
      <c r="W4933" s="20" t="str">
        <f t="shared" si="2680"/>
        <v>-</v>
      </c>
      <c r="X4933" s="20" t="str">
        <f>IFERROR(W4933*L4931,"-")</f>
        <v>-</v>
      </c>
      <c r="Z4933" s="85" t="s">
        <v>82</v>
      </c>
    </row>
    <row r="4934" spans="1:26" ht="6.95" customHeight="1" x14ac:dyDescent="0.3">
      <c r="A4934" s="8"/>
      <c r="B4934" s="157"/>
      <c r="C4934" s="158"/>
      <c r="D4934" s="161" t="s">
        <v>39</v>
      </c>
      <c r="E4934" s="162"/>
      <c r="F4934" s="163" t="s">
        <v>40</v>
      </c>
      <c r="G4934" s="164"/>
      <c r="H4934" s="165"/>
      <c r="I4934" s="164"/>
      <c r="J4934" s="165"/>
      <c r="K4934" s="164"/>
      <c r="L4934" s="165"/>
      <c r="M4934" s="6"/>
      <c r="N4934" s="32"/>
      <c r="Q4934" s="10" t="str">
        <f>+CONCATENATE(E4934,G4934)</f>
        <v/>
      </c>
      <c r="R4934" s="10">
        <f>+H4934</f>
        <v>0</v>
      </c>
      <c r="S4934" s="11"/>
      <c r="T4934" s="10">
        <f>+E4934</f>
        <v>0</v>
      </c>
      <c r="U4934" s="19" t="str">
        <f t="shared" ref="U4934" si="2683">IFERROR(LEFT(G4934,FIND("*",G4934)-1),"-")</f>
        <v>-</v>
      </c>
      <c r="V4934" s="19" t="str">
        <f t="shared" ref="V4934" si="2684">IFERROR(RIGHT(G4934,LEN(G4934)-FIND("*",G4934)),"-")</f>
        <v>-</v>
      </c>
      <c r="W4934" s="20" t="str">
        <f t="shared" si="2680"/>
        <v>-</v>
      </c>
      <c r="X4934" s="20" t="str">
        <f>IFERROR(W4934*H4934,"-")</f>
        <v>-</v>
      </c>
      <c r="Z4934" s="85" t="s">
        <v>82</v>
      </c>
    </row>
    <row r="4935" spans="1:26" ht="6.95" customHeight="1" x14ac:dyDescent="0.3">
      <c r="A4935" s="5"/>
      <c r="B4935" s="157"/>
      <c r="C4935" s="158"/>
      <c r="D4935" s="161"/>
      <c r="E4935" s="162"/>
      <c r="F4935" s="163"/>
      <c r="G4935" s="164"/>
      <c r="H4935" s="165"/>
      <c r="I4935" s="164"/>
      <c r="J4935" s="165"/>
      <c r="K4935" s="164"/>
      <c r="L4935" s="165"/>
      <c r="M4935" s="6"/>
      <c r="N4935" s="32"/>
      <c r="Q4935" s="10" t="str">
        <f>+CONCATENATE(E4934,I4934)</f>
        <v/>
      </c>
      <c r="R4935" s="10">
        <f>+J4934</f>
        <v>0</v>
      </c>
      <c r="S4935" s="11"/>
      <c r="T4935" s="10">
        <f>+E4934</f>
        <v>0</v>
      </c>
      <c r="U4935" s="19" t="str">
        <f>IFERROR(LEFT(I4934,FIND("*",I4934)-1),"-")</f>
        <v>-</v>
      </c>
      <c r="V4935" s="19" t="str">
        <f>IFERROR(RIGHT(I4934,LEN(I4934)-FIND("*",I4934)),"-")</f>
        <v>-</v>
      </c>
      <c r="W4935" s="20" t="str">
        <f t="shared" si="2680"/>
        <v>-</v>
      </c>
      <c r="X4935" s="20" t="str">
        <f t="shared" ref="X4935" si="2685">IFERROR(W4935*J4934,"-")</f>
        <v>-</v>
      </c>
      <c r="Z4935" s="85" t="s">
        <v>82</v>
      </c>
    </row>
    <row r="4936" spans="1:26" ht="6.95" customHeight="1" x14ac:dyDescent="0.3">
      <c r="A4936" s="5"/>
      <c r="B4936" s="157"/>
      <c r="C4936" s="158"/>
      <c r="D4936" s="161"/>
      <c r="E4936" s="162"/>
      <c r="F4936" s="163"/>
      <c r="G4936" s="164"/>
      <c r="H4936" s="165"/>
      <c r="I4936" s="164"/>
      <c r="J4936" s="165"/>
      <c r="K4936" s="164"/>
      <c r="L4936" s="165"/>
      <c r="M4936" s="6"/>
      <c r="N4936" s="32"/>
      <c r="Q4936" s="10" t="str">
        <f>+CONCATENATE(E4934,K4934)</f>
        <v/>
      </c>
      <c r="R4936" s="10">
        <f>+L4934</f>
        <v>0</v>
      </c>
      <c r="S4936" s="11"/>
      <c r="T4936" s="10">
        <f>+E4934</f>
        <v>0</v>
      </c>
      <c r="U4936" s="19" t="str">
        <f>IFERROR(LEFT(K4934,FIND("*",K4934)-1),"-")</f>
        <v>-</v>
      </c>
      <c r="V4936" s="19" t="str">
        <f>IFERROR(RIGHT(K4934,LEN(K4934)-FIND("*",K4934)),"-")</f>
        <v>-</v>
      </c>
      <c r="W4936" s="20" t="str">
        <f t="shared" si="2680"/>
        <v>-</v>
      </c>
      <c r="X4936" s="20" t="str">
        <f>IFERROR(W4936*L4934,"-")</f>
        <v>-</v>
      </c>
      <c r="Z4936" s="85" t="s">
        <v>82</v>
      </c>
    </row>
    <row r="4937" spans="1:26" ht="21" customHeight="1" thickBot="1" x14ac:dyDescent="0.35">
      <c r="A4937" s="5"/>
      <c r="B4937" s="159"/>
      <c r="C4937" s="160"/>
      <c r="D4937" s="166" t="s">
        <v>43</v>
      </c>
      <c r="E4937" s="167"/>
      <c r="F4937" s="167"/>
      <c r="G4937" s="168"/>
      <c r="H4937" s="168"/>
      <c r="I4937" s="168"/>
      <c r="J4937" s="168"/>
      <c r="K4937" s="168"/>
      <c r="L4937" s="168"/>
      <c r="M4937" s="7"/>
      <c r="N4937" s="32"/>
      <c r="Z4937" s="86" t="s">
        <v>81</v>
      </c>
    </row>
    <row r="4938" spans="1:26" ht="9.9499999999999993" customHeight="1" thickBot="1" x14ac:dyDescent="0.35">
      <c r="B4938" s="9"/>
      <c r="C4938" s="109"/>
      <c r="D4938" s="51"/>
      <c r="E4938" s="12"/>
      <c r="F4938" s="51"/>
      <c r="G4938" s="14"/>
      <c r="H4938" s="14"/>
      <c r="I4938" s="14"/>
      <c r="J4938" s="14"/>
      <c r="K4938" s="14"/>
      <c r="L4938" s="14"/>
      <c r="M4938" s="9"/>
      <c r="N4938" s="32"/>
      <c r="U4938" s="18"/>
      <c r="V4938" s="18"/>
      <c r="Z4938" s="85" t="s">
        <v>82</v>
      </c>
    </row>
    <row r="4939" spans="1:26" ht="6.95" customHeight="1" x14ac:dyDescent="0.3">
      <c r="A4939" s="154">
        <f>+A4928+1</f>
        <v>1248</v>
      </c>
      <c r="B4939" s="155"/>
      <c r="C4939" s="156"/>
      <c r="D4939" s="161" t="s">
        <v>39</v>
      </c>
      <c r="E4939" s="162"/>
      <c r="F4939" s="163" t="s">
        <v>40</v>
      </c>
      <c r="G4939" s="164"/>
      <c r="H4939" s="165"/>
      <c r="I4939" s="164"/>
      <c r="J4939" s="165"/>
      <c r="K4939" s="164"/>
      <c r="L4939" s="165"/>
      <c r="M4939" s="6"/>
      <c r="N4939" s="32"/>
      <c r="Q4939" s="10" t="str">
        <f>+CONCATENATE(E4939,G4939)</f>
        <v/>
      </c>
      <c r="R4939" s="10">
        <f>+H4939</f>
        <v>0</v>
      </c>
      <c r="S4939" s="11"/>
      <c r="T4939" s="10">
        <f>+E4939</f>
        <v>0</v>
      </c>
      <c r="U4939" s="19" t="str">
        <f>IFERROR(LEFT(G4939,FIND("*",G4939)-1),"-")</f>
        <v>-</v>
      </c>
      <c r="V4939" s="19" t="str">
        <f>IFERROR(RIGHT(G4939,LEN(G4939)-FIND("*",G4939)),"-")</f>
        <v>-</v>
      </c>
      <c r="W4939" s="20" t="str">
        <f>IFERROR((U4939+V4939)*2/1000,"-")</f>
        <v>-</v>
      </c>
      <c r="X4939" s="20" t="str">
        <f>IFERROR(W4939*H4939,"-")</f>
        <v>-</v>
      </c>
      <c r="Z4939" s="85" t="s">
        <v>82</v>
      </c>
    </row>
    <row r="4940" spans="1:26" ht="6.95" customHeight="1" x14ac:dyDescent="0.3">
      <c r="A4940" s="154"/>
      <c r="B4940" s="157"/>
      <c r="C4940" s="158"/>
      <c r="D4940" s="161"/>
      <c r="E4940" s="162"/>
      <c r="F4940" s="163"/>
      <c r="G4940" s="164"/>
      <c r="H4940" s="165"/>
      <c r="I4940" s="164"/>
      <c r="J4940" s="165"/>
      <c r="K4940" s="164"/>
      <c r="L4940" s="165"/>
      <c r="M4940" s="6"/>
      <c r="N4940" s="32"/>
      <c r="Q4940" s="10" t="str">
        <f>+CONCATENATE(E4939,I4939)</f>
        <v/>
      </c>
      <c r="R4940" s="10">
        <f>+J4939</f>
        <v>0</v>
      </c>
      <c r="S4940" s="11"/>
      <c r="T4940" s="10">
        <f>+E4939</f>
        <v>0</v>
      </c>
      <c r="U4940" s="19" t="str">
        <f>IFERROR(LEFT(I4939,FIND("*",I4939)-1),"-")</f>
        <v>-</v>
      </c>
      <c r="V4940" s="19" t="str">
        <f>IFERROR(RIGHT(I4939,LEN(I4939)-FIND("*",I4939)),"-")</f>
        <v>-</v>
      </c>
      <c r="W4940" s="20" t="str">
        <f t="shared" ref="W4940:W4947" si="2686">IFERROR((U4940+V4940)*2/1000,"-")</f>
        <v>-</v>
      </c>
      <c r="X4940" s="20" t="str">
        <f>IFERROR(W4940*J4939,"-")</f>
        <v>-</v>
      </c>
      <c r="Z4940" s="85" t="s">
        <v>82</v>
      </c>
    </row>
    <row r="4941" spans="1:26" ht="6.95" customHeight="1" x14ac:dyDescent="0.3">
      <c r="A4941" s="154"/>
      <c r="B4941" s="157"/>
      <c r="C4941" s="158"/>
      <c r="D4941" s="161"/>
      <c r="E4941" s="162"/>
      <c r="F4941" s="163"/>
      <c r="G4941" s="164"/>
      <c r="H4941" s="165"/>
      <c r="I4941" s="164"/>
      <c r="J4941" s="165"/>
      <c r="K4941" s="164"/>
      <c r="L4941" s="165"/>
      <c r="M4941" s="6"/>
      <c r="N4941" s="32"/>
      <c r="Q4941" s="10" t="str">
        <f>+CONCATENATE(E4939,K4939)</f>
        <v/>
      </c>
      <c r="R4941" s="10">
        <f>+L4939</f>
        <v>0</v>
      </c>
      <c r="S4941" s="11"/>
      <c r="T4941" s="10">
        <f>+E4939</f>
        <v>0</v>
      </c>
      <c r="U4941" s="19" t="str">
        <f>IFERROR(LEFT(K4939,FIND("*",K4939)-1),"-")</f>
        <v>-</v>
      </c>
      <c r="V4941" s="19" t="str">
        <f>IFERROR(RIGHT(K4939,LEN(K4939)-FIND("*",K4939)),"-")</f>
        <v>-</v>
      </c>
      <c r="W4941" s="20" t="str">
        <f t="shared" si="2686"/>
        <v>-</v>
      </c>
      <c r="X4941" s="20" t="str">
        <f>IFERROR(W4941*L4939,"-")</f>
        <v>-</v>
      </c>
      <c r="Z4941" s="85" t="s">
        <v>82</v>
      </c>
    </row>
    <row r="4942" spans="1:26" ht="6.95" customHeight="1" x14ac:dyDescent="0.3">
      <c r="A4942" s="8"/>
      <c r="B4942" s="157"/>
      <c r="C4942" s="158"/>
      <c r="D4942" s="161" t="s">
        <v>39</v>
      </c>
      <c r="E4942" s="162"/>
      <c r="F4942" s="163" t="s">
        <v>40</v>
      </c>
      <c r="G4942" s="164"/>
      <c r="H4942" s="165"/>
      <c r="I4942" s="164"/>
      <c r="J4942" s="165"/>
      <c r="K4942" s="164"/>
      <c r="L4942" s="165"/>
      <c r="M4942" s="6"/>
      <c r="N4942" s="32"/>
      <c r="Q4942" s="10" t="str">
        <f>+CONCATENATE(E4942,G4942)</f>
        <v/>
      </c>
      <c r="R4942" s="10">
        <f>+H4942</f>
        <v>0</v>
      </c>
      <c r="S4942" s="11"/>
      <c r="T4942" s="10">
        <f>+E4942</f>
        <v>0</v>
      </c>
      <c r="U4942" s="19" t="str">
        <f t="shared" ref="U4942" si="2687">IFERROR(LEFT(G4942,FIND("*",G4942)-1),"-")</f>
        <v>-</v>
      </c>
      <c r="V4942" s="19" t="str">
        <f t="shared" ref="V4942" si="2688">IFERROR(RIGHT(G4942,LEN(G4942)-FIND("*",G4942)),"-")</f>
        <v>-</v>
      </c>
      <c r="W4942" s="20" t="str">
        <f t="shared" si="2686"/>
        <v>-</v>
      </c>
      <c r="X4942" s="20" t="str">
        <f>IFERROR(W4942*H4942,"-")</f>
        <v>-</v>
      </c>
      <c r="Z4942" s="85" t="s">
        <v>82</v>
      </c>
    </row>
    <row r="4943" spans="1:26" ht="6.95" customHeight="1" x14ac:dyDescent="0.3">
      <c r="A4943" s="5"/>
      <c r="B4943" s="157"/>
      <c r="C4943" s="158"/>
      <c r="D4943" s="161"/>
      <c r="E4943" s="162"/>
      <c r="F4943" s="163"/>
      <c r="G4943" s="164"/>
      <c r="H4943" s="165"/>
      <c r="I4943" s="164"/>
      <c r="J4943" s="165"/>
      <c r="K4943" s="164"/>
      <c r="L4943" s="165"/>
      <c r="M4943" s="6"/>
      <c r="N4943" s="32"/>
      <c r="Q4943" s="10" t="str">
        <f>+CONCATENATE(E4942,I4942)</f>
        <v/>
      </c>
      <c r="R4943" s="10">
        <f>+J4942</f>
        <v>0</v>
      </c>
      <c r="S4943" s="11"/>
      <c r="T4943" s="10">
        <f>+E4942</f>
        <v>0</v>
      </c>
      <c r="U4943" s="19" t="str">
        <f>IFERROR(LEFT(I4942,FIND("*",I4942)-1),"-")</f>
        <v>-</v>
      </c>
      <c r="V4943" s="19" t="str">
        <f>IFERROR(RIGHT(I4942,LEN(I4942)-FIND("*",I4942)),"-")</f>
        <v>-</v>
      </c>
      <c r="W4943" s="20" t="str">
        <f t="shared" si="2686"/>
        <v>-</v>
      </c>
      <c r="X4943" s="20" t="str">
        <f>IFERROR(W4943*J4942,"-")</f>
        <v>-</v>
      </c>
      <c r="Z4943" s="85" t="s">
        <v>82</v>
      </c>
    </row>
    <row r="4944" spans="1:26" ht="6.95" customHeight="1" x14ac:dyDescent="0.3">
      <c r="A4944" s="5"/>
      <c r="B4944" s="157"/>
      <c r="C4944" s="158"/>
      <c r="D4944" s="161"/>
      <c r="E4944" s="162"/>
      <c r="F4944" s="163"/>
      <c r="G4944" s="164"/>
      <c r="H4944" s="165"/>
      <c r="I4944" s="164"/>
      <c r="J4944" s="165"/>
      <c r="K4944" s="164"/>
      <c r="L4944" s="165"/>
      <c r="M4944" s="6"/>
      <c r="N4944" s="32"/>
      <c r="Q4944" s="10" t="str">
        <f>+CONCATENATE(E4942,K4942)</f>
        <v/>
      </c>
      <c r="R4944" s="10">
        <f>+L4942</f>
        <v>0</v>
      </c>
      <c r="S4944" s="11"/>
      <c r="T4944" s="10">
        <f>+E4942</f>
        <v>0</v>
      </c>
      <c r="U4944" s="19" t="str">
        <f>IFERROR(LEFT(K4942,FIND("*",K4942)-1),"-")</f>
        <v>-</v>
      </c>
      <c r="V4944" s="19" t="str">
        <f>IFERROR(RIGHT(K4942,LEN(K4942)-FIND("*",K4942)),"-")</f>
        <v>-</v>
      </c>
      <c r="W4944" s="20" t="str">
        <f t="shared" si="2686"/>
        <v>-</v>
      </c>
      <c r="X4944" s="20" t="str">
        <f>IFERROR(W4944*L4942,"-")</f>
        <v>-</v>
      </c>
      <c r="Z4944" s="85" t="s">
        <v>82</v>
      </c>
    </row>
    <row r="4945" spans="1:26" ht="6.95" customHeight="1" x14ac:dyDescent="0.3">
      <c r="A4945" s="8"/>
      <c r="B4945" s="157"/>
      <c r="C4945" s="158"/>
      <c r="D4945" s="161" t="s">
        <v>39</v>
      </c>
      <c r="E4945" s="162"/>
      <c r="F4945" s="163" t="s">
        <v>40</v>
      </c>
      <c r="G4945" s="164"/>
      <c r="H4945" s="165"/>
      <c r="I4945" s="164"/>
      <c r="J4945" s="165"/>
      <c r="K4945" s="164"/>
      <c r="L4945" s="165"/>
      <c r="M4945" s="6"/>
      <c r="N4945" s="32"/>
      <c r="Q4945" s="10" t="str">
        <f>+CONCATENATE(E4945,G4945)</f>
        <v/>
      </c>
      <c r="R4945" s="10">
        <f>+H4945</f>
        <v>0</v>
      </c>
      <c r="S4945" s="11"/>
      <c r="T4945" s="10">
        <f>+E4945</f>
        <v>0</v>
      </c>
      <c r="U4945" s="19" t="str">
        <f t="shared" ref="U4945" si="2689">IFERROR(LEFT(G4945,FIND("*",G4945)-1),"-")</f>
        <v>-</v>
      </c>
      <c r="V4945" s="19" t="str">
        <f t="shared" ref="V4945" si="2690">IFERROR(RIGHT(G4945,LEN(G4945)-FIND("*",G4945)),"-")</f>
        <v>-</v>
      </c>
      <c r="W4945" s="20" t="str">
        <f t="shared" si="2686"/>
        <v>-</v>
      </c>
      <c r="X4945" s="20" t="str">
        <f>IFERROR(W4945*H4945,"-")</f>
        <v>-</v>
      </c>
      <c r="Z4945" s="85" t="s">
        <v>82</v>
      </c>
    </row>
    <row r="4946" spans="1:26" ht="6.95" customHeight="1" x14ac:dyDescent="0.3">
      <c r="A4946" s="5"/>
      <c r="B4946" s="157"/>
      <c r="C4946" s="158"/>
      <c r="D4946" s="161"/>
      <c r="E4946" s="162"/>
      <c r="F4946" s="163"/>
      <c r="G4946" s="164"/>
      <c r="H4946" s="165"/>
      <c r="I4946" s="164"/>
      <c r="J4946" s="165"/>
      <c r="K4946" s="164"/>
      <c r="L4946" s="165"/>
      <c r="M4946" s="6"/>
      <c r="N4946" s="32"/>
      <c r="Q4946" s="10" t="str">
        <f>+CONCATENATE(E4945,I4945)</f>
        <v/>
      </c>
      <c r="R4946" s="10">
        <f>+J4945</f>
        <v>0</v>
      </c>
      <c r="S4946" s="11"/>
      <c r="T4946" s="10">
        <f>+E4945</f>
        <v>0</v>
      </c>
      <c r="U4946" s="19" t="str">
        <f>IFERROR(LEFT(I4945,FIND("*",I4945)-1),"-")</f>
        <v>-</v>
      </c>
      <c r="V4946" s="19" t="str">
        <f>IFERROR(RIGHT(I4945,LEN(I4945)-FIND("*",I4945)),"-")</f>
        <v>-</v>
      </c>
      <c r="W4946" s="20" t="str">
        <f t="shared" si="2686"/>
        <v>-</v>
      </c>
      <c r="X4946" s="20" t="str">
        <f t="shared" ref="X4946" si="2691">IFERROR(W4946*J4945,"-")</f>
        <v>-</v>
      </c>
      <c r="Z4946" s="85" t="s">
        <v>82</v>
      </c>
    </row>
    <row r="4947" spans="1:26" ht="6.95" customHeight="1" x14ac:dyDescent="0.3">
      <c r="A4947" s="5"/>
      <c r="B4947" s="157"/>
      <c r="C4947" s="158"/>
      <c r="D4947" s="161"/>
      <c r="E4947" s="162"/>
      <c r="F4947" s="163"/>
      <c r="G4947" s="164"/>
      <c r="H4947" s="165"/>
      <c r="I4947" s="164"/>
      <c r="J4947" s="165"/>
      <c r="K4947" s="164"/>
      <c r="L4947" s="165"/>
      <c r="M4947" s="6"/>
      <c r="N4947" s="32"/>
      <c r="Q4947" s="10" t="str">
        <f>+CONCATENATE(E4945,K4945)</f>
        <v/>
      </c>
      <c r="R4947" s="10">
        <f>+L4945</f>
        <v>0</v>
      </c>
      <c r="S4947" s="11"/>
      <c r="T4947" s="10">
        <f>+E4945</f>
        <v>0</v>
      </c>
      <c r="U4947" s="19" t="str">
        <f>IFERROR(LEFT(K4945,FIND("*",K4945)-1),"-")</f>
        <v>-</v>
      </c>
      <c r="V4947" s="19" t="str">
        <f>IFERROR(RIGHT(K4945,LEN(K4945)-FIND("*",K4945)),"-")</f>
        <v>-</v>
      </c>
      <c r="W4947" s="20" t="str">
        <f t="shared" si="2686"/>
        <v>-</v>
      </c>
      <c r="X4947" s="20" t="str">
        <f>IFERROR(W4947*L4945,"-")</f>
        <v>-</v>
      </c>
      <c r="Z4947" s="85" t="s">
        <v>82</v>
      </c>
    </row>
    <row r="4948" spans="1:26" ht="21" customHeight="1" thickBot="1" x14ac:dyDescent="0.35">
      <c r="A4948" s="5"/>
      <c r="B4948" s="159"/>
      <c r="C4948" s="160"/>
      <c r="D4948" s="166" t="s">
        <v>43</v>
      </c>
      <c r="E4948" s="167"/>
      <c r="F4948" s="167"/>
      <c r="G4948" s="168"/>
      <c r="H4948" s="168"/>
      <c r="I4948" s="168"/>
      <c r="J4948" s="168"/>
      <c r="K4948" s="168"/>
      <c r="L4948" s="168"/>
      <c r="M4948" s="7"/>
      <c r="N4948" s="32"/>
      <c r="Z4948" s="86" t="s">
        <v>81</v>
      </c>
    </row>
    <row r="4949" spans="1:26" ht="9.9499999999999993" customHeight="1" thickBot="1" x14ac:dyDescent="0.35">
      <c r="B4949" s="9"/>
      <c r="C4949" s="109"/>
      <c r="D4949" s="51"/>
      <c r="E4949" s="12"/>
      <c r="F4949" s="51"/>
      <c r="G4949" s="14"/>
      <c r="H4949" s="14"/>
      <c r="I4949" s="14"/>
      <c r="J4949" s="14"/>
      <c r="K4949" s="14"/>
      <c r="L4949" s="14"/>
      <c r="M4949" s="9"/>
      <c r="N4949" s="32"/>
      <c r="U4949" s="18"/>
      <c r="V4949" s="18"/>
      <c r="Z4949" s="85" t="s">
        <v>82</v>
      </c>
    </row>
    <row r="4950" spans="1:26" ht="6.95" customHeight="1" x14ac:dyDescent="0.3">
      <c r="A4950" s="154">
        <f>+A4939+1</f>
        <v>1249</v>
      </c>
      <c r="B4950" s="155"/>
      <c r="C4950" s="156"/>
      <c r="D4950" s="161" t="s">
        <v>39</v>
      </c>
      <c r="E4950" s="162"/>
      <c r="F4950" s="163" t="s">
        <v>40</v>
      </c>
      <c r="G4950" s="164"/>
      <c r="H4950" s="165"/>
      <c r="I4950" s="164"/>
      <c r="J4950" s="165"/>
      <c r="K4950" s="164"/>
      <c r="L4950" s="165"/>
      <c r="M4950" s="6"/>
      <c r="N4950" s="32"/>
      <c r="Q4950" s="10" t="str">
        <f>+CONCATENATE(E4950,G4950)</f>
        <v/>
      </c>
      <c r="R4950" s="10">
        <f>+H4950</f>
        <v>0</v>
      </c>
      <c r="S4950" s="11"/>
      <c r="T4950" s="10">
        <f>+E4950</f>
        <v>0</v>
      </c>
      <c r="U4950" s="19" t="str">
        <f>IFERROR(LEFT(G4950,FIND("*",G4950)-1),"-")</f>
        <v>-</v>
      </c>
      <c r="V4950" s="19" t="str">
        <f>IFERROR(RIGHT(G4950,LEN(G4950)-FIND("*",G4950)),"-")</f>
        <v>-</v>
      </c>
      <c r="W4950" s="20" t="str">
        <f>IFERROR((U4950+V4950)*2/1000,"-")</f>
        <v>-</v>
      </c>
      <c r="X4950" s="20" t="str">
        <f>IFERROR(W4950*H4950,"-")</f>
        <v>-</v>
      </c>
      <c r="Z4950" s="85" t="s">
        <v>82</v>
      </c>
    </row>
    <row r="4951" spans="1:26" ht="6.95" customHeight="1" x14ac:dyDescent="0.3">
      <c r="A4951" s="154"/>
      <c r="B4951" s="157"/>
      <c r="C4951" s="158"/>
      <c r="D4951" s="161"/>
      <c r="E4951" s="162"/>
      <c r="F4951" s="163"/>
      <c r="G4951" s="164"/>
      <c r="H4951" s="165"/>
      <c r="I4951" s="164"/>
      <c r="J4951" s="165"/>
      <c r="K4951" s="164"/>
      <c r="L4951" s="165"/>
      <c r="M4951" s="6"/>
      <c r="N4951" s="32"/>
      <c r="Q4951" s="10" t="str">
        <f>+CONCATENATE(E4950,I4950)</f>
        <v/>
      </c>
      <c r="R4951" s="10">
        <f>+J4950</f>
        <v>0</v>
      </c>
      <c r="S4951" s="11"/>
      <c r="T4951" s="10">
        <f>+E4950</f>
        <v>0</v>
      </c>
      <c r="U4951" s="19" t="str">
        <f>IFERROR(LEFT(I4950,FIND("*",I4950)-1),"-")</f>
        <v>-</v>
      </c>
      <c r="V4951" s="19" t="str">
        <f>IFERROR(RIGHT(I4950,LEN(I4950)-FIND("*",I4950)),"-")</f>
        <v>-</v>
      </c>
      <c r="W4951" s="20" t="str">
        <f t="shared" ref="W4951:W4958" si="2692">IFERROR((U4951+V4951)*2/1000,"-")</f>
        <v>-</v>
      </c>
      <c r="X4951" s="20" t="str">
        <f>IFERROR(W4951*J4950,"-")</f>
        <v>-</v>
      </c>
      <c r="Z4951" s="85" t="s">
        <v>82</v>
      </c>
    </row>
    <row r="4952" spans="1:26" ht="6.95" customHeight="1" x14ac:dyDescent="0.3">
      <c r="A4952" s="154"/>
      <c r="B4952" s="157"/>
      <c r="C4952" s="158"/>
      <c r="D4952" s="161"/>
      <c r="E4952" s="162"/>
      <c r="F4952" s="163"/>
      <c r="G4952" s="164"/>
      <c r="H4952" s="165"/>
      <c r="I4952" s="164"/>
      <c r="J4952" s="165"/>
      <c r="K4952" s="164"/>
      <c r="L4952" s="165"/>
      <c r="M4952" s="6"/>
      <c r="N4952" s="32"/>
      <c r="Q4952" s="10" t="str">
        <f>+CONCATENATE(E4950,K4950)</f>
        <v/>
      </c>
      <c r="R4952" s="10">
        <f>+L4950</f>
        <v>0</v>
      </c>
      <c r="S4952" s="11"/>
      <c r="T4952" s="10">
        <f>+E4950</f>
        <v>0</v>
      </c>
      <c r="U4952" s="19" t="str">
        <f>IFERROR(LEFT(K4950,FIND("*",K4950)-1),"-")</f>
        <v>-</v>
      </c>
      <c r="V4952" s="19" t="str">
        <f>IFERROR(RIGHT(K4950,LEN(K4950)-FIND("*",K4950)),"-")</f>
        <v>-</v>
      </c>
      <c r="W4952" s="20" t="str">
        <f t="shared" si="2692"/>
        <v>-</v>
      </c>
      <c r="X4952" s="20" t="str">
        <f>IFERROR(W4952*L4950,"-")</f>
        <v>-</v>
      </c>
      <c r="Z4952" s="85" t="s">
        <v>82</v>
      </c>
    </row>
    <row r="4953" spans="1:26" ht="6.95" customHeight="1" x14ac:dyDescent="0.3">
      <c r="A4953" s="8"/>
      <c r="B4953" s="157"/>
      <c r="C4953" s="158"/>
      <c r="D4953" s="161" t="s">
        <v>39</v>
      </c>
      <c r="E4953" s="162"/>
      <c r="F4953" s="163" t="s">
        <v>40</v>
      </c>
      <c r="G4953" s="164"/>
      <c r="H4953" s="165"/>
      <c r="I4953" s="164"/>
      <c r="J4953" s="165"/>
      <c r="K4953" s="164"/>
      <c r="L4953" s="165"/>
      <c r="M4953" s="6"/>
      <c r="N4953" s="32"/>
      <c r="Q4953" s="10" t="str">
        <f>+CONCATENATE(E4953,G4953)</f>
        <v/>
      </c>
      <c r="R4953" s="10">
        <f>+H4953</f>
        <v>0</v>
      </c>
      <c r="S4953" s="11"/>
      <c r="T4953" s="10">
        <f>+E4953</f>
        <v>0</v>
      </c>
      <c r="U4953" s="19" t="str">
        <f t="shared" ref="U4953" si="2693">IFERROR(LEFT(G4953,FIND("*",G4953)-1),"-")</f>
        <v>-</v>
      </c>
      <c r="V4953" s="19" t="str">
        <f t="shared" ref="V4953" si="2694">IFERROR(RIGHT(G4953,LEN(G4953)-FIND("*",G4953)),"-")</f>
        <v>-</v>
      </c>
      <c r="W4953" s="20" t="str">
        <f t="shared" si="2692"/>
        <v>-</v>
      </c>
      <c r="X4953" s="20" t="str">
        <f>IFERROR(W4953*H4953,"-")</f>
        <v>-</v>
      </c>
      <c r="Z4953" s="85" t="s">
        <v>82</v>
      </c>
    </row>
    <row r="4954" spans="1:26" ht="6.95" customHeight="1" x14ac:dyDescent="0.3">
      <c r="A4954" s="5"/>
      <c r="B4954" s="157"/>
      <c r="C4954" s="158"/>
      <c r="D4954" s="161"/>
      <c r="E4954" s="162"/>
      <c r="F4954" s="163"/>
      <c r="G4954" s="164"/>
      <c r="H4954" s="165"/>
      <c r="I4954" s="164"/>
      <c r="J4954" s="165"/>
      <c r="K4954" s="164"/>
      <c r="L4954" s="165"/>
      <c r="M4954" s="6"/>
      <c r="N4954" s="32"/>
      <c r="Q4954" s="10" t="str">
        <f>+CONCATENATE(E4953,I4953)</f>
        <v/>
      </c>
      <c r="R4954" s="10">
        <f>+J4953</f>
        <v>0</v>
      </c>
      <c r="S4954" s="11"/>
      <c r="T4954" s="10">
        <f>+E4953</f>
        <v>0</v>
      </c>
      <c r="U4954" s="19" t="str">
        <f>IFERROR(LEFT(I4953,FIND("*",I4953)-1),"-")</f>
        <v>-</v>
      </c>
      <c r="V4954" s="19" t="str">
        <f>IFERROR(RIGHT(I4953,LEN(I4953)-FIND("*",I4953)),"-")</f>
        <v>-</v>
      </c>
      <c r="W4954" s="20" t="str">
        <f t="shared" si="2692"/>
        <v>-</v>
      </c>
      <c r="X4954" s="20" t="str">
        <f>IFERROR(W4954*J4953,"-")</f>
        <v>-</v>
      </c>
      <c r="Z4954" s="85" t="s">
        <v>82</v>
      </c>
    </row>
    <row r="4955" spans="1:26" ht="6.95" customHeight="1" x14ac:dyDescent="0.3">
      <c r="A4955" s="5"/>
      <c r="B4955" s="157"/>
      <c r="C4955" s="158"/>
      <c r="D4955" s="161"/>
      <c r="E4955" s="162"/>
      <c r="F4955" s="163"/>
      <c r="G4955" s="164"/>
      <c r="H4955" s="165"/>
      <c r="I4955" s="164"/>
      <c r="J4955" s="165"/>
      <c r="K4955" s="164"/>
      <c r="L4955" s="165"/>
      <c r="M4955" s="6"/>
      <c r="N4955" s="32"/>
      <c r="Q4955" s="10" t="str">
        <f>+CONCATENATE(E4953,K4953)</f>
        <v/>
      </c>
      <c r="R4955" s="10">
        <f>+L4953</f>
        <v>0</v>
      </c>
      <c r="S4955" s="11"/>
      <c r="T4955" s="10">
        <f>+E4953</f>
        <v>0</v>
      </c>
      <c r="U4955" s="19" t="str">
        <f>IFERROR(LEFT(K4953,FIND("*",K4953)-1),"-")</f>
        <v>-</v>
      </c>
      <c r="V4955" s="19" t="str">
        <f>IFERROR(RIGHT(K4953,LEN(K4953)-FIND("*",K4953)),"-")</f>
        <v>-</v>
      </c>
      <c r="W4955" s="20" t="str">
        <f t="shared" si="2692"/>
        <v>-</v>
      </c>
      <c r="X4955" s="20" t="str">
        <f>IFERROR(W4955*L4953,"-")</f>
        <v>-</v>
      </c>
      <c r="Z4955" s="85" t="s">
        <v>82</v>
      </c>
    </row>
    <row r="4956" spans="1:26" ht="6.95" customHeight="1" x14ac:dyDescent="0.3">
      <c r="A4956" s="8"/>
      <c r="B4956" s="157"/>
      <c r="C4956" s="158"/>
      <c r="D4956" s="161" t="s">
        <v>39</v>
      </c>
      <c r="E4956" s="162"/>
      <c r="F4956" s="163" t="s">
        <v>40</v>
      </c>
      <c r="G4956" s="164"/>
      <c r="H4956" s="165"/>
      <c r="I4956" s="164"/>
      <c r="J4956" s="165"/>
      <c r="K4956" s="164"/>
      <c r="L4956" s="165"/>
      <c r="M4956" s="6"/>
      <c r="N4956" s="32"/>
      <c r="Q4956" s="10" t="str">
        <f>+CONCATENATE(E4956,G4956)</f>
        <v/>
      </c>
      <c r="R4956" s="10">
        <f>+H4956</f>
        <v>0</v>
      </c>
      <c r="S4956" s="11"/>
      <c r="T4956" s="10">
        <f>+E4956</f>
        <v>0</v>
      </c>
      <c r="U4956" s="19" t="str">
        <f t="shared" ref="U4956" si="2695">IFERROR(LEFT(G4956,FIND("*",G4956)-1),"-")</f>
        <v>-</v>
      </c>
      <c r="V4956" s="19" t="str">
        <f t="shared" ref="V4956" si="2696">IFERROR(RIGHT(G4956,LEN(G4956)-FIND("*",G4956)),"-")</f>
        <v>-</v>
      </c>
      <c r="W4956" s="20" t="str">
        <f t="shared" si="2692"/>
        <v>-</v>
      </c>
      <c r="X4956" s="20" t="str">
        <f>IFERROR(W4956*H4956,"-")</f>
        <v>-</v>
      </c>
      <c r="Z4956" s="85" t="s">
        <v>82</v>
      </c>
    </row>
    <row r="4957" spans="1:26" ht="6.95" customHeight="1" x14ac:dyDescent="0.3">
      <c r="A4957" s="5"/>
      <c r="B4957" s="157"/>
      <c r="C4957" s="158"/>
      <c r="D4957" s="161"/>
      <c r="E4957" s="162"/>
      <c r="F4957" s="163"/>
      <c r="G4957" s="164"/>
      <c r="H4957" s="165"/>
      <c r="I4957" s="164"/>
      <c r="J4957" s="165"/>
      <c r="K4957" s="164"/>
      <c r="L4957" s="165"/>
      <c r="M4957" s="6"/>
      <c r="N4957" s="32"/>
      <c r="Q4957" s="10" t="str">
        <f>+CONCATENATE(E4956,I4956)</f>
        <v/>
      </c>
      <c r="R4957" s="10">
        <f>+J4956</f>
        <v>0</v>
      </c>
      <c r="S4957" s="11"/>
      <c r="T4957" s="10">
        <f>+E4956</f>
        <v>0</v>
      </c>
      <c r="U4957" s="19" t="str">
        <f>IFERROR(LEFT(I4956,FIND("*",I4956)-1),"-")</f>
        <v>-</v>
      </c>
      <c r="V4957" s="19" t="str">
        <f>IFERROR(RIGHT(I4956,LEN(I4956)-FIND("*",I4956)),"-")</f>
        <v>-</v>
      </c>
      <c r="W4957" s="20" t="str">
        <f t="shared" si="2692"/>
        <v>-</v>
      </c>
      <c r="X4957" s="20" t="str">
        <f t="shared" ref="X4957" si="2697">IFERROR(W4957*J4956,"-")</f>
        <v>-</v>
      </c>
      <c r="Z4957" s="85" t="s">
        <v>82</v>
      </c>
    </row>
    <row r="4958" spans="1:26" ht="6.95" customHeight="1" x14ac:dyDescent="0.3">
      <c r="A4958" s="5"/>
      <c r="B4958" s="157"/>
      <c r="C4958" s="158"/>
      <c r="D4958" s="161"/>
      <c r="E4958" s="162"/>
      <c r="F4958" s="163"/>
      <c r="G4958" s="164"/>
      <c r="H4958" s="165"/>
      <c r="I4958" s="164"/>
      <c r="J4958" s="165"/>
      <c r="K4958" s="164"/>
      <c r="L4958" s="165"/>
      <c r="M4958" s="6"/>
      <c r="N4958" s="32"/>
      <c r="Q4958" s="10" t="str">
        <f>+CONCATENATE(E4956,K4956)</f>
        <v/>
      </c>
      <c r="R4958" s="10">
        <f>+L4956</f>
        <v>0</v>
      </c>
      <c r="S4958" s="11"/>
      <c r="T4958" s="10">
        <f>+E4956</f>
        <v>0</v>
      </c>
      <c r="U4958" s="19" t="str">
        <f>IFERROR(LEFT(K4956,FIND("*",K4956)-1),"-")</f>
        <v>-</v>
      </c>
      <c r="V4958" s="19" t="str">
        <f>IFERROR(RIGHT(K4956,LEN(K4956)-FIND("*",K4956)),"-")</f>
        <v>-</v>
      </c>
      <c r="W4958" s="20" t="str">
        <f t="shared" si="2692"/>
        <v>-</v>
      </c>
      <c r="X4958" s="20" t="str">
        <f>IFERROR(W4958*L4956,"-")</f>
        <v>-</v>
      </c>
      <c r="Z4958" s="85" t="s">
        <v>82</v>
      </c>
    </row>
    <row r="4959" spans="1:26" ht="21" customHeight="1" thickBot="1" x14ac:dyDescent="0.35">
      <c r="A4959" s="5"/>
      <c r="B4959" s="159"/>
      <c r="C4959" s="160"/>
      <c r="D4959" s="166" t="s">
        <v>43</v>
      </c>
      <c r="E4959" s="167"/>
      <c r="F4959" s="167"/>
      <c r="G4959" s="168"/>
      <c r="H4959" s="168"/>
      <c r="I4959" s="168"/>
      <c r="J4959" s="168"/>
      <c r="K4959" s="168"/>
      <c r="L4959" s="168"/>
      <c r="M4959" s="7"/>
      <c r="N4959" s="32"/>
      <c r="Z4959" s="86" t="s">
        <v>81</v>
      </c>
    </row>
    <row r="4960" spans="1:26" ht="9.9499999999999993" customHeight="1" thickBot="1" x14ac:dyDescent="0.35">
      <c r="B4960" s="9"/>
      <c r="C4960" s="109"/>
      <c r="D4960" s="51"/>
      <c r="E4960" s="12"/>
      <c r="F4960" s="51"/>
      <c r="G4960" s="14"/>
      <c r="H4960" s="14"/>
      <c r="I4960" s="14"/>
      <c r="J4960" s="14"/>
      <c r="K4960" s="14"/>
      <c r="L4960" s="14"/>
      <c r="M4960" s="9"/>
      <c r="N4960" s="32"/>
      <c r="U4960" s="18"/>
      <c r="V4960" s="18"/>
      <c r="Z4960" s="85" t="s">
        <v>82</v>
      </c>
    </row>
    <row r="4961" spans="1:26" ht="6.95" customHeight="1" x14ac:dyDescent="0.3">
      <c r="A4961" s="154">
        <f>+A4950+1</f>
        <v>1250</v>
      </c>
      <c r="B4961" s="155"/>
      <c r="C4961" s="156"/>
      <c r="D4961" s="161" t="s">
        <v>39</v>
      </c>
      <c r="E4961" s="162"/>
      <c r="F4961" s="163" t="s">
        <v>40</v>
      </c>
      <c r="G4961" s="164"/>
      <c r="H4961" s="165"/>
      <c r="I4961" s="164"/>
      <c r="J4961" s="165"/>
      <c r="K4961" s="164"/>
      <c r="L4961" s="165"/>
      <c r="M4961" s="6"/>
      <c r="N4961" s="32"/>
      <c r="Q4961" s="10" t="str">
        <f>+CONCATENATE(E4961,G4961)</f>
        <v/>
      </c>
      <c r="R4961" s="10">
        <f>+H4961</f>
        <v>0</v>
      </c>
      <c r="S4961" s="11"/>
      <c r="T4961" s="10">
        <f>+E4961</f>
        <v>0</v>
      </c>
      <c r="U4961" s="19" t="str">
        <f>IFERROR(LEFT(G4961,FIND("*",G4961)-1),"-")</f>
        <v>-</v>
      </c>
      <c r="V4961" s="19" t="str">
        <f>IFERROR(RIGHT(G4961,LEN(G4961)-FIND("*",G4961)),"-")</f>
        <v>-</v>
      </c>
      <c r="W4961" s="20" t="str">
        <f>IFERROR((U4961+V4961)*2/1000,"-")</f>
        <v>-</v>
      </c>
      <c r="X4961" s="20" t="str">
        <f>IFERROR(W4961*H4961,"-")</f>
        <v>-</v>
      </c>
      <c r="Z4961" s="85" t="s">
        <v>82</v>
      </c>
    </row>
    <row r="4962" spans="1:26" ht="6.95" customHeight="1" x14ac:dyDescent="0.3">
      <c r="A4962" s="154"/>
      <c r="B4962" s="157"/>
      <c r="C4962" s="158"/>
      <c r="D4962" s="161"/>
      <c r="E4962" s="162"/>
      <c r="F4962" s="163"/>
      <c r="G4962" s="164"/>
      <c r="H4962" s="165"/>
      <c r="I4962" s="164"/>
      <c r="J4962" s="165"/>
      <c r="K4962" s="164"/>
      <c r="L4962" s="165"/>
      <c r="M4962" s="6"/>
      <c r="N4962" s="32"/>
      <c r="Q4962" s="10" t="str">
        <f>+CONCATENATE(E4961,I4961)</f>
        <v/>
      </c>
      <c r="R4962" s="10">
        <f>+J4961</f>
        <v>0</v>
      </c>
      <c r="S4962" s="11"/>
      <c r="T4962" s="10">
        <f>+E4961</f>
        <v>0</v>
      </c>
      <c r="U4962" s="19" t="str">
        <f>IFERROR(LEFT(I4961,FIND("*",I4961)-1),"-")</f>
        <v>-</v>
      </c>
      <c r="V4962" s="19" t="str">
        <f>IFERROR(RIGHT(I4961,LEN(I4961)-FIND("*",I4961)),"-")</f>
        <v>-</v>
      </c>
      <c r="W4962" s="20" t="str">
        <f t="shared" ref="W4962:W4969" si="2698">IFERROR((U4962+V4962)*2/1000,"-")</f>
        <v>-</v>
      </c>
      <c r="X4962" s="20" t="str">
        <f>IFERROR(W4962*J4961,"-")</f>
        <v>-</v>
      </c>
      <c r="Z4962" s="85" t="s">
        <v>82</v>
      </c>
    </row>
    <row r="4963" spans="1:26" ht="6.95" customHeight="1" x14ac:dyDescent="0.3">
      <c r="A4963" s="154"/>
      <c r="B4963" s="157"/>
      <c r="C4963" s="158"/>
      <c r="D4963" s="161"/>
      <c r="E4963" s="162"/>
      <c r="F4963" s="163"/>
      <c r="G4963" s="164"/>
      <c r="H4963" s="165"/>
      <c r="I4963" s="164"/>
      <c r="J4963" s="165"/>
      <c r="K4963" s="164"/>
      <c r="L4963" s="165"/>
      <c r="M4963" s="6"/>
      <c r="N4963" s="32"/>
      <c r="Q4963" s="10" t="str">
        <f>+CONCATENATE(E4961,K4961)</f>
        <v/>
      </c>
      <c r="R4963" s="10">
        <f>+L4961</f>
        <v>0</v>
      </c>
      <c r="S4963" s="11"/>
      <c r="T4963" s="10">
        <f>+E4961</f>
        <v>0</v>
      </c>
      <c r="U4963" s="19" t="str">
        <f>IFERROR(LEFT(K4961,FIND("*",K4961)-1),"-")</f>
        <v>-</v>
      </c>
      <c r="V4963" s="19" t="str">
        <f>IFERROR(RIGHT(K4961,LEN(K4961)-FIND("*",K4961)),"-")</f>
        <v>-</v>
      </c>
      <c r="W4963" s="20" t="str">
        <f t="shared" si="2698"/>
        <v>-</v>
      </c>
      <c r="X4963" s="20" t="str">
        <f>IFERROR(W4963*L4961,"-")</f>
        <v>-</v>
      </c>
      <c r="Z4963" s="85" t="s">
        <v>82</v>
      </c>
    </row>
    <row r="4964" spans="1:26" ht="6.95" customHeight="1" x14ac:dyDescent="0.3">
      <c r="A4964" s="8"/>
      <c r="B4964" s="157"/>
      <c r="C4964" s="158"/>
      <c r="D4964" s="161" t="s">
        <v>39</v>
      </c>
      <c r="E4964" s="162"/>
      <c r="F4964" s="163" t="s">
        <v>40</v>
      </c>
      <c r="G4964" s="164"/>
      <c r="H4964" s="165"/>
      <c r="I4964" s="164"/>
      <c r="J4964" s="165"/>
      <c r="K4964" s="164"/>
      <c r="L4964" s="165"/>
      <c r="M4964" s="6"/>
      <c r="N4964" s="32"/>
      <c r="Q4964" s="10" t="str">
        <f>+CONCATENATE(E4964,G4964)</f>
        <v/>
      </c>
      <c r="R4964" s="10">
        <f>+H4964</f>
        <v>0</v>
      </c>
      <c r="S4964" s="11"/>
      <c r="T4964" s="10">
        <f>+E4964</f>
        <v>0</v>
      </c>
      <c r="U4964" s="19" t="str">
        <f t="shared" ref="U4964" si="2699">IFERROR(LEFT(G4964,FIND("*",G4964)-1),"-")</f>
        <v>-</v>
      </c>
      <c r="V4964" s="19" t="str">
        <f t="shared" ref="V4964" si="2700">IFERROR(RIGHT(G4964,LEN(G4964)-FIND("*",G4964)),"-")</f>
        <v>-</v>
      </c>
      <c r="W4964" s="20" t="str">
        <f t="shared" si="2698"/>
        <v>-</v>
      </c>
      <c r="X4964" s="20" t="str">
        <f>IFERROR(W4964*H4964,"-")</f>
        <v>-</v>
      </c>
      <c r="Z4964" s="85" t="s">
        <v>82</v>
      </c>
    </row>
    <row r="4965" spans="1:26" ht="6.95" customHeight="1" x14ac:dyDescent="0.3">
      <c r="A4965" s="5"/>
      <c r="B4965" s="157"/>
      <c r="C4965" s="158"/>
      <c r="D4965" s="161"/>
      <c r="E4965" s="162"/>
      <c r="F4965" s="163"/>
      <c r="G4965" s="164"/>
      <c r="H4965" s="165"/>
      <c r="I4965" s="164"/>
      <c r="J4965" s="165"/>
      <c r="K4965" s="164"/>
      <c r="L4965" s="165"/>
      <c r="M4965" s="6"/>
      <c r="N4965" s="32"/>
      <c r="Q4965" s="10" t="str">
        <f>+CONCATENATE(E4964,I4964)</f>
        <v/>
      </c>
      <c r="R4965" s="10">
        <f>+J4964</f>
        <v>0</v>
      </c>
      <c r="S4965" s="11"/>
      <c r="T4965" s="10">
        <f>+E4964</f>
        <v>0</v>
      </c>
      <c r="U4965" s="19" t="str">
        <f>IFERROR(LEFT(I4964,FIND("*",I4964)-1),"-")</f>
        <v>-</v>
      </c>
      <c r="V4965" s="19" t="str">
        <f>IFERROR(RIGHT(I4964,LEN(I4964)-FIND("*",I4964)),"-")</f>
        <v>-</v>
      </c>
      <c r="W4965" s="20" t="str">
        <f t="shared" si="2698"/>
        <v>-</v>
      </c>
      <c r="X4965" s="20" t="str">
        <f>IFERROR(W4965*J4964,"-")</f>
        <v>-</v>
      </c>
      <c r="Z4965" s="85" t="s">
        <v>82</v>
      </c>
    </row>
    <row r="4966" spans="1:26" ht="6.95" customHeight="1" x14ac:dyDescent="0.3">
      <c r="A4966" s="5"/>
      <c r="B4966" s="157"/>
      <c r="C4966" s="158"/>
      <c r="D4966" s="161"/>
      <c r="E4966" s="162"/>
      <c r="F4966" s="163"/>
      <c r="G4966" s="164"/>
      <c r="H4966" s="165"/>
      <c r="I4966" s="164"/>
      <c r="J4966" s="165"/>
      <c r="K4966" s="164"/>
      <c r="L4966" s="165"/>
      <c r="M4966" s="6"/>
      <c r="N4966" s="32"/>
      <c r="Q4966" s="10" t="str">
        <f>+CONCATENATE(E4964,K4964)</f>
        <v/>
      </c>
      <c r="R4966" s="10">
        <f>+L4964</f>
        <v>0</v>
      </c>
      <c r="S4966" s="11"/>
      <c r="T4966" s="10">
        <f>+E4964</f>
        <v>0</v>
      </c>
      <c r="U4966" s="19" t="str">
        <f>IFERROR(LEFT(K4964,FIND("*",K4964)-1),"-")</f>
        <v>-</v>
      </c>
      <c r="V4966" s="19" t="str">
        <f>IFERROR(RIGHT(K4964,LEN(K4964)-FIND("*",K4964)),"-")</f>
        <v>-</v>
      </c>
      <c r="W4966" s="20" t="str">
        <f t="shared" si="2698"/>
        <v>-</v>
      </c>
      <c r="X4966" s="20" t="str">
        <f>IFERROR(W4966*L4964,"-")</f>
        <v>-</v>
      </c>
      <c r="Z4966" s="85" t="s">
        <v>82</v>
      </c>
    </row>
    <row r="4967" spans="1:26" ht="6.95" customHeight="1" x14ac:dyDescent="0.3">
      <c r="A4967" s="8"/>
      <c r="B4967" s="157"/>
      <c r="C4967" s="158"/>
      <c r="D4967" s="161" t="s">
        <v>39</v>
      </c>
      <c r="E4967" s="162"/>
      <c r="F4967" s="163" t="s">
        <v>40</v>
      </c>
      <c r="G4967" s="164"/>
      <c r="H4967" s="165"/>
      <c r="I4967" s="164"/>
      <c r="J4967" s="165"/>
      <c r="K4967" s="164"/>
      <c r="L4967" s="165"/>
      <c r="M4967" s="6"/>
      <c r="N4967" s="32"/>
      <c r="Q4967" s="10" t="str">
        <f>+CONCATENATE(E4967,G4967)</f>
        <v/>
      </c>
      <c r="R4967" s="10">
        <f>+H4967</f>
        <v>0</v>
      </c>
      <c r="S4967" s="11"/>
      <c r="T4967" s="10">
        <f>+E4967</f>
        <v>0</v>
      </c>
      <c r="U4967" s="19" t="str">
        <f t="shared" ref="U4967" si="2701">IFERROR(LEFT(G4967,FIND("*",G4967)-1),"-")</f>
        <v>-</v>
      </c>
      <c r="V4967" s="19" t="str">
        <f t="shared" ref="V4967" si="2702">IFERROR(RIGHT(G4967,LEN(G4967)-FIND("*",G4967)),"-")</f>
        <v>-</v>
      </c>
      <c r="W4967" s="20" t="str">
        <f t="shared" si="2698"/>
        <v>-</v>
      </c>
      <c r="X4967" s="20" t="str">
        <f>IFERROR(W4967*H4967,"-")</f>
        <v>-</v>
      </c>
      <c r="Z4967" s="85" t="s">
        <v>82</v>
      </c>
    </row>
    <row r="4968" spans="1:26" ht="6.95" customHeight="1" x14ac:dyDescent="0.3">
      <c r="A4968" s="5"/>
      <c r="B4968" s="157"/>
      <c r="C4968" s="158"/>
      <c r="D4968" s="161"/>
      <c r="E4968" s="162"/>
      <c r="F4968" s="163"/>
      <c r="G4968" s="164"/>
      <c r="H4968" s="165"/>
      <c r="I4968" s="164"/>
      <c r="J4968" s="165"/>
      <c r="K4968" s="164"/>
      <c r="L4968" s="165"/>
      <c r="M4968" s="6"/>
      <c r="N4968" s="32"/>
      <c r="Q4968" s="10" t="str">
        <f>+CONCATENATE(E4967,I4967)</f>
        <v/>
      </c>
      <c r="R4968" s="10">
        <f>+J4967</f>
        <v>0</v>
      </c>
      <c r="S4968" s="11"/>
      <c r="T4968" s="10">
        <f>+E4967</f>
        <v>0</v>
      </c>
      <c r="U4968" s="19" t="str">
        <f>IFERROR(LEFT(I4967,FIND("*",I4967)-1),"-")</f>
        <v>-</v>
      </c>
      <c r="V4968" s="19" t="str">
        <f>IFERROR(RIGHT(I4967,LEN(I4967)-FIND("*",I4967)),"-")</f>
        <v>-</v>
      </c>
      <c r="W4968" s="20" t="str">
        <f t="shared" si="2698"/>
        <v>-</v>
      </c>
      <c r="X4968" s="20" t="str">
        <f t="shared" ref="X4968" si="2703">IFERROR(W4968*J4967,"-")</f>
        <v>-</v>
      </c>
      <c r="Z4968" s="85" t="s">
        <v>82</v>
      </c>
    </row>
    <row r="4969" spans="1:26" ht="6.95" customHeight="1" x14ac:dyDescent="0.3">
      <c r="A4969" s="5"/>
      <c r="B4969" s="157"/>
      <c r="C4969" s="158"/>
      <c r="D4969" s="161"/>
      <c r="E4969" s="162"/>
      <c r="F4969" s="163"/>
      <c r="G4969" s="164"/>
      <c r="H4969" s="165"/>
      <c r="I4969" s="164"/>
      <c r="J4969" s="165"/>
      <c r="K4969" s="164"/>
      <c r="L4969" s="165"/>
      <c r="M4969" s="6"/>
      <c r="N4969" s="32"/>
      <c r="Q4969" s="10" t="str">
        <f>+CONCATENATE(E4967,K4967)</f>
        <v/>
      </c>
      <c r="R4969" s="10">
        <f>+L4967</f>
        <v>0</v>
      </c>
      <c r="S4969" s="11"/>
      <c r="T4969" s="10">
        <f>+E4967</f>
        <v>0</v>
      </c>
      <c r="U4969" s="19" t="str">
        <f>IFERROR(LEFT(K4967,FIND("*",K4967)-1),"-")</f>
        <v>-</v>
      </c>
      <c r="V4969" s="19" t="str">
        <f>IFERROR(RIGHT(K4967,LEN(K4967)-FIND("*",K4967)),"-")</f>
        <v>-</v>
      </c>
      <c r="W4969" s="20" t="str">
        <f t="shared" si="2698"/>
        <v>-</v>
      </c>
      <c r="X4969" s="20" t="str">
        <f>IFERROR(W4969*L4967,"-")</f>
        <v>-</v>
      </c>
      <c r="Z4969" s="85" t="s">
        <v>82</v>
      </c>
    </row>
    <row r="4970" spans="1:26" ht="21" customHeight="1" thickBot="1" x14ac:dyDescent="0.35">
      <c r="A4970" s="5"/>
      <c r="B4970" s="159"/>
      <c r="C4970" s="160"/>
      <c r="D4970" s="166" t="s">
        <v>43</v>
      </c>
      <c r="E4970" s="167"/>
      <c r="F4970" s="167"/>
      <c r="G4970" s="168"/>
      <c r="H4970" s="168"/>
      <c r="I4970" s="168"/>
      <c r="J4970" s="168"/>
      <c r="K4970" s="168"/>
      <c r="L4970" s="168"/>
      <c r="M4970" s="7"/>
      <c r="N4970" s="32"/>
      <c r="Z4970" s="86" t="s">
        <v>81</v>
      </c>
    </row>
    <row r="4971" spans="1:26" ht="9.9499999999999993" customHeight="1" thickBot="1" x14ac:dyDescent="0.35">
      <c r="B4971" s="9"/>
      <c r="C4971" s="109"/>
      <c r="D4971" s="51"/>
      <c r="E4971" s="12"/>
      <c r="F4971" s="51"/>
      <c r="G4971" s="14"/>
      <c r="H4971" s="14"/>
      <c r="I4971" s="14"/>
      <c r="J4971" s="14"/>
      <c r="K4971" s="14"/>
      <c r="L4971" s="14"/>
      <c r="M4971" s="9"/>
      <c r="N4971" s="32"/>
      <c r="U4971" s="18"/>
      <c r="V4971" s="18"/>
      <c r="Z4971" s="85" t="s">
        <v>82</v>
      </c>
    </row>
    <row r="4972" spans="1:26" ht="6.95" customHeight="1" x14ac:dyDescent="0.3">
      <c r="A4972" s="154">
        <f>+A4961+1</f>
        <v>1251</v>
      </c>
      <c r="B4972" s="155"/>
      <c r="C4972" s="156"/>
      <c r="D4972" s="161" t="s">
        <v>39</v>
      </c>
      <c r="E4972" s="162"/>
      <c r="F4972" s="163" t="s">
        <v>40</v>
      </c>
      <c r="G4972" s="164"/>
      <c r="H4972" s="165"/>
      <c r="I4972" s="164"/>
      <c r="J4972" s="165"/>
      <c r="K4972" s="164"/>
      <c r="L4972" s="165"/>
      <c r="M4972" s="6"/>
      <c r="N4972" s="32"/>
      <c r="Q4972" s="10" t="str">
        <f>+CONCATENATE(E4972,G4972)</f>
        <v/>
      </c>
      <c r="R4972" s="10">
        <f>+H4972</f>
        <v>0</v>
      </c>
      <c r="S4972" s="11"/>
      <c r="T4972" s="10">
        <f>+E4972</f>
        <v>0</v>
      </c>
      <c r="U4972" s="19" t="str">
        <f>IFERROR(LEFT(G4972,FIND("*",G4972)-1),"-")</f>
        <v>-</v>
      </c>
      <c r="V4972" s="19" t="str">
        <f>IFERROR(RIGHT(G4972,LEN(G4972)-FIND("*",G4972)),"-")</f>
        <v>-</v>
      </c>
      <c r="W4972" s="20" t="str">
        <f>IFERROR((U4972+V4972)*2/1000,"-")</f>
        <v>-</v>
      </c>
      <c r="X4972" s="20" t="str">
        <f>IFERROR(W4972*H4972,"-")</f>
        <v>-</v>
      </c>
      <c r="Z4972" s="85" t="s">
        <v>82</v>
      </c>
    </row>
    <row r="4973" spans="1:26" ht="6.95" customHeight="1" x14ac:dyDescent="0.3">
      <c r="A4973" s="154"/>
      <c r="B4973" s="157"/>
      <c r="C4973" s="158"/>
      <c r="D4973" s="161"/>
      <c r="E4973" s="162"/>
      <c r="F4973" s="163"/>
      <c r="G4973" s="164"/>
      <c r="H4973" s="165"/>
      <c r="I4973" s="164"/>
      <c r="J4973" s="165"/>
      <c r="K4973" s="164"/>
      <c r="L4973" s="165"/>
      <c r="M4973" s="6"/>
      <c r="N4973" s="32"/>
      <c r="Q4973" s="10" t="str">
        <f>+CONCATENATE(E4972,I4972)</f>
        <v/>
      </c>
      <c r="R4973" s="10">
        <f>+J4972</f>
        <v>0</v>
      </c>
      <c r="S4973" s="11"/>
      <c r="T4973" s="10">
        <f>+E4972</f>
        <v>0</v>
      </c>
      <c r="U4973" s="19" t="str">
        <f>IFERROR(LEFT(I4972,FIND("*",I4972)-1),"-")</f>
        <v>-</v>
      </c>
      <c r="V4973" s="19" t="str">
        <f>IFERROR(RIGHT(I4972,LEN(I4972)-FIND("*",I4972)),"-")</f>
        <v>-</v>
      </c>
      <c r="W4973" s="20" t="str">
        <f t="shared" ref="W4973:W4980" si="2704">IFERROR((U4973+V4973)*2/1000,"-")</f>
        <v>-</v>
      </c>
      <c r="X4973" s="20" t="str">
        <f>IFERROR(W4973*J4972,"-")</f>
        <v>-</v>
      </c>
      <c r="Z4973" s="85" t="s">
        <v>82</v>
      </c>
    </row>
    <row r="4974" spans="1:26" ht="6.95" customHeight="1" x14ac:dyDescent="0.3">
      <c r="A4974" s="154"/>
      <c r="B4974" s="157"/>
      <c r="C4974" s="158"/>
      <c r="D4974" s="161"/>
      <c r="E4974" s="162"/>
      <c r="F4974" s="163"/>
      <c r="G4974" s="164"/>
      <c r="H4974" s="165"/>
      <c r="I4974" s="164"/>
      <c r="J4974" s="165"/>
      <c r="K4974" s="164"/>
      <c r="L4974" s="165"/>
      <c r="M4974" s="6"/>
      <c r="N4974" s="32"/>
      <c r="Q4974" s="10" t="str">
        <f>+CONCATENATE(E4972,K4972)</f>
        <v/>
      </c>
      <c r="R4974" s="10">
        <f>+L4972</f>
        <v>0</v>
      </c>
      <c r="S4974" s="11"/>
      <c r="T4974" s="10">
        <f>+E4972</f>
        <v>0</v>
      </c>
      <c r="U4974" s="19" t="str">
        <f>IFERROR(LEFT(K4972,FIND("*",K4972)-1),"-")</f>
        <v>-</v>
      </c>
      <c r="V4974" s="19" t="str">
        <f>IFERROR(RIGHT(K4972,LEN(K4972)-FIND("*",K4972)),"-")</f>
        <v>-</v>
      </c>
      <c r="W4974" s="20" t="str">
        <f t="shared" si="2704"/>
        <v>-</v>
      </c>
      <c r="X4974" s="20" t="str">
        <f>IFERROR(W4974*L4972,"-")</f>
        <v>-</v>
      </c>
      <c r="Z4974" s="85" t="s">
        <v>82</v>
      </c>
    </row>
    <row r="4975" spans="1:26" ht="6.95" customHeight="1" x14ac:dyDescent="0.3">
      <c r="A4975" s="8"/>
      <c r="B4975" s="157"/>
      <c r="C4975" s="158"/>
      <c r="D4975" s="161" t="s">
        <v>39</v>
      </c>
      <c r="E4975" s="162"/>
      <c r="F4975" s="163" t="s">
        <v>40</v>
      </c>
      <c r="G4975" s="164"/>
      <c r="H4975" s="165"/>
      <c r="I4975" s="164"/>
      <c r="J4975" s="165"/>
      <c r="K4975" s="164"/>
      <c r="L4975" s="165"/>
      <c r="M4975" s="6"/>
      <c r="N4975" s="32"/>
      <c r="Q4975" s="10" t="str">
        <f>+CONCATENATE(E4975,G4975)</f>
        <v/>
      </c>
      <c r="R4975" s="10">
        <f>+H4975</f>
        <v>0</v>
      </c>
      <c r="S4975" s="11"/>
      <c r="T4975" s="10">
        <f>+E4975</f>
        <v>0</v>
      </c>
      <c r="U4975" s="19" t="str">
        <f t="shared" ref="U4975" si="2705">IFERROR(LEFT(G4975,FIND("*",G4975)-1),"-")</f>
        <v>-</v>
      </c>
      <c r="V4975" s="19" t="str">
        <f t="shared" ref="V4975" si="2706">IFERROR(RIGHT(G4975,LEN(G4975)-FIND("*",G4975)),"-")</f>
        <v>-</v>
      </c>
      <c r="W4975" s="20" t="str">
        <f t="shared" si="2704"/>
        <v>-</v>
      </c>
      <c r="X4975" s="20" t="str">
        <f>IFERROR(W4975*H4975,"-")</f>
        <v>-</v>
      </c>
      <c r="Z4975" s="85" t="s">
        <v>82</v>
      </c>
    </row>
    <row r="4976" spans="1:26" ht="6.95" customHeight="1" x14ac:dyDescent="0.3">
      <c r="A4976" s="5"/>
      <c r="B4976" s="157"/>
      <c r="C4976" s="158"/>
      <c r="D4976" s="161"/>
      <c r="E4976" s="162"/>
      <c r="F4976" s="163"/>
      <c r="G4976" s="164"/>
      <c r="H4976" s="165"/>
      <c r="I4976" s="164"/>
      <c r="J4976" s="165"/>
      <c r="K4976" s="164"/>
      <c r="L4976" s="165"/>
      <c r="M4976" s="6"/>
      <c r="N4976" s="32"/>
      <c r="Q4976" s="10" t="str">
        <f>+CONCATENATE(E4975,I4975)</f>
        <v/>
      </c>
      <c r="R4976" s="10">
        <f>+J4975</f>
        <v>0</v>
      </c>
      <c r="S4976" s="11"/>
      <c r="T4976" s="10">
        <f>+E4975</f>
        <v>0</v>
      </c>
      <c r="U4976" s="19" t="str">
        <f>IFERROR(LEFT(I4975,FIND("*",I4975)-1),"-")</f>
        <v>-</v>
      </c>
      <c r="V4976" s="19" t="str">
        <f>IFERROR(RIGHT(I4975,LEN(I4975)-FIND("*",I4975)),"-")</f>
        <v>-</v>
      </c>
      <c r="W4976" s="20" t="str">
        <f t="shared" si="2704"/>
        <v>-</v>
      </c>
      <c r="X4976" s="20" t="str">
        <f>IFERROR(W4976*J4975,"-")</f>
        <v>-</v>
      </c>
      <c r="Z4976" s="85" t="s">
        <v>82</v>
      </c>
    </row>
    <row r="4977" spans="1:26" ht="6.95" customHeight="1" x14ac:dyDescent="0.3">
      <c r="A4977" s="5"/>
      <c r="B4977" s="157"/>
      <c r="C4977" s="158"/>
      <c r="D4977" s="161"/>
      <c r="E4977" s="162"/>
      <c r="F4977" s="163"/>
      <c r="G4977" s="164"/>
      <c r="H4977" s="165"/>
      <c r="I4977" s="164"/>
      <c r="J4977" s="165"/>
      <c r="K4977" s="164"/>
      <c r="L4977" s="165"/>
      <c r="M4977" s="6"/>
      <c r="N4977" s="32"/>
      <c r="Q4977" s="10" t="str">
        <f>+CONCATENATE(E4975,K4975)</f>
        <v/>
      </c>
      <c r="R4977" s="10">
        <f>+L4975</f>
        <v>0</v>
      </c>
      <c r="S4977" s="11"/>
      <c r="T4977" s="10">
        <f>+E4975</f>
        <v>0</v>
      </c>
      <c r="U4977" s="19" t="str">
        <f>IFERROR(LEFT(K4975,FIND("*",K4975)-1),"-")</f>
        <v>-</v>
      </c>
      <c r="V4977" s="19" t="str">
        <f>IFERROR(RIGHT(K4975,LEN(K4975)-FIND("*",K4975)),"-")</f>
        <v>-</v>
      </c>
      <c r="W4977" s="20" t="str">
        <f t="shared" si="2704"/>
        <v>-</v>
      </c>
      <c r="X4977" s="20" t="str">
        <f>IFERROR(W4977*L4975,"-")</f>
        <v>-</v>
      </c>
      <c r="Z4977" s="85" t="s">
        <v>82</v>
      </c>
    </row>
    <row r="4978" spans="1:26" ht="6.95" customHeight="1" x14ac:dyDescent="0.3">
      <c r="A4978" s="8"/>
      <c r="B4978" s="157"/>
      <c r="C4978" s="158"/>
      <c r="D4978" s="161" t="s">
        <v>39</v>
      </c>
      <c r="E4978" s="162"/>
      <c r="F4978" s="163" t="s">
        <v>40</v>
      </c>
      <c r="G4978" s="164"/>
      <c r="H4978" s="165"/>
      <c r="I4978" s="164"/>
      <c r="J4978" s="165"/>
      <c r="K4978" s="164"/>
      <c r="L4978" s="165"/>
      <c r="M4978" s="6"/>
      <c r="N4978" s="32"/>
      <c r="Q4978" s="10" t="str">
        <f>+CONCATENATE(E4978,G4978)</f>
        <v/>
      </c>
      <c r="R4978" s="10">
        <f>+H4978</f>
        <v>0</v>
      </c>
      <c r="S4978" s="11"/>
      <c r="T4978" s="10">
        <f>+E4978</f>
        <v>0</v>
      </c>
      <c r="U4978" s="19" t="str">
        <f t="shared" ref="U4978" si="2707">IFERROR(LEFT(G4978,FIND("*",G4978)-1),"-")</f>
        <v>-</v>
      </c>
      <c r="V4978" s="19" t="str">
        <f t="shared" ref="V4978" si="2708">IFERROR(RIGHT(G4978,LEN(G4978)-FIND("*",G4978)),"-")</f>
        <v>-</v>
      </c>
      <c r="W4978" s="20" t="str">
        <f t="shared" si="2704"/>
        <v>-</v>
      </c>
      <c r="X4978" s="20" t="str">
        <f>IFERROR(W4978*H4978,"-")</f>
        <v>-</v>
      </c>
      <c r="Z4978" s="85" t="s">
        <v>82</v>
      </c>
    </row>
    <row r="4979" spans="1:26" ht="6.95" customHeight="1" x14ac:dyDescent="0.3">
      <c r="A4979" s="5"/>
      <c r="B4979" s="157"/>
      <c r="C4979" s="158"/>
      <c r="D4979" s="161"/>
      <c r="E4979" s="162"/>
      <c r="F4979" s="163"/>
      <c r="G4979" s="164"/>
      <c r="H4979" s="165"/>
      <c r="I4979" s="164"/>
      <c r="J4979" s="165"/>
      <c r="K4979" s="164"/>
      <c r="L4979" s="165"/>
      <c r="M4979" s="6"/>
      <c r="N4979" s="32"/>
      <c r="Q4979" s="10" t="str">
        <f>+CONCATENATE(E4978,I4978)</f>
        <v/>
      </c>
      <c r="R4979" s="10">
        <f>+J4978</f>
        <v>0</v>
      </c>
      <c r="S4979" s="11"/>
      <c r="T4979" s="10">
        <f>+E4978</f>
        <v>0</v>
      </c>
      <c r="U4979" s="19" t="str">
        <f>IFERROR(LEFT(I4978,FIND("*",I4978)-1),"-")</f>
        <v>-</v>
      </c>
      <c r="V4979" s="19" t="str">
        <f>IFERROR(RIGHT(I4978,LEN(I4978)-FIND("*",I4978)),"-")</f>
        <v>-</v>
      </c>
      <c r="W4979" s="20" t="str">
        <f t="shared" si="2704"/>
        <v>-</v>
      </c>
      <c r="X4979" s="20" t="str">
        <f t="shared" ref="X4979" si="2709">IFERROR(W4979*J4978,"-")</f>
        <v>-</v>
      </c>
      <c r="Z4979" s="85" t="s">
        <v>82</v>
      </c>
    </row>
    <row r="4980" spans="1:26" ht="6.95" customHeight="1" x14ac:dyDescent="0.3">
      <c r="A4980" s="5"/>
      <c r="B4980" s="157"/>
      <c r="C4980" s="158"/>
      <c r="D4980" s="161"/>
      <c r="E4980" s="162"/>
      <c r="F4980" s="163"/>
      <c r="G4980" s="164"/>
      <c r="H4980" s="165"/>
      <c r="I4980" s="164"/>
      <c r="J4980" s="165"/>
      <c r="K4980" s="164"/>
      <c r="L4980" s="165"/>
      <c r="M4980" s="6"/>
      <c r="N4980" s="32"/>
      <c r="Q4980" s="10" t="str">
        <f>+CONCATENATE(E4978,K4978)</f>
        <v/>
      </c>
      <c r="R4980" s="10">
        <f>+L4978</f>
        <v>0</v>
      </c>
      <c r="S4980" s="11"/>
      <c r="T4980" s="10">
        <f>+E4978</f>
        <v>0</v>
      </c>
      <c r="U4980" s="19" t="str">
        <f>IFERROR(LEFT(K4978,FIND("*",K4978)-1),"-")</f>
        <v>-</v>
      </c>
      <c r="V4980" s="19" t="str">
        <f>IFERROR(RIGHT(K4978,LEN(K4978)-FIND("*",K4978)),"-")</f>
        <v>-</v>
      </c>
      <c r="W4980" s="20" t="str">
        <f t="shared" si="2704"/>
        <v>-</v>
      </c>
      <c r="X4980" s="20" t="str">
        <f>IFERROR(W4980*L4978,"-")</f>
        <v>-</v>
      </c>
      <c r="Z4980" s="85" t="s">
        <v>82</v>
      </c>
    </row>
    <row r="4981" spans="1:26" ht="21" customHeight="1" thickBot="1" x14ac:dyDescent="0.35">
      <c r="A4981" s="5"/>
      <c r="B4981" s="159"/>
      <c r="C4981" s="160"/>
      <c r="D4981" s="166" t="s">
        <v>43</v>
      </c>
      <c r="E4981" s="167"/>
      <c r="F4981" s="167"/>
      <c r="G4981" s="168"/>
      <c r="H4981" s="168"/>
      <c r="I4981" s="168"/>
      <c r="J4981" s="168"/>
      <c r="K4981" s="168"/>
      <c r="L4981" s="168"/>
      <c r="M4981" s="7"/>
      <c r="N4981" s="32"/>
      <c r="Z4981" s="86" t="s">
        <v>81</v>
      </c>
    </row>
    <row r="4982" spans="1:26" ht="9.9499999999999993" customHeight="1" thickBot="1" x14ac:dyDescent="0.35">
      <c r="B4982" s="9"/>
      <c r="C4982" s="109"/>
      <c r="D4982" s="51"/>
      <c r="E4982" s="12"/>
      <c r="F4982" s="51"/>
      <c r="G4982" s="14"/>
      <c r="H4982" s="14"/>
      <c r="I4982" s="14"/>
      <c r="J4982" s="14"/>
      <c r="K4982" s="14"/>
      <c r="L4982" s="14"/>
      <c r="M4982" s="9"/>
      <c r="N4982" s="32"/>
      <c r="U4982" s="18"/>
      <c r="V4982" s="18"/>
      <c r="Z4982" s="85" t="s">
        <v>82</v>
      </c>
    </row>
    <row r="4983" spans="1:26" ht="6.95" customHeight="1" x14ac:dyDescent="0.3">
      <c r="A4983" s="154">
        <f>+A4972+1</f>
        <v>1252</v>
      </c>
      <c r="B4983" s="155"/>
      <c r="C4983" s="156"/>
      <c r="D4983" s="161" t="s">
        <v>39</v>
      </c>
      <c r="E4983" s="162"/>
      <c r="F4983" s="163" t="s">
        <v>40</v>
      </c>
      <c r="G4983" s="164"/>
      <c r="H4983" s="165"/>
      <c r="I4983" s="164"/>
      <c r="J4983" s="165"/>
      <c r="K4983" s="164"/>
      <c r="L4983" s="165"/>
      <c r="M4983" s="6"/>
      <c r="N4983" s="32"/>
      <c r="Q4983" s="10" t="str">
        <f>+CONCATENATE(E4983,G4983)</f>
        <v/>
      </c>
      <c r="R4983" s="10">
        <f>+H4983</f>
        <v>0</v>
      </c>
      <c r="S4983" s="11"/>
      <c r="T4983" s="10">
        <f>+E4983</f>
        <v>0</v>
      </c>
      <c r="U4983" s="19" t="str">
        <f>IFERROR(LEFT(G4983,FIND("*",G4983)-1),"-")</f>
        <v>-</v>
      </c>
      <c r="V4983" s="19" t="str">
        <f>IFERROR(RIGHT(G4983,LEN(G4983)-FIND("*",G4983)),"-")</f>
        <v>-</v>
      </c>
      <c r="W4983" s="20" t="str">
        <f>IFERROR((U4983+V4983)*2/1000,"-")</f>
        <v>-</v>
      </c>
      <c r="X4983" s="20" t="str">
        <f>IFERROR(W4983*H4983,"-")</f>
        <v>-</v>
      </c>
      <c r="Z4983" s="85" t="s">
        <v>82</v>
      </c>
    </row>
    <row r="4984" spans="1:26" ht="6.95" customHeight="1" x14ac:dyDescent="0.3">
      <c r="A4984" s="154"/>
      <c r="B4984" s="157"/>
      <c r="C4984" s="158"/>
      <c r="D4984" s="161"/>
      <c r="E4984" s="162"/>
      <c r="F4984" s="163"/>
      <c r="G4984" s="164"/>
      <c r="H4984" s="165"/>
      <c r="I4984" s="164"/>
      <c r="J4984" s="165"/>
      <c r="K4984" s="164"/>
      <c r="L4984" s="165"/>
      <c r="M4984" s="6"/>
      <c r="N4984" s="32"/>
      <c r="Q4984" s="10" t="str">
        <f>+CONCATENATE(E4983,I4983)</f>
        <v/>
      </c>
      <c r="R4984" s="10">
        <f>+J4983</f>
        <v>0</v>
      </c>
      <c r="S4984" s="11"/>
      <c r="T4984" s="10">
        <f>+E4983</f>
        <v>0</v>
      </c>
      <c r="U4984" s="19" t="str">
        <f>IFERROR(LEFT(I4983,FIND("*",I4983)-1),"-")</f>
        <v>-</v>
      </c>
      <c r="V4984" s="19" t="str">
        <f>IFERROR(RIGHT(I4983,LEN(I4983)-FIND("*",I4983)),"-")</f>
        <v>-</v>
      </c>
      <c r="W4984" s="20" t="str">
        <f t="shared" ref="W4984:W4991" si="2710">IFERROR((U4984+V4984)*2/1000,"-")</f>
        <v>-</v>
      </c>
      <c r="X4984" s="20" t="str">
        <f>IFERROR(W4984*J4983,"-")</f>
        <v>-</v>
      </c>
      <c r="Z4984" s="85" t="s">
        <v>82</v>
      </c>
    </row>
    <row r="4985" spans="1:26" ht="6.95" customHeight="1" x14ac:dyDescent="0.3">
      <c r="A4985" s="154"/>
      <c r="B4985" s="157"/>
      <c r="C4985" s="158"/>
      <c r="D4985" s="161"/>
      <c r="E4985" s="162"/>
      <c r="F4985" s="163"/>
      <c r="G4985" s="164"/>
      <c r="H4985" s="165"/>
      <c r="I4985" s="164"/>
      <c r="J4985" s="165"/>
      <c r="K4985" s="164"/>
      <c r="L4985" s="165"/>
      <c r="M4985" s="6"/>
      <c r="N4985" s="32"/>
      <c r="Q4985" s="10" t="str">
        <f>+CONCATENATE(E4983,K4983)</f>
        <v/>
      </c>
      <c r="R4985" s="10">
        <f>+L4983</f>
        <v>0</v>
      </c>
      <c r="S4985" s="11"/>
      <c r="T4985" s="10">
        <f>+E4983</f>
        <v>0</v>
      </c>
      <c r="U4985" s="19" t="str">
        <f>IFERROR(LEFT(K4983,FIND("*",K4983)-1),"-")</f>
        <v>-</v>
      </c>
      <c r="V4985" s="19" t="str">
        <f>IFERROR(RIGHT(K4983,LEN(K4983)-FIND("*",K4983)),"-")</f>
        <v>-</v>
      </c>
      <c r="W4985" s="20" t="str">
        <f t="shared" si="2710"/>
        <v>-</v>
      </c>
      <c r="X4985" s="20" t="str">
        <f>IFERROR(W4985*L4983,"-")</f>
        <v>-</v>
      </c>
      <c r="Z4985" s="85" t="s">
        <v>82</v>
      </c>
    </row>
    <row r="4986" spans="1:26" ht="6.95" customHeight="1" x14ac:dyDescent="0.3">
      <c r="A4986" s="8"/>
      <c r="B4986" s="157"/>
      <c r="C4986" s="158"/>
      <c r="D4986" s="161" t="s">
        <v>39</v>
      </c>
      <c r="E4986" s="162"/>
      <c r="F4986" s="163" t="s">
        <v>40</v>
      </c>
      <c r="G4986" s="164"/>
      <c r="H4986" s="165"/>
      <c r="I4986" s="164"/>
      <c r="J4986" s="165"/>
      <c r="K4986" s="164"/>
      <c r="L4986" s="165"/>
      <c r="M4986" s="6"/>
      <c r="N4986" s="32"/>
      <c r="Q4986" s="10" t="str">
        <f>+CONCATENATE(E4986,G4986)</f>
        <v/>
      </c>
      <c r="R4986" s="10">
        <f>+H4986</f>
        <v>0</v>
      </c>
      <c r="S4986" s="11"/>
      <c r="T4986" s="10">
        <f>+E4986</f>
        <v>0</v>
      </c>
      <c r="U4986" s="19" t="str">
        <f t="shared" ref="U4986" si="2711">IFERROR(LEFT(G4986,FIND("*",G4986)-1),"-")</f>
        <v>-</v>
      </c>
      <c r="V4986" s="19" t="str">
        <f t="shared" ref="V4986" si="2712">IFERROR(RIGHT(G4986,LEN(G4986)-FIND("*",G4986)),"-")</f>
        <v>-</v>
      </c>
      <c r="W4986" s="20" t="str">
        <f t="shared" si="2710"/>
        <v>-</v>
      </c>
      <c r="X4986" s="20" t="str">
        <f>IFERROR(W4986*H4986,"-")</f>
        <v>-</v>
      </c>
      <c r="Z4986" s="85" t="s">
        <v>82</v>
      </c>
    </row>
    <row r="4987" spans="1:26" ht="6.95" customHeight="1" x14ac:dyDescent="0.3">
      <c r="A4987" s="5"/>
      <c r="B4987" s="157"/>
      <c r="C4987" s="158"/>
      <c r="D4987" s="161"/>
      <c r="E4987" s="162"/>
      <c r="F4987" s="163"/>
      <c r="G4987" s="164"/>
      <c r="H4987" s="165"/>
      <c r="I4987" s="164"/>
      <c r="J4987" s="165"/>
      <c r="K4987" s="164"/>
      <c r="L4987" s="165"/>
      <c r="M4987" s="6"/>
      <c r="N4987" s="32"/>
      <c r="Q4987" s="10" t="str">
        <f>+CONCATENATE(E4986,I4986)</f>
        <v/>
      </c>
      <c r="R4987" s="10">
        <f>+J4986</f>
        <v>0</v>
      </c>
      <c r="S4987" s="11"/>
      <c r="T4987" s="10">
        <f>+E4986</f>
        <v>0</v>
      </c>
      <c r="U4987" s="19" t="str">
        <f>IFERROR(LEFT(I4986,FIND("*",I4986)-1),"-")</f>
        <v>-</v>
      </c>
      <c r="V4987" s="19" t="str">
        <f>IFERROR(RIGHT(I4986,LEN(I4986)-FIND("*",I4986)),"-")</f>
        <v>-</v>
      </c>
      <c r="W4987" s="20" t="str">
        <f t="shared" si="2710"/>
        <v>-</v>
      </c>
      <c r="X4987" s="20" t="str">
        <f>IFERROR(W4987*J4986,"-")</f>
        <v>-</v>
      </c>
      <c r="Z4987" s="85" t="s">
        <v>82</v>
      </c>
    </row>
    <row r="4988" spans="1:26" ht="6.95" customHeight="1" x14ac:dyDescent="0.3">
      <c r="A4988" s="5"/>
      <c r="B4988" s="157"/>
      <c r="C4988" s="158"/>
      <c r="D4988" s="161"/>
      <c r="E4988" s="162"/>
      <c r="F4988" s="163"/>
      <c r="G4988" s="164"/>
      <c r="H4988" s="165"/>
      <c r="I4988" s="164"/>
      <c r="J4988" s="165"/>
      <c r="K4988" s="164"/>
      <c r="L4988" s="165"/>
      <c r="M4988" s="6"/>
      <c r="N4988" s="32"/>
      <c r="Q4988" s="10" t="str">
        <f>+CONCATENATE(E4986,K4986)</f>
        <v/>
      </c>
      <c r="R4988" s="10">
        <f>+L4986</f>
        <v>0</v>
      </c>
      <c r="S4988" s="11"/>
      <c r="T4988" s="10">
        <f>+E4986</f>
        <v>0</v>
      </c>
      <c r="U4988" s="19" t="str">
        <f>IFERROR(LEFT(K4986,FIND("*",K4986)-1),"-")</f>
        <v>-</v>
      </c>
      <c r="V4988" s="19" t="str">
        <f>IFERROR(RIGHT(K4986,LEN(K4986)-FIND("*",K4986)),"-")</f>
        <v>-</v>
      </c>
      <c r="W4988" s="20" t="str">
        <f t="shared" si="2710"/>
        <v>-</v>
      </c>
      <c r="X4988" s="20" t="str">
        <f>IFERROR(W4988*L4986,"-")</f>
        <v>-</v>
      </c>
      <c r="Z4988" s="85" t="s">
        <v>82</v>
      </c>
    </row>
    <row r="4989" spans="1:26" ht="6.95" customHeight="1" x14ac:dyDescent="0.3">
      <c r="A4989" s="8"/>
      <c r="B4989" s="157"/>
      <c r="C4989" s="158"/>
      <c r="D4989" s="161" t="s">
        <v>39</v>
      </c>
      <c r="E4989" s="162"/>
      <c r="F4989" s="163" t="s">
        <v>40</v>
      </c>
      <c r="G4989" s="164"/>
      <c r="H4989" s="165"/>
      <c r="I4989" s="164"/>
      <c r="J4989" s="165"/>
      <c r="K4989" s="164"/>
      <c r="L4989" s="165"/>
      <c r="M4989" s="6"/>
      <c r="N4989" s="32"/>
      <c r="Q4989" s="10" t="str">
        <f>+CONCATENATE(E4989,G4989)</f>
        <v/>
      </c>
      <c r="R4989" s="10">
        <f>+H4989</f>
        <v>0</v>
      </c>
      <c r="S4989" s="11"/>
      <c r="T4989" s="10">
        <f>+E4989</f>
        <v>0</v>
      </c>
      <c r="U4989" s="19" t="str">
        <f t="shared" ref="U4989" si="2713">IFERROR(LEFT(G4989,FIND("*",G4989)-1),"-")</f>
        <v>-</v>
      </c>
      <c r="V4989" s="19" t="str">
        <f t="shared" ref="V4989" si="2714">IFERROR(RIGHT(G4989,LEN(G4989)-FIND("*",G4989)),"-")</f>
        <v>-</v>
      </c>
      <c r="W4989" s="20" t="str">
        <f t="shared" si="2710"/>
        <v>-</v>
      </c>
      <c r="X4989" s="20" t="str">
        <f>IFERROR(W4989*H4989,"-")</f>
        <v>-</v>
      </c>
      <c r="Z4989" s="85" t="s">
        <v>82</v>
      </c>
    </row>
    <row r="4990" spans="1:26" ht="6.95" customHeight="1" x14ac:dyDescent="0.3">
      <c r="A4990" s="5"/>
      <c r="B4990" s="157"/>
      <c r="C4990" s="158"/>
      <c r="D4990" s="161"/>
      <c r="E4990" s="162"/>
      <c r="F4990" s="163"/>
      <c r="G4990" s="164"/>
      <c r="H4990" s="165"/>
      <c r="I4990" s="164"/>
      <c r="J4990" s="165"/>
      <c r="K4990" s="164"/>
      <c r="L4990" s="165"/>
      <c r="M4990" s="6"/>
      <c r="N4990" s="32"/>
      <c r="Q4990" s="10" t="str">
        <f>+CONCATENATE(E4989,I4989)</f>
        <v/>
      </c>
      <c r="R4990" s="10">
        <f>+J4989</f>
        <v>0</v>
      </c>
      <c r="S4990" s="11"/>
      <c r="T4990" s="10">
        <f>+E4989</f>
        <v>0</v>
      </c>
      <c r="U4990" s="19" t="str">
        <f>IFERROR(LEFT(I4989,FIND("*",I4989)-1),"-")</f>
        <v>-</v>
      </c>
      <c r="V4990" s="19" t="str">
        <f>IFERROR(RIGHT(I4989,LEN(I4989)-FIND("*",I4989)),"-")</f>
        <v>-</v>
      </c>
      <c r="W4990" s="20" t="str">
        <f t="shared" si="2710"/>
        <v>-</v>
      </c>
      <c r="X4990" s="20" t="str">
        <f t="shared" ref="X4990" si="2715">IFERROR(W4990*J4989,"-")</f>
        <v>-</v>
      </c>
      <c r="Z4990" s="85" t="s">
        <v>82</v>
      </c>
    </row>
    <row r="4991" spans="1:26" ht="6.95" customHeight="1" x14ac:dyDescent="0.3">
      <c r="A4991" s="5"/>
      <c r="B4991" s="157"/>
      <c r="C4991" s="158"/>
      <c r="D4991" s="161"/>
      <c r="E4991" s="162"/>
      <c r="F4991" s="163"/>
      <c r="G4991" s="164"/>
      <c r="H4991" s="165"/>
      <c r="I4991" s="164"/>
      <c r="J4991" s="165"/>
      <c r="K4991" s="164"/>
      <c r="L4991" s="165"/>
      <c r="M4991" s="6"/>
      <c r="N4991" s="32"/>
      <c r="Q4991" s="10" t="str">
        <f>+CONCATENATE(E4989,K4989)</f>
        <v/>
      </c>
      <c r="R4991" s="10">
        <f>+L4989</f>
        <v>0</v>
      </c>
      <c r="S4991" s="11"/>
      <c r="T4991" s="10">
        <f>+E4989</f>
        <v>0</v>
      </c>
      <c r="U4991" s="19" t="str">
        <f>IFERROR(LEFT(K4989,FIND("*",K4989)-1),"-")</f>
        <v>-</v>
      </c>
      <c r="V4991" s="19" t="str">
        <f>IFERROR(RIGHT(K4989,LEN(K4989)-FIND("*",K4989)),"-")</f>
        <v>-</v>
      </c>
      <c r="W4991" s="20" t="str">
        <f t="shared" si="2710"/>
        <v>-</v>
      </c>
      <c r="X4991" s="20" t="str">
        <f>IFERROR(W4991*L4989,"-")</f>
        <v>-</v>
      </c>
      <c r="Z4991" s="85" t="s">
        <v>82</v>
      </c>
    </row>
    <row r="4992" spans="1:26" ht="21" customHeight="1" thickBot="1" x14ac:dyDescent="0.35">
      <c r="A4992" s="5"/>
      <c r="B4992" s="159"/>
      <c r="C4992" s="160"/>
      <c r="D4992" s="166" t="s">
        <v>43</v>
      </c>
      <c r="E4992" s="167"/>
      <c r="F4992" s="167"/>
      <c r="G4992" s="168"/>
      <c r="H4992" s="168"/>
      <c r="I4992" s="168"/>
      <c r="J4992" s="168"/>
      <c r="K4992" s="168"/>
      <c r="L4992" s="168"/>
      <c r="M4992" s="7"/>
      <c r="N4992" s="32"/>
      <c r="Z4992" s="86" t="s">
        <v>81</v>
      </c>
    </row>
    <row r="4993" spans="1:26" ht="9.9499999999999993" customHeight="1" thickBot="1" x14ac:dyDescent="0.35">
      <c r="B4993" s="9"/>
      <c r="C4993" s="109"/>
      <c r="D4993" s="51"/>
      <c r="E4993" s="12"/>
      <c r="F4993" s="51"/>
      <c r="G4993" s="14"/>
      <c r="H4993" s="14"/>
      <c r="I4993" s="14"/>
      <c r="J4993" s="14"/>
      <c r="K4993" s="14"/>
      <c r="L4993" s="14"/>
      <c r="M4993" s="9"/>
      <c r="N4993" s="32"/>
      <c r="U4993" s="18"/>
      <c r="V4993" s="18"/>
      <c r="Z4993" s="85" t="s">
        <v>82</v>
      </c>
    </row>
    <row r="4994" spans="1:26" ht="6.95" customHeight="1" x14ac:dyDescent="0.3">
      <c r="A4994" s="154">
        <f>+A4983+1</f>
        <v>1253</v>
      </c>
      <c r="B4994" s="155"/>
      <c r="C4994" s="156"/>
      <c r="D4994" s="161" t="s">
        <v>39</v>
      </c>
      <c r="E4994" s="162"/>
      <c r="F4994" s="163" t="s">
        <v>40</v>
      </c>
      <c r="G4994" s="164"/>
      <c r="H4994" s="165"/>
      <c r="I4994" s="164"/>
      <c r="J4994" s="165"/>
      <c r="K4994" s="164"/>
      <c r="L4994" s="165"/>
      <c r="M4994" s="6"/>
      <c r="N4994" s="32"/>
      <c r="Q4994" s="10" t="str">
        <f>+CONCATENATE(E4994,G4994)</f>
        <v/>
      </c>
      <c r="R4994" s="10">
        <f>+H4994</f>
        <v>0</v>
      </c>
      <c r="S4994" s="11"/>
      <c r="T4994" s="10">
        <f>+E4994</f>
        <v>0</v>
      </c>
      <c r="U4994" s="19" t="str">
        <f>IFERROR(LEFT(G4994,FIND("*",G4994)-1),"-")</f>
        <v>-</v>
      </c>
      <c r="V4994" s="19" t="str">
        <f>IFERROR(RIGHT(G4994,LEN(G4994)-FIND("*",G4994)),"-")</f>
        <v>-</v>
      </c>
      <c r="W4994" s="20" t="str">
        <f>IFERROR((U4994+V4994)*2/1000,"-")</f>
        <v>-</v>
      </c>
      <c r="X4994" s="20" t="str">
        <f>IFERROR(W4994*H4994,"-")</f>
        <v>-</v>
      </c>
      <c r="Z4994" s="85" t="s">
        <v>82</v>
      </c>
    </row>
    <row r="4995" spans="1:26" ht="6.95" customHeight="1" x14ac:dyDescent="0.3">
      <c r="A4995" s="154"/>
      <c r="B4995" s="157"/>
      <c r="C4995" s="158"/>
      <c r="D4995" s="161"/>
      <c r="E4995" s="162"/>
      <c r="F4995" s="163"/>
      <c r="G4995" s="164"/>
      <c r="H4995" s="165"/>
      <c r="I4995" s="164"/>
      <c r="J4995" s="165"/>
      <c r="K4995" s="164"/>
      <c r="L4995" s="165"/>
      <c r="M4995" s="6"/>
      <c r="N4995" s="32"/>
      <c r="Q4995" s="10" t="str">
        <f>+CONCATENATE(E4994,I4994)</f>
        <v/>
      </c>
      <c r="R4995" s="10">
        <f>+J4994</f>
        <v>0</v>
      </c>
      <c r="S4995" s="11"/>
      <c r="T4995" s="10">
        <f>+E4994</f>
        <v>0</v>
      </c>
      <c r="U4995" s="19" t="str">
        <f>IFERROR(LEFT(I4994,FIND("*",I4994)-1),"-")</f>
        <v>-</v>
      </c>
      <c r="V4995" s="19" t="str">
        <f>IFERROR(RIGHT(I4994,LEN(I4994)-FIND("*",I4994)),"-")</f>
        <v>-</v>
      </c>
      <c r="W4995" s="20" t="str">
        <f t="shared" ref="W4995:W5002" si="2716">IFERROR((U4995+V4995)*2/1000,"-")</f>
        <v>-</v>
      </c>
      <c r="X4995" s="20" t="str">
        <f>IFERROR(W4995*J4994,"-")</f>
        <v>-</v>
      </c>
      <c r="Z4995" s="85" t="s">
        <v>82</v>
      </c>
    </row>
    <row r="4996" spans="1:26" ht="6.95" customHeight="1" x14ac:dyDescent="0.3">
      <c r="A4996" s="154"/>
      <c r="B4996" s="157"/>
      <c r="C4996" s="158"/>
      <c r="D4996" s="161"/>
      <c r="E4996" s="162"/>
      <c r="F4996" s="163"/>
      <c r="G4996" s="164"/>
      <c r="H4996" s="165"/>
      <c r="I4996" s="164"/>
      <c r="J4996" s="165"/>
      <c r="K4996" s="164"/>
      <c r="L4996" s="165"/>
      <c r="M4996" s="6"/>
      <c r="N4996" s="32"/>
      <c r="Q4996" s="10" t="str">
        <f>+CONCATENATE(E4994,K4994)</f>
        <v/>
      </c>
      <c r="R4996" s="10">
        <f>+L4994</f>
        <v>0</v>
      </c>
      <c r="S4996" s="11"/>
      <c r="T4996" s="10">
        <f>+E4994</f>
        <v>0</v>
      </c>
      <c r="U4996" s="19" t="str">
        <f>IFERROR(LEFT(K4994,FIND("*",K4994)-1),"-")</f>
        <v>-</v>
      </c>
      <c r="V4996" s="19" t="str">
        <f>IFERROR(RIGHT(K4994,LEN(K4994)-FIND("*",K4994)),"-")</f>
        <v>-</v>
      </c>
      <c r="W4996" s="20" t="str">
        <f t="shared" si="2716"/>
        <v>-</v>
      </c>
      <c r="X4996" s="20" t="str">
        <f>IFERROR(W4996*L4994,"-")</f>
        <v>-</v>
      </c>
      <c r="Z4996" s="85" t="s">
        <v>82</v>
      </c>
    </row>
    <row r="4997" spans="1:26" ht="6.95" customHeight="1" x14ac:dyDescent="0.3">
      <c r="A4997" s="8"/>
      <c r="B4997" s="157"/>
      <c r="C4997" s="158"/>
      <c r="D4997" s="161" t="s">
        <v>39</v>
      </c>
      <c r="E4997" s="162"/>
      <c r="F4997" s="163" t="s">
        <v>40</v>
      </c>
      <c r="G4997" s="164"/>
      <c r="H4997" s="165"/>
      <c r="I4997" s="164"/>
      <c r="J4997" s="165"/>
      <c r="K4997" s="164"/>
      <c r="L4997" s="165"/>
      <c r="M4997" s="6"/>
      <c r="N4997" s="32"/>
      <c r="Q4997" s="10" t="str">
        <f>+CONCATENATE(E4997,G4997)</f>
        <v/>
      </c>
      <c r="R4997" s="10">
        <f>+H4997</f>
        <v>0</v>
      </c>
      <c r="S4997" s="11"/>
      <c r="T4997" s="10">
        <f>+E4997</f>
        <v>0</v>
      </c>
      <c r="U4997" s="19" t="str">
        <f t="shared" ref="U4997" si="2717">IFERROR(LEFT(G4997,FIND("*",G4997)-1),"-")</f>
        <v>-</v>
      </c>
      <c r="V4997" s="19" t="str">
        <f t="shared" ref="V4997" si="2718">IFERROR(RIGHT(G4997,LEN(G4997)-FIND("*",G4997)),"-")</f>
        <v>-</v>
      </c>
      <c r="W4997" s="20" t="str">
        <f t="shared" si="2716"/>
        <v>-</v>
      </c>
      <c r="X4997" s="20" t="str">
        <f>IFERROR(W4997*H4997,"-")</f>
        <v>-</v>
      </c>
      <c r="Z4997" s="85" t="s">
        <v>82</v>
      </c>
    </row>
    <row r="4998" spans="1:26" ht="6.95" customHeight="1" x14ac:dyDescent="0.3">
      <c r="A4998" s="5"/>
      <c r="B4998" s="157"/>
      <c r="C4998" s="158"/>
      <c r="D4998" s="161"/>
      <c r="E4998" s="162"/>
      <c r="F4998" s="163"/>
      <c r="G4998" s="164"/>
      <c r="H4998" s="165"/>
      <c r="I4998" s="164"/>
      <c r="J4998" s="165"/>
      <c r="K4998" s="164"/>
      <c r="L4998" s="165"/>
      <c r="M4998" s="6"/>
      <c r="N4998" s="32"/>
      <c r="Q4998" s="10" t="str">
        <f>+CONCATENATE(E4997,I4997)</f>
        <v/>
      </c>
      <c r="R4998" s="10">
        <f>+J4997</f>
        <v>0</v>
      </c>
      <c r="S4998" s="11"/>
      <c r="T4998" s="10">
        <f>+E4997</f>
        <v>0</v>
      </c>
      <c r="U4998" s="19" t="str">
        <f>IFERROR(LEFT(I4997,FIND("*",I4997)-1),"-")</f>
        <v>-</v>
      </c>
      <c r="V4998" s="19" t="str">
        <f>IFERROR(RIGHT(I4997,LEN(I4997)-FIND("*",I4997)),"-")</f>
        <v>-</v>
      </c>
      <c r="W4998" s="20" t="str">
        <f t="shared" si="2716"/>
        <v>-</v>
      </c>
      <c r="X4998" s="20" t="str">
        <f>IFERROR(W4998*J4997,"-")</f>
        <v>-</v>
      </c>
      <c r="Z4998" s="85" t="s">
        <v>82</v>
      </c>
    </row>
    <row r="4999" spans="1:26" ht="6.95" customHeight="1" x14ac:dyDescent="0.3">
      <c r="A4999" s="5"/>
      <c r="B4999" s="157"/>
      <c r="C4999" s="158"/>
      <c r="D4999" s="161"/>
      <c r="E4999" s="162"/>
      <c r="F4999" s="163"/>
      <c r="G4999" s="164"/>
      <c r="H4999" s="165"/>
      <c r="I4999" s="164"/>
      <c r="J4999" s="165"/>
      <c r="K4999" s="164"/>
      <c r="L4999" s="165"/>
      <c r="M4999" s="6"/>
      <c r="N4999" s="32"/>
      <c r="Q4999" s="10" t="str">
        <f>+CONCATENATE(E4997,K4997)</f>
        <v/>
      </c>
      <c r="R4999" s="10">
        <f>+L4997</f>
        <v>0</v>
      </c>
      <c r="S4999" s="11"/>
      <c r="T4999" s="10">
        <f>+E4997</f>
        <v>0</v>
      </c>
      <c r="U4999" s="19" t="str">
        <f>IFERROR(LEFT(K4997,FIND("*",K4997)-1),"-")</f>
        <v>-</v>
      </c>
      <c r="V4999" s="19" t="str">
        <f>IFERROR(RIGHT(K4997,LEN(K4997)-FIND("*",K4997)),"-")</f>
        <v>-</v>
      </c>
      <c r="W4999" s="20" t="str">
        <f t="shared" si="2716"/>
        <v>-</v>
      </c>
      <c r="X4999" s="20" t="str">
        <f>IFERROR(W4999*L4997,"-")</f>
        <v>-</v>
      </c>
      <c r="Z4999" s="85" t="s">
        <v>82</v>
      </c>
    </row>
    <row r="5000" spans="1:26" ht="6.95" customHeight="1" x14ac:dyDescent="0.3">
      <c r="A5000" s="8"/>
      <c r="B5000" s="157"/>
      <c r="C5000" s="158"/>
      <c r="D5000" s="161" t="s">
        <v>39</v>
      </c>
      <c r="E5000" s="162"/>
      <c r="F5000" s="163" t="s">
        <v>40</v>
      </c>
      <c r="G5000" s="164"/>
      <c r="H5000" s="165"/>
      <c r="I5000" s="164"/>
      <c r="J5000" s="165"/>
      <c r="K5000" s="164"/>
      <c r="L5000" s="165"/>
      <c r="M5000" s="6"/>
      <c r="N5000" s="32"/>
      <c r="Q5000" s="10" t="str">
        <f>+CONCATENATE(E5000,G5000)</f>
        <v/>
      </c>
      <c r="R5000" s="10">
        <f>+H5000</f>
        <v>0</v>
      </c>
      <c r="S5000" s="11"/>
      <c r="T5000" s="10">
        <f>+E5000</f>
        <v>0</v>
      </c>
      <c r="U5000" s="19" t="str">
        <f t="shared" ref="U5000" si="2719">IFERROR(LEFT(G5000,FIND("*",G5000)-1),"-")</f>
        <v>-</v>
      </c>
      <c r="V5000" s="19" t="str">
        <f t="shared" ref="V5000" si="2720">IFERROR(RIGHT(G5000,LEN(G5000)-FIND("*",G5000)),"-")</f>
        <v>-</v>
      </c>
      <c r="W5000" s="20" t="str">
        <f t="shared" si="2716"/>
        <v>-</v>
      </c>
      <c r="X5000" s="20" t="str">
        <f>IFERROR(W5000*H5000,"-")</f>
        <v>-</v>
      </c>
      <c r="Z5000" s="85" t="s">
        <v>82</v>
      </c>
    </row>
    <row r="5001" spans="1:26" ht="6.95" customHeight="1" x14ac:dyDescent="0.3">
      <c r="A5001" s="5"/>
      <c r="B5001" s="157"/>
      <c r="C5001" s="158"/>
      <c r="D5001" s="161"/>
      <c r="E5001" s="162"/>
      <c r="F5001" s="163"/>
      <c r="G5001" s="164"/>
      <c r="H5001" s="165"/>
      <c r="I5001" s="164"/>
      <c r="J5001" s="165"/>
      <c r="K5001" s="164"/>
      <c r="L5001" s="165"/>
      <c r="M5001" s="6"/>
      <c r="N5001" s="32"/>
      <c r="Q5001" s="10" t="str">
        <f>+CONCATENATE(E5000,I5000)</f>
        <v/>
      </c>
      <c r="R5001" s="10">
        <f>+J5000</f>
        <v>0</v>
      </c>
      <c r="S5001" s="11"/>
      <c r="T5001" s="10">
        <f>+E5000</f>
        <v>0</v>
      </c>
      <c r="U5001" s="19" t="str">
        <f>IFERROR(LEFT(I5000,FIND("*",I5000)-1),"-")</f>
        <v>-</v>
      </c>
      <c r="V5001" s="19" t="str">
        <f>IFERROR(RIGHT(I5000,LEN(I5000)-FIND("*",I5000)),"-")</f>
        <v>-</v>
      </c>
      <c r="W5001" s="20" t="str">
        <f t="shared" si="2716"/>
        <v>-</v>
      </c>
      <c r="X5001" s="20" t="str">
        <f t="shared" ref="X5001" si="2721">IFERROR(W5001*J5000,"-")</f>
        <v>-</v>
      </c>
      <c r="Z5001" s="85" t="s">
        <v>82</v>
      </c>
    </row>
    <row r="5002" spans="1:26" ht="6.95" customHeight="1" x14ac:dyDescent="0.3">
      <c r="A5002" s="5"/>
      <c r="B5002" s="157"/>
      <c r="C5002" s="158"/>
      <c r="D5002" s="161"/>
      <c r="E5002" s="162"/>
      <c r="F5002" s="163"/>
      <c r="G5002" s="164"/>
      <c r="H5002" s="165"/>
      <c r="I5002" s="164"/>
      <c r="J5002" s="165"/>
      <c r="K5002" s="164"/>
      <c r="L5002" s="165"/>
      <c r="M5002" s="6"/>
      <c r="N5002" s="32"/>
      <c r="Q5002" s="10" t="str">
        <f>+CONCATENATE(E5000,K5000)</f>
        <v/>
      </c>
      <c r="R5002" s="10">
        <f>+L5000</f>
        <v>0</v>
      </c>
      <c r="S5002" s="11"/>
      <c r="T5002" s="10">
        <f>+E5000</f>
        <v>0</v>
      </c>
      <c r="U5002" s="19" t="str">
        <f>IFERROR(LEFT(K5000,FIND("*",K5000)-1),"-")</f>
        <v>-</v>
      </c>
      <c r="V5002" s="19" t="str">
        <f>IFERROR(RIGHT(K5000,LEN(K5000)-FIND("*",K5000)),"-")</f>
        <v>-</v>
      </c>
      <c r="W5002" s="20" t="str">
        <f t="shared" si="2716"/>
        <v>-</v>
      </c>
      <c r="X5002" s="20" t="str">
        <f>IFERROR(W5002*L5000,"-")</f>
        <v>-</v>
      </c>
      <c r="Z5002" s="85" t="s">
        <v>82</v>
      </c>
    </row>
    <row r="5003" spans="1:26" ht="21" customHeight="1" thickBot="1" x14ac:dyDescent="0.35">
      <c r="A5003" s="5"/>
      <c r="B5003" s="159"/>
      <c r="C5003" s="160"/>
      <c r="D5003" s="166" t="s">
        <v>43</v>
      </c>
      <c r="E5003" s="167"/>
      <c r="F5003" s="167"/>
      <c r="G5003" s="168"/>
      <c r="H5003" s="168"/>
      <c r="I5003" s="168"/>
      <c r="J5003" s="168"/>
      <c r="K5003" s="168"/>
      <c r="L5003" s="168"/>
      <c r="M5003" s="7"/>
      <c r="N5003" s="32"/>
      <c r="Z5003" s="86" t="s">
        <v>81</v>
      </c>
    </row>
    <row r="5004" spans="1:26" ht="9.9499999999999993" customHeight="1" thickBot="1" x14ac:dyDescent="0.35">
      <c r="B5004" s="9"/>
      <c r="C5004" s="109"/>
      <c r="D5004" s="51"/>
      <c r="E5004" s="12"/>
      <c r="F5004" s="51"/>
      <c r="G5004" s="14"/>
      <c r="H5004" s="14"/>
      <c r="I5004" s="14"/>
      <c r="J5004" s="14"/>
      <c r="K5004" s="14"/>
      <c r="L5004" s="14"/>
      <c r="M5004" s="9"/>
      <c r="N5004" s="32"/>
      <c r="U5004" s="18"/>
      <c r="V5004" s="18"/>
      <c r="Z5004" s="85" t="s">
        <v>82</v>
      </c>
    </row>
    <row r="5005" spans="1:26" ht="6.95" customHeight="1" x14ac:dyDescent="0.3">
      <c r="A5005" s="154">
        <f>+A4994+1</f>
        <v>1254</v>
      </c>
      <c r="B5005" s="155"/>
      <c r="C5005" s="156"/>
      <c r="D5005" s="161" t="s">
        <v>39</v>
      </c>
      <c r="E5005" s="162"/>
      <c r="F5005" s="163" t="s">
        <v>40</v>
      </c>
      <c r="G5005" s="164"/>
      <c r="H5005" s="165"/>
      <c r="I5005" s="164"/>
      <c r="J5005" s="165"/>
      <c r="K5005" s="164"/>
      <c r="L5005" s="165"/>
      <c r="M5005" s="6"/>
      <c r="N5005" s="32"/>
      <c r="Q5005" s="10" t="str">
        <f>+CONCATENATE(E5005,G5005)</f>
        <v/>
      </c>
      <c r="R5005" s="10">
        <f>+H5005</f>
        <v>0</v>
      </c>
      <c r="S5005" s="11"/>
      <c r="T5005" s="10">
        <f>+E5005</f>
        <v>0</v>
      </c>
      <c r="U5005" s="19" t="str">
        <f>IFERROR(LEFT(G5005,FIND("*",G5005)-1),"-")</f>
        <v>-</v>
      </c>
      <c r="V5005" s="19" t="str">
        <f>IFERROR(RIGHT(G5005,LEN(G5005)-FIND("*",G5005)),"-")</f>
        <v>-</v>
      </c>
      <c r="W5005" s="20" t="str">
        <f>IFERROR((U5005+V5005)*2/1000,"-")</f>
        <v>-</v>
      </c>
      <c r="X5005" s="20" t="str">
        <f>IFERROR(W5005*H5005,"-")</f>
        <v>-</v>
      </c>
      <c r="Z5005" s="85" t="s">
        <v>82</v>
      </c>
    </row>
    <row r="5006" spans="1:26" ht="6.95" customHeight="1" x14ac:dyDescent="0.3">
      <c r="A5006" s="154"/>
      <c r="B5006" s="157"/>
      <c r="C5006" s="158"/>
      <c r="D5006" s="161"/>
      <c r="E5006" s="162"/>
      <c r="F5006" s="163"/>
      <c r="G5006" s="164"/>
      <c r="H5006" s="165"/>
      <c r="I5006" s="164"/>
      <c r="J5006" s="165"/>
      <c r="K5006" s="164"/>
      <c r="L5006" s="165"/>
      <c r="M5006" s="6"/>
      <c r="N5006" s="32"/>
      <c r="Q5006" s="10" t="str">
        <f>+CONCATENATE(E5005,I5005)</f>
        <v/>
      </c>
      <c r="R5006" s="10">
        <f>+J5005</f>
        <v>0</v>
      </c>
      <c r="S5006" s="11"/>
      <c r="T5006" s="10">
        <f>+E5005</f>
        <v>0</v>
      </c>
      <c r="U5006" s="19" t="str">
        <f>IFERROR(LEFT(I5005,FIND("*",I5005)-1),"-")</f>
        <v>-</v>
      </c>
      <c r="V5006" s="19" t="str">
        <f>IFERROR(RIGHT(I5005,LEN(I5005)-FIND("*",I5005)),"-")</f>
        <v>-</v>
      </c>
      <c r="W5006" s="20" t="str">
        <f t="shared" ref="W5006:W5013" si="2722">IFERROR((U5006+V5006)*2/1000,"-")</f>
        <v>-</v>
      </c>
      <c r="X5006" s="20" t="str">
        <f>IFERROR(W5006*J5005,"-")</f>
        <v>-</v>
      </c>
      <c r="Z5006" s="85" t="s">
        <v>82</v>
      </c>
    </row>
    <row r="5007" spans="1:26" ht="6.95" customHeight="1" x14ac:dyDescent="0.3">
      <c r="A5007" s="154"/>
      <c r="B5007" s="157"/>
      <c r="C5007" s="158"/>
      <c r="D5007" s="161"/>
      <c r="E5007" s="162"/>
      <c r="F5007" s="163"/>
      <c r="G5007" s="164"/>
      <c r="H5007" s="165"/>
      <c r="I5007" s="164"/>
      <c r="J5007" s="165"/>
      <c r="K5007" s="164"/>
      <c r="L5007" s="165"/>
      <c r="M5007" s="6"/>
      <c r="N5007" s="32"/>
      <c r="Q5007" s="10" t="str">
        <f>+CONCATENATE(E5005,K5005)</f>
        <v/>
      </c>
      <c r="R5007" s="10">
        <f>+L5005</f>
        <v>0</v>
      </c>
      <c r="S5007" s="11"/>
      <c r="T5007" s="10">
        <f>+E5005</f>
        <v>0</v>
      </c>
      <c r="U5007" s="19" t="str">
        <f>IFERROR(LEFT(K5005,FIND("*",K5005)-1),"-")</f>
        <v>-</v>
      </c>
      <c r="V5007" s="19" t="str">
        <f>IFERROR(RIGHT(K5005,LEN(K5005)-FIND("*",K5005)),"-")</f>
        <v>-</v>
      </c>
      <c r="W5007" s="20" t="str">
        <f t="shared" si="2722"/>
        <v>-</v>
      </c>
      <c r="X5007" s="20" t="str">
        <f>IFERROR(W5007*L5005,"-")</f>
        <v>-</v>
      </c>
      <c r="Z5007" s="85" t="s">
        <v>82</v>
      </c>
    </row>
    <row r="5008" spans="1:26" ht="6.95" customHeight="1" x14ac:dyDescent="0.3">
      <c r="A5008" s="8"/>
      <c r="B5008" s="157"/>
      <c r="C5008" s="158"/>
      <c r="D5008" s="161" t="s">
        <v>39</v>
      </c>
      <c r="E5008" s="162"/>
      <c r="F5008" s="163" t="s">
        <v>40</v>
      </c>
      <c r="G5008" s="164"/>
      <c r="H5008" s="165"/>
      <c r="I5008" s="164"/>
      <c r="J5008" s="165"/>
      <c r="K5008" s="164"/>
      <c r="L5008" s="165"/>
      <c r="M5008" s="6"/>
      <c r="N5008" s="32"/>
      <c r="Q5008" s="10" t="str">
        <f>+CONCATENATE(E5008,G5008)</f>
        <v/>
      </c>
      <c r="R5008" s="10">
        <f>+H5008</f>
        <v>0</v>
      </c>
      <c r="S5008" s="11"/>
      <c r="T5008" s="10">
        <f>+E5008</f>
        <v>0</v>
      </c>
      <c r="U5008" s="19" t="str">
        <f t="shared" ref="U5008" si="2723">IFERROR(LEFT(G5008,FIND("*",G5008)-1),"-")</f>
        <v>-</v>
      </c>
      <c r="V5008" s="19" t="str">
        <f t="shared" ref="V5008" si="2724">IFERROR(RIGHT(G5008,LEN(G5008)-FIND("*",G5008)),"-")</f>
        <v>-</v>
      </c>
      <c r="W5008" s="20" t="str">
        <f t="shared" si="2722"/>
        <v>-</v>
      </c>
      <c r="X5008" s="20" t="str">
        <f>IFERROR(W5008*H5008,"-")</f>
        <v>-</v>
      </c>
      <c r="Z5008" s="85" t="s">
        <v>82</v>
      </c>
    </row>
    <row r="5009" spans="1:26" ht="6.95" customHeight="1" x14ac:dyDescent="0.3">
      <c r="A5009" s="5"/>
      <c r="B5009" s="157"/>
      <c r="C5009" s="158"/>
      <c r="D5009" s="161"/>
      <c r="E5009" s="162"/>
      <c r="F5009" s="163"/>
      <c r="G5009" s="164"/>
      <c r="H5009" s="165"/>
      <c r="I5009" s="164"/>
      <c r="J5009" s="165"/>
      <c r="K5009" s="164"/>
      <c r="L5009" s="165"/>
      <c r="M5009" s="6"/>
      <c r="N5009" s="32"/>
      <c r="Q5009" s="10" t="str">
        <f>+CONCATENATE(E5008,I5008)</f>
        <v/>
      </c>
      <c r="R5009" s="10">
        <f>+J5008</f>
        <v>0</v>
      </c>
      <c r="S5009" s="11"/>
      <c r="T5009" s="10">
        <f>+E5008</f>
        <v>0</v>
      </c>
      <c r="U5009" s="19" t="str">
        <f>IFERROR(LEFT(I5008,FIND("*",I5008)-1),"-")</f>
        <v>-</v>
      </c>
      <c r="V5009" s="19" t="str">
        <f>IFERROR(RIGHT(I5008,LEN(I5008)-FIND("*",I5008)),"-")</f>
        <v>-</v>
      </c>
      <c r="W5009" s="20" t="str">
        <f t="shared" si="2722"/>
        <v>-</v>
      </c>
      <c r="X5009" s="20" t="str">
        <f>IFERROR(W5009*J5008,"-")</f>
        <v>-</v>
      </c>
      <c r="Z5009" s="85" t="s">
        <v>82</v>
      </c>
    </row>
    <row r="5010" spans="1:26" ht="6.95" customHeight="1" x14ac:dyDescent="0.3">
      <c r="A5010" s="5"/>
      <c r="B5010" s="157"/>
      <c r="C5010" s="158"/>
      <c r="D5010" s="161"/>
      <c r="E5010" s="162"/>
      <c r="F5010" s="163"/>
      <c r="G5010" s="164"/>
      <c r="H5010" s="165"/>
      <c r="I5010" s="164"/>
      <c r="J5010" s="165"/>
      <c r="K5010" s="164"/>
      <c r="L5010" s="165"/>
      <c r="M5010" s="6"/>
      <c r="N5010" s="32"/>
      <c r="Q5010" s="10" t="str">
        <f>+CONCATENATE(E5008,K5008)</f>
        <v/>
      </c>
      <c r="R5010" s="10">
        <f>+L5008</f>
        <v>0</v>
      </c>
      <c r="S5010" s="11"/>
      <c r="T5010" s="10">
        <f>+E5008</f>
        <v>0</v>
      </c>
      <c r="U5010" s="19" t="str">
        <f>IFERROR(LEFT(K5008,FIND("*",K5008)-1),"-")</f>
        <v>-</v>
      </c>
      <c r="V5010" s="19" t="str">
        <f>IFERROR(RIGHT(K5008,LEN(K5008)-FIND("*",K5008)),"-")</f>
        <v>-</v>
      </c>
      <c r="W5010" s="20" t="str">
        <f t="shared" si="2722"/>
        <v>-</v>
      </c>
      <c r="X5010" s="20" t="str">
        <f>IFERROR(W5010*L5008,"-")</f>
        <v>-</v>
      </c>
      <c r="Z5010" s="85" t="s">
        <v>82</v>
      </c>
    </row>
    <row r="5011" spans="1:26" ht="6.95" customHeight="1" x14ac:dyDescent="0.3">
      <c r="A5011" s="8"/>
      <c r="B5011" s="157"/>
      <c r="C5011" s="158"/>
      <c r="D5011" s="161" t="s">
        <v>39</v>
      </c>
      <c r="E5011" s="162"/>
      <c r="F5011" s="163" t="s">
        <v>40</v>
      </c>
      <c r="G5011" s="164"/>
      <c r="H5011" s="165"/>
      <c r="I5011" s="164"/>
      <c r="J5011" s="165"/>
      <c r="K5011" s="164"/>
      <c r="L5011" s="165"/>
      <c r="M5011" s="6"/>
      <c r="N5011" s="32"/>
      <c r="Q5011" s="10" t="str">
        <f>+CONCATENATE(E5011,G5011)</f>
        <v/>
      </c>
      <c r="R5011" s="10">
        <f>+H5011</f>
        <v>0</v>
      </c>
      <c r="S5011" s="11"/>
      <c r="T5011" s="10">
        <f>+E5011</f>
        <v>0</v>
      </c>
      <c r="U5011" s="19" t="str">
        <f t="shared" ref="U5011" si="2725">IFERROR(LEFT(G5011,FIND("*",G5011)-1),"-")</f>
        <v>-</v>
      </c>
      <c r="V5011" s="19" t="str">
        <f t="shared" ref="V5011" si="2726">IFERROR(RIGHT(G5011,LEN(G5011)-FIND("*",G5011)),"-")</f>
        <v>-</v>
      </c>
      <c r="W5011" s="20" t="str">
        <f t="shared" si="2722"/>
        <v>-</v>
      </c>
      <c r="X5011" s="20" t="str">
        <f>IFERROR(W5011*H5011,"-")</f>
        <v>-</v>
      </c>
      <c r="Z5011" s="85" t="s">
        <v>82</v>
      </c>
    </row>
    <row r="5012" spans="1:26" ht="6.95" customHeight="1" x14ac:dyDescent="0.3">
      <c r="A5012" s="5"/>
      <c r="B5012" s="157"/>
      <c r="C5012" s="158"/>
      <c r="D5012" s="161"/>
      <c r="E5012" s="162"/>
      <c r="F5012" s="163"/>
      <c r="G5012" s="164"/>
      <c r="H5012" s="165"/>
      <c r="I5012" s="164"/>
      <c r="J5012" s="165"/>
      <c r="K5012" s="164"/>
      <c r="L5012" s="165"/>
      <c r="M5012" s="6"/>
      <c r="N5012" s="32"/>
      <c r="Q5012" s="10" t="str">
        <f>+CONCATENATE(E5011,I5011)</f>
        <v/>
      </c>
      <c r="R5012" s="10">
        <f>+J5011</f>
        <v>0</v>
      </c>
      <c r="S5012" s="11"/>
      <c r="T5012" s="10">
        <f>+E5011</f>
        <v>0</v>
      </c>
      <c r="U5012" s="19" t="str">
        <f>IFERROR(LEFT(I5011,FIND("*",I5011)-1),"-")</f>
        <v>-</v>
      </c>
      <c r="V5012" s="19" t="str">
        <f>IFERROR(RIGHT(I5011,LEN(I5011)-FIND("*",I5011)),"-")</f>
        <v>-</v>
      </c>
      <c r="W5012" s="20" t="str">
        <f t="shared" si="2722"/>
        <v>-</v>
      </c>
      <c r="X5012" s="20" t="str">
        <f t="shared" ref="X5012" si="2727">IFERROR(W5012*J5011,"-")</f>
        <v>-</v>
      </c>
      <c r="Z5012" s="85" t="s">
        <v>82</v>
      </c>
    </row>
    <row r="5013" spans="1:26" ht="6.95" customHeight="1" x14ac:dyDescent="0.3">
      <c r="A5013" s="5"/>
      <c r="B5013" s="157"/>
      <c r="C5013" s="158"/>
      <c r="D5013" s="161"/>
      <c r="E5013" s="162"/>
      <c r="F5013" s="163"/>
      <c r="G5013" s="164"/>
      <c r="H5013" s="165"/>
      <c r="I5013" s="164"/>
      <c r="J5013" s="165"/>
      <c r="K5013" s="164"/>
      <c r="L5013" s="165"/>
      <c r="M5013" s="6"/>
      <c r="N5013" s="32"/>
      <c r="Q5013" s="10" t="str">
        <f>+CONCATENATE(E5011,K5011)</f>
        <v/>
      </c>
      <c r="R5013" s="10">
        <f>+L5011</f>
        <v>0</v>
      </c>
      <c r="S5013" s="11"/>
      <c r="T5013" s="10">
        <f>+E5011</f>
        <v>0</v>
      </c>
      <c r="U5013" s="19" t="str">
        <f>IFERROR(LEFT(K5011,FIND("*",K5011)-1),"-")</f>
        <v>-</v>
      </c>
      <c r="V5013" s="19" t="str">
        <f>IFERROR(RIGHT(K5011,LEN(K5011)-FIND("*",K5011)),"-")</f>
        <v>-</v>
      </c>
      <c r="W5013" s="20" t="str">
        <f t="shared" si="2722"/>
        <v>-</v>
      </c>
      <c r="X5013" s="20" t="str">
        <f>IFERROR(W5013*L5011,"-")</f>
        <v>-</v>
      </c>
      <c r="Z5013" s="85" t="s">
        <v>82</v>
      </c>
    </row>
    <row r="5014" spans="1:26" ht="21" customHeight="1" thickBot="1" x14ac:dyDescent="0.35">
      <c r="A5014" s="5"/>
      <c r="B5014" s="159"/>
      <c r="C5014" s="160"/>
      <c r="D5014" s="166" t="s">
        <v>43</v>
      </c>
      <c r="E5014" s="167"/>
      <c r="F5014" s="167"/>
      <c r="G5014" s="168"/>
      <c r="H5014" s="168"/>
      <c r="I5014" s="168"/>
      <c r="J5014" s="168"/>
      <c r="K5014" s="168"/>
      <c r="L5014" s="168"/>
      <c r="M5014" s="7"/>
      <c r="N5014" s="32"/>
      <c r="Z5014" s="86" t="s">
        <v>81</v>
      </c>
    </row>
    <row r="5015" spans="1:26" ht="9.9499999999999993" customHeight="1" thickBot="1" x14ac:dyDescent="0.35">
      <c r="B5015" s="9"/>
      <c r="C5015" s="109"/>
      <c r="D5015" s="51"/>
      <c r="E5015" s="12"/>
      <c r="F5015" s="51"/>
      <c r="G5015" s="14"/>
      <c r="H5015" s="14"/>
      <c r="I5015" s="14"/>
      <c r="J5015" s="14"/>
      <c r="K5015" s="14"/>
      <c r="L5015" s="14"/>
      <c r="M5015" s="9"/>
      <c r="N5015" s="32"/>
      <c r="U5015" s="18"/>
      <c r="V5015" s="18"/>
      <c r="Z5015" s="85" t="s">
        <v>82</v>
      </c>
    </row>
    <row r="5016" spans="1:26" ht="6.95" customHeight="1" x14ac:dyDescent="0.3">
      <c r="A5016" s="154">
        <f>+A5005+1</f>
        <v>1255</v>
      </c>
      <c r="B5016" s="155"/>
      <c r="C5016" s="156"/>
      <c r="D5016" s="161" t="s">
        <v>39</v>
      </c>
      <c r="E5016" s="162"/>
      <c r="F5016" s="163" t="s">
        <v>40</v>
      </c>
      <c r="G5016" s="164"/>
      <c r="H5016" s="165"/>
      <c r="I5016" s="164"/>
      <c r="J5016" s="165"/>
      <c r="K5016" s="164"/>
      <c r="L5016" s="165"/>
      <c r="M5016" s="6"/>
      <c r="N5016" s="32"/>
      <c r="Q5016" s="10" t="str">
        <f>+CONCATENATE(E5016,G5016)</f>
        <v/>
      </c>
      <c r="R5016" s="10">
        <f>+H5016</f>
        <v>0</v>
      </c>
      <c r="S5016" s="11"/>
      <c r="T5016" s="10">
        <f>+E5016</f>
        <v>0</v>
      </c>
      <c r="U5016" s="19" t="str">
        <f>IFERROR(LEFT(G5016,FIND("*",G5016)-1),"-")</f>
        <v>-</v>
      </c>
      <c r="V5016" s="19" t="str">
        <f>IFERROR(RIGHT(G5016,LEN(G5016)-FIND("*",G5016)),"-")</f>
        <v>-</v>
      </c>
      <c r="W5016" s="20" t="str">
        <f>IFERROR((U5016+V5016)*2/1000,"-")</f>
        <v>-</v>
      </c>
      <c r="X5016" s="20" t="str">
        <f>IFERROR(W5016*H5016,"-")</f>
        <v>-</v>
      </c>
      <c r="Z5016" s="85" t="s">
        <v>82</v>
      </c>
    </row>
    <row r="5017" spans="1:26" ht="6.95" customHeight="1" x14ac:dyDescent="0.3">
      <c r="A5017" s="154"/>
      <c r="B5017" s="157"/>
      <c r="C5017" s="158"/>
      <c r="D5017" s="161"/>
      <c r="E5017" s="162"/>
      <c r="F5017" s="163"/>
      <c r="G5017" s="164"/>
      <c r="H5017" s="165"/>
      <c r="I5017" s="164"/>
      <c r="J5017" s="165"/>
      <c r="K5017" s="164"/>
      <c r="L5017" s="165"/>
      <c r="M5017" s="6"/>
      <c r="N5017" s="32"/>
      <c r="Q5017" s="10" t="str">
        <f>+CONCATENATE(E5016,I5016)</f>
        <v/>
      </c>
      <c r="R5017" s="10">
        <f>+J5016</f>
        <v>0</v>
      </c>
      <c r="S5017" s="11"/>
      <c r="T5017" s="10">
        <f>+E5016</f>
        <v>0</v>
      </c>
      <c r="U5017" s="19" t="str">
        <f>IFERROR(LEFT(I5016,FIND("*",I5016)-1),"-")</f>
        <v>-</v>
      </c>
      <c r="V5017" s="19" t="str">
        <f>IFERROR(RIGHT(I5016,LEN(I5016)-FIND("*",I5016)),"-")</f>
        <v>-</v>
      </c>
      <c r="W5017" s="20" t="str">
        <f t="shared" ref="W5017:W5024" si="2728">IFERROR((U5017+V5017)*2/1000,"-")</f>
        <v>-</v>
      </c>
      <c r="X5017" s="20" t="str">
        <f>IFERROR(W5017*J5016,"-")</f>
        <v>-</v>
      </c>
      <c r="Z5017" s="85" t="s">
        <v>82</v>
      </c>
    </row>
    <row r="5018" spans="1:26" ht="6.95" customHeight="1" x14ac:dyDescent="0.3">
      <c r="A5018" s="154"/>
      <c r="B5018" s="157"/>
      <c r="C5018" s="158"/>
      <c r="D5018" s="161"/>
      <c r="E5018" s="162"/>
      <c r="F5018" s="163"/>
      <c r="G5018" s="164"/>
      <c r="H5018" s="165"/>
      <c r="I5018" s="164"/>
      <c r="J5018" s="165"/>
      <c r="K5018" s="164"/>
      <c r="L5018" s="165"/>
      <c r="M5018" s="6"/>
      <c r="N5018" s="32"/>
      <c r="Q5018" s="10" t="str">
        <f>+CONCATENATE(E5016,K5016)</f>
        <v/>
      </c>
      <c r="R5018" s="10">
        <f>+L5016</f>
        <v>0</v>
      </c>
      <c r="S5018" s="11"/>
      <c r="T5018" s="10">
        <f>+E5016</f>
        <v>0</v>
      </c>
      <c r="U5018" s="19" t="str">
        <f>IFERROR(LEFT(K5016,FIND("*",K5016)-1),"-")</f>
        <v>-</v>
      </c>
      <c r="V5018" s="19" t="str">
        <f>IFERROR(RIGHT(K5016,LEN(K5016)-FIND("*",K5016)),"-")</f>
        <v>-</v>
      </c>
      <c r="W5018" s="20" t="str">
        <f t="shared" si="2728"/>
        <v>-</v>
      </c>
      <c r="X5018" s="20" t="str">
        <f>IFERROR(W5018*L5016,"-")</f>
        <v>-</v>
      </c>
      <c r="Z5018" s="85" t="s">
        <v>82</v>
      </c>
    </row>
    <row r="5019" spans="1:26" ht="6.95" customHeight="1" x14ac:dyDescent="0.3">
      <c r="A5019" s="8"/>
      <c r="B5019" s="157"/>
      <c r="C5019" s="158"/>
      <c r="D5019" s="161" t="s">
        <v>39</v>
      </c>
      <c r="E5019" s="162"/>
      <c r="F5019" s="163" t="s">
        <v>40</v>
      </c>
      <c r="G5019" s="164"/>
      <c r="H5019" s="165"/>
      <c r="I5019" s="164"/>
      <c r="J5019" s="165"/>
      <c r="K5019" s="164"/>
      <c r="L5019" s="165"/>
      <c r="M5019" s="6"/>
      <c r="N5019" s="32"/>
      <c r="Q5019" s="10" t="str">
        <f>+CONCATENATE(E5019,G5019)</f>
        <v/>
      </c>
      <c r="R5019" s="10">
        <f>+H5019</f>
        <v>0</v>
      </c>
      <c r="S5019" s="11"/>
      <c r="T5019" s="10">
        <f>+E5019</f>
        <v>0</v>
      </c>
      <c r="U5019" s="19" t="str">
        <f t="shared" ref="U5019" si="2729">IFERROR(LEFT(G5019,FIND("*",G5019)-1),"-")</f>
        <v>-</v>
      </c>
      <c r="V5019" s="19" t="str">
        <f t="shared" ref="V5019" si="2730">IFERROR(RIGHT(G5019,LEN(G5019)-FIND("*",G5019)),"-")</f>
        <v>-</v>
      </c>
      <c r="W5019" s="20" t="str">
        <f t="shared" si="2728"/>
        <v>-</v>
      </c>
      <c r="X5019" s="20" t="str">
        <f>IFERROR(W5019*H5019,"-")</f>
        <v>-</v>
      </c>
      <c r="Z5019" s="85" t="s">
        <v>82</v>
      </c>
    </row>
    <row r="5020" spans="1:26" ht="6.95" customHeight="1" x14ac:dyDescent="0.3">
      <c r="A5020" s="5"/>
      <c r="B5020" s="157"/>
      <c r="C5020" s="158"/>
      <c r="D5020" s="161"/>
      <c r="E5020" s="162"/>
      <c r="F5020" s="163"/>
      <c r="G5020" s="164"/>
      <c r="H5020" s="165"/>
      <c r="I5020" s="164"/>
      <c r="J5020" s="165"/>
      <c r="K5020" s="164"/>
      <c r="L5020" s="165"/>
      <c r="M5020" s="6"/>
      <c r="N5020" s="32"/>
      <c r="Q5020" s="10" t="str">
        <f>+CONCATENATE(E5019,I5019)</f>
        <v/>
      </c>
      <c r="R5020" s="10">
        <f>+J5019</f>
        <v>0</v>
      </c>
      <c r="S5020" s="11"/>
      <c r="T5020" s="10">
        <f>+E5019</f>
        <v>0</v>
      </c>
      <c r="U5020" s="19" t="str">
        <f>IFERROR(LEFT(I5019,FIND("*",I5019)-1),"-")</f>
        <v>-</v>
      </c>
      <c r="V5020" s="19" t="str">
        <f>IFERROR(RIGHT(I5019,LEN(I5019)-FIND("*",I5019)),"-")</f>
        <v>-</v>
      </c>
      <c r="W5020" s="20" t="str">
        <f t="shared" si="2728"/>
        <v>-</v>
      </c>
      <c r="X5020" s="20" t="str">
        <f>IFERROR(W5020*J5019,"-")</f>
        <v>-</v>
      </c>
      <c r="Z5020" s="85" t="s">
        <v>82</v>
      </c>
    </row>
    <row r="5021" spans="1:26" ht="6.95" customHeight="1" x14ac:dyDescent="0.3">
      <c r="A5021" s="5"/>
      <c r="B5021" s="157"/>
      <c r="C5021" s="158"/>
      <c r="D5021" s="161"/>
      <c r="E5021" s="162"/>
      <c r="F5021" s="163"/>
      <c r="G5021" s="164"/>
      <c r="H5021" s="165"/>
      <c r="I5021" s="164"/>
      <c r="J5021" s="165"/>
      <c r="K5021" s="164"/>
      <c r="L5021" s="165"/>
      <c r="M5021" s="6"/>
      <c r="N5021" s="32"/>
      <c r="Q5021" s="10" t="str">
        <f>+CONCATENATE(E5019,K5019)</f>
        <v/>
      </c>
      <c r="R5021" s="10">
        <f>+L5019</f>
        <v>0</v>
      </c>
      <c r="S5021" s="11"/>
      <c r="T5021" s="10">
        <f>+E5019</f>
        <v>0</v>
      </c>
      <c r="U5021" s="19" t="str">
        <f>IFERROR(LEFT(K5019,FIND("*",K5019)-1),"-")</f>
        <v>-</v>
      </c>
      <c r="V5021" s="19" t="str">
        <f>IFERROR(RIGHT(K5019,LEN(K5019)-FIND("*",K5019)),"-")</f>
        <v>-</v>
      </c>
      <c r="W5021" s="20" t="str">
        <f t="shared" si="2728"/>
        <v>-</v>
      </c>
      <c r="X5021" s="20" t="str">
        <f>IFERROR(W5021*L5019,"-")</f>
        <v>-</v>
      </c>
      <c r="Z5021" s="85" t="s">
        <v>82</v>
      </c>
    </row>
    <row r="5022" spans="1:26" ht="6.95" customHeight="1" x14ac:dyDescent="0.3">
      <c r="A5022" s="8"/>
      <c r="B5022" s="157"/>
      <c r="C5022" s="158"/>
      <c r="D5022" s="161" t="s">
        <v>39</v>
      </c>
      <c r="E5022" s="162"/>
      <c r="F5022" s="163" t="s">
        <v>40</v>
      </c>
      <c r="G5022" s="164"/>
      <c r="H5022" s="165"/>
      <c r="I5022" s="164"/>
      <c r="J5022" s="165"/>
      <c r="K5022" s="164"/>
      <c r="L5022" s="165"/>
      <c r="M5022" s="6"/>
      <c r="N5022" s="32"/>
      <c r="Q5022" s="10" t="str">
        <f>+CONCATENATE(E5022,G5022)</f>
        <v/>
      </c>
      <c r="R5022" s="10">
        <f>+H5022</f>
        <v>0</v>
      </c>
      <c r="S5022" s="11"/>
      <c r="T5022" s="10">
        <f>+E5022</f>
        <v>0</v>
      </c>
      <c r="U5022" s="19" t="str">
        <f t="shared" ref="U5022" si="2731">IFERROR(LEFT(G5022,FIND("*",G5022)-1),"-")</f>
        <v>-</v>
      </c>
      <c r="V5022" s="19" t="str">
        <f t="shared" ref="V5022" si="2732">IFERROR(RIGHT(G5022,LEN(G5022)-FIND("*",G5022)),"-")</f>
        <v>-</v>
      </c>
      <c r="W5022" s="20" t="str">
        <f t="shared" si="2728"/>
        <v>-</v>
      </c>
      <c r="X5022" s="20" t="str">
        <f>IFERROR(W5022*H5022,"-")</f>
        <v>-</v>
      </c>
      <c r="Z5022" s="85" t="s">
        <v>82</v>
      </c>
    </row>
    <row r="5023" spans="1:26" ht="6.95" customHeight="1" x14ac:dyDescent="0.3">
      <c r="A5023" s="5"/>
      <c r="B5023" s="157"/>
      <c r="C5023" s="158"/>
      <c r="D5023" s="161"/>
      <c r="E5023" s="162"/>
      <c r="F5023" s="163"/>
      <c r="G5023" s="164"/>
      <c r="H5023" s="165"/>
      <c r="I5023" s="164"/>
      <c r="J5023" s="165"/>
      <c r="K5023" s="164"/>
      <c r="L5023" s="165"/>
      <c r="M5023" s="6"/>
      <c r="N5023" s="32"/>
      <c r="Q5023" s="10" t="str">
        <f>+CONCATENATE(E5022,I5022)</f>
        <v/>
      </c>
      <c r="R5023" s="10">
        <f>+J5022</f>
        <v>0</v>
      </c>
      <c r="S5023" s="11"/>
      <c r="T5023" s="10">
        <f>+E5022</f>
        <v>0</v>
      </c>
      <c r="U5023" s="19" t="str">
        <f>IFERROR(LEFT(I5022,FIND("*",I5022)-1),"-")</f>
        <v>-</v>
      </c>
      <c r="V5023" s="19" t="str">
        <f>IFERROR(RIGHT(I5022,LEN(I5022)-FIND("*",I5022)),"-")</f>
        <v>-</v>
      </c>
      <c r="W5023" s="20" t="str">
        <f t="shared" si="2728"/>
        <v>-</v>
      </c>
      <c r="X5023" s="20" t="str">
        <f t="shared" ref="X5023" si="2733">IFERROR(W5023*J5022,"-")</f>
        <v>-</v>
      </c>
      <c r="Z5023" s="85" t="s">
        <v>82</v>
      </c>
    </row>
    <row r="5024" spans="1:26" ht="6.95" customHeight="1" x14ac:dyDescent="0.3">
      <c r="A5024" s="5"/>
      <c r="B5024" s="157"/>
      <c r="C5024" s="158"/>
      <c r="D5024" s="161"/>
      <c r="E5024" s="162"/>
      <c r="F5024" s="163"/>
      <c r="G5024" s="164"/>
      <c r="H5024" s="165"/>
      <c r="I5024" s="164"/>
      <c r="J5024" s="165"/>
      <c r="K5024" s="164"/>
      <c r="L5024" s="165"/>
      <c r="M5024" s="6"/>
      <c r="N5024" s="32"/>
      <c r="Q5024" s="10" t="str">
        <f>+CONCATENATE(E5022,K5022)</f>
        <v/>
      </c>
      <c r="R5024" s="10">
        <f>+L5022</f>
        <v>0</v>
      </c>
      <c r="S5024" s="11"/>
      <c r="T5024" s="10">
        <f>+E5022</f>
        <v>0</v>
      </c>
      <c r="U5024" s="19" t="str">
        <f>IFERROR(LEFT(K5022,FIND("*",K5022)-1),"-")</f>
        <v>-</v>
      </c>
      <c r="V5024" s="19" t="str">
        <f>IFERROR(RIGHT(K5022,LEN(K5022)-FIND("*",K5022)),"-")</f>
        <v>-</v>
      </c>
      <c r="W5024" s="20" t="str">
        <f t="shared" si="2728"/>
        <v>-</v>
      </c>
      <c r="X5024" s="20" t="str">
        <f>IFERROR(W5024*L5022,"-")</f>
        <v>-</v>
      </c>
      <c r="Z5024" s="85" t="s">
        <v>82</v>
      </c>
    </row>
    <row r="5025" spans="1:26" ht="21" customHeight="1" thickBot="1" x14ac:dyDescent="0.35">
      <c r="A5025" s="5"/>
      <c r="B5025" s="159"/>
      <c r="C5025" s="160"/>
      <c r="D5025" s="166" t="s">
        <v>43</v>
      </c>
      <c r="E5025" s="167"/>
      <c r="F5025" s="167"/>
      <c r="G5025" s="168"/>
      <c r="H5025" s="168"/>
      <c r="I5025" s="168"/>
      <c r="J5025" s="168"/>
      <c r="K5025" s="168"/>
      <c r="L5025" s="168"/>
      <c r="M5025" s="7"/>
      <c r="N5025" s="32"/>
      <c r="Z5025" s="86" t="s">
        <v>81</v>
      </c>
    </row>
    <row r="5026" spans="1:26" ht="9.9499999999999993" customHeight="1" thickBot="1" x14ac:dyDescent="0.35">
      <c r="B5026" s="9"/>
      <c r="C5026" s="109"/>
      <c r="D5026" s="51"/>
      <c r="E5026" s="12"/>
      <c r="F5026" s="51"/>
      <c r="G5026" s="14"/>
      <c r="H5026" s="14"/>
      <c r="I5026" s="14"/>
      <c r="J5026" s="14"/>
      <c r="K5026" s="14"/>
      <c r="L5026" s="14"/>
      <c r="M5026" s="9"/>
      <c r="N5026" s="32"/>
      <c r="U5026" s="18"/>
      <c r="V5026" s="18"/>
      <c r="Z5026" s="85" t="s">
        <v>82</v>
      </c>
    </row>
    <row r="5027" spans="1:26" ht="6.95" customHeight="1" x14ac:dyDescent="0.3">
      <c r="A5027" s="154">
        <f>+A5016+1</f>
        <v>1256</v>
      </c>
      <c r="B5027" s="155"/>
      <c r="C5027" s="156"/>
      <c r="D5027" s="161" t="s">
        <v>39</v>
      </c>
      <c r="E5027" s="162"/>
      <c r="F5027" s="163" t="s">
        <v>40</v>
      </c>
      <c r="G5027" s="164"/>
      <c r="H5027" s="165"/>
      <c r="I5027" s="164"/>
      <c r="J5027" s="165"/>
      <c r="K5027" s="164"/>
      <c r="L5027" s="165"/>
      <c r="M5027" s="6"/>
      <c r="N5027" s="32"/>
      <c r="Q5027" s="10" t="str">
        <f>+CONCATENATE(E5027,G5027)</f>
        <v/>
      </c>
      <c r="R5027" s="10">
        <f>+H5027</f>
        <v>0</v>
      </c>
      <c r="S5027" s="11"/>
      <c r="T5027" s="10">
        <f>+E5027</f>
        <v>0</v>
      </c>
      <c r="U5027" s="19" t="str">
        <f>IFERROR(LEFT(G5027,FIND("*",G5027)-1),"-")</f>
        <v>-</v>
      </c>
      <c r="V5027" s="19" t="str">
        <f>IFERROR(RIGHT(G5027,LEN(G5027)-FIND("*",G5027)),"-")</f>
        <v>-</v>
      </c>
      <c r="W5027" s="20" t="str">
        <f>IFERROR((U5027+V5027)*2/1000,"-")</f>
        <v>-</v>
      </c>
      <c r="X5027" s="20" t="str">
        <f>IFERROR(W5027*H5027,"-")</f>
        <v>-</v>
      </c>
      <c r="Z5027" s="85" t="s">
        <v>82</v>
      </c>
    </row>
    <row r="5028" spans="1:26" ht="6.95" customHeight="1" x14ac:dyDescent="0.3">
      <c r="A5028" s="154"/>
      <c r="B5028" s="157"/>
      <c r="C5028" s="158"/>
      <c r="D5028" s="161"/>
      <c r="E5028" s="162"/>
      <c r="F5028" s="163"/>
      <c r="G5028" s="164"/>
      <c r="H5028" s="165"/>
      <c r="I5028" s="164"/>
      <c r="J5028" s="165"/>
      <c r="K5028" s="164"/>
      <c r="L5028" s="165"/>
      <c r="M5028" s="6"/>
      <c r="N5028" s="32"/>
      <c r="Q5028" s="10" t="str">
        <f>+CONCATENATE(E5027,I5027)</f>
        <v/>
      </c>
      <c r="R5028" s="10">
        <f>+J5027</f>
        <v>0</v>
      </c>
      <c r="S5028" s="11"/>
      <c r="T5028" s="10">
        <f>+E5027</f>
        <v>0</v>
      </c>
      <c r="U5028" s="19" t="str">
        <f>IFERROR(LEFT(I5027,FIND("*",I5027)-1),"-")</f>
        <v>-</v>
      </c>
      <c r="V5028" s="19" t="str">
        <f>IFERROR(RIGHT(I5027,LEN(I5027)-FIND("*",I5027)),"-")</f>
        <v>-</v>
      </c>
      <c r="W5028" s="20" t="str">
        <f t="shared" ref="W5028:W5035" si="2734">IFERROR((U5028+V5028)*2/1000,"-")</f>
        <v>-</v>
      </c>
      <c r="X5028" s="20" t="str">
        <f>IFERROR(W5028*J5027,"-")</f>
        <v>-</v>
      </c>
      <c r="Z5028" s="85" t="s">
        <v>82</v>
      </c>
    </row>
    <row r="5029" spans="1:26" ht="6.95" customHeight="1" x14ac:dyDescent="0.3">
      <c r="A5029" s="154"/>
      <c r="B5029" s="157"/>
      <c r="C5029" s="158"/>
      <c r="D5029" s="161"/>
      <c r="E5029" s="162"/>
      <c r="F5029" s="163"/>
      <c r="G5029" s="164"/>
      <c r="H5029" s="165"/>
      <c r="I5029" s="164"/>
      <c r="J5029" s="165"/>
      <c r="K5029" s="164"/>
      <c r="L5029" s="165"/>
      <c r="M5029" s="6"/>
      <c r="N5029" s="32"/>
      <c r="Q5029" s="10" t="str">
        <f>+CONCATENATE(E5027,K5027)</f>
        <v/>
      </c>
      <c r="R5029" s="10">
        <f>+L5027</f>
        <v>0</v>
      </c>
      <c r="S5029" s="11"/>
      <c r="T5029" s="10">
        <f>+E5027</f>
        <v>0</v>
      </c>
      <c r="U5029" s="19" t="str">
        <f>IFERROR(LEFT(K5027,FIND("*",K5027)-1),"-")</f>
        <v>-</v>
      </c>
      <c r="V5029" s="19" t="str">
        <f>IFERROR(RIGHT(K5027,LEN(K5027)-FIND("*",K5027)),"-")</f>
        <v>-</v>
      </c>
      <c r="W5029" s="20" t="str">
        <f t="shared" si="2734"/>
        <v>-</v>
      </c>
      <c r="X5029" s="20" t="str">
        <f>IFERROR(W5029*L5027,"-")</f>
        <v>-</v>
      </c>
      <c r="Z5029" s="85" t="s">
        <v>82</v>
      </c>
    </row>
    <row r="5030" spans="1:26" ht="6.95" customHeight="1" x14ac:dyDescent="0.3">
      <c r="A5030" s="8"/>
      <c r="B5030" s="157"/>
      <c r="C5030" s="158"/>
      <c r="D5030" s="161" t="s">
        <v>39</v>
      </c>
      <c r="E5030" s="162"/>
      <c r="F5030" s="163" t="s">
        <v>40</v>
      </c>
      <c r="G5030" s="164"/>
      <c r="H5030" s="165"/>
      <c r="I5030" s="164"/>
      <c r="J5030" s="165"/>
      <c r="K5030" s="164"/>
      <c r="L5030" s="165"/>
      <c r="M5030" s="6"/>
      <c r="N5030" s="32"/>
      <c r="Q5030" s="10" t="str">
        <f>+CONCATENATE(E5030,G5030)</f>
        <v/>
      </c>
      <c r="R5030" s="10">
        <f>+H5030</f>
        <v>0</v>
      </c>
      <c r="S5030" s="11"/>
      <c r="T5030" s="10">
        <f>+E5030</f>
        <v>0</v>
      </c>
      <c r="U5030" s="19" t="str">
        <f t="shared" ref="U5030" si="2735">IFERROR(LEFT(G5030,FIND("*",G5030)-1),"-")</f>
        <v>-</v>
      </c>
      <c r="V5030" s="19" t="str">
        <f t="shared" ref="V5030" si="2736">IFERROR(RIGHT(G5030,LEN(G5030)-FIND("*",G5030)),"-")</f>
        <v>-</v>
      </c>
      <c r="W5030" s="20" t="str">
        <f t="shared" si="2734"/>
        <v>-</v>
      </c>
      <c r="X5030" s="20" t="str">
        <f>IFERROR(W5030*H5030,"-")</f>
        <v>-</v>
      </c>
      <c r="Z5030" s="85" t="s">
        <v>82</v>
      </c>
    </row>
    <row r="5031" spans="1:26" ht="6.95" customHeight="1" x14ac:dyDescent="0.3">
      <c r="A5031" s="5"/>
      <c r="B5031" s="157"/>
      <c r="C5031" s="158"/>
      <c r="D5031" s="161"/>
      <c r="E5031" s="162"/>
      <c r="F5031" s="163"/>
      <c r="G5031" s="164"/>
      <c r="H5031" s="165"/>
      <c r="I5031" s="164"/>
      <c r="J5031" s="165"/>
      <c r="K5031" s="164"/>
      <c r="L5031" s="165"/>
      <c r="M5031" s="6"/>
      <c r="N5031" s="32"/>
      <c r="Q5031" s="10" t="str">
        <f>+CONCATENATE(E5030,I5030)</f>
        <v/>
      </c>
      <c r="R5031" s="10">
        <f>+J5030</f>
        <v>0</v>
      </c>
      <c r="S5031" s="11"/>
      <c r="T5031" s="10">
        <f>+E5030</f>
        <v>0</v>
      </c>
      <c r="U5031" s="19" t="str">
        <f>IFERROR(LEFT(I5030,FIND("*",I5030)-1),"-")</f>
        <v>-</v>
      </c>
      <c r="V5031" s="19" t="str">
        <f>IFERROR(RIGHT(I5030,LEN(I5030)-FIND("*",I5030)),"-")</f>
        <v>-</v>
      </c>
      <c r="W5031" s="20" t="str">
        <f t="shared" si="2734"/>
        <v>-</v>
      </c>
      <c r="X5031" s="20" t="str">
        <f>IFERROR(W5031*J5030,"-")</f>
        <v>-</v>
      </c>
      <c r="Z5031" s="85" t="s">
        <v>82</v>
      </c>
    </row>
    <row r="5032" spans="1:26" ht="6.95" customHeight="1" x14ac:dyDescent="0.3">
      <c r="A5032" s="5"/>
      <c r="B5032" s="157"/>
      <c r="C5032" s="158"/>
      <c r="D5032" s="161"/>
      <c r="E5032" s="162"/>
      <c r="F5032" s="163"/>
      <c r="G5032" s="164"/>
      <c r="H5032" s="165"/>
      <c r="I5032" s="164"/>
      <c r="J5032" s="165"/>
      <c r="K5032" s="164"/>
      <c r="L5032" s="165"/>
      <c r="M5032" s="6"/>
      <c r="N5032" s="32"/>
      <c r="Q5032" s="10" t="str">
        <f>+CONCATENATE(E5030,K5030)</f>
        <v/>
      </c>
      <c r="R5032" s="10">
        <f>+L5030</f>
        <v>0</v>
      </c>
      <c r="S5032" s="11"/>
      <c r="T5032" s="10">
        <f>+E5030</f>
        <v>0</v>
      </c>
      <c r="U5032" s="19" t="str">
        <f>IFERROR(LEFT(K5030,FIND("*",K5030)-1),"-")</f>
        <v>-</v>
      </c>
      <c r="V5032" s="19" t="str">
        <f>IFERROR(RIGHT(K5030,LEN(K5030)-FIND("*",K5030)),"-")</f>
        <v>-</v>
      </c>
      <c r="W5032" s="20" t="str">
        <f t="shared" si="2734"/>
        <v>-</v>
      </c>
      <c r="X5032" s="20" t="str">
        <f>IFERROR(W5032*L5030,"-")</f>
        <v>-</v>
      </c>
      <c r="Z5032" s="85" t="s">
        <v>82</v>
      </c>
    </row>
    <row r="5033" spans="1:26" ht="6.95" customHeight="1" x14ac:dyDescent="0.3">
      <c r="A5033" s="8"/>
      <c r="B5033" s="157"/>
      <c r="C5033" s="158"/>
      <c r="D5033" s="161" t="s">
        <v>39</v>
      </c>
      <c r="E5033" s="162"/>
      <c r="F5033" s="163" t="s">
        <v>40</v>
      </c>
      <c r="G5033" s="164"/>
      <c r="H5033" s="165"/>
      <c r="I5033" s="164"/>
      <c r="J5033" s="165"/>
      <c r="K5033" s="164"/>
      <c r="L5033" s="165"/>
      <c r="M5033" s="6"/>
      <c r="N5033" s="32"/>
      <c r="Q5033" s="10" t="str">
        <f>+CONCATENATE(E5033,G5033)</f>
        <v/>
      </c>
      <c r="R5033" s="10">
        <f>+H5033</f>
        <v>0</v>
      </c>
      <c r="S5033" s="11"/>
      <c r="T5033" s="10">
        <f>+E5033</f>
        <v>0</v>
      </c>
      <c r="U5033" s="19" t="str">
        <f t="shared" ref="U5033" si="2737">IFERROR(LEFT(G5033,FIND("*",G5033)-1),"-")</f>
        <v>-</v>
      </c>
      <c r="V5033" s="19" t="str">
        <f t="shared" ref="V5033" si="2738">IFERROR(RIGHT(G5033,LEN(G5033)-FIND("*",G5033)),"-")</f>
        <v>-</v>
      </c>
      <c r="W5033" s="20" t="str">
        <f t="shared" si="2734"/>
        <v>-</v>
      </c>
      <c r="X5033" s="20" t="str">
        <f>IFERROR(W5033*H5033,"-")</f>
        <v>-</v>
      </c>
      <c r="Z5033" s="85" t="s">
        <v>82</v>
      </c>
    </row>
    <row r="5034" spans="1:26" ht="6.95" customHeight="1" x14ac:dyDescent="0.3">
      <c r="A5034" s="5"/>
      <c r="B5034" s="157"/>
      <c r="C5034" s="158"/>
      <c r="D5034" s="161"/>
      <c r="E5034" s="162"/>
      <c r="F5034" s="163"/>
      <c r="G5034" s="164"/>
      <c r="H5034" s="165"/>
      <c r="I5034" s="164"/>
      <c r="J5034" s="165"/>
      <c r="K5034" s="164"/>
      <c r="L5034" s="165"/>
      <c r="M5034" s="6"/>
      <c r="N5034" s="32"/>
      <c r="Q5034" s="10" t="str">
        <f>+CONCATENATE(E5033,I5033)</f>
        <v/>
      </c>
      <c r="R5034" s="10">
        <f>+J5033</f>
        <v>0</v>
      </c>
      <c r="S5034" s="11"/>
      <c r="T5034" s="10">
        <f>+E5033</f>
        <v>0</v>
      </c>
      <c r="U5034" s="19" t="str">
        <f>IFERROR(LEFT(I5033,FIND("*",I5033)-1),"-")</f>
        <v>-</v>
      </c>
      <c r="V5034" s="19" t="str">
        <f>IFERROR(RIGHT(I5033,LEN(I5033)-FIND("*",I5033)),"-")</f>
        <v>-</v>
      </c>
      <c r="W5034" s="20" t="str">
        <f t="shared" si="2734"/>
        <v>-</v>
      </c>
      <c r="X5034" s="20" t="str">
        <f t="shared" ref="X5034" si="2739">IFERROR(W5034*J5033,"-")</f>
        <v>-</v>
      </c>
      <c r="Z5034" s="85" t="s">
        <v>82</v>
      </c>
    </row>
    <row r="5035" spans="1:26" ht="6.95" customHeight="1" x14ac:dyDescent="0.3">
      <c r="A5035" s="5"/>
      <c r="B5035" s="157"/>
      <c r="C5035" s="158"/>
      <c r="D5035" s="161"/>
      <c r="E5035" s="162"/>
      <c r="F5035" s="163"/>
      <c r="G5035" s="164"/>
      <c r="H5035" s="165"/>
      <c r="I5035" s="164"/>
      <c r="J5035" s="165"/>
      <c r="K5035" s="164"/>
      <c r="L5035" s="165"/>
      <c r="M5035" s="6"/>
      <c r="N5035" s="32"/>
      <c r="Q5035" s="10" t="str">
        <f>+CONCATENATE(E5033,K5033)</f>
        <v/>
      </c>
      <c r="R5035" s="10">
        <f>+L5033</f>
        <v>0</v>
      </c>
      <c r="S5035" s="11"/>
      <c r="T5035" s="10">
        <f>+E5033</f>
        <v>0</v>
      </c>
      <c r="U5035" s="19" t="str">
        <f>IFERROR(LEFT(K5033,FIND("*",K5033)-1),"-")</f>
        <v>-</v>
      </c>
      <c r="V5035" s="19" t="str">
        <f>IFERROR(RIGHT(K5033,LEN(K5033)-FIND("*",K5033)),"-")</f>
        <v>-</v>
      </c>
      <c r="W5035" s="20" t="str">
        <f t="shared" si="2734"/>
        <v>-</v>
      </c>
      <c r="X5035" s="20" t="str">
        <f>IFERROR(W5035*L5033,"-")</f>
        <v>-</v>
      </c>
      <c r="Z5035" s="85" t="s">
        <v>82</v>
      </c>
    </row>
    <row r="5036" spans="1:26" ht="21" customHeight="1" thickBot="1" x14ac:dyDescent="0.35">
      <c r="A5036" s="5"/>
      <c r="B5036" s="159"/>
      <c r="C5036" s="160"/>
      <c r="D5036" s="166" t="s">
        <v>43</v>
      </c>
      <c r="E5036" s="167"/>
      <c r="F5036" s="167"/>
      <c r="G5036" s="168"/>
      <c r="H5036" s="168"/>
      <c r="I5036" s="168"/>
      <c r="J5036" s="168"/>
      <c r="K5036" s="168"/>
      <c r="L5036" s="168"/>
      <c r="M5036" s="7"/>
      <c r="N5036" s="32"/>
      <c r="Z5036" s="86" t="s">
        <v>81</v>
      </c>
    </row>
    <row r="5037" spans="1:26" ht="9.9499999999999993" customHeight="1" thickBot="1" x14ac:dyDescent="0.35">
      <c r="B5037" s="9"/>
      <c r="C5037" s="109"/>
      <c r="D5037" s="51"/>
      <c r="E5037" s="12"/>
      <c r="F5037" s="51"/>
      <c r="G5037" s="14"/>
      <c r="H5037" s="14"/>
      <c r="I5037" s="14"/>
      <c r="J5037" s="14"/>
      <c r="K5037" s="14"/>
      <c r="L5037" s="14"/>
      <c r="M5037" s="9"/>
      <c r="N5037" s="32"/>
      <c r="U5037" s="18"/>
      <c r="V5037" s="18"/>
      <c r="Z5037" s="85" t="s">
        <v>82</v>
      </c>
    </row>
    <row r="5038" spans="1:26" ht="6.95" customHeight="1" x14ac:dyDescent="0.3">
      <c r="A5038" s="154">
        <f>+A5027+1</f>
        <v>1257</v>
      </c>
      <c r="B5038" s="155"/>
      <c r="C5038" s="156"/>
      <c r="D5038" s="161" t="s">
        <v>39</v>
      </c>
      <c r="E5038" s="162"/>
      <c r="F5038" s="163" t="s">
        <v>40</v>
      </c>
      <c r="G5038" s="164"/>
      <c r="H5038" s="165"/>
      <c r="I5038" s="164"/>
      <c r="J5038" s="165"/>
      <c r="K5038" s="164"/>
      <c r="L5038" s="165"/>
      <c r="M5038" s="6"/>
      <c r="N5038" s="32"/>
      <c r="Q5038" s="10" t="str">
        <f>+CONCATENATE(E5038,G5038)</f>
        <v/>
      </c>
      <c r="R5038" s="10">
        <f>+H5038</f>
        <v>0</v>
      </c>
      <c r="S5038" s="11"/>
      <c r="T5038" s="10">
        <f>+E5038</f>
        <v>0</v>
      </c>
      <c r="U5038" s="19" t="str">
        <f>IFERROR(LEFT(G5038,FIND("*",G5038)-1),"-")</f>
        <v>-</v>
      </c>
      <c r="V5038" s="19" t="str">
        <f>IFERROR(RIGHT(G5038,LEN(G5038)-FIND("*",G5038)),"-")</f>
        <v>-</v>
      </c>
      <c r="W5038" s="20" t="str">
        <f>IFERROR((U5038+V5038)*2/1000,"-")</f>
        <v>-</v>
      </c>
      <c r="X5038" s="20" t="str">
        <f>IFERROR(W5038*H5038,"-")</f>
        <v>-</v>
      </c>
      <c r="Z5038" s="85" t="s">
        <v>82</v>
      </c>
    </row>
    <row r="5039" spans="1:26" ht="6.95" customHeight="1" x14ac:dyDescent="0.3">
      <c r="A5039" s="154"/>
      <c r="B5039" s="157"/>
      <c r="C5039" s="158"/>
      <c r="D5039" s="161"/>
      <c r="E5039" s="162"/>
      <c r="F5039" s="163"/>
      <c r="G5039" s="164"/>
      <c r="H5039" s="165"/>
      <c r="I5039" s="164"/>
      <c r="J5039" s="165"/>
      <c r="K5039" s="164"/>
      <c r="L5039" s="165"/>
      <c r="M5039" s="6"/>
      <c r="N5039" s="32"/>
      <c r="Q5039" s="10" t="str">
        <f>+CONCATENATE(E5038,I5038)</f>
        <v/>
      </c>
      <c r="R5039" s="10">
        <f>+J5038</f>
        <v>0</v>
      </c>
      <c r="S5039" s="11"/>
      <c r="T5039" s="10">
        <f>+E5038</f>
        <v>0</v>
      </c>
      <c r="U5039" s="19" t="str">
        <f>IFERROR(LEFT(I5038,FIND("*",I5038)-1),"-")</f>
        <v>-</v>
      </c>
      <c r="V5039" s="19" t="str">
        <f>IFERROR(RIGHT(I5038,LEN(I5038)-FIND("*",I5038)),"-")</f>
        <v>-</v>
      </c>
      <c r="W5039" s="20" t="str">
        <f t="shared" ref="W5039:W5046" si="2740">IFERROR((U5039+V5039)*2/1000,"-")</f>
        <v>-</v>
      </c>
      <c r="X5039" s="20" t="str">
        <f>IFERROR(W5039*J5038,"-")</f>
        <v>-</v>
      </c>
      <c r="Z5039" s="85" t="s">
        <v>82</v>
      </c>
    </row>
    <row r="5040" spans="1:26" ht="6.95" customHeight="1" x14ac:dyDescent="0.3">
      <c r="A5040" s="154"/>
      <c r="B5040" s="157"/>
      <c r="C5040" s="158"/>
      <c r="D5040" s="161"/>
      <c r="E5040" s="162"/>
      <c r="F5040" s="163"/>
      <c r="G5040" s="164"/>
      <c r="H5040" s="165"/>
      <c r="I5040" s="164"/>
      <c r="J5040" s="165"/>
      <c r="K5040" s="164"/>
      <c r="L5040" s="165"/>
      <c r="M5040" s="6"/>
      <c r="N5040" s="32"/>
      <c r="Q5040" s="10" t="str">
        <f>+CONCATENATE(E5038,K5038)</f>
        <v/>
      </c>
      <c r="R5040" s="10">
        <f>+L5038</f>
        <v>0</v>
      </c>
      <c r="S5040" s="11"/>
      <c r="T5040" s="10">
        <f>+E5038</f>
        <v>0</v>
      </c>
      <c r="U5040" s="19" t="str">
        <f>IFERROR(LEFT(K5038,FIND("*",K5038)-1),"-")</f>
        <v>-</v>
      </c>
      <c r="V5040" s="19" t="str">
        <f>IFERROR(RIGHT(K5038,LEN(K5038)-FIND("*",K5038)),"-")</f>
        <v>-</v>
      </c>
      <c r="W5040" s="20" t="str">
        <f t="shared" si="2740"/>
        <v>-</v>
      </c>
      <c r="X5040" s="20" t="str">
        <f>IFERROR(W5040*L5038,"-")</f>
        <v>-</v>
      </c>
      <c r="Z5040" s="85" t="s">
        <v>82</v>
      </c>
    </row>
    <row r="5041" spans="1:26" ht="6.95" customHeight="1" x14ac:dyDescent="0.3">
      <c r="A5041" s="8"/>
      <c r="B5041" s="157"/>
      <c r="C5041" s="158"/>
      <c r="D5041" s="161" t="s">
        <v>39</v>
      </c>
      <c r="E5041" s="162"/>
      <c r="F5041" s="163" t="s">
        <v>40</v>
      </c>
      <c r="G5041" s="164"/>
      <c r="H5041" s="165"/>
      <c r="I5041" s="164"/>
      <c r="J5041" s="165"/>
      <c r="K5041" s="164"/>
      <c r="L5041" s="165"/>
      <c r="M5041" s="6"/>
      <c r="N5041" s="32"/>
      <c r="Q5041" s="10" t="str">
        <f>+CONCATENATE(E5041,G5041)</f>
        <v/>
      </c>
      <c r="R5041" s="10">
        <f>+H5041</f>
        <v>0</v>
      </c>
      <c r="S5041" s="11"/>
      <c r="T5041" s="10">
        <f>+E5041</f>
        <v>0</v>
      </c>
      <c r="U5041" s="19" t="str">
        <f t="shared" ref="U5041" si="2741">IFERROR(LEFT(G5041,FIND("*",G5041)-1),"-")</f>
        <v>-</v>
      </c>
      <c r="V5041" s="19" t="str">
        <f t="shared" ref="V5041" si="2742">IFERROR(RIGHT(G5041,LEN(G5041)-FIND("*",G5041)),"-")</f>
        <v>-</v>
      </c>
      <c r="W5041" s="20" t="str">
        <f t="shared" si="2740"/>
        <v>-</v>
      </c>
      <c r="X5041" s="20" t="str">
        <f>IFERROR(W5041*H5041,"-")</f>
        <v>-</v>
      </c>
      <c r="Z5041" s="85" t="s">
        <v>82</v>
      </c>
    </row>
    <row r="5042" spans="1:26" ht="6.95" customHeight="1" x14ac:dyDescent="0.3">
      <c r="A5042" s="5"/>
      <c r="B5042" s="157"/>
      <c r="C5042" s="158"/>
      <c r="D5042" s="161"/>
      <c r="E5042" s="162"/>
      <c r="F5042" s="163"/>
      <c r="G5042" s="164"/>
      <c r="H5042" s="165"/>
      <c r="I5042" s="164"/>
      <c r="J5042" s="165"/>
      <c r="K5042" s="164"/>
      <c r="L5042" s="165"/>
      <c r="M5042" s="6"/>
      <c r="N5042" s="32"/>
      <c r="Q5042" s="10" t="str">
        <f>+CONCATENATE(E5041,I5041)</f>
        <v/>
      </c>
      <c r="R5042" s="10">
        <f>+J5041</f>
        <v>0</v>
      </c>
      <c r="S5042" s="11"/>
      <c r="T5042" s="10">
        <f>+E5041</f>
        <v>0</v>
      </c>
      <c r="U5042" s="19" t="str">
        <f>IFERROR(LEFT(I5041,FIND("*",I5041)-1),"-")</f>
        <v>-</v>
      </c>
      <c r="V5042" s="19" t="str">
        <f>IFERROR(RIGHT(I5041,LEN(I5041)-FIND("*",I5041)),"-")</f>
        <v>-</v>
      </c>
      <c r="W5042" s="20" t="str">
        <f t="shared" si="2740"/>
        <v>-</v>
      </c>
      <c r="X5042" s="20" t="str">
        <f>IFERROR(W5042*J5041,"-")</f>
        <v>-</v>
      </c>
      <c r="Z5042" s="85" t="s">
        <v>82</v>
      </c>
    </row>
    <row r="5043" spans="1:26" ht="6.95" customHeight="1" x14ac:dyDescent="0.3">
      <c r="A5043" s="5"/>
      <c r="B5043" s="157"/>
      <c r="C5043" s="158"/>
      <c r="D5043" s="161"/>
      <c r="E5043" s="162"/>
      <c r="F5043" s="163"/>
      <c r="G5043" s="164"/>
      <c r="H5043" s="165"/>
      <c r="I5043" s="164"/>
      <c r="J5043" s="165"/>
      <c r="K5043" s="164"/>
      <c r="L5043" s="165"/>
      <c r="M5043" s="6"/>
      <c r="N5043" s="32"/>
      <c r="Q5043" s="10" t="str">
        <f>+CONCATENATE(E5041,K5041)</f>
        <v/>
      </c>
      <c r="R5043" s="10">
        <f>+L5041</f>
        <v>0</v>
      </c>
      <c r="S5043" s="11"/>
      <c r="T5043" s="10">
        <f>+E5041</f>
        <v>0</v>
      </c>
      <c r="U5043" s="19" t="str">
        <f>IFERROR(LEFT(K5041,FIND("*",K5041)-1),"-")</f>
        <v>-</v>
      </c>
      <c r="V5043" s="19" t="str">
        <f>IFERROR(RIGHT(K5041,LEN(K5041)-FIND("*",K5041)),"-")</f>
        <v>-</v>
      </c>
      <c r="W5043" s="20" t="str">
        <f t="shared" si="2740"/>
        <v>-</v>
      </c>
      <c r="X5043" s="20" t="str">
        <f>IFERROR(W5043*L5041,"-")</f>
        <v>-</v>
      </c>
      <c r="Z5043" s="85" t="s">
        <v>82</v>
      </c>
    </row>
    <row r="5044" spans="1:26" ht="6.95" customHeight="1" x14ac:dyDescent="0.3">
      <c r="A5044" s="8"/>
      <c r="B5044" s="157"/>
      <c r="C5044" s="158"/>
      <c r="D5044" s="161" t="s">
        <v>39</v>
      </c>
      <c r="E5044" s="162"/>
      <c r="F5044" s="163" t="s">
        <v>40</v>
      </c>
      <c r="G5044" s="164"/>
      <c r="H5044" s="165"/>
      <c r="I5044" s="164"/>
      <c r="J5044" s="165"/>
      <c r="K5044" s="164"/>
      <c r="L5044" s="165"/>
      <c r="M5044" s="6"/>
      <c r="N5044" s="32"/>
      <c r="Q5044" s="10" t="str">
        <f>+CONCATENATE(E5044,G5044)</f>
        <v/>
      </c>
      <c r="R5044" s="10">
        <f>+H5044</f>
        <v>0</v>
      </c>
      <c r="S5044" s="11"/>
      <c r="T5044" s="10">
        <f>+E5044</f>
        <v>0</v>
      </c>
      <c r="U5044" s="19" t="str">
        <f t="shared" ref="U5044" si="2743">IFERROR(LEFT(G5044,FIND("*",G5044)-1),"-")</f>
        <v>-</v>
      </c>
      <c r="V5044" s="19" t="str">
        <f t="shared" ref="V5044" si="2744">IFERROR(RIGHT(G5044,LEN(G5044)-FIND("*",G5044)),"-")</f>
        <v>-</v>
      </c>
      <c r="W5044" s="20" t="str">
        <f t="shared" si="2740"/>
        <v>-</v>
      </c>
      <c r="X5044" s="20" t="str">
        <f>IFERROR(W5044*H5044,"-")</f>
        <v>-</v>
      </c>
      <c r="Z5044" s="85" t="s">
        <v>82</v>
      </c>
    </row>
    <row r="5045" spans="1:26" ht="6.95" customHeight="1" x14ac:dyDescent="0.3">
      <c r="A5045" s="5"/>
      <c r="B5045" s="157"/>
      <c r="C5045" s="158"/>
      <c r="D5045" s="161"/>
      <c r="E5045" s="162"/>
      <c r="F5045" s="163"/>
      <c r="G5045" s="164"/>
      <c r="H5045" s="165"/>
      <c r="I5045" s="164"/>
      <c r="J5045" s="165"/>
      <c r="K5045" s="164"/>
      <c r="L5045" s="165"/>
      <c r="M5045" s="6"/>
      <c r="N5045" s="32"/>
      <c r="Q5045" s="10" t="str">
        <f>+CONCATENATE(E5044,I5044)</f>
        <v/>
      </c>
      <c r="R5045" s="10">
        <f>+J5044</f>
        <v>0</v>
      </c>
      <c r="S5045" s="11"/>
      <c r="T5045" s="10">
        <f>+E5044</f>
        <v>0</v>
      </c>
      <c r="U5045" s="19" t="str">
        <f>IFERROR(LEFT(I5044,FIND("*",I5044)-1),"-")</f>
        <v>-</v>
      </c>
      <c r="V5045" s="19" t="str">
        <f>IFERROR(RIGHT(I5044,LEN(I5044)-FIND("*",I5044)),"-")</f>
        <v>-</v>
      </c>
      <c r="W5045" s="20" t="str">
        <f t="shared" si="2740"/>
        <v>-</v>
      </c>
      <c r="X5045" s="20" t="str">
        <f t="shared" ref="X5045" si="2745">IFERROR(W5045*J5044,"-")</f>
        <v>-</v>
      </c>
      <c r="Z5045" s="85" t="s">
        <v>82</v>
      </c>
    </row>
    <row r="5046" spans="1:26" ht="6.95" customHeight="1" x14ac:dyDescent="0.3">
      <c r="A5046" s="5"/>
      <c r="B5046" s="157"/>
      <c r="C5046" s="158"/>
      <c r="D5046" s="161"/>
      <c r="E5046" s="162"/>
      <c r="F5046" s="163"/>
      <c r="G5046" s="164"/>
      <c r="H5046" s="165"/>
      <c r="I5046" s="164"/>
      <c r="J5046" s="165"/>
      <c r="K5046" s="164"/>
      <c r="L5046" s="165"/>
      <c r="M5046" s="6"/>
      <c r="N5046" s="32"/>
      <c r="Q5046" s="10" t="str">
        <f>+CONCATENATE(E5044,K5044)</f>
        <v/>
      </c>
      <c r="R5046" s="10">
        <f>+L5044</f>
        <v>0</v>
      </c>
      <c r="S5046" s="11"/>
      <c r="T5046" s="10">
        <f>+E5044</f>
        <v>0</v>
      </c>
      <c r="U5046" s="19" t="str">
        <f>IFERROR(LEFT(K5044,FIND("*",K5044)-1),"-")</f>
        <v>-</v>
      </c>
      <c r="V5046" s="19" t="str">
        <f>IFERROR(RIGHT(K5044,LEN(K5044)-FIND("*",K5044)),"-")</f>
        <v>-</v>
      </c>
      <c r="W5046" s="20" t="str">
        <f t="shared" si="2740"/>
        <v>-</v>
      </c>
      <c r="X5046" s="20" t="str">
        <f>IFERROR(W5046*L5044,"-")</f>
        <v>-</v>
      </c>
      <c r="Z5046" s="85" t="s">
        <v>82</v>
      </c>
    </row>
    <row r="5047" spans="1:26" ht="21" customHeight="1" thickBot="1" x14ac:dyDescent="0.35">
      <c r="A5047" s="5"/>
      <c r="B5047" s="159"/>
      <c r="C5047" s="160"/>
      <c r="D5047" s="166" t="s">
        <v>43</v>
      </c>
      <c r="E5047" s="167"/>
      <c r="F5047" s="167"/>
      <c r="G5047" s="168"/>
      <c r="H5047" s="168"/>
      <c r="I5047" s="168"/>
      <c r="J5047" s="168"/>
      <c r="K5047" s="168"/>
      <c r="L5047" s="168"/>
      <c r="M5047" s="7"/>
      <c r="N5047" s="32"/>
      <c r="Z5047" s="86" t="s">
        <v>81</v>
      </c>
    </row>
    <row r="5048" spans="1:26" ht="9.9499999999999993" customHeight="1" thickBot="1" x14ac:dyDescent="0.35">
      <c r="B5048" s="9"/>
      <c r="C5048" s="109"/>
      <c r="D5048" s="51"/>
      <c r="E5048" s="12"/>
      <c r="F5048" s="51"/>
      <c r="G5048" s="14"/>
      <c r="H5048" s="14"/>
      <c r="I5048" s="14"/>
      <c r="J5048" s="14"/>
      <c r="K5048" s="14"/>
      <c r="L5048" s="14"/>
      <c r="M5048" s="9"/>
      <c r="N5048" s="32"/>
      <c r="U5048" s="18"/>
      <c r="V5048" s="18"/>
      <c r="Z5048" s="85" t="s">
        <v>82</v>
      </c>
    </row>
    <row r="5049" spans="1:26" ht="6.95" customHeight="1" x14ac:dyDescent="0.3">
      <c r="A5049" s="154">
        <f>+A5038+1</f>
        <v>1258</v>
      </c>
      <c r="B5049" s="155"/>
      <c r="C5049" s="156"/>
      <c r="D5049" s="161" t="s">
        <v>39</v>
      </c>
      <c r="E5049" s="162"/>
      <c r="F5049" s="163" t="s">
        <v>40</v>
      </c>
      <c r="G5049" s="164"/>
      <c r="H5049" s="165"/>
      <c r="I5049" s="164"/>
      <c r="J5049" s="165"/>
      <c r="K5049" s="164"/>
      <c r="L5049" s="165"/>
      <c r="M5049" s="6"/>
      <c r="N5049" s="32"/>
      <c r="Q5049" s="10" t="str">
        <f>+CONCATENATE(E5049,G5049)</f>
        <v/>
      </c>
      <c r="R5049" s="10">
        <f>+H5049</f>
        <v>0</v>
      </c>
      <c r="S5049" s="11"/>
      <c r="T5049" s="10">
        <f>+E5049</f>
        <v>0</v>
      </c>
      <c r="U5049" s="19" t="str">
        <f>IFERROR(LEFT(G5049,FIND("*",G5049)-1),"-")</f>
        <v>-</v>
      </c>
      <c r="V5049" s="19" t="str">
        <f>IFERROR(RIGHT(G5049,LEN(G5049)-FIND("*",G5049)),"-")</f>
        <v>-</v>
      </c>
      <c r="W5049" s="20" t="str">
        <f>IFERROR((U5049+V5049)*2/1000,"-")</f>
        <v>-</v>
      </c>
      <c r="X5049" s="20" t="str">
        <f>IFERROR(W5049*H5049,"-")</f>
        <v>-</v>
      </c>
      <c r="Z5049" s="85" t="s">
        <v>82</v>
      </c>
    </row>
    <row r="5050" spans="1:26" ht="6.95" customHeight="1" x14ac:dyDescent="0.3">
      <c r="A5050" s="154"/>
      <c r="B5050" s="157"/>
      <c r="C5050" s="158"/>
      <c r="D5050" s="161"/>
      <c r="E5050" s="162"/>
      <c r="F5050" s="163"/>
      <c r="G5050" s="164"/>
      <c r="H5050" s="165"/>
      <c r="I5050" s="164"/>
      <c r="J5050" s="165"/>
      <c r="K5050" s="164"/>
      <c r="L5050" s="165"/>
      <c r="M5050" s="6"/>
      <c r="N5050" s="32"/>
      <c r="Q5050" s="10" t="str">
        <f>+CONCATENATE(E5049,I5049)</f>
        <v/>
      </c>
      <c r="R5050" s="10">
        <f>+J5049</f>
        <v>0</v>
      </c>
      <c r="S5050" s="11"/>
      <c r="T5050" s="10">
        <f>+E5049</f>
        <v>0</v>
      </c>
      <c r="U5050" s="19" t="str">
        <f>IFERROR(LEFT(I5049,FIND("*",I5049)-1),"-")</f>
        <v>-</v>
      </c>
      <c r="V5050" s="19" t="str">
        <f>IFERROR(RIGHT(I5049,LEN(I5049)-FIND("*",I5049)),"-")</f>
        <v>-</v>
      </c>
      <c r="W5050" s="20" t="str">
        <f t="shared" ref="W5050:W5057" si="2746">IFERROR((U5050+V5050)*2/1000,"-")</f>
        <v>-</v>
      </c>
      <c r="X5050" s="20" t="str">
        <f>IFERROR(W5050*J5049,"-")</f>
        <v>-</v>
      </c>
      <c r="Z5050" s="85" t="s">
        <v>82</v>
      </c>
    </row>
    <row r="5051" spans="1:26" ht="6.95" customHeight="1" x14ac:dyDescent="0.3">
      <c r="A5051" s="154"/>
      <c r="B5051" s="157"/>
      <c r="C5051" s="158"/>
      <c r="D5051" s="161"/>
      <c r="E5051" s="162"/>
      <c r="F5051" s="163"/>
      <c r="G5051" s="164"/>
      <c r="H5051" s="165"/>
      <c r="I5051" s="164"/>
      <c r="J5051" s="165"/>
      <c r="K5051" s="164"/>
      <c r="L5051" s="165"/>
      <c r="M5051" s="6"/>
      <c r="N5051" s="32"/>
      <c r="Q5051" s="10" t="str">
        <f>+CONCATENATE(E5049,K5049)</f>
        <v/>
      </c>
      <c r="R5051" s="10">
        <f>+L5049</f>
        <v>0</v>
      </c>
      <c r="S5051" s="11"/>
      <c r="T5051" s="10">
        <f>+E5049</f>
        <v>0</v>
      </c>
      <c r="U5051" s="19" t="str">
        <f>IFERROR(LEFT(K5049,FIND("*",K5049)-1),"-")</f>
        <v>-</v>
      </c>
      <c r="V5051" s="19" t="str">
        <f>IFERROR(RIGHT(K5049,LEN(K5049)-FIND("*",K5049)),"-")</f>
        <v>-</v>
      </c>
      <c r="W5051" s="20" t="str">
        <f t="shared" si="2746"/>
        <v>-</v>
      </c>
      <c r="X5051" s="20" t="str">
        <f>IFERROR(W5051*L5049,"-")</f>
        <v>-</v>
      </c>
      <c r="Z5051" s="85" t="s">
        <v>82</v>
      </c>
    </row>
    <row r="5052" spans="1:26" ht="6.95" customHeight="1" x14ac:dyDescent="0.3">
      <c r="A5052" s="8"/>
      <c r="B5052" s="157"/>
      <c r="C5052" s="158"/>
      <c r="D5052" s="161" t="s">
        <v>39</v>
      </c>
      <c r="E5052" s="162"/>
      <c r="F5052" s="163" t="s">
        <v>40</v>
      </c>
      <c r="G5052" s="164"/>
      <c r="H5052" s="165"/>
      <c r="I5052" s="164"/>
      <c r="J5052" s="165"/>
      <c r="K5052" s="164"/>
      <c r="L5052" s="165"/>
      <c r="M5052" s="6"/>
      <c r="N5052" s="32"/>
      <c r="Q5052" s="10" t="str">
        <f>+CONCATENATE(E5052,G5052)</f>
        <v/>
      </c>
      <c r="R5052" s="10">
        <f>+H5052</f>
        <v>0</v>
      </c>
      <c r="S5052" s="11"/>
      <c r="T5052" s="10">
        <f>+E5052</f>
        <v>0</v>
      </c>
      <c r="U5052" s="19" t="str">
        <f t="shared" ref="U5052" si="2747">IFERROR(LEFT(G5052,FIND("*",G5052)-1),"-")</f>
        <v>-</v>
      </c>
      <c r="V5052" s="19" t="str">
        <f t="shared" ref="V5052" si="2748">IFERROR(RIGHT(G5052,LEN(G5052)-FIND("*",G5052)),"-")</f>
        <v>-</v>
      </c>
      <c r="W5052" s="20" t="str">
        <f t="shared" si="2746"/>
        <v>-</v>
      </c>
      <c r="X5052" s="20" t="str">
        <f>IFERROR(W5052*H5052,"-")</f>
        <v>-</v>
      </c>
      <c r="Z5052" s="85" t="s">
        <v>82</v>
      </c>
    </row>
    <row r="5053" spans="1:26" ht="6.95" customHeight="1" x14ac:dyDescent="0.3">
      <c r="A5053" s="5"/>
      <c r="B5053" s="157"/>
      <c r="C5053" s="158"/>
      <c r="D5053" s="161"/>
      <c r="E5053" s="162"/>
      <c r="F5053" s="163"/>
      <c r="G5053" s="164"/>
      <c r="H5053" s="165"/>
      <c r="I5053" s="164"/>
      <c r="J5053" s="165"/>
      <c r="K5053" s="164"/>
      <c r="L5053" s="165"/>
      <c r="M5053" s="6"/>
      <c r="N5053" s="32"/>
      <c r="Q5053" s="10" t="str">
        <f>+CONCATENATE(E5052,I5052)</f>
        <v/>
      </c>
      <c r="R5053" s="10">
        <f>+J5052</f>
        <v>0</v>
      </c>
      <c r="S5053" s="11"/>
      <c r="T5053" s="10">
        <f>+E5052</f>
        <v>0</v>
      </c>
      <c r="U5053" s="19" t="str">
        <f>IFERROR(LEFT(I5052,FIND("*",I5052)-1),"-")</f>
        <v>-</v>
      </c>
      <c r="V5053" s="19" t="str">
        <f>IFERROR(RIGHT(I5052,LEN(I5052)-FIND("*",I5052)),"-")</f>
        <v>-</v>
      </c>
      <c r="W5053" s="20" t="str">
        <f t="shared" si="2746"/>
        <v>-</v>
      </c>
      <c r="X5053" s="20" t="str">
        <f>IFERROR(W5053*J5052,"-")</f>
        <v>-</v>
      </c>
      <c r="Z5053" s="85" t="s">
        <v>82</v>
      </c>
    </row>
    <row r="5054" spans="1:26" ht="6.95" customHeight="1" x14ac:dyDescent="0.3">
      <c r="A5054" s="5"/>
      <c r="B5054" s="157"/>
      <c r="C5054" s="158"/>
      <c r="D5054" s="161"/>
      <c r="E5054" s="162"/>
      <c r="F5054" s="163"/>
      <c r="G5054" s="164"/>
      <c r="H5054" s="165"/>
      <c r="I5054" s="164"/>
      <c r="J5054" s="165"/>
      <c r="K5054" s="164"/>
      <c r="L5054" s="165"/>
      <c r="M5054" s="6"/>
      <c r="N5054" s="32"/>
      <c r="Q5054" s="10" t="str">
        <f>+CONCATENATE(E5052,K5052)</f>
        <v/>
      </c>
      <c r="R5054" s="10">
        <f>+L5052</f>
        <v>0</v>
      </c>
      <c r="S5054" s="11"/>
      <c r="T5054" s="10">
        <f>+E5052</f>
        <v>0</v>
      </c>
      <c r="U5054" s="19" t="str">
        <f>IFERROR(LEFT(K5052,FIND("*",K5052)-1),"-")</f>
        <v>-</v>
      </c>
      <c r="V5054" s="19" t="str">
        <f>IFERROR(RIGHT(K5052,LEN(K5052)-FIND("*",K5052)),"-")</f>
        <v>-</v>
      </c>
      <c r="W5054" s="20" t="str">
        <f t="shared" si="2746"/>
        <v>-</v>
      </c>
      <c r="X5054" s="20" t="str">
        <f>IFERROR(W5054*L5052,"-")</f>
        <v>-</v>
      </c>
      <c r="Z5054" s="85" t="s">
        <v>82</v>
      </c>
    </row>
    <row r="5055" spans="1:26" ht="6.95" customHeight="1" x14ac:dyDescent="0.3">
      <c r="A5055" s="8"/>
      <c r="B5055" s="157"/>
      <c r="C5055" s="158"/>
      <c r="D5055" s="161" t="s">
        <v>39</v>
      </c>
      <c r="E5055" s="162"/>
      <c r="F5055" s="163" t="s">
        <v>40</v>
      </c>
      <c r="G5055" s="164"/>
      <c r="H5055" s="165"/>
      <c r="I5055" s="164"/>
      <c r="J5055" s="165"/>
      <c r="K5055" s="164"/>
      <c r="L5055" s="165"/>
      <c r="M5055" s="6"/>
      <c r="N5055" s="32"/>
      <c r="Q5055" s="10" t="str">
        <f>+CONCATENATE(E5055,G5055)</f>
        <v/>
      </c>
      <c r="R5055" s="10">
        <f>+H5055</f>
        <v>0</v>
      </c>
      <c r="S5055" s="11"/>
      <c r="T5055" s="10">
        <f>+E5055</f>
        <v>0</v>
      </c>
      <c r="U5055" s="19" t="str">
        <f t="shared" ref="U5055" si="2749">IFERROR(LEFT(G5055,FIND("*",G5055)-1),"-")</f>
        <v>-</v>
      </c>
      <c r="V5055" s="19" t="str">
        <f t="shared" ref="V5055" si="2750">IFERROR(RIGHT(G5055,LEN(G5055)-FIND("*",G5055)),"-")</f>
        <v>-</v>
      </c>
      <c r="W5055" s="20" t="str">
        <f t="shared" si="2746"/>
        <v>-</v>
      </c>
      <c r="X5055" s="20" t="str">
        <f>IFERROR(W5055*H5055,"-")</f>
        <v>-</v>
      </c>
      <c r="Z5055" s="85" t="s">
        <v>82</v>
      </c>
    </row>
    <row r="5056" spans="1:26" ht="6.95" customHeight="1" x14ac:dyDescent="0.3">
      <c r="A5056" s="5"/>
      <c r="B5056" s="157"/>
      <c r="C5056" s="158"/>
      <c r="D5056" s="161"/>
      <c r="E5056" s="162"/>
      <c r="F5056" s="163"/>
      <c r="G5056" s="164"/>
      <c r="H5056" s="165"/>
      <c r="I5056" s="164"/>
      <c r="J5056" s="165"/>
      <c r="K5056" s="164"/>
      <c r="L5056" s="165"/>
      <c r="M5056" s="6"/>
      <c r="N5056" s="32"/>
      <c r="Q5056" s="10" t="str">
        <f>+CONCATENATE(E5055,I5055)</f>
        <v/>
      </c>
      <c r="R5056" s="10">
        <f>+J5055</f>
        <v>0</v>
      </c>
      <c r="S5056" s="11"/>
      <c r="T5056" s="10">
        <f>+E5055</f>
        <v>0</v>
      </c>
      <c r="U5056" s="19" t="str">
        <f>IFERROR(LEFT(I5055,FIND("*",I5055)-1),"-")</f>
        <v>-</v>
      </c>
      <c r="V5056" s="19" t="str">
        <f>IFERROR(RIGHT(I5055,LEN(I5055)-FIND("*",I5055)),"-")</f>
        <v>-</v>
      </c>
      <c r="W5056" s="20" t="str">
        <f t="shared" si="2746"/>
        <v>-</v>
      </c>
      <c r="X5056" s="20" t="str">
        <f t="shared" ref="X5056" si="2751">IFERROR(W5056*J5055,"-")</f>
        <v>-</v>
      </c>
      <c r="Z5056" s="85" t="s">
        <v>82</v>
      </c>
    </row>
    <row r="5057" spans="1:26" ht="6.95" customHeight="1" x14ac:dyDescent="0.3">
      <c r="A5057" s="5"/>
      <c r="B5057" s="157"/>
      <c r="C5057" s="158"/>
      <c r="D5057" s="161"/>
      <c r="E5057" s="162"/>
      <c r="F5057" s="163"/>
      <c r="G5057" s="164"/>
      <c r="H5057" s="165"/>
      <c r="I5057" s="164"/>
      <c r="J5057" s="165"/>
      <c r="K5057" s="164"/>
      <c r="L5057" s="165"/>
      <c r="M5057" s="6"/>
      <c r="N5057" s="32"/>
      <c r="Q5057" s="10" t="str">
        <f>+CONCATENATE(E5055,K5055)</f>
        <v/>
      </c>
      <c r="R5057" s="10">
        <f>+L5055</f>
        <v>0</v>
      </c>
      <c r="S5057" s="11"/>
      <c r="T5057" s="10">
        <f>+E5055</f>
        <v>0</v>
      </c>
      <c r="U5057" s="19" t="str">
        <f>IFERROR(LEFT(K5055,FIND("*",K5055)-1),"-")</f>
        <v>-</v>
      </c>
      <c r="V5057" s="19" t="str">
        <f>IFERROR(RIGHT(K5055,LEN(K5055)-FIND("*",K5055)),"-")</f>
        <v>-</v>
      </c>
      <c r="W5057" s="20" t="str">
        <f t="shared" si="2746"/>
        <v>-</v>
      </c>
      <c r="X5057" s="20" t="str">
        <f>IFERROR(W5057*L5055,"-")</f>
        <v>-</v>
      </c>
      <c r="Z5057" s="85" t="s">
        <v>82</v>
      </c>
    </row>
    <row r="5058" spans="1:26" ht="21" customHeight="1" thickBot="1" x14ac:dyDescent="0.35">
      <c r="A5058" s="5"/>
      <c r="B5058" s="159"/>
      <c r="C5058" s="160"/>
      <c r="D5058" s="166" t="s">
        <v>43</v>
      </c>
      <c r="E5058" s="167"/>
      <c r="F5058" s="167"/>
      <c r="G5058" s="168"/>
      <c r="H5058" s="168"/>
      <c r="I5058" s="168"/>
      <c r="J5058" s="168"/>
      <c r="K5058" s="168"/>
      <c r="L5058" s="168"/>
      <c r="M5058" s="7"/>
      <c r="N5058" s="32"/>
      <c r="Z5058" s="86" t="s">
        <v>81</v>
      </c>
    </row>
    <row r="5059" spans="1:26" ht="9.9499999999999993" customHeight="1" thickBot="1" x14ac:dyDescent="0.35">
      <c r="B5059" s="9"/>
      <c r="C5059" s="109"/>
      <c r="D5059" s="51"/>
      <c r="E5059" s="12"/>
      <c r="F5059" s="51"/>
      <c r="G5059" s="14"/>
      <c r="H5059" s="14"/>
      <c r="I5059" s="14"/>
      <c r="J5059" s="14"/>
      <c r="K5059" s="14"/>
      <c r="L5059" s="14"/>
      <c r="M5059" s="9"/>
      <c r="N5059" s="32"/>
      <c r="U5059" s="18"/>
      <c r="V5059" s="18"/>
      <c r="Z5059" s="85" t="s">
        <v>82</v>
      </c>
    </row>
    <row r="5060" spans="1:26" ht="6.95" customHeight="1" x14ac:dyDescent="0.3">
      <c r="A5060" s="154">
        <f>+A5049+1</f>
        <v>1259</v>
      </c>
      <c r="B5060" s="155"/>
      <c r="C5060" s="156"/>
      <c r="D5060" s="161" t="s">
        <v>39</v>
      </c>
      <c r="E5060" s="162"/>
      <c r="F5060" s="163" t="s">
        <v>40</v>
      </c>
      <c r="G5060" s="164"/>
      <c r="H5060" s="165"/>
      <c r="I5060" s="164"/>
      <c r="J5060" s="165"/>
      <c r="K5060" s="164"/>
      <c r="L5060" s="165"/>
      <c r="M5060" s="6"/>
      <c r="N5060" s="32"/>
      <c r="Q5060" s="10" t="str">
        <f>+CONCATENATE(E5060,G5060)</f>
        <v/>
      </c>
      <c r="R5060" s="10">
        <f>+H5060</f>
        <v>0</v>
      </c>
      <c r="S5060" s="11"/>
      <c r="T5060" s="10">
        <f>+E5060</f>
        <v>0</v>
      </c>
      <c r="U5060" s="19" t="str">
        <f>IFERROR(LEFT(G5060,FIND("*",G5060)-1),"-")</f>
        <v>-</v>
      </c>
      <c r="V5060" s="19" t="str">
        <f>IFERROR(RIGHT(G5060,LEN(G5060)-FIND("*",G5060)),"-")</f>
        <v>-</v>
      </c>
      <c r="W5060" s="20" t="str">
        <f>IFERROR((U5060+V5060)*2/1000,"-")</f>
        <v>-</v>
      </c>
      <c r="X5060" s="20" t="str">
        <f>IFERROR(W5060*H5060,"-")</f>
        <v>-</v>
      </c>
      <c r="Z5060" s="85" t="s">
        <v>82</v>
      </c>
    </row>
    <row r="5061" spans="1:26" ht="6.95" customHeight="1" x14ac:dyDescent="0.3">
      <c r="A5061" s="154"/>
      <c r="B5061" s="157"/>
      <c r="C5061" s="158"/>
      <c r="D5061" s="161"/>
      <c r="E5061" s="162"/>
      <c r="F5061" s="163"/>
      <c r="G5061" s="164"/>
      <c r="H5061" s="165"/>
      <c r="I5061" s="164"/>
      <c r="J5061" s="165"/>
      <c r="K5061" s="164"/>
      <c r="L5061" s="165"/>
      <c r="M5061" s="6"/>
      <c r="N5061" s="32"/>
      <c r="Q5061" s="10" t="str">
        <f>+CONCATENATE(E5060,I5060)</f>
        <v/>
      </c>
      <c r="R5061" s="10">
        <f>+J5060</f>
        <v>0</v>
      </c>
      <c r="S5061" s="11"/>
      <c r="T5061" s="10">
        <f>+E5060</f>
        <v>0</v>
      </c>
      <c r="U5061" s="19" t="str">
        <f>IFERROR(LEFT(I5060,FIND("*",I5060)-1),"-")</f>
        <v>-</v>
      </c>
      <c r="V5061" s="19" t="str">
        <f>IFERROR(RIGHT(I5060,LEN(I5060)-FIND("*",I5060)),"-")</f>
        <v>-</v>
      </c>
      <c r="W5061" s="20" t="str">
        <f t="shared" ref="W5061:W5068" si="2752">IFERROR((U5061+V5061)*2/1000,"-")</f>
        <v>-</v>
      </c>
      <c r="X5061" s="20" t="str">
        <f>IFERROR(W5061*J5060,"-")</f>
        <v>-</v>
      </c>
      <c r="Z5061" s="85" t="s">
        <v>82</v>
      </c>
    </row>
    <row r="5062" spans="1:26" ht="6.95" customHeight="1" x14ac:dyDescent="0.3">
      <c r="A5062" s="154"/>
      <c r="B5062" s="157"/>
      <c r="C5062" s="158"/>
      <c r="D5062" s="161"/>
      <c r="E5062" s="162"/>
      <c r="F5062" s="163"/>
      <c r="G5062" s="164"/>
      <c r="H5062" s="165"/>
      <c r="I5062" s="164"/>
      <c r="J5062" s="165"/>
      <c r="K5062" s="164"/>
      <c r="L5062" s="165"/>
      <c r="M5062" s="6"/>
      <c r="N5062" s="32"/>
      <c r="Q5062" s="10" t="str">
        <f>+CONCATENATE(E5060,K5060)</f>
        <v/>
      </c>
      <c r="R5062" s="10">
        <f>+L5060</f>
        <v>0</v>
      </c>
      <c r="S5062" s="11"/>
      <c r="T5062" s="10">
        <f>+E5060</f>
        <v>0</v>
      </c>
      <c r="U5062" s="19" t="str">
        <f>IFERROR(LEFT(K5060,FIND("*",K5060)-1),"-")</f>
        <v>-</v>
      </c>
      <c r="V5062" s="19" t="str">
        <f>IFERROR(RIGHT(K5060,LEN(K5060)-FIND("*",K5060)),"-")</f>
        <v>-</v>
      </c>
      <c r="W5062" s="20" t="str">
        <f t="shared" si="2752"/>
        <v>-</v>
      </c>
      <c r="X5062" s="20" t="str">
        <f>IFERROR(W5062*L5060,"-")</f>
        <v>-</v>
      </c>
      <c r="Z5062" s="85" t="s">
        <v>82</v>
      </c>
    </row>
    <row r="5063" spans="1:26" ht="6.95" customHeight="1" x14ac:dyDescent="0.3">
      <c r="A5063" s="8"/>
      <c r="B5063" s="157"/>
      <c r="C5063" s="158"/>
      <c r="D5063" s="161" t="s">
        <v>39</v>
      </c>
      <c r="E5063" s="162"/>
      <c r="F5063" s="163" t="s">
        <v>40</v>
      </c>
      <c r="G5063" s="164"/>
      <c r="H5063" s="165"/>
      <c r="I5063" s="164"/>
      <c r="J5063" s="165"/>
      <c r="K5063" s="164"/>
      <c r="L5063" s="165"/>
      <c r="M5063" s="6"/>
      <c r="N5063" s="32"/>
      <c r="Q5063" s="10" t="str">
        <f>+CONCATENATE(E5063,G5063)</f>
        <v/>
      </c>
      <c r="R5063" s="10">
        <f>+H5063</f>
        <v>0</v>
      </c>
      <c r="S5063" s="11"/>
      <c r="T5063" s="10">
        <f>+E5063</f>
        <v>0</v>
      </c>
      <c r="U5063" s="19" t="str">
        <f t="shared" ref="U5063" si="2753">IFERROR(LEFT(G5063,FIND("*",G5063)-1),"-")</f>
        <v>-</v>
      </c>
      <c r="V5063" s="19" t="str">
        <f t="shared" ref="V5063" si="2754">IFERROR(RIGHT(G5063,LEN(G5063)-FIND("*",G5063)),"-")</f>
        <v>-</v>
      </c>
      <c r="W5063" s="20" t="str">
        <f t="shared" si="2752"/>
        <v>-</v>
      </c>
      <c r="X5063" s="20" t="str">
        <f>IFERROR(W5063*H5063,"-")</f>
        <v>-</v>
      </c>
      <c r="Z5063" s="85" t="s">
        <v>82</v>
      </c>
    </row>
    <row r="5064" spans="1:26" ht="6.95" customHeight="1" x14ac:dyDescent="0.3">
      <c r="A5064" s="5"/>
      <c r="B5064" s="157"/>
      <c r="C5064" s="158"/>
      <c r="D5064" s="161"/>
      <c r="E5064" s="162"/>
      <c r="F5064" s="163"/>
      <c r="G5064" s="164"/>
      <c r="H5064" s="165"/>
      <c r="I5064" s="164"/>
      <c r="J5064" s="165"/>
      <c r="K5064" s="164"/>
      <c r="L5064" s="165"/>
      <c r="M5064" s="6"/>
      <c r="N5064" s="32"/>
      <c r="Q5064" s="10" t="str">
        <f>+CONCATENATE(E5063,I5063)</f>
        <v/>
      </c>
      <c r="R5064" s="10">
        <f>+J5063</f>
        <v>0</v>
      </c>
      <c r="S5064" s="11"/>
      <c r="T5064" s="10">
        <f>+E5063</f>
        <v>0</v>
      </c>
      <c r="U5064" s="19" t="str">
        <f>IFERROR(LEFT(I5063,FIND("*",I5063)-1),"-")</f>
        <v>-</v>
      </c>
      <c r="V5064" s="19" t="str">
        <f>IFERROR(RIGHT(I5063,LEN(I5063)-FIND("*",I5063)),"-")</f>
        <v>-</v>
      </c>
      <c r="W5064" s="20" t="str">
        <f t="shared" si="2752"/>
        <v>-</v>
      </c>
      <c r="X5064" s="20" t="str">
        <f>IFERROR(W5064*J5063,"-")</f>
        <v>-</v>
      </c>
      <c r="Z5064" s="85" t="s">
        <v>82</v>
      </c>
    </row>
    <row r="5065" spans="1:26" ht="6.95" customHeight="1" x14ac:dyDescent="0.3">
      <c r="A5065" s="5"/>
      <c r="B5065" s="157"/>
      <c r="C5065" s="158"/>
      <c r="D5065" s="161"/>
      <c r="E5065" s="162"/>
      <c r="F5065" s="163"/>
      <c r="G5065" s="164"/>
      <c r="H5065" s="165"/>
      <c r="I5065" s="164"/>
      <c r="J5065" s="165"/>
      <c r="K5065" s="164"/>
      <c r="L5065" s="165"/>
      <c r="M5065" s="6"/>
      <c r="N5065" s="32"/>
      <c r="Q5065" s="10" t="str">
        <f>+CONCATENATE(E5063,K5063)</f>
        <v/>
      </c>
      <c r="R5065" s="10">
        <f>+L5063</f>
        <v>0</v>
      </c>
      <c r="S5065" s="11"/>
      <c r="T5065" s="10">
        <f>+E5063</f>
        <v>0</v>
      </c>
      <c r="U5065" s="19" t="str">
        <f>IFERROR(LEFT(K5063,FIND("*",K5063)-1),"-")</f>
        <v>-</v>
      </c>
      <c r="V5065" s="19" t="str">
        <f>IFERROR(RIGHT(K5063,LEN(K5063)-FIND("*",K5063)),"-")</f>
        <v>-</v>
      </c>
      <c r="W5065" s="20" t="str">
        <f t="shared" si="2752"/>
        <v>-</v>
      </c>
      <c r="X5065" s="20" t="str">
        <f>IFERROR(W5065*L5063,"-")</f>
        <v>-</v>
      </c>
      <c r="Z5065" s="85" t="s">
        <v>82</v>
      </c>
    </row>
    <row r="5066" spans="1:26" ht="6.95" customHeight="1" x14ac:dyDescent="0.3">
      <c r="A5066" s="8"/>
      <c r="B5066" s="157"/>
      <c r="C5066" s="158"/>
      <c r="D5066" s="161" t="s">
        <v>39</v>
      </c>
      <c r="E5066" s="162"/>
      <c r="F5066" s="163" t="s">
        <v>40</v>
      </c>
      <c r="G5066" s="164"/>
      <c r="H5066" s="165"/>
      <c r="I5066" s="164"/>
      <c r="J5066" s="165"/>
      <c r="K5066" s="164"/>
      <c r="L5066" s="165"/>
      <c r="M5066" s="6"/>
      <c r="N5066" s="32"/>
      <c r="Q5066" s="10" t="str">
        <f>+CONCATENATE(E5066,G5066)</f>
        <v/>
      </c>
      <c r="R5066" s="10">
        <f>+H5066</f>
        <v>0</v>
      </c>
      <c r="S5066" s="11"/>
      <c r="T5066" s="10">
        <f>+E5066</f>
        <v>0</v>
      </c>
      <c r="U5066" s="19" t="str">
        <f t="shared" ref="U5066" si="2755">IFERROR(LEFT(G5066,FIND("*",G5066)-1),"-")</f>
        <v>-</v>
      </c>
      <c r="V5066" s="19" t="str">
        <f t="shared" ref="V5066" si="2756">IFERROR(RIGHT(G5066,LEN(G5066)-FIND("*",G5066)),"-")</f>
        <v>-</v>
      </c>
      <c r="W5066" s="20" t="str">
        <f t="shared" si="2752"/>
        <v>-</v>
      </c>
      <c r="X5066" s="20" t="str">
        <f>IFERROR(W5066*H5066,"-")</f>
        <v>-</v>
      </c>
      <c r="Z5066" s="85" t="s">
        <v>82</v>
      </c>
    </row>
    <row r="5067" spans="1:26" ht="6.95" customHeight="1" x14ac:dyDescent="0.3">
      <c r="A5067" s="5"/>
      <c r="B5067" s="157"/>
      <c r="C5067" s="158"/>
      <c r="D5067" s="161"/>
      <c r="E5067" s="162"/>
      <c r="F5067" s="163"/>
      <c r="G5067" s="164"/>
      <c r="H5067" s="165"/>
      <c r="I5067" s="164"/>
      <c r="J5067" s="165"/>
      <c r="K5067" s="164"/>
      <c r="L5067" s="165"/>
      <c r="M5067" s="6"/>
      <c r="N5067" s="32"/>
      <c r="Q5067" s="10" t="str">
        <f>+CONCATENATE(E5066,I5066)</f>
        <v/>
      </c>
      <c r="R5067" s="10">
        <f>+J5066</f>
        <v>0</v>
      </c>
      <c r="S5067" s="11"/>
      <c r="T5067" s="10">
        <f>+E5066</f>
        <v>0</v>
      </c>
      <c r="U5067" s="19" t="str">
        <f>IFERROR(LEFT(I5066,FIND("*",I5066)-1),"-")</f>
        <v>-</v>
      </c>
      <c r="V5067" s="19" t="str">
        <f>IFERROR(RIGHT(I5066,LEN(I5066)-FIND("*",I5066)),"-")</f>
        <v>-</v>
      </c>
      <c r="W5067" s="20" t="str">
        <f t="shared" si="2752"/>
        <v>-</v>
      </c>
      <c r="X5067" s="20" t="str">
        <f t="shared" ref="X5067" si="2757">IFERROR(W5067*J5066,"-")</f>
        <v>-</v>
      </c>
      <c r="Z5067" s="85" t="s">
        <v>82</v>
      </c>
    </row>
    <row r="5068" spans="1:26" ht="6.95" customHeight="1" x14ac:dyDescent="0.3">
      <c r="A5068" s="5"/>
      <c r="B5068" s="157"/>
      <c r="C5068" s="158"/>
      <c r="D5068" s="161"/>
      <c r="E5068" s="162"/>
      <c r="F5068" s="163"/>
      <c r="G5068" s="164"/>
      <c r="H5068" s="165"/>
      <c r="I5068" s="164"/>
      <c r="J5068" s="165"/>
      <c r="K5068" s="164"/>
      <c r="L5068" s="165"/>
      <c r="M5068" s="6"/>
      <c r="N5068" s="32"/>
      <c r="Q5068" s="10" t="str">
        <f>+CONCATENATE(E5066,K5066)</f>
        <v/>
      </c>
      <c r="R5068" s="10">
        <f>+L5066</f>
        <v>0</v>
      </c>
      <c r="S5068" s="11"/>
      <c r="T5068" s="10">
        <f>+E5066</f>
        <v>0</v>
      </c>
      <c r="U5068" s="19" t="str">
        <f>IFERROR(LEFT(K5066,FIND("*",K5066)-1),"-")</f>
        <v>-</v>
      </c>
      <c r="V5068" s="19" t="str">
        <f>IFERROR(RIGHT(K5066,LEN(K5066)-FIND("*",K5066)),"-")</f>
        <v>-</v>
      </c>
      <c r="W5068" s="20" t="str">
        <f t="shared" si="2752"/>
        <v>-</v>
      </c>
      <c r="X5068" s="20" t="str">
        <f>IFERROR(W5068*L5066,"-")</f>
        <v>-</v>
      </c>
      <c r="Z5068" s="85" t="s">
        <v>82</v>
      </c>
    </row>
    <row r="5069" spans="1:26" ht="21" customHeight="1" thickBot="1" x14ac:dyDescent="0.35">
      <c r="A5069" s="5"/>
      <c r="B5069" s="159"/>
      <c r="C5069" s="160"/>
      <c r="D5069" s="166" t="s">
        <v>43</v>
      </c>
      <c r="E5069" s="167"/>
      <c r="F5069" s="167"/>
      <c r="G5069" s="168"/>
      <c r="H5069" s="168"/>
      <c r="I5069" s="168"/>
      <c r="J5069" s="168"/>
      <c r="K5069" s="168"/>
      <c r="L5069" s="168"/>
      <c r="M5069" s="7"/>
      <c r="N5069" s="32"/>
      <c r="Z5069" s="86" t="s">
        <v>81</v>
      </c>
    </row>
    <row r="5070" spans="1:26" ht="9.9499999999999993" customHeight="1" thickBot="1" x14ac:dyDescent="0.35">
      <c r="B5070" s="9"/>
      <c r="C5070" s="109"/>
      <c r="D5070" s="51"/>
      <c r="E5070" s="12"/>
      <c r="F5070" s="51"/>
      <c r="G5070" s="14"/>
      <c r="H5070" s="14"/>
      <c r="I5070" s="14"/>
      <c r="J5070" s="14"/>
      <c r="K5070" s="14"/>
      <c r="L5070" s="14"/>
      <c r="M5070" s="9"/>
      <c r="N5070" s="32"/>
      <c r="U5070" s="18"/>
      <c r="V5070" s="18"/>
      <c r="Z5070" s="85" t="s">
        <v>82</v>
      </c>
    </row>
    <row r="5071" spans="1:26" ht="6.95" customHeight="1" x14ac:dyDescent="0.3">
      <c r="A5071" s="154">
        <f>+A5060+1</f>
        <v>1260</v>
      </c>
      <c r="B5071" s="155"/>
      <c r="C5071" s="156"/>
      <c r="D5071" s="161" t="s">
        <v>39</v>
      </c>
      <c r="E5071" s="162"/>
      <c r="F5071" s="163" t="s">
        <v>40</v>
      </c>
      <c r="G5071" s="164"/>
      <c r="H5071" s="165"/>
      <c r="I5071" s="164"/>
      <c r="J5071" s="165"/>
      <c r="K5071" s="164"/>
      <c r="L5071" s="165"/>
      <c r="M5071" s="6"/>
      <c r="N5071" s="32"/>
      <c r="Q5071" s="10" t="str">
        <f>+CONCATENATE(E5071,G5071)</f>
        <v/>
      </c>
      <c r="R5071" s="10">
        <f>+H5071</f>
        <v>0</v>
      </c>
      <c r="S5071" s="11"/>
      <c r="T5071" s="10">
        <f>+E5071</f>
        <v>0</v>
      </c>
      <c r="U5071" s="19" t="str">
        <f>IFERROR(LEFT(G5071,FIND("*",G5071)-1),"-")</f>
        <v>-</v>
      </c>
      <c r="V5071" s="19" t="str">
        <f>IFERROR(RIGHT(G5071,LEN(G5071)-FIND("*",G5071)),"-")</f>
        <v>-</v>
      </c>
      <c r="W5071" s="20" t="str">
        <f>IFERROR((U5071+V5071)*2/1000,"-")</f>
        <v>-</v>
      </c>
      <c r="X5071" s="20" t="str">
        <f>IFERROR(W5071*H5071,"-")</f>
        <v>-</v>
      </c>
      <c r="Z5071" s="85" t="s">
        <v>82</v>
      </c>
    </row>
    <row r="5072" spans="1:26" ht="6.95" customHeight="1" x14ac:dyDescent="0.3">
      <c r="A5072" s="154"/>
      <c r="B5072" s="157"/>
      <c r="C5072" s="158"/>
      <c r="D5072" s="161"/>
      <c r="E5072" s="162"/>
      <c r="F5072" s="163"/>
      <c r="G5072" s="164"/>
      <c r="H5072" s="165"/>
      <c r="I5072" s="164"/>
      <c r="J5072" s="165"/>
      <c r="K5072" s="164"/>
      <c r="L5072" s="165"/>
      <c r="M5072" s="6"/>
      <c r="N5072" s="32"/>
      <c r="Q5072" s="10" t="str">
        <f>+CONCATENATE(E5071,I5071)</f>
        <v/>
      </c>
      <c r="R5072" s="10">
        <f>+J5071</f>
        <v>0</v>
      </c>
      <c r="S5072" s="11"/>
      <c r="T5072" s="10">
        <f>+E5071</f>
        <v>0</v>
      </c>
      <c r="U5072" s="19" t="str">
        <f>IFERROR(LEFT(I5071,FIND("*",I5071)-1),"-")</f>
        <v>-</v>
      </c>
      <c r="V5072" s="19" t="str">
        <f>IFERROR(RIGHT(I5071,LEN(I5071)-FIND("*",I5071)),"-")</f>
        <v>-</v>
      </c>
      <c r="W5072" s="20" t="str">
        <f t="shared" ref="W5072:W5079" si="2758">IFERROR((U5072+V5072)*2/1000,"-")</f>
        <v>-</v>
      </c>
      <c r="X5072" s="20" t="str">
        <f>IFERROR(W5072*J5071,"-")</f>
        <v>-</v>
      </c>
      <c r="Z5072" s="85" t="s">
        <v>82</v>
      </c>
    </row>
    <row r="5073" spans="1:26" ht="6.95" customHeight="1" x14ac:dyDescent="0.3">
      <c r="A5073" s="154"/>
      <c r="B5073" s="157"/>
      <c r="C5073" s="158"/>
      <c r="D5073" s="161"/>
      <c r="E5073" s="162"/>
      <c r="F5073" s="163"/>
      <c r="G5073" s="164"/>
      <c r="H5073" s="165"/>
      <c r="I5073" s="164"/>
      <c r="J5073" s="165"/>
      <c r="K5073" s="164"/>
      <c r="L5073" s="165"/>
      <c r="M5073" s="6"/>
      <c r="N5073" s="32"/>
      <c r="Q5073" s="10" t="str">
        <f>+CONCATENATE(E5071,K5071)</f>
        <v/>
      </c>
      <c r="R5073" s="10">
        <f>+L5071</f>
        <v>0</v>
      </c>
      <c r="S5073" s="11"/>
      <c r="T5073" s="10">
        <f>+E5071</f>
        <v>0</v>
      </c>
      <c r="U5073" s="19" t="str">
        <f>IFERROR(LEFT(K5071,FIND("*",K5071)-1),"-")</f>
        <v>-</v>
      </c>
      <c r="V5073" s="19" t="str">
        <f>IFERROR(RIGHT(K5071,LEN(K5071)-FIND("*",K5071)),"-")</f>
        <v>-</v>
      </c>
      <c r="W5073" s="20" t="str">
        <f t="shared" si="2758"/>
        <v>-</v>
      </c>
      <c r="X5073" s="20" t="str">
        <f>IFERROR(W5073*L5071,"-")</f>
        <v>-</v>
      </c>
      <c r="Z5073" s="85" t="s">
        <v>82</v>
      </c>
    </row>
    <row r="5074" spans="1:26" ht="6.95" customHeight="1" x14ac:dyDescent="0.3">
      <c r="A5074" s="8"/>
      <c r="B5074" s="157"/>
      <c r="C5074" s="158"/>
      <c r="D5074" s="161" t="s">
        <v>39</v>
      </c>
      <c r="E5074" s="162"/>
      <c r="F5074" s="163" t="s">
        <v>40</v>
      </c>
      <c r="G5074" s="164"/>
      <c r="H5074" s="165"/>
      <c r="I5074" s="164"/>
      <c r="J5074" s="165"/>
      <c r="K5074" s="164"/>
      <c r="L5074" s="165"/>
      <c r="M5074" s="6"/>
      <c r="N5074" s="32"/>
      <c r="Q5074" s="10" t="str">
        <f>+CONCATENATE(E5074,G5074)</f>
        <v/>
      </c>
      <c r="R5074" s="10">
        <f>+H5074</f>
        <v>0</v>
      </c>
      <c r="S5074" s="11"/>
      <c r="T5074" s="10">
        <f>+E5074</f>
        <v>0</v>
      </c>
      <c r="U5074" s="19" t="str">
        <f t="shared" ref="U5074" si="2759">IFERROR(LEFT(G5074,FIND("*",G5074)-1),"-")</f>
        <v>-</v>
      </c>
      <c r="V5074" s="19" t="str">
        <f t="shared" ref="V5074" si="2760">IFERROR(RIGHT(G5074,LEN(G5074)-FIND("*",G5074)),"-")</f>
        <v>-</v>
      </c>
      <c r="W5074" s="20" t="str">
        <f t="shared" si="2758"/>
        <v>-</v>
      </c>
      <c r="X5074" s="20" t="str">
        <f>IFERROR(W5074*H5074,"-")</f>
        <v>-</v>
      </c>
      <c r="Z5074" s="85" t="s">
        <v>82</v>
      </c>
    </row>
    <row r="5075" spans="1:26" ht="6.95" customHeight="1" x14ac:dyDescent="0.3">
      <c r="A5075" s="5"/>
      <c r="B5075" s="157"/>
      <c r="C5075" s="158"/>
      <c r="D5075" s="161"/>
      <c r="E5075" s="162"/>
      <c r="F5075" s="163"/>
      <c r="G5075" s="164"/>
      <c r="H5075" s="165"/>
      <c r="I5075" s="164"/>
      <c r="J5075" s="165"/>
      <c r="K5075" s="164"/>
      <c r="L5075" s="165"/>
      <c r="M5075" s="6"/>
      <c r="N5075" s="32"/>
      <c r="Q5075" s="10" t="str">
        <f>+CONCATENATE(E5074,I5074)</f>
        <v/>
      </c>
      <c r="R5075" s="10">
        <f>+J5074</f>
        <v>0</v>
      </c>
      <c r="S5075" s="11"/>
      <c r="T5075" s="10">
        <f>+E5074</f>
        <v>0</v>
      </c>
      <c r="U5075" s="19" t="str">
        <f>IFERROR(LEFT(I5074,FIND("*",I5074)-1),"-")</f>
        <v>-</v>
      </c>
      <c r="V5075" s="19" t="str">
        <f>IFERROR(RIGHT(I5074,LEN(I5074)-FIND("*",I5074)),"-")</f>
        <v>-</v>
      </c>
      <c r="W5075" s="20" t="str">
        <f t="shared" si="2758"/>
        <v>-</v>
      </c>
      <c r="X5075" s="20" t="str">
        <f>IFERROR(W5075*J5074,"-")</f>
        <v>-</v>
      </c>
      <c r="Z5075" s="85" t="s">
        <v>82</v>
      </c>
    </row>
    <row r="5076" spans="1:26" ht="6.95" customHeight="1" x14ac:dyDescent="0.3">
      <c r="A5076" s="5"/>
      <c r="B5076" s="157"/>
      <c r="C5076" s="158"/>
      <c r="D5076" s="161"/>
      <c r="E5076" s="162"/>
      <c r="F5076" s="163"/>
      <c r="G5076" s="164"/>
      <c r="H5076" s="165"/>
      <c r="I5076" s="164"/>
      <c r="J5076" s="165"/>
      <c r="K5076" s="164"/>
      <c r="L5076" s="165"/>
      <c r="M5076" s="6"/>
      <c r="N5076" s="32"/>
      <c r="Q5076" s="10" t="str">
        <f>+CONCATENATE(E5074,K5074)</f>
        <v/>
      </c>
      <c r="R5076" s="10">
        <f>+L5074</f>
        <v>0</v>
      </c>
      <c r="S5076" s="11"/>
      <c r="T5076" s="10">
        <f>+E5074</f>
        <v>0</v>
      </c>
      <c r="U5076" s="19" t="str">
        <f>IFERROR(LEFT(K5074,FIND("*",K5074)-1),"-")</f>
        <v>-</v>
      </c>
      <c r="V5076" s="19" t="str">
        <f>IFERROR(RIGHT(K5074,LEN(K5074)-FIND("*",K5074)),"-")</f>
        <v>-</v>
      </c>
      <c r="W5076" s="20" t="str">
        <f t="shared" si="2758"/>
        <v>-</v>
      </c>
      <c r="X5076" s="20" t="str">
        <f>IFERROR(W5076*L5074,"-")</f>
        <v>-</v>
      </c>
      <c r="Z5076" s="85" t="s">
        <v>82</v>
      </c>
    </row>
    <row r="5077" spans="1:26" ht="6.95" customHeight="1" x14ac:dyDescent="0.3">
      <c r="A5077" s="8"/>
      <c r="B5077" s="157"/>
      <c r="C5077" s="158"/>
      <c r="D5077" s="161" t="s">
        <v>39</v>
      </c>
      <c r="E5077" s="162"/>
      <c r="F5077" s="163" t="s">
        <v>40</v>
      </c>
      <c r="G5077" s="164"/>
      <c r="H5077" s="165"/>
      <c r="I5077" s="164"/>
      <c r="J5077" s="165"/>
      <c r="K5077" s="164"/>
      <c r="L5077" s="165"/>
      <c r="M5077" s="6"/>
      <c r="N5077" s="32"/>
      <c r="Q5077" s="10" t="str">
        <f>+CONCATENATE(E5077,G5077)</f>
        <v/>
      </c>
      <c r="R5077" s="10">
        <f>+H5077</f>
        <v>0</v>
      </c>
      <c r="S5077" s="11"/>
      <c r="T5077" s="10">
        <f>+E5077</f>
        <v>0</v>
      </c>
      <c r="U5077" s="19" t="str">
        <f t="shared" ref="U5077" si="2761">IFERROR(LEFT(G5077,FIND("*",G5077)-1),"-")</f>
        <v>-</v>
      </c>
      <c r="V5077" s="19" t="str">
        <f t="shared" ref="V5077" si="2762">IFERROR(RIGHT(G5077,LEN(G5077)-FIND("*",G5077)),"-")</f>
        <v>-</v>
      </c>
      <c r="W5077" s="20" t="str">
        <f t="shared" si="2758"/>
        <v>-</v>
      </c>
      <c r="X5077" s="20" t="str">
        <f>IFERROR(W5077*H5077,"-")</f>
        <v>-</v>
      </c>
      <c r="Z5077" s="85" t="s">
        <v>82</v>
      </c>
    </row>
    <row r="5078" spans="1:26" ht="6.95" customHeight="1" x14ac:dyDescent="0.3">
      <c r="A5078" s="5"/>
      <c r="B5078" s="157"/>
      <c r="C5078" s="158"/>
      <c r="D5078" s="161"/>
      <c r="E5078" s="162"/>
      <c r="F5078" s="163"/>
      <c r="G5078" s="164"/>
      <c r="H5078" s="165"/>
      <c r="I5078" s="164"/>
      <c r="J5078" s="165"/>
      <c r="K5078" s="164"/>
      <c r="L5078" s="165"/>
      <c r="M5078" s="6"/>
      <c r="N5078" s="32"/>
      <c r="Q5078" s="10" t="str">
        <f>+CONCATENATE(E5077,I5077)</f>
        <v/>
      </c>
      <c r="R5078" s="10">
        <f>+J5077</f>
        <v>0</v>
      </c>
      <c r="S5078" s="11"/>
      <c r="T5078" s="10">
        <f>+E5077</f>
        <v>0</v>
      </c>
      <c r="U5078" s="19" t="str">
        <f>IFERROR(LEFT(I5077,FIND("*",I5077)-1),"-")</f>
        <v>-</v>
      </c>
      <c r="V5078" s="19" t="str">
        <f>IFERROR(RIGHT(I5077,LEN(I5077)-FIND("*",I5077)),"-")</f>
        <v>-</v>
      </c>
      <c r="W5078" s="20" t="str">
        <f t="shared" si="2758"/>
        <v>-</v>
      </c>
      <c r="X5078" s="20" t="str">
        <f t="shared" ref="X5078" si="2763">IFERROR(W5078*J5077,"-")</f>
        <v>-</v>
      </c>
      <c r="Z5078" s="85" t="s">
        <v>82</v>
      </c>
    </row>
    <row r="5079" spans="1:26" ht="6.95" customHeight="1" x14ac:dyDescent="0.3">
      <c r="A5079" s="5"/>
      <c r="B5079" s="157"/>
      <c r="C5079" s="158"/>
      <c r="D5079" s="161"/>
      <c r="E5079" s="162"/>
      <c r="F5079" s="163"/>
      <c r="G5079" s="164"/>
      <c r="H5079" s="165"/>
      <c r="I5079" s="164"/>
      <c r="J5079" s="165"/>
      <c r="K5079" s="164"/>
      <c r="L5079" s="165"/>
      <c r="M5079" s="6"/>
      <c r="N5079" s="32"/>
      <c r="Q5079" s="10" t="str">
        <f>+CONCATENATE(E5077,K5077)</f>
        <v/>
      </c>
      <c r="R5079" s="10">
        <f>+L5077</f>
        <v>0</v>
      </c>
      <c r="S5079" s="11"/>
      <c r="T5079" s="10">
        <f>+E5077</f>
        <v>0</v>
      </c>
      <c r="U5079" s="19" t="str">
        <f>IFERROR(LEFT(K5077,FIND("*",K5077)-1),"-")</f>
        <v>-</v>
      </c>
      <c r="V5079" s="19" t="str">
        <f>IFERROR(RIGHT(K5077,LEN(K5077)-FIND("*",K5077)),"-")</f>
        <v>-</v>
      </c>
      <c r="W5079" s="20" t="str">
        <f t="shared" si="2758"/>
        <v>-</v>
      </c>
      <c r="X5079" s="20" t="str">
        <f>IFERROR(W5079*L5077,"-")</f>
        <v>-</v>
      </c>
      <c r="Z5079" s="85" t="s">
        <v>82</v>
      </c>
    </row>
    <row r="5080" spans="1:26" ht="21" customHeight="1" thickBot="1" x14ac:dyDescent="0.35">
      <c r="A5080" s="5"/>
      <c r="B5080" s="159"/>
      <c r="C5080" s="160"/>
      <c r="D5080" s="166" t="s">
        <v>43</v>
      </c>
      <c r="E5080" s="167"/>
      <c r="F5080" s="167"/>
      <c r="G5080" s="168"/>
      <c r="H5080" s="168"/>
      <c r="I5080" s="168"/>
      <c r="J5080" s="168"/>
      <c r="K5080" s="168"/>
      <c r="L5080" s="168"/>
      <c r="M5080" s="7"/>
      <c r="N5080" s="32"/>
      <c r="Z5080" s="86" t="s">
        <v>81</v>
      </c>
    </row>
    <row r="5081" spans="1:26" ht="9.9499999999999993" customHeight="1" thickBot="1" x14ac:dyDescent="0.35">
      <c r="B5081" s="9"/>
      <c r="C5081" s="109"/>
      <c r="D5081" s="51"/>
      <c r="E5081" s="12"/>
      <c r="F5081" s="51"/>
      <c r="G5081" s="14"/>
      <c r="H5081" s="14"/>
      <c r="I5081" s="14"/>
      <c r="J5081" s="14"/>
      <c r="K5081" s="14"/>
      <c r="L5081" s="14"/>
      <c r="M5081" s="9"/>
      <c r="N5081" s="32"/>
      <c r="U5081" s="18"/>
      <c r="V5081" s="18"/>
      <c r="Z5081" s="85" t="s">
        <v>82</v>
      </c>
    </row>
    <row r="5082" spans="1:26" ht="6.95" customHeight="1" x14ac:dyDescent="0.3">
      <c r="A5082" s="154">
        <f>+A5071+1</f>
        <v>1261</v>
      </c>
      <c r="B5082" s="155"/>
      <c r="C5082" s="156"/>
      <c r="D5082" s="161" t="s">
        <v>39</v>
      </c>
      <c r="E5082" s="162"/>
      <c r="F5082" s="163" t="s">
        <v>40</v>
      </c>
      <c r="G5082" s="164"/>
      <c r="H5082" s="165"/>
      <c r="I5082" s="164"/>
      <c r="J5082" s="165"/>
      <c r="K5082" s="164"/>
      <c r="L5082" s="165"/>
      <c r="M5082" s="6"/>
      <c r="N5082" s="32"/>
      <c r="Q5082" s="10" t="str">
        <f>+CONCATENATE(E5082,G5082)</f>
        <v/>
      </c>
      <c r="R5082" s="10">
        <f>+H5082</f>
        <v>0</v>
      </c>
      <c r="S5082" s="11"/>
      <c r="T5082" s="10">
        <f>+E5082</f>
        <v>0</v>
      </c>
      <c r="U5082" s="19" t="str">
        <f>IFERROR(LEFT(G5082,FIND("*",G5082)-1),"-")</f>
        <v>-</v>
      </c>
      <c r="V5082" s="19" t="str">
        <f>IFERROR(RIGHT(G5082,LEN(G5082)-FIND("*",G5082)),"-")</f>
        <v>-</v>
      </c>
      <c r="W5082" s="20" t="str">
        <f>IFERROR((U5082+V5082)*2/1000,"-")</f>
        <v>-</v>
      </c>
      <c r="X5082" s="20" t="str">
        <f>IFERROR(W5082*H5082,"-")</f>
        <v>-</v>
      </c>
      <c r="Z5082" s="85" t="s">
        <v>82</v>
      </c>
    </row>
    <row r="5083" spans="1:26" ht="6.95" customHeight="1" x14ac:dyDescent="0.3">
      <c r="A5083" s="154"/>
      <c r="B5083" s="157"/>
      <c r="C5083" s="158"/>
      <c r="D5083" s="161"/>
      <c r="E5083" s="162"/>
      <c r="F5083" s="163"/>
      <c r="G5083" s="164"/>
      <c r="H5083" s="165"/>
      <c r="I5083" s="164"/>
      <c r="J5083" s="165"/>
      <c r="K5083" s="164"/>
      <c r="L5083" s="165"/>
      <c r="M5083" s="6"/>
      <c r="N5083" s="32"/>
      <c r="Q5083" s="10" t="str">
        <f>+CONCATENATE(E5082,I5082)</f>
        <v/>
      </c>
      <c r="R5083" s="10">
        <f>+J5082</f>
        <v>0</v>
      </c>
      <c r="S5083" s="11"/>
      <c r="T5083" s="10">
        <f>+E5082</f>
        <v>0</v>
      </c>
      <c r="U5083" s="19" t="str">
        <f>IFERROR(LEFT(I5082,FIND("*",I5082)-1),"-")</f>
        <v>-</v>
      </c>
      <c r="V5083" s="19" t="str">
        <f>IFERROR(RIGHT(I5082,LEN(I5082)-FIND("*",I5082)),"-")</f>
        <v>-</v>
      </c>
      <c r="W5083" s="20" t="str">
        <f t="shared" ref="W5083:W5090" si="2764">IFERROR((U5083+V5083)*2/1000,"-")</f>
        <v>-</v>
      </c>
      <c r="X5083" s="20" t="str">
        <f>IFERROR(W5083*J5082,"-")</f>
        <v>-</v>
      </c>
      <c r="Z5083" s="85" t="s">
        <v>82</v>
      </c>
    </row>
    <row r="5084" spans="1:26" ht="6.95" customHeight="1" x14ac:dyDescent="0.3">
      <c r="A5084" s="154"/>
      <c r="B5084" s="157"/>
      <c r="C5084" s="158"/>
      <c r="D5084" s="161"/>
      <c r="E5084" s="162"/>
      <c r="F5084" s="163"/>
      <c r="G5084" s="164"/>
      <c r="H5084" s="165"/>
      <c r="I5084" s="164"/>
      <c r="J5084" s="165"/>
      <c r="K5084" s="164"/>
      <c r="L5084" s="165"/>
      <c r="M5084" s="6"/>
      <c r="N5084" s="32"/>
      <c r="Q5084" s="10" t="str">
        <f>+CONCATENATE(E5082,K5082)</f>
        <v/>
      </c>
      <c r="R5084" s="10">
        <f>+L5082</f>
        <v>0</v>
      </c>
      <c r="S5084" s="11"/>
      <c r="T5084" s="10">
        <f>+E5082</f>
        <v>0</v>
      </c>
      <c r="U5084" s="19" t="str">
        <f>IFERROR(LEFT(K5082,FIND("*",K5082)-1),"-")</f>
        <v>-</v>
      </c>
      <c r="V5084" s="19" t="str">
        <f>IFERROR(RIGHT(K5082,LEN(K5082)-FIND("*",K5082)),"-")</f>
        <v>-</v>
      </c>
      <c r="W5084" s="20" t="str">
        <f t="shared" si="2764"/>
        <v>-</v>
      </c>
      <c r="X5084" s="20" t="str">
        <f>IFERROR(W5084*L5082,"-")</f>
        <v>-</v>
      </c>
      <c r="Z5084" s="85" t="s">
        <v>82</v>
      </c>
    </row>
    <row r="5085" spans="1:26" ht="6.95" customHeight="1" x14ac:dyDescent="0.3">
      <c r="A5085" s="8"/>
      <c r="B5085" s="157"/>
      <c r="C5085" s="158"/>
      <c r="D5085" s="161" t="s">
        <v>39</v>
      </c>
      <c r="E5085" s="162"/>
      <c r="F5085" s="163" t="s">
        <v>40</v>
      </c>
      <c r="G5085" s="164"/>
      <c r="H5085" s="165"/>
      <c r="I5085" s="164"/>
      <c r="J5085" s="165"/>
      <c r="K5085" s="164"/>
      <c r="L5085" s="165"/>
      <c r="M5085" s="6"/>
      <c r="N5085" s="32"/>
      <c r="Q5085" s="10" t="str">
        <f>+CONCATENATE(E5085,G5085)</f>
        <v/>
      </c>
      <c r="R5085" s="10">
        <f>+H5085</f>
        <v>0</v>
      </c>
      <c r="S5085" s="11"/>
      <c r="T5085" s="10">
        <f>+E5085</f>
        <v>0</v>
      </c>
      <c r="U5085" s="19" t="str">
        <f t="shared" ref="U5085" si="2765">IFERROR(LEFT(G5085,FIND("*",G5085)-1),"-")</f>
        <v>-</v>
      </c>
      <c r="V5085" s="19" t="str">
        <f t="shared" ref="V5085" si="2766">IFERROR(RIGHT(G5085,LEN(G5085)-FIND("*",G5085)),"-")</f>
        <v>-</v>
      </c>
      <c r="W5085" s="20" t="str">
        <f t="shared" si="2764"/>
        <v>-</v>
      </c>
      <c r="X5085" s="20" t="str">
        <f>IFERROR(W5085*H5085,"-")</f>
        <v>-</v>
      </c>
      <c r="Z5085" s="85" t="s">
        <v>82</v>
      </c>
    </row>
    <row r="5086" spans="1:26" ht="6.95" customHeight="1" x14ac:dyDescent="0.3">
      <c r="A5086" s="5"/>
      <c r="B5086" s="157"/>
      <c r="C5086" s="158"/>
      <c r="D5086" s="161"/>
      <c r="E5086" s="162"/>
      <c r="F5086" s="163"/>
      <c r="G5086" s="164"/>
      <c r="H5086" s="165"/>
      <c r="I5086" s="164"/>
      <c r="J5086" s="165"/>
      <c r="K5086" s="164"/>
      <c r="L5086" s="165"/>
      <c r="M5086" s="6"/>
      <c r="N5086" s="32"/>
      <c r="Q5086" s="10" t="str">
        <f>+CONCATENATE(E5085,I5085)</f>
        <v/>
      </c>
      <c r="R5086" s="10">
        <f>+J5085</f>
        <v>0</v>
      </c>
      <c r="S5086" s="11"/>
      <c r="T5086" s="10">
        <f>+E5085</f>
        <v>0</v>
      </c>
      <c r="U5086" s="19" t="str">
        <f>IFERROR(LEFT(I5085,FIND("*",I5085)-1),"-")</f>
        <v>-</v>
      </c>
      <c r="V5086" s="19" t="str">
        <f>IFERROR(RIGHT(I5085,LEN(I5085)-FIND("*",I5085)),"-")</f>
        <v>-</v>
      </c>
      <c r="W5086" s="20" t="str">
        <f t="shared" si="2764"/>
        <v>-</v>
      </c>
      <c r="X5086" s="20" t="str">
        <f>IFERROR(W5086*J5085,"-")</f>
        <v>-</v>
      </c>
      <c r="Z5086" s="85" t="s">
        <v>82</v>
      </c>
    </row>
    <row r="5087" spans="1:26" ht="6.95" customHeight="1" x14ac:dyDescent="0.3">
      <c r="A5087" s="5"/>
      <c r="B5087" s="157"/>
      <c r="C5087" s="158"/>
      <c r="D5087" s="161"/>
      <c r="E5087" s="162"/>
      <c r="F5087" s="163"/>
      <c r="G5087" s="164"/>
      <c r="H5087" s="165"/>
      <c r="I5087" s="164"/>
      <c r="J5087" s="165"/>
      <c r="K5087" s="164"/>
      <c r="L5087" s="165"/>
      <c r="M5087" s="6"/>
      <c r="N5087" s="32"/>
      <c r="Q5087" s="10" t="str">
        <f>+CONCATENATE(E5085,K5085)</f>
        <v/>
      </c>
      <c r="R5087" s="10">
        <f>+L5085</f>
        <v>0</v>
      </c>
      <c r="S5087" s="11"/>
      <c r="T5087" s="10">
        <f>+E5085</f>
        <v>0</v>
      </c>
      <c r="U5087" s="19" t="str">
        <f>IFERROR(LEFT(K5085,FIND("*",K5085)-1),"-")</f>
        <v>-</v>
      </c>
      <c r="V5087" s="19" t="str">
        <f>IFERROR(RIGHT(K5085,LEN(K5085)-FIND("*",K5085)),"-")</f>
        <v>-</v>
      </c>
      <c r="W5087" s="20" t="str">
        <f t="shared" si="2764"/>
        <v>-</v>
      </c>
      <c r="X5087" s="20" t="str">
        <f>IFERROR(W5087*L5085,"-")</f>
        <v>-</v>
      </c>
      <c r="Z5087" s="85" t="s">
        <v>82</v>
      </c>
    </row>
    <row r="5088" spans="1:26" ht="6.95" customHeight="1" x14ac:dyDescent="0.3">
      <c r="A5088" s="8"/>
      <c r="B5088" s="157"/>
      <c r="C5088" s="158"/>
      <c r="D5088" s="161" t="s">
        <v>39</v>
      </c>
      <c r="E5088" s="162"/>
      <c r="F5088" s="163" t="s">
        <v>40</v>
      </c>
      <c r="G5088" s="164"/>
      <c r="H5088" s="165"/>
      <c r="I5088" s="164"/>
      <c r="J5088" s="165"/>
      <c r="K5088" s="164"/>
      <c r="L5088" s="165"/>
      <c r="M5088" s="6"/>
      <c r="N5088" s="32"/>
      <c r="Q5088" s="10" t="str">
        <f>+CONCATENATE(E5088,G5088)</f>
        <v/>
      </c>
      <c r="R5088" s="10">
        <f>+H5088</f>
        <v>0</v>
      </c>
      <c r="S5088" s="11"/>
      <c r="T5088" s="10">
        <f>+E5088</f>
        <v>0</v>
      </c>
      <c r="U5088" s="19" t="str">
        <f t="shared" ref="U5088" si="2767">IFERROR(LEFT(G5088,FIND("*",G5088)-1),"-")</f>
        <v>-</v>
      </c>
      <c r="V5088" s="19" t="str">
        <f t="shared" ref="V5088" si="2768">IFERROR(RIGHT(G5088,LEN(G5088)-FIND("*",G5088)),"-")</f>
        <v>-</v>
      </c>
      <c r="W5088" s="20" t="str">
        <f t="shared" si="2764"/>
        <v>-</v>
      </c>
      <c r="X5088" s="20" t="str">
        <f>IFERROR(W5088*H5088,"-")</f>
        <v>-</v>
      </c>
      <c r="Z5088" s="85" t="s">
        <v>82</v>
      </c>
    </row>
    <row r="5089" spans="1:26" ht="6.95" customHeight="1" x14ac:dyDescent="0.3">
      <c r="A5089" s="5"/>
      <c r="B5089" s="157"/>
      <c r="C5089" s="158"/>
      <c r="D5089" s="161"/>
      <c r="E5089" s="162"/>
      <c r="F5089" s="163"/>
      <c r="G5089" s="164"/>
      <c r="H5089" s="165"/>
      <c r="I5089" s="164"/>
      <c r="J5089" s="165"/>
      <c r="K5089" s="164"/>
      <c r="L5089" s="165"/>
      <c r="M5089" s="6"/>
      <c r="N5089" s="32"/>
      <c r="Q5089" s="10" t="str">
        <f>+CONCATENATE(E5088,I5088)</f>
        <v/>
      </c>
      <c r="R5089" s="10">
        <f>+J5088</f>
        <v>0</v>
      </c>
      <c r="S5089" s="11"/>
      <c r="T5089" s="10">
        <f>+E5088</f>
        <v>0</v>
      </c>
      <c r="U5089" s="19" t="str">
        <f>IFERROR(LEFT(I5088,FIND("*",I5088)-1),"-")</f>
        <v>-</v>
      </c>
      <c r="V5089" s="19" t="str">
        <f>IFERROR(RIGHT(I5088,LEN(I5088)-FIND("*",I5088)),"-")</f>
        <v>-</v>
      </c>
      <c r="W5089" s="20" t="str">
        <f t="shared" si="2764"/>
        <v>-</v>
      </c>
      <c r="X5089" s="20" t="str">
        <f t="shared" ref="X5089" si="2769">IFERROR(W5089*J5088,"-")</f>
        <v>-</v>
      </c>
      <c r="Z5089" s="85" t="s">
        <v>82</v>
      </c>
    </row>
    <row r="5090" spans="1:26" ht="6.95" customHeight="1" x14ac:dyDescent="0.3">
      <c r="A5090" s="5"/>
      <c r="B5090" s="157"/>
      <c r="C5090" s="158"/>
      <c r="D5090" s="161"/>
      <c r="E5090" s="162"/>
      <c r="F5090" s="163"/>
      <c r="G5090" s="164"/>
      <c r="H5090" s="165"/>
      <c r="I5090" s="164"/>
      <c r="J5090" s="165"/>
      <c r="K5090" s="164"/>
      <c r="L5090" s="165"/>
      <c r="M5090" s="6"/>
      <c r="N5090" s="32"/>
      <c r="Q5090" s="10" t="str">
        <f>+CONCATENATE(E5088,K5088)</f>
        <v/>
      </c>
      <c r="R5090" s="10">
        <f>+L5088</f>
        <v>0</v>
      </c>
      <c r="S5090" s="11"/>
      <c r="T5090" s="10">
        <f>+E5088</f>
        <v>0</v>
      </c>
      <c r="U5090" s="19" t="str">
        <f>IFERROR(LEFT(K5088,FIND("*",K5088)-1),"-")</f>
        <v>-</v>
      </c>
      <c r="V5090" s="19" t="str">
        <f>IFERROR(RIGHT(K5088,LEN(K5088)-FIND("*",K5088)),"-")</f>
        <v>-</v>
      </c>
      <c r="W5090" s="20" t="str">
        <f t="shared" si="2764"/>
        <v>-</v>
      </c>
      <c r="X5090" s="20" t="str">
        <f>IFERROR(W5090*L5088,"-")</f>
        <v>-</v>
      </c>
      <c r="Z5090" s="85" t="s">
        <v>82</v>
      </c>
    </row>
    <row r="5091" spans="1:26" ht="21" customHeight="1" thickBot="1" x14ac:dyDescent="0.35">
      <c r="A5091" s="5"/>
      <c r="B5091" s="159"/>
      <c r="C5091" s="160"/>
      <c r="D5091" s="166" t="s">
        <v>43</v>
      </c>
      <c r="E5091" s="167"/>
      <c r="F5091" s="167"/>
      <c r="G5091" s="168"/>
      <c r="H5091" s="168"/>
      <c r="I5091" s="168"/>
      <c r="J5091" s="168"/>
      <c r="K5091" s="168"/>
      <c r="L5091" s="168"/>
      <c r="M5091" s="7"/>
      <c r="N5091" s="32"/>
      <c r="Z5091" s="86" t="s">
        <v>81</v>
      </c>
    </row>
    <row r="5092" spans="1:26" ht="9.9499999999999993" customHeight="1" thickBot="1" x14ac:dyDescent="0.35">
      <c r="B5092" s="9"/>
      <c r="C5092" s="109"/>
      <c r="D5092" s="51"/>
      <c r="E5092" s="12"/>
      <c r="F5092" s="51"/>
      <c r="G5092" s="14"/>
      <c r="H5092" s="14"/>
      <c r="I5092" s="14"/>
      <c r="J5092" s="14"/>
      <c r="K5092" s="14"/>
      <c r="L5092" s="14"/>
      <c r="M5092" s="9"/>
      <c r="N5092" s="32"/>
      <c r="U5092" s="18"/>
      <c r="V5092" s="18"/>
      <c r="Z5092" s="85" t="s">
        <v>82</v>
      </c>
    </row>
    <row r="5093" spans="1:26" ht="6.95" customHeight="1" x14ac:dyDescent="0.3">
      <c r="A5093" s="154">
        <f>+A5082+1</f>
        <v>1262</v>
      </c>
      <c r="B5093" s="155"/>
      <c r="C5093" s="156"/>
      <c r="D5093" s="161" t="s">
        <v>39</v>
      </c>
      <c r="E5093" s="162"/>
      <c r="F5093" s="163" t="s">
        <v>40</v>
      </c>
      <c r="G5093" s="164"/>
      <c r="H5093" s="165"/>
      <c r="I5093" s="164"/>
      <c r="J5093" s="165"/>
      <c r="K5093" s="164"/>
      <c r="L5093" s="165"/>
      <c r="M5093" s="6"/>
      <c r="N5093" s="32"/>
      <c r="Q5093" s="10" t="str">
        <f>+CONCATENATE(E5093,G5093)</f>
        <v/>
      </c>
      <c r="R5093" s="10">
        <f>+H5093</f>
        <v>0</v>
      </c>
      <c r="S5093" s="11"/>
      <c r="T5093" s="10">
        <f>+E5093</f>
        <v>0</v>
      </c>
      <c r="U5093" s="19" t="str">
        <f>IFERROR(LEFT(G5093,FIND("*",G5093)-1),"-")</f>
        <v>-</v>
      </c>
      <c r="V5093" s="19" t="str">
        <f>IFERROR(RIGHT(G5093,LEN(G5093)-FIND("*",G5093)),"-")</f>
        <v>-</v>
      </c>
      <c r="W5093" s="20" t="str">
        <f>IFERROR((U5093+V5093)*2/1000,"-")</f>
        <v>-</v>
      </c>
      <c r="X5093" s="20" t="str">
        <f>IFERROR(W5093*H5093,"-")</f>
        <v>-</v>
      </c>
      <c r="Z5093" s="85" t="s">
        <v>82</v>
      </c>
    </row>
    <row r="5094" spans="1:26" ht="6.95" customHeight="1" x14ac:dyDescent="0.3">
      <c r="A5094" s="154"/>
      <c r="B5094" s="157"/>
      <c r="C5094" s="158"/>
      <c r="D5094" s="161"/>
      <c r="E5094" s="162"/>
      <c r="F5094" s="163"/>
      <c r="G5094" s="164"/>
      <c r="H5094" s="165"/>
      <c r="I5094" s="164"/>
      <c r="J5094" s="165"/>
      <c r="K5094" s="164"/>
      <c r="L5094" s="165"/>
      <c r="M5094" s="6"/>
      <c r="N5094" s="32"/>
      <c r="Q5094" s="10" t="str">
        <f>+CONCATENATE(E5093,I5093)</f>
        <v/>
      </c>
      <c r="R5094" s="10">
        <f>+J5093</f>
        <v>0</v>
      </c>
      <c r="S5094" s="11"/>
      <c r="T5094" s="10">
        <f>+E5093</f>
        <v>0</v>
      </c>
      <c r="U5094" s="19" t="str">
        <f>IFERROR(LEFT(I5093,FIND("*",I5093)-1),"-")</f>
        <v>-</v>
      </c>
      <c r="V5094" s="19" t="str">
        <f>IFERROR(RIGHT(I5093,LEN(I5093)-FIND("*",I5093)),"-")</f>
        <v>-</v>
      </c>
      <c r="W5094" s="20" t="str">
        <f t="shared" ref="W5094:W5101" si="2770">IFERROR((U5094+V5094)*2/1000,"-")</f>
        <v>-</v>
      </c>
      <c r="X5094" s="20" t="str">
        <f>IFERROR(W5094*J5093,"-")</f>
        <v>-</v>
      </c>
      <c r="Z5094" s="85" t="s">
        <v>82</v>
      </c>
    </row>
    <row r="5095" spans="1:26" ht="6.95" customHeight="1" x14ac:dyDescent="0.3">
      <c r="A5095" s="154"/>
      <c r="B5095" s="157"/>
      <c r="C5095" s="158"/>
      <c r="D5095" s="161"/>
      <c r="E5095" s="162"/>
      <c r="F5095" s="163"/>
      <c r="G5095" s="164"/>
      <c r="H5095" s="165"/>
      <c r="I5095" s="164"/>
      <c r="J5095" s="165"/>
      <c r="K5095" s="164"/>
      <c r="L5095" s="165"/>
      <c r="M5095" s="6"/>
      <c r="N5095" s="32"/>
      <c r="Q5095" s="10" t="str">
        <f>+CONCATENATE(E5093,K5093)</f>
        <v/>
      </c>
      <c r="R5095" s="10">
        <f>+L5093</f>
        <v>0</v>
      </c>
      <c r="S5095" s="11"/>
      <c r="T5095" s="10">
        <f>+E5093</f>
        <v>0</v>
      </c>
      <c r="U5095" s="19" t="str">
        <f>IFERROR(LEFT(K5093,FIND("*",K5093)-1),"-")</f>
        <v>-</v>
      </c>
      <c r="V5095" s="19" t="str">
        <f>IFERROR(RIGHT(K5093,LEN(K5093)-FIND("*",K5093)),"-")</f>
        <v>-</v>
      </c>
      <c r="W5095" s="20" t="str">
        <f t="shared" si="2770"/>
        <v>-</v>
      </c>
      <c r="X5095" s="20" t="str">
        <f>IFERROR(W5095*L5093,"-")</f>
        <v>-</v>
      </c>
      <c r="Z5095" s="85" t="s">
        <v>82</v>
      </c>
    </row>
    <row r="5096" spans="1:26" ht="6.95" customHeight="1" x14ac:dyDescent="0.3">
      <c r="A5096" s="8"/>
      <c r="B5096" s="157"/>
      <c r="C5096" s="158"/>
      <c r="D5096" s="161" t="s">
        <v>39</v>
      </c>
      <c r="E5096" s="162"/>
      <c r="F5096" s="163" t="s">
        <v>40</v>
      </c>
      <c r="G5096" s="164"/>
      <c r="H5096" s="165"/>
      <c r="I5096" s="164"/>
      <c r="J5096" s="165"/>
      <c r="K5096" s="164"/>
      <c r="L5096" s="165"/>
      <c r="M5096" s="6"/>
      <c r="N5096" s="32"/>
      <c r="Q5096" s="10" t="str">
        <f>+CONCATENATE(E5096,G5096)</f>
        <v/>
      </c>
      <c r="R5096" s="10">
        <f>+H5096</f>
        <v>0</v>
      </c>
      <c r="S5096" s="11"/>
      <c r="T5096" s="10">
        <f>+E5096</f>
        <v>0</v>
      </c>
      <c r="U5096" s="19" t="str">
        <f t="shared" ref="U5096" si="2771">IFERROR(LEFT(G5096,FIND("*",G5096)-1),"-")</f>
        <v>-</v>
      </c>
      <c r="V5096" s="19" t="str">
        <f t="shared" ref="V5096" si="2772">IFERROR(RIGHT(G5096,LEN(G5096)-FIND("*",G5096)),"-")</f>
        <v>-</v>
      </c>
      <c r="W5096" s="20" t="str">
        <f t="shared" si="2770"/>
        <v>-</v>
      </c>
      <c r="X5096" s="20" t="str">
        <f>IFERROR(W5096*H5096,"-")</f>
        <v>-</v>
      </c>
      <c r="Z5096" s="85" t="s">
        <v>82</v>
      </c>
    </row>
    <row r="5097" spans="1:26" ht="6.95" customHeight="1" x14ac:dyDescent="0.3">
      <c r="A5097" s="5"/>
      <c r="B5097" s="157"/>
      <c r="C5097" s="158"/>
      <c r="D5097" s="161"/>
      <c r="E5097" s="162"/>
      <c r="F5097" s="163"/>
      <c r="G5097" s="164"/>
      <c r="H5097" s="165"/>
      <c r="I5097" s="164"/>
      <c r="J5097" s="165"/>
      <c r="K5097" s="164"/>
      <c r="L5097" s="165"/>
      <c r="M5097" s="6"/>
      <c r="N5097" s="32"/>
      <c r="Q5097" s="10" t="str">
        <f>+CONCATENATE(E5096,I5096)</f>
        <v/>
      </c>
      <c r="R5097" s="10">
        <f>+J5096</f>
        <v>0</v>
      </c>
      <c r="S5097" s="11"/>
      <c r="T5097" s="10">
        <f>+E5096</f>
        <v>0</v>
      </c>
      <c r="U5097" s="19" t="str">
        <f>IFERROR(LEFT(I5096,FIND("*",I5096)-1),"-")</f>
        <v>-</v>
      </c>
      <c r="V5097" s="19" t="str">
        <f>IFERROR(RIGHT(I5096,LEN(I5096)-FIND("*",I5096)),"-")</f>
        <v>-</v>
      </c>
      <c r="W5097" s="20" t="str">
        <f t="shared" si="2770"/>
        <v>-</v>
      </c>
      <c r="X5097" s="20" t="str">
        <f>IFERROR(W5097*J5096,"-")</f>
        <v>-</v>
      </c>
      <c r="Z5097" s="85" t="s">
        <v>82</v>
      </c>
    </row>
    <row r="5098" spans="1:26" ht="6.95" customHeight="1" x14ac:dyDescent="0.3">
      <c r="A5098" s="5"/>
      <c r="B5098" s="157"/>
      <c r="C5098" s="158"/>
      <c r="D5098" s="161"/>
      <c r="E5098" s="162"/>
      <c r="F5098" s="163"/>
      <c r="G5098" s="164"/>
      <c r="H5098" s="165"/>
      <c r="I5098" s="164"/>
      <c r="J5098" s="165"/>
      <c r="K5098" s="164"/>
      <c r="L5098" s="165"/>
      <c r="M5098" s="6"/>
      <c r="N5098" s="32"/>
      <c r="Q5098" s="10" t="str">
        <f>+CONCATENATE(E5096,K5096)</f>
        <v/>
      </c>
      <c r="R5098" s="10">
        <f>+L5096</f>
        <v>0</v>
      </c>
      <c r="S5098" s="11"/>
      <c r="T5098" s="10">
        <f>+E5096</f>
        <v>0</v>
      </c>
      <c r="U5098" s="19" t="str">
        <f>IFERROR(LEFT(K5096,FIND("*",K5096)-1),"-")</f>
        <v>-</v>
      </c>
      <c r="V5098" s="19" t="str">
        <f>IFERROR(RIGHT(K5096,LEN(K5096)-FIND("*",K5096)),"-")</f>
        <v>-</v>
      </c>
      <c r="W5098" s="20" t="str">
        <f t="shared" si="2770"/>
        <v>-</v>
      </c>
      <c r="X5098" s="20" t="str">
        <f>IFERROR(W5098*L5096,"-")</f>
        <v>-</v>
      </c>
      <c r="Z5098" s="85" t="s">
        <v>82</v>
      </c>
    </row>
    <row r="5099" spans="1:26" ht="6.95" customHeight="1" x14ac:dyDescent="0.3">
      <c r="A5099" s="8"/>
      <c r="B5099" s="157"/>
      <c r="C5099" s="158"/>
      <c r="D5099" s="161" t="s">
        <v>39</v>
      </c>
      <c r="E5099" s="162"/>
      <c r="F5099" s="163" t="s">
        <v>40</v>
      </c>
      <c r="G5099" s="164"/>
      <c r="H5099" s="165"/>
      <c r="I5099" s="164"/>
      <c r="J5099" s="165"/>
      <c r="K5099" s="164"/>
      <c r="L5099" s="165"/>
      <c r="M5099" s="6"/>
      <c r="N5099" s="32"/>
      <c r="Q5099" s="10" t="str">
        <f>+CONCATENATE(E5099,G5099)</f>
        <v/>
      </c>
      <c r="R5099" s="10">
        <f>+H5099</f>
        <v>0</v>
      </c>
      <c r="S5099" s="11"/>
      <c r="T5099" s="10">
        <f>+E5099</f>
        <v>0</v>
      </c>
      <c r="U5099" s="19" t="str">
        <f t="shared" ref="U5099" si="2773">IFERROR(LEFT(G5099,FIND("*",G5099)-1),"-")</f>
        <v>-</v>
      </c>
      <c r="V5099" s="19" t="str">
        <f t="shared" ref="V5099" si="2774">IFERROR(RIGHT(G5099,LEN(G5099)-FIND("*",G5099)),"-")</f>
        <v>-</v>
      </c>
      <c r="W5099" s="20" t="str">
        <f t="shared" si="2770"/>
        <v>-</v>
      </c>
      <c r="X5099" s="20" t="str">
        <f>IFERROR(W5099*H5099,"-")</f>
        <v>-</v>
      </c>
      <c r="Z5099" s="85" t="s">
        <v>82</v>
      </c>
    </row>
    <row r="5100" spans="1:26" ht="6.95" customHeight="1" x14ac:dyDescent="0.3">
      <c r="A5100" s="5"/>
      <c r="B5100" s="157"/>
      <c r="C5100" s="158"/>
      <c r="D5100" s="161"/>
      <c r="E5100" s="162"/>
      <c r="F5100" s="163"/>
      <c r="G5100" s="164"/>
      <c r="H5100" s="165"/>
      <c r="I5100" s="164"/>
      <c r="J5100" s="165"/>
      <c r="K5100" s="164"/>
      <c r="L5100" s="165"/>
      <c r="M5100" s="6"/>
      <c r="N5100" s="32"/>
      <c r="Q5100" s="10" t="str">
        <f>+CONCATENATE(E5099,I5099)</f>
        <v/>
      </c>
      <c r="R5100" s="10">
        <f>+J5099</f>
        <v>0</v>
      </c>
      <c r="S5100" s="11"/>
      <c r="T5100" s="10">
        <f>+E5099</f>
        <v>0</v>
      </c>
      <c r="U5100" s="19" t="str">
        <f>IFERROR(LEFT(I5099,FIND("*",I5099)-1),"-")</f>
        <v>-</v>
      </c>
      <c r="V5100" s="19" t="str">
        <f>IFERROR(RIGHT(I5099,LEN(I5099)-FIND("*",I5099)),"-")</f>
        <v>-</v>
      </c>
      <c r="W5100" s="20" t="str">
        <f t="shared" si="2770"/>
        <v>-</v>
      </c>
      <c r="X5100" s="20" t="str">
        <f t="shared" ref="X5100" si="2775">IFERROR(W5100*J5099,"-")</f>
        <v>-</v>
      </c>
      <c r="Z5100" s="85" t="s">
        <v>82</v>
      </c>
    </row>
    <row r="5101" spans="1:26" ht="6.95" customHeight="1" x14ac:dyDescent="0.3">
      <c r="A5101" s="5"/>
      <c r="B5101" s="157"/>
      <c r="C5101" s="158"/>
      <c r="D5101" s="161"/>
      <c r="E5101" s="162"/>
      <c r="F5101" s="163"/>
      <c r="G5101" s="164"/>
      <c r="H5101" s="165"/>
      <c r="I5101" s="164"/>
      <c r="J5101" s="165"/>
      <c r="K5101" s="164"/>
      <c r="L5101" s="165"/>
      <c r="M5101" s="6"/>
      <c r="N5101" s="32"/>
      <c r="Q5101" s="10" t="str">
        <f>+CONCATENATE(E5099,K5099)</f>
        <v/>
      </c>
      <c r="R5101" s="10">
        <f>+L5099</f>
        <v>0</v>
      </c>
      <c r="S5101" s="11"/>
      <c r="T5101" s="10">
        <f>+E5099</f>
        <v>0</v>
      </c>
      <c r="U5101" s="19" t="str">
        <f>IFERROR(LEFT(K5099,FIND("*",K5099)-1),"-")</f>
        <v>-</v>
      </c>
      <c r="V5101" s="19" t="str">
        <f>IFERROR(RIGHT(K5099,LEN(K5099)-FIND("*",K5099)),"-")</f>
        <v>-</v>
      </c>
      <c r="W5101" s="20" t="str">
        <f t="shared" si="2770"/>
        <v>-</v>
      </c>
      <c r="X5101" s="20" t="str">
        <f>IFERROR(W5101*L5099,"-")</f>
        <v>-</v>
      </c>
      <c r="Z5101" s="85" t="s">
        <v>82</v>
      </c>
    </row>
    <row r="5102" spans="1:26" ht="21" customHeight="1" thickBot="1" x14ac:dyDescent="0.35">
      <c r="A5102" s="5"/>
      <c r="B5102" s="159"/>
      <c r="C5102" s="160"/>
      <c r="D5102" s="166" t="s">
        <v>43</v>
      </c>
      <c r="E5102" s="167"/>
      <c r="F5102" s="167"/>
      <c r="G5102" s="168"/>
      <c r="H5102" s="168"/>
      <c r="I5102" s="168"/>
      <c r="J5102" s="168"/>
      <c r="K5102" s="168"/>
      <c r="L5102" s="168"/>
      <c r="M5102" s="7"/>
      <c r="N5102" s="32"/>
      <c r="Z5102" s="86" t="s">
        <v>81</v>
      </c>
    </row>
    <row r="5103" spans="1:26" ht="9.9499999999999993" customHeight="1" thickBot="1" x14ac:dyDescent="0.35">
      <c r="B5103" s="9"/>
      <c r="C5103" s="109"/>
      <c r="D5103" s="51"/>
      <c r="E5103" s="12"/>
      <c r="F5103" s="51"/>
      <c r="G5103" s="14"/>
      <c r="H5103" s="14"/>
      <c r="I5103" s="14"/>
      <c r="J5103" s="14"/>
      <c r="K5103" s="14"/>
      <c r="L5103" s="14"/>
      <c r="M5103" s="9"/>
      <c r="N5103" s="32"/>
      <c r="U5103" s="18"/>
      <c r="V5103" s="18"/>
      <c r="Z5103" s="85" t="s">
        <v>82</v>
      </c>
    </row>
    <row r="5104" spans="1:26" ht="6.95" customHeight="1" x14ac:dyDescent="0.3">
      <c r="A5104" s="154">
        <f>+A5093+1</f>
        <v>1263</v>
      </c>
      <c r="B5104" s="155"/>
      <c r="C5104" s="156"/>
      <c r="D5104" s="161" t="s">
        <v>39</v>
      </c>
      <c r="E5104" s="162"/>
      <c r="F5104" s="163" t="s">
        <v>40</v>
      </c>
      <c r="G5104" s="164"/>
      <c r="H5104" s="165"/>
      <c r="I5104" s="164"/>
      <c r="J5104" s="165"/>
      <c r="K5104" s="164"/>
      <c r="L5104" s="165"/>
      <c r="M5104" s="6"/>
      <c r="N5104" s="32"/>
      <c r="Q5104" s="10" t="str">
        <f>+CONCATENATE(E5104,G5104)</f>
        <v/>
      </c>
      <c r="R5104" s="10">
        <f>+H5104</f>
        <v>0</v>
      </c>
      <c r="S5104" s="11"/>
      <c r="T5104" s="10">
        <f>+E5104</f>
        <v>0</v>
      </c>
      <c r="U5104" s="19" t="str">
        <f>IFERROR(LEFT(G5104,FIND("*",G5104)-1),"-")</f>
        <v>-</v>
      </c>
      <c r="V5104" s="19" t="str">
        <f>IFERROR(RIGHT(G5104,LEN(G5104)-FIND("*",G5104)),"-")</f>
        <v>-</v>
      </c>
      <c r="W5104" s="20" t="str">
        <f>IFERROR((U5104+V5104)*2/1000,"-")</f>
        <v>-</v>
      </c>
      <c r="X5104" s="20" t="str">
        <f>IFERROR(W5104*H5104,"-")</f>
        <v>-</v>
      </c>
      <c r="Z5104" s="85" t="s">
        <v>82</v>
      </c>
    </row>
    <row r="5105" spans="1:26" ht="6.95" customHeight="1" x14ac:dyDescent="0.3">
      <c r="A5105" s="154"/>
      <c r="B5105" s="157"/>
      <c r="C5105" s="158"/>
      <c r="D5105" s="161"/>
      <c r="E5105" s="162"/>
      <c r="F5105" s="163"/>
      <c r="G5105" s="164"/>
      <c r="H5105" s="165"/>
      <c r="I5105" s="164"/>
      <c r="J5105" s="165"/>
      <c r="K5105" s="164"/>
      <c r="L5105" s="165"/>
      <c r="M5105" s="6"/>
      <c r="N5105" s="32"/>
      <c r="Q5105" s="10" t="str">
        <f>+CONCATENATE(E5104,I5104)</f>
        <v/>
      </c>
      <c r="R5105" s="10">
        <f>+J5104</f>
        <v>0</v>
      </c>
      <c r="S5105" s="11"/>
      <c r="T5105" s="10">
        <f>+E5104</f>
        <v>0</v>
      </c>
      <c r="U5105" s="19" t="str">
        <f>IFERROR(LEFT(I5104,FIND("*",I5104)-1),"-")</f>
        <v>-</v>
      </c>
      <c r="V5105" s="19" t="str">
        <f>IFERROR(RIGHT(I5104,LEN(I5104)-FIND("*",I5104)),"-")</f>
        <v>-</v>
      </c>
      <c r="W5105" s="20" t="str">
        <f t="shared" ref="W5105:W5112" si="2776">IFERROR((U5105+V5105)*2/1000,"-")</f>
        <v>-</v>
      </c>
      <c r="X5105" s="20" t="str">
        <f>IFERROR(W5105*J5104,"-")</f>
        <v>-</v>
      </c>
      <c r="Z5105" s="85" t="s">
        <v>82</v>
      </c>
    </row>
    <row r="5106" spans="1:26" ht="6.95" customHeight="1" x14ac:dyDescent="0.3">
      <c r="A5106" s="154"/>
      <c r="B5106" s="157"/>
      <c r="C5106" s="158"/>
      <c r="D5106" s="161"/>
      <c r="E5106" s="162"/>
      <c r="F5106" s="163"/>
      <c r="G5106" s="164"/>
      <c r="H5106" s="165"/>
      <c r="I5106" s="164"/>
      <c r="J5106" s="165"/>
      <c r="K5106" s="164"/>
      <c r="L5106" s="165"/>
      <c r="M5106" s="6"/>
      <c r="N5106" s="32"/>
      <c r="Q5106" s="10" t="str">
        <f>+CONCATENATE(E5104,K5104)</f>
        <v/>
      </c>
      <c r="R5106" s="10">
        <f>+L5104</f>
        <v>0</v>
      </c>
      <c r="S5106" s="11"/>
      <c r="T5106" s="10">
        <f>+E5104</f>
        <v>0</v>
      </c>
      <c r="U5106" s="19" t="str">
        <f>IFERROR(LEFT(K5104,FIND("*",K5104)-1),"-")</f>
        <v>-</v>
      </c>
      <c r="V5106" s="19" t="str">
        <f>IFERROR(RIGHT(K5104,LEN(K5104)-FIND("*",K5104)),"-")</f>
        <v>-</v>
      </c>
      <c r="W5106" s="20" t="str">
        <f t="shared" si="2776"/>
        <v>-</v>
      </c>
      <c r="X5106" s="20" t="str">
        <f>IFERROR(W5106*L5104,"-")</f>
        <v>-</v>
      </c>
      <c r="Z5106" s="85" t="s">
        <v>82</v>
      </c>
    </row>
    <row r="5107" spans="1:26" ht="6.95" customHeight="1" x14ac:dyDescent="0.3">
      <c r="A5107" s="8"/>
      <c r="B5107" s="157"/>
      <c r="C5107" s="158"/>
      <c r="D5107" s="161" t="s">
        <v>39</v>
      </c>
      <c r="E5107" s="162"/>
      <c r="F5107" s="163" t="s">
        <v>40</v>
      </c>
      <c r="G5107" s="164"/>
      <c r="H5107" s="165"/>
      <c r="I5107" s="164"/>
      <c r="J5107" s="165"/>
      <c r="K5107" s="164"/>
      <c r="L5107" s="165"/>
      <c r="M5107" s="6"/>
      <c r="N5107" s="32"/>
      <c r="Q5107" s="10" t="str">
        <f>+CONCATENATE(E5107,G5107)</f>
        <v/>
      </c>
      <c r="R5107" s="10">
        <f>+H5107</f>
        <v>0</v>
      </c>
      <c r="S5107" s="11"/>
      <c r="T5107" s="10">
        <f>+E5107</f>
        <v>0</v>
      </c>
      <c r="U5107" s="19" t="str">
        <f t="shared" ref="U5107" si="2777">IFERROR(LEFT(G5107,FIND("*",G5107)-1),"-")</f>
        <v>-</v>
      </c>
      <c r="V5107" s="19" t="str">
        <f t="shared" ref="V5107" si="2778">IFERROR(RIGHT(G5107,LEN(G5107)-FIND("*",G5107)),"-")</f>
        <v>-</v>
      </c>
      <c r="W5107" s="20" t="str">
        <f t="shared" si="2776"/>
        <v>-</v>
      </c>
      <c r="X5107" s="20" t="str">
        <f>IFERROR(W5107*H5107,"-")</f>
        <v>-</v>
      </c>
      <c r="Z5107" s="85" t="s">
        <v>82</v>
      </c>
    </row>
    <row r="5108" spans="1:26" ht="6.95" customHeight="1" x14ac:dyDescent="0.3">
      <c r="A5108" s="5"/>
      <c r="B5108" s="157"/>
      <c r="C5108" s="158"/>
      <c r="D5108" s="161"/>
      <c r="E5108" s="162"/>
      <c r="F5108" s="163"/>
      <c r="G5108" s="164"/>
      <c r="H5108" s="165"/>
      <c r="I5108" s="164"/>
      <c r="J5108" s="165"/>
      <c r="K5108" s="164"/>
      <c r="L5108" s="165"/>
      <c r="M5108" s="6"/>
      <c r="N5108" s="32"/>
      <c r="Q5108" s="10" t="str">
        <f>+CONCATENATE(E5107,I5107)</f>
        <v/>
      </c>
      <c r="R5108" s="10">
        <f>+J5107</f>
        <v>0</v>
      </c>
      <c r="S5108" s="11"/>
      <c r="T5108" s="10">
        <f>+E5107</f>
        <v>0</v>
      </c>
      <c r="U5108" s="19" t="str">
        <f>IFERROR(LEFT(I5107,FIND("*",I5107)-1),"-")</f>
        <v>-</v>
      </c>
      <c r="V5108" s="19" t="str">
        <f>IFERROR(RIGHT(I5107,LEN(I5107)-FIND("*",I5107)),"-")</f>
        <v>-</v>
      </c>
      <c r="W5108" s="20" t="str">
        <f t="shared" si="2776"/>
        <v>-</v>
      </c>
      <c r="X5108" s="20" t="str">
        <f>IFERROR(W5108*J5107,"-")</f>
        <v>-</v>
      </c>
      <c r="Z5108" s="85" t="s">
        <v>82</v>
      </c>
    </row>
    <row r="5109" spans="1:26" ht="6.95" customHeight="1" x14ac:dyDescent="0.3">
      <c r="A5109" s="5"/>
      <c r="B5109" s="157"/>
      <c r="C5109" s="158"/>
      <c r="D5109" s="161"/>
      <c r="E5109" s="162"/>
      <c r="F5109" s="163"/>
      <c r="G5109" s="164"/>
      <c r="H5109" s="165"/>
      <c r="I5109" s="164"/>
      <c r="J5109" s="165"/>
      <c r="K5109" s="164"/>
      <c r="L5109" s="165"/>
      <c r="M5109" s="6"/>
      <c r="N5109" s="32"/>
      <c r="Q5109" s="10" t="str">
        <f>+CONCATENATE(E5107,K5107)</f>
        <v/>
      </c>
      <c r="R5109" s="10">
        <f>+L5107</f>
        <v>0</v>
      </c>
      <c r="S5109" s="11"/>
      <c r="T5109" s="10">
        <f>+E5107</f>
        <v>0</v>
      </c>
      <c r="U5109" s="19" t="str">
        <f>IFERROR(LEFT(K5107,FIND("*",K5107)-1),"-")</f>
        <v>-</v>
      </c>
      <c r="V5109" s="19" t="str">
        <f>IFERROR(RIGHT(K5107,LEN(K5107)-FIND("*",K5107)),"-")</f>
        <v>-</v>
      </c>
      <c r="W5109" s="20" t="str">
        <f t="shared" si="2776"/>
        <v>-</v>
      </c>
      <c r="X5109" s="20" t="str">
        <f>IFERROR(W5109*L5107,"-")</f>
        <v>-</v>
      </c>
      <c r="Z5109" s="85" t="s">
        <v>82</v>
      </c>
    </row>
    <row r="5110" spans="1:26" ht="6.95" customHeight="1" x14ac:dyDescent="0.3">
      <c r="A5110" s="8"/>
      <c r="B5110" s="157"/>
      <c r="C5110" s="158"/>
      <c r="D5110" s="161" t="s">
        <v>39</v>
      </c>
      <c r="E5110" s="162"/>
      <c r="F5110" s="163" t="s">
        <v>40</v>
      </c>
      <c r="G5110" s="164"/>
      <c r="H5110" s="165"/>
      <c r="I5110" s="164"/>
      <c r="J5110" s="165"/>
      <c r="K5110" s="164"/>
      <c r="L5110" s="165"/>
      <c r="M5110" s="6"/>
      <c r="N5110" s="32"/>
      <c r="Q5110" s="10" t="str">
        <f>+CONCATENATE(E5110,G5110)</f>
        <v/>
      </c>
      <c r="R5110" s="10">
        <f>+H5110</f>
        <v>0</v>
      </c>
      <c r="S5110" s="11"/>
      <c r="T5110" s="10">
        <f>+E5110</f>
        <v>0</v>
      </c>
      <c r="U5110" s="19" t="str">
        <f t="shared" ref="U5110" si="2779">IFERROR(LEFT(G5110,FIND("*",G5110)-1),"-")</f>
        <v>-</v>
      </c>
      <c r="V5110" s="19" t="str">
        <f t="shared" ref="V5110" si="2780">IFERROR(RIGHT(G5110,LEN(G5110)-FIND("*",G5110)),"-")</f>
        <v>-</v>
      </c>
      <c r="W5110" s="20" t="str">
        <f t="shared" si="2776"/>
        <v>-</v>
      </c>
      <c r="X5110" s="20" t="str">
        <f>IFERROR(W5110*H5110,"-")</f>
        <v>-</v>
      </c>
      <c r="Z5110" s="85" t="s">
        <v>82</v>
      </c>
    </row>
    <row r="5111" spans="1:26" ht="6.95" customHeight="1" x14ac:dyDescent="0.3">
      <c r="A5111" s="5"/>
      <c r="B5111" s="157"/>
      <c r="C5111" s="158"/>
      <c r="D5111" s="161"/>
      <c r="E5111" s="162"/>
      <c r="F5111" s="163"/>
      <c r="G5111" s="164"/>
      <c r="H5111" s="165"/>
      <c r="I5111" s="164"/>
      <c r="J5111" s="165"/>
      <c r="K5111" s="164"/>
      <c r="L5111" s="165"/>
      <c r="M5111" s="6"/>
      <c r="N5111" s="32"/>
      <c r="Q5111" s="10" t="str">
        <f>+CONCATENATE(E5110,I5110)</f>
        <v/>
      </c>
      <c r="R5111" s="10">
        <f>+J5110</f>
        <v>0</v>
      </c>
      <c r="S5111" s="11"/>
      <c r="T5111" s="10">
        <f>+E5110</f>
        <v>0</v>
      </c>
      <c r="U5111" s="19" t="str">
        <f>IFERROR(LEFT(I5110,FIND("*",I5110)-1),"-")</f>
        <v>-</v>
      </c>
      <c r="V5111" s="19" t="str">
        <f>IFERROR(RIGHT(I5110,LEN(I5110)-FIND("*",I5110)),"-")</f>
        <v>-</v>
      </c>
      <c r="W5111" s="20" t="str">
        <f t="shared" si="2776"/>
        <v>-</v>
      </c>
      <c r="X5111" s="20" t="str">
        <f t="shared" ref="X5111" si="2781">IFERROR(W5111*J5110,"-")</f>
        <v>-</v>
      </c>
      <c r="Z5111" s="85" t="s">
        <v>82</v>
      </c>
    </row>
    <row r="5112" spans="1:26" ht="6.95" customHeight="1" x14ac:dyDescent="0.3">
      <c r="A5112" s="5"/>
      <c r="B5112" s="157"/>
      <c r="C5112" s="158"/>
      <c r="D5112" s="161"/>
      <c r="E5112" s="162"/>
      <c r="F5112" s="163"/>
      <c r="G5112" s="164"/>
      <c r="H5112" s="165"/>
      <c r="I5112" s="164"/>
      <c r="J5112" s="165"/>
      <c r="K5112" s="164"/>
      <c r="L5112" s="165"/>
      <c r="M5112" s="6"/>
      <c r="N5112" s="32"/>
      <c r="Q5112" s="10" t="str">
        <f>+CONCATENATE(E5110,K5110)</f>
        <v/>
      </c>
      <c r="R5112" s="10">
        <f>+L5110</f>
        <v>0</v>
      </c>
      <c r="S5112" s="11"/>
      <c r="T5112" s="10">
        <f>+E5110</f>
        <v>0</v>
      </c>
      <c r="U5112" s="19" t="str">
        <f>IFERROR(LEFT(K5110,FIND("*",K5110)-1),"-")</f>
        <v>-</v>
      </c>
      <c r="V5112" s="19" t="str">
        <f>IFERROR(RIGHT(K5110,LEN(K5110)-FIND("*",K5110)),"-")</f>
        <v>-</v>
      </c>
      <c r="W5112" s="20" t="str">
        <f t="shared" si="2776"/>
        <v>-</v>
      </c>
      <c r="X5112" s="20" t="str">
        <f>IFERROR(W5112*L5110,"-")</f>
        <v>-</v>
      </c>
      <c r="Z5112" s="85" t="s">
        <v>82</v>
      </c>
    </row>
    <row r="5113" spans="1:26" ht="21" customHeight="1" thickBot="1" x14ac:dyDescent="0.35">
      <c r="A5113" s="5"/>
      <c r="B5113" s="159"/>
      <c r="C5113" s="160"/>
      <c r="D5113" s="166" t="s">
        <v>43</v>
      </c>
      <c r="E5113" s="167"/>
      <c r="F5113" s="167"/>
      <c r="G5113" s="168"/>
      <c r="H5113" s="168"/>
      <c r="I5113" s="168"/>
      <c r="J5113" s="168"/>
      <c r="K5113" s="168"/>
      <c r="L5113" s="168"/>
      <c r="M5113" s="7"/>
      <c r="N5113" s="32"/>
      <c r="Z5113" s="86" t="s">
        <v>81</v>
      </c>
    </row>
    <row r="5114" spans="1:26" ht="9.9499999999999993" customHeight="1" thickBot="1" x14ac:dyDescent="0.35">
      <c r="B5114" s="9"/>
      <c r="C5114" s="109"/>
      <c r="D5114" s="51"/>
      <c r="E5114" s="12"/>
      <c r="F5114" s="51"/>
      <c r="G5114" s="14"/>
      <c r="H5114" s="14"/>
      <c r="I5114" s="14"/>
      <c r="J5114" s="14"/>
      <c r="K5114" s="14"/>
      <c r="L5114" s="14"/>
      <c r="M5114" s="9"/>
      <c r="N5114" s="32"/>
      <c r="U5114" s="18"/>
      <c r="V5114" s="18"/>
      <c r="Z5114" s="85" t="s">
        <v>82</v>
      </c>
    </row>
    <row r="5115" spans="1:26" ht="6.95" customHeight="1" x14ac:dyDescent="0.3">
      <c r="A5115" s="154">
        <f>+A5104+1</f>
        <v>1264</v>
      </c>
      <c r="B5115" s="155"/>
      <c r="C5115" s="156"/>
      <c r="D5115" s="161" t="s">
        <v>39</v>
      </c>
      <c r="E5115" s="162"/>
      <c r="F5115" s="163" t="s">
        <v>40</v>
      </c>
      <c r="G5115" s="164"/>
      <c r="H5115" s="165"/>
      <c r="I5115" s="164"/>
      <c r="J5115" s="165"/>
      <c r="K5115" s="164"/>
      <c r="L5115" s="165"/>
      <c r="M5115" s="6"/>
      <c r="N5115" s="32"/>
      <c r="Q5115" s="10" t="str">
        <f>+CONCATENATE(E5115,G5115)</f>
        <v/>
      </c>
      <c r="R5115" s="10">
        <f>+H5115</f>
        <v>0</v>
      </c>
      <c r="S5115" s="11"/>
      <c r="T5115" s="10">
        <f>+E5115</f>
        <v>0</v>
      </c>
      <c r="U5115" s="19" t="str">
        <f>IFERROR(LEFT(G5115,FIND("*",G5115)-1),"-")</f>
        <v>-</v>
      </c>
      <c r="V5115" s="19" t="str">
        <f>IFERROR(RIGHT(G5115,LEN(G5115)-FIND("*",G5115)),"-")</f>
        <v>-</v>
      </c>
      <c r="W5115" s="20" t="str">
        <f>IFERROR((U5115+V5115)*2/1000,"-")</f>
        <v>-</v>
      </c>
      <c r="X5115" s="20" t="str">
        <f>IFERROR(W5115*H5115,"-")</f>
        <v>-</v>
      </c>
      <c r="Z5115" s="85" t="s">
        <v>82</v>
      </c>
    </row>
    <row r="5116" spans="1:26" ht="6.95" customHeight="1" x14ac:dyDescent="0.3">
      <c r="A5116" s="154"/>
      <c r="B5116" s="157"/>
      <c r="C5116" s="158"/>
      <c r="D5116" s="161"/>
      <c r="E5116" s="162"/>
      <c r="F5116" s="163"/>
      <c r="G5116" s="164"/>
      <c r="H5116" s="165"/>
      <c r="I5116" s="164"/>
      <c r="J5116" s="165"/>
      <c r="K5116" s="164"/>
      <c r="L5116" s="165"/>
      <c r="M5116" s="6"/>
      <c r="N5116" s="32"/>
      <c r="Q5116" s="10" t="str">
        <f>+CONCATENATE(E5115,I5115)</f>
        <v/>
      </c>
      <c r="R5116" s="10">
        <f>+J5115</f>
        <v>0</v>
      </c>
      <c r="S5116" s="11"/>
      <c r="T5116" s="10">
        <f>+E5115</f>
        <v>0</v>
      </c>
      <c r="U5116" s="19" t="str">
        <f>IFERROR(LEFT(I5115,FIND("*",I5115)-1),"-")</f>
        <v>-</v>
      </c>
      <c r="V5116" s="19" t="str">
        <f>IFERROR(RIGHT(I5115,LEN(I5115)-FIND("*",I5115)),"-")</f>
        <v>-</v>
      </c>
      <c r="W5116" s="20" t="str">
        <f t="shared" ref="W5116:W5123" si="2782">IFERROR((U5116+V5116)*2/1000,"-")</f>
        <v>-</v>
      </c>
      <c r="X5116" s="20" t="str">
        <f>IFERROR(W5116*J5115,"-")</f>
        <v>-</v>
      </c>
      <c r="Z5116" s="85" t="s">
        <v>82</v>
      </c>
    </row>
    <row r="5117" spans="1:26" ht="6.95" customHeight="1" x14ac:dyDescent="0.3">
      <c r="A5117" s="154"/>
      <c r="B5117" s="157"/>
      <c r="C5117" s="158"/>
      <c r="D5117" s="161"/>
      <c r="E5117" s="162"/>
      <c r="F5117" s="163"/>
      <c r="G5117" s="164"/>
      <c r="H5117" s="165"/>
      <c r="I5117" s="164"/>
      <c r="J5117" s="165"/>
      <c r="K5117" s="164"/>
      <c r="L5117" s="165"/>
      <c r="M5117" s="6"/>
      <c r="N5117" s="32"/>
      <c r="Q5117" s="10" t="str">
        <f>+CONCATENATE(E5115,K5115)</f>
        <v/>
      </c>
      <c r="R5117" s="10">
        <f>+L5115</f>
        <v>0</v>
      </c>
      <c r="S5117" s="11"/>
      <c r="T5117" s="10">
        <f>+E5115</f>
        <v>0</v>
      </c>
      <c r="U5117" s="19" t="str">
        <f>IFERROR(LEFT(K5115,FIND("*",K5115)-1),"-")</f>
        <v>-</v>
      </c>
      <c r="V5117" s="19" t="str">
        <f>IFERROR(RIGHT(K5115,LEN(K5115)-FIND("*",K5115)),"-")</f>
        <v>-</v>
      </c>
      <c r="W5117" s="20" t="str">
        <f t="shared" si="2782"/>
        <v>-</v>
      </c>
      <c r="X5117" s="20" t="str">
        <f>IFERROR(W5117*L5115,"-")</f>
        <v>-</v>
      </c>
      <c r="Z5117" s="85" t="s">
        <v>82</v>
      </c>
    </row>
    <row r="5118" spans="1:26" ht="6.95" customHeight="1" x14ac:dyDescent="0.3">
      <c r="A5118" s="8"/>
      <c r="B5118" s="157"/>
      <c r="C5118" s="158"/>
      <c r="D5118" s="161" t="s">
        <v>39</v>
      </c>
      <c r="E5118" s="162"/>
      <c r="F5118" s="163" t="s">
        <v>40</v>
      </c>
      <c r="G5118" s="164"/>
      <c r="H5118" s="165"/>
      <c r="I5118" s="164"/>
      <c r="J5118" s="165"/>
      <c r="K5118" s="164"/>
      <c r="L5118" s="165"/>
      <c r="M5118" s="6"/>
      <c r="N5118" s="32"/>
      <c r="Q5118" s="10" t="str">
        <f>+CONCATENATE(E5118,G5118)</f>
        <v/>
      </c>
      <c r="R5118" s="10">
        <f>+H5118</f>
        <v>0</v>
      </c>
      <c r="S5118" s="11"/>
      <c r="T5118" s="10">
        <f>+E5118</f>
        <v>0</v>
      </c>
      <c r="U5118" s="19" t="str">
        <f t="shared" ref="U5118" si="2783">IFERROR(LEFT(G5118,FIND("*",G5118)-1),"-")</f>
        <v>-</v>
      </c>
      <c r="V5118" s="19" t="str">
        <f t="shared" ref="V5118" si="2784">IFERROR(RIGHT(G5118,LEN(G5118)-FIND("*",G5118)),"-")</f>
        <v>-</v>
      </c>
      <c r="W5118" s="20" t="str">
        <f t="shared" si="2782"/>
        <v>-</v>
      </c>
      <c r="X5118" s="20" t="str">
        <f>IFERROR(W5118*H5118,"-")</f>
        <v>-</v>
      </c>
      <c r="Z5118" s="85" t="s">
        <v>82</v>
      </c>
    </row>
    <row r="5119" spans="1:26" ht="6.95" customHeight="1" x14ac:dyDescent="0.3">
      <c r="A5119" s="5"/>
      <c r="B5119" s="157"/>
      <c r="C5119" s="158"/>
      <c r="D5119" s="161"/>
      <c r="E5119" s="162"/>
      <c r="F5119" s="163"/>
      <c r="G5119" s="164"/>
      <c r="H5119" s="165"/>
      <c r="I5119" s="164"/>
      <c r="J5119" s="165"/>
      <c r="K5119" s="164"/>
      <c r="L5119" s="165"/>
      <c r="M5119" s="6"/>
      <c r="N5119" s="32"/>
      <c r="Q5119" s="10" t="str">
        <f>+CONCATENATE(E5118,I5118)</f>
        <v/>
      </c>
      <c r="R5119" s="10">
        <f>+J5118</f>
        <v>0</v>
      </c>
      <c r="S5119" s="11"/>
      <c r="T5119" s="10">
        <f>+E5118</f>
        <v>0</v>
      </c>
      <c r="U5119" s="19" t="str">
        <f>IFERROR(LEFT(I5118,FIND("*",I5118)-1),"-")</f>
        <v>-</v>
      </c>
      <c r="V5119" s="19" t="str">
        <f>IFERROR(RIGHT(I5118,LEN(I5118)-FIND("*",I5118)),"-")</f>
        <v>-</v>
      </c>
      <c r="W5119" s="20" t="str">
        <f t="shared" si="2782"/>
        <v>-</v>
      </c>
      <c r="X5119" s="20" t="str">
        <f>IFERROR(W5119*J5118,"-")</f>
        <v>-</v>
      </c>
      <c r="Z5119" s="85" t="s">
        <v>82</v>
      </c>
    </row>
    <row r="5120" spans="1:26" ht="6.95" customHeight="1" x14ac:dyDescent="0.3">
      <c r="A5120" s="5"/>
      <c r="B5120" s="157"/>
      <c r="C5120" s="158"/>
      <c r="D5120" s="161"/>
      <c r="E5120" s="162"/>
      <c r="F5120" s="163"/>
      <c r="G5120" s="164"/>
      <c r="H5120" s="165"/>
      <c r="I5120" s="164"/>
      <c r="J5120" s="165"/>
      <c r="K5120" s="164"/>
      <c r="L5120" s="165"/>
      <c r="M5120" s="6"/>
      <c r="N5120" s="32"/>
      <c r="Q5120" s="10" t="str">
        <f>+CONCATENATE(E5118,K5118)</f>
        <v/>
      </c>
      <c r="R5120" s="10">
        <f>+L5118</f>
        <v>0</v>
      </c>
      <c r="S5120" s="11"/>
      <c r="T5120" s="10">
        <f>+E5118</f>
        <v>0</v>
      </c>
      <c r="U5120" s="19" t="str">
        <f>IFERROR(LEFT(K5118,FIND("*",K5118)-1),"-")</f>
        <v>-</v>
      </c>
      <c r="V5120" s="19" t="str">
        <f>IFERROR(RIGHT(K5118,LEN(K5118)-FIND("*",K5118)),"-")</f>
        <v>-</v>
      </c>
      <c r="W5120" s="20" t="str">
        <f t="shared" si="2782"/>
        <v>-</v>
      </c>
      <c r="X5120" s="20" t="str">
        <f>IFERROR(W5120*L5118,"-")</f>
        <v>-</v>
      </c>
      <c r="Z5120" s="85" t="s">
        <v>82</v>
      </c>
    </row>
    <row r="5121" spans="1:26" ht="6.95" customHeight="1" x14ac:dyDescent="0.3">
      <c r="A5121" s="8"/>
      <c r="B5121" s="157"/>
      <c r="C5121" s="158"/>
      <c r="D5121" s="161" t="s">
        <v>39</v>
      </c>
      <c r="E5121" s="162"/>
      <c r="F5121" s="163" t="s">
        <v>40</v>
      </c>
      <c r="G5121" s="164"/>
      <c r="H5121" s="165"/>
      <c r="I5121" s="164"/>
      <c r="J5121" s="165"/>
      <c r="K5121" s="164"/>
      <c r="L5121" s="165"/>
      <c r="M5121" s="6"/>
      <c r="N5121" s="32"/>
      <c r="Q5121" s="10" t="str">
        <f>+CONCATENATE(E5121,G5121)</f>
        <v/>
      </c>
      <c r="R5121" s="10">
        <f>+H5121</f>
        <v>0</v>
      </c>
      <c r="S5121" s="11"/>
      <c r="T5121" s="10">
        <f>+E5121</f>
        <v>0</v>
      </c>
      <c r="U5121" s="19" t="str">
        <f t="shared" ref="U5121" si="2785">IFERROR(LEFT(G5121,FIND("*",G5121)-1),"-")</f>
        <v>-</v>
      </c>
      <c r="V5121" s="19" t="str">
        <f t="shared" ref="V5121" si="2786">IFERROR(RIGHT(G5121,LEN(G5121)-FIND("*",G5121)),"-")</f>
        <v>-</v>
      </c>
      <c r="W5121" s="20" t="str">
        <f t="shared" si="2782"/>
        <v>-</v>
      </c>
      <c r="X5121" s="20" t="str">
        <f>IFERROR(W5121*H5121,"-")</f>
        <v>-</v>
      </c>
      <c r="Z5121" s="85" t="s">
        <v>82</v>
      </c>
    </row>
    <row r="5122" spans="1:26" ht="6.95" customHeight="1" x14ac:dyDescent="0.3">
      <c r="A5122" s="5"/>
      <c r="B5122" s="157"/>
      <c r="C5122" s="158"/>
      <c r="D5122" s="161"/>
      <c r="E5122" s="162"/>
      <c r="F5122" s="163"/>
      <c r="G5122" s="164"/>
      <c r="H5122" s="165"/>
      <c r="I5122" s="164"/>
      <c r="J5122" s="165"/>
      <c r="K5122" s="164"/>
      <c r="L5122" s="165"/>
      <c r="M5122" s="6"/>
      <c r="N5122" s="32"/>
      <c r="Q5122" s="10" t="str">
        <f>+CONCATENATE(E5121,I5121)</f>
        <v/>
      </c>
      <c r="R5122" s="10">
        <f>+J5121</f>
        <v>0</v>
      </c>
      <c r="S5122" s="11"/>
      <c r="T5122" s="10">
        <f>+E5121</f>
        <v>0</v>
      </c>
      <c r="U5122" s="19" t="str">
        <f>IFERROR(LEFT(I5121,FIND("*",I5121)-1),"-")</f>
        <v>-</v>
      </c>
      <c r="V5122" s="19" t="str">
        <f>IFERROR(RIGHT(I5121,LEN(I5121)-FIND("*",I5121)),"-")</f>
        <v>-</v>
      </c>
      <c r="W5122" s="20" t="str">
        <f t="shared" si="2782"/>
        <v>-</v>
      </c>
      <c r="X5122" s="20" t="str">
        <f t="shared" ref="X5122" si="2787">IFERROR(W5122*J5121,"-")</f>
        <v>-</v>
      </c>
      <c r="Z5122" s="85" t="s">
        <v>82</v>
      </c>
    </row>
    <row r="5123" spans="1:26" ht="6.95" customHeight="1" x14ac:dyDescent="0.3">
      <c r="A5123" s="5"/>
      <c r="B5123" s="157"/>
      <c r="C5123" s="158"/>
      <c r="D5123" s="161"/>
      <c r="E5123" s="162"/>
      <c r="F5123" s="163"/>
      <c r="G5123" s="164"/>
      <c r="H5123" s="165"/>
      <c r="I5123" s="164"/>
      <c r="J5123" s="165"/>
      <c r="K5123" s="164"/>
      <c r="L5123" s="165"/>
      <c r="M5123" s="6"/>
      <c r="N5123" s="32"/>
      <c r="Q5123" s="10" t="str">
        <f>+CONCATENATE(E5121,K5121)</f>
        <v/>
      </c>
      <c r="R5123" s="10">
        <f>+L5121</f>
        <v>0</v>
      </c>
      <c r="S5123" s="11"/>
      <c r="T5123" s="10">
        <f>+E5121</f>
        <v>0</v>
      </c>
      <c r="U5123" s="19" t="str">
        <f>IFERROR(LEFT(K5121,FIND("*",K5121)-1),"-")</f>
        <v>-</v>
      </c>
      <c r="V5123" s="19" t="str">
        <f>IFERROR(RIGHT(K5121,LEN(K5121)-FIND("*",K5121)),"-")</f>
        <v>-</v>
      </c>
      <c r="W5123" s="20" t="str">
        <f t="shared" si="2782"/>
        <v>-</v>
      </c>
      <c r="X5123" s="20" t="str">
        <f>IFERROR(W5123*L5121,"-")</f>
        <v>-</v>
      </c>
      <c r="Z5123" s="85" t="s">
        <v>82</v>
      </c>
    </row>
    <row r="5124" spans="1:26" ht="21" customHeight="1" thickBot="1" x14ac:dyDescent="0.35">
      <c r="A5124" s="5"/>
      <c r="B5124" s="159"/>
      <c r="C5124" s="160"/>
      <c r="D5124" s="166" t="s">
        <v>43</v>
      </c>
      <c r="E5124" s="167"/>
      <c r="F5124" s="167"/>
      <c r="G5124" s="168"/>
      <c r="H5124" s="168"/>
      <c r="I5124" s="168"/>
      <c r="J5124" s="168"/>
      <c r="K5124" s="168"/>
      <c r="L5124" s="168"/>
      <c r="M5124" s="7"/>
      <c r="N5124" s="32"/>
      <c r="Z5124" s="86" t="s">
        <v>81</v>
      </c>
    </row>
    <row r="5125" spans="1:26" ht="9.9499999999999993" customHeight="1" thickBot="1" x14ac:dyDescent="0.35">
      <c r="B5125" s="9"/>
      <c r="C5125" s="109"/>
      <c r="D5125" s="51"/>
      <c r="E5125" s="12"/>
      <c r="F5125" s="51"/>
      <c r="G5125" s="14"/>
      <c r="H5125" s="14"/>
      <c r="I5125" s="14"/>
      <c r="J5125" s="14"/>
      <c r="K5125" s="14"/>
      <c r="L5125" s="14"/>
      <c r="M5125" s="9"/>
      <c r="N5125" s="32"/>
      <c r="U5125" s="18"/>
      <c r="V5125" s="18"/>
      <c r="Z5125" s="85" t="s">
        <v>82</v>
      </c>
    </row>
    <row r="5126" spans="1:26" ht="6.95" customHeight="1" x14ac:dyDescent="0.3">
      <c r="A5126" s="154">
        <f>+A5115+1</f>
        <v>1265</v>
      </c>
      <c r="B5126" s="155"/>
      <c r="C5126" s="156"/>
      <c r="D5126" s="161" t="s">
        <v>39</v>
      </c>
      <c r="E5126" s="162"/>
      <c r="F5126" s="163" t="s">
        <v>40</v>
      </c>
      <c r="G5126" s="164"/>
      <c r="H5126" s="165"/>
      <c r="I5126" s="164"/>
      <c r="J5126" s="165"/>
      <c r="K5126" s="164"/>
      <c r="L5126" s="165"/>
      <c r="M5126" s="6"/>
      <c r="N5126" s="32"/>
      <c r="Q5126" s="10" t="str">
        <f>+CONCATENATE(E5126,G5126)</f>
        <v/>
      </c>
      <c r="R5126" s="10">
        <f>+H5126</f>
        <v>0</v>
      </c>
      <c r="S5126" s="11"/>
      <c r="T5126" s="10">
        <f>+E5126</f>
        <v>0</v>
      </c>
      <c r="U5126" s="19" t="str">
        <f>IFERROR(LEFT(G5126,FIND("*",G5126)-1),"-")</f>
        <v>-</v>
      </c>
      <c r="V5126" s="19" t="str">
        <f>IFERROR(RIGHT(G5126,LEN(G5126)-FIND("*",G5126)),"-")</f>
        <v>-</v>
      </c>
      <c r="W5126" s="20" t="str">
        <f>IFERROR((U5126+V5126)*2/1000,"-")</f>
        <v>-</v>
      </c>
      <c r="X5126" s="20" t="str">
        <f>IFERROR(W5126*H5126,"-")</f>
        <v>-</v>
      </c>
      <c r="Z5126" s="85" t="s">
        <v>82</v>
      </c>
    </row>
    <row r="5127" spans="1:26" ht="6.95" customHeight="1" x14ac:dyDescent="0.3">
      <c r="A5127" s="154"/>
      <c r="B5127" s="157"/>
      <c r="C5127" s="158"/>
      <c r="D5127" s="161"/>
      <c r="E5127" s="162"/>
      <c r="F5127" s="163"/>
      <c r="G5127" s="164"/>
      <c r="H5127" s="165"/>
      <c r="I5127" s="164"/>
      <c r="J5127" s="165"/>
      <c r="K5127" s="164"/>
      <c r="L5127" s="165"/>
      <c r="M5127" s="6"/>
      <c r="N5127" s="32"/>
      <c r="Q5127" s="10" t="str">
        <f>+CONCATENATE(E5126,I5126)</f>
        <v/>
      </c>
      <c r="R5127" s="10">
        <f>+J5126</f>
        <v>0</v>
      </c>
      <c r="S5127" s="11"/>
      <c r="T5127" s="10">
        <f>+E5126</f>
        <v>0</v>
      </c>
      <c r="U5127" s="19" t="str">
        <f>IFERROR(LEFT(I5126,FIND("*",I5126)-1),"-")</f>
        <v>-</v>
      </c>
      <c r="V5127" s="19" t="str">
        <f>IFERROR(RIGHT(I5126,LEN(I5126)-FIND("*",I5126)),"-")</f>
        <v>-</v>
      </c>
      <c r="W5127" s="20" t="str">
        <f t="shared" ref="W5127:W5134" si="2788">IFERROR((U5127+V5127)*2/1000,"-")</f>
        <v>-</v>
      </c>
      <c r="X5127" s="20" t="str">
        <f>IFERROR(W5127*J5126,"-")</f>
        <v>-</v>
      </c>
      <c r="Z5127" s="85" t="s">
        <v>82</v>
      </c>
    </row>
    <row r="5128" spans="1:26" ht="6.95" customHeight="1" x14ac:dyDescent="0.3">
      <c r="A5128" s="154"/>
      <c r="B5128" s="157"/>
      <c r="C5128" s="158"/>
      <c r="D5128" s="161"/>
      <c r="E5128" s="162"/>
      <c r="F5128" s="163"/>
      <c r="G5128" s="164"/>
      <c r="H5128" s="165"/>
      <c r="I5128" s="164"/>
      <c r="J5128" s="165"/>
      <c r="K5128" s="164"/>
      <c r="L5128" s="165"/>
      <c r="M5128" s="6"/>
      <c r="N5128" s="32"/>
      <c r="Q5128" s="10" t="str">
        <f>+CONCATENATE(E5126,K5126)</f>
        <v/>
      </c>
      <c r="R5128" s="10">
        <f>+L5126</f>
        <v>0</v>
      </c>
      <c r="S5128" s="11"/>
      <c r="T5128" s="10">
        <f>+E5126</f>
        <v>0</v>
      </c>
      <c r="U5128" s="19" t="str">
        <f>IFERROR(LEFT(K5126,FIND("*",K5126)-1),"-")</f>
        <v>-</v>
      </c>
      <c r="V5128" s="19" t="str">
        <f>IFERROR(RIGHT(K5126,LEN(K5126)-FIND("*",K5126)),"-")</f>
        <v>-</v>
      </c>
      <c r="W5128" s="20" t="str">
        <f t="shared" si="2788"/>
        <v>-</v>
      </c>
      <c r="X5128" s="20" t="str">
        <f>IFERROR(W5128*L5126,"-")</f>
        <v>-</v>
      </c>
      <c r="Z5128" s="85" t="s">
        <v>82</v>
      </c>
    </row>
    <row r="5129" spans="1:26" ht="6.95" customHeight="1" x14ac:dyDescent="0.3">
      <c r="A5129" s="8"/>
      <c r="B5129" s="157"/>
      <c r="C5129" s="158"/>
      <c r="D5129" s="161" t="s">
        <v>39</v>
      </c>
      <c r="E5129" s="162"/>
      <c r="F5129" s="163" t="s">
        <v>40</v>
      </c>
      <c r="G5129" s="164"/>
      <c r="H5129" s="165"/>
      <c r="I5129" s="164"/>
      <c r="J5129" s="165"/>
      <c r="K5129" s="164"/>
      <c r="L5129" s="165"/>
      <c r="M5129" s="6"/>
      <c r="N5129" s="32"/>
      <c r="Q5129" s="10" t="str">
        <f>+CONCATENATE(E5129,G5129)</f>
        <v/>
      </c>
      <c r="R5129" s="10">
        <f>+H5129</f>
        <v>0</v>
      </c>
      <c r="S5129" s="11"/>
      <c r="T5129" s="10">
        <f>+E5129</f>
        <v>0</v>
      </c>
      <c r="U5129" s="19" t="str">
        <f t="shared" ref="U5129" si="2789">IFERROR(LEFT(G5129,FIND("*",G5129)-1),"-")</f>
        <v>-</v>
      </c>
      <c r="V5129" s="19" t="str">
        <f t="shared" ref="V5129" si="2790">IFERROR(RIGHT(G5129,LEN(G5129)-FIND("*",G5129)),"-")</f>
        <v>-</v>
      </c>
      <c r="W5129" s="20" t="str">
        <f t="shared" si="2788"/>
        <v>-</v>
      </c>
      <c r="X5129" s="20" t="str">
        <f>IFERROR(W5129*H5129,"-")</f>
        <v>-</v>
      </c>
      <c r="Z5129" s="85" t="s">
        <v>82</v>
      </c>
    </row>
    <row r="5130" spans="1:26" ht="6.95" customHeight="1" x14ac:dyDescent="0.3">
      <c r="A5130" s="5"/>
      <c r="B5130" s="157"/>
      <c r="C5130" s="158"/>
      <c r="D5130" s="161"/>
      <c r="E5130" s="162"/>
      <c r="F5130" s="163"/>
      <c r="G5130" s="164"/>
      <c r="H5130" s="165"/>
      <c r="I5130" s="164"/>
      <c r="J5130" s="165"/>
      <c r="K5130" s="164"/>
      <c r="L5130" s="165"/>
      <c r="M5130" s="6"/>
      <c r="N5130" s="32"/>
      <c r="Q5130" s="10" t="str">
        <f>+CONCATENATE(E5129,I5129)</f>
        <v/>
      </c>
      <c r="R5130" s="10">
        <f>+J5129</f>
        <v>0</v>
      </c>
      <c r="S5130" s="11"/>
      <c r="T5130" s="10">
        <f>+E5129</f>
        <v>0</v>
      </c>
      <c r="U5130" s="19" t="str">
        <f>IFERROR(LEFT(I5129,FIND("*",I5129)-1),"-")</f>
        <v>-</v>
      </c>
      <c r="V5130" s="19" t="str">
        <f>IFERROR(RIGHT(I5129,LEN(I5129)-FIND("*",I5129)),"-")</f>
        <v>-</v>
      </c>
      <c r="W5130" s="20" t="str">
        <f t="shared" si="2788"/>
        <v>-</v>
      </c>
      <c r="X5130" s="20" t="str">
        <f>IFERROR(W5130*J5129,"-")</f>
        <v>-</v>
      </c>
      <c r="Z5130" s="85" t="s">
        <v>82</v>
      </c>
    </row>
    <row r="5131" spans="1:26" ht="6.95" customHeight="1" x14ac:dyDescent="0.3">
      <c r="A5131" s="5"/>
      <c r="B5131" s="157"/>
      <c r="C5131" s="158"/>
      <c r="D5131" s="161"/>
      <c r="E5131" s="162"/>
      <c r="F5131" s="163"/>
      <c r="G5131" s="164"/>
      <c r="H5131" s="165"/>
      <c r="I5131" s="164"/>
      <c r="J5131" s="165"/>
      <c r="K5131" s="164"/>
      <c r="L5131" s="165"/>
      <c r="M5131" s="6"/>
      <c r="N5131" s="32"/>
      <c r="Q5131" s="10" t="str">
        <f>+CONCATENATE(E5129,K5129)</f>
        <v/>
      </c>
      <c r="R5131" s="10">
        <f>+L5129</f>
        <v>0</v>
      </c>
      <c r="S5131" s="11"/>
      <c r="T5131" s="10">
        <f>+E5129</f>
        <v>0</v>
      </c>
      <c r="U5131" s="19" t="str">
        <f>IFERROR(LEFT(K5129,FIND("*",K5129)-1),"-")</f>
        <v>-</v>
      </c>
      <c r="V5131" s="19" t="str">
        <f>IFERROR(RIGHT(K5129,LEN(K5129)-FIND("*",K5129)),"-")</f>
        <v>-</v>
      </c>
      <c r="W5131" s="20" t="str">
        <f t="shared" si="2788"/>
        <v>-</v>
      </c>
      <c r="X5131" s="20" t="str">
        <f>IFERROR(W5131*L5129,"-")</f>
        <v>-</v>
      </c>
      <c r="Z5131" s="85" t="s">
        <v>82</v>
      </c>
    </row>
    <row r="5132" spans="1:26" ht="6.95" customHeight="1" x14ac:dyDescent="0.3">
      <c r="A5132" s="8"/>
      <c r="B5132" s="157"/>
      <c r="C5132" s="158"/>
      <c r="D5132" s="161" t="s">
        <v>39</v>
      </c>
      <c r="E5132" s="162"/>
      <c r="F5132" s="163" t="s">
        <v>40</v>
      </c>
      <c r="G5132" s="164"/>
      <c r="H5132" s="165"/>
      <c r="I5132" s="164"/>
      <c r="J5132" s="165"/>
      <c r="K5132" s="164"/>
      <c r="L5132" s="165"/>
      <c r="M5132" s="6"/>
      <c r="N5132" s="32"/>
      <c r="Q5132" s="10" t="str">
        <f>+CONCATENATE(E5132,G5132)</f>
        <v/>
      </c>
      <c r="R5132" s="10">
        <f>+H5132</f>
        <v>0</v>
      </c>
      <c r="S5132" s="11"/>
      <c r="T5132" s="10">
        <f>+E5132</f>
        <v>0</v>
      </c>
      <c r="U5132" s="19" t="str">
        <f t="shared" ref="U5132" si="2791">IFERROR(LEFT(G5132,FIND("*",G5132)-1),"-")</f>
        <v>-</v>
      </c>
      <c r="V5132" s="19" t="str">
        <f t="shared" ref="V5132" si="2792">IFERROR(RIGHT(G5132,LEN(G5132)-FIND("*",G5132)),"-")</f>
        <v>-</v>
      </c>
      <c r="W5132" s="20" t="str">
        <f t="shared" si="2788"/>
        <v>-</v>
      </c>
      <c r="X5132" s="20" t="str">
        <f>IFERROR(W5132*H5132,"-")</f>
        <v>-</v>
      </c>
      <c r="Z5132" s="85" t="s">
        <v>82</v>
      </c>
    </row>
    <row r="5133" spans="1:26" ht="6.95" customHeight="1" x14ac:dyDescent="0.3">
      <c r="A5133" s="5"/>
      <c r="B5133" s="157"/>
      <c r="C5133" s="158"/>
      <c r="D5133" s="161"/>
      <c r="E5133" s="162"/>
      <c r="F5133" s="163"/>
      <c r="G5133" s="164"/>
      <c r="H5133" s="165"/>
      <c r="I5133" s="164"/>
      <c r="J5133" s="165"/>
      <c r="K5133" s="164"/>
      <c r="L5133" s="165"/>
      <c r="M5133" s="6"/>
      <c r="N5133" s="32"/>
      <c r="Q5133" s="10" t="str">
        <f>+CONCATENATE(E5132,I5132)</f>
        <v/>
      </c>
      <c r="R5133" s="10">
        <f>+J5132</f>
        <v>0</v>
      </c>
      <c r="S5133" s="11"/>
      <c r="T5133" s="10">
        <f>+E5132</f>
        <v>0</v>
      </c>
      <c r="U5133" s="19" t="str">
        <f>IFERROR(LEFT(I5132,FIND("*",I5132)-1),"-")</f>
        <v>-</v>
      </c>
      <c r="V5133" s="19" t="str">
        <f>IFERROR(RIGHT(I5132,LEN(I5132)-FIND("*",I5132)),"-")</f>
        <v>-</v>
      </c>
      <c r="W5133" s="20" t="str">
        <f t="shared" si="2788"/>
        <v>-</v>
      </c>
      <c r="X5133" s="20" t="str">
        <f t="shared" ref="X5133" si="2793">IFERROR(W5133*J5132,"-")</f>
        <v>-</v>
      </c>
      <c r="Z5133" s="85" t="s">
        <v>82</v>
      </c>
    </row>
    <row r="5134" spans="1:26" ht="6.95" customHeight="1" x14ac:dyDescent="0.3">
      <c r="A5134" s="5"/>
      <c r="B5134" s="157"/>
      <c r="C5134" s="158"/>
      <c r="D5134" s="161"/>
      <c r="E5134" s="162"/>
      <c r="F5134" s="163"/>
      <c r="G5134" s="164"/>
      <c r="H5134" s="165"/>
      <c r="I5134" s="164"/>
      <c r="J5134" s="165"/>
      <c r="K5134" s="164"/>
      <c r="L5134" s="165"/>
      <c r="M5134" s="6"/>
      <c r="N5134" s="32"/>
      <c r="Q5134" s="10" t="str">
        <f>+CONCATENATE(E5132,K5132)</f>
        <v/>
      </c>
      <c r="R5134" s="10">
        <f>+L5132</f>
        <v>0</v>
      </c>
      <c r="S5134" s="11"/>
      <c r="T5134" s="10">
        <f>+E5132</f>
        <v>0</v>
      </c>
      <c r="U5134" s="19" t="str">
        <f>IFERROR(LEFT(K5132,FIND("*",K5132)-1),"-")</f>
        <v>-</v>
      </c>
      <c r="V5134" s="19" t="str">
        <f>IFERROR(RIGHT(K5132,LEN(K5132)-FIND("*",K5132)),"-")</f>
        <v>-</v>
      </c>
      <c r="W5134" s="20" t="str">
        <f t="shared" si="2788"/>
        <v>-</v>
      </c>
      <c r="X5134" s="20" t="str">
        <f>IFERROR(W5134*L5132,"-")</f>
        <v>-</v>
      </c>
      <c r="Z5134" s="85" t="s">
        <v>82</v>
      </c>
    </row>
    <row r="5135" spans="1:26" ht="21" customHeight="1" thickBot="1" x14ac:dyDescent="0.35">
      <c r="A5135" s="5"/>
      <c r="B5135" s="159"/>
      <c r="C5135" s="160"/>
      <c r="D5135" s="166" t="s">
        <v>43</v>
      </c>
      <c r="E5135" s="167"/>
      <c r="F5135" s="167"/>
      <c r="G5135" s="168"/>
      <c r="H5135" s="168"/>
      <c r="I5135" s="168"/>
      <c r="J5135" s="168"/>
      <c r="K5135" s="168"/>
      <c r="L5135" s="168"/>
      <c r="M5135" s="7"/>
      <c r="N5135" s="32"/>
      <c r="Z5135" s="86" t="s">
        <v>81</v>
      </c>
    </row>
    <row r="5136" spans="1:26" ht="9.9499999999999993" customHeight="1" thickBot="1" x14ac:dyDescent="0.35">
      <c r="B5136" s="9"/>
      <c r="C5136" s="109"/>
      <c r="D5136" s="51"/>
      <c r="E5136" s="12"/>
      <c r="F5136" s="51"/>
      <c r="G5136" s="14"/>
      <c r="H5136" s="14"/>
      <c r="I5136" s="14"/>
      <c r="J5136" s="14"/>
      <c r="K5136" s="14"/>
      <c r="L5136" s="14"/>
      <c r="M5136" s="9"/>
      <c r="N5136" s="32"/>
      <c r="U5136" s="18"/>
      <c r="V5136" s="18"/>
      <c r="Z5136" s="85" t="s">
        <v>82</v>
      </c>
    </row>
    <row r="5137" spans="1:26" ht="6.95" customHeight="1" x14ac:dyDescent="0.3">
      <c r="A5137" s="154">
        <f>+A5126+1</f>
        <v>1266</v>
      </c>
      <c r="B5137" s="155"/>
      <c r="C5137" s="156"/>
      <c r="D5137" s="161" t="s">
        <v>39</v>
      </c>
      <c r="E5137" s="162"/>
      <c r="F5137" s="163" t="s">
        <v>40</v>
      </c>
      <c r="G5137" s="164"/>
      <c r="H5137" s="165"/>
      <c r="I5137" s="164"/>
      <c r="J5137" s="165"/>
      <c r="K5137" s="164"/>
      <c r="L5137" s="165"/>
      <c r="M5137" s="6"/>
      <c r="N5137" s="32"/>
      <c r="Q5137" s="10" t="str">
        <f>+CONCATENATE(E5137,G5137)</f>
        <v/>
      </c>
      <c r="R5137" s="10">
        <f>+H5137</f>
        <v>0</v>
      </c>
      <c r="S5137" s="11"/>
      <c r="T5137" s="10">
        <f>+E5137</f>
        <v>0</v>
      </c>
      <c r="U5137" s="19" t="str">
        <f>IFERROR(LEFT(G5137,FIND("*",G5137)-1),"-")</f>
        <v>-</v>
      </c>
      <c r="V5137" s="19" t="str">
        <f>IFERROR(RIGHT(G5137,LEN(G5137)-FIND("*",G5137)),"-")</f>
        <v>-</v>
      </c>
      <c r="W5137" s="20" t="str">
        <f>IFERROR((U5137+V5137)*2/1000,"-")</f>
        <v>-</v>
      </c>
      <c r="X5137" s="20" t="str">
        <f>IFERROR(W5137*H5137,"-")</f>
        <v>-</v>
      </c>
      <c r="Z5137" s="85" t="s">
        <v>82</v>
      </c>
    </row>
    <row r="5138" spans="1:26" ht="6.95" customHeight="1" x14ac:dyDescent="0.3">
      <c r="A5138" s="154"/>
      <c r="B5138" s="157"/>
      <c r="C5138" s="158"/>
      <c r="D5138" s="161"/>
      <c r="E5138" s="162"/>
      <c r="F5138" s="163"/>
      <c r="G5138" s="164"/>
      <c r="H5138" s="165"/>
      <c r="I5138" s="164"/>
      <c r="J5138" s="165"/>
      <c r="K5138" s="164"/>
      <c r="L5138" s="165"/>
      <c r="M5138" s="6"/>
      <c r="N5138" s="32"/>
      <c r="Q5138" s="10" t="str">
        <f>+CONCATENATE(E5137,I5137)</f>
        <v/>
      </c>
      <c r="R5138" s="10">
        <f>+J5137</f>
        <v>0</v>
      </c>
      <c r="S5138" s="11"/>
      <c r="T5138" s="10">
        <f>+E5137</f>
        <v>0</v>
      </c>
      <c r="U5138" s="19" t="str">
        <f>IFERROR(LEFT(I5137,FIND("*",I5137)-1),"-")</f>
        <v>-</v>
      </c>
      <c r="V5138" s="19" t="str">
        <f>IFERROR(RIGHT(I5137,LEN(I5137)-FIND("*",I5137)),"-")</f>
        <v>-</v>
      </c>
      <c r="W5138" s="20" t="str">
        <f t="shared" ref="W5138:W5145" si="2794">IFERROR((U5138+V5138)*2/1000,"-")</f>
        <v>-</v>
      </c>
      <c r="X5138" s="20" t="str">
        <f>IFERROR(W5138*J5137,"-")</f>
        <v>-</v>
      </c>
      <c r="Z5138" s="85" t="s">
        <v>82</v>
      </c>
    </row>
    <row r="5139" spans="1:26" ht="6.95" customHeight="1" x14ac:dyDescent="0.3">
      <c r="A5139" s="154"/>
      <c r="B5139" s="157"/>
      <c r="C5139" s="158"/>
      <c r="D5139" s="161"/>
      <c r="E5139" s="162"/>
      <c r="F5139" s="163"/>
      <c r="G5139" s="164"/>
      <c r="H5139" s="165"/>
      <c r="I5139" s="164"/>
      <c r="J5139" s="165"/>
      <c r="K5139" s="164"/>
      <c r="L5139" s="165"/>
      <c r="M5139" s="6"/>
      <c r="N5139" s="32"/>
      <c r="Q5139" s="10" t="str">
        <f>+CONCATENATE(E5137,K5137)</f>
        <v/>
      </c>
      <c r="R5139" s="10">
        <f>+L5137</f>
        <v>0</v>
      </c>
      <c r="S5139" s="11"/>
      <c r="T5139" s="10">
        <f>+E5137</f>
        <v>0</v>
      </c>
      <c r="U5139" s="19" t="str">
        <f>IFERROR(LEFT(K5137,FIND("*",K5137)-1),"-")</f>
        <v>-</v>
      </c>
      <c r="V5139" s="19" t="str">
        <f>IFERROR(RIGHT(K5137,LEN(K5137)-FIND("*",K5137)),"-")</f>
        <v>-</v>
      </c>
      <c r="W5139" s="20" t="str">
        <f t="shared" si="2794"/>
        <v>-</v>
      </c>
      <c r="X5139" s="20" t="str">
        <f>IFERROR(W5139*L5137,"-")</f>
        <v>-</v>
      </c>
      <c r="Z5139" s="85" t="s">
        <v>82</v>
      </c>
    </row>
    <row r="5140" spans="1:26" ht="6.95" customHeight="1" x14ac:dyDescent="0.3">
      <c r="A5140" s="8"/>
      <c r="B5140" s="157"/>
      <c r="C5140" s="158"/>
      <c r="D5140" s="161" t="s">
        <v>39</v>
      </c>
      <c r="E5140" s="162"/>
      <c r="F5140" s="163" t="s">
        <v>40</v>
      </c>
      <c r="G5140" s="164"/>
      <c r="H5140" s="165"/>
      <c r="I5140" s="164"/>
      <c r="J5140" s="165"/>
      <c r="K5140" s="164"/>
      <c r="L5140" s="165"/>
      <c r="M5140" s="6"/>
      <c r="N5140" s="32"/>
      <c r="Q5140" s="10" t="str">
        <f>+CONCATENATE(E5140,G5140)</f>
        <v/>
      </c>
      <c r="R5140" s="10">
        <f>+H5140</f>
        <v>0</v>
      </c>
      <c r="S5140" s="11"/>
      <c r="T5140" s="10">
        <f>+E5140</f>
        <v>0</v>
      </c>
      <c r="U5140" s="19" t="str">
        <f t="shared" ref="U5140" si="2795">IFERROR(LEFT(G5140,FIND("*",G5140)-1),"-")</f>
        <v>-</v>
      </c>
      <c r="V5140" s="19" t="str">
        <f t="shared" ref="V5140" si="2796">IFERROR(RIGHT(G5140,LEN(G5140)-FIND("*",G5140)),"-")</f>
        <v>-</v>
      </c>
      <c r="W5140" s="20" t="str">
        <f t="shared" si="2794"/>
        <v>-</v>
      </c>
      <c r="X5140" s="20" t="str">
        <f>IFERROR(W5140*H5140,"-")</f>
        <v>-</v>
      </c>
      <c r="Z5140" s="85" t="s">
        <v>82</v>
      </c>
    </row>
    <row r="5141" spans="1:26" ht="6.95" customHeight="1" x14ac:dyDescent="0.3">
      <c r="A5141" s="5"/>
      <c r="B5141" s="157"/>
      <c r="C5141" s="158"/>
      <c r="D5141" s="161"/>
      <c r="E5141" s="162"/>
      <c r="F5141" s="163"/>
      <c r="G5141" s="164"/>
      <c r="H5141" s="165"/>
      <c r="I5141" s="164"/>
      <c r="J5141" s="165"/>
      <c r="K5141" s="164"/>
      <c r="L5141" s="165"/>
      <c r="M5141" s="6"/>
      <c r="N5141" s="32"/>
      <c r="Q5141" s="10" t="str">
        <f>+CONCATENATE(E5140,I5140)</f>
        <v/>
      </c>
      <c r="R5141" s="10">
        <f>+J5140</f>
        <v>0</v>
      </c>
      <c r="S5141" s="11"/>
      <c r="T5141" s="10">
        <f>+E5140</f>
        <v>0</v>
      </c>
      <c r="U5141" s="19" t="str">
        <f>IFERROR(LEFT(I5140,FIND("*",I5140)-1),"-")</f>
        <v>-</v>
      </c>
      <c r="V5141" s="19" t="str">
        <f>IFERROR(RIGHT(I5140,LEN(I5140)-FIND("*",I5140)),"-")</f>
        <v>-</v>
      </c>
      <c r="W5141" s="20" t="str">
        <f t="shared" si="2794"/>
        <v>-</v>
      </c>
      <c r="X5141" s="20" t="str">
        <f>IFERROR(W5141*J5140,"-")</f>
        <v>-</v>
      </c>
      <c r="Z5141" s="85" t="s">
        <v>82</v>
      </c>
    </row>
    <row r="5142" spans="1:26" ht="6.95" customHeight="1" x14ac:dyDescent="0.3">
      <c r="A5142" s="5"/>
      <c r="B5142" s="157"/>
      <c r="C5142" s="158"/>
      <c r="D5142" s="161"/>
      <c r="E5142" s="162"/>
      <c r="F5142" s="163"/>
      <c r="G5142" s="164"/>
      <c r="H5142" s="165"/>
      <c r="I5142" s="164"/>
      <c r="J5142" s="165"/>
      <c r="K5142" s="164"/>
      <c r="L5142" s="165"/>
      <c r="M5142" s="6"/>
      <c r="N5142" s="32"/>
      <c r="Q5142" s="10" t="str">
        <f>+CONCATENATE(E5140,K5140)</f>
        <v/>
      </c>
      <c r="R5142" s="10">
        <f>+L5140</f>
        <v>0</v>
      </c>
      <c r="S5142" s="11"/>
      <c r="T5142" s="10">
        <f>+E5140</f>
        <v>0</v>
      </c>
      <c r="U5142" s="19" t="str">
        <f>IFERROR(LEFT(K5140,FIND("*",K5140)-1),"-")</f>
        <v>-</v>
      </c>
      <c r="V5142" s="19" t="str">
        <f>IFERROR(RIGHT(K5140,LEN(K5140)-FIND("*",K5140)),"-")</f>
        <v>-</v>
      </c>
      <c r="W5142" s="20" t="str">
        <f t="shared" si="2794"/>
        <v>-</v>
      </c>
      <c r="X5142" s="20" t="str">
        <f>IFERROR(W5142*L5140,"-")</f>
        <v>-</v>
      </c>
      <c r="Z5142" s="85" t="s">
        <v>82</v>
      </c>
    </row>
    <row r="5143" spans="1:26" ht="6.95" customHeight="1" x14ac:dyDescent="0.3">
      <c r="A5143" s="8"/>
      <c r="B5143" s="157"/>
      <c r="C5143" s="158"/>
      <c r="D5143" s="161" t="s">
        <v>39</v>
      </c>
      <c r="E5143" s="162"/>
      <c r="F5143" s="163" t="s">
        <v>40</v>
      </c>
      <c r="G5143" s="164"/>
      <c r="H5143" s="165"/>
      <c r="I5143" s="164"/>
      <c r="J5143" s="165"/>
      <c r="K5143" s="164"/>
      <c r="L5143" s="165"/>
      <c r="M5143" s="6"/>
      <c r="N5143" s="32"/>
      <c r="Q5143" s="10" t="str">
        <f>+CONCATENATE(E5143,G5143)</f>
        <v/>
      </c>
      <c r="R5143" s="10">
        <f>+H5143</f>
        <v>0</v>
      </c>
      <c r="S5143" s="11"/>
      <c r="T5143" s="10">
        <f>+E5143</f>
        <v>0</v>
      </c>
      <c r="U5143" s="19" t="str">
        <f t="shared" ref="U5143" si="2797">IFERROR(LEFT(G5143,FIND("*",G5143)-1),"-")</f>
        <v>-</v>
      </c>
      <c r="V5143" s="19" t="str">
        <f t="shared" ref="V5143" si="2798">IFERROR(RIGHT(G5143,LEN(G5143)-FIND("*",G5143)),"-")</f>
        <v>-</v>
      </c>
      <c r="W5143" s="20" t="str">
        <f t="shared" si="2794"/>
        <v>-</v>
      </c>
      <c r="X5143" s="20" t="str">
        <f>IFERROR(W5143*H5143,"-")</f>
        <v>-</v>
      </c>
      <c r="Z5143" s="85" t="s">
        <v>82</v>
      </c>
    </row>
    <row r="5144" spans="1:26" ht="6.95" customHeight="1" x14ac:dyDescent="0.3">
      <c r="A5144" s="5"/>
      <c r="B5144" s="157"/>
      <c r="C5144" s="158"/>
      <c r="D5144" s="161"/>
      <c r="E5144" s="162"/>
      <c r="F5144" s="163"/>
      <c r="G5144" s="164"/>
      <c r="H5144" s="165"/>
      <c r="I5144" s="164"/>
      <c r="J5144" s="165"/>
      <c r="K5144" s="164"/>
      <c r="L5144" s="165"/>
      <c r="M5144" s="6"/>
      <c r="N5144" s="32"/>
      <c r="Q5144" s="10" t="str">
        <f>+CONCATENATE(E5143,I5143)</f>
        <v/>
      </c>
      <c r="R5144" s="10">
        <f>+J5143</f>
        <v>0</v>
      </c>
      <c r="S5144" s="11"/>
      <c r="T5144" s="10">
        <f>+E5143</f>
        <v>0</v>
      </c>
      <c r="U5144" s="19" t="str">
        <f>IFERROR(LEFT(I5143,FIND("*",I5143)-1),"-")</f>
        <v>-</v>
      </c>
      <c r="V5144" s="19" t="str">
        <f>IFERROR(RIGHT(I5143,LEN(I5143)-FIND("*",I5143)),"-")</f>
        <v>-</v>
      </c>
      <c r="W5144" s="20" t="str">
        <f t="shared" si="2794"/>
        <v>-</v>
      </c>
      <c r="X5144" s="20" t="str">
        <f t="shared" ref="X5144" si="2799">IFERROR(W5144*J5143,"-")</f>
        <v>-</v>
      </c>
      <c r="Z5144" s="85" t="s">
        <v>82</v>
      </c>
    </row>
    <row r="5145" spans="1:26" ht="6.95" customHeight="1" x14ac:dyDescent="0.3">
      <c r="A5145" s="5"/>
      <c r="B5145" s="157"/>
      <c r="C5145" s="158"/>
      <c r="D5145" s="161"/>
      <c r="E5145" s="162"/>
      <c r="F5145" s="163"/>
      <c r="G5145" s="164"/>
      <c r="H5145" s="165"/>
      <c r="I5145" s="164"/>
      <c r="J5145" s="165"/>
      <c r="K5145" s="164"/>
      <c r="L5145" s="165"/>
      <c r="M5145" s="6"/>
      <c r="N5145" s="32"/>
      <c r="Q5145" s="10" t="str">
        <f>+CONCATENATE(E5143,K5143)</f>
        <v/>
      </c>
      <c r="R5145" s="10">
        <f>+L5143</f>
        <v>0</v>
      </c>
      <c r="S5145" s="11"/>
      <c r="T5145" s="10">
        <f>+E5143</f>
        <v>0</v>
      </c>
      <c r="U5145" s="19" t="str">
        <f>IFERROR(LEFT(K5143,FIND("*",K5143)-1),"-")</f>
        <v>-</v>
      </c>
      <c r="V5145" s="19" t="str">
        <f>IFERROR(RIGHT(K5143,LEN(K5143)-FIND("*",K5143)),"-")</f>
        <v>-</v>
      </c>
      <c r="W5145" s="20" t="str">
        <f t="shared" si="2794"/>
        <v>-</v>
      </c>
      <c r="X5145" s="20" t="str">
        <f>IFERROR(W5145*L5143,"-")</f>
        <v>-</v>
      </c>
      <c r="Z5145" s="85" t="s">
        <v>82</v>
      </c>
    </row>
    <row r="5146" spans="1:26" ht="21" customHeight="1" thickBot="1" x14ac:dyDescent="0.35">
      <c r="A5146" s="5"/>
      <c r="B5146" s="159"/>
      <c r="C5146" s="160"/>
      <c r="D5146" s="166" t="s">
        <v>43</v>
      </c>
      <c r="E5146" s="167"/>
      <c r="F5146" s="167"/>
      <c r="G5146" s="168"/>
      <c r="H5146" s="168"/>
      <c r="I5146" s="168"/>
      <c r="J5146" s="168"/>
      <c r="K5146" s="168"/>
      <c r="L5146" s="168"/>
      <c r="M5146" s="7"/>
      <c r="N5146" s="32"/>
      <c r="Z5146" s="86" t="s">
        <v>81</v>
      </c>
    </row>
    <row r="5147" spans="1:26" ht="9.9499999999999993" customHeight="1" thickBot="1" x14ac:dyDescent="0.35">
      <c r="B5147" s="9"/>
      <c r="C5147" s="109"/>
      <c r="D5147" s="51"/>
      <c r="E5147" s="12"/>
      <c r="F5147" s="51"/>
      <c r="G5147" s="14"/>
      <c r="H5147" s="14"/>
      <c r="I5147" s="14"/>
      <c r="J5147" s="14"/>
      <c r="K5147" s="14"/>
      <c r="L5147" s="14"/>
      <c r="M5147" s="9"/>
      <c r="N5147" s="32"/>
      <c r="U5147" s="18"/>
      <c r="V5147" s="18"/>
      <c r="Z5147" s="85" t="s">
        <v>82</v>
      </c>
    </row>
    <row r="5148" spans="1:26" ht="6.95" customHeight="1" x14ac:dyDescent="0.3">
      <c r="A5148" s="154">
        <f>+A5137+1</f>
        <v>1267</v>
      </c>
      <c r="B5148" s="155"/>
      <c r="C5148" s="156"/>
      <c r="D5148" s="161" t="s">
        <v>39</v>
      </c>
      <c r="E5148" s="162"/>
      <c r="F5148" s="163" t="s">
        <v>40</v>
      </c>
      <c r="G5148" s="164"/>
      <c r="H5148" s="165"/>
      <c r="I5148" s="164"/>
      <c r="J5148" s="165"/>
      <c r="K5148" s="164"/>
      <c r="L5148" s="165"/>
      <c r="M5148" s="6"/>
      <c r="N5148" s="32"/>
      <c r="Q5148" s="10" t="str">
        <f>+CONCATENATE(E5148,G5148)</f>
        <v/>
      </c>
      <c r="R5148" s="10">
        <f>+H5148</f>
        <v>0</v>
      </c>
      <c r="S5148" s="11"/>
      <c r="T5148" s="10">
        <f>+E5148</f>
        <v>0</v>
      </c>
      <c r="U5148" s="19" t="str">
        <f>IFERROR(LEFT(G5148,FIND("*",G5148)-1),"-")</f>
        <v>-</v>
      </c>
      <c r="V5148" s="19" t="str">
        <f>IFERROR(RIGHT(G5148,LEN(G5148)-FIND("*",G5148)),"-")</f>
        <v>-</v>
      </c>
      <c r="W5148" s="20" t="str">
        <f>IFERROR((U5148+V5148)*2/1000,"-")</f>
        <v>-</v>
      </c>
      <c r="X5148" s="20" t="str">
        <f>IFERROR(W5148*H5148,"-")</f>
        <v>-</v>
      </c>
      <c r="Z5148" s="85" t="s">
        <v>82</v>
      </c>
    </row>
    <row r="5149" spans="1:26" ht="6.95" customHeight="1" x14ac:dyDescent="0.3">
      <c r="A5149" s="154"/>
      <c r="B5149" s="157"/>
      <c r="C5149" s="158"/>
      <c r="D5149" s="161"/>
      <c r="E5149" s="162"/>
      <c r="F5149" s="163"/>
      <c r="G5149" s="164"/>
      <c r="H5149" s="165"/>
      <c r="I5149" s="164"/>
      <c r="J5149" s="165"/>
      <c r="K5149" s="164"/>
      <c r="L5149" s="165"/>
      <c r="M5149" s="6"/>
      <c r="N5149" s="32"/>
      <c r="Q5149" s="10" t="str">
        <f>+CONCATENATE(E5148,I5148)</f>
        <v/>
      </c>
      <c r="R5149" s="10">
        <f>+J5148</f>
        <v>0</v>
      </c>
      <c r="S5149" s="11"/>
      <c r="T5149" s="10">
        <f>+E5148</f>
        <v>0</v>
      </c>
      <c r="U5149" s="19" t="str">
        <f>IFERROR(LEFT(I5148,FIND("*",I5148)-1),"-")</f>
        <v>-</v>
      </c>
      <c r="V5149" s="19" t="str">
        <f>IFERROR(RIGHT(I5148,LEN(I5148)-FIND("*",I5148)),"-")</f>
        <v>-</v>
      </c>
      <c r="W5149" s="20" t="str">
        <f t="shared" ref="W5149:W5156" si="2800">IFERROR((U5149+V5149)*2/1000,"-")</f>
        <v>-</v>
      </c>
      <c r="X5149" s="20" t="str">
        <f>IFERROR(W5149*J5148,"-")</f>
        <v>-</v>
      </c>
      <c r="Z5149" s="85" t="s">
        <v>82</v>
      </c>
    </row>
    <row r="5150" spans="1:26" ht="6.95" customHeight="1" x14ac:dyDescent="0.3">
      <c r="A5150" s="154"/>
      <c r="B5150" s="157"/>
      <c r="C5150" s="158"/>
      <c r="D5150" s="161"/>
      <c r="E5150" s="162"/>
      <c r="F5150" s="163"/>
      <c r="G5150" s="164"/>
      <c r="H5150" s="165"/>
      <c r="I5150" s="164"/>
      <c r="J5150" s="165"/>
      <c r="K5150" s="164"/>
      <c r="L5150" s="165"/>
      <c r="M5150" s="6"/>
      <c r="N5150" s="32"/>
      <c r="Q5150" s="10" t="str">
        <f>+CONCATENATE(E5148,K5148)</f>
        <v/>
      </c>
      <c r="R5150" s="10">
        <f>+L5148</f>
        <v>0</v>
      </c>
      <c r="S5150" s="11"/>
      <c r="T5150" s="10">
        <f>+E5148</f>
        <v>0</v>
      </c>
      <c r="U5150" s="19" t="str">
        <f>IFERROR(LEFT(K5148,FIND("*",K5148)-1),"-")</f>
        <v>-</v>
      </c>
      <c r="V5150" s="19" t="str">
        <f>IFERROR(RIGHT(K5148,LEN(K5148)-FIND("*",K5148)),"-")</f>
        <v>-</v>
      </c>
      <c r="W5150" s="20" t="str">
        <f t="shared" si="2800"/>
        <v>-</v>
      </c>
      <c r="X5150" s="20" t="str">
        <f>IFERROR(W5150*L5148,"-")</f>
        <v>-</v>
      </c>
      <c r="Z5150" s="85" t="s">
        <v>82</v>
      </c>
    </row>
    <row r="5151" spans="1:26" ht="6.95" customHeight="1" x14ac:dyDescent="0.3">
      <c r="A5151" s="8"/>
      <c r="B5151" s="157"/>
      <c r="C5151" s="158"/>
      <c r="D5151" s="161" t="s">
        <v>39</v>
      </c>
      <c r="E5151" s="162"/>
      <c r="F5151" s="163" t="s">
        <v>40</v>
      </c>
      <c r="G5151" s="164"/>
      <c r="H5151" s="165"/>
      <c r="I5151" s="164"/>
      <c r="J5151" s="165"/>
      <c r="K5151" s="164"/>
      <c r="L5151" s="165"/>
      <c r="M5151" s="6"/>
      <c r="N5151" s="32"/>
      <c r="Q5151" s="10" t="str">
        <f>+CONCATENATE(E5151,G5151)</f>
        <v/>
      </c>
      <c r="R5151" s="10">
        <f>+H5151</f>
        <v>0</v>
      </c>
      <c r="S5151" s="11"/>
      <c r="T5151" s="10">
        <f>+E5151</f>
        <v>0</v>
      </c>
      <c r="U5151" s="19" t="str">
        <f t="shared" ref="U5151" si="2801">IFERROR(LEFT(G5151,FIND("*",G5151)-1),"-")</f>
        <v>-</v>
      </c>
      <c r="V5151" s="19" t="str">
        <f t="shared" ref="V5151" si="2802">IFERROR(RIGHT(G5151,LEN(G5151)-FIND("*",G5151)),"-")</f>
        <v>-</v>
      </c>
      <c r="W5151" s="20" t="str">
        <f t="shared" si="2800"/>
        <v>-</v>
      </c>
      <c r="X5151" s="20" t="str">
        <f>IFERROR(W5151*H5151,"-")</f>
        <v>-</v>
      </c>
      <c r="Z5151" s="85" t="s">
        <v>82</v>
      </c>
    </row>
    <row r="5152" spans="1:26" ht="6.95" customHeight="1" x14ac:dyDescent="0.3">
      <c r="A5152" s="5"/>
      <c r="B5152" s="157"/>
      <c r="C5152" s="158"/>
      <c r="D5152" s="161"/>
      <c r="E5152" s="162"/>
      <c r="F5152" s="163"/>
      <c r="G5152" s="164"/>
      <c r="H5152" s="165"/>
      <c r="I5152" s="164"/>
      <c r="J5152" s="165"/>
      <c r="K5152" s="164"/>
      <c r="L5152" s="165"/>
      <c r="M5152" s="6"/>
      <c r="N5152" s="32"/>
      <c r="Q5152" s="10" t="str">
        <f>+CONCATENATE(E5151,I5151)</f>
        <v/>
      </c>
      <c r="R5152" s="10">
        <f>+J5151</f>
        <v>0</v>
      </c>
      <c r="S5152" s="11"/>
      <c r="T5152" s="10">
        <f>+E5151</f>
        <v>0</v>
      </c>
      <c r="U5152" s="19" t="str">
        <f>IFERROR(LEFT(I5151,FIND("*",I5151)-1),"-")</f>
        <v>-</v>
      </c>
      <c r="V5152" s="19" t="str">
        <f>IFERROR(RIGHT(I5151,LEN(I5151)-FIND("*",I5151)),"-")</f>
        <v>-</v>
      </c>
      <c r="W5152" s="20" t="str">
        <f t="shared" si="2800"/>
        <v>-</v>
      </c>
      <c r="X5152" s="20" t="str">
        <f>IFERROR(W5152*J5151,"-")</f>
        <v>-</v>
      </c>
      <c r="Z5152" s="85" t="s">
        <v>82</v>
      </c>
    </row>
    <row r="5153" spans="1:26" ht="6.95" customHeight="1" x14ac:dyDescent="0.3">
      <c r="A5153" s="5"/>
      <c r="B5153" s="157"/>
      <c r="C5153" s="158"/>
      <c r="D5153" s="161"/>
      <c r="E5153" s="162"/>
      <c r="F5153" s="163"/>
      <c r="G5153" s="164"/>
      <c r="H5153" s="165"/>
      <c r="I5153" s="164"/>
      <c r="J5153" s="165"/>
      <c r="K5153" s="164"/>
      <c r="L5153" s="165"/>
      <c r="M5153" s="6"/>
      <c r="N5153" s="32"/>
      <c r="Q5153" s="10" t="str">
        <f>+CONCATENATE(E5151,K5151)</f>
        <v/>
      </c>
      <c r="R5153" s="10">
        <f>+L5151</f>
        <v>0</v>
      </c>
      <c r="S5153" s="11"/>
      <c r="T5153" s="10">
        <f>+E5151</f>
        <v>0</v>
      </c>
      <c r="U5153" s="19" t="str">
        <f>IFERROR(LEFT(K5151,FIND("*",K5151)-1),"-")</f>
        <v>-</v>
      </c>
      <c r="V5153" s="19" t="str">
        <f>IFERROR(RIGHT(K5151,LEN(K5151)-FIND("*",K5151)),"-")</f>
        <v>-</v>
      </c>
      <c r="W5153" s="20" t="str">
        <f t="shared" si="2800"/>
        <v>-</v>
      </c>
      <c r="X5153" s="20" t="str">
        <f>IFERROR(W5153*L5151,"-")</f>
        <v>-</v>
      </c>
      <c r="Z5153" s="85" t="s">
        <v>82</v>
      </c>
    </row>
    <row r="5154" spans="1:26" ht="6.95" customHeight="1" x14ac:dyDescent="0.3">
      <c r="A5154" s="8"/>
      <c r="B5154" s="157"/>
      <c r="C5154" s="158"/>
      <c r="D5154" s="161" t="s">
        <v>39</v>
      </c>
      <c r="E5154" s="162"/>
      <c r="F5154" s="163" t="s">
        <v>40</v>
      </c>
      <c r="G5154" s="164"/>
      <c r="H5154" s="165"/>
      <c r="I5154" s="164"/>
      <c r="J5154" s="165"/>
      <c r="K5154" s="164"/>
      <c r="L5154" s="165"/>
      <c r="M5154" s="6"/>
      <c r="N5154" s="32"/>
      <c r="Q5154" s="10" t="str">
        <f>+CONCATENATE(E5154,G5154)</f>
        <v/>
      </c>
      <c r="R5154" s="10">
        <f>+H5154</f>
        <v>0</v>
      </c>
      <c r="S5154" s="11"/>
      <c r="T5154" s="10">
        <f>+E5154</f>
        <v>0</v>
      </c>
      <c r="U5154" s="19" t="str">
        <f t="shared" ref="U5154" si="2803">IFERROR(LEFT(G5154,FIND("*",G5154)-1),"-")</f>
        <v>-</v>
      </c>
      <c r="V5154" s="19" t="str">
        <f t="shared" ref="V5154" si="2804">IFERROR(RIGHT(G5154,LEN(G5154)-FIND("*",G5154)),"-")</f>
        <v>-</v>
      </c>
      <c r="W5154" s="20" t="str">
        <f t="shared" si="2800"/>
        <v>-</v>
      </c>
      <c r="X5154" s="20" t="str">
        <f>IFERROR(W5154*H5154,"-")</f>
        <v>-</v>
      </c>
      <c r="Z5154" s="85" t="s">
        <v>82</v>
      </c>
    </row>
    <row r="5155" spans="1:26" ht="6.95" customHeight="1" x14ac:dyDescent="0.3">
      <c r="A5155" s="5"/>
      <c r="B5155" s="157"/>
      <c r="C5155" s="158"/>
      <c r="D5155" s="161"/>
      <c r="E5155" s="162"/>
      <c r="F5155" s="163"/>
      <c r="G5155" s="164"/>
      <c r="H5155" s="165"/>
      <c r="I5155" s="164"/>
      <c r="J5155" s="165"/>
      <c r="K5155" s="164"/>
      <c r="L5155" s="165"/>
      <c r="M5155" s="6"/>
      <c r="N5155" s="32"/>
      <c r="Q5155" s="10" t="str">
        <f>+CONCATENATE(E5154,I5154)</f>
        <v/>
      </c>
      <c r="R5155" s="10">
        <f>+J5154</f>
        <v>0</v>
      </c>
      <c r="S5155" s="11"/>
      <c r="T5155" s="10">
        <f>+E5154</f>
        <v>0</v>
      </c>
      <c r="U5155" s="19" t="str">
        <f>IFERROR(LEFT(I5154,FIND("*",I5154)-1),"-")</f>
        <v>-</v>
      </c>
      <c r="V5155" s="19" t="str">
        <f>IFERROR(RIGHT(I5154,LEN(I5154)-FIND("*",I5154)),"-")</f>
        <v>-</v>
      </c>
      <c r="W5155" s="20" t="str">
        <f t="shared" si="2800"/>
        <v>-</v>
      </c>
      <c r="X5155" s="20" t="str">
        <f t="shared" ref="X5155" si="2805">IFERROR(W5155*J5154,"-")</f>
        <v>-</v>
      </c>
      <c r="Z5155" s="85" t="s">
        <v>82</v>
      </c>
    </row>
    <row r="5156" spans="1:26" ht="6.95" customHeight="1" x14ac:dyDescent="0.3">
      <c r="A5156" s="5"/>
      <c r="B5156" s="157"/>
      <c r="C5156" s="158"/>
      <c r="D5156" s="161"/>
      <c r="E5156" s="162"/>
      <c r="F5156" s="163"/>
      <c r="G5156" s="164"/>
      <c r="H5156" s="165"/>
      <c r="I5156" s="164"/>
      <c r="J5156" s="165"/>
      <c r="K5156" s="164"/>
      <c r="L5156" s="165"/>
      <c r="M5156" s="6"/>
      <c r="N5156" s="32"/>
      <c r="Q5156" s="10" t="str">
        <f>+CONCATENATE(E5154,K5154)</f>
        <v/>
      </c>
      <c r="R5156" s="10">
        <f>+L5154</f>
        <v>0</v>
      </c>
      <c r="S5156" s="11"/>
      <c r="T5156" s="10">
        <f>+E5154</f>
        <v>0</v>
      </c>
      <c r="U5156" s="19" t="str">
        <f>IFERROR(LEFT(K5154,FIND("*",K5154)-1),"-")</f>
        <v>-</v>
      </c>
      <c r="V5156" s="19" t="str">
        <f>IFERROR(RIGHT(K5154,LEN(K5154)-FIND("*",K5154)),"-")</f>
        <v>-</v>
      </c>
      <c r="W5156" s="20" t="str">
        <f t="shared" si="2800"/>
        <v>-</v>
      </c>
      <c r="X5156" s="20" t="str">
        <f>IFERROR(W5156*L5154,"-")</f>
        <v>-</v>
      </c>
      <c r="Z5156" s="85" t="s">
        <v>82</v>
      </c>
    </row>
    <row r="5157" spans="1:26" ht="21" customHeight="1" thickBot="1" x14ac:dyDescent="0.35">
      <c r="A5157" s="5"/>
      <c r="B5157" s="159"/>
      <c r="C5157" s="160"/>
      <c r="D5157" s="166" t="s">
        <v>43</v>
      </c>
      <c r="E5157" s="167"/>
      <c r="F5157" s="167"/>
      <c r="G5157" s="168"/>
      <c r="H5157" s="168"/>
      <c r="I5157" s="168"/>
      <c r="J5157" s="168"/>
      <c r="K5157" s="168"/>
      <c r="L5157" s="168"/>
      <c r="M5157" s="7"/>
      <c r="N5157" s="32"/>
      <c r="Z5157" s="86" t="s">
        <v>81</v>
      </c>
    </row>
    <row r="5158" spans="1:26" ht="9.9499999999999993" customHeight="1" thickBot="1" x14ac:dyDescent="0.35">
      <c r="B5158" s="9"/>
      <c r="C5158" s="109"/>
      <c r="D5158" s="51"/>
      <c r="E5158" s="12"/>
      <c r="F5158" s="51"/>
      <c r="G5158" s="14"/>
      <c r="H5158" s="14"/>
      <c r="I5158" s="14"/>
      <c r="J5158" s="14"/>
      <c r="K5158" s="14"/>
      <c r="L5158" s="14"/>
      <c r="M5158" s="9"/>
      <c r="N5158" s="32"/>
      <c r="U5158" s="18"/>
      <c r="V5158" s="18"/>
      <c r="Z5158" s="85" t="s">
        <v>82</v>
      </c>
    </row>
    <row r="5159" spans="1:26" ht="6.95" customHeight="1" x14ac:dyDescent="0.3">
      <c r="A5159" s="154">
        <f>+A5148+1</f>
        <v>1268</v>
      </c>
      <c r="B5159" s="155"/>
      <c r="C5159" s="156"/>
      <c r="D5159" s="161" t="s">
        <v>39</v>
      </c>
      <c r="E5159" s="162"/>
      <c r="F5159" s="163" t="s">
        <v>40</v>
      </c>
      <c r="G5159" s="164"/>
      <c r="H5159" s="165"/>
      <c r="I5159" s="164"/>
      <c r="J5159" s="165"/>
      <c r="K5159" s="164"/>
      <c r="L5159" s="165"/>
      <c r="M5159" s="6"/>
      <c r="N5159" s="32"/>
      <c r="Q5159" s="10" t="str">
        <f>+CONCATENATE(E5159,G5159)</f>
        <v/>
      </c>
      <c r="R5159" s="10">
        <f>+H5159</f>
        <v>0</v>
      </c>
      <c r="S5159" s="11"/>
      <c r="T5159" s="10">
        <f>+E5159</f>
        <v>0</v>
      </c>
      <c r="U5159" s="19" t="str">
        <f>IFERROR(LEFT(G5159,FIND("*",G5159)-1),"-")</f>
        <v>-</v>
      </c>
      <c r="V5159" s="19" t="str">
        <f>IFERROR(RIGHT(G5159,LEN(G5159)-FIND("*",G5159)),"-")</f>
        <v>-</v>
      </c>
      <c r="W5159" s="20" t="str">
        <f>IFERROR((U5159+V5159)*2/1000,"-")</f>
        <v>-</v>
      </c>
      <c r="X5159" s="20" t="str">
        <f>IFERROR(W5159*H5159,"-")</f>
        <v>-</v>
      </c>
      <c r="Z5159" s="85" t="s">
        <v>82</v>
      </c>
    </row>
    <row r="5160" spans="1:26" ht="6.95" customHeight="1" x14ac:dyDescent="0.3">
      <c r="A5160" s="154"/>
      <c r="B5160" s="157"/>
      <c r="C5160" s="158"/>
      <c r="D5160" s="161"/>
      <c r="E5160" s="162"/>
      <c r="F5160" s="163"/>
      <c r="G5160" s="164"/>
      <c r="H5160" s="165"/>
      <c r="I5160" s="164"/>
      <c r="J5160" s="165"/>
      <c r="K5160" s="164"/>
      <c r="L5160" s="165"/>
      <c r="M5160" s="6"/>
      <c r="N5160" s="32"/>
      <c r="Q5160" s="10" t="str">
        <f>+CONCATENATE(E5159,I5159)</f>
        <v/>
      </c>
      <c r="R5160" s="10">
        <f>+J5159</f>
        <v>0</v>
      </c>
      <c r="S5160" s="11"/>
      <c r="T5160" s="10">
        <f>+E5159</f>
        <v>0</v>
      </c>
      <c r="U5160" s="19" t="str">
        <f>IFERROR(LEFT(I5159,FIND("*",I5159)-1),"-")</f>
        <v>-</v>
      </c>
      <c r="V5160" s="19" t="str">
        <f>IFERROR(RIGHT(I5159,LEN(I5159)-FIND("*",I5159)),"-")</f>
        <v>-</v>
      </c>
      <c r="W5160" s="20" t="str">
        <f t="shared" ref="W5160:W5167" si="2806">IFERROR((U5160+V5160)*2/1000,"-")</f>
        <v>-</v>
      </c>
      <c r="X5160" s="20" t="str">
        <f>IFERROR(W5160*J5159,"-")</f>
        <v>-</v>
      </c>
      <c r="Z5160" s="85" t="s">
        <v>82</v>
      </c>
    </row>
    <row r="5161" spans="1:26" ht="6.95" customHeight="1" x14ac:dyDescent="0.3">
      <c r="A5161" s="154"/>
      <c r="B5161" s="157"/>
      <c r="C5161" s="158"/>
      <c r="D5161" s="161"/>
      <c r="E5161" s="162"/>
      <c r="F5161" s="163"/>
      <c r="G5161" s="164"/>
      <c r="H5161" s="165"/>
      <c r="I5161" s="164"/>
      <c r="J5161" s="165"/>
      <c r="K5161" s="164"/>
      <c r="L5161" s="165"/>
      <c r="M5161" s="6"/>
      <c r="N5161" s="32"/>
      <c r="Q5161" s="10" t="str">
        <f>+CONCATENATE(E5159,K5159)</f>
        <v/>
      </c>
      <c r="R5161" s="10">
        <f>+L5159</f>
        <v>0</v>
      </c>
      <c r="S5161" s="11"/>
      <c r="T5161" s="10">
        <f>+E5159</f>
        <v>0</v>
      </c>
      <c r="U5161" s="19" t="str">
        <f>IFERROR(LEFT(K5159,FIND("*",K5159)-1),"-")</f>
        <v>-</v>
      </c>
      <c r="V5161" s="19" t="str">
        <f>IFERROR(RIGHT(K5159,LEN(K5159)-FIND("*",K5159)),"-")</f>
        <v>-</v>
      </c>
      <c r="W5161" s="20" t="str">
        <f t="shared" si="2806"/>
        <v>-</v>
      </c>
      <c r="X5161" s="20" t="str">
        <f>IFERROR(W5161*L5159,"-")</f>
        <v>-</v>
      </c>
      <c r="Z5161" s="85" t="s">
        <v>82</v>
      </c>
    </row>
    <row r="5162" spans="1:26" ht="6.95" customHeight="1" x14ac:dyDescent="0.3">
      <c r="A5162" s="8"/>
      <c r="B5162" s="157"/>
      <c r="C5162" s="158"/>
      <c r="D5162" s="161" t="s">
        <v>39</v>
      </c>
      <c r="E5162" s="162"/>
      <c r="F5162" s="163" t="s">
        <v>40</v>
      </c>
      <c r="G5162" s="164"/>
      <c r="H5162" s="165"/>
      <c r="I5162" s="164"/>
      <c r="J5162" s="165"/>
      <c r="K5162" s="164"/>
      <c r="L5162" s="165"/>
      <c r="M5162" s="6"/>
      <c r="N5162" s="32"/>
      <c r="Q5162" s="10" t="str">
        <f>+CONCATENATE(E5162,G5162)</f>
        <v/>
      </c>
      <c r="R5162" s="10">
        <f>+H5162</f>
        <v>0</v>
      </c>
      <c r="S5162" s="11"/>
      <c r="T5162" s="10">
        <f>+E5162</f>
        <v>0</v>
      </c>
      <c r="U5162" s="19" t="str">
        <f t="shared" ref="U5162" si="2807">IFERROR(LEFT(G5162,FIND("*",G5162)-1),"-")</f>
        <v>-</v>
      </c>
      <c r="V5162" s="19" t="str">
        <f t="shared" ref="V5162" si="2808">IFERROR(RIGHT(G5162,LEN(G5162)-FIND("*",G5162)),"-")</f>
        <v>-</v>
      </c>
      <c r="W5162" s="20" t="str">
        <f t="shared" si="2806"/>
        <v>-</v>
      </c>
      <c r="X5162" s="20" t="str">
        <f>IFERROR(W5162*H5162,"-")</f>
        <v>-</v>
      </c>
      <c r="Z5162" s="85" t="s">
        <v>82</v>
      </c>
    </row>
    <row r="5163" spans="1:26" ht="6.95" customHeight="1" x14ac:dyDescent="0.3">
      <c r="A5163" s="5"/>
      <c r="B5163" s="157"/>
      <c r="C5163" s="158"/>
      <c r="D5163" s="161"/>
      <c r="E5163" s="162"/>
      <c r="F5163" s="163"/>
      <c r="G5163" s="164"/>
      <c r="H5163" s="165"/>
      <c r="I5163" s="164"/>
      <c r="J5163" s="165"/>
      <c r="K5163" s="164"/>
      <c r="L5163" s="165"/>
      <c r="M5163" s="6"/>
      <c r="N5163" s="32"/>
      <c r="Q5163" s="10" t="str">
        <f>+CONCATENATE(E5162,I5162)</f>
        <v/>
      </c>
      <c r="R5163" s="10">
        <f>+J5162</f>
        <v>0</v>
      </c>
      <c r="S5163" s="11"/>
      <c r="T5163" s="10">
        <f>+E5162</f>
        <v>0</v>
      </c>
      <c r="U5163" s="19" t="str">
        <f>IFERROR(LEFT(I5162,FIND("*",I5162)-1),"-")</f>
        <v>-</v>
      </c>
      <c r="V5163" s="19" t="str">
        <f>IFERROR(RIGHT(I5162,LEN(I5162)-FIND("*",I5162)),"-")</f>
        <v>-</v>
      </c>
      <c r="W5163" s="20" t="str">
        <f t="shared" si="2806"/>
        <v>-</v>
      </c>
      <c r="X5163" s="20" t="str">
        <f>IFERROR(W5163*J5162,"-")</f>
        <v>-</v>
      </c>
      <c r="Z5163" s="85" t="s">
        <v>82</v>
      </c>
    </row>
    <row r="5164" spans="1:26" ht="6.95" customHeight="1" x14ac:dyDescent="0.3">
      <c r="A5164" s="5"/>
      <c r="B5164" s="157"/>
      <c r="C5164" s="158"/>
      <c r="D5164" s="161"/>
      <c r="E5164" s="162"/>
      <c r="F5164" s="163"/>
      <c r="G5164" s="164"/>
      <c r="H5164" s="165"/>
      <c r="I5164" s="164"/>
      <c r="J5164" s="165"/>
      <c r="K5164" s="164"/>
      <c r="L5164" s="165"/>
      <c r="M5164" s="6"/>
      <c r="N5164" s="32"/>
      <c r="Q5164" s="10" t="str">
        <f>+CONCATENATE(E5162,K5162)</f>
        <v/>
      </c>
      <c r="R5164" s="10">
        <f>+L5162</f>
        <v>0</v>
      </c>
      <c r="S5164" s="11"/>
      <c r="T5164" s="10">
        <f>+E5162</f>
        <v>0</v>
      </c>
      <c r="U5164" s="19" t="str">
        <f>IFERROR(LEFT(K5162,FIND("*",K5162)-1),"-")</f>
        <v>-</v>
      </c>
      <c r="V5164" s="19" t="str">
        <f>IFERROR(RIGHT(K5162,LEN(K5162)-FIND("*",K5162)),"-")</f>
        <v>-</v>
      </c>
      <c r="W5164" s="20" t="str">
        <f t="shared" si="2806"/>
        <v>-</v>
      </c>
      <c r="X5164" s="20" t="str">
        <f>IFERROR(W5164*L5162,"-")</f>
        <v>-</v>
      </c>
      <c r="Z5164" s="85" t="s">
        <v>82</v>
      </c>
    </row>
    <row r="5165" spans="1:26" ht="6.95" customHeight="1" x14ac:dyDescent="0.3">
      <c r="A5165" s="8"/>
      <c r="B5165" s="157"/>
      <c r="C5165" s="158"/>
      <c r="D5165" s="161" t="s">
        <v>39</v>
      </c>
      <c r="E5165" s="162"/>
      <c r="F5165" s="163" t="s">
        <v>40</v>
      </c>
      <c r="G5165" s="164"/>
      <c r="H5165" s="165"/>
      <c r="I5165" s="164"/>
      <c r="J5165" s="165"/>
      <c r="K5165" s="164"/>
      <c r="L5165" s="165"/>
      <c r="M5165" s="6"/>
      <c r="N5165" s="32"/>
      <c r="Q5165" s="10" t="str">
        <f>+CONCATENATE(E5165,G5165)</f>
        <v/>
      </c>
      <c r="R5165" s="10">
        <f>+H5165</f>
        <v>0</v>
      </c>
      <c r="S5165" s="11"/>
      <c r="T5165" s="10">
        <f>+E5165</f>
        <v>0</v>
      </c>
      <c r="U5165" s="19" t="str">
        <f t="shared" ref="U5165" si="2809">IFERROR(LEFT(G5165,FIND("*",G5165)-1),"-")</f>
        <v>-</v>
      </c>
      <c r="V5165" s="19" t="str">
        <f t="shared" ref="V5165" si="2810">IFERROR(RIGHT(G5165,LEN(G5165)-FIND("*",G5165)),"-")</f>
        <v>-</v>
      </c>
      <c r="W5165" s="20" t="str">
        <f t="shared" si="2806"/>
        <v>-</v>
      </c>
      <c r="X5165" s="20" t="str">
        <f>IFERROR(W5165*H5165,"-")</f>
        <v>-</v>
      </c>
      <c r="Z5165" s="85" t="s">
        <v>82</v>
      </c>
    </row>
    <row r="5166" spans="1:26" ht="6.95" customHeight="1" x14ac:dyDescent="0.3">
      <c r="A5166" s="5"/>
      <c r="B5166" s="157"/>
      <c r="C5166" s="158"/>
      <c r="D5166" s="161"/>
      <c r="E5166" s="162"/>
      <c r="F5166" s="163"/>
      <c r="G5166" s="164"/>
      <c r="H5166" s="165"/>
      <c r="I5166" s="164"/>
      <c r="J5166" s="165"/>
      <c r="K5166" s="164"/>
      <c r="L5166" s="165"/>
      <c r="M5166" s="6"/>
      <c r="N5166" s="32"/>
      <c r="Q5166" s="10" t="str">
        <f>+CONCATENATE(E5165,I5165)</f>
        <v/>
      </c>
      <c r="R5166" s="10">
        <f>+J5165</f>
        <v>0</v>
      </c>
      <c r="S5166" s="11"/>
      <c r="T5166" s="10">
        <f>+E5165</f>
        <v>0</v>
      </c>
      <c r="U5166" s="19" t="str">
        <f>IFERROR(LEFT(I5165,FIND("*",I5165)-1),"-")</f>
        <v>-</v>
      </c>
      <c r="V5166" s="19" t="str">
        <f>IFERROR(RIGHT(I5165,LEN(I5165)-FIND("*",I5165)),"-")</f>
        <v>-</v>
      </c>
      <c r="W5166" s="20" t="str">
        <f t="shared" si="2806"/>
        <v>-</v>
      </c>
      <c r="X5166" s="20" t="str">
        <f t="shared" ref="X5166" si="2811">IFERROR(W5166*J5165,"-")</f>
        <v>-</v>
      </c>
      <c r="Z5166" s="85" t="s">
        <v>82</v>
      </c>
    </row>
    <row r="5167" spans="1:26" ht="6.95" customHeight="1" x14ac:dyDescent="0.3">
      <c r="A5167" s="5"/>
      <c r="B5167" s="157"/>
      <c r="C5167" s="158"/>
      <c r="D5167" s="161"/>
      <c r="E5167" s="162"/>
      <c r="F5167" s="163"/>
      <c r="G5167" s="164"/>
      <c r="H5167" s="165"/>
      <c r="I5167" s="164"/>
      <c r="J5167" s="165"/>
      <c r="K5167" s="164"/>
      <c r="L5167" s="165"/>
      <c r="M5167" s="6"/>
      <c r="N5167" s="32"/>
      <c r="Q5167" s="10" t="str">
        <f>+CONCATENATE(E5165,K5165)</f>
        <v/>
      </c>
      <c r="R5167" s="10">
        <f>+L5165</f>
        <v>0</v>
      </c>
      <c r="S5167" s="11"/>
      <c r="T5167" s="10">
        <f>+E5165</f>
        <v>0</v>
      </c>
      <c r="U5167" s="19" t="str">
        <f>IFERROR(LEFT(K5165,FIND("*",K5165)-1),"-")</f>
        <v>-</v>
      </c>
      <c r="V5167" s="19" t="str">
        <f>IFERROR(RIGHT(K5165,LEN(K5165)-FIND("*",K5165)),"-")</f>
        <v>-</v>
      </c>
      <c r="W5167" s="20" t="str">
        <f t="shared" si="2806"/>
        <v>-</v>
      </c>
      <c r="X5167" s="20" t="str">
        <f>IFERROR(W5167*L5165,"-")</f>
        <v>-</v>
      </c>
      <c r="Z5167" s="85" t="s">
        <v>82</v>
      </c>
    </row>
    <row r="5168" spans="1:26" ht="21" customHeight="1" thickBot="1" x14ac:dyDescent="0.35">
      <c r="A5168" s="5"/>
      <c r="B5168" s="159"/>
      <c r="C5168" s="160"/>
      <c r="D5168" s="166" t="s">
        <v>43</v>
      </c>
      <c r="E5168" s="167"/>
      <c r="F5168" s="167"/>
      <c r="G5168" s="168"/>
      <c r="H5168" s="168"/>
      <c r="I5168" s="168"/>
      <c r="J5168" s="168"/>
      <c r="K5168" s="168"/>
      <c r="L5168" s="168"/>
      <c r="M5168" s="7"/>
      <c r="N5168" s="32"/>
      <c r="Z5168" s="86" t="s">
        <v>81</v>
      </c>
    </row>
    <row r="5169" spans="1:26" ht="9.9499999999999993" customHeight="1" thickBot="1" x14ac:dyDescent="0.35">
      <c r="B5169" s="9"/>
      <c r="C5169" s="109"/>
      <c r="D5169" s="51"/>
      <c r="E5169" s="12"/>
      <c r="F5169" s="51"/>
      <c r="G5169" s="14"/>
      <c r="H5169" s="14"/>
      <c r="I5169" s="14"/>
      <c r="J5169" s="14"/>
      <c r="K5169" s="14"/>
      <c r="L5169" s="14"/>
      <c r="M5169" s="9"/>
      <c r="N5169" s="32"/>
      <c r="U5169" s="18"/>
      <c r="V5169" s="18"/>
      <c r="Z5169" s="85" t="s">
        <v>82</v>
      </c>
    </row>
    <row r="5170" spans="1:26" ht="6.95" customHeight="1" x14ac:dyDescent="0.3">
      <c r="A5170" s="154">
        <f>+A5159+1</f>
        <v>1269</v>
      </c>
      <c r="B5170" s="155"/>
      <c r="C5170" s="156"/>
      <c r="D5170" s="161" t="s">
        <v>39</v>
      </c>
      <c r="E5170" s="162"/>
      <c r="F5170" s="163" t="s">
        <v>40</v>
      </c>
      <c r="G5170" s="164"/>
      <c r="H5170" s="165"/>
      <c r="I5170" s="164"/>
      <c r="J5170" s="165"/>
      <c r="K5170" s="164"/>
      <c r="L5170" s="165"/>
      <c r="M5170" s="6"/>
      <c r="N5170" s="32"/>
      <c r="Q5170" s="10" t="str">
        <f>+CONCATENATE(E5170,G5170)</f>
        <v/>
      </c>
      <c r="R5170" s="10">
        <f>+H5170</f>
        <v>0</v>
      </c>
      <c r="S5170" s="11"/>
      <c r="T5170" s="10">
        <f>+E5170</f>
        <v>0</v>
      </c>
      <c r="U5170" s="19" t="str">
        <f>IFERROR(LEFT(G5170,FIND("*",G5170)-1),"-")</f>
        <v>-</v>
      </c>
      <c r="V5170" s="19" t="str">
        <f>IFERROR(RIGHT(G5170,LEN(G5170)-FIND("*",G5170)),"-")</f>
        <v>-</v>
      </c>
      <c r="W5170" s="20" t="str">
        <f>IFERROR((U5170+V5170)*2/1000,"-")</f>
        <v>-</v>
      </c>
      <c r="X5170" s="20" t="str">
        <f>IFERROR(W5170*H5170,"-")</f>
        <v>-</v>
      </c>
      <c r="Z5170" s="85" t="s">
        <v>82</v>
      </c>
    </row>
    <row r="5171" spans="1:26" ht="6.95" customHeight="1" x14ac:dyDescent="0.3">
      <c r="A5171" s="154"/>
      <c r="B5171" s="157"/>
      <c r="C5171" s="158"/>
      <c r="D5171" s="161"/>
      <c r="E5171" s="162"/>
      <c r="F5171" s="163"/>
      <c r="G5171" s="164"/>
      <c r="H5171" s="165"/>
      <c r="I5171" s="164"/>
      <c r="J5171" s="165"/>
      <c r="K5171" s="164"/>
      <c r="L5171" s="165"/>
      <c r="M5171" s="6"/>
      <c r="N5171" s="32"/>
      <c r="Q5171" s="10" t="str">
        <f>+CONCATENATE(E5170,I5170)</f>
        <v/>
      </c>
      <c r="R5171" s="10">
        <f>+J5170</f>
        <v>0</v>
      </c>
      <c r="S5171" s="11"/>
      <c r="T5171" s="10">
        <f>+E5170</f>
        <v>0</v>
      </c>
      <c r="U5171" s="19" t="str">
        <f>IFERROR(LEFT(I5170,FIND("*",I5170)-1),"-")</f>
        <v>-</v>
      </c>
      <c r="V5171" s="19" t="str">
        <f>IFERROR(RIGHT(I5170,LEN(I5170)-FIND("*",I5170)),"-")</f>
        <v>-</v>
      </c>
      <c r="W5171" s="20" t="str">
        <f t="shared" ref="W5171:W5178" si="2812">IFERROR((U5171+V5171)*2/1000,"-")</f>
        <v>-</v>
      </c>
      <c r="X5171" s="20" t="str">
        <f>IFERROR(W5171*J5170,"-")</f>
        <v>-</v>
      </c>
      <c r="Z5171" s="85" t="s">
        <v>82</v>
      </c>
    </row>
    <row r="5172" spans="1:26" ht="6.95" customHeight="1" x14ac:dyDescent="0.3">
      <c r="A5172" s="154"/>
      <c r="B5172" s="157"/>
      <c r="C5172" s="158"/>
      <c r="D5172" s="161"/>
      <c r="E5172" s="162"/>
      <c r="F5172" s="163"/>
      <c r="G5172" s="164"/>
      <c r="H5172" s="165"/>
      <c r="I5172" s="164"/>
      <c r="J5172" s="165"/>
      <c r="K5172" s="164"/>
      <c r="L5172" s="165"/>
      <c r="M5172" s="6"/>
      <c r="N5172" s="32"/>
      <c r="Q5172" s="10" t="str">
        <f>+CONCATENATE(E5170,K5170)</f>
        <v/>
      </c>
      <c r="R5172" s="10">
        <f>+L5170</f>
        <v>0</v>
      </c>
      <c r="S5172" s="11"/>
      <c r="T5172" s="10">
        <f>+E5170</f>
        <v>0</v>
      </c>
      <c r="U5172" s="19" t="str">
        <f>IFERROR(LEFT(K5170,FIND("*",K5170)-1),"-")</f>
        <v>-</v>
      </c>
      <c r="V5172" s="19" t="str">
        <f>IFERROR(RIGHT(K5170,LEN(K5170)-FIND("*",K5170)),"-")</f>
        <v>-</v>
      </c>
      <c r="W5172" s="20" t="str">
        <f t="shared" si="2812"/>
        <v>-</v>
      </c>
      <c r="X5172" s="20" t="str">
        <f>IFERROR(W5172*L5170,"-")</f>
        <v>-</v>
      </c>
      <c r="Z5172" s="85" t="s">
        <v>82</v>
      </c>
    </row>
    <row r="5173" spans="1:26" ht="6.95" customHeight="1" x14ac:dyDescent="0.3">
      <c r="A5173" s="8"/>
      <c r="B5173" s="157"/>
      <c r="C5173" s="158"/>
      <c r="D5173" s="161" t="s">
        <v>39</v>
      </c>
      <c r="E5173" s="162"/>
      <c r="F5173" s="163" t="s">
        <v>40</v>
      </c>
      <c r="G5173" s="164"/>
      <c r="H5173" s="165"/>
      <c r="I5173" s="164"/>
      <c r="J5173" s="165"/>
      <c r="K5173" s="164"/>
      <c r="L5173" s="165"/>
      <c r="M5173" s="6"/>
      <c r="N5173" s="32"/>
      <c r="Q5173" s="10" t="str">
        <f>+CONCATENATE(E5173,G5173)</f>
        <v/>
      </c>
      <c r="R5173" s="10">
        <f>+H5173</f>
        <v>0</v>
      </c>
      <c r="S5173" s="11"/>
      <c r="T5173" s="10">
        <f>+E5173</f>
        <v>0</v>
      </c>
      <c r="U5173" s="19" t="str">
        <f t="shared" ref="U5173" si="2813">IFERROR(LEFT(G5173,FIND("*",G5173)-1),"-")</f>
        <v>-</v>
      </c>
      <c r="V5173" s="19" t="str">
        <f t="shared" ref="V5173" si="2814">IFERROR(RIGHT(G5173,LEN(G5173)-FIND("*",G5173)),"-")</f>
        <v>-</v>
      </c>
      <c r="W5173" s="20" t="str">
        <f t="shared" si="2812"/>
        <v>-</v>
      </c>
      <c r="X5173" s="20" t="str">
        <f>IFERROR(W5173*H5173,"-")</f>
        <v>-</v>
      </c>
      <c r="Z5173" s="85" t="s">
        <v>82</v>
      </c>
    </row>
    <row r="5174" spans="1:26" ht="6.95" customHeight="1" x14ac:dyDescent="0.3">
      <c r="A5174" s="5"/>
      <c r="B5174" s="157"/>
      <c r="C5174" s="158"/>
      <c r="D5174" s="161"/>
      <c r="E5174" s="162"/>
      <c r="F5174" s="163"/>
      <c r="G5174" s="164"/>
      <c r="H5174" s="165"/>
      <c r="I5174" s="164"/>
      <c r="J5174" s="165"/>
      <c r="K5174" s="164"/>
      <c r="L5174" s="165"/>
      <c r="M5174" s="6"/>
      <c r="N5174" s="32"/>
      <c r="Q5174" s="10" t="str">
        <f>+CONCATENATE(E5173,I5173)</f>
        <v/>
      </c>
      <c r="R5174" s="10">
        <f>+J5173</f>
        <v>0</v>
      </c>
      <c r="S5174" s="11"/>
      <c r="T5174" s="10">
        <f>+E5173</f>
        <v>0</v>
      </c>
      <c r="U5174" s="19" t="str">
        <f>IFERROR(LEFT(I5173,FIND("*",I5173)-1),"-")</f>
        <v>-</v>
      </c>
      <c r="V5174" s="19" t="str">
        <f>IFERROR(RIGHT(I5173,LEN(I5173)-FIND("*",I5173)),"-")</f>
        <v>-</v>
      </c>
      <c r="W5174" s="20" t="str">
        <f t="shared" si="2812"/>
        <v>-</v>
      </c>
      <c r="X5174" s="20" t="str">
        <f>IFERROR(W5174*J5173,"-")</f>
        <v>-</v>
      </c>
      <c r="Z5174" s="85" t="s">
        <v>82</v>
      </c>
    </row>
    <row r="5175" spans="1:26" ht="6.95" customHeight="1" x14ac:dyDescent="0.3">
      <c r="A5175" s="5"/>
      <c r="B5175" s="157"/>
      <c r="C5175" s="158"/>
      <c r="D5175" s="161"/>
      <c r="E5175" s="162"/>
      <c r="F5175" s="163"/>
      <c r="G5175" s="164"/>
      <c r="H5175" s="165"/>
      <c r="I5175" s="164"/>
      <c r="J5175" s="165"/>
      <c r="K5175" s="164"/>
      <c r="L5175" s="165"/>
      <c r="M5175" s="6"/>
      <c r="N5175" s="32"/>
      <c r="Q5175" s="10" t="str">
        <f>+CONCATENATE(E5173,K5173)</f>
        <v/>
      </c>
      <c r="R5175" s="10">
        <f>+L5173</f>
        <v>0</v>
      </c>
      <c r="S5175" s="11"/>
      <c r="T5175" s="10">
        <f>+E5173</f>
        <v>0</v>
      </c>
      <c r="U5175" s="19" t="str">
        <f>IFERROR(LEFT(K5173,FIND("*",K5173)-1),"-")</f>
        <v>-</v>
      </c>
      <c r="V5175" s="19" t="str">
        <f>IFERROR(RIGHT(K5173,LEN(K5173)-FIND("*",K5173)),"-")</f>
        <v>-</v>
      </c>
      <c r="W5175" s="20" t="str">
        <f t="shared" si="2812"/>
        <v>-</v>
      </c>
      <c r="X5175" s="20" t="str">
        <f>IFERROR(W5175*L5173,"-")</f>
        <v>-</v>
      </c>
      <c r="Z5175" s="85" t="s">
        <v>82</v>
      </c>
    </row>
    <row r="5176" spans="1:26" ht="6.95" customHeight="1" x14ac:dyDescent="0.3">
      <c r="A5176" s="8"/>
      <c r="B5176" s="157"/>
      <c r="C5176" s="158"/>
      <c r="D5176" s="161" t="s">
        <v>39</v>
      </c>
      <c r="E5176" s="162"/>
      <c r="F5176" s="163" t="s">
        <v>40</v>
      </c>
      <c r="G5176" s="164"/>
      <c r="H5176" s="165"/>
      <c r="I5176" s="164"/>
      <c r="J5176" s="165"/>
      <c r="K5176" s="164"/>
      <c r="L5176" s="165"/>
      <c r="M5176" s="6"/>
      <c r="N5176" s="32"/>
      <c r="Q5176" s="10" t="str">
        <f>+CONCATENATE(E5176,G5176)</f>
        <v/>
      </c>
      <c r="R5176" s="10">
        <f>+H5176</f>
        <v>0</v>
      </c>
      <c r="S5176" s="11"/>
      <c r="T5176" s="10">
        <f>+E5176</f>
        <v>0</v>
      </c>
      <c r="U5176" s="19" t="str">
        <f t="shared" ref="U5176" si="2815">IFERROR(LEFT(G5176,FIND("*",G5176)-1),"-")</f>
        <v>-</v>
      </c>
      <c r="V5176" s="19" t="str">
        <f t="shared" ref="V5176" si="2816">IFERROR(RIGHT(G5176,LEN(G5176)-FIND("*",G5176)),"-")</f>
        <v>-</v>
      </c>
      <c r="W5176" s="20" t="str">
        <f t="shared" si="2812"/>
        <v>-</v>
      </c>
      <c r="X5176" s="20" t="str">
        <f>IFERROR(W5176*H5176,"-")</f>
        <v>-</v>
      </c>
      <c r="Z5176" s="85" t="s">
        <v>82</v>
      </c>
    </row>
    <row r="5177" spans="1:26" ht="6.95" customHeight="1" x14ac:dyDescent="0.3">
      <c r="A5177" s="5"/>
      <c r="B5177" s="157"/>
      <c r="C5177" s="158"/>
      <c r="D5177" s="161"/>
      <c r="E5177" s="162"/>
      <c r="F5177" s="163"/>
      <c r="G5177" s="164"/>
      <c r="H5177" s="165"/>
      <c r="I5177" s="164"/>
      <c r="J5177" s="165"/>
      <c r="K5177" s="164"/>
      <c r="L5177" s="165"/>
      <c r="M5177" s="6"/>
      <c r="N5177" s="32"/>
      <c r="Q5177" s="10" t="str">
        <f>+CONCATENATE(E5176,I5176)</f>
        <v/>
      </c>
      <c r="R5177" s="10">
        <f>+J5176</f>
        <v>0</v>
      </c>
      <c r="S5177" s="11"/>
      <c r="T5177" s="10">
        <f>+E5176</f>
        <v>0</v>
      </c>
      <c r="U5177" s="19" t="str">
        <f>IFERROR(LEFT(I5176,FIND("*",I5176)-1),"-")</f>
        <v>-</v>
      </c>
      <c r="V5177" s="19" t="str">
        <f>IFERROR(RIGHT(I5176,LEN(I5176)-FIND("*",I5176)),"-")</f>
        <v>-</v>
      </c>
      <c r="W5177" s="20" t="str">
        <f t="shared" si="2812"/>
        <v>-</v>
      </c>
      <c r="X5177" s="20" t="str">
        <f t="shared" ref="X5177" si="2817">IFERROR(W5177*J5176,"-")</f>
        <v>-</v>
      </c>
      <c r="Z5177" s="85" t="s">
        <v>82</v>
      </c>
    </row>
    <row r="5178" spans="1:26" ht="6.95" customHeight="1" x14ac:dyDescent="0.3">
      <c r="A5178" s="5"/>
      <c r="B5178" s="157"/>
      <c r="C5178" s="158"/>
      <c r="D5178" s="161"/>
      <c r="E5178" s="162"/>
      <c r="F5178" s="163"/>
      <c r="G5178" s="164"/>
      <c r="H5178" s="165"/>
      <c r="I5178" s="164"/>
      <c r="J5178" s="165"/>
      <c r="K5178" s="164"/>
      <c r="L5178" s="165"/>
      <c r="M5178" s="6"/>
      <c r="N5178" s="32"/>
      <c r="Q5178" s="10" t="str">
        <f>+CONCATENATE(E5176,K5176)</f>
        <v/>
      </c>
      <c r="R5178" s="10">
        <f>+L5176</f>
        <v>0</v>
      </c>
      <c r="S5178" s="11"/>
      <c r="T5178" s="10">
        <f>+E5176</f>
        <v>0</v>
      </c>
      <c r="U5178" s="19" t="str">
        <f>IFERROR(LEFT(K5176,FIND("*",K5176)-1),"-")</f>
        <v>-</v>
      </c>
      <c r="V5178" s="19" t="str">
        <f>IFERROR(RIGHT(K5176,LEN(K5176)-FIND("*",K5176)),"-")</f>
        <v>-</v>
      </c>
      <c r="W5178" s="20" t="str">
        <f t="shared" si="2812"/>
        <v>-</v>
      </c>
      <c r="X5178" s="20" t="str">
        <f>IFERROR(W5178*L5176,"-")</f>
        <v>-</v>
      </c>
      <c r="Z5178" s="85" t="s">
        <v>82</v>
      </c>
    </row>
    <row r="5179" spans="1:26" ht="21" customHeight="1" thickBot="1" x14ac:dyDescent="0.35">
      <c r="A5179" s="5"/>
      <c r="B5179" s="159"/>
      <c r="C5179" s="160"/>
      <c r="D5179" s="166" t="s">
        <v>43</v>
      </c>
      <c r="E5179" s="167"/>
      <c r="F5179" s="167"/>
      <c r="G5179" s="168"/>
      <c r="H5179" s="168"/>
      <c r="I5179" s="168"/>
      <c r="J5179" s="168"/>
      <c r="K5179" s="168"/>
      <c r="L5179" s="168"/>
      <c r="M5179" s="7"/>
      <c r="N5179" s="32"/>
      <c r="Z5179" s="86" t="s">
        <v>81</v>
      </c>
    </row>
    <row r="5180" spans="1:26" ht="9.9499999999999993" customHeight="1" thickBot="1" x14ac:dyDescent="0.35">
      <c r="B5180" s="9"/>
      <c r="C5180" s="109"/>
      <c r="D5180" s="51"/>
      <c r="E5180" s="12"/>
      <c r="F5180" s="51"/>
      <c r="G5180" s="14"/>
      <c r="H5180" s="14"/>
      <c r="I5180" s="14"/>
      <c r="J5180" s="14"/>
      <c r="K5180" s="14"/>
      <c r="L5180" s="14"/>
      <c r="M5180" s="9"/>
      <c r="N5180" s="32"/>
      <c r="U5180" s="18"/>
      <c r="V5180" s="18"/>
      <c r="Z5180" s="85" t="s">
        <v>82</v>
      </c>
    </row>
    <row r="5181" spans="1:26" ht="6.95" customHeight="1" x14ac:dyDescent="0.3">
      <c r="A5181" s="154">
        <f>+A5170+1</f>
        <v>1270</v>
      </c>
      <c r="B5181" s="155"/>
      <c r="C5181" s="156"/>
      <c r="D5181" s="161" t="s">
        <v>39</v>
      </c>
      <c r="E5181" s="162"/>
      <c r="F5181" s="163" t="s">
        <v>40</v>
      </c>
      <c r="G5181" s="164"/>
      <c r="H5181" s="165"/>
      <c r="I5181" s="164"/>
      <c r="J5181" s="165"/>
      <c r="K5181" s="164"/>
      <c r="L5181" s="165"/>
      <c r="M5181" s="6"/>
      <c r="N5181" s="32"/>
      <c r="Q5181" s="10" t="str">
        <f>+CONCATENATE(E5181,G5181)</f>
        <v/>
      </c>
      <c r="R5181" s="10">
        <f>+H5181</f>
        <v>0</v>
      </c>
      <c r="S5181" s="11"/>
      <c r="T5181" s="10">
        <f>+E5181</f>
        <v>0</v>
      </c>
      <c r="U5181" s="19" t="str">
        <f>IFERROR(LEFT(G5181,FIND("*",G5181)-1),"-")</f>
        <v>-</v>
      </c>
      <c r="V5181" s="19" t="str">
        <f>IFERROR(RIGHT(G5181,LEN(G5181)-FIND("*",G5181)),"-")</f>
        <v>-</v>
      </c>
      <c r="W5181" s="20" t="str">
        <f>IFERROR((U5181+V5181)*2/1000,"-")</f>
        <v>-</v>
      </c>
      <c r="X5181" s="20" t="str">
        <f>IFERROR(W5181*H5181,"-")</f>
        <v>-</v>
      </c>
      <c r="Z5181" s="85" t="s">
        <v>82</v>
      </c>
    </row>
    <row r="5182" spans="1:26" ht="6.95" customHeight="1" x14ac:dyDescent="0.3">
      <c r="A5182" s="154"/>
      <c r="B5182" s="157"/>
      <c r="C5182" s="158"/>
      <c r="D5182" s="161"/>
      <c r="E5182" s="162"/>
      <c r="F5182" s="163"/>
      <c r="G5182" s="164"/>
      <c r="H5182" s="165"/>
      <c r="I5182" s="164"/>
      <c r="J5182" s="165"/>
      <c r="K5182" s="164"/>
      <c r="L5182" s="165"/>
      <c r="M5182" s="6"/>
      <c r="N5182" s="32"/>
      <c r="Q5182" s="10" t="str">
        <f>+CONCATENATE(E5181,I5181)</f>
        <v/>
      </c>
      <c r="R5182" s="10">
        <f>+J5181</f>
        <v>0</v>
      </c>
      <c r="S5182" s="11"/>
      <c r="T5182" s="10">
        <f>+E5181</f>
        <v>0</v>
      </c>
      <c r="U5182" s="19" t="str">
        <f>IFERROR(LEFT(I5181,FIND("*",I5181)-1),"-")</f>
        <v>-</v>
      </c>
      <c r="V5182" s="19" t="str">
        <f>IFERROR(RIGHT(I5181,LEN(I5181)-FIND("*",I5181)),"-")</f>
        <v>-</v>
      </c>
      <c r="W5182" s="20" t="str">
        <f t="shared" ref="W5182:W5189" si="2818">IFERROR((U5182+V5182)*2/1000,"-")</f>
        <v>-</v>
      </c>
      <c r="X5182" s="20" t="str">
        <f>IFERROR(W5182*J5181,"-")</f>
        <v>-</v>
      </c>
      <c r="Z5182" s="85" t="s">
        <v>82</v>
      </c>
    </row>
    <row r="5183" spans="1:26" ht="6.95" customHeight="1" x14ac:dyDescent="0.3">
      <c r="A5183" s="154"/>
      <c r="B5183" s="157"/>
      <c r="C5183" s="158"/>
      <c r="D5183" s="161"/>
      <c r="E5183" s="162"/>
      <c r="F5183" s="163"/>
      <c r="G5183" s="164"/>
      <c r="H5183" s="165"/>
      <c r="I5183" s="164"/>
      <c r="J5183" s="165"/>
      <c r="K5183" s="164"/>
      <c r="L5183" s="165"/>
      <c r="M5183" s="6"/>
      <c r="N5183" s="32"/>
      <c r="Q5183" s="10" t="str">
        <f>+CONCATENATE(E5181,K5181)</f>
        <v/>
      </c>
      <c r="R5183" s="10">
        <f>+L5181</f>
        <v>0</v>
      </c>
      <c r="S5183" s="11"/>
      <c r="T5183" s="10">
        <f>+E5181</f>
        <v>0</v>
      </c>
      <c r="U5183" s="19" t="str">
        <f>IFERROR(LEFT(K5181,FIND("*",K5181)-1),"-")</f>
        <v>-</v>
      </c>
      <c r="V5183" s="19" t="str">
        <f>IFERROR(RIGHT(K5181,LEN(K5181)-FIND("*",K5181)),"-")</f>
        <v>-</v>
      </c>
      <c r="W5183" s="20" t="str">
        <f t="shared" si="2818"/>
        <v>-</v>
      </c>
      <c r="X5183" s="20" t="str">
        <f>IFERROR(W5183*L5181,"-")</f>
        <v>-</v>
      </c>
      <c r="Z5183" s="85" t="s">
        <v>82</v>
      </c>
    </row>
    <row r="5184" spans="1:26" ht="6.95" customHeight="1" x14ac:dyDescent="0.3">
      <c r="A5184" s="8"/>
      <c r="B5184" s="157"/>
      <c r="C5184" s="158"/>
      <c r="D5184" s="161" t="s">
        <v>39</v>
      </c>
      <c r="E5184" s="162"/>
      <c r="F5184" s="163" t="s">
        <v>40</v>
      </c>
      <c r="G5184" s="164"/>
      <c r="H5184" s="165"/>
      <c r="I5184" s="164"/>
      <c r="J5184" s="165"/>
      <c r="K5184" s="164"/>
      <c r="L5184" s="165"/>
      <c r="M5184" s="6"/>
      <c r="N5184" s="32"/>
      <c r="Q5184" s="10" t="str">
        <f>+CONCATENATE(E5184,G5184)</f>
        <v/>
      </c>
      <c r="R5184" s="10">
        <f>+H5184</f>
        <v>0</v>
      </c>
      <c r="S5184" s="11"/>
      <c r="T5184" s="10">
        <f>+E5184</f>
        <v>0</v>
      </c>
      <c r="U5184" s="19" t="str">
        <f t="shared" ref="U5184" si="2819">IFERROR(LEFT(G5184,FIND("*",G5184)-1),"-")</f>
        <v>-</v>
      </c>
      <c r="V5184" s="19" t="str">
        <f t="shared" ref="V5184" si="2820">IFERROR(RIGHT(G5184,LEN(G5184)-FIND("*",G5184)),"-")</f>
        <v>-</v>
      </c>
      <c r="W5184" s="20" t="str">
        <f t="shared" si="2818"/>
        <v>-</v>
      </c>
      <c r="X5184" s="20" t="str">
        <f>IFERROR(W5184*H5184,"-")</f>
        <v>-</v>
      </c>
      <c r="Z5184" s="85" t="s">
        <v>82</v>
      </c>
    </row>
    <row r="5185" spans="1:26" ht="6.95" customHeight="1" x14ac:dyDescent="0.3">
      <c r="A5185" s="5"/>
      <c r="B5185" s="157"/>
      <c r="C5185" s="158"/>
      <c r="D5185" s="161"/>
      <c r="E5185" s="162"/>
      <c r="F5185" s="163"/>
      <c r="G5185" s="164"/>
      <c r="H5185" s="165"/>
      <c r="I5185" s="164"/>
      <c r="J5185" s="165"/>
      <c r="K5185" s="164"/>
      <c r="L5185" s="165"/>
      <c r="M5185" s="6"/>
      <c r="N5185" s="32"/>
      <c r="Q5185" s="10" t="str">
        <f>+CONCATENATE(E5184,I5184)</f>
        <v/>
      </c>
      <c r="R5185" s="10">
        <f>+J5184</f>
        <v>0</v>
      </c>
      <c r="S5185" s="11"/>
      <c r="T5185" s="10">
        <f>+E5184</f>
        <v>0</v>
      </c>
      <c r="U5185" s="19" t="str">
        <f>IFERROR(LEFT(I5184,FIND("*",I5184)-1),"-")</f>
        <v>-</v>
      </c>
      <c r="V5185" s="19" t="str">
        <f>IFERROR(RIGHT(I5184,LEN(I5184)-FIND("*",I5184)),"-")</f>
        <v>-</v>
      </c>
      <c r="W5185" s="20" t="str">
        <f t="shared" si="2818"/>
        <v>-</v>
      </c>
      <c r="X5185" s="20" t="str">
        <f>IFERROR(W5185*J5184,"-")</f>
        <v>-</v>
      </c>
      <c r="Z5185" s="85" t="s">
        <v>82</v>
      </c>
    </row>
    <row r="5186" spans="1:26" ht="6.95" customHeight="1" x14ac:dyDescent="0.3">
      <c r="A5186" s="5"/>
      <c r="B5186" s="157"/>
      <c r="C5186" s="158"/>
      <c r="D5186" s="161"/>
      <c r="E5186" s="162"/>
      <c r="F5186" s="163"/>
      <c r="G5186" s="164"/>
      <c r="H5186" s="165"/>
      <c r="I5186" s="164"/>
      <c r="J5186" s="165"/>
      <c r="K5186" s="164"/>
      <c r="L5186" s="165"/>
      <c r="M5186" s="6"/>
      <c r="N5186" s="32"/>
      <c r="Q5186" s="10" t="str">
        <f>+CONCATENATE(E5184,K5184)</f>
        <v/>
      </c>
      <c r="R5186" s="10">
        <f>+L5184</f>
        <v>0</v>
      </c>
      <c r="S5186" s="11"/>
      <c r="T5186" s="10">
        <f>+E5184</f>
        <v>0</v>
      </c>
      <c r="U5186" s="19" t="str">
        <f>IFERROR(LEFT(K5184,FIND("*",K5184)-1),"-")</f>
        <v>-</v>
      </c>
      <c r="V5186" s="19" t="str">
        <f>IFERROR(RIGHT(K5184,LEN(K5184)-FIND("*",K5184)),"-")</f>
        <v>-</v>
      </c>
      <c r="W5186" s="20" t="str">
        <f t="shared" si="2818"/>
        <v>-</v>
      </c>
      <c r="X5186" s="20" t="str">
        <f>IFERROR(W5186*L5184,"-")</f>
        <v>-</v>
      </c>
      <c r="Z5186" s="85" t="s">
        <v>82</v>
      </c>
    </row>
    <row r="5187" spans="1:26" ht="6.95" customHeight="1" x14ac:dyDescent="0.3">
      <c r="A5187" s="8"/>
      <c r="B5187" s="157"/>
      <c r="C5187" s="158"/>
      <c r="D5187" s="161" t="s">
        <v>39</v>
      </c>
      <c r="E5187" s="162"/>
      <c r="F5187" s="163" t="s">
        <v>40</v>
      </c>
      <c r="G5187" s="164"/>
      <c r="H5187" s="165"/>
      <c r="I5187" s="164"/>
      <c r="J5187" s="165"/>
      <c r="K5187" s="164"/>
      <c r="L5187" s="165"/>
      <c r="M5187" s="6"/>
      <c r="N5187" s="32"/>
      <c r="Q5187" s="10" t="str">
        <f>+CONCATENATE(E5187,G5187)</f>
        <v/>
      </c>
      <c r="R5187" s="10">
        <f>+H5187</f>
        <v>0</v>
      </c>
      <c r="S5187" s="11"/>
      <c r="T5187" s="10">
        <f>+E5187</f>
        <v>0</v>
      </c>
      <c r="U5187" s="19" t="str">
        <f t="shared" ref="U5187" si="2821">IFERROR(LEFT(G5187,FIND("*",G5187)-1),"-")</f>
        <v>-</v>
      </c>
      <c r="V5187" s="19" t="str">
        <f t="shared" ref="V5187" si="2822">IFERROR(RIGHT(G5187,LEN(G5187)-FIND("*",G5187)),"-")</f>
        <v>-</v>
      </c>
      <c r="W5187" s="20" t="str">
        <f t="shared" si="2818"/>
        <v>-</v>
      </c>
      <c r="X5187" s="20" t="str">
        <f>IFERROR(W5187*H5187,"-")</f>
        <v>-</v>
      </c>
      <c r="Z5187" s="85" t="s">
        <v>82</v>
      </c>
    </row>
    <row r="5188" spans="1:26" ht="6.95" customHeight="1" x14ac:dyDescent="0.3">
      <c r="A5188" s="5"/>
      <c r="B5188" s="157"/>
      <c r="C5188" s="158"/>
      <c r="D5188" s="161"/>
      <c r="E5188" s="162"/>
      <c r="F5188" s="163"/>
      <c r="G5188" s="164"/>
      <c r="H5188" s="165"/>
      <c r="I5188" s="164"/>
      <c r="J5188" s="165"/>
      <c r="K5188" s="164"/>
      <c r="L5188" s="165"/>
      <c r="M5188" s="6"/>
      <c r="N5188" s="32"/>
      <c r="Q5188" s="10" t="str">
        <f>+CONCATENATE(E5187,I5187)</f>
        <v/>
      </c>
      <c r="R5188" s="10">
        <f>+J5187</f>
        <v>0</v>
      </c>
      <c r="S5188" s="11"/>
      <c r="T5188" s="10">
        <f>+E5187</f>
        <v>0</v>
      </c>
      <c r="U5188" s="19" t="str">
        <f>IFERROR(LEFT(I5187,FIND("*",I5187)-1),"-")</f>
        <v>-</v>
      </c>
      <c r="V5188" s="19" t="str">
        <f>IFERROR(RIGHT(I5187,LEN(I5187)-FIND("*",I5187)),"-")</f>
        <v>-</v>
      </c>
      <c r="W5188" s="20" t="str">
        <f t="shared" si="2818"/>
        <v>-</v>
      </c>
      <c r="X5188" s="20" t="str">
        <f t="shared" ref="X5188" si="2823">IFERROR(W5188*J5187,"-")</f>
        <v>-</v>
      </c>
      <c r="Z5188" s="85" t="s">
        <v>82</v>
      </c>
    </row>
    <row r="5189" spans="1:26" ht="6.95" customHeight="1" x14ac:dyDescent="0.3">
      <c r="A5189" s="5"/>
      <c r="B5189" s="157"/>
      <c r="C5189" s="158"/>
      <c r="D5189" s="161"/>
      <c r="E5189" s="162"/>
      <c r="F5189" s="163"/>
      <c r="G5189" s="164"/>
      <c r="H5189" s="165"/>
      <c r="I5189" s="164"/>
      <c r="J5189" s="165"/>
      <c r="K5189" s="164"/>
      <c r="L5189" s="165"/>
      <c r="M5189" s="6"/>
      <c r="N5189" s="32"/>
      <c r="Q5189" s="10" t="str">
        <f>+CONCATENATE(E5187,K5187)</f>
        <v/>
      </c>
      <c r="R5189" s="10">
        <f>+L5187</f>
        <v>0</v>
      </c>
      <c r="S5189" s="11"/>
      <c r="T5189" s="10">
        <f>+E5187</f>
        <v>0</v>
      </c>
      <c r="U5189" s="19" t="str">
        <f>IFERROR(LEFT(K5187,FIND("*",K5187)-1),"-")</f>
        <v>-</v>
      </c>
      <c r="V5189" s="19" t="str">
        <f>IFERROR(RIGHT(K5187,LEN(K5187)-FIND("*",K5187)),"-")</f>
        <v>-</v>
      </c>
      <c r="W5189" s="20" t="str">
        <f t="shared" si="2818"/>
        <v>-</v>
      </c>
      <c r="X5189" s="20" t="str">
        <f>IFERROR(W5189*L5187,"-")</f>
        <v>-</v>
      </c>
      <c r="Z5189" s="85" t="s">
        <v>82</v>
      </c>
    </row>
    <row r="5190" spans="1:26" ht="21" customHeight="1" thickBot="1" x14ac:dyDescent="0.35">
      <c r="A5190" s="5"/>
      <c r="B5190" s="159"/>
      <c r="C5190" s="160"/>
      <c r="D5190" s="166" t="s">
        <v>43</v>
      </c>
      <c r="E5190" s="167"/>
      <c r="F5190" s="167"/>
      <c r="G5190" s="168"/>
      <c r="H5190" s="168"/>
      <c r="I5190" s="168"/>
      <c r="J5190" s="168"/>
      <c r="K5190" s="168"/>
      <c r="L5190" s="168"/>
      <c r="M5190" s="7"/>
      <c r="N5190" s="32"/>
      <c r="Z5190" s="86" t="s">
        <v>81</v>
      </c>
    </row>
    <row r="5191" spans="1:26" ht="9.9499999999999993" customHeight="1" thickBot="1" x14ac:dyDescent="0.35">
      <c r="B5191" s="9"/>
      <c r="C5191" s="109"/>
      <c r="D5191" s="51"/>
      <c r="E5191" s="12"/>
      <c r="F5191" s="51"/>
      <c r="G5191" s="14"/>
      <c r="H5191" s="14"/>
      <c r="I5191" s="14"/>
      <c r="J5191" s="14"/>
      <c r="K5191" s="14"/>
      <c r="L5191" s="14"/>
      <c r="M5191" s="9"/>
      <c r="N5191" s="32"/>
      <c r="U5191" s="18"/>
      <c r="V5191" s="18"/>
      <c r="Z5191" s="85" t="s">
        <v>82</v>
      </c>
    </row>
    <row r="5192" spans="1:26" ht="6.95" customHeight="1" x14ac:dyDescent="0.3">
      <c r="A5192" s="154">
        <f>+A5181+1</f>
        <v>1271</v>
      </c>
      <c r="B5192" s="155"/>
      <c r="C5192" s="156"/>
      <c r="D5192" s="161" t="s">
        <v>39</v>
      </c>
      <c r="E5192" s="162"/>
      <c r="F5192" s="163" t="s">
        <v>40</v>
      </c>
      <c r="G5192" s="164"/>
      <c r="H5192" s="165"/>
      <c r="I5192" s="164"/>
      <c r="J5192" s="165"/>
      <c r="K5192" s="164"/>
      <c r="L5192" s="165"/>
      <c r="M5192" s="6"/>
      <c r="N5192" s="32"/>
      <c r="Q5192" s="10" t="str">
        <f>+CONCATENATE(E5192,G5192)</f>
        <v/>
      </c>
      <c r="R5192" s="10">
        <f>+H5192</f>
        <v>0</v>
      </c>
      <c r="S5192" s="11"/>
      <c r="T5192" s="10">
        <f>+E5192</f>
        <v>0</v>
      </c>
      <c r="U5192" s="19" t="str">
        <f>IFERROR(LEFT(G5192,FIND("*",G5192)-1),"-")</f>
        <v>-</v>
      </c>
      <c r="V5192" s="19" t="str">
        <f>IFERROR(RIGHT(G5192,LEN(G5192)-FIND("*",G5192)),"-")</f>
        <v>-</v>
      </c>
      <c r="W5192" s="20" t="str">
        <f>IFERROR((U5192+V5192)*2/1000,"-")</f>
        <v>-</v>
      </c>
      <c r="X5192" s="20" t="str">
        <f>IFERROR(W5192*H5192,"-")</f>
        <v>-</v>
      </c>
      <c r="Z5192" s="85" t="s">
        <v>82</v>
      </c>
    </row>
    <row r="5193" spans="1:26" ht="6.95" customHeight="1" x14ac:dyDescent="0.3">
      <c r="A5193" s="154"/>
      <c r="B5193" s="157"/>
      <c r="C5193" s="158"/>
      <c r="D5193" s="161"/>
      <c r="E5193" s="162"/>
      <c r="F5193" s="163"/>
      <c r="G5193" s="164"/>
      <c r="H5193" s="165"/>
      <c r="I5193" s="164"/>
      <c r="J5193" s="165"/>
      <c r="K5193" s="164"/>
      <c r="L5193" s="165"/>
      <c r="M5193" s="6"/>
      <c r="N5193" s="32"/>
      <c r="Q5193" s="10" t="str">
        <f>+CONCATENATE(E5192,I5192)</f>
        <v/>
      </c>
      <c r="R5193" s="10">
        <f>+J5192</f>
        <v>0</v>
      </c>
      <c r="S5193" s="11"/>
      <c r="T5193" s="10">
        <f>+E5192</f>
        <v>0</v>
      </c>
      <c r="U5193" s="19" t="str">
        <f>IFERROR(LEFT(I5192,FIND("*",I5192)-1),"-")</f>
        <v>-</v>
      </c>
      <c r="V5193" s="19" t="str">
        <f>IFERROR(RIGHT(I5192,LEN(I5192)-FIND("*",I5192)),"-")</f>
        <v>-</v>
      </c>
      <c r="W5193" s="20" t="str">
        <f t="shared" ref="W5193:W5200" si="2824">IFERROR((U5193+V5193)*2/1000,"-")</f>
        <v>-</v>
      </c>
      <c r="X5193" s="20" t="str">
        <f>IFERROR(W5193*J5192,"-")</f>
        <v>-</v>
      </c>
      <c r="Z5193" s="85" t="s">
        <v>82</v>
      </c>
    </row>
    <row r="5194" spans="1:26" ht="6.95" customHeight="1" x14ac:dyDescent="0.3">
      <c r="A5194" s="154"/>
      <c r="B5194" s="157"/>
      <c r="C5194" s="158"/>
      <c r="D5194" s="161"/>
      <c r="E5194" s="162"/>
      <c r="F5194" s="163"/>
      <c r="G5194" s="164"/>
      <c r="H5194" s="165"/>
      <c r="I5194" s="164"/>
      <c r="J5194" s="165"/>
      <c r="K5194" s="164"/>
      <c r="L5194" s="165"/>
      <c r="M5194" s="6"/>
      <c r="N5194" s="32"/>
      <c r="Q5194" s="10" t="str">
        <f>+CONCATENATE(E5192,K5192)</f>
        <v/>
      </c>
      <c r="R5194" s="10">
        <f>+L5192</f>
        <v>0</v>
      </c>
      <c r="S5194" s="11"/>
      <c r="T5194" s="10">
        <f>+E5192</f>
        <v>0</v>
      </c>
      <c r="U5194" s="19" t="str">
        <f>IFERROR(LEFT(K5192,FIND("*",K5192)-1),"-")</f>
        <v>-</v>
      </c>
      <c r="V5194" s="19" t="str">
        <f>IFERROR(RIGHT(K5192,LEN(K5192)-FIND("*",K5192)),"-")</f>
        <v>-</v>
      </c>
      <c r="W5194" s="20" t="str">
        <f t="shared" si="2824"/>
        <v>-</v>
      </c>
      <c r="X5194" s="20" t="str">
        <f>IFERROR(W5194*L5192,"-")</f>
        <v>-</v>
      </c>
      <c r="Z5194" s="85" t="s">
        <v>82</v>
      </c>
    </row>
    <row r="5195" spans="1:26" ht="6.95" customHeight="1" x14ac:dyDescent="0.3">
      <c r="A5195" s="8"/>
      <c r="B5195" s="157"/>
      <c r="C5195" s="158"/>
      <c r="D5195" s="161" t="s">
        <v>39</v>
      </c>
      <c r="E5195" s="162"/>
      <c r="F5195" s="163" t="s">
        <v>40</v>
      </c>
      <c r="G5195" s="164"/>
      <c r="H5195" s="165"/>
      <c r="I5195" s="164"/>
      <c r="J5195" s="165"/>
      <c r="K5195" s="164"/>
      <c r="L5195" s="165"/>
      <c r="M5195" s="6"/>
      <c r="N5195" s="32"/>
      <c r="Q5195" s="10" t="str">
        <f>+CONCATENATE(E5195,G5195)</f>
        <v/>
      </c>
      <c r="R5195" s="10">
        <f>+H5195</f>
        <v>0</v>
      </c>
      <c r="S5195" s="11"/>
      <c r="T5195" s="10">
        <f>+E5195</f>
        <v>0</v>
      </c>
      <c r="U5195" s="19" t="str">
        <f t="shared" ref="U5195" si="2825">IFERROR(LEFT(G5195,FIND("*",G5195)-1),"-")</f>
        <v>-</v>
      </c>
      <c r="V5195" s="19" t="str">
        <f t="shared" ref="V5195" si="2826">IFERROR(RIGHT(G5195,LEN(G5195)-FIND("*",G5195)),"-")</f>
        <v>-</v>
      </c>
      <c r="W5195" s="20" t="str">
        <f t="shared" si="2824"/>
        <v>-</v>
      </c>
      <c r="X5195" s="20" t="str">
        <f>IFERROR(W5195*H5195,"-")</f>
        <v>-</v>
      </c>
      <c r="Z5195" s="85" t="s">
        <v>82</v>
      </c>
    </row>
    <row r="5196" spans="1:26" ht="6.95" customHeight="1" x14ac:dyDescent="0.3">
      <c r="A5196" s="5"/>
      <c r="B5196" s="157"/>
      <c r="C5196" s="158"/>
      <c r="D5196" s="161"/>
      <c r="E5196" s="162"/>
      <c r="F5196" s="163"/>
      <c r="G5196" s="164"/>
      <c r="H5196" s="165"/>
      <c r="I5196" s="164"/>
      <c r="J5196" s="165"/>
      <c r="K5196" s="164"/>
      <c r="L5196" s="165"/>
      <c r="M5196" s="6"/>
      <c r="N5196" s="32"/>
      <c r="Q5196" s="10" t="str">
        <f>+CONCATENATE(E5195,I5195)</f>
        <v/>
      </c>
      <c r="R5196" s="10">
        <f>+J5195</f>
        <v>0</v>
      </c>
      <c r="S5196" s="11"/>
      <c r="T5196" s="10">
        <f>+E5195</f>
        <v>0</v>
      </c>
      <c r="U5196" s="19" t="str">
        <f>IFERROR(LEFT(I5195,FIND("*",I5195)-1),"-")</f>
        <v>-</v>
      </c>
      <c r="V5196" s="19" t="str">
        <f>IFERROR(RIGHT(I5195,LEN(I5195)-FIND("*",I5195)),"-")</f>
        <v>-</v>
      </c>
      <c r="W5196" s="20" t="str">
        <f t="shared" si="2824"/>
        <v>-</v>
      </c>
      <c r="X5196" s="20" t="str">
        <f>IFERROR(W5196*J5195,"-")</f>
        <v>-</v>
      </c>
      <c r="Z5196" s="85" t="s">
        <v>82</v>
      </c>
    </row>
    <row r="5197" spans="1:26" ht="6.95" customHeight="1" x14ac:dyDescent="0.3">
      <c r="A5197" s="5"/>
      <c r="B5197" s="157"/>
      <c r="C5197" s="158"/>
      <c r="D5197" s="161"/>
      <c r="E5197" s="162"/>
      <c r="F5197" s="163"/>
      <c r="G5197" s="164"/>
      <c r="H5197" s="165"/>
      <c r="I5197" s="164"/>
      <c r="J5197" s="165"/>
      <c r="K5197" s="164"/>
      <c r="L5197" s="165"/>
      <c r="M5197" s="6"/>
      <c r="N5197" s="32"/>
      <c r="Q5197" s="10" t="str">
        <f>+CONCATENATE(E5195,K5195)</f>
        <v/>
      </c>
      <c r="R5197" s="10">
        <f>+L5195</f>
        <v>0</v>
      </c>
      <c r="S5197" s="11"/>
      <c r="T5197" s="10">
        <f>+E5195</f>
        <v>0</v>
      </c>
      <c r="U5197" s="19" t="str">
        <f>IFERROR(LEFT(K5195,FIND("*",K5195)-1),"-")</f>
        <v>-</v>
      </c>
      <c r="V5197" s="19" t="str">
        <f>IFERROR(RIGHT(K5195,LEN(K5195)-FIND("*",K5195)),"-")</f>
        <v>-</v>
      </c>
      <c r="W5197" s="20" t="str">
        <f t="shared" si="2824"/>
        <v>-</v>
      </c>
      <c r="X5197" s="20" t="str">
        <f>IFERROR(W5197*L5195,"-")</f>
        <v>-</v>
      </c>
      <c r="Z5197" s="85" t="s">
        <v>82</v>
      </c>
    </row>
    <row r="5198" spans="1:26" ht="6.95" customHeight="1" x14ac:dyDescent="0.3">
      <c r="A5198" s="8"/>
      <c r="B5198" s="157"/>
      <c r="C5198" s="158"/>
      <c r="D5198" s="161" t="s">
        <v>39</v>
      </c>
      <c r="E5198" s="162"/>
      <c r="F5198" s="163" t="s">
        <v>40</v>
      </c>
      <c r="G5198" s="164"/>
      <c r="H5198" s="165"/>
      <c r="I5198" s="164"/>
      <c r="J5198" s="165"/>
      <c r="K5198" s="164"/>
      <c r="L5198" s="165"/>
      <c r="M5198" s="6"/>
      <c r="N5198" s="32"/>
      <c r="Q5198" s="10" t="str">
        <f>+CONCATENATE(E5198,G5198)</f>
        <v/>
      </c>
      <c r="R5198" s="10">
        <f>+H5198</f>
        <v>0</v>
      </c>
      <c r="S5198" s="11"/>
      <c r="T5198" s="10">
        <f>+E5198</f>
        <v>0</v>
      </c>
      <c r="U5198" s="19" t="str">
        <f t="shared" ref="U5198" si="2827">IFERROR(LEFT(G5198,FIND("*",G5198)-1),"-")</f>
        <v>-</v>
      </c>
      <c r="V5198" s="19" t="str">
        <f t="shared" ref="V5198" si="2828">IFERROR(RIGHT(G5198,LEN(G5198)-FIND("*",G5198)),"-")</f>
        <v>-</v>
      </c>
      <c r="W5198" s="20" t="str">
        <f t="shared" si="2824"/>
        <v>-</v>
      </c>
      <c r="X5198" s="20" t="str">
        <f>IFERROR(W5198*H5198,"-")</f>
        <v>-</v>
      </c>
      <c r="Z5198" s="85" t="s">
        <v>82</v>
      </c>
    </row>
    <row r="5199" spans="1:26" ht="6.95" customHeight="1" x14ac:dyDescent="0.3">
      <c r="A5199" s="5"/>
      <c r="B5199" s="157"/>
      <c r="C5199" s="158"/>
      <c r="D5199" s="161"/>
      <c r="E5199" s="162"/>
      <c r="F5199" s="163"/>
      <c r="G5199" s="164"/>
      <c r="H5199" s="165"/>
      <c r="I5199" s="164"/>
      <c r="J5199" s="165"/>
      <c r="K5199" s="164"/>
      <c r="L5199" s="165"/>
      <c r="M5199" s="6"/>
      <c r="N5199" s="32"/>
      <c r="Q5199" s="10" t="str">
        <f>+CONCATENATE(E5198,I5198)</f>
        <v/>
      </c>
      <c r="R5199" s="10">
        <f>+J5198</f>
        <v>0</v>
      </c>
      <c r="S5199" s="11"/>
      <c r="T5199" s="10">
        <f>+E5198</f>
        <v>0</v>
      </c>
      <c r="U5199" s="19" t="str">
        <f>IFERROR(LEFT(I5198,FIND("*",I5198)-1),"-")</f>
        <v>-</v>
      </c>
      <c r="V5199" s="19" t="str">
        <f>IFERROR(RIGHT(I5198,LEN(I5198)-FIND("*",I5198)),"-")</f>
        <v>-</v>
      </c>
      <c r="W5199" s="20" t="str">
        <f t="shared" si="2824"/>
        <v>-</v>
      </c>
      <c r="X5199" s="20" t="str">
        <f t="shared" ref="X5199" si="2829">IFERROR(W5199*J5198,"-")</f>
        <v>-</v>
      </c>
      <c r="Z5199" s="85" t="s">
        <v>82</v>
      </c>
    </row>
    <row r="5200" spans="1:26" ht="6.95" customHeight="1" x14ac:dyDescent="0.3">
      <c r="A5200" s="5"/>
      <c r="B5200" s="157"/>
      <c r="C5200" s="158"/>
      <c r="D5200" s="161"/>
      <c r="E5200" s="162"/>
      <c r="F5200" s="163"/>
      <c r="G5200" s="164"/>
      <c r="H5200" s="165"/>
      <c r="I5200" s="164"/>
      <c r="J5200" s="165"/>
      <c r="K5200" s="164"/>
      <c r="L5200" s="165"/>
      <c r="M5200" s="6"/>
      <c r="N5200" s="32"/>
      <c r="Q5200" s="10" t="str">
        <f>+CONCATENATE(E5198,K5198)</f>
        <v/>
      </c>
      <c r="R5200" s="10">
        <f>+L5198</f>
        <v>0</v>
      </c>
      <c r="S5200" s="11"/>
      <c r="T5200" s="10">
        <f>+E5198</f>
        <v>0</v>
      </c>
      <c r="U5200" s="19" t="str">
        <f>IFERROR(LEFT(K5198,FIND("*",K5198)-1),"-")</f>
        <v>-</v>
      </c>
      <c r="V5200" s="19" t="str">
        <f>IFERROR(RIGHT(K5198,LEN(K5198)-FIND("*",K5198)),"-")</f>
        <v>-</v>
      </c>
      <c r="W5200" s="20" t="str">
        <f t="shared" si="2824"/>
        <v>-</v>
      </c>
      <c r="X5200" s="20" t="str">
        <f>IFERROR(W5200*L5198,"-")</f>
        <v>-</v>
      </c>
      <c r="Z5200" s="85" t="s">
        <v>82</v>
      </c>
    </row>
    <row r="5201" spans="1:26" ht="21" customHeight="1" thickBot="1" x14ac:dyDescent="0.35">
      <c r="A5201" s="5"/>
      <c r="B5201" s="159"/>
      <c r="C5201" s="160"/>
      <c r="D5201" s="166" t="s">
        <v>43</v>
      </c>
      <c r="E5201" s="167"/>
      <c r="F5201" s="167"/>
      <c r="G5201" s="168"/>
      <c r="H5201" s="168"/>
      <c r="I5201" s="168"/>
      <c r="J5201" s="168"/>
      <c r="K5201" s="168"/>
      <c r="L5201" s="168"/>
      <c r="M5201" s="7"/>
      <c r="N5201" s="32"/>
      <c r="Z5201" s="86" t="s">
        <v>81</v>
      </c>
    </row>
    <row r="5202" spans="1:26" ht="9.9499999999999993" customHeight="1" thickBot="1" x14ac:dyDescent="0.35">
      <c r="B5202" s="9"/>
      <c r="C5202" s="109"/>
      <c r="D5202" s="51"/>
      <c r="E5202" s="12"/>
      <c r="F5202" s="51"/>
      <c r="G5202" s="14"/>
      <c r="H5202" s="14"/>
      <c r="I5202" s="14"/>
      <c r="J5202" s="14"/>
      <c r="K5202" s="14"/>
      <c r="L5202" s="14"/>
      <c r="M5202" s="9"/>
      <c r="N5202" s="32"/>
      <c r="U5202" s="18"/>
      <c r="V5202" s="18"/>
      <c r="Z5202" s="85" t="s">
        <v>82</v>
      </c>
    </row>
    <row r="5203" spans="1:26" ht="6.95" customHeight="1" x14ac:dyDescent="0.3">
      <c r="A5203" s="154">
        <f>+A5192+1</f>
        <v>1272</v>
      </c>
      <c r="B5203" s="155"/>
      <c r="C5203" s="156"/>
      <c r="D5203" s="161" t="s">
        <v>39</v>
      </c>
      <c r="E5203" s="162"/>
      <c r="F5203" s="163" t="s">
        <v>40</v>
      </c>
      <c r="G5203" s="164"/>
      <c r="H5203" s="165"/>
      <c r="I5203" s="164"/>
      <c r="J5203" s="165"/>
      <c r="K5203" s="164"/>
      <c r="L5203" s="165"/>
      <c r="M5203" s="6"/>
      <c r="N5203" s="32"/>
      <c r="Q5203" s="10" t="str">
        <f>+CONCATENATE(E5203,G5203)</f>
        <v/>
      </c>
      <c r="R5203" s="10">
        <f>+H5203</f>
        <v>0</v>
      </c>
      <c r="S5203" s="11"/>
      <c r="T5203" s="10">
        <f>+E5203</f>
        <v>0</v>
      </c>
      <c r="U5203" s="19" t="str">
        <f>IFERROR(LEFT(G5203,FIND("*",G5203)-1),"-")</f>
        <v>-</v>
      </c>
      <c r="V5203" s="19" t="str">
        <f>IFERROR(RIGHT(G5203,LEN(G5203)-FIND("*",G5203)),"-")</f>
        <v>-</v>
      </c>
      <c r="W5203" s="20" t="str">
        <f>IFERROR((U5203+V5203)*2/1000,"-")</f>
        <v>-</v>
      </c>
      <c r="X5203" s="20" t="str">
        <f>IFERROR(W5203*H5203,"-")</f>
        <v>-</v>
      </c>
      <c r="Z5203" s="85" t="s">
        <v>82</v>
      </c>
    </row>
    <row r="5204" spans="1:26" ht="6.95" customHeight="1" x14ac:dyDescent="0.3">
      <c r="A5204" s="154"/>
      <c r="B5204" s="157"/>
      <c r="C5204" s="158"/>
      <c r="D5204" s="161"/>
      <c r="E5204" s="162"/>
      <c r="F5204" s="163"/>
      <c r="G5204" s="164"/>
      <c r="H5204" s="165"/>
      <c r="I5204" s="164"/>
      <c r="J5204" s="165"/>
      <c r="K5204" s="164"/>
      <c r="L5204" s="165"/>
      <c r="M5204" s="6"/>
      <c r="N5204" s="32"/>
      <c r="Q5204" s="10" t="str">
        <f>+CONCATENATE(E5203,I5203)</f>
        <v/>
      </c>
      <c r="R5204" s="10">
        <f>+J5203</f>
        <v>0</v>
      </c>
      <c r="S5204" s="11"/>
      <c r="T5204" s="10">
        <f>+E5203</f>
        <v>0</v>
      </c>
      <c r="U5204" s="19" t="str">
        <f>IFERROR(LEFT(I5203,FIND("*",I5203)-1),"-")</f>
        <v>-</v>
      </c>
      <c r="V5204" s="19" t="str">
        <f>IFERROR(RIGHT(I5203,LEN(I5203)-FIND("*",I5203)),"-")</f>
        <v>-</v>
      </c>
      <c r="W5204" s="20" t="str">
        <f t="shared" ref="W5204:W5211" si="2830">IFERROR((U5204+V5204)*2/1000,"-")</f>
        <v>-</v>
      </c>
      <c r="X5204" s="20" t="str">
        <f>IFERROR(W5204*J5203,"-")</f>
        <v>-</v>
      </c>
      <c r="Z5204" s="85" t="s">
        <v>82</v>
      </c>
    </row>
    <row r="5205" spans="1:26" ht="6.95" customHeight="1" x14ac:dyDescent="0.3">
      <c r="A5205" s="154"/>
      <c r="B5205" s="157"/>
      <c r="C5205" s="158"/>
      <c r="D5205" s="161"/>
      <c r="E5205" s="162"/>
      <c r="F5205" s="163"/>
      <c r="G5205" s="164"/>
      <c r="H5205" s="165"/>
      <c r="I5205" s="164"/>
      <c r="J5205" s="165"/>
      <c r="K5205" s="164"/>
      <c r="L5205" s="165"/>
      <c r="M5205" s="6"/>
      <c r="N5205" s="32"/>
      <c r="Q5205" s="10" t="str">
        <f>+CONCATENATE(E5203,K5203)</f>
        <v/>
      </c>
      <c r="R5205" s="10">
        <f>+L5203</f>
        <v>0</v>
      </c>
      <c r="S5205" s="11"/>
      <c r="T5205" s="10">
        <f>+E5203</f>
        <v>0</v>
      </c>
      <c r="U5205" s="19" t="str">
        <f>IFERROR(LEFT(K5203,FIND("*",K5203)-1),"-")</f>
        <v>-</v>
      </c>
      <c r="V5205" s="19" t="str">
        <f>IFERROR(RIGHT(K5203,LEN(K5203)-FIND("*",K5203)),"-")</f>
        <v>-</v>
      </c>
      <c r="W5205" s="20" t="str">
        <f t="shared" si="2830"/>
        <v>-</v>
      </c>
      <c r="X5205" s="20" t="str">
        <f>IFERROR(W5205*L5203,"-")</f>
        <v>-</v>
      </c>
      <c r="Z5205" s="85" t="s">
        <v>82</v>
      </c>
    </row>
    <row r="5206" spans="1:26" ht="6.95" customHeight="1" x14ac:dyDescent="0.3">
      <c r="A5206" s="8"/>
      <c r="B5206" s="157"/>
      <c r="C5206" s="158"/>
      <c r="D5206" s="161" t="s">
        <v>39</v>
      </c>
      <c r="E5206" s="162"/>
      <c r="F5206" s="163" t="s">
        <v>40</v>
      </c>
      <c r="G5206" s="164"/>
      <c r="H5206" s="165"/>
      <c r="I5206" s="164"/>
      <c r="J5206" s="165"/>
      <c r="K5206" s="164"/>
      <c r="L5206" s="165"/>
      <c r="M5206" s="6"/>
      <c r="N5206" s="32"/>
      <c r="Q5206" s="10" t="str">
        <f>+CONCATENATE(E5206,G5206)</f>
        <v/>
      </c>
      <c r="R5206" s="10">
        <f>+H5206</f>
        <v>0</v>
      </c>
      <c r="S5206" s="11"/>
      <c r="T5206" s="10">
        <f>+E5206</f>
        <v>0</v>
      </c>
      <c r="U5206" s="19" t="str">
        <f t="shared" ref="U5206" si="2831">IFERROR(LEFT(G5206,FIND("*",G5206)-1),"-")</f>
        <v>-</v>
      </c>
      <c r="V5206" s="19" t="str">
        <f t="shared" ref="V5206" si="2832">IFERROR(RIGHT(G5206,LEN(G5206)-FIND("*",G5206)),"-")</f>
        <v>-</v>
      </c>
      <c r="W5206" s="20" t="str">
        <f t="shared" si="2830"/>
        <v>-</v>
      </c>
      <c r="X5206" s="20" t="str">
        <f>IFERROR(W5206*H5206,"-")</f>
        <v>-</v>
      </c>
      <c r="Z5206" s="85" t="s">
        <v>82</v>
      </c>
    </row>
    <row r="5207" spans="1:26" ht="6.95" customHeight="1" x14ac:dyDescent="0.3">
      <c r="A5207" s="5"/>
      <c r="B5207" s="157"/>
      <c r="C5207" s="158"/>
      <c r="D5207" s="161"/>
      <c r="E5207" s="162"/>
      <c r="F5207" s="163"/>
      <c r="G5207" s="164"/>
      <c r="H5207" s="165"/>
      <c r="I5207" s="164"/>
      <c r="J5207" s="165"/>
      <c r="K5207" s="164"/>
      <c r="L5207" s="165"/>
      <c r="M5207" s="6"/>
      <c r="N5207" s="32"/>
      <c r="Q5207" s="10" t="str">
        <f>+CONCATENATE(E5206,I5206)</f>
        <v/>
      </c>
      <c r="R5207" s="10">
        <f>+J5206</f>
        <v>0</v>
      </c>
      <c r="S5207" s="11"/>
      <c r="T5207" s="10">
        <f>+E5206</f>
        <v>0</v>
      </c>
      <c r="U5207" s="19" t="str">
        <f>IFERROR(LEFT(I5206,FIND("*",I5206)-1),"-")</f>
        <v>-</v>
      </c>
      <c r="V5207" s="19" t="str">
        <f>IFERROR(RIGHT(I5206,LEN(I5206)-FIND("*",I5206)),"-")</f>
        <v>-</v>
      </c>
      <c r="W5207" s="20" t="str">
        <f t="shared" si="2830"/>
        <v>-</v>
      </c>
      <c r="X5207" s="20" t="str">
        <f>IFERROR(W5207*J5206,"-")</f>
        <v>-</v>
      </c>
      <c r="Z5207" s="85" t="s">
        <v>82</v>
      </c>
    </row>
    <row r="5208" spans="1:26" ht="6.95" customHeight="1" x14ac:dyDescent="0.3">
      <c r="A5208" s="5"/>
      <c r="B5208" s="157"/>
      <c r="C5208" s="158"/>
      <c r="D5208" s="161"/>
      <c r="E5208" s="162"/>
      <c r="F5208" s="163"/>
      <c r="G5208" s="164"/>
      <c r="H5208" s="165"/>
      <c r="I5208" s="164"/>
      <c r="J5208" s="165"/>
      <c r="K5208" s="164"/>
      <c r="L5208" s="165"/>
      <c r="M5208" s="6"/>
      <c r="N5208" s="32"/>
      <c r="Q5208" s="10" t="str">
        <f>+CONCATENATE(E5206,K5206)</f>
        <v/>
      </c>
      <c r="R5208" s="10">
        <f>+L5206</f>
        <v>0</v>
      </c>
      <c r="S5208" s="11"/>
      <c r="T5208" s="10">
        <f>+E5206</f>
        <v>0</v>
      </c>
      <c r="U5208" s="19" t="str">
        <f>IFERROR(LEFT(K5206,FIND("*",K5206)-1),"-")</f>
        <v>-</v>
      </c>
      <c r="V5208" s="19" t="str">
        <f>IFERROR(RIGHT(K5206,LEN(K5206)-FIND("*",K5206)),"-")</f>
        <v>-</v>
      </c>
      <c r="W5208" s="20" t="str">
        <f t="shared" si="2830"/>
        <v>-</v>
      </c>
      <c r="X5208" s="20" t="str">
        <f>IFERROR(W5208*L5206,"-")</f>
        <v>-</v>
      </c>
      <c r="Z5208" s="85" t="s">
        <v>82</v>
      </c>
    </row>
    <row r="5209" spans="1:26" ht="6.95" customHeight="1" x14ac:dyDescent="0.3">
      <c r="A5209" s="8"/>
      <c r="B5209" s="157"/>
      <c r="C5209" s="158"/>
      <c r="D5209" s="161" t="s">
        <v>39</v>
      </c>
      <c r="E5209" s="162"/>
      <c r="F5209" s="163" t="s">
        <v>40</v>
      </c>
      <c r="G5209" s="164"/>
      <c r="H5209" s="165"/>
      <c r="I5209" s="164"/>
      <c r="J5209" s="165"/>
      <c r="K5209" s="164"/>
      <c r="L5209" s="165"/>
      <c r="M5209" s="6"/>
      <c r="N5209" s="32"/>
      <c r="Q5209" s="10" t="str">
        <f>+CONCATENATE(E5209,G5209)</f>
        <v/>
      </c>
      <c r="R5209" s="10">
        <f>+H5209</f>
        <v>0</v>
      </c>
      <c r="S5209" s="11"/>
      <c r="T5209" s="10">
        <f>+E5209</f>
        <v>0</v>
      </c>
      <c r="U5209" s="19" t="str">
        <f t="shared" ref="U5209" si="2833">IFERROR(LEFT(G5209,FIND("*",G5209)-1),"-")</f>
        <v>-</v>
      </c>
      <c r="V5209" s="19" t="str">
        <f t="shared" ref="V5209" si="2834">IFERROR(RIGHT(G5209,LEN(G5209)-FIND("*",G5209)),"-")</f>
        <v>-</v>
      </c>
      <c r="W5209" s="20" t="str">
        <f t="shared" si="2830"/>
        <v>-</v>
      </c>
      <c r="X5209" s="20" t="str">
        <f>IFERROR(W5209*H5209,"-")</f>
        <v>-</v>
      </c>
      <c r="Z5209" s="85" t="s">
        <v>82</v>
      </c>
    </row>
    <row r="5210" spans="1:26" ht="6.95" customHeight="1" x14ac:dyDescent="0.3">
      <c r="A5210" s="5"/>
      <c r="B5210" s="157"/>
      <c r="C5210" s="158"/>
      <c r="D5210" s="161"/>
      <c r="E5210" s="162"/>
      <c r="F5210" s="163"/>
      <c r="G5210" s="164"/>
      <c r="H5210" s="165"/>
      <c r="I5210" s="164"/>
      <c r="J5210" s="165"/>
      <c r="K5210" s="164"/>
      <c r="L5210" s="165"/>
      <c r="M5210" s="6"/>
      <c r="N5210" s="32"/>
      <c r="Q5210" s="10" t="str">
        <f>+CONCATENATE(E5209,I5209)</f>
        <v/>
      </c>
      <c r="R5210" s="10">
        <f>+J5209</f>
        <v>0</v>
      </c>
      <c r="S5210" s="11"/>
      <c r="T5210" s="10">
        <f>+E5209</f>
        <v>0</v>
      </c>
      <c r="U5210" s="19" t="str">
        <f>IFERROR(LEFT(I5209,FIND("*",I5209)-1),"-")</f>
        <v>-</v>
      </c>
      <c r="V5210" s="19" t="str">
        <f>IFERROR(RIGHT(I5209,LEN(I5209)-FIND("*",I5209)),"-")</f>
        <v>-</v>
      </c>
      <c r="W5210" s="20" t="str">
        <f t="shared" si="2830"/>
        <v>-</v>
      </c>
      <c r="X5210" s="20" t="str">
        <f t="shared" ref="X5210" si="2835">IFERROR(W5210*J5209,"-")</f>
        <v>-</v>
      </c>
      <c r="Z5210" s="85" t="s">
        <v>82</v>
      </c>
    </row>
    <row r="5211" spans="1:26" ht="6.95" customHeight="1" x14ac:dyDescent="0.3">
      <c r="A5211" s="5"/>
      <c r="B5211" s="157"/>
      <c r="C5211" s="158"/>
      <c r="D5211" s="161"/>
      <c r="E5211" s="162"/>
      <c r="F5211" s="163"/>
      <c r="G5211" s="164"/>
      <c r="H5211" s="165"/>
      <c r="I5211" s="164"/>
      <c r="J5211" s="165"/>
      <c r="K5211" s="164"/>
      <c r="L5211" s="165"/>
      <c r="M5211" s="6"/>
      <c r="N5211" s="32"/>
      <c r="Q5211" s="10" t="str">
        <f>+CONCATENATE(E5209,K5209)</f>
        <v/>
      </c>
      <c r="R5211" s="10">
        <f>+L5209</f>
        <v>0</v>
      </c>
      <c r="S5211" s="11"/>
      <c r="T5211" s="10">
        <f>+E5209</f>
        <v>0</v>
      </c>
      <c r="U5211" s="19" t="str">
        <f>IFERROR(LEFT(K5209,FIND("*",K5209)-1),"-")</f>
        <v>-</v>
      </c>
      <c r="V5211" s="19" t="str">
        <f>IFERROR(RIGHT(K5209,LEN(K5209)-FIND("*",K5209)),"-")</f>
        <v>-</v>
      </c>
      <c r="W5211" s="20" t="str">
        <f t="shared" si="2830"/>
        <v>-</v>
      </c>
      <c r="X5211" s="20" t="str">
        <f>IFERROR(W5211*L5209,"-")</f>
        <v>-</v>
      </c>
      <c r="Z5211" s="85" t="s">
        <v>82</v>
      </c>
    </row>
    <row r="5212" spans="1:26" ht="21" customHeight="1" thickBot="1" x14ac:dyDescent="0.35">
      <c r="A5212" s="5"/>
      <c r="B5212" s="159"/>
      <c r="C5212" s="160"/>
      <c r="D5212" s="166" t="s">
        <v>43</v>
      </c>
      <c r="E5212" s="167"/>
      <c r="F5212" s="167"/>
      <c r="G5212" s="168"/>
      <c r="H5212" s="168"/>
      <c r="I5212" s="168"/>
      <c r="J5212" s="168"/>
      <c r="K5212" s="168"/>
      <c r="L5212" s="168"/>
      <c r="M5212" s="7"/>
      <c r="N5212" s="32"/>
      <c r="Z5212" s="86" t="s">
        <v>81</v>
      </c>
    </row>
    <row r="5213" spans="1:26" ht="9.9499999999999993" customHeight="1" thickBot="1" x14ac:dyDescent="0.35">
      <c r="B5213" s="9"/>
      <c r="C5213" s="109"/>
      <c r="D5213" s="51"/>
      <c r="E5213" s="12"/>
      <c r="F5213" s="51"/>
      <c r="G5213" s="14"/>
      <c r="H5213" s="14"/>
      <c r="I5213" s="14"/>
      <c r="J5213" s="14"/>
      <c r="K5213" s="14"/>
      <c r="L5213" s="14"/>
      <c r="M5213" s="9"/>
      <c r="N5213" s="32"/>
      <c r="U5213" s="18"/>
      <c r="V5213" s="18"/>
      <c r="Z5213" s="85" t="s">
        <v>82</v>
      </c>
    </row>
    <row r="5214" spans="1:26" ht="6.95" customHeight="1" x14ac:dyDescent="0.3">
      <c r="A5214" s="154">
        <f>+A5203+1</f>
        <v>1273</v>
      </c>
      <c r="B5214" s="155"/>
      <c r="C5214" s="156"/>
      <c r="D5214" s="161" t="s">
        <v>39</v>
      </c>
      <c r="E5214" s="162"/>
      <c r="F5214" s="163" t="s">
        <v>40</v>
      </c>
      <c r="G5214" s="164"/>
      <c r="H5214" s="165"/>
      <c r="I5214" s="164"/>
      <c r="J5214" s="165"/>
      <c r="K5214" s="164"/>
      <c r="L5214" s="165"/>
      <c r="M5214" s="6"/>
      <c r="N5214" s="32"/>
      <c r="Q5214" s="10" t="str">
        <f>+CONCATENATE(E5214,G5214)</f>
        <v/>
      </c>
      <c r="R5214" s="10">
        <f>+H5214</f>
        <v>0</v>
      </c>
      <c r="S5214" s="11"/>
      <c r="T5214" s="10">
        <f>+E5214</f>
        <v>0</v>
      </c>
      <c r="U5214" s="19" t="str">
        <f>IFERROR(LEFT(G5214,FIND("*",G5214)-1),"-")</f>
        <v>-</v>
      </c>
      <c r="V5214" s="19" t="str">
        <f>IFERROR(RIGHT(G5214,LEN(G5214)-FIND("*",G5214)),"-")</f>
        <v>-</v>
      </c>
      <c r="W5214" s="20" t="str">
        <f>IFERROR((U5214+V5214)*2/1000,"-")</f>
        <v>-</v>
      </c>
      <c r="X5214" s="20" t="str">
        <f>IFERROR(W5214*H5214,"-")</f>
        <v>-</v>
      </c>
      <c r="Z5214" s="85" t="s">
        <v>82</v>
      </c>
    </row>
    <row r="5215" spans="1:26" ht="6.95" customHeight="1" x14ac:dyDescent="0.3">
      <c r="A5215" s="154"/>
      <c r="B5215" s="157"/>
      <c r="C5215" s="158"/>
      <c r="D5215" s="161"/>
      <c r="E5215" s="162"/>
      <c r="F5215" s="163"/>
      <c r="G5215" s="164"/>
      <c r="H5215" s="165"/>
      <c r="I5215" s="164"/>
      <c r="J5215" s="165"/>
      <c r="K5215" s="164"/>
      <c r="L5215" s="165"/>
      <c r="M5215" s="6"/>
      <c r="N5215" s="32"/>
      <c r="Q5215" s="10" t="str">
        <f>+CONCATENATE(E5214,I5214)</f>
        <v/>
      </c>
      <c r="R5215" s="10">
        <f>+J5214</f>
        <v>0</v>
      </c>
      <c r="S5215" s="11"/>
      <c r="T5215" s="10">
        <f>+E5214</f>
        <v>0</v>
      </c>
      <c r="U5215" s="19" t="str">
        <f>IFERROR(LEFT(I5214,FIND("*",I5214)-1),"-")</f>
        <v>-</v>
      </c>
      <c r="V5215" s="19" t="str">
        <f>IFERROR(RIGHT(I5214,LEN(I5214)-FIND("*",I5214)),"-")</f>
        <v>-</v>
      </c>
      <c r="W5215" s="20" t="str">
        <f t="shared" ref="W5215:W5222" si="2836">IFERROR((U5215+V5215)*2/1000,"-")</f>
        <v>-</v>
      </c>
      <c r="X5215" s="20" t="str">
        <f>IFERROR(W5215*J5214,"-")</f>
        <v>-</v>
      </c>
      <c r="Z5215" s="85" t="s">
        <v>82</v>
      </c>
    </row>
    <row r="5216" spans="1:26" ht="6.95" customHeight="1" x14ac:dyDescent="0.3">
      <c r="A5216" s="154"/>
      <c r="B5216" s="157"/>
      <c r="C5216" s="158"/>
      <c r="D5216" s="161"/>
      <c r="E5216" s="162"/>
      <c r="F5216" s="163"/>
      <c r="G5216" s="164"/>
      <c r="H5216" s="165"/>
      <c r="I5216" s="164"/>
      <c r="J5216" s="165"/>
      <c r="K5216" s="164"/>
      <c r="L5216" s="165"/>
      <c r="M5216" s="6"/>
      <c r="N5216" s="32"/>
      <c r="Q5216" s="10" t="str">
        <f>+CONCATENATE(E5214,K5214)</f>
        <v/>
      </c>
      <c r="R5216" s="10">
        <f>+L5214</f>
        <v>0</v>
      </c>
      <c r="S5216" s="11"/>
      <c r="T5216" s="10">
        <f>+E5214</f>
        <v>0</v>
      </c>
      <c r="U5216" s="19" t="str">
        <f>IFERROR(LEFT(K5214,FIND("*",K5214)-1),"-")</f>
        <v>-</v>
      </c>
      <c r="V5216" s="19" t="str">
        <f>IFERROR(RIGHT(K5214,LEN(K5214)-FIND("*",K5214)),"-")</f>
        <v>-</v>
      </c>
      <c r="W5216" s="20" t="str">
        <f t="shared" si="2836"/>
        <v>-</v>
      </c>
      <c r="X5216" s="20" t="str">
        <f>IFERROR(W5216*L5214,"-")</f>
        <v>-</v>
      </c>
      <c r="Z5216" s="85" t="s">
        <v>82</v>
      </c>
    </row>
    <row r="5217" spans="1:26" ht="6.95" customHeight="1" x14ac:dyDescent="0.3">
      <c r="A5217" s="8"/>
      <c r="B5217" s="157"/>
      <c r="C5217" s="158"/>
      <c r="D5217" s="161" t="s">
        <v>39</v>
      </c>
      <c r="E5217" s="162"/>
      <c r="F5217" s="163" t="s">
        <v>40</v>
      </c>
      <c r="G5217" s="164"/>
      <c r="H5217" s="165"/>
      <c r="I5217" s="164"/>
      <c r="J5217" s="165"/>
      <c r="K5217" s="164"/>
      <c r="L5217" s="165"/>
      <c r="M5217" s="6"/>
      <c r="N5217" s="32"/>
      <c r="Q5217" s="10" t="str">
        <f>+CONCATENATE(E5217,G5217)</f>
        <v/>
      </c>
      <c r="R5217" s="10">
        <f>+H5217</f>
        <v>0</v>
      </c>
      <c r="S5217" s="11"/>
      <c r="T5217" s="10">
        <f>+E5217</f>
        <v>0</v>
      </c>
      <c r="U5217" s="19" t="str">
        <f t="shared" ref="U5217" si="2837">IFERROR(LEFT(G5217,FIND("*",G5217)-1),"-")</f>
        <v>-</v>
      </c>
      <c r="V5217" s="19" t="str">
        <f t="shared" ref="V5217" si="2838">IFERROR(RIGHT(G5217,LEN(G5217)-FIND("*",G5217)),"-")</f>
        <v>-</v>
      </c>
      <c r="W5217" s="20" t="str">
        <f t="shared" si="2836"/>
        <v>-</v>
      </c>
      <c r="X5217" s="20" t="str">
        <f>IFERROR(W5217*H5217,"-")</f>
        <v>-</v>
      </c>
      <c r="Z5217" s="85" t="s">
        <v>82</v>
      </c>
    </row>
    <row r="5218" spans="1:26" ht="6.95" customHeight="1" x14ac:dyDescent="0.3">
      <c r="A5218" s="5"/>
      <c r="B5218" s="157"/>
      <c r="C5218" s="158"/>
      <c r="D5218" s="161"/>
      <c r="E5218" s="162"/>
      <c r="F5218" s="163"/>
      <c r="G5218" s="164"/>
      <c r="H5218" s="165"/>
      <c r="I5218" s="164"/>
      <c r="J5218" s="165"/>
      <c r="K5218" s="164"/>
      <c r="L5218" s="165"/>
      <c r="M5218" s="6"/>
      <c r="N5218" s="32"/>
      <c r="Q5218" s="10" t="str">
        <f>+CONCATENATE(E5217,I5217)</f>
        <v/>
      </c>
      <c r="R5218" s="10">
        <f>+J5217</f>
        <v>0</v>
      </c>
      <c r="S5218" s="11"/>
      <c r="T5218" s="10">
        <f>+E5217</f>
        <v>0</v>
      </c>
      <c r="U5218" s="19" t="str">
        <f>IFERROR(LEFT(I5217,FIND("*",I5217)-1),"-")</f>
        <v>-</v>
      </c>
      <c r="V5218" s="19" t="str">
        <f>IFERROR(RIGHT(I5217,LEN(I5217)-FIND("*",I5217)),"-")</f>
        <v>-</v>
      </c>
      <c r="W5218" s="20" t="str">
        <f t="shared" si="2836"/>
        <v>-</v>
      </c>
      <c r="X5218" s="20" t="str">
        <f>IFERROR(W5218*J5217,"-")</f>
        <v>-</v>
      </c>
      <c r="Z5218" s="85" t="s">
        <v>82</v>
      </c>
    </row>
    <row r="5219" spans="1:26" ht="6.95" customHeight="1" x14ac:dyDescent="0.3">
      <c r="A5219" s="5"/>
      <c r="B5219" s="157"/>
      <c r="C5219" s="158"/>
      <c r="D5219" s="161"/>
      <c r="E5219" s="162"/>
      <c r="F5219" s="163"/>
      <c r="G5219" s="164"/>
      <c r="H5219" s="165"/>
      <c r="I5219" s="164"/>
      <c r="J5219" s="165"/>
      <c r="K5219" s="164"/>
      <c r="L5219" s="165"/>
      <c r="M5219" s="6"/>
      <c r="N5219" s="32"/>
      <c r="Q5219" s="10" t="str">
        <f>+CONCATENATE(E5217,K5217)</f>
        <v/>
      </c>
      <c r="R5219" s="10">
        <f>+L5217</f>
        <v>0</v>
      </c>
      <c r="S5219" s="11"/>
      <c r="T5219" s="10">
        <f>+E5217</f>
        <v>0</v>
      </c>
      <c r="U5219" s="19" t="str">
        <f>IFERROR(LEFT(K5217,FIND("*",K5217)-1),"-")</f>
        <v>-</v>
      </c>
      <c r="V5219" s="19" t="str">
        <f>IFERROR(RIGHT(K5217,LEN(K5217)-FIND("*",K5217)),"-")</f>
        <v>-</v>
      </c>
      <c r="W5219" s="20" t="str">
        <f t="shared" si="2836"/>
        <v>-</v>
      </c>
      <c r="X5219" s="20" t="str">
        <f>IFERROR(W5219*L5217,"-")</f>
        <v>-</v>
      </c>
      <c r="Z5219" s="85" t="s">
        <v>82</v>
      </c>
    </row>
    <row r="5220" spans="1:26" ht="6.95" customHeight="1" x14ac:dyDescent="0.3">
      <c r="A5220" s="8"/>
      <c r="B5220" s="157"/>
      <c r="C5220" s="158"/>
      <c r="D5220" s="161" t="s">
        <v>39</v>
      </c>
      <c r="E5220" s="162"/>
      <c r="F5220" s="163" t="s">
        <v>40</v>
      </c>
      <c r="G5220" s="164"/>
      <c r="H5220" s="165"/>
      <c r="I5220" s="164"/>
      <c r="J5220" s="165"/>
      <c r="K5220" s="164"/>
      <c r="L5220" s="165"/>
      <c r="M5220" s="6"/>
      <c r="N5220" s="32"/>
      <c r="Q5220" s="10" t="str">
        <f>+CONCATENATE(E5220,G5220)</f>
        <v/>
      </c>
      <c r="R5220" s="10">
        <f>+H5220</f>
        <v>0</v>
      </c>
      <c r="S5220" s="11"/>
      <c r="T5220" s="10">
        <f>+E5220</f>
        <v>0</v>
      </c>
      <c r="U5220" s="19" t="str">
        <f t="shared" ref="U5220" si="2839">IFERROR(LEFT(G5220,FIND("*",G5220)-1),"-")</f>
        <v>-</v>
      </c>
      <c r="V5220" s="19" t="str">
        <f t="shared" ref="V5220" si="2840">IFERROR(RIGHT(G5220,LEN(G5220)-FIND("*",G5220)),"-")</f>
        <v>-</v>
      </c>
      <c r="W5220" s="20" t="str">
        <f t="shared" si="2836"/>
        <v>-</v>
      </c>
      <c r="X5220" s="20" t="str">
        <f>IFERROR(W5220*H5220,"-")</f>
        <v>-</v>
      </c>
      <c r="Z5220" s="85" t="s">
        <v>82</v>
      </c>
    </row>
    <row r="5221" spans="1:26" ht="6.95" customHeight="1" x14ac:dyDescent="0.3">
      <c r="A5221" s="5"/>
      <c r="B5221" s="157"/>
      <c r="C5221" s="158"/>
      <c r="D5221" s="161"/>
      <c r="E5221" s="162"/>
      <c r="F5221" s="163"/>
      <c r="G5221" s="164"/>
      <c r="H5221" s="165"/>
      <c r="I5221" s="164"/>
      <c r="J5221" s="165"/>
      <c r="K5221" s="164"/>
      <c r="L5221" s="165"/>
      <c r="M5221" s="6"/>
      <c r="N5221" s="32"/>
      <c r="Q5221" s="10" t="str">
        <f>+CONCATENATE(E5220,I5220)</f>
        <v/>
      </c>
      <c r="R5221" s="10">
        <f>+J5220</f>
        <v>0</v>
      </c>
      <c r="S5221" s="11"/>
      <c r="T5221" s="10">
        <f>+E5220</f>
        <v>0</v>
      </c>
      <c r="U5221" s="19" t="str">
        <f>IFERROR(LEFT(I5220,FIND("*",I5220)-1),"-")</f>
        <v>-</v>
      </c>
      <c r="V5221" s="19" t="str">
        <f>IFERROR(RIGHT(I5220,LEN(I5220)-FIND("*",I5220)),"-")</f>
        <v>-</v>
      </c>
      <c r="W5221" s="20" t="str">
        <f t="shared" si="2836"/>
        <v>-</v>
      </c>
      <c r="X5221" s="20" t="str">
        <f t="shared" ref="X5221" si="2841">IFERROR(W5221*J5220,"-")</f>
        <v>-</v>
      </c>
      <c r="Z5221" s="85" t="s">
        <v>82</v>
      </c>
    </row>
    <row r="5222" spans="1:26" ht="6.95" customHeight="1" x14ac:dyDescent="0.3">
      <c r="A5222" s="5"/>
      <c r="B5222" s="157"/>
      <c r="C5222" s="158"/>
      <c r="D5222" s="161"/>
      <c r="E5222" s="162"/>
      <c r="F5222" s="163"/>
      <c r="G5222" s="164"/>
      <c r="H5222" s="165"/>
      <c r="I5222" s="164"/>
      <c r="J5222" s="165"/>
      <c r="K5222" s="164"/>
      <c r="L5222" s="165"/>
      <c r="M5222" s="6"/>
      <c r="N5222" s="32"/>
      <c r="Q5222" s="10" t="str">
        <f>+CONCATENATE(E5220,K5220)</f>
        <v/>
      </c>
      <c r="R5222" s="10">
        <f>+L5220</f>
        <v>0</v>
      </c>
      <c r="S5222" s="11"/>
      <c r="T5222" s="10">
        <f>+E5220</f>
        <v>0</v>
      </c>
      <c r="U5222" s="19" t="str">
        <f>IFERROR(LEFT(K5220,FIND("*",K5220)-1),"-")</f>
        <v>-</v>
      </c>
      <c r="V5222" s="19" t="str">
        <f>IFERROR(RIGHT(K5220,LEN(K5220)-FIND("*",K5220)),"-")</f>
        <v>-</v>
      </c>
      <c r="W5222" s="20" t="str">
        <f t="shared" si="2836"/>
        <v>-</v>
      </c>
      <c r="X5222" s="20" t="str">
        <f>IFERROR(W5222*L5220,"-")</f>
        <v>-</v>
      </c>
      <c r="Z5222" s="85" t="s">
        <v>82</v>
      </c>
    </row>
    <row r="5223" spans="1:26" ht="21" customHeight="1" thickBot="1" x14ac:dyDescent="0.35">
      <c r="A5223" s="5"/>
      <c r="B5223" s="159"/>
      <c r="C5223" s="160"/>
      <c r="D5223" s="166" t="s">
        <v>43</v>
      </c>
      <c r="E5223" s="167"/>
      <c r="F5223" s="167"/>
      <c r="G5223" s="168"/>
      <c r="H5223" s="168"/>
      <c r="I5223" s="168"/>
      <c r="J5223" s="168"/>
      <c r="K5223" s="168"/>
      <c r="L5223" s="168"/>
      <c r="M5223" s="7"/>
      <c r="N5223" s="32"/>
      <c r="Z5223" s="86" t="s">
        <v>81</v>
      </c>
    </row>
    <row r="5224" spans="1:26" ht="9.9499999999999993" customHeight="1" thickBot="1" x14ac:dyDescent="0.35">
      <c r="B5224" s="9"/>
      <c r="C5224" s="109"/>
      <c r="D5224" s="51"/>
      <c r="E5224" s="12"/>
      <c r="F5224" s="51"/>
      <c r="G5224" s="14"/>
      <c r="H5224" s="14"/>
      <c r="I5224" s="14"/>
      <c r="J5224" s="14"/>
      <c r="K5224" s="14"/>
      <c r="L5224" s="14"/>
      <c r="M5224" s="9"/>
      <c r="N5224" s="32"/>
      <c r="U5224" s="18"/>
      <c r="V5224" s="18"/>
      <c r="Z5224" s="85" t="s">
        <v>82</v>
      </c>
    </row>
    <row r="5225" spans="1:26" ht="6.95" customHeight="1" x14ac:dyDescent="0.3">
      <c r="A5225" s="154">
        <f>+A5214+1</f>
        <v>1274</v>
      </c>
      <c r="B5225" s="155"/>
      <c r="C5225" s="156"/>
      <c r="D5225" s="161" t="s">
        <v>39</v>
      </c>
      <c r="E5225" s="162"/>
      <c r="F5225" s="163" t="s">
        <v>40</v>
      </c>
      <c r="G5225" s="164"/>
      <c r="H5225" s="165"/>
      <c r="I5225" s="164"/>
      <c r="J5225" s="165"/>
      <c r="K5225" s="164"/>
      <c r="L5225" s="165"/>
      <c r="M5225" s="6"/>
      <c r="N5225" s="32"/>
      <c r="Q5225" s="10" t="str">
        <f>+CONCATENATE(E5225,G5225)</f>
        <v/>
      </c>
      <c r="R5225" s="10">
        <f>+H5225</f>
        <v>0</v>
      </c>
      <c r="S5225" s="11"/>
      <c r="T5225" s="10">
        <f>+E5225</f>
        <v>0</v>
      </c>
      <c r="U5225" s="19" t="str">
        <f>IFERROR(LEFT(G5225,FIND("*",G5225)-1),"-")</f>
        <v>-</v>
      </c>
      <c r="V5225" s="19" t="str">
        <f>IFERROR(RIGHT(G5225,LEN(G5225)-FIND("*",G5225)),"-")</f>
        <v>-</v>
      </c>
      <c r="W5225" s="20" t="str">
        <f>IFERROR((U5225+V5225)*2/1000,"-")</f>
        <v>-</v>
      </c>
      <c r="X5225" s="20" t="str">
        <f>IFERROR(W5225*H5225,"-")</f>
        <v>-</v>
      </c>
      <c r="Z5225" s="85" t="s">
        <v>82</v>
      </c>
    </row>
    <row r="5226" spans="1:26" ht="6.95" customHeight="1" x14ac:dyDescent="0.3">
      <c r="A5226" s="154"/>
      <c r="B5226" s="157"/>
      <c r="C5226" s="158"/>
      <c r="D5226" s="161"/>
      <c r="E5226" s="162"/>
      <c r="F5226" s="163"/>
      <c r="G5226" s="164"/>
      <c r="H5226" s="165"/>
      <c r="I5226" s="164"/>
      <c r="J5226" s="165"/>
      <c r="K5226" s="164"/>
      <c r="L5226" s="165"/>
      <c r="M5226" s="6"/>
      <c r="N5226" s="32"/>
      <c r="Q5226" s="10" t="str">
        <f>+CONCATENATE(E5225,I5225)</f>
        <v/>
      </c>
      <c r="R5226" s="10">
        <f>+J5225</f>
        <v>0</v>
      </c>
      <c r="S5226" s="11"/>
      <c r="T5226" s="10">
        <f>+E5225</f>
        <v>0</v>
      </c>
      <c r="U5226" s="19" t="str">
        <f>IFERROR(LEFT(I5225,FIND("*",I5225)-1),"-")</f>
        <v>-</v>
      </c>
      <c r="V5226" s="19" t="str">
        <f>IFERROR(RIGHT(I5225,LEN(I5225)-FIND("*",I5225)),"-")</f>
        <v>-</v>
      </c>
      <c r="W5226" s="20" t="str">
        <f t="shared" ref="W5226:W5233" si="2842">IFERROR((U5226+V5226)*2/1000,"-")</f>
        <v>-</v>
      </c>
      <c r="X5226" s="20" t="str">
        <f>IFERROR(W5226*J5225,"-")</f>
        <v>-</v>
      </c>
      <c r="Z5226" s="85" t="s">
        <v>82</v>
      </c>
    </row>
    <row r="5227" spans="1:26" ht="6.95" customHeight="1" x14ac:dyDescent="0.3">
      <c r="A5227" s="154"/>
      <c r="B5227" s="157"/>
      <c r="C5227" s="158"/>
      <c r="D5227" s="161"/>
      <c r="E5227" s="162"/>
      <c r="F5227" s="163"/>
      <c r="G5227" s="164"/>
      <c r="H5227" s="165"/>
      <c r="I5227" s="164"/>
      <c r="J5227" s="165"/>
      <c r="K5227" s="164"/>
      <c r="L5227" s="165"/>
      <c r="M5227" s="6"/>
      <c r="N5227" s="32"/>
      <c r="Q5227" s="10" t="str">
        <f>+CONCATENATE(E5225,K5225)</f>
        <v/>
      </c>
      <c r="R5227" s="10">
        <f>+L5225</f>
        <v>0</v>
      </c>
      <c r="S5227" s="11"/>
      <c r="T5227" s="10">
        <f>+E5225</f>
        <v>0</v>
      </c>
      <c r="U5227" s="19" t="str">
        <f>IFERROR(LEFT(K5225,FIND("*",K5225)-1),"-")</f>
        <v>-</v>
      </c>
      <c r="V5227" s="19" t="str">
        <f>IFERROR(RIGHT(K5225,LEN(K5225)-FIND("*",K5225)),"-")</f>
        <v>-</v>
      </c>
      <c r="W5227" s="20" t="str">
        <f t="shared" si="2842"/>
        <v>-</v>
      </c>
      <c r="X5227" s="20" t="str">
        <f>IFERROR(W5227*L5225,"-")</f>
        <v>-</v>
      </c>
      <c r="Z5227" s="85" t="s">
        <v>82</v>
      </c>
    </row>
    <row r="5228" spans="1:26" ht="6.95" customHeight="1" x14ac:dyDescent="0.3">
      <c r="A5228" s="8"/>
      <c r="B5228" s="157"/>
      <c r="C5228" s="158"/>
      <c r="D5228" s="161" t="s">
        <v>39</v>
      </c>
      <c r="E5228" s="162"/>
      <c r="F5228" s="163" t="s">
        <v>40</v>
      </c>
      <c r="G5228" s="164"/>
      <c r="H5228" s="165"/>
      <c r="I5228" s="164"/>
      <c r="J5228" s="165"/>
      <c r="K5228" s="164"/>
      <c r="L5228" s="165"/>
      <c r="M5228" s="6"/>
      <c r="N5228" s="32"/>
      <c r="Q5228" s="10" t="str">
        <f>+CONCATENATE(E5228,G5228)</f>
        <v/>
      </c>
      <c r="R5228" s="10">
        <f>+H5228</f>
        <v>0</v>
      </c>
      <c r="S5228" s="11"/>
      <c r="T5228" s="10">
        <f>+E5228</f>
        <v>0</v>
      </c>
      <c r="U5228" s="19" t="str">
        <f t="shared" ref="U5228" si="2843">IFERROR(LEFT(G5228,FIND("*",G5228)-1),"-")</f>
        <v>-</v>
      </c>
      <c r="V5228" s="19" t="str">
        <f t="shared" ref="V5228" si="2844">IFERROR(RIGHT(G5228,LEN(G5228)-FIND("*",G5228)),"-")</f>
        <v>-</v>
      </c>
      <c r="W5228" s="20" t="str">
        <f t="shared" si="2842"/>
        <v>-</v>
      </c>
      <c r="X5228" s="20" t="str">
        <f>IFERROR(W5228*H5228,"-")</f>
        <v>-</v>
      </c>
      <c r="Z5228" s="85" t="s">
        <v>82</v>
      </c>
    </row>
    <row r="5229" spans="1:26" ht="6.95" customHeight="1" x14ac:dyDescent="0.3">
      <c r="A5229" s="5"/>
      <c r="B5229" s="157"/>
      <c r="C5229" s="158"/>
      <c r="D5229" s="161"/>
      <c r="E5229" s="162"/>
      <c r="F5229" s="163"/>
      <c r="G5229" s="164"/>
      <c r="H5229" s="165"/>
      <c r="I5229" s="164"/>
      <c r="J5229" s="165"/>
      <c r="K5229" s="164"/>
      <c r="L5229" s="165"/>
      <c r="M5229" s="6"/>
      <c r="N5229" s="32"/>
      <c r="Q5229" s="10" t="str">
        <f>+CONCATENATE(E5228,I5228)</f>
        <v/>
      </c>
      <c r="R5229" s="10">
        <f>+J5228</f>
        <v>0</v>
      </c>
      <c r="S5229" s="11"/>
      <c r="T5229" s="10">
        <f>+E5228</f>
        <v>0</v>
      </c>
      <c r="U5229" s="19" t="str">
        <f>IFERROR(LEFT(I5228,FIND("*",I5228)-1),"-")</f>
        <v>-</v>
      </c>
      <c r="V5229" s="19" t="str">
        <f>IFERROR(RIGHT(I5228,LEN(I5228)-FIND("*",I5228)),"-")</f>
        <v>-</v>
      </c>
      <c r="W5229" s="20" t="str">
        <f t="shared" si="2842"/>
        <v>-</v>
      </c>
      <c r="X5229" s="20" t="str">
        <f>IFERROR(W5229*J5228,"-")</f>
        <v>-</v>
      </c>
      <c r="Z5229" s="85" t="s">
        <v>82</v>
      </c>
    </row>
    <row r="5230" spans="1:26" ht="6.95" customHeight="1" x14ac:dyDescent="0.3">
      <c r="A5230" s="5"/>
      <c r="B5230" s="157"/>
      <c r="C5230" s="158"/>
      <c r="D5230" s="161"/>
      <c r="E5230" s="162"/>
      <c r="F5230" s="163"/>
      <c r="G5230" s="164"/>
      <c r="H5230" s="165"/>
      <c r="I5230" s="164"/>
      <c r="J5230" s="165"/>
      <c r="K5230" s="164"/>
      <c r="L5230" s="165"/>
      <c r="M5230" s="6"/>
      <c r="N5230" s="32"/>
      <c r="Q5230" s="10" t="str">
        <f>+CONCATENATE(E5228,K5228)</f>
        <v/>
      </c>
      <c r="R5230" s="10">
        <f>+L5228</f>
        <v>0</v>
      </c>
      <c r="S5230" s="11"/>
      <c r="T5230" s="10">
        <f>+E5228</f>
        <v>0</v>
      </c>
      <c r="U5230" s="19" t="str">
        <f>IFERROR(LEFT(K5228,FIND("*",K5228)-1),"-")</f>
        <v>-</v>
      </c>
      <c r="V5230" s="19" t="str">
        <f>IFERROR(RIGHT(K5228,LEN(K5228)-FIND("*",K5228)),"-")</f>
        <v>-</v>
      </c>
      <c r="W5230" s="20" t="str">
        <f t="shared" si="2842"/>
        <v>-</v>
      </c>
      <c r="X5230" s="20" t="str">
        <f>IFERROR(W5230*L5228,"-")</f>
        <v>-</v>
      </c>
      <c r="Z5230" s="85" t="s">
        <v>82</v>
      </c>
    </row>
    <row r="5231" spans="1:26" ht="6.95" customHeight="1" x14ac:dyDescent="0.3">
      <c r="A5231" s="8"/>
      <c r="B5231" s="157"/>
      <c r="C5231" s="158"/>
      <c r="D5231" s="161" t="s">
        <v>39</v>
      </c>
      <c r="E5231" s="162"/>
      <c r="F5231" s="163" t="s">
        <v>40</v>
      </c>
      <c r="G5231" s="164"/>
      <c r="H5231" s="165"/>
      <c r="I5231" s="164"/>
      <c r="J5231" s="165"/>
      <c r="K5231" s="164"/>
      <c r="L5231" s="165"/>
      <c r="M5231" s="6"/>
      <c r="N5231" s="32"/>
      <c r="Q5231" s="10" t="str">
        <f>+CONCATENATE(E5231,G5231)</f>
        <v/>
      </c>
      <c r="R5231" s="10">
        <f>+H5231</f>
        <v>0</v>
      </c>
      <c r="S5231" s="11"/>
      <c r="T5231" s="10">
        <f>+E5231</f>
        <v>0</v>
      </c>
      <c r="U5231" s="19" t="str">
        <f t="shared" ref="U5231" si="2845">IFERROR(LEFT(G5231,FIND("*",G5231)-1),"-")</f>
        <v>-</v>
      </c>
      <c r="V5231" s="19" t="str">
        <f t="shared" ref="V5231" si="2846">IFERROR(RIGHT(G5231,LEN(G5231)-FIND("*",G5231)),"-")</f>
        <v>-</v>
      </c>
      <c r="W5231" s="20" t="str">
        <f t="shared" si="2842"/>
        <v>-</v>
      </c>
      <c r="X5231" s="20" t="str">
        <f>IFERROR(W5231*H5231,"-")</f>
        <v>-</v>
      </c>
      <c r="Z5231" s="85" t="s">
        <v>82</v>
      </c>
    </row>
    <row r="5232" spans="1:26" ht="6.95" customHeight="1" x14ac:dyDescent="0.3">
      <c r="A5232" s="5"/>
      <c r="B5232" s="157"/>
      <c r="C5232" s="158"/>
      <c r="D5232" s="161"/>
      <c r="E5232" s="162"/>
      <c r="F5232" s="163"/>
      <c r="G5232" s="164"/>
      <c r="H5232" s="165"/>
      <c r="I5232" s="164"/>
      <c r="J5232" s="165"/>
      <c r="K5232" s="164"/>
      <c r="L5232" s="165"/>
      <c r="M5232" s="6"/>
      <c r="N5232" s="32"/>
      <c r="Q5232" s="10" t="str">
        <f>+CONCATENATE(E5231,I5231)</f>
        <v/>
      </c>
      <c r="R5232" s="10">
        <f>+J5231</f>
        <v>0</v>
      </c>
      <c r="S5232" s="11"/>
      <c r="T5232" s="10">
        <f>+E5231</f>
        <v>0</v>
      </c>
      <c r="U5232" s="19" t="str">
        <f>IFERROR(LEFT(I5231,FIND("*",I5231)-1),"-")</f>
        <v>-</v>
      </c>
      <c r="V5232" s="19" t="str">
        <f>IFERROR(RIGHT(I5231,LEN(I5231)-FIND("*",I5231)),"-")</f>
        <v>-</v>
      </c>
      <c r="W5232" s="20" t="str">
        <f t="shared" si="2842"/>
        <v>-</v>
      </c>
      <c r="X5232" s="20" t="str">
        <f t="shared" ref="X5232" si="2847">IFERROR(W5232*J5231,"-")</f>
        <v>-</v>
      </c>
      <c r="Z5232" s="85" t="s">
        <v>82</v>
      </c>
    </row>
    <row r="5233" spans="1:26" ht="6.95" customHeight="1" x14ac:dyDescent="0.3">
      <c r="A5233" s="5"/>
      <c r="B5233" s="157"/>
      <c r="C5233" s="158"/>
      <c r="D5233" s="161"/>
      <c r="E5233" s="162"/>
      <c r="F5233" s="163"/>
      <c r="G5233" s="164"/>
      <c r="H5233" s="165"/>
      <c r="I5233" s="164"/>
      <c r="J5233" s="165"/>
      <c r="K5233" s="164"/>
      <c r="L5233" s="165"/>
      <c r="M5233" s="6"/>
      <c r="N5233" s="32"/>
      <c r="Q5233" s="10" t="str">
        <f>+CONCATENATE(E5231,K5231)</f>
        <v/>
      </c>
      <c r="R5233" s="10">
        <f>+L5231</f>
        <v>0</v>
      </c>
      <c r="S5233" s="11"/>
      <c r="T5233" s="10">
        <f>+E5231</f>
        <v>0</v>
      </c>
      <c r="U5233" s="19" t="str">
        <f>IFERROR(LEFT(K5231,FIND("*",K5231)-1),"-")</f>
        <v>-</v>
      </c>
      <c r="V5233" s="19" t="str">
        <f>IFERROR(RIGHT(K5231,LEN(K5231)-FIND("*",K5231)),"-")</f>
        <v>-</v>
      </c>
      <c r="W5233" s="20" t="str">
        <f t="shared" si="2842"/>
        <v>-</v>
      </c>
      <c r="X5233" s="20" t="str">
        <f>IFERROR(W5233*L5231,"-")</f>
        <v>-</v>
      </c>
      <c r="Z5233" s="85" t="s">
        <v>82</v>
      </c>
    </row>
    <row r="5234" spans="1:26" ht="21" customHeight="1" thickBot="1" x14ac:dyDescent="0.35">
      <c r="A5234" s="5"/>
      <c r="B5234" s="159"/>
      <c r="C5234" s="160"/>
      <c r="D5234" s="166" t="s">
        <v>43</v>
      </c>
      <c r="E5234" s="167"/>
      <c r="F5234" s="167"/>
      <c r="G5234" s="168"/>
      <c r="H5234" s="168"/>
      <c r="I5234" s="168"/>
      <c r="J5234" s="168"/>
      <c r="K5234" s="168"/>
      <c r="L5234" s="168"/>
      <c r="M5234" s="7"/>
      <c r="N5234" s="32"/>
      <c r="Z5234" s="86" t="s">
        <v>81</v>
      </c>
    </row>
    <row r="5235" spans="1:26" ht="9.9499999999999993" customHeight="1" thickBot="1" x14ac:dyDescent="0.35">
      <c r="B5235" s="9"/>
      <c r="C5235" s="109"/>
      <c r="D5235" s="51"/>
      <c r="E5235" s="12"/>
      <c r="F5235" s="51"/>
      <c r="G5235" s="14"/>
      <c r="H5235" s="14"/>
      <c r="I5235" s="14"/>
      <c r="J5235" s="14"/>
      <c r="K5235" s="14"/>
      <c r="L5235" s="14"/>
      <c r="M5235" s="9"/>
      <c r="N5235" s="32"/>
      <c r="U5235" s="18"/>
      <c r="V5235" s="18"/>
      <c r="Z5235" s="85" t="s">
        <v>82</v>
      </c>
    </row>
    <row r="5236" spans="1:26" ht="6.95" customHeight="1" x14ac:dyDescent="0.3">
      <c r="A5236" s="154">
        <f>+A5225+1</f>
        <v>1275</v>
      </c>
      <c r="B5236" s="155"/>
      <c r="C5236" s="156"/>
      <c r="D5236" s="161" t="s">
        <v>39</v>
      </c>
      <c r="E5236" s="162"/>
      <c r="F5236" s="163" t="s">
        <v>40</v>
      </c>
      <c r="G5236" s="164"/>
      <c r="H5236" s="165"/>
      <c r="I5236" s="164"/>
      <c r="J5236" s="165"/>
      <c r="K5236" s="164"/>
      <c r="L5236" s="165"/>
      <c r="M5236" s="6"/>
      <c r="N5236" s="32"/>
      <c r="Q5236" s="10" t="str">
        <f>+CONCATENATE(E5236,G5236)</f>
        <v/>
      </c>
      <c r="R5236" s="10">
        <f>+H5236</f>
        <v>0</v>
      </c>
      <c r="S5236" s="11"/>
      <c r="T5236" s="10">
        <f>+E5236</f>
        <v>0</v>
      </c>
      <c r="U5236" s="19" t="str">
        <f>IFERROR(LEFT(G5236,FIND("*",G5236)-1),"-")</f>
        <v>-</v>
      </c>
      <c r="V5236" s="19" t="str">
        <f>IFERROR(RIGHT(G5236,LEN(G5236)-FIND("*",G5236)),"-")</f>
        <v>-</v>
      </c>
      <c r="W5236" s="20" t="str">
        <f>IFERROR((U5236+V5236)*2/1000,"-")</f>
        <v>-</v>
      </c>
      <c r="X5236" s="20" t="str">
        <f>IFERROR(W5236*H5236,"-")</f>
        <v>-</v>
      </c>
      <c r="Z5236" s="85" t="s">
        <v>82</v>
      </c>
    </row>
    <row r="5237" spans="1:26" ht="6.95" customHeight="1" x14ac:dyDescent="0.3">
      <c r="A5237" s="154"/>
      <c r="B5237" s="157"/>
      <c r="C5237" s="158"/>
      <c r="D5237" s="161"/>
      <c r="E5237" s="162"/>
      <c r="F5237" s="163"/>
      <c r="G5237" s="164"/>
      <c r="H5237" s="165"/>
      <c r="I5237" s="164"/>
      <c r="J5237" s="165"/>
      <c r="K5237" s="164"/>
      <c r="L5237" s="165"/>
      <c r="M5237" s="6"/>
      <c r="N5237" s="32"/>
      <c r="Q5237" s="10" t="str">
        <f>+CONCATENATE(E5236,I5236)</f>
        <v/>
      </c>
      <c r="R5237" s="10">
        <f>+J5236</f>
        <v>0</v>
      </c>
      <c r="S5237" s="11"/>
      <c r="T5237" s="10">
        <f>+E5236</f>
        <v>0</v>
      </c>
      <c r="U5237" s="19" t="str">
        <f>IFERROR(LEFT(I5236,FIND("*",I5236)-1),"-")</f>
        <v>-</v>
      </c>
      <c r="V5237" s="19" t="str">
        <f>IFERROR(RIGHT(I5236,LEN(I5236)-FIND("*",I5236)),"-")</f>
        <v>-</v>
      </c>
      <c r="W5237" s="20" t="str">
        <f t="shared" ref="W5237:W5244" si="2848">IFERROR((U5237+V5237)*2/1000,"-")</f>
        <v>-</v>
      </c>
      <c r="X5237" s="20" t="str">
        <f>IFERROR(W5237*J5236,"-")</f>
        <v>-</v>
      </c>
      <c r="Z5237" s="85" t="s">
        <v>82</v>
      </c>
    </row>
    <row r="5238" spans="1:26" ht="6.95" customHeight="1" x14ac:dyDescent="0.3">
      <c r="A5238" s="154"/>
      <c r="B5238" s="157"/>
      <c r="C5238" s="158"/>
      <c r="D5238" s="161"/>
      <c r="E5238" s="162"/>
      <c r="F5238" s="163"/>
      <c r="G5238" s="164"/>
      <c r="H5238" s="165"/>
      <c r="I5238" s="164"/>
      <c r="J5238" s="165"/>
      <c r="K5238" s="164"/>
      <c r="L5238" s="165"/>
      <c r="M5238" s="6"/>
      <c r="N5238" s="32"/>
      <c r="Q5238" s="10" t="str">
        <f>+CONCATENATE(E5236,K5236)</f>
        <v/>
      </c>
      <c r="R5238" s="10">
        <f>+L5236</f>
        <v>0</v>
      </c>
      <c r="S5238" s="11"/>
      <c r="T5238" s="10">
        <f>+E5236</f>
        <v>0</v>
      </c>
      <c r="U5238" s="19" t="str">
        <f>IFERROR(LEFT(K5236,FIND("*",K5236)-1),"-")</f>
        <v>-</v>
      </c>
      <c r="V5238" s="19" t="str">
        <f>IFERROR(RIGHT(K5236,LEN(K5236)-FIND("*",K5236)),"-")</f>
        <v>-</v>
      </c>
      <c r="W5238" s="20" t="str">
        <f t="shared" si="2848"/>
        <v>-</v>
      </c>
      <c r="X5238" s="20" t="str">
        <f>IFERROR(W5238*L5236,"-")</f>
        <v>-</v>
      </c>
      <c r="Z5238" s="85" t="s">
        <v>82</v>
      </c>
    </row>
    <row r="5239" spans="1:26" ht="6.95" customHeight="1" x14ac:dyDescent="0.3">
      <c r="A5239" s="8"/>
      <c r="B5239" s="157"/>
      <c r="C5239" s="158"/>
      <c r="D5239" s="161" t="s">
        <v>39</v>
      </c>
      <c r="E5239" s="162"/>
      <c r="F5239" s="163" t="s">
        <v>40</v>
      </c>
      <c r="G5239" s="164"/>
      <c r="H5239" s="165"/>
      <c r="I5239" s="164"/>
      <c r="J5239" s="165"/>
      <c r="K5239" s="164"/>
      <c r="L5239" s="165"/>
      <c r="M5239" s="6"/>
      <c r="N5239" s="32"/>
      <c r="Q5239" s="10" t="str">
        <f>+CONCATENATE(E5239,G5239)</f>
        <v/>
      </c>
      <c r="R5239" s="10">
        <f>+H5239</f>
        <v>0</v>
      </c>
      <c r="S5239" s="11"/>
      <c r="T5239" s="10">
        <f>+E5239</f>
        <v>0</v>
      </c>
      <c r="U5239" s="19" t="str">
        <f t="shared" ref="U5239" si="2849">IFERROR(LEFT(G5239,FIND("*",G5239)-1),"-")</f>
        <v>-</v>
      </c>
      <c r="V5239" s="19" t="str">
        <f t="shared" ref="V5239" si="2850">IFERROR(RIGHT(G5239,LEN(G5239)-FIND("*",G5239)),"-")</f>
        <v>-</v>
      </c>
      <c r="W5239" s="20" t="str">
        <f t="shared" si="2848"/>
        <v>-</v>
      </c>
      <c r="X5239" s="20" t="str">
        <f>IFERROR(W5239*H5239,"-")</f>
        <v>-</v>
      </c>
      <c r="Z5239" s="85" t="s">
        <v>82</v>
      </c>
    </row>
    <row r="5240" spans="1:26" ht="6.95" customHeight="1" x14ac:dyDescent="0.3">
      <c r="A5240" s="5"/>
      <c r="B5240" s="157"/>
      <c r="C5240" s="158"/>
      <c r="D5240" s="161"/>
      <c r="E5240" s="162"/>
      <c r="F5240" s="163"/>
      <c r="G5240" s="164"/>
      <c r="H5240" s="165"/>
      <c r="I5240" s="164"/>
      <c r="J5240" s="165"/>
      <c r="K5240" s="164"/>
      <c r="L5240" s="165"/>
      <c r="M5240" s="6"/>
      <c r="N5240" s="32"/>
      <c r="Q5240" s="10" t="str">
        <f>+CONCATENATE(E5239,I5239)</f>
        <v/>
      </c>
      <c r="R5240" s="10">
        <f>+J5239</f>
        <v>0</v>
      </c>
      <c r="S5240" s="11"/>
      <c r="T5240" s="10">
        <f>+E5239</f>
        <v>0</v>
      </c>
      <c r="U5240" s="19" t="str">
        <f>IFERROR(LEFT(I5239,FIND("*",I5239)-1),"-")</f>
        <v>-</v>
      </c>
      <c r="V5240" s="19" t="str">
        <f>IFERROR(RIGHT(I5239,LEN(I5239)-FIND("*",I5239)),"-")</f>
        <v>-</v>
      </c>
      <c r="W5240" s="20" t="str">
        <f t="shared" si="2848"/>
        <v>-</v>
      </c>
      <c r="X5240" s="20" t="str">
        <f>IFERROR(W5240*J5239,"-")</f>
        <v>-</v>
      </c>
      <c r="Z5240" s="85" t="s">
        <v>82</v>
      </c>
    </row>
    <row r="5241" spans="1:26" ht="6.95" customHeight="1" x14ac:dyDescent="0.3">
      <c r="A5241" s="5"/>
      <c r="B5241" s="157"/>
      <c r="C5241" s="158"/>
      <c r="D5241" s="161"/>
      <c r="E5241" s="162"/>
      <c r="F5241" s="163"/>
      <c r="G5241" s="164"/>
      <c r="H5241" s="165"/>
      <c r="I5241" s="164"/>
      <c r="J5241" s="165"/>
      <c r="K5241" s="164"/>
      <c r="L5241" s="165"/>
      <c r="M5241" s="6"/>
      <c r="N5241" s="32"/>
      <c r="Q5241" s="10" t="str">
        <f>+CONCATENATE(E5239,K5239)</f>
        <v/>
      </c>
      <c r="R5241" s="10">
        <f>+L5239</f>
        <v>0</v>
      </c>
      <c r="S5241" s="11"/>
      <c r="T5241" s="10">
        <f>+E5239</f>
        <v>0</v>
      </c>
      <c r="U5241" s="19" t="str">
        <f>IFERROR(LEFT(K5239,FIND("*",K5239)-1),"-")</f>
        <v>-</v>
      </c>
      <c r="V5241" s="19" t="str">
        <f>IFERROR(RIGHT(K5239,LEN(K5239)-FIND("*",K5239)),"-")</f>
        <v>-</v>
      </c>
      <c r="W5241" s="20" t="str">
        <f t="shared" si="2848"/>
        <v>-</v>
      </c>
      <c r="X5241" s="20" t="str">
        <f>IFERROR(W5241*L5239,"-")</f>
        <v>-</v>
      </c>
      <c r="Z5241" s="85" t="s">
        <v>82</v>
      </c>
    </row>
    <row r="5242" spans="1:26" ht="6.95" customHeight="1" x14ac:dyDescent="0.3">
      <c r="A5242" s="8"/>
      <c r="B5242" s="157"/>
      <c r="C5242" s="158"/>
      <c r="D5242" s="161" t="s">
        <v>39</v>
      </c>
      <c r="E5242" s="162"/>
      <c r="F5242" s="163" t="s">
        <v>40</v>
      </c>
      <c r="G5242" s="164"/>
      <c r="H5242" s="165"/>
      <c r="I5242" s="164"/>
      <c r="J5242" s="165"/>
      <c r="K5242" s="164"/>
      <c r="L5242" s="165"/>
      <c r="M5242" s="6"/>
      <c r="N5242" s="32"/>
      <c r="Q5242" s="10" t="str">
        <f>+CONCATENATE(E5242,G5242)</f>
        <v/>
      </c>
      <c r="R5242" s="10">
        <f>+H5242</f>
        <v>0</v>
      </c>
      <c r="S5242" s="11"/>
      <c r="T5242" s="10">
        <f>+E5242</f>
        <v>0</v>
      </c>
      <c r="U5242" s="19" t="str">
        <f t="shared" ref="U5242" si="2851">IFERROR(LEFT(G5242,FIND("*",G5242)-1),"-")</f>
        <v>-</v>
      </c>
      <c r="V5242" s="19" t="str">
        <f t="shared" ref="V5242" si="2852">IFERROR(RIGHT(G5242,LEN(G5242)-FIND("*",G5242)),"-")</f>
        <v>-</v>
      </c>
      <c r="W5242" s="20" t="str">
        <f t="shared" si="2848"/>
        <v>-</v>
      </c>
      <c r="X5242" s="20" t="str">
        <f>IFERROR(W5242*H5242,"-")</f>
        <v>-</v>
      </c>
      <c r="Z5242" s="85" t="s">
        <v>82</v>
      </c>
    </row>
    <row r="5243" spans="1:26" ht="6.95" customHeight="1" x14ac:dyDescent="0.3">
      <c r="A5243" s="5"/>
      <c r="B5243" s="157"/>
      <c r="C5243" s="158"/>
      <c r="D5243" s="161"/>
      <c r="E5243" s="162"/>
      <c r="F5243" s="163"/>
      <c r="G5243" s="164"/>
      <c r="H5243" s="165"/>
      <c r="I5243" s="164"/>
      <c r="J5243" s="165"/>
      <c r="K5243" s="164"/>
      <c r="L5243" s="165"/>
      <c r="M5243" s="6"/>
      <c r="N5243" s="32"/>
      <c r="Q5243" s="10" t="str">
        <f>+CONCATENATE(E5242,I5242)</f>
        <v/>
      </c>
      <c r="R5243" s="10">
        <f>+J5242</f>
        <v>0</v>
      </c>
      <c r="S5243" s="11"/>
      <c r="T5243" s="10">
        <f>+E5242</f>
        <v>0</v>
      </c>
      <c r="U5243" s="19" t="str">
        <f>IFERROR(LEFT(I5242,FIND("*",I5242)-1),"-")</f>
        <v>-</v>
      </c>
      <c r="V5243" s="19" t="str">
        <f>IFERROR(RIGHT(I5242,LEN(I5242)-FIND("*",I5242)),"-")</f>
        <v>-</v>
      </c>
      <c r="W5243" s="20" t="str">
        <f t="shared" si="2848"/>
        <v>-</v>
      </c>
      <c r="X5243" s="20" t="str">
        <f t="shared" ref="X5243" si="2853">IFERROR(W5243*J5242,"-")</f>
        <v>-</v>
      </c>
      <c r="Z5243" s="85" t="s">
        <v>82</v>
      </c>
    </row>
    <row r="5244" spans="1:26" ht="6.95" customHeight="1" x14ac:dyDescent="0.3">
      <c r="A5244" s="5"/>
      <c r="B5244" s="157"/>
      <c r="C5244" s="158"/>
      <c r="D5244" s="161"/>
      <c r="E5244" s="162"/>
      <c r="F5244" s="163"/>
      <c r="G5244" s="164"/>
      <c r="H5244" s="165"/>
      <c r="I5244" s="164"/>
      <c r="J5244" s="165"/>
      <c r="K5244" s="164"/>
      <c r="L5244" s="165"/>
      <c r="M5244" s="6"/>
      <c r="N5244" s="32"/>
      <c r="Q5244" s="10" t="str">
        <f>+CONCATENATE(E5242,K5242)</f>
        <v/>
      </c>
      <c r="R5244" s="10">
        <f>+L5242</f>
        <v>0</v>
      </c>
      <c r="S5244" s="11"/>
      <c r="T5244" s="10">
        <f>+E5242</f>
        <v>0</v>
      </c>
      <c r="U5244" s="19" t="str">
        <f>IFERROR(LEFT(K5242,FIND("*",K5242)-1),"-")</f>
        <v>-</v>
      </c>
      <c r="V5244" s="19" t="str">
        <f>IFERROR(RIGHT(K5242,LEN(K5242)-FIND("*",K5242)),"-")</f>
        <v>-</v>
      </c>
      <c r="W5244" s="20" t="str">
        <f t="shared" si="2848"/>
        <v>-</v>
      </c>
      <c r="X5244" s="20" t="str">
        <f>IFERROR(W5244*L5242,"-")</f>
        <v>-</v>
      </c>
      <c r="Z5244" s="85" t="s">
        <v>82</v>
      </c>
    </row>
    <row r="5245" spans="1:26" ht="21" customHeight="1" thickBot="1" x14ac:dyDescent="0.35">
      <c r="A5245" s="5"/>
      <c r="B5245" s="159"/>
      <c r="C5245" s="160"/>
      <c r="D5245" s="166" t="s">
        <v>43</v>
      </c>
      <c r="E5245" s="167"/>
      <c r="F5245" s="167"/>
      <c r="G5245" s="168"/>
      <c r="H5245" s="168"/>
      <c r="I5245" s="168"/>
      <c r="J5245" s="168"/>
      <c r="K5245" s="168"/>
      <c r="L5245" s="168"/>
      <c r="M5245" s="7"/>
      <c r="N5245" s="32"/>
      <c r="Z5245" s="86" t="s">
        <v>81</v>
      </c>
    </row>
    <row r="5246" spans="1:26" ht="9.9499999999999993" customHeight="1" thickBot="1" x14ac:dyDescent="0.35">
      <c r="B5246" s="9"/>
      <c r="C5246" s="109"/>
      <c r="D5246" s="51"/>
      <c r="E5246" s="12"/>
      <c r="F5246" s="51"/>
      <c r="G5246" s="14"/>
      <c r="H5246" s="14"/>
      <c r="I5246" s="14"/>
      <c r="J5246" s="14"/>
      <c r="K5246" s="14"/>
      <c r="L5246" s="14"/>
      <c r="M5246" s="9"/>
      <c r="N5246" s="32"/>
      <c r="U5246" s="18"/>
      <c r="V5246" s="18"/>
      <c r="Z5246" s="85" t="s">
        <v>82</v>
      </c>
    </row>
    <row r="5247" spans="1:26" ht="6.95" customHeight="1" x14ac:dyDescent="0.3">
      <c r="A5247" s="154">
        <f>+A5236+1</f>
        <v>1276</v>
      </c>
      <c r="B5247" s="155"/>
      <c r="C5247" s="156"/>
      <c r="D5247" s="161" t="s">
        <v>39</v>
      </c>
      <c r="E5247" s="162"/>
      <c r="F5247" s="163" t="s">
        <v>40</v>
      </c>
      <c r="G5247" s="164"/>
      <c r="H5247" s="165"/>
      <c r="I5247" s="164"/>
      <c r="J5247" s="165"/>
      <c r="K5247" s="164"/>
      <c r="L5247" s="165"/>
      <c r="M5247" s="6"/>
      <c r="N5247" s="32"/>
      <c r="Q5247" s="10" t="str">
        <f>+CONCATENATE(E5247,G5247)</f>
        <v/>
      </c>
      <c r="R5247" s="10">
        <f>+H5247</f>
        <v>0</v>
      </c>
      <c r="S5247" s="11"/>
      <c r="T5247" s="10">
        <f>+E5247</f>
        <v>0</v>
      </c>
      <c r="U5247" s="19" t="str">
        <f>IFERROR(LEFT(G5247,FIND("*",G5247)-1),"-")</f>
        <v>-</v>
      </c>
      <c r="V5247" s="19" t="str">
        <f>IFERROR(RIGHT(G5247,LEN(G5247)-FIND("*",G5247)),"-")</f>
        <v>-</v>
      </c>
      <c r="W5247" s="20" t="str">
        <f>IFERROR((U5247+V5247)*2/1000,"-")</f>
        <v>-</v>
      </c>
      <c r="X5247" s="20" t="str">
        <f>IFERROR(W5247*H5247,"-")</f>
        <v>-</v>
      </c>
      <c r="Z5247" s="85" t="s">
        <v>82</v>
      </c>
    </row>
    <row r="5248" spans="1:26" ht="6.95" customHeight="1" x14ac:dyDescent="0.3">
      <c r="A5248" s="154"/>
      <c r="B5248" s="157"/>
      <c r="C5248" s="158"/>
      <c r="D5248" s="161"/>
      <c r="E5248" s="162"/>
      <c r="F5248" s="163"/>
      <c r="G5248" s="164"/>
      <c r="H5248" s="165"/>
      <c r="I5248" s="164"/>
      <c r="J5248" s="165"/>
      <c r="K5248" s="164"/>
      <c r="L5248" s="165"/>
      <c r="M5248" s="6"/>
      <c r="N5248" s="32"/>
      <c r="Q5248" s="10" t="str">
        <f>+CONCATENATE(E5247,I5247)</f>
        <v/>
      </c>
      <c r="R5248" s="10">
        <f>+J5247</f>
        <v>0</v>
      </c>
      <c r="S5248" s="11"/>
      <c r="T5248" s="10">
        <f>+E5247</f>
        <v>0</v>
      </c>
      <c r="U5248" s="19" t="str">
        <f>IFERROR(LEFT(I5247,FIND("*",I5247)-1),"-")</f>
        <v>-</v>
      </c>
      <c r="V5248" s="19" t="str">
        <f>IFERROR(RIGHT(I5247,LEN(I5247)-FIND("*",I5247)),"-")</f>
        <v>-</v>
      </c>
      <c r="W5248" s="20" t="str">
        <f t="shared" ref="W5248:W5255" si="2854">IFERROR((U5248+V5248)*2/1000,"-")</f>
        <v>-</v>
      </c>
      <c r="X5248" s="20" t="str">
        <f>IFERROR(W5248*J5247,"-")</f>
        <v>-</v>
      </c>
      <c r="Z5248" s="85" t="s">
        <v>82</v>
      </c>
    </row>
    <row r="5249" spans="1:26" ht="6.95" customHeight="1" x14ac:dyDescent="0.3">
      <c r="A5249" s="154"/>
      <c r="B5249" s="157"/>
      <c r="C5249" s="158"/>
      <c r="D5249" s="161"/>
      <c r="E5249" s="162"/>
      <c r="F5249" s="163"/>
      <c r="G5249" s="164"/>
      <c r="H5249" s="165"/>
      <c r="I5249" s="164"/>
      <c r="J5249" s="165"/>
      <c r="K5249" s="164"/>
      <c r="L5249" s="165"/>
      <c r="M5249" s="6"/>
      <c r="N5249" s="32"/>
      <c r="Q5249" s="10" t="str">
        <f>+CONCATENATE(E5247,K5247)</f>
        <v/>
      </c>
      <c r="R5249" s="10">
        <f>+L5247</f>
        <v>0</v>
      </c>
      <c r="S5249" s="11"/>
      <c r="T5249" s="10">
        <f>+E5247</f>
        <v>0</v>
      </c>
      <c r="U5249" s="19" t="str">
        <f>IFERROR(LEFT(K5247,FIND("*",K5247)-1),"-")</f>
        <v>-</v>
      </c>
      <c r="V5249" s="19" t="str">
        <f>IFERROR(RIGHT(K5247,LEN(K5247)-FIND("*",K5247)),"-")</f>
        <v>-</v>
      </c>
      <c r="W5249" s="20" t="str">
        <f t="shared" si="2854"/>
        <v>-</v>
      </c>
      <c r="X5249" s="20" t="str">
        <f>IFERROR(W5249*L5247,"-")</f>
        <v>-</v>
      </c>
      <c r="Z5249" s="85" t="s">
        <v>82</v>
      </c>
    </row>
    <row r="5250" spans="1:26" ht="6.95" customHeight="1" x14ac:dyDescent="0.3">
      <c r="A5250" s="8"/>
      <c r="B5250" s="157"/>
      <c r="C5250" s="158"/>
      <c r="D5250" s="161" t="s">
        <v>39</v>
      </c>
      <c r="E5250" s="162"/>
      <c r="F5250" s="163" t="s">
        <v>40</v>
      </c>
      <c r="G5250" s="164"/>
      <c r="H5250" s="165"/>
      <c r="I5250" s="164"/>
      <c r="J5250" s="165"/>
      <c r="K5250" s="164"/>
      <c r="L5250" s="165"/>
      <c r="M5250" s="6"/>
      <c r="N5250" s="32"/>
      <c r="Q5250" s="10" t="str">
        <f>+CONCATENATE(E5250,G5250)</f>
        <v/>
      </c>
      <c r="R5250" s="10">
        <f>+H5250</f>
        <v>0</v>
      </c>
      <c r="S5250" s="11"/>
      <c r="T5250" s="10">
        <f>+E5250</f>
        <v>0</v>
      </c>
      <c r="U5250" s="19" t="str">
        <f t="shared" ref="U5250" si="2855">IFERROR(LEFT(G5250,FIND("*",G5250)-1),"-")</f>
        <v>-</v>
      </c>
      <c r="V5250" s="19" t="str">
        <f t="shared" ref="V5250" si="2856">IFERROR(RIGHT(G5250,LEN(G5250)-FIND("*",G5250)),"-")</f>
        <v>-</v>
      </c>
      <c r="W5250" s="20" t="str">
        <f t="shared" si="2854"/>
        <v>-</v>
      </c>
      <c r="X5250" s="20" t="str">
        <f>IFERROR(W5250*H5250,"-")</f>
        <v>-</v>
      </c>
      <c r="Z5250" s="85" t="s">
        <v>82</v>
      </c>
    </row>
    <row r="5251" spans="1:26" ht="6.95" customHeight="1" x14ac:dyDescent="0.3">
      <c r="A5251" s="5"/>
      <c r="B5251" s="157"/>
      <c r="C5251" s="158"/>
      <c r="D5251" s="161"/>
      <c r="E5251" s="162"/>
      <c r="F5251" s="163"/>
      <c r="G5251" s="164"/>
      <c r="H5251" s="165"/>
      <c r="I5251" s="164"/>
      <c r="J5251" s="165"/>
      <c r="K5251" s="164"/>
      <c r="L5251" s="165"/>
      <c r="M5251" s="6"/>
      <c r="N5251" s="32"/>
      <c r="Q5251" s="10" t="str">
        <f>+CONCATENATE(E5250,I5250)</f>
        <v/>
      </c>
      <c r="R5251" s="10">
        <f>+J5250</f>
        <v>0</v>
      </c>
      <c r="S5251" s="11"/>
      <c r="T5251" s="10">
        <f>+E5250</f>
        <v>0</v>
      </c>
      <c r="U5251" s="19" t="str">
        <f>IFERROR(LEFT(I5250,FIND("*",I5250)-1),"-")</f>
        <v>-</v>
      </c>
      <c r="V5251" s="19" t="str">
        <f>IFERROR(RIGHT(I5250,LEN(I5250)-FIND("*",I5250)),"-")</f>
        <v>-</v>
      </c>
      <c r="W5251" s="20" t="str">
        <f t="shared" si="2854"/>
        <v>-</v>
      </c>
      <c r="X5251" s="20" t="str">
        <f>IFERROR(W5251*J5250,"-")</f>
        <v>-</v>
      </c>
      <c r="Z5251" s="85" t="s">
        <v>82</v>
      </c>
    </row>
    <row r="5252" spans="1:26" ht="6.95" customHeight="1" x14ac:dyDescent="0.3">
      <c r="A5252" s="5"/>
      <c r="B5252" s="157"/>
      <c r="C5252" s="158"/>
      <c r="D5252" s="161"/>
      <c r="E5252" s="162"/>
      <c r="F5252" s="163"/>
      <c r="G5252" s="164"/>
      <c r="H5252" s="165"/>
      <c r="I5252" s="164"/>
      <c r="J5252" s="165"/>
      <c r="K5252" s="164"/>
      <c r="L5252" s="165"/>
      <c r="M5252" s="6"/>
      <c r="N5252" s="32"/>
      <c r="Q5252" s="10" t="str">
        <f>+CONCATENATE(E5250,K5250)</f>
        <v/>
      </c>
      <c r="R5252" s="10">
        <f>+L5250</f>
        <v>0</v>
      </c>
      <c r="S5252" s="11"/>
      <c r="T5252" s="10">
        <f>+E5250</f>
        <v>0</v>
      </c>
      <c r="U5252" s="19" t="str">
        <f>IFERROR(LEFT(K5250,FIND("*",K5250)-1),"-")</f>
        <v>-</v>
      </c>
      <c r="V5252" s="19" t="str">
        <f>IFERROR(RIGHT(K5250,LEN(K5250)-FIND("*",K5250)),"-")</f>
        <v>-</v>
      </c>
      <c r="W5252" s="20" t="str">
        <f t="shared" si="2854"/>
        <v>-</v>
      </c>
      <c r="X5252" s="20" t="str">
        <f>IFERROR(W5252*L5250,"-")</f>
        <v>-</v>
      </c>
      <c r="Z5252" s="85" t="s">
        <v>82</v>
      </c>
    </row>
    <row r="5253" spans="1:26" ht="6.95" customHeight="1" x14ac:dyDescent="0.3">
      <c r="A5253" s="8"/>
      <c r="B5253" s="157"/>
      <c r="C5253" s="158"/>
      <c r="D5253" s="161" t="s">
        <v>39</v>
      </c>
      <c r="E5253" s="162"/>
      <c r="F5253" s="163" t="s">
        <v>40</v>
      </c>
      <c r="G5253" s="164"/>
      <c r="H5253" s="165"/>
      <c r="I5253" s="164"/>
      <c r="J5253" s="165"/>
      <c r="K5253" s="164"/>
      <c r="L5253" s="165"/>
      <c r="M5253" s="6"/>
      <c r="N5253" s="32"/>
      <c r="Q5253" s="10" t="str">
        <f>+CONCATENATE(E5253,G5253)</f>
        <v/>
      </c>
      <c r="R5253" s="10">
        <f>+H5253</f>
        <v>0</v>
      </c>
      <c r="S5253" s="11"/>
      <c r="T5253" s="10">
        <f>+E5253</f>
        <v>0</v>
      </c>
      <c r="U5253" s="19" t="str">
        <f t="shared" ref="U5253" si="2857">IFERROR(LEFT(G5253,FIND("*",G5253)-1),"-")</f>
        <v>-</v>
      </c>
      <c r="V5253" s="19" t="str">
        <f t="shared" ref="V5253" si="2858">IFERROR(RIGHT(G5253,LEN(G5253)-FIND("*",G5253)),"-")</f>
        <v>-</v>
      </c>
      <c r="W5253" s="20" t="str">
        <f t="shared" si="2854"/>
        <v>-</v>
      </c>
      <c r="X5253" s="20" t="str">
        <f>IFERROR(W5253*H5253,"-")</f>
        <v>-</v>
      </c>
      <c r="Z5253" s="85" t="s">
        <v>82</v>
      </c>
    </row>
    <row r="5254" spans="1:26" ht="6.95" customHeight="1" x14ac:dyDescent="0.3">
      <c r="A5254" s="5"/>
      <c r="B5254" s="157"/>
      <c r="C5254" s="158"/>
      <c r="D5254" s="161"/>
      <c r="E5254" s="162"/>
      <c r="F5254" s="163"/>
      <c r="G5254" s="164"/>
      <c r="H5254" s="165"/>
      <c r="I5254" s="164"/>
      <c r="J5254" s="165"/>
      <c r="K5254" s="164"/>
      <c r="L5254" s="165"/>
      <c r="M5254" s="6"/>
      <c r="N5254" s="32"/>
      <c r="Q5254" s="10" t="str">
        <f>+CONCATENATE(E5253,I5253)</f>
        <v/>
      </c>
      <c r="R5254" s="10">
        <f>+J5253</f>
        <v>0</v>
      </c>
      <c r="S5254" s="11"/>
      <c r="T5254" s="10">
        <f>+E5253</f>
        <v>0</v>
      </c>
      <c r="U5254" s="19" t="str">
        <f>IFERROR(LEFT(I5253,FIND("*",I5253)-1),"-")</f>
        <v>-</v>
      </c>
      <c r="V5254" s="19" t="str">
        <f>IFERROR(RIGHT(I5253,LEN(I5253)-FIND("*",I5253)),"-")</f>
        <v>-</v>
      </c>
      <c r="W5254" s="20" t="str">
        <f t="shared" si="2854"/>
        <v>-</v>
      </c>
      <c r="X5254" s="20" t="str">
        <f t="shared" ref="X5254" si="2859">IFERROR(W5254*J5253,"-")</f>
        <v>-</v>
      </c>
      <c r="Z5254" s="85" t="s">
        <v>82</v>
      </c>
    </row>
    <row r="5255" spans="1:26" ht="6.95" customHeight="1" x14ac:dyDescent="0.3">
      <c r="A5255" s="5"/>
      <c r="B5255" s="157"/>
      <c r="C5255" s="158"/>
      <c r="D5255" s="161"/>
      <c r="E5255" s="162"/>
      <c r="F5255" s="163"/>
      <c r="G5255" s="164"/>
      <c r="H5255" s="165"/>
      <c r="I5255" s="164"/>
      <c r="J5255" s="165"/>
      <c r="K5255" s="164"/>
      <c r="L5255" s="165"/>
      <c r="M5255" s="6"/>
      <c r="N5255" s="32"/>
      <c r="Q5255" s="10" t="str">
        <f>+CONCATENATE(E5253,K5253)</f>
        <v/>
      </c>
      <c r="R5255" s="10">
        <f>+L5253</f>
        <v>0</v>
      </c>
      <c r="S5255" s="11"/>
      <c r="T5255" s="10">
        <f>+E5253</f>
        <v>0</v>
      </c>
      <c r="U5255" s="19" t="str">
        <f>IFERROR(LEFT(K5253,FIND("*",K5253)-1),"-")</f>
        <v>-</v>
      </c>
      <c r="V5255" s="19" t="str">
        <f>IFERROR(RIGHT(K5253,LEN(K5253)-FIND("*",K5253)),"-")</f>
        <v>-</v>
      </c>
      <c r="W5255" s="20" t="str">
        <f t="shared" si="2854"/>
        <v>-</v>
      </c>
      <c r="X5255" s="20" t="str">
        <f>IFERROR(W5255*L5253,"-")</f>
        <v>-</v>
      </c>
      <c r="Z5255" s="85" t="s">
        <v>82</v>
      </c>
    </row>
    <row r="5256" spans="1:26" ht="21" customHeight="1" thickBot="1" x14ac:dyDescent="0.35">
      <c r="A5256" s="5"/>
      <c r="B5256" s="159"/>
      <c r="C5256" s="160"/>
      <c r="D5256" s="166" t="s">
        <v>43</v>
      </c>
      <c r="E5256" s="167"/>
      <c r="F5256" s="167"/>
      <c r="G5256" s="168"/>
      <c r="H5256" s="168"/>
      <c r="I5256" s="168"/>
      <c r="J5256" s="168"/>
      <c r="K5256" s="168"/>
      <c r="L5256" s="168"/>
      <c r="M5256" s="7"/>
      <c r="N5256" s="32"/>
      <c r="Z5256" s="86" t="s">
        <v>81</v>
      </c>
    </row>
    <row r="5257" spans="1:26" ht="9.9499999999999993" customHeight="1" thickBot="1" x14ac:dyDescent="0.35">
      <c r="B5257" s="9"/>
      <c r="C5257" s="109"/>
      <c r="D5257" s="51"/>
      <c r="E5257" s="12"/>
      <c r="F5257" s="51"/>
      <c r="G5257" s="14"/>
      <c r="H5257" s="14"/>
      <c r="I5257" s="14"/>
      <c r="J5257" s="14"/>
      <c r="K5257" s="14"/>
      <c r="L5257" s="14"/>
      <c r="M5257" s="9"/>
      <c r="N5257" s="32"/>
      <c r="U5257" s="18"/>
      <c r="V5257" s="18"/>
      <c r="Z5257" s="85" t="s">
        <v>82</v>
      </c>
    </row>
    <row r="5258" spans="1:26" ht="6.95" customHeight="1" x14ac:dyDescent="0.3">
      <c r="A5258" s="154">
        <f>+A5247+1</f>
        <v>1277</v>
      </c>
      <c r="B5258" s="155"/>
      <c r="C5258" s="156"/>
      <c r="D5258" s="161" t="s">
        <v>39</v>
      </c>
      <c r="E5258" s="162"/>
      <c r="F5258" s="163" t="s">
        <v>40</v>
      </c>
      <c r="G5258" s="164"/>
      <c r="H5258" s="165"/>
      <c r="I5258" s="164"/>
      <c r="J5258" s="165"/>
      <c r="K5258" s="164"/>
      <c r="L5258" s="165"/>
      <c r="M5258" s="6"/>
      <c r="N5258" s="32"/>
      <c r="Q5258" s="10" t="str">
        <f>+CONCATENATE(E5258,G5258)</f>
        <v/>
      </c>
      <c r="R5258" s="10">
        <f>+H5258</f>
        <v>0</v>
      </c>
      <c r="S5258" s="11"/>
      <c r="T5258" s="10">
        <f>+E5258</f>
        <v>0</v>
      </c>
      <c r="U5258" s="19" t="str">
        <f>IFERROR(LEFT(G5258,FIND("*",G5258)-1),"-")</f>
        <v>-</v>
      </c>
      <c r="V5258" s="19" t="str">
        <f>IFERROR(RIGHT(G5258,LEN(G5258)-FIND("*",G5258)),"-")</f>
        <v>-</v>
      </c>
      <c r="W5258" s="20" t="str">
        <f>IFERROR((U5258+V5258)*2/1000,"-")</f>
        <v>-</v>
      </c>
      <c r="X5258" s="20" t="str">
        <f>IFERROR(W5258*H5258,"-")</f>
        <v>-</v>
      </c>
      <c r="Z5258" s="85" t="s">
        <v>82</v>
      </c>
    </row>
    <row r="5259" spans="1:26" ht="6.95" customHeight="1" x14ac:dyDescent="0.3">
      <c r="A5259" s="154"/>
      <c r="B5259" s="157"/>
      <c r="C5259" s="158"/>
      <c r="D5259" s="161"/>
      <c r="E5259" s="162"/>
      <c r="F5259" s="163"/>
      <c r="G5259" s="164"/>
      <c r="H5259" s="165"/>
      <c r="I5259" s="164"/>
      <c r="J5259" s="165"/>
      <c r="K5259" s="164"/>
      <c r="L5259" s="165"/>
      <c r="M5259" s="6"/>
      <c r="N5259" s="32"/>
      <c r="Q5259" s="10" t="str">
        <f>+CONCATENATE(E5258,I5258)</f>
        <v/>
      </c>
      <c r="R5259" s="10">
        <f>+J5258</f>
        <v>0</v>
      </c>
      <c r="S5259" s="11"/>
      <c r="T5259" s="10">
        <f>+E5258</f>
        <v>0</v>
      </c>
      <c r="U5259" s="19" t="str">
        <f>IFERROR(LEFT(I5258,FIND("*",I5258)-1),"-")</f>
        <v>-</v>
      </c>
      <c r="V5259" s="19" t="str">
        <f>IFERROR(RIGHT(I5258,LEN(I5258)-FIND("*",I5258)),"-")</f>
        <v>-</v>
      </c>
      <c r="W5259" s="20" t="str">
        <f t="shared" ref="W5259:W5266" si="2860">IFERROR((U5259+V5259)*2/1000,"-")</f>
        <v>-</v>
      </c>
      <c r="X5259" s="20" t="str">
        <f>IFERROR(W5259*J5258,"-")</f>
        <v>-</v>
      </c>
      <c r="Z5259" s="85" t="s">
        <v>82</v>
      </c>
    </row>
    <row r="5260" spans="1:26" ht="6.95" customHeight="1" x14ac:dyDescent="0.3">
      <c r="A5260" s="154"/>
      <c r="B5260" s="157"/>
      <c r="C5260" s="158"/>
      <c r="D5260" s="161"/>
      <c r="E5260" s="162"/>
      <c r="F5260" s="163"/>
      <c r="G5260" s="164"/>
      <c r="H5260" s="165"/>
      <c r="I5260" s="164"/>
      <c r="J5260" s="165"/>
      <c r="K5260" s="164"/>
      <c r="L5260" s="165"/>
      <c r="M5260" s="6"/>
      <c r="N5260" s="32"/>
      <c r="Q5260" s="10" t="str">
        <f>+CONCATENATE(E5258,K5258)</f>
        <v/>
      </c>
      <c r="R5260" s="10">
        <f>+L5258</f>
        <v>0</v>
      </c>
      <c r="S5260" s="11"/>
      <c r="T5260" s="10">
        <f>+E5258</f>
        <v>0</v>
      </c>
      <c r="U5260" s="19" t="str">
        <f>IFERROR(LEFT(K5258,FIND("*",K5258)-1),"-")</f>
        <v>-</v>
      </c>
      <c r="V5260" s="19" t="str">
        <f>IFERROR(RIGHT(K5258,LEN(K5258)-FIND("*",K5258)),"-")</f>
        <v>-</v>
      </c>
      <c r="W5260" s="20" t="str">
        <f t="shared" si="2860"/>
        <v>-</v>
      </c>
      <c r="X5260" s="20" t="str">
        <f>IFERROR(W5260*L5258,"-")</f>
        <v>-</v>
      </c>
      <c r="Z5260" s="85" t="s">
        <v>82</v>
      </c>
    </row>
    <row r="5261" spans="1:26" ht="6.95" customHeight="1" x14ac:dyDescent="0.3">
      <c r="A5261" s="8"/>
      <c r="B5261" s="157"/>
      <c r="C5261" s="158"/>
      <c r="D5261" s="161" t="s">
        <v>39</v>
      </c>
      <c r="E5261" s="162"/>
      <c r="F5261" s="163" t="s">
        <v>40</v>
      </c>
      <c r="G5261" s="164"/>
      <c r="H5261" s="165"/>
      <c r="I5261" s="164"/>
      <c r="J5261" s="165"/>
      <c r="K5261" s="164"/>
      <c r="L5261" s="165"/>
      <c r="M5261" s="6"/>
      <c r="N5261" s="32"/>
      <c r="Q5261" s="10" t="str">
        <f>+CONCATENATE(E5261,G5261)</f>
        <v/>
      </c>
      <c r="R5261" s="10">
        <f>+H5261</f>
        <v>0</v>
      </c>
      <c r="S5261" s="11"/>
      <c r="T5261" s="10">
        <f>+E5261</f>
        <v>0</v>
      </c>
      <c r="U5261" s="19" t="str">
        <f t="shared" ref="U5261" si="2861">IFERROR(LEFT(G5261,FIND("*",G5261)-1),"-")</f>
        <v>-</v>
      </c>
      <c r="V5261" s="19" t="str">
        <f t="shared" ref="V5261" si="2862">IFERROR(RIGHT(G5261,LEN(G5261)-FIND("*",G5261)),"-")</f>
        <v>-</v>
      </c>
      <c r="W5261" s="20" t="str">
        <f t="shared" si="2860"/>
        <v>-</v>
      </c>
      <c r="X5261" s="20" t="str">
        <f>IFERROR(W5261*H5261,"-")</f>
        <v>-</v>
      </c>
      <c r="Z5261" s="85" t="s">
        <v>82</v>
      </c>
    </row>
    <row r="5262" spans="1:26" ht="6.95" customHeight="1" x14ac:dyDescent="0.3">
      <c r="A5262" s="5"/>
      <c r="B5262" s="157"/>
      <c r="C5262" s="158"/>
      <c r="D5262" s="161"/>
      <c r="E5262" s="162"/>
      <c r="F5262" s="163"/>
      <c r="G5262" s="164"/>
      <c r="H5262" s="165"/>
      <c r="I5262" s="164"/>
      <c r="J5262" s="165"/>
      <c r="K5262" s="164"/>
      <c r="L5262" s="165"/>
      <c r="M5262" s="6"/>
      <c r="N5262" s="32"/>
      <c r="Q5262" s="10" t="str">
        <f>+CONCATENATE(E5261,I5261)</f>
        <v/>
      </c>
      <c r="R5262" s="10">
        <f>+J5261</f>
        <v>0</v>
      </c>
      <c r="S5262" s="11"/>
      <c r="T5262" s="10">
        <f>+E5261</f>
        <v>0</v>
      </c>
      <c r="U5262" s="19" t="str">
        <f>IFERROR(LEFT(I5261,FIND("*",I5261)-1),"-")</f>
        <v>-</v>
      </c>
      <c r="V5262" s="19" t="str">
        <f>IFERROR(RIGHT(I5261,LEN(I5261)-FIND("*",I5261)),"-")</f>
        <v>-</v>
      </c>
      <c r="W5262" s="20" t="str">
        <f t="shared" si="2860"/>
        <v>-</v>
      </c>
      <c r="X5262" s="20" t="str">
        <f>IFERROR(W5262*J5261,"-")</f>
        <v>-</v>
      </c>
      <c r="Z5262" s="85" t="s">
        <v>82</v>
      </c>
    </row>
    <row r="5263" spans="1:26" ht="6.95" customHeight="1" x14ac:dyDescent="0.3">
      <c r="A5263" s="5"/>
      <c r="B5263" s="157"/>
      <c r="C5263" s="158"/>
      <c r="D5263" s="161"/>
      <c r="E5263" s="162"/>
      <c r="F5263" s="163"/>
      <c r="G5263" s="164"/>
      <c r="H5263" s="165"/>
      <c r="I5263" s="164"/>
      <c r="J5263" s="165"/>
      <c r="K5263" s="164"/>
      <c r="L5263" s="165"/>
      <c r="M5263" s="6"/>
      <c r="N5263" s="32"/>
      <c r="Q5263" s="10" t="str">
        <f>+CONCATENATE(E5261,K5261)</f>
        <v/>
      </c>
      <c r="R5263" s="10">
        <f>+L5261</f>
        <v>0</v>
      </c>
      <c r="S5263" s="11"/>
      <c r="T5263" s="10">
        <f>+E5261</f>
        <v>0</v>
      </c>
      <c r="U5263" s="19" t="str">
        <f>IFERROR(LEFT(K5261,FIND("*",K5261)-1),"-")</f>
        <v>-</v>
      </c>
      <c r="V5263" s="19" t="str">
        <f>IFERROR(RIGHT(K5261,LEN(K5261)-FIND("*",K5261)),"-")</f>
        <v>-</v>
      </c>
      <c r="W5263" s="20" t="str">
        <f t="shared" si="2860"/>
        <v>-</v>
      </c>
      <c r="X5263" s="20" t="str">
        <f>IFERROR(W5263*L5261,"-")</f>
        <v>-</v>
      </c>
      <c r="Z5263" s="85" t="s">
        <v>82</v>
      </c>
    </row>
    <row r="5264" spans="1:26" ht="6.95" customHeight="1" x14ac:dyDescent="0.3">
      <c r="A5264" s="8"/>
      <c r="B5264" s="157"/>
      <c r="C5264" s="158"/>
      <c r="D5264" s="161" t="s">
        <v>39</v>
      </c>
      <c r="E5264" s="162"/>
      <c r="F5264" s="163" t="s">
        <v>40</v>
      </c>
      <c r="G5264" s="164"/>
      <c r="H5264" s="165"/>
      <c r="I5264" s="164"/>
      <c r="J5264" s="165"/>
      <c r="K5264" s="164"/>
      <c r="L5264" s="165"/>
      <c r="M5264" s="6"/>
      <c r="N5264" s="32"/>
      <c r="Q5264" s="10" t="str">
        <f>+CONCATENATE(E5264,G5264)</f>
        <v/>
      </c>
      <c r="R5264" s="10">
        <f>+H5264</f>
        <v>0</v>
      </c>
      <c r="S5264" s="11"/>
      <c r="T5264" s="10">
        <f>+E5264</f>
        <v>0</v>
      </c>
      <c r="U5264" s="19" t="str">
        <f t="shared" ref="U5264" si="2863">IFERROR(LEFT(G5264,FIND("*",G5264)-1),"-")</f>
        <v>-</v>
      </c>
      <c r="V5264" s="19" t="str">
        <f t="shared" ref="V5264" si="2864">IFERROR(RIGHT(G5264,LEN(G5264)-FIND("*",G5264)),"-")</f>
        <v>-</v>
      </c>
      <c r="W5264" s="20" t="str">
        <f t="shared" si="2860"/>
        <v>-</v>
      </c>
      <c r="X5264" s="20" t="str">
        <f>IFERROR(W5264*H5264,"-")</f>
        <v>-</v>
      </c>
      <c r="Z5264" s="85" t="s">
        <v>82</v>
      </c>
    </row>
    <row r="5265" spans="1:26" ht="6.95" customHeight="1" x14ac:dyDescent="0.3">
      <c r="A5265" s="5"/>
      <c r="B5265" s="157"/>
      <c r="C5265" s="158"/>
      <c r="D5265" s="161"/>
      <c r="E5265" s="162"/>
      <c r="F5265" s="163"/>
      <c r="G5265" s="164"/>
      <c r="H5265" s="165"/>
      <c r="I5265" s="164"/>
      <c r="J5265" s="165"/>
      <c r="K5265" s="164"/>
      <c r="L5265" s="165"/>
      <c r="M5265" s="6"/>
      <c r="N5265" s="32"/>
      <c r="Q5265" s="10" t="str">
        <f>+CONCATENATE(E5264,I5264)</f>
        <v/>
      </c>
      <c r="R5265" s="10">
        <f>+J5264</f>
        <v>0</v>
      </c>
      <c r="S5265" s="11"/>
      <c r="T5265" s="10">
        <f>+E5264</f>
        <v>0</v>
      </c>
      <c r="U5265" s="19" t="str">
        <f>IFERROR(LEFT(I5264,FIND("*",I5264)-1),"-")</f>
        <v>-</v>
      </c>
      <c r="V5265" s="19" t="str">
        <f>IFERROR(RIGHT(I5264,LEN(I5264)-FIND("*",I5264)),"-")</f>
        <v>-</v>
      </c>
      <c r="W5265" s="20" t="str">
        <f t="shared" si="2860"/>
        <v>-</v>
      </c>
      <c r="X5265" s="20" t="str">
        <f t="shared" ref="X5265" si="2865">IFERROR(W5265*J5264,"-")</f>
        <v>-</v>
      </c>
      <c r="Z5265" s="85" t="s">
        <v>82</v>
      </c>
    </row>
    <row r="5266" spans="1:26" ht="6.95" customHeight="1" x14ac:dyDescent="0.3">
      <c r="A5266" s="5"/>
      <c r="B5266" s="157"/>
      <c r="C5266" s="158"/>
      <c r="D5266" s="161"/>
      <c r="E5266" s="162"/>
      <c r="F5266" s="163"/>
      <c r="G5266" s="164"/>
      <c r="H5266" s="165"/>
      <c r="I5266" s="164"/>
      <c r="J5266" s="165"/>
      <c r="K5266" s="164"/>
      <c r="L5266" s="165"/>
      <c r="M5266" s="6"/>
      <c r="N5266" s="32"/>
      <c r="Q5266" s="10" t="str">
        <f>+CONCATENATE(E5264,K5264)</f>
        <v/>
      </c>
      <c r="R5266" s="10">
        <f>+L5264</f>
        <v>0</v>
      </c>
      <c r="S5266" s="11"/>
      <c r="T5266" s="10">
        <f>+E5264</f>
        <v>0</v>
      </c>
      <c r="U5266" s="19" t="str">
        <f>IFERROR(LEFT(K5264,FIND("*",K5264)-1),"-")</f>
        <v>-</v>
      </c>
      <c r="V5266" s="19" t="str">
        <f>IFERROR(RIGHT(K5264,LEN(K5264)-FIND("*",K5264)),"-")</f>
        <v>-</v>
      </c>
      <c r="W5266" s="20" t="str">
        <f t="shared" si="2860"/>
        <v>-</v>
      </c>
      <c r="X5266" s="20" t="str">
        <f>IFERROR(W5266*L5264,"-")</f>
        <v>-</v>
      </c>
      <c r="Z5266" s="85" t="s">
        <v>82</v>
      </c>
    </row>
    <row r="5267" spans="1:26" ht="21" customHeight="1" thickBot="1" x14ac:dyDescent="0.35">
      <c r="A5267" s="5"/>
      <c r="B5267" s="159"/>
      <c r="C5267" s="160"/>
      <c r="D5267" s="166" t="s">
        <v>43</v>
      </c>
      <c r="E5267" s="167"/>
      <c r="F5267" s="167"/>
      <c r="G5267" s="168"/>
      <c r="H5267" s="168"/>
      <c r="I5267" s="168"/>
      <c r="J5267" s="168"/>
      <c r="K5267" s="168"/>
      <c r="L5267" s="168"/>
      <c r="M5267" s="7"/>
      <c r="N5267" s="32"/>
      <c r="Z5267" s="86" t="s">
        <v>81</v>
      </c>
    </row>
    <row r="5268" spans="1:26" ht="9.9499999999999993" customHeight="1" thickBot="1" x14ac:dyDescent="0.35">
      <c r="B5268" s="9"/>
      <c r="C5268" s="109"/>
      <c r="D5268" s="51"/>
      <c r="E5268" s="12"/>
      <c r="F5268" s="51"/>
      <c r="G5268" s="14"/>
      <c r="H5268" s="14"/>
      <c r="I5268" s="14"/>
      <c r="J5268" s="14"/>
      <c r="K5268" s="14"/>
      <c r="L5268" s="14"/>
      <c r="M5268" s="9"/>
      <c r="N5268" s="32"/>
      <c r="U5268" s="18"/>
      <c r="V5268" s="18"/>
      <c r="Z5268" s="85" t="s">
        <v>82</v>
      </c>
    </row>
    <row r="5269" spans="1:26" ht="6.95" customHeight="1" x14ac:dyDescent="0.3">
      <c r="A5269" s="154">
        <f>+A5258+1</f>
        <v>1278</v>
      </c>
      <c r="B5269" s="155"/>
      <c r="C5269" s="156"/>
      <c r="D5269" s="161" t="s">
        <v>39</v>
      </c>
      <c r="E5269" s="162"/>
      <c r="F5269" s="163" t="s">
        <v>40</v>
      </c>
      <c r="G5269" s="164"/>
      <c r="H5269" s="165"/>
      <c r="I5269" s="164"/>
      <c r="J5269" s="165"/>
      <c r="K5269" s="164"/>
      <c r="L5269" s="165"/>
      <c r="M5269" s="6"/>
      <c r="N5269" s="32"/>
      <c r="Q5269" s="10" t="str">
        <f>+CONCATENATE(E5269,G5269)</f>
        <v/>
      </c>
      <c r="R5269" s="10">
        <f>+H5269</f>
        <v>0</v>
      </c>
      <c r="S5269" s="11"/>
      <c r="T5269" s="10">
        <f>+E5269</f>
        <v>0</v>
      </c>
      <c r="U5269" s="19" t="str">
        <f>IFERROR(LEFT(G5269,FIND("*",G5269)-1),"-")</f>
        <v>-</v>
      </c>
      <c r="V5269" s="19" t="str">
        <f>IFERROR(RIGHT(G5269,LEN(G5269)-FIND("*",G5269)),"-")</f>
        <v>-</v>
      </c>
      <c r="W5269" s="20" t="str">
        <f>IFERROR((U5269+V5269)*2/1000,"-")</f>
        <v>-</v>
      </c>
      <c r="X5269" s="20" t="str">
        <f>IFERROR(W5269*H5269,"-")</f>
        <v>-</v>
      </c>
      <c r="Z5269" s="85" t="s">
        <v>82</v>
      </c>
    </row>
    <row r="5270" spans="1:26" ht="6.95" customHeight="1" x14ac:dyDescent="0.3">
      <c r="A5270" s="154"/>
      <c r="B5270" s="157"/>
      <c r="C5270" s="158"/>
      <c r="D5270" s="161"/>
      <c r="E5270" s="162"/>
      <c r="F5270" s="163"/>
      <c r="G5270" s="164"/>
      <c r="H5270" s="165"/>
      <c r="I5270" s="164"/>
      <c r="J5270" s="165"/>
      <c r="K5270" s="164"/>
      <c r="L5270" s="165"/>
      <c r="M5270" s="6"/>
      <c r="N5270" s="32"/>
      <c r="Q5270" s="10" t="str">
        <f>+CONCATENATE(E5269,I5269)</f>
        <v/>
      </c>
      <c r="R5270" s="10">
        <f>+J5269</f>
        <v>0</v>
      </c>
      <c r="S5270" s="11"/>
      <c r="T5270" s="10">
        <f>+E5269</f>
        <v>0</v>
      </c>
      <c r="U5270" s="19" t="str">
        <f>IFERROR(LEFT(I5269,FIND("*",I5269)-1),"-")</f>
        <v>-</v>
      </c>
      <c r="V5270" s="19" t="str">
        <f>IFERROR(RIGHT(I5269,LEN(I5269)-FIND("*",I5269)),"-")</f>
        <v>-</v>
      </c>
      <c r="W5270" s="20" t="str">
        <f t="shared" ref="W5270:W5277" si="2866">IFERROR((U5270+V5270)*2/1000,"-")</f>
        <v>-</v>
      </c>
      <c r="X5270" s="20" t="str">
        <f>IFERROR(W5270*J5269,"-")</f>
        <v>-</v>
      </c>
      <c r="Z5270" s="85" t="s">
        <v>82</v>
      </c>
    </row>
    <row r="5271" spans="1:26" ht="6.95" customHeight="1" x14ac:dyDescent="0.3">
      <c r="A5271" s="154"/>
      <c r="B5271" s="157"/>
      <c r="C5271" s="158"/>
      <c r="D5271" s="161"/>
      <c r="E5271" s="162"/>
      <c r="F5271" s="163"/>
      <c r="G5271" s="164"/>
      <c r="H5271" s="165"/>
      <c r="I5271" s="164"/>
      <c r="J5271" s="165"/>
      <c r="K5271" s="164"/>
      <c r="L5271" s="165"/>
      <c r="M5271" s="6"/>
      <c r="N5271" s="32"/>
      <c r="Q5271" s="10" t="str">
        <f>+CONCATENATE(E5269,K5269)</f>
        <v/>
      </c>
      <c r="R5271" s="10">
        <f>+L5269</f>
        <v>0</v>
      </c>
      <c r="S5271" s="11"/>
      <c r="T5271" s="10">
        <f>+E5269</f>
        <v>0</v>
      </c>
      <c r="U5271" s="19" t="str">
        <f>IFERROR(LEFT(K5269,FIND("*",K5269)-1),"-")</f>
        <v>-</v>
      </c>
      <c r="V5271" s="19" t="str">
        <f>IFERROR(RIGHT(K5269,LEN(K5269)-FIND("*",K5269)),"-")</f>
        <v>-</v>
      </c>
      <c r="W5271" s="20" t="str">
        <f t="shared" si="2866"/>
        <v>-</v>
      </c>
      <c r="X5271" s="20" t="str">
        <f>IFERROR(W5271*L5269,"-")</f>
        <v>-</v>
      </c>
      <c r="Z5271" s="85" t="s">
        <v>82</v>
      </c>
    </row>
    <row r="5272" spans="1:26" ht="6.95" customHeight="1" x14ac:dyDescent="0.3">
      <c r="A5272" s="8"/>
      <c r="B5272" s="157"/>
      <c r="C5272" s="158"/>
      <c r="D5272" s="161" t="s">
        <v>39</v>
      </c>
      <c r="E5272" s="162"/>
      <c r="F5272" s="163" t="s">
        <v>40</v>
      </c>
      <c r="G5272" s="164"/>
      <c r="H5272" s="165"/>
      <c r="I5272" s="164"/>
      <c r="J5272" s="165"/>
      <c r="K5272" s="164"/>
      <c r="L5272" s="165"/>
      <c r="M5272" s="6"/>
      <c r="N5272" s="32"/>
      <c r="Q5272" s="10" t="str">
        <f>+CONCATENATE(E5272,G5272)</f>
        <v/>
      </c>
      <c r="R5272" s="10">
        <f>+H5272</f>
        <v>0</v>
      </c>
      <c r="S5272" s="11"/>
      <c r="T5272" s="10">
        <f>+E5272</f>
        <v>0</v>
      </c>
      <c r="U5272" s="19" t="str">
        <f t="shared" ref="U5272" si="2867">IFERROR(LEFT(G5272,FIND("*",G5272)-1),"-")</f>
        <v>-</v>
      </c>
      <c r="V5272" s="19" t="str">
        <f t="shared" ref="V5272" si="2868">IFERROR(RIGHT(G5272,LEN(G5272)-FIND("*",G5272)),"-")</f>
        <v>-</v>
      </c>
      <c r="W5272" s="20" t="str">
        <f t="shared" si="2866"/>
        <v>-</v>
      </c>
      <c r="X5272" s="20" t="str">
        <f>IFERROR(W5272*H5272,"-")</f>
        <v>-</v>
      </c>
      <c r="Z5272" s="85" t="s">
        <v>82</v>
      </c>
    </row>
    <row r="5273" spans="1:26" ht="6.95" customHeight="1" x14ac:dyDescent="0.3">
      <c r="A5273" s="5"/>
      <c r="B5273" s="157"/>
      <c r="C5273" s="158"/>
      <c r="D5273" s="161"/>
      <c r="E5273" s="162"/>
      <c r="F5273" s="163"/>
      <c r="G5273" s="164"/>
      <c r="H5273" s="165"/>
      <c r="I5273" s="164"/>
      <c r="J5273" s="165"/>
      <c r="K5273" s="164"/>
      <c r="L5273" s="165"/>
      <c r="M5273" s="6"/>
      <c r="N5273" s="32"/>
      <c r="Q5273" s="10" t="str">
        <f>+CONCATENATE(E5272,I5272)</f>
        <v/>
      </c>
      <c r="R5273" s="10">
        <f>+J5272</f>
        <v>0</v>
      </c>
      <c r="S5273" s="11"/>
      <c r="T5273" s="10">
        <f>+E5272</f>
        <v>0</v>
      </c>
      <c r="U5273" s="19" t="str">
        <f>IFERROR(LEFT(I5272,FIND("*",I5272)-1),"-")</f>
        <v>-</v>
      </c>
      <c r="V5273" s="19" t="str">
        <f>IFERROR(RIGHT(I5272,LEN(I5272)-FIND("*",I5272)),"-")</f>
        <v>-</v>
      </c>
      <c r="W5273" s="20" t="str">
        <f t="shared" si="2866"/>
        <v>-</v>
      </c>
      <c r="X5273" s="20" t="str">
        <f>IFERROR(W5273*J5272,"-")</f>
        <v>-</v>
      </c>
      <c r="Z5273" s="85" t="s">
        <v>82</v>
      </c>
    </row>
    <row r="5274" spans="1:26" ht="6.95" customHeight="1" x14ac:dyDescent="0.3">
      <c r="A5274" s="5"/>
      <c r="B5274" s="157"/>
      <c r="C5274" s="158"/>
      <c r="D5274" s="161"/>
      <c r="E5274" s="162"/>
      <c r="F5274" s="163"/>
      <c r="G5274" s="164"/>
      <c r="H5274" s="165"/>
      <c r="I5274" s="164"/>
      <c r="J5274" s="165"/>
      <c r="K5274" s="164"/>
      <c r="L5274" s="165"/>
      <c r="M5274" s="6"/>
      <c r="N5274" s="32"/>
      <c r="Q5274" s="10" t="str">
        <f>+CONCATENATE(E5272,K5272)</f>
        <v/>
      </c>
      <c r="R5274" s="10">
        <f>+L5272</f>
        <v>0</v>
      </c>
      <c r="S5274" s="11"/>
      <c r="T5274" s="10">
        <f>+E5272</f>
        <v>0</v>
      </c>
      <c r="U5274" s="19" t="str">
        <f>IFERROR(LEFT(K5272,FIND("*",K5272)-1),"-")</f>
        <v>-</v>
      </c>
      <c r="V5274" s="19" t="str">
        <f>IFERROR(RIGHT(K5272,LEN(K5272)-FIND("*",K5272)),"-")</f>
        <v>-</v>
      </c>
      <c r="W5274" s="20" t="str">
        <f t="shared" si="2866"/>
        <v>-</v>
      </c>
      <c r="X5274" s="20" t="str">
        <f>IFERROR(W5274*L5272,"-")</f>
        <v>-</v>
      </c>
      <c r="Z5274" s="85" t="s">
        <v>82</v>
      </c>
    </row>
    <row r="5275" spans="1:26" ht="6.95" customHeight="1" x14ac:dyDescent="0.3">
      <c r="A5275" s="8"/>
      <c r="B5275" s="157"/>
      <c r="C5275" s="158"/>
      <c r="D5275" s="161" t="s">
        <v>39</v>
      </c>
      <c r="E5275" s="162"/>
      <c r="F5275" s="163" t="s">
        <v>40</v>
      </c>
      <c r="G5275" s="164"/>
      <c r="H5275" s="165"/>
      <c r="I5275" s="164"/>
      <c r="J5275" s="165"/>
      <c r="K5275" s="164"/>
      <c r="L5275" s="165"/>
      <c r="M5275" s="6"/>
      <c r="N5275" s="32"/>
      <c r="Q5275" s="10" t="str">
        <f>+CONCATENATE(E5275,G5275)</f>
        <v/>
      </c>
      <c r="R5275" s="10">
        <f>+H5275</f>
        <v>0</v>
      </c>
      <c r="S5275" s="11"/>
      <c r="T5275" s="10">
        <f>+E5275</f>
        <v>0</v>
      </c>
      <c r="U5275" s="19" t="str">
        <f t="shared" ref="U5275" si="2869">IFERROR(LEFT(G5275,FIND("*",G5275)-1),"-")</f>
        <v>-</v>
      </c>
      <c r="V5275" s="19" t="str">
        <f t="shared" ref="V5275" si="2870">IFERROR(RIGHT(G5275,LEN(G5275)-FIND("*",G5275)),"-")</f>
        <v>-</v>
      </c>
      <c r="W5275" s="20" t="str">
        <f t="shared" si="2866"/>
        <v>-</v>
      </c>
      <c r="X5275" s="20" t="str">
        <f>IFERROR(W5275*H5275,"-")</f>
        <v>-</v>
      </c>
      <c r="Z5275" s="85" t="s">
        <v>82</v>
      </c>
    </row>
    <row r="5276" spans="1:26" ht="6.95" customHeight="1" x14ac:dyDescent="0.3">
      <c r="A5276" s="5"/>
      <c r="B5276" s="157"/>
      <c r="C5276" s="158"/>
      <c r="D5276" s="161"/>
      <c r="E5276" s="162"/>
      <c r="F5276" s="163"/>
      <c r="G5276" s="164"/>
      <c r="H5276" s="165"/>
      <c r="I5276" s="164"/>
      <c r="J5276" s="165"/>
      <c r="K5276" s="164"/>
      <c r="L5276" s="165"/>
      <c r="M5276" s="6"/>
      <c r="N5276" s="32"/>
      <c r="Q5276" s="10" t="str">
        <f>+CONCATENATE(E5275,I5275)</f>
        <v/>
      </c>
      <c r="R5276" s="10">
        <f>+J5275</f>
        <v>0</v>
      </c>
      <c r="S5276" s="11"/>
      <c r="T5276" s="10">
        <f>+E5275</f>
        <v>0</v>
      </c>
      <c r="U5276" s="19" t="str">
        <f>IFERROR(LEFT(I5275,FIND("*",I5275)-1),"-")</f>
        <v>-</v>
      </c>
      <c r="V5276" s="19" t="str">
        <f>IFERROR(RIGHT(I5275,LEN(I5275)-FIND("*",I5275)),"-")</f>
        <v>-</v>
      </c>
      <c r="W5276" s="20" t="str">
        <f t="shared" si="2866"/>
        <v>-</v>
      </c>
      <c r="X5276" s="20" t="str">
        <f t="shared" ref="X5276" si="2871">IFERROR(W5276*J5275,"-")</f>
        <v>-</v>
      </c>
      <c r="Z5276" s="85" t="s">
        <v>82</v>
      </c>
    </row>
    <row r="5277" spans="1:26" ht="6.95" customHeight="1" x14ac:dyDescent="0.3">
      <c r="A5277" s="5"/>
      <c r="B5277" s="157"/>
      <c r="C5277" s="158"/>
      <c r="D5277" s="161"/>
      <c r="E5277" s="162"/>
      <c r="F5277" s="163"/>
      <c r="G5277" s="164"/>
      <c r="H5277" s="165"/>
      <c r="I5277" s="164"/>
      <c r="J5277" s="165"/>
      <c r="K5277" s="164"/>
      <c r="L5277" s="165"/>
      <c r="M5277" s="6"/>
      <c r="N5277" s="32"/>
      <c r="Q5277" s="10" t="str">
        <f>+CONCATENATE(E5275,K5275)</f>
        <v/>
      </c>
      <c r="R5277" s="10">
        <f>+L5275</f>
        <v>0</v>
      </c>
      <c r="S5277" s="11"/>
      <c r="T5277" s="10">
        <f>+E5275</f>
        <v>0</v>
      </c>
      <c r="U5277" s="19" t="str">
        <f>IFERROR(LEFT(K5275,FIND("*",K5275)-1),"-")</f>
        <v>-</v>
      </c>
      <c r="V5277" s="19" t="str">
        <f>IFERROR(RIGHT(K5275,LEN(K5275)-FIND("*",K5275)),"-")</f>
        <v>-</v>
      </c>
      <c r="W5277" s="20" t="str">
        <f t="shared" si="2866"/>
        <v>-</v>
      </c>
      <c r="X5277" s="20" t="str">
        <f>IFERROR(W5277*L5275,"-")</f>
        <v>-</v>
      </c>
      <c r="Z5277" s="85" t="s">
        <v>82</v>
      </c>
    </row>
    <row r="5278" spans="1:26" ht="21" customHeight="1" thickBot="1" x14ac:dyDescent="0.35">
      <c r="A5278" s="5"/>
      <c r="B5278" s="159"/>
      <c r="C5278" s="160"/>
      <c r="D5278" s="166" t="s">
        <v>43</v>
      </c>
      <c r="E5278" s="167"/>
      <c r="F5278" s="167"/>
      <c r="G5278" s="168"/>
      <c r="H5278" s="168"/>
      <c r="I5278" s="168"/>
      <c r="J5278" s="168"/>
      <c r="K5278" s="168"/>
      <c r="L5278" s="168"/>
      <c r="M5278" s="7"/>
      <c r="N5278" s="32"/>
      <c r="Z5278" s="86" t="s">
        <v>81</v>
      </c>
    </row>
    <row r="5279" spans="1:26" ht="9.9499999999999993" customHeight="1" thickBot="1" x14ac:dyDescent="0.35">
      <c r="B5279" s="9"/>
      <c r="C5279" s="109"/>
      <c r="D5279" s="51"/>
      <c r="E5279" s="12"/>
      <c r="F5279" s="51"/>
      <c r="G5279" s="14"/>
      <c r="H5279" s="14"/>
      <c r="I5279" s="14"/>
      <c r="J5279" s="14"/>
      <c r="K5279" s="14"/>
      <c r="L5279" s="14"/>
      <c r="M5279" s="9"/>
      <c r="N5279" s="32"/>
      <c r="U5279" s="18"/>
      <c r="V5279" s="18"/>
      <c r="Z5279" s="85" t="s">
        <v>82</v>
      </c>
    </row>
    <row r="5280" spans="1:26" ht="6.95" customHeight="1" x14ac:dyDescent="0.3">
      <c r="A5280" s="154">
        <f>+A5269+1</f>
        <v>1279</v>
      </c>
      <c r="B5280" s="155"/>
      <c r="C5280" s="156"/>
      <c r="D5280" s="161" t="s">
        <v>39</v>
      </c>
      <c r="E5280" s="162"/>
      <c r="F5280" s="163" t="s">
        <v>40</v>
      </c>
      <c r="G5280" s="164"/>
      <c r="H5280" s="165"/>
      <c r="I5280" s="164"/>
      <c r="J5280" s="165"/>
      <c r="K5280" s="164"/>
      <c r="L5280" s="165"/>
      <c r="M5280" s="6"/>
      <c r="N5280" s="32"/>
      <c r="Q5280" s="10" t="str">
        <f>+CONCATENATE(E5280,G5280)</f>
        <v/>
      </c>
      <c r="R5280" s="10">
        <f>+H5280</f>
        <v>0</v>
      </c>
      <c r="S5280" s="11"/>
      <c r="T5280" s="10">
        <f>+E5280</f>
        <v>0</v>
      </c>
      <c r="U5280" s="19" t="str">
        <f>IFERROR(LEFT(G5280,FIND("*",G5280)-1),"-")</f>
        <v>-</v>
      </c>
      <c r="V5280" s="19" t="str">
        <f>IFERROR(RIGHT(G5280,LEN(G5280)-FIND("*",G5280)),"-")</f>
        <v>-</v>
      </c>
      <c r="W5280" s="20" t="str">
        <f>IFERROR((U5280+V5280)*2/1000,"-")</f>
        <v>-</v>
      </c>
      <c r="X5280" s="20" t="str">
        <f>IFERROR(W5280*H5280,"-")</f>
        <v>-</v>
      </c>
      <c r="Z5280" s="85" t="s">
        <v>82</v>
      </c>
    </row>
    <row r="5281" spans="1:26" ht="6.95" customHeight="1" x14ac:dyDescent="0.3">
      <c r="A5281" s="154"/>
      <c r="B5281" s="157"/>
      <c r="C5281" s="158"/>
      <c r="D5281" s="161"/>
      <c r="E5281" s="162"/>
      <c r="F5281" s="163"/>
      <c r="G5281" s="164"/>
      <c r="H5281" s="165"/>
      <c r="I5281" s="164"/>
      <c r="J5281" s="165"/>
      <c r="K5281" s="164"/>
      <c r="L5281" s="165"/>
      <c r="M5281" s="6"/>
      <c r="N5281" s="32"/>
      <c r="Q5281" s="10" t="str">
        <f>+CONCATENATE(E5280,I5280)</f>
        <v/>
      </c>
      <c r="R5281" s="10">
        <f>+J5280</f>
        <v>0</v>
      </c>
      <c r="S5281" s="11"/>
      <c r="T5281" s="10">
        <f>+E5280</f>
        <v>0</v>
      </c>
      <c r="U5281" s="19" t="str">
        <f>IFERROR(LEFT(I5280,FIND("*",I5280)-1),"-")</f>
        <v>-</v>
      </c>
      <c r="V5281" s="19" t="str">
        <f>IFERROR(RIGHT(I5280,LEN(I5280)-FIND("*",I5280)),"-")</f>
        <v>-</v>
      </c>
      <c r="W5281" s="20" t="str">
        <f t="shared" ref="W5281:W5288" si="2872">IFERROR((U5281+V5281)*2/1000,"-")</f>
        <v>-</v>
      </c>
      <c r="X5281" s="20" t="str">
        <f>IFERROR(W5281*J5280,"-")</f>
        <v>-</v>
      </c>
      <c r="Z5281" s="85" t="s">
        <v>82</v>
      </c>
    </row>
    <row r="5282" spans="1:26" ht="6.95" customHeight="1" x14ac:dyDescent="0.3">
      <c r="A5282" s="154"/>
      <c r="B5282" s="157"/>
      <c r="C5282" s="158"/>
      <c r="D5282" s="161"/>
      <c r="E5282" s="162"/>
      <c r="F5282" s="163"/>
      <c r="G5282" s="164"/>
      <c r="H5282" s="165"/>
      <c r="I5282" s="164"/>
      <c r="J5282" s="165"/>
      <c r="K5282" s="164"/>
      <c r="L5282" s="165"/>
      <c r="M5282" s="6"/>
      <c r="N5282" s="32"/>
      <c r="Q5282" s="10" t="str">
        <f>+CONCATENATE(E5280,K5280)</f>
        <v/>
      </c>
      <c r="R5282" s="10">
        <f>+L5280</f>
        <v>0</v>
      </c>
      <c r="S5282" s="11"/>
      <c r="T5282" s="10">
        <f>+E5280</f>
        <v>0</v>
      </c>
      <c r="U5282" s="19" t="str">
        <f>IFERROR(LEFT(K5280,FIND("*",K5280)-1),"-")</f>
        <v>-</v>
      </c>
      <c r="V5282" s="19" t="str">
        <f>IFERROR(RIGHT(K5280,LEN(K5280)-FIND("*",K5280)),"-")</f>
        <v>-</v>
      </c>
      <c r="W5282" s="20" t="str">
        <f t="shared" si="2872"/>
        <v>-</v>
      </c>
      <c r="X5282" s="20" t="str">
        <f>IFERROR(W5282*L5280,"-")</f>
        <v>-</v>
      </c>
      <c r="Z5282" s="85" t="s">
        <v>82</v>
      </c>
    </row>
    <row r="5283" spans="1:26" ht="6.95" customHeight="1" x14ac:dyDescent="0.3">
      <c r="A5283" s="8"/>
      <c r="B5283" s="157"/>
      <c r="C5283" s="158"/>
      <c r="D5283" s="161" t="s">
        <v>39</v>
      </c>
      <c r="E5283" s="162"/>
      <c r="F5283" s="163" t="s">
        <v>40</v>
      </c>
      <c r="G5283" s="164"/>
      <c r="H5283" s="165"/>
      <c r="I5283" s="164"/>
      <c r="J5283" s="165"/>
      <c r="K5283" s="164"/>
      <c r="L5283" s="165"/>
      <c r="M5283" s="6"/>
      <c r="N5283" s="32"/>
      <c r="Q5283" s="10" t="str">
        <f>+CONCATENATE(E5283,G5283)</f>
        <v/>
      </c>
      <c r="R5283" s="10">
        <f>+H5283</f>
        <v>0</v>
      </c>
      <c r="S5283" s="11"/>
      <c r="T5283" s="10">
        <f>+E5283</f>
        <v>0</v>
      </c>
      <c r="U5283" s="19" t="str">
        <f t="shared" ref="U5283" si="2873">IFERROR(LEFT(G5283,FIND("*",G5283)-1),"-")</f>
        <v>-</v>
      </c>
      <c r="V5283" s="19" t="str">
        <f t="shared" ref="V5283" si="2874">IFERROR(RIGHT(G5283,LEN(G5283)-FIND("*",G5283)),"-")</f>
        <v>-</v>
      </c>
      <c r="W5283" s="20" t="str">
        <f t="shared" si="2872"/>
        <v>-</v>
      </c>
      <c r="X5283" s="20" t="str">
        <f>IFERROR(W5283*H5283,"-")</f>
        <v>-</v>
      </c>
      <c r="Z5283" s="85" t="s">
        <v>82</v>
      </c>
    </row>
    <row r="5284" spans="1:26" ht="6.95" customHeight="1" x14ac:dyDescent="0.3">
      <c r="A5284" s="5"/>
      <c r="B5284" s="157"/>
      <c r="C5284" s="158"/>
      <c r="D5284" s="161"/>
      <c r="E5284" s="162"/>
      <c r="F5284" s="163"/>
      <c r="G5284" s="164"/>
      <c r="H5284" s="165"/>
      <c r="I5284" s="164"/>
      <c r="J5284" s="165"/>
      <c r="K5284" s="164"/>
      <c r="L5284" s="165"/>
      <c r="M5284" s="6"/>
      <c r="N5284" s="32"/>
      <c r="Q5284" s="10" t="str">
        <f>+CONCATENATE(E5283,I5283)</f>
        <v/>
      </c>
      <c r="R5284" s="10">
        <f>+J5283</f>
        <v>0</v>
      </c>
      <c r="S5284" s="11"/>
      <c r="T5284" s="10">
        <f>+E5283</f>
        <v>0</v>
      </c>
      <c r="U5284" s="19" t="str">
        <f>IFERROR(LEFT(I5283,FIND("*",I5283)-1),"-")</f>
        <v>-</v>
      </c>
      <c r="V5284" s="19" t="str">
        <f>IFERROR(RIGHT(I5283,LEN(I5283)-FIND("*",I5283)),"-")</f>
        <v>-</v>
      </c>
      <c r="W5284" s="20" t="str">
        <f t="shared" si="2872"/>
        <v>-</v>
      </c>
      <c r="X5284" s="20" t="str">
        <f>IFERROR(W5284*J5283,"-")</f>
        <v>-</v>
      </c>
      <c r="Z5284" s="85" t="s">
        <v>82</v>
      </c>
    </row>
    <row r="5285" spans="1:26" ht="6.95" customHeight="1" x14ac:dyDescent="0.3">
      <c r="A5285" s="5"/>
      <c r="B5285" s="157"/>
      <c r="C5285" s="158"/>
      <c r="D5285" s="161"/>
      <c r="E5285" s="162"/>
      <c r="F5285" s="163"/>
      <c r="G5285" s="164"/>
      <c r="H5285" s="165"/>
      <c r="I5285" s="164"/>
      <c r="J5285" s="165"/>
      <c r="K5285" s="164"/>
      <c r="L5285" s="165"/>
      <c r="M5285" s="6"/>
      <c r="N5285" s="32"/>
      <c r="Q5285" s="10" t="str">
        <f>+CONCATENATE(E5283,K5283)</f>
        <v/>
      </c>
      <c r="R5285" s="10">
        <f>+L5283</f>
        <v>0</v>
      </c>
      <c r="S5285" s="11"/>
      <c r="T5285" s="10">
        <f>+E5283</f>
        <v>0</v>
      </c>
      <c r="U5285" s="19" t="str">
        <f>IFERROR(LEFT(K5283,FIND("*",K5283)-1),"-")</f>
        <v>-</v>
      </c>
      <c r="V5285" s="19" t="str">
        <f>IFERROR(RIGHT(K5283,LEN(K5283)-FIND("*",K5283)),"-")</f>
        <v>-</v>
      </c>
      <c r="W5285" s="20" t="str">
        <f t="shared" si="2872"/>
        <v>-</v>
      </c>
      <c r="X5285" s="20" t="str">
        <f>IFERROR(W5285*L5283,"-")</f>
        <v>-</v>
      </c>
      <c r="Z5285" s="85" t="s">
        <v>82</v>
      </c>
    </row>
    <row r="5286" spans="1:26" ht="6.95" customHeight="1" x14ac:dyDescent="0.3">
      <c r="A5286" s="8"/>
      <c r="B5286" s="157"/>
      <c r="C5286" s="158"/>
      <c r="D5286" s="161" t="s">
        <v>39</v>
      </c>
      <c r="E5286" s="162"/>
      <c r="F5286" s="163" t="s">
        <v>40</v>
      </c>
      <c r="G5286" s="164"/>
      <c r="H5286" s="165"/>
      <c r="I5286" s="164"/>
      <c r="J5286" s="165"/>
      <c r="K5286" s="164"/>
      <c r="L5286" s="165"/>
      <c r="M5286" s="6"/>
      <c r="N5286" s="32"/>
      <c r="Q5286" s="10" t="str">
        <f>+CONCATENATE(E5286,G5286)</f>
        <v/>
      </c>
      <c r="R5286" s="10">
        <f>+H5286</f>
        <v>0</v>
      </c>
      <c r="S5286" s="11"/>
      <c r="T5286" s="10">
        <f>+E5286</f>
        <v>0</v>
      </c>
      <c r="U5286" s="19" t="str">
        <f t="shared" ref="U5286" si="2875">IFERROR(LEFT(G5286,FIND("*",G5286)-1),"-")</f>
        <v>-</v>
      </c>
      <c r="V5286" s="19" t="str">
        <f t="shared" ref="V5286" si="2876">IFERROR(RIGHT(G5286,LEN(G5286)-FIND("*",G5286)),"-")</f>
        <v>-</v>
      </c>
      <c r="W5286" s="20" t="str">
        <f t="shared" si="2872"/>
        <v>-</v>
      </c>
      <c r="X5286" s="20" t="str">
        <f>IFERROR(W5286*H5286,"-")</f>
        <v>-</v>
      </c>
      <c r="Z5286" s="85" t="s">
        <v>82</v>
      </c>
    </row>
    <row r="5287" spans="1:26" ht="6.95" customHeight="1" x14ac:dyDescent="0.3">
      <c r="A5287" s="5"/>
      <c r="B5287" s="157"/>
      <c r="C5287" s="158"/>
      <c r="D5287" s="161"/>
      <c r="E5287" s="162"/>
      <c r="F5287" s="163"/>
      <c r="G5287" s="164"/>
      <c r="H5287" s="165"/>
      <c r="I5287" s="164"/>
      <c r="J5287" s="165"/>
      <c r="K5287" s="164"/>
      <c r="L5287" s="165"/>
      <c r="M5287" s="6"/>
      <c r="N5287" s="32"/>
      <c r="Q5287" s="10" t="str">
        <f>+CONCATENATE(E5286,I5286)</f>
        <v/>
      </c>
      <c r="R5287" s="10">
        <f>+J5286</f>
        <v>0</v>
      </c>
      <c r="S5287" s="11"/>
      <c r="T5287" s="10">
        <f>+E5286</f>
        <v>0</v>
      </c>
      <c r="U5287" s="19" t="str">
        <f>IFERROR(LEFT(I5286,FIND("*",I5286)-1),"-")</f>
        <v>-</v>
      </c>
      <c r="V5287" s="19" t="str">
        <f>IFERROR(RIGHT(I5286,LEN(I5286)-FIND("*",I5286)),"-")</f>
        <v>-</v>
      </c>
      <c r="W5287" s="20" t="str">
        <f t="shared" si="2872"/>
        <v>-</v>
      </c>
      <c r="X5287" s="20" t="str">
        <f t="shared" ref="X5287" si="2877">IFERROR(W5287*J5286,"-")</f>
        <v>-</v>
      </c>
      <c r="Z5287" s="85" t="s">
        <v>82</v>
      </c>
    </row>
    <row r="5288" spans="1:26" ht="6.95" customHeight="1" x14ac:dyDescent="0.3">
      <c r="A5288" s="5"/>
      <c r="B5288" s="157"/>
      <c r="C5288" s="158"/>
      <c r="D5288" s="161"/>
      <c r="E5288" s="162"/>
      <c r="F5288" s="163"/>
      <c r="G5288" s="164"/>
      <c r="H5288" s="165"/>
      <c r="I5288" s="164"/>
      <c r="J5288" s="165"/>
      <c r="K5288" s="164"/>
      <c r="L5288" s="165"/>
      <c r="M5288" s="6"/>
      <c r="N5288" s="32"/>
      <c r="Q5288" s="10" t="str">
        <f>+CONCATENATE(E5286,K5286)</f>
        <v/>
      </c>
      <c r="R5288" s="10">
        <f>+L5286</f>
        <v>0</v>
      </c>
      <c r="S5288" s="11"/>
      <c r="T5288" s="10">
        <f>+E5286</f>
        <v>0</v>
      </c>
      <c r="U5288" s="19" t="str">
        <f>IFERROR(LEFT(K5286,FIND("*",K5286)-1),"-")</f>
        <v>-</v>
      </c>
      <c r="V5288" s="19" t="str">
        <f>IFERROR(RIGHT(K5286,LEN(K5286)-FIND("*",K5286)),"-")</f>
        <v>-</v>
      </c>
      <c r="W5288" s="20" t="str">
        <f t="shared" si="2872"/>
        <v>-</v>
      </c>
      <c r="X5288" s="20" t="str">
        <f>IFERROR(W5288*L5286,"-")</f>
        <v>-</v>
      </c>
      <c r="Z5288" s="85" t="s">
        <v>82</v>
      </c>
    </row>
    <row r="5289" spans="1:26" ht="21" customHeight="1" thickBot="1" x14ac:dyDescent="0.35">
      <c r="A5289" s="5"/>
      <c r="B5289" s="159"/>
      <c r="C5289" s="160"/>
      <c r="D5289" s="166" t="s">
        <v>43</v>
      </c>
      <c r="E5289" s="167"/>
      <c r="F5289" s="167"/>
      <c r="G5289" s="168"/>
      <c r="H5289" s="168"/>
      <c r="I5289" s="168"/>
      <c r="J5289" s="168"/>
      <c r="K5289" s="168"/>
      <c r="L5289" s="168"/>
      <c r="M5289" s="7"/>
      <c r="N5289" s="32"/>
      <c r="Z5289" s="86" t="s">
        <v>81</v>
      </c>
    </row>
    <row r="5290" spans="1:26" ht="9.9499999999999993" customHeight="1" thickBot="1" x14ac:dyDescent="0.35">
      <c r="B5290" s="9"/>
      <c r="C5290" s="109"/>
      <c r="D5290" s="51"/>
      <c r="E5290" s="12"/>
      <c r="F5290" s="51"/>
      <c r="G5290" s="14"/>
      <c r="H5290" s="14"/>
      <c r="I5290" s="14"/>
      <c r="J5290" s="14"/>
      <c r="K5290" s="14"/>
      <c r="L5290" s="14"/>
      <c r="M5290" s="9"/>
      <c r="N5290" s="32"/>
      <c r="U5290" s="18"/>
      <c r="V5290" s="18"/>
      <c r="Z5290" s="85" t="s">
        <v>82</v>
      </c>
    </row>
    <row r="5291" spans="1:26" ht="6.95" customHeight="1" x14ac:dyDescent="0.3">
      <c r="A5291" s="154">
        <f>+A5280+1</f>
        <v>1280</v>
      </c>
      <c r="B5291" s="155"/>
      <c r="C5291" s="156"/>
      <c r="D5291" s="161" t="s">
        <v>39</v>
      </c>
      <c r="E5291" s="162"/>
      <c r="F5291" s="163" t="s">
        <v>40</v>
      </c>
      <c r="G5291" s="164"/>
      <c r="H5291" s="165"/>
      <c r="I5291" s="164"/>
      <c r="J5291" s="165"/>
      <c r="K5291" s="164"/>
      <c r="L5291" s="165"/>
      <c r="M5291" s="6"/>
      <c r="N5291" s="32"/>
      <c r="Q5291" s="10" t="str">
        <f>+CONCATENATE(E5291,G5291)</f>
        <v/>
      </c>
      <c r="R5291" s="10">
        <f>+H5291</f>
        <v>0</v>
      </c>
      <c r="S5291" s="11"/>
      <c r="T5291" s="10">
        <f>+E5291</f>
        <v>0</v>
      </c>
      <c r="U5291" s="19" t="str">
        <f>IFERROR(LEFT(G5291,FIND("*",G5291)-1),"-")</f>
        <v>-</v>
      </c>
      <c r="V5291" s="19" t="str">
        <f>IFERROR(RIGHT(G5291,LEN(G5291)-FIND("*",G5291)),"-")</f>
        <v>-</v>
      </c>
      <c r="W5291" s="20" t="str">
        <f>IFERROR((U5291+V5291)*2/1000,"-")</f>
        <v>-</v>
      </c>
      <c r="X5291" s="20" t="str">
        <f>IFERROR(W5291*H5291,"-")</f>
        <v>-</v>
      </c>
      <c r="Z5291" s="85" t="s">
        <v>82</v>
      </c>
    </row>
    <row r="5292" spans="1:26" ht="6.95" customHeight="1" x14ac:dyDescent="0.3">
      <c r="A5292" s="154"/>
      <c r="B5292" s="157"/>
      <c r="C5292" s="158"/>
      <c r="D5292" s="161"/>
      <c r="E5292" s="162"/>
      <c r="F5292" s="163"/>
      <c r="G5292" s="164"/>
      <c r="H5292" s="165"/>
      <c r="I5292" s="164"/>
      <c r="J5292" s="165"/>
      <c r="K5292" s="164"/>
      <c r="L5292" s="165"/>
      <c r="M5292" s="6"/>
      <c r="N5292" s="32"/>
      <c r="Q5292" s="10" t="str">
        <f>+CONCATENATE(E5291,I5291)</f>
        <v/>
      </c>
      <c r="R5292" s="10">
        <f>+J5291</f>
        <v>0</v>
      </c>
      <c r="S5292" s="11"/>
      <c r="T5292" s="10">
        <f>+E5291</f>
        <v>0</v>
      </c>
      <c r="U5292" s="19" t="str">
        <f>IFERROR(LEFT(I5291,FIND("*",I5291)-1),"-")</f>
        <v>-</v>
      </c>
      <c r="V5292" s="19" t="str">
        <f>IFERROR(RIGHT(I5291,LEN(I5291)-FIND("*",I5291)),"-")</f>
        <v>-</v>
      </c>
      <c r="W5292" s="20" t="str">
        <f t="shared" ref="W5292:W5299" si="2878">IFERROR((U5292+V5292)*2/1000,"-")</f>
        <v>-</v>
      </c>
      <c r="X5292" s="20" t="str">
        <f>IFERROR(W5292*J5291,"-")</f>
        <v>-</v>
      </c>
      <c r="Z5292" s="85" t="s">
        <v>82</v>
      </c>
    </row>
    <row r="5293" spans="1:26" ht="6.95" customHeight="1" x14ac:dyDescent="0.3">
      <c r="A5293" s="154"/>
      <c r="B5293" s="157"/>
      <c r="C5293" s="158"/>
      <c r="D5293" s="161"/>
      <c r="E5293" s="162"/>
      <c r="F5293" s="163"/>
      <c r="G5293" s="164"/>
      <c r="H5293" s="165"/>
      <c r="I5293" s="164"/>
      <c r="J5293" s="165"/>
      <c r="K5293" s="164"/>
      <c r="L5293" s="165"/>
      <c r="M5293" s="6"/>
      <c r="N5293" s="32"/>
      <c r="Q5293" s="10" t="str">
        <f>+CONCATENATE(E5291,K5291)</f>
        <v/>
      </c>
      <c r="R5293" s="10">
        <f>+L5291</f>
        <v>0</v>
      </c>
      <c r="S5293" s="11"/>
      <c r="T5293" s="10">
        <f>+E5291</f>
        <v>0</v>
      </c>
      <c r="U5293" s="19" t="str">
        <f>IFERROR(LEFT(K5291,FIND("*",K5291)-1),"-")</f>
        <v>-</v>
      </c>
      <c r="V5293" s="19" t="str">
        <f>IFERROR(RIGHT(K5291,LEN(K5291)-FIND("*",K5291)),"-")</f>
        <v>-</v>
      </c>
      <c r="W5293" s="20" t="str">
        <f t="shared" si="2878"/>
        <v>-</v>
      </c>
      <c r="X5293" s="20" t="str">
        <f>IFERROR(W5293*L5291,"-")</f>
        <v>-</v>
      </c>
      <c r="Z5293" s="85" t="s">
        <v>82</v>
      </c>
    </row>
    <row r="5294" spans="1:26" ht="6.95" customHeight="1" x14ac:dyDescent="0.3">
      <c r="A5294" s="8"/>
      <c r="B5294" s="157"/>
      <c r="C5294" s="158"/>
      <c r="D5294" s="161" t="s">
        <v>39</v>
      </c>
      <c r="E5294" s="162"/>
      <c r="F5294" s="163" t="s">
        <v>40</v>
      </c>
      <c r="G5294" s="164"/>
      <c r="H5294" s="165"/>
      <c r="I5294" s="164"/>
      <c r="J5294" s="165"/>
      <c r="K5294" s="164"/>
      <c r="L5294" s="165"/>
      <c r="M5294" s="6"/>
      <c r="N5294" s="32"/>
      <c r="Q5294" s="10" t="str">
        <f>+CONCATENATE(E5294,G5294)</f>
        <v/>
      </c>
      <c r="R5294" s="10">
        <f>+H5294</f>
        <v>0</v>
      </c>
      <c r="S5294" s="11"/>
      <c r="T5294" s="10">
        <f>+E5294</f>
        <v>0</v>
      </c>
      <c r="U5294" s="19" t="str">
        <f t="shared" ref="U5294" si="2879">IFERROR(LEFT(G5294,FIND("*",G5294)-1),"-")</f>
        <v>-</v>
      </c>
      <c r="V5294" s="19" t="str">
        <f t="shared" ref="V5294" si="2880">IFERROR(RIGHT(G5294,LEN(G5294)-FIND("*",G5294)),"-")</f>
        <v>-</v>
      </c>
      <c r="W5294" s="20" t="str">
        <f t="shared" si="2878"/>
        <v>-</v>
      </c>
      <c r="X5294" s="20" t="str">
        <f>IFERROR(W5294*H5294,"-")</f>
        <v>-</v>
      </c>
      <c r="Z5294" s="85" t="s">
        <v>82</v>
      </c>
    </row>
    <row r="5295" spans="1:26" ht="6.95" customHeight="1" x14ac:dyDescent="0.3">
      <c r="A5295" s="5"/>
      <c r="B5295" s="157"/>
      <c r="C5295" s="158"/>
      <c r="D5295" s="161"/>
      <c r="E5295" s="162"/>
      <c r="F5295" s="163"/>
      <c r="G5295" s="164"/>
      <c r="H5295" s="165"/>
      <c r="I5295" s="164"/>
      <c r="J5295" s="165"/>
      <c r="K5295" s="164"/>
      <c r="L5295" s="165"/>
      <c r="M5295" s="6"/>
      <c r="N5295" s="32"/>
      <c r="Q5295" s="10" t="str">
        <f>+CONCATENATE(E5294,I5294)</f>
        <v/>
      </c>
      <c r="R5295" s="10">
        <f>+J5294</f>
        <v>0</v>
      </c>
      <c r="S5295" s="11"/>
      <c r="T5295" s="10">
        <f>+E5294</f>
        <v>0</v>
      </c>
      <c r="U5295" s="19" t="str">
        <f>IFERROR(LEFT(I5294,FIND("*",I5294)-1),"-")</f>
        <v>-</v>
      </c>
      <c r="V5295" s="19" t="str">
        <f>IFERROR(RIGHT(I5294,LEN(I5294)-FIND("*",I5294)),"-")</f>
        <v>-</v>
      </c>
      <c r="W5295" s="20" t="str">
        <f t="shared" si="2878"/>
        <v>-</v>
      </c>
      <c r="X5295" s="20" t="str">
        <f>IFERROR(W5295*J5294,"-")</f>
        <v>-</v>
      </c>
      <c r="Z5295" s="85" t="s">
        <v>82</v>
      </c>
    </row>
    <row r="5296" spans="1:26" ht="6.95" customHeight="1" x14ac:dyDescent="0.3">
      <c r="A5296" s="5"/>
      <c r="B5296" s="157"/>
      <c r="C5296" s="158"/>
      <c r="D5296" s="161"/>
      <c r="E5296" s="162"/>
      <c r="F5296" s="163"/>
      <c r="G5296" s="164"/>
      <c r="H5296" s="165"/>
      <c r="I5296" s="164"/>
      <c r="J5296" s="165"/>
      <c r="K5296" s="164"/>
      <c r="L5296" s="165"/>
      <c r="M5296" s="6"/>
      <c r="N5296" s="32"/>
      <c r="Q5296" s="10" t="str">
        <f>+CONCATENATE(E5294,K5294)</f>
        <v/>
      </c>
      <c r="R5296" s="10">
        <f>+L5294</f>
        <v>0</v>
      </c>
      <c r="S5296" s="11"/>
      <c r="T5296" s="10">
        <f>+E5294</f>
        <v>0</v>
      </c>
      <c r="U5296" s="19" t="str">
        <f>IFERROR(LEFT(K5294,FIND("*",K5294)-1),"-")</f>
        <v>-</v>
      </c>
      <c r="V5296" s="19" t="str">
        <f>IFERROR(RIGHT(K5294,LEN(K5294)-FIND("*",K5294)),"-")</f>
        <v>-</v>
      </c>
      <c r="W5296" s="20" t="str">
        <f t="shared" si="2878"/>
        <v>-</v>
      </c>
      <c r="X5296" s="20" t="str">
        <f>IFERROR(W5296*L5294,"-")</f>
        <v>-</v>
      </c>
      <c r="Z5296" s="85" t="s">
        <v>82</v>
      </c>
    </row>
    <row r="5297" spans="1:26" ht="6.95" customHeight="1" x14ac:dyDescent="0.3">
      <c r="A5297" s="8"/>
      <c r="B5297" s="157"/>
      <c r="C5297" s="158"/>
      <c r="D5297" s="161" t="s">
        <v>39</v>
      </c>
      <c r="E5297" s="162"/>
      <c r="F5297" s="163" t="s">
        <v>40</v>
      </c>
      <c r="G5297" s="164"/>
      <c r="H5297" s="165"/>
      <c r="I5297" s="164"/>
      <c r="J5297" s="165"/>
      <c r="K5297" s="164"/>
      <c r="L5297" s="165"/>
      <c r="M5297" s="6"/>
      <c r="N5297" s="32"/>
      <c r="Q5297" s="10" t="str">
        <f>+CONCATENATE(E5297,G5297)</f>
        <v/>
      </c>
      <c r="R5297" s="10">
        <f>+H5297</f>
        <v>0</v>
      </c>
      <c r="S5297" s="11"/>
      <c r="T5297" s="10">
        <f>+E5297</f>
        <v>0</v>
      </c>
      <c r="U5297" s="19" t="str">
        <f t="shared" ref="U5297" si="2881">IFERROR(LEFT(G5297,FIND("*",G5297)-1),"-")</f>
        <v>-</v>
      </c>
      <c r="V5297" s="19" t="str">
        <f t="shared" ref="V5297" si="2882">IFERROR(RIGHT(G5297,LEN(G5297)-FIND("*",G5297)),"-")</f>
        <v>-</v>
      </c>
      <c r="W5297" s="20" t="str">
        <f t="shared" si="2878"/>
        <v>-</v>
      </c>
      <c r="X5297" s="20" t="str">
        <f>IFERROR(W5297*H5297,"-")</f>
        <v>-</v>
      </c>
      <c r="Z5297" s="85" t="s">
        <v>82</v>
      </c>
    </row>
    <row r="5298" spans="1:26" ht="6.95" customHeight="1" x14ac:dyDescent="0.3">
      <c r="A5298" s="5"/>
      <c r="B5298" s="157"/>
      <c r="C5298" s="158"/>
      <c r="D5298" s="161"/>
      <c r="E5298" s="162"/>
      <c r="F5298" s="163"/>
      <c r="G5298" s="164"/>
      <c r="H5298" s="165"/>
      <c r="I5298" s="164"/>
      <c r="J5298" s="165"/>
      <c r="K5298" s="164"/>
      <c r="L5298" s="165"/>
      <c r="M5298" s="6"/>
      <c r="N5298" s="32"/>
      <c r="Q5298" s="10" t="str">
        <f>+CONCATENATE(E5297,I5297)</f>
        <v/>
      </c>
      <c r="R5298" s="10">
        <f>+J5297</f>
        <v>0</v>
      </c>
      <c r="S5298" s="11"/>
      <c r="T5298" s="10">
        <f>+E5297</f>
        <v>0</v>
      </c>
      <c r="U5298" s="19" t="str">
        <f>IFERROR(LEFT(I5297,FIND("*",I5297)-1),"-")</f>
        <v>-</v>
      </c>
      <c r="V5298" s="19" t="str">
        <f>IFERROR(RIGHT(I5297,LEN(I5297)-FIND("*",I5297)),"-")</f>
        <v>-</v>
      </c>
      <c r="W5298" s="20" t="str">
        <f t="shared" si="2878"/>
        <v>-</v>
      </c>
      <c r="X5298" s="20" t="str">
        <f t="shared" ref="X5298" si="2883">IFERROR(W5298*J5297,"-")</f>
        <v>-</v>
      </c>
      <c r="Z5298" s="85" t="s">
        <v>82</v>
      </c>
    </row>
    <row r="5299" spans="1:26" ht="6.95" customHeight="1" x14ac:dyDescent="0.3">
      <c r="A5299" s="5"/>
      <c r="B5299" s="157"/>
      <c r="C5299" s="158"/>
      <c r="D5299" s="161"/>
      <c r="E5299" s="162"/>
      <c r="F5299" s="163"/>
      <c r="G5299" s="164"/>
      <c r="H5299" s="165"/>
      <c r="I5299" s="164"/>
      <c r="J5299" s="165"/>
      <c r="K5299" s="164"/>
      <c r="L5299" s="165"/>
      <c r="M5299" s="6"/>
      <c r="N5299" s="32"/>
      <c r="Q5299" s="10" t="str">
        <f>+CONCATENATE(E5297,K5297)</f>
        <v/>
      </c>
      <c r="R5299" s="10">
        <f>+L5297</f>
        <v>0</v>
      </c>
      <c r="S5299" s="11"/>
      <c r="T5299" s="10">
        <f>+E5297</f>
        <v>0</v>
      </c>
      <c r="U5299" s="19" t="str">
        <f>IFERROR(LEFT(K5297,FIND("*",K5297)-1),"-")</f>
        <v>-</v>
      </c>
      <c r="V5299" s="19" t="str">
        <f>IFERROR(RIGHT(K5297,LEN(K5297)-FIND("*",K5297)),"-")</f>
        <v>-</v>
      </c>
      <c r="W5299" s="20" t="str">
        <f t="shared" si="2878"/>
        <v>-</v>
      </c>
      <c r="X5299" s="20" t="str">
        <f>IFERROR(W5299*L5297,"-")</f>
        <v>-</v>
      </c>
      <c r="Z5299" s="85" t="s">
        <v>82</v>
      </c>
    </row>
    <row r="5300" spans="1:26" ht="21" customHeight="1" thickBot="1" x14ac:dyDescent="0.35">
      <c r="A5300" s="5"/>
      <c r="B5300" s="159"/>
      <c r="C5300" s="160"/>
      <c r="D5300" s="166" t="s">
        <v>43</v>
      </c>
      <c r="E5300" s="167"/>
      <c r="F5300" s="167"/>
      <c r="G5300" s="168"/>
      <c r="H5300" s="168"/>
      <c r="I5300" s="168"/>
      <c r="J5300" s="168"/>
      <c r="K5300" s="168"/>
      <c r="L5300" s="168"/>
      <c r="M5300" s="7"/>
      <c r="N5300" s="32"/>
      <c r="Z5300" s="86" t="s">
        <v>81</v>
      </c>
    </row>
    <row r="5301" spans="1:26" ht="9.9499999999999993" customHeight="1" thickBot="1" x14ac:dyDescent="0.35">
      <c r="B5301" s="9"/>
      <c r="C5301" s="109"/>
      <c r="D5301" s="51"/>
      <c r="E5301" s="12"/>
      <c r="F5301" s="51"/>
      <c r="G5301" s="14"/>
      <c r="H5301" s="14"/>
      <c r="I5301" s="14"/>
      <c r="J5301" s="14"/>
      <c r="K5301" s="14"/>
      <c r="L5301" s="14"/>
      <c r="M5301" s="9"/>
      <c r="N5301" s="32"/>
      <c r="U5301" s="18"/>
      <c r="V5301" s="18"/>
      <c r="Z5301" s="85" t="s">
        <v>82</v>
      </c>
    </row>
    <row r="5302" spans="1:26" ht="6.95" customHeight="1" x14ac:dyDescent="0.3">
      <c r="A5302" s="154">
        <f>+A5291+1</f>
        <v>1281</v>
      </c>
      <c r="B5302" s="155"/>
      <c r="C5302" s="156"/>
      <c r="D5302" s="161" t="s">
        <v>39</v>
      </c>
      <c r="E5302" s="162"/>
      <c r="F5302" s="163" t="s">
        <v>40</v>
      </c>
      <c r="G5302" s="164"/>
      <c r="H5302" s="165"/>
      <c r="I5302" s="164"/>
      <c r="J5302" s="165"/>
      <c r="K5302" s="164"/>
      <c r="L5302" s="165"/>
      <c r="M5302" s="6"/>
      <c r="N5302" s="32"/>
      <c r="Q5302" s="10" t="str">
        <f>+CONCATENATE(E5302,G5302)</f>
        <v/>
      </c>
      <c r="R5302" s="10">
        <f>+H5302</f>
        <v>0</v>
      </c>
      <c r="S5302" s="11"/>
      <c r="T5302" s="10">
        <f>+E5302</f>
        <v>0</v>
      </c>
      <c r="U5302" s="19" t="str">
        <f>IFERROR(LEFT(G5302,FIND("*",G5302)-1),"-")</f>
        <v>-</v>
      </c>
      <c r="V5302" s="19" t="str">
        <f>IFERROR(RIGHT(G5302,LEN(G5302)-FIND("*",G5302)),"-")</f>
        <v>-</v>
      </c>
      <c r="W5302" s="20" t="str">
        <f>IFERROR((U5302+V5302)*2/1000,"-")</f>
        <v>-</v>
      </c>
      <c r="X5302" s="20" t="str">
        <f>IFERROR(W5302*H5302,"-")</f>
        <v>-</v>
      </c>
      <c r="Z5302" s="85" t="s">
        <v>82</v>
      </c>
    </row>
    <row r="5303" spans="1:26" ht="6.95" customHeight="1" x14ac:dyDescent="0.3">
      <c r="A5303" s="154"/>
      <c r="B5303" s="157"/>
      <c r="C5303" s="158"/>
      <c r="D5303" s="161"/>
      <c r="E5303" s="162"/>
      <c r="F5303" s="163"/>
      <c r="G5303" s="164"/>
      <c r="H5303" s="165"/>
      <c r="I5303" s="164"/>
      <c r="J5303" s="165"/>
      <c r="K5303" s="164"/>
      <c r="L5303" s="165"/>
      <c r="M5303" s="6"/>
      <c r="N5303" s="32"/>
      <c r="Q5303" s="10" t="str">
        <f>+CONCATENATE(E5302,I5302)</f>
        <v/>
      </c>
      <c r="R5303" s="10">
        <f>+J5302</f>
        <v>0</v>
      </c>
      <c r="S5303" s="11"/>
      <c r="T5303" s="10">
        <f>+E5302</f>
        <v>0</v>
      </c>
      <c r="U5303" s="19" t="str">
        <f>IFERROR(LEFT(I5302,FIND("*",I5302)-1),"-")</f>
        <v>-</v>
      </c>
      <c r="V5303" s="19" t="str">
        <f>IFERROR(RIGHT(I5302,LEN(I5302)-FIND("*",I5302)),"-")</f>
        <v>-</v>
      </c>
      <c r="W5303" s="20" t="str">
        <f t="shared" ref="W5303:W5310" si="2884">IFERROR((U5303+V5303)*2/1000,"-")</f>
        <v>-</v>
      </c>
      <c r="X5303" s="20" t="str">
        <f>IFERROR(W5303*J5302,"-")</f>
        <v>-</v>
      </c>
      <c r="Z5303" s="85" t="s">
        <v>82</v>
      </c>
    </row>
    <row r="5304" spans="1:26" ht="6.95" customHeight="1" x14ac:dyDescent="0.3">
      <c r="A5304" s="154"/>
      <c r="B5304" s="157"/>
      <c r="C5304" s="158"/>
      <c r="D5304" s="161"/>
      <c r="E5304" s="162"/>
      <c r="F5304" s="163"/>
      <c r="G5304" s="164"/>
      <c r="H5304" s="165"/>
      <c r="I5304" s="164"/>
      <c r="J5304" s="165"/>
      <c r="K5304" s="164"/>
      <c r="L5304" s="165"/>
      <c r="M5304" s="6"/>
      <c r="N5304" s="32"/>
      <c r="Q5304" s="10" t="str">
        <f>+CONCATENATE(E5302,K5302)</f>
        <v/>
      </c>
      <c r="R5304" s="10">
        <f>+L5302</f>
        <v>0</v>
      </c>
      <c r="S5304" s="11"/>
      <c r="T5304" s="10">
        <f>+E5302</f>
        <v>0</v>
      </c>
      <c r="U5304" s="19" t="str">
        <f>IFERROR(LEFT(K5302,FIND("*",K5302)-1),"-")</f>
        <v>-</v>
      </c>
      <c r="V5304" s="19" t="str">
        <f>IFERROR(RIGHT(K5302,LEN(K5302)-FIND("*",K5302)),"-")</f>
        <v>-</v>
      </c>
      <c r="W5304" s="20" t="str">
        <f t="shared" si="2884"/>
        <v>-</v>
      </c>
      <c r="X5304" s="20" t="str">
        <f>IFERROR(W5304*L5302,"-")</f>
        <v>-</v>
      </c>
      <c r="Z5304" s="85" t="s">
        <v>82</v>
      </c>
    </row>
    <row r="5305" spans="1:26" ht="6.95" customHeight="1" x14ac:dyDescent="0.3">
      <c r="A5305" s="8"/>
      <c r="B5305" s="157"/>
      <c r="C5305" s="158"/>
      <c r="D5305" s="161" t="s">
        <v>39</v>
      </c>
      <c r="E5305" s="162"/>
      <c r="F5305" s="163" t="s">
        <v>40</v>
      </c>
      <c r="G5305" s="164"/>
      <c r="H5305" s="165"/>
      <c r="I5305" s="164"/>
      <c r="J5305" s="165"/>
      <c r="K5305" s="164"/>
      <c r="L5305" s="165"/>
      <c r="M5305" s="6"/>
      <c r="N5305" s="32"/>
      <c r="Q5305" s="10" t="str">
        <f>+CONCATENATE(E5305,G5305)</f>
        <v/>
      </c>
      <c r="R5305" s="10">
        <f>+H5305</f>
        <v>0</v>
      </c>
      <c r="S5305" s="11"/>
      <c r="T5305" s="10">
        <f>+E5305</f>
        <v>0</v>
      </c>
      <c r="U5305" s="19" t="str">
        <f t="shared" ref="U5305" si="2885">IFERROR(LEFT(G5305,FIND("*",G5305)-1),"-")</f>
        <v>-</v>
      </c>
      <c r="V5305" s="19" t="str">
        <f t="shared" ref="V5305" si="2886">IFERROR(RIGHT(G5305,LEN(G5305)-FIND("*",G5305)),"-")</f>
        <v>-</v>
      </c>
      <c r="W5305" s="20" t="str">
        <f t="shared" si="2884"/>
        <v>-</v>
      </c>
      <c r="X5305" s="20" t="str">
        <f>IFERROR(W5305*H5305,"-")</f>
        <v>-</v>
      </c>
      <c r="Z5305" s="85" t="s">
        <v>82</v>
      </c>
    </row>
    <row r="5306" spans="1:26" ht="6.95" customHeight="1" x14ac:dyDescent="0.3">
      <c r="A5306" s="5"/>
      <c r="B5306" s="157"/>
      <c r="C5306" s="158"/>
      <c r="D5306" s="161"/>
      <c r="E5306" s="162"/>
      <c r="F5306" s="163"/>
      <c r="G5306" s="164"/>
      <c r="H5306" s="165"/>
      <c r="I5306" s="164"/>
      <c r="J5306" s="165"/>
      <c r="K5306" s="164"/>
      <c r="L5306" s="165"/>
      <c r="M5306" s="6"/>
      <c r="N5306" s="32"/>
      <c r="Q5306" s="10" t="str">
        <f>+CONCATENATE(E5305,I5305)</f>
        <v/>
      </c>
      <c r="R5306" s="10">
        <f>+J5305</f>
        <v>0</v>
      </c>
      <c r="S5306" s="11"/>
      <c r="T5306" s="10">
        <f>+E5305</f>
        <v>0</v>
      </c>
      <c r="U5306" s="19" t="str">
        <f>IFERROR(LEFT(I5305,FIND("*",I5305)-1),"-")</f>
        <v>-</v>
      </c>
      <c r="V5306" s="19" t="str">
        <f>IFERROR(RIGHT(I5305,LEN(I5305)-FIND("*",I5305)),"-")</f>
        <v>-</v>
      </c>
      <c r="W5306" s="20" t="str">
        <f t="shared" si="2884"/>
        <v>-</v>
      </c>
      <c r="X5306" s="20" t="str">
        <f>IFERROR(W5306*J5305,"-")</f>
        <v>-</v>
      </c>
      <c r="Z5306" s="85" t="s">
        <v>82</v>
      </c>
    </row>
    <row r="5307" spans="1:26" ht="6.95" customHeight="1" x14ac:dyDescent="0.3">
      <c r="A5307" s="5"/>
      <c r="B5307" s="157"/>
      <c r="C5307" s="158"/>
      <c r="D5307" s="161"/>
      <c r="E5307" s="162"/>
      <c r="F5307" s="163"/>
      <c r="G5307" s="164"/>
      <c r="H5307" s="165"/>
      <c r="I5307" s="164"/>
      <c r="J5307" s="165"/>
      <c r="K5307" s="164"/>
      <c r="L5307" s="165"/>
      <c r="M5307" s="6"/>
      <c r="N5307" s="32"/>
      <c r="Q5307" s="10" t="str">
        <f>+CONCATENATE(E5305,K5305)</f>
        <v/>
      </c>
      <c r="R5307" s="10">
        <f>+L5305</f>
        <v>0</v>
      </c>
      <c r="S5307" s="11"/>
      <c r="T5307" s="10">
        <f>+E5305</f>
        <v>0</v>
      </c>
      <c r="U5307" s="19" t="str">
        <f>IFERROR(LEFT(K5305,FIND("*",K5305)-1),"-")</f>
        <v>-</v>
      </c>
      <c r="V5307" s="19" t="str">
        <f>IFERROR(RIGHT(K5305,LEN(K5305)-FIND("*",K5305)),"-")</f>
        <v>-</v>
      </c>
      <c r="W5307" s="20" t="str">
        <f t="shared" si="2884"/>
        <v>-</v>
      </c>
      <c r="X5307" s="20" t="str">
        <f>IFERROR(W5307*L5305,"-")</f>
        <v>-</v>
      </c>
      <c r="Z5307" s="85" t="s">
        <v>82</v>
      </c>
    </row>
    <row r="5308" spans="1:26" ht="6.95" customHeight="1" x14ac:dyDescent="0.3">
      <c r="A5308" s="8"/>
      <c r="B5308" s="157"/>
      <c r="C5308" s="158"/>
      <c r="D5308" s="161" t="s">
        <v>39</v>
      </c>
      <c r="E5308" s="162"/>
      <c r="F5308" s="163" t="s">
        <v>40</v>
      </c>
      <c r="G5308" s="164"/>
      <c r="H5308" s="165"/>
      <c r="I5308" s="164"/>
      <c r="J5308" s="165"/>
      <c r="K5308" s="164"/>
      <c r="L5308" s="165"/>
      <c r="M5308" s="6"/>
      <c r="N5308" s="32"/>
      <c r="Q5308" s="10" t="str">
        <f>+CONCATENATE(E5308,G5308)</f>
        <v/>
      </c>
      <c r="R5308" s="10">
        <f>+H5308</f>
        <v>0</v>
      </c>
      <c r="S5308" s="11"/>
      <c r="T5308" s="10">
        <f>+E5308</f>
        <v>0</v>
      </c>
      <c r="U5308" s="19" t="str">
        <f t="shared" ref="U5308" si="2887">IFERROR(LEFT(G5308,FIND("*",G5308)-1),"-")</f>
        <v>-</v>
      </c>
      <c r="V5308" s="19" t="str">
        <f t="shared" ref="V5308" si="2888">IFERROR(RIGHT(G5308,LEN(G5308)-FIND("*",G5308)),"-")</f>
        <v>-</v>
      </c>
      <c r="W5308" s="20" t="str">
        <f t="shared" si="2884"/>
        <v>-</v>
      </c>
      <c r="X5308" s="20" t="str">
        <f>IFERROR(W5308*H5308,"-")</f>
        <v>-</v>
      </c>
      <c r="Z5308" s="85" t="s">
        <v>82</v>
      </c>
    </row>
    <row r="5309" spans="1:26" ht="6.95" customHeight="1" x14ac:dyDescent="0.3">
      <c r="A5309" s="5"/>
      <c r="B5309" s="157"/>
      <c r="C5309" s="158"/>
      <c r="D5309" s="161"/>
      <c r="E5309" s="162"/>
      <c r="F5309" s="163"/>
      <c r="G5309" s="164"/>
      <c r="H5309" s="165"/>
      <c r="I5309" s="164"/>
      <c r="J5309" s="165"/>
      <c r="K5309" s="164"/>
      <c r="L5309" s="165"/>
      <c r="M5309" s="6"/>
      <c r="N5309" s="32"/>
      <c r="Q5309" s="10" t="str">
        <f>+CONCATENATE(E5308,I5308)</f>
        <v/>
      </c>
      <c r="R5309" s="10">
        <f>+J5308</f>
        <v>0</v>
      </c>
      <c r="S5309" s="11"/>
      <c r="T5309" s="10">
        <f>+E5308</f>
        <v>0</v>
      </c>
      <c r="U5309" s="19" t="str">
        <f>IFERROR(LEFT(I5308,FIND("*",I5308)-1),"-")</f>
        <v>-</v>
      </c>
      <c r="V5309" s="19" t="str">
        <f>IFERROR(RIGHT(I5308,LEN(I5308)-FIND("*",I5308)),"-")</f>
        <v>-</v>
      </c>
      <c r="W5309" s="20" t="str">
        <f t="shared" si="2884"/>
        <v>-</v>
      </c>
      <c r="X5309" s="20" t="str">
        <f t="shared" ref="X5309" si="2889">IFERROR(W5309*J5308,"-")</f>
        <v>-</v>
      </c>
      <c r="Z5309" s="85" t="s">
        <v>82</v>
      </c>
    </row>
    <row r="5310" spans="1:26" ht="6.95" customHeight="1" x14ac:dyDescent="0.3">
      <c r="A5310" s="5"/>
      <c r="B5310" s="157"/>
      <c r="C5310" s="158"/>
      <c r="D5310" s="161"/>
      <c r="E5310" s="162"/>
      <c r="F5310" s="163"/>
      <c r="G5310" s="164"/>
      <c r="H5310" s="165"/>
      <c r="I5310" s="164"/>
      <c r="J5310" s="165"/>
      <c r="K5310" s="164"/>
      <c r="L5310" s="165"/>
      <c r="M5310" s="6"/>
      <c r="N5310" s="32"/>
      <c r="Q5310" s="10" t="str">
        <f>+CONCATENATE(E5308,K5308)</f>
        <v/>
      </c>
      <c r="R5310" s="10">
        <f>+L5308</f>
        <v>0</v>
      </c>
      <c r="S5310" s="11"/>
      <c r="T5310" s="10">
        <f>+E5308</f>
        <v>0</v>
      </c>
      <c r="U5310" s="19" t="str">
        <f>IFERROR(LEFT(K5308,FIND("*",K5308)-1),"-")</f>
        <v>-</v>
      </c>
      <c r="V5310" s="19" t="str">
        <f>IFERROR(RIGHT(K5308,LEN(K5308)-FIND("*",K5308)),"-")</f>
        <v>-</v>
      </c>
      <c r="W5310" s="20" t="str">
        <f t="shared" si="2884"/>
        <v>-</v>
      </c>
      <c r="X5310" s="20" t="str">
        <f>IFERROR(W5310*L5308,"-")</f>
        <v>-</v>
      </c>
      <c r="Z5310" s="85" t="s">
        <v>82</v>
      </c>
    </row>
    <row r="5311" spans="1:26" ht="21" customHeight="1" thickBot="1" x14ac:dyDescent="0.35">
      <c r="A5311" s="5"/>
      <c r="B5311" s="159"/>
      <c r="C5311" s="160"/>
      <c r="D5311" s="166" t="s">
        <v>43</v>
      </c>
      <c r="E5311" s="167"/>
      <c r="F5311" s="167"/>
      <c r="G5311" s="168"/>
      <c r="H5311" s="168"/>
      <c r="I5311" s="168"/>
      <c r="J5311" s="168"/>
      <c r="K5311" s="168"/>
      <c r="L5311" s="168"/>
      <c r="M5311" s="7"/>
      <c r="N5311" s="32"/>
      <c r="Z5311" s="86" t="s">
        <v>81</v>
      </c>
    </row>
    <row r="5312" spans="1:26" ht="9.9499999999999993" customHeight="1" thickBot="1" x14ac:dyDescent="0.35">
      <c r="B5312" s="9"/>
      <c r="C5312" s="109"/>
      <c r="D5312" s="51"/>
      <c r="E5312" s="12"/>
      <c r="F5312" s="51"/>
      <c r="G5312" s="14"/>
      <c r="H5312" s="14"/>
      <c r="I5312" s="14"/>
      <c r="J5312" s="14"/>
      <c r="K5312" s="14"/>
      <c r="L5312" s="14"/>
      <c r="M5312" s="9"/>
      <c r="N5312" s="32"/>
      <c r="U5312" s="18"/>
      <c r="V5312" s="18"/>
      <c r="Z5312" s="85" t="s">
        <v>82</v>
      </c>
    </row>
    <row r="5313" spans="1:26" ht="6.95" customHeight="1" x14ac:dyDescent="0.3">
      <c r="A5313" s="154">
        <f>+A5302+1</f>
        <v>1282</v>
      </c>
      <c r="B5313" s="155"/>
      <c r="C5313" s="156"/>
      <c r="D5313" s="161" t="s">
        <v>39</v>
      </c>
      <c r="E5313" s="162"/>
      <c r="F5313" s="163" t="s">
        <v>40</v>
      </c>
      <c r="G5313" s="164"/>
      <c r="H5313" s="165"/>
      <c r="I5313" s="164"/>
      <c r="J5313" s="165"/>
      <c r="K5313" s="164"/>
      <c r="L5313" s="165"/>
      <c r="M5313" s="6"/>
      <c r="N5313" s="32"/>
      <c r="Q5313" s="10" t="str">
        <f>+CONCATENATE(E5313,G5313)</f>
        <v/>
      </c>
      <c r="R5313" s="10">
        <f>+H5313</f>
        <v>0</v>
      </c>
      <c r="S5313" s="11"/>
      <c r="T5313" s="10">
        <f>+E5313</f>
        <v>0</v>
      </c>
      <c r="U5313" s="19" t="str">
        <f>IFERROR(LEFT(G5313,FIND("*",G5313)-1),"-")</f>
        <v>-</v>
      </c>
      <c r="V5313" s="19" t="str">
        <f>IFERROR(RIGHT(G5313,LEN(G5313)-FIND("*",G5313)),"-")</f>
        <v>-</v>
      </c>
      <c r="W5313" s="20" t="str">
        <f>IFERROR((U5313+V5313)*2/1000,"-")</f>
        <v>-</v>
      </c>
      <c r="X5313" s="20" t="str">
        <f>IFERROR(W5313*H5313,"-")</f>
        <v>-</v>
      </c>
      <c r="Z5313" s="85" t="s">
        <v>82</v>
      </c>
    </row>
    <row r="5314" spans="1:26" ht="6.95" customHeight="1" x14ac:dyDescent="0.3">
      <c r="A5314" s="154"/>
      <c r="B5314" s="157"/>
      <c r="C5314" s="158"/>
      <c r="D5314" s="161"/>
      <c r="E5314" s="162"/>
      <c r="F5314" s="163"/>
      <c r="G5314" s="164"/>
      <c r="H5314" s="165"/>
      <c r="I5314" s="164"/>
      <c r="J5314" s="165"/>
      <c r="K5314" s="164"/>
      <c r="L5314" s="165"/>
      <c r="M5314" s="6"/>
      <c r="N5314" s="32"/>
      <c r="Q5314" s="10" t="str">
        <f>+CONCATENATE(E5313,I5313)</f>
        <v/>
      </c>
      <c r="R5314" s="10">
        <f>+J5313</f>
        <v>0</v>
      </c>
      <c r="S5314" s="11"/>
      <c r="T5314" s="10">
        <f>+E5313</f>
        <v>0</v>
      </c>
      <c r="U5314" s="19" t="str">
        <f>IFERROR(LEFT(I5313,FIND("*",I5313)-1),"-")</f>
        <v>-</v>
      </c>
      <c r="V5314" s="19" t="str">
        <f>IFERROR(RIGHT(I5313,LEN(I5313)-FIND("*",I5313)),"-")</f>
        <v>-</v>
      </c>
      <c r="W5314" s="20" t="str">
        <f t="shared" ref="W5314:W5321" si="2890">IFERROR((U5314+V5314)*2/1000,"-")</f>
        <v>-</v>
      </c>
      <c r="X5314" s="20" t="str">
        <f>IFERROR(W5314*J5313,"-")</f>
        <v>-</v>
      </c>
      <c r="Z5314" s="85" t="s">
        <v>82</v>
      </c>
    </row>
    <row r="5315" spans="1:26" ht="6.95" customHeight="1" x14ac:dyDescent="0.3">
      <c r="A5315" s="154"/>
      <c r="B5315" s="157"/>
      <c r="C5315" s="158"/>
      <c r="D5315" s="161"/>
      <c r="E5315" s="162"/>
      <c r="F5315" s="163"/>
      <c r="G5315" s="164"/>
      <c r="H5315" s="165"/>
      <c r="I5315" s="164"/>
      <c r="J5315" s="165"/>
      <c r="K5315" s="164"/>
      <c r="L5315" s="165"/>
      <c r="M5315" s="6"/>
      <c r="N5315" s="32"/>
      <c r="Q5315" s="10" t="str">
        <f>+CONCATENATE(E5313,K5313)</f>
        <v/>
      </c>
      <c r="R5315" s="10">
        <f>+L5313</f>
        <v>0</v>
      </c>
      <c r="S5315" s="11"/>
      <c r="T5315" s="10">
        <f>+E5313</f>
        <v>0</v>
      </c>
      <c r="U5315" s="19" t="str">
        <f>IFERROR(LEFT(K5313,FIND("*",K5313)-1),"-")</f>
        <v>-</v>
      </c>
      <c r="V5315" s="19" t="str">
        <f>IFERROR(RIGHT(K5313,LEN(K5313)-FIND("*",K5313)),"-")</f>
        <v>-</v>
      </c>
      <c r="W5315" s="20" t="str">
        <f t="shared" si="2890"/>
        <v>-</v>
      </c>
      <c r="X5315" s="20" t="str">
        <f>IFERROR(W5315*L5313,"-")</f>
        <v>-</v>
      </c>
      <c r="Z5315" s="85" t="s">
        <v>82</v>
      </c>
    </row>
    <row r="5316" spans="1:26" ht="6.95" customHeight="1" x14ac:dyDescent="0.3">
      <c r="A5316" s="8"/>
      <c r="B5316" s="157"/>
      <c r="C5316" s="158"/>
      <c r="D5316" s="161" t="s">
        <v>39</v>
      </c>
      <c r="E5316" s="162"/>
      <c r="F5316" s="163" t="s">
        <v>40</v>
      </c>
      <c r="G5316" s="164"/>
      <c r="H5316" s="165"/>
      <c r="I5316" s="164"/>
      <c r="J5316" s="165"/>
      <c r="K5316" s="164"/>
      <c r="L5316" s="165"/>
      <c r="M5316" s="6"/>
      <c r="N5316" s="32"/>
      <c r="Q5316" s="10" t="str">
        <f>+CONCATENATE(E5316,G5316)</f>
        <v/>
      </c>
      <c r="R5316" s="10">
        <f>+H5316</f>
        <v>0</v>
      </c>
      <c r="S5316" s="11"/>
      <c r="T5316" s="10">
        <f>+E5316</f>
        <v>0</v>
      </c>
      <c r="U5316" s="19" t="str">
        <f t="shared" ref="U5316" si="2891">IFERROR(LEFT(G5316,FIND("*",G5316)-1),"-")</f>
        <v>-</v>
      </c>
      <c r="V5316" s="19" t="str">
        <f t="shared" ref="V5316" si="2892">IFERROR(RIGHT(G5316,LEN(G5316)-FIND("*",G5316)),"-")</f>
        <v>-</v>
      </c>
      <c r="W5316" s="20" t="str">
        <f t="shared" si="2890"/>
        <v>-</v>
      </c>
      <c r="X5316" s="20" t="str">
        <f>IFERROR(W5316*H5316,"-")</f>
        <v>-</v>
      </c>
      <c r="Z5316" s="85" t="s">
        <v>82</v>
      </c>
    </row>
    <row r="5317" spans="1:26" ht="6.95" customHeight="1" x14ac:dyDescent="0.3">
      <c r="A5317" s="5"/>
      <c r="B5317" s="157"/>
      <c r="C5317" s="158"/>
      <c r="D5317" s="161"/>
      <c r="E5317" s="162"/>
      <c r="F5317" s="163"/>
      <c r="G5317" s="164"/>
      <c r="H5317" s="165"/>
      <c r="I5317" s="164"/>
      <c r="J5317" s="165"/>
      <c r="K5317" s="164"/>
      <c r="L5317" s="165"/>
      <c r="M5317" s="6"/>
      <c r="N5317" s="32"/>
      <c r="Q5317" s="10" t="str">
        <f>+CONCATENATE(E5316,I5316)</f>
        <v/>
      </c>
      <c r="R5317" s="10">
        <f>+J5316</f>
        <v>0</v>
      </c>
      <c r="S5317" s="11"/>
      <c r="T5317" s="10">
        <f>+E5316</f>
        <v>0</v>
      </c>
      <c r="U5317" s="19" t="str">
        <f>IFERROR(LEFT(I5316,FIND("*",I5316)-1),"-")</f>
        <v>-</v>
      </c>
      <c r="V5317" s="19" t="str">
        <f>IFERROR(RIGHT(I5316,LEN(I5316)-FIND("*",I5316)),"-")</f>
        <v>-</v>
      </c>
      <c r="W5317" s="20" t="str">
        <f t="shared" si="2890"/>
        <v>-</v>
      </c>
      <c r="X5317" s="20" t="str">
        <f>IFERROR(W5317*J5316,"-")</f>
        <v>-</v>
      </c>
      <c r="Z5317" s="85" t="s">
        <v>82</v>
      </c>
    </row>
    <row r="5318" spans="1:26" ht="6.95" customHeight="1" x14ac:dyDescent="0.3">
      <c r="A5318" s="5"/>
      <c r="B5318" s="157"/>
      <c r="C5318" s="158"/>
      <c r="D5318" s="161"/>
      <c r="E5318" s="162"/>
      <c r="F5318" s="163"/>
      <c r="G5318" s="164"/>
      <c r="H5318" s="165"/>
      <c r="I5318" s="164"/>
      <c r="J5318" s="165"/>
      <c r="K5318" s="164"/>
      <c r="L5318" s="165"/>
      <c r="M5318" s="6"/>
      <c r="N5318" s="32"/>
      <c r="Q5318" s="10" t="str">
        <f>+CONCATENATE(E5316,K5316)</f>
        <v/>
      </c>
      <c r="R5318" s="10">
        <f>+L5316</f>
        <v>0</v>
      </c>
      <c r="S5318" s="11"/>
      <c r="T5318" s="10">
        <f>+E5316</f>
        <v>0</v>
      </c>
      <c r="U5318" s="19" t="str">
        <f>IFERROR(LEFT(K5316,FIND("*",K5316)-1),"-")</f>
        <v>-</v>
      </c>
      <c r="V5318" s="19" t="str">
        <f>IFERROR(RIGHT(K5316,LEN(K5316)-FIND("*",K5316)),"-")</f>
        <v>-</v>
      </c>
      <c r="W5318" s="20" t="str">
        <f t="shared" si="2890"/>
        <v>-</v>
      </c>
      <c r="X5318" s="20" t="str">
        <f>IFERROR(W5318*L5316,"-")</f>
        <v>-</v>
      </c>
      <c r="Z5318" s="85" t="s">
        <v>82</v>
      </c>
    </row>
    <row r="5319" spans="1:26" ht="6.95" customHeight="1" x14ac:dyDescent="0.3">
      <c r="A5319" s="8"/>
      <c r="B5319" s="157"/>
      <c r="C5319" s="158"/>
      <c r="D5319" s="161" t="s">
        <v>39</v>
      </c>
      <c r="E5319" s="162"/>
      <c r="F5319" s="163" t="s">
        <v>40</v>
      </c>
      <c r="G5319" s="164"/>
      <c r="H5319" s="165"/>
      <c r="I5319" s="164"/>
      <c r="J5319" s="165"/>
      <c r="K5319" s="164"/>
      <c r="L5319" s="165"/>
      <c r="M5319" s="6"/>
      <c r="N5319" s="32"/>
      <c r="Q5319" s="10" t="str">
        <f>+CONCATENATE(E5319,G5319)</f>
        <v/>
      </c>
      <c r="R5319" s="10">
        <f>+H5319</f>
        <v>0</v>
      </c>
      <c r="S5319" s="11"/>
      <c r="T5319" s="10">
        <f>+E5319</f>
        <v>0</v>
      </c>
      <c r="U5319" s="19" t="str">
        <f t="shared" ref="U5319" si="2893">IFERROR(LEFT(G5319,FIND("*",G5319)-1),"-")</f>
        <v>-</v>
      </c>
      <c r="V5319" s="19" t="str">
        <f t="shared" ref="V5319" si="2894">IFERROR(RIGHT(G5319,LEN(G5319)-FIND("*",G5319)),"-")</f>
        <v>-</v>
      </c>
      <c r="W5319" s="20" t="str">
        <f t="shared" si="2890"/>
        <v>-</v>
      </c>
      <c r="X5319" s="20" t="str">
        <f>IFERROR(W5319*H5319,"-")</f>
        <v>-</v>
      </c>
      <c r="Z5319" s="85" t="s">
        <v>82</v>
      </c>
    </row>
    <row r="5320" spans="1:26" ht="6.95" customHeight="1" x14ac:dyDescent="0.3">
      <c r="A5320" s="5"/>
      <c r="B5320" s="157"/>
      <c r="C5320" s="158"/>
      <c r="D5320" s="161"/>
      <c r="E5320" s="162"/>
      <c r="F5320" s="163"/>
      <c r="G5320" s="164"/>
      <c r="H5320" s="165"/>
      <c r="I5320" s="164"/>
      <c r="J5320" s="165"/>
      <c r="K5320" s="164"/>
      <c r="L5320" s="165"/>
      <c r="M5320" s="6"/>
      <c r="N5320" s="32"/>
      <c r="Q5320" s="10" t="str">
        <f>+CONCATENATE(E5319,I5319)</f>
        <v/>
      </c>
      <c r="R5320" s="10">
        <f>+J5319</f>
        <v>0</v>
      </c>
      <c r="S5320" s="11"/>
      <c r="T5320" s="10">
        <f>+E5319</f>
        <v>0</v>
      </c>
      <c r="U5320" s="19" t="str">
        <f>IFERROR(LEFT(I5319,FIND("*",I5319)-1),"-")</f>
        <v>-</v>
      </c>
      <c r="V5320" s="19" t="str">
        <f>IFERROR(RIGHT(I5319,LEN(I5319)-FIND("*",I5319)),"-")</f>
        <v>-</v>
      </c>
      <c r="W5320" s="20" t="str">
        <f t="shared" si="2890"/>
        <v>-</v>
      </c>
      <c r="X5320" s="20" t="str">
        <f t="shared" ref="X5320" si="2895">IFERROR(W5320*J5319,"-")</f>
        <v>-</v>
      </c>
      <c r="Z5320" s="85" t="s">
        <v>82</v>
      </c>
    </row>
    <row r="5321" spans="1:26" ht="6.95" customHeight="1" x14ac:dyDescent="0.3">
      <c r="A5321" s="5"/>
      <c r="B5321" s="157"/>
      <c r="C5321" s="158"/>
      <c r="D5321" s="161"/>
      <c r="E5321" s="162"/>
      <c r="F5321" s="163"/>
      <c r="G5321" s="164"/>
      <c r="H5321" s="165"/>
      <c r="I5321" s="164"/>
      <c r="J5321" s="165"/>
      <c r="K5321" s="164"/>
      <c r="L5321" s="165"/>
      <c r="M5321" s="6"/>
      <c r="N5321" s="32"/>
      <c r="Q5321" s="10" t="str">
        <f>+CONCATENATE(E5319,K5319)</f>
        <v/>
      </c>
      <c r="R5321" s="10">
        <f>+L5319</f>
        <v>0</v>
      </c>
      <c r="S5321" s="11"/>
      <c r="T5321" s="10">
        <f>+E5319</f>
        <v>0</v>
      </c>
      <c r="U5321" s="19" t="str">
        <f>IFERROR(LEFT(K5319,FIND("*",K5319)-1),"-")</f>
        <v>-</v>
      </c>
      <c r="V5321" s="19" t="str">
        <f>IFERROR(RIGHT(K5319,LEN(K5319)-FIND("*",K5319)),"-")</f>
        <v>-</v>
      </c>
      <c r="W5321" s="20" t="str">
        <f t="shared" si="2890"/>
        <v>-</v>
      </c>
      <c r="X5321" s="20" t="str">
        <f>IFERROR(W5321*L5319,"-")</f>
        <v>-</v>
      </c>
      <c r="Z5321" s="85" t="s">
        <v>82</v>
      </c>
    </row>
    <row r="5322" spans="1:26" ht="21" customHeight="1" thickBot="1" x14ac:dyDescent="0.35">
      <c r="A5322" s="5"/>
      <c r="B5322" s="159"/>
      <c r="C5322" s="160"/>
      <c r="D5322" s="166" t="s">
        <v>43</v>
      </c>
      <c r="E5322" s="167"/>
      <c r="F5322" s="167"/>
      <c r="G5322" s="168"/>
      <c r="H5322" s="168"/>
      <c r="I5322" s="168"/>
      <c r="J5322" s="168"/>
      <c r="K5322" s="168"/>
      <c r="L5322" s="168"/>
      <c r="M5322" s="7"/>
      <c r="N5322" s="32"/>
      <c r="Z5322" s="86" t="s">
        <v>81</v>
      </c>
    </row>
    <row r="5323" spans="1:26" ht="9.9499999999999993" customHeight="1" thickBot="1" x14ac:dyDescent="0.35">
      <c r="B5323" s="9"/>
      <c r="C5323" s="109"/>
      <c r="D5323" s="51"/>
      <c r="E5323" s="12"/>
      <c r="F5323" s="51"/>
      <c r="G5323" s="14"/>
      <c r="H5323" s="14"/>
      <c r="I5323" s="14"/>
      <c r="J5323" s="14"/>
      <c r="K5323" s="14"/>
      <c r="L5323" s="14"/>
      <c r="M5323" s="9"/>
      <c r="N5323" s="32"/>
      <c r="U5323" s="18"/>
      <c r="V5323" s="18"/>
      <c r="Z5323" s="85" t="s">
        <v>82</v>
      </c>
    </row>
    <row r="5324" spans="1:26" ht="6.95" customHeight="1" x14ac:dyDescent="0.3">
      <c r="A5324" s="154">
        <f>+A5313+1</f>
        <v>1283</v>
      </c>
      <c r="B5324" s="155"/>
      <c r="C5324" s="156"/>
      <c r="D5324" s="161" t="s">
        <v>39</v>
      </c>
      <c r="E5324" s="162"/>
      <c r="F5324" s="163" t="s">
        <v>40</v>
      </c>
      <c r="G5324" s="164"/>
      <c r="H5324" s="165"/>
      <c r="I5324" s="164"/>
      <c r="J5324" s="165"/>
      <c r="K5324" s="164"/>
      <c r="L5324" s="165"/>
      <c r="M5324" s="6"/>
      <c r="N5324" s="32"/>
      <c r="Q5324" s="10" t="str">
        <f>+CONCATENATE(E5324,G5324)</f>
        <v/>
      </c>
      <c r="R5324" s="10">
        <f>+H5324</f>
        <v>0</v>
      </c>
      <c r="S5324" s="11"/>
      <c r="T5324" s="10">
        <f>+E5324</f>
        <v>0</v>
      </c>
      <c r="U5324" s="19" t="str">
        <f>IFERROR(LEFT(G5324,FIND("*",G5324)-1),"-")</f>
        <v>-</v>
      </c>
      <c r="V5324" s="19" t="str">
        <f>IFERROR(RIGHT(G5324,LEN(G5324)-FIND("*",G5324)),"-")</f>
        <v>-</v>
      </c>
      <c r="W5324" s="20" t="str">
        <f>IFERROR((U5324+V5324)*2/1000,"-")</f>
        <v>-</v>
      </c>
      <c r="X5324" s="20" t="str">
        <f>IFERROR(W5324*H5324,"-")</f>
        <v>-</v>
      </c>
      <c r="Z5324" s="85" t="s">
        <v>82</v>
      </c>
    </row>
    <row r="5325" spans="1:26" ht="6.95" customHeight="1" x14ac:dyDescent="0.3">
      <c r="A5325" s="154"/>
      <c r="B5325" s="157"/>
      <c r="C5325" s="158"/>
      <c r="D5325" s="161"/>
      <c r="E5325" s="162"/>
      <c r="F5325" s="163"/>
      <c r="G5325" s="164"/>
      <c r="H5325" s="165"/>
      <c r="I5325" s="164"/>
      <c r="J5325" s="165"/>
      <c r="K5325" s="164"/>
      <c r="L5325" s="165"/>
      <c r="M5325" s="6"/>
      <c r="N5325" s="32"/>
      <c r="Q5325" s="10" t="str">
        <f>+CONCATENATE(E5324,I5324)</f>
        <v/>
      </c>
      <c r="R5325" s="10">
        <f>+J5324</f>
        <v>0</v>
      </c>
      <c r="S5325" s="11"/>
      <c r="T5325" s="10">
        <f>+E5324</f>
        <v>0</v>
      </c>
      <c r="U5325" s="19" t="str">
        <f>IFERROR(LEFT(I5324,FIND("*",I5324)-1),"-")</f>
        <v>-</v>
      </c>
      <c r="V5325" s="19" t="str">
        <f>IFERROR(RIGHT(I5324,LEN(I5324)-FIND("*",I5324)),"-")</f>
        <v>-</v>
      </c>
      <c r="W5325" s="20" t="str">
        <f t="shared" ref="W5325:W5332" si="2896">IFERROR((U5325+V5325)*2/1000,"-")</f>
        <v>-</v>
      </c>
      <c r="X5325" s="20" t="str">
        <f>IFERROR(W5325*J5324,"-")</f>
        <v>-</v>
      </c>
      <c r="Z5325" s="85" t="s">
        <v>82</v>
      </c>
    </row>
    <row r="5326" spans="1:26" ht="6.95" customHeight="1" x14ac:dyDescent="0.3">
      <c r="A5326" s="154"/>
      <c r="B5326" s="157"/>
      <c r="C5326" s="158"/>
      <c r="D5326" s="161"/>
      <c r="E5326" s="162"/>
      <c r="F5326" s="163"/>
      <c r="G5326" s="164"/>
      <c r="H5326" s="165"/>
      <c r="I5326" s="164"/>
      <c r="J5326" s="165"/>
      <c r="K5326" s="164"/>
      <c r="L5326" s="165"/>
      <c r="M5326" s="6"/>
      <c r="N5326" s="32"/>
      <c r="Q5326" s="10" t="str">
        <f>+CONCATENATE(E5324,K5324)</f>
        <v/>
      </c>
      <c r="R5326" s="10">
        <f>+L5324</f>
        <v>0</v>
      </c>
      <c r="S5326" s="11"/>
      <c r="T5326" s="10">
        <f>+E5324</f>
        <v>0</v>
      </c>
      <c r="U5326" s="19" t="str">
        <f>IFERROR(LEFT(K5324,FIND("*",K5324)-1),"-")</f>
        <v>-</v>
      </c>
      <c r="V5326" s="19" t="str">
        <f>IFERROR(RIGHT(K5324,LEN(K5324)-FIND("*",K5324)),"-")</f>
        <v>-</v>
      </c>
      <c r="W5326" s="20" t="str">
        <f t="shared" si="2896"/>
        <v>-</v>
      </c>
      <c r="X5326" s="20" t="str">
        <f>IFERROR(W5326*L5324,"-")</f>
        <v>-</v>
      </c>
      <c r="Z5326" s="85" t="s">
        <v>82</v>
      </c>
    </row>
    <row r="5327" spans="1:26" ht="6.95" customHeight="1" x14ac:dyDescent="0.3">
      <c r="A5327" s="8"/>
      <c r="B5327" s="157"/>
      <c r="C5327" s="158"/>
      <c r="D5327" s="161" t="s">
        <v>39</v>
      </c>
      <c r="E5327" s="162"/>
      <c r="F5327" s="163" t="s">
        <v>40</v>
      </c>
      <c r="G5327" s="164"/>
      <c r="H5327" s="165"/>
      <c r="I5327" s="164"/>
      <c r="J5327" s="165"/>
      <c r="K5327" s="164"/>
      <c r="L5327" s="165"/>
      <c r="M5327" s="6"/>
      <c r="N5327" s="32"/>
      <c r="Q5327" s="10" t="str">
        <f>+CONCATENATE(E5327,G5327)</f>
        <v/>
      </c>
      <c r="R5327" s="10">
        <f>+H5327</f>
        <v>0</v>
      </c>
      <c r="S5327" s="11"/>
      <c r="T5327" s="10">
        <f>+E5327</f>
        <v>0</v>
      </c>
      <c r="U5327" s="19" t="str">
        <f t="shared" ref="U5327" si="2897">IFERROR(LEFT(G5327,FIND("*",G5327)-1),"-")</f>
        <v>-</v>
      </c>
      <c r="V5327" s="19" t="str">
        <f t="shared" ref="V5327" si="2898">IFERROR(RIGHT(G5327,LEN(G5327)-FIND("*",G5327)),"-")</f>
        <v>-</v>
      </c>
      <c r="W5327" s="20" t="str">
        <f t="shared" si="2896"/>
        <v>-</v>
      </c>
      <c r="X5327" s="20" t="str">
        <f>IFERROR(W5327*H5327,"-")</f>
        <v>-</v>
      </c>
      <c r="Z5327" s="85" t="s">
        <v>82</v>
      </c>
    </row>
    <row r="5328" spans="1:26" ht="6.95" customHeight="1" x14ac:dyDescent="0.3">
      <c r="A5328" s="5"/>
      <c r="B5328" s="157"/>
      <c r="C5328" s="158"/>
      <c r="D5328" s="161"/>
      <c r="E5328" s="162"/>
      <c r="F5328" s="163"/>
      <c r="G5328" s="164"/>
      <c r="H5328" s="165"/>
      <c r="I5328" s="164"/>
      <c r="J5328" s="165"/>
      <c r="K5328" s="164"/>
      <c r="L5328" s="165"/>
      <c r="M5328" s="6"/>
      <c r="N5328" s="32"/>
      <c r="Q5328" s="10" t="str">
        <f>+CONCATENATE(E5327,I5327)</f>
        <v/>
      </c>
      <c r="R5328" s="10">
        <f>+J5327</f>
        <v>0</v>
      </c>
      <c r="S5328" s="11"/>
      <c r="T5328" s="10">
        <f>+E5327</f>
        <v>0</v>
      </c>
      <c r="U5328" s="19" t="str">
        <f>IFERROR(LEFT(I5327,FIND("*",I5327)-1),"-")</f>
        <v>-</v>
      </c>
      <c r="V5328" s="19" t="str">
        <f>IFERROR(RIGHT(I5327,LEN(I5327)-FIND("*",I5327)),"-")</f>
        <v>-</v>
      </c>
      <c r="W5328" s="20" t="str">
        <f t="shared" si="2896"/>
        <v>-</v>
      </c>
      <c r="X5328" s="20" t="str">
        <f>IFERROR(W5328*J5327,"-")</f>
        <v>-</v>
      </c>
      <c r="Z5328" s="85" t="s">
        <v>82</v>
      </c>
    </row>
    <row r="5329" spans="1:26" ht="6.95" customHeight="1" x14ac:dyDescent="0.3">
      <c r="A5329" s="5"/>
      <c r="B5329" s="157"/>
      <c r="C5329" s="158"/>
      <c r="D5329" s="161"/>
      <c r="E5329" s="162"/>
      <c r="F5329" s="163"/>
      <c r="G5329" s="164"/>
      <c r="H5329" s="165"/>
      <c r="I5329" s="164"/>
      <c r="J5329" s="165"/>
      <c r="K5329" s="164"/>
      <c r="L5329" s="165"/>
      <c r="M5329" s="6"/>
      <c r="N5329" s="32"/>
      <c r="Q5329" s="10" t="str">
        <f>+CONCATENATE(E5327,K5327)</f>
        <v/>
      </c>
      <c r="R5329" s="10">
        <f>+L5327</f>
        <v>0</v>
      </c>
      <c r="S5329" s="11"/>
      <c r="T5329" s="10">
        <f>+E5327</f>
        <v>0</v>
      </c>
      <c r="U5329" s="19" t="str">
        <f>IFERROR(LEFT(K5327,FIND("*",K5327)-1),"-")</f>
        <v>-</v>
      </c>
      <c r="V5329" s="19" t="str">
        <f>IFERROR(RIGHT(K5327,LEN(K5327)-FIND("*",K5327)),"-")</f>
        <v>-</v>
      </c>
      <c r="W5329" s="20" t="str">
        <f t="shared" si="2896"/>
        <v>-</v>
      </c>
      <c r="X5329" s="20" t="str">
        <f>IFERROR(W5329*L5327,"-")</f>
        <v>-</v>
      </c>
      <c r="Z5329" s="85" t="s">
        <v>82</v>
      </c>
    </row>
    <row r="5330" spans="1:26" ht="6.95" customHeight="1" x14ac:dyDescent="0.3">
      <c r="A5330" s="8"/>
      <c r="B5330" s="157"/>
      <c r="C5330" s="158"/>
      <c r="D5330" s="161" t="s">
        <v>39</v>
      </c>
      <c r="E5330" s="162"/>
      <c r="F5330" s="163" t="s">
        <v>40</v>
      </c>
      <c r="G5330" s="164"/>
      <c r="H5330" s="165"/>
      <c r="I5330" s="164"/>
      <c r="J5330" s="165"/>
      <c r="K5330" s="164"/>
      <c r="L5330" s="165"/>
      <c r="M5330" s="6"/>
      <c r="N5330" s="32"/>
      <c r="Q5330" s="10" t="str">
        <f>+CONCATENATE(E5330,G5330)</f>
        <v/>
      </c>
      <c r="R5330" s="10">
        <f>+H5330</f>
        <v>0</v>
      </c>
      <c r="S5330" s="11"/>
      <c r="T5330" s="10">
        <f>+E5330</f>
        <v>0</v>
      </c>
      <c r="U5330" s="19" t="str">
        <f t="shared" ref="U5330" si="2899">IFERROR(LEFT(G5330,FIND("*",G5330)-1),"-")</f>
        <v>-</v>
      </c>
      <c r="V5330" s="19" t="str">
        <f t="shared" ref="V5330" si="2900">IFERROR(RIGHT(G5330,LEN(G5330)-FIND("*",G5330)),"-")</f>
        <v>-</v>
      </c>
      <c r="W5330" s="20" t="str">
        <f t="shared" si="2896"/>
        <v>-</v>
      </c>
      <c r="X5330" s="20" t="str">
        <f>IFERROR(W5330*H5330,"-")</f>
        <v>-</v>
      </c>
      <c r="Z5330" s="85" t="s">
        <v>82</v>
      </c>
    </row>
    <row r="5331" spans="1:26" ht="6.95" customHeight="1" x14ac:dyDescent="0.3">
      <c r="A5331" s="5"/>
      <c r="B5331" s="157"/>
      <c r="C5331" s="158"/>
      <c r="D5331" s="161"/>
      <c r="E5331" s="162"/>
      <c r="F5331" s="163"/>
      <c r="G5331" s="164"/>
      <c r="H5331" s="165"/>
      <c r="I5331" s="164"/>
      <c r="J5331" s="165"/>
      <c r="K5331" s="164"/>
      <c r="L5331" s="165"/>
      <c r="M5331" s="6"/>
      <c r="N5331" s="32"/>
      <c r="Q5331" s="10" t="str">
        <f>+CONCATENATE(E5330,I5330)</f>
        <v/>
      </c>
      <c r="R5331" s="10">
        <f>+J5330</f>
        <v>0</v>
      </c>
      <c r="S5331" s="11"/>
      <c r="T5331" s="10">
        <f>+E5330</f>
        <v>0</v>
      </c>
      <c r="U5331" s="19" t="str">
        <f>IFERROR(LEFT(I5330,FIND("*",I5330)-1),"-")</f>
        <v>-</v>
      </c>
      <c r="V5331" s="19" t="str">
        <f>IFERROR(RIGHT(I5330,LEN(I5330)-FIND("*",I5330)),"-")</f>
        <v>-</v>
      </c>
      <c r="W5331" s="20" t="str">
        <f t="shared" si="2896"/>
        <v>-</v>
      </c>
      <c r="X5331" s="20" t="str">
        <f t="shared" ref="X5331" si="2901">IFERROR(W5331*J5330,"-")</f>
        <v>-</v>
      </c>
      <c r="Z5331" s="85" t="s">
        <v>82</v>
      </c>
    </row>
    <row r="5332" spans="1:26" ht="6.95" customHeight="1" x14ac:dyDescent="0.3">
      <c r="A5332" s="5"/>
      <c r="B5332" s="157"/>
      <c r="C5332" s="158"/>
      <c r="D5332" s="161"/>
      <c r="E5332" s="162"/>
      <c r="F5332" s="163"/>
      <c r="G5332" s="164"/>
      <c r="H5332" s="165"/>
      <c r="I5332" s="164"/>
      <c r="J5332" s="165"/>
      <c r="K5332" s="164"/>
      <c r="L5332" s="165"/>
      <c r="M5332" s="6"/>
      <c r="N5332" s="32"/>
      <c r="Q5332" s="10" t="str">
        <f>+CONCATENATE(E5330,K5330)</f>
        <v/>
      </c>
      <c r="R5332" s="10">
        <f>+L5330</f>
        <v>0</v>
      </c>
      <c r="S5332" s="11"/>
      <c r="T5332" s="10">
        <f>+E5330</f>
        <v>0</v>
      </c>
      <c r="U5332" s="19" t="str">
        <f>IFERROR(LEFT(K5330,FIND("*",K5330)-1),"-")</f>
        <v>-</v>
      </c>
      <c r="V5332" s="19" t="str">
        <f>IFERROR(RIGHT(K5330,LEN(K5330)-FIND("*",K5330)),"-")</f>
        <v>-</v>
      </c>
      <c r="W5332" s="20" t="str">
        <f t="shared" si="2896"/>
        <v>-</v>
      </c>
      <c r="X5332" s="20" t="str">
        <f>IFERROR(W5332*L5330,"-")</f>
        <v>-</v>
      </c>
      <c r="Z5332" s="85" t="s">
        <v>82</v>
      </c>
    </row>
    <row r="5333" spans="1:26" ht="21" customHeight="1" thickBot="1" x14ac:dyDescent="0.35">
      <c r="A5333" s="5"/>
      <c r="B5333" s="159"/>
      <c r="C5333" s="160"/>
      <c r="D5333" s="166" t="s">
        <v>43</v>
      </c>
      <c r="E5333" s="167"/>
      <c r="F5333" s="167"/>
      <c r="G5333" s="168"/>
      <c r="H5333" s="168"/>
      <c r="I5333" s="168"/>
      <c r="J5333" s="168"/>
      <c r="K5333" s="168"/>
      <c r="L5333" s="168"/>
      <c r="M5333" s="7"/>
      <c r="N5333" s="32"/>
      <c r="Z5333" s="86" t="s">
        <v>81</v>
      </c>
    </row>
    <row r="5334" spans="1:26" ht="9.9499999999999993" customHeight="1" thickBot="1" x14ac:dyDescent="0.35">
      <c r="B5334" s="9"/>
      <c r="C5334" s="109"/>
      <c r="D5334" s="51"/>
      <c r="E5334" s="12"/>
      <c r="F5334" s="51"/>
      <c r="G5334" s="14"/>
      <c r="H5334" s="14"/>
      <c r="I5334" s="14"/>
      <c r="J5334" s="14"/>
      <c r="K5334" s="14"/>
      <c r="L5334" s="14"/>
      <c r="M5334" s="9"/>
      <c r="N5334" s="32"/>
      <c r="U5334" s="18"/>
      <c r="V5334" s="18"/>
      <c r="Z5334" s="85" t="s">
        <v>82</v>
      </c>
    </row>
    <row r="5335" spans="1:26" ht="6.95" customHeight="1" x14ac:dyDescent="0.3">
      <c r="A5335" s="154">
        <f>+A5324+1</f>
        <v>1284</v>
      </c>
      <c r="B5335" s="155"/>
      <c r="C5335" s="156"/>
      <c r="D5335" s="161" t="s">
        <v>39</v>
      </c>
      <c r="E5335" s="162"/>
      <c r="F5335" s="163" t="s">
        <v>40</v>
      </c>
      <c r="G5335" s="164"/>
      <c r="H5335" s="165"/>
      <c r="I5335" s="164"/>
      <c r="J5335" s="165"/>
      <c r="K5335" s="164"/>
      <c r="L5335" s="165"/>
      <c r="M5335" s="6"/>
      <c r="N5335" s="32"/>
      <c r="Q5335" s="10" t="str">
        <f>+CONCATENATE(E5335,G5335)</f>
        <v/>
      </c>
      <c r="R5335" s="10">
        <f>+H5335</f>
        <v>0</v>
      </c>
      <c r="S5335" s="11"/>
      <c r="T5335" s="10">
        <f>+E5335</f>
        <v>0</v>
      </c>
      <c r="U5335" s="19" t="str">
        <f>IFERROR(LEFT(G5335,FIND("*",G5335)-1),"-")</f>
        <v>-</v>
      </c>
      <c r="V5335" s="19" t="str">
        <f>IFERROR(RIGHT(G5335,LEN(G5335)-FIND("*",G5335)),"-")</f>
        <v>-</v>
      </c>
      <c r="W5335" s="20" t="str">
        <f>IFERROR((U5335+V5335)*2/1000,"-")</f>
        <v>-</v>
      </c>
      <c r="X5335" s="20" t="str">
        <f>IFERROR(W5335*H5335,"-")</f>
        <v>-</v>
      </c>
      <c r="Z5335" s="85" t="s">
        <v>82</v>
      </c>
    </row>
    <row r="5336" spans="1:26" ht="6.95" customHeight="1" x14ac:dyDescent="0.3">
      <c r="A5336" s="154"/>
      <c r="B5336" s="157"/>
      <c r="C5336" s="158"/>
      <c r="D5336" s="161"/>
      <c r="E5336" s="162"/>
      <c r="F5336" s="163"/>
      <c r="G5336" s="164"/>
      <c r="H5336" s="165"/>
      <c r="I5336" s="164"/>
      <c r="J5336" s="165"/>
      <c r="K5336" s="164"/>
      <c r="L5336" s="165"/>
      <c r="M5336" s="6"/>
      <c r="N5336" s="32"/>
      <c r="Q5336" s="10" t="str">
        <f>+CONCATENATE(E5335,I5335)</f>
        <v/>
      </c>
      <c r="R5336" s="10">
        <f>+J5335</f>
        <v>0</v>
      </c>
      <c r="S5336" s="11"/>
      <c r="T5336" s="10">
        <f>+E5335</f>
        <v>0</v>
      </c>
      <c r="U5336" s="19" t="str">
        <f>IFERROR(LEFT(I5335,FIND("*",I5335)-1),"-")</f>
        <v>-</v>
      </c>
      <c r="V5336" s="19" t="str">
        <f>IFERROR(RIGHT(I5335,LEN(I5335)-FIND("*",I5335)),"-")</f>
        <v>-</v>
      </c>
      <c r="W5336" s="20" t="str">
        <f t="shared" ref="W5336:W5343" si="2902">IFERROR((U5336+V5336)*2/1000,"-")</f>
        <v>-</v>
      </c>
      <c r="X5336" s="20" t="str">
        <f>IFERROR(W5336*J5335,"-")</f>
        <v>-</v>
      </c>
      <c r="Z5336" s="85" t="s">
        <v>82</v>
      </c>
    </row>
    <row r="5337" spans="1:26" ht="6.95" customHeight="1" x14ac:dyDescent="0.3">
      <c r="A5337" s="154"/>
      <c r="B5337" s="157"/>
      <c r="C5337" s="158"/>
      <c r="D5337" s="161"/>
      <c r="E5337" s="162"/>
      <c r="F5337" s="163"/>
      <c r="G5337" s="164"/>
      <c r="H5337" s="165"/>
      <c r="I5337" s="164"/>
      <c r="J5337" s="165"/>
      <c r="K5337" s="164"/>
      <c r="L5337" s="165"/>
      <c r="M5337" s="6"/>
      <c r="N5337" s="32"/>
      <c r="Q5337" s="10" t="str">
        <f>+CONCATENATE(E5335,K5335)</f>
        <v/>
      </c>
      <c r="R5337" s="10">
        <f>+L5335</f>
        <v>0</v>
      </c>
      <c r="S5337" s="11"/>
      <c r="T5337" s="10">
        <f>+E5335</f>
        <v>0</v>
      </c>
      <c r="U5337" s="19" t="str">
        <f>IFERROR(LEFT(K5335,FIND("*",K5335)-1),"-")</f>
        <v>-</v>
      </c>
      <c r="V5337" s="19" t="str">
        <f>IFERROR(RIGHT(K5335,LEN(K5335)-FIND("*",K5335)),"-")</f>
        <v>-</v>
      </c>
      <c r="W5337" s="20" t="str">
        <f t="shared" si="2902"/>
        <v>-</v>
      </c>
      <c r="X5337" s="20" t="str">
        <f>IFERROR(W5337*L5335,"-")</f>
        <v>-</v>
      </c>
      <c r="Z5337" s="85" t="s">
        <v>82</v>
      </c>
    </row>
    <row r="5338" spans="1:26" ht="6.95" customHeight="1" x14ac:dyDescent="0.3">
      <c r="A5338" s="8"/>
      <c r="B5338" s="157"/>
      <c r="C5338" s="158"/>
      <c r="D5338" s="161" t="s">
        <v>39</v>
      </c>
      <c r="E5338" s="162"/>
      <c r="F5338" s="163" t="s">
        <v>40</v>
      </c>
      <c r="G5338" s="164"/>
      <c r="H5338" s="165"/>
      <c r="I5338" s="164"/>
      <c r="J5338" s="165"/>
      <c r="K5338" s="164"/>
      <c r="L5338" s="165"/>
      <c r="M5338" s="6"/>
      <c r="N5338" s="32"/>
      <c r="Q5338" s="10" t="str">
        <f>+CONCATENATE(E5338,G5338)</f>
        <v/>
      </c>
      <c r="R5338" s="10">
        <f>+H5338</f>
        <v>0</v>
      </c>
      <c r="S5338" s="11"/>
      <c r="T5338" s="10">
        <f>+E5338</f>
        <v>0</v>
      </c>
      <c r="U5338" s="19" t="str">
        <f t="shared" ref="U5338" si="2903">IFERROR(LEFT(G5338,FIND("*",G5338)-1),"-")</f>
        <v>-</v>
      </c>
      <c r="V5338" s="19" t="str">
        <f t="shared" ref="V5338" si="2904">IFERROR(RIGHT(G5338,LEN(G5338)-FIND("*",G5338)),"-")</f>
        <v>-</v>
      </c>
      <c r="W5338" s="20" t="str">
        <f t="shared" si="2902"/>
        <v>-</v>
      </c>
      <c r="X5338" s="20" t="str">
        <f>IFERROR(W5338*H5338,"-")</f>
        <v>-</v>
      </c>
      <c r="Z5338" s="85" t="s">
        <v>82</v>
      </c>
    </row>
    <row r="5339" spans="1:26" ht="6.95" customHeight="1" x14ac:dyDescent="0.3">
      <c r="A5339" s="5"/>
      <c r="B5339" s="157"/>
      <c r="C5339" s="158"/>
      <c r="D5339" s="161"/>
      <c r="E5339" s="162"/>
      <c r="F5339" s="163"/>
      <c r="G5339" s="164"/>
      <c r="H5339" s="165"/>
      <c r="I5339" s="164"/>
      <c r="J5339" s="165"/>
      <c r="K5339" s="164"/>
      <c r="L5339" s="165"/>
      <c r="M5339" s="6"/>
      <c r="N5339" s="32"/>
      <c r="Q5339" s="10" t="str">
        <f>+CONCATENATE(E5338,I5338)</f>
        <v/>
      </c>
      <c r="R5339" s="10">
        <f>+J5338</f>
        <v>0</v>
      </c>
      <c r="S5339" s="11"/>
      <c r="T5339" s="10">
        <f>+E5338</f>
        <v>0</v>
      </c>
      <c r="U5339" s="19" t="str">
        <f>IFERROR(LEFT(I5338,FIND("*",I5338)-1),"-")</f>
        <v>-</v>
      </c>
      <c r="V5339" s="19" t="str">
        <f>IFERROR(RIGHT(I5338,LEN(I5338)-FIND("*",I5338)),"-")</f>
        <v>-</v>
      </c>
      <c r="W5339" s="20" t="str">
        <f t="shared" si="2902"/>
        <v>-</v>
      </c>
      <c r="X5339" s="20" t="str">
        <f>IFERROR(W5339*J5338,"-")</f>
        <v>-</v>
      </c>
      <c r="Z5339" s="85" t="s">
        <v>82</v>
      </c>
    </row>
    <row r="5340" spans="1:26" ht="6.95" customHeight="1" x14ac:dyDescent="0.3">
      <c r="A5340" s="5"/>
      <c r="B5340" s="157"/>
      <c r="C5340" s="158"/>
      <c r="D5340" s="161"/>
      <c r="E5340" s="162"/>
      <c r="F5340" s="163"/>
      <c r="G5340" s="164"/>
      <c r="H5340" s="165"/>
      <c r="I5340" s="164"/>
      <c r="J5340" s="165"/>
      <c r="K5340" s="164"/>
      <c r="L5340" s="165"/>
      <c r="M5340" s="6"/>
      <c r="N5340" s="32"/>
      <c r="Q5340" s="10" t="str">
        <f>+CONCATENATE(E5338,K5338)</f>
        <v/>
      </c>
      <c r="R5340" s="10">
        <f>+L5338</f>
        <v>0</v>
      </c>
      <c r="S5340" s="11"/>
      <c r="T5340" s="10">
        <f>+E5338</f>
        <v>0</v>
      </c>
      <c r="U5340" s="19" t="str">
        <f>IFERROR(LEFT(K5338,FIND("*",K5338)-1),"-")</f>
        <v>-</v>
      </c>
      <c r="V5340" s="19" t="str">
        <f>IFERROR(RIGHT(K5338,LEN(K5338)-FIND("*",K5338)),"-")</f>
        <v>-</v>
      </c>
      <c r="W5340" s="20" t="str">
        <f t="shared" si="2902"/>
        <v>-</v>
      </c>
      <c r="X5340" s="20" t="str">
        <f>IFERROR(W5340*L5338,"-")</f>
        <v>-</v>
      </c>
      <c r="Z5340" s="85" t="s">
        <v>82</v>
      </c>
    </row>
    <row r="5341" spans="1:26" ht="6.95" customHeight="1" x14ac:dyDescent="0.3">
      <c r="A5341" s="8"/>
      <c r="B5341" s="157"/>
      <c r="C5341" s="158"/>
      <c r="D5341" s="161" t="s">
        <v>39</v>
      </c>
      <c r="E5341" s="162"/>
      <c r="F5341" s="163" t="s">
        <v>40</v>
      </c>
      <c r="G5341" s="164"/>
      <c r="H5341" s="165"/>
      <c r="I5341" s="164"/>
      <c r="J5341" s="165"/>
      <c r="K5341" s="164"/>
      <c r="L5341" s="165"/>
      <c r="M5341" s="6"/>
      <c r="N5341" s="32"/>
      <c r="Q5341" s="10" t="str">
        <f>+CONCATENATE(E5341,G5341)</f>
        <v/>
      </c>
      <c r="R5341" s="10">
        <f>+H5341</f>
        <v>0</v>
      </c>
      <c r="S5341" s="11"/>
      <c r="T5341" s="10">
        <f>+E5341</f>
        <v>0</v>
      </c>
      <c r="U5341" s="19" t="str">
        <f t="shared" ref="U5341" si="2905">IFERROR(LEFT(G5341,FIND("*",G5341)-1),"-")</f>
        <v>-</v>
      </c>
      <c r="V5341" s="19" t="str">
        <f t="shared" ref="V5341" si="2906">IFERROR(RIGHT(G5341,LEN(G5341)-FIND("*",G5341)),"-")</f>
        <v>-</v>
      </c>
      <c r="W5341" s="20" t="str">
        <f t="shared" si="2902"/>
        <v>-</v>
      </c>
      <c r="X5341" s="20" t="str">
        <f>IFERROR(W5341*H5341,"-")</f>
        <v>-</v>
      </c>
      <c r="Z5341" s="85" t="s">
        <v>82</v>
      </c>
    </row>
    <row r="5342" spans="1:26" ht="6.95" customHeight="1" x14ac:dyDescent="0.3">
      <c r="A5342" s="5"/>
      <c r="B5342" s="157"/>
      <c r="C5342" s="158"/>
      <c r="D5342" s="161"/>
      <c r="E5342" s="162"/>
      <c r="F5342" s="163"/>
      <c r="G5342" s="164"/>
      <c r="H5342" s="165"/>
      <c r="I5342" s="164"/>
      <c r="J5342" s="165"/>
      <c r="K5342" s="164"/>
      <c r="L5342" s="165"/>
      <c r="M5342" s="6"/>
      <c r="N5342" s="32"/>
      <c r="Q5342" s="10" t="str">
        <f>+CONCATENATE(E5341,I5341)</f>
        <v/>
      </c>
      <c r="R5342" s="10">
        <f>+J5341</f>
        <v>0</v>
      </c>
      <c r="S5342" s="11"/>
      <c r="T5342" s="10">
        <f>+E5341</f>
        <v>0</v>
      </c>
      <c r="U5342" s="19" t="str">
        <f>IFERROR(LEFT(I5341,FIND("*",I5341)-1),"-")</f>
        <v>-</v>
      </c>
      <c r="V5342" s="19" t="str">
        <f>IFERROR(RIGHT(I5341,LEN(I5341)-FIND("*",I5341)),"-")</f>
        <v>-</v>
      </c>
      <c r="W5342" s="20" t="str">
        <f t="shared" si="2902"/>
        <v>-</v>
      </c>
      <c r="X5342" s="20" t="str">
        <f t="shared" ref="X5342" si="2907">IFERROR(W5342*J5341,"-")</f>
        <v>-</v>
      </c>
      <c r="Z5342" s="85" t="s">
        <v>82</v>
      </c>
    </row>
    <row r="5343" spans="1:26" ht="6.95" customHeight="1" x14ac:dyDescent="0.3">
      <c r="A5343" s="5"/>
      <c r="B5343" s="157"/>
      <c r="C5343" s="158"/>
      <c r="D5343" s="161"/>
      <c r="E5343" s="162"/>
      <c r="F5343" s="163"/>
      <c r="G5343" s="164"/>
      <c r="H5343" s="165"/>
      <c r="I5343" s="164"/>
      <c r="J5343" s="165"/>
      <c r="K5343" s="164"/>
      <c r="L5343" s="165"/>
      <c r="M5343" s="6"/>
      <c r="N5343" s="32"/>
      <c r="Q5343" s="10" t="str">
        <f>+CONCATENATE(E5341,K5341)</f>
        <v/>
      </c>
      <c r="R5343" s="10">
        <f>+L5341</f>
        <v>0</v>
      </c>
      <c r="S5343" s="11"/>
      <c r="T5343" s="10">
        <f>+E5341</f>
        <v>0</v>
      </c>
      <c r="U5343" s="19" t="str">
        <f>IFERROR(LEFT(K5341,FIND("*",K5341)-1),"-")</f>
        <v>-</v>
      </c>
      <c r="V5343" s="19" t="str">
        <f>IFERROR(RIGHT(K5341,LEN(K5341)-FIND("*",K5341)),"-")</f>
        <v>-</v>
      </c>
      <c r="W5343" s="20" t="str">
        <f t="shared" si="2902"/>
        <v>-</v>
      </c>
      <c r="X5343" s="20" t="str">
        <f>IFERROR(W5343*L5341,"-")</f>
        <v>-</v>
      </c>
      <c r="Z5343" s="85" t="s">
        <v>82</v>
      </c>
    </row>
    <row r="5344" spans="1:26" ht="21" customHeight="1" thickBot="1" x14ac:dyDescent="0.35">
      <c r="A5344" s="5"/>
      <c r="B5344" s="159"/>
      <c r="C5344" s="160"/>
      <c r="D5344" s="166" t="s">
        <v>43</v>
      </c>
      <c r="E5344" s="167"/>
      <c r="F5344" s="167"/>
      <c r="G5344" s="168"/>
      <c r="H5344" s="168"/>
      <c r="I5344" s="168"/>
      <c r="J5344" s="168"/>
      <c r="K5344" s="168"/>
      <c r="L5344" s="168"/>
      <c r="M5344" s="7"/>
      <c r="N5344" s="32"/>
      <c r="Z5344" s="86" t="s">
        <v>81</v>
      </c>
    </row>
    <row r="5345" spans="1:26" ht="9.9499999999999993" customHeight="1" thickBot="1" x14ac:dyDescent="0.35">
      <c r="B5345" s="9"/>
      <c r="C5345" s="109"/>
      <c r="D5345" s="51"/>
      <c r="E5345" s="12"/>
      <c r="F5345" s="51"/>
      <c r="G5345" s="14"/>
      <c r="H5345" s="14"/>
      <c r="I5345" s="14"/>
      <c r="J5345" s="14"/>
      <c r="K5345" s="14"/>
      <c r="L5345" s="14"/>
      <c r="M5345" s="9"/>
      <c r="N5345" s="32"/>
      <c r="U5345" s="18"/>
      <c r="V5345" s="18"/>
      <c r="Z5345" s="85" t="s">
        <v>82</v>
      </c>
    </row>
    <row r="5346" spans="1:26" ht="6.95" customHeight="1" x14ac:dyDescent="0.3">
      <c r="A5346" s="154">
        <f>+A5335+1</f>
        <v>1285</v>
      </c>
      <c r="B5346" s="155"/>
      <c r="C5346" s="156"/>
      <c r="D5346" s="161" t="s">
        <v>39</v>
      </c>
      <c r="E5346" s="162"/>
      <c r="F5346" s="163" t="s">
        <v>40</v>
      </c>
      <c r="G5346" s="164"/>
      <c r="H5346" s="165"/>
      <c r="I5346" s="164"/>
      <c r="J5346" s="165"/>
      <c r="K5346" s="164"/>
      <c r="L5346" s="165"/>
      <c r="M5346" s="6"/>
      <c r="N5346" s="32"/>
      <c r="Q5346" s="10" t="str">
        <f>+CONCATENATE(E5346,G5346)</f>
        <v/>
      </c>
      <c r="R5346" s="10">
        <f>+H5346</f>
        <v>0</v>
      </c>
      <c r="S5346" s="11"/>
      <c r="T5346" s="10">
        <f>+E5346</f>
        <v>0</v>
      </c>
      <c r="U5346" s="19" t="str">
        <f>IFERROR(LEFT(G5346,FIND("*",G5346)-1),"-")</f>
        <v>-</v>
      </c>
      <c r="V5346" s="19" t="str">
        <f>IFERROR(RIGHT(G5346,LEN(G5346)-FIND("*",G5346)),"-")</f>
        <v>-</v>
      </c>
      <c r="W5346" s="20" t="str">
        <f>IFERROR((U5346+V5346)*2/1000,"-")</f>
        <v>-</v>
      </c>
      <c r="X5346" s="20" t="str">
        <f>IFERROR(W5346*H5346,"-")</f>
        <v>-</v>
      </c>
      <c r="Z5346" s="85" t="s">
        <v>82</v>
      </c>
    </row>
    <row r="5347" spans="1:26" ht="6.95" customHeight="1" x14ac:dyDescent="0.3">
      <c r="A5347" s="154"/>
      <c r="B5347" s="157"/>
      <c r="C5347" s="158"/>
      <c r="D5347" s="161"/>
      <c r="E5347" s="162"/>
      <c r="F5347" s="163"/>
      <c r="G5347" s="164"/>
      <c r="H5347" s="165"/>
      <c r="I5347" s="164"/>
      <c r="J5347" s="165"/>
      <c r="K5347" s="164"/>
      <c r="L5347" s="165"/>
      <c r="M5347" s="6"/>
      <c r="N5347" s="32"/>
      <c r="Q5347" s="10" t="str">
        <f>+CONCATENATE(E5346,I5346)</f>
        <v/>
      </c>
      <c r="R5347" s="10">
        <f>+J5346</f>
        <v>0</v>
      </c>
      <c r="S5347" s="11"/>
      <c r="T5347" s="10">
        <f>+E5346</f>
        <v>0</v>
      </c>
      <c r="U5347" s="19" t="str">
        <f>IFERROR(LEFT(I5346,FIND("*",I5346)-1),"-")</f>
        <v>-</v>
      </c>
      <c r="V5347" s="19" t="str">
        <f>IFERROR(RIGHT(I5346,LEN(I5346)-FIND("*",I5346)),"-")</f>
        <v>-</v>
      </c>
      <c r="W5347" s="20" t="str">
        <f t="shared" ref="W5347:W5354" si="2908">IFERROR((U5347+V5347)*2/1000,"-")</f>
        <v>-</v>
      </c>
      <c r="X5347" s="20" t="str">
        <f>IFERROR(W5347*J5346,"-")</f>
        <v>-</v>
      </c>
      <c r="Z5347" s="85" t="s">
        <v>82</v>
      </c>
    </row>
    <row r="5348" spans="1:26" ht="6.95" customHeight="1" x14ac:dyDescent="0.3">
      <c r="A5348" s="154"/>
      <c r="B5348" s="157"/>
      <c r="C5348" s="158"/>
      <c r="D5348" s="161"/>
      <c r="E5348" s="162"/>
      <c r="F5348" s="163"/>
      <c r="G5348" s="164"/>
      <c r="H5348" s="165"/>
      <c r="I5348" s="164"/>
      <c r="J5348" s="165"/>
      <c r="K5348" s="164"/>
      <c r="L5348" s="165"/>
      <c r="M5348" s="6"/>
      <c r="N5348" s="32"/>
      <c r="Q5348" s="10" t="str">
        <f>+CONCATENATE(E5346,K5346)</f>
        <v/>
      </c>
      <c r="R5348" s="10">
        <f>+L5346</f>
        <v>0</v>
      </c>
      <c r="S5348" s="11"/>
      <c r="T5348" s="10">
        <f>+E5346</f>
        <v>0</v>
      </c>
      <c r="U5348" s="19" t="str">
        <f>IFERROR(LEFT(K5346,FIND("*",K5346)-1),"-")</f>
        <v>-</v>
      </c>
      <c r="V5348" s="19" t="str">
        <f>IFERROR(RIGHT(K5346,LEN(K5346)-FIND("*",K5346)),"-")</f>
        <v>-</v>
      </c>
      <c r="W5348" s="20" t="str">
        <f t="shared" si="2908"/>
        <v>-</v>
      </c>
      <c r="X5348" s="20" t="str">
        <f>IFERROR(W5348*L5346,"-")</f>
        <v>-</v>
      </c>
      <c r="Z5348" s="85" t="s">
        <v>82</v>
      </c>
    </row>
    <row r="5349" spans="1:26" ht="6.95" customHeight="1" x14ac:dyDescent="0.3">
      <c r="A5349" s="8"/>
      <c r="B5349" s="157"/>
      <c r="C5349" s="158"/>
      <c r="D5349" s="161" t="s">
        <v>39</v>
      </c>
      <c r="E5349" s="162"/>
      <c r="F5349" s="163" t="s">
        <v>40</v>
      </c>
      <c r="G5349" s="164"/>
      <c r="H5349" s="165"/>
      <c r="I5349" s="164"/>
      <c r="J5349" s="165"/>
      <c r="K5349" s="164"/>
      <c r="L5349" s="165"/>
      <c r="M5349" s="6"/>
      <c r="N5349" s="32"/>
      <c r="Q5349" s="10" t="str">
        <f>+CONCATENATE(E5349,G5349)</f>
        <v/>
      </c>
      <c r="R5349" s="10">
        <f>+H5349</f>
        <v>0</v>
      </c>
      <c r="S5349" s="11"/>
      <c r="T5349" s="10">
        <f>+E5349</f>
        <v>0</v>
      </c>
      <c r="U5349" s="19" t="str">
        <f t="shared" ref="U5349" si="2909">IFERROR(LEFT(G5349,FIND("*",G5349)-1),"-")</f>
        <v>-</v>
      </c>
      <c r="V5349" s="19" t="str">
        <f t="shared" ref="V5349" si="2910">IFERROR(RIGHT(G5349,LEN(G5349)-FIND("*",G5349)),"-")</f>
        <v>-</v>
      </c>
      <c r="W5349" s="20" t="str">
        <f t="shared" si="2908"/>
        <v>-</v>
      </c>
      <c r="X5349" s="20" t="str">
        <f>IFERROR(W5349*H5349,"-")</f>
        <v>-</v>
      </c>
      <c r="Z5349" s="85" t="s">
        <v>82</v>
      </c>
    </row>
    <row r="5350" spans="1:26" ht="6.95" customHeight="1" x14ac:dyDescent="0.3">
      <c r="A5350" s="5"/>
      <c r="B5350" s="157"/>
      <c r="C5350" s="158"/>
      <c r="D5350" s="161"/>
      <c r="E5350" s="162"/>
      <c r="F5350" s="163"/>
      <c r="G5350" s="164"/>
      <c r="H5350" s="165"/>
      <c r="I5350" s="164"/>
      <c r="J5350" s="165"/>
      <c r="K5350" s="164"/>
      <c r="L5350" s="165"/>
      <c r="M5350" s="6"/>
      <c r="N5350" s="32"/>
      <c r="Q5350" s="10" t="str">
        <f>+CONCATENATE(E5349,I5349)</f>
        <v/>
      </c>
      <c r="R5350" s="10">
        <f>+J5349</f>
        <v>0</v>
      </c>
      <c r="S5350" s="11"/>
      <c r="T5350" s="10">
        <f>+E5349</f>
        <v>0</v>
      </c>
      <c r="U5350" s="19" t="str">
        <f>IFERROR(LEFT(I5349,FIND("*",I5349)-1),"-")</f>
        <v>-</v>
      </c>
      <c r="V5350" s="19" t="str">
        <f>IFERROR(RIGHT(I5349,LEN(I5349)-FIND("*",I5349)),"-")</f>
        <v>-</v>
      </c>
      <c r="W5350" s="20" t="str">
        <f t="shared" si="2908"/>
        <v>-</v>
      </c>
      <c r="X5350" s="20" t="str">
        <f>IFERROR(W5350*J5349,"-")</f>
        <v>-</v>
      </c>
      <c r="Z5350" s="85" t="s">
        <v>82</v>
      </c>
    </row>
    <row r="5351" spans="1:26" ht="6.95" customHeight="1" x14ac:dyDescent="0.3">
      <c r="A5351" s="5"/>
      <c r="B5351" s="157"/>
      <c r="C5351" s="158"/>
      <c r="D5351" s="161"/>
      <c r="E5351" s="162"/>
      <c r="F5351" s="163"/>
      <c r="G5351" s="164"/>
      <c r="H5351" s="165"/>
      <c r="I5351" s="164"/>
      <c r="J5351" s="165"/>
      <c r="K5351" s="164"/>
      <c r="L5351" s="165"/>
      <c r="M5351" s="6"/>
      <c r="N5351" s="32"/>
      <c r="Q5351" s="10" t="str">
        <f>+CONCATENATE(E5349,K5349)</f>
        <v/>
      </c>
      <c r="R5351" s="10">
        <f>+L5349</f>
        <v>0</v>
      </c>
      <c r="S5351" s="11"/>
      <c r="T5351" s="10">
        <f>+E5349</f>
        <v>0</v>
      </c>
      <c r="U5351" s="19" t="str">
        <f>IFERROR(LEFT(K5349,FIND("*",K5349)-1),"-")</f>
        <v>-</v>
      </c>
      <c r="V5351" s="19" t="str">
        <f>IFERROR(RIGHT(K5349,LEN(K5349)-FIND("*",K5349)),"-")</f>
        <v>-</v>
      </c>
      <c r="W5351" s="20" t="str">
        <f t="shared" si="2908"/>
        <v>-</v>
      </c>
      <c r="X5351" s="20" t="str">
        <f>IFERROR(W5351*L5349,"-")</f>
        <v>-</v>
      </c>
      <c r="Z5351" s="85" t="s">
        <v>82</v>
      </c>
    </row>
    <row r="5352" spans="1:26" ht="6.95" customHeight="1" x14ac:dyDescent="0.3">
      <c r="A5352" s="8"/>
      <c r="B5352" s="157"/>
      <c r="C5352" s="158"/>
      <c r="D5352" s="161" t="s">
        <v>39</v>
      </c>
      <c r="E5352" s="162"/>
      <c r="F5352" s="163" t="s">
        <v>40</v>
      </c>
      <c r="G5352" s="164"/>
      <c r="H5352" s="165"/>
      <c r="I5352" s="164"/>
      <c r="J5352" s="165"/>
      <c r="K5352" s="164"/>
      <c r="L5352" s="165"/>
      <c r="M5352" s="6"/>
      <c r="N5352" s="32"/>
      <c r="Q5352" s="10" t="str">
        <f>+CONCATENATE(E5352,G5352)</f>
        <v/>
      </c>
      <c r="R5352" s="10">
        <f>+H5352</f>
        <v>0</v>
      </c>
      <c r="S5352" s="11"/>
      <c r="T5352" s="10">
        <f>+E5352</f>
        <v>0</v>
      </c>
      <c r="U5352" s="19" t="str">
        <f t="shared" ref="U5352" si="2911">IFERROR(LEFT(G5352,FIND("*",G5352)-1),"-")</f>
        <v>-</v>
      </c>
      <c r="V5352" s="19" t="str">
        <f t="shared" ref="V5352" si="2912">IFERROR(RIGHT(G5352,LEN(G5352)-FIND("*",G5352)),"-")</f>
        <v>-</v>
      </c>
      <c r="W5352" s="20" t="str">
        <f t="shared" si="2908"/>
        <v>-</v>
      </c>
      <c r="X5352" s="20" t="str">
        <f>IFERROR(W5352*H5352,"-")</f>
        <v>-</v>
      </c>
      <c r="Z5352" s="85" t="s">
        <v>82</v>
      </c>
    </row>
    <row r="5353" spans="1:26" ht="6.95" customHeight="1" x14ac:dyDescent="0.3">
      <c r="A5353" s="5"/>
      <c r="B5353" s="157"/>
      <c r="C5353" s="158"/>
      <c r="D5353" s="161"/>
      <c r="E5353" s="162"/>
      <c r="F5353" s="163"/>
      <c r="G5353" s="164"/>
      <c r="H5353" s="165"/>
      <c r="I5353" s="164"/>
      <c r="J5353" s="165"/>
      <c r="K5353" s="164"/>
      <c r="L5353" s="165"/>
      <c r="M5353" s="6"/>
      <c r="N5353" s="32"/>
      <c r="Q5353" s="10" t="str">
        <f>+CONCATENATE(E5352,I5352)</f>
        <v/>
      </c>
      <c r="R5353" s="10">
        <f>+J5352</f>
        <v>0</v>
      </c>
      <c r="S5353" s="11"/>
      <c r="T5353" s="10">
        <f>+E5352</f>
        <v>0</v>
      </c>
      <c r="U5353" s="19" t="str">
        <f>IFERROR(LEFT(I5352,FIND("*",I5352)-1),"-")</f>
        <v>-</v>
      </c>
      <c r="V5353" s="19" t="str">
        <f>IFERROR(RIGHT(I5352,LEN(I5352)-FIND("*",I5352)),"-")</f>
        <v>-</v>
      </c>
      <c r="W5353" s="20" t="str">
        <f t="shared" si="2908"/>
        <v>-</v>
      </c>
      <c r="X5353" s="20" t="str">
        <f t="shared" ref="X5353" si="2913">IFERROR(W5353*J5352,"-")</f>
        <v>-</v>
      </c>
      <c r="Z5353" s="85" t="s">
        <v>82</v>
      </c>
    </row>
    <row r="5354" spans="1:26" ht="6.95" customHeight="1" x14ac:dyDescent="0.3">
      <c r="A5354" s="5"/>
      <c r="B5354" s="157"/>
      <c r="C5354" s="158"/>
      <c r="D5354" s="161"/>
      <c r="E5354" s="162"/>
      <c r="F5354" s="163"/>
      <c r="G5354" s="164"/>
      <c r="H5354" s="165"/>
      <c r="I5354" s="164"/>
      <c r="J5354" s="165"/>
      <c r="K5354" s="164"/>
      <c r="L5354" s="165"/>
      <c r="M5354" s="6"/>
      <c r="N5354" s="32"/>
      <c r="Q5354" s="10" t="str">
        <f>+CONCATENATE(E5352,K5352)</f>
        <v/>
      </c>
      <c r="R5354" s="10">
        <f>+L5352</f>
        <v>0</v>
      </c>
      <c r="S5354" s="11"/>
      <c r="T5354" s="10">
        <f>+E5352</f>
        <v>0</v>
      </c>
      <c r="U5354" s="19" t="str">
        <f>IFERROR(LEFT(K5352,FIND("*",K5352)-1),"-")</f>
        <v>-</v>
      </c>
      <c r="V5354" s="19" t="str">
        <f>IFERROR(RIGHT(K5352,LEN(K5352)-FIND("*",K5352)),"-")</f>
        <v>-</v>
      </c>
      <c r="W5354" s="20" t="str">
        <f t="shared" si="2908"/>
        <v>-</v>
      </c>
      <c r="X5354" s="20" t="str">
        <f>IFERROR(W5354*L5352,"-")</f>
        <v>-</v>
      </c>
      <c r="Z5354" s="85" t="s">
        <v>82</v>
      </c>
    </row>
    <row r="5355" spans="1:26" ht="21" customHeight="1" thickBot="1" x14ac:dyDescent="0.35">
      <c r="A5355" s="5"/>
      <c r="B5355" s="159"/>
      <c r="C5355" s="160"/>
      <c r="D5355" s="166" t="s">
        <v>43</v>
      </c>
      <c r="E5355" s="167"/>
      <c r="F5355" s="167"/>
      <c r="G5355" s="168"/>
      <c r="H5355" s="168"/>
      <c r="I5355" s="168"/>
      <c r="J5355" s="168"/>
      <c r="K5355" s="168"/>
      <c r="L5355" s="168"/>
      <c r="M5355" s="7"/>
      <c r="N5355" s="32"/>
      <c r="Z5355" s="86" t="s">
        <v>81</v>
      </c>
    </row>
    <row r="5356" spans="1:26" ht="9.9499999999999993" customHeight="1" thickBot="1" x14ac:dyDescent="0.35">
      <c r="B5356" s="9"/>
      <c r="C5356" s="109"/>
      <c r="D5356" s="51"/>
      <c r="E5356" s="12"/>
      <c r="F5356" s="51"/>
      <c r="G5356" s="14"/>
      <c r="H5356" s="14"/>
      <c r="I5356" s="14"/>
      <c r="J5356" s="14"/>
      <c r="K5356" s="14"/>
      <c r="L5356" s="14"/>
      <c r="M5356" s="9"/>
      <c r="N5356" s="32"/>
      <c r="U5356" s="18"/>
      <c r="V5356" s="18"/>
      <c r="Z5356" s="85" t="s">
        <v>82</v>
      </c>
    </row>
    <row r="5357" spans="1:26" ht="6.95" customHeight="1" x14ac:dyDescent="0.3">
      <c r="A5357" s="154">
        <f>+A5346+1</f>
        <v>1286</v>
      </c>
      <c r="B5357" s="155"/>
      <c r="C5357" s="156"/>
      <c r="D5357" s="161" t="s">
        <v>39</v>
      </c>
      <c r="E5357" s="162"/>
      <c r="F5357" s="163" t="s">
        <v>40</v>
      </c>
      <c r="G5357" s="164"/>
      <c r="H5357" s="165"/>
      <c r="I5357" s="164"/>
      <c r="J5357" s="165"/>
      <c r="K5357" s="164"/>
      <c r="L5357" s="165"/>
      <c r="M5357" s="6"/>
      <c r="N5357" s="32"/>
      <c r="Q5357" s="10" t="str">
        <f>+CONCATENATE(E5357,G5357)</f>
        <v/>
      </c>
      <c r="R5357" s="10">
        <f>+H5357</f>
        <v>0</v>
      </c>
      <c r="S5357" s="11"/>
      <c r="T5357" s="10">
        <f>+E5357</f>
        <v>0</v>
      </c>
      <c r="U5357" s="19" t="str">
        <f>IFERROR(LEFT(G5357,FIND("*",G5357)-1),"-")</f>
        <v>-</v>
      </c>
      <c r="V5357" s="19" t="str">
        <f>IFERROR(RIGHT(G5357,LEN(G5357)-FIND("*",G5357)),"-")</f>
        <v>-</v>
      </c>
      <c r="W5357" s="20" t="str">
        <f>IFERROR((U5357+V5357)*2/1000,"-")</f>
        <v>-</v>
      </c>
      <c r="X5357" s="20" t="str">
        <f>IFERROR(W5357*H5357,"-")</f>
        <v>-</v>
      </c>
      <c r="Z5357" s="85" t="s">
        <v>82</v>
      </c>
    </row>
    <row r="5358" spans="1:26" ht="6.95" customHeight="1" x14ac:dyDescent="0.3">
      <c r="A5358" s="154"/>
      <c r="B5358" s="157"/>
      <c r="C5358" s="158"/>
      <c r="D5358" s="161"/>
      <c r="E5358" s="162"/>
      <c r="F5358" s="163"/>
      <c r="G5358" s="164"/>
      <c r="H5358" s="165"/>
      <c r="I5358" s="164"/>
      <c r="J5358" s="165"/>
      <c r="K5358" s="164"/>
      <c r="L5358" s="165"/>
      <c r="M5358" s="6"/>
      <c r="N5358" s="32"/>
      <c r="Q5358" s="10" t="str">
        <f>+CONCATENATE(E5357,I5357)</f>
        <v/>
      </c>
      <c r="R5358" s="10">
        <f>+J5357</f>
        <v>0</v>
      </c>
      <c r="S5358" s="11"/>
      <c r="T5358" s="10">
        <f>+E5357</f>
        <v>0</v>
      </c>
      <c r="U5358" s="19" t="str">
        <f>IFERROR(LEFT(I5357,FIND("*",I5357)-1),"-")</f>
        <v>-</v>
      </c>
      <c r="V5358" s="19" t="str">
        <f>IFERROR(RIGHT(I5357,LEN(I5357)-FIND("*",I5357)),"-")</f>
        <v>-</v>
      </c>
      <c r="W5358" s="20" t="str">
        <f t="shared" ref="W5358:W5365" si="2914">IFERROR((U5358+V5358)*2/1000,"-")</f>
        <v>-</v>
      </c>
      <c r="X5358" s="20" t="str">
        <f>IFERROR(W5358*J5357,"-")</f>
        <v>-</v>
      </c>
      <c r="Z5358" s="85" t="s">
        <v>82</v>
      </c>
    </row>
    <row r="5359" spans="1:26" ht="6.95" customHeight="1" x14ac:dyDescent="0.3">
      <c r="A5359" s="154"/>
      <c r="B5359" s="157"/>
      <c r="C5359" s="158"/>
      <c r="D5359" s="161"/>
      <c r="E5359" s="162"/>
      <c r="F5359" s="163"/>
      <c r="G5359" s="164"/>
      <c r="H5359" s="165"/>
      <c r="I5359" s="164"/>
      <c r="J5359" s="165"/>
      <c r="K5359" s="164"/>
      <c r="L5359" s="165"/>
      <c r="M5359" s="6"/>
      <c r="N5359" s="32"/>
      <c r="Q5359" s="10" t="str">
        <f>+CONCATENATE(E5357,K5357)</f>
        <v/>
      </c>
      <c r="R5359" s="10">
        <f>+L5357</f>
        <v>0</v>
      </c>
      <c r="S5359" s="11"/>
      <c r="T5359" s="10">
        <f>+E5357</f>
        <v>0</v>
      </c>
      <c r="U5359" s="19" t="str">
        <f>IFERROR(LEFT(K5357,FIND("*",K5357)-1),"-")</f>
        <v>-</v>
      </c>
      <c r="V5359" s="19" t="str">
        <f>IFERROR(RIGHT(K5357,LEN(K5357)-FIND("*",K5357)),"-")</f>
        <v>-</v>
      </c>
      <c r="W5359" s="20" t="str">
        <f t="shared" si="2914"/>
        <v>-</v>
      </c>
      <c r="X5359" s="20" t="str">
        <f>IFERROR(W5359*L5357,"-")</f>
        <v>-</v>
      </c>
      <c r="Z5359" s="85" t="s">
        <v>82</v>
      </c>
    </row>
    <row r="5360" spans="1:26" ht="6.95" customHeight="1" x14ac:dyDescent="0.3">
      <c r="A5360" s="8"/>
      <c r="B5360" s="157"/>
      <c r="C5360" s="158"/>
      <c r="D5360" s="161" t="s">
        <v>39</v>
      </c>
      <c r="E5360" s="162"/>
      <c r="F5360" s="163" t="s">
        <v>40</v>
      </c>
      <c r="G5360" s="164"/>
      <c r="H5360" s="165"/>
      <c r="I5360" s="164"/>
      <c r="J5360" s="165"/>
      <c r="K5360" s="164"/>
      <c r="L5360" s="165"/>
      <c r="M5360" s="6"/>
      <c r="N5360" s="32"/>
      <c r="Q5360" s="10" t="str">
        <f>+CONCATENATE(E5360,G5360)</f>
        <v/>
      </c>
      <c r="R5360" s="10">
        <f>+H5360</f>
        <v>0</v>
      </c>
      <c r="S5360" s="11"/>
      <c r="T5360" s="10">
        <f>+E5360</f>
        <v>0</v>
      </c>
      <c r="U5360" s="19" t="str">
        <f t="shared" ref="U5360" si="2915">IFERROR(LEFT(G5360,FIND("*",G5360)-1),"-")</f>
        <v>-</v>
      </c>
      <c r="V5360" s="19" t="str">
        <f t="shared" ref="V5360" si="2916">IFERROR(RIGHT(G5360,LEN(G5360)-FIND("*",G5360)),"-")</f>
        <v>-</v>
      </c>
      <c r="W5360" s="20" t="str">
        <f t="shared" si="2914"/>
        <v>-</v>
      </c>
      <c r="X5360" s="20" t="str">
        <f>IFERROR(W5360*H5360,"-")</f>
        <v>-</v>
      </c>
      <c r="Z5360" s="85" t="s">
        <v>82</v>
      </c>
    </row>
    <row r="5361" spans="1:26" ht="6.95" customHeight="1" x14ac:dyDescent="0.3">
      <c r="A5361" s="5"/>
      <c r="B5361" s="157"/>
      <c r="C5361" s="158"/>
      <c r="D5361" s="161"/>
      <c r="E5361" s="162"/>
      <c r="F5361" s="163"/>
      <c r="G5361" s="164"/>
      <c r="H5361" s="165"/>
      <c r="I5361" s="164"/>
      <c r="J5361" s="165"/>
      <c r="K5361" s="164"/>
      <c r="L5361" s="165"/>
      <c r="M5361" s="6"/>
      <c r="N5361" s="32"/>
      <c r="Q5361" s="10" t="str">
        <f>+CONCATENATE(E5360,I5360)</f>
        <v/>
      </c>
      <c r="R5361" s="10">
        <f>+J5360</f>
        <v>0</v>
      </c>
      <c r="S5361" s="11"/>
      <c r="T5361" s="10">
        <f>+E5360</f>
        <v>0</v>
      </c>
      <c r="U5361" s="19" t="str">
        <f>IFERROR(LEFT(I5360,FIND("*",I5360)-1),"-")</f>
        <v>-</v>
      </c>
      <c r="V5361" s="19" t="str">
        <f>IFERROR(RIGHT(I5360,LEN(I5360)-FIND("*",I5360)),"-")</f>
        <v>-</v>
      </c>
      <c r="W5361" s="20" t="str">
        <f t="shared" si="2914"/>
        <v>-</v>
      </c>
      <c r="X5361" s="20" t="str">
        <f>IFERROR(W5361*J5360,"-")</f>
        <v>-</v>
      </c>
      <c r="Z5361" s="85" t="s">
        <v>82</v>
      </c>
    </row>
    <row r="5362" spans="1:26" ht="6.95" customHeight="1" x14ac:dyDescent="0.3">
      <c r="A5362" s="5"/>
      <c r="B5362" s="157"/>
      <c r="C5362" s="158"/>
      <c r="D5362" s="161"/>
      <c r="E5362" s="162"/>
      <c r="F5362" s="163"/>
      <c r="G5362" s="164"/>
      <c r="H5362" s="165"/>
      <c r="I5362" s="164"/>
      <c r="J5362" s="165"/>
      <c r="K5362" s="164"/>
      <c r="L5362" s="165"/>
      <c r="M5362" s="6"/>
      <c r="N5362" s="32"/>
      <c r="Q5362" s="10" t="str">
        <f>+CONCATENATE(E5360,K5360)</f>
        <v/>
      </c>
      <c r="R5362" s="10">
        <f>+L5360</f>
        <v>0</v>
      </c>
      <c r="S5362" s="11"/>
      <c r="T5362" s="10">
        <f>+E5360</f>
        <v>0</v>
      </c>
      <c r="U5362" s="19" t="str">
        <f>IFERROR(LEFT(K5360,FIND("*",K5360)-1),"-")</f>
        <v>-</v>
      </c>
      <c r="V5362" s="19" t="str">
        <f>IFERROR(RIGHT(K5360,LEN(K5360)-FIND("*",K5360)),"-")</f>
        <v>-</v>
      </c>
      <c r="W5362" s="20" t="str">
        <f t="shared" si="2914"/>
        <v>-</v>
      </c>
      <c r="X5362" s="20" t="str">
        <f>IFERROR(W5362*L5360,"-")</f>
        <v>-</v>
      </c>
      <c r="Z5362" s="85" t="s">
        <v>82</v>
      </c>
    </row>
    <row r="5363" spans="1:26" ht="6.95" customHeight="1" x14ac:dyDescent="0.3">
      <c r="A5363" s="8"/>
      <c r="B5363" s="157"/>
      <c r="C5363" s="158"/>
      <c r="D5363" s="161" t="s">
        <v>39</v>
      </c>
      <c r="E5363" s="162"/>
      <c r="F5363" s="163" t="s">
        <v>40</v>
      </c>
      <c r="G5363" s="164"/>
      <c r="H5363" s="165"/>
      <c r="I5363" s="164"/>
      <c r="J5363" s="165"/>
      <c r="K5363" s="164"/>
      <c r="L5363" s="165"/>
      <c r="M5363" s="6"/>
      <c r="N5363" s="32"/>
      <c r="Q5363" s="10" t="str">
        <f>+CONCATENATE(E5363,G5363)</f>
        <v/>
      </c>
      <c r="R5363" s="10">
        <f>+H5363</f>
        <v>0</v>
      </c>
      <c r="S5363" s="11"/>
      <c r="T5363" s="10">
        <f>+E5363</f>
        <v>0</v>
      </c>
      <c r="U5363" s="19" t="str">
        <f t="shared" ref="U5363" si="2917">IFERROR(LEFT(G5363,FIND("*",G5363)-1),"-")</f>
        <v>-</v>
      </c>
      <c r="V5363" s="19" t="str">
        <f t="shared" ref="V5363" si="2918">IFERROR(RIGHT(G5363,LEN(G5363)-FIND("*",G5363)),"-")</f>
        <v>-</v>
      </c>
      <c r="W5363" s="20" t="str">
        <f t="shared" si="2914"/>
        <v>-</v>
      </c>
      <c r="X5363" s="20" t="str">
        <f>IFERROR(W5363*H5363,"-")</f>
        <v>-</v>
      </c>
      <c r="Z5363" s="85" t="s">
        <v>82</v>
      </c>
    </row>
    <row r="5364" spans="1:26" ht="6.95" customHeight="1" x14ac:dyDescent="0.3">
      <c r="A5364" s="5"/>
      <c r="B5364" s="157"/>
      <c r="C5364" s="158"/>
      <c r="D5364" s="161"/>
      <c r="E5364" s="162"/>
      <c r="F5364" s="163"/>
      <c r="G5364" s="164"/>
      <c r="H5364" s="165"/>
      <c r="I5364" s="164"/>
      <c r="J5364" s="165"/>
      <c r="K5364" s="164"/>
      <c r="L5364" s="165"/>
      <c r="M5364" s="6"/>
      <c r="N5364" s="32"/>
      <c r="Q5364" s="10" t="str">
        <f>+CONCATENATE(E5363,I5363)</f>
        <v/>
      </c>
      <c r="R5364" s="10">
        <f>+J5363</f>
        <v>0</v>
      </c>
      <c r="S5364" s="11"/>
      <c r="T5364" s="10">
        <f>+E5363</f>
        <v>0</v>
      </c>
      <c r="U5364" s="19" t="str">
        <f>IFERROR(LEFT(I5363,FIND("*",I5363)-1),"-")</f>
        <v>-</v>
      </c>
      <c r="V5364" s="19" t="str">
        <f>IFERROR(RIGHT(I5363,LEN(I5363)-FIND("*",I5363)),"-")</f>
        <v>-</v>
      </c>
      <c r="W5364" s="20" t="str">
        <f t="shared" si="2914"/>
        <v>-</v>
      </c>
      <c r="X5364" s="20" t="str">
        <f t="shared" ref="X5364" si="2919">IFERROR(W5364*J5363,"-")</f>
        <v>-</v>
      </c>
      <c r="Z5364" s="85" t="s">
        <v>82</v>
      </c>
    </row>
    <row r="5365" spans="1:26" ht="6.95" customHeight="1" x14ac:dyDescent="0.3">
      <c r="A5365" s="5"/>
      <c r="B5365" s="157"/>
      <c r="C5365" s="158"/>
      <c r="D5365" s="161"/>
      <c r="E5365" s="162"/>
      <c r="F5365" s="163"/>
      <c r="G5365" s="164"/>
      <c r="H5365" s="165"/>
      <c r="I5365" s="164"/>
      <c r="J5365" s="165"/>
      <c r="K5365" s="164"/>
      <c r="L5365" s="165"/>
      <c r="M5365" s="6"/>
      <c r="N5365" s="32"/>
      <c r="Q5365" s="10" t="str">
        <f>+CONCATENATE(E5363,K5363)</f>
        <v/>
      </c>
      <c r="R5365" s="10">
        <f>+L5363</f>
        <v>0</v>
      </c>
      <c r="S5365" s="11"/>
      <c r="T5365" s="10">
        <f>+E5363</f>
        <v>0</v>
      </c>
      <c r="U5365" s="19" t="str">
        <f>IFERROR(LEFT(K5363,FIND("*",K5363)-1),"-")</f>
        <v>-</v>
      </c>
      <c r="V5365" s="19" t="str">
        <f>IFERROR(RIGHT(K5363,LEN(K5363)-FIND("*",K5363)),"-")</f>
        <v>-</v>
      </c>
      <c r="W5365" s="20" t="str">
        <f t="shared" si="2914"/>
        <v>-</v>
      </c>
      <c r="X5365" s="20" t="str">
        <f>IFERROR(W5365*L5363,"-")</f>
        <v>-</v>
      </c>
      <c r="Z5365" s="85" t="s">
        <v>82</v>
      </c>
    </row>
    <row r="5366" spans="1:26" ht="21" customHeight="1" thickBot="1" x14ac:dyDescent="0.35">
      <c r="A5366" s="5"/>
      <c r="B5366" s="159"/>
      <c r="C5366" s="160"/>
      <c r="D5366" s="166" t="s">
        <v>43</v>
      </c>
      <c r="E5366" s="167"/>
      <c r="F5366" s="167"/>
      <c r="G5366" s="168"/>
      <c r="H5366" s="168"/>
      <c r="I5366" s="168"/>
      <c r="J5366" s="168"/>
      <c r="K5366" s="168"/>
      <c r="L5366" s="168"/>
      <c r="M5366" s="7"/>
      <c r="N5366" s="32"/>
      <c r="Z5366" s="86" t="s">
        <v>81</v>
      </c>
    </row>
    <row r="5367" spans="1:26" ht="9.9499999999999993" customHeight="1" thickBot="1" x14ac:dyDescent="0.35">
      <c r="B5367" s="9"/>
      <c r="C5367" s="109"/>
      <c r="D5367" s="51"/>
      <c r="E5367" s="12"/>
      <c r="F5367" s="51"/>
      <c r="G5367" s="14"/>
      <c r="H5367" s="14"/>
      <c r="I5367" s="14"/>
      <c r="J5367" s="14"/>
      <c r="K5367" s="14"/>
      <c r="L5367" s="14"/>
      <c r="M5367" s="9"/>
      <c r="N5367" s="32"/>
      <c r="U5367" s="18"/>
      <c r="V5367" s="18"/>
      <c r="Z5367" s="85" t="s">
        <v>82</v>
      </c>
    </row>
    <row r="5368" spans="1:26" ht="6.95" customHeight="1" x14ac:dyDescent="0.3">
      <c r="A5368" s="154">
        <f>+A5357+1</f>
        <v>1287</v>
      </c>
      <c r="B5368" s="155"/>
      <c r="C5368" s="156"/>
      <c r="D5368" s="161" t="s">
        <v>39</v>
      </c>
      <c r="E5368" s="162"/>
      <c r="F5368" s="163" t="s">
        <v>40</v>
      </c>
      <c r="G5368" s="164"/>
      <c r="H5368" s="165"/>
      <c r="I5368" s="164"/>
      <c r="J5368" s="165"/>
      <c r="K5368" s="164"/>
      <c r="L5368" s="165"/>
      <c r="M5368" s="6"/>
      <c r="N5368" s="32"/>
      <c r="Q5368" s="10" t="str">
        <f>+CONCATENATE(E5368,G5368)</f>
        <v/>
      </c>
      <c r="R5368" s="10">
        <f>+H5368</f>
        <v>0</v>
      </c>
      <c r="S5368" s="11"/>
      <c r="T5368" s="10">
        <f>+E5368</f>
        <v>0</v>
      </c>
      <c r="U5368" s="19" t="str">
        <f>IFERROR(LEFT(G5368,FIND("*",G5368)-1),"-")</f>
        <v>-</v>
      </c>
      <c r="V5368" s="19" t="str">
        <f>IFERROR(RIGHT(G5368,LEN(G5368)-FIND("*",G5368)),"-")</f>
        <v>-</v>
      </c>
      <c r="W5368" s="20" t="str">
        <f>IFERROR((U5368+V5368)*2/1000,"-")</f>
        <v>-</v>
      </c>
      <c r="X5368" s="20" t="str">
        <f>IFERROR(W5368*H5368,"-")</f>
        <v>-</v>
      </c>
      <c r="Z5368" s="85" t="s">
        <v>82</v>
      </c>
    </row>
    <row r="5369" spans="1:26" ht="6.95" customHeight="1" x14ac:dyDescent="0.3">
      <c r="A5369" s="154"/>
      <c r="B5369" s="157"/>
      <c r="C5369" s="158"/>
      <c r="D5369" s="161"/>
      <c r="E5369" s="162"/>
      <c r="F5369" s="163"/>
      <c r="G5369" s="164"/>
      <c r="H5369" s="165"/>
      <c r="I5369" s="164"/>
      <c r="J5369" s="165"/>
      <c r="K5369" s="164"/>
      <c r="L5369" s="165"/>
      <c r="M5369" s="6"/>
      <c r="N5369" s="32"/>
      <c r="Q5369" s="10" t="str">
        <f>+CONCATENATE(E5368,I5368)</f>
        <v/>
      </c>
      <c r="R5369" s="10">
        <f>+J5368</f>
        <v>0</v>
      </c>
      <c r="S5369" s="11"/>
      <c r="T5369" s="10">
        <f>+E5368</f>
        <v>0</v>
      </c>
      <c r="U5369" s="19" t="str">
        <f>IFERROR(LEFT(I5368,FIND("*",I5368)-1),"-")</f>
        <v>-</v>
      </c>
      <c r="V5369" s="19" t="str">
        <f>IFERROR(RIGHT(I5368,LEN(I5368)-FIND("*",I5368)),"-")</f>
        <v>-</v>
      </c>
      <c r="W5369" s="20" t="str">
        <f t="shared" ref="W5369:W5376" si="2920">IFERROR((U5369+V5369)*2/1000,"-")</f>
        <v>-</v>
      </c>
      <c r="X5369" s="20" t="str">
        <f>IFERROR(W5369*J5368,"-")</f>
        <v>-</v>
      </c>
      <c r="Z5369" s="85" t="s">
        <v>82</v>
      </c>
    </row>
    <row r="5370" spans="1:26" ht="6.95" customHeight="1" x14ac:dyDescent="0.3">
      <c r="A5370" s="154"/>
      <c r="B5370" s="157"/>
      <c r="C5370" s="158"/>
      <c r="D5370" s="161"/>
      <c r="E5370" s="162"/>
      <c r="F5370" s="163"/>
      <c r="G5370" s="164"/>
      <c r="H5370" s="165"/>
      <c r="I5370" s="164"/>
      <c r="J5370" s="165"/>
      <c r="K5370" s="164"/>
      <c r="L5370" s="165"/>
      <c r="M5370" s="6"/>
      <c r="N5370" s="32"/>
      <c r="Q5370" s="10" t="str">
        <f>+CONCATENATE(E5368,K5368)</f>
        <v/>
      </c>
      <c r="R5370" s="10">
        <f>+L5368</f>
        <v>0</v>
      </c>
      <c r="S5370" s="11"/>
      <c r="T5370" s="10">
        <f>+E5368</f>
        <v>0</v>
      </c>
      <c r="U5370" s="19" t="str">
        <f>IFERROR(LEFT(K5368,FIND("*",K5368)-1),"-")</f>
        <v>-</v>
      </c>
      <c r="V5370" s="19" t="str">
        <f>IFERROR(RIGHT(K5368,LEN(K5368)-FIND("*",K5368)),"-")</f>
        <v>-</v>
      </c>
      <c r="W5370" s="20" t="str">
        <f t="shared" si="2920"/>
        <v>-</v>
      </c>
      <c r="X5370" s="20" t="str">
        <f>IFERROR(W5370*L5368,"-")</f>
        <v>-</v>
      </c>
      <c r="Z5370" s="85" t="s">
        <v>82</v>
      </c>
    </row>
    <row r="5371" spans="1:26" ht="6.95" customHeight="1" x14ac:dyDescent="0.3">
      <c r="A5371" s="8"/>
      <c r="B5371" s="157"/>
      <c r="C5371" s="158"/>
      <c r="D5371" s="161" t="s">
        <v>39</v>
      </c>
      <c r="E5371" s="162"/>
      <c r="F5371" s="163" t="s">
        <v>40</v>
      </c>
      <c r="G5371" s="164"/>
      <c r="H5371" s="165"/>
      <c r="I5371" s="164"/>
      <c r="J5371" s="165"/>
      <c r="K5371" s="164"/>
      <c r="L5371" s="165"/>
      <c r="M5371" s="6"/>
      <c r="N5371" s="32"/>
      <c r="Q5371" s="10" t="str">
        <f>+CONCATENATE(E5371,G5371)</f>
        <v/>
      </c>
      <c r="R5371" s="10">
        <f>+H5371</f>
        <v>0</v>
      </c>
      <c r="S5371" s="11"/>
      <c r="T5371" s="10">
        <f>+E5371</f>
        <v>0</v>
      </c>
      <c r="U5371" s="19" t="str">
        <f t="shared" ref="U5371" si="2921">IFERROR(LEFT(G5371,FIND("*",G5371)-1),"-")</f>
        <v>-</v>
      </c>
      <c r="V5371" s="19" t="str">
        <f t="shared" ref="V5371" si="2922">IFERROR(RIGHT(G5371,LEN(G5371)-FIND("*",G5371)),"-")</f>
        <v>-</v>
      </c>
      <c r="W5371" s="20" t="str">
        <f t="shared" si="2920"/>
        <v>-</v>
      </c>
      <c r="X5371" s="20" t="str">
        <f>IFERROR(W5371*H5371,"-")</f>
        <v>-</v>
      </c>
      <c r="Z5371" s="85" t="s">
        <v>82</v>
      </c>
    </row>
    <row r="5372" spans="1:26" ht="6.95" customHeight="1" x14ac:dyDescent="0.3">
      <c r="A5372" s="5"/>
      <c r="B5372" s="157"/>
      <c r="C5372" s="158"/>
      <c r="D5372" s="161"/>
      <c r="E5372" s="162"/>
      <c r="F5372" s="163"/>
      <c r="G5372" s="164"/>
      <c r="H5372" s="165"/>
      <c r="I5372" s="164"/>
      <c r="J5372" s="165"/>
      <c r="K5372" s="164"/>
      <c r="L5372" s="165"/>
      <c r="M5372" s="6"/>
      <c r="N5372" s="32"/>
      <c r="Q5372" s="10" t="str">
        <f>+CONCATENATE(E5371,I5371)</f>
        <v/>
      </c>
      <c r="R5372" s="10">
        <f>+J5371</f>
        <v>0</v>
      </c>
      <c r="S5372" s="11"/>
      <c r="T5372" s="10">
        <f>+E5371</f>
        <v>0</v>
      </c>
      <c r="U5372" s="19" t="str">
        <f>IFERROR(LEFT(I5371,FIND("*",I5371)-1),"-")</f>
        <v>-</v>
      </c>
      <c r="V5372" s="19" t="str">
        <f>IFERROR(RIGHT(I5371,LEN(I5371)-FIND("*",I5371)),"-")</f>
        <v>-</v>
      </c>
      <c r="W5372" s="20" t="str">
        <f t="shared" si="2920"/>
        <v>-</v>
      </c>
      <c r="X5372" s="20" t="str">
        <f>IFERROR(W5372*J5371,"-")</f>
        <v>-</v>
      </c>
      <c r="Z5372" s="85" t="s">
        <v>82</v>
      </c>
    </row>
    <row r="5373" spans="1:26" ht="6.95" customHeight="1" x14ac:dyDescent="0.3">
      <c r="A5373" s="5"/>
      <c r="B5373" s="157"/>
      <c r="C5373" s="158"/>
      <c r="D5373" s="161"/>
      <c r="E5373" s="162"/>
      <c r="F5373" s="163"/>
      <c r="G5373" s="164"/>
      <c r="H5373" s="165"/>
      <c r="I5373" s="164"/>
      <c r="J5373" s="165"/>
      <c r="K5373" s="164"/>
      <c r="L5373" s="165"/>
      <c r="M5373" s="6"/>
      <c r="N5373" s="32"/>
      <c r="Q5373" s="10" t="str">
        <f>+CONCATENATE(E5371,K5371)</f>
        <v/>
      </c>
      <c r="R5373" s="10">
        <f>+L5371</f>
        <v>0</v>
      </c>
      <c r="S5373" s="11"/>
      <c r="T5373" s="10">
        <f>+E5371</f>
        <v>0</v>
      </c>
      <c r="U5373" s="19" t="str">
        <f>IFERROR(LEFT(K5371,FIND("*",K5371)-1),"-")</f>
        <v>-</v>
      </c>
      <c r="V5373" s="19" t="str">
        <f>IFERROR(RIGHT(K5371,LEN(K5371)-FIND("*",K5371)),"-")</f>
        <v>-</v>
      </c>
      <c r="W5373" s="20" t="str">
        <f t="shared" si="2920"/>
        <v>-</v>
      </c>
      <c r="X5373" s="20" t="str">
        <f>IFERROR(W5373*L5371,"-")</f>
        <v>-</v>
      </c>
      <c r="Z5373" s="85" t="s">
        <v>82</v>
      </c>
    </row>
    <row r="5374" spans="1:26" ht="6.95" customHeight="1" x14ac:dyDescent="0.3">
      <c r="A5374" s="8"/>
      <c r="B5374" s="157"/>
      <c r="C5374" s="158"/>
      <c r="D5374" s="161" t="s">
        <v>39</v>
      </c>
      <c r="E5374" s="162"/>
      <c r="F5374" s="163" t="s">
        <v>40</v>
      </c>
      <c r="G5374" s="164"/>
      <c r="H5374" s="165"/>
      <c r="I5374" s="164"/>
      <c r="J5374" s="165"/>
      <c r="K5374" s="164"/>
      <c r="L5374" s="165"/>
      <c r="M5374" s="6"/>
      <c r="N5374" s="32"/>
      <c r="Q5374" s="10" t="str">
        <f>+CONCATENATE(E5374,G5374)</f>
        <v/>
      </c>
      <c r="R5374" s="10">
        <f>+H5374</f>
        <v>0</v>
      </c>
      <c r="S5374" s="11"/>
      <c r="T5374" s="10">
        <f>+E5374</f>
        <v>0</v>
      </c>
      <c r="U5374" s="19" t="str">
        <f t="shared" ref="U5374" si="2923">IFERROR(LEFT(G5374,FIND("*",G5374)-1),"-")</f>
        <v>-</v>
      </c>
      <c r="V5374" s="19" t="str">
        <f t="shared" ref="V5374" si="2924">IFERROR(RIGHT(G5374,LEN(G5374)-FIND("*",G5374)),"-")</f>
        <v>-</v>
      </c>
      <c r="W5374" s="20" t="str">
        <f t="shared" si="2920"/>
        <v>-</v>
      </c>
      <c r="X5374" s="20" t="str">
        <f>IFERROR(W5374*H5374,"-")</f>
        <v>-</v>
      </c>
      <c r="Z5374" s="85" t="s">
        <v>82</v>
      </c>
    </row>
    <row r="5375" spans="1:26" ht="6.95" customHeight="1" x14ac:dyDescent="0.3">
      <c r="A5375" s="5"/>
      <c r="B5375" s="157"/>
      <c r="C5375" s="158"/>
      <c r="D5375" s="161"/>
      <c r="E5375" s="162"/>
      <c r="F5375" s="163"/>
      <c r="G5375" s="164"/>
      <c r="H5375" s="165"/>
      <c r="I5375" s="164"/>
      <c r="J5375" s="165"/>
      <c r="K5375" s="164"/>
      <c r="L5375" s="165"/>
      <c r="M5375" s="6"/>
      <c r="N5375" s="32"/>
      <c r="Q5375" s="10" t="str">
        <f>+CONCATENATE(E5374,I5374)</f>
        <v/>
      </c>
      <c r="R5375" s="10">
        <f>+J5374</f>
        <v>0</v>
      </c>
      <c r="S5375" s="11"/>
      <c r="T5375" s="10">
        <f>+E5374</f>
        <v>0</v>
      </c>
      <c r="U5375" s="19" t="str">
        <f>IFERROR(LEFT(I5374,FIND("*",I5374)-1),"-")</f>
        <v>-</v>
      </c>
      <c r="V5375" s="19" t="str">
        <f>IFERROR(RIGHT(I5374,LEN(I5374)-FIND("*",I5374)),"-")</f>
        <v>-</v>
      </c>
      <c r="W5375" s="20" t="str">
        <f t="shared" si="2920"/>
        <v>-</v>
      </c>
      <c r="X5375" s="20" t="str">
        <f t="shared" ref="X5375" si="2925">IFERROR(W5375*J5374,"-")</f>
        <v>-</v>
      </c>
      <c r="Z5375" s="85" t="s">
        <v>82</v>
      </c>
    </row>
    <row r="5376" spans="1:26" ht="6.95" customHeight="1" x14ac:dyDescent="0.3">
      <c r="A5376" s="5"/>
      <c r="B5376" s="157"/>
      <c r="C5376" s="158"/>
      <c r="D5376" s="161"/>
      <c r="E5376" s="162"/>
      <c r="F5376" s="163"/>
      <c r="G5376" s="164"/>
      <c r="H5376" s="165"/>
      <c r="I5376" s="164"/>
      <c r="J5376" s="165"/>
      <c r="K5376" s="164"/>
      <c r="L5376" s="165"/>
      <c r="M5376" s="6"/>
      <c r="N5376" s="32"/>
      <c r="Q5376" s="10" t="str">
        <f>+CONCATENATE(E5374,K5374)</f>
        <v/>
      </c>
      <c r="R5376" s="10">
        <f>+L5374</f>
        <v>0</v>
      </c>
      <c r="S5376" s="11"/>
      <c r="T5376" s="10">
        <f>+E5374</f>
        <v>0</v>
      </c>
      <c r="U5376" s="19" t="str">
        <f>IFERROR(LEFT(K5374,FIND("*",K5374)-1),"-")</f>
        <v>-</v>
      </c>
      <c r="V5376" s="19" t="str">
        <f>IFERROR(RIGHT(K5374,LEN(K5374)-FIND("*",K5374)),"-")</f>
        <v>-</v>
      </c>
      <c r="W5376" s="20" t="str">
        <f t="shared" si="2920"/>
        <v>-</v>
      </c>
      <c r="X5376" s="20" t="str">
        <f>IFERROR(W5376*L5374,"-")</f>
        <v>-</v>
      </c>
      <c r="Z5376" s="85" t="s">
        <v>82</v>
      </c>
    </row>
    <row r="5377" spans="1:26" ht="21" customHeight="1" thickBot="1" x14ac:dyDescent="0.35">
      <c r="A5377" s="5"/>
      <c r="B5377" s="159"/>
      <c r="C5377" s="160"/>
      <c r="D5377" s="166" t="s">
        <v>43</v>
      </c>
      <c r="E5377" s="167"/>
      <c r="F5377" s="167"/>
      <c r="G5377" s="168"/>
      <c r="H5377" s="168"/>
      <c r="I5377" s="168"/>
      <c r="J5377" s="168"/>
      <c r="K5377" s="168"/>
      <c r="L5377" s="168"/>
      <c r="M5377" s="7"/>
      <c r="N5377" s="32"/>
      <c r="Z5377" s="86" t="s">
        <v>81</v>
      </c>
    </row>
    <row r="5378" spans="1:26" ht="9.9499999999999993" customHeight="1" thickBot="1" x14ac:dyDescent="0.35">
      <c r="B5378" s="9"/>
      <c r="C5378" s="109"/>
      <c r="D5378" s="51"/>
      <c r="E5378" s="12"/>
      <c r="F5378" s="51"/>
      <c r="G5378" s="14"/>
      <c r="H5378" s="14"/>
      <c r="I5378" s="14"/>
      <c r="J5378" s="14"/>
      <c r="K5378" s="14"/>
      <c r="L5378" s="14"/>
      <c r="M5378" s="9"/>
      <c r="N5378" s="32"/>
      <c r="U5378" s="18"/>
      <c r="V5378" s="18"/>
      <c r="Z5378" s="85" t="s">
        <v>82</v>
      </c>
    </row>
    <row r="5379" spans="1:26" ht="6.95" customHeight="1" x14ac:dyDescent="0.3">
      <c r="A5379" s="154">
        <f>+A5368+1</f>
        <v>1288</v>
      </c>
      <c r="B5379" s="155"/>
      <c r="C5379" s="156"/>
      <c r="D5379" s="161" t="s">
        <v>39</v>
      </c>
      <c r="E5379" s="162"/>
      <c r="F5379" s="163" t="s">
        <v>40</v>
      </c>
      <c r="G5379" s="164"/>
      <c r="H5379" s="165"/>
      <c r="I5379" s="164"/>
      <c r="J5379" s="165"/>
      <c r="K5379" s="164"/>
      <c r="L5379" s="165"/>
      <c r="M5379" s="6"/>
      <c r="N5379" s="32"/>
      <c r="Q5379" s="10" t="str">
        <f>+CONCATENATE(E5379,G5379)</f>
        <v/>
      </c>
      <c r="R5379" s="10">
        <f>+H5379</f>
        <v>0</v>
      </c>
      <c r="S5379" s="11"/>
      <c r="T5379" s="10">
        <f>+E5379</f>
        <v>0</v>
      </c>
      <c r="U5379" s="19" t="str">
        <f>IFERROR(LEFT(G5379,FIND("*",G5379)-1),"-")</f>
        <v>-</v>
      </c>
      <c r="V5379" s="19" t="str">
        <f>IFERROR(RIGHT(G5379,LEN(G5379)-FIND("*",G5379)),"-")</f>
        <v>-</v>
      </c>
      <c r="W5379" s="20" t="str">
        <f>IFERROR((U5379+V5379)*2/1000,"-")</f>
        <v>-</v>
      </c>
      <c r="X5379" s="20" t="str">
        <f>IFERROR(W5379*H5379,"-")</f>
        <v>-</v>
      </c>
      <c r="Z5379" s="85" t="s">
        <v>82</v>
      </c>
    </row>
    <row r="5380" spans="1:26" ht="6.95" customHeight="1" x14ac:dyDescent="0.3">
      <c r="A5380" s="154"/>
      <c r="B5380" s="157"/>
      <c r="C5380" s="158"/>
      <c r="D5380" s="161"/>
      <c r="E5380" s="162"/>
      <c r="F5380" s="163"/>
      <c r="G5380" s="164"/>
      <c r="H5380" s="165"/>
      <c r="I5380" s="164"/>
      <c r="J5380" s="165"/>
      <c r="K5380" s="164"/>
      <c r="L5380" s="165"/>
      <c r="M5380" s="6"/>
      <c r="N5380" s="32"/>
      <c r="Q5380" s="10" t="str">
        <f>+CONCATENATE(E5379,I5379)</f>
        <v/>
      </c>
      <c r="R5380" s="10">
        <f>+J5379</f>
        <v>0</v>
      </c>
      <c r="S5380" s="11"/>
      <c r="T5380" s="10">
        <f>+E5379</f>
        <v>0</v>
      </c>
      <c r="U5380" s="19" t="str">
        <f>IFERROR(LEFT(I5379,FIND("*",I5379)-1),"-")</f>
        <v>-</v>
      </c>
      <c r="V5380" s="19" t="str">
        <f>IFERROR(RIGHT(I5379,LEN(I5379)-FIND("*",I5379)),"-")</f>
        <v>-</v>
      </c>
      <c r="W5380" s="20" t="str">
        <f t="shared" ref="W5380:W5387" si="2926">IFERROR((U5380+V5380)*2/1000,"-")</f>
        <v>-</v>
      </c>
      <c r="X5380" s="20" t="str">
        <f>IFERROR(W5380*J5379,"-")</f>
        <v>-</v>
      </c>
      <c r="Z5380" s="85" t="s">
        <v>82</v>
      </c>
    </row>
    <row r="5381" spans="1:26" ht="6.95" customHeight="1" x14ac:dyDescent="0.3">
      <c r="A5381" s="154"/>
      <c r="B5381" s="157"/>
      <c r="C5381" s="158"/>
      <c r="D5381" s="161"/>
      <c r="E5381" s="162"/>
      <c r="F5381" s="163"/>
      <c r="G5381" s="164"/>
      <c r="H5381" s="165"/>
      <c r="I5381" s="164"/>
      <c r="J5381" s="165"/>
      <c r="K5381" s="164"/>
      <c r="L5381" s="165"/>
      <c r="M5381" s="6"/>
      <c r="N5381" s="32"/>
      <c r="Q5381" s="10" t="str">
        <f>+CONCATENATE(E5379,K5379)</f>
        <v/>
      </c>
      <c r="R5381" s="10">
        <f>+L5379</f>
        <v>0</v>
      </c>
      <c r="S5381" s="11"/>
      <c r="T5381" s="10">
        <f>+E5379</f>
        <v>0</v>
      </c>
      <c r="U5381" s="19" t="str">
        <f>IFERROR(LEFT(K5379,FIND("*",K5379)-1),"-")</f>
        <v>-</v>
      </c>
      <c r="V5381" s="19" t="str">
        <f>IFERROR(RIGHT(K5379,LEN(K5379)-FIND("*",K5379)),"-")</f>
        <v>-</v>
      </c>
      <c r="W5381" s="20" t="str">
        <f t="shared" si="2926"/>
        <v>-</v>
      </c>
      <c r="X5381" s="20" t="str">
        <f>IFERROR(W5381*L5379,"-")</f>
        <v>-</v>
      </c>
      <c r="Z5381" s="85" t="s">
        <v>82</v>
      </c>
    </row>
    <row r="5382" spans="1:26" ht="6.95" customHeight="1" x14ac:dyDescent="0.3">
      <c r="A5382" s="8"/>
      <c r="B5382" s="157"/>
      <c r="C5382" s="158"/>
      <c r="D5382" s="161" t="s">
        <v>39</v>
      </c>
      <c r="E5382" s="162"/>
      <c r="F5382" s="163" t="s">
        <v>40</v>
      </c>
      <c r="G5382" s="164"/>
      <c r="H5382" s="165"/>
      <c r="I5382" s="164"/>
      <c r="J5382" s="165"/>
      <c r="K5382" s="164"/>
      <c r="L5382" s="165"/>
      <c r="M5382" s="6"/>
      <c r="N5382" s="32"/>
      <c r="Q5382" s="10" t="str">
        <f>+CONCATENATE(E5382,G5382)</f>
        <v/>
      </c>
      <c r="R5382" s="10">
        <f>+H5382</f>
        <v>0</v>
      </c>
      <c r="S5382" s="11"/>
      <c r="T5382" s="10">
        <f>+E5382</f>
        <v>0</v>
      </c>
      <c r="U5382" s="19" t="str">
        <f t="shared" ref="U5382" si="2927">IFERROR(LEFT(G5382,FIND("*",G5382)-1),"-")</f>
        <v>-</v>
      </c>
      <c r="V5382" s="19" t="str">
        <f t="shared" ref="V5382" si="2928">IFERROR(RIGHT(G5382,LEN(G5382)-FIND("*",G5382)),"-")</f>
        <v>-</v>
      </c>
      <c r="W5382" s="20" t="str">
        <f t="shared" si="2926"/>
        <v>-</v>
      </c>
      <c r="X5382" s="20" t="str">
        <f>IFERROR(W5382*H5382,"-")</f>
        <v>-</v>
      </c>
      <c r="Z5382" s="85" t="s">
        <v>82</v>
      </c>
    </row>
    <row r="5383" spans="1:26" ht="6.95" customHeight="1" x14ac:dyDescent="0.3">
      <c r="A5383" s="5"/>
      <c r="B5383" s="157"/>
      <c r="C5383" s="158"/>
      <c r="D5383" s="161"/>
      <c r="E5383" s="162"/>
      <c r="F5383" s="163"/>
      <c r="G5383" s="164"/>
      <c r="H5383" s="165"/>
      <c r="I5383" s="164"/>
      <c r="J5383" s="165"/>
      <c r="K5383" s="164"/>
      <c r="L5383" s="165"/>
      <c r="M5383" s="6"/>
      <c r="N5383" s="32"/>
      <c r="Q5383" s="10" t="str">
        <f>+CONCATENATE(E5382,I5382)</f>
        <v/>
      </c>
      <c r="R5383" s="10">
        <f>+J5382</f>
        <v>0</v>
      </c>
      <c r="S5383" s="11"/>
      <c r="T5383" s="10">
        <f>+E5382</f>
        <v>0</v>
      </c>
      <c r="U5383" s="19" t="str">
        <f>IFERROR(LEFT(I5382,FIND("*",I5382)-1),"-")</f>
        <v>-</v>
      </c>
      <c r="V5383" s="19" t="str">
        <f>IFERROR(RIGHT(I5382,LEN(I5382)-FIND("*",I5382)),"-")</f>
        <v>-</v>
      </c>
      <c r="W5383" s="20" t="str">
        <f t="shared" si="2926"/>
        <v>-</v>
      </c>
      <c r="X5383" s="20" t="str">
        <f>IFERROR(W5383*J5382,"-")</f>
        <v>-</v>
      </c>
      <c r="Z5383" s="85" t="s">
        <v>82</v>
      </c>
    </row>
    <row r="5384" spans="1:26" ht="6.95" customHeight="1" x14ac:dyDescent="0.3">
      <c r="A5384" s="5"/>
      <c r="B5384" s="157"/>
      <c r="C5384" s="158"/>
      <c r="D5384" s="161"/>
      <c r="E5384" s="162"/>
      <c r="F5384" s="163"/>
      <c r="G5384" s="164"/>
      <c r="H5384" s="165"/>
      <c r="I5384" s="164"/>
      <c r="J5384" s="165"/>
      <c r="K5384" s="164"/>
      <c r="L5384" s="165"/>
      <c r="M5384" s="6"/>
      <c r="N5384" s="32"/>
      <c r="Q5384" s="10" t="str">
        <f>+CONCATENATE(E5382,K5382)</f>
        <v/>
      </c>
      <c r="R5384" s="10">
        <f>+L5382</f>
        <v>0</v>
      </c>
      <c r="S5384" s="11"/>
      <c r="T5384" s="10">
        <f>+E5382</f>
        <v>0</v>
      </c>
      <c r="U5384" s="19" t="str">
        <f>IFERROR(LEFT(K5382,FIND("*",K5382)-1),"-")</f>
        <v>-</v>
      </c>
      <c r="V5384" s="19" t="str">
        <f>IFERROR(RIGHT(K5382,LEN(K5382)-FIND("*",K5382)),"-")</f>
        <v>-</v>
      </c>
      <c r="W5384" s="20" t="str">
        <f t="shared" si="2926"/>
        <v>-</v>
      </c>
      <c r="X5384" s="20" t="str">
        <f>IFERROR(W5384*L5382,"-")</f>
        <v>-</v>
      </c>
      <c r="Z5384" s="85" t="s">
        <v>82</v>
      </c>
    </row>
    <row r="5385" spans="1:26" ht="6.95" customHeight="1" x14ac:dyDescent="0.3">
      <c r="A5385" s="8"/>
      <c r="B5385" s="157"/>
      <c r="C5385" s="158"/>
      <c r="D5385" s="161" t="s">
        <v>39</v>
      </c>
      <c r="E5385" s="162"/>
      <c r="F5385" s="163" t="s">
        <v>40</v>
      </c>
      <c r="G5385" s="164"/>
      <c r="H5385" s="165"/>
      <c r="I5385" s="164"/>
      <c r="J5385" s="165"/>
      <c r="K5385" s="164"/>
      <c r="L5385" s="165"/>
      <c r="M5385" s="6"/>
      <c r="N5385" s="32"/>
      <c r="Q5385" s="10" t="str">
        <f>+CONCATENATE(E5385,G5385)</f>
        <v/>
      </c>
      <c r="R5385" s="10">
        <f>+H5385</f>
        <v>0</v>
      </c>
      <c r="S5385" s="11"/>
      <c r="T5385" s="10">
        <f>+E5385</f>
        <v>0</v>
      </c>
      <c r="U5385" s="19" t="str">
        <f t="shared" ref="U5385" si="2929">IFERROR(LEFT(G5385,FIND("*",G5385)-1),"-")</f>
        <v>-</v>
      </c>
      <c r="V5385" s="19" t="str">
        <f t="shared" ref="V5385" si="2930">IFERROR(RIGHT(G5385,LEN(G5385)-FIND("*",G5385)),"-")</f>
        <v>-</v>
      </c>
      <c r="W5385" s="20" t="str">
        <f t="shared" si="2926"/>
        <v>-</v>
      </c>
      <c r="X5385" s="20" t="str">
        <f>IFERROR(W5385*H5385,"-")</f>
        <v>-</v>
      </c>
      <c r="Z5385" s="85" t="s">
        <v>82</v>
      </c>
    </row>
    <row r="5386" spans="1:26" ht="6.95" customHeight="1" x14ac:dyDescent="0.3">
      <c r="A5386" s="5"/>
      <c r="B5386" s="157"/>
      <c r="C5386" s="158"/>
      <c r="D5386" s="161"/>
      <c r="E5386" s="162"/>
      <c r="F5386" s="163"/>
      <c r="G5386" s="164"/>
      <c r="H5386" s="165"/>
      <c r="I5386" s="164"/>
      <c r="J5386" s="165"/>
      <c r="K5386" s="164"/>
      <c r="L5386" s="165"/>
      <c r="M5386" s="6"/>
      <c r="N5386" s="32"/>
      <c r="Q5386" s="10" t="str">
        <f>+CONCATENATE(E5385,I5385)</f>
        <v/>
      </c>
      <c r="R5386" s="10">
        <f>+J5385</f>
        <v>0</v>
      </c>
      <c r="S5386" s="11"/>
      <c r="T5386" s="10">
        <f>+E5385</f>
        <v>0</v>
      </c>
      <c r="U5386" s="19" t="str">
        <f>IFERROR(LEFT(I5385,FIND("*",I5385)-1),"-")</f>
        <v>-</v>
      </c>
      <c r="V5386" s="19" t="str">
        <f>IFERROR(RIGHT(I5385,LEN(I5385)-FIND("*",I5385)),"-")</f>
        <v>-</v>
      </c>
      <c r="W5386" s="20" t="str">
        <f t="shared" si="2926"/>
        <v>-</v>
      </c>
      <c r="X5386" s="20" t="str">
        <f t="shared" ref="X5386" si="2931">IFERROR(W5386*J5385,"-")</f>
        <v>-</v>
      </c>
      <c r="Z5386" s="85" t="s">
        <v>82</v>
      </c>
    </row>
    <row r="5387" spans="1:26" ht="6.95" customHeight="1" x14ac:dyDescent="0.3">
      <c r="A5387" s="5"/>
      <c r="B5387" s="157"/>
      <c r="C5387" s="158"/>
      <c r="D5387" s="161"/>
      <c r="E5387" s="162"/>
      <c r="F5387" s="163"/>
      <c r="G5387" s="164"/>
      <c r="H5387" s="165"/>
      <c r="I5387" s="164"/>
      <c r="J5387" s="165"/>
      <c r="K5387" s="164"/>
      <c r="L5387" s="165"/>
      <c r="M5387" s="6"/>
      <c r="N5387" s="32"/>
      <c r="Q5387" s="10" t="str">
        <f>+CONCATENATE(E5385,K5385)</f>
        <v/>
      </c>
      <c r="R5387" s="10">
        <f>+L5385</f>
        <v>0</v>
      </c>
      <c r="S5387" s="11"/>
      <c r="T5387" s="10">
        <f>+E5385</f>
        <v>0</v>
      </c>
      <c r="U5387" s="19" t="str">
        <f>IFERROR(LEFT(K5385,FIND("*",K5385)-1),"-")</f>
        <v>-</v>
      </c>
      <c r="V5387" s="19" t="str">
        <f>IFERROR(RIGHT(K5385,LEN(K5385)-FIND("*",K5385)),"-")</f>
        <v>-</v>
      </c>
      <c r="W5387" s="20" t="str">
        <f t="shared" si="2926"/>
        <v>-</v>
      </c>
      <c r="X5387" s="20" t="str">
        <f>IFERROR(W5387*L5385,"-")</f>
        <v>-</v>
      </c>
      <c r="Z5387" s="85" t="s">
        <v>82</v>
      </c>
    </row>
    <row r="5388" spans="1:26" ht="21" customHeight="1" thickBot="1" x14ac:dyDescent="0.35">
      <c r="A5388" s="5"/>
      <c r="B5388" s="159"/>
      <c r="C5388" s="160"/>
      <c r="D5388" s="166" t="s">
        <v>43</v>
      </c>
      <c r="E5388" s="167"/>
      <c r="F5388" s="167"/>
      <c r="G5388" s="168"/>
      <c r="H5388" s="168"/>
      <c r="I5388" s="168"/>
      <c r="J5388" s="168"/>
      <c r="K5388" s="168"/>
      <c r="L5388" s="168"/>
      <c r="M5388" s="7"/>
      <c r="N5388" s="32"/>
      <c r="Z5388" s="86" t="s">
        <v>81</v>
      </c>
    </row>
    <row r="5389" spans="1:26" ht="9.9499999999999993" customHeight="1" thickBot="1" x14ac:dyDescent="0.35">
      <c r="B5389" s="9"/>
      <c r="C5389" s="109"/>
      <c r="D5389" s="51"/>
      <c r="E5389" s="12"/>
      <c r="F5389" s="51"/>
      <c r="G5389" s="14"/>
      <c r="H5389" s="14"/>
      <c r="I5389" s="14"/>
      <c r="J5389" s="14"/>
      <c r="K5389" s="14"/>
      <c r="L5389" s="14"/>
      <c r="M5389" s="9"/>
      <c r="N5389" s="32"/>
      <c r="U5389" s="18"/>
      <c r="V5389" s="18"/>
      <c r="Z5389" s="85" t="s">
        <v>82</v>
      </c>
    </row>
    <row r="5390" spans="1:26" ht="6.95" customHeight="1" x14ac:dyDescent="0.3">
      <c r="A5390" s="154">
        <f>+A5379+1</f>
        <v>1289</v>
      </c>
      <c r="B5390" s="155"/>
      <c r="C5390" s="156"/>
      <c r="D5390" s="161" t="s">
        <v>39</v>
      </c>
      <c r="E5390" s="162"/>
      <c r="F5390" s="163" t="s">
        <v>40</v>
      </c>
      <c r="G5390" s="164"/>
      <c r="H5390" s="165"/>
      <c r="I5390" s="164"/>
      <c r="J5390" s="165"/>
      <c r="K5390" s="164"/>
      <c r="L5390" s="165"/>
      <c r="M5390" s="6"/>
      <c r="N5390" s="32"/>
      <c r="Q5390" s="10" t="str">
        <f>+CONCATENATE(E5390,G5390)</f>
        <v/>
      </c>
      <c r="R5390" s="10">
        <f>+H5390</f>
        <v>0</v>
      </c>
      <c r="S5390" s="11"/>
      <c r="T5390" s="10">
        <f>+E5390</f>
        <v>0</v>
      </c>
      <c r="U5390" s="19" t="str">
        <f>IFERROR(LEFT(G5390,FIND("*",G5390)-1),"-")</f>
        <v>-</v>
      </c>
      <c r="V5390" s="19" t="str">
        <f>IFERROR(RIGHT(G5390,LEN(G5390)-FIND("*",G5390)),"-")</f>
        <v>-</v>
      </c>
      <c r="W5390" s="20" t="str">
        <f>IFERROR((U5390+V5390)*2/1000,"-")</f>
        <v>-</v>
      </c>
      <c r="X5390" s="20" t="str">
        <f>IFERROR(W5390*H5390,"-")</f>
        <v>-</v>
      </c>
      <c r="Z5390" s="85" t="s">
        <v>82</v>
      </c>
    </row>
    <row r="5391" spans="1:26" ht="6.95" customHeight="1" x14ac:dyDescent="0.3">
      <c r="A5391" s="154"/>
      <c r="B5391" s="157"/>
      <c r="C5391" s="158"/>
      <c r="D5391" s="161"/>
      <c r="E5391" s="162"/>
      <c r="F5391" s="163"/>
      <c r="G5391" s="164"/>
      <c r="H5391" s="165"/>
      <c r="I5391" s="164"/>
      <c r="J5391" s="165"/>
      <c r="K5391" s="164"/>
      <c r="L5391" s="165"/>
      <c r="M5391" s="6"/>
      <c r="N5391" s="32"/>
      <c r="Q5391" s="10" t="str">
        <f>+CONCATENATE(E5390,I5390)</f>
        <v/>
      </c>
      <c r="R5391" s="10">
        <f>+J5390</f>
        <v>0</v>
      </c>
      <c r="S5391" s="11"/>
      <c r="T5391" s="10">
        <f>+E5390</f>
        <v>0</v>
      </c>
      <c r="U5391" s="19" t="str">
        <f>IFERROR(LEFT(I5390,FIND("*",I5390)-1),"-")</f>
        <v>-</v>
      </c>
      <c r="V5391" s="19" t="str">
        <f>IFERROR(RIGHT(I5390,LEN(I5390)-FIND("*",I5390)),"-")</f>
        <v>-</v>
      </c>
      <c r="W5391" s="20" t="str">
        <f t="shared" ref="W5391:W5398" si="2932">IFERROR((U5391+V5391)*2/1000,"-")</f>
        <v>-</v>
      </c>
      <c r="X5391" s="20" t="str">
        <f>IFERROR(W5391*J5390,"-")</f>
        <v>-</v>
      </c>
      <c r="Z5391" s="85" t="s">
        <v>82</v>
      </c>
    </row>
    <row r="5392" spans="1:26" ht="6.95" customHeight="1" x14ac:dyDescent="0.3">
      <c r="A5392" s="154"/>
      <c r="B5392" s="157"/>
      <c r="C5392" s="158"/>
      <c r="D5392" s="161"/>
      <c r="E5392" s="162"/>
      <c r="F5392" s="163"/>
      <c r="G5392" s="164"/>
      <c r="H5392" s="165"/>
      <c r="I5392" s="164"/>
      <c r="J5392" s="165"/>
      <c r="K5392" s="164"/>
      <c r="L5392" s="165"/>
      <c r="M5392" s="6"/>
      <c r="N5392" s="32"/>
      <c r="Q5392" s="10" t="str">
        <f>+CONCATENATE(E5390,K5390)</f>
        <v/>
      </c>
      <c r="R5392" s="10">
        <f>+L5390</f>
        <v>0</v>
      </c>
      <c r="S5392" s="11"/>
      <c r="T5392" s="10">
        <f>+E5390</f>
        <v>0</v>
      </c>
      <c r="U5392" s="19" t="str">
        <f>IFERROR(LEFT(K5390,FIND("*",K5390)-1),"-")</f>
        <v>-</v>
      </c>
      <c r="V5392" s="19" t="str">
        <f>IFERROR(RIGHT(K5390,LEN(K5390)-FIND("*",K5390)),"-")</f>
        <v>-</v>
      </c>
      <c r="W5392" s="20" t="str">
        <f t="shared" si="2932"/>
        <v>-</v>
      </c>
      <c r="X5392" s="20" t="str">
        <f>IFERROR(W5392*L5390,"-")</f>
        <v>-</v>
      </c>
      <c r="Z5392" s="85" t="s">
        <v>82</v>
      </c>
    </row>
    <row r="5393" spans="1:26" ht="6.95" customHeight="1" x14ac:dyDescent="0.3">
      <c r="A5393" s="8"/>
      <c r="B5393" s="157"/>
      <c r="C5393" s="158"/>
      <c r="D5393" s="161" t="s">
        <v>39</v>
      </c>
      <c r="E5393" s="162"/>
      <c r="F5393" s="163" t="s">
        <v>40</v>
      </c>
      <c r="G5393" s="164"/>
      <c r="H5393" s="165"/>
      <c r="I5393" s="164"/>
      <c r="J5393" s="165"/>
      <c r="K5393" s="164"/>
      <c r="L5393" s="165"/>
      <c r="M5393" s="6"/>
      <c r="N5393" s="32"/>
      <c r="Q5393" s="10" t="str">
        <f>+CONCATENATE(E5393,G5393)</f>
        <v/>
      </c>
      <c r="R5393" s="10">
        <f>+H5393</f>
        <v>0</v>
      </c>
      <c r="S5393" s="11"/>
      <c r="T5393" s="10">
        <f>+E5393</f>
        <v>0</v>
      </c>
      <c r="U5393" s="19" t="str">
        <f t="shared" ref="U5393" si="2933">IFERROR(LEFT(G5393,FIND("*",G5393)-1),"-")</f>
        <v>-</v>
      </c>
      <c r="V5393" s="19" t="str">
        <f t="shared" ref="V5393" si="2934">IFERROR(RIGHT(G5393,LEN(G5393)-FIND("*",G5393)),"-")</f>
        <v>-</v>
      </c>
      <c r="W5393" s="20" t="str">
        <f t="shared" si="2932"/>
        <v>-</v>
      </c>
      <c r="X5393" s="20" t="str">
        <f>IFERROR(W5393*H5393,"-")</f>
        <v>-</v>
      </c>
      <c r="Z5393" s="85" t="s">
        <v>82</v>
      </c>
    </row>
    <row r="5394" spans="1:26" ht="6.95" customHeight="1" x14ac:dyDescent="0.3">
      <c r="A5394" s="5"/>
      <c r="B5394" s="157"/>
      <c r="C5394" s="158"/>
      <c r="D5394" s="161"/>
      <c r="E5394" s="162"/>
      <c r="F5394" s="163"/>
      <c r="G5394" s="164"/>
      <c r="H5394" s="165"/>
      <c r="I5394" s="164"/>
      <c r="J5394" s="165"/>
      <c r="K5394" s="164"/>
      <c r="L5394" s="165"/>
      <c r="M5394" s="6"/>
      <c r="N5394" s="32"/>
      <c r="Q5394" s="10" t="str">
        <f>+CONCATENATE(E5393,I5393)</f>
        <v/>
      </c>
      <c r="R5394" s="10">
        <f>+J5393</f>
        <v>0</v>
      </c>
      <c r="S5394" s="11"/>
      <c r="T5394" s="10">
        <f>+E5393</f>
        <v>0</v>
      </c>
      <c r="U5394" s="19" t="str">
        <f>IFERROR(LEFT(I5393,FIND("*",I5393)-1),"-")</f>
        <v>-</v>
      </c>
      <c r="V5394" s="19" t="str">
        <f>IFERROR(RIGHT(I5393,LEN(I5393)-FIND("*",I5393)),"-")</f>
        <v>-</v>
      </c>
      <c r="W5394" s="20" t="str">
        <f t="shared" si="2932"/>
        <v>-</v>
      </c>
      <c r="X5394" s="20" t="str">
        <f>IFERROR(W5394*J5393,"-")</f>
        <v>-</v>
      </c>
      <c r="Z5394" s="85" t="s">
        <v>82</v>
      </c>
    </row>
    <row r="5395" spans="1:26" ht="6.95" customHeight="1" x14ac:dyDescent="0.3">
      <c r="A5395" s="5"/>
      <c r="B5395" s="157"/>
      <c r="C5395" s="158"/>
      <c r="D5395" s="161"/>
      <c r="E5395" s="162"/>
      <c r="F5395" s="163"/>
      <c r="G5395" s="164"/>
      <c r="H5395" s="165"/>
      <c r="I5395" s="164"/>
      <c r="J5395" s="165"/>
      <c r="K5395" s="164"/>
      <c r="L5395" s="165"/>
      <c r="M5395" s="6"/>
      <c r="N5395" s="32"/>
      <c r="Q5395" s="10" t="str">
        <f>+CONCATENATE(E5393,K5393)</f>
        <v/>
      </c>
      <c r="R5395" s="10">
        <f>+L5393</f>
        <v>0</v>
      </c>
      <c r="S5395" s="11"/>
      <c r="T5395" s="10">
        <f>+E5393</f>
        <v>0</v>
      </c>
      <c r="U5395" s="19" t="str">
        <f>IFERROR(LEFT(K5393,FIND("*",K5393)-1),"-")</f>
        <v>-</v>
      </c>
      <c r="V5395" s="19" t="str">
        <f>IFERROR(RIGHT(K5393,LEN(K5393)-FIND("*",K5393)),"-")</f>
        <v>-</v>
      </c>
      <c r="W5395" s="20" t="str">
        <f t="shared" si="2932"/>
        <v>-</v>
      </c>
      <c r="X5395" s="20" t="str">
        <f>IFERROR(W5395*L5393,"-")</f>
        <v>-</v>
      </c>
      <c r="Z5395" s="85" t="s">
        <v>82</v>
      </c>
    </row>
    <row r="5396" spans="1:26" ht="6.95" customHeight="1" x14ac:dyDescent="0.3">
      <c r="A5396" s="8"/>
      <c r="B5396" s="157"/>
      <c r="C5396" s="158"/>
      <c r="D5396" s="161" t="s">
        <v>39</v>
      </c>
      <c r="E5396" s="162"/>
      <c r="F5396" s="163" t="s">
        <v>40</v>
      </c>
      <c r="G5396" s="164"/>
      <c r="H5396" s="165"/>
      <c r="I5396" s="164"/>
      <c r="J5396" s="165"/>
      <c r="K5396" s="164"/>
      <c r="L5396" s="165"/>
      <c r="M5396" s="6"/>
      <c r="N5396" s="32"/>
      <c r="Q5396" s="10" t="str">
        <f>+CONCATENATE(E5396,G5396)</f>
        <v/>
      </c>
      <c r="R5396" s="10">
        <f>+H5396</f>
        <v>0</v>
      </c>
      <c r="S5396" s="11"/>
      <c r="T5396" s="10">
        <f>+E5396</f>
        <v>0</v>
      </c>
      <c r="U5396" s="19" t="str">
        <f t="shared" ref="U5396" si="2935">IFERROR(LEFT(G5396,FIND("*",G5396)-1),"-")</f>
        <v>-</v>
      </c>
      <c r="V5396" s="19" t="str">
        <f t="shared" ref="V5396" si="2936">IFERROR(RIGHT(G5396,LEN(G5396)-FIND("*",G5396)),"-")</f>
        <v>-</v>
      </c>
      <c r="W5396" s="20" t="str">
        <f t="shared" si="2932"/>
        <v>-</v>
      </c>
      <c r="X5396" s="20" t="str">
        <f>IFERROR(W5396*H5396,"-")</f>
        <v>-</v>
      </c>
      <c r="Z5396" s="85" t="s">
        <v>82</v>
      </c>
    </row>
    <row r="5397" spans="1:26" ht="6.95" customHeight="1" x14ac:dyDescent="0.3">
      <c r="A5397" s="5"/>
      <c r="B5397" s="157"/>
      <c r="C5397" s="158"/>
      <c r="D5397" s="161"/>
      <c r="E5397" s="162"/>
      <c r="F5397" s="163"/>
      <c r="G5397" s="164"/>
      <c r="H5397" s="165"/>
      <c r="I5397" s="164"/>
      <c r="J5397" s="165"/>
      <c r="K5397" s="164"/>
      <c r="L5397" s="165"/>
      <c r="M5397" s="6"/>
      <c r="N5397" s="32"/>
      <c r="Q5397" s="10" t="str">
        <f>+CONCATENATE(E5396,I5396)</f>
        <v/>
      </c>
      <c r="R5397" s="10">
        <f>+J5396</f>
        <v>0</v>
      </c>
      <c r="S5397" s="11"/>
      <c r="T5397" s="10">
        <f>+E5396</f>
        <v>0</v>
      </c>
      <c r="U5397" s="19" t="str">
        <f>IFERROR(LEFT(I5396,FIND("*",I5396)-1),"-")</f>
        <v>-</v>
      </c>
      <c r="V5397" s="19" t="str">
        <f>IFERROR(RIGHT(I5396,LEN(I5396)-FIND("*",I5396)),"-")</f>
        <v>-</v>
      </c>
      <c r="W5397" s="20" t="str">
        <f t="shared" si="2932"/>
        <v>-</v>
      </c>
      <c r="X5397" s="20" t="str">
        <f t="shared" ref="X5397" si="2937">IFERROR(W5397*J5396,"-")</f>
        <v>-</v>
      </c>
      <c r="Z5397" s="85" t="s">
        <v>82</v>
      </c>
    </row>
    <row r="5398" spans="1:26" ht="6.95" customHeight="1" x14ac:dyDescent="0.3">
      <c r="A5398" s="5"/>
      <c r="B5398" s="157"/>
      <c r="C5398" s="158"/>
      <c r="D5398" s="161"/>
      <c r="E5398" s="162"/>
      <c r="F5398" s="163"/>
      <c r="G5398" s="164"/>
      <c r="H5398" s="165"/>
      <c r="I5398" s="164"/>
      <c r="J5398" s="165"/>
      <c r="K5398" s="164"/>
      <c r="L5398" s="165"/>
      <c r="M5398" s="6"/>
      <c r="N5398" s="32"/>
      <c r="Q5398" s="10" t="str">
        <f>+CONCATENATE(E5396,K5396)</f>
        <v/>
      </c>
      <c r="R5398" s="10">
        <f>+L5396</f>
        <v>0</v>
      </c>
      <c r="S5398" s="11"/>
      <c r="T5398" s="10">
        <f>+E5396</f>
        <v>0</v>
      </c>
      <c r="U5398" s="19" t="str">
        <f>IFERROR(LEFT(K5396,FIND("*",K5396)-1),"-")</f>
        <v>-</v>
      </c>
      <c r="V5398" s="19" t="str">
        <f>IFERROR(RIGHT(K5396,LEN(K5396)-FIND("*",K5396)),"-")</f>
        <v>-</v>
      </c>
      <c r="W5398" s="20" t="str">
        <f t="shared" si="2932"/>
        <v>-</v>
      </c>
      <c r="X5398" s="20" t="str">
        <f>IFERROR(W5398*L5396,"-")</f>
        <v>-</v>
      </c>
      <c r="Z5398" s="85" t="s">
        <v>82</v>
      </c>
    </row>
    <row r="5399" spans="1:26" ht="21" customHeight="1" thickBot="1" x14ac:dyDescent="0.35">
      <c r="A5399" s="5"/>
      <c r="B5399" s="159"/>
      <c r="C5399" s="160"/>
      <c r="D5399" s="166" t="s">
        <v>43</v>
      </c>
      <c r="E5399" s="167"/>
      <c r="F5399" s="167"/>
      <c r="G5399" s="168"/>
      <c r="H5399" s="168"/>
      <c r="I5399" s="168"/>
      <c r="J5399" s="168"/>
      <c r="K5399" s="168"/>
      <c r="L5399" s="168"/>
      <c r="M5399" s="7"/>
      <c r="N5399" s="32"/>
      <c r="Z5399" s="86" t="s">
        <v>81</v>
      </c>
    </row>
    <row r="5400" spans="1:26" ht="9.9499999999999993" customHeight="1" thickBot="1" x14ac:dyDescent="0.35">
      <c r="B5400" s="9"/>
      <c r="C5400" s="109"/>
      <c r="D5400" s="51"/>
      <c r="E5400" s="12"/>
      <c r="F5400" s="51"/>
      <c r="G5400" s="14"/>
      <c r="H5400" s="14"/>
      <c r="I5400" s="14"/>
      <c r="J5400" s="14"/>
      <c r="K5400" s="14"/>
      <c r="L5400" s="14"/>
      <c r="M5400" s="9"/>
      <c r="N5400" s="32"/>
      <c r="U5400" s="18"/>
      <c r="V5400" s="18"/>
      <c r="Z5400" s="85" t="s">
        <v>82</v>
      </c>
    </row>
    <row r="5401" spans="1:26" ht="6.95" customHeight="1" x14ac:dyDescent="0.3">
      <c r="A5401" s="154">
        <f>+A5390+1</f>
        <v>1290</v>
      </c>
      <c r="B5401" s="155"/>
      <c r="C5401" s="156"/>
      <c r="D5401" s="161" t="s">
        <v>39</v>
      </c>
      <c r="E5401" s="162"/>
      <c r="F5401" s="163" t="s">
        <v>40</v>
      </c>
      <c r="G5401" s="164"/>
      <c r="H5401" s="165"/>
      <c r="I5401" s="164"/>
      <c r="J5401" s="165"/>
      <c r="K5401" s="164"/>
      <c r="L5401" s="165"/>
      <c r="M5401" s="6"/>
      <c r="N5401" s="32"/>
      <c r="Q5401" s="10" t="str">
        <f>+CONCATENATE(E5401,G5401)</f>
        <v/>
      </c>
      <c r="R5401" s="10">
        <f>+H5401</f>
        <v>0</v>
      </c>
      <c r="S5401" s="11"/>
      <c r="T5401" s="10">
        <f>+E5401</f>
        <v>0</v>
      </c>
      <c r="U5401" s="19" t="str">
        <f>IFERROR(LEFT(G5401,FIND("*",G5401)-1),"-")</f>
        <v>-</v>
      </c>
      <c r="V5401" s="19" t="str">
        <f>IFERROR(RIGHT(G5401,LEN(G5401)-FIND("*",G5401)),"-")</f>
        <v>-</v>
      </c>
      <c r="W5401" s="20" t="str">
        <f>IFERROR((U5401+V5401)*2/1000,"-")</f>
        <v>-</v>
      </c>
      <c r="X5401" s="20" t="str">
        <f>IFERROR(W5401*H5401,"-")</f>
        <v>-</v>
      </c>
      <c r="Z5401" s="85" t="s">
        <v>82</v>
      </c>
    </row>
    <row r="5402" spans="1:26" ht="6.95" customHeight="1" x14ac:dyDescent="0.3">
      <c r="A5402" s="154"/>
      <c r="B5402" s="157"/>
      <c r="C5402" s="158"/>
      <c r="D5402" s="161"/>
      <c r="E5402" s="162"/>
      <c r="F5402" s="163"/>
      <c r="G5402" s="164"/>
      <c r="H5402" s="165"/>
      <c r="I5402" s="164"/>
      <c r="J5402" s="165"/>
      <c r="K5402" s="164"/>
      <c r="L5402" s="165"/>
      <c r="M5402" s="6"/>
      <c r="N5402" s="32"/>
      <c r="Q5402" s="10" t="str">
        <f>+CONCATENATE(E5401,I5401)</f>
        <v/>
      </c>
      <c r="R5402" s="10">
        <f>+J5401</f>
        <v>0</v>
      </c>
      <c r="S5402" s="11"/>
      <c r="T5402" s="10">
        <f>+E5401</f>
        <v>0</v>
      </c>
      <c r="U5402" s="19" t="str">
        <f>IFERROR(LEFT(I5401,FIND("*",I5401)-1),"-")</f>
        <v>-</v>
      </c>
      <c r="V5402" s="19" t="str">
        <f>IFERROR(RIGHT(I5401,LEN(I5401)-FIND("*",I5401)),"-")</f>
        <v>-</v>
      </c>
      <c r="W5402" s="20" t="str">
        <f t="shared" ref="W5402:W5409" si="2938">IFERROR((U5402+V5402)*2/1000,"-")</f>
        <v>-</v>
      </c>
      <c r="X5402" s="20" t="str">
        <f>IFERROR(W5402*J5401,"-")</f>
        <v>-</v>
      </c>
      <c r="Z5402" s="85" t="s">
        <v>82</v>
      </c>
    </row>
    <row r="5403" spans="1:26" ht="6.95" customHeight="1" x14ac:dyDescent="0.3">
      <c r="A5403" s="154"/>
      <c r="B5403" s="157"/>
      <c r="C5403" s="158"/>
      <c r="D5403" s="161"/>
      <c r="E5403" s="162"/>
      <c r="F5403" s="163"/>
      <c r="G5403" s="164"/>
      <c r="H5403" s="165"/>
      <c r="I5403" s="164"/>
      <c r="J5403" s="165"/>
      <c r="K5403" s="164"/>
      <c r="L5403" s="165"/>
      <c r="M5403" s="6"/>
      <c r="N5403" s="32"/>
      <c r="Q5403" s="10" t="str">
        <f>+CONCATENATE(E5401,K5401)</f>
        <v/>
      </c>
      <c r="R5403" s="10">
        <f>+L5401</f>
        <v>0</v>
      </c>
      <c r="S5403" s="11"/>
      <c r="T5403" s="10">
        <f>+E5401</f>
        <v>0</v>
      </c>
      <c r="U5403" s="19" t="str">
        <f>IFERROR(LEFT(K5401,FIND("*",K5401)-1),"-")</f>
        <v>-</v>
      </c>
      <c r="V5403" s="19" t="str">
        <f>IFERROR(RIGHT(K5401,LEN(K5401)-FIND("*",K5401)),"-")</f>
        <v>-</v>
      </c>
      <c r="W5403" s="20" t="str">
        <f t="shared" si="2938"/>
        <v>-</v>
      </c>
      <c r="X5403" s="20" t="str">
        <f>IFERROR(W5403*L5401,"-")</f>
        <v>-</v>
      </c>
      <c r="Z5403" s="85" t="s">
        <v>82</v>
      </c>
    </row>
    <row r="5404" spans="1:26" ht="6.95" customHeight="1" x14ac:dyDescent="0.3">
      <c r="A5404" s="8"/>
      <c r="B5404" s="157"/>
      <c r="C5404" s="158"/>
      <c r="D5404" s="161" t="s">
        <v>39</v>
      </c>
      <c r="E5404" s="162"/>
      <c r="F5404" s="163" t="s">
        <v>40</v>
      </c>
      <c r="G5404" s="164"/>
      <c r="H5404" s="165"/>
      <c r="I5404" s="164"/>
      <c r="J5404" s="165"/>
      <c r="K5404" s="164"/>
      <c r="L5404" s="165"/>
      <c r="M5404" s="6"/>
      <c r="N5404" s="32"/>
      <c r="Q5404" s="10" t="str">
        <f>+CONCATENATE(E5404,G5404)</f>
        <v/>
      </c>
      <c r="R5404" s="10">
        <f>+H5404</f>
        <v>0</v>
      </c>
      <c r="S5404" s="11"/>
      <c r="T5404" s="10">
        <f>+E5404</f>
        <v>0</v>
      </c>
      <c r="U5404" s="19" t="str">
        <f t="shared" ref="U5404" si="2939">IFERROR(LEFT(G5404,FIND("*",G5404)-1),"-")</f>
        <v>-</v>
      </c>
      <c r="V5404" s="19" t="str">
        <f t="shared" ref="V5404" si="2940">IFERROR(RIGHT(G5404,LEN(G5404)-FIND("*",G5404)),"-")</f>
        <v>-</v>
      </c>
      <c r="W5404" s="20" t="str">
        <f t="shared" si="2938"/>
        <v>-</v>
      </c>
      <c r="X5404" s="20" t="str">
        <f>IFERROR(W5404*H5404,"-")</f>
        <v>-</v>
      </c>
      <c r="Z5404" s="85" t="s">
        <v>82</v>
      </c>
    </row>
    <row r="5405" spans="1:26" ht="6.95" customHeight="1" x14ac:dyDescent="0.3">
      <c r="A5405" s="5"/>
      <c r="B5405" s="157"/>
      <c r="C5405" s="158"/>
      <c r="D5405" s="161"/>
      <c r="E5405" s="162"/>
      <c r="F5405" s="163"/>
      <c r="G5405" s="164"/>
      <c r="H5405" s="165"/>
      <c r="I5405" s="164"/>
      <c r="J5405" s="165"/>
      <c r="K5405" s="164"/>
      <c r="L5405" s="165"/>
      <c r="M5405" s="6"/>
      <c r="N5405" s="32"/>
      <c r="Q5405" s="10" t="str">
        <f>+CONCATENATE(E5404,I5404)</f>
        <v/>
      </c>
      <c r="R5405" s="10">
        <f>+J5404</f>
        <v>0</v>
      </c>
      <c r="S5405" s="11"/>
      <c r="T5405" s="10">
        <f>+E5404</f>
        <v>0</v>
      </c>
      <c r="U5405" s="19" t="str">
        <f>IFERROR(LEFT(I5404,FIND("*",I5404)-1),"-")</f>
        <v>-</v>
      </c>
      <c r="V5405" s="19" t="str">
        <f>IFERROR(RIGHT(I5404,LEN(I5404)-FIND("*",I5404)),"-")</f>
        <v>-</v>
      </c>
      <c r="W5405" s="20" t="str">
        <f t="shared" si="2938"/>
        <v>-</v>
      </c>
      <c r="X5405" s="20" t="str">
        <f>IFERROR(W5405*J5404,"-")</f>
        <v>-</v>
      </c>
      <c r="Z5405" s="85" t="s">
        <v>82</v>
      </c>
    </row>
    <row r="5406" spans="1:26" ht="6.95" customHeight="1" x14ac:dyDescent="0.3">
      <c r="A5406" s="5"/>
      <c r="B5406" s="157"/>
      <c r="C5406" s="158"/>
      <c r="D5406" s="161"/>
      <c r="E5406" s="162"/>
      <c r="F5406" s="163"/>
      <c r="G5406" s="164"/>
      <c r="H5406" s="165"/>
      <c r="I5406" s="164"/>
      <c r="J5406" s="165"/>
      <c r="K5406" s="164"/>
      <c r="L5406" s="165"/>
      <c r="M5406" s="6"/>
      <c r="N5406" s="32"/>
      <c r="Q5406" s="10" t="str">
        <f>+CONCATENATE(E5404,K5404)</f>
        <v/>
      </c>
      <c r="R5406" s="10">
        <f>+L5404</f>
        <v>0</v>
      </c>
      <c r="S5406" s="11"/>
      <c r="T5406" s="10">
        <f>+E5404</f>
        <v>0</v>
      </c>
      <c r="U5406" s="19" t="str">
        <f>IFERROR(LEFT(K5404,FIND("*",K5404)-1),"-")</f>
        <v>-</v>
      </c>
      <c r="V5406" s="19" t="str">
        <f>IFERROR(RIGHT(K5404,LEN(K5404)-FIND("*",K5404)),"-")</f>
        <v>-</v>
      </c>
      <c r="W5406" s="20" t="str">
        <f t="shared" si="2938"/>
        <v>-</v>
      </c>
      <c r="X5406" s="20" t="str">
        <f>IFERROR(W5406*L5404,"-")</f>
        <v>-</v>
      </c>
      <c r="Z5406" s="85" t="s">
        <v>82</v>
      </c>
    </row>
    <row r="5407" spans="1:26" ht="6.95" customHeight="1" x14ac:dyDescent="0.3">
      <c r="A5407" s="8"/>
      <c r="B5407" s="157"/>
      <c r="C5407" s="158"/>
      <c r="D5407" s="161" t="s">
        <v>39</v>
      </c>
      <c r="E5407" s="162"/>
      <c r="F5407" s="163" t="s">
        <v>40</v>
      </c>
      <c r="G5407" s="164"/>
      <c r="H5407" s="165"/>
      <c r="I5407" s="164"/>
      <c r="J5407" s="165"/>
      <c r="K5407" s="164"/>
      <c r="L5407" s="165"/>
      <c r="M5407" s="6"/>
      <c r="N5407" s="32"/>
      <c r="Q5407" s="10" t="str">
        <f>+CONCATENATE(E5407,G5407)</f>
        <v/>
      </c>
      <c r="R5407" s="10">
        <f>+H5407</f>
        <v>0</v>
      </c>
      <c r="S5407" s="11"/>
      <c r="T5407" s="10">
        <f>+E5407</f>
        <v>0</v>
      </c>
      <c r="U5407" s="19" t="str">
        <f t="shared" ref="U5407" si="2941">IFERROR(LEFT(G5407,FIND("*",G5407)-1),"-")</f>
        <v>-</v>
      </c>
      <c r="V5407" s="19" t="str">
        <f t="shared" ref="V5407" si="2942">IFERROR(RIGHT(G5407,LEN(G5407)-FIND("*",G5407)),"-")</f>
        <v>-</v>
      </c>
      <c r="W5407" s="20" t="str">
        <f t="shared" si="2938"/>
        <v>-</v>
      </c>
      <c r="X5407" s="20" t="str">
        <f>IFERROR(W5407*H5407,"-")</f>
        <v>-</v>
      </c>
      <c r="Z5407" s="85" t="s">
        <v>82</v>
      </c>
    </row>
    <row r="5408" spans="1:26" ht="6.95" customHeight="1" x14ac:dyDescent="0.3">
      <c r="A5408" s="5"/>
      <c r="B5408" s="157"/>
      <c r="C5408" s="158"/>
      <c r="D5408" s="161"/>
      <c r="E5408" s="162"/>
      <c r="F5408" s="163"/>
      <c r="G5408" s="164"/>
      <c r="H5408" s="165"/>
      <c r="I5408" s="164"/>
      <c r="J5408" s="165"/>
      <c r="K5408" s="164"/>
      <c r="L5408" s="165"/>
      <c r="M5408" s="6"/>
      <c r="N5408" s="32"/>
      <c r="Q5408" s="10" t="str">
        <f>+CONCATENATE(E5407,I5407)</f>
        <v/>
      </c>
      <c r="R5408" s="10">
        <f>+J5407</f>
        <v>0</v>
      </c>
      <c r="S5408" s="11"/>
      <c r="T5408" s="10">
        <f>+E5407</f>
        <v>0</v>
      </c>
      <c r="U5408" s="19" t="str">
        <f>IFERROR(LEFT(I5407,FIND("*",I5407)-1),"-")</f>
        <v>-</v>
      </c>
      <c r="V5408" s="19" t="str">
        <f>IFERROR(RIGHT(I5407,LEN(I5407)-FIND("*",I5407)),"-")</f>
        <v>-</v>
      </c>
      <c r="W5408" s="20" t="str">
        <f t="shared" si="2938"/>
        <v>-</v>
      </c>
      <c r="X5408" s="20" t="str">
        <f t="shared" ref="X5408" si="2943">IFERROR(W5408*J5407,"-")</f>
        <v>-</v>
      </c>
      <c r="Z5408" s="85" t="s">
        <v>82</v>
      </c>
    </row>
    <row r="5409" spans="1:26" ht="6.95" customHeight="1" x14ac:dyDescent="0.3">
      <c r="A5409" s="5"/>
      <c r="B5409" s="157"/>
      <c r="C5409" s="158"/>
      <c r="D5409" s="161"/>
      <c r="E5409" s="162"/>
      <c r="F5409" s="163"/>
      <c r="G5409" s="164"/>
      <c r="H5409" s="165"/>
      <c r="I5409" s="164"/>
      <c r="J5409" s="165"/>
      <c r="K5409" s="164"/>
      <c r="L5409" s="165"/>
      <c r="M5409" s="6"/>
      <c r="N5409" s="32"/>
      <c r="Q5409" s="10" t="str">
        <f>+CONCATENATE(E5407,K5407)</f>
        <v/>
      </c>
      <c r="R5409" s="10">
        <f>+L5407</f>
        <v>0</v>
      </c>
      <c r="S5409" s="11"/>
      <c r="T5409" s="10">
        <f>+E5407</f>
        <v>0</v>
      </c>
      <c r="U5409" s="19" t="str">
        <f>IFERROR(LEFT(K5407,FIND("*",K5407)-1),"-")</f>
        <v>-</v>
      </c>
      <c r="V5409" s="19" t="str">
        <f>IFERROR(RIGHT(K5407,LEN(K5407)-FIND("*",K5407)),"-")</f>
        <v>-</v>
      </c>
      <c r="W5409" s="20" t="str">
        <f t="shared" si="2938"/>
        <v>-</v>
      </c>
      <c r="X5409" s="20" t="str">
        <f>IFERROR(W5409*L5407,"-")</f>
        <v>-</v>
      </c>
      <c r="Z5409" s="85" t="s">
        <v>82</v>
      </c>
    </row>
    <row r="5410" spans="1:26" ht="21" customHeight="1" thickBot="1" x14ac:dyDescent="0.35">
      <c r="A5410" s="5"/>
      <c r="B5410" s="159"/>
      <c r="C5410" s="160"/>
      <c r="D5410" s="166" t="s">
        <v>43</v>
      </c>
      <c r="E5410" s="167"/>
      <c r="F5410" s="167"/>
      <c r="G5410" s="168"/>
      <c r="H5410" s="168"/>
      <c r="I5410" s="168"/>
      <c r="J5410" s="168"/>
      <c r="K5410" s="168"/>
      <c r="L5410" s="168"/>
      <c r="M5410" s="7"/>
      <c r="N5410" s="32"/>
      <c r="Z5410" s="86" t="s">
        <v>81</v>
      </c>
    </row>
    <row r="5411" spans="1:26" ht="9.9499999999999993" customHeight="1" thickBot="1" x14ac:dyDescent="0.35">
      <c r="B5411" s="9"/>
      <c r="C5411" s="109"/>
      <c r="D5411" s="51"/>
      <c r="E5411" s="12"/>
      <c r="F5411" s="51"/>
      <c r="G5411" s="14"/>
      <c r="H5411" s="14"/>
      <c r="I5411" s="14"/>
      <c r="J5411" s="14"/>
      <c r="K5411" s="14"/>
      <c r="L5411" s="14"/>
      <c r="M5411" s="9"/>
      <c r="N5411" s="32"/>
      <c r="U5411" s="18"/>
      <c r="V5411" s="18"/>
      <c r="Z5411" s="85" t="s">
        <v>82</v>
      </c>
    </row>
    <row r="5412" spans="1:26" ht="6.95" customHeight="1" x14ac:dyDescent="0.3">
      <c r="A5412" s="154">
        <f>+A5401+1</f>
        <v>1291</v>
      </c>
      <c r="B5412" s="155"/>
      <c r="C5412" s="156"/>
      <c r="D5412" s="161" t="s">
        <v>39</v>
      </c>
      <c r="E5412" s="162"/>
      <c r="F5412" s="163" t="s">
        <v>40</v>
      </c>
      <c r="G5412" s="164"/>
      <c r="H5412" s="165"/>
      <c r="I5412" s="164"/>
      <c r="J5412" s="165"/>
      <c r="K5412" s="164"/>
      <c r="L5412" s="165"/>
      <c r="M5412" s="6"/>
      <c r="N5412" s="32"/>
      <c r="Q5412" s="10" t="str">
        <f>+CONCATENATE(E5412,G5412)</f>
        <v/>
      </c>
      <c r="R5412" s="10">
        <f>+H5412</f>
        <v>0</v>
      </c>
      <c r="S5412" s="11"/>
      <c r="T5412" s="10">
        <f>+E5412</f>
        <v>0</v>
      </c>
      <c r="U5412" s="19" t="str">
        <f>IFERROR(LEFT(G5412,FIND("*",G5412)-1),"-")</f>
        <v>-</v>
      </c>
      <c r="V5412" s="19" t="str">
        <f>IFERROR(RIGHT(G5412,LEN(G5412)-FIND("*",G5412)),"-")</f>
        <v>-</v>
      </c>
      <c r="W5412" s="20" t="str">
        <f>IFERROR((U5412+V5412)*2/1000,"-")</f>
        <v>-</v>
      </c>
      <c r="X5412" s="20" t="str">
        <f>IFERROR(W5412*H5412,"-")</f>
        <v>-</v>
      </c>
      <c r="Z5412" s="85" t="s">
        <v>82</v>
      </c>
    </row>
    <row r="5413" spans="1:26" ht="6.95" customHeight="1" x14ac:dyDescent="0.3">
      <c r="A5413" s="154"/>
      <c r="B5413" s="157"/>
      <c r="C5413" s="158"/>
      <c r="D5413" s="161"/>
      <c r="E5413" s="162"/>
      <c r="F5413" s="163"/>
      <c r="G5413" s="164"/>
      <c r="H5413" s="165"/>
      <c r="I5413" s="164"/>
      <c r="J5413" s="165"/>
      <c r="K5413" s="164"/>
      <c r="L5413" s="165"/>
      <c r="M5413" s="6"/>
      <c r="N5413" s="32"/>
      <c r="Q5413" s="10" t="str">
        <f>+CONCATENATE(E5412,I5412)</f>
        <v/>
      </c>
      <c r="R5413" s="10">
        <f>+J5412</f>
        <v>0</v>
      </c>
      <c r="S5413" s="11"/>
      <c r="T5413" s="10">
        <f>+E5412</f>
        <v>0</v>
      </c>
      <c r="U5413" s="19" t="str">
        <f>IFERROR(LEFT(I5412,FIND("*",I5412)-1),"-")</f>
        <v>-</v>
      </c>
      <c r="V5413" s="19" t="str">
        <f>IFERROR(RIGHT(I5412,LEN(I5412)-FIND("*",I5412)),"-")</f>
        <v>-</v>
      </c>
      <c r="W5413" s="20" t="str">
        <f t="shared" ref="W5413:W5420" si="2944">IFERROR((U5413+V5413)*2/1000,"-")</f>
        <v>-</v>
      </c>
      <c r="X5413" s="20" t="str">
        <f>IFERROR(W5413*J5412,"-")</f>
        <v>-</v>
      </c>
      <c r="Z5413" s="85" t="s">
        <v>82</v>
      </c>
    </row>
    <row r="5414" spans="1:26" ht="6.95" customHeight="1" x14ac:dyDescent="0.3">
      <c r="A5414" s="154"/>
      <c r="B5414" s="157"/>
      <c r="C5414" s="158"/>
      <c r="D5414" s="161"/>
      <c r="E5414" s="162"/>
      <c r="F5414" s="163"/>
      <c r="G5414" s="164"/>
      <c r="H5414" s="165"/>
      <c r="I5414" s="164"/>
      <c r="J5414" s="165"/>
      <c r="K5414" s="164"/>
      <c r="L5414" s="165"/>
      <c r="M5414" s="6"/>
      <c r="N5414" s="32"/>
      <c r="Q5414" s="10" t="str">
        <f>+CONCATENATE(E5412,K5412)</f>
        <v/>
      </c>
      <c r="R5414" s="10">
        <f>+L5412</f>
        <v>0</v>
      </c>
      <c r="S5414" s="11"/>
      <c r="T5414" s="10">
        <f>+E5412</f>
        <v>0</v>
      </c>
      <c r="U5414" s="19" t="str">
        <f>IFERROR(LEFT(K5412,FIND("*",K5412)-1),"-")</f>
        <v>-</v>
      </c>
      <c r="V5414" s="19" t="str">
        <f>IFERROR(RIGHT(K5412,LEN(K5412)-FIND("*",K5412)),"-")</f>
        <v>-</v>
      </c>
      <c r="W5414" s="20" t="str">
        <f t="shared" si="2944"/>
        <v>-</v>
      </c>
      <c r="X5414" s="20" t="str">
        <f>IFERROR(W5414*L5412,"-")</f>
        <v>-</v>
      </c>
      <c r="Z5414" s="85" t="s">
        <v>82</v>
      </c>
    </row>
    <row r="5415" spans="1:26" ht="6.95" customHeight="1" x14ac:dyDescent="0.3">
      <c r="A5415" s="8"/>
      <c r="B5415" s="157"/>
      <c r="C5415" s="158"/>
      <c r="D5415" s="161" t="s">
        <v>39</v>
      </c>
      <c r="E5415" s="162"/>
      <c r="F5415" s="163" t="s">
        <v>40</v>
      </c>
      <c r="G5415" s="164"/>
      <c r="H5415" s="165"/>
      <c r="I5415" s="164"/>
      <c r="J5415" s="165"/>
      <c r="K5415" s="164"/>
      <c r="L5415" s="165"/>
      <c r="M5415" s="6"/>
      <c r="N5415" s="32"/>
      <c r="Q5415" s="10" t="str">
        <f>+CONCATENATE(E5415,G5415)</f>
        <v/>
      </c>
      <c r="R5415" s="10">
        <f>+H5415</f>
        <v>0</v>
      </c>
      <c r="S5415" s="11"/>
      <c r="T5415" s="10">
        <f>+E5415</f>
        <v>0</v>
      </c>
      <c r="U5415" s="19" t="str">
        <f t="shared" ref="U5415" si="2945">IFERROR(LEFT(G5415,FIND("*",G5415)-1),"-")</f>
        <v>-</v>
      </c>
      <c r="V5415" s="19" t="str">
        <f t="shared" ref="V5415" si="2946">IFERROR(RIGHT(G5415,LEN(G5415)-FIND("*",G5415)),"-")</f>
        <v>-</v>
      </c>
      <c r="W5415" s="20" t="str">
        <f t="shared" si="2944"/>
        <v>-</v>
      </c>
      <c r="X5415" s="20" t="str">
        <f>IFERROR(W5415*H5415,"-")</f>
        <v>-</v>
      </c>
      <c r="Z5415" s="85" t="s">
        <v>82</v>
      </c>
    </row>
    <row r="5416" spans="1:26" ht="6.95" customHeight="1" x14ac:dyDescent="0.3">
      <c r="A5416" s="5"/>
      <c r="B5416" s="157"/>
      <c r="C5416" s="158"/>
      <c r="D5416" s="161"/>
      <c r="E5416" s="162"/>
      <c r="F5416" s="163"/>
      <c r="G5416" s="164"/>
      <c r="H5416" s="165"/>
      <c r="I5416" s="164"/>
      <c r="J5416" s="165"/>
      <c r="K5416" s="164"/>
      <c r="L5416" s="165"/>
      <c r="M5416" s="6"/>
      <c r="N5416" s="32"/>
      <c r="Q5416" s="10" t="str">
        <f>+CONCATENATE(E5415,I5415)</f>
        <v/>
      </c>
      <c r="R5416" s="10">
        <f>+J5415</f>
        <v>0</v>
      </c>
      <c r="S5416" s="11"/>
      <c r="T5416" s="10">
        <f>+E5415</f>
        <v>0</v>
      </c>
      <c r="U5416" s="19" t="str">
        <f>IFERROR(LEFT(I5415,FIND("*",I5415)-1),"-")</f>
        <v>-</v>
      </c>
      <c r="V5416" s="19" t="str">
        <f>IFERROR(RIGHT(I5415,LEN(I5415)-FIND("*",I5415)),"-")</f>
        <v>-</v>
      </c>
      <c r="W5416" s="20" t="str">
        <f t="shared" si="2944"/>
        <v>-</v>
      </c>
      <c r="X5416" s="20" t="str">
        <f>IFERROR(W5416*J5415,"-")</f>
        <v>-</v>
      </c>
      <c r="Z5416" s="85" t="s">
        <v>82</v>
      </c>
    </row>
    <row r="5417" spans="1:26" ht="6.95" customHeight="1" x14ac:dyDescent="0.3">
      <c r="A5417" s="5"/>
      <c r="B5417" s="157"/>
      <c r="C5417" s="158"/>
      <c r="D5417" s="161"/>
      <c r="E5417" s="162"/>
      <c r="F5417" s="163"/>
      <c r="G5417" s="164"/>
      <c r="H5417" s="165"/>
      <c r="I5417" s="164"/>
      <c r="J5417" s="165"/>
      <c r="K5417" s="164"/>
      <c r="L5417" s="165"/>
      <c r="M5417" s="6"/>
      <c r="N5417" s="32"/>
      <c r="Q5417" s="10" t="str">
        <f>+CONCATENATE(E5415,K5415)</f>
        <v/>
      </c>
      <c r="R5417" s="10">
        <f>+L5415</f>
        <v>0</v>
      </c>
      <c r="S5417" s="11"/>
      <c r="T5417" s="10">
        <f>+E5415</f>
        <v>0</v>
      </c>
      <c r="U5417" s="19" t="str">
        <f>IFERROR(LEFT(K5415,FIND("*",K5415)-1),"-")</f>
        <v>-</v>
      </c>
      <c r="V5417" s="19" t="str">
        <f>IFERROR(RIGHT(K5415,LEN(K5415)-FIND("*",K5415)),"-")</f>
        <v>-</v>
      </c>
      <c r="W5417" s="20" t="str">
        <f t="shared" si="2944"/>
        <v>-</v>
      </c>
      <c r="X5417" s="20" t="str">
        <f>IFERROR(W5417*L5415,"-")</f>
        <v>-</v>
      </c>
      <c r="Z5417" s="85" t="s">
        <v>82</v>
      </c>
    </row>
    <row r="5418" spans="1:26" ht="6.95" customHeight="1" x14ac:dyDescent="0.3">
      <c r="A5418" s="8"/>
      <c r="B5418" s="157"/>
      <c r="C5418" s="158"/>
      <c r="D5418" s="161" t="s">
        <v>39</v>
      </c>
      <c r="E5418" s="162"/>
      <c r="F5418" s="163" t="s">
        <v>40</v>
      </c>
      <c r="G5418" s="164"/>
      <c r="H5418" s="165"/>
      <c r="I5418" s="164"/>
      <c r="J5418" s="165"/>
      <c r="K5418" s="164"/>
      <c r="L5418" s="165"/>
      <c r="M5418" s="6"/>
      <c r="N5418" s="32"/>
      <c r="Q5418" s="10" t="str">
        <f>+CONCATENATE(E5418,G5418)</f>
        <v/>
      </c>
      <c r="R5418" s="10">
        <f>+H5418</f>
        <v>0</v>
      </c>
      <c r="S5418" s="11"/>
      <c r="T5418" s="10">
        <f>+E5418</f>
        <v>0</v>
      </c>
      <c r="U5418" s="19" t="str">
        <f t="shared" ref="U5418" si="2947">IFERROR(LEFT(G5418,FIND("*",G5418)-1),"-")</f>
        <v>-</v>
      </c>
      <c r="V5418" s="19" t="str">
        <f t="shared" ref="V5418" si="2948">IFERROR(RIGHT(G5418,LEN(G5418)-FIND("*",G5418)),"-")</f>
        <v>-</v>
      </c>
      <c r="W5418" s="20" t="str">
        <f t="shared" si="2944"/>
        <v>-</v>
      </c>
      <c r="X5418" s="20" t="str">
        <f>IFERROR(W5418*H5418,"-")</f>
        <v>-</v>
      </c>
      <c r="Z5418" s="85" t="s">
        <v>82</v>
      </c>
    </row>
    <row r="5419" spans="1:26" ht="6.95" customHeight="1" x14ac:dyDescent="0.3">
      <c r="A5419" s="5"/>
      <c r="B5419" s="157"/>
      <c r="C5419" s="158"/>
      <c r="D5419" s="161"/>
      <c r="E5419" s="162"/>
      <c r="F5419" s="163"/>
      <c r="G5419" s="164"/>
      <c r="H5419" s="165"/>
      <c r="I5419" s="164"/>
      <c r="J5419" s="165"/>
      <c r="K5419" s="164"/>
      <c r="L5419" s="165"/>
      <c r="M5419" s="6"/>
      <c r="N5419" s="32"/>
      <c r="Q5419" s="10" t="str">
        <f>+CONCATENATE(E5418,I5418)</f>
        <v/>
      </c>
      <c r="R5419" s="10">
        <f>+J5418</f>
        <v>0</v>
      </c>
      <c r="S5419" s="11"/>
      <c r="T5419" s="10">
        <f>+E5418</f>
        <v>0</v>
      </c>
      <c r="U5419" s="19" t="str">
        <f>IFERROR(LEFT(I5418,FIND("*",I5418)-1),"-")</f>
        <v>-</v>
      </c>
      <c r="V5419" s="19" t="str">
        <f>IFERROR(RIGHT(I5418,LEN(I5418)-FIND("*",I5418)),"-")</f>
        <v>-</v>
      </c>
      <c r="W5419" s="20" t="str">
        <f t="shared" si="2944"/>
        <v>-</v>
      </c>
      <c r="X5419" s="20" t="str">
        <f t="shared" ref="X5419" si="2949">IFERROR(W5419*J5418,"-")</f>
        <v>-</v>
      </c>
      <c r="Z5419" s="85" t="s">
        <v>82</v>
      </c>
    </row>
    <row r="5420" spans="1:26" ht="6.95" customHeight="1" x14ac:dyDescent="0.3">
      <c r="A5420" s="5"/>
      <c r="B5420" s="157"/>
      <c r="C5420" s="158"/>
      <c r="D5420" s="161"/>
      <c r="E5420" s="162"/>
      <c r="F5420" s="163"/>
      <c r="G5420" s="164"/>
      <c r="H5420" s="165"/>
      <c r="I5420" s="164"/>
      <c r="J5420" s="165"/>
      <c r="K5420" s="164"/>
      <c r="L5420" s="165"/>
      <c r="M5420" s="6"/>
      <c r="N5420" s="32"/>
      <c r="Q5420" s="10" t="str">
        <f>+CONCATENATE(E5418,K5418)</f>
        <v/>
      </c>
      <c r="R5420" s="10">
        <f>+L5418</f>
        <v>0</v>
      </c>
      <c r="S5420" s="11"/>
      <c r="T5420" s="10">
        <f>+E5418</f>
        <v>0</v>
      </c>
      <c r="U5420" s="19" t="str">
        <f>IFERROR(LEFT(K5418,FIND("*",K5418)-1),"-")</f>
        <v>-</v>
      </c>
      <c r="V5420" s="19" t="str">
        <f>IFERROR(RIGHT(K5418,LEN(K5418)-FIND("*",K5418)),"-")</f>
        <v>-</v>
      </c>
      <c r="W5420" s="20" t="str">
        <f t="shared" si="2944"/>
        <v>-</v>
      </c>
      <c r="X5420" s="20" t="str">
        <f>IFERROR(W5420*L5418,"-")</f>
        <v>-</v>
      </c>
      <c r="Z5420" s="85" t="s">
        <v>82</v>
      </c>
    </row>
    <row r="5421" spans="1:26" ht="21" customHeight="1" thickBot="1" x14ac:dyDescent="0.35">
      <c r="A5421" s="5"/>
      <c r="B5421" s="159"/>
      <c r="C5421" s="160"/>
      <c r="D5421" s="166" t="s">
        <v>43</v>
      </c>
      <c r="E5421" s="167"/>
      <c r="F5421" s="167"/>
      <c r="G5421" s="168"/>
      <c r="H5421" s="168"/>
      <c r="I5421" s="168"/>
      <c r="J5421" s="168"/>
      <c r="K5421" s="168"/>
      <c r="L5421" s="168"/>
      <c r="M5421" s="7"/>
      <c r="N5421" s="32"/>
      <c r="Z5421" s="86" t="s">
        <v>81</v>
      </c>
    </row>
    <row r="5422" spans="1:26" ht="9.9499999999999993" customHeight="1" thickBot="1" x14ac:dyDescent="0.35">
      <c r="B5422" s="9"/>
      <c r="C5422" s="109"/>
      <c r="D5422" s="51"/>
      <c r="E5422" s="12"/>
      <c r="F5422" s="51"/>
      <c r="G5422" s="14"/>
      <c r="H5422" s="14"/>
      <c r="I5422" s="14"/>
      <c r="J5422" s="14"/>
      <c r="K5422" s="14"/>
      <c r="L5422" s="14"/>
      <c r="M5422" s="9"/>
      <c r="N5422" s="32"/>
      <c r="U5422" s="18"/>
      <c r="V5422" s="18"/>
      <c r="Z5422" s="85" t="s">
        <v>82</v>
      </c>
    </row>
    <row r="5423" spans="1:26" ht="6.95" customHeight="1" x14ac:dyDescent="0.3">
      <c r="A5423" s="154">
        <f>+A5412+1</f>
        <v>1292</v>
      </c>
      <c r="B5423" s="155"/>
      <c r="C5423" s="156"/>
      <c r="D5423" s="161" t="s">
        <v>39</v>
      </c>
      <c r="E5423" s="162"/>
      <c r="F5423" s="163" t="s">
        <v>40</v>
      </c>
      <c r="G5423" s="164"/>
      <c r="H5423" s="165"/>
      <c r="I5423" s="164"/>
      <c r="J5423" s="165"/>
      <c r="K5423" s="164"/>
      <c r="L5423" s="165"/>
      <c r="M5423" s="6"/>
      <c r="N5423" s="32"/>
      <c r="Q5423" s="10" t="str">
        <f>+CONCATENATE(E5423,G5423)</f>
        <v/>
      </c>
      <c r="R5423" s="10">
        <f>+H5423</f>
        <v>0</v>
      </c>
      <c r="S5423" s="11"/>
      <c r="T5423" s="10">
        <f>+E5423</f>
        <v>0</v>
      </c>
      <c r="U5423" s="19" t="str">
        <f>IFERROR(LEFT(G5423,FIND("*",G5423)-1),"-")</f>
        <v>-</v>
      </c>
      <c r="V5423" s="19" t="str">
        <f>IFERROR(RIGHT(G5423,LEN(G5423)-FIND("*",G5423)),"-")</f>
        <v>-</v>
      </c>
      <c r="W5423" s="20" t="str">
        <f>IFERROR((U5423+V5423)*2/1000,"-")</f>
        <v>-</v>
      </c>
      <c r="X5423" s="20" t="str">
        <f>IFERROR(W5423*H5423,"-")</f>
        <v>-</v>
      </c>
      <c r="Z5423" s="85" t="s">
        <v>82</v>
      </c>
    </row>
    <row r="5424" spans="1:26" ht="6.95" customHeight="1" x14ac:dyDescent="0.3">
      <c r="A5424" s="154"/>
      <c r="B5424" s="157"/>
      <c r="C5424" s="158"/>
      <c r="D5424" s="161"/>
      <c r="E5424" s="162"/>
      <c r="F5424" s="163"/>
      <c r="G5424" s="164"/>
      <c r="H5424" s="165"/>
      <c r="I5424" s="164"/>
      <c r="J5424" s="165"/>
      <c r="K5424" s="164"/>
      <c r="L5424" s="165"/>
      <c r="M5424" s="6"/>
      <c r="N5424" s="32"/>
      <c r="Q5424" s="10" t="str">
        <f>+CONCATENATE(E5423,I5423)</f>
        <v/>
      </c>
      <c r="R5424" s="10">
        <f>+J5423</f>
        <v>0</v>
      </c>
      <c r="S5424" s="11"/>
      <c r="T5424" s="10">
        <f>+E5423</f>
        <v>0</v>
      </c>
      <c r="U5424" s="19" t="str">
        <f>IFERROR(LEFT(I5423,FIND("*",I5423)-1),"-")</f>
        <v>-</v>
      </c>
      <c r="V5424" s="19" t="str">
        <f>IFERROR(RIGHT(I5423,LEN(I5423)-FIND("*",I5423)),"-")</f>
        <v>-</v>
      </c>
      <c r="W5424" s="20" t="str">
        <f t="shared" ref="W5424:W5431" si="2950">IFERROR((U5424+V5424)*2/1000,"-")</f>
        <v>-</v>
      </c>
      <c r="X5424" s="20" t="str">
        <f>IFERROR(W5424*J5423,"-")</f>
        <v>-</v>
      </c>
      <c r="Z5424" s="85" t="s">
        <v>82</v>
      </c>
    </row>
    <row r="5425" spans="1:26" ht="6.95" customHeight="1" x14ac:dyDescent="0.3">
      <c r="A5425" s="154"/>
      <c r="B5425" s="157"/>
      <c r="C5425" s="158"/>
      <c r="D5425" s="161"/>
      <c r="E5425" s="162"/>
      <c r="F5425" s="163"/>
      <c r="G5425" s="164"/>
      <c r="H5425" s="165"/>
      <c r="I5425" s="164"/>
      <c r="J5425" s="165"/>
      <c r="K5425" s="164"/>
      <c r="L5425" s="165"/>
      <c r="M5425" s="6"/>
      <c r="N5425" s="32"/>
      <c r="Q5425" s="10" t="str">
        <f>+CONCATENATE(E5423,K5423)</f>
        <v/>
      </c>
      <c r="R5425" s="10">
        <f>+L5423</f>
        <v>0</v>
      </c>
      <c r="S5425" s="11"/>
      <c r="T5425" s="10">
        <f>+E5423</f>
        <v>0</v>
      </c>
      <c r="U5425" s="19" t="str">
        <f>IFERROR(LEFT(K5423,FIND("*",K5423)-1),"-")</f>
        <v>-</v>
      </c>
      <c r="V5425" s="19" t="str">
        <f>IFERROR(RIGHT(K5423,LEN(K5423)-FIND("*",K5423)),"-")</f>
        <v>-</v>
      </c>
      <c r="W5425" s="20" t="str">
        <f t="shared" si="2950"/>
        <v>-</v>
      </c>
      <c r="X5425" s="20" t="str">
        <f>IFERROR(W5425*L5423,"-")</f>
        <v>-</v>
      </c>
      <c r="Z5425" s="85" t="s">
        <v>82</v>
      </c>
    </row>
    <row r="5426" spans="1:26" ht="6.95" customHeight="1" x14ac:dyDescent="0.3">
      <c r="A5426" s="8"/>
      <c r="B5426" s="157"/>
      <c r="C5426" s="158"/>
      <c r="D5426" s="161" t="s">
        <v>39</v>
      </c>
      <c r="E5426" s="162"/>
      <c r="F5426" s="163" t="s">
        <v>40</v>
      </c>
      <c r="G5426" s="164"/>
      <c r="H5426" s="165"/>
      <c r="I5426" s="164"/>
      <c r="J5426" s="165"/>
      <c r="K5426" s="164"/>
      <c r="L5426" s="165"/>
      <c r="M5426" s="6"/>
      <c r="N5426" s="32"/>
      <c r="Q5426" s="10" t="str">
        <f>+CONCATENATE(E5426,G5426)</f>
        <v/>
      </c>
      <c r="R5426" s="10">
        <f>+H5426</f>
        <v>0</v>
      </c>
      <c r="S5426" s="11"/>
      <c r="T5426" s="10">
        <f>+E5426</f>
        <v>0</v>
      </c>
      <c r="U5426" s="19" t="str">
        <f t="shared" ref="U5426" si="2951">IFERROR(LEFT(G5426,FIND("*",G5426)-1),"-")</f>
        <v>-</v>
      </c>
      <c r="V5426" s="19" t="str">
        <f t="shared" ref="V5426" si="2952">IFERROR(RIGHT(G5426,LEN(G5426)-FIND("*",G5426)),"-")</f>
        <v>-</v>
      </c>
      <c r="W5426" s="20" t="str">
        <f t="shared" si="2950"/>
        <v>-</v>
      </c>
      <c r="X5426" s="20" t="str">
        <f>IFERROR(W5426*H5426,"-")</f>
        <v>-</v>
      </c>
      <c r="Z5426" s="85" t="s">
        <v>82</v>
      </c>
    </row>
    <row r="5427" spans="1:26" ht="6.95" customHeight="1" x14ac:dyDescent="0.3">
      <c r="A5427" s="5"/>
      <c r="B5427" s="157"/>
      <c r="C5427" s="158"/>
      <c r="D5427" s="161"/>
      <c r="E5427" s="162"/>
      <c r="F5427" s="163"/>
      <c r="G5427" s="164"/>
      <c r="H5427" s="165"/>
      <c r="I5427" s="164"/>
      <c r="J5427" s="165"/>
      <c r="K5427" s="164"/>
      <c r="L5427" s="165"/>
      <c r="M5427" s="6"/>
      <c r="N5427" s="32"/>
      <c r="Q5427" s="10" t="str">
        <f>+CONCATENATE(E5426,I5426)</f>
        <v/>
      </c>
      <c r="R5427" s="10">
        <f>+J5426</f>
        <v>0</v>
      </c>
      <c r="S5427" s="11"/>
      <c r="T5427" s="10">
        <f>+E5426</f>
        <v>0</v>
      </c>
      <c r="U5427" s="19" t="str">
        <f>IFERROR(LEFT(I5426,FIND("*",I5426)-1),"-")</f>
        <v>-</v>
      </c>
      <c r="V5427" s="19" t="str">
        <f>IFERROR(RIGHT(I5426,LEN(I5426)-FIND("*",I5426)),"-")</f>
        <v>-</v>
      </c>
      <c r="W5427" s="20" t="str">
        <f t="shared" si="2950"/>
        <v>-</v>
      </c>
      <c r="X5427" s="20" t="str">
        <f>IFERROR(W5427*J5426,"-")</f>
        <v>-</v>
      </c>
      <c r="Z5427" s="85" t="s">
        <v>82</v>
      </c>
    </row>
    <row r="5428" spans="1:26" ht="6.95" customHeight="1" x14ac:dyDescent="0.3">
      <c r="A5428" s="5"/>
      <c r="B5428" s="157"/>
      <c r="C5428" s="158"/>
      <c r="D5428" s="161"/>
      <c r="E5428" s="162"/>
      <c r="F5428" s="163"/>
      <c r="G5428" s="164"/>
      <c r="H5428" s="165"/>
      <c r="I5428" s="164"/>
      <c r="J5428" s="165"/>
      <c r="K5428" s="164"/>
      <c r="L5428" s="165"/>
      <c r="M5428" s="6"/>
      <c r="N5428" s="32"/>
      <c r="Q5428" s="10" t="str">
        <f>+CONCATENATE(E5426,K5426)</f>
        <v/>
      </c>
      <c r="R5428" s="10">
        <f>+L5426</f>
        <v>0</v>
      </c>
      <c r="S5428" s="11"/>
      <c r="T5428" s="10">
        <f>+E5426</f>
        <v>0</v>
      </c>
      <c r="U5428" s="19" t="str">
        <f>IFERROR(LEFT(K5426,FIND("*",K5426)-1),"-")</f>
        <v>-</v>
      </c>
      <c r="V5428" s="19" t="str">
        <f>IFERROR(RIGHT(K5426,LEN(K5426)-FIND("*",K5426)),"-")</f>
        <v>-</v>
      </c>
      <c r="W5428" s="20" t="str">
        <f t="shared" si="2950"/>
        <v>-</v>
      </c>
      <c r="X5428" s="20" t="str">
        <f>IFERROR(W5428*L5426,"-")</f>
        <v>-</v>
      </c>
      <c r="Z5428" s="85" t="s">
        <v>82</v>
      </c>
    </row>
    <row r="5429" spans="1:26" ht="6.95" customHeight="1" x14ac:dyDescent="0.3">
      <c r="A5429" s="8"/>
      <c r="B5429" s="157"/>
      <c r="C5429" s="158"/>
      <c r="D5429" s="161" t="s">
        <v>39</v>
      </c>
      <c r="E5429" s="162"/>
      <c r="F5429" s="163" t="s">
        <v>40</v>
      </c>
      <c r="G5429" s="164"/>
      <c r="H5429" s="165"/>
      <c r="I5429" s="164"/>
      <c r="J5429" s="165"/>
      <c r="K5429" s="164"/>
      <c r="L5429" s="165"/>
      <c r="M5429" s="6"/>
      <c r="N5429" s="32"/>
      <c r="Q5429" s="10" t="str">
        <f>+CONCATENATE(E5429,G5429)</f>
        <v/>
      </c>
      <c r="R5429" s="10">
        <f>+H5429</f>
        <v>0</v>
      </c>
      <c r="S5429" s="11"/>
      <c r="T5429" s="10">
        <f>+E5429</f>
        <v>0</v>
      </c>
      <c r="U5429" s="19" t="str">
        <f t="shared" ref="U5429" si="2953">IFERROR(LEFT(G5429,FIND("*",G5429)-1),"-")</f>
        <v>-</v>
      </c>
      <c r="V5429" s="19" t="str">
        <f t="shared" ref="V5429" si="2954">IFERROR(RIGHT(G5429,LEN(G5429)-FIND("*",G5429)),"-")</f>
        <v>-</v>
      </c>
      <c r="W5429" s="20" t="str">
        <f t="shared" si="2950"/>
        <v>-</v>
      </c>
      <c r="X5429" s="20" t="str">
        <f>IFERROR(W5429*H5429,"-")</f>
        <v>-</v>
      </c>
      <c r="Z5429" s="85" t="s">
        <v>82</v>
      </c>
    </row>
    <row r="5430" spans="1:26" ht="6.95" customHeight="1" x14ac:dyDescent="0.3">
      <c r="A5430" s="5"/>
      <c r="B5430" s="157"/>
      <c r="C5430" s="158"/>
      <c r="D5430" s="161"/>
      <c r="E5430" s="162"/>
      <c r="F5430" s="163"/>
      <c r="G5430" s="164"/>
      <c r="H5430" s="165"/>
      <c r="I5430" s="164"/>
      <c r="J5430" s="165"/>
      <c r="K5430" s="164"/>
      <c r="L5430" s="165"/>
      <c r="M5430" s="6"/>
      <c r="N5430" s="32"/>
      <c r="Q5430" s="10" t="str">
        <f>+CONCATENATE(E5429,I5429)</f>
        <v/>
      </c>
      <c r="R5430" s="10">
        <f>+J5429</f>
        <v>0</v>
      </c>
      <c r="S5430" s="11"/>
      <c r="T5430" s="10">
        <f>+E5429</f>
        <v>0</v>
      </c>
      <c r="U5430" s="19" t="str">
        <f>IFERROR(LEFT(I5429,FIND("*",I5429)-1),"-")</f>
        <v>-</v>
      </c>
      <c r="V5430" s="19" t="str">
        <f>IFERROR(RIGHT(I5429,LEN(I5429)-FIND("*",I5429)),"-")</f>
        <v>-</v>
      </c>
      <c r="W5430" s="20" t="str">
        <f t="shared" si="2950"/>
        <v>-</v>
      </c>
      <c r="X5430" s="20" t="str">
        <f t="shared" ref="X5430" si="2955">IFERROR(W5430*J5429,"-")</f>
        <v>-</v>
      </c>
      <c r="Z5430" s="85" t="s">
        <v>82</v>
      </c>
    </row>
    <row r="5431" spans="1:26" ht="6.95" customHeight="1" x14ac:dyDescent="0.3">
      <c r="A5431" s="5"/>
      <c r="B5431" s="157"/>
      <c r="C5431" s="158"/>
      <c r="D5431" s="161"/>
      <c r="E5431" s="162"/>
      <c r="F5431" s="163"/>
      <c r="G5431" s="164"/>
      <c r="H5431" s="165"/>
      <c r="I5431" s="164"/>
      <c r="J5431" s="165"/>
      <c r="K5431" s="164"/>
      <c r="L5431" s="165"/>
      <c r="M5431" s="6"/>
      <c r="N5431" s="32"/>
      <c r="Q5431" s="10" t="str">
        <f>+CONCATENATE(E5429,K5429)</f>
        <v/>
      </c>
      <c r="R5431" s="10">
        <f>+L5429</f>
        <v>0</v>
      </c>
      <c r="S5431" s="11"/>
      <c r="T5431" s="10">
        <f>+E5429</f>
        <v>0</v>
      </c>
      <c r="U5431" s="19" t="str">
        <f>IFERROR(LEFT(K5429,FIND("*",K5429)-1),"-")</f>
        <v>-</v>
      </c>
      <c r="V5431" s="19" t="str">
        <f>IFERROR(RIGHT(K5429,LEN(K5429)-FIND("*",K5429)),"-")</f>
        <v>-</v>
      </c>
      <c r="W5431" s="20" t="str">
        <f t="shared" si="2950"/>
        <v>-</v>
      </c>
      <c r="X5431" s="20" t="str">
        <f>IFERROR(W5431*L5429,"-")</f>
        <v>-</v>
      </c>
      <c r="Z5431" s="85" t="s">
        <v>82</v>
      </c>
    </row>
    <row r="5432" spans="1:26" ht="21" customHeight="1" thickBot="1" x14ac:dyDescent="0.35">
      <c r="A5432" s="5"/>
      <c r="B5432" s="159"/>
      <c r="C5432" s="160"/>
      <c r="D5432" s="166" t="s">
        <v>43</v>
      </c>
      <c r="E5432" s="167"/>
      <c r="F5432" s="167"/>
      <c r="G5432" s="168"/>
      <c r="H5432" s="168"/>
      <c r="I5432" s="168"/>
      <c r="J5432" s="168"/>
      <c r="K5432" s="168"/>
      <c r="L5432" s="168"/>
      <c r="M5432" s="7"/>
      <c r="N5432" s="32"/>
      <c r="Z5432" s="86" t="s">
        <v>81</v>
      </c>
    </row>
    <row r="5433" spans="1:26" ht="9.9499999999999993" customHeight="1" thickBot="1" x14ac:dyDescent="0.35">
      <c r="B5433" s="9"/>
      <c r="C5433" s="109"/>
      <c r="D5433" s="51"/>
      <c r="E5433" s="12"/>
      <c r="F5433" s="51"/>
      <c r="G5433" s="14"/>
      <c r="H5433" s="14"/>
      <c r="I5433" s="14"/>
      <c r="J5433" s="14"/>
      <c r="K5433" s="14"/>
      <c r="L5433" s="14"/>
      <c r="M5433" s="9"/>
      <c r="N5433" s="32"/>
      <c r="U5433" s="18"/>
      <c r="V5433" s="18"/>
      <c r="Z5433" s="85" t="s">
        <v>82</v>
      </c>
    </row>
    <row r="5434" spans="1:26" ht="6.95" customHeight="1" x14ac:dyDescent="0.3">
      <c r="A5434" s="154">
        <f>+A5423+1</f>
        <v>1293</v>
      </c>
      <c r="B5434" s="155"/>
      <c r="C5434" s="156"/>
      <c r="D5434" s="161" t="s">
        <v>39</v>
      </c>
      <c r="E5434" s="162"/>
      <c r="F5434" s="163" t="s">
        <v>40</v>
      </c>
      <c r="G5434" s="164"/>
      <c r="H5434" s="165"/>
      <c r="I5434" s="164"/>
      <c r="J5434" s="165"/>
      <c r="K5434" s="164"/>
      <c r="L5434" s="165"/>
      <c r="M5434" s="6"/>
      <c r="N5434" s="32"/>
      <c r="Q5434" s="10" t="str">
        <f>+CONCATENATE(E5434,G5434)</f>
        <v/>
      </c>
      <c r="R5434" s="10">
        <f>+H5434</f>
        <v>0</v>
      </c>
      <c r="S5434" s="11"/>
      <c r="T5434" s="10">
        <f>+E5434</f>
        <v>0</v>
      </c>
      <c r="U5434" s="19" t="str">
        <f>IFERROR(LEFT(G5434,FIND("*",G5434)-1),"-")</f>
        <v>-</v>
      </c>
      <c r="V5434" s="19" t="str">
        <f>IFERROR(RIGHT(G5434,LEN(G5434)-FIND("*",G5434)),"-")</f>
        <v>-</v>
      </c>
      <c r="W5434" s="20" t="str">
        <f>IFERROR((U5434+V5434)*2/1000,"-")</f>
        <v>-</v>
      </c>
      <c r="X5434" s="20" t="str">
        <f>IFERROR(W5434*H5434,"-")</f>
        <v>-</v>
      </c>
      <c r="Z5434" s="85" t="s">
        <v>82</v>
      </c>
    </row>
    <row r="5435" spans="1:26" ht="6.95" customHeight="1" x14ac:dyDescent="0.3">
      <c r="A5435" s="154"/>
      <c r="B5435" s="157"/>
      <c r="C5435" s="158"/>
      <c r="D5435" s="161"/>
      <c r="E5435" s="162"/>
      <c r="F5435" s="163"/>
      <c r="G5435" s="164"/>
      <c r="H5435" s="165"/>
      <c r="I5435" s="164"/>
      <c r="J5435" s="165"/>
      <c r="K5435" s="164"/>
      <c r="L5435" s="165"/>
      <c r="M5435" s="6"/>
      <c r="N5435" s="32"/>
      <c r="Q5435" s="10" t="str">
        <f>+CONCATENATE(E5434,I5434)</f>
        <v/>
      </c>
      <c r="R5435" s="10">
        <f>+J5434</f>
        <v>0</v>
      </c>
      <c r="S5435" s="11"/>
      <c r="T5435" s="10">
        <f>+E5434</f>
        <v>0</v>
      </c>
      <c r="U5435" s="19" t="str">
        <f>IFERROR(LEFT(I5434,FIND("*",I5434)-1),"-")</f>
        <v>-</v>
      </c>
      <c r="V5435" s="19" t="str">
        <f>IFERROR(RIGHT(I5434,LEN(I5434)-FIND("*",I5434)),"-")</f>
        <v>-</v>
      </c>
      <c r="W5435" s="20" t="str">
        <f t="shared" ref="W5435:W5442" si="2956">IFERROR((U5435+V5435)*2/1000,"-")</f>
        <v>-</v>
      </c>
      <c r="X5435" s="20" t="str">
        <f>IFERROR(W5435*J5434,"-")</f>
        <v>-</v>
      </c>
      <c r="Z5435" s="85" t="s">
        <v>82</v>
      </c>
    </row>
    <row r="5436" spans="1:26" ht="6.95" customHeight="1" x14ac:dyDescent="0.3">
      <c r="A5436" s="154"/>
      <c r="B5436" s="157"/>
      <c r="C5436" s="158"/>
      <c r="D5436" s="161"/>
      <c r="E5436" s="162"/>
      <c r="F5436" s="163"/>
      <c r="G5436" s="164"/>
      <c r="H5436" s="165"/>
      <c r="I5436" s="164"/>
      <c r="J5436" s="165"/>
      <c r="K5436" s="164"/>
      <c r="L5436" s="165"/>
      <c r="M5436" s="6"/>
      <c r="N5436" s="32"/>
      <c r="Q5436" s="10" t="str">
        <f>+CONCATENATE(E5434,K5434)</f>
        <v/>
      </c>
      <c r="R5436" s="10">
        <f>+L5434</f>
        <v>0</v>
      </c>
      <c r="S5436" s="11"/>
      <c r="T5436" s="10">
        <f>+E5434</f>
        <v>0</v>
      </c>
      <c r="U5436" s="19" t="str">
        <f>IFERROR(LEFT(K5434,FIND("*",K5434)-1),"-")</f>
        <v>-</v>
      </c>
      <c r="V5436" s="19" t="str">
        <f>IFERROR(RIGHT(K5434,LEN(K5434)-FIND("*",K5434)),"-")</f>
        <v>-</v>
      </c>
      <c r="W5436" s="20" t="str">
        <f t="shared" si="2956"/>
        <v>-</v>
      </c>
      <c r="X5436" s="20" t="str">
        <f>IFERROR(W5436*L5434,"-")</f>
        <v>-</v>
      </c>
      <c r="Z5436" s="85" t="s">
        <v>82</v>
      </c>
    </row>
    <row r="5437" spans="1:26" ht="6.95" customHeight="1" x14ac:dyDescent="0.3">
      <c r="A5437" s="8"/>
      <c r="B5437" s="157"/>
      <c r="C5437" s="158"/>
      <c r="D5437" s="161" t="s">
        <v>39</v>
      </c>
      <c r="E5437" s="162"/>
      <c r="F5437" s="163" t="s">
        <v>40</v>
      </c>
      <c r="G5437" s="164"/>
      <c r="H5437" s="165"/>
      <c r="I5437" s="164"/>
      <c r="J5437" s="165"/>
      <c r="K5437" s="164"/>
      <c r="L5437" s="165"/>
      <c r="M5437" s="6"/>
      <c r="N5437" s="32"/>
      <c r="Q5437" s="10" t="str">
        <f>+CONCATENATE(E5437,G5437)</f>
        <v/>
      </c>
      <c r="R5437" s="10">
        <f>+H5437</f>
        <v>0</v>
      </c>
      <c r="S5437" s="11"/>
      <c r="T5437" s="10">
        <f>+E5437</f>
        <v>0</v>
      </c>
      <c r="U5437" s="19" t="str">
        <f t="shared" ref="U5437" si="2957">IFERROR(LEFT(G5437,FIND("*",G5437)-1),"-")</f>
        <v>-</v>
      </c>
      <c r="V5437" s="19" t="str">
        <f t="shared" ref="V5437" si="2958">IFERROR(RIGHT(G5437,LEN(G5437)-FIND("*",G5437)),"-")</f>
        <v>-</v>
      </c>
      <c r="W5437" s="20" t="str">
        <f t="shared" si="2956"/>
        <v>-</v>
      </c>
      <c r="X5437" s="20" t="str">
        <f>IFERROR(W5437*H5437,"-")</f>
        <v>-</v>
      </c>
      <c r="Z5437" s="85" t="s">
        <v>82</v>
      </c>
    </row>
    <row r="5438" spans="1:26" ht="6.95" customHeight="1" x14ac:dyDescent="0.3">
      <c r="A5438" s="5"/>
      <c r="B5438" s="157"/>
      <c r="C5438" s="158"/>
      <c r="D5438" s="161"/>
      <c r="E5438" s="162"/>
      <c r="F5438" s="163"/>
      <c r="G5438" s="164"/>
      <c r="H5438" s="165"/>
      <c r="I5438" s="164"/>
      <c r="J5438" s="165"/>
      <c r="K5438" s="164"/>
      <c r="L5438" s="165"/>
      <c r="M5438" s="6"/>
      <c r="N5438" s="32"/>
      <c r="Q5438" s="10" t="str">
        <f>+CONCATENATE(E5437,I5437)</f>
        <v/>
      </c>
      <c r="R5438" s="10">
        <f>+J5437</f>
        <v>0</v>
      </c>
      <c r="S5438" s="11"/>
      <c r="T5438" s="10">
        <f>+E5437</f>
        <v>0</v>
      </c>
      <c r="U5438" s="19" t="str">
        <f>IFERROR(LEFT(I5437,FIND("*",I5437)-1),"-")</f>
        <v>-</v>
      </c>
      <c r="V5438" s="19" t="str">
        <f>IFERROR(RIGHT(I5437,LEN(I5437)-FIND("*",I5437)),"-")</f>
        <v>-</v>
      </c>
      <c r="W5438" s="20" t="str">
        <f t="shared" si="2956"/>
        <v>-</v>
      </c>
      <c r="X5438" s="20" t="str">
        <f>IFERROR(W5438*J5437,"-")</f>
        <v>-</v>
      </c>
      <c r="Z5438" s="85" t="s">
        <v>82</v>
      </c>
    </row>
    <row r="5439" spans="1:26" ht="6.95" customHeight="1" x14ac:dyDescent="0.3">
      <c r="A5439" s="5"/>
      <c r="B5439" s="157"/>
      <c r="C5439" s="158"/>
      <c r="D5439" s="161"/>
      <c r="E5439" s="162"/>
      <c r="F5439" s="163"/>
      <c r="G5439" s="164"/>
      <c r="H5439" s="165"/>
      <c r="I5439" s="164"/>
      <c r="J5439" s="165"/>
      <c r="K5439" s="164"/>
      <c r="L5439" s="165"/>
      <c r="M5439" s="6"/>
      <c r="N5439" s="32"/>
      <c r="Q5439" s="10" t="str">
        <f>+CONCATENATE(E5437,K5437)</f>
        <v/>
      </c>
      <c r="R5439" s="10">
        <f>+L5437</f>
        <v>0</v>
      </c>
      <c r="S5439" s="11"/>
      <c r="T5439" s="10">
        <f>+E5437</f>
        <v>0</v>
      </c>
      <c r="U5439" s="19" t="str">
        <f>IFERROR(LEFT(K5437,FIND("*",K5437)-1),"-")</f>
        <v>-</v>
      </c>
      <c r="V5439" s="19" t="str">
        <f>IFERROR(RIGHT(K5437,LEN(K5437)-FIND("*",K5437)),"-")</f>
        <v>-</v>
      </c>
      <c r="W5439" s="20" t="str">
        <f t="shared" si="2956"/>
        <v>-</v>
      </c>
      <c r="X5439" s="20" t="str">
        <f>IFERROR(W5439*L5437,"-")</f>
        <v>-</v>
      </c>
      <c r="Z5439" s="85" t="s">
        <v>82</v>
      </c>
    </row>
    <row r="5440" spans="1:26" ht="6.95" customHeight="1" x14ac:dyDescent="0.3">
      <c r="A5440" s="8"/>
      <c r="B5440" s="157"/>
      <c r="C5440" s="158"/>
      <c r="D5440" s="161" t="s">
        <v>39</v>
      </c>
      <c r="E5440" s="162"/>
      <c r="F5440" s="163" t="s">
        <v>40</v>
      </c>
      <c r="G5440" s="164"/>
      <c r="H5440" s="165"/>
      <c r="I5440" s="164"/>
      <c r="J5440" s="165"/>
      <c r="K5440" s="164"/>
      <c r="L5440" s="165"/>
      <c r="M5440" s="6"/>
      <c r="N5440" s="32"/>
      <c r="Q5440" s="10" t="str">
        <f>+CONCATENATE(E5440,G5440)</f>
        <v/>
      </c>
      <c r="R5440" s="10">
        <f>+H5440</f>
        <v>0</v>
      </c>
      <c r="S5440" s="11"/>
      <c r="T5440" s="10">
        <f>+E5440</f>
        <v>0</v>
      </c>
      <c r="U5440" s="19" t="str">
        <f t="shared" ref="U5440" si="2959">IFERROR(LEFT(G5440,FIND("*",G5440)-1),"-")</f>
        <v>-</v>
      </c>
      <c r="V5440" s="19" t="str">
        <f t="shared" ref="V5440" si="2960">IFERROR(RIGHT(G5440,LEN(G5440)-FIND("*",G5440)),"-")</f>
        <v>-</v>
      </c>
      <c r="W5440" s="20" t="str">
        <f t="shared" si="2956"/>
        <v>-</v>
      </c>
      <c r="X5440" s="20" t="str">
        <f>IFERROR(W5440*H5440,"-")</f>
        <v>-</v>
      </c>
      <c r="Z5440" s="85" t="s">
        <v>82</v>
      </c>
    </row>
    <row r="5441" spans="1:26" ht="6.95" customHeight="1" x14ac:dyDescent="0.3">
      <c r="A5441" s="5"/>
      <c r="B5441" s="157"/>
      <c r="C5441" s="158"/>
      <c r="D5441" s="161"/>
      <c r="E5441" s="162"/>
      <c r="F5441" s="163"/>
      <c r="G5441" s="164"/>
      <c r="H5441" s="165"/>
      <c r="I5441" s="164"/>
      <c r="J5441" s="165"/>
      <c r="K5441" s="164"/>
      <c r="L5441" s="165"/>
      <c r="M5441" s="6"/>
      <c r="N5441" s="32"/>
      <c r="Q5441" s="10" t="str">
        <f>+CONCATENATE(E5440,I5440)</f>
        <v/>
      </c>
      <c r="R5441" s="10">
        <f>+J5440</f>
        <v>0</v>
      </c>
      <c r="S5441" s="11"/>
      <c r="T5441" s="10">
        <f>+E5440</f>
        <v>0</v>
      </c>
      <c r="U5441" s="19" t="str">
        <f>IFERROR(LEFT(I5440,FIND("*",I5440)-1),"-")</f>
        <v>-</v>
      </c>
      <c r="V5441" s="19" t="str">
        <f>IFERROR(RIGHT(I5440,LEN(I5440)-FIND("*",I5440)),"-")</f>
        <v>-</v>
      </c>
      <c r="W5441" s="20" t="str">
        <f t="shared" si="2956"/>
        <v>-</v>
      </c>
      <c r="X5441" s="20" t="str">
        <f t="shared" ref="X5441" si="2961">IFERROR(W5441*J5440,"-")</f>
        <v>-</v>
      </c>
      <c r="Z5441" s="85" t="s">
        <v>82</v>
      </c>
    </row>
    <row r="5442" spans="1:26" ht="6.95" customHeight="1" x14ac:dyDescent="0.3">
      <c r="A5442" s="5"/>
      <c r="B5442" s="157"/>
      <c r="C5442" s="158"/>
      <c r="D5442" s="161"/>
      <c r="E5442" s="162"/>
      <c r="F5442" s="163"/>
      <c r="G5442" s="164"/>
      <c r="H5442" s="165"/>
      <c r="I5442" s="164"/>
      <c r="J5442" s="165"/>
      <c r="K5442" s="164"/>
      <c r="L5442" s="165"/>
      <c r="M5442" s="6"/>
      <c r="N5442" s="32"/>
      <c r="Q5442" s="10" t="str">
        <f>+CONCATENATE(E5440,K5440)</f>
        <v/>
      </c>
      <c r="R5442" s="10">
        <f>+L5440</f>
        <v>0</v>
      </c>
      <c r="S5442" s="11"/>
      <c r="T5442" s="10">
        <f>+E5440</f>
        <v>0</v>
      </c>
      <c r="U5442" s="19" t="str">
        <f>IFERROR(LEFT(K5440,FIND("*",K5440)-1),"-")</f>
        <v>-</v>
      </c>
      <c r="V5442" s="19" t="str">
        <f>IFERROR(RIGHT(K5440,LEN(K5440)-FIND("*",K5440)),"-")</f>
        <v>-</v>
      </c>
      <c r="W5442" s="20" t="str">
        <f t="shared" si="2956"/>
        <v>-</v>
      </c>
      <c r="X5442" s="20" t="str">
        <f>IFERROR(W5442*L5440,"-")</f>
        <v>-</v>
      </c>
      <c r="Z5442" s="85" t="s">
        <v>82</v>
      </c>
    </row>
    <row r="5443" spans="1:26" ht="21" customHeight="1" thickBot="1" x14ac:dyDescent="0.35">
      <c r="A5443" s="5"/>
      <c r="B5443" s="159"/>
      <c r="C5443" s="160"/>
      <c r="D5443" s="166" t="s">
        <v>43</v>
      </c>
      <c r="E5443" s="167"/>
      <c r="F5443" s="167"/>
      <c r="G5443" s="168"/>
      <c r="H5443" s="168"/>
      <c r="I5443" s="168"/>
      <c r="J5443" s="168"/>
      <c r="K5443" s="168"/>
      <c r="L5443" s="168"/>
      <c r="M5443" s="7"/>
      <c r="N5443" s="32"/>
      <c r="Z5443" s="86" t="s">
        <v>81</v>
      </c>
    </row>
    <row r="5444" spans="1:26" ht="9.9499999999999993" customHeight="1" thickBot="1" x14ac:dyDescent="0.35">
      <c r="B5444" s="9"/>
      <c r="C5444" s="109"/>
      <c r="D5444" s="51"/>
      <c r="E5444" s="12"/>
      <c r="F5444" s="51"/>
      <c r="G5444" s="14"/>
      <c r="H5444" s="14"/>
      <c r="I5444" s="14"/>
      <c r="J5444" s="14"/>
      <c r="K5444" s="14"/>
      <c r="L5444" s="14"/>
      <c r="M5444" s="9"/>
      <c r="N5444" s="32"/>
      <c r="U5444" s="18"/>
      <c r="V5444" s="18"/>
      <c r="Z5444" s="85" t="s">
        <v>82</v>
      </c>
    </row>
    <row r="5445" spans="1:26" ht="6.95" customHeight="1" x14ac:dyDescent="0.3">
      <c r="A5445" s="154">
        <f>+A5434+1</f>
        <v>1294</v>
      </c>
      <c r="B5445" s="155"/>
      <c r="C5445" s="156"/>
      <c r="D5445" s="161" t="s">
        <v>39</v>
      </c>
      <c r="E5445" s="162"/>
      <c r="F5445" s="163" t="s">
        <v>40</v>
      </c>
      <c r="G5445" s="164"/>
      <c r="H5445" s="165"/>
      <c r="I5445" s="164"/>
      <c r="J5445" s="165"/>
      <c r="K5445" s="164"/>
      <c r="L5445" s="165"/>
      <c r="M5445" s="6"/>
      <c r="N5445" s="32"/>
      <c r="Q5445" s="10" t="str">
        <f>+CONCATENATE(E5445,G5445)</f>
        <v/>
      </c>
      <c r="R5445" s="10">
        <f>+H5445</f>
        <v>0</v>
      </c>
      <c r="S5445" s="11"/>
      <c r="T5445" s="10">
        <f>+E5445</f>
        <v>0</v>
      </c>
      <c r="U5445" s="19" t="str">
        <f>IFERROR(LEFT(G5445,FIND("*",G5445)-1),"-")</f>
        <v>-</v>
      </c>
      <c r="V5445" s="19" t="str">
        <f>IFERROR(RIGHT(G5445,LEN(G5445)-FIND("*",G5445)),"-")</f>
        <v>-</v>
      </c>
      <c r="W5445" s="20" t="str">
        <f>IFERROR((U5445+V5445)*2/1000,"-")</f>
        <v>-</v>
      </c>
      <c r="X5445" s="20" t="str">
        <f>IFERROR(W5445*H5445,"-")</f>
        <v>-</v>
      </c>
      <c r="Z5445" s="85" t="s">
        <v>82</v>
      </c>
    </row>
    <row r="5446" spans="1:26" ht="6.95" customHeight="1" x14ac:dyDescent="0.3">
      <c r="A5446" s="154"/>
      <c r="B5446" s="157"/>
      <c r="C5446" s="158"/>
      <c r="D5446" s="161"/>
      <c r="E5446" s="162"/>
      <c r="F5446" s="163"/>
      <c r="G5446" s="164"/>
      <c r="H5446" s="165"/>
      <c r="I5446" s="164"/>
      <c r="J5446" s="165"/>
      <c r="K5446" s="164"/>
      <c r="L5446" s="165"/>
      <c r="M5446" s="6"/>
      <c r="N5446" s="32"/>
      <c r="Q5446" s="10" t="str">
        <f>+CONCATENATE(E5445,I5445)</f>
        <v/>
      </c>
      <c r="R5446" s="10">
        <f>+J5445</f>
        <v>0</v>
      </c>
      <c r="S5446" s="11"/>
      <c r="T5446" s="10">
        <f>+E5445</f>
        <v>0</v>
      </c>
      <c r="U5446" s="19" t="str">
        <f>IFERROR(LEFT(I5445,FIND("*",I5445)-1),"-")</f>
        <v>-</v>
      </c>
      <c r="V5446" s="19" t="str">
        <f>IFERROR(RIGHT(I5445,LEN(I5445)-FIND("*",I5445)),"-")</f>
        <v>-</v>
      </c>
      <c r="W5446" s="20" t="str">
        <f t="shared" ref="W5446:W5453" si="2962">IFERROR((U5446+V5446)*2/1000,"-")</f>
        <v>-</v>
      </c>
      <c r="X5446" s="20" t="str">
        <f>IFERROR(W5446*J5445,"-")</f>
        <v>-</v>
      </c>
      <c r="Z5446" s="85" t="s">
        <v>82</v>
      </c>
    </row>
    <row r="5447" spans="1:26" ht="6.95" customHeight="1" x14ac:dyDescent="0.3">
      <c r="A5447" s="154"/>
      <c r="B5447" s="157"/>
      <c r="C5447" s="158"/>
      <c r="D5447" s="161"/>
      <c r="E5447" s="162"/>
      <c r="F5447" s="163"/>
      <c r="G5447" s="164"/>
      <c r="H5447" s="165"/>
      <c r="I5447" s="164"/>
      <c r="J5447" s="165"/>
      <c r="K5447" s="164"/>
      <c r="L5447" s="165"/>
      <c r="M5447" s="6"/>
      <c r="N5447" s="32"/>
      <c r="Q5447" s="10" t="str">
        <f>+CONCATENATE(E5445,K5445)</f>
        <v/>
      </c>
      <c r="R5447" s="10">
        <f>+L5445</f>
        <v>0</v>
      </c>
      <c r="S5447" s="11"/>
      <c r="T5447" s="10">
        <f>+E5445</f>
        <v>0</v>
      </c>
      <c r="U5447" s="19" t="str">
        <f>IFERROR(LEFT(K5445,FIND("*",K5445)-1),"-")</f>
        <v>-</v>
      </c>
      <c r="V5447" s="19" t="str">
        <f>IFERROR(RIGHT(K5445,LEN(K5445)-FIND("*",K5445)),"-")</f>
        <v>-</v>
      </c>
      <c r="W5447" s="20" t="str">
        <f t="shared" si="2962"/>
        <v>-</v>
      </c>
      <c r="X5447" s="20" t="str">
        <f>IFERROR(W5447*L5445,"-")</f>
        <v>-</v>
      </c>
      <c r="Z5447" s="85" t="s">
        <v>82</v>
      </c>
    </row>
    <row r="5448" spans="1:26" ht="6.95" customHeight="1" x14ac:dyDescent="0.3">
      <c r="A5448" s="8"/>
      <c r="B5448" s="157"/>
      <c r="C5448" s="158"/>
      <c r="D5448" s="161" t="s">
        <v>39</v>
      </c>
      <c r="E5448" s="162"/>
      <c r="F5448" s="163" t="s">
        <v>40</v>
      </c>
      <c r="G5448" s="164"/>
      <c r="H5448" s="165"/>
      <c r="I5448" s="164"/>
      <c r="J5448" s="165"/>
      <c r="K5448" s="164"/>
      <c r="L5448" s="165"/>
      <c r="M5448" s="6"/>
      <c r="N5448" s="32"/>
      <c r="Q5448" s="10" t="str">
        <f>+CONCATENATE(E5448,G5448)</f>
        <v/>
      </c>
      <c r="R5448" s="10">
        <f>+H5448</f>
        <v>0</v>
      </c>
      <c r="S5448" s="11"/>
      <c r="T5448" s="10">
        <f>+E5448</f>
        <v>0</v>
      </c>
      <c r="U5448" s="19" t="str">
        <f t="shared" ref="U5448" si="2963">IFERROR(LEFT(G5448,FIND("*",G5448)-1),"-")</f>
        <v>-</v>
      </c>
      <c r="V5448" s="19" t="str">
        <f t="shared" ref="V5448" si="2964">IFERROR(RIGHT(G5448,LEN(G5448)-FIND("*",G5448)),"-")</f>
        <v>-</v>
      </c>
      <c r="W5448" s="20" t="str">
        <f t="shared" si="2962"/>
        <v>-</v>
      </c>
      <c r="X5448" s="20" t="str">
        <f>IFERROR(W5448*H5448,"-")</f>
        <v>-</v>
      </c>
      <c r="Z5448" s="85" t="s">
        <v>82</v>
      </c>
    </row>
    <row r="5449" spans="1:26" ht="6.95" customHeight="1" x14ac:dyDescent="0.3">
      <c r="A5449" s="5"/>
      <c r="B5449" s="157"/>
      <c r="C5449" s="158"/>
      <c r="D5449" s="161"/>
      <c r="E5449" s="162"/>
      <c r="F5449" s="163"/>
      <c r="G5449" s="164"/>
      <c r="H5449" s="165"/>
      <c r="I5449" s="164"/>
      <c r="J5449" s="165"/>
      <c r="K5449" s="164"/>
      <c r="L5449" s="165"/>
      <c r="M5449" s="6"/>
      <c r="N5449" s="32"/>
      <c r="Q5449" s="10" t="str">
        <f>+CONCATENATE(E5448,I5448)</f>
        <v/>
      </c>
      <c r="R5449" s="10">
        <f>+J5448</f>
        <v>0</v>
      </c>
      <c r="S5449" s="11"/>
      <c r="T5449" s="10">
        <f>+E5448</f>
        <v>0</v>
      </c>
      <c r="U5449" s="19" t="str">
        <f>IFERROR(LEFT(I5448,FIND("*",I5448)-1),"-")</f>
        <v>-</v>
      </c>
      <c r="V5449" s="19" t="str">
        <f>IFERROR(RIGHT(I5448,LEN(I5448)-FIND("*",I5448)),"-")</f>
        <v>-</v>
      </c>
      <c r="W5449" s="20" t="str">
        <f t="shared" si="2962"/>
        <v>-</v>
      </c>
      <c r="X5449" s="20" t="str">
        <f>IFERROR(W5449*J5448,"-")</f>
        <v>-</v>
      </c>
      <c r="Z5449" s="85" t="s">
        <v>82</v>
      </c>
    </row>
    <row r="5450" spans="1:26" ht="6.95" customHeight="1" x14ac:dyDescent="0.3">
      <c r="A5450" s="5"/>
      <c r="B5450" s="157"/>
      <c r="C5450" s="158"/>
      <c r="D5450" s="161"/>
      <c r="E5450" s="162"/>
      <c r="F5450" s="163"/>
      <c r="G5450" s="164"/>
      <c r="H5450" s="165"/>
      <c r="I5450" s="164"/>
      <c r="J5450" s="165"/>
      <c r="K5450" s="164"/>
      <c r="L5450" s="165"/>
      <c r="M5450" s="6"/>
      <c r="N5450" s="32"/>
      <c r="Q5450" s="10" t="str">
        <f>+CONCATENATE(E5448,K5448)</f>
        <v/>
      </c>
      <c r="R5450" s="10">
        <f>+L5448</f>
        <v>0</v>
      </c>
      <c r="S5450" s="11"/>
      <c r="T5450" s="10">
        <f>+E5448</f>
        <v>0</v>
      </c>
      <c r="U5450" s="19" t="str">
        <f>IFERROR(LEFT(K5448,FIND("*",K5448)-1),"-")</f>
        <v>-</v>
      </c>
      <c r="V5450" s="19" t="str">
        <f>IFERROR(RIGHT(K5448,LEN(K5448)-FIND("*",K5448)),"-")</f>
        <v>-</v>
      </c>
      <c r="W5450" s="20" t="str">
        <f t="shared" si="2962"/>
        <v>-</v>
      </c>
      <c r="X5450" s="20" t="str">
        <f>IFERROR(W5450*L5448,"-")</f>
        <v>-</v>
      </c>
      <c r="Z5450" s="85" t="s">
        <v>82</v>
      </c>
    </row>
    <row r="5451" spans="1:26" ht="6.95" customHeight="1" x14ac:dyDescent="0.3">
      <c r="A5451" s="8"/>
      <c r="B5451" s="157"/>
      <c r="C5451" s="158"/>
      <c r="D5451" s="161" t="s">
        <v>39</v>
      </c>
      <c r="E5451" s="162"/>
      <c r="F5451" s="163" t="s">
        <v>40</v>
      </c>
      <c r="G5451" s="164"/>
      <c r="H5451" s="165"/>
      <c r="I5451" s="164"/>
      <c r="J5451" s="165"/>
      <c r="K5451" s="164"/>
      <c r="L5451" s="165"/>
      <c r="M5451" s="6"/>
      <c r="N5451" s="32"/>
      <c r="Q5451" s="10" t="str">
        <f>+CONCATENATE(E5451,G5451)</f>
        <v/>
      </c>
      <c r="R5451" s="10">
        <f>+H5451</f>
        <v>0</v>
      </c>
      <c r="S5451" s="11"/>
      <c r="T5451" s="10">
        <f>+E5451</f>
        <v>0</v>
      </c>
      <c r="U5451" s="19" t="str">
        <f t="shared" ref="U5451" si="2965">IFERROR(LEFT(G5451,FIND("*",G5451)-1),"-")</f>
        <v>-</v>
      </c>
      <c r="V5451" s="19" t="str">
        <f t="shared" ref="V5451" si="2966">IFERROR(RIGHT(G5451,LEN(G5451)-FIND("*",G5451)),"-")</f>
        <v>-</v>
      </c>
      <c r="W5451" s="20" t="str">
        <f t="shared" si="2962"/>
        <v>-</v>
      </c>
      <c r="X5451" s="20" t="str">
        <f>IFERROR(W5451*H5451,"-")</f>
        <v>-</v>
      </c>
      <c r="Z5451" s="85" t="s">
        <v>82</v>
      </c>
    </row>
    <row r="5452" spans="1:26" ht="6.95" customHeight="1" x14ac:dyDescent="0.3">
      <c r="A5452" s="5"/>
      <c r="B5452" s="157"/>
      <c r="C5452" s="158"/>
      <c r="D5452" s="161"/>
      <c r="E5452" s="162"/>
      <c r="F5452" s="163"/>
      <c r="G5452" s="164"/>
      <c r="H5452" s="165"/>
      <c r="I5452" s="164"/>
      <c r="J5452" s="165"/>
      <c r="K5452" s="164"/>
      <c r="L5452" s="165"/>
      <c r="M5452" s="6"/>
      <c r="N5452" s="32"/>
      <c r="Q5452" s="10" t="str">
        <f>+CONCATENATE(E5451,I5451)</f>
        <v/>
      </c>
      <c r="R5452" s="10">
        <f>+J5451</f>
        <v>0</v>
      </c>
      <c r="S5452" s="11"/>
      <c r="T5452" s="10">
        <f>+E5451</f>
        <v>0</v>
      </c>
      <c r="U5452" s="19" t="str">
        <f>IFERROR(LEFT(I5451,FIND("*",I5451)-1),"-")</f>
        <v>-</v>
      </c>
      <c r="V5452" s="19" t="str">
        <f>IFERROR(RIGHT(I5451,LEN(I5451)-FIND("*",I5451)),"-")</f>
        <v>-</v>
      </c>
      <c r="W5452" s="20" t="str">
        <f t="shared" si="2962"/>
        <v>-</v>
      </c>
      <c r="X5452" s="20" t="str">
        <f t="shared" ref="X5452" si="2967">IFERROR(W5452*J5451,"-")</f>
        <v>-</v>
      </c>
      <c r="Z5452" s="85" t="s">
        <v>82</v>
      </c>
    </row>
    <row r="5453" spans="1:26" ht="6.95" customHeight="1" x14ac:dyDescent="0.3">
      <c r="A5453" s="5"/>
      <c r="B5453" s="157"/>
      <c r="C5453" s="158"/>
      <c r="D5453" s="161"/>
      <c r="E5453" s="162"/>
      <c r="F5453" s="163"/>
      <c r="G5453" s="164"/>
      <c r="H5453" s="165"/>
      <c r="I5453" s="164"/>
      <c r="J5453" s="165"/>
      <c r="K5453" s="164"/>
      <c r="L5453" s="165"/>
      <c r="M5453" s="6"/>
      <c r="N5453" s="32"/>
      <c r="Q5453" s="10" t="str">
        <f>+CONCATENATE(E5451,K5451)</f>
        <v/>
      </c>
      <c r="R5453" s="10">
        <f>+L5451</f>
        <v>0</v>
      </c>
      <c r="S5453" s="11"/>
      <c r="T5453" s="10">
        <f>+E5451</f>
        <v>0</v>
      </c>
      <c r="U5453" s="19" t="str">
        <f>IFERROR(LEFT(K5451,FIND("*",K5451)-1),"-")</f>
        <v>-</v>
      </c>
      <c r="V5453" s="19" t="str">
        <f>IFERROR(RIGHT(K5451,LEN(K5451)-FIND("*",K5451)),"-")</f>
        <v>-</v>
      </c>
      <c r="W5453" s="20" t="str">
        <f t="shared" si="2962"/>
        <v>-</v>
      </c>
      <c r="X5453" s="20" t="str">
        <f>IFERROR(W5453*L5451,"-")</f>
        <v>-</v>
      </c>
      <c r="Z5453" s="85" t="s">
        <v>82</v>
      </c>
    </row>
    <row r="5454" spans="1:26" ht="21" customHeight="1" thickBot="1" x14ac:dyDescent="0.35">
      <c r="A5454" s="5"/>
      <c r="B5454" s="159"/>
      <c r="C5454" s="160"/>
      <c r="D5454" s="166" t="s">
        <v>43</v>
      </c>
      <c r="E5454" s="167"/>
      <c r="F5454" s="167"/>
      <c r="G5454" s="168"/>
      <c r="H5454" s="168"/>
      <c r="I5454" s="168"/>
      <c r="J5454" s="168"/>
      <c r="K5454" s="168"/>
      <c r="L5454" s="168"/>
      <c r="M5454" s="7"/>
      <c r="N5454" s="32"/>
      <c r="Z5454" s="86" t="s">
        <v>81</v>
      </c>
    </row>
    <row r="5455" spans="1:26" ht="9.9499999999999993" customHeight="1" thickBot="1" x14ac:dyDescent="0.35">
      <c r="B5455" s="9"/>
      <c r="C5455" s="109"/>
      <c r="D5455" s="51"/>
      <c r="E5455" s="12"/>
      <c r="F5455" s="51"/>
      <c r="G5455" s="14"/>
      <c r="H5455" s="14"/>
      <c r="I5455" s="14"/>
      <c r="J5455" s="14"/>
      <c r="K5455" s="14"/>
      <c r="L5455" s="14"/>
      <c r="M5455" s="9"/>
      <c r="N5455" s="32"/>
      <c r="U5455" s="18"/>
      <c r="V5455" s="18"/>
      <c r="Z5455" s="85" t="s">
        <v>82</v>
      </c>
    </row>
    <row r="5456" spans="1:26" ht="6.95" customHeight="1" x14ac:dyDescent="0.3">
      <c r="A5456" s="154">
        <f>+A5445+1</f>
        <v>1295</v>
      </c>
      <c r="B5456" s="155"/>
      <c r="C5456" s="156"/>
      <c r="D5456" s="161" t="s">
        <v>39</v>
      </c>
      <c r="E5456" s="162"/>
      <c r="F5456" s="163" t="s">
        <v>40</v>
      </c>
      <c r="G5456" s="164"/>
      <c r="H5456" s="165"/>
      <c r="I5456" s="164"/>
      <c r="J5456" s="165"/>
      <c r="K5456" s="164"/>
      <c r="L5456" s="165"/>
      <c r="M5456" s="6"/>
      <c r="N5456" s="32"/>
      <c r="Q5456" s="10" t="str">
        <f>+CONCATENATE(E5456,G5456)</f>
        <v/>
      </c>
      <c r="R5456" s="10">
        <f>+H5456</f>
        <v>0</v>
      </c>
      <c r="S5456" s="11"/>
      <c r="T5456" s="10">
        <f>+E5456</f>
        <v>0</v>
      </c>
      <c r="U5456" s="19" t="str">
        <f>IFERROR(LEFT(G5456,FIND("*",G5456)-1),"-")</f>
        <v>-</v>
      </c>
      <c r="V5456" s="19" t="str">
        <f>IFERROR(RIGHT(G5456,LEN(G5456)-FIND("*",G5456)),"-")</f>
        <v>-</v>
      </c>
      <c r="W5456" s="20" t="str">
        <f>IFERROR((U5456+V5456)*2/1000,"-")</f>
        <v>-</v>
      </c>
      <c r="X5456" s="20" t="str">
        <f>IFERROR(W5456*H5456,"-")</f>
        <v>-</v>
      </c>
      <c r="Z5456" s="85" t="s">
        <v>82</v>
      </c>
    </row>
    <row r="5457" spans="1:26" ht="6.95" customHeight="1" x14ac:dyDescent="0.3">
      <c r="A5457" s="154"/>
      <c r="B5457" s="157"/>
      <c r="C5457" s="158"/>
      <c r="D5457" s="161"/>
      <c r="E5457" s="162"/>
      <c r="F5457" s="163"/>
      <c r="G5457" s="164"/>
      <c r="H5457" s="165"/>
      <c r="I5457" s="164"/>
      <c r="J5457" s="165"/>
      <c r="K5457" s="164"/>
      <c r="L5457" s="165"/>
      <c r="M5457" s="6"/>
      <c r="N5457" s="32"/>
      <c r="Q5457" s="10" t="str">
        <f>+CONCATENATE(E5456,I5456)</f>
        <v/>
      </c>
      <c r="R5457" s="10">
        <f>+J5456</f>
        <v>0</v>
      </c>
      <c r="S5457" s="11"/>
      <c r="T5457" s="10">
        <f>+E5456</f>
        <v>0</v>
      </c>
      <c r="U5457" s="19" t="str">
        <f>IFERROR(LEFT(I5456,FIND("*",I5456)-1),"-")</f>
        <v>-</v>
      </c>
      <c r="V5457" s="19" t="str">
        <f>IFERROR(RIGHT(I5456,LEN(I5456)-FIND("*",I5456)),"-")</f>
        <v>-</v>
      </c>
      <c r="W5457" s="20" t="str">
        <f t="shared" ref="W5457:W5464" si="2968">IFERROR((U5457+V5457)*2/1000,"-")</f>
        <v>-</v>
      </c>
      <c r="X5457" s="20" t="str">
        <f>IFERROR(W5457*J5456,"-")</f>
        <v>-</v>
      </c>
      <c r="Z5457" s="85" t="s">
        <v>82</v>
      </c>
    </row>
    <row r="5458" spans="1:26" ht="6.95" customHeight="1" x14ac:dyDescent="0.3">
      <c r="A5458" s="154"/>
      <c r="B5458" s="157"/>
      <c r="C5458" s="158"/>
      <c r="D5458" s="161"/>
      <c r="E5458" s="162"/>
      <c r="F5458" s="163"/>
      <c r="G5458" s="164"/>
      <c r="H5458" s="165"/>
      <c r="I5458" s="164"/>
      <c r="J5458" s="165"/>
      <c r="K5458" s="164"/>
      <c r="L5458" s="165"/>
      <c r="M5458" s="6"/>
      <c r="N5458" s="32"/>
      <c r="Q5458" s="10" t="str">
        <f>+CONCATENATE(E5456,K5456)</f>
        <v/>
      </c>
      <c r="R5458" s="10">
        <f>+L5456</f>
        <v>0</v>
      </c>
      <c r="S5458" s="11"/>
      <c r="T5458" s="10">
        <f>+E5456</f>
        <v>0</v>
      </c>
      <c r="U5458" s="19" t="str">
        <f>IFERROR(LEFT(K5456,FIND("*",K5456)-1),"-")</f>
        <v>-</v>
      </c>
      <c r="V5458" s="19" t="str">
        <f>IFERROR(RIGHT(K5456,LEN(K5456)-FIND("*",K5456)),"-")</f>
        <v>-</v>
      </c>
      <c r="W5458" s="20" t="str">
        <f t="shared" si="2968"/>
        <v>-</v>
      </c>
      <c r="X5458" s="20" t="str">
        <f>IFERROR(W5458*L5456,"-")</f>
        <v>-</v>
      </c>
      <c r="Z5458" s="85" t="s">
        <v>82</v>
      </c>
    </row>
    <row r="5459" spans="1:26" ht="6.95" customHeight="1" x14ac:dyDescent="0.3">
      <c r="A5459" s="8"/>
      <c r="B5459" s="157"/>
      <c r="C5459" s="158"/>
      <c r="D5459" s="161" t="s">
        <v>39</v>
      </c>
      <c r="E5459" s="162"/>
      <c r="F5459" s="163" t="s">
        <v>40</v>
      </c>
      <c r="G5459" s="164"/>
      <c r="H5459" s="165"/>
      <c r="I5459" s="164"/>
      <c r="J5459" s="165"/>
      <c r="K5459" s="164"/>
      <c r="L5459" s="165"/>
      <c r="M5459" s="6"/>
      <c r="N5459" s="32"/>
      <c r="Q5459" s="10" t="str">
        <f>+CONCATENATE(E5459,G5459)</f>
        <v/>
      </c>
      <c r="R5459" s="10">
        <f>+H5459</f>
        <v>0</v>
      </c>
      <c r="S5459" s="11"/>
      <c r="T5459" s="10">
        <f>+E5459</f>
        <v>0</v>
      </c>
      <c r="U5459" s="19" t="str">
        <f t="shared" ref="U5459" si="2969">IFERROR(LEFT(G5459,FIND("*",G5459)-1),"-")</f>
        <v>-</v>
      </c>
      <c r="V5459" s="19" t="str">
        <f t="shared" ref="V5459" si="2970">IFERROR(RIGHT(G5459,LEN(G5459)-FIND("*",G5459)),"-")</f>
        <v>-</v>
      </c>
      <c r="W5459" s="20" t="str">
        <f t="shared" si="2968"/>
        <v>-</v>
      </c>
      <c r="X5459" s="20" t="str">
        <f>IFERROR(W5459*H5459,"-")</f>
        <v>-</v>
      </c>
      <c r="Z5459" s="85" t="s">
        <v>82</v>
      </c>
    </row>
    <row r="5460" spans="1:26" ht="6.95" customHeight="1" x14ac:dyDescent="0.3">
      <c r="A5460" s="5"/>
      <c r="B5460" s="157"/>
      <c r="C5460" s="158"/>
      <c r="D5460" s="161"/>
      <c r="E5460" s="162"/>
      <c r="F5460" s="163"/>
      <c r="G5460" s="164"/>
      <c r="H5460" s="165"/>
      <c r="I5460" s="164"/>
      <c r="J5460" s="165"/>
      <c r="K5460" s="164"/>
      <c r="L5460" s="165"/>
      <c r="M5460" s="6"/>
      <c r="N5460" s="32"/>
      <c r="Q5460" s="10" t="str">
        <f>+CONCATENATE(E5459,I5459)</f>
        <v/>
      </c>
      <c r="R5460" s="10">
        <f>+J5459</f>
        <v>0</v>
      </c>
      <c r="S5460" s="11"/>
      <c r="T5460" s="10">
        <f>+E5459</f>
        <v>0</v>
      </c>
      <c r="U5460" s="19" t="str">
        <f>IFERROR(LEFT(I5459,FIND("*",I5459)-1),"-")</f>
        <v>-</v>
      </c>
      <c r="V5460" s="19" t="str">
        <f>IFERROR(RIGHT(I5459,LEN(I5459)-FIND("*",I5459)),"-")</f>
        <v>-</v>
      </c>
      <c r="W5460" s="20" t="str">
        <f t="shared" si="2968"/>
        <v>-</v>
      </c>
      <c r="X5460" s="20" t="str">
        <f>IFERROR(W5460*J5459,"-")</f>
        <v>-</v>
      </c>
      <c r="Z5460" s="85" t="s">
        <v>82</v>
      </c>
    </row>
    <row r="5461" spans="1:26" ht="6.95" customHeight="1" x14ac:dyDescent="0.3">
      <c r="A5461" s="5"/>
      <c r="B5461" s="157"/>
      <c r="C5461" s="158"/>
      <c r="D5461" s="161"/>
      <c r="E5461" s="162"/>
      <c r="F5461" s="163"/>
      <c r="G5461" s="164"/>
      <c r="H5461" s="165"/>
      <c r="I5461" s="164"/>
      <c r="J5461" s="165"/>
      <c r="K5461" s="164"/>
      <c r="L5461" s="165"/>
      <c r="M5461" s="6"/>
      <c r="N5461" s="32"/>
      <c r="Q5461" s="10" t="str">
        <f>+CONCATENATE(E5459,K5459)</f>
        <v/>
      </c>
      <c r="R5461" s="10">
        <f>+L5459</f>
        <v>0</v>
      </c>
      <c r="S5461" s="11"/>
      <c r="T5461" s="10">
        <f>+E5459</f>
        <v>0</v>
      </c>
      <c r="U5461" s="19" t="str">
        <f>IFERROR(LEFT(K5459,FIND("*",K5459)-1),"-")</f>
        <v>-</v>
      </c>
      <c r="V5461" s="19" t="str">
        <f>IFERROR(RIGHT(K5459,LEN(K5459)-FIND("*",K5459)),"-")</f>
        <v>-</v>
      </c>
      <c r="W5461" s="20" t="str">
        <f t="shared" si="2968"/>
        <v>-</v>
      </c>
      <c r="X5461" s="20" t="str">
        <f>IFERROR(W5461*L5459,"-")</f>
        <v>-</v>
      </c>
      <c r="Z5461" s="85" t="s">
        <v>82</v>
      </c>
    </row>
    <row r="5462" spans="1:26" ht="6.95" customHeight="1" x14ac:dyDescent="0.3">
      <c r="A5462" s="8"/>
      <c r="B5462" s="157"/>
      <c r="C5462" s="158"/>
      <c r="D5462" s="161" t="s">
        <v>39</v>
      </c>
      <c r="E5462" s="162"/>
      <c r="F5462" s="163" t="s">
        <v>40</v>
      </c>
      <c r="G5462" s="164"/>
      <c r="H5462" s="165"/>
      <c r="I5462" s="164"/>
      <c r="J5462" s="165"/>
      <c r="K5462" s="164"/>
      <c r="L5462" s="165"/>
      <c r="M5462" s="6"/>
      <c r="N5462" s="32"/>
      <c r="Q5462" s="10" t="str">
        <f>+CONCATENATE(E5462,G5462)</f>
        <v/>
      </c>
      <c r="R5462" s="10">
        <f>+H5462</f>
        <v>0</v>
      </c>
      <c r="S5462" s="11"/>
      <c r="T5462" s="10">
        <f>+E5462</f>
        <v>0</v>
      </c>
      <c r="U5462" s="19" t="str">
        <f t="shared" ref="U5462" si="2971">IFERROR(LEFT(G5462,FIND("*",G5462)-1),"-")</f>
        <v>-</v>
      </c>
      <c r="V5462" s="19" t="str">
        <f t="shared" ref="V5462" si="2972">IFERROR(RIGHT(G5462,LEN(G5462)-FIND("*",G5462)),"-")</f>
        <v>-</v>
      </c>
      <c r="W5462" s="20" t="str">
        <f t="shared" si="2968"/>
        <v>-</v>
      </c>
      <c r="X5462" s="20" t="str">
        <f>IFERROR(W5462*H5462,"-")</f>
        <v>-</v>
      </c>
      <c r="Z5462" s="85" t="s">
        <v>82</v>
      </c>
    </row>
    <row r="5463" spans="1:26" ht="6.95" customHeight="1" x14ac:dyDescent="0.3">
      <c r="A5463" s="5"/>
      <c r="B5463" s="157"/>
      <c r="C5463" s="158"/>
      <c r="D5463" s="161"/>
      <c r="E5463" s="162"/>
      <c r="F5463" s="163"/>
      <c r="G5463" s="164"/>
      <c r="H5463" s="165"/>
      <c r="I5463" s="164"/>
      <c r="J5463" s="165"/>
      <c r="K5463" s="164"/>
      <c r="L5463" s="165"/>
      <c r="M5463" s="6"/>
      <c r="N5463" s="32"/>
      <c r="Q5463" s="10" t="str">
        <f>+CONCATENATE(E5462,I5462)</f>
        <v/>
      </c>
      <c r="R5463" s="10">
        <f>+J5462</f>
        <v>0</v>
      </c>
      <c r="S5463" s="11"/>
      <c r="T5463" s="10">
        <f>+E5462</f>
        <v>0</v>
      </c>
      <c r="U5463" s="19" t="str">
        <f>IFERROR(LEFT(I5462,FIND("*",I5462)-1),"-")</f>
        <v>-</v>
      </c>
      <c r="V5463" s="19" t="str">
        <f>IFERROR(RIGHT(I5462,LEN(I5462)-FIND("*",I5462)),"-")</f>
        <v>-</v>
      </c>
      <c r="W5463" s="20" t="str">
        <f t="shared" si="2968"/>
        <v>-</v>
      </c>
      <c r="X5463" s="20" t="str">
        <f t="shared" ref="X5463" si="2973">IFERROR(W5463*J5462,"-")</f>
        <v>-</v>
      </c>
      <c r="Z5463" s="85" t="s">
        <v>82</v>
      </c>
    </row>
    <row r="5464" spans="1:26" ht="6.95" customHeight="1" x14ac:dyDescent="0.3">
      <c r="A5464" s="5"/>
      <c r="B5464" s="157"/>
      <c r="C5464" s="158"/>
      <c r="D5464" s="161"/>
      <c r="E5464" s="162"/>
      <c r="F5464" s="163"/>
      <c r="G5464" s="164"/>
      <c r="H5464" s="165"/>
      <c r="I5464" s="164"/>
      <c r="J5464" s="165"/>
      <c r="K5464" s="164"/>
      <c r="L5464" s="165"/>
      <c r="M5464" s="6"/>
      <c r="N5464" s="32"/>
      <c r="Q5464" s="10" t="str">
        <f>+CONCATENATE(E5462,K5462)</f>
        <v/>
      </c>
      <c r="R5464" s="10">
        <f>+L5462</f>
        <v>0</v>
      </c>
      <c r="S5464" s="11"/>
      <c r="T5464" s="10">
        <f>+E5462</f>
        <v>0</v>
      </c>
      <c r="U5464" s="19" t="str">
        <f>IFERROR(LEFT(K5462,FIND("*",K5462)-1),"-")</f>
        <v>-</v>
      </c>
      <c r="V5464" s="19" t="str">
        <f>IFERROR(RIGHT(K5462,LEN(K5462)-FIND("*",K5462)),"-")</f>
        <v>-</v>
      </c>
      <c r="W5464" s="20" t="str">
        <f t="shared" si="2968"/>
        <v>-</v>
      </c>
      <c r="X5464" s="20" t="str">
        <f>IFERROR(W5464*L5462,"-")</f>
        <v>-</v>
      </c>
      <c r="Z5464" s="85" t="s">
        <v>82</v>
      </c>
    </row>
    <row r="5465" spans="1:26" ht="21" customHeight="1" thickBot="1" x14ac:dyDescent="0.35">
      <c r="A5465" s="5"/>
      <c r="B5465" s="159"/>
      <c r="C5465" s="160"/>
      <c r="D5465" s="166" t="s">
        <v>43</v>
      </c>
      <c r="E5465" s="167"/>
      <c r="F5465" s="167"/>
      <c r="G5465" s="168"/>
      <c r="H5465" s="168"/>
      <c r="I5465" s="168"/>
      <c r="J5465" s="168"/>
      <c r="K5465" s="168"/>
      <c r="L5465" s="168"/>
      <c r="M5465" s="7"/>
      <c r="N5465" s="32"/>
      <c r="Z5465" s="86" t="s">
        <v>81</v>
      </c>
    </row>
    <row r="5466" spans="1:26" ht="9.9499999999999993" customHeight="1" thickBot="1" x14ac:dyDescent="0.35">
      <c r="B5466" s="9"/>
      <c r="C5466" s="109"/>
      <c r="D5466" s="51"/>
      <c r="E5466" s="12"/>
      <c r="F5466" s="51"/>
      <c r="G5466" s="14"/>
      <c r="H5466" s="14"/>
      <c r="I5466" s="14"/>
      <c r="J5466" s="14"/>
      <c r="K5466" s="14"/>
      <c r="L5466" s="14"/>
      <c r="M5466" s="9"/>
      <c r="N5466" s="32"/>
      <c r="U5466" s="18"/>
      <c r="V5466" s="18"/>
      <c r="Z5466" s="85" t="s">
        <v>82</v>
      </c>
    </row>
    <row r="5467" spans="1:26" ht="6.95" customHeight="1" x14ac:dyDescent="0.3">
      <c r="A5467" s="154">
        <f>+A5456+1</f>
        <v>1296</v>
      </c>
      <c r="B5467" s="155"/>
      <c r="C5467" s="156"/>
      <c r="D5467" s="161" t="s">
        <v>39</v>
      </c>
      <c r="E5467" s="162"/>
      <c r="F5467" s="163" t="s">
        <v>40</v>
      </c>
      <c r="G5467" s="164"/>
      <c r="H5467" s="165"/>
      <c r="I5467" s="164"/>
      <c r="J5467" s="165"/>
      <c r="K5467" s="164"/>
      <c r="L5467" s="165"/>
      <c r="M5467" s="6"/>
      <c r="N5467" s="32"/>
      <c r="Q5467" s="10" t="str">
        <f>+CONCATENATE(E5467,G5467)</f>
        <v/>
      </c>
      <c r="R5467" s="10">
        <f>+H5467</f>
        <v>0</v>
      </c>
      <c r="S5467" s="11"/>
      <c r="T5467" s="10">
        <f>+E5467</f>
        <v>0</v>
      </c>
      <c r="U5467" s="19" t="str">
        <f>IFERROR(LEFT(G5467,FIND("*",G5467)-1),"-")</f>
        <v>-</v>
      </c>
      <c r="V5467" s="19" t="str">
        <f>IFERROR(RIGHT(G5467,LEN(G5467)-FIND("*",G5467)),"-")</f>
        <v>-</v>
      </c>
      <c r="W5467" s="20" t="str">
        <f>IFERROR((U5467+V5467)*2/1000,"-")</f>
        <v>-</v>
      </c>
      <c r="X5467" s="20" t="str">
        <f>IFERROR(W5467*H5467,"-")</f>
        <v>-</v>
      </c>
      <c r="Z5467" s="85" t="s">
        <v>82</v>
      </c>
    </row>
    <row r="5468" spans="1:26" ht="6.95" customHeight="1" x14ac:dyDescent="0.3">
      <c r="A5468" s="154"/>
      <c r="B5468" s="157"/>
      <c r="C5468" s="158"/>
      <c r="D5468" s="161"/>
      <c r="E5468" s="162"/>
      <c r="F5468" s="163"/>
      <c r="G5468" s="164"/>
      <c r="H5468" s="165"/>
      <c r="I5468" s="164"/>
      <c r="J5468" s="165"/>
      <c r="K5468" s="164"/>
      <c r="L5468" s="165"/>
      <c r="M5468" s="6"/>
      <c r="N5468" s="32"/>
      <c r="Q5468" s="10" t="str">
        <f>+CONCATENATE(E5467,I5467)</f>
        <v/>
      </c>
      <c r="R5468" s="10">
        <f>+J5467</f>
        <v>0</v>
      </c>
      <c r="S5468" s="11"/>
      <c r="T5468" s="10">
        <f>+E5467</f>
        <v>0</v>
      </c>
      <c r="U5468" s="19" t="str">
        <f>IFERROR(LEFT(I5467,FIND("*",I5467)-1),"-")</f>
        <v>-</v>
      </c>
      <c r="V5468" s="19" t="str">
        <f>IFERROR(RIGHT(I5467,LEN(I5467)-FIND("*",I5467)),"-")</f>
        <v>-</v>
      </c>
      <c r="W5468" s="20" t="str">
        <f t="shared" ref="W5468:W5475" si="2974">IFERROR((U5468+V5468)*2/1000,"-")</f>
        <v>-</v>
      </c>
      <c r="X5468" s="20" t="str">
        <f>IFERROR(W5468*J5467,"-")</f>
        <v>-</v>
      </c>
      <c r="Z5468" s="85" t="s">
        <v>82</v>
      </c>
    </row>
    <row r="5469" spans="1:26" ht="6.95" customHeight="1" x14ac:dyDescent="0.3">
      <c r="A5469" s="154"/>
      <c r="B5469" s="157"/>
      <c r="C5469" s="158"/>
      <c r="D5469" s="161"/>
      <c r="E5469" s="162"/>
      <c r="F5469" s="163"/>
      <c r="G5469" s="164"/>
      <c r="H5469" s="165"/>
      <c r="I5469" s="164"/>
      <c r="J5469" s="165"/>
      <c r="K5469" s="164"/>
      <c r="L5469" s="165"/>
      <c r="M5469" s="6"/>
      <c r="N5469" s="32"/>
      <c r="Q5469" s="10" t="str">
        <f>+CONCATENATE(E5467,K5467)</f>
        <v/>
      </c>
      <c r="R5469" s="10">
        <f>+L5467</f>
        <v>0</v>
      </c>
      <c r="S5469" s="11"/>
      <c r="T5469" s="10">
        <f>+E5467</f>
        <v>0</v>
      </c>
      <c r="U5469" s="19" t="str">
        <f>IFERROR(LEFT(K5467,FIND("*",K5467)-1),"-")</f>
        <v>-</v>
      </c>
      <c r="V5469" s="19" t="str">
        <f>IFERROR(RIGHT(K5467,LEN(K5467)-FIND("*",K5467)),"-")</f>
        <v>-</v>
      </c>
      <c r="W5469" s="20" t="str">
        <f t="shared" si="2974"/>
        <v>-</v>
      </c>
      <c r="X5469" s="20" t="str">
        <f>IFERROR(W5469*L5467,"-")</f>
        <v>-</v>
      </c>
      <c r="Z5469" s="85" t="s">
        <v>82</v>
      </c>
    </row>
    <row r="5470" spans="1:26" ht="6.95" customHeight="1" x14ac:dyDescent="0.3">
      <c r="A5470" s="8"/>
      <c r="B5470" s="157"/>
      <c r="C5470" s="158"/>
      <c r="D5470" s="161" t="s">
        <v>39</v>
      </c>
      <c r="E5470" s="162"/>
      <c r="F5470" s="163" t="s">
        <v>40</v>
      </c>
      <c r="G5470" s="164"/>
      <c r="H5470" s="165"/>
      <c r="I5470" s="164"/>
      <c r="J5470" s="165"/>
      <c r="K5470" s="164"/>
      <c r="L5470" s="165"/>
      <c r="M5470" s="6"/>
      <c r="N5470" s="32"/>
      <c r="Q5470" s="10" t="str">
        <f>+CONCATENATE(E5470,G5470)</f>
        <v/>
      </c>
      <c r="R5470" s="10">
        <f>+H5470</f>
        <v>0</v>
      </c>
      <c r="S5470" s="11"/>
      <c r="T5470" s="10">
        <f>+E5470</f>
        <v>0</v>
      </c>
      <c r="U5470" s="19" t="str">
        <f t="shared" ref="U5470" si="2975">IFERROR(LEFT(G5470,FIND("*",G5470)-1),"-")</f>
        <v>-</v>
      </c>
      <c r="V5470" s="19" t="str">
        <f t="shared" ref="V5470" si="2976">IFERROR(RIGHT(G5470,LEN(G5470)-FIND("*",G5470)),"-")</f>
        <v>-</v>
      </c>
      <c r="W5470" s="20" t="str">
        <f t="shared" si="2974"/>
        <v>-</v>
      </c>
      <c r="X5470" s="20" t="str">
        <f>IFERROR(W5470*H5470,"-")</f>
        <v>-</v>
      </c>
      <c r="Z5470" s="85" t="s">
        <v>82</v>
      </c>
    </row>
    <row r="5471" spans="1:26" ht="6.95" customHeight="1" x14ac:dyDescent="0.3">
      <c r="A5471" s="5"/>
      <c r="B5471" s="157"/>
      <c r="C5471" s="158"/>
      <c r="D5471" s="161"/>
      <c r="E5471" s="162"/>
      <c r="F5471" s="163"/>
      <c r="G5471" s="164"/>
      <c r="H5471" s="165"/>
      <c r="I5471" s="164"/>
      <c r="J5471" s="165"/>
      <c r="K5471" s="164"/>
      <c r="L5471" s="165"/>
      <c r="M5471" s="6"/>
      <c r="N5471" s="32"/>
      <c r="Q5471" s="10" t="str">
        <f>+CONCATENATE(E5470,I5470)</f>
        <v/>
      </c>
      <c r="R5471" s="10">
        <f>+J5470</f>
        <v>0</v>
      </c>
      <c r="S5471" s="11"/>
      <c r="T5471" s="10">
        <f>+E5470</f>
        <v>0</v>
      </c>
      <c r="U5471" s="19" t="str">
        <f>IFERROR(LEFT(I5470,FIND("*",I5470)-1),"-")</f>
        <v>-</v>
      </c>
      <c r="V5471" s="19" t="str">
        <f>IFERROR(RIGHT(I5470,LEN(I5470)-FIND("*",I5470)),"-")</f>
        <v>-</v>
      </c>
      <c r="W5471" s="20" t="str">
        <f t="shared" si="2974"/>
        <v>-</v>
      </c>
      <c r="X5471" s="20" t="str">
        <f>IFERROR(W5471*J5470,"-")</f>
        <v>-</v>
      </c>
      <c r="Z5471" s="85" t="s">
        <v>82</v>
      </c>
    </row>
    <row r="5472" spans="1:26" ht="6.95" customHeight="1" x14ac:dyDescent="0.3">
      <c r="A5472" s="5"/>
      <c r="B5472" s="157"/>
      <c r="C5472" s="158"/>
      <c r="D5472" s="161"/>
      <c r="E5472" s="162"/>
      <c r="F5472" s="163"/>
      <c r="G5472" s="164"/>
      <c r="H5472" s="165"/>
      <c r="I5472" s="164"/>
      <c r="J5472" s="165"/>
      <c r="K5472" s="164"/>
      <c r="L5472" s="165"/>
      <c r="M5472" s="6"/>
      <c r="N5472" s="32"/>
      <c r="Q5472" s="10" t="str">
        <f>+CONCATENATE(E5470,K5470)</f>
        <v/>
      </c>
      <c r="R5472" s="10">
        <f>+L5470</f>
        <v>0</v>
      </c>
      <c r="S5472" s="11"/>
      <c r="T5472" s="10">
        <f>+E5470</f>
        <v>0</v>
      </c>
      <c r="U5472" s="19" t="str">
        <f>IFERROR(LEFT(K5470,FIND("*",K5470)-1),"-")</f>
        <v>-</v>
      </c>
      <c r="V5472" s="19" t="str">
        <f>IFERROR(RIGHT(K5470,LEN(K5470)-FIND("*",K5470)),"-")</f>
        <v>-</v>
      </c>
      <c r="W5472" s="20" t="str">
        <f t="shared" si="2974"/>
        <v>-</v>
      </c>
      <c r="X5472" s="20" t="str">
        <f>IFERROR(W5472*L5470,"-")</f>
        <v>-</v>
      </c>
      <c r="Z5472" s="85" t="s">
        <v>82</v>
      </c>
    </row>
    <row r="5473" spans="1:26" ht="6.95" customHeight="1" x14ac:dyDescent="0.3">
      <c r="A5473" s="8"/>
      <c r="B5473" s="157"/>
      <c r="C5473" s="158"/>
      <c r="D5473" s="161" t="s">
        <v>39</v>
      </c>
      <c r="E5473" s="162"/>
      <c r="F5473" s="163" t="s">
        <v>40</v>
      </c>
      <c r="G5473" s="164"/>
      <c r="H5473" s="165"/>
      <c r="I5473" s="164"/>
      <c r="J5473" s="165"/>
      <c r="K5473" s="164"/>
      <c r="L5473" s="165"/>
      <c r="M5473" s="6"/>
      <c r="N5473" s="32"/>
      <c r="Q5473" s="10" t="str">
        <f>+CONCATENATE(E5473,G5473)</f>
        <v/>
      </c>
      <c r="R5473" s="10">
        <f>+H5473</f>
        <v>0</v>
      </c>
      <c r="S5473" s="11"/>
      <c r="T5473" s="10">
        <f>+E5473</f>
        <v>0</v>
      </c>
      <c r="U5473" s="19" t="str">
        <f t="shared" ref="U5473" si="2977">IFERROR(LEFT(G5473,FIND("*",G5473)-1),"-")</f>
        <v>-</v>
      </c>
      <c r="V5473" s="19" t="str">
        <f t="shared" ref="V5473" si="2978">IFERROR(RIGHT(G5473,LEN(G5473)-FIND("*",G5473)),"-")</f>
        <v>-</v>
      </c>
      <c r="W5473" s="20" t="str">
        <f t="shared" si="2974"/>
        <v>-</v>
      </c>
      <c r="X5473" s="20" t="str">
        <f>IFERROR(W5473*H5473,"-")</f>
        <v>-</v>
      </c>
      <c r="Z5473" s="85" t="s">
        <v>82</v>
      </c>
    </row>
    <row r="5474" spans="1:26" ht="6.95" customHeight="1" x14ac:dyDescent="0.3">
      <c r="A5474" s="5"/>
      <c r="B5474" s="157"/>
      <c r="C5474" s="158"/>
      <c r="D5474" s="161"/>
      <c r="E5474" s="162"/>
      <c r="F5474" s="163"/>
      <c r="G5474" s="164"/>
      <c r="H5474" s="165"/>
      <c r="I5474" s="164"/>
      <c r="J5474" s="165"/>
      <c r="K5474" s="164"/>
      <c r="L5474" s="165"/>
      <c r="M5474" s="6"/>
      <c r="N5474" s="32"/>
      <c r="Q5474" s="10" t="str">
        <f>+CONCATENATE(E5473,I5473)</f>
        <v/>
      </c>
      <c r="R5474" s="10">
        <f>+J5473</f>
        <v>0</v>
      </c>
      <c r="S5474" s="11"/>
      <c r="T5474" s="10">
        <f>+E5473</f>
        <v>0</v>
      </c>
      <c r="U5474" s="19" t="str">
        <f>IFERROR(LEFT(I5473,FIND("*",I5473)-1),"-")</f>
        <v>-</v>
      </c>
      <c r="V5474" s="19" t="str">
        <f>IFERROR(RIGHT(I5473,LEN(I5473)-FIND("*",I5473)),"-")</f>
        <v>-</v>
      </c>
      <c r="W5474" s="20" t="str">
        <f t="shared" si="2974"/>
        <v>-</v>
      </c>
      <c r="X5474" s="20" t="str">
        <f t="shared" ref="X5474" si="2979">IFERROR(W5474*J5473,"-")</f>
        <v>-</v>
      </c>
      <c r="Z5474" s="85" t="s">
        <v>82</v>
      </c>
    </row>
    <row r="5475" spans="1:26" ht="6.95" customHeight="1" x14ac:dyDescent="0.3">
      <c r="A5475" s="5"/>
      <c r="B5475" s="157"/>
      <c r="C5475" s="158"/>
      <c r="D5475" s="161"/>
      <c r="E5475" s="162"/>
      <c r="F5475" s="163"/>
      <c r="G5475" s="164"/>
      <c r="H5475" s="165"/>
      <c r="I5475" s="164"/>
      <c r="J5475" s="165"/>
      <c r="K5475" s="164"/>
      <c r="L5475" s="165"/>
      <c r="M5475" s="6"/>
      <c r="N5475" s="32"/>
      <c r="Q5475" s="10" t="str">
        <f>+CONCATENATE(E5473,K5473)</f>
        <v/>
      </c>
      <c r="R5475" s="10">
        <f>+L5473</f>
        <v>0</v>
      </c>
      <c r="S5475" s="11"/>
      <c r="T5475" s="10">
        <f>+E5473</f>
        <v>0</v>
      </c>
      <c r="U5475" s="19" t="str">
        <f>IFERROR(LEFT(K5473,FIND("*",K5473)-1),"-")</f>
        <v>-</v>
      </c>
      <c r="V5475" s="19" t="str">
        <f>IFERROR(RIGHT(K5473,LEN(K5473)-FIND("*",K5473)),"-")</f>
        <v>-</v>
      </c>
      <c r="W5475" s="20" t="str">
        <f t="shared" si="2974"/>
        <v>-</v>
      </c>
      <c r="X5475" s="20" t="str">
        <f>IFERROR(W5475*L5473,"-")</f>
        <v>-</v>
      </c>
      <c r="Z5475" s="85" t="s">
        <v>82</v>
      </c>
    </row>
    <row r="5476" spans="1:26" ht="21" customHeight="1" thickBot="1" x14ac:dyDescent="0.35">
      <c r="A5476" s="5"/>
      <c r="B5476" s="159"/>
      <c r="C5476" s="160"/>
      <c r="D5476" s="166" t="s">
        <v>43</v>
      </c>
      <c r="E5476" s="167"/>
      <c r="F5476" s="167"/>
      <c r="G5476" s="168"/>
      <c r="H5476" s="168"/>
      <c r="I5476" s="168"/>
      <c r="J5476" s="168"/>
      <c r="K5476" s="168"/>
      <c r="L5476" s="168"/>
      <c r="M5476" s="7"/>
      <c r="N5476" s="32"/>
      <c r="Z5476" s="86" t="s">
        <v>81</v>
      </c>
    </row>
    <row r="5477" spans="1:26" ht="9.9499999999999993" customHeight="1" thickBot="1" x14ac:dyDescent="0.35">
      <c r="B5477" s="9"/>
      <c r="C5477" s="109"/>
      <c r="D5477" s="51"/>
      <c r="E5477" s="12"/>
      <c r="F5477" s="51"/>
      <c r="G5477" s="14"/>
      <c r="H5477" s="14"/>
      <c r="I5477" s="14"/>
      <c r="J5477" s="14"/>
      <c r="K5477" s="14"/>
      <c r="L5477" s="14"/>
      <c r="M5477" s="9"/>
      <c r="N5477" s="32"/>
      <c r="U5477" s="18"/>
      <c r="V5477" s="18"/>
      <c r="Z5477" s="85" t="s">
        <v>82</v>
      </c>
    </row>
    <row r="5478" spans="1:26" ht="6.95" customHeight="1" x14ac:dyDescent="0.3">
      <c r="A5478" s="154">
        <f>+A5467+1</f>
        <v>1297</v>
      </c>
      <c r="B5478" s="155"/>
      <c r="C5478" s="156"/>
      <c r="D5478" s="161" t="s">
        <v>39</v>
      </c>
      <c r="E5478" s="162"/>
      <c r="F5478" s="163" t="s">
        <v>40</v>
      </c>
      <c r="G5478" s="164"/>
      <c r="H5478" s="165"/>
      <c r="I5478" s="164"/>
      <c r="J5478" s="165"/>
      <c r="K5478" s="164"/>
      <c r="L5478" s="165"/>
      <c r="M5478" s="6"/>
      <c r="N5478" s="32"/>
      <c r="Q5478" s="10" t="str">
        <f>+CONCATENATE(E5478,G5478)</f>
        <v/>
      </c>
      <c r="R5478" s="10">
        <f>+H5478</f>
        <v>0</v>
      </c>
      <c r="S5478" s="11"/>
      <c r="T5478" s="10">
        <f>+E5478</f>
        <v>0</v>
      </c>
      <c r="U5478" s="19" t="str">
        <f>IFERROR(LEFT(G5478,FIND("*",G5478)-1),"-")</f>
        <v>-</v>
      </c>
      <c r="V5478" s="19" t="str">
        <f>IFERROR(RIGHT(G5478,LEN(G5478)-FIND("*",G5478)),"-")</f>
        <v>-</v>
      </c>
      <c r="W5478" s="20" t="str">
        <f>IFERROR((U5478+V5478)*2/1000,"-")</f>
        <v>-</v>
      </c>
      <c r="X5478" s="20" t="str">
        <f>IFERROR(W5478*H5478,"-")</f>
        <v>-</v>
      </c>
      <c r="Z5478" s="85" t="s">
        <v>82</v>
      </c>
    </row>
    <row r="5479" spans="1:26" ht="6.95" customHeight="1" x14ac:dyDescent="0.3">
      <c r="A5479" s="154"/>
      <c r="B5479" s="157"/>
      <c r="C5479" s="158"/>
      <c r="D5479" s="161"/>
      <c r="E5479" s="162"/>
      <c r="F5479" s="163"/>
      <c r="G5479" s="164"/>
      <c r="H5479" s="165"/>
      <c r="I5479" s="164"/>
      <c r="J5479" s="165"/>
      <c r="K5479" s="164"/>
      <c r="L5479" s="165"/>
      <c r="M5479" s="6"/>
      <c r="N5479" s="32"/>
      <c r="Q5479" s="10" t="str">
        <f>+CONCATENATE(E5478,I5478)</f>
        <v/>
      </c>
      <c r="R5479" s="10">
        <f>+J5478</f>
        <v>0</v>
      </c>
      <c r="S5479" s="11"/>
      <c r="T5479" s="10">
        <f>+E5478</f>
        <v>0</v>
      </c>
      <c r="U5479" s="19" t="str">
        <f>IFERROR(LEFT(I5478,FIND("*",I5478)-1),"-")</f>
        <v>-</v>
      </c>
      <c r="V5479" s="19" t="str">
        <f>IFERROR(RIGHT(I5478,LEN(I5478)-FIND("*",I5478)),"-")</f>
        <v>-</v>
      </c>
      <c r="W5479" s="20" t="str">
        <f t="shared" ref="W5479:W5486" si="2980">IFERROR((U5479+V5479)*2/1000,"-")</f>
        <v>-</v>
      </c>
      <c r="X5479" s="20" t="str">
        <f>IFERROR(W5479*J5478,"-")</f>
        <v>-</v>
      </c>
      <c r="Z5479" s="85" t="s">
        <v>82</v>
      </c>
    </row>
    <row r="5480" spans="1:26" ht="6.95" customHeight="1" x14ac:dyDescent="0.3">
      <c r="A5480" s="154"/>
      <c r="B5480" s="157"/>
      <c r="C5480" s="158"/>
      <c r="D5480" s="161"/>
      <c r="E5480" s="162"/>
      <c r="F5480" s="163"/>
      <c r="G5480" s="164"/>
      <c r="H5480" s="165"/>
      <c r="I5480" s="164"/>
      <c r="J5480" s="165"/>
      <c r="K5480" s="164"/>
      <c r="L5480" s="165"/>
      <c r="M5480" s="6"/>
      <c r="N5480" s="32"/>
      <c r="Q5480" s="10" t="str">
        <f>+CONCATENATE(E5478,K5478)</f>
        <v/>
      </c>
      <c r="R5480" s="10">
        <f>+L5478</f>
        <v>0</v>
      </c>
      <c r="S5480" s="11"/>
      <c r="T5480" s="10">
        <f>+E5478</f>
        <v>0</v>
      </c>
      <c r="U5480" s="19" t="str">
        <f>IFERROR(LEFT(K5478,FIND("*",K5478)-1),"-")</f>
        <v>-</v>
      </c>
      <c r="V5480" s="19" t="str">
        <f>IFERROR(RIGHT(K5478,LEN(K5478)-FIND("*",K5478)),"-")</f>
        <v>-</v>
      </c>
      <c r="W5480" s="20" t="str">
        <f t="shared" si="2980"/>
        <v>-</v>
      </c>
      <c r="X5480" s="20" t="str">
        <f>IFERROR(W5480*L5478,"-")</f>
        <v>-</v>
      </c>
      <c r="Z5480" s="85" t="s">
        <v>82</v>
      </c>
    </row>
    <row r="5481" spans="1:26" ht="6.95" customHeight="1" x14ac:dyDescent="0.3">
      <c r="A5481" s="8"/>
      <c r="B5481" s="157"/>
      <c r="C5481" s="158"/>
      <c r="D5481" s="161" t="s">
        <v>39</v>
      </c>
      <c r="E5481" s="162"/>
      <c r="F5481" s="163" t="s">
        <v>40</v>
      </c>
      <c r="G5481" s="164"/>
      <c r="H5481" s="165"/>
      <c r="I5481" s="164"/>
      <c r="J5481" s="165"/>
      <c r="K5481" s="164"/>
      <c r="L5481" s="165"/>
      <c r="M5481" s="6"/>
      <c r="N5481" s="32"/>
      <c r="Q5481" s="10" t="str">
        <f>+CONCATENATE(E5481,G5481)</f>
        <v/>
      </c>
      <c r="R5481" s="10">
        <f>+H5481</f>
        <v>0</v>
      </c>
      <c r="S5481" s="11"/>
      <c r="T5481" s="10">
        <f>+E5481</f>
        <v>0</v>
      </c>
      <c r="U5481" s="19" t="str">
        <f t="shared" ref="U5481" si="2981">IFERROR(LEFT(G5481,FIND("*",G5481)-1),"-")</f>
        <v>-</v>
      </c>
      <c r="V5481" s="19" t="str">
        <f t="shared" ref="V5481" si="2982">IFERROR(RIGHT(G5481,LEN(G5481)-FIND("*",G5481)),"-")</f>
        <v>-</v>
      </c>
      <c r="W5481" s="20" t="str">
        <f t="shared" si="2980"/>
        <v>-</v>
      </c>
      <c r="X5481" s="20" t="str">
        <f>IFERROR(W5481*H5481,"-")</f>
        <v>-</v>
      </c>
      <c r="Z5481" s="85" t="s">
        <v>82</v>
      </c>
    </row>
    <row r="5482" spans="1:26" ht="6.95" customHeight="1" x14ac:dyDescent="0.3">
      <c r="A5482" s="5"/>
      <c r="B5482" s="157"/>
      <c r="C5482" s="158"/>
      <c r="D5482" s="161"/>
      <c r="E5482" s="162"/>
      <c r="F5482" s="163"/>
      <c r="G5482" s="164"/>
      <c r="H5482" s="165"/>
      <c r="I5482" s="164"/>
      <c r="J5482" s="165"/>
      <c r="K5482" s="164"/>
      <c r="L5482" s="165"/>
      <c r="M5482" s="6"/>
      <c r="N5482" s="32"/>
      <c r="Q5482" s="10" t="str">
        <f>+CONCATENATE(E5481,I5481)</f>
        <v/>
      </c>
      <c r="R5482" s="10">
        <f>+J5481</f>
        <v>0</v>
      </c>
      <c r="S5482" s="11"/>
      <c r="T5482" s="10">
        <f>+E5481</f>
        <v>0</v>
      </c>
      <c r="U5482" s="19" t="str">
        <f>IFERROR(LEFT(I5481,FIND("*",I5481)-1),"-")</f>
        <v>-</v>
      </c>
      <c r="V5482" s="19" t="str">
        <f>IFERROR(RIGHT(I5481,LEN(I5481)-FIND("*",I5481)),"-")</f>
        <v>-</v>
      </c>
      <c r="W5482" s="20" t="str">
        <f t="shared" si="2980"/>
        <v>-</v>
      </c>
      <c r="X5482" s="20" t="str">
        <f>IFERROR(W5482*J5481,"-")</f>
        <v>-</v>
      </c>
      <c r="Z5482" s="85" t="s">
        <v>82</v>
      </c>
    </row>
    <row r="5483" spans="1:26" ht="6.95" customHeight="1" x14ac:dyDescent="0.3">
      <c r="A5483" s="5"/>
      <c r="B5483" s="157"/>
      <c r="C5483" s="158"/>
      <c r="D5483" s="161"/>
      <c r="E5483" s="162"/>
      <c r="F5483" s="163"/>
      <c r="G5483" s="164"/>
      <c r="H5483" s="165"/>
      <c r="I5483" s="164"/>
      <c r="J5483" s="165"/>
      <c r="K5483" s="164"/>
      <c r="L5483" s="165"/>
      <c r="M5483" s="6"/>
      <c r="N5483" s="32"/>
      <c r="Q5483" s="10" t="str">
        <f>+CONCATENATE(E5481,K5481)</f>
        <v/>
      </c>
      <c r="R5483" s="10">
        <f>+L5481</f>
        <v>0</v>
      </c>
      <c r="S5483" s="11"/>
      <c r="T5483" s="10">
        <f>+E5481</f>
        <v>0</v>
      </c>
      <c r="U5483" s="19" t="str">
        <f>IFERROR(LEFT(K5481,FIND("*",K5481)-1),"-")</f>
        <v>-</v>
      </c>
      <c r="V5483" s="19" t="str">
        <f>IFERROR(RIGHT(K5481,LEN(K5481)-FIND("*",K5481)),"-")</f>
        <v>-</v>
      </c>
      <c r="W5483" s="20" t="str">
        <f t="shared" si="2980"/>
        <v>-</v>
      </c>
      <c r="X5483" s="20" t="str">
        <f>IFERROR(W5483*L5481,"-")</f>
        <v>-</v>
      </c>
      <c r="Z5483" s="85" t="s">
        <v>82</v>
      </c>
    </row>
    <row r="5484" spans="1:26" ht="6.95" customHeight="1" x14ac:dyDescent="0.3">
      <c r="A5484" s="8"/>
      <c r="B5484" s="157"/>
      <c r="C5484" s="158"/>
      <c r="D5484" s="161" t="s">
        <v>39</v>
      </c>
      <c r="E5484" s="162"/>
      <c r="F5484" s="163" t="s">
        <v>40</v>
      </c>
      <c r="G5484" s="164"/>
      <c r="H5484" s="165"/>
      <c r="I5484" s="164"/>
      <c r="J5484" s="165"/>
      <c r="K5484" s="164"/>
      <c r="L5484" s="165"/>
      <c r="M5484" s="6"/>
      <c r="N5484" s="32"/>
      <c r="Q5484" s="10" t="str">
        <f>+CONCATENATE(E5484,G5484)</f>
        <v/>
      </c>
      <c r="R5484" s="10">
        <f>+H5484</f>
        <v>0</v>
      </c>
      <c r="S5484" s="11"/>
      <c r="T5484" s="10">
        <f>+E5484</f>
        <v>0</v>
      </c>
      <c r="U5484" s="19" t="str">
        <f t="shared" ref="U5484" si="2983">IFERROR(LEFT(G5484,FIND("*",G5484)-1),"-")</f>
        <v>-</v>
      </c>
      <c r="V5484" s="19" t="str">
        <f t="shared" ref="V5484" si="2984">IFERROR(RIGHT(G5484,LEN(G5484)-FIND("*",G5484)),"-")</f>
        <v>-</v>
      </c>
      <c r="W5484" s="20" t="str">
        <f t="shared" si="2980"/>
        <v>-</v>
      </c>
      <c r="X5484" s="20" t="str">
        <f>IFERROR(W5484*H5484,"-")</f>
        <v>-</v>
      </c>
      <c r="Z5484" s="85" t="s">
        <v>82</v>
      </c>
    </row>
    <row r="5485" spans="1:26" ht="6.95" customHeight="1" x14ac:dyDescent="0.3">
      <c r="A5485" s="5"/>
      <c r="B5485" s="157"/>
      <c r="C5485" s="158"/>
      <c r="D5485" s="161"/>
      <c r="E5485" s="162"/>
      <c r="F5485" s="163"/>
      <c r="G5485" s="164"/>
      <c r="H5485" s="165"/>
      <c r="I5485" s="164"/>
      <c r="J5485" s="165"/>
      <c r="K5485" s="164"/>
      <c r="L5485" s="165"/>
      <c r="M5485" s="6"/>
      <c r="N5485" s="32"/>
      <c r="Q5485" s="10" t="str">
        <f>+CONCATENATE(E5484,I5484)</f>
        <v/>
      </c>
      <c r="R5485" s="10">
        <f>+J5484</f>
        <v>0</v>
      </c>
      <c r="S5485" s="11"/>
      <c r="T5485" s="10">
        <f>+E5484</f>
        <v>0</v>
      </c>
      <c r="U5485" s="19" t="str">
        <f>IFERROR(LEFT(I5484,FIND("*",I5484)-1),"-")</f>
        <v>-</v>
      </c>
      <c r="V5485" s="19" t="str">
        <f>IFERROR(RIGHT(I5484,LEN(I5484)-FIND("*",I5484)),"-")</f>
        <v>-</v>
      </c>
      <c r="W5485" s="20" t="str">
        <f t="shared" si="2980"/>
        <v>-</v>
      </c>
      <c r="X5485" s="20" t="str">
        <f t="shared" ref="X5485" si="2985">IFERROR(W5485*J5484,"-")</f>
        <v>-</v>
      </c>
      <c r="Z5485" s="85" t="s">
        <v>82</v>
      </c>
    </row>
    <row r="5486" spans="1:26" ht="6.95" customHeight="1" x14ac:dyDescent="0.3">
      <c r="A5486" s="5"/>
      <c r="B5486" s="157"/>
      <c r="C5486" s="158"/>
      <c r="D5486" s="161"/>
      <c r="E5486" s="162"/>
      <c r="F5486" s="163"/>
      <c r="G5486" s="164"/>
      <c r="H5486" s="165"/>
      <c r="I5486" s="164"/>
      <c r="J5486" s="165"/>
      <c r="K5486" s="164"/>
      <c r="L5486" s="165"/>
      <c r="M5486" s="6"/>
      <c r="N5486" s="32"/>
      <c r="Q5486" s="10" t="str">
        <f>+CONCATENATE(E5484,K5484)</f>
        <v/>
      </c>
      <c r="R5486" s="10">
        <f>+L5484</f>
        <v>0</v>
      </c>
      <c r="S5486" s="11"/>
      <c r="T5486" s="10">
        <f>+E5484</f>
        <v>0</v>
      </c>
      <c r="U5486" s="19" t="str">
        <f>IFERROR(LEFT(K5484,FIND("*",K5484)-1),"-")</f>
        <v>-</v>
      </c>
      <c r="V5486" s="19" t="str">
        <f>IFERROR(RIGHT(K5484,LEN(K5484)-FIND("*",K5484)),"-")</f>
        <v>-</v>
      </c>
      <c r="W5486" s="20" t="str">
        <f t="shared" si="2980"/>
        <v>-</v>
      </c>
      <c r="X5486" s="20" t="str">
        <f>IFERROR(W5486*L5484,"-")</f>
        <v>-</v>
      </c>
      <c r="Z5486" s="85" t="s">
        <v>82</v>
      </c>
    </row>
    <row r="5487" spans="1:26" ht="21" customHeight="1" thickBot="1" x14ac:dyDescent="0.35">
      <c r="A5487" s="5"/>
      <c r="B5487" s="159"/>
      <c r="C5487" s="160"/>
      <c r="D5487" s="166" t="s">
        <v>43</v>
      </c>
      <c r="E5487" s="167"/>
      <c r="F5487" s="167"/>
      <c r="G5487" s="168"/>
      <c r="H5487" s="168"/>
      <c r="I5487" s="168"/>
      <c r="J5487" s="168"/>
      <c r="K5487" s="168"/>
      <c r="L5487" s="168"/>
      <c r="M5487" s="7"/>
      <c r="N5487" s="32"/>
      <c r="Z5487" s="86" t="s">
        <v>81</v>
      </c>
    </row>
    <row r="5488" spans="1:26" ht="9.9499999999999993" customHeight="1" thickBot="1" x14ac:dyDescent="0.35">
      <c r="B5488" s="9"/>
      <c r="C5488" s="109"/>
      <c r="D5488" s="51"/>
      <c r="E5488" s="12"/>
      <c r="F5488" s="51"/>
      <c r="G5488" s="14"/>
      <c r="H5488" s="14"/>
      <c r="I5488" s="14"/>
      <c r="J5488" s="14"/>
      <c r="K5488" s="14"/>
      <c r="L5488" s="14"/>
      <c r="M5488" s="9"/>
      <c r="N5488" s="32"/>
      <c r="U5488" s="18"/>
      <c r="V5488" s="18"/>
      <c r="Z5488" s="85" t="s">
        <v>82</v>
      </c>
    </row>
    <row r="5489" spans="1:26" ht="6.95" customHeight="1" x14ac:dyDescent="0.3">
      <c r="A5489" s="154">
        <f>+A5478+1</f>
        <v>1298</v>
      </c>
      <c r="B5489" s="155"/>
      <c r="C5489" s="156"/>
      <c r="D5489" s="161" t="s">
        <v>39</v>
      </c>
      <c r="E5489" s="162"/>
      <c r="F5489" s="163" t="s">
        <v>40</v>
      </c>
      <c r="G5489" s="164"/>
      <c r="H5489" s="165"/>
      <c r="I5489" s="164"/>
      <c r="J5489" s="165"/>
      <c r="K5489" s="164"/>
      <c r="L5489" s="165"/>
      <c r="M5489" s="6"/>
      <c r="N5489" s="32"/>
      <c r="Q5489" s="10" t="str">
        <f>+CONCATENATE(E5489,G5489)</f>
        <v/>
      </c>
      <c r="R5489" s="10">
        <f>+H5489</f>
        <v>0</v>
      </c>
      <c r="S5489" s="11"/>
      <c r="T5489" s="10">
        <f>+E5489</f>
        <v>0</v>
      </c>
      <c r="U5489" s="19" t="str">
        <f>IFERROR(LEFT(G5489,FIND("*",G5489)-1),"-")</f>
        <v>-</v>
      </c>
      <c r="V5489" s="19" t="str">
        <f>IFERROR(RIGHT(G5489,LEN(G5489)-FIND("*",G5489)),"-")</f>
        <v>-</v>
      </c>
      <c r="W5489" s="20" t="str">
        <f>IFERROR((U5489+V5489)*2/1000,"-")</f>
        <v>-</v>
      </c>
      <c r="X5489" s="20" t="str">
        <f>IFERROR(W5489*H5489,"-")</f>
        <v>-</v>
      </c>
      <c r="Z5489" s="85" t="s">
        <v>82</v>
      </c>
    </row>
    <row r="5490" spans="1:26" ht="6.95" customHeight="1" x14ac:dyDescent="0.3">
      <c r="A5490" s="154"/>
      <c r="B5490" s="157"/>
      <c r="C5490" s="158"/>
      <c r="D5490" s="161"/>
      <c r="E5490" s="162"/>
      <c r="F5490" s="163"/>
      <c r="G5490" s="164"/>
      <c r="H5490" s="165"/>
      <c r="I5490" s="164"/>
      <c r="J5490" s="165"/>
      <c r="K5490" s="164"/>
      <c r="L5490" s="165"/>
      <c r="M5490" s="6"/>
      <c r="N5490" s="32"/>
      <c r="Q5490" s="10" t="str">
        <f>+CONCATENATE(E5489,I5489)</f>
        <v/>
      </c>
      <c r="R5490" s="10">
        <f>+J5489</f>
        <v>0</v>
      </c>
      <c r="S5490" s="11"/>
      <c r="T5490" s="10">
        <f>+E5489</f>
        <v>0</v>
      </c>
      <c r="U5490" s="19" t="str">
        <f>IFERROR(LEFT(I5489,FIND("*",I5489)-1),"-")</f>
        <v>-</v>
      </c>
      <c r="V5490" s="19" t="str">
        <f>IFERROR(RIGHT(I5489,LEN(I5489)-FIND("*",I5489)),"-")</f>
        <v>-</v>
      </c>
      <c r="W5490" s="20" t="str">
        <f t="shared" ref="W5490:W5497" si="2986">IFERROR((U5490+V5490)*2/1000,"-")</f>
        <v>-</v>
      </c>
      <c r="X5490" s="20" t="str">
        <f>IFERROR(W5490*J5489,"-")</f>
        <v>-</v>
      </c>
      <c r="Z5490" s="85" t="s">
        <v>82</v>
      </c>
    </row>
    <row r="5491" spans="1:26" ht="6.95" customHeight="1" x14ac:dyDescent="0.3">
      <c r="A5491" s="154"/>
      <c r="B5491" s="157"/>
      <c r="C5491" s="158"/>
      <c r="D5491" s="161"/>
      <c r="E5491" s="162"/>
      <c r="F5491" s="163"/>
      <c r="G5491" s="164"/>
      <c r="H5491" s="165"/>
      <c r="I5491" s="164"/>
      <c r="J5491" s="165"/>
      <c r="K5491" s="164"/>
      <c r="L5491" s="165"/>
      <c r="M5491" s="6"/>
      <c r="N5491" s="32"/>
      <c r="Q5491" s="10" t="str">
        <f>+CONCATENATE(E5489,K5489)</f>
        <v/>
      </c>
      <c r="R5491" s="10">
        <f>+L5489</f>
        <v>0</v>
      </c>
      <c r="S5491" s="11"/>
      <c r="T5491" s="10">
        <f>+E5489</f>
        <v>0</v>
      </c>
      <c r="U5491" s="19" t="str">
        <f>IFERROR(LEFT(K5489,FIND("*",K5489)-1),"-")</f>
        <v>-</v>
      </c>
      <c r="V5491" s="19" t="str">
        <f>IFERROR(RIGHT(K5489,LEN(K5489)-FIND("*",K5489)),"-")</f>
        <v>-</v>
      </c>
      <c r="W5491" s="20" t="str">
        <f t="shared" si="2986"/>
        <v>-</v>
      </c>
      <c r="X5491" s="20" t="str">
        <f>IFERROR(W5491*L5489,"-")</f>
        <v>-</v>
      </c>
      <c r="Z5491" s="85" t="s">
        <v>82</v>
      </c>
    </row>
    <row r="5492" spans="1:26" ht="6.95" customHeight="1" x14ac:dyDescent="0.3">
      <c r="A5492" s="8"/>
      <c r="B5492" s="157"/>
      <c r="C5492" s="158"/>
      <c r="D5492" s="161" t="s">
        <v>39</v>
      </c>
      <c r="E5492" s="162"/>
      <c r="F5492" s="163" t="s">
        <v>40</v>
      </c>
      <c r="G5492" s="164"/>
      <c r="H5492" s="165"/>
      <c r="I5492" s="164"/>
      <c r="J5492" s="165"/>
      <c r="K5492" s="164"/>
      <c r="L5492" s="165"/>
      <c r="M5492" s="6"/>
      <c r="N5492" s="32"/>
      <c r="Q5492" s="10" t="str">
        <f>+CONCATENATE(E5492,G5492)</f>
        <v/>
      </c>
      <c r="R5492" s="10">
        <f>+H5492</f>
        <v>0</v>
      </c>
      <c r="S5492" s="11"/>
      <c r="T5492" s="10">
        <f>+E5492</f>
        <v>0</v>
      </c>
      <c r="U5492" s="19" t="str">
        <f t="shared" ref="U5492" si="2987">IFERROR(LEFT(G5492,FIND("*",G5492)-1),"-")</f>
        <v>-</v>
      </c>
      <c r="V5492" s="19" t="str">
        <f t="shared" ref="V5492" si="2988">IFERROR(RIGHT(G5492,LEN(G5492)-FIND("*",G5492)),"-")</f>
        <v>-</v>
      </c>
      <c r="W5492" s="20" t="str">
        <f t="shared" si="2986"/>
        <v>-</v>
      </c>
      <c r="X5492" s="20" t="str">
        <f>IFERROR(W5492*H5492,"-")</f>
        <v>-</v>
      </c>
      <c r="Z5492" s="85" t="s">
        <v>82</v>
      </c>
    </row>
    <row r="5493" spans="1:26" ht="6.95" customHeight="1" x14ac:dyDescent="0.3">
      <c r="A5493" s="5"/>
      <c r="B5493" s="157"/>
      <c r="C5493" s="158"/>
      <c r="D5493" s="161"/>
      <c r="E5493" s="162"/>
      <c r="F5493" s="163"/>
      <c r="G5493" s="164"/>
      <c r="H5493" s="165"/>
      <c r="I5493" s="164"/>
      <c r="J5493" s="165"/>
      <c r="K5493" s="164"/>
      <c r="L5493" s="165"/>
      <c r="M5493" s="6"/>
      <c r="N5493" s="32"/>
      <c r="Q5493" s="10" t="str">
        <f>+CONCATENATE(E5492,I5492)</f>
        <v/>
      </c>
      <c r="R5493" s="10">
        <f>+J5492</f>
        <v>0</v>
      </c>
      <c r="S5493" s="11"/>
      <c r="T5493" s="10">
        <f>+E5492</f>
        <v>0</v>
      </c>
      <c r="U5493" s="19" t="str">
        <f>IFERROR(LEFT(I5492,FIND("*",I5492)-1),"-")</f>
        <v>-</v>
      </c>
      <c r="V5493" s="19" t="str">
        <f>IFERROR(RIGHT(I5492,LEN(I5492)-FIND("*",I5492)),"-")</f>
        <v>-</v>
      </c>
      <c r="W5493" s="20" t="str">
        <f t="shared" si="2986"/>
        <v>-</v>
      </c>
      <c r="X5493" s="20" t="str">
        <f>IFERROR(W5493*J5492,"-")</f>
        <v>-</v>
      </c>
      <c r="Z5493" s="85" t="s">
        <v>82</v>
      </c>
    </row>
    <row r="5494" spans="1:26" ht="6.95" customHeight="1" x14ac:dyDescent="0.3">
      <c r="A5494" s="5"/>
      <c r="B5494" s="157"/>
      <c r="C5494" s="158"/>
      <c r="D5494" s="161"/>
      <c r="E5494" s="162"/>
      <c r="F5494" s="163"/>
      <c r="G5494" s="164"/>
      <c r="H5494" s="165"/>
      <c r="I5494" s="164"/>
      <c r="J5494" s="165"/>
      <c r="K5494" s="164"/>
      <c r="L5494" s="165"/>
      <c r="M5494" s="6"/>
      <c r="N5494" s="32"/>
      <c r="Q5494" s="10" t="str">
        <f>+CONCATENATE(E5492,K5492)</f>
        <v/>
      </c>
      <c r="R5494" s="10">
        <f>+L5492</f>
        <v>0</v>
      </c>
      <c r="S5494" s="11"/>
      <c r="T5494" s="10">
        <f>+E5492</f>
        <v>0</v>
      </c>
      <c r="U5494" s="19" t="str">
        <f>IFERROR(LEFT(K5492,FIND("*",K5492)-1),"-")</f>
        <v>-</v>
      </c>
      <c r="V5494" s="19" t="str">
        <f>IFERROR(RIGHT(K5492,LEN(K5492)-FIND("*",K5492)),"-")</f>
        <v>-</v>
      </c>
      <c r="W5494" s="20" t="str">
        <f t="shared" si="2986"/>
        <v>-</v>
      </c>
      <c r="X5494" s="20" t="str">
        <f>IFERROR(W5494*L5492,"-")</f>
        <v>-</v>
      </c>
      <c r="Z5494" s="85" t="s">
        <v>82</v>
      </c>
    </row>
    <row r="5495" spans="1:26" ht="6.95" customHeight="1" x14ac:dyDescent="0.3">
      <c r="A5495" s="8"/>
      <c r="B5495" s="157"/>
      <c r="C5495" s="158"/>
      <c r="D5495" s="161" t="s">
        <v>39</v>
      </c>
      <c r="E5495" s="162"/>
      <c r="F5495" s="163" t="s">
        <v>40</v>
      </c>
      <c r="G5495" s="164"/>
      <c r="H5495" s="165"/>
      <c r="I5495" s="164"/>
      <c r="J5495" s="165"/>
      <c r="K5495" s="164"/>
      <c r="L5495" s="165"/>
      <c r="M5495" s="6"/>
      <c r="N5495" s="32"/>
      <c r="Q5495" s="10" t="str">
        <f>+CONCATENATE(E5495,G5495)</f>
        <v/>
      </c>
      <c r="R5495" s="10">
        <f>+H5495</f>
        <v>0</v>
      </c>
      <c r="S5495" s="11"/>
      <c r="T5495" s="10">
        <f>+E5495</f>
        <v>0</v>
      </c>
      <c r="U5495" s="19" t="str">
        <f t="shared" ref="U5495" si="2989">IFERROR(LEFT(G5495,FIND("*",G5495)-1),"-")</f>
        <v>-</v>
      </c>
      <c r="V5495" s="19" t="str">
        <f t="shared" ref="V5495" si="2990">IFERROR(RIGHT(G5495,LEN(G5495)-FIND("*",G5495)),"-")</f>
        <v>-</v>
      </c>
      <c r="W5495" s="20" t="str">
        <f t="shared" si="2986"/>
        <v>-</v>
      </c>
      <c r="X5495" s="20" t="str">
        <f>IFERROR(W5495*H5495,"-")</f>
        <v>-</v>
      </c>
      <c r="Z5495" s="85" t="s">
        <v>82</v>
      </c>
    </row>
    <row r="5496" spans="1:26" ht="6.95" customHeight="1" x14ac:dyDescent="0.3">
      <c r="A5496" s="5"/>
      <c r="B5496" s="157"/>
      <c r="C5496" s="158"/>
      <c r="D5496" s="161"/>
      <c r="E5496" s="162"/>
      <c r="F5496" s="163"/>
      <c r="G5496" s="164"/>
      <c r="H5496" s="165"/>
      <c r="I5496" s="164"/>
      <c r="J5496" s="165"/>
      <c r="K5496" s="164"/>
      <c r="L5496" s="165"/>
      <c r="M5496" s="6"/>
      <c r="N5496" s="32"/>
      <c r="Q5496" s="10" t="str">
        <f>+CONCATENATE(E5495,I5495)</f>
        <v/>
      </c>
      <c r="R5496" s="10">
        <f>+J5495</f>
        <v>0</v>
      </c>
      <c r="S5496" s="11"/>
      <c r="T5496" s="10">
        <f>+E5495</f>
        <v>0</v>
      </c>
      <c r="U5496" s="19" t="str">
        <f>IFERROR(LEFT(I5495,FIND("*",I5495)-1),"-")</f>
        <v>-</v>
      </c>
      <c r="V5496" s="19" t="str">
        <f>IFERROR(RIGHT(I5495,LEN(I5495)-FIND("*",I5495)),"-")</f>
        <v>-</v>
      </c>
      <c r="W5496" s="20" t="str">
        <f t="shared" si="2986"/>
        <v>-</v>
      </c>
      <c r="X5496" s="20" t="str">
        <f t="shared" ref="X5496" si="2991">IFERROR(W5496*J5495,"-")</f>
        <v>-</v>
      </c>
      <c r="Z5496" s="85" t="s">
        <v>82</v>
      </c>
    </row>
    <row r="5497" spans="1:26" ht="6.95" customHeight="1" x14ac:dyDescent="0.3">
      <c r="A5497" s="5"/>
      <c r="B5497" s="157"/>
      <c r="C5497" s="158"/>
      <c r="D5497" s="161"/>
      <c r="E5497" s="162"/>
      <c r="F5497" s="163"/>
      <c r="G5497" s="164"/>
      <c r="H5497" s="165"/>
      <c r="I5497" s="164"/>
      <c r="J5497" s="165"/>
      <c r="K5497" s="164"/>
      <c r="L5497" s="165"/>
      <c r="M5497" s="6"/>
      <c r="N5497" s="32"/>
      <c r="Q5497" s="10" t="str">
        <f>+CONCATENATE(E5495,K5495)</f>
        <v/>
      </c>
      <c r="R5497" s="10">
        <f>+L5495</f>
        <v>0</v>
      </c>
      <c r="S5497" s="11"/>
      <c r="T5497" s="10">
        <f>+E5495</f>
        <v>0</v>
      </c>
      <c r="U5497" s="19" t="str">
        <f>IFERROR(LEFT(K5495,FIND("*",K5495)-1),"-")</f>
        <v>-</v>
      </c>
      <c r="V5497" s="19" t="str">
        <f>IFERROR(RIGHT(K5495,LEN(K5495)-FIND("*",K5495)),"-")</f>
        <v>-</v>
      </c>
      <c r="W5497" s="20" t="str">
        <f t="shared" si="2986"/>
        <v>-</v>
      </c>
      <c r="X5497" s="20" t="str">
        <f>IFERROR(W5497*L5495,"-")</f>
        <v>-</v>
      </c>
      <c r="Z5497" s="85" t="s">
        <v>82</v>
      </c>
    </row>
    <row r="5498" spans="1:26" ht="21" customHeight="1" thickBot="1" x14ac:dyDescent="0.35">
      <c r="A5498" s="5"/>
      <c r="B5498" s="159"/>
      <c r="C5498" s="160"/>
      <c r="D5498" s="166" t="s">
        <v>43</v>
      </c>
      <c r="E5498" s="167"/>
      <c r="F5498" s="167"/>
      <c r="G5498" s="168"/>
      <c r="H5498" s="168"/>
      <c r="I5498" s="168"/>
      <c r="J5498" s="168"/>
      <c r="K5498" s="168"/>
      <c r="L5498" s="168"/>
      <c r="M5498" s="7"/>
      <c r="N5498" s="32"/>
      <c r="Z5498" s="86" t="s">
        <v>81</v>
      </c>
    </row>
    <row r="5499" spans="1:26" ht="9.9499999999999993" customHeight="1" thickBot="1" x14ac:dyDescent="0.35">
      <c r="B5499" s="9"/>
      <c r="C5499" s="109"/>
      <c r="D5499" s="51"/>
      <c r="E5499" s="12"/>
      <c r="F5499" s="51"/>
      <c r="G5499" s="14"/>
      <c r="H5499" s="14"/>
      <c r="I5499" s="14"/>
      <c r="J5499" s="14"/>
      <c r="K5499" s="14"/>
      <c r="L5499" s="14"/>
      <c r="M5499" s="9"/>
      <c r="N5499" s="32"/>
      <c r="U5499" s="18"/>
      <c r="V5499" s="18"/>
      <c r="Z5499" s="85" t="s">
        <v>82</v>
      </c>
    </row>
    <row r="5500" spans="1:26" ht="6.95" customHeight="1" x14ac:dyDescent="0.3">
      <c r="A5500" s="154">
        <f>+A5489+1</f>
        <v>1299</v>
      </c>
      <c r="B5500" s="155"/>
      <c r="C5500" s="156"/>
      <c r="D5500" s="161" t="s">
        <v>39</v>
      </c>
      <c r="E5500" s="162"/>
      <c r="F5500" s="163" t="s">
        <v>40</v>
      </c>
      <c r="G5500" s="164"/>
      <c r="H5500" s="165"/>
      <c r="I5500" s="164"/>
      <c r="J5500" s="165"/>
      <c r="K5500" s="164"/>
      <c r="L5500" s="165"/>
      <c r="M5500" s="6"/>
      <c r="N5500" s="32"/>
      <c r="Q5500" s="10" t="str">
        <f>+CONCATENATE(E5500,G5500)</f>
        <v/>
      </c>
      <c r="R5500" s="10">
        <f>+H5500</f>
        <v>0</v>
      </c>
      <c r="S5500" s="11"/>
      <c r="T5500" s="10">
        <f>+E5500</f>
        <v>0</v>
      </c>
      <c r="U5500" s="19" t="str">
        <f>IFERROR(LEFT(G5500,FIND("*",G5500)-1),"-")</f>
        <v>-</v>
      </c>
      <c r="V5500" s="19" t="str">
        <f>IFERROR(RIGHT(G5500,LEN(G5500)-FIND("*",G5500)),"-")</f>
        <v>-</v>
      </c>
      <c r="W5500" s="20" t="str">
        <f>IFERROR((U5500+V5500)*2/1000,"-")</f>
        <v>-</v>
      </c>
      <c r="X5500" s="20" t="str">
        <f>IFERROR(W5500*H5500,"-")</f>
        <v>-</v>
      </c>
      <c r="Z5500" s="85" t="s">
        <v>82</v>
      </c>
    </row>
    <row r="5501" spans="1:26" ht="6.95" customHeight="1" x14ac:dyDescent="0.3">
      <c r="A5501" s="154"/>
      <c r="B5501" s="157"/>
      <c r="C5501" s="158"/>
      <c r="D5501" s="161"/>
      <c r="E5501" s="162"/>
      <c r="F5501" s="163"/>
      <c r="G5501" s="164"/>
      <c r="H5501" s="165"/>
      <c r="I5501" s="164"/>
      <c r="J5501" s="165"/>
      <c r="K5501" s="164"/>
      <c r="L5501" s="165"/>
      <c r="M5501" s="6"/>
      <c r="N5501" s="32"/>
      <c r="Q5501" s="10" t="str">
        <f>+CONCATENATE(E5500,I5500)</f>
        <v/>
      </c>
      <c r="R5501" s="10">
        <f>+J5500</f>
        <v>0</v>
      </c>
      <c r="S5501" s="11"/>
      <c r="T5501" s="10">
        <f>+E5500</f>
        <v>0</v>
      </c>
      <c r="U5501" s="19" t="str">
        <f>IFERROR(LEFT(I5500,FIND("*",I5500)-1),"-")</f>
        <v>-</v>
      </c>
      <c r="V5501" s="19" t="str">
        <f>IFERROR(RIGHT(I5500,LEN(I5500)-FIND("*",I5500)),"-")</f>
        <v>-</v>
      </c>
      <c r="W5501" s="20" t="str">
        <f t="shared" ref="W5501:W5508" si="2992">IFERROR((U5501+V5501)*2/1000,"-")</f>
        <v>-</v>
      </c>
      <c r="X5501" s="20" t="str">
        <f>IFERROR(W5501*J5500,"-")</f>
        <v>-</v>
      </c>
      <c r="Z5501" s="85" t="s">
        <v>82</v>
      </c>
    </row>
    <row r="5502" spans="1:26" ht="6.95" customHeight="1" x14ac:dyDescent="0.3">
      <c r="A5502" s="154"/>
      <c r="B5502" s="157"/>
      <c r="C5502" s="158"/>
      <c r="D5502" s="161"/>
      <c r="E5502" s="162"/>
      <c r="F5502" s="163"/>
      <c r="G5502" s="164"/>
      <c r="H5502" s="165"/>
      <c r="I5502" s="164"/>
      <c r="J5502" s="165"/>
      <c r="K5502" s="164"/>
      <c r="L5502" s="165"/>
      <c r="M5502" s="6"/>
      <c r="N5502" s="32"/>
      <c r="Q5502" s="10" t="str">
        <f>+CONCATENATE(E5500,K5500)</f>
        <v/>
      </c>
      <c r="R5502" s="10">
        <f>+L5500</f>
        <v>0</v>
      </c>
      <c r="S5502" s="11"/>
      <c r="T5502" s="10">
        <f>+E5500</f>
        <v>0</v>
      </c>
      <c r="U5502" s="19" t="str">
        <f>IFERROR(LEFT(K5500,FIND("*",K5500)-1),"-")</f>
        <v>-</v>
      </c>
      <c r="V5502" s="19" t="str">
        <f>IFERROR(RIGHT(K5500,LEN(K5500)-FIND("*",K5500)),"-")</f>
        <v>-</v>
      </c>
      <c r="W5502" s="20" t="str">
        <f t="shared" si="2992"/>
        <v>-</v>
      </c>
      <c r="X5502" s="20" t="str">
        <f>IFERROR(W5502*L5500,"-")</f>
        <v>-</v>
      </c>
      <c r="Z5502" s="85" t="s">
        <v>82</v>
      </c>
    </row>
    <row r="5503" spans="1:26" ht="6.95" customHeight="1" x14ac:dyDescent="0.3">
      <c r="A5503" s="8"/>
      <c r="B5503" s="157"/>
      <c r="C5503" s="158"/>
      <c r="D5503" s="161" t="s">
        <v>39</v>
      </c>
      <c r="E5503" s="162"/>
      <c r="F5503" s="163" t="s">
        <v>40</v>
      </c>
      <c r="G5503" s="164"/>
      <c r="H5503" s="165"/>
      <c r="I5503" s="164"/>
      <c r="J5503" s="165"/>
      <c r="K5503" s="164"/>
      <c r="L5503" s="165"/>
      <c r="M5503" s="6"/>
      <c r="N5503" s="32"/>
      <c r="Q5503" s="10" t="str">
        <f>+CONCATENATE(E5503,G5503)</f>
        <v/>
      </c>
      <c r="R5503" s="10">
        <f>+H5503</f>
        <v>0</v>
      </c>
      <c r="S5503" s="11"/>
      <c r="T5503" s="10">
        <f>+E5503</f>
        <v>0</v>
      </c>
      <c r="U5503" s="19" t="str">
        <f t="shared" ref="U5503" si="2993">IFERROR(LEFT(G5503,FIND("*",G5503)-1),"-")</f>
        <v>-</v>
      </c>
      <c r="V5503" s="19" t="str">
        <f t="shared" ref="V5503" si="2994">IFERROR(RIGHT(G5503,LEN(G5503)-FIND("*",G5503)),"-")</f>
        <v>-</v>
      </c>
      <c r="W5503" s="20" t="str">
        <f t="shared" si="2992"/>
        <v>-</v>
      </c>
      <c r="X5503" s="20" t="str">
        <f>IFERROR(W5503*H5503,"-")</f>
        <v>-</v>
      </c>
      <c r="Z5503" s="85" t="s">
        <v>82</v>
      </c>
    </row>
    <row r="5504" spans="1:26" ht="6.95" customHeight="1" x14ac:dyDescent="0.3">
      <c r="A5504" s="5"/>
      <c r="B5504" s="157"/>
      <c r="C5504" s="158"/>
      <c r="D5504" s="161"/>
      <c r="E5504" s="162"/>
      <c r="F5504" s="163"/>
      <c r="G5504" s="164"/>
      <c r="H5504" s="165"/>
      <c r="I5504" s="164"/>
      <c r="J5504" s="165"/>
      <c r="K5504" s="164"/>
      <c r="L5504" s="165"/>
      <c r="M5504" s="6"/>
      <c r="N5504" s="32"/>
      <c r="Q5504" s="10" t="str">
        <f>+CONCATENATE(E5503,I5503)</f>
        <v/>
      </c>
      <c r="R5504" s="10">
        <f>+J5503</f>
        <v>0</v>
      </c>
      <c r="S5504" s="11"/>
      <c r="T5504" s="10">
        <f>+E5503</f>
        <v>0</v>
      </c>
      <c r="U5504" s="19" t="str">
        <f>IFERROR(LEFT(I5503,FIND("*",I5503)-1),"-")</f>
        <v>-</v>
      </c>
      <c r="V5504" s="19" t="str">
        <f>IFERROR(RIGHT(I5503,LEN(I5503)-FIND("*",I5503)),"-")</f>
        <v>-</v>
      </c>
      <c r="W5504" s="20" t="str">
        <f t="shared" si="2992"/>
        <v>-</v>
      </c>
      <c r="X5504" s="20" t="str">
        <f>IFERROR(W5504*J5503,"-")</f>
        <v>-</v>
      </c>
      <c r="Z5504" s="85" t="s">
        <v>82</v>
      </c>
    </row>
    <row r="5505" spans="1:26" ht="6.95" customHeight="1" x14ac:dyDescent="0.3">
      <c r="A5505" s="5"/>
      <c r="B5505" s="157"/>
      <c r="C5505" s="158"/>
      <c r="D5505" s="161"/>
      <c r="E5505" s="162"/>
      <c r="F5505" s="163"/>
      <c r="G5505" s="164"/>
      <c r="H5505" s="165"/>
      <c r="I5505" s="164"/>
      <c r="J5505" s="165"/>
      <c r="K5505" s="164"/>
      <c r="L5505" s="165"/>
      <c r="M5505" s="6"/>
      <c r="N5505" s="32"/>
      <c r="Q5505" s="10" t="str">
        <f>+CONCATENATE(E5503,K5503)</f>
        <v/>
      </c>
      <c r="R5505" s="10">
        <f>+L5503</f>
        <v>0</v>
      </c>
      <c r="S5505" s="11"/>
      <c r="T5505" s="10">
        <f>+E5503</f>
        <v>0</v>
      </c>
      <c r="U5505" s="19" t="str">
        <f>IFERROR(LEFT(K5503,FIND("*",K5503)-1),"-")</f>
        <v>-</v>
      </c>
      <c r="V5505" s="19" t="str">
        <f>IFERROR(RIGHT(K5503,LEN(K5503)-FIND("*",K5503)),"-")</f>
        <v>-</v>
      </c>
      <c r="W5505" s="20" t="str">
        <f t="shared" si="2992"/>
        <v>-</v>
      </c>
      <c r="X5505" s="20" t="str">
        <f>IFERROR(W5505*L5503,"-")</f>
        <v>-</v>
      </c>
      <c r="Z5505" s="85" t="s">
        <v>82</v>
      </c>
    </row>
    <row r="5506" spans="1:26" ht="6.95" customHeight="1" x14ac:dyDescent="0.3">
      <c r="A5506" s="8"/>
      <c r="B5506" s="157"/>
      <c r="C5506" s="158"/>
      <c r="D5506" s="161" t="s">
        <v>39</v>
      </c>
      <c r="E5506" s="162"/>
      <c r="F5506" s="163" t="s">
        <v>40</v>
      </c>
      <c r="G5506" s="164"/>
      <c r="H5506" s="165"/>
      <c r="I5506" s="164"/>
      <c r="J5506" s="165"/>
      <c r="K5506" s="164"/>
      <c r="L5506" s="165"/>
      <c r="M5506" s="6"/>
      <c r="N5506" s="32"/>
      <c r="Q5506" s="10" t="str">
        <f>+CONCATENATE(E5506,G5506)</f>
        <v/>
      </c>
      <c r="R5506" s="10">
        <f>+H5506</f>
        <v>0</v>
      </c>
      <c r="S5506" s="11"/>
      <c r="T5506" s="10">
        <f>+E5506</f>
        <v>0</v>
      </c>
      <c r="U5506" s="19" t="str">
        <f t="shared" ref="U5506" si="2995">IFERROR(LEFT(G5506,FIND("*",G5506)-1),"-")</f>
        <v>-</v>
      </c>
      <c r="V5506" s="19" t="str">
        <f t="shared" ref="V5506" si="2996">IFERROR(RIGHT(G5506,LEN(G5506)-FIND("*",G5506)),"-")</f>
        <v>-</v>
      </c>
      <c r="W5506" s="20" t="str">
        <f t="shared" si="2992"/>
        <v>-</v>
      </c>
      <c r="X5506" s="20" t="str">
        <f>IFERROR(W5506*H5506,"-")</f>
        <v>-</v>
      </c>
      <c r="Z5506" s="85" t="s">
        <v>82</v>
      </c>
    </row>
    <row r="5507" spans="1:26" ht="6.95" customHeight="1" x14ac:dyDescent="0.3">
      <c r="A5507" s="5"/>
      <c r="B5507" s="157"/>
      <c r="C5507" s="158"/>
      <c r="D5507" s="161"/>
      <c r="E5507" s="162"/>
      <c r="F5507" s="163"/>
      <c r="G5507" s="164"/>
      <c r="H5507" s="165"/>
      <c r="I5507" s="164"/>
      <c r="J5507" s="165"/>
      <c r="K5507" s="164"/>
      <c r="L5507" s="165"/>
      <c r="M5507" s="6"/>
      <c r="N5507" s="32"/>
      <c r="Q5507" s="10" t="str">
        <f>+CONCATENATE(E5506,I5506)</f>
        <v/>
      </c>
      <c r="R5507" s="10">
        <f>+J5506</f>
        <v>0</v>
      </c>
      <c r="S5507" s="11"/>
      <c r="T5507" s="10">
        <f>+E5506</f>
        <v>0</v>
      </c>
      <c r="U5507" s="19" t="str">
        <f>IFERROR(LEFT(I5506,FIND("*",I5506)-1),"-")</f>
        <v>-</v>
      </c>
      <c r="V5507" s="19" t="str">
        <f>IFERROR(RIGHT(I5506,LEN(I5506)-FIND("*",I5506)),"-")</f>
        <v>-</v>
      </c>
      <c r="W5507" s="20" t="str">
        <f t="shared" si="2992"/>
        <v>-</v>
      </c>
      <c r="X5507" s="20" t="str">
        <f t="shared" ref="X5507" si="2997">IFERROR(W5507*J5506,"-")</f>
        <v>-</v>
      </c>
      <c r="Z5507" s="85" t="s">
        <v>82</v>
      </c>
    </row>
    <row r="5508" spans="1:26" ht="6.95" customHeight="1" x14ac:dyDescent="0.3">
      <c r="A5508" s="5"/>
      <c r="B5508" s="157"/>
      <c r="C5508" s="158"/>
      <c r="D5508" s="161"/>
      <c r="E5508" s="162"/>
      <c r="F5508" s="163"/>
      <c r="G5508" s="164"/>
      <c r="H5508" s="165"/>
      <c r="I5508" s="164"/>
      <c r="J5508" s="165"/>
      <c r="K5508" s="164"/>
      <c r="L5508" s="165"/>
      <c r="M5508" s="6"/>
      <c r="N5508" s="32"/>
      <c r="Q5508" s="10" t="str">
        <f>+CONCATENATE(E5506,K5506)</f>
        <v/>
      </c>
      <c r="R5508" s="10">
        <f>+L5506</f>
        <v>0</v>
      </c>
      <c r="S5508" s="11"/>
      <c r="T5508" s="10">
        <f>+E5506</f>
        <v>0</v>
      </c>
      <c r="U5508" s="19" t="str">
        <f>IFERROR(LEFT(K5506,FIND("*",K5506)-1),"-")</f>
        <v>-</v>
      </c>
      <c r="V5508" s="19" t="str">
        <f>IFERROR(RIGHT(K5506,LEN(K5506)-FIND("*",K5506)),"-")</f>
        <v>-</v>
      </c>
      <c r="W5508" s="20" t="str">
        <f t="shared" si="2992"/>
        <v>-</v>
      </c>
      <c r="X5508" s="20" t="str">
        <f>IFERROR(W5508*L5506,"-")</f>
        <v>-</v>
      </c>
      <c r="Z5508" s="85" t="s">
        <v>82</v>
      </c>
    </row>
    <row r="5509" spans="1:26" ht="21" customHeight="1" thickBot="1" x14ac:dyDescent="0.35">
      <c r="A5509" s="5"/>
      <c r="B5509" s="159"/>
      <c r="C5509" s="160"/>
      <c r="D5509" s="166" t="s">
        <v>43</v>
      </c>
      <c r="E5509" s="167"/>
      <c r="F5509" s="167"/>
      <c r="G5509" s="168"/>
      <c r="H5509" s="168"/>
      <c r="I5509" s="168"/>
      <c r="J5509" s="168"/>
      <c r="K5509" s="168"/>
      <c r="L5509" s="168"/>
      <c r="M5509" s="7"/>
      <c r="N5509" s="32"/>
      <c r="Z5509" s="86" t="s">
        <v>81</v>
      </c>
    </row>
    <row r="5510" spans="1:26" ht="9.9499999999999993" customHeight="1" thickBot="1" x14ac:dyDescent="0.35">
      <c r="B5510" s="9"/>
      <c r="C5510" s="109"/>
      <c r="D5510" s="51"/>
      <c r="E5510" s="12"/>
      <c r="F5510" s="51"/>
      <c r="G5510" s="14"/>
      <c r="H5510" s="14"/>
      <c r="I5510" s="14"/>
      <c r="J5510" s="14"/>
      <c r="K5510" s="14"/>
      <c r="L5510" s="14"/>
      <c r="M5510" s="9"/>
      <c r="N5510" s="32"/>
      <c r="U5510" s="18"/>
      <c r="V5510" s="18"/>
      <c r="Z5510" s="85" t="s">
        <v>82</v>
      </c>
    </row>
    <row r="5511" spans="1:26" ht="6.95" customHeight="1" x14ac:dyDescent="0.3">
      <c r="A5511" s="154">
        <f>+A5500+1</f>
        <v>1300</v>
      </c>
      <c r="B5511" s="155"/>
      <c r="C5511" s="156"/>
      <c r="D5511" s="161" t="s">
        <v>39</v>
      </c>
      <c r="E5511" s="162"/>
      <c r="F5511" s="163" t="s">
        <v>40</v>
      </c>
      <c r="G5511" s="164"/>
      <c r="H5511" s="165"/>
      <c r="I5511" s="164"/>
      <c r="J5511" s="165"/>
      <c r="K5511" s="164"/>
      <c r="L5511" s="165"/>
      <c r="M5511" s="6"/>
      <c r="N5511" s="32"/>
      <c r="Q5511" s="10" t="str">
        <f>+CONCATENATE(E5511,G5511)</f>
        <v/>
      </c>
      <c r="R5511" s="10">
        <f>+H5511</f>
        <v>0</v>
      </c>
      <c r="S5511" s="11"/>
      <c r="T5511" s="10">
        <f>+E5511</f>
        <v>0</v>
      </c>
      <c r="U5511" s="19" t="str">
        <f>IFERROR(LEFT(G5511,FIND("*",G5511)-1),"-")</f>
        <v>-</v>
      </c>
      <c r="V5511" s="19" t="str">
        <f>IFERROR(RIGHT(G5511,LEN(G5511)-FIND("*",G5511)),"-")</f>
        <v>-</v>
      </c>
      <c r="W5511" s="20" t="str">
        <f>IFERROR((U5511+V5511)*2/1000,"-")</f>
        <v>-</v>
      </c>
      <c r="X5511" s="20" t="str">
        <f>IFERROR(W5511*H5511,"-")</f>
        <v>-</v>
      </c>
      <c r="Z5511" s="85" t="s">
        <v>82</v>
      </c>
    </row>
    <row r="5512" spans="1:26" ht="6.95" customHeight="1" x14ac:dyDescent="0.3">
      <c r="A5512" s="154"/>
      <c r="B5512" s="157"/>
      <c r="C5512" s="158"/>
      <c r="D5512" s="161"/>
      <c r="E5512" s="162"/>
      <c r="F5512" s="163"/>
      <c r="G5512" s="164"/>
      <c r="H5512" s="165"/>
      <c r="I5512" s="164"/>
      <c r="J5512" s="165"/>
      <c r="K5512" s="164"/>
      <c r="L5512" s="165"/>
      <c r="M5512" s="6"/>
      <c r="N5512" s="32"/>
      <c r="Q5512" s="10" t="str">
        <f>+CONCATENATE(E5511,I5511)</f>
        <v/>
      </c>
      <c r="R5512" s="10">
        <f>+J5511</f>
        <v>0</v>
      </c>
      <c r="S5512" s="11"/>
      <c r="T5512" s="10">
        <f>+E5511</f>
        <v>0</v>
      </c>
      <c r="U5512" s="19" t="str">
        <f>IFERROR(LEFT(I5511,FIND("*",I5511)-1),"-")</f>
        <v>-</v>
      </c>
      <c r="V5512" s="19" t="str">
        <f>IFERROR(RIGHT(I5511,LEN(I5511)-FIND("*",I5511)),"-")</f>
        <v>-</v>
      </c>
      <c r="W5512" s="20" t="str">
        <f t="shared" ref="W5512:W5519" si="2998">IFERROR((U5512+V5512)*2/1000,"-")</f>
        <v>-</v>
      </c>
      <c r="X5512" s="20" t="str">
        <f>IFERROR(W5512*J5511,"-")</f>
        <v>-</v>
      </c>
      <c r="Z5512" s="85" t="s">
        <v>82</v>
      </c>
    </row>
    <row r="5513" spans="1:26" ht="6.95" customHeight="1" x14ac:dyDescent="0.3">
      <c r="A5513" s="154"/>
      <c r="B5513" s="157"/>
      <c r="C5513" s="158"/>
      <c r="D5513" s="161"/>
      <c r="E5513" s="162"/>
      <c r="F5513" s="163"/>
      <c r="G5513" s="164"/>
      <c r="H5513" s="165"/>
      <c r="I5513" s="164"/>
      <c r="J5513" s="165"/>
      <c r="K5513" s="164"/>
      <c r="L5513" s="165"/>
      <c r="M5513" s="6"/>
      <c r="N5513" s="32"/>
      <c r="Q5513" s="10" t="str">
        <f>+CONCATENATE(E5511,K5511)</f>
        <v/>
      </c>
      <c r="R5513" s="10">
        <f>+L5511</f>
        <v>0</v>
      </c>
      <c r="S5513" s="11"/>
      <c r="T5513" s="10">
        <f>+E5511</f>
        <v>0</v>
      </c>
      <c r="U5513" s="19" t="str">
        <f>IFERROR(LEFT(K5511,FIND("*",K5511)-1),"-")</f>
        <v>-</v>
      </c>
      <c r="V5513" s="19" t="str">
        <f>IFERROR(RIGHT(K5511,LEN(K5511)-FIND("*",K5511)),"-")</f>
        <v>-</v>
      </c>
      <c r="W5513" s="20" t="str">
        <f t="shared" si="2998"/>
        <v>-</v>
      </c>
      <c r="X5513" s="20" t="str">
        <f>IFERROR(W5513*L5511,"-")</f>
        <v>-</v>
      </c>
      <c r="Z5513" s="85" t="s">
        <v>82</v>
      </c>
    </row>
    <row r="5514" spans="1:26" ht="6.95" customHeight="1" x14ac:dyDescent="0.3">
      <c r="A5514" s="8"/>
      <c r="B5514" s="157"/>
      <c r="C5514" s="158"/>
      <c r="D5514" s="161" t="s">
        <v>39</v>
      </c>
      <c r="E5514" s="162"/>
      <c r="F5514" s="163" t="s">
        <v>40</v>
      </c>
      <c r="G5514" s="164"/>
      <c r="H5514" s="165"/>
      <c r="I5514" s="164"/>
      <c r="J5514" s="165"/>
      <c r="K5514" s="164"/>
      <c r="L5514" s="165"/>
      <c r="M5514" s="6"/>
      <c r="N5514" s="32"/>
      <c r="Q5514" s="10" t="str">
        <f>+CONCATENATE(E5514,G5514)</f>
        <v/>
      </c>
      <c r="R5514" s="10">
        <f>+H5514</f>
        <v>0</v>
      </c>
      <c r="S5514" s="11"/>
      <c r="T5514" s="10">
        <f>+E5514</f>
        <v>0</v>
      </c>
      <c r="U5514" s="19" t="str">
        <f t="shared" ref="U5514" si="2999">IFERROR(LEFT(G5514,FIND("*",G5514)-1),"-")</f>
        <v>-</v>
      </c>
      <c r="V5514" s="19" t="str">
        <f t="shared" ref="V5514" si="3000">IFERROR(RIGHT(G5514,LEN(G5514)-FIND("*",G5514)),"-")</f>
        <v>-</v>
      </c>
      <c r="W5514" s="20" t="str">
        <f t="shared" si="2998"/>
        <v>-</v>
      </c>
      <c r="X5514" s="20" t="str">
        <f>IFERROR(W5514*H5514,"-")</f>
        <v>-</v>
      </c>
      <c r="Z5514" s="85" t="s">
        <v>82</v>
      </c>
    </row>
    <row r="5515" spans="1:26" ht="6.95" customHeight="1" x14ac:dyDescent="0.3">
      <c r="A5515" s="5"/>
      <c r="B5515" s="157"/>
      <c r="C5515" s="158"/>
      <c r="D5515" s="161"/>
      <c r="E5515" s="162"/>
      <c r="F5515" s="163"/>
      <c r="G5515" s="164"/>
      <c r="H5515" s="165"/>
      <c r="I5515" s="164"/>
      <c r="J5515" s="165"/>
      <c r="K5515" s="164"/>
      <c r="L5515" s="165"/>
      <c r="M5515" s="6"/>
      <c r="N5515" s="32"/>
      <c r="Q5515" s="10" t="str">
        <f>+CONCATENATE(E5514,I5514)</f>
        <v/>
      </c>
      <c r="R5515" s="10">
        <f>+J5514</f>
        <v>0</v>
      </c>
      <c r="S5515" s="11"/>
      <c r="T5515" s="10">
        <f>+E5514</f>
        <v>0</v>
      </c>
      <c r="U5515" s="19" t="str">
        <f>IFERROR(LEFT(I5514,FIND("*",I5514)-1),"-")</f>
        <v>-</v>
      </c>
      <c r="V5515" s="19" t="str">
        <f>IFERROR(RIGHT(I5514,LEN(I5514)-FIND("*",I5514)),"-")</f>
        <v>-</v>
      </c>
      <c r="W5515" s="20" t="str">
        <f t="shared" si="2998"/>
        <v>-</v>
      </c>
      <c r="X5515" s="20" t="str">
        <f>IFERROR(W5515*J5514,"-")</f>
        <v>-</v>
      </c>
      <c r="Z5515" s="85" t="s">
        <v>82</v>
      </c>
    </row>
    <row r="5516" spans="1:26" ht="6.95" customHeight="1" x14ac:dyDescent="0.3">
      <c r="A5516" s="5"/>
      <c r="B5516" s="157"/>
      <c r="C5516" s="158"/>
      <c r="D5516" s="161"/>
      <c r="E5516" s="162"/>
      <c r="F5516" s="163"/>
      <c r="G5516" s="164"/>
      <c r="H5516" s="165"/>
      <c r="I5516" s="164"/>
      <c r="J5516" s="165"/>
      <c r="K5516" s="164"/>
      <c r="L5516" s="165"/>
      <c r="M5516" s="6"/>
      <c r="N5516" s="32"/>
      <c r="Q5516" s="10" t="str">
        <f>+CONCATENATE(E5514,K5514)</f>
        <v/>
      </c>
      <c r="R5516" s="10">
        <f>+L5514</f>
        <v>0</v>
      </c>
      <c r="S5516" s="11"/>
      <c r="T5516" s="10">
        <f>+E5514</f>
        <v>0</v>
      </c>
      <c r="U5516" s="19" t="str">
        <f>IFERROR(LEFT(K5514,FIND("*",K5514)-1),"-")</f>
        <v>-</v>
      </c>
      <c r="V5516" s="19" t="str">
        <f>IFERROR(RIGHT(K5514,LEN(K5514)-FIND("*",K5514)),"-")</f>
        <v>-</v>
      </c>
      <c r="W5516" s="20" t="str">
        <f t="shared" si="2998"/>
        <v>-</v>
      </c>
      <c r="X5516" s="20" t="str">
        <f>IFERROR(W5516*L5514,"-")</f>
        <v>-</v>
      </c>
      <c r="Z5516" s="85" t="s">
        <v>82</v>
      </c>
    </row>
    <row r="5517" spans="1:26" ht="6.95" customHeight="1" x14ac:dyDescent="0.3">
      <c r="A5517" s="8"/>
      <c r="B5517" s="157"/>
      <c r="C5517" s="158"/>
      <c r="D5517" s="161" t="s">
        <v>39</v>
      </c>
      <c r="E5517" s="162"/>
      <c r="F5517" s="163" t="s">
        <v>40</v>
      </c>
      <c r="G5517" s="164"/>
      <c r="H5517" s="165"/>
      <c r="I5517" s="164"/>
      <c r="J5517" s="165"/>
      <c r="K5517" s="164"/>
      <c r="L5517" s="165"/>
      <c r="M5517" s="6"/>
      <c r="N5517" s="32"/>
      <c r="Q5517" s="10" t="str">
        <f>+CONCATENATE(E5517,G5517)</f>
        <v/>
      </c>
      <c r="R5517" s="10">
        <f>+H5517</f>
        <v>0</v>
      </c>
      <c r="S5517" s="11"/>
      <c r="T5517" s="10">
        <f>+E5517</f>
        <v>0</v>
      </c>
      <c r="U5517" s="19" t="str">
        <f t="shared" ref="U5517" si="3001">IFERROR(LEFT(G5517,FIND("*",G5517)-1),"-")</f>
        <v>-</v>
      </c>
      <c r="V5517" s="19" t="str">
        <f t="shared" ref="V5517" si="3002">IFERROR(RIGHT(G5517,LEN(G5517)-FIND("*",G5517)),"-")</f>
        <v>-</v>
      </c>
      <c r="W5517" s="20" t="str">
        <f t="shared" si="2998"/>
        <v>-</v>
      </c>
      <c r="X5517" s="20" t="str">
        <f>IFERROR(W5517*H5517,"-")</f>
        <v>-</v>
      </c>
      <c r="Z5517" s="85" t="s">
        <v>82</v>
      </c>
    </row>
    <row r="5518" spans="1:26" ht="6.95" customHeight="1" x14ac:dyDescent="0.3">
      <c r="A5518" s="5"/>
      <c r="B5518" s="157"/>
      <c r="C5518" s="158"/>
      <c r="D5518" s="161"/>
      <c r="E5518" s="162"/>
      <c r="F5518" s="163"/>
      <c r="G5518" s="164"/>
      <c r="H5518" s="165"/>
      <c r="I5518" s="164"/>
      <c r="J5518" s="165"/>
      <c r="K5518" s="164"/>
      <c r="L5518" s="165"/>
      <c r="M5518" s="6"/>
      <c r="N5518" s="32"/>
      <c r="Q5518" s="10" t="str">
        <f>+CONCATENATE(E5517,I5517)</f>
        <v/>
      </c>
      <c r="R5518" s="10">
        <f>+J5517</f>
        <v>0</v>
      </c>
      <c r="S5518" s="11"/>
      <c r="T5518" s="10">
        <f>+E5517</f>
        <v>0</v>
      </c>
      <c r="U5518" s="19" t="str">
        <f>IFERROR(LEFT(I5517,FIND("*",I5517)-1),"-")</f>
        <v>-</v>
      </c>
      <c r="V5518" s="19" t="str">
        <f>IFERROR(RIGHT(I5517,LEN(I5517)-FIND("*",I5517)),"-")</f>
        <v>-</v>
      </c>
      <c r="W5518" s="20" t="str">
        <f t="shared" si="2998"/>
        <v>-</v>
      </c>
      <c r="X5518" s="20" t="str">
        <f t="shared" ref="X5518" si="3003">IFERROR(W5518*J5517,"-")</f>
        <v>-</v>
      </c>
      <c r="Z5518" s="85" t="s">
        <v>82</v>
      </c>
    </row>
    <row r="5519" spans="1:26" ht="6.95" customHeight="1" x14ac:dyDescent="0.3">
      <c r="A5519" s="5"/>
      <c r="B5519" s="157"/>
      <c r="C5519" s="158"/>
      <c r="D5519" s="161"/>
      <c r="E5519" s="162"/>
      <c r="F5519" s="163"/>
      <c r="G5519" s="164"/>
      <c r="H5519" s="165"/>
      <c r="I5519" s="164"/>
      <c r="J5519" s="165"/>
      <c r="K5519" s="164"/>
      <c r="L5519" s="165"/>
      <c r="M5519" s="6"/>
      <c r="N5519" s="32"/>
      <c r="Q5519" s="10" t="str">
        <f>+CONCATENATE(E5517,K5517)</f>
        <v/>
      </c>
      <c r="R5519" s="10">
        <f>+L5517</f>
        <v>0</v>
      </c>
      <c r="S5519" s="11"/>
      <c r="T5519" s="10">
        <f>+E5517</f>
        <v>0</v>
      </c>
      <c r="U5519" s="19" t="str">
        <f>IFERROR(LEFT(K5517,FIND("*",K5517)-1),"-")</f>
        <v>-</v>
      </c>
      <c r="V5519" s="19" t="str">
        <f>IFERROR(RIGHT(K5517,LEN(K5517)-FIND("*",K5517)),"-")</f>
        <v>-</v>
      </c>
      <c r="W5519" s="20" t="str">
        <f t="shared" si="2998"/>
        <v>-</v>
      </c>
      <c r="X5519" s="20" t="str">
        <f>IFERROR(W5519*L5517,"-")</f>
        <v>-</v>
      </c>
      <c r="Z5519" s="85" t="s">
        <v>82</v>
      </c>
    </row>
    <row r="5520" spans="1:26" ht="21" customHeight="1" thickBot="1" x14ac:dyDescent="0.35">
      <c r="A5520" s="5"/>
      <c r="B5520" s="159"/>
      <c r="C5520" s="160"/>
      <c r="D5520" s="166" t="s">
        <v>43</v>
      </c>
      <c r="E5520" s="167"/>
      <c r="F5520" s="167"/>
      <c r="G5520" s="168"/>
      <c r="H5520" s="168"/>
      <c r="I5520" s="168"/>
      <c r="J5520" s="168"/>
      <c r="K5520" s="168"/>
      <c r="L5520" s="168"/>
      <c r="M5520" s="7"/>
      <c r="N5520" s="32"/>
      <c r="Z5520" s="86" t="s">
        <v>81</v>
      </c>
    </row>
    <row r="5521" spans="1:26" ht="9.9499999999999993" customHeight="1" thickBot="1" x14ac:dyDescent="0.35">
      <c r="B5521" s="9"/>
      <c r="C5521" s="109"/>
      <c r="D5521" s="51"/>
      <c r="E5521" s="12"/>
      <c r="F5521" s="51"/>
      <c r="G5521" s="14"/>
      <c r="H5521" s="14"/>
      <c r="I5521" s="14"/>
      <c r="J5521" s="14"/>
      <c r="K5521" s="14"/>
      <c r="L5521" s="14"/>
      <c r="M5521" s="9"/>
      <c r="N5521" s="32"/>
      <c r="U5521" s="18"/>
      <c r="V5521" s="18"/>
      <c r="Z5521" s="85" t="s">
        <v>82</v>
      </c>
    </row>
    <row r="5522" spans="1:26" ht="6.95" customHeight="1" x14ac:dyDescent="0.3">
      <c r="A5522" s="154">
        <f>+A5511+1</f>
        <v>1301</v>
      </c>
      <c r="B5522" s="155"/>
      <c r="C5522" s="156"/>
      <c r="D5522" s="161" t="s">
        <v>39</v>
      </c>
      <c r="E5522" s="162"/>
      <c r="F5522" s="163" t="s">
        <v>40</v>
      </c>
      <c r="G5522" s="164"/>
      <c r="H5522" s="165"/>
      <c r="I5522" s="164"/>
      <c r="J5522" s="165"/>
      <c r="K5522" s="164"/>
      <c r="L5522" s="165"/>
      <c r="M5522" s="6"/>
      <c r="N5522" s="32"/>
      <c r="Q5522" s="10" t="str">
        <f>+CONCATENATE(E5522,G5522)</f>
        <v/>
      </c>
      <c r="R5522" s="10">
        <f>+H5522</f>
        <v>0</v>
      </c>
      <c r="S5522" s="11"/>
      <c r="T5522" s="10">
        <f>+E5522</f>
        <v>0</v>
      </c>
      <c r="U5522" s="19" t="str">
        <f>IFERROR(LEFT(G5522,FIND("*",G5522)-1),"-")</f>
        <v>-</v>
      </c>
      <c r="V5522" s="19" t="str">
        <f>IFERROR(RIGHT(G5522,LEN(G5522)-FIND("*",G5522)),"-")</f>
        <v>-</v>
      </c>
      <c r="W5522" s="20" t="str">
        <f>IFERROR((U5522+V5522)*2/1000,"-")</f>
        <v>-</v>
      </c>
      <c r="X5522" s="20" t="str">
        <f>IFERROR(W5522*H5522,"-")</f>
        <v>-</v>
      </c>
      <c r="Z5522" s="85" t="s">
        <v>82</v>
      </c>
    </row>
    <row r="5523" spans="1:26" ht="6.95" customHeight="1" x14ac:dyDescent="0.3">
      <c r="A5523" s="154"/>
      <c r="B5523" s="157"/>
      <c r="C5523" s="158"/>
      <c r="D5523" s="161"/>
      <c r="E5523" s="162"/>
      <c r="F5523" s="163"/>
      <c r="G5523" s="164"/>
      <c r="H5523" s="165"/>
      <c r="I5523" s="164"/>
      <c r="J5523" s="165"/>
      <c r="K5523" s="164"/>
      <c r="L5523" s="165"/>
      <c r="M5523" s="6"/>
      <c r="N5523" s="32"/>
      <c r="Q5523" s="10" t="str">
        <f>+CONCATENATE(E5522,I5522)</f>
        <v/>
      </c>
      <c r="R5523" s="10">
        <f>+J5522</f>
        <v>0</v>
      </c>
      <c r="S5523" s="11"/>
      <c r="T5523" s="10">
        <f>+E5522</f>
        <v>0</v>
      </c>
      <c r="U5523" s="19" t="str">
        <f>IFERROR(LEFT(I5522,FIND("*",I5522)-1),"-")</f>
        <v>-</v>
      </c>
      <c r="V5523" s="19" t="str">
        <f>IFERROR(RIGHT(I5522,LEN(I5522)-FIND("*",I5522)),"-")</f>
        <v>-</v>
      </c>
      <c r="W5523" s="20" t="str">
        <f t="shared" ref="W5523:W5530" si="3004">IFERROR((U5523+V5523)*2/1000,"-")</f>
        <v>-</v>
      </c>
      <c r="X5523" s="20" t="str">
        <f>IFERROR(W5523*J5522,"-")</f>
        <v>-</v>
      </c>
      <c r="Z5523" s="85" t="s">
        <v>82</v>
      </c>
    </row>
    <row r="5524" spans="1:26" ht="6.95" customHeight="1" x14ac:dyDescent="0.3">
      <c r="A5524" s="154"/>
      <c r="B5524" s="157"/>
      <c r="C5524" s="158"/>
      <c r="D5524" s="161"/>
      <c r="E5524" s="162"/>
      <c r="F5524" s="163"/>
      <c r="G5524" s="164"/>
      <c r="H5524" s="165"/>
      <c r="I5524" s="164"/>
      <c r="J5524" s="165"/>
      <c r="K5524" s="164"/>
      <c r="L5524" s="165"/>
      <c r="M5524" s="6"/>
      <c r="N5524" s="32"/>
      <c r="Q5524" s="10" t="str">
        <f>+CONCATENATE(E5522,K5522)</f>
        <v/>
      </c>
      <c r="R5524" s="10">
        <f>+L5522</f>
        <v>0</v>
      </c>
      <c r="S5524" s="11"/>
      <c r="T5524" s="10">
        <f>+E5522</f>
        <v>0</v>
      </c>
      <c r="U5524" s="19" t="str">
        <f>IFERROR(LEFT(K5522,FIND("*",K5522)-1),"-")</f>
        <v>-</v>
      </c>
      <c r="V5524" s="19" t="str">
        <f>IFERROR(RIGHT(K5522,LEN(K5522)-FIND("*",K5522)),"-")</f>
        <v>-</v>
      </c>
      <c r="W5524" s="20" t="str">
        <f t="shared" si="3004"/>
        <v>-</v>
      </c>
      <c r="X5524" s="20" t="str">
        <f>IFERROR(W5524*L5522,"-")</f>
        <v>-</v>
      </c>
      <c r="Z5524" s="85" t="s">
        <v>82</v>
      </c>
    </row>
    <row r="5525" spans="1:26" ht="6.95" customHeight="1" x14ac:dyDescent="0.3">
      <c r="A5525" s="8"/>
      <c r="B5525" s="157"/>
      <c r="C5525" s="158"/>
      <c r="D5525" s="161" t="s">
        <v>39</v>
      </c>
      <c r="E5525" s="162"/>
      <c r="F5525" s="163" t="s">
        <v>40</v>
      </c>
      <c r="G5525" s="164"/>
      <c r="H5525" s="165"/>
      <c r="I5525" s="164"/>
      <c r="J5525" s="165"/>
      <c r="K5525" s="164"/>
      <c r="L5525" s="165"/>
      <c r="M5525" s="6"/>
      <c r="N5525" s="32"/>
      <c r="Q5525" s="10" t="str">
        <f>+CONCATENATE(E5525,G5525)</f>
        <v/>
      </c>
      <c r="R5525" s="10">
        <f>+H5525</f>
        <v>0</v>
      </c>
      <c r="S5525" s="11"/>
      <c r="T5525" s="10">
        <f>+E5525</f>
        <v>0</v>
      </c>
      <c r="U5525" s="19" t="str">
        <f t="shared" ref="U5525" si="3005">IFERROR(LEFT(G5525,FIND("*",G5525)-1),"-")</f>
        <v>-</v>
      </c>
      <c r="V5525" s="19" t="str">
        <f t="shared" ref="V5525" si="3006">IFERROR(RIGHT(G5525,LEN(G5525)-FIND("*",G5525)),"-")</f>
        <v>-</v>
      </c>
      <c r="W5525" s="20" t="str">
        <f t="shared" si="3004"/>
        <v>-</v>
      </c>
      <c r="X5525" s="20" t="str">
        <f>IFERROR(W5525*H5525,"-")</f>
        <v>-</v>
      </c>
      <c r="Z5525" s="85" t="s">
        <v>82</v>
      </c>
    </row>
    <row r="5526" spans="1:26" ht="6.95" customHeight="1" x14ac:dyDescent="0.3">
      <c r="A5526" s="5"/>
      <c r="B5526" s="157"/>
      <c r="C5526" s="158"/>
      <c r="D5526" s="161"/>
      <c r="E5526" s="162"/>
      <c r="F5526" s="163"/>
      <c r="G5526" s="164"/>
      <c r="H5526" s="165"/>
      <c r="I5526" s="164"/>
      <c r="J5526" s="165"/>
      <c r="K5526" s="164"/>
      <c r="L5526" s="165"/>
      <c r="M5526" s="6"/>
      <c r="N5526" s="32"/>
      <c r="Q5526" s="10" t="str">
        <f>+CONCATENATE(E5525,I5525)</f>
        <v/>
      </c>
      <c r="R5526" s="10">
        <f>+J5525</f>
        <v>0</v>
      </c>
      <c r="S5526" s="11"/>
      <c r="T5526" s="10">
        <f>+E5525</f>
        <v>0</v>
      </c>
      <c r="U5526" s="19" t="str">
        <f>IFERROR(LEFT(I5525,FIND("*",I5525)-1),"-")</f>
        <v>-</v>
      </c>
      <c r="V5526" s="19" t="str">
        <f>IFERROR(RIGHT(I5525,LEN(I5525)-FIND("*",I5525)),"-")</f>
        <v>-</v>
      </c>
      <c r="W5526" s="20" t="str">
        <f t="shared" si="3004"/>
        <v>-</v>
      </c>
      <c r="X5526" s="20" t="str">
        <f>IFERROR(W5526*J5525,"-")</f>
        <v>-</v>
      </c>
      <c r="Z5526" s="85" t="s">
        <v>82</v>
      </c>
    </row>
    <row r="5527" spans="1:26" ht="6.95" customHeight="1" x14ac:dyDescent="0.3">
      <c r="A5527" s="5"/>
      <c r="B5527" s="157"/>
      <c r="C5527" s="158"/>
      <c r="D5527" s="161"/>
      <c r="E5527" s="162"/>
      <c r="F5527" s="163"/>
      <c r="G5527" s="164"/>
      <c r="H5527" s="165"/>
      <c r="I5527" s="164"/>
      <c r="J5527" s="165"/>
      <c r="K5527" s="164"/>
      <c r="L5527" s="165"/>
      <c r="M5527" s="6"/>
      <c r="N5527" s="32"/>
      <c r="Q5527" s="10" t="str">
        <f>+CONCATENATE(E5525,K5525)</f>
        <v/>
      </c>
      <c r="R5527" s="10">
        <f>+L5525</f>
        <v>0</v>
      </c>
      <c r="S5527" s="11"/>
      <c r="T5527" s="10">
        <f>+E5525</f>
        <v>0</v>
      </c>
      <c r="U5527" s="19" t="str">
        <f>IFERROR(LEFT(K5525,FIND("*",K5525)-1),"-")</f>
        <v>-</v>
      </c>
      <c r="V5527" s="19" t="str">
        <f>IFERROR(RIGHT(K5525,LEN(K5525)-FIND("*",K5525)),"-")</f>
        <v>-</v>
      </c>
      <c r="W5527" s="20" t="str">
        <f t="shared" si="3004"/>
        <v>-</v>
      </c>
      <c r="X5527" s="20" t="str">
        <f>IFERROR(W5527*L5525,"-")</f>
        <v>-</v>
      </c>
      <c r="Z5527" s="85" t="s">
        <v>82</v>
      </c>
    </row>
    <row r="5528" spans="1:26" ht="6.95" customHeight="1" x14ac:dyDescent="0.3">
      <c r="A5528" s="8"/>
      <c r="B5528" s="157"/>
      <c r="C5528" s="158"/>
      <c r="D5528" s="161" t="s">
        <v>39</v>
      </c>
      <c r="E5528" s="162"/>
      <c r="F5528" s="163" t="s">
        <v>40</v>
      </c>
      <c r="G5528" s="164"/>
      <c r="H5528" s="165"/>
      <c r="I5528" s="164"/>
      <c r="J5528" s="165"/>
      <c r="K5528" s="164"/>
      <c r="L5528" s="165"/>
      <c r="M5528" s="6"/>
      <c r="N5528" s="32"/>
      <c r="Q5528" s="10" t="str">
        <f>+CONCATENATE(E5528,G5528)</f>
        <v/>
      </c>
      <c r="R5528" s="10">
        <f>+H5528</f>
        <v>0</v>
      </c>
      <c r="S5528" s="11"/>
      <c r="T5528" s="10">
        <f>+E5528</f>
        <v>0</v>
      </c>
      <c r="U5528" s="19" t="str">
        <f t="shared" ref="U5528" si="3007">IFERROR(LEFT(G5528,FIND("*",G5528)-1),"-")</f>
        <v>-</v>
      </c>
      <c r="V5528" s="19" t="str">
        <f t="shared" ref="V5528" si="3008">IFERROR(RIGHT(G5528,LEN(G5528)-FIND("*",G5528)),"-")</f>
        <v>-</v>
      </c>
      <c r="W5528" s="20" t="str">
        <f t="shared" si="3004"/>
        <v>-</v>
      </c>
      <c r="X5528" s="20" t="str">
        <f>IFERROR(W5528*H5528,"-")</f>
        <v>-</v>
      </c>
      <c r="Z5528" s="85" t="s">
        <v>82</v>
      </c>
    </row>
    <row r="5529" spans="1:26" ht="6.95" customHeight="1" x14ac:dyDescent="0.3">
      <c r="A5529" s="5"/>
      <c r="B5529" s="157"/>
      <c r="C5529" s="158"/>
      <c r="D5529" s="161"/>
      <c r="E5529" s="162"/>
      <c r="F5529" s="163"/>
      <c r="G5529" s="164"/>
      <c r="H5529" s="165"/>
      <c r="I5529" s="164"/>
      <c r="J5529" s="165"/>
      <c r="K5529" s="164"/>
      <c r="L5529" s="165"/>
      <c r="M5529" s="6"/>
      <c r="N5529" s="32"/>
      <c r="Q5529" s="10" t="str">
        <f>+CONCATENATE(E5528,I5528)</f>
        <v/>
      </c>
      <c r="R5529" s="10">
        <f>+J5528</f>
        <v>0</v>
      </c>
      <c r="S5529" s="11"/>
      <c r="T5529" s="10">
        <f>+E5528</f>
        <v>0</v>
      </c>
      <c r="U5529" s="19" t="str">
        <f>IFERROR(LEFT(I5528,FIND("*",I5528)-1),"-")</f>
        <v>-</v>
      </c>
      <c r="V5529" s="19" t="str">
        <f>IFERROR(RIGHT(I5528,LEN(I5528)-FIND("*",I5528)),"-")</f>
        <v>-</v>
      </c>
      <c r="W5529" s="20" t="str">
        <f t="shared" si="3004"/>
        <v>-</v>
      </c>
      <c r="X5529" s="20" t="str">
        <f t="shared" ref="X5529" si="3009">IFERROR(W5529*J5528,"-")</f>
        <v>-</v>
      </c>
      <c r="Z5529" s="85" t="s">
        <v>82</v>
      </c>
    </row>
    <row r="5530" spans="1:26" ht="6.95" customHeight="1" x14ac:dyDescent="0.3">
      <c r="A5530" s="5"/>
      <c r="B5530" s="157"/>
      <c r="C5530" s="158"/>
      <c r="D5530" s="161"/>
      <c r="E5530" s="162"/>
      <c r="F5530" s="163"/>
      <c r="G5530" s="164"/>
      <c r="H5530" s="165"/>
      <c r="I5530" s="164"/>
      <c r="J5530" s="165"/>
      <c r="K5530" s="164"/>
      <c r="L5530" s="165"/>
      <c r="M5530" s="6"/>
      <c r="N5530" s="32"/>
      <c r="Q5530" s="10" t="str">
        <f>+CONCATENATE(E5528,K5528)</f>
        <v/>
      </c>
      <c r="R5530" s="10">
        <f>+L5528</f>
        <v>0</v>
      </c>
      <c r="S5530" s="11"/>
      <c r="T5530" s="10">
        <f>+E5528</f>
        <v>0</v>
      </c>
      <c r="U5530" s="19" t="str">
        <f>IFERROR(LEFT(K5528,FIND("*",K5528)-1),"-")</f>
        <v>-</v>
      </c>
      <c r="V5530" s="19" t="str">
        <f>IFERROR(RIGHT(K5528,LEN(K5528)-FIND("*",K5528)),"-")</f>
        <v>-</v>
      </c>
      <c r="W5530" s="20" t="str">
        <f t="shared" si="3004"/>
        <v>-</v>
      </c>
      <c r="X5530" s="20" t="str">
        <f>IFERROR(W5530*L5528,"-")</f>
        <v>-</v>
      </c>
      <c r="Z5530" s="85" t="s">
        <v>82</v>
      </c>
    </row>
    <row r="5531" spans="1:26" ht="21" customHeight="1" thickBot="1" x14ac:dyDescent="0.35">
      <c r="A5531" s="5"/>
      <c r="B5531" s="159"/>
      <c r="C5531" s="160"/>
      <c r="D5531" s="166" t="s">
        <v>43</v>
      </c>
      <c r="E5531" s="167"/>
      <c r="F5531" s="167"/>
      <c r="G5531" s="168"/>
      <c r="H5531" s="168"/>
      <c r="I5531" s="168"/>
      <c r="J5531" s="168"/>
      <c r="K5531" s="168"/>
      <c r="L5531" s="168"/>
      <c r="M5531" s="7"/>
      <c r="N5531" s="32"/>
      <c r="Z5531" s="86" t="s">
        <v>81</v>
      </c>
    </row>
    <row r="5532" spans="1:26" ht="9.9499999999999993" customHeight="1" thickBot="1" x14ac:dyDescent="0.35">
      <c r="B5532" s="9"/>
      <c r="C5532" s="109"/>
      <c r="D5532" s="51"/>
      <c r="E5532" s="12"/>
      <c r="F5532" s="51"/>
      <c r="G5532" s="14"/>
      <c r="H5532" s="14"/>
      <c r="I5532" s="14"/>
      <c r="J5532" s="14"/>
      <c r="K5532" s="14"/>
      <c r="L5532" s="14"/>
      <c r="M5532" s="9"/>
      <c r="N5532" s="32"/>
      <c r="U5532" s="18"/>
      <c r="V5532" s="18"/>
      <c r="Z5532" s="85" t="s">
        <v>82</v>
      </c>
    </row>
    <row r="5533" spans="1:26" ht="6.95" customHeight="1" x14ac:dyDescent="0.3">
      <c r="A5533" s="154">
        <f>+A5522+1</f>
        <v>1302</v>
      </c>
      <c r="B5533" s="155"/>
      <c r="C5533" s="156"/>
      <c r="D5533" s="161" t="s">
        <v>39</v>
      </c>
      <c r="E5533" s="162"/>
      <c r="F5533" s="163" t="s">
        <v>40</v>
      </c>
      <c r="G5533" s="164"/>
      <c r="H5533" s="165"/>
      <c r="I5533" s="164"/>
      <c r="J5533" s="165"/>
      <c r="K5533" s="164"/>
      <c r="L5533" s="165"/>
      <c r="M5533" s="6"/>
      <c r="N5533" s="32"/>
      <c r="Q5533" s="10" t="str">
        <f>+CONCATENATE(E5533,G5533)</f>
        <v/>
      </c>
      <c r="R5533" s="10">
        <f>+H5533</f>
        <v>0</v>
      </c>
      <c r="S5533" s="11"/>
      <c r="T5533" s="10">
        <f>+E5533</f>
        <v>0</v>
      </c>
      <c r="U5533" s="19" t="str">
        <f>IFERROR(LEFT(G5533,FIND("*",G5533)-1),"-")</f>
        <v>-</v>
      </c>
      <c r="V5533" s="19" t="str">
        <f>IFERROR(RIGHT(G5533,LEN(G5533)-FIND("*",G5533)),"-")</f>
        <v>-</v>
      </c>
      <c r="W5533" s="20" t="str">
        <f>IFERROR((U5533+V5533)*2/1000,"-")</f>
        <v>-</v>
      </c>
      <c r="X5533" s="20" t="str">
        <f>IFERROR(W5533*H5533,"-")</f>
        <v>-</v>
      </c>
      <c r="Z5533" s="85" t="s">
        <v>82</v>
      </c>
    </row>
    <row r="5534" spans="1:26" ht="6.95" customHeight="1" x14ac:dyDescent="0.3">
      <c r="A5534" s="154"/>
      <c r="B5534" s="157"/>
      <c r="C5534" s="158"/>
      <c r="D5534" s="161"/>
      <c r="E5534" s="162"/>
      <c r="F5534" s="163"/>
      <c r="G5534" s="164"/>
      <c r="H5534" s="165"/>
      <c r="I5534" s="164"/>
      <c r="J5534" s="165"/>
      <c r="K5534" s="164"/>
      <c r="L5534" s="165"/>
      <c r="M5534" s="6"/>
      <c r="N5534" s="32"/>
      <c r="Q5534" s="10" t="str">
        <f>+CONCATENATE(E5533,I5533)</f>
        <v/>
      </c>
      <c r="R5534" s="10">
        <f>+J5533</f>
        <v>0</v>
      </c>
      <c r="S5534" s="11"/>
      <c r="T5534" s="10">
        <f>+E5533</f>
        <v>0</v>
      </c>
      <c r="U5534" s="19" t="str">
        <f>IFERROR(LEFT(I5533,FIND("*",I5533)-1),"-")</f>
        <v>-</v>
      </c>
      <c r="V5534" s="19" t="str">
        <f>IFERROR(RIGHT(I5533,LEN(I5533)-FIND("*",I5533)),"-")</f>
        <v>-</v>
      </c>
      <c r="W5534" s="20" t="str">
        <f t="shared" ref="W5534:W5541" si="3010">IFERROR((U5534+V5534)*2/1000,"-")</f>
        <v>-</v>
      </c>
      <c r="X5534" s="20" t="str">
        <f>IFERROR(W5534*J5533,"-")</f>
        <v>-</v>
      </c>
      <c r="Z5534" s="85" t="s">
        <v>82</v>
      </c>
    </row>
    <row r="5535" spans="1:26" ht="6.95" customHeight="1" x14ac:dyDescent="0.3">
      <c r="A5535" s="154"/>
      <c r="B5535" s="157"/>
      <c r="C5535" s="158"/>
      <c r="D5535" s="161"/>
      <c r="E5535" s="162"/>
      <c r="F5535" s="163"/>
      <c r="G5535" s="164"/>
      <c r="H5535" s="165"/>
      <c r="I5535" s="164"/>
      <c r="J5535" s="165"/>
      <c r="K5535" s="164"/>
      <c r="L5535" s="165"/>
      <c r="M5535" s="6"/>
      <c r="N5535" s="32"/>
      <c r="Q5535" s="10" t="str">
        <f>+CONCATENATE(E5533,K5533)</f>
        <v/>
      </c>
      <c r="R5535" s="10">
        <f>+L5533</f>
        <v>0</v>
      </c>
      <c r="S5535" s="11"/>
      <c r="T5535" s="10">
        <f>+E5533</f>
        <v>0</v>
      </c>
      <c r="U5535" s="19" t="str">
        <f>IFERROR(LEFT(K5533,FIND("*",K5533)-1),"-")</f>
        <v>-</v>
      </c>
      <c r="V5535" s="19" t="str">
        <f>IFERROR(RIGHT(K5533,LEN(K5533)-FIND("*",K5533)),"-")</f>
        <v>-</v>
      </c>
      <c r="W5535" s="20" t="str">
        <f t="shared" si="3010"/>
        <v>-</v>
      </c>
      <c r="X5535" s="20" t="str">
        <f>IFERROR(W5535*L5533,"-")</f>
        <v>-</v>
      </c>
      <c r="Z5535" s="85" t="s">
        <v>82</v>
      </c>
    </row>
    <row r="5536" spans="1:26" ht="6.95" customHeight="1" x14ac:dyDescent="0.3">
      <c r="A5536" s="8"/>
      <c r="B5536" s="157"/>
      <c r="C5536" s="158"/>
      <c r="D5536" s="161" t="s">
        <v>39</v>
      </c>
      <c r="E5536" s="162"/>
      <c r="F5536" s="163" t="s">
        <v>40</v>
      </c>
      <c r="G5536" s="164"/>
      <c r="H5536" s="165"/>
      <c r="I5536" s="164"/>
      <c r="J5536" s="165"/>
      <c r="K5536" s="164"/>
      <c r="L5536" s="165"/>
      <c r="M5536" s="6"/>
      <c r="N5536" s="32"/>
      <c r="Q5536" s="10" t="str">
        <f>+CONCATENATE(E5536,G5536)</f>
        <v/>
      </c>
      <c r="R5536" s="10">
        <f>+H5536</f>
        <v>0</v>
      </c>
      <c r="S5536" s="11"/>
      <c r="T5536" s="10">
        <f>+E5536</f>
        <v>0</v>
      </c>
      <c r="U5536" s="19" t="str">
        <f t="shared" ref="U5536" si="3011">IFERROR(LEFT(G5536,FIND("*",G5536)-1),"-")</f>
        <v>-</v>
      </c>
      <c r="V5536" s="19" t="str">
        <f t="shared" ref="V5536" si="3012">IFERROR(RIGHT(G5536,LEN(G5536)-FIND("*",G5536)),"-")</f>
        <v>-</v>
      </c>
      <c r="W5536" s="20" t="str">
        <f t="shared" si="3010"/>
        <v>-</v>
      </c>
      <c r="X5536" s="20" t="str">
        <f>IFERROR(W5536*H5536,"-")</f>
        <v>-</v>
      </c>
      <c r="Z5536" s="85" t="s">
        <v>82</v>
      </c>
    </row>
    <row r="5537" spans="1:26" ht="6.95" customHeight="1" x14ac:dyDescent="0.3">
      <c r="A5537" s="5"/>
      <c r="B5537" s="157"/>
      <c r="C5537" s="158"/>
      <c r="D5537" s="161"/>
      <c r="E5537" s="162"/>
      <c r="F5537" s="163"/>
      <c r="G5537" s="164"/>
      <c r="H5537" s="165"/>
      <c r="I5537" s="164"/>
      <c r="J5537" s="165"/>
      <c r="K5537" s="164"/>
      <c r="L5537" s="165"/>
      <c r="M5537" s="6"/>
      <c r="N5537" s="32"/>
      <c r="Q5537" s="10" t="str">
        <f>+CONCATENATE(E5536,I5536)</f>
        <v/>
      </c>
      <c r="R5537" s="10">
        <f>+J5536</f>
        <v>0</v>
      </c>
      <c r="S5537" s="11"/>
      <c r="T5537" s="10">
        <f>+E5536</f>
        <v>0</v>
      </c>
      <c r="U5537" s="19" t="str">
        <f>IFERROR(LEFT(I5536,FIND("*",I5536)-1),"-")</f>
        <v>-</v>
      </c>
      <c r="V5537" s="19" t="str">
        <f>IFERROR(RIGHT(I5536,LEN(I5536)-FIND("*",I5536)),"-")</f>
        <v>-</v>
      </c>
      <c r="W5537" s="20" t="str">
        <f t="shared" si="3010"/>
        <v>-</v>
      </c>
      <c r="X5537" s="20" t="str">
        <f>IFERROR(W5537*J5536,"-")</f>
        <v>-</v>
      </c>
      <c r="Z5537" s="85" t="s">
        <v>82</v>
      </c>
    </row>
    <row r="5538" spans="1:26" ht="6.95" customHeight="1" x14ac:dyDescent="0.3">
      <c r="A5538" s="5"/>
      <c r="B5538" s="157"/>
      <c r="C5538" s="158"/>
      <c r="D5538" s="161"/>
      <c r="E5538" s="162"/>
      <c r="F5538" s="163"/>
      <c r="G5538" s="164"/>
      <c r="H5538" s="165"/>
      <c r="I5538" s="164"/>
      <c r="J5538" s="165"/>
      <c r="K5538" s="164"/>
      <c r="L5538" s="165"/>
      <c r="M5538" s="6"/>
      <c r="N5538" s="32"/>
      <c r="Q5538" s="10" t="str">
        <f>+CONCATENATE(E5536,K5536)</f>
        <v/>
      </c>
      <c r="R5538" s="10">
        <f>+L5536</f>
        <v>0</v>
      </c>
      <c r="S5538" s="11"/>
      <c r="T5538" s="10">
        <f>+E5536</f>
        <v>0</v>
      </c>
      <c r="U5538" s="19" t="str">
        <f>IFERROR(LEFT(K5536,FIND("*",K5536)-1),"-")</f>
        <v>-</v>
      </c>
      <c r="V5538" s="19" t="str">
        <f>IFERROR(RIGHT(K5536,LEN(K5536)-FIND("*",K5536)),"-")</f>
        <v>-</v>
      </c>
      <c r="W5538" s="20" t="str">
        <f t="shared" si="3010"/>
        <v>-</v>
      </c>
      <c r="X5538" s="20" t="str">
        <f>IFERROR(W5538*L5536,"-")</f>
        <v>-</v>
      </c>
      <c r="Z5538" s="85" t="s">
        <v>82</v>
      </c>
    </row>
    <row r="5539" spans="1:26" ht="6.95" customHeight="1" x14ac:dyDescent="0.3">
      <c r="A5539" s="8"/>
      <c r="B5539" s="157"/>
      <c r="C5539" s="158"/>
      <c r="D5539" s="161" t="s">
        <v>39</v>
      </c>
      <c r="E5539" s="162"/>
      <c r="F5539" s="163" t="s">
        <v>40</v>
      </c>
      <c r="G5539" s="164"/>
      <c r="H5539" s="165"/>
      <c r="I5539" s="164"/>
      <c r="J5539" s="165"/>
      <c r="K5539" s="164"/>
      <c r="L5539" s="165"/>
      <c r="M5539" s="6"/>
      <c r="N5539" s="32"/>
      <c r="Q5539" s="10" t="str">
        <f>+CONCATENATE(E5539,G5539)</f>
        <v/>
      </c>
      <c r="R5539" s="10">
        <f>+H5539</f>
        <v>0</v>
      </c>
      <c r="S5539" s="11"/>
      <c r="T5539" s="10">
        <f>+E5539</f>
        <v>0</v>
      </c>
      <c r="U5539" s="19" t="str">
        <f t="shared" ref="U5539" si="3013">IFERROR(LEFT(G5539,FIND("*",G5539)-1),"-")</f>
        <v>-</v>
      </c>
      <c r="V5539" s="19" t="str">
        <f t="shared" ref="V5539" si="3014">IFERROR(RIGHT(G5539,LEN(G5539)-FIND("*",G5539)),"-")</f>
        <v>-</v>
      </c>
      <c r="W5539" s="20" t="str">
        <f t="shared" si="3010"/>
        <v>-</v>
      </c>
      <c r="X5539" s="20" t="str">
        <f>IFERROR(W5539*H5539,"-")</f>
        <v>-</v>
      </c>
      <c r="Z5539" s="85" t="s">
        <v>82</v>
      </c>
    </row>
    <row r="5540" spans="1:26" ht="6.95" customHeight="1" x14ac:dyDescent="0.3">
      <c r="A5540" s="5"/>
      <c r="B5540" s="157"/>
      <c r="C5540" s="158"/>
      <c r="D5540" s="161"/>
      <c r="E5540" s="162"/>
      <c r="F5540" s="163"/>
      <c r="G5540" s="164"/>
      <c r="H5540" s="165"/>
      <c r="I5540" s="164"/>
      <c r="J5540" s="165"/>
      <c r="K5540" s="164"/>
      <c r="L5540" s="165"/>
      <c r="M5540" s="6"/>
      <c r="N5540" s="32"/>
      <c r="Q5540" s="10" t="str">
        <f>+CONCATENATE(E5539,I5539)</f>
        <v/>
      </c>
      <c r="R5540" s="10">
        <f>+J5539</f>
        <v>0</v>
      </c>
      <c r="S5540" s="11"/>
      <c r="T5540" s="10">
        <f>+E5539</f>
        <v>0</v>
      </c>
      <c r="U5540" s="19" t="str">
        <f>IFERROR(LEFT(I5539,FIND("*",I5539)-1),"-")</f>
        <v>-</v>
      </c>
      <c r="V5540" s="19" t="str">
        <f>IFERROR(RIGHT(I5539,LEN(I5539)-FIND("*",I5539)),"-")</f>
        <v>-</v>
      </c>
      <c r="W5540" s="20" t="str">
        <f t="shared" si="3010"/>
        <v>-</v>
      </c>
      <c r="X5540" s="20" t="str">
        <f t="shared" ref="X5540" si="3015">IFERROR(W5540*J5539,"-")</f>
        <v>-</v>
      </c>
      <c r="Z5540" s="85" t="s">
        <v>82</v>
      </c>
    </row>
    <row r="5541" spans="1:26" ht="6.95" customHeight="1" x14ac:dyDescent="0.3">
      <c r="A5541" s="5"/>
      <c r="B5541" s="157"/>
      <c r="C5541" s="158"/>
      <c r="D5541" s="161"/>
      <c r="E5541" s="162"/>
      <c r="F5541" s="163"/>
      <c r="G5541" s="164"/>
      <c r="H5541" s="165"/>
      <c r="I5541" s="164"/>
      <c r="J5541" s="165"/>
      <c r="K5541" s="164"/>
      <c r="L5541" s="165"/>
      <c r="M5541" s="6"/>
      <c r="N5541" s="32"/>
      <c r="Q5541" s="10" t="str">
        <f>+CONCATENATE(E5539,K5539)</f>
        <v/>
      </c>
      <c r="R5541" s="10">
        <f>+L5539</f>
        <v>0</v>
      </c>
      <c r="S5541" s="11"/>
      <c r="T5541" s="10">
        <f>+E5539</f>
        <v>0</v>
      </c>
      <c r="U5541" s="19" t="str">
        <f>IFERROR(LEFT(K5539,FIND("*",K5539)-1),"-")</f>
        <v>-</v>
      </c>
      <c r="V5541" s="19" t="str">
        <f>IFERROR(RIGHT(K5539,LEN(K5539)-FIND("*",K5539)),"-")</f>
        <v>-</v>
      </c>
      <c r="W5541" s="20" t="str">
        <f t="shared" si="3010"/>
        <v>-</v>
      </c>
      <c r="X5541" s="20" t="str">
        <f>IFERROR(W5541*L5539,"-")</f>
        <v>-</v>
      </c>
      <c r="Z5541" s="85" t="s">
        <v>82</v>
      </c>
    </row>
    <row r="5542" spans="1:26" ht="21" customHeight="1" thickBot="1" x14ac:dyDescent="0.35">
      <c r="A5542" s="5"/>
      <c r="B5542" s="159"/>
      <c r="C5542" s="160"/>
      <c r="D5542" s="166" t="s">
        <v>43</v>
      </c>
      <c r="E5542" s="167"/>
      <c r="F5542" s="167"/>
      <c r="G5542" s="168"/>
      <c r="H5542" s="168"/>
      <c r="I5542" s="168"/>
      <c r="J5542" s="168"/>
      <c r="K5542" s="168"/>
      <c r="L5542" s="168"/>
      <c r="M5542" s="7"/>
      <c r="N5542" s="32"/>
      <c r="Z5542" s="86" t="s">
        <v>81</v>
      </c>
    </row>
    <row r="5543" spans="1:26" ht="9.9499999999999993" customHeight="1" thickBot="1" x14ac:dyDescent="0.35">
      <c r="B5543" s="9"/>
      <c r="C5543" s="109"/>
      <c r="D5543" s="51"/>
      <c r="E5543" s="12"/>
      <c r="F5543" s="51"/>
      <c r="G5543" s="14"/>
      <c r="H5543" s="14"/>
      <c r="I5543" s="14"/>
      <c r="J5543" s="14"/>
      <c r="K5543" s="14"/>
      <c r="L5543" s="14"/>
      <c r="M5543" s="9"/>
      <c r="N5543" s="32"/>
      <c r="U5543" s="18"/>
      <c r="V5543" s="18"/>
      <c r="Z5543" s="85" t="s">
        <v>82</v>
      </c>
    </row>
    <row r="5544" spans="1:26" ht="6.95" customHeight="1" x14ac:dyDescent="0.3">
      <c r="A5544" s="154">
        <f>+A5533+1</f>
        <v>1303</v>
      </c>
      <c r="B5544" s="155"/>
      <c r="C5544" s="156"/>
      <c r="D5544" s="161" t="s">
        <v>39</v>
      </c>
      <c r="E5544" s="162"/>
      <c r="F5544" s="163" t="s">
        <v>40</v>
      </c>
      <c r="G5544" s="164"/>
      <c r="H5544" s="165"/>
      <c r="I5544" s="164"/>
      <c r="J5544" s="165"/>
      <c r="K5544" s="164"/>
      <c r="L5544" s="165"/>
      <c r="M5544" s="6"/>
      <c r="N5544" s="32"/>
      <c r="Q5544" s="10" t="str">
        <f>+CONCATENATE(E5544,G5544)</f>
        <v/>
      </c>
      <c r="R5544" s="10">
        <f>+H5544</f>
        <v>0</v>
      </c>
      <c r="S5544" s="11"/>
      <c r="T5544" s="10">
        <f>+E5544</f>
        <v>0</v>
      </c>
      <c r="U5544" s="19" t="str">
        <f>IFERROR(LEFT(G5544,FIND("*",G5544)-1),"-")</f>
        <v>-</v>
      </c>
      <c r="V5544" s="19" t="str">
        <f>IFERROR(RIGHT(G5544,LEN(G5544)-FIND("*",G5544)),"-")</f>
        <v>-</v>
      </c>
      <c r="W5544" s="20" t="str">
        <f>IFERROR((U5544+V5544)*2/1000,"-")</f>
        <v>-</v>
      </c>
      <c r="X5544" s="20" t="str">
        <f>IFERROR(W5544*H5544,"-")</f>
        <v>-</v>
      </c>
      <c r="Z5544" s="85" t="s">
        <v>82</v>
      </c>
    </row>
    <row r="5545" spans="1:26" ht="6.95" customHeight="1" x14ac:dyDescent="0.3">
      <c r="A5545" s="154"/>
      <c r="B5545" s="157"/>
      <c r="C5545" s="158"/>
      <c r="D5545" s="161"/>
      <c r="E5545" s="162"/>
      <c r="F5545" s="163"/>
      <c r="G5545" s="164"/>
      <c r="H5545" s="165"/>
      <c r="I5545" s="164"/>
      <c r="J5545" s="165"/>
      <c r="K5545" s="164"/>
      <c r="L5545" s="165"/>
      <c r="M5545" s="6"/>
      <c r="N5545" s="32"/>
      <c r="Q5545" s="10" t="str">
        <f>+CONCATENATE(E5544,I5544)</f>
        <v/>
      </c>
      <c r="R5545" s="10">
        <f>+J5544</f>
        <v>0</v>
      </c>
      <c r="S5545" s="11"/>
      <c r="T5545" s="10">
        <f>+E5544</f>
        <v>0</v>
      </c>
      <c r="U5545" s="19" t="str">
        <f>IFERROR(LEFT(I5544,FIND("*",I5544)-1),"-")</f>
        <v>-</v>
      </c>
      <c r="V5545" s="19" t="str">
        <f>IFERROR(RIGHT(I5544,LEN(I5544)-FIND("*",I5544)),"-")</f>
        <v>-</v>
      </c>
      <c r="W5545" s="20" t="str">
        <f t="shared" ref="W5545:W5552" si="3016">IFERROR((U5545+V5545)*2/1000,"-")</f>
        <v>-</v>
      </c>
      <c r="X5545" s="20" t="str">
        <f>IFERROR(W5545*J5544,"-")</f>
        <v>-</v>
      </c>
      <c r="Z5545" s="85" t="s">
        <v>82</v>
      </c>
    </row>
    <row r="5546" spans="1:26" ht="6.95" customHeight="1" x14ac:dyDescent="0.3">
      <c r="A5546" s="154"/>
      <c r="B5546" s="157"/>
      <c r="C5546" s="158"/>
      <c r="D5546" s="161"/>
      <c r="E5546" s="162"/>
      <c r="F5546" s="163"/>
      <c r="G5546" s="164"/>
      <c r="H5546" s="165"/>
      <c r="I5546" s="164"/>
      <c r="J5546" s="165"/>
      <c r="K5546" s="164"/>
      <c r="L5546" s="165"/>
      <c r="M5546" s="6"/>
      <c r="N5546" s="32"/>
      <c r="Q5546" s="10" t="str">
        <f>+CONCATENATE(E5544,K5544)</f>
        <v/>
      </c>
      <c r="R5546" s="10">
        <f>+L5544</f>
        <v>0</v>
      </c>
      <c r="S5546" s="11"/>
      <c r="T5546" s="10">
        <f>+E5544</f>
        <v>0</v>
      </c>
      <c r="U5546" s="19" t="str">
        <f>IFERROR(LEFT(K5544,FIND("*",K5544)-1),"-")</f>
        <v>-</v>
      </c>
      <c r="V5546" s="19" t="str">
        <f>IFERROR(RIGHT(K5544,LEN(K5544)-FIND("*",K5544)),"-")</f>
        <v>-</v>
      </c>
      <c r="W5546" s="20" t="str">
        <f t="shared" si="3016"/>
        <v>-</v>
      </c>
      <c r="X5546" s="20" t="str">
        <f>IFERROR(W5546*L5544,"-")</f>
        <v>-</v>
      </c>
      <c r="Z5546" s="85" t="s">
        <v>82</v>
      </c>
    </row>
    <row r="5547" spans="1:26" ht="6.95" customHeight="1" x14ac:dyDescent="0.3">
      <c r="A5547" s="8"/>
      <c r="B5547" s="157"/>
      <c r="C5547" s="158"/>
      <c r="D5547" s="161" t="s">
        <v>39</v>
      </c>
      <c r="E5547" s="162"/>
      <c r="F5547" s="163" t="s">
        <v>40</v>
      </c>
      <c r="G5547" s="164"/>
      <c r="H5547" s="165"/>
      <c r="I5547" s="164"/>
      <c r="J5547" s="165"/>
      <c r="K5547" s="164"/>
      <c r="L5547" s="165"/>
      <c r="M5547" s="6"/>
      <c r="N5547" s="32"/>
      <c r="Q5547" s="10" t="str">
        <f>+CONCATENATE(E5547,G5547)</f>
        <v/>
      </c>
      <c r="R5547" s="10">
        <f>+H5547</f>
        <v>0</v>
      </c>
      <c r="S5547" s="11"/>
      <c r="T5547" s="10">
        <f>+E5547</f>
        <v>0</v>
      </c>
      <c r="U5547" s="19" t="str">
        <f t="shared" ref="U5547" si="3017">IFERROR(LEFT(G5547,FIND("*",G5547)-1),"-")</f>
        <v>-</v>
      </c>
      <c r="V5547" s="19" t="str">
        <f t="shared" ref="V5547" si="3018">IFERROR(RIGHT(G5547,LEN(G5547)-FIND("*",G5547)),"-")</f>
        <v>-</v>
      </c>
      <c r="W5547" s="20" t="str">
        <f t="shared" si="3016"/>
        <v>-</v>
      </c>
      <c r="X5547" s="20" t="str">
        <f>IFERROR(W5547*H5547,"-")</f>
        <v>-</v>
      </c>
      <c r="Z5547" s="85" t="s">
        <v>82</v>
      </c>
    </row>
    <row r="5548" spans="1:26" ht="6.95" customHeight="1" x14ac:dyDescent="0.3">
      <c r="A5548" s="5"/>
      <c r="B5548" s="157"/>
      <c r="C5548" s="158"/>
      <c r="D5548" s="161"/>
      <c r="E5548" s="162"/>
      <c r="F5548" s="163"/>
      <c r="G5548" s="164"/>
      <c r="H5548" s="165"/>
      <c r="I5548" s="164"/>
      <c r="J5548" s="165"/>
      <c r="K5548" s="164"/>
      <c r="L5548" s="165"/>
      <c r="M5548" s="6"/>
      <c r="N5548" s="32"/>
      <c r="Q5548" s="10" t="str">
        <f>+CONCATENATE(E5547,I5547)</f>
        <v/>
      </c>
      <c r="R5548" s="10">
        <f>+J5547</f>
        <v>0</v>
      </c>
      <c r="S5548" s="11"/>
      <c r="T5548" s="10">
        <f>+E5547</f>
        <v>0</v>
      </c>
      <c r="U5548" s="19" t="str">
        <f>IFERROR(LEFT(I5547,FIND("*",I5547)-1),"-")</f>
        <v>-</v>
      </c>
      <c r="V5548" s="19" t="str">
        <f>IFERROR(RIGHT(I5547,LEN(I5547)-FIND("*",I5547)),"-")</f>
        <v>-</v>
      </c>
      <c r="W5548" s="20" t="str">
        <f t="shared" si="3016"/>
        <v>-</v>
      </c>
      <c r="X5548" s="20" t="str">
        <f>IFERROR(W5548*J5547,"-")</f>
        <v>-</v>
      </c>
      <c r="Z5548" s="85" t="s">
        <v>82</v>
      </c>
    </row>
    <row r="5549" spans="1:26" ht="6.95" customHeight="1" x14ac:dyDescent="0.3">
      <c r="A5549" s="5"/>
      <c r="B5549" s="157"/>
      <c r="C5549" s="158"/>
      <c r="D5549" s="161"/>
      <c r="E5549" s="162"/>
      <c r="F5549" s="163"/>
      <c r="G5549" s="164"/>
      <c r="H5549" s="165"/>
      <c r="I5549" s="164"/>
      <c r="J5549" s="165"/>
      <c r="K5549" s="164"/>
      <c r="L5549" s="165"/>
      <c r="M5549" s="6"/>
      <c r="N5549" s="32"/>
      <c r="Q5549" s="10" t="str">
        <f>+CONCATENATE(E5547,K5547)</f>
        <v/>
      </c>
      <c r="R5549" s="10">
        <f>+L5547</f>
        <v>0</v>
      </c>
      <c r="S5549" s="11"/>
      <c r="T5549" s="10">
        <f>+E5547</f>
        <v>0</v>
      </c>
      <c r="U5549" s="19" t="str">
        <f>IFERROR(LEFT(K5547,FIND("*",K5547)-1),"-")</f>
        <v>-</v>
      </c>
      <c r="V5549" s="19" t="str">
        <f>IFERROR(RIGHT(K5547,LEN(K5547)-FIND("*",K5547)),"-")</f>
        <v>-</v>
      </c>
      <c r="W5549" s="20" t="str">
        <f t="shared" si="3016"/>
        <v>-</v>
      </c>
      <c r="X5549" s="20" t="str">
        <f>IFERROR(W5549*L5547,"-")</f>
        <v>-</v>
      </c>
      <c r="Z5549" s="85" t="s">
        <v>82</v>
      </c>
    </row>
    <row r="5550" spans="1:26" ht="6.95" customHeight="1" x14ac:dyDescent="0.3">
      <c r="A5550" s="8"/>
      <c r="B5550" s="157"/>
      <c r="C5550" s="158"/>
      <c r="D5550" s="161" t="s">
        <v>39</v>
      </c>
      <c r="E5550" s="162"/>
      <c r="F5550" s="163" t="s">
        <v>40</v>
      </c>
      <c r="G5550" s="164"/>
      <c r="H5550" s="165"/>
      <c r="I5550" s="164"/>
      <c r="J5550" s="165"/>
      <c r="K5550" s="164"/>
      <c r="L5550" s="165"/>
      <c r="M5550" s="6"/>
      <c r="N5550" s="32"/>
      <c r="Q5550" s="10" t="str">
        <f>+CONCATENATE(E5550,G5550)</f>
        <v/>
      </c>
      <c r="R5550" s="10">
        <f>+H5550</f>
        <v>0</v>
      </c>
      <c r="S5550" s="11"/>
      <c r="T5550" s="10">
        <f>+E5550</f>
        <v>0</v>
      </c>
      <c r="U5550" s="19" t="str">
        <f t="shared" ref="U5550" si="3019">IFERROR(LEFT(G5550,FIND("*",G5550)-1),"-")</f>
        <v>-</v>
      </c>
      <c r="V5550" s="19" t="str">
        <f t="shared" ref="V5550" si="3020">IFERROR(RIGHT(G5550,LEN(G5550)-FIND("*",G5550)),"-")</f>
        <v>-</v>
      </c>
      <c r="W5550" s="20" t="str">
        <f t="shared" si="3016"/>
        <v>-</v>
      </c>
      <c r="X5550" s="20" t="str">
        <f>IFERROR(W5550*H5550,"-")</f>
        <v>-</v>
      </c>
      <c r="Z5550" s="85" t="s">
        <v>82</v>
      </c>
    </row>
    <row r="5551" spans="1:26" ht="6.95" customHeight="1" x14ac:dyDescent="0.3">
      <c r="A5551" s="5"/>
      <c r="B5551" s="157"/>
      <c r="C5551" s="158"/>
      <c r="D5551" s="161"/>
      <c r="E5551" s="162"/>
      <c r="F5551" s="163"/>
      <c r="G5551" s="164"/>
      <c r="H5551" s="165"/>
      <c r="I5551" s="164"/>
      <c r="J5551" s="165"/>
      <c r="K5551" s="164"/>
      <c r="L5551" s="165"/>
      <c r="M5551" s="6"/>
      <c r="N5551" s="32"/>
      <c r="Q5551" s="10" t="str">
        <f>+CONCATENATE(E5550,I5550)</f>
        <v/>
      </c>
      <c r="R5551" s="10">
        <f>+J5550</f>
        <v>0</v>
      </c>
      <c r="S5551" s="11"/>
      <c r="T5551" s="10">
        <f>+E5550</f>
        <v>0</v>
      </c>
      <c r="U5551" s="19" t="str">
        <f>IFERROR(LEFT(I5550,FIND("*",I5550)-1),"-")</f>
        <v>-</v>
      </c>
      <c r="V5551" s="19" t="str">
        <f>IFERROR(RIGHT(I5550,LEN(I5550)-FIND("*",I5550)),"-")</f>
        <v>-</v>
      </c>
      <c r="W5551" s="20" t="str">
        <f t="shared" si="3016"/>
        <v>-</v>
      </c>
      <c r="X5551" s="20" t="str">
        <f t="shared" ref="X5551" si="3021">IFERROR(W5551*J5550,"-")</f>
        <v>-</v>
      </c>
      <c r="Z5551" s="85" t="s">
        <v>82</v>
      </c>
    </row>
    <row r="5552" spans="1:26" ht="6.95" customHeight="1" x14ac:dyDescent="0.3">
      <c r="A5552" s="5"/>
      <c r="B5552" s="157"/>
      <c r="C5552" s="158"/>
      <c r="D5552" s="161"/>
      <c r="E5552" s="162"/>
      <c r="F5552" s="163"/>
      <c r="G5552" s="164"/>
      <c r="H5552" s="165"/>
      <c r="I5552" s="164"/>
      <c r="J5552" s="165"/>
      <c r="K5552" s="164"/>
      <c r="L5552" s="165"/>
      <c r="M5552" s="6"/>
      <c r="N5552" s="32"/>
      <c r="Q5552" s="10" t="str">
        <f>+CONCATENATE(E5550,K5550)</f>
        <v/>
      </c>
      <c r="R5552" s="10">
        <f>+L5550</f>
        <v>0</v>
      </c>
      <c r="S5552" s="11"/>
      <c r="T5552" s="10">
        <f>+E5550</f>
        <v>0</v>
      </c>
      <c r="U5552" s="19" t="str">
        <f>IFERROR(LEFT(K5550,FIND("*",K5550)-1),"-")</f>
        <v>-</v>
      </c>
      <c r="V5552" s="19" t="str">
        <f>IFERROR(RIGHT(K5550,LEN(K5550)-FIND("*",K5550)),"-")</f>
        <v>-</v>
      </c>
      <c r="W5552" s="20" t="str">
        <f t="shared" si="3016"/>
        <v>-</v>
      </c>
      <c r="X5552" s="20" t="str">
        <f>IFERROR(W5552*L5550,"-")</f>
        <v>-</v>
      </c>
      <c r="Z5552" s="85" t="s">
        <v>82</v>
      </c>
    </row>
    <row r="5553" spans="1:26" ht="21" customHeight="1" thickBot="1" x14ac:dyDescent="0.35">
      <c r="A5553" s="5"/>
      <c r="B5553" s="159"/>
      <c r="C5553" s="160"/>
      <c r="D5553" s="166" t="s">
        <v>43</v>
      </c>
      <c r="E5553" s="167"/>
      <c r="F5553" s="167"/>
      <c r="G5553" s="168"/>
      <c r="H5553" s="168"/>
      <c r="I5553" s="168"/>
      <c r="J5553" s="168"/>
      <c r="K5553" s="168"/>
      <c r="L5553" s="168"/>
      <c r="M5553" s="7"/>
      <c r="N5553" s="32"/>
      <c r="Z5553" s="86" t="s">
        <v>81</v>
      </c>
    </row>
    <row r="5554" spans="1:26" ht="9.9499999999999993" customHeight="1" thickBot="1" x14ac:dyDescent="0.35">
      <c r="B5554" s="9"/>
      <c r="C5554" s="109"/>
      <c r="D5554" s="51"/>
      <c r="E5554" s="12"/>
      <c r="F5554" s="51"/>
      <c r="G5554" s="14"/>
      <c r="H5554" s="14"/>
      <c r="I5554" s="14"/>
      <c r="J5554" s="14"/>
      <c r="K5554" s="14"/>
      <c r="L5554" s="14"/>
      <c r="M5554" s="9"/>
      <c r="N5554" s="32"/>
      <c r="U5554" s="18"/>
      <c r="V5554" s="18"/>
      <c r="Z5554" s="85" t="s">
        <v>82</v>
      </c>
    </row>
    <row r="5555" spans="1:26" ht="6.95" customHeight="1" x14ac:dyDescent="0.3">
      <c r="A5555" s="154">
        <f>+A5544+1</f>
        <v>1304</v>
      </c>
      <c r="B5555" s="155"/>
      <c r="C5555" s="156"/>
      <c r="D5555" s="161" t="s">
        <v>39</v>
      </c>
      <c r="E5555" s="162"/>
      <c r="F5555" s="163" t="s">
        <v>40</v>
      </c>
      <c r="G5555" s="164"/>
      <c r="H5555" s="165"/>
      <c r="I5555" s="164"/>
      <c r="J5555" s="165"/>
      <c r="K5555" s="164"/>
      <c r="L5555" s="165"/>
      <c r="M5555" s="6"/>
      <c r="N5555" s="32"/>
      <c r="Q5555" s="10" t="str">
        <f>+CONCATENATE(E5555,G5555)</f>
        <v/>
      </c>
      <c r="R5555" s="10">
        <f>+H5555</f>
        <v>0</v>
      </c>
      <c r="S5555" s="11"/>
      <c r="T5555" s="10">
        <f>+E5555</f>
        <v>0</v>
      </c>
      <c r="U5555" s="19" t="str">
        <f>IFERROR(LEFT(G5555,FIND("*",G5555)-1),"-")</f>
        <v>-</v>
      </c>
      <c r="V5555" s="19" t="str">
        <f>IFERROR(RIGHT(G5555,LEN(G5555)-FIND("*",G5555)),"-")</f>
        <v>-</v>
      </c>
      <c r="W5555" s="20" t="str">
        <f>IFERROR((U5555+V5555)*2/1000,"-")</f>
        <v>-</v>
      </c>
      <c r="X5555" s="20" t="str">
        <f>IFERROR(W5555*H5555,"-")</f>
        <v>-</v>
      </c>
      <c r="Z5555" s="85" t="s">
        <v>82</v>
      </c>
    </row>
    <row r="5556" spans="1:26" ht="6.95" customHeight="1" x14ac:dyDescent="0.3">
      <c r="A5556" s="154"/>
      <c r="B5556" s="157"/>
      <c r="C5556" s="158"/>
      <c r="D5556" s="161"/>
      <c r="E5556" s="162"/>
      <c r="F5556" s="163"/>
      <c r="G5556" s="164"/>
      <c r="H5556" s="165"/>
      <c r="I5556" s="164"/>
      <c r="J5556" s="165"/>
      <c r="K5556" s="164"/>
      <c r="L5556" s="165"/>
      <c r="M5556" s="6"/>
      <c r="N5556" s="32"/>
      <c r="Q5556" s="10" t="str">
        <f>+CONCATENATE(E5555,I5555)</f>
        <v/>
      </c>
      <c r="R5556" s="10">
        <f>+J5555</f>
        <v>0</v>
      </c>
      <c r="S5556" s="11"/>
      <c r="T5556" s="10">
        <f>+E5555</f>
        <v>0</v>
      </c>
      <c r="U5556" s="19" t="str">
        <f>IFERROR(LEFT(I5555,FIND("*",I5555)-1),"-")</f>
        <v>-</v>
      </c>
      <c r="V5556" s="19" t="str">
        <f>IFERROR(RIGHT(I5555,LEN(I5555)-FIND("*",I5555)),"-")</f>
        <v>-</v>
      </c>
      <c r="W5556" s="20" t="str">
        <f t="shared" ref="W5556:W5563" si="3022">IFERROR((U5556+V5556)*2/1000,"-")</f>
        <v>-</v>
      </c>
      <c r="X5556" s="20" t="str">
        <f>IFERROR(W5556*J5555,"-")</f>
        <v>-</v>
      </c>
      <c r="Z5556" s="85" t="s">
        <v>82</v>
      </c>
    </row>
    <row r="5557" spans="1:26" ht="6.95" customHeight="1" x14ac:dyDescent="0.3">
      <c r="A5557" s="154"/>
      <c r="B5557" s="157"/>
      <c r="C5557" s="158"/>
      <c r="D5557" s="161"/>
      <c r="E5557" s="162"/>
      <c r="F5557" s="163"/>
      <c r="G5557" s="164"/>
      <c r="H5557" s="165"/>
      <c r="I5557" s="164"/>
      <c r="J5557" s="165"/>
      <c r="K5557" s="164"/>
      <c r="L5557" s="165"/>
      <c r="M5557" s="6"/>
      <c r="N5557" s="32"/>
      <c r="Q5557" s="10" t="str">
        <f>+CONCATENATE(E5555,K5555)</f>
        <v/>
      </c>
      <c r="R5557" s="10">
        <f>+L5555</f>
        <v>0</v>
      </c>
      <c r="S5557" s="11"/>
      <c r="T5557" s="10">
        <f>+E5555</f>
        <v>0</v>
      </c>
      <c r="U5557" s="19" t="str">
        <f>IFERROR(LEFT(K5555,FIND("*",K5555)-1),"-")</f>
        <v>-</v>
      </c>
      <c r="V5557" s="19" t="str">
        <f>IFERROR(RIGHT(K5555,LEN(K5555)-FIND("*",K5555)),"-")</f>
        <v>-</v>
      </c>
      <c r="W5557" s="20" t="str">
        <f t="shared" si="3022"/>
        <v>-</v>
      </c>
      <c r="X5557" s="20" t="str">
        <f>IFERROR(W5557*L5555,"-")</f>
        <v>-</v>
      </c>
      <c r="Z5557" s="85" t="s">
        <v>82</v>
      </c>
    </row>
    <row r="5558" spans="1:26" ht="6.95" customHeight="1" x14ac:dyDescent="0.3">
      <c r="A5558" s="8"/>
      <c r="B5558" s="157"/>
      <c r="C5558" s="158"/>
      <c r="D5558" s="161" t="s">
        <v>39</v>
      </c>
      <c r="E5558" s="162"/>
      <c r="F5558" s="163" t="s">
        <v>40</v>
      </c>
      <c r="G5558" s="164"/>
      <c r="H5558" s="165"/>
      <c r="I5558" s="164"/>
      <c r="J5558" s="165"/>
      <c r="K5558" s="164"/>
      <c r="L5558" s="165"/>
      <c r="M5558" s="6"/>
      <c r="N5558" s="32"/>
      <c r="Q5558" s="10" t="str">
        <f>+CONCATENATE(E5558,G5558)</f>
        <v/>
      </c>
      <c r="R5558" s="10">
        <f>+H5558</f>
        <v>0</v>
      </c>
      <c r="S5558" s="11"/>
      <c r="T5558" s="10">
        <f>+E5558</f>
        <v>0</v>
      </c>
      <c r="U5558" s="19" t="str">
        <f t="shared" ref="U5558" si="3023">IFERROR(LEFT(G5558,FIND("*",G5558)-1),"-")</f>
        <v>-</v>
      </c>
      <c r="V5558" s="19" t="str">
        <f t="shared" ref="V5558" si="3024">IFERROR(RIGHT(G5558,LEN(G5558)-FIND("*",G5558)),"-")</f>
        <v>-</v>
      </c>
      <c r="W5558" s="20" t="str">
        <f t="shared" si="3022"/>
        <v>-</v>
      </c>
      <c r="X5558" s="20" t="str">
        <f>IFERROR(W5558*H5558,"-")</f>
        <v>-</v>
      </c>
      <c r="Z5558" s="85" t="s">
        <v>82</v>
      </c>
    </row>
    <row r="5559" spans="1:26" ht="6.95" customHeight="1" x14ac:dyDescent="0.3">
      <c r="A5559" s="5"/>
      <c r="B5559" s="157"/>
      <c r="C5559" s="158"/>
      <c r="D5559" s="161"/>
      <c r="E5559" s="162"/>
      <c r="F5559" s="163"/>
      <c r="G5559" s="164"/>
      <c r="H5559" s="165"/>
      <c r="I5559" s="164"/>
      <c r="J5559" s="165"/>
      <c r="K5559" s="164"/>
      <c r="L5559" s="165"/>
      <c r="M5559" s="6"/>
      <c r="N5559" s="32"/>
      <c r="Q5559" s="10" t="str">
        <f>+CONCATENATE(E5558,I5558)</f>
        <v/>
      </c>
      <c r="R5559" s="10">
        <f>+J5558</f>
        <v>0</v>
      </c>
      <c r="S5559" s="11"/>
      <c r="T5559" s="10">
        <f>+E5558</f>
        <v>0</v>
      </c>
      <c r="U5559" s="19" t="str">
        <f>IFERROR(LEFT(I5558,FIND("*",I5558)-1),"-")</f>
        <v>-</v>
      </c>
      <c r="V5559" s="19" t="str">
        <f>IFERROR(RIGHT(I5558,LEN(I5558)-FIND("*",I5558)),"-")</f>
        <v>-</v>
      </c>
      <c r="W5559" s="20" t="str">
        <f t="shared" si="3022"/>
        <v>-</v>
      </c>
      <c r="X5559" s="20" t="str">
        <f>IFERROR(W5559*J5558,"-")</f>
        <v>-</v>
      </c>
      <c r="Z5559" s="85" t="s">
        <v>82</v>
      </c>
    </row>
    <row r="5560" spans="1:26" ht="6.95" customHeight="1" x14ac:dyDescent="0.3">
      <c r="A5560" s="5"/>
      <c r="B5560" s="157"/>
      <c r="C5560" s="158"/>
      <c r="D5560" s="161"/>
      <c r="E5560" s="162"/>
      <c r="F5560" s="163"/>
      <c r="G5560" s="164"/>
      <c r="H5560" s="165"/>
      <c r="I5560" s="164"/>
      <c r="J5560" s="165"/>
      <c r="K5560" s="164"/>
      <c r="L5560" s="165"/>
      <c r="M5560" s="6"/>
      <c r="N5560" s="32"/>
      <c r="Q5560" s="10" t="str">
        <f>+CONCATENATE(E5558,K5558)</f>
        <v/>
      </c>
      <c r="R5560" s="10">
        <f>+L5558</f>
        <v>0</v>
      </c>
      <c r="S5560" s="11"/>
      <c r="T5560" s="10">
        <f>+E5558</f>
        <v>0</v>
      </c>
      <c r="U5560" s="19" t="str">
        <f>IFERROR(LEFT(K5558,FIND("*",K5558)-1),"-")</f>
        <v>-</v>
      </c>
      <c r="V5560" s="19" t="str">
        <f>IFERROR(RIGHT(K5558,LEN(K5558)-FIND("*",K5558)),"-")</f>
        <v>-</v>
      </c>
      <c r="W5560" s="20" t="str">
        <f t="shared" si="3022"/>
        <v>-</v>
      </c>
      <c r="X5560" s="20" t="str">
        <f>IFERROR(W5560*L5558,"-")</f>
        <v>-</v>
      </c>
      <c r="Z5560" s="85" t="s">
        <v>82</v>
      </c>
    </row>
    <row r="5561" spans="1:26" ht="6.95" customHeight="1" x14ac:dyDescent="0.3">
      <c r="A5561" s="8"/>
      <c r="B5561" s="157"/>
      <c r="C5561" s="158"/>
      <c r="D5561" s="161" t="s">
        <v>39</v>
      </c>
      <c r="E5561" s="162"/>
      <c r="F5561" s="163" t="s">
        <v>40</v>
      </c>
      <c r="G5561" s="164"/>
      <c r="H5561" s="165"/>
      <c r="I5561" s="164"/>
      <c r="J5561" s="165"/>
      <c r="K5561" s="164"/>
      <c r="L5561" s="165"/>
      <c r="M5561" s="6"/>
      <c r="N5561" s="32"/>
      <c r="Q5561" s="10" t="str">
        <f>+CONCATENATE(E5561,G5561)</f>
        <v/>
      </c>
      <c r="R5561" s="10">
        <f>+H5561</f>
        <v>0</v>
      </c>
      <c r="S5561" s="11"/>
      <c r="T5561" s="10">
        <f>+E5561</f>
        <v>0</v>
      </c>
      <c r="U5561" s="19" t="str">
        <f t="shared" ref="U5561" si="3025">IFERROR(LEFT(G5561,FIND("*",G5561)-1),"-")</f>
        <v>-</v>
      </c>
      <c r="V5561" s="19" t="str">
        <f t="shared" ref="V5561" si="3026">IFERROR(RIGHT(G5561,LEN(G5561)-FIND("*",G5561)),"-")</f>
        <v>-</v>
      </c>
      <c r="W5561" s="20" t="str">
        <f t="shared" si="3022"/>
        <v>-</v>
      </c>
      <c r="X5561" s="20" t="str">
        <f>IFERROR(W5561*H5561,"-")</f>
        <v>-</v>
      </c>
      <c r="Z5561" s="85" t="s">
        <v>82</v>
      </c>
    </row>
    <row r="5562" spans="1:26" ht="6.95" customHeight="1" x14ac:dyDescent="0.3">
      <c r="A5562" s="5"/>
      <c r="B5562" s="157"/>
      <c r="C5562" s="158"/>
      <c r="D5562" s="161"/>
      <c r="E5562" s="162"/>
      <c r="F5562" s="163"/>
      <c r="G5562" s="164"/>
      <c r="H5562" s="165"/>
      <c r="I5562" s="164"/>
      <c r="J5562" s="165"/>
      <c r="K5562" s="164"/>
      <c r="L5562" s="165"/>
      <c r="M5562" s="6"/>
      <c r="N5562" s="32"/>
      <c r="Q5562" s="10" t="str">
        <f>+CONCATENATE(E5561,I5561)</f>
        <v/>
      </c>
      <c r="R5562" s="10">
        <f>+J5561</f>
        <v>0</v>
      </c>
      <c r="S5562" s="11"/>
      <c r="T5562" s="10">
        <f>+E5561</f>
        <v>0</v>
      </c>
      <c r="U5562" s="19" t="str">
        <f>IFERROR(LEFT(I5561,FIND("*",I5561)-1),"-")</f>
        <v>-</v>
      </c>
      <c r="V5562" s="19" t="str">
        <f>IFERROR(RIGHT(I5561,LEN(I5561)-FIND("*",I5561)),"-")</f>
        <v>-</v>
      </c>
      <c r="W5562" s="20" t="str">
        <f t="shared" si="3022"/>
        <v>-</v>
      </c>
      <c r="X5562" s="20" t="str">
        <f t="shared" ref="X5562" si="3027">IFERROR(W5562*J5561,"-")</f>
        <v>-</v>
      </c>
      <c r="Z5562" s="85" t="s">
        <v>82</v>
      </c>
    </row>
    <row r="5563" spans="1:26" ht="6.95" customHeight="1" x14ac:dyDescent="0.3">
      <c r="A5563" s="5"/>
      <c r="B5563" s="157"/>
      <c r="C5563" s="158"/>
      <c r="D5563" s="161"/>
      <c r="E5563" s="162"/>
      <c r="F5563" s="163"/>
      <c r="G5563" s="164"/>
      <c r="H5563" s="165"/>
      <c r="I5563" s="164"/>
      <c r="J5563" s="165"/>
      <c r="K5563" s="164"/>
      <c r="L5563" s="165"/>
      <c r="M5563" s="6"/>
      <c r="N5563" s="32"/>
      <c r="Q5563" s="10" t="str">
        <f>+CONCATENATE(E5561,K5561)</f>
        <v/>
      </c>
      <c r="R5563" s="10">
        <f>+L5561</f>
        <v>0</v>
      </c>
      <c r="S5563" s="11"/>
      <c r="T5563" s="10">
        <f>+E5561</f>
        <v>0</v>
      </c>
      <c r="U5563" s="19" t="str">
        <f>IFERROR(LEFT(K5561,FIND("*",K5561)-1),"-")</f>
        <v>-</v>
      </c>
      <c r="V5563" s="19" t="str">
        <f>IFERROR(RIGHT(K5561,LEN(K5561)-FIND("*",K5561)),"-")</f>
        <v>-</v>
      </c>
      <c r="W5563" s="20" t="str">
        <f t="shared" si="3022"/>
        <v>-</v>
      </c>
      <c r="X5563" s="20" t="str">
        <f>IFERROR(W5563*L5561,"-")</f>
        <v>-</v>
      </c>
      <c r="Z5563" s="85" t="s">
        <v>82</v>
      </c>
    </row>
    <row r="5564" spans="1:26" ht="21" customHeight="1" thickBot="1" x14ac:dyDescent="0.35">
      <c r="A5564" s="5"/>
      <c r="B5564" s="159"/>
      <c r="C5564" s="160"/>
      <c r="D5564" s="166" t="s">
        <v>43</v>
      </c>
      <c r="E5564" s="167"/>
      <c r="F5564" s="167"/>
      <c r="G5564" s="168"/>
      <c r="H5564" s="168"/>
      <c r="I5564" s="168"/>
      <c r="J5564" s="168"/>
      <c r="K5564" s="168"/>
      <c r="L5564" s="168"/>
      <c r="M5564" s="7"/>
      <c r="N5564" s="32"/>
      <c r="Z5564" s="86" t="s">
        <v>81</v>
      </c>
    </row>
    <row r="5565" spans="1:26" ht="9.9499999999999993" customHeight="1" thickBot="1" x14ac:dyDescent="0.35">
      <c r="B5565" s="9"/>
      <c r="C5565" s="109"/>
      <c r="D5565" s="51"/>
      <c r="E5565" s="12"/>
      <c r="F5565" s="51"/>
      <c r="G5565" s="14"/>
      <c r="H5565" s="14"/>
      <c r="I5565" s="14"/>
      <c r="J5565" s="14"/>
      <c r="K5565" s="14"/>
      <c r="L5565" s="14"/>
      <c r="M5565" s="9"/>
      <c r="N5565" s="32"/>
      <c r="U5565" s="18"/>
      <c r="V5565" s="18"/>
      <c r="Z5565" s="85" t="s">
        <v>82</v>
      </c>
    </row>
    <row r="5566" spans="1:26" ht="6.95" customHeight="1" x14ac:dyDescent="0.3">
      <c r="A5566" s="154">
        <f>+A5555+1</f>
        <v>1305</v>
      </c>
      <c r="B5566" s="155"/>
      <c r="C5566" s="156"/>
      <c r="D5566" s="161" t="s">
        <v>39</v>
      </c>
      <c r="E5566" s="162"/>
      <c r="F5566" s="163" t="s">
        <v>40</v>
      </c>
      <c r="G5566" s="164"/>
      <c r="H5566" s="165"/>
      <c r="I5566" s="164"/>
      <c r="J5566" s="165"/>
      <c r="K5566" s="164"/>
      <c r="L5566" s="165"/>
      <c r="M5566" s="6"/>
      <c r="N5566" s="32"/>
      <c r="Q5566" s="10" t="str">
        <f>+CONCATENATE(E5566,G5566)</f>
        <v/>
      </c>
      <c r="R5566" s="10">
        <f>+H5566</f>
        <v>0</v>
      </c>
      <c r="S5566" s="11"/>
      <c r="T5566" s="10">
        <f>+E5566</f>
        <v>0</v>
      </c>
      <c r="U5566" s="19" t="str">
        <f>IFERROR(LEFT(G5566,FIND("*",G5566)-1),"-")</f>
        <v>-</v>
      </c>
      <c r="V5566" s="19" t="str">
        <f>IFERROR(RIGHT(G5566,LEN(G5566)-FIND("*",G5566)),"-")</f>
        <v>-</v>
      </c>
      <c r="W5566" s="20" t="str">
        <f>IFERROR((U5566+V5566)*2/1000,"-")</f>
        <v>-</v>
      </c>
      <c r="X5566" s="20" t="str">
        <f>IFERROR(W5566*H5566,"-")</f>
        <v>-</v>
      </c>
      <c r="Z5566" s="85" t="s">
        <v>82</v>
      </c>
    </row>
    <row r="5567" spans="1:26" ht="6.95" customHeight="1" x14ac:dyDescent="0.3">
      <c r="A5567" s="154"/>
      <c r="B5567" s="157"/>
      <c r="C5567" s="158"/>
      <c r="D5567" s="161"/>
      <c r="E5567" s="162"/>
      <c r="F5567" s="163"/>
      <c r="G5567" s="164"/>
      <c r="H5567" s="165"/>
      <c r="I5567" s="164"/>
      <c r="J5567" s="165"/>
      <c r="K5567" s="164"/>
      <c r="L5567" s="165"/>
      <c r="M5567" s="6"/>
      <c r="N5567" s="32"/>
      <c r="Q5567" s="10" t="str">
        <f>+CONCATENATE(E5566,I5566)</f>
        <v/>
      </c>
      <c r="R5567" s="10">
        <f>+J5566</f>
        <v>0</v>
      </c>
      <c r="S5567" s="11"/>
      <c r="T5567" s="10">
        <f>+E5566</f>
        <v>0</v>
      </c>
      <c r="U5567" s="19" t="str">
        <f>IFERROR(LEFT(I5566,FIND("*",I5566)-1),"-")</f>
        <v>-</v>
      </c>
      <c r="V5567" s="19" t="str">
        <f>IFERROR(RIGHT(I5566,LEN(I5566)-FIND("*",I5566)),"-")</f>
        <v>-</v>
      </c>
      <c r="W5567" s="20" t="str">
        <f t="shared" ref="W5567:W5574" si="3028">IFERROR((U5567+V5567)*2/1000,"-")</f>
        <v>-</v>
      </c>
      <c r="X5567" s="20" t="str">
        <f>IFERROR(W5567*J5566,"-")</f>
        <v>-</v>
      </c>
      <c r="Z5567" s="85" t="s">
        <v>82</v>
      </c>
    </row>
    <row r="5568" spans="1:26" ht="6.95" customHeight="1" x14ac:dyDescent="0.3">
      <c r="A5568" s="154"/>
      <c r="B5568" s="157"/>
      <c r="C5568" s="158"/>
      <c r="D5568" s="161"/>
      <c r="E5568" s="162"/>
      <c r="F5568" s="163"/>
      <c r="G5568" s="164"/>
      <c r="H5568" s="165"/>
      <c r="I5568" s="164"/>
      <c r="J5568" s="165"/>
      <c r="K5568" s="164"/>
      <c r="L5568" s="165"/>
      <c r="M5568" s="6"/>
      <c r="N5568" s="32"/>
      <c r="Q5568" s="10" t="str">
        <f>+CONCATENATE(E5566,K5566)</f>
        <v/>
      </c>
      <c r="R5568" s="10">
        <f>+L5566</f>
        <v>0</v>
      </c>
      <c r="S5568" s="11"/>
      <c r="T5568" s="10">
        <f>+E5566</f>
        <v>0</v>
      </c>
      <c r="U5568" s="19" t="str">
        <f>IFERROR(LEFT(K5566,FIND("*",K5566)-1),"-")</f>
        <v>-</v>
      </c>
      <c r="V5568" s="19" t="str">
        <f>IFERROR(RIGHT(K5566,LEN(K5566)-FIND("*",K5566)),"-")</f>
        <v>-</v>
      </c>
      <c r="W5568" s="20" t="str">
        <f t="shared" si="3028"/>
        <v>-</v>
      </c>
      <c r="X5568" s="20" t="str">
        <f>IFERROR(W5568*L5566,"-")</f>
        <v>-</v>
      </c>
      <c r="Z5568" s="85" t="s">
        <v>82</v>
      </c>
    </row>
    <row r="5569" spans="1:26" ht="6.95" customHeight="1" x14ac:dyDescent="0.3">
      <c r="A5569" s="8"/>
      <c r="B5569" s="157"/>
      <c r="C5569" s="158"/>
      <c r="D5569" s="161" t="s">
        <v>39</v>
      </c>
      <c r="E5569" s="162"/>
      <c r="F5569" s="163" t="s">
        <v>40</v>
      </c>
      <c r="G5569" s="164"/>
      <c r="H5569" s="165"/>
      <c r="I5569" s="164"/>
      <c r="J5569" s="165"/>
      <c r="K5569" s="164"/>
      <c r="L5569" s="165"/>
      <c r="M5569" s="6"/>
      <c r="N5569" s="32"/>
      <c r="Q5569" s="10" t="str">
        <f>+CONCATENATE(E5569,G5569)</f>
        <v/>
      </c>
      <c r="R5569" s="10">
        <f>+H5569</f>
        <v>0</v>
      </c>
      <c r="S5569" s="11"/>
      <c r="T5569" s="10">
        <f>+E5569</f>
        <v>0</v>
      </c>
      <c r="U5569" s="19" t="str">
        <f t="shared" ref="U5569" si="3029">IFERROR(LEFT(G5569,FIND("*",G5569)-1),"-")</f>
        <v>-</v>
      </c>
      <c r="V5569" s="19" t="str">
        <f t="shared" ref="V5569" si="3030">IFERROR(RIGHT(G5569,LEN(G5569)-FIND("*",G5569)),"-")</f>
        <v>-</v>
      </c>
      <c r="W5569" s="20" t="str">
        <f t="shared" si="3028"/>
        <v>-</v>
      </c>
      <c r="X5569" s="20" t="str">
        <f>IFERROR(W5569*H5569,"-")</f>
        <v>-</v>
      </c>
      <c r="Z5569" s="85" t="s">
        <v>82</v>
      </c>
    </row>
    <row r="5570" spans="1:26" ht="6.95" customHeight="1" x14ac:dyDescent="0.3">
      <c r="A5570" s="5"/>
      <c r="B5570" s="157"/>
      <c r="C5570" s="158"/>
      <c r="D5570" s="161"/>
      <c r="E5570" s="162"/>
      <c r="F5570" s="163"/>
      <c r="G5570" s="164"/>
      <c r="H5570" s="165"/>
      <c r="I5570" s="164"/>
      <c r="J5570" s="165"/>
      <c r="K5570" s="164"/>
      <c r="L5570" s="165"/>
      <c r="M5570" s="6"/>
      <c r="N5570" s="32"/>
      <c r="Q5570" s="10" t="str">
        <f>+CONCATENATE(E5569,I5569)</f>
        <v/>
      </c>
      <c r="R5570" s="10">
        <f>+J5569</f>
        <v>0</v>
      </c>
      <c r="S5570" s="11"/>
      <c r="T5570" s="10">
        <f>+E5569</f>
        <v>0</v>
      </c>
      <c r="U5570" s="19" t="str">
        <f>IFERROR(LEFT(I5569,FIND("*",I5569)-1),"-")</f>
        <v>-</v>
      </c>
      <c r="V5570" s="19" t="str">
        <f>IFERROR(RIGHT(I5569,LEN(I5569)-FIND("*",I5569)),"-")</f>
        <v>-</v>
      </c>
      <c r="W5570" s="20" t="str">
        <f t="shared" si="3028"/>
        <v>-</v>
      </c>
      <c r="X5570" s="20" t="str">
        <f>IFERROR(W5570*J5569,"-")</f>
        <v>-</v>
      </c>
      <c r="Z5570" s="85" t="s">
        <v>82</v>
      </c>
    </row>
    <row r="5571" spans="1:26" ht="6.95" customHeight="1" x14ac:dyDescent="0.3">
      <c r="A5571" s="5"/>
      <c r="B5571" s="157"/>
      <c r="C5571" s="158"/>
      <c r="D5571" s="161"/>
      <c r="E5571" s="162"/>
      <c r="F5571" s="163"/>
      <c r="G5571" s="164"/>
      <c r="H5571" s="165"/>
      <c r="I5571" s="164"/>
      <c r="J5571" s="165"/>
      <c r="K5571" s="164"/>
      <c r="L5571" s="165"/>
      <c r="M5571" s="6"/>
      <c r="N5571" s="32"/>
      <c r="Q5571" s="10" t="str">
        <f>+CONCATENATE(E5569,K5569)</f>
        <v/>
      </c>
      <c r="R5571" s="10">
        <f>+L5569</f>
        <v>0</v>
      </c>
      <c r="S5571" s="11"/>
      <c r="T5571" s="10">
        <f>+E5569</f>
        <v>0</v>
      </c>
      <c r="U5571" s="19" t="str">
        <f>IFERROR(LEFT(K5569,FIND("*",K5569)-1),"-")</f>
        <v>-</v>
      </c>
      <c r="V5571" s="19" t="str">
        <f>IFERROR(RIGHT(K5569,LEN(K5569)-FIND("*",K5569)),"-")</f>
        <v>-</v>
      </c>
      <c r="W5571" s="20" t="str">
        <f t="shared" si="3028"/>
        <v>-</v>
      </c>
      <c r="X5571" s="20" t="str">
        <f>IFERROR(W5571*L5569,"-")</f>
        <v>-</v>
      </c>
      <c r="Z5571" s="85" t="s">
        <v>82</v>
      </c>
    </row>
    <row r="5572" spans="1:26" ht="6.95" customHeight="1" x14ac:dyDescent="0.3">
      <c r="A5572" s="8"/>
      <c r="B5572" s="157"/>
      <c r="C5572" s="158"/>
      <c r="D5572" s="161" t="s">
        <v>39</v>
      </c>
      <c r="E5572" s="162"/>
      <c r="F5572" s="163" t="s">
        <v>40</v>
      </c>
      <c r="G5572" s="164"/>
      <c r="H5572" s="165"/>
      <c r="I5572" s="164"/>
      <c r="J5572" s="165"/>
      <c r="K5572" s="164"/>
      <c r="L5572" s="165"/>
      <c r="M5572" s="6"/>
      <c r="N5572" s="32"/>
      <c r="Q5572" s="10" t="str">
        <f>+CONCATENATE(E5572,G5572)</f>
        <v/>
      </c>
      <c r="R5572" s="10">
        <f>+H5572</f>
        <v>0</v>
      </c>
      <c r="S5572" s="11"/>
      <c r="T5572" s="10">
        <f>+E5572</f>
        <v>0</v>
      </c>
      <c r="U5572" s="19" t="str">
        <f t="shared" ref="U5572" si="3031">IFERROR(LEFT(G5572,FIND("*",G5572)-1),"-")</f>
        <v>-</v>
      </c>
      <c r="V5572" s="19" t="str">
        <f t="shared" ref="V5572" si="3032">IFERROR(RIGHT(G5572,LEN(G5572)-FIND("*",G5572)),"-")</f>
        <v>-</v>
      </c>
      <c r="W5572" s="20" t="str">
        <f t="shared" si="3028"/>
        <v>-</v>
      </c>
      <c r="X5572" s="20" t="str">
        <f>IFERROR(W5572*H5572,"-")</f>
        <v>-</v>
      </c>
      <c r="Z5572" s="85" t="s">
        <v>82</v>
      </c>
    </row>
    <row r="5573" spans="1:26" ht="6.95" customHeight="1" x14ac:dyDescent="0.3">
      <c r="A5573" s="5"/>
      <c r="B5573" s="157"/>
      <c r="C5573" s="158"/>
      <c r="D5573" s="161"/>
      <c r="E5573" s="162"/>
      <c r="F5573" s="163"/>
      <c r="G5573" s="164"/>
      <c r="H5573" s="165"/>
      <c r="I5573" s="164"/>
      <c r="J5573" s="165"/>
      <c r="K5573" s="164"/>
      <c r="L5573" s="165"/>
      <c r="M5573" s="6"/>
      <c r="N5573" s="32"/>
      <c r="Q5573" s="10" t="str">
        <f>+CONCATENATE(E5572,I5572)</f>
        <v/>
      </c>
      <c r="R5573" s="10">
        <f>+J5572</f>
        <v>0</v>
      </c>
      <c r="S5573" s="11"/>
      <c r="T5573" s="10">
        <f>+E5572</f>
        <v>0</v>
      </c>
      <c r="U5573" s="19" t="str">
        <f>IFERROR(LEFT(I5572,FIND("*",I5572)-1),"-")</f>
        <v>-</v>
      </c>
      <c r="V5573" s="19" t="str">
        <f>IFERROR(RIGHT(I5572,LEN(I5572)-FIND("*",I5572)),"-")</f>
        <v>-</v>
      </c>
      <c r="W5573" s="20" t="str">
        <f t="shared" si="3028"/>
        <v>-</v>
      </c>
      <c r="X5573" s="20" t="str">
        <f t="shared" ref="X5573" si="3033">IFERROR(W5573*J5572,"-")</f>
        <v>-</v>
      </c>
      <c r="Z5573" s="85" t="s">
        <v>82</v>
      </c>
    </row>
    <row r="5574" spans="1:26" ht="6.95" customHeight="1" x14ac:dyDescent="0.3">
      <c r="A5574" s="5"/>
      <c r="B5574" s="157"/>
      <c r="C5574" s="158"/>
      <c r="D5574" s="161"/>
      <c r="E5574" s="162"/>
      <c r="F5574" s="163"/>
      <c r="G5574" s="164"/>
      <c r="H5574" s="165"/>
      <c r="I5574" s="164"/>
      <c r="J5574" s="165"/>
      <c r="K5574" s="164"/>
      <c r="L5574" s="165"/>
      <c r="M5574" s="6"/>
      <c r="N5574" s="32"/>
      <c r="Q5574" s="10" t="str">
        <f>+CONCATENATE(E5572,K5572)</f>
        <v/>
      </c>
      <c r="R5574" s="10">
        <f>+L5572</f>
        <v>0</v>
      </c>
      <c r="S5574" s="11"/>
      <c r="T5574" s="10">
        <f>+E5572</f>
        <v>0</v>
      </c>
      <c r="U5574" s="19" t="str">
        <f>IFERROR(LEFT(K5572,FIND("*",K5572)-1),"-")</f>
        <v>-</v>
      </c>
      <c r="V5574" s="19" t="str">
        <f>IFERROR(RIGHT(K5572,LEN(K5572)-FIND("*",K5572)),"-")</f>
        <v>-</v>
      </c>
      <c r="W5574" s="20" t="str">
        <f t="shared" si="3028"/>
        <v>-</v>
      </c>
      <c r="X5574" s="20" t="str">
        <f>IFERROR(W5574*L5572,"-")</f>
        <v>-</v>
      </c>
      <c r="Z5574" s="85" t="s">
        <v>82</v>
      </c>
    </row>
    <row r="5575" spans="1:26" ht="21" customHeight="1" thickBot="1" x14ac:dyDescent="0.35">
      <c r="A5575" s="5"/>
      <c r="B5575" s="159"/>
      <c r="C5575" s="160"/>
      <c r="D5575" s="166" t="s">
        <v>43</v>
      </c>
      <c r="E5575" s="167"/>
      <c r="F5575" s="167"/>
      <c r="G5575" s="168"/>
      <c r="H5575" s="168"/>
      <c r="I5575" s="168"/>
      <c r="J5575" s="168"/>
      <c r="K5575" s="168"/>
      <c r="L5575" s="168"/>
      <c r="M5575" s="7"/>
      <c r="N5575" s="32"/>
      <c r="Z5575" s="86" t="s">
        <v>81</v>
      </c>
    </row>
    <row r="5576" spans="1:26" ht="9.9499999999999993" customHeight="1" thickBot="1" x14ac:dyDescent="0.35">
      <c r="B5576" s="9"/>
      <c r="C5576" s="109"/>
      <c r="D5576" s="51"/>
      <c r="E5576" s="12"/>
      <c r="F5576" s="51"/>
      <c r="G5576" s="14"/>
      <c r="H5576" s="14"/>
      <c r="I5576" s="14"/>
      <c r="J5576" s="14"/>
      <c r="K5576" s="14"/>
      <c r="L5576" s="14"/>
      <c r="M5576" s="9"/>
      <c r="N5576" s="32"/>
      <c r="U5576" s="18"/>
      <c r="V5576" s="18"/>
      <c r="Z5576" s="85" t="s">
        <v>82</v>
      </c>
    </row>
    <row r="5577" spans="1:26" ht="6.95" customHeight="1" x14ac:dyDescent="0.3">
      <c r="A5577" s="154">
        <f>+A5566+1</f>
        <v>1306</v>
      </c>
      <c r="B5577" s="155"/>
      <c r="C5577" s="156"/>
      <c r="D5577" s="161" t="s">
        <v>39</v>
      </c>
      <c r="E5577" s="162"/>
      <c r="F5577" s="163" t="s">
        <v>40</v>
      </c>
      <c r="G5577" s="164"/>
      <c r="H5577" s="165"/>
      <c r="I5577" s="164"/>
      <c r="J5577" s="165"/>
      <c r="K5577" s="164"/>
      <c r="L5577" s="165"/>
      <c r="M5577" s="6"/>
      <c r="N5577" s="32"/>
      <c r="Q5577" s="10" t="str">
        <f>+CONCATENATE(E5577,G5577)</f>
        <v/>
      </c>
      <c r="R5577" s="10">
        <f>+H5577</f>
        <v>0</v>
      </c>
      <c r="S5577" s="11"/>
      <c r="T5577" s="10">
        <f>+E5577</f>
        <v>0</v>
      </c>
      <c r="U5577" s="19" t="str">
        <f>IFERROR(LEFT(G5577,FIND("*",G5577)-1),"-")</f>
        <v>-</v>
      </c>
      <c r="V5577" s="19" t="str">
        <f>IFERROR(RIGHT(G5577,LEN(G5577)-FIND("*",G5577)),"-")</f>
        <v>-</v>
      </c>
      <c r="W5577" s="20" t="str">
        <f>IFERROR((U5577+V5577)*2/1000,"-")</f>
        <v>-</v>
      </c>
      <c r="X5577" s="20" t="str">
        <f>IFERROR(W5577*H5577,"-")</f>
        <v>-</v>
      </c>
      <c r="Z5577" s="85" t="s">
        <v>82</v>
      </c>
    </row>
    <row r="5578" spans="1:26" ht="6.95" customHeight="1" x14ac:dyDescent="0.3">
      <c r="A5578" s="154"/>
      <c r="B5578" s="157"/>
      <c r="C5578" s="158"/>
      <c r="D5578" s="161"/>
      <c r="E5578" s="162"/>
      <c r="F5578" s="163"/>
      <c r="G5578" s="164"/>
      <c r="H5578" s="165"/>
      <c r="I5578" s="164"/>
      <c r="J5578" s="165"/>
      <c r="K5578" s="164"/>
      <c r="L5578" s="165"/>
      <c r="M5578" s="6"/>
      <c r="N5578" s="32"/>
      <c r="Q5578" s="10" t="str">
        <f>+CONCATENATE(E5577,I5577)</f>
        <v/>
      </c>
      <c r="R5578" s="10">
        <f>+J5577</f>
        <v>0</v>
      </c>
      <c r="S5578" s="11"/>
      <c r="T5578" s="10">
        <f>+E5577</f>
        <v>0</v>
      </c>
      <c r="U5578" s="19" t="str">
        <f>IFERROR(LEFT(I5577,FIND("*",I5577)-1),"-")</f>
        <v>-</v>
      </c>
      <c r="V5578" s="19" t="str">
        <f>IFERROR(RIGHT(I5577,LEN(I5577)-FIND("*",I5577)),"-")</f>
        <v>-</v>
      </c>
      <c r="W5578" s="20" t="str">
        <f t="shared" ref="W5578:W5585" si="3034">IFERROR((U5578+V5578)*2/1000,"-")</f>
        <v>-</v>
      </c>
      <c r="X5578" s="20" t="str">
        <f>IFERROR(W5578*J5577,"-")</f>
        <v>-</v>
      </c>
      <c r="Z5578" s="85" t="s">
        <v>82</v>
      </c>
    </row>
    <row r="5579" spans="1:26" ht="6.95" customHeight="1" x14ac:dyDescent="0.3">
      <c r="A5579" s="154"/>
      <c r="B5579" s="157"/>
      <c r="C5579" s="158"/>
      <c r="D5579" s="161"/>
      <c r="E5579" s="162"/>
      <c r="F5579" s="163"/>
      <c r="G5579" s="164"/>
      <c r="H5579" s="165"/>
      <c r="I5579" s="164"/>
      <c r="J5579" s="165"/>
      <c r="K5579" s="164"/>
      <c r="L5579" s="165"/>
      <c r="M5579" s="6"/>
      <c r="N5579" s="32"/>
      <c r="Q5579" s="10" t="str">
        <f>+CONCATENATE(E5577,K5577)</f>
        <v/>
      </c>
      <c r="R5579" s="10">
        <f>+L5577</f>
        <v>0</v>
      </c>
      <c r="S5579" s="11"/>
      <c r="T5579" s="10">
        <f>+E5577</f>
        <v>0</v>
      </c>
      <c r="U5579" s="19" t="str">
        <f>IFERROR(LEFT(K5577,FIND("*",K5577)-1),"-")</f>
        <v>-</v>
      </c>
      <c r="V5579" s="19" t="str">
        <f>IFERROR(RIGHT(K5577,LEN(K5577)-FIND("*",K5577)),"-")</f>
        <v>-</v>
      </c>
      <c r="W5579" s="20" t="str">
        <f t="shared" si="3034"/>
        <v>-</v>
      </c>
      <c r="X5579" s="20" t="str">
        <f>IFERROR(W5579*L5577,"-")</f>
        <v>-</v>
      </c>
      <c r="Z5579" s="85" t="s">
        <v>82</v>
      </c>
    </row>
    <row r="5580" spans="1:26" ht="6.95" customHeight="1" x14ac:dyDescent="0.3">
      <c r="A5580" s="8"/>
      <c r="B5580" s="157"/>
      <c r="C5580" s="158"/>
      <c r="D5580" s="161" t="s">
        <v>39</v>
      </c>
      <c r="E5580" s="162"/>
      <c r="F5580" s="163" t="s">
        <v>40</v>
      </c>
      <c r="G5580" s="164"/>
      <c r="H5580" s="165"/>
      <c r="I5580" s="164"/>
      <c r="J5580" s="165"/>
      <c r="K5580" s="164"/>
      <c r="L5580" s="165"/>
      <c r="M5580" s="6"/>
      <c r="N5580" s="32"/>
      <c r="Q5580" s="10" t="str">
        <f>+CONCATENATE(E5580,G5580)</f>
        <v/>
      </c>
      <c r="R5580" s="10">
        <f>+H5580</f>
        <v>0</v>
      </c>
      <c r="S5580" s="11"/>
      <c r="T5580" s="10">
        <f>+E5580</f>
        <v>0</v>
      </c>
      <c r="U5580" s="19" t="str">
        <f t="shared" ref="U5580" si="3035">IFERROR(LEFT(G5580,FIND("*",G5580)-1),"-")</f>
        <v>-</v>
      </c>
      <c r="V5580" s="19" t="str">
        <f t="shared" ref="V5580" si="3036">IFERROR(RIGHT(G5580,LEN(G5580)-FIND("*",G5580)),"-")</f>
        <v>-</v>
      </c>
      <c r="W5580" s="20" t="str">
        <f t="shared" si="3034"/>
        <v>-</v>
      </c>
      <c r="X5580" s="20" t="str">
        <f>IFERROR(W5580*H5580,"-")</f>
        <v>-</v>
      </c>
      <c r="Z5580" s="85" t="s">
        <v>82</v>
      </c>
    </row>
    <row r="5581" spans="1:26" ht="6.95" customHeight="1" x14ac:dyDescent="0.3">
      <c r="A5581" s="5"/>
      <c r="B5581" s="157"/>
      <c r="C5581" s="158"/>
      <c r="D5581" s="161"/>
      <c r="E5581" s="162"/>
      <c r="F5581" s="163"/>
      <c r="G5581" s="164"/>
      <c r="H5581" s="165"/>
      <c r="I5581" s="164"/>
      <c r="J5581" s="165"/>
      <c r="K5581" s="164"/>
      <c r="L5581" s="165"/>
      <c r="M5581" s="6"/>
      <c r="N5581" s="32"/>
      <c r="Q5581" s="10" t="str">
        <f>+CONCATENATE(E5580,I5580)</f>
        <v/>
      </c>
      <c r="R5581" s="10">
        <f>+J5580</f>
        <v>0</v>
      </c>
      <c r="S5581" s="11"/>
      <c r="T5581" s="10">
        <f>+E5580</f>
        <v>0</v>
      </c>
      <c r="U5581" s="19" t="str">
        <f>IFERROR(LEFT(I5580,FIND("*",I5580)-1),"-")</f>
        <v>-</v>
      </c>
      <c r="V5581" s="19" t="str">
        <f>IFERROR(RIGHT(I5580,LEN(I5580)-FIND("*",I5580)),"-")</f>
        <v>-</v>
      </c>
      <c r="W5581" s="20" t="str">
        <f t="shared" si="3034"/>
        <v>-</v>
      </c>
      <c r="X5581" s="20" t="str">
        <f>IFERROR(W5581*J5580,"-")</f>
        <v>-</v>
      </c>
      <c r="Z5581" s="85" t="s">
        <v>82</v>
      </c>
    </row>
    <row r="5582" spans="1:26" ht="6.95" customHeight="1" x14ac:dyDescent="0.3">
      <c r="A5582" s="5"/>
      <c r="B5582" s="157"/>
      <c r="C5582" s="158"/>
      <c r="D5582" s="161"/>
      <c r="E5582" s="162"/>
      <c r="F5582" s="163"/>
      <c r="G5582" s="164"/>
      <c r="H5582" s="165"/>
      <c r="I5582" s="164"/>
      <c r="J5582" s="165"/>
      <c r="K5582" s="164"/>
      <c r="L5582" s="165"/>
      <c r="M5582" s="6"/>
      <c r="N5582" s="32"/>
      <c r="Q5582" s="10" t="str">
        <f>+CONCATENATE(E5580,K5580)</f>
        <v/>
      </c>
      <c r="R5582" s="10">
        <f>+L5580</f>
        <v>0</v>
      </c>
      <c r="S5582" s="11"/>
      <c r="T5582" s="10">
        <f>+E5580</f>
        <v>0</v>
      </c>
      <c r="U5582" s="19" t="str">
        <f>IFERROR(LEFT(K5580,FIND("*",K5580)-1),"-")</f>
        <v>-</v>
      </c>
      <c r="V5582" s="19" t="str">
        <f>IFERROR(RIGHT(K5580,LEN(K5580)-FIND("*",K5580)),"-")</f>
        <v>-</v>
      </c>
      <c r="W5582" s="20" t="str">
        <f t="shared" si="3034"/>
        <v>-</v>
      </c>
      <c r="X5582" s="20" t="str">
        <f>IFERROR(W5582*L5580,"-")</f>
        <v>-</v>
      </c>
      <c r="Z5582" s="85" t="s">
        <v>82</v>
      </c>
    </row>
    <row r="5583" spans="1:26" ht="6.95" customHeight="1" x14ac:dyDescent="0.3">
      <c r="A5583" s="8"/>
      <c r="B5583" s="157"/>
      <c r="C5583" s="158"/>
      <c r="D5583" s="161" t="s">
        <v>39</v>
      </c>
      <c r="E5583" s="162"/>
      <c r="F5583" s="163" t="s">
        <v>40</v>
      </c>
      <c r="G5583" s="164"/>
      <c r="H5583" s="165"/>
      <c r="I5583" s="164"/>
      <c r="J5583" s="165"/>
      <c r="K5583" s="164"/>
      <c r="L5583" s="165"/>
      <c r="M5583" s="6"/>
      <c r="N5583" s="32"/>
      <c r="Q5583" s="10" t="str">
        <f>+CONCATENATE(E5583,G5583)</f>
        <v/>
      </c>
      <c r="R5583" s="10">
        <f>+H5583</f>
        <v>0</v>
      </c>
      <c r="S5583" s="11"/>
      <c r="T5583" s="10">
        <f>+E5583</f>
        <v>0</v>
      </c>
      <c r="U5583" s="19" t="str">
        <f t="shared" ref="U5583" si="3037">IFERROR(LEFT(G5583,FIND("*",G5583)-1),"-")</f>
        <v>-</v>
      </c>
      <c r="V5583" s="19" t="str">
        <f t="shared" ref="V5583" si="3038">IFERROR(RIGHT(G5583,LEN(G5583)-FIND("*",G5583)),"-")</f>
        <v>-</v>
      </c>
      <c r="W5583" s="20" t="str">
        <f t="shared" si="3034"/>
        <v>-</v>
      </c>
      <c r="X5583" s="20" t="str">
        <f>IFERROR(W5583*H5583,"-")</f>
        <v>-</v>
      </c>
      <c r="Z5583" s="85" t="s">
        <v>82</v>
      </c>
    </row>
    <row r="5584" spans="1:26" ht="6.95" customHeight="1" x14ac:dyDescent="0.3">
      <c r="A5584" s="5"/>
      <c r="B5584" s="157"/>
      <c r="C5584" s="158"/>
      <c r="D5584" s="161"/>
      <c r="E5584" s="162"/>
      <c r="F5584" s="163"/>
      <c r="G5584" s="164"/>
      <c r="H5584" s="165"/>
      <c r="I5584" s="164"/>
      <c r="J5584" s="165"/>
      <c r="K5584" s="164"/>
      <c r="L5584" s="165"/>
      <c r="M5584" s="6"/>
      <c r="N5584" s="32"/>
      <c r="Q5584" s="10" t="str">
        <f>+CONCATENATE(E5583,I5583)</f>
        <v/>
      </c>
      <c r="R5584" s="10">
        <f>+J5583</f>
        <v>0</v>
      </c>
      <c r="S5584" s="11"/>
      <c r="T5584" s="10">
        <f>+E5583</f>
        <v>0</v>
      </c>
      <c r="U5584" s="19" t="str">
        <f>IFERROR(LEFT(I5583,FIND("*",I5583)-1),"-")</f>
        <v>-</v>
      </c>
      <c r="V5584" s="19" t="str">
        <f>IFERROR(RIGHT(I5583,LEN(I5583)-FIND("*",I5583)),"-")</f>
        <v>-</v>
      </c>
      <c r="W5584" s="20" t="str">
        <f t="shared" si="3034"/>
        <v>-</v>
      </c>
      <c r="X5584" s="20" t="str">
        <f t="shared" ref="X5584" si="3039">IFERROR(W5584*J5583,"-")</f>
        <v>-</v>
      </c>
      <c r="Z5584" s="85" t="s">
        <v>82</v>
      </c>
    </row>
    <row r="5585" spans="1:26" ht="6.95" customHeight="1" x14ac:dyDescent="0.3">
      <c r="A5585" s="5"/>
      <c r="B5585" s="157"/>
      <c r="C5585" s="158"/>
      <c r="D5585" s="161"/>
      <c r="E5585" s="162"/>
      <c r="F5585" s="163"/>
      <c r="G5585" s="164"/>
      <c r="H5585" s="165"/>
      <c r="I5585" s="164"/>
      <c r="J5585" s="165"/>
      <c r="K5585" s="164"/>
      <c r="L5585" s="165"/>
      <c r="M5585" s="6"/>
      <c r="N5585" s="32"/>
      <c r="Q5585" s="10" t="str">
        <f>+CONCATENATE(E5583,K5583)</f>
        <v/>
      </c>
      <c r="R5585" s="10">
        <f>+L5583</f>
        <v>0</v>
      </c>
      <c r="S5585" s="11"/>
      <c r="T5585" s="10">
        <f>+E5583</f>
        <v>0</v>
      </c>
      <c r="U5585" s="19" t="str">
        <f>IFERROR(LEFT(K5583,FIND("*",K5583)-1),"-")</f>
        <v>-</v>
      </c>
      <c r="V5585" s="19" t="str">
        <f>IFERROR(RIGHT(K5583,LEN(K5583)-FIND("*",K5583)),"-")</f>
        <v>-</v>
      </c>
      <c r="W5585" s="20" t="str">
        <f t="shared" si="3034"/>
        <v>-</v>
      </c>
      <c r="X5585" s="20" t="str">
        <f>IFERROR(W5585*L5583,"-")</f>
        <v>-</v>
      </c>
      <c r="Z5585" s="85" t="s">
        <v>82</v>
      </c>
    </row>
    <row r="5586" spans="1:26" ht="21" customHeight="1" thickBot="1" x14ac:dyDescent="0.35">
      <c r="A5586" s="5"/>
      <c r="B5586" s="159"/>
      <c r="C5586" s="160"/>
      <c r="D5586" s="166" t="s">
        <v>43</v>
      </c>
      <c r="E5586" s="167"/>
      <c r="F5586" s="167"/>
      <c r="G5586" s="168"/>
      <c r="H5586" s="168"/>
      <c r="I5586" s="168"/>
      <c r="J5586" s="168"/>
      <c r="K5586" s="168"/>
      <c r="L5586" s="168"/>
      <c r="M5586" s="7"/>
      <c r="N5586" s="32"/>
      <c r="Z5586" s="86" t="s">
        <v>81</v>
      </c>
    </row>
    <row r="5587" spans="1:26" ht="9.9499999999999993" customHeight="1" thickBot="1" x14ac:dyDescent="0.35">
      <c r="B5587" s="9"/>
      <c r="C5587" s="109"/>
      <c r="D5587" s="51"/>
      <c r="E5587" s="12"/>
      <c r="F5587" s="51"/>
      <c r="G5587" s="14"/>
      <c r="H5587" s="14"/>
      <c r="I5587" s="14"/>
      <c r="J5587" s="14"/>
      <c r="K5587" s="14"/>
      <c r="L5587" s="14"/>
      <c r="M5587" s="9"/>
      <c r="N5587" s="32"/>
      <c r="U5587" s="18"/>
      <c r="V5587" s="18"/>
      <c r="Z5587" s="85" t="s">
        <v>82</v>
      </c>
    </row>
    <row r="5588" spans="1:26" ht="6.95" customHeight="1" x14ac:dyDescent="0.3">
      <c r="A5588" s="154">
        <f>+A5577+1</f>
        <v>1307</v>
      </c>
      <c r="B5588" s="155"/>
      <c r="C5588" s="156"/>
      <c r="D5588" s="161" t="s">
        <v>39</v>
      </c>
      <c r="E5588" s="162"/>
      <c r="F5588" s="163" t="s">
        <v>40</v>
      </c>
      <c r="G5588" s="164"/>
      <c r="H5588" s="165"/>
      <c r="I5588" s="164"/>
      <c r="J5588" s="165"/>
      <c r="K5588" s="164"/>
      <c r="L5588" s="165"/>
      <c r="M5588" s="6"/>
      <c r="N5588" s="32"/>
      <c r="Q5588" s="10" t="str">
        <f>+CONCATENATE(E5588,G5588)</f>
        <v/>
      </c>
      <c r="R5588" s="10">
        <f>+H5588</f>
        <v>0</v>
      </c>
      <c r="S5588" s="11"/>
      <c r="T5588" s="10">
        <f>+E5588</f>
        <v>0</v>
      </c>
      <c r="U5588" s="19" t="str">
        <f>IFERROR(LEFT(G5588,FIND("*",G5588)-1),"-")</f>
        <v>-</v>
      </c>
      <c r="V5588" s="19" t="str">
        <f>IFERROR(RIGHT(G5588,LEN(G5588)-FIND("*",G5588)),"-")</f>
        <v>-</v>
      </c>
      <c r="W5588" s="20" t="str">
        <f>IFERROR((U5588+V5588)*2/1000,"-")</f>
        <v>-</v>
      </c>
      <c r="X5588" s="20" t="str">
        <f>IFERROR(W5588*H5588,"-")</f>
        <v>-</v>
      </c>
      <c r="Z5588" s="85" t="s">
        <v>82</v>
      </c>
    </row>
    <row r="5589" spans="1:26" ht="6.95" customHeight="1" x14ac:dyDescent="0.3">
      <c r="A5589" s="154"/>
      <c r="B5589" s="157"/>
      <c r="C5589" s="158"/>
      <c r="D5589" s="161"/>
      <c r="E5589" s="162"/>
      <c r="F5589" s="163"/>
      <c r="G5589" s="164"/>
      <c r="H5589" s="165"/>
      <c r="I5589" s="164"/>
      <c r="J5589" s="165"/>
      <c r="K5589" s="164"/>
      <c r="L5589" s="165"/>
      <c r="M5589" s="6"/>
      <c r="N5589" s="32"/>
      <c r="Q5589" s="10" t="str">
        <f>+CONCATENATE(E5588,I5588)</f>
        <v/>
      </c>
      <c r="R5589" s="10">
        <f>+J5588</f>
        <v>0</v>
      </c>
      <c r="S5589" s="11"/>
      <c r="T5589" s="10">
        <f>+E5588</f>
        <v>0</v>
      </c>
      <c r="U5589" s="19" t="str">
        <f>IFERROR(LEFT(I5588,FIND("*",I5588)-1),"-")</f>
        <v>-</v>
      </c>
      <c r="V5589" s="19" t="str">
        <f>IFERROR(RIGHT(I5588,LEN(I5588)-FIND("*",I5588)),"-")</f>
        <v>-</v>
      </c>
      <c r="W5589" s="20" t="str">
        <f t="shared" ref="W5589:W5596" si="3040">IFERROR((U5589+V5589)*2/1000,"-")</f>
        <v>-</v>
      </c>
      <c r="X5589" s="20" t="str">
        <f>IFERROR(W5589*J5588,"-")</f>
        <v>-</v>
      </c>
      <c r="Z5589" s="85" t="s">
        <v>82</v>
      </c>
    </row>
    <row r="5590" spans="1:26" ht="6.95" customHeight="1" x14ac:dyDescent="0.3">
      <c r="A5590" s="154"/>
      <c r="B5590" s="157"/>
      <c r="C5590" s="158"/>
      <c r="D5590" s="161"/>
      <c r="E5590" s="162"/>
      <c r="F5590" s="163"/>
      <c r="G5590" s="164"/>
      <c r="H5590" s="165"/>
      <c r="I5590" s="164"/>
      <c r="J5590" s="165"/>
      <c r="K5590" s="164"/>
      <c r="L5590" s="165"/>
      <c r="M5590" s="6"/>
      <c r="N5590" s="32"/>
      <c r="Q5590" s="10" t="str">
        <f>+CONCATENATE(E5588,K5588)</f>
        <v/>
      </c>
      <c r="R5590" s="10">
        <f>+L5588</f>
        <v>0</v>
      </c>
      <c r="S5590" s="11"/>
      <c r="T5590" s="10">
        <f>+E5588</f>
        <v>0</v>
      </c>
      <c r="U5590" s="19" t="str">
        <f>IFERROR(LEFT(K5588,FIND("*",K5588)-1),"-")</f>
        <v>-</v>
      </c>
      <c r="V5590" s="19" t="str">
        <f>IFERROR(RIGHT(K5588,LEN(K5588)-FIND("*",K5588)),"-")</f>
        <v>-</v>
      </c>
      <c r="W5590" s="20" t="str">
        <f t="shared" si="3040"/>
        <v>-</v>
      </c>
      <c r="X5590" s="20" t="str">
        <f>IFERROR(W5590*L5588,"-")</f>
        <v>-</v>
      </c>
      <c r="Z5590" s="85" t="s">
        <v>82</v>
      </c>
    </row>
    <row r="5591" spans="1:26" ht="6.95" customHeight="1" x14ac:dyDescent="0.3">
      <c r="A5591" s="8"/>
      <c r="B5591" s="157"/>
      <c r="C5591" s="158"/>
      <c r="D5591" s="161" t="s">
        <v>39</v>
      </c>
      <c r="E5591" s="162"/>
      <c r="F5591" s="163" t="s">
        <v>40</v>
      </c>
      <c r="G5591" s="164"/>
      <c r="H5591" s="165"/>
      <c r="I5591" s="164"/>
      <c r="J5591" s="165"/>
      <c r="K5591" s="164"/>
      <c r="L5591" s="165"/>
      <c r="M5591" s="6"/>
      <c r="N5591" s="32"/>
      <c r="Q5591" s="10" t="str">
        <f>+CONCATENATE(E5591,G5591)</f>
        <v/>
      </c>
      <c r="R5591" s="10">
        <f>+H5591</f>
        <v>0</v>
      </c>
      <c r="S5591" s="11"/>
      <c r="T5591" s="10">
        <f>+E5591</f>
        <v>0</v>
      </c>
      <c r="U5591" s="19" t="str">
        <f t="shared" ref="U5591" si="3041">IFERROR(LEFT(G5591,FIND("*",G5591)-1),"-")</f>
        <v>-</v>
      </c>
      <c r="V5591" s="19" t="str">
        <f t="shared" ref="V5591" si="3042">IFERROR(RIGHT(G5591,LEN(G5591)-FIND("*",G5591)),"-")</f>
        <v>-</v>
      </c>
      <c r="W5591" s="20" t="str">
        <f t="shared" si="3040"/>
        <v>-</v>
      </c>
      <c r="X5591" s="20" t="str">
        <f>IFERROR(W5591*H5591,"-")</f>
        <v>-</v>
      </c>
      <c r="Z5591" s="85" t="s">
        <v>82</v>
      </c>
    </row>
    <row r="5592" spans="1:26" ht="6.95" customHeight="1" x14ac:dyDescent="0.3">
      <c r="A5592" s="5"/>
      <c r="B5592" s="157"/>
      <c r="C5592" s="158"/>
      <c r="D5592" s="161"/>
      <c r="E5592" s="162"/>
      <c r="F5592" s="163"/>
      <c r="G5592" s="164"/>
      <c r="H5592" s="165"/>
      <c r="I5592" s="164"/>
      <c r="J5592" s="165"/>
      <c r="K5592" s="164"/>
      <c r="L5592" s="165"/>
      <c r="M5592" s="6"/>
      <c r="N5592" s="32"/>
      <c r="Q5592" s="10" t="str">
        <f>+CONCATENATE(E5591,I5591)</f>
        <v/>
      </c>
      <c r="R5592" s="10">
        <f>+J5591</f>
        <v>0</v>
      </c>
      <c r="S5592" s="11"/>
      <c r="T5592" s="10">
        <f>+E5591</f>
        <v>0</v>
      </c>
      <c r="U5592" s="19" t="str">
        <f>IFERROR(LEFT(I5591,FIND("*",I5591)-1),"-")</f>
        <v>-</v>
      </c>
      <c r="V5592" s="19" t="str">
        <f>IFERROR(RIGHT(I5591,LEN(I5591)-FIND("*",I5591)),"-")</f>
        <v>-</v>
      </c>
      <c r="W5592" s="20" t="str">
        <f t="shared" si="3040"/>
        <v>-</v>
      </c>
      <c r="X5592" s="20" t="str">
        <f>IFERROR(W5592*J5591,"-")</f>
        <v>-</v>
      </c>
      <c r="Z5592" s="85" t="s">
        <v>82</v>
      </c>
    </row>
    <row r="5593" spans="1:26" ht="6.95" customHeight="1" x14ac:dyDescent="0.3">
      <c r="A5593" s="5"/>
      <c r="B5593" s="157"/>
      <c r="C5593" s="158"/>
      <c r="D5593" s="161"/>
      <c r="E5593" s="162"/>
      <c r="F5593" s="163"/>
      <c r="G5593" s="164"/>
      <c r="H5593" s="165"/>
      <c r="I5593" s="164"/>
      <c r="J5593" s="165"/>
      <c r="K5593" s="164"/>
      <c r="L5593" s="165"/>
      <c r="M5593" s="6"/>
      <c r="N5593" s="32"/>
      <c r="Q5593" s="10" t="str">
        <f>+CONCATENATE(E5591,K5591)</f>
        <v/>
      </c>
      <c r="R5593" s="10">
        <f>+L5591</f>
        <v>0</v>
      </c>
      <c r="S5593" s="11"/>
      <c r="T5593" s="10">
        <f>+E5591</f>
        <v>0</v>
      </c>
      <c r="U5593" s="19" t="str">
        <f>IFERROR(LEFT(K5591,FIND("*",K5591)-1),"-")</f>
        <v>-</v>
      </c>
      <c r="V5593" s="19" t="str">
        <f>IFERROR(RIGHT(K5591,LEN(K5591)-FIND("*",K5591)),"-")</f>
        <v>-</v>
      </c>
      <c r="W5593" s="20" t="str">
        <f t="shared" si="3040"/>
        <v>-</v>
      </c>
      <c r="X5593" s="20" t="str">
        <f>IFERROR(W5593*L5591,"-")</f>
        <v>-</v>
      </c>
      <c r="Z5593" s="85" t="s">
        <v>82</v>
      </c>
    </row>
    <row r="5594" spans="1:26" ht="6.95" customHeight="1" x14ac:dyDescent="0.3">
      <c r="A5594" s="8"/>
      <c r="B5594" s="157"/>
      <c r="C5594" s="158"/>
      <c r="D5594" s="161" t="s">
        <v>39</v>
      </c>
      <c r="E5594" s="162"/>
      <c r="F5594" s="163" t="s">
        <v>40</v>
      </c>
      <c r="G5594" s="164"/>
      <c r="H5594" s="165"/>
      <c r="I5594" s="164"/>
      <c r="J5594" s="165"/>
      <c r="K5594" s="164"/>
      <c r="L5594" s="165"/>
      <c r="M5594" s="6"/>
      <c r="N5594" s="32"/>
      <c r="Q5594" s="10" t="str">
        <f>+CONCATENATE(E5594,G5594)</f>
        <v/>
      </c>
      <c r="R5594" s="10">
        <f>+H5594</f>
        <v>0</v>
      </c>
      <c r="S5594" s="11"/>
      <c r="T5594" s="10">
        <f>+E5594</f>
        <v>0</v>
      </c>
      <c r="U5594" s="19" t="str">
        <f t="shared" ref="U5594" si="3043">IFERROR(LEFT(G5594,FIND("*",G5594)-1),"-")</f>
        <v>-</v>
      </c>
      <c r="V5594" s="19" t="str">
        <f t="shared" ref="V5594" si="3044">IFERROR(RIGHT(G5594,LEN(G5594)-FIND("*",G5594)),"-")</f>
        <v>-</v>
      </c>
      <c r="W5594" s="20" t="str">
        <f t="shared" si="3040"/>
        <v>-</v>
      </c>
      <c r="X5594" s="20" t="str">
        <f>IFERROR(W5594*H5594,"-")</f>
        <v>-</v>
      </c>
      <c r="Z5594" s="85" t="s">
        <v>82</v>
      </c>
    </row>
    <row r="5595" spans="1:26" ht="6.95" customHeight="1" x14ac:dyDescent="0.3">
      <c r="A5595" s="5"/>
      <c r="B5595" s="157"/>
      <c r="C5595" s="158"/>
      <c r="D5595" s="161"/>
      <c r="E5595" s="162"/>
      <c r="F5595" s="163"/>
      <c r="G5595" s="164"/>
      <c r="H5595" s="165"/>
      <c r="I5595" s="164"/>
      <c r="J5595" s="165"/>
      <c r="K5595" s="164"/>
      <c r="L5595" s="165"/>
      <c r="M5595" s="6"/>
      <c r="N5595" s="32"/>
      <c r="Q5595" s="10" t="str">
        <f>+CONCATENATE(E5594,I5594)</f>
        <v/>
      </c>
      <c r="R5595" s="10">
        <f>+J5594</f>
        <v>0</v>
      </c>
      <c r="S5595" s="11"/>
      <c r="T5595" s="10">
        <f>+E5594</f>
        <v>0</v>
      </c>
      <c r="U5595" s="19" t="str">
        <f>IFERROR(LEFT(I5594,FIND("*",I5594)-1),"-")</f>
        <v>-</v>
      </c>
      <c r="V5595" s="19" t="str">
        <f>IFERROR(RIGHT(I5594,LEN(I5594)-FIND("*",I5594)),"-")</f>
        <v>-</v>
      </c>
      <c r="W5595" s="20" t="str">
        <f t="shared" si="3040"/>
        <v>-</v>
      </c>
      <c r="X5595" s="20" t="str">
        <f t="shared" ref="X5595" si="3045">IFERROR(W5595*J5594,"-")</f>
        <v>-</v>
      </c>
      <c r="Z5595" s="85" t="s">
        <v>82</v>
      </c>
    </row>
    <row r="5596" spans="1:26" ht="6.95" customHeight="1" x14ac:dyDescent="0.3">
      <c r="A5596" s="5"/>
      <c r="B5596" s="157"/>
      <c r="C5596" s="158"/>
      <c r="D5596" s="161"/>
      <c r="E5596" s="162"/>
      <c r="F5596" s="163"/>
      <c r="G5596" s="164"/>
      <c r="H5596" s="165"/>
      <c r="I5596" s="164"/>
      <c r="J5596" s="165"/>
      <c r="K5596" s="164"/>
      <c r="L5596" s="165"/>
      <c r="M5596" s="6"/>
      <c r="N5596" s="32"/>
      <c r="Q5596" s="10" t="str">
        <f>+CONCATENATE(E5594,K5594)</f>
        <v/>
      </c>
      <c r="R5596" s="10">
        <f>+L5594</f>
        <v>0</v>
      </c>
      <c r="S5596" s="11"/>
      <c r="T5596" s="10">
        <f>+E5594</f>
        <v>0</v>
      </c>
      <c r="U5596" s="19" t="str">
        <f>IFERROR(LEFT(K5594,FIND("*",K5594)-1),"-")</f>
        <v>-</v>
      </c>
      <c r="V5596" s="19" t="str">
        <f>IFERROR(RIGHT(K5594,LEN(K5594)-FIND("*",K5594)),"-")</f>
        <v>-</v>
      </c>
      <c r="W5596" s="20" t="str">
        <f t="shared" si="3040"/>
        <v>-</v>
      </c>
      <c r="X5596" s="20" t="str">
        <f>IFERROR(W5596*L5594,"-")</f>
        <v>-</v>
      </c>
      <c r="Z5596" s="85" t="s">
        <v>82</v>
      </c>
    </row>
    <row r="5597" spans="1:26" ht="21" customHeight="1" thickBot="1" x14ac:dyDescent="0.35">
      <c r="A5597" s="5"/>
      <c r="B5597" s="159"/>
      <c r="C5597" s="160"/>
      <c r="D5597" s="166" t="s">
        <v>43</v>
      </c>
      <c r="E5597" s="167"/>
      <c r="F5597" s="167"/>
      <c r="G5597" s="168"/>
      <c r="H5597" s="168"/>
      <c r="I5597" s="168"/>
      <c r="J5597" s="168"/>
      <c r="K5597" s="168"/>
      <c r="L5597" s="168"/>
      <c r="M5597" s="7"/>
      <c r="N5597" s="32"/>
      <c r="Z5597" s="86" t="s">
        <v>81</v>
      </c>
    </row>
    <row r="5598" spans="1:26" ht="9.9499999999999993" customHeight="1" thickBot="1" x14ac:dyDescent="0.35">
      <c r="B5598" s="9"/>
      <c r="C5598" s="109"/>
      <c r="D5598" s="51"/>
      <c r="E5598" s="12"/>
      <c r="F5598" s="51"/>
      <c r="G5598" s="14"/>
      <c r="H5598" s="14"/>
      <c r="I5598" s="14"/>
      <c r="J5598" s="14"/>
      <c r="K5598" s="14"/>
      <c r="L5598" s="14"/>
      <c r="M5598" s="9"/>
      <c r="N5598" s="32"/>
      <c r="U5598" s="18"/>
      <c r="V5598" s="18"/>
      <c r="Z5598" s="85" t="s">
        <v>82</v>
      </c>
    </row>
    <row r="5599" spans="1:26" ht="6.95" customHeight="1" x14ac:dyDescent="0.3">
      <c r="A5599" s="154">
        <f>+A5588+1</f>
        <v>1308</v>
      </c>
      <c r="B5599" s="155"/>
      <c r="C5599" s="156"/>
      <c r="D5599" s="161" t="s">
        <v>39</v>
      </c>
      <c r="E5599" s="162"/>
      <c r="F5599" s="163" t="s">
        <v>40</v>
      </c>
      <c r="G5599" s="164"/>
      <c r="H5599" s="165"/>
      <c r="I5599" s="164"/>
      <c r="J5599" s="165"/>
      <c r="K5599" s="164"/>
      <c r="L5599" s="165"/>
      <c r="M5599" s="6"/>
      <c r="N5599" s="32"/>
      <c r="Q5599" s="10" t="str">
        <f>+CONCATENATE(E5599,G5599)</f>
        <v/>
      </c>
      <c r="R5599" s="10">
        <f>+H5599</f>
        <v>0</v>
      </c>
      <c r="S5599" s="11"/>
      <c r="T5599" s="10">
        <f>+E5599</f>
        <v>0</v>
      </c>
      <c r="U5599" s="19" t="str">
        <f>IFERROR(LEFT(G5599,FIND("*",G5599)-1),"-")</f>
        <v>-</v>
      </c>
      <c r="V5599" s="19" t="str">
        <f>IFERROR(RIGHT(G5599,LEN(G5599)-FIND("*",G5599)),"-")</f>
        <v>-</v>
      </c>
      <c r="W5599" s="20" t="str">
        <f>IFERROR((U5599+V5599)*2/1000,"-")</f>
        <v>-</v>
      </c>
      <c r="X5599" s="20" t="str">
        <f>IFERROR(W5599*H5599,"-")</f>
        <v>-</v>
      </c>
      <c r="Z5599" s="85" t="s">
        <v>82</v>
      </c>
    </row>
    <row r="5600" spans="1:26" ht="6.95" customHeight="1" x14ac:dyDescent="0.3">
      <c r="A5600" s="154"/>
      <c r="B5600" s="157"/>
      <c r="C5600" s="158"/>
      <c r="D5600" s="161"/>
      <c r="E5600" s="162"/>
      <c r="F5600" s="163"/>
      <c r="G5600" s="164"/>
      <c r="H5600" s="165"/>
      <c r="I5600" s="164"/>
      <c r="J5600" s="165"/>
      <c r="K5600" s="164"/>
      <c r="L5600" s="165"/>
      <c r="M5600" s="6"/>
      <c r="N5600" s="32"/>
      <c r="Q5600" s="10" t="str">
        <f>+CONCATENATE(E5599,I5599)</f>
        <v/>
      </c>
      <c r="R5600" s="10">
        <f>+J5599</f>
        <v>0</v>
      </c>
      <c r="S5600" s="11"/>
      <c r="T5600" s="10">
        <f>+E5599</f>
        <v>0</v>
      </c>
      <c r="U5600" s="19" t="str">
        <f>IFERROR(LEFT(I5599,FIND("*",I5599)-1),"-")</f>
        <v>-</v>
      </c>
      <c r="V5600" s="19" t="str">
        <f>IFERROR(RIGHT(I5599,LEN(I5599)-FIND("*",I5599)),"-")</f>
        <v>-</v>
      </c>
      <c r="W5600" s="20" t="str">
        <f t="shared" ref="W5600:W5607" si="3046">IFERROR((U5600+V5600)*2/1000,"-")</f>
        <v>-</v>
      </c>
      <c r="X5600" s="20" t="str">
        <f>IFERROR(W5600*J5599,"-")</f>
        <v>-</v>
      </c>
      <c r="Z5600" s="85" t="s">
        <v>82</v>
      </c>
    </row>
    <row r="5601" spans="1:26" ht="6.95" customHeight="1" x14ac:dyDescent="0.3">
      <c r="A5601" s="154"/>
      <c r="B5601" s="157"/>
      <c r="C5601" s="158"/>
      <c r="D5601" s="161"/>
      <c r="E5601" s="162"/>
      <c r="F5601" s="163"/>
      <c r="G5601" s="164"/>
      <c r="H5601" s="165"/>
      <c r="I5601" s="164"/>
      <c r="J5601" s="165"/>
      <c r="K5601" s="164"/>
      <c r="L5601" s="165"/>
      <c r="M5601" s="6"/>
      <c r="N5601" s="32"/>
      <c r="Q5601" s="10" t="str">
        <f>+CONCATENATE(E5599,K5599)</f>
        <v/>
      </c>
      <c r="R5601" s="10">
        <f>+L5599</f>
        <v>0</v>
      </c>
      <c r="S5601" s="11"/>
      <c r="T5601" s="10">
        <f>+E5599</f>
        <v>0</v>
      </c>
      <c r="U5601" s="19" t="str">
        <f>IFERROR(LEFT(K5599,FIND("*",K5599)-1),"-")</f>
        <v>-</v>
      </c>
      <c r="V5601" s="19" t="str">
        <f>IFERROR(RIGHT(K5599,LEN(K5599)-FIND("*",K5599)),"-")</f>
        <v>-</v>
      </c>
      <c r="W5601" s="20" t="str">
        <f t="shared" si="3046"/>
        <v>-</v>
      </c>
      <c r="X5601" s="20" t="str">
        <f>IFERROR(W5601*L5599,"-")</f>
        <v>-</v>
      </c>
      <c r="Z5601" s="85" t="s">
        <v>82</v>
      </c>
    </row>
    <row r="5602" spans="1:26" ht="6.95" customHeight="1" x14ac:dyDescent="0.3">
      <c r="A5602" s="8"/>
      <c r="B5602" s="157"/>
      <c r="C5602" s="158"/>
      <c r="D5602" s="161" t="s">
        <v>39</v>
      </c>
      <c r="E5602" s="162"/>
      <c r="F5602" s="163" t="s">
        <v>40</v>
      </c>
      <c r="G5602" s="164"/>
      <c r="H5602" s="165"/>
      <c r="I5602" s="164"/>
      <c r="J5602" s="165"/>
      <c r="K5602" s="164"/>
      <c r="L5602" s="165"/>
      <c r="M5602" s="6"/>
      <c r="N5602" s="32"/>
      <c r="Q5602" s="10" t="str">
        <f>+CONCATENATE(E5602,G5602)</f>
        <v/>
      </c>
      <c r="R5602" s="10">
        <f>+H5602</f>
        <v>0</v>
      </c>
      <c r="S5602" s="11"/>
      <c r="T5602" s="10">
        <f>+E5602</f>
        <v>0</v>
      </c>
      <c r="U5602" s="19" t="str">
        <f t="shared" ref="U5602" si="3047">IFERROR(LEFT(G5602,FIND("*",G5602)-1),"-")</f>
        <v>-</v>
      </c>
      <c r="V5602" s="19" t="str">
        <f t="shared" ref="V5602" si="3048">IFERROR(RIGHT(G5602,LEN(G5602)-FIND("*",G5602)),"-")</f>
        <v>-</v>
      </c>
      <c r="W5602" s="20" t="str">
        <f t="shared" si="3046"/>
        <v>-</v>
      </c>
      <c r="X5602" s="20" t="str">
        <f>IFERROR(W5602*H5602,"-")</f>
        <v>-</v>
      </c>
      <c r="Z5602" s="85" t="s">
        <v>82</v>
      </c>
    </row>
    <row r="5603" spans="1:26" ht="6.95" customHeight="1" x14ac:dyDescent="0.3">
      <c r="A5603" s="5"/>
      <c r="B5603" s="157"/>
      <c r="C5603" s="158"/>
      <c r="D5603" s="161"/>
      <c r="E5603" s="162"/>
      <c r="F5603" s="163"/>
      <c r="G5603" s="164"/>
      <c r="H5603" s="165"/>
      <c r="I5603" s="164"/>
      <c r="J5603" s="165"/>
      <c r="K5603" s="164"/>
      <c r="L5603" s="165"/>
      <c r="M5603" s="6"/>
      <c r="N5603" s="32"/>
      <c r="Q5603" s="10" t="str">
        <f>+CONCATENATE(E5602,I5602)</f>
        <v/>
      </c>
      <c r="R5603" s="10">
        <f>+J5602</f>
        <v>0</v>
      </c>
      <c r="S5603" s="11"/>
      <c r="T5603" s="10">
        <f>+E5602</f>
        <v>0</v>
      </c>
      <c r="U5603" s="19" t="str">
        <f>IFERROR(LEFT(I5602,FIND("*",I5602)-1),"-")</f>
        <v>-</v>
      </c>
      <c r="V5603" s="19" t="str">
        <f>IFERROR(RIGHT(I5602,LEN(I5602)-FIND("*",I5602)),"-")</f>
        <v>-</v>
      </c>
      <c r="W5603" s="20" t="str">
        <f t="shared" si="3046"/>
        <v>-</v>
      </c>
      <c r="X5603" s="20" t="str">
        <f>IFERROR(W5603*J5602,"-")</f>
        <v>-</v>
      </c>
      <c r="Z5603" s="85" t="s">
        <v>82</v>
      </c>
    </row>
    <row r="5604" spans="1:26" ht="6.95" customHeight="1" x14ac:dyDescent="0.3">
      <c r="A5604" s="5"/>
      <c r="B5604" s="157"/>
      <c r="C5604" s="158"/>
      <c r="D5604" s="161"/>
      <c r="E5604" s="162"/>
      <c r="F5604" s="163"/>
      <c r="G5604" s="164"/>
      <c r="H5604" s="165"/>
      <c r="I5604" s="164"/>
      <c r="J5604" s="165"/>
      <c r="K5604" s="164"/>
      <c r="L5604" s="165"/>
      <c r="M5604" s="6"/>
      <c r="N5604" s="32"/>
      <c r="Q5604" s="10" t="str">
        <f>+CONCATENATE(E5602,K5602)</f>
        <v/>
      </c>
      <c r="R5604" s="10">
        <f>+L5602</f>
        <v>0</v>
      </c>
      <c r="S5604" s="11"/>
      <c r="T5604" s="10">
        <f>+E5602</f>
        <v>0</v>
      </c>
      <c r="U5604" s="19" t="str">
        <f>IFERROR(LEFT(K5602,FIND("*",K5602)-1),"-")</f>
        <v>-</v>
      </c>
      <c r="V5604" s="19" t="str">
        <f>IFERROR(RIGHT(K5602,LEN(K5602)-FIND("*",K5602)),"-")</f>
        <v>-</v>
      </c>
      <c r="W5604" s="20" t="str">
        <f t="shared" si="3046"/>
        <v>-</v>
      </c>
      <c r="X5604" s="20" t="str">
        <f>IFERROR(W5604*L5602,"-")</f>
        <v>-</v>
      </c>
      <c r="Z5604" s="85" t="s">
        <v>82</v>
      </c>
    </row>
    <row r="5605" spans="1:26" ht="6.95" customHeight="1" x14ac:dyDescent="0.3">
      <c r="A5605" s="8"/>
      <c r="B5605" s="157"/>
      <c r="C5605" s="158"/>
      <c r="D5605" s="161" t="s">
        <v>39</v>
      </c>
      <c r="E5605" s="162"/>
      <c r="F5605" s="163" t="s">
        <v>40</v>
      </c>
      <c r="G5605" s="164"/>
      <c r="H5605" s="165"/>
      <c r="I5605" s="164"/>
      <c r="J5605" s="165"/>
      <c r="K5605" s="164"/>
      <c r="L5605" s="165"/>
      <c r="M5605" s="6"/>
      <c r="N5605" s="32"/>
      <c r="Q5605" s="10" t="str">
        <f>+CONCATENATE(E5605,G5605)</f>
        <v/>
      </c>
      <c r="R5605" s="10">
        <f>+H5605</f>
        <v>0</v>
      </c>
      <c r="S5605" s="11"/>
      <c r="T5605" s="10">
        <f>+E5605</f>
        <v>0</v>
      </c>
      <c r="U5605" s="19" t="str">
        <f t="shared" ref="U5605" si="3049">IFERROR(LEFT(G5605,FIND("*",G5605)-1),"-")</f>
        <v>-</v>
      </c>
      <c r="V5605" s="19" t="str">
        <f t="shared" ref="V5605" si="3050">IFERROR(RIGHT(G5605,LEN(G5605)-FIND("*",G5605)),"-")</f>
        <v>-</v>
      </c>
      <c r="W5605" s="20" t="str">
        <f t="shared" si="3046"/>
        <v>-</v>
      </c>
      <c r="X5605" s="20" t="str">
        <f>IFERROR(W5605*H5605,"-")</f>
        <v>-</v>
      </c>
      <c r="Z5605" s="85" t="s">
        <v>82</v>
      </c>
    </row>
    <row r="5606" spans="1:26" ht="6.95" customHeight="1" x14ac:dyDescent="0.3">
      <c r="A5606" s="5"/>
      <c r="B5606" s="157"/>
      <c r="C5606" s="158"/>
      <c r="D5606" s="161"/>
      <c r="E5606" s="162"/>
      <c r="F5606" s="163"/>
      <c r="G5606" s="164"/>
      <c r="H5606" s="165"/>
      <c r="I5606" s="164"/>
      <c r="J5606" s="165"/>
      <c r="K5606" s="164"/>
      <c r="L5606" s="165"/>
      <c r="M5606" s="6"/>
      <c r="N5606" s="32"/>
      <c r="Q5606" s="10" t="str">
        <f>+CONCATENATE(E5605,I5605)</f>
        <v/>
      </c>
      <c r="R5606" s="10">
        <f>+J5605</f>
        <v>0</v>
      </c>
      <c r="S5606" s="11"/>
      <c r="T5606" s="10">
        <f>+E5605</f>
        <v>0</v>
      </c>
      <c r="U5606" s="19" t="str">
        <f>IFERROR(LEFT(I5605,FIND("*",I5605)-1),"-")</f>
        <v>-</v>
      </c>
      <c r="V5606" s="19" t="str">
        <f>IFERROR(RIGHT(I5605,LEN(I5605)-FIND("*",I5605)),"-")</f>
        <v>-</v>
      </c>
      <c r="W5606" s="20" t="str">
        <f t="shared" si="3046"/>
        <v>-</v>
      </c>
      <c r="X5606" s="20" t="str">
        <f t="shared" ref="X5606" si="3051">IFERROR(W5606*J5605,"-")</f>
        <v>-</v>
      </c>
      <c r="Z5606" s="85" t="s">
        <v>82</v>
      </c>
    </row>
    <row r="5607" spans="1:26" ht="6.95" customHeight="1" x14ac:dyDescent="0.3">
      <c r="A5607" s="5"/>
      <c r="B5607" s="157"/>
      <c r="C5607" s="158"/>
      <c r="D5607" s="161"/>
      <c r="E5607" s="162"/>
      <c r="F5607" s="163"/>
      <c r="G5607" s="164"/>
      <c r="H5607" s="165"/>
      <c r="I5607" s="164"/>
      <c r="J5607" s="165"/>
      <c r="K5607" s="164"/>
      <c r="L5607" s="165"/>
      <c r="M5607" s="6"/>
      <c r="N5607" s="32"/>
      <c r="Q5607" s="10" t="str">
        <f>+CONCATENATE(E5605,K5605)</f>
        <v/>
      </c>
      <c r="R5607" s="10">
        <f>+L5605</f>
        <v>0</v>
      </c>
      <c r="S5607" s="11"/>
      <c r="T5607" s="10">
        <f>+E5605</f>
        <v>0</v>
      </c>
      <c r="U5607" s="19" t="str">
        <f>IFERROR(LEFT(K5605,FIND("*",K5605)-1),"-")</f>
        <v>-</v>
      </c>
      <c r="V5607" s="19" t="str">
        <f>IFERROR(RIGHT(K5605,LEN(K5605)-FIND("*",K5605)),"-")</f>
        <v>-</v>
      </c>
      <c r="W5607" s="20" t="str">
        <f t="shared" si="3046"/>
        <v>-</v>
      </c>
      <c r="X5607" s="20" t="str">
        <f>IFERROR(W5607*L5605,"-")</f>
        <v>-</v>
      </c>
      <c r="Z5607" s="85" t="s">
        <v>82</v>
      </c>
    </row>
    <row r="5608" spans="1:26" ht="21" customHeight="1" thickBot="1" x14ac:dyDescent="0.35">
      <c r="A5608" s="5"/>
      <c r="B5608" s="159"/>
      <c r="C5608" s="160"/>
      <c r="D5608" s="166" t="s">
        <v>43</v>
      </c>
      <c r="E5608" s="167"/>
      <c r="F5608" s="167"/>
      <c r="G5608" s="168"/>
      <c r="H5608" s="168"/>
      <c r="I5608" s="168"/>
      <c r="J5608" s="168"/>
      <c r="K5608" s="168"/>
      <c r="L5608" s="168"/>
      <c r="M5608" s="7"/>
      <c r="N5608" s="32"/>
      <c r="Z5608" s="86" t="s">
        <v>81</v>
      </c>
    </row>
    <row r="5609" spans="1:26" ht="9.9499999999999993" customHeight="1" thickBot="1" x14ac:dyDescent="0.35">
      <c r="B5609" s="9"/>
      <c r="C5609" s="109"/>
      <c r="D5609" s="51"/>
      <c r="E5609" s="12"/>
      <c r="F5609" s="51"/>
      <c r="G5609" s="14"/>
      <c r="H5609" s="14"/>
      <c r="I5609" s="14"/>
      <c r="J5609" s="14"/>
      <c r="K5609" s="14"/>
      <c r="L5609" s="14"/>
      <c r="M5609" s="9"/>
      <c r="N5609" s="32"/>
      <c r="U5609" s="18"/>
      <c r="V5609" s="18"/>
      <c r="Z5609" s="85" t="s">
        <v>82</v>
      </c>
    </row>
    <row r="5610" spans="1:26" ht="6.95" customHeight="1" x14ac:dyDescent="0.3">
      <c r="A5610" s="154">
        <f>+A5599+1</f>
        <v>1309</v>
      </c>
      <c r="B5610" s="155"/>
      <c r="C5610" s="156"/>
      <c r="D5610" s="161" t="s">
        <v>39</v>
      </c>
      <c r="E5610" s="162"/>
      <c r="F5610" s="163" t="s">
        <v>40</v>
      </c>
      <c r="G5610" s="164"/>
      <c r="H5610" s="165"/>
      <c r="I5610" s="164"/>
      <c r="J5610" s="165"/>
      <c r="K5610" s="164"/>
      <c r="L5610" s="165"/>
      <c r="M5610" s="6"/>
      <c r="N5610" s="32"/>
      <c r="Q5610" s="10" t="str">
        <f>+CONCATENATE(E5610,G5610)</f>
        <v/>
      </c>
      <c r="R5610" s="10">
        <f>+H5610</f>
        <v>0</v>
      </c>
      <c r="S5610" s="11"/>
      <c r="T5610" s="10">
        <f>+E5610</f>
        <v>0</v>
      </c>
      <c r="U5610" s="19" t="str">
        <f>IFERROR(LEFT(G5610,FIND("*",G5610)-1),"-")</f>
        <v>-</v>
      </c>
      <c r="V5610" s="19" t="str">
        <f>IFERROR(RIGHT(G5610,LEN(G5610)-FIND("*",G5610)),"-")</f>
        <v>-</v>
      </c>
      <c r="W5610" s="20" t="str">
        <f>IFERROR((U5610+V5610)*2/1000,"-")</f>
        <v>-</v>
      </c>
      <c r="X5610" s="20" t="str">
        <f>IFERROR(W5610*H5610,"-")</f>
        <v>-</v>
      </c>
      <c r="Z5610" s="85" t="s">
        <v>82</v>
      </c>
    </row>
    <row r="5611" spans="1:26" ht="6.95" customHeight="1" x14ac:dyDescent="0.3">
      <c r="A5611" s="154"/>
      <c r="B5611" s="157"/>
      <c r="C5611" s="158"/>
      <c r="D5611" s="161"/>
      <c r="E5611" s="162"/>
      <c r="F5611" s="163"/>
      <c r="G5611" s="164"/>
      <c r="H5611" s="165"/>
      <c r="I5611" s="164"/>
      <c r="J5611" s="165"/>
      <c r="K5611" s="164"/>
      <c r="L5611" s="165"/>
      <c r="M5611" s="6"/>
      <c r="N5611" s="32"/>
      <c r="Q5611" s="10" t="str">
        <f>+CONCATENATE(E5610,I5610)</f>
        <v/>
      </c>
      <c r="R5611" s="10">
        <f>+J5610</f>
        <v>0</v>
      </c>
      <c r="S5611" s="11"/>
      <c r="T5611" s="10">
        <f>+E5610</f>
        <v>0</v>
      </c>
      <c r="U5611" s="19" t="str">
        <f>IFERROR(LEFT(I5610,FIND("*",I5610)-1),"-")</f>
        <v>-</v>
      </c>
      <c r="V5611" s="19" t="str">
        <f>IFERROR(RIGHT(I5610,LEN(I5610)-FIND("*",I5610)),"-")</f>
        <v>-</v>
      </c>
      <c r="W5611" s="20" t="str">
        <f t="shared" ref="W5611:W5618" si="3052">IFERROR((U5611+V5611)*2/1000,"-")</f>
        <v>-</v>
      </c>
      <c r="X5611" s="20" t="str">
        <f>IFERROR(W5611*J5610,"-")</f>
        <v>-</v>
      </c>
      <c r="Z5611" s="85" t="s">
        <v>82</v>
      </c>
    </row>
    <row r="5612" spans="1:26" ht="6.95" customHeight="1" x14ac:dyDescent="0.3">
      <c r="A5612" s="154"/>
      <c r="B5612" s="157"/>
      <c r="C5612" s="158"/>
      <c r="D5612" s="161"/>
      <c r="E5612" s="162"/>
      <c r="F5612" s="163"/>
      <c r="G5612" s="164"/>
      <c r="H5612" s="165"/>
      <c r="I5612" s="164"/>
      <c r="J5612" s="165"/>
      <c r="K5612" s="164"/>
      <c r="L5612" s="165"/>
      <c r="M5612" s="6"/>
      <c r="N5612" s="32"/>
      <c r="Q5612" s="10" t="str">
        <f>+CONCATENATE(E5610,K5610)</f>
        <v/>
      </c>
      <c r="R5612" s="10">
        <f>+L5610</f>
        <v>0</v>
      </c>
      <c r="S5612" s="11"/>
      <c r="T5612" s="10">
        <f>+E5610</f>
        <v>0</v>
      </c>
      <c r="U5612" s="19" t="str">
        <f>IFERROR(LEFT(K5610,FIND("*",K5610)-1),"-")</f>
        <v>-</v>
      </c>
      <c r="V5612" s="19" t="str">
        <f>IFERROR(RIGHT(K5610,LEN(K5610)-FIND("*",K5610)),"-")</f>
        <v>-</v>
      </c>
      <c r="W5612" s="20" t="str">
        <f t="shared" si="3052"/>
        <v>-</v>
      </c>
      <c r="X5612" s="20" t="str">
        <f>IFERROR(W5612*L5610,"-")</f>
        <v>-</v>
      </c>
      <c r="Z5612" s="85" t="s">
        <v>82</v>
      </c>
    </row>
    <row r="5613" spans="1:26" ht="6.95" customHeight="1" x14ac:dyDescent="0.3">
      <c r="A5613" s="8"/>
      <c r="B5613" s="157"/>
      <c r="C5613" s="158"/>
      <c r="D5613" s="161" t="s">
        <v>39</v>
      </c>
      <c r="E5613" s="162"/>
      <c r="F5613" s="163" t="s">
        <v>40</v>
      </c>
      <c r="G5613" s="164"/>
      <c r="H5613" s="165"/>
      <c r="I5613" s="164"/>
      <c r="J5613" s="165"/>
      <c r="K5613" s="164"/>
      <c r="L5613" s="165"/>
      <c r="M5613" s="6"/>
      <c r="N5613" s="32"/>
      <c r="Q5613" s="10" t="str">
        <f>+CONCATENATE(E5613,G5613)</f>
        <v/>
      </c>
      <c r="R5613" s="10">
        <f>+H5613</f>
        <v>0</v>
      </c>
      <c r="S5613" s="11"/>
      <c r="T5613" s="10">
        <f>+E5613</f>
        <v>0</v>
      </c>
      <c r="U5613" s="19" t="str">
        <f t="shared" ref="U5613" si="3053">IFERROR(LEFT(G5613,FIND("*",G5613)-1),"-")</f>
        <v>-</v>
      </c>
      <c r="V5613" s="19" t="str">
        <f t="shared" ref="V5613" si="3054">IFERROR(RIGHT(G5613,LEN(G5613)-FIND("*",G5613)),"-")</f>
        <v>-</v>
      </c>
      <c r="W5613" s="20" t="str">
        <f t="shared" si="3052"/>
        <v>-</v>
      </c>
      <c r="X5613" s="20" t="str">
        <f>IFERROR(W5613*H5613,"-")</f>
        <v>-</v>
      </c>
      <c r="Z5613" s="85" t="s">
        <v>82</v>
      </c>
    </row>
    <row r="5614" spans="1:26" ht="6.95" customHeight="1" x14ac:dyDescent="0.3">
      <c r="A5614" s="5"/>
      <c r="B5614" s="157"/>
      <c r="C5614" s="158"/>
      <c r="D5614" s="161"/>
      <c r="E5614" s="162"/>
      <c r="F5614" s="163"/>
      <c r="G5614" s="164"/>
      <c r="H5614" s="165"/>
      <c r="I5614" s="164"/>
      <c r="J5614" s="165"/>
      <c r="K5614" s="164"/>
      <c r="L5614" s="165"/>
      <c r="M5614" s="6"/>
      <c r="N5614" s="32"/>
      <c r="Q5614" s="10" t="str">
        <f>+CONCATENATE(E5613,I5613)</f>
        <v/>
      </c>
      <c r="R5614" s="10">
        <f>+J5613</f>
        <v>0</v>
      </c>
      <c r="S5614" s="11"/>
      <c r="T5614" s="10">
        <f>+E5613</f>
        <v>0</v>
      </c>
      <c r="U5614" s="19" t="str">
        <f>IFERROR(LEFT(I5613,FIND("*",I5613)-1),"-")</f>
        <v>-</v>
      </c>
      <c r="V5614" s="19" t="str">
        <f>IFERROR(RIGHT(I5613,LEN(I5613)-FIND("*",I5613)),"-")</f>
        <v>-</v>
      </c>
      <c r="W5614" s="20" t="str">
        <f t="shared" si="3052"/>
        <v>-</v>
      </c>
      <c r="X5614" s="20" t="str">
        <f>IFERROR(W5614*J5613,"-")</f>
        <v>-</v>
      </c>
      <c r="Z5614" s="85" t="s">
        <v>82</v>
      </c>
    </row>
    <row r="5615" spans="1:26" ht="6.95" customHeight="1" x14ac:dyDescent="0.3">
      <c r="A5615" s="5"/>
      <c r="B5615" s="157"/>
      <c r="C5615" s="158"/>
      <c r="D5615" s="161"/>
      <c r="E5615" s="162"/>
      <c r="F5615" s="163"/>
      <c r="G5615" s="164"/>
      <c r="H5615" s="165"/>
      <c r="I5615" s="164"/>
      <c r="J5615" s="165"/>
      <c r="K5615" s="164"/>
      <c r="L5615" s="165"/>
      <c r="M5615" s="6"/>
      <c r="N5615" s="32"/>
      <c r="Q5615" s="10" t="str">
        <f>+CONCATENATE(E5613,K5613)</f>
        <v/>
      </c>
      <c r="R5615" s="10">
        <f>+L5613</f>
        <v>0</v>
      </c>
      <c r="S5615" s="11"/>
      <c r="T5615" s="10">
        <f>+E5613</f>
        <v>0</v>
      </c>
      <c r="U5615" s="19" t="str">
        <f>IFERROR(LEFT(K5613,FIND("*",K5613)-1),"-")</f>
        <v>-</v>
      </c>
      <c r="V5615" s="19" t="str">
        <f>IFERROR(RIGHT(K5613,LEN(K5613)-FIND("*",K5613)),"-")</f>
        <v>-</v>
      </c>
      <c r="W5615" s="20" t="str">
        <f t="shared" si="3052"/>
        <v>-</v>
      </c>
      <c r="X5615" s="20" t="str">
        <f>IFERROR(W5615*L5613,"-")</f>
        <v>-</v>
      </c>
      <c r="Z5615" s="85" t="s">
        <v>82</v>
      </c>
    </row>
    <row r="5616" spans="1:26" ht="6.95" customHeight="1" x14ac:dyDescent="0.3">
      <c r="A5616" s="8"/>
      <c r="B5616" s="157"/>
      <c r="C5616" s="158"/>
      <c r="D5616" s="161" t="s">
        <v>39</v>
      </c>
      <c r="E5616" s="162"/>
      <c r="F5616" s="163" t="s">
        <v>40</v>
      </c>
      <c r="G5616" s="164"/>
      <c r="H5616" s="165"/>
      <c r="I5616" s="164"/>
      <c r="J5616" s="165"/>
      <c r="K5616" s="164"/>
      <c r="L5616" s="165"/>
      <c r="M5616" s="6"/>
      <c r="N5616" s="32"/>
      <c r="Q5616" s="10" t="str">
        <f>+CONCATENATE(E5616,G5616)</f>
        <v/>
      </c>
      <c r="R5616" s="10">
        <f>+H5616</f>
        <v>0</v>
      </c>
      <c r="S5616" s="11"/>
      <c r="T5616" s="10">
        <f>+E5616</f>
        <v>0</v>
      </c>
      <c r="U5616" s="19" t="str">
        <f t="shared" ref="U5616" si="3055">IFERROR(LEFT(G5616,FIND("*",G5616)-1),"-")</f>
        <v>-</v>
      </c>
      <c r="V5616" s="19" t="str">
        <f t="shared" ref="V5616" si="3056">IFERROR(RIGHT(G5616,LEN(G5616)-FIND("*",G5616)),"-")</f>
        <v>-</v>
      </c>
      <c r="W5616" s="20" t="str">
        <f t="shared" si="3052"/>
        <v>-</v>
      </c>
      <c r="X5616" s="20" t="str">
        <f>IFERROR(W5616*H5616,"-")</f>
        <v>-</v>
      </c>
      <c r="Z5616" s="85" t="s">
        <v>82</v>
      </c>
    </row>
    <row r="5617" spans="1:26" ht="6.95" customHeight="1" x14ac:dyDescent="0.3">
      <c r="A5617" s="5"/>
      <c r="B5617" s="157"/>
      <c r="C5617" s="158"/>
      <c r="D5617" s="161"/>
      <c r="E5617" s="162"/>
      <c r="F5617" s="163"/>
      <c r="G5617" s="164"/>
      <c r="H5617" s="165"/>
      <c r="I5617" s="164"/>
      <c r="J5617" s="165"/>
      <c r="K5617" s="164"/>
      <c r="L5617" s="165"/>
      <c r="M5617" s="6"/>
      <c r="N5617" s="32"/>
      <c r="Q5617" s="10" t="str">
        <f>+CONCATENATE(E5616,I5616)</f>
        <v/>
      </c>
      <c r="R5617" s="10">
        <f>+J5616</f>
        <v>0</v>
      </c>
      <c r="S5617" s="11"/>
      <c r="T5617" s="10">
        <f>+E5616</f>
        <v>0</v>
      </c>
      <c r="U5617" s="19" t="str">
        <f>IFERROR(LEFT(I5616,FIND("*",I5616)-1),"-")</f>
        <v>-</v>
      </c>
      <c r="V5617" s="19" t="str">
        <f>IFERROR(RIGHT(I5616,LEN(I5616)-FIND("*",I5616)),"-")</f>
        <v>-</v>
      </c>
      <c r="W5617" s="20" t="str">
        <f t="shared" si="3052"/>
        <v>-</v>
      </c>
      <c r="X5617" s="20" t="str">
        <f t="shared" ref="X5617" si="3057">IFERROR(W5617*J5616,"-")</f>
        <v>-</v>
      </c>
      <c r="Z5617" s="85" t="s">
        <v>82</v>
      </c>
    </row>
    <row r="5618" spans="1:26" ht="6.95" customHeight="1" x14ac:dyDescent="0.3">
      <c r="A5618" s="5"/>
      <c r="B5618" s="157"/>
      <c r="C5618" s="158"/>
      <c r="D5618" s="161"/>
      <c r="E5618" s="162"/>
      <c r="F5618" s="163"/>
      <c r="G5618" s="164"/>
      <c r="H5618" s="165"/>
      <c r="I5618" s="164"/>
      <c r="J5618" s="165"/>
      <c r="K5618" s="164"/>
      <c r="L5618" s="165"/>
      <c r="M5618" s="6"/>
      <c r="N5618" s="32"/>
      <c r="Q5618" s="10" t="str">
        <f>+CONCATENATE(E5616,K5616)</f>
        <v/>
      </c>
      <c r="R5618" s="10">
        <f>+L5616</f>
        <v>0</v>
      </c>
      <c r="S5618" s="11"/>
      <c r="T5618" s="10">
        <f>+E5616</f>
        <v>0</v>
      </c>
      <c r="U5618" s="19" t="str">
        <f>IFERROR(LEFT(K5616,FIND("*",K5616)-1),"-")</f>
        <v>-</v>
      </c>
      <c r="V5618" s="19" t="str">
        <f>IFERROR(RIGHT(K5616,LEN(K5616)-FIND("*",K5616)),"-")</f>
        <v>-</v>
      </c>
      <c r="W5618" s="20" t="str">
        <f t="shared" si="3052"/>
        <v>-</v>
      </c>
      <c r="X5618" s="20" t="str">
        <f>IFERROR(W5618*L5616,"-")</f>
        <v>-</v>
      </c>
      <c r="Z5618" s="85" t="s">
        <v>82</v>
      </c>
    </row>
    <row r="5619" spans="1:26" ht="21" customHeight="1" thickBot="1" x14ac:dyDescent="0.35">
      <c r="A5619" s="5"/>
      <c r="B5619" s="159"/>
      <c r="C5619" s="160"/>
      <c r="D5619" s="166" t="s">
        <v>43</v>
      </c>
      <c r="E5619" s="167"/>
      <c r="F5619" s="167"/>
      <c r="G5619" s="168"/>
      <c r="H5619" s="168"/>
      <c r="I5619" s="168"/>
      <c r="J5619" s="168"/>
      <c r="K5619" s="168"/>
      <c r="L5619" s="168"/>
      <c r="M5619" s="7"/>
      <c r="N5619" s="32"/>
      <c r="Z5619" s="86" t="s">
        <v>81</v>
      </c>
    </row>
    <row r="5620" spans="1:26" ht="9.9499999999999993" customHeight="1" thickBot="1" x14ac:dyDescent="0.35">
      <c r="B5620" s="9"/>
      <c r="C5620" s="109"/>
      <c r="D5620" s="51"/>
      <c r="E5620" s="12"/>
      <c r="F5620" s="51"/>
      <c r="G5620" s="14"/>
      <c r="H5620" s="14"/>
      <c r="I5620" s="14"/>
      <c r="J5620" s="14"/>
      <c r="K5620" s="14"/>
      <c r="L5620" s="14"/>
      <c r="M5620" s="9"/>
      <c r="N5620" s="32"/>
      <c r="U5620" s="18"/>
      <c r="V5620" s="18"/>
      <c r="Z5620" s="85" t="s">
        <v>82</v>
      </c>
    </row>
    <row r="5621" spans="1:26" ht="6.95" customHeight="1" x14ac:dyDescent="0.3">
      <c r="A5621" s="154">
        <f>+A5610+1</f>
        <v>1310</v>
      </c>
      <c r="B5621" s="155"/>
      <c r="C5621" s="156"/>
      <c r="D5621" s="161" t="s">
        <v>39</v>
      </c>
      <c r="E5621" s="162"/>
      <c r="F5621" s="163" t="s">
        <v>40</v>
      </c>
      <c r="G5621" s="164"/>
      <c r="H5621" s="165"/>
      <c r="I5621" s="164"/>
      <c r="J5621" s="165"/>
      <c r="K5621" s="164"/>
      <c r="L5621" s="165"/>
      <c r="M5621" s="6"/>
      <c r="N5621" s="32"/>
      <c r="Q5621" s="10" t="str">
        <f>+CONCATENATE(E5621,G5621)</f>
        <v/>
      </c>
      <c r="R5621" s="10">
        <f>+H5621</f>
        <v>0</v>
      </c>
      <c r="S5621" s="11"/>
      <c r="T5621" s="10">
        <f>+E5621</f>
        <v>0</v>
      </c>
      <c r="U5621" s="19" t="str">
        <f>IFERROR(LEFT(G5621,FIND("*",G5621)-1),"-")</f>
        <v>-</v>
      </c>
      <c r="V5621" s="19" t="str">
        <f>IFERROR(RIGHT(G5621,LEN(G5621)-FIND("*",G5621)),"-")</f>
        <v>-</v>
      </c>
      <c r="W5621" s="20" t="str">
        <f>IFERROR((U5621+V5621)*2/1000,"-")</f>
        <v>-</v>
      </c>
      <c r="X5621" s="20" t="str">
        <f>IFERROR(W5621*H5621,"-")</f>
        <v>-</v>
      </c>
      <c r="Z5621" s="85" t="s">
        <v>82</v>
      </c>
    </row>
    <row r="5622" spans="1:26" ht="6.95" customHeight="1" x14ac:dyDescent="0.3">
      <c r="A5622" s="154"/>
      <c r="B5622" s="157"/>
      <c r="C5622" s="158"/>
      <c r="D5622" s="161"/>
      <c r="E5622" s="162"/>
      <c r="F5622" s="163"/>
      <c r="G5622" s="164"/>
      <c r="H5622" s="165"/>
      <c r="I5622" s="164"/>
      <c r="J5622" s="165"/>
      <c r="K5622" s="164"/>
      <c r="L5622" s="165"/>
      <c r="M5622" s="6"/>
      <c r="N5622" s="32"/>
      <c r="Q5622" s="10" t="str">
        <f>+CONCATENATE(E5621,I5621)</f>
        <v/>
      </c>
      <c r="R5622" s="10">
        <f>+J5621</f>
        <v>0</v>
      </c>
      <c r="S5622" s="11"/>
      <c r="T5622" s="10">
        <f>+E5621</f>
        <v>0</v>
      </c>
      <c r="U5622" s="19" t="str">
        <f>IFERROR(LEFT(I5621,FIND("*",I5621)-1),"-")</f>
        <v>-</v>
      </c>
      <c r="V5622" s="19" t="str">
        <f>IFERROR(RIGHT(I5621,LEN(I5621)-FIND("*",I5621)),"-")</f>
        <v>-</v>
      </c>
      <c r="W5622" s="20" t="str">
        <f t="shared" ref="W5622:W5629" si="3058">IFERROR((U5622+V5622)*2/1000,"-")</f>
        <v>-</v>
      </c>
      <c r="X5622" s="20" t="str">
        <f>IFERROR(W5622*J5621,"-")</f>
        <v>-</v>
      </c>
      <c r="Z5622" s="85" t="s">
        <v>82</v>
      </c>
    </row>
    <row r="5623" spans="1:26" ht="6.95" customHeight="1" x14ac:dyDescent="0.3">
      <c r="A5623" s="154"/>
      <c r="B5623" s="157"/>
      <c r="C5623" s="158"/>
      <c r="D5623" s="161"/>
      <c r="E5623" s="162"/>
      <c r="F5623" s="163"/>
      <c r="G5623" s="164"/>
      <c r="H5623" s="165"/>
      <c r="I5623" s="164"/>
      <c r="J5623" s="165"/>
      <c r="K5623" s="164"/>
      <c r="L5623" s="165"/>
      <c r="M5623" s="6"/>
      <c r="N5623" s="32"/>
      <c r="Q5623" s="10" t="str">
        <f>+CONCATENATE(E5621,K5621)</f>
        <v/>
      </c>
      <c r="R5623" s="10">
        <f>+L5621</f>
        <v>0</v>
      </c>
      <c r="S5623" s="11"/>
      <c r="T5623" s="10">
        <f>+E5621</f>
        <v>0</v>
      </c>
      <c r="U5623" s="19" t="str">
        <f>IFERROR(LEFT(K5621,FIND("*",K5621)-1),"-")</f>
        <v>-</v>
      </c>
      <c r="V5623" s="19" t="str">
        <f>IFERROR(RIGHT(K5621,LEN(K5621)-FIND("*",K5621)),"-")</f>
        <v>-</v>
      </c>
      <c r="W5623" s="20" t="str">
        <f t="shared" si="3058"/>
        <v>-</v>
      </c>
      <c r="X5623" s="20" t="str">
        <f>IFERROR(W5623*L5621,"-")</f>
        <v>-</v>
      </c>
      <c r="Z5623" s="85" t="s">
        <v>82</v>
      </c>
    </row>
    <row r="5624" spans="1:26" ht="6.95" customHeight="1" x14ac:dyDescent="0.3">
      <c r="A5624" s="8"/>
      <c r="B5624" s="157"/>
      <c r="C5624" s="158"/>
      <c r="D5624" s="161" t="s">
        <v>39</v>
      </c>
      <c r="E5624" s="162"/>
      <c r="F5624" s="163" t="s">
        <v>40</v>
      </c>
      <c r="G5624" s="164"/>
      <c r="H5624" s="165"/>
      <c r="I5624" s="164"/>
      <c r="J5624" s="165"/>
      <c r="K5624" s="164"/>
      <c r="L5624" s="165"/>
      <c r="M5624" s="6"/>
      <c r="N5624" s="32"/>
      <c r="Q5624" s="10" t="str">
        <f>+CONCATENATE(E5624,G5624)</f>
        <v/>
      </c>
      <c r="R5624" s="10">
        <f>+H5624</f>
        <v>0</v>
      </c>
      <c r="S5624" s="11"/>
      <c r="T5624" s="10">
        <f>+E5624</f>
        <v>0</v>
      </c>
      <c r="U5624" s="19" t="str">
        <f t="shared" ref="U5624" si="3059">IFERROR(LEFT(G5624,FIND("*",G5624)-1),"-")</f>
        <v>-</v>
      </c>
      <c r="V5624" s="19" t="str">
        <f t="shared" ref="V5624" si="3060">IFERROR(RIGHT(G5624,LEN(G5624)-FIND("*",G5624)),"-")</f>
        <v>-</v>
      </c>
      <c r="W5624" s="20" t="str">
        <f t="shared" si="3058"/>
        <v>-</v>
      </c>
      <c r="X5624" s="20" t="str">
        <f>IFERROR(W5624*H5624,"-")</f>
        <v>-</v>
      </c>
      <c r="Z5624" s="85" t="s">
        <v>82</v>
      </c>
    </row>
    <row r="5625" spans="1:26" ht="6.95" customHeight="1" x14ac:dyDescent="0.3">
      <c r="A5625" s="5"/>
      <c r="B5625" s="157"/>
      <c r="C5625" s="158"/>
      <c r="D5625" s="161"/>
      <c r="E5625" s="162"/>
      <c r="F5625" s="163"/>
      <c r="G5625" s="164"/>
      <c r="H5625" s="165"/>
      <c r="I5625" s="164"/>
      <c r="J5625" s="165"/>
      <c r="K5625" s="164"/>
      <c r="L5625" s="165"/>
      <c r="M5625" s="6"/>
      <c r="N5625" s="32"/>
      <c r="Q5625" s="10" t="str">
        <f>+CONCATENATE(E5624,I5624)</f>
        <v/>
      </c>
      <c r="R5625" s="10">
        <f>+J5624</f>
        <v>0</v>
      </c>
      <c r="S5625" s="11"/>
      <c r="T5625" s="10">
        <f>+E5624</f>
        <v>0</v>
      </c>
      <c r="U5625" s="19" t="str">
        <f>IFERROR(LEFT(I5624,FIND("*",I5624)-1),"-")</f>
        <v>-</v>
      </c>
      <c r="V5625" s="19" t="str">
        <f>IFERROR(RIGHT(I5624,LEN(I5624)-FIND("*",I5624)),"-")</f>
        <v>-</v>
      </c>
      <c r="W5625" s="20" t="str">
        <f t="shared" si="3058"/>
        <v>-</v>
      </c>
      <c r="X5625" s="20" t="str">
        <f>IFERROR(W5625*J5624,"-")</f>
        <v>-</v>
      </c>
      <c r="Z5625" s="85" t="s">
        <v>82</v>
      </c>
    </row>
    <row r="5626" spans="1:26" ht="6.95" customHeight="1" x14ac:dyDescent="0.3">
      <c r="A5626" s="5"/>
      <c r="B5626" s="157"/>
      <c r="C5626" s="158"/>
      <c r="D5626" s="161"/>
      <c r="E5626" s="162"/>
      <c r="F5626" s="163"/>
      <c r="G5626" s="164"/>
      <c r="H5626" s="165"/>
      <c r="I5626" s="164"/>
      <c r="J5626" s="165"/>
      <c r="K5626" s="164"/>
      <c r="L5626" s="165"/>
      <c r="M5626" s="6"/>
      <c r="N5626" s="32"/>
      <c r="Q5626" s="10" t="str">
        <f>+CONCATENATE(E5624,K5624)</f>
        <v/>
      </c>
      <c r="R5626" s="10">
        <f>+L5624</f>
        <v>0</v>
      </c>
      <c r="S5626" s="11"/>
      <c r="T5626" s="10">
        <f>+E5624</f>
        <v>0</v>
      </c>
      <c r="U5626" s="19" t="str">
        <f>IFERROR(LEFT(K5624,FIND("*",K5624)-1),"-")</f>
        <v>-</v>
      </c>
      <c r="V5626" s="19" t="str">
        <f>IFERROR(RIGHT(K5624,LEN(K5624)-FIND("*",K5624)),"-")</f>
        <v>-</v>
      </c>
      <c r="W5626" s="20" t="str">
        <f t="shared" si="3058"/>
        <v>-</v>
      </c>
      <c r="X5626" s="20" t="str">
        <f>IFERROR(W5626*L5624,"-")</f>
        <v>-</v>
      </c>
      <c r="Z5626" s="85" t="s">
        <v>82</v>
      </c>
    </row>
    <row r="5627" spans="1:26" ht="6.95" customHeight="1" x14ac:dyDescent="0.3">
      <c r="A5627" s="8"/>
      <c r="B5627" s="157"/>
      <c r="C5627" s="158"/>
      <c r="D5627" s="161" t="s">
        <v>39</v>
      </c>
      <c r="E5627" s="162"/>
      <c r="F5627" s="163" t="s">
        <v>40</v>
      </c>
      <c r="G5627" s="164"/>
      <c r="H5627" s="165"/>
      <c r="I5627" s="164"/>
      <c r="J5627" s="165"/>
      <c r="K5627" s="164"/>
      <c r="L5627" s="165"/>
      <c r="M5627" s="6"/>
      <c r="N5627" s="32"/>
      <c r="Q5627" s="10" t="str">
        <f>+CONCATENATE(E5627,G5627)</f>
        <v/>
      </c>
      <c r="R5627" s="10">
        <f>+H5627</f>
        <v>0</v>
      </c>
      <c r="S5627" s="11"/>
      <c r="T5627" s="10">
        <f>+E5627</f>
        <v>0</v>
      </c>
      <c r="U5627" s="19" t="str">
        <f t="shared" ref="U5627" si="3061">IFERROR(LEFT(G5627,FIND("*",G5627)-1),"-")</f>
        <v>-</v>
      </c>
      <c r="V5627" s="19" t="str">
        <f t="shared" ref="V5627" si="3062">IFERROR(RIGHT(G5627,LEN(G5627)-FIND("*",G5627)),"-")</f>
        <v>-</v>
      </c>
      <c r="W5627" s="20" t="str">
        <f t="shared" si="3058"/>
        <v>-</v>
      </c>
      <c r="X5627" s="20" t="str">
        <f>IFERROR(W5627*H5627,"-")</f>
        <v>-</v>
      </c>
      <c r="Z5627" s="85" t="s">
        <v>82</v>
      </c>
    </row>
    <row r="5628" spans="1:26" ht="6.95" customHeight="1" x14ac:dyDescent="0.3">
      <c r="A5628" s="5"/>
      <c r="B5628" s="157"/>
      <c r="C5628" s="158"/>
      <c r="D5628" s="161"/>
      <c r="E5628" s="162"/>
      <c r="F5628" s="163"/>
      <c r="G5628" s="164"/>
      <c r="H5628" s="165"/>
      <c r="I5628" s="164"/>
      <c r="J5628" s="165"/>
      <c r="K5628" s="164"/>
      <c r="L5628" s="165"/>
      <c r="M5628" s="6"/>
      <c r="N5628" s="32"/>
      <c r="Q5628" s="10" t="str">
        <f>+CONCATENATE(E5627,I5627)</f>
        <v/>
      </c>
      <c r="R5628" s="10">
        <f>+J5627</f>
        <v>0</v>
      </c>
      <c r="S5628" s="11"/>
      <c r="T5628" s="10">
        <f>+E5627</f>
        <v>0</v>
      </c>
      <c r="U5628" s="19" t="str">
        <f>IFERROR(LEFT(I5627,FIND("*",I5627)-1),"-")</f>
        <v>-</v>
      </c>
      <c r="V5628" s="19" t="str">
        <f>IFERROR(RIGHT(I5627,LEN(I5627)-FIND("*",I5627)),"-")</f>
        <v>-</v>
      </c>
      <c r="W5628" s="20" t="str">
        <f t="shared" si="3058"/>
        <v>-</v>
      </c>
      <c r="X5628" s="20" t="str">
        <f t="shared" ref="X5628" si="3063">IFERROR(W5628*J5627,"-")</f>
        <v>-</v>
      </c>
      <c r="Z5628" s="85" t="s">
        <v>82</v>
      </c>
    </row>
    <row r="5629" spans="1:26" ht="6.95" customHeight="1" x14ac:dyDescent="0.3">
      <c r="A5629" s="5"/>
      <c r="B5629" s="157"/>
      <c r="C5629" s="158"/>
      <c r="D5629" s="161"/>
      <c r="E5629" s="162"/>
      <c r="F5629" s="163"/>
      <c r="G5629" s="164"/>
      <c r="H5629" s="165"/>
      <c r="I5629" s="164"/>
      <c r="J5629" s="165"/>
      <c r="K5629" s="164"/>
      <c r="L5629" s="165"/>
      <c r="M5629" s="6"/>
      <c r="N5629" s="32"/>
      <c r="Q5629" s="10" t="str">
        <f>+CONCATENATE(E5627,K5627)</f>
        <v/>
      </c>
      <c r="R5629" s="10">
        <f>+L5627</f>
        <v>0</v>
      </c>
      <c r="S5629" s="11"/>
      <c r="T5629" s="10">
        <f>+E5627</f>
        <v>0</v>
      </c>
      <c r="U5629" s="19" t="str">
        <f>IFERROR(LEFT(K5627,FIND("*",K5627)-1),"-")</f>
        <v>-</v>
      </c>
      <c r="V5629" s="19" t="str">
        <f>IFERROR(RIGHT(K5627,LEN(K5627)-FIND("*",K5627)),"-")</f>
        <v>-</v>
      </c>
      <c r="W5629" s="20" t="str">
        <f t="shared" si="3058"/>
        <v>-</v>
      </c>
      <c r="X5629" s="20" t="str">
        <f>IFERROR(W5629*L5627,"-")</f>
        <v>-</v>
      </c>
      <c r="Z5629" s="85" t="s">
        <v>82</v>
      </c>
    </row>
    <row r="5630" spans="1:26" ht="21" customHeight="1" thickBot="1" x14ac:dyDescent="0.35">
      <c r="A5630" s="5"/>
      <c r="B5630" s="159"/>
      <c r="C5630" s="160"/>
      <c r="D5630" s="166" t="s">
        <v>43</v>
      </c>
      <c r="E5630" s="167"/>
      <c r="F5630" s="167"/>
      <c r="G5630" s="168"/>
      <c r="H5630" s="168"/>
      <c r="I5630" s="168"/>
      <c r="J5630" s="168"/>
      <c r="K5630" s="168"/>
      <c r="L5630" s="168"/>
      <c r="M5630" s="7"/>
      <c r="N5630" s="32"/>
      <c r="Z5630" s="86" t="s">
        <v>81</v>
      </c>
    </row>
    <row r="5631" spans="1:26" ht="9.9499999999999993" customHeight="1" x14ac:dyDescent="0.3">
      <c r="B5631" s="9"/>
      <c r="C5631" s="109"/>
      <c r="D5631" s="51"/>
      <c r="E5631" s="12"/>
      <c r="F5631" s="51"/>
      <c r="G5631" s="14"/>
      <c r="H5631" s="14"/>
      <c r="I5631" s="14"/>
      <c r="J5631" s="14"/>
      <c r="K5631" s="14"/>
      <c r="L5631" s="14"/>
      <c r="M5631" s="9"/>
      <c r="N5631" s="32"/>
      <c r="U5631" s="18"/>
      <c r="V5631" s="18"/>
    </row>
  </sheetData>
  <mergeCells count="15829">
    <mergeCell ref="F2350:F2352"/>
    <mergeCell ref="G2350:G2352"/>
    <mergeCell ref="H2350:H2352"/>
    <mergeCell ref="I2350:I2352"/>
    <mergeCell ref="J2350:J2352"/>
    <mergeCell ref="K2350:K2352"/>
    <mergeCell ref="L2350:L2352"/>
    <mergeCell ref="D4334:D4336"/>
    <mergeCell ref="E4334:E4336"/>
    <mergeCell ref="F4334:F4336"/>
    <mergeCell ref="G4334:G4336"/>
    <mergeCell ref="H4334:H4336"/>
    <mergeCell ref="I4334:I4336"/>
    <mergeCell ref="J4334:J4336"/>
    <mergeCell ref="K4334:K4336"/>
    <mergeCell ref="L4334:L4336"/>
    <mergeCell ref="D4323:D4325"/>
    <mergeCell ref="E4323:E4325"/>
    <mergeCell ref="F4323:F4325"/>
    <mergeCell ref="G4323:G4325"/>
    <mergeCell ref="H4323:H4325"/>
    <mergeCell ref="I4323:I4325"/>
    <mergeCell ref="J4323:J4325"/>
    <mergeCell ref="K4323:K4325"/>
    <mergeCell ref="L4323:L4325"/>
    <mergeCell ref="A4334:A4336"/>
    <mergeCell ref="B4334:C4343"/>
    <mergeCell ref="D4351:D4353"/>
    <mergeCell ref="E4351:E4353"/>
    <mergeCell ref="F4351:F4353"/>
    <mergeCell ref="G4351:G4353"/>
    <mergeCell ref="H4351:H4353"/>
    <mergeCell ref="I4351:I4353"/>
    <mergeCell ref="J4351:J4353"/>
    <mergeCell ref="K4351:K4353"/>
    <mergeCell ref="L4351:L4353"/>
    <mergeCell ref="D4340:D4342"/>
    <mergeCell ref="E4340:E4342"/>
    <mergeCell ref="F4340:F4342"/>
    <mergeCell ref="G4340:G4342"/>
    <mergeCell ref="H4340:H4342"/>
    <mergeCell ref="I4340:I4342"/>
    <mergeCell ref="J4340:J4342"/>
    <mergeCell ref="K4340:K4342"/>
    <mergeCell ref="L4340:L4342"/>
    <mergeCell ref="D4337:D4339"/>
    <mergeCell ref="E4337:E4339"/>
    <mergeCell ref="F4337:F4339"/>
    <mergeCell ref="G4337:G4339"/>
    <mergeCell ref="H4337:H4339"/>
    <mergeCell ref="I4337:I4339"/>
    <mergeCell ref="J4337:J4339"/>
    <mergeCell ref="K4337:K4339"/>
    <mergeCell ref="L4337:L4339"/>
    <mergeCell ref="D4343:F4343"/>
    <mergeCell ref="G4343:L4343"/>
    <mergeCell ref="A4345:A4347"/>
    <mergeCell ref="B4345:C4354"/>
    <mergeCell ref="D4345:D4347"/>
    <mergeCell ref="E4345:E4347"/>
    <mergeCell ref="F4345:F4347"/>
    <mergeCell ref="G4345:G4347"/>
    <mergeCell ref="H4345:H4347"/>
    <mergeCell ref="I4345:I4347"/>
    <mergeCell ref="J4345:J4347"/>
    <mergeCell ref="K4345:K4347"/>
    <mergeCell ref="L4345:L4347"/>
    <mergeCell ref="D4348:D4350"/>
    <mergeCell ref="E4348:E4350"/>
    <mergeCell ref="F4348:F4350"/>
    <mergeCell ref="G4348:G4350"/>
    <mergeCell ref="D4290:D4292"/>
    <mergeCell ref="E4290:E4292"/>
    <mergeCell ref="F4290:F4292"/>
    <mergeCell ref="G4290:G4292"/>
    <mergeCell ref="H4290:H4292"/>
    <mergeCell ref="I4290:I4292"/>
    <mergeCell ref="J4290:J4292"/>
    <mergeCell ref="K4290:K4292"/>
    <mergeCell ref="L4290:L4292"/>
    <mergeCell ref="D4279:D4281"/>
    <mergeCell ref="E4279:E4281"/>
    <mergeCell ref="F4279:F4281"/>
    <mergeCell ref="G4279:G4281"/>
    <mergeCell ref="H4279:H4281"/>
    <mergeCell ref="I4279:I4281"/>
    <mergeCell ref="J4279:J4281"/>
    <mergeCell ref="K4279:K4281"/>
    <mergeCell ref="L4279:L4281"/>
    <mergeCell ref="A4290:A4292"/>
    <mergeCell ref="B4290:C4299"/>
    <mergeCell ref="D4312:D4314"/>
    <mergeCell ref="E4312:E4314"/>
    <mergeCell ref="F4312:F4314"/>
    <mergeCell ref="G4312:G4314"/>
    <mergeCell ref="H4312:H4314"/>
    <mergeCell ref="I4312:I4314"/>
    <mergeCell ref="J4312:J4314"/>
    <mergeCell ref="K4312:K4314"/>
    <mergeCell ref="L4312:L4314"/>
    <mergeCell ref="D4301:D4303"/>
    <mergeCell ref="E4301:E4303"/>
    <mergeCell ref="F4301:F4303"/>
    <mergeCell ref="G4301:G4303"/>
    <mergeCell ref="H4301:H4303"/>
    <mergeCell ref="I4301:I4303"/>
    <mergeCell ref="J4301:J4303"/>
    <mergeCell ref="K4301:K4303"/>
    <mergeCell ref="L4301:L4303"/>
    <mergeCell ref="D4293:D4295"/>
    <mergeCell ref="E4293:E4295"/>
    <mergeCell ref="A4279:A4281"/>
    <mergeCell ref="B4279:C4288"/>
    <mergeCell ref="D4282:D4284"/>
    <mergeCell ref="E4282:E4284"/>
    <mergeCell ref="F4282:F4284"/>
    <mergeCell ref="G4282:G4284"/>
    <mergeCell ref="H4282:H4284"/>
    <mergeCell ref="I4282:I4284"/>
    <mergeCell ref="J4282:J4284"/>
    <mergeCell ref="K4282:K4284"/>
    <mergeCell ref="L4282:L4284"/>
    <mergeCell ref="D4285:D4287"/>
    <mergeCell ref="E4285:E4287"/>
    <mergeCell ref="F4285:F4287"/>
    <mergeCell ref="G4285:G4287"/>
    <mergeCell ref="H4285:H4287"/>
    <mergeCell ref="I4285:I4287"/>
    <mergeCell ref="J4285:J4287"/>
    <mergeCell ref="K4285:K4287"/>
    <mergeCell ref="L4285:L4287"/>
    <mergeCell ref="D4288:F4288"/>
    <mergeCell ref="G4288:L4288"/>
    <mergeCell ref="F4293:F4295"/>
    <mergeCell ref="G4293:G4295"/>
    <mergeCell ref="D4246:D4248"/>
    <mergeCell ref="E4246:E4248"/>
    <mergeCell ref="F4246:F4248"/>
    <mergeCell ref="G4246:G4248"/>
    <mergeCell ref="H4246:H4248"/>
    <mergeCell ref="I4246:I4248"/>
    <mergeCell ref="J4246:J4248"/>
    <mergeCell ref="K4246:K4248"/>
    <mergeCell ref="L4246:L4248"/>
    <mergeCell ref="D4235:D4237"/>
    <mergeCell ref="E4235:E4237"/>
    <mergeCell ref="F4235:F4237"/>
    <mergeCell ref="G4235:G4237"/>
    <mergeCell ref="H4235:H4237"/>
    <mergeCell ref="I4235:I4237"/>
    <mergeCell ref="J4235:J4237"/>
    <mergeCell ref="K4235:K4237"/>
    <mergeCell ref="L4235:L4237"/>
    <mergeCell ref="A4246:A4248"/>
    <mergeCell ref="D4268:D4270"/>
    <mergeCell ref="E4268:E4270"/>
    <mergeCell ref="F4268:F4270"/>
    <mergeCell ref="G4268:G4270"/>
    <mergeCell ref="H4268:H4270"/>
    <mergeCell ref="I4268:I4270"/>
    <mergeCell ref="J4268:J4270"/>
    <mergeCell ref="K4268:K4270"/>
    <mergeCell ref="L4268:L4270"/>
    <mergeCell ref="D4257:D4259"/>
    <mergeCell ref="E4257:E4259"/>
    <mergeCell ref="F4257:F4259"/>
    <mergeCell ref="G4257:G4259"/>
    <mergeCell ref="H4257:H4259"/>
    <mergeCell ref="I4257:I4259"/>
    <mergeCell ref="J4257:J4259"/>
    <mergeCell ref="K4257:K4259"/>
    <mergeCell ref="L4257:L4259"/>
    <mergeCell ref="B4246:C4255"/>
    <mergeCell ref="D4249:D4251"/>
    <mergeCell ref="E4249:E4251"/>
    <mergeCell ref="F4249:F4251"/>
    <mergeCell ref="G4249:G4251"/>
    <mergeCell ref="H4249:H4251"/>
    <mergeCell ref="I4249:I4251"/>
    <mergeCell ref="J4249:J4251"/>
    <mergeCell ref="K4249:K4251"/>
    <mergeCell ref="L4249:L4251"/>
    <mergeCell ref="D4252:D4254"/>
    <mergeCell ref="E4252:E4254"/>
    <mergeCell ref="F4252:F4254"/>
    <mergeCell ref="G4252:G4254"/>
    <mergeCell ref="H4252:H4254"/>
    <mergeCell ref="I4252:I4254"/>
    <mergeCell ref="J4252:J4254"/>
    <mergeCell ref="K4252:K4254"/>
    <mergeCell ref="L4252:L4254"/>
    <mergeCell ref="D4255:F4255"/>
    <mergeCell ref="G4255:L4255"/>
    <mergeCell ref="A4257:A4259"/>
    <mergeCell ref="B4257:C4266"/>
    <mergeCell ref="D4260:D4262"/>
    <mergeCell ref="E4260:E4262"/>
    <mergeCell ref="F4260:F4262"/>
    <mergeCell ref="G4260:G4262"/>
    <mergeCell ref="K4106:K4108"/>
    <mergeCell ref="L4106:L4108"/>
    <mergeCell ref="D4109:D4111"/>
    <mergeCell ref="E4109:E4111"/>
    <mergeCell ref="F4109:F4111"/>
    <mergeCell ref="G4109:G4111"/>
    <mergeCell ref="H4109:H4111"/>
    <mergeCell ref="I4109:I4111"/>
    <mergeCell ref="J4109:J4111"/>
    <mergeCell ref="K4109:K4111"/>
    <mergeCell ref="L4109:L4111"/>
    <mergeCell ref="D4095:D4097"/>
    <mergeCell ref="E4095:E4097"/>
    <mergeCell ref="F4095:F4097"/>
    <mergeCell ref="G4095:G4097"/>
    <mergeCell ref="H4095:H4097"/>
    <mergeCell ref="I4095:I4097"/>
    <mergeCell ref="J4095:J4097"/>
    <mergeCell ref="K4095:K4097"/>
    <mergeCell ref="L4095:L4097"/>
    <mergeCell ref="D4098:D4100"/>
    <mergeCell ref="E4098:E4100"/>
    <mergeCell ref="F4098:F4100"/>
    <mergeCell ref="G4098:G4100"/>
    <mergeCell ref="H4098:H4100"/>
    <mergeCell ref="I4098:I4100"/>
    <mergeCell ref="J4098:J4100"/>
    <mergeCell ref="K4098:K4100"/>
    <mergeCell ref="L4098:L4100"/>
    <mergeCell ref="A4114:A4116"/>
    <mergeCell ref="B4114:C4123"/>
    <mergeCell ref="A4136:A4138"/>
    <mergeCell ref="B4136:C4145"/>
    <mergeCell ref="D4136:D4138"/>
    <mergeCell ref="D4114:D4116"/>
    <mergeCell ref="E4114:E4116"/>
    <mergeCell ref="F4114:F4116"/>
    <mergeCell ref="G4114:G4116"/>
    <mergeCell ref="H4114:H4116"/>
    <mergeCell ref="I4114:I4116"/>
    <mergeCell ref="J4114:J4116"/>
    <mergeCell ref="K4114:K4116"/>
    <mergeCell ref="L4114:L4116"/>
    <mergeCell ref="D4117:D4119"/>
    <mergeCell ref="E4117:E4119"/>
    <mergeCell ref="F4117:F4119"/>
    <mergeCell ref="G4117:G4119"/>
    <mergeCell ref="H4117:H4119"/>
    <mergeCell ref="I4117:I4119"/>
    <mergeCell ref="J4117:J4119"/>
    <mergeCell ref="K4117:K4119"/>
    <mergeCell ref="L4117:L4119"/>
    <mergeCell ref="D4120:D4122"/>
    <mergeCell ref="E4120:E4122"/>
    <mergeCell ref="F4120:F4122"/>
    <mergeCell ref="G4120:G4122"/>
    <mergeCell ref="H4120:H4122"/>
    <mergeCell ref="I4120:I4122"/>
    <mergeCell ref="J4120:J4122"/>
    <mergeCell ref="K4120:K4122"/>
    <mergeCell ref="L4120:L4122"/>
    <mergeCell ref="D4123:F4123"/>
    <mergeCell ref="G4123:L4123"/>
    <mergeCell ref="A4125:A4127"/>
    <mergeCell ref="K4040:K4042"/>
    <mergeCell ref="L4040:L4042"/>
    <mergeCell ref="D4043:D4045"/>
    <mergeCell ref="E4043:E4045"/>
    <mergeCell ref="F4043:F4045"/>
    <mergeCell ref="G4043:G4045"/>
    <mergeCell ref="H4043:H4045"/>
    <mergeCell ref="I4043:I4045"/>
    <mergeCell ref="J4043:J4045"/>
    <mergeCell ref="K4043:K4045"/>
    <mergeCell ref="L4043:L4045"/>
    <mergeCell ref="D4029:D4031"/>
    <mergeCell ref="E4029:E4031"/>
    <mergeCell ref="F4029:F4031"/>
    <mergeCell ref="G4029:G4031"/>
    <mergeCell ref="H4029:H4031"/>
    <mergeCell ref="I4029:I4031"/>
    <mergeCell ref="J4029:J4031"/>
    <mergeCell ref="K4029:K4031"/>
    <mergeCell ref="L4029:L4031"/>
    <mergeCell ref="D4032:D4034"/>
    <mergeCell ref="E4032:E4034"/>
    <mergeCell ref="F4032:F4034"/>
    <mergeCell ref="G4032:G4034"/>
    <mergeCell ref="H4032:H4034"/>
    <mergeCell ref="I4032:I4034"/>
    <mergeCell ref="J4032:J4034"/>
    <mergeCell ref="K4032:K4034"/>
    <mergeCell ref="L4032:L4034"/>
    <mergeCell ref="A4048:A4050"/>
    <mergeCell ref="B4048:C4057"/>
    <mergeCell ref="D4062:D4064"/>
    <mergeCell ref="E4062:E4064"/>
    <mergeCell ref="F4062:F4064"/>
    <mergeCell ref="G4062:G4064"/>
    <mergeCell ref="H4062:H4064"/>
    <mergeCell ref="I4062:I4064"/>
    <mergeCell ref="J4062:J4064"/>
    <mergeCell ref="K4062:K4064"/>
    <mergeCell ref="L4062:L4064"/>
    <mergeCell ref="D4051:D4053"/>
    <mergeCell ref="E4051:E4053"/>
    <mergeCell ref="F4051:F4053"/>
    <mergeCell ref="G4051:G4053"/>
    <mergeCell ref="H4051:H4053"/>
    <mergeCell ref="I4051:I4053"/>
    <mergeCell ref="J4051:J4053"/>
    <mergeCell ref="K4051:K4053"/>
    <mergeCell ref="L4051:L4053"/>
    <mergeCell ref="D4054:D4056"/>
    <mergeCell ref="E4054:E4056"/>
    <mergeCell ref="F4054:F4056"/>
    <mergeCell ref="G4054:G4056"/>
    <mergeCell ref="H4054:H4056"/>
    <mergeCell ref="I4054:I4056"/>
    <mergeCell ref="J4054:J4056"/>
    <mergeCell ref="K4054:K4056"/>
    <mergeCell ref="I4048:I4050"/>
    <mergeCell ref="A3773:A3775"/>
    <mergeCell ref="B3773:C3782"/>
    <mergeCell ref="D3773:D3775"/>
    <mergeCell ref="E3773:E3775"/>
    <mergeCell ref="F3773:F3775"/>
    <mergeCell ref="G3773:G3775"/>
    <mergeCell ref="H3773:H3775"/>
    <mergeCell ref="I3773:I3775"/>
    <mergeCell ref="J3773:J3775"/>
    <mergeCell ref="K3773:K3775"/>
    <mergeCell ref="L3773:L3775"/>
    <mergeCell ref="D3776:D3778"/>
    <mergeCell ref="E3776:E3778"/>
    <mergeCell ref="F3776:F3778"/>
    <mergeCell ref="G3776:G3778"/>
    <mergeCell ref="H3776:H3778"/>
    <mergeCell ref="I3776:I3778"/>
    <mergeCell ref="J3776:J3778"/>
    <mergeCell ref="K3776:K3778"/>
    <mergeCell ref="L3776:L3778"/>
    <mergeCell ref="D3779:D3781"/>
    <mergeCell ref="E3779:E3781"/>
    <mergeCell ref="F3779:F3781"/>
    <mergeCell ref="G3779:G3781"/>
    <mergeCell ref="H3779:H3781"/>
    <mergeCell ref="I3779:I3781"/>
    <mergeCell ref="J3779:J3781"/>
    <mergeCell ref="K3779:K3781"/>
    <mergeCell ref="L3779:L3781"/>
    <mergeCell ref="D3782:F3782"/>
    <mergeCell ref="G3782:L3782"/>
    <mergeCell ref="B3795:C3804"/>
    <mergeCell ref="D3795:D3797"/>
    <mergeCell ref="E3795:E3797"/>
    <mergeCell ref="F3795:F3797"/>
    <mergeCell ref="G3795:G3797"/>
    <mergeCell ref="H3795:H3797"/>
    <mergeCell ref="I3795:I3797"/>
    <mergeCell ref="J3795:J3797"/>
    <mergeCell ref="K3795:K3797"/>
    <mergeCell ref="L3795:L3797"/>
    <mergeCell ref="D3798:D3800"/>
    <mergeCell ref="E3798:E3800"/>
    <mergeCell ref="F3798:F3800"/>
    <mergeCell ref="G3798:G3800"/>
    <mergeCell ref="H3798:H3800"/>
    <mergeCell ref="I3798:I3800"/>
    <mergeCell ref="J3798:J3800"/>
    <mergeCell ref="K3798:K3800"/>
    <mergeCell ref="L3798:L3800"/>
    <mergeCell ref="D3801:D3803"/>
    <mergeCell ref="E3801:E3803"/>
    <mergeCell ref="F3801:F3803"/>
    <mergeCell ref="G3801:G3803"/>
    <mergeCell ref="H3801:H3803"/>
    <mergeCell ref="I3801:I3803"/>
    <mergeCell ref="J3801:J3803"/>
    <mergeCell ref="A3762:A3764"/>
    <mergeCell ref="B3762:C3771"/>
    <mergeCell ref="D3762:D3764"/>
    <mergeCell ref="E3762:E3764"/>
    <mergeCell ref="F3762:F3764"/>
    <mergeCell ref="G3762:G3764"/>
    <mergeCell ref="H3762:H3764"/>
    <mergeCell ref="I3762:I3764"/>
    <mergeCell ref="J3762:J3764"/>
    <mergeCell ref="K3762:K3764"/>
    <mergeCell ref="L3762:L3764"/>
    <mergeCell ref="D3765:D3767"/>
    <mergeCell ref="E3765:E3767"/>
    <mergeCell ref="F3765:F3767"/>
    <mergeCell ref="G3765:G3767"/>
    <mergeCell ref="H3765:H3767"/>
    <mergeCell ref="I3765:I3767"/>
    <mergeCell ref="J3765:J3767"/>
    <mergeCell ref="K3765:K3767"/>
    <mergeCell ref="L3765:L3767"/>
    <mergeCell ref="D3768:D3770"/>
    <mergeCell ref="E3768:E3770"/>
    <mergeCell ref="F3768:F3770"/>
    <mergeCell ref="G3768:G3770"/>
    <mergeCell ref="H3768:H3770"/>
    <mergeCell ref="I3768:I3770"/>
    <mergeCell ref="J3768:J3770"/>
    <mergeCell ref="K3768:K3770"/>
    <mergeCell ref="L3768:L3770"/>
    <mergeCell ref="D3771:F3771"/>
    <mergeCell ref="G3771:L3771"/>
    <mergeCell ref="A3751:A3753"/>
    <mergeCell ref="B3751:C3760"/>
    <mergeCell ref="D3751:D3753"/>
    <mergeCell ref="E3751:E3753"/>
    <mergeCell ref="F3751:F3753"/>
    <mergeCell ref="G3751:G3753"/>
    <mergeCell ref="H3751:H3753"/>
    <mergeCell ref="I3751:I3753"/>
    <mergeCell ref="J3751:J3753"/>
    <mergeCell ref="K3751:K3753"/>
    <mergeCell ref="L3751:L3753"/>
    <mergeCell ref="D3754:D3756"/>
    <mergeCell ref="E3754:E3756"/>
    <mergeCell ref="F3754:F3756"/>
    <mergeCell ref="G3754:G3756"/>
    <mergeCell ref="H3754:H3756"/>
    <mergeCell ref="I3754:I3756"/>
    <mergeCell ref="J3754:J3756"/>
    <mergeCell ref="K3754:K3756"/>
    <mergeCell ref="L3754:L3756"/>
    <mergeCell ref="D3757:D3759"/>
    <mergeCell ref="E3757:E3759"/>
    <mergeCell ref="F3757:F3759"/>
    <mergeCell ref="G3757:G3759"/>
    <mergeCell ref="H3757:H3759"/>
    <mergeCell ref="I3757:I3759"/>
    <mergeCell ref="J3757:J3759"/>
    <mergeCell ref="K3757:K3759"/>
    <mergeCell ref="L3757:L3759"/>
    <mergeCell ref="D3760:F3760"/>
    <mergeCell ref="G3760:L3760"/>
    <mergeCell ref="A3740:A3742"/>
    <mergeCell ref="B3740:C3749"/>
    <mergeCell ref="D3740:D3742"/>
    <mergeCell ref="E3740:E3742"/>
    <mergeCell ref="F3740:F3742"/>
    <mergeCell ref="G3740:G3742"/>
    <mergeCell ref="H3740:H3742"/>
    <mergeCell ref="I3740:I3742"/>
    <mergeCell ref="J3740:J3742"/>
    <mergeCell ref="K3740:K3742"/>
    <mergeCell ref="L3740:L3742"/>
    <mergeCell ref="D3743:D3745"/>
    <mergeCell ref="E3743:E3745"/>
    <mergeCell ref="F3743:F3745"/>
    <mergeCell ref="G3743:G3745"/>
    <mergeCell ref="H3743:H3745"/>
    <mergeCell ref="I3743:I3745"/>
    <mergeCell ref="J3743:J3745"/>
    <mergeCell ref="K3743:K3745"/>
    <mergeCell ref="L3743:L3745"/>
    <mergeCell ref="D3746:D3748"/>
    <mergeCell ref="E3746:E3748"/>
    <mergeCell ref="F3746:F3748"/>
    <mergeCell ref="G3746:G3748"/>
    <mergeCell ref="H3746:H3748"/>
    <mergeCell ref="I3746:I3748"/>
    <mergeCell ref="J3746:J3748"/>
    <mergeCell ref="K3746:K3748"/>
    <mergeCell ref="L3746:L3748"/>
    <mergeCell ref="D3749:F3749"/>
    <mergeCell ref="G3749:L3749"/>
    <mergeCell ref="A3729:A3731"/>
    <mergeCell ref="B3729:C3738"/>
    <mergeCell ref="D3729:D3731"/>
    <mergeCell ref="E3729:E3731"/>
    <mergeCell ref="F3729:F3731"/>
    <mergeCell ref="G3729:G3731"/>
    <mergeCell ref="H3729:H3731"/>
    <mergeCell ref="I3729:I3731"/>
    <mergeCell ref="J3729:J3731"/>
    <mergeCell ref="K3729:K3731"/>
    <mergeCell ref="L3729:L3731"/>
    <mergeCell ref="D3732:D3734"/>
    <mergeCell ref="E3732:E3734"/>
    <mergeCell ref="F3732:F3734"/>
    <mergeCell ref="G3732:G3734"/>
    <mergeCell ref="H3732:H3734"/>
    <mergeCell ref="I3732:I3734"/>
    <mergeCell ref="J3732:J3734"/>
    <mergeCell ref="K3732:K3734"/>
    <mergeCell ref="L3732:L3734"/>
    <mergeCell ref="D3735:D3737"/>
    <mergeCell ref="E3735:E3737"/>
    <mergeCell ref="F3735:F3737"/>
    <mergeCell ref="G3735:G3737"/>
    <mergeCell ref="H3735:H3737"/>
    <mergeCell ref="I3735:I3737"/>
    <mergeCell ref="J3735:J3737"/>
    <mergeCell ref="K3735:K3737"/>
    <mergeCell ref="L3735:L3737"/>
    <mergeCell ref="D3738:F3738"/>
    <mergeCell ref="G3738:L3738"/>
    <mergeCell ref="A3718:A3720"/>
    <mergeCell ref="B3718:C3727"/>
    <mergeCell ref="D3718:D3720"/>
    <mergeCell ref="E3718:E3720"/>
    <mergeCell ref="F3718:F3720"/>
    <mergeCell ref="G3718:G3720"/>
    <mergeCell ref="H3718:H3720"/>
    <mergeCell ref="I3718:I3720"/>
    <mergeCell ref="J3718:J3720"/>
    <mergeCell ref="K3718:K3720"/>
    <mergeCell ref="L3718:L3720"/>
    <mergeCell ref="D3721:D3723"/>
    <mergeCell ref="E3721:E3723"/>
    <mergeCell ref="F3721:F3723"/>
    <mergeCell ref="G3721:G3723"/>
    <mergeCell ref="H3721:H3723"/>
    <mergeCell ref="I3721:I3723"/>
    <mergeCell ref="J3721:J3723"/>
    <mergeCell ref="K3721:K3723"/>
    <mergeCell ref="L3721:L3723"/>
    <mergeCell ref="D3724:D3726"/>
    <mergeCell ref="E3724:E3726"/>
    <mergeCell ref="F3724:F3726"/>
    <mergeCell ref="G3724:G3726"/>
    <mergeCell ref="H3724:H3726"/>
    <mergeCell ref="I3724:I3726"/>
    <mergeCell ref="J3724:J3726"/>
    <mergeCell ref="K3724:K3726"/>
    <mergeCell ref="L3724:L3726"/>
    <mergeCell ref="D3727:F3727"/>
    <mergeCell ref="G3727:L3727"/>
    <mergeCell ref="A3707:A3709"/>
    <mergeCell ref="B3707:C3716"/>
    <mergeCell ref="D3707:D3709"/>
    <mergeCell ref="E3707:E3709"/>
    <mergeCell ref="F3707:F3709"/>
    <mergeCell ref="G3707:G3709"/>
    <mergeCell ref="H3707:H3709"/>
    <mergeCell ref="I3707:I3709"/>
    <mergeCell ref="J3707:J3709"/>
    <mergeCell ref="K3707:K3709"/>
    <mergeCell ref="L3707:L3709"/>
    <mergeCell ref="D3710:D3712"/>
    <mergeCell ref="E3710:E3712"/>
    <mergeCell ref="F3710:F3712"/>
    <mergeCell ref="G3710:G3712"/>
    <mergeCell ref="H3710:H3712"/>
    <mergeCell ref="I3710:I3712"/>
    <mergeCell ref="J3710:J3712"/>
    <mergeCell ref="K3710:K3712"/>
    <mergeCell ref="L3710:L3712"/>
    <mergeCell ref="D3713:D3715"/>
    <mergeCell ref="E3713:E3715"/>
    <mergeCell ref="F3713:F3715"/>
    <mergeCell ref="G3713:G3715"/>
    <mergeCell ref="H3713:H3715"/>
    <mergeCell ref="I3713:I3715"/>
    <mergeCell ref="J3713:J3715"/>
    <mergeCell ref="K3713:K3715"/>
    <mergeCell ref="L3713:L3715"/>
    <mergeCell ref="D3716:F3716"/>
    <mergeCell ref="G3716:L3716"/>
    <mergeCell ref="A3696:A3698"/>
    <mergeCell ref="B3696:C3705"/>
    <mergeCell ref="D3696:D3698"/>
    <mergeCell ref="E3696:E3698"/>
    <mergeCell ref="F3696:F3698"/>
    <mergeCell ref="G3696:G3698"/>
    <mergeCell ref="H3696:H3698"/>
    <mergeCell ref="I3696:I3698"/>
    <mergeCell ref="J3696:J3698"/>
    <mergeCell ref="K3696:K3698"/>
    <mergeCell ref="L3696:L3698"/>
    <mergeCell ref="D3699:D3701"/>
    <mergeCell ref="E3699:E3701"/>
    <mergeCell ref="F3699:F3701"/>
    <mergeCell ref="G3699:G3701"/>
    <mergeCell ref="H3699:H3701"/>
    <mergeCell ref="I3699:I3701"/>
    <mergeCell ref="J3699:J3701"/>
    <mergeCell ref="K3699:K3701"/>
    <mergeCell ref="L3699:L3701"/>
    <mergeCell ref="D3702:D3704"/>
    <mergeCell ref="E3702:E3704"/>
    <mergeCell ref="F3702:F3704"/>
    <mergeCell ref="G3702:G3704"/>
    <mergeCell ref="H3702:H3704"/>
    <mergeCell ref="I3702:I3704"/>
    <mergeCell ref="J3702:J3704"/>
    <mergeCell ref="K3702:K3704"/>
    <mergeCell ref="L3702:L3704"/>
    <mergeCell ref="D3705:F3705"/>
    <mergeCell ref="G3705:L3705"/>
    <mergeCell ref="D3685:D3687"/>
    <mergeCell ref="E3685:E3687"/>
    <mergeCell ref="F3685:F3687"/>
    <mergeCell ref="G3685:G3687"/>
    <mergeCell ref="H3685:H3687"/>
    <mergeCell ref="I3685:I3687"/>
    <mergeCell ref="J3685:J3687"/>
    <mergeCell ref="K3685:K3687"/>
    <mergeCell ref="L3685:L3687"/>
    <mergeCell ref="D3688:D3690"/>
    <mergeCell ref="E3688:E3690"/>
    <mergeCell ref="F3688:F3690"/>
    <mergeCell ref="G3688:G3690"/>
    <mergeCell ref="H3688:H3690"/>
    <mergeCell ref="I3688:I3690"/>
    <mergeCell ref="J3688:J3690"/>
    <mergeCell ref="K3688:K3690"/>
    <mergeCell ref="L3688:L3690"/>
    <mergeCell ref="D3691:D3693"/>
    <mergeCell ref="E3691:E3693"/>
    <mergeCell ref="F3691:F3693"/>
    <mergeCell ref="G3691:G3693"/>
    <mergeCell ref="H3691:H3693"/>
    <mergeCell ref="I3691:I3693"/>
    <mergeCell ref="J3691:J3693"/>
    <mergeCell ref="K3691:K3693"/>
    <mergeCell ref="L3691:L3693"/>
    <mergeCell ref="D3694:F3694"/>
    <mergeCell ref="G3694:L3694"/>
    <mergeCell ref="A3674:A3676"/>
    <mergeCell ref="B3674:C3683"/>
    <mergeCell ref="D3674:D3676"/>
    <mergeCell ref="E3674:E3676"/>
    <mergeCell ref="F3674:F3676"/>
    <mergeCell ref="G3674:G3676"/>
    <mergeCell ref="H3674:H3676"/>
    <mergeCell ref="I3674:I3676"/>
    <mergeCell ref="J3674:J3676"/>
    <mergeCell ref="K3674:K3676"/>
    <mergeCell ref="L3674:L3676"/>
    <mergeCell ref="D3677:D3679"/>
    <mergeCell ref="E3677:E3679"/>
    <mergeCell ref="F3677:F3679"/>
    <mergeCell ref="G3677:G3679"/>
    <mergeCell ref="H3677:H3679"/>
    <mergeCell ref="I3677:I3679"/>
    <mergeCell ref="J3677:J3679"/>
    <mergeCell ref="K3677:K3679"/>
    <mergeCell ref="L3677:L3679"/>
    <mergeCell ref="D3680:D3682"/>
    <mergeCell ref="E3680:E3682"/>
    <mergeCell ref="F3680:F3682"/>
    <mergeCell ref="G3680:G3682"/>
    <mergeCell ref="H3680:H3682"/>
    <mergeCell ref="I3680:I3682"/>
    <mergeCell ref="J3680:J3682"/>
    <mergeCell ref="K3680:K3682"/>
    <mergeCell ref="L3680:L3682"/>
    <mergeCell ref="D3683:F3683"/>
    <mergeCell ref="G3683:L3683"/>
    <mergeCell ref="A3410:A3412"/>
    <mergeCell ref="B3410:C3419"/>
    <mergeCell ref="D3443:D3445"/>
    <mergeCell ref="E3443:E3445"/>
    <mergeCell ref="F3443:F3445"/>
    <mergeCell ref="G3443:G3445"/>
    <mergeCell ref="H3443:H3445"/>
    <mergeCell ref="I3443:I3445"/>
    <mergeCell ref="J3443:J3445"/>
    <mergeCell ref="K3443:K3445"/>
    <mergeCell ref="L3443:L3445"/>
    <mergeCell ref="D3446:D3448"/>
    <mergeCell ref="E3446:E3448"/>
    <mergeCell ref="F3446:F3448"/>
    <mergeCell ref="G3446:G3448"/>
    <mergeCell ref="H3446:H3448"/>
    <mergeCell ref="I3446:I3448"/>
    <mergeCell ref="J3446:J3448"/>
    <mergeCell ref="K3446:K3448"/>
    <mergeCell ref="L3446:L3448"/>
    <mergeCell ref="D3432:D3434"/>
    <mergeCell ref="E3432:E3434"/>
    <mergeCell ref="F3432:F3434"/>
    <mergeCell ref="G3432:G3434"/>
    <mergeCell ref="H3432:H3434"/>
    <mergeCell ref="I3432:I3434"/>
    <mergeCell ref="J3432:J3434"/>
    <mergeCell ref="K3432:K3434"/>
    <mergeCell ref="L3432:L3434"/>
    <mergeCell ref="D3435:D3437"/>
    <mergeCell ref="E3435:E3437"/>
    <mergeCell ref="F3435:F3437"/>
    <mergeCell ref="G3435:G3437"/>
    <mergeCell ref="H3435:H3437"/>
    <mergeCell ref="I3435:I3437"/>
    <mergeCell ref="J3435:J3437"/>
    <mergeCell ref="K3435:K3437"/>
    <mergeCell ref="L3435:L3437"/>
    <mergeCell ref="A3443:A3445"/>
    <mergeCell ref="B3443:C3452"/>
    <mergeCell ref="D3449:D3451"/>
    <mergeCell ref="A3421:A3423"/>
    <mergeCell ref="B3421:C3430"/>
    <mergeCell ref="D3427:D3429"/>
    <mergeCell ref="E3427:E3429"/>
    <mergeCell ref="F3427:F3429"/>
    <mergeCell ref="G3427:G3429"/>
    <mergeCell ref="H3427:H3429"/>
    <mergeCell ref="I3427:I3429"/>
    <mergeCell ref="J3427:J3429"/>
    <mergeCell ref="K3427:K3429"/>
    <mergeCell ref="L3427:L3429"/>
    <mergeCell ref="D3430:F3430"/>
    <mergeCell ref="G3430:L3430"/>
    <mergeCell ref="A3432:A3434"/>
    <mergeCell ref="B3432:C3441"/>
    <mergeCell ref="D3438:D3440"/>
    <mergeCell ref="E3438:E3440"/>
    <mergeCell ref="F3438:F3440"/>
    <mergeCell ref="G3438:G3440"/>
    <mergeCell ref="H3438:H3440"/>
    <mergeCell ref="I3438:I3440"/>
    <mergeCell ref="J3438:J3440"/>
    <mergeCell ref="K3438:K3440"/>
    <mergeCell ref="F3391:F3393"/>
    <mergeCell ref="G3391:G3393"/>
    <mergeCell ref="H3391:H3393"/>
    <mergeCell ref="I3391:I3393"/>
    <mergeCell ref="J3391:J3393"/>
    <mergeCell ref="K3391:K3393"/>
    <mergeCell ref="L3391:L3393"/>
    <mergeCell ref="L3438:L3440"/>
    <mergeCell ref="D3441:F3441"/>
    <mergeCell ref="G3441:L3441"/>
    <mergeCell ref="E3449:E3451"/>
    <mergeCell ref="F3449:F3451"/>
    <mergeCell ref="G3449:G3451"/>
    <mergeCell ref="H3449:H3451"/>
    <mergeCell ref="I3449:I3451"/>
    <mergeCell ref="J3449:J3451"/>
    <mergeCell ref="K3449:K3451"/>
    <mergeCell ref="L3449:L3451"/>
    <mergeCell ref="D3452:F3452"/>
    <mergeCell ref="G3452:L3452"/>
    <mergeCell ref="D3383:D3385"/>
    <mergeCell ref="E3383:E3385"/>
    <mergeCell ref="D3421:D3423"/>
    <mergeCell ref="E3421:E3423"/>
    <mergeCell ref="F3421:F3423"/>
    <mergeCell ref="G3421:G3423"/>
    <mergeCell ref="H3421:H3423"/>
    <mergeCell ref="I3421:I3423"/>
    <mergeCell ref="J3421:J3423"/>
    <mergeCell ref="K3421:K3423"/>
    <mergeCell ref="L3421:L3423"/>
    <mergeCell ref="D3424:D3426"/>
    <mergeCell ref="E3424:E3426"/>
    <mergeCell ref="F3424:F3426"/>
    <mergeCell ref="G3424:G3426"/>
    <mergeCell ref="H3424:H3426"/>
    <mergeCell ref="I3424:I3426"/>
    <mergeCell ref="J3424:J3426"/>
    <mergeCell ref="K3424:K3426"/>
    <mergeCell ref="L3424:L3426"/>
    <mergeCell ref="D3410:D3412"/>
    <mergeCell ref="E3410:E3412"/>
    <mergeCell ref="F3410:F3412"/>
    <mergeCell ref="G3410:G3412"/>
    <mergeCell ref="H3410:H3412"/>
    <mergeCell ref="I3410:I3412"/>
    <mergeCell ref="J3410:J3412"/>
    <mergeCell ref="K3410:K3412"/>
    <mergeCell ref="L3410:L3412"/>
    <mergeCell ref="D3413:D3415"/>
    <mergeCell ref="E3413:E3415"/>
    <mergeCell ref="F3413:F3415"/>
    <mergeCell ref="G3413:G3415"/>
    <mergeCell ref="H3413:H3415"/>
    <mergeCell ref="I3413:I3415"/>
    <mergeCell ref="J3413:J3415"/>
    <mergeCell ref="K3413:K3415"/>
    <mergeCell ref="L3413:L3415"/>
    <mergeCell ref="G3388:G3390"/>
    <mergeCell ref="H3388:H3390"/>
    <mergeCell ref="I3388:I3390"/>
    <mergeCell ref="J3388:J3390"/>
    <mergeCell ref="K3388:K3390"/>
    <mergeCell ref="L3388:L3390"/>
    <mergeCell ref="D3391:D3393"/>
    <mergeCell ref="E3391:E3393"/>
    <mergeCell ref="D3416:D3418"/>
    <mergeCell ref="E3416:E3418"/>
    <mergeCell ref="F3416:F3418"/>
    <mergeCell ref="G3416:G3418"/>
    <mergeCell ref="H3416:H3418"/>
    <mergeCell ref="I3416:I3418"/>
    <mergeCell ref="J3416:J3418"/>
    <mergeCell ref="K3416:K3418"/>
    <mergeCell ref="L3416:L3418"/>
    <mergeCell ref="D3419:F3419"/>
    <mergeCell ref="G3419:L3419"/>
    <mergeCell ref="L3344:L3346"/>
    <mergeCell ref="D3347:D3349"/>
    <mergeCell ref="E3347:E3349"/>
    <mergeCell ref="F3347:F3349"/>
    <mergeCell ref="G3347:G3349"/>
    <mergeCell ref="H3347:H3349"/>
    <mergeCell ref="I3347:I3349"/>
    <mergeCell ref="J3347:J3349"/>
    <mergeCell ref="K3347:K3349"/>
    <mergeCell ref="L3347:L3349"/>
    <mergeCell ref="A3344:A3346"/>
    <mergeCell ref="D3377:D3379"/>
    <mergeCell ref="E3377:E3379"/>
    <mergeCell ref="F3377:F3379"/>
    <mergeCell ref="G3377:G3379"/>
    <mergeCell ref="H3377:H3379"/>
    <mergeCell ref="I3377:I3379"/>
    <mergeCell ref="J3377:J3379"/>
    <mergeCell ref="K3377:K3379"/>
    <mergeCell ref="L3377:L3379"/>
    <mergeCell ref="D3380:D3382"/>
    <mergeCell ref="E3380:E3382"/>
    <mergeCell ref="F3380:F3382"/>
    <mergeCell ref="G3380:G3382"/>
    <mergeCell ref="H3380:H3382"/>
    <mergeCell ref="I3380:I3382"/>
    <mergeCell ref="J3380:J3382"/>
    <mergeCell ref="K3380:K3382"/>
    <mergeCell ref="L3380:L3382"/>
    <mergeCell ref="D3366:D3368"/>
    <mergeCell ref="E3366:E3368"/>
    <mergeCell ref="F3366:F3368"/>
    <mergeCell ref="G3366:G3368"/>
    <mergeCell ref="H3366:H3368"/>
    <mergeCell ref="I3366:I3368"/>
    <mergeCell ref="J3366:J3368"/>
    <mergeCell ref="K3366:K3368"/>
    <mergeCell ref="L3366:L3368"/>
    <mergeCell ref="D3369:D3371"/>
    <mergeCell ref="E3369:E3371"/>
    <mergeCell ref="F3369:F3371"/>
    <mergeCell ref="G3369:G3371"/>
    <mergeCell ref="H3369:H3371"/>
    <mergeCell ref="I3369:I3371"/>
    <mergeCell ref="J3369:J3371"/>
    <mergeCell ref="K3369:K3371"/>
    <mergeCell ref="L3369:L3371"/>
    <mergeCell ref="A3377:A3379"/>
    <mergeCell ref="B3377:C3386"/>
    <mergeCell ref="B3344:C3353"/>
    <mergeCell ref="D3350:D3352"/>
    <mergeCell ref="E3350:E3352"/>
    <mergeCell ref="F3350:F3352"/>
    <mergeCell ref="G3350:G3352"/>
    <mergeCell ref="H3350:H3352"/>
    <mergeCell ref="I3350:I3352"/>
    <mergeCell ref="J3350:J3352"/>
    <mergeCell ref="K3350:K3352"/>
    <mergeCell ref="L3350:L3352"/>
    <mergeCell ref="D3353:F3353"/>
    <mergeCell ref="G3353:L3353"/>
    <mergeCell ref="A3355:A3357"/>
    <mergeCell ref="B3355:C3364"/>
    <mergeCell ref="D3361:D3363"/>
    <mergeCell ref="D3113:D3115"/>
    <mergeCell ref="E3113:E3115"/>
    <mergeCell ref="F3113:F3115"/>
    <mergeCell ref="G3113:G3115"/>
    <mergeCell ref="H3113:H3115"/>
    <mergeCell ref="I3113:I3115"/>
    <mergeCell ref="J3113:J3115"/>
    <mergeCell ref="K3113:K3115"/>
    <mergeCell ref="L3113:L3115"/>
    <mergeCell ref="D3102:D3104"/>
    <mergeCell ref="E3102:E3104"/>
    <mergeCell ref="F3102:F3104"/>
    <mergeCell ref="G3102:G3104"/>
    <mergeCell ref="H3102:H3104"/>
    <mergeCell ref="I3102:I3104"/>
    <mergeCell ref="J3102:J3104"/>
    <mergeCell ref="K3102:K3104"/>
    <mergeCell ref="L3102:L3104"/>
    <mergeCell ref="A3113:A3115"/>
    <mergeCell ref="B3113:C3122"/>
    <mergeCell ref="D3130:D3132"/>
    <mergeCell ref="E3130:E3132"/>
    <mergeCell ref="F3130:F3132"/>
    <mergeCell ref="G3130:G3132"/>
    <mergeCell ref="H3130:H3132"/>
    <mergeCell ref="I3130:I3132"/>
    <mergeCell ref="J3130:J3132"/>
    <mergeCell ref="K3130:K3132"/>
    <mergeCell ref="L3130:L3132"/>
    <mergeCell ref="D3119:D3121"/>
    <mergeCell ref="E3119:E3121"/>
    <mergeCell ref="F3119:F3121"/>
    <mergeCell ref="G3119:G3121"/>
    <mergeCell ref="H3119:H3121"/>
    <mergeCell ref="I3119:I3121"/>
    <mergeCell ref="J3119:J3121"/>
    <mergeCell ref="K3119:K3121"/>
    <mergeCell ref="L3119:L3121"/>
    <mergeCell ref="D3116:D3118"/>
    <mergeCell ref="E3116:E3118"/>
    <mergeCell ref="F3116:F3118"/>
    <mergeCell ref="G3116:G3118"/>
    <mergeCell ref="H3116:H3118"/>
    <mergeCell ref="I3116:I3118"/>
    <mergeCell ref="J3116:J3118"/>
    <mergeCell ref="K3116:K3118"/>
    <mergeCell ref="L3116:L3118"/>
    <mergeCell ref="D3122:F3122"/>
    <mergeCell ref="G3122:L3122"/>
    <mergeCell ref="A3124:A3126"/>
    <mergeCell ref="B3124:C3133"/>
    <mergeCell ref="D3124:D3126"/>
    <mergeCell ref="E3124:E3126"/>
    <mergeCell ref="F3124:F3126"/>
    <mergeCell ref="G3124:G3126"/>
    <mergeCell ref="H3124:H3126"/>
    <mergeCell ref="I3124:I3126"/>
    <mergeCell ref="J3124:J3126"/>
    <mergeCell ref="K3124:K3126"/>
    <mergeCell ref="L3124:L3126"/>
    <mergeCell ref="D3127:D3129"/>
    <mergeCell ref="E3127:E3129"/>
    <mergeCell ref="F3127:F3129"/>
    <mergeCell ref="G3127:G3129"/>
    <mergeCell ref="D3069:D3071"/>
    <mergeCell ref="E3069:E3071"/>
    <mergeCell ref="F3069:F3071"/>
    <mergeCell ref="G3069:G3071"/>
    <mergeCell ref="H3069:H3071"/>
    <mergeCell ref="I3069:I3071"/>
    <mergeCell ref="J3069:J3071"/>
    <mergeCell ref="K3069:K3071"/>
    <mergeCell ref="L3069:L3071"/>
    <mergeCell ref="D3058:D3060"/>
    <mergeCell ref="E3058:E3060"/>
    <mergeCell ref="F3058:F3060"/>
    <mergeCell ref="G3058:G3060"/>
    <mergeCell ref="H3058:H3060"/>
    <mergeCell ref="I3058:I3060"/>
    <mergeCell ref="J3058:J3060"/>
    <mergeCell ref="K3058:K3060"/>
    <mergeCell ref="L3058:L3060"/>
    <mergeCell ref="A3069:A3071"/>
    <mergeCell ref="B3069:C3078"/>
    <mergeCell ref="D3091:D3093"/>
    <mergeCell ref="E3091:E3093"/>
    <mergeCell ref="F3091:F3093"/>
    <mergeCell ref="G3091:G3093"/>
    <mergeCell ref="H3091:H3093"/>
    <mergeCell ref="I3091:I3093"/>
    <mergeCell ref="J3091:J3093"/>
    <mergeCell ref="K3091:K3093"/>
    <mergeCell ref="L3091:L3093"/>
    <mergeCell ref="D3080:D3082"/>
    <mergeCell ref="E3080:E3082"/>
    <mergeCell ref="F3080:F3082"/>
    <mergeCell ref="G3080:G3082"/>
    <mergeCell ref="H3080:H3082"/>
    <mergeCell ref="I3080:I3082"/>
    <mergeCell ref="J3080:J3082"/>
    <mergeCell ref="K3080:K3082"/>
    <mergeCell ref="L3080:L3082"/>
    <mergeCell ref="D3072:D3074"/>
    <mergeCell ref="E3072:E3074"/>
    <mergeCell ref="A3058:A3060"/>
    <mergeCell ref="B3058:C3067"/>
    <mergeCell ref="D3061:D3063"/>
    <mergeCell ref="E3061:E3063"/>
    <mergeCell ref="F3061:F3063"/>
    <mergeCell ref="G3061:G3063"/>
    <mergeCell ref="H3061:H3063"/>
    <mergeCell ref="I3061:I3063"/>
    <mergeCell ref="J3061:J3063"/>
    <mergeCell ref="K3061:K3063"/>
    <mergeCell ref="L3061:L3063"/>
    <mergeCell ref="D3064:D3066"/>
    <mergeCell ref="E3064:E3066"/>
    <mergeCell ref="F3064:F3066"/>
    <mergeCell ref="G3064:G3066"/>
    <mergeCell ref="H3064:H3066"/>
    <mergeCell ref="I3064:I3066"/>
    <mergeCell ref="J3064:J3066"/>
    <mergeCell ref="K3064:K3066"/>
    <mergeCell ref="L3064:L3066"/>
    <mergeCell ref="D3067:F3067"/>
    <mergeCell ref="G3067:L3067"/>
    <mergeCell ref="F3072:F3074"/>
    <mergeCell ref="G3072:G3074"/>
    <mergeCell ref="D3025:D3027"/>
    <mergeCell ref="E3025:E3027"/>
    <mergeCell ref="F3025:F3027"/>
    <mergeCell ref="G3025:G3027"/>
    <mergeCell ref="H3025:H3027"/>
    <mergeCell ref="I3025:I3027"/>
    <mergeCell ref="J3025:J3027"/>
    <mergeCell ref="K3025:K3027"/>
    <mergeCell ref="L3025:L3027"/>
    <mergeCell ref="D3014:D3016"/>
    <mergeCell ref="E3014:E3016"/>
    <mergeCell ref="F3014:F3016"/>
    <mergeCell ref="G3014:G3016"/>
    <mergeCell ref="H3014:H3016"/>
    <mergeCell ref="I3014:I3016"/>
    <mergeCell ref="J3014:J3016"/>
    <mergeCell ref="K3014:K3016"/>
    <mergeCell ref="L3014:L3016"/>
    <mergeCell ref="A3025:A3027"/>
    <mergeCell ref="D3047:D3049"/>
    <mergeCell ref="E3047:E3049"/>
    <mergeCell ref="F3047:F3049"/>
    <mergeCell ref="G3047:G3049"/>
    <mergeCell ref="H3047:H3049"/>
    <mergeCell ref="I3047:I3049"/>
    <mergeCell ref="J3047:J3049"/>
    <mergeCell ref="K3047:K3049"/>
    <mergeCell ref="L3047:L3049"/>
    <mergeCell ref="D3036:D3038"/>
    <mergeCell ref="E3036:E3038"/>
    <mergeCell ref="F3036:F3038"/>
    <mergeCell ref="G3036:G3038"/>
    <mergeCell ref="H3036:H3038"/>
    <mergeCell ref="I3036:I3038"/>
    <mergeCell ref="J3036:J3038"/>
    <mergeCell ref="K3036:K3038"/>
    <mergeCell ref="L3036:L3038"/>
    <mergeCell ref="B3025:C3034"/>
    <mergeCell ref="D3028:D3030"/>
    <mergeCell ref="E3028:E3030"/>
    <mergeCell ref="F3028:F3030"/>
    <mergeCell ref="G3028:G3030"/>
    <mergeCell ref="H3028:H3030"/>
    <mergeCell ref="I3028:I3030"/>
    <mergeCell ref="J3028:J3030"/>
    <mergeCell ref="K3028:K3030"/>
    <mergeCell ref="L3028:L3030"/>
    <mergeCell ref="D3031:D3033"/>
    <mergeCell ref="E3031:E3033"/>
    <mergeCell ref="F3031:F3033"/>
    <mergeCell ref="G3031:G3033"/>
    <mergeCell ref="H3031:H3033"/>
    <mergeCell ref="I3031:I3033"/>
    <mergeCell ref="J3031:J3033"/>
    <mergeCell ref="K3031:K3033"/>
    <mergeCell ref="L3031:L3033"/>
    <mergeCell ref="D3034:F3034"/>
    <mergeCell ref="G3034:L3034"/>
    <mergeCell ref="A3036:A3038"/>
    <mergeCell ref="B3036:C3045"/>
    <mergeCell ref="D3039:D3041"/>
    <mergeCell ref="E3039:E3041"/>
    <mergeCell ref="F3039:F3041"/>
    <mergeCell ref="G3039:G3041"/>
    <mergeCell ref="K2885:K2887"/>
    <mergeCell ref="L2885:L2887"/>
    <mergeCell ref="D2888:D2890"/>
    <mergeCell ref="E2888:E2890"/>
    <mergeCell ref="F2888:F2890"/>
    <mergeCell ref="G2888:G2890"/>
    <mergeCell ref="H2888:H2890"/>
    <mergeCell ref="I2888:I2890"/>
    <mergeCell ref="J2888:J2890"/>
    <mergeCell ref="K2888:K2890"/>
    <mergeCell ref="L2888:L2890"/>
    <mergeCell ref="D2874:D2876"/>
    <mergeCell ref="E2874:E2876"/>
    <mergeCell ref="F2874:F2876"/>
    <mergeCell ref="G2874:G2876"/>
    <mergeCell ref="H2874:H2876"/>
    <mergeCell ref="I2874:I2876"/>
    <mergeCell ref="J2874:J2876"/>
    <mergeCell ref="K2874:K2876"/>
    <mergeCell ref="L2874:L2876"/>
    <mergeCell ref="D2877:D2879"/>
    <mergeCell ref="E2877:E2879"/>
    <mergeCell ref="F2877:F2879"/>
    <mergeCell ref="G2877:G2879"/>
    <mergeCell ref="H2877:H2879"/>
    <mergeCell ref="I2877:I2879"/>
    <mergeCell ref="J2877:J2879"/>
    <mergeCell ref="K2877:K2879"/>
    <mergeCell ref="L2877:L2879"/>
    <mergeCell ref="A2893:A2895"/>
    <mergeCell ref="B2893:C2902"/>
    <mergeCell ref="A2915:A2917"/>
    <mergeCell ref="B2915:C2924"/>
    <mergeCell ref="D2915:D2917"/>
    <mergeCell ref="D2893:D2895"/>
    <mergeCell ref="E2893:E2895"/>
    <mergeCell ref="F2893:F2895"/>
    <mergeCell ref="G2893:G2895"/>
    <mergeCell ref="H2893:H2895"/>
    <mergeCell ref="I2893:I2895"/>
    <mergeCell ref="J2893:J2895"/>
    <mergeCell ref="K2893:K2895"/>
    <mergeCell ref="L2893:L2895"/>
    <mergeCell ref="D2896:D2898"/>
    <mergeCell ref="E2896:E2898"/>
    <mergeCell ref="F2896:F2898"/>
    <mergeCell ref="G2896:G2898"/>
    <mergeCell ref="H2896:H2898"/>
    <mergeCell ref="I2896:I2898"/>
    <mergeCell ref="J2896:J2898"/>
    <mergeCell ref="K2896:K2898"/>
    <mergeCell ref="L2896:L2898"/>
    <mergeCell ref="D2899:D2901"/>
    <mergeCell ref="E2899:E2901"/>
    <mergeCell ref="F2899:F2901"/>
    <mergeCell ref="G2899:G2901"/>
    <mergeCell ref="H2899:H2901"/>
    <mergeCell ref="I2899:I2901"/>
    <mergeCell ref="J2899:J2901"/>
    <mergeCell ref="K2899:K2901"/>
    <mergeCell ref="L2899:L2901"/>
    <mergeCell ref="D2902:F2902"/>
    <mergeCell ref="G2902:L2902"/>
    <mergeCell ref="A2904:A2906"/>
    <mergeCell ref="K2819:K2821"/>
    <mergeCell ref="L2819:L2821"/>
    <mergeCell ref="D2822:D2824"/>
    <mergeCell ref="E2822:E2824"/>
    <mergeCell ref="F2822:F2824"/>
    <mergeCell ref="G2822:G2824"/>
    <mergeCell ref="H2822:H2824"/>
    <mergeCell ref="I2822:I2824"/>
    <mergeCell ref="J2822:J2824"/>
    <mergeCell ref="K2822:K2824"/>
    <mergeCell ref="L2822:L2824"/>
    <mergeCell ref="D2808:D2810"/>
    <mergeCell ref="E2808:E2810"/>
    <mergeCell ref="F2808:F2810"/>
    <mergeCell ref="G2808:G2810"/>
    <mergeCell ref="H2808:H2810"/>
    <mergeCell ref="I2808:I2810"/>
    <mergeCell ref="J2808:J2810"/>
    <mergeCell ref="K2808:K2810"/>
    <mergeCell ref="L2808:L2810"/>
    <mergeCell ref="D2811:D2813"/>
    <mergeCell ref="E2811:E2813"/>
    <mergeCell ref="F2811:F2813"/>
    <mergeCell ref="G2811:G2813"/>
    <mergeCell ref="H2811:H2813"/>
    <mergeCell ref="I2811:I2813"/>
    <mergeCell ref="J2811:J2813"/>
    <mergeCell ref="K2811:K2813"/>
    <mergeCell ref="L2811:L2813"/>
    <mergeCell ref="A2827:A2829"/>
    <mergeCell ref="B2827:C2836"/>
    <mergeCell ref="D2841:D2843"/>
    <mergeCell ref="E2841:E2843"/>
    <mergeCell ref="F2841:F2843"/>
    <mergeCell ref="G2841:G2843"/>
    <mergeCell ref="H2841:H2843"/>
    <mergeCell ref="I2841:I2843"/>
    <mergeCell ref="J2841:J2843"/>
    <mergeCell ref="K2841:K2843"/>
    <mergeCell ref="L2841:L2843"/>
    <mergeCell ref="D2830:D2832"/>
    <mergeCell ref="E2830:E2832"/>
    <mergeCell ref="F2830:F2832"/>
    <mergeCell ref="G2830:G2832"/>
    <mergeCell ref="H2830:H2832"/>
    <mergeCell ref="I2830:I2832"/>
    <mergeCell ref="J2830:J2832"/>
    <mergeCell ref="K2830:K2832"/>
    <mergeCell ref="L2830:L2832"/>
    <mergeCell ref="D2833:D2835"/>
    <mergeCell ref="E2833:E2835"/>
    <mergeCell ref="F2833:F2835"/>
    <mergeCell ref="G2833:G2835"/>
    <mergeCell ref="H2833:H2835"/>
    <mergeCell ref="I2833:I2835"/>
    <mergeCell ref="J2833:J2835"/>
    <mergeCell ref="K2833:K2835"/>
    <mergeCell ref="L2833:L2835"/>
    <mergeCell ref="D2827:D2829"/>
    <mergeCell ref="E2827:E2829"/>
    <mergeCell ref="F2827:F2829"/>
    <mergeCell ref="G2827:G2829"/>
    <mergeCell ref="H2827:H2829"/>
    <mergeCell ref="I2827:I2829"/>
    <mergeCell ref="A2552:A2554"/>
    <mergeCell ref="B2552:C2561"/>
    <mergeCell ref="D2552:D2554"/>
    <mergeCell ref="E2552:E2554"/>
    <mergeCell ref="F2552:F2554"/>
    <mergeCell ref="G2552:G2554"/>
    <mergeCell ref="H2552:H2554"/>
    <mergeCell ref="I2552:I2554"/>
    <mergeCell ref="J2552:J2554"/>
    <mergeCell ref="K2552:K2554"/>
    <mergeCell ref="L2552:L2554"/>
    <mergeCell ref="D2555:D2557"/>
    <mergeCell ref="E2555:E2557"/>
    <mergeCell ref="F2555:F2557"/>
    <mergeCell ref="G2555:G2557"/>
    <mergeCell ref="H2555:H2557"/>
    <mergeCell ref="I2555:I2557"/>
    <mergeCell ref="J2555:J2557"/>
    <mergeCell ref="K2555:K2557"/>
    <mergeCell ref="L2555:L2557"/>
    <mergeCell ref="D2558:D2560"/>
    <mergeCell ref="E2558:E2560"/>
    <mergeCell ref="F2558:F2560"/>
    <mergeCell ref="G2558:G2560"/>
    <mergeCell ref="H2558:H2560"/>
    <mergeCell ref="I2558:I2560"/>
    <mergeCell ref="J2558:J2560"/>
    <mergeCell ref="K2558:K2560"/>
    <mergeCell ref="L2558:L2560"/>
    <mergeCell ref="D2561:F2561"/>
    <mergeCell ref="G2561:L2561"/>
    <mergeCell ref="A2541:A2543"/>
    <mergeCell ref="B2541:C2550"/>
    <mergeCell ref="D2541:D2543"/>
    <mergeCell ref="E2541:E2543"/>
    <mergeCell ref="F2541:F2543"/>
    <mergeCell ref="G2541:G2543"/>
    <mergeCell ref="H2541:H2543"/>
    <mergeCell ref="I2541:I2543"/>
    <mergeCell ref="J2541:J2543"/>
    <mergeCell ref="K2541:K2543"/>
    <mergeCell ref="L2541:L2543"/>
    <mergeCell ref="D2544:D2546"/>
    <mergeCell ref="E2544:E2546"/>
    <mergeCell ref="F2544:F2546"/>
    <mergeCell ref="G2544:G2546"/>
    <mergeCell ref="H2544:H2546"/>
    <mergeCell ref="I2544:I2546"/>
    <mergeCell ref="J2544:J2546"/>
    <mergeCell ref="K2544:K2546"/>
    <mergeCell ref="L2544:L2546"/>
    <mergeCell ref="D2547:D2549"/>
    <mergeCell ref="E2547:E2549"/>
    <mergeCell ref="F2547:F2549"/>
    <mergeCell ref="G2547:G2549"/>
    <mergeCell ref="H2547:H2549"/>
    <mergeCell ref="I2547:I2549"/>
    <mergeCell ref="J2547:J2549"/>
    <mergeCell ref="K2547:K2549"/>
    <mergeCell ref="L2547:L2549"/>
    <mergeCell ref="D2550:F2550"/>
    <mergeCell ref="G2550:L2550"/>
    <mergeCell ref="A2530:A2532"/>
    <mergeCell ref="B2530:C2539"/>
    <mergeCell ref="D2530:D2532"/>
    <mergeCell ref="E2530:E2532"/>
    <mergeCell ref="F2530:F2532"/>
    <mergeCell ref="G2530:G2532"/>
    <mergeCell ref="H2530:H2532"/>
    <mergeCell ref="I2530:I2532"/>
    <mergeCell ref="J2530:J2532"/>
    <mergeCell ref="K2530:K2532"/>
    <mergeCell ref="L2530:L2532"/>
    <mergeCell ref="D2533:D2535"/>
    <mergeCell ref="E2533:E2535"/>
    <mergeCell ref="F2533:F2535"/>
    <mergeCell ref="G2533:G2535"/>
    <mergeCell ref="H2533:H2535"/>
    <mergeCell ref="I2533:I2535"/>
    <mergeCell ref="J2533:J2535"/>
    <mergeCell ref="K2533:K2535"/>
    <mergeCell ref="L2533:L2535"/>
    <mergeCell ref="D2536:D2538"/>
    <mergeCell ref="E2536:E2538"/>
    <mergeCell ref="F2536:F2538"/>
    <mergeCell ref="G2536:G2538"/>
    <mergeCell ref="H2536:H2538"/>
    <mergeCell ref="I2536:I2538"/>
    <mergeCell ref="J2536:J2538"/>
    <mergeCell ref="K2536:K2538"/>
    <mergeCell ref="L2536:L2538"/>
    <mergeCell ref="D2539:F2539"/>
    <mergeCell ref="G2539:L2539"/>
    <mergeCell ref="A2519:A2521"/>
    <mergeCell ref="B2519:C2528"/>
    <mergeCell ref="D2519:D2521"/>
    <mergeCell ref="E2519:E2521"/>
    <mergeCell ref="F2519:F2521"/>
    <mergeCell ref="G2519:G2521"/>
    <mergeCell ref="H2519:H2521"/>
    <mergeCell ref="I2519:I2521"/>
    <mergeCell ref="J2519:J2521"/>
    <mergeCell ref="K2519:K2521"/>
    <mergeCell ref="L2519:L2521"/>
    <mergeCell ref="D2522:D2524"/>
    <mergeCell ref="E2522:E2524"/>
    <mergeCell ref="F2522:F2524"/>
    <mergeCell ref="G2522:G2524"/>
    <mergeCell ref="H2522:H2524"/>
    <mergeCell ref="I2522:I2524"/>
    <mergeCell ref="J2522:J2524"/>
    <mergeCell ref="K2522:K2524"/>
    <mergeCell ref="L2522:L2524"/>
    <mergeCell ref="D2525:D2527"/>
    <mergeCell ref="E2525:E2527"/>
    <mergeCell ref="F2525:F2527"/>
    <mergeCell ref="G2525:G2527"/>
    <mergeCell ref="H2525:H2527"/>
    <mergeCell ref="I2525:I2527"/>
    <mergeCell ref="J2525:J2527"/>
    <mergeCell ref="K2525:K2527"/>
    <mergeCell ref="L2525:L2527"/>
    <mergeCell ref="D2528:F2528"/>
    <mergeCell ref="G2528:L2528"/>
    <mergeCell ref="A2508:A2510"/>
    <mergeCell ref="B2508:C2517"/>
    <mergeCell ref="D2508:D2510"/>
    <mergeCell ref="E2508:E2510"/>
    <mergeCell ref="F2508:F2510"/>
    <mergeCell ref="G2508:G2510"/>
    <mergeCell ref="H2508:H2510"/>
    <mergeCell ref="I2508:I2510"/>
    <mergeCell ref="J2508:J2510"/>
    <mergeCell ref="K2508:K2510"/>
    <mergeCell ref="L2508:L2510"/>
    <mergeCell ref="D2511:D2513"/>
    <mergeCell ref="E2511:E2513"/>
    <mergeCell ref="F2511:F2513"/>
    <mergeCell ref="G2511:G2513"/>
    <mergeCell ref="H2511:H2513"/>
    <mergeCell ref="I2511:I2513"/>
    <mergeCell ref="J2511:J2513"/>
    <mergeCell ref="K2511:K2513"/>
    <mergeCell ref="L2511:L2513"/>
    <mergeCell ref="D2514:D2516"/>
    <mergeCell ref="E2514:E2516"/>
    <mergeCell ref="F2514:F2516"/>
    <mergeCell ref="G2514:G2516"/>
    <mergeCell ref="H2514:H2516"/>
    <mergeCell ref="I2514:I2516"/>
    <mergeCell ref="J2514:J2516"/>
    <mergeCell ref="K2514:K2516"/>
    <mergeCell ref="L2514:L2516"/>
    <mergeCell ref="D2517:F2517"/>
    <mergeCell ref="G2517:L2517"/>
    <mergeCell ref="A2497:A2499"/>
    <mergeCell ref="B2497:C2506"/>
    <mergeCell ref="D2497:D2499"/>
    <mergeCell ref="E2497:E2499"/>
    <mergeCell ref="F2497:F2499"/>
    <mergeCell ref="G2497:G2499"/>
    <mergeCell ref="H2497:H2499"/>
    <mergeCell ref="I2497:I2499"/>
    <mergeCell ref="J2497:J2499"/>
    <mergeCell ref="K2497:K2499"/>
    <mergeCell ref="L2497:L2499"/>
    <mergeCell ref="D2500:D2502"/>
    <mergeCell ref="E2500:E2502"/>
    <mergeCell ref="F2500:F2502"/>
    <mergeCell ref="G2500:G2502"/>
    <mergeCell ref="H2500:H2502"/>
    <mergeCell ref="I2500:I2502"/>
    <mergeCell ref="J2500:J2502"/>
    <mergeCell ref="K2500:K2502"/>
    <mergeCell ref="L2500:L2502"/>
    <mergeCell ref="D2503:D2505"/>
    <mergeCell ref="E2503:E2505"/>
    <mergeCell ref="F2503:F2505"/>
    <mergeCell ref="G2503:G2505"/>
    <mergeCell ref="H2503:H2505"/>
    <mergeCell ref="I2503:I2505"/>
    <mergeCell ref="J2503:J2505"/>
    <mergeCell ref="K2503:K2505"/>
    <mergeCell ref="L2503:L2505"/>
    <mergeCell ref="D2506:F2506"/>
    <mergeCell ref="G2506:L2506"/>
    <mergeCell ref="A2486:A2488"/>
    <mergeCell ref="B2486:C2495"/>
    <mergeCell ref="D2486:D2488"/>
    <mergeCell ref="E2486:E2488"/>
    <mergeCell ref="F2486:F2488"/>
    <mergeCell ref="G2486:G2488"/>
    <mergeCell ref="H2486:H2488"/>
    <mergeCell ref="I2486:I2488"/>
    <mergeCell ref="J2486:J2488"/>
    <mergeCell ref="K2486:K2488"/>
    <mergeCell ref="L2486:L2488"/>
    <mergeCell ref="D2489:D2491"/>
    <mergeCell ref="E2489:E2491"/>
    <mergeCell ref="F2489:F2491"/>
    <mergeCell ref="G2489:G2491"/>
    <mergeCell ref="H2489:H2491"/>
    <mergeCell ref="I2489:I2491"/>
    <mergeCell ref="J2489:J2491"/>
    <mergeCell ref="K2489:K2491"/>
    <mergeCell ref="L2489:L2491"/>
    <mergeCell ref="D2492:D2494"/>
    <mergeCell ref="E2492:E2494"/>
    <mergeCell ref="F2492:F2494"/>
    <mergeCell ref="G2492:G2494"/>
    <mergeCell ref="H2492:H2494"/>
    <mergeCell ref="I2492:I2494"/>
    <mergeCell ref="J2492:J2494"/>
    <mergeCell ref="K2492:K2494"/>
    <mergeCell ref="L2492:L2494"/>
    <mergeCell ref="D2495:F2495"/>
    <mergeCell ref="G2495:L2495"/>
    <mergeCell ref="A2475:A2477"/>
    <mergeCell ref="B2475:C2484"/>
    <mergeCell ref="D2475:D2477"/>
    <mergeCell ref="E2475:E2477"/>
    <mergeCell ref="F2475:F2477"/>
    <mergeCell ref="G2475:G2477"/>
    <mergeCell ref="H2475:H2477"/>
    <mergeCell ref="I2475:I2477"/>
    <mergeCell ref="J2475:J2477"/>
    <mergeCell ref="K2475:K2477"/>
    <mergeCell ref="L2475:L2477"/>
    <mergeCell ref="D2478:D2480"/>
    <mergeCell ref="E2478:E2480"/>
    <mergeCell ref="F2478:F2480"/>
    <mergeCell ref="G2478:G2480"/>
    <mergeCell ref="H2478:H2480"/>
    <mergeCell ref="I2478:I2480"/>
    <mergeCell ref="J2478:J2480"/>
    <mergeCell ref="K2478:K2480"/>
    <mergeCell ref="L2478:L2480"/>
    <mergeCell ref="D2481:D2483"/>
    <mergeCell ref="E2481:E2483"/>
    <mergeCell ref="F2481:F2483"/>
    <mergeCell ref="G2481:G2483"/>
    <mergeCell ref="H2481:H2483"/>
    <mergeCell ref="I2481:I2483"/>
    <mergeCell ref="J2481:J2483"/>
    <mergeCell ref="K2481:K2483"/>
    <mergeCell ref="L2481:L2483"/>
    <mergeCell ref="D2484:F2484"/>
    <mergeCell ref="G2484:L2484"/>
    <mergeCell ref="D2464:D2466"/>
    <mergeCell ref="E2464:E2466"/>
    <mergeCell ref="F2464:F2466"/>
    <mergeCell ref="G2464:G2466"/>
    <mergeCell ref="H2464:H2466"/>
    <mergeCell ref="I2464:I2466"/>
    <mergeCell ref="J2464:J2466"/>
    <mergeCell ref="K2464:K2466"/>
    <mergeCell ref="L2464:L2466"/>
    <mergeCell ref="D2467:D2469"/>
    <mergeCell ref="E2467:E2469"/>
    <mergeCell ref="F2467:F2469"/>
    <mergeCell ref="G2467:G2469"/>
    <mergeCell ref="H2467:H2469"/>
    <mergeCell ref="I2467:I2469"/>
    <mergeCell ref="J2467:J2469"/>
    <mergeCell ref="K2467:K2469"/>
    <mergeCell ref="L2467:L2469"/>
    <mergeCell ref="D2470:D2472"/>
    <mergeCell ref="E2470:E2472"/>
    <mergeCell ref="F2470:F2472"/>
    <mergeCell ref="G2470:G2472"/>
    <mergeCell ref="H2470:H2472"/>
    <mergeCell ref="I2470:I2472"/>
    <mergeCell ref="J2470:J2472"/>
    <mergeCell ref="K2470:K2472"/>
    <mergeCell ref="L2470:L2472"/>
    <mergeCell ref="D2473:F2473"/>
    <mergeCell ref="G2473:L2473"/>
    <mergeCell ref="A2453:A2455"/>
    <mergeCell ref="B2453:C2462"/>
    <mergeCell ref="D2453:D2455"/>
    <mergeCell ref="E2453:E2455"/>
    <mergeCell ref="F2453:F2455"/>
    <mergeCell ref="G2453:G2455"/>
    <mergeCell ref="H2453:H2455"/>
    <mergeCell ref="I2453:I2455"/>
    <mergeCell ref="J2453:J2455"/>
    <mergeCell ref="K2453:K2455"/>
    <mergeCell ref="L2453:L2455"/>
    <mergeCell ref="D2456:D2458"/>
    <mergeCell ref="E2456:E2458"/>
    <mergeCell ref="F2456:F2458"/>
    <mergeCell ref="G2456:G2458"/>
    <mergeCell ref="H2456:H2458"/>
    <mergeCell ref="I2456:I2458"/>
    <mergeCell ref="J2456:J2458"/>
    <mergeCell ref="K2456:K2458"/>
    <mergeCell ref="L2456:L2458"/>
    <mergeCell ref="D2459:D2461"/>
    <mergeCell ref="E2459:E2461"/>
    <mergeCell ref="F2459:F2461"/>
    <mergeCell ref="G2459:G2461"/>
    <mergeCell ref="H2459:H2461"/>
    <mergeCell ref="I2459:I2461"/>
    <mergeCell ref="J2459:J2461"/>
    <mergeCell ref="K2459:K2461"/>
    <mergeCell ref="L2459:L2461"/>
    <mergeCell ref="D2462:F2462"/>
    <mergeCell ref="G2462:L2462"/>
    <mergeCell ref="A2179:A2181"/>
    <mergeCell ref="B2179:C2188"/>
    <mergeCell ref="D2212:D2214"/>
    <mergeCell ref="E2212:E2214"/>
    <mergeCell ref="F2212:F2214"/>
    <mergeCell ref="G2212:G2214"/>
    <mergeCell ref="H2212:H2214"/>
    <mergeCell ref="I2212:I2214"/>
    <mergeCell ref="J2212:J2214"/>
    <mergeCell ref="K2212:K2214"/>
    <mergeCell ref="L2212:L2214"/>
    <mergeCell ref="D2215:D2217"/>
    <mergeCell ref="E2215:E2217"/>
    <mergeCell ref="F2215:F2217"/>
    <mergeCell ref="G2215:G2217"/>
    <mergeCell ref="H2215:H2217"/>
    <mergeCell ref="I2215:I2217"/>
    <mergeCell ref="J2215:J2217"/>
    <mergeCell ref="K2215:K2217"/>
    <mergeCell ref="L2215:L2217"/>
    <mergeCell ref="D2201:D2203"/>
    <mergeCell ref="E2201:E2203"/>
    <mergeCell ref="F2201:F2203"/>
    <mergeCell ref="G2201:G2203"/>
    <mergeCell ref="H2201:H2203"/>
    <mergeCell ref="I2201:I2203"/>
    <mergeCell ref="J2201:J2203"/>
    <mergeCell ref="K2201:K2203"/>
    <mergeCell ref="L2201:L2203"/>
    <mergeCell ref="D2204:D2206"/>
    <mergeCell ref="E2204:E2206"/>
    <mergeCell ref="F2204:F2206"/>
    <mergeCell ref="G2204:G2206"/>
    <mergeCell ref="H2204:H2206"/>
    <mergeCell ref="I2204:I2206"/>
    <mergeCell ref="J2204:J2206"/>
    <mergeCell ref="K2204:K2206"/>
    <mergeCell ref="L2204:L2206"/>
    <mergeCell ref="A2212:A2214"/>
    <mergeCell ref="B2212:C2221"/>
    <mergeCell ref="D2218:D2220"/>
    <mergeCell ref="A2190:A2192"/>
    <mergeCell ref="B2190:C2199"/>
    <mergeCell ref="D2196:D2198"/>
    <mergeCell ref="E2196:E2198"/>
    <mergeCell ref="F2196:F2198"/>
    <mergeCell ref="G2196:G2198"/>
    <mergeCell ref="H2196:H2198"/>
    <mergeCell ref="I2196:I2198"/>
    <mergeCell ref="J2196:J2198"/>
    <mergeCell ref="K2196:K2198"/>
    <mergeCell ref="L2196:L2198"/>
    <mergeCell ref="D2199:F2199"/>
    <mergeCell ref="G2199:L2199"/>
    <mergeCell ref="A2201:A2203"/>
    <mergeCell ref="B2201:C2210"/>
    <mergeCell ref="D2207:D2209"/>
    <mergeCell ref="E2207:E2209"/>
    <mergeCell ref="F2207:F2209"/>
    <mergeCell ref="G2207:G2209"/>
    <mergeCell ref="H2207:H2209"/>
    <mergeCell ref="I2207:I2209"/>
    <mergeCell ref="J2207:J2209"/>
    <mergeCell ref="K2207:K2209"/>
    <mergeCell ref="F2160:F2162"/>
    <mergeCell ref="G2160:G2162"/>
    <mergeCell ref="H2160:H2162"/>
    <mergeCell ref="I2160:I2162"/>
    <mergeCell ref="J2160:J2162"/>
    <mergeCell ref="K2160:K2162"/>
    <mergeCell ref="L2160:L2162"/>
    <mergeCell ref="D2152:D2154"/>
    <mergeCell ref="E2152:E2154"/>
    <mergeCell ref="D2190:D2192"/>
    <mergeCell ref="E2190:E2192"/>
    <mergeCell ref="F2190:F2192"/>
    <mergeCell ref="G2190:G2192"/>
    <mergeCell ref="H2190:H2192"/>
    <mergeCell ref="I2190:I2192"/>
    <mergeCell ref="J2190:J2192"/>
    <mergeCell ref="K2190:K2192"/>
    <mergeCell ref="L2190:L2192"/>
    <mergeCell ref="D2193:D2195"/>
    <mergeCell ref="E2193:E2195"/>
    <mergeCell ref="F2193:F2195"/>
    <mergeCell ref="G2193:G2195"/>
    <mergeCell ref="H2193:H2195"/>
    <mergeCell ref="I2193:I2195"/>
    <mergeCell ref="J2193:J2195"/>
    <mergeCell ref="K2193:K2195"/>
    <mergeCell ref="L2193:L2195"/>
    <mergeCell ref="D2179:D2181"/>
    <mergeCell ref="E2179:E2181"/>
    <mergeCell ref="F2179:F2181"/>
    <mergeCell ref="G2179:G2181"/>
    <mergeCell ref="H2179:H2181"/>
    <mergeCell ref="I2179:I2181"/>
    <mergeCell ref="J2179:J2181"/>
    <mergeCell ref="K2179:K2181"/>
    <mergeCell ref="L2179:L2181"/>
    <mergeCell ref="D2182:D2184"/>
    <mergeCell ref="E2182:E2184"/>
    <mergeCell ref="F2182:F2184"/>
    <mergeCell ref="G2182:G2184"/>
    <mergeCell ref="H2182:H2184"/>
    <mergeCell ref="I2182:I2184"/>
    <mergeCell ref="J2182:J2184"/>
    <mergeCell ref="K2182:K2184"/>
    <mergeCell ref="L2182:L2184"/>
    <mergeCell ref="G2157:G2159"/>
    <mergeCell ref="H2157:H2159"/>
    <mergeCell ref="I2157:I2159"/>
    <mergeCell ref="J2157:J2159"/>
    <mergeCell ref="K2157:K2159"/>
    <mergeCell ref="L2157:L2159"/>
    <mergeCell ref="D2160:D2162"/>
    <mergeCell ref="E2160:E2162"/>
    <mergeCell ref="D2185:D2187"/>
    <mergeCell ref="E2185:E2187"/>
    <mergeCell ref="F2185:F2187"/>
    <mergeCell ref="G2185:G2187"/>
    <mergeCell ref="H2185:H2187"/>
    <mergeCell ref="I2185:I2187"/>
    <mergeCell ref="J2185:J2187"/>
    <mergeCell ref="K2185:K2187"/>
    <mergeCell ref="L2185:L2187"/>
    <mergeCell ref="D2188:F2188"/>
    <mergeCell ref="G2188:L2188"/>
    <mergeCell ref="L2113:L2115"/>
    <mergeCell ref="D2116:D2118"/>
    <mergeCell ref="E2116:E2118"/>
    <mergeCell ref="F2116:F2118"/>
    <mergeCell ref="G2116:G2118"/>
    <mergeCell ref="H2116:H2118"/>
    <mergeCell ref="I2116:I2118"/>
    <mergeCell ref="J2116:J2118"/>
    <mergeCell ref="K2116:K2118"/>
    <mergeCell ref="L2116:L2118"/>
    <mergeCell ref="A2113:A2115"/>
    <mergeCell ref="D2146:D2148"/>
    <mergeCell ref="E2146:E2148"/>
    <mergeCell ref="F2146:F2148"/>
    <mergeCell ref="G2146:G2148"/>
    <mergeCell ref="H2146:H2148"/>
    <mergeCell ref="I2146:I2148"/>
    <mergeCell ref="J2146:J2148"/>
    <mergeCell ref="K2146:K2148"/>
    <mergeCell ref="L2146:L2148"/>
    <mergeCell ref="D2149:D2151"/>
    <mergeCell ref="E2149:E2151"/>
    <mergeCell ref="F2149:F2151"/>
    <mergeCell ref="G2149:G2151"/>
    <mergeCell ref="H2149:H2151"/>
    <mergeCell ref="I2149:I2151"/>
    <mergeCell ref="J2149:J2151"/>
    <mergeCell ref="K2149:K2151"/>
    <mergeCell ref="L2149:L2151"/>
    <mergeCell ref="D2135:D2137"/>
    <mergeCell ref="E2135:E2137"/>
    <mergeCell ref="F2135:F2137"/>
    <mergeCell ref="G2135:G2137"/>
    <mergeCell ref="H2135:H2137"/>
    <mergeCell ref="I2135:I2137"/>
    <mergeCell ref="J2135:J2137"/>
    <mergeCell ref="K2135:K2137"/>
    <mergeCell ref="L2135:L2137"/>
    <mergeCell ref="D2138:D2140"/>
    <mergeCell ref="E2138:E2140"/>
    <mergeCell ref="F2138:F2140"/>
    <mergeCell ref="G2138:G2140"/>
    <mergeCell ref="H2138:H2140"/>
    <mergeCell ref="I2138:I2140"/>
    <mergeCell ref="J2138:J2140"/>
    <mergeCell ref="K2138:K2140"/>
    <mergeCell ref="L2138:L2140"/>
    <mergeCell ref="A2146:A2148"/>
    <mergeCell ref="B2146:C2155"/>
    <mergeCell ref="B2113:C2122"/>
    <mergeCell ref="D2119:D2121"/>
    <mergeCell ref="E2119:E2121"/>
    <mergeCell ref="F2119:F2121"/>
    <mergeCell ref="G2119:G2121"/>
    <mergeCell ref="H2119:H2121"/>
    <mergeCell ref="I2119:I2121"/>
    <mergeCell ref="J2119:J2121"/>
    <mergeCell ref="K2119:K2121"/>
    <mergeCell ref="L2119:L2121"/>
    <mergeCell ref="D2122:F2122"/>
    <mergeCell ref="G2122:L2122"/>
    <mergeCell ref="A2124:A2126"/>
    <mergeCell ref="B2124:C2133"/>
    <mergeCell ref="D2130:D2132"/>
    <mergeCell ref="D1882:D1884"/>
    <mergeCell ref="E1882:E1884"/>
    <mergeCell ref="F1882:F1884"/>
    <mergeCell ref="G1882:G1884"/>
    <mergeCell ref="H1882:H1884"/>
    <mergeCell ref="I1882:I1884"/>
    <mergeCell ref="J1882:J1884"/>
    <mergeCell ref="K1882:K1884"/>
    <mergeCell ref="L1882:L1884"/>
    <mergeCell ref="D1871:D1873"/>
    <mergeCell ref="E1871:E1873"/>
    <mergeCell ref="F1871:F1873"/>
    <mergeCell ref="G1871:G1873"/>
    <mergeCell ref="H1871:H1873"/>
    <mergeCell ref="I1871:I1873"/>
    <mergeCell ref="J1871:J1873"/>
    <mergeCell ref="K1871:K1873"/>
    <mergeCell ref="L1871:L1873"/>
    <mergeCell ref="A1882:A1884"/>
    <mergeCell ref="B1882:C1891"/>
    <mergeCell ref="D1899:D1901"/>
    <mergeCell ref="E1899:E1901"/>
    <mergeCell ref="F1899:F1901"/>
    <mergeCell ref="G1899:G1901"/>
    <mergeCell ref="H1899:H1901"/>
    <mergeCell ref="I1899:I1901"/>
    <mergeCell ref="J1899:J1901"/>
    <mergeCell ref="K1899:K1901"/>
    <mergeCell ref="L1899:L1901"/>
    <mergeCell ref="D1888:D1890"/>
    <mergeCell ref="E1888:E1890"/>
    <mergeCell ref="F1888:F1890"/>
    <mergeCell ref="G1888:G1890"/>
    <mergeCell ref="H1888:H1890"/>
    <mergeCell ref="I1888:I1890"/>
    <mergeCell ref="J1888:J1890"/>
    <mergeCell ref="K1888:K1890"/>
    <mergeCell ref="L1888:L1890"/>
    <mergeCell ref="D1885:D1887"/>
    <mergeCell ref="E1885:E1887"/>
    <mergeCell ref="F1885:F1887"/>
    <mergeCell ref="G1885:G1887"/>
    <mergeCell ref="H1885:H1887"/>
    <mergeCell ref="I1885:I1887"/>
    <mergeCell ref="J1885:J1887"/>
    <mergeCell ref="K1885:K1887"/>
    <mergeCell ref="L1885:L1887"/>
    <mergeCell ref="D1891:F1891"/>
    <mergeCell ref="G1891:L1891"/>
    <mergeCell ref="A1893:A1895"/>
    <mergeCell ref="B1893:C1902"/>
    <mergeCell ref="D1893:D1895"/>
    <mergeCell ref="E1893:E1895"/>
    <mergeCell ref="F1893:F1895"/>
    <mergeCell ref="G1893:G1895"/>
    <mergeCell ref="H1893:H1895"/>
    <mergeCell ref="I1893:I1895"/>
    <mergeCell ref="J1893:J1895"/>
    <mergeCell ref="K1893:K1895"/>
    <mergeCell ref="L1893:L1895"/>
    <mergeCell ref="D1896:D1898"/>
    <mergeCell ref="E1896:E1898"/>
    <mergeCell ref="F1896:F1898"/>
    <mergeCell ref="G1896:G1898"/>
    <mergeCell ref="D1838:D1840"/>
    <mergeCell ref="E1838:E1840"/>
    <mergeCell ref="F1838:F1840"/>
    <mergeCell ref="G1838:G1840"/>
    <mergeCell ref="H1838:H1840"/>
    <mergeCell ref="I1838:I1840"/>
    <mergeCell ref="J1838:J1840"/>
    <mergeCell ref="K1838:K1840"/>
    <mergeCell ref="L1838:L1840"/>
    <mergeCell ref="D1827:D1829"/>
    <mergeCell ref="E1827:E1829"/>
    <mergeCell ref="F1827:F1829"/>
    <mergeCell ref="G1827:G1829"/>
    <mergeCell ref="H1827:H1829"/>
    <mergeCell ref="I1827:I1829"/>
    <mergeCell ref="J1827:J1829"/>
    <mergeCell ref="K1827:K1829"/>
    <mergeCell ref="L1827:L1829"/>
    <mergeCell ref="A1838:A1840"/>
    <mergeCell ref="B1838:C1847"/>
    <mergeCell ref="D1860:D1862"/>
    <mergeCell ref="E1860:E1862"/>
    <mergeCell ref="F1860:F1862"/>
    <mergeCell ref="G1860:G1862"/>
    <mergeCell ref="H1860:H1862"/>
    <mergeCell ref="I1860:I1862"/>
    <mergeCell ref="J1860:J1862"/>
    <mergeCell ref="K1860:K1862"/>
    <mergeCell ref="L1860:L1862"/>
    <mergeCell ref="D1849:D1851"/>
    <mergeCell ref="E1849:E1851"/>
    <mergeCell ref="F1849:F1851"/>
    <mergeCell ref="G1849:G1851"/>
    <mergeCell ref="H1849:H1851"/>
    <mergeCell ref="I1849:I1851"/>
    <mergeCell ref="J1849:J1851"/>
    <mergeCell ref="K1849:K1851"/>
    <mergeCell ref="L1849:L1851"/>
    <mergeCell ref="D1841:D1843"/>
    <mergeCell ref="E1841:E1843"/>
    <mergeCell ref="A1827:A1829"/>
    <mergeCell ref="B1827:C1836"/>
    <mergeCell ref="D1830:D1832"/>
    <mergeCell ref="E1830:E1832"/>
    <mergeCell ref="F1830:F1832"/>
    <mergeCell ref="G1830:G1832"/>
    <mergeCell ref="H1830:H1832"/>
    <mergeCell ref="I1830:I1832"/>
    <mergeCell ref="J1830:J1832"/>
    <mergeCell ref="K1830:K1832"/>
    <mergeCell ref="L1830:L1832"/>
    <mergeCell ref="D1833:D1835"/>
    <mergeCell ref="E1833:E1835"/>
    <mergeCell ref="F1833:F1835"/>
    <mergeCell ref="G1833:G1835"/>
    <mergeCell ref="H1833:H1835"/>
    <mergeCell ref="I1833:I1835"/>
    <mergeCell ref="J1833:J1835"/>
    <mergeCell ref="K1833:K1835"/>
    <mergeCell ref="L1833:L1835"/>
    <mergeCell ref="D1836:F1836"/>
    <mergeCell ref="G1836:L1836"/>
    <mergeCell ref="F1841:F1843"/>
    <mergeCell ref="G1841:G1843"/>
    <mergeCell ref="D1794:D1796"/>
    <mergeCell ref="E1794:E1796"/>
    <mergeCell ref="F1794:F1796"/>
    <mergeCell ref="G1794:G1796"/>
    <mergeCell ref="H1794:H1796"/>
    <mergeCell ref="I1794:I1796"/>
    <mergeCell ref="J1794:J1796"/>
    <mergeCell ref="K1794:K1796"/>
    <mergeCell ref="L1794:L1796"/>
    <mergeCell ref="D1783:D1785"/>
    <mergeCell ref="E1783:E1785"/>
    <mergeCell ref="F1783:F1785"/>
    <mergeCell ref="G1783:G1785"/>
    <mergeCell ref="H1783:H1785"/>
    <mergeCell ref="I1783:I1785"/>
    <mergeCell ref="J1783:J1785"/>
    <mergeCell ref="K1783:K1785"/>
    <mergeCell ref="L1783:L1785"/>
    <mergeCell ref="A1794:A1796"/>
    <mergeCell ref="D1816:D1818"/>
    <mergeCell ref="E1816:E1818"/>
    <mergeCell ref="F1816:F1818"/>
    <mergeCell ref="G1816:G1818"/>
    <mergeCell ref="H1816:H1818"/>
    <mergeCell ref="I1816:I1818"/>
    <mergeCell ref="J1816:J1818"/>
    <mergeCell ref="K1816:K1818"/>
    <mergeCell ref="L1816:L1818"/>
    <mergeCell ref="D1805:D1807"/>
    <mergeCell ref="E1805:E1807"/>
    <mergeCell ref="F1805:F1807"/>
    <mergeCell ref="G1805:G1807"/>
    <mergeCell ref="H1805:H1807"/>
    <mergeCell ref="I1805:I1807"/>
    <mergeCell ref="J1805:J1807"/>
    <mergeCell ref="K1805:K1807"/>
    <mergeCell ref="L1805:L1807"/>
    <mergeCell ref="B1794:C1803"/>
    <mergeCell ref="D1797:D1799"/>
    <mergeCell ref="E1797:E1799"/>
    <mergeCell ref="F1797:F1799"/>
    <mergeCell ref="G1797:G1799"/>
    <mergeCell ref="H1797:H1799"/>
    <mergeCell ref="I1797:I1799"/>
    <mergeCell ref="J1797:J1799"/>
    <mergeCell ref="K1797:K1799"/>
    <mergeCell ref="L1797:L1799"/>
    <mergeCell ref="D1800:D1802"/>
    <mergeCell ref="E1800:E1802"/>
    <mergeCell ref="F1800:F1802"/>
    <mergeCell ref="G1800:G1802"/>
    <mergeCell ref="H1800:H1802"/>
    <mergeCell ref="I1800:I1802"/>
    <mergeCell ref="J1800:J1802"/>
    <mergeCell ref="K1800:K1802"/>
    <mergeCell ref="L1800:L1802"/>
    <mergeCell ref="D1803:F1803"/>
    <mergeCell ref="G1803:L1803"/>
    <mergeCell ref="A1805:A1807"/>
    <mergeCell ref="B1805:C1814"/>
    <mergeCell ref="D1808:D1810"/>
    <mergeCell ref="E1808:E1810"/>
    <mergeCell ref="F1808:F1810"/>
    <mergeCell ref="G1808:G1810"/>
    <mergeCell ref="K1644:K1646"/>
    <mergeCell ref="L1644:L1646"/>
    <mergeCell ref="D1647:D1649"/>
    <mergeCell ref="E1647:E1649"/>
    <mergeCell ref="F1647:F1649"/>
    <mergeCell ref="G1647:G1649"/>
    <mergeCell ref="H1647:H1649"/>
    <mergeCell ref="I1647:I1649"/>
    <mergeCell ref="J1647:J1649"/>
    <mergeCell ref="K1647:K1649"/>
    <mergeCell ref="L1647:L1649"/>
    <mergeCell ref="D1633:D1635"/>
    <mergeCell ref="E1633:E1635"/>
    <mergeCell ref="F1633:F1635"/>
    <mergeCell ref="G1633:G1635"/>
    <mergeCell ref="H1633:H1635"/>
    <mergeCell ref="I1633:I1635"/>
    <mergeCell ref="J1633:J1635"/>
    <mergeCell ref="K1633:K1635"/>
    <mergeCell ref="L1633:L1635"/>
    <mergeCell ref="D1636:D1638"/>
    <mergeCell ref="E1636:E1638"/>
    <mergeCell ref="F1636:F1638"/>
    <mergeCell ref="G1636:G1638"/>
    <mergeCell ref="H1636:H1638"/>
    <mergeCell ref="I1636:I1638"/>
    <mergeCell ref="J1636:J1638"/>
    <mergeCell ref="K1636:K1638"/>
    <mergeCell ref="L1636:L1638"/>
    <mergeCell ref="A1652:A1654"/>
    <mergeCell ref="B1652:C1661"/>
    <mergeCell ref="A1674:A1676"/>
    <mergeCell ref="B1674:C1686"/>
    <mergeCell ref="D1674:D1676"/>
    <mergeCell ref="D1652:D1654"/>
    <mergeCell ref="E1652:E1654"/>
    <mergeCell ref="F1652:F1654"/>
    <mergeCell ref="G1652:G1654"/>
    <mergeCell ref="H1652:H1654"/>
    <mergeCell ref="I1652:I1654"/>
    <mergeCell ref="J1652:J1654"/>
    <mergeCell ref="K1652:K1654"/>
    <mergeCell ref="L1652:L1654"/>
    <mergeCell ref="D1655:D1657"/>
    <mergeCell ref="E1655:E1657"/>
    <mergeCell ref="F1655:F1657"/>
    <mergeCell ref="G1655:G1657"/>
    <mergeCell ref="H1655:H1657"/>
    <mergeCell ref="I1655:I1657"/>
    <mergeCell ref="J1655:J1657"/>
    <mergeCell ref="K1655:K1657"/>
    <mergeCell ref="L1655:L1657"/>
    <mergeCell ref="D1658:D1660"/>
    <mergeCell ref="E1658:E1660"/>
    <mergeCell ref="F1658:F1660"/>
    <mergeCell ref="G1658:G1660"/>
    <mergeCell ref="H1658:H1660"/>
    <mergeCell ref="I1658:I1660"/>
    <mergeCell ref="J1658:J1660"/>
    <mergeCell ref="K1658:K1660"/>
    <mergeCell ref="L1658:L1660"/>
    <mergeCell ref="D1661:F1661"/>
    <mergeCell ref="G1661:L1661"/>
    <mergeCell ref="A1663:A1665"/>
    <mergeCell ref="K1578:K1580"/>
    <mergeCell ref="L1578:L1580"/>
    <mergeCell ref="D1581:D1583"/>
    <mergeCell ref="E1581:E1583"/>
    <mergeCell ref="F1581:F1583"/>
    <mergeCell ref="G1581:G1583"/>
    <mergeCell ref="H1581:H1583"/>
    <mergeCell ref="I1581:I1583"/>
    <mergeCell ref="J1581:J1583"/>
    <mergeCell ref="K1581:K1583"/>
    <mergeCell ref="L1581:L1583"/>
    <mergeCell ref="D1567:D1569"/>
    <mergeCell ref="E1567:E1569"/>
    <mergeCell ref="F1567:F1569"/>
    <mergeCell ref="G1567:G1569"/>
    <mergeCell ref="H1567:H1569"/>
    <mergeCell ref="I1567:I1569"/>
    <mergeCell ref="J1567:J1569"/>
    <mergeCell ref="K1567:K1569"/>
    <mergeCell ref="L1567:L1569"/>
    <mergeCell ref="D1570:D1572"/>
    <mergeCell ref="E1570:E1572"/>
    <mergeCell ref="F1570:F1572"/>
    <mergeCell ref="G1570:G1572"/>
    <mergeCell ref="H1570:H1572"/>
    <mergeCell ref="I1570:I1572"/>
    <mergeCell ref="J1570:J1572"/>
    <mergeCell ref="K1570:K1572"/>
    <mergeCell ref="L1570:L1572"/>
    <mergeCell ref="A1586:A1588"/>
    <mergeCell ref="B1586:C1595"/>
    <mergeCell ref="D1600:D1602"/>
    <mergeCell ref="E1600:E1602"/>
    <mergeCell ref="F1600:F1602"/>
    <mergeCell ref="G1600:G1602"/>
    <mergeCell ref="H1600:H1602"/>
    <mergeCell ref="I1600:I1602"/>
    <mergeCell ref="J1600:J1602"/>
    <mergeCell ref="K1600:K1602"/>
    <mergeCell ref="L1600:L1602"/>
    <mergeCell ref="D1589:D1591"/>
    <mergeCell ref="E1589:E1591"/>
    <mergeCell ref="F1589:F1591"/>
    <mergeCell ref="G1589:G1591"/>
    <mergeCell ref="H1589:H1591"/>
    <mergeCell ref="I1589:I1591"/>
    <mergeCell ref="J1589:J1591"/>
    <mergeCell ref="K1589:K1591"/>
    <mergeCell ref="L1589:L1591"/>
    <mergeCell ref="D1592:D1594"/>
    <mergeCell ref="E1592:E1594"/>
    <mergeCell ref="F1592:F1594"/>
    <mergeCell ref="G1592:G1594"/>
    <mergeCell ref="H1592:H1594"/>
    <mergeCell ref="I1592:I1594"/>
    <mergeCell ref="J1592:J1594"/>
    <mergeCell ref="K1592:K1594"/>
    <mergeCell ref="L1592:L1594"/>
    <mergeCell ref="D1586:D1588"/>
    <mergeCell ref="E1586:E1588"/>
    <mergeCell ref="F1586:F1588"/>
    <mergeCell ref="G1586:G1588"/>
    <mergeCell ref="H1586:H1588"/>
    <mergeCell ref="I1586:I1588"/>
    <mergeCell ref="A1:L1"/>
    <mergeCell ref="D2:D4"/>
    <mergeCell ref="E2:E4"/>
    <mergeCell ref="F2:F4"/>
    <mergeCell ref="G2:G4"/>
    <mergeCell ref="H2:H4"/>
    <mergeCell ref="I2:I4"/>
    <mergeCell ref="A57:A59"/>
    <mergeCell ref="B2:C11"/>
    <mergeCell ref="D11:F11"/>
    <mergeCell ref="G11:L11"/>
    <mergeCell ref="D85:D87"/>
    <mergeCell ref="E85:E87"/>
    <mergeCell ref="F85:F87"/>
    <mergeCell ref="G85:G87"/>
    <mergeCell ref="H85:H87"/>
    <mergeCell ref="I85:I87"/>
    <mergeCell ref="J85:J87"/>
    <mergeCell ref="D96:D98"/>
    <mergeCell ref="D110:F110"/>
    <mergeCell ref="G110:L110"/>
    <mergeCell ref="A563:A565"/>
    <mergeCell ref="A585:A587"/>
    <mergeCell ref="B585:C594"/>
    <mergeCell ref="A607:A609"/>
    <mergeCell ref="B607:C616"/>
    <mergeCell ref="A629:A631"/>
    <mergeCell ref="B629:C638"/>
    <mergeCell ref="A651:A653"/>
    <mergeCell ref="B651:C660"/>
    <mergeCell ref="A673:A675"/>
    <mergeCell ref="A695:A697"/>
    <mergeCell ref="B695:C704"/>
    <mergeCell ref="D8:D10"/>
    <mergeCell ref="E8:E10"/>
    <mergeCell ref="F8:F10"/>
    <mergeCell ref="G8:G10"/>
    <mergeCell ref="H8:H10"/>
    <mergeCell ref="I8:I10"/>
    <mergeCell ref="J8:J10"/>
    <mergeCell ref="K8:K10"/>
    <mergeCell ref="L8:L10"/>
    <mergeCell ref="J2:J4"/>
    <mergeCell ref="K2:K4"/>
    <mergeCell ref="L2:L4"/>
    <mergeCell ref="A2:A4"/>
    <mergeCell ref="D5:D7"/>
    <mergeCell ref="F5:F7"/>
    <mergeCell ref="E5:E7"/>
    <mergeCell ref="G5:G7"/>
    <mergeCell ref="H5:H7"/>
    <mergeCell ref="I5:I7"/>
    <mergeCell ref="J5:J7"/>
    <mergeCell ref="K5:K7"/>
    <mergeCell ref="L5:L7"/>
    <mergeCell ref="I27:I29"/>
    <mergeCell ref="J27:J29"/>
    <mergeCell ref="K27:K29"/>
    <mergeCell ref="L27:L29"/>
    <mergeCell ref="K13:K15"/>
    <mergeCell ref="L13:L15"/>
    <mergeCell ref="D16:D18"/>
    <mergeCell ref="E16:E18"/>
    <mergeCell ref="F16:F18"/>
    <mergeCell ref="G16:G18"/>
    <mergeCell ref="H16:H18"/>
    <mergeCell ref="I16:I18"/>
    <mergeCell ref="J16:J18"/>
    <mergeCell ref="K16:K18"/>
    <mergeCell ref="L16:L18"/>
    <mergeCell ref="A13:A15"/>
    <mergeCell ref="B13:C22"/>
    <mergeCell ref="D13:D15"/>
    <mergeCell ref="E13:E15"/>
    <mergeCell ref="F13:F15"/>
    <mergeCell ref="G13:G15"/>
    <mergeCell ref="H13:H15"/>
    <mergeCell ref="I13:I15"/>
    <mergeCell ref="J13:J15"/>
    <mergeCell ref="D19:D21"/>
    <mergeCell ref="E19:E21"/>
    <mergeCell ref="F19:F21"/>
    <mergeCell ref="G19:G21"/>
    <mergeCell ref="H19:H21"/>
    <mergeCell ref="I19:I21"/>
    <mergeCell ref="J19:J21"/>
    <mergeCell ref="L38:L40"/>
    <mergeCell ref="D41:D43"/>
    <mergeCell ref="E41:E43"/>
    <mergeCell ref="D30:D32"/>
    <mergeCell ref="E30:E32"/>
    <mergeCell ref="F30:F32"/>
    <mergeCell ref="G30:G32"/>
    <mergeCell ref="H30:H32"/>
    <mergeCell ref="I30:I32"/>
    <mergeCell ref="J30:J32"/>
    <mergeCell ref="K30:K32"/>
    <mergeCell ref="L30:L32"/>
    <mergeCell ref="K19:K21"/>
    <mergeCell ref="L19:L21"/>
    <mergeCell ref="D22:F22"/>
    <mergeCell ref="G22:L22"/>
    <mergeCell ref="A24:A26"/>
    <mergeCell ref="B24:C33"/>
    <mergeCell ref="D24:D26"/>
    <mergeCell ref="E24:E26"/>
    <mergeCell ref="F24:F26"/>
    <mergeCell ref="G24:G26"/>
    <mergeCell ref="H24:H26"/>
    <mergeCell ref="I24:I26"/>
    <mergeCell ref="J24:J26"/>
    <mergeCell ref="K24:K26"/>
    <mergeCell ref="L24:L26"/>
    <mergeCell ref="D27:D29"/>
    <mergeCell ref="E27:E29"/>
    <mergeCell ref="F27:F29"/>
    <mergeCell ref="G27:G29"/>
    <mergeCell ref="H27:H29"/>
    <mergeCell ref="F41:F43"/>
    <mergeCell ref="G41:G43"/>
    <mergeCell ref="H41:H43"/>
    <mergeCell ref="I41:I43"/>
    <mergeCell ref="J41:J43"/>
    <mergeCell ref="K41:K43"/>
    <mergeCell ref="L41:L43"/>
    <mergeCell ref="D44:F44"/>
    <mergeCell ref="G44:L44"/>
    <mergeCell ref="D33:F33"/>
    <mergeCell ref="G33:L33"/>
    <mergeCell ref="A35:A37"/>
    <mergeCell ref="B35:C44"/>
    <mergeCell ref="D35:D37"/>
    <mergeCell ref="E35:E37"/>
    <mergeCell ref="F35:F37"/>
    <mergeCell ref="G35:G37"/>
    <mergeCell ref="H35:H37"/>
    <mergeCell ref="I35:I37"/>
    <mergeCell ref="J35:J37"/>
    <mergeCell ref="K35:K37"/>
    <mergeCell ref="L35:L37"/>
    <mergeCell ref="D38:D40"/>
    <mergeCell ref="E38:E40"/>
    <mergeCell ref="F38:F40"/>
    <mergeCell ref="G38:G40"/>
    <mergeCell ref="H38:H40"/>
    <mergeCell ref="I38:I40"/>
    <mergeCell ref="J38:J40"/>
    <mergeCell ref="K38:K40"/>
    <mergeCell ref="K46:K48"/>
    <mergeCell ref="L46:L48"/>
    <mergeCell ref="D49:D51"/>
    <mergeCell ref="E49:E51"/>
    <mergeCell ref="F49:F51"/>
    <mergeCell ref="G49:G51"/>
    <mergeCell ref="H49:H51"/>
    <mergeCell ref="I49:I51"/>
    <mergeCell ref="J49:J51"/>
    <mergeCell ref="K49:K51"/>
    <mergeCell ref="L49:L51"/>
    <mergeCell ref="A46:A48"/>
    <mergeCell ref="B46:C55"/>
    <mergeCell ref="D46:D48"/>
    <mergeCell ref="E46:E48"/>
    <mergeCell ref="F46:F48"/>
    <mergeCell ref="G46:G48"/>
    <mergeCell ref="H46:H48"/>
    <mergeCell ref="I46:I48"/>
    <mergeCell ref="J46:J48"/>
    <mergeCell ref="D52:D54"/>
    <mergeCell ref="E52:E54"/>
    <mergeCell ref="F52:F54"/>
    <mergeCell ref="G52:G54"/>
    <mergeCell ref="H52:H54"/>
    <mergeCell ref="I52:I54"/>
    <mergeCell ref="J52:J54"/>
    <mergeCell ref="D66:F66"/>
    <mergeCell ref="G66:L66"/>
    <mergeCell ref="K52:K54"/>
    <mergeCell ref="L52:L54"/>
    <mergeCell ref="D55:F55"/>
    <mergeCell ref="G55:L55"/>
    <mergeCell ref="B57:C66"/>
    <mergeCell ref="D57:D59"/>
    <mergeCell ref="E57:E59"/>
    <mergeCell ref="F57:F59"/>
    <mergeCell ref="G57:G59"/>
    <mergeCell ref="H57:H59"/>
    <mergeCell ref="I57:I59"/>
    <mergeCell ref="J57:J59"/>
    <mergeCell ref="K57:K59"/>
    <mergeCell ref="L57:L59"/>
    <mergeCell ref="D60:D62"/>
    <mergeCell ref="E60:E62"/>
    <mergeCell ref="F60:F62"/>
    <mergeCell ref="G60:G62"/>
    <mergeCell ref="H60:H62"/>
    <mergeCell ref="I60:I62"/>
    <mergeCell ref="J60:J62"/>
    <mergeCell ref="K60:K62"/>
    <mergeCell ref="L60:L62"/>
    <mergeCell ref="D63:D65"/>
    <mergeCell ref="E63:E65"/>
    <mergeCell ref="K68:K70"/>
    <mergeCell ref="L68:L70"/>
    <mergeCell ref="D71:D73"/>
    <mergeCell ref="E71:E73"/>
    <mergeCell ref="F71:F73"/>
    <mergeCell ref="G71:G73"/>
    <mergeCell ref="H71:H73"/>
    <mergeCell ref="I71:I73"/>
    <mergeCell ref="J71:J73"/>
    <mergeCell ref="K71:K73"/>
    <mergeCell ref="L71:L73"/>
    <mergeCell ref="F63:F65"/>
    <mergeCell ref="G63:G65"/>
    <mergeCell ref="H63:H65"/>
    <mergeCell ref="I63:I65"/>
    <mergeCell ref="J63:J65"/>
    <mergeCell ref="K63:K65"/>
    <mergeCell ref="L63:L65"/>
    <mergeCell ref="A68:A70"/>
    <mergeCell ref="B68:C77"/>
    <mergeCell ref="D68:D70"/>
    <mergeCell ref="E68:E70"/>
    <mergeCell ref="F68:F70"/>
    <mergeCell ref="G68:G70"/>
    <mergeCell ref="H68:H70"/>
    <mergeCell ref="I68:I70"/>
    <mergeCell ref="J68:J70"/>
    <mergeCell ref="D74:D76"/>
    <mergeCell ref="E74:E76"/>
    <mergeCell ref="F74:F76"/>
    <mergeCell ref="G74:G76"/>
    <mergeCell ref="H74:H76"/>
    <mergeCell ref="I74:I76"/>
    <mergeCell ref="J74:J76"/>
    <mergeCell ref="K74:K76"/>
    <mergeCell ref="L74:L76"/>
    <mergeCell ref="D77:F77"/>
    <mergeCell ref="G77:L77"/>
    <mergeCell ref="A79:A81"/>
    <mergeCell ref="B79:C88"/>
    <mergeCell ref="D79:D81"/>
    <mergeCell ref="E79:E81"/>
    <mergeCell ref="F79:F81"/>
    <mergeCell ref="G79:G81"/>
    <mergeCell ref="H79:H81"/>
    <mergeCell ref="I79:I81"/>
    <mergeCell ref="J79:J81"/>
    <mergeCell ref="K79:K81"/>
    <mergeCell ref="L79:L81"/>
    <mergeCell ref="D82:D84"/>
    <mergeCell ref="E82:E84"/>
    <mergeCell ref="F82:F84"/>
    <mergeCell ref="G82:G84"/>
    <mergeCell ref="H82:H84"/>
    <mergeCell ref="I82:I84"/>
    <mergeCell ref="J82:J84"/>
    <mergeCell ref="K82:K84"/>
    <mergeCell ref="L82:L84"/>
    <mergeCell ref="K85:K87"/>
    <mergeCell ref="L85:L87"/>
    <mergeCell ref="D88:F88"/>
    <mergeCell ref="G88:L88"/>
    <mergeCell ref="A90:A92"/>
    <mergeCell ref="B90:C99"/>
    <mergeCell ref="D90:D92"/>
    <mergeCell ref="E90:E92"/>
    <mergeCell ref="F90:F92"/>
    <mergeCell ref="G90:G92"/>
    <mergeCell ref="H90:H92"/>
    <mergeCell ref="I90:I92"/>
    <mergeCell ref="J90:J92"/>
    <mergeCell ref="K90:K92"/>
    <mergeCell ref="L90:L92"/>
    <mergeCell ref="D93:D95"/>
    <mergeCell ref="E93:E95"/>
    <mergeCell ref="F93:F95"/>
    <mergeCell ref="G93:G95"/>
    <mergeCell ref="H93:H95"/>
    <mergeCell ref="I93:I95"/>
    <mergeCell ref="J93:J95"/>
    <mergeCell ref="K93:K95"/>
    <mergeCell ref="L93:L95"/>
    <mergeCell ref="E96:E98"/>
    <mergeCell ref="F96:F98"/>
    <mergeCell ref="G96:G98"/>
    <mergeCell ref="H96:H98"/>
    <mergeCell ref="I96:I98"/>
    <mergeCell ref="J96:J98"/>
    <mergeCell ref="K96:K98"/>
    <mergeCell ref="L96:L98"/>
    <mergeCell ref="D99:F99"/>
    <mergeCell ref="G99:L99"/>
    <mergeCell ref="A101:A103"/>
    <mergeCell ref="B101:C110"/>
    <mergeCell ref="D101:D103"/>
    <mergeCell ref="E101:E103"/>
    <mergeCell ref="F101:F103"/>
    <mergeCell ref="G101:G103"/>
    <mergeCell ref="H101:H103"/>
    <mergeCell ref="I101:I103"/>
    <mergeCell ref="J101:J103"/>
    <mergeCell ref="K101:K103"/>
    <mergeCell ref="L101:L103"/>
    <mergeCell ref="D104:D106"/>
    <mergeCell ref="E104:E106"/>
    <mergeCell ref="F104:F106"/>
    <mergeCell ref="G104:G106"/>
    <mergeCell ref="H104:H106"/>
    <mergeCell ref="I104:I106"/>
    <mergeCell ref="J104:J106"/>
    <mergeCell ref="K104:K106"/>
    <mergeCell ref="L104:L106"/>
    <mergeCell ref="D107:D109"/>
    <mergeCell ref="E107:E109"/>
    <mergeCell ref="F107:F109"/>
    <mergeCell ref="G107:G109"/>
    <mergeCell ref="H107:H109"/>
    <mergeCell ref="I107:I109"/>
    <mergeCell ref="J107:J109"/>
    <mergeCell ref="K107:K109"/>
    <mergeCell ref="L107:L109"/>
    <mergeCell ref="E115:E117"/>
    <mergeCell ref="F115:F117"/>
    <mergeCell ref="G115:G117"/>
    <mergeCell ref="H115:H117"/>
    <mergeCell ref="I115:I117"/>
    <mergeCell ref="J115:J117"/>
    <mergeCell ref="K115:K117"/>
    <mergeCell ref="L115:L117"/>
    <mergeCell ref="D118:D120"/>
    <mergeCell ref="E118:E120"/>
    <mergeCell ref="F118:F120"/>
    <mergeCell ref="G118:G120"/>
    <mergeCell ref="H118:H120"/>
    <mergeCell ref="I118:I120"/>
    <mergeCell ref="J118:J120"/>
    <mergeCell ref="K118:K120"/>
    <mergeCell ref="L118:L120"/>
    <mergeCell ref="H126:H128"/>
    <mergeCell ref="I126:I128"/>
    <mergeCell ref="J126:J128"/>
    <mergeCell ref="K126:K128"/>
    <mergeCell ref="L126:L128"/>
    <mergeCell ref="K129:K131"/>
    <mergeCell ref="L129:L131"/>
    <mergeCell ref="D132:F132"/>
    <mergeCell ref="G132:L132"/>
    <mergeCell ref="D121:F121"/>
    <mergeCell ref="G121:L121"/>
    <mergeCell ref="A123:A125"/>
    <mergeCell ref="B123:C132"/>
    <mergeCell ref="D123:D125"/>
    <mergeCell ref="E123:E125"/>
    <mergeCell ref="F123:F125"/>
    <mergeCell ref="G123:G125"/>
    <mergeCell ref="H123:H125"/>
    <mergeCell ref="I123:I125"/>
    <mergeCell ref="J123:J125"/>
    <mergeCell ref="D129:D131"/>
    <mergeCell ref="E129:E131"/>
    <mergeCell ref="F129:F131"/>
    <mergeCell ref="G129:G131"/>
    <mergeCell ref="H129:H131"/>
    <mergeCell ref="I129:I131"/>
    <mergeCell ref="J129:J131"/>
    <mergeCell ref="K123:K125"/>
    <mergeCell ref="L123:L125"/>
    <mergeCell ref="D126:D128"/>
    <mergeCell ref="E126:E128"/>
    <mergeCell ref="F126:F128"/>
    <mergeCell ref="L148:L150"/>
    <mergeCell ref="K134:K136"/>
    <mergeCell ref="L134:L136"/>
    <mergeCell ref="D137:D139"/>
    <mergeCell ref="E137:E139"/>
    <mergeCell ref="F137:F139"/>
    <mergeCell ref="G137:G139"/>
    <mergeCell ref="H137:H139"/>
    <mergeCell ref="I137:I139"/>
    <mergeCell ref="J137:J139"/>
    <mergeCell ref="K137:K139"/>
    <mergeCell ref="L137:L139"/>
    <mergeCell ref="A134:A136"/>
    <mergeCell ref="B134:C143"/>
    <mergeCell ref="D134:D136"/>
    <mergeCell ref="E134:E136"/>
    <mergeCell ref="F134:F136"/>
    <mergeCell ref="G134:G136"/>
    <mergeCell ref="H134:H136"/>
    <mergeCell ref="I134:I136"/>
    <mergeCell ref="J134:J136"/>
    <mergeCell ref="D140:D142"/>
    <mergeCell ref="E140:E142"/>
    <mergeCell ref="F140:F142"/>
    <mergeCell ref="G140:G142"/>
    <mergeCell ref="H140:H142"/>
    <mergeCell ref="I140:I142"/>
    <mergeCell ref="J140:J142"/>
    <mergeCell ref="D151:D153"/>
    <mergeCell ref="E151:E153"/>
    <mergeCell ref="F151:F153"/>
    <mergeCell ref="G151:G153"/>
    <mergeCell ref="H151:H153"/>
    <mergeCell ref="I151:I153"/>
    <mergeCell ref="J151:J153"/>
    <mergeCell ref="K151:K153"/>
    <mergeCell ref="L151:L153"/>
    <mergeCell ref="K140:K142"/>
    <mergeCell ref="L140:L142"/>
    <mergeCell ref="D143:F143"/>
    <mergeCell ref="G143:L143"/>
    <mergeCell ref="A145:A147"/>
    <mergeCell ref="B145:C154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D148:D150"/>
    <mergeCell ref="E148:E150"/>
    <mergeCell ref="F148:F150"/>
    <mergeCell ref="G148:G150"/>
    <mergeCell ref="H148:H150"/>
    <mergeCell ref="I148:I150"/>
    <mergeCell ref="J148:J150"/>
    <mergeCell ref="K148:K150"/>
    <mergeCell ref="D154:F154"/>
    <mergeCell ref="G154:L154"/>
    <mergeCell ref="K156:K158"/>
    <mergeCell ref="L156:L158"/>
    <mergeCell ref="D159:D161"/>
    <mergeCell ref="E159:E161"/>
    <mergeCell ref="F159:F161"/>
    <mergeCell ref="G159:G161"/>
    <mergeCell ref="H159:H161"/>
    <mergeCell ref="I159:I161"/>
    <mergeCell ref="J159:J161"/>
    <mergeCell ref="K159:K161"/>
    <mergeCell ref="L159:L161"/>
    <mergeCell ref="H156:H158"/>
    <mergeCell ref="I156:I158"/>
    <mergeCell ref="J156:J158"/>
    <mergeCell ref="D162:D164"/>
    <mergeCell ref="E162:E164"/>
    <mergeCell ref="F162:F164"/>
    <mergeCell ref="G162:G164"/>
    <mergeCell ref="H162:H164"/>
    <mergeCell ref="I162:I164"/>
    <mergeCell ref="A167:A169"/>
    <mergeCell ref="B167:C176"/>
    <mergeCell ref="D167:D169"/>
    <mergeCell ref="E167:E169"/>
    <mergeCell ref="F167:F169"/>
    <mergeCell ref="G167:G169"/>
    <mergeCell ref="H167:H169"/>
    <mergeCell ref="I167:I169"/>
    <mergeCell ref="J167:J169"/>
    <mergeCell ref="D173:D175"/>
    <mergeCell ref="E173:E175"/>
    <mergeCell ref="F173:F175"/>
    <mergeCell ref="G173:G175"/>
    <mergeCell ref="H173:H175"/>
    <mergeCell ref="I173:I175"/>
    <mergeCell ref="J173:J175"/>
    <mergeCell ref="K167:K169"/>
    <mergeCell ref="D170:D172"/>
    <mergeCell ref="E170:E172"/>
    <mergeCell ref="F170:F172"/>
    <mergeCell ref="G170:G172"/>
    <mergeCell ref="H170:H172"/>
    <mergeCell ref="I170:I172"/>
    <mergeCell ref="J170:J172"/>
    <mergeCell ref="K170:K172"/>
    <mergeCell ref="L170:L172"/>
    <mergeCell ref="K173:K175"/>
    <mergeCell ref="L173:L175"/>
    <mergeCell ref="J162:J164"/>
    <mergeCell ref="K162:K164"/>
    <mergeCell ref="L162:L164"/>
    <mergeCell ref="D165:F165"/>
    <mergeCell ref="G165:L165"/>
    <mergeCell ref="L167:L169"/>
    <mergeCell ref="G187:L187"/>
    <mergeCell ref="D176:F176"/>
    <mergeCell ref="G176:L176"/>
    <mergeCell ref="J203:J205"/>
    <mergeCell ref="K203:K205"/>
    <mergeCell ref="L203:L205"/>
    <mergeCell ref="A178:A180"/>
    <mergeCell ref="B178:C187"/>
    <mergeCell ref="D178:D180"/>
    <mergeCell ref="E178:E180"/>
    <mergeCell ref="F178:F180"/>
    <mergeCell ref="G178:G180"/>
    <mergeCell ref="H178:H180"/>
    <mergeCell ref="I178:I180"/>
    <mergeCell ref="J178:J180"/>
    <mergeCell ref="K178:K180"/>
    <mergeCell ref="L178:L180"/>
    <mergeCell ref="D181:D183"/>
    <mergeCell ref="E181:E183"/>
    <mergeCell ref="F181:F183"/>
    <mergeCell ref="G181:G183"/>
    <mergeCell ref="H181:H183"/>
    <mergeCell ref="I181:I183"/>
    <mergeCell ref="J181:J183"/>
    <mergeCell ref="K189:K191"/>
    <mergeCell ref="L189:L191"/>
    <mergeCell ref="D192:D194"/>
    <mergeCell ref="E192:E194"/>
    <mergeCell ref="F192:F194"/>
    <mergeCell ref="G192:G194"/>
    <mergeCell ref="H192:H194"/>
    <mergeCell ref="I192:I194"/>
    <mergeCell ref="J192:J194"/>
    <mergeCell ref="K192:K194"/>
    <mergeCell ref="L192:L194"/>
    <mergeCell ref="A189:A191"/>
    <mergeCell ref="B189:C198"/>
    <mergeCell ref="D189:D191"/>
    <mergeCell ref="E189:E191"/>
    <mergeCell ref="F189:F191"/>
    <mergeCell ref="G189:G191"/>
    <mergeCell ref="H189:H191"/>
    <mergeCell ref="I189:I191"/>
    <mergeCell ref="J189:J191"/>
    <mergeCell ref="D195:D197"/>
    <mergeCell ref="E195:E197"/>
    <mergeCell ref="F195:F197"/>
    <mergeCell ref="G195:G197"/>
    <mergeCell ref="H195:H197"/>
    <mergeCell ref="I195:I197"/>
    <mergeCell ref="J195:J197"/>
    <mergeCell ref="K181:K183"/>
    <mergeCell ref="L181:L183"/>
    <mergeCell ref="D184:D186"/>
    <mergeCell ref="E184:E186"/>
    <mergeCell ref="F184:F186"/>
    <mergeCell ref="G184:G186"/>
    <mergeCell ref="H184:H186"/>
    <mergeCell ref="I184:I186"/>
    <mergeCell ref="J184:J186"/>
    <mergeCell ref="K184:K186"/>
    <mergeCell ref="L184:L186"/>
    <mergeCell ref="D187:F187"/>
    <mergeCell ref="G198:L198"/>
    <mergeCell ref="A200:A202"/>
    <mergeCell ref="B200:C209"/>
    <mergeCell ref="D200:D202"/>
    <mergeCell ref="E200:E202"/>
    <mergeCell ref="F200:F202"/>
    <mergeCell ref="G200:G202"/>
    <mergeCell ref="H200:H202"/>
    <mergeCell ref="I200:I202"/>
    <mergeCell ref="J200:J202"/>
    <mergeCell ref="D206:D208"/>
    <mergeCell ref="E206:E208"/>
    <mergeCell ref="F206:F208"/>
    <mergeCell ref="G206:G208"/>
    <mergeCell ref="H206:H208"/>
    <mergeCell ref="I206:I208"/>
    <mergeCell ref="J206:J208"/>
    <mergeCell ref="K200:K202"/>
    <mergeCell ref="L200:L202"/>
    <mergeCell ref="D203:D205"/>
    <mergeCell ref="D209:F209"/>
    <mergeCell ref="G209:L209"/>
    <mergeCell ref="E203:E205"/>
    <mergeCell ref="F203:F205"/>
    <mergeCell ref="A211:A213"/>
    <mergeCell ref="B211:C220"/>
    <mergeCell ref="D211:D213"/>
    <mergeCell ref="E211:E213"/>
    <mergeCell ref="F211:F213"/>
    <mergeCell ref="G211:G213"/>
    <mergeCell ref="H211:H213"/>
    <mergeCell ref="I211:I213"/>
    <mergeCell ref="J211:J213"/>
    <mergeCell ref="K211:K213"/>
    <mergeCell ref="L211:L213"/>
    <mergeCell ref="D214:D216"/>
    <mergeCell ref="E214:E216"/>
    <mergeCell ref="F214:F216"/>
    <mergeCell ref="G214:G216"/>
    <mergeCell ref="H214:H216"/>
    <mergeCell ref="I214:I216"/>
    <mergeCell ref="J214:J216"/>
    <mergeCell ref="K214:K216"/>
    <mergeCell ref="L214:L216"/>
    <mergeCell ref="D217:D219"/>
    <mergeCell ref="E217:E219"/>
    <mergeCell ref="G203:G205"/>
    <mergeCell ref="H203:H205"/>
    <mergeCell ref="I203:I205"/>
    <mergeCell ref="B277:C286"/>
    <mergeCell ref="D277:D279"/>
    <mergeCell ref="E277:E279"/>
    <mergeCell ref="F277:F279"/>
    <mergeCell ref="G277:G279"/>
    <mergeCell ref="H277:H279"/>
    <mergeCell ref="I277:I279"/>
    <mergeCell ref="J277:J279"/>
    <mergeCell ref="K277:K279"/>
    <mergeCell ref="L277:L279"/>
    <mergeCell ref="D280:D282"/>
    <mergeCell ref="E280:E282"/>
    <mergeCell ref="F280:F282"/>
    <mergeCell ref="G280:G282"/>
    <mergeCell ref="H280:H282"/>
    <mergeCell ref="I280:I282"/>
    <mergeCell ref="J280:J282"/>
    <mergeCell ref="K280:K282"/>
    <mergeCell ref="L280:L282"/>
    <mergeCell ref="D283:D285"/>
    <mergeCell ref="E283:E285"/>
    <mergeCell ref="F283:F285"/>
    <mergeCell ref="G283:G285"/>
    <mergeCell ref="H283:H285"/>
    <mergeCell ref="I283:I285"/>
    <mergeCell ref="J283:J285"/>
    <mergeCell ref="A277:A279"/>
    <mergeCell ref="K283:K285"/>
    <mergeCell ref="L283:L285"/>
    <mergeCell ref="D286:F286"/>
    <mergeCell ref="G286:L286"/>
    <mergeCell ref="A288:A290"/>
    <mergeCell ref="B288:C297"/>
    <mergeCell ref="D288:D290"/>
    <mergeCell ref="E288:E290"/>
    <mergeCell ref="F288:F290"/>
    <mergeCell ref="G288:G290"/>
    <mergeCell ref="H288:H290"/>
    <mergeCell ref="I288:I290"/>
    <mergeCell ref="J288:J290"/>
    <mergeCell ref="K288:K290"/>
    <mergeCell ref="L288:L290"/>
    <mergeCell ref="D291:D293"/>
    <mergeCell ref="E291:E293"/>
    <mergeCell ref="F291:F293"/>
    <mergeCell ref="G291:G293"/>
    <mergeCell ref="H291:H293"/>
    <mergeCell ref="I291:I293"/>
    <mergeCell ref="J291:J293"/>
    <mergeCell ref="K291:K293"/>
    <mergeCell ref="L291:L293"/>
    <mergeCell ref="D294:D296"/>
    <mergeCell ref="E294:E296"/>
    <mergeCell ref="F294:F296"/>
    <mergeCell ref="G294:G296"/>
    <mergeCell ref="H294:H296"/>
    <mergeCell ref="I294:I296"/>
    <mergeCell ref="J294:J296"/>
    <mergeCell ref="K294:K296"/>
    <mergeCell ref="L294:L296"/>
    <mergeCell ref="D297:F297"/>
    <mergeCell ref="G297:L297"/>
    <mergeCell ref="A376:A378"/>
    <mergeCell ref="B376:C385"/>
    <mergeCell ref="D376:D378"/>
    <mergeCell ref="E376:E378"/>
    <mergeCell ref="F376:F378"/>
    <mergeCell ref="G376:G378"/>
    <mergeCell ref="H376:H378"/>
    <mergeCell ref="I376:I378"/>
    <mergeCell ref="J376:J378"/>
    <mergeCell ref="K376:K378"/>
    <mergeCell ref="L376:L378"/>
    <mergeCell ref="D379:D381"/>
    <mergeCell ref="E379:E381"/>
    <mergeCell ref="F379:F381"/>
    <mergeCell ref="G379:G381"/>
    <mergeCell ref="H379:H381"/>
    <mergeCell ref="I379:I381"/>
    <mergeCell ref="J379:J381"/>
    <mergeCell ref="K379:K381"/>
    <mergeCell ref="L379:L381"/>
    <mergeCell ref="D382:D384"/>
    <mergeCell ref="E382:E384"/>
    <mergeCell ref="F382:F384"/>
    <mergeCell ref="G382:G384"/>
    <mergeCell ref="H382:H384"/>
    <mergeCell ref="I382:I384"/>
    <mergeCell ref="A354:A356"/>
    <mergeCell ref="B354:C363"/>
    <mergeCell ref="B310:C319"/>
    <mergeCell ref="D310:D312"/>
    <mergeCell ref="E310:E312"/>
    <mergeCell ref="F310:F312"/>
    <mergeCell ref="G310:G312"/>
    <mergeCell ref="H310:H312"/>
    <mergeCell ref="I310:I312"/>
    <mergeCell ref="J310:J312"/>
    <mergeCell ref="K310:K312"/>
    <mergeCell ref="L310:L312"/>
    <mergeCell ref="D313:D315"/>
    <mergeCell ref="E313:E315"/>
    <mergeCell ref="A310:A312"/>
    <mergeCell ref="F313:F315"/>
    <mergeCell ref="G313:G315"/>
    <mergeCell ref="H313:H315"/>
    <mergeCell ref="I313:I315"/>
    <mergeCell ref="J313:J315"/>
    <mergeCell ref="K313:K315"/>
    <mergeCell ref="L313:L315"/>
    <mergeCell ref="D316:D318"/>
    <mergeCell ref="E316:E318"/>
    <mergeCell ref="F316:F318"/>
    <mergeCell ref="D319:F319"/>
    <mergeCell ref="G319:L319"/>
    <mergeCell ref="A321:A323"/>
    <mergeCell ref="B321:C330"/>
    <mergeCell ref="D321:D323"/>
    <mergeCell ref="E321:E323"/>
    <mergeCell ref="F321:F323"/>
    <mergeCell ref="G321:G323"/>
    <mergeCell ref="H321:H323"/>
    <mergeCell ref="I321:I323"/>
    <mergeCell ref="J321:J323"/>
    <mergeCell ref="K321:K323"/>
    <mergeCell ref="L321:L323"/>
    <mergeCell ref="A398:A400"/>
    <mergeCell ref="K404:K406"/>
    <mergeCell ref="L404:L406"/>
    <mergeCell ref="D407:F407"/>
    <mergeCell ref="G407:L407"/>
    <mergeCell ref="A409:A411"/>
    <mergeCell ref="B409:C418"/>
    <mergeCell ref="D409:D411"/>
    <mergeCell ref="E409:E411"/>
    <mergeCell ref="F409:F411"/>
    <mergeCell ref="G409:G411"/>
    <mergeCell ref="H409:H411"/>
    <mergeCell ref="I409:I411"/>
    <mergeCell ref="J409:J411"/>
    <mergeCell ref="K409:K411"/>
    <mergeCell ref="L409:L411"/>
    <mergeCell ref="D412:D414"/>
    <mergeCell ref="E412:E414"/>
    <mergeCell ref="F412:F414"/>
    <mergeCell ref="G412:G414"/>
    <mergeCell ref="H412:H414"/>
    <mergeCell ref="I412:I414"/>
    <mergeCell ref="J412:J414"/>
    <mergeCell ref="K412:K414"/>
    <mergeCell ref="L412:L414"/>
    <mergeCell ref="D415:D417"/>
    <mergeCell ref="E415:E417"/>
    <mergeCell ref="F415:F417"/>
    <mergeCell ref="G415:G417"/>
    <mergeCell ref="H415:H417"/>
    <mergeCell ref="I415:I417"/>
    <mergeCell ref="J415:J417"/>
    <mergeCell ref="K415:K417"/>
    <mergeCell ref="L415:L417"/>
    <mergeCell ref="D418:F418"/>
    <mergeCell ref="G418:L418"/>
    <mergeCell ref="E445:E447"/>
    <mergeCell ref="F445:F447"/>
    <mergeCell ref="G445:G447"/>
    <mergeCell ref="H445:H447"/>
    <mergeCell ref="I445:I447"/>
    <mergeCell ref="J445:J447"/>
    <mergeCell ref="K445:K447"/>
    <mergeCell ref="L445:L447"/>
    <mergeCell ref="D448:D450"/>
    <mergeCell ref="E448:E450"/>
    <mergeCell ref="F448:F450"/>
    <mergeCell ref="G448:G450"/>
    <mergeCell ref="H448:H450"/>
    <mergeCell ref="I448:I450"/>
    <mergeCell ref="J448:J450"/>
    <mergeCell ref="K448:K450"/>
    <mergeCell ref="L448:L450"/>
    <mergeCell ref="D451:F451"/>
    <mergeCell ref="G451:L451"/>
    <mergeCell ref="B398:C407"/>
    <mergeCell ref="D398:D400"/>
    <mergeCell ref="E398:E400"/>
    <mergeCell ref="F398:F400"/>
    <mergeCell ref="G398:G400"/>
    <mergeCell ref="H398:H400"/>
    <mergeCell ref="I398:I400"/>
    <mergeCell ref="J398:J400"/>
    <mergeCell ref="K398:K400"/>
    <mergeCell ref="L398:L400"/>
    <mergeCell ref="D401:D403"/>
    <mergeCell ref="E401:E403"/>
    <mergeCell ref="F401:F403"/>
    <mergeCell ref="G401:G403"/>
    <mergeCell ref="H401:H403"/>
    <mergeCell ref="I401:I403"/>
    <mergeCell ref="J401:J403"/>
    <mergeCell ref="K401:K403"/>
    <mergeCell ref="L401:L403"/>
    <mergeCell ref="D404:D406"/>
    <mergeCell ref="E404:E406"/>
    <mergeCell ref="F404:F406"/>
    <mergeCell ref="G404:G406"/>
    <mergeCell ref="H404:H406"/>
    <mergeCell ref="I404:I406"/>
    <mergeCell ref="J404:J406"/>
    <mergeCell ref="A464:A466"/>
    <mergeCell ref="K470:K472"/>
    <mergeCell ref="L470:L472"/>
    <mergeCell ref="D473:F473"/>
    <mergeCell ref="G473:L473"/>
    <mergeCell ref="A475:A477"/>
    <mergeCell ref="B475:C484"/>
    <mergeCell ref="D475:D477"/>
    <mergeCell ref="E475:E477"/>
    <mergeCell ref="D478:D480"/>
    <mergeCell ref="E478:E480"/>
    <mergeCell ref="F478:F480"/>
    <mergeCell ref="G478:G480"/>
    <mergeCell ref="H478:H480"/>
    <mergeCell ref="I478:I480"/>
    <mergeCell ref="J478:J480"/>
    <mergeCell ref="K478:K480"/>
    <mergeCell ref="L478:L480"/>
    <mergeCell ref="D481:D483"/>
    <mergeCell ref="E481:E483"/>
    <mergeCell ref="F481:F483"/>
    <mergeCell ref="G481:G483"/>
    <mergeCell ref="H481:H483"/>
    <mergeCell ref="I481:I483"/>
    <mergeCell ref="J481:J483"/>
    <mergeCell ref="K481:K483"/>
    <mergeCell ref="L481:L483"/>
    <mergeCell ref="D484:F484"/>
    <mergeCell ref="G484:L484"/>
    <mergeCell ref="B431:C440"/>
    <mergeCell ref="D431:D433"/>
    <mergeCell ref="E431:E433"/>
    <mergeCell ref="F431:F433"/>
    <mergeCell ref="G431:G433"/>
    <mergeCell ref="H431:H433"/>
    <mergeCell ref="I431:I433"/>
    <mergeCell ref="J431:J433"/>
    <mergeCell ref="K431:K433"/>
    <mergeCell ref="L431:L433"/>
    <mergeCell ref="D434:D436"/>
    <mergeCell ref="E434:E436"/>
    <mergeCell ref="F434:F436"/>
    <mergeCell ref="G434:G436"/>
    <mergeCell ref="H434:H436"/>
    <mergeCell ref="I434:I436"/>
    <mergeCell ref="J434:J436"/>
    <mergeCell ref="K434:K436"/>
    <mergeCell ref="L434:L436"/>
    <mergeCell ref="D437:D439"/>
    <mergeCell ref="E437:E439"/>
    <mergeCell ref="F437:F439"/>
    <mergeCell ref="G437:G439"/>
    <mergeCell ref="H437:H439"/>
    <mergeCell ref="I437:I439"/>
    <mergeCell ref="J437:J439"/>
    <mergeCell ref="K437:K439"/>
    <mergeCell ref="A431:A433"/>
    <mergeCell ref="L437:L439"/>
    <mergeCell ref="D440:F440"/>
    <mergeCell ref="G440:L440"/>
    <mergeCell ref="A442:A444"/>
    <mergeCell ref="B442:C451"/>
    <mergeCell ref="D442:D444"/>
    <mergeCell ref="D445:D447"/>
    <mergeCell ref="A112:A114"/>
    <mergeCell ref="B112:C121"/>
    <mergeCell ref="D112:D114"/>
    <mergeCell ref="E112:E114"/>
    <mergeCell ref="F112:F114"/>
    <mergeCell ref="G112:G114"/>
    <mergeCell ref="H112:H114"/>
    <mergeCell ref="I112:I114"/>
    <mergeCell ref="J112:J114"/>
    <mergeCell ref="K112:K114"/>
    <mergeCell ref="L112:L114"/>
    <mergeCell ref="D115:D117"/>
    <mergeCell ref="G126:G128"/>
    <mergeCell ref="A156:A158"/>
    <mergeCell ref="B156:C165"/>
    <mergeCell ref="D156:D158"/>
    <mergeCell ref="E156:E158"/>
    <mergeCell ref="F156:F158"/>
    <mergeCell ref="G156:G158"/>
    <mergeCell ref="A222:A224"/>
    <mergeCell ref="B222:C231"/>
    <mergeCell ref="D222:D224"/>
    <mergeCell ref="E222:E224"/>
    <mergeCell ref="F222:F224"/>
    <mergeCell ref="G222:G224"/>
    <mergeCell ref="H222:H224"/>
    <mergeCell ref="I222:I224"/>
    <mergeCell ref="J222:J224"/>
    <mergeCell ref="K222:K224"/>
    <mergeCell ref="L222:L224"/>
    <mergeCell ref="D225:D227"/>
    <mergeCell ref="E225:E227"/>
    <mergeCell ref="F225:F227"/>
    <mergeCell ref="G225:G227"/>
    <mergeCell ref="H225:H227"/>
    <mergeCell ref="I225:I227"/>
    <mergeCell ref="J225:J227"/>
    <mergeCell ref="K225:K227"/>
    <mergeCell ref="L225:L227"/>
    <mergeCell ref="D228:D230"/>
    <mergeCell ref="E228:E230"/>
    <mergeCell ref="F228:F230"/>
    <mergeCell ref="G228:G230"/>
    <mergeCell ref="H228:H230"/>
    <mergeCell ref="I228:I230"/>
    <mergeCell ref="J228:J230"/>
    <mergeCell ref="K228:K230"/>
    <mergeCell ref="L228:L230"/>
    <mergeCell ref="D231:F231"/>
    <mergeCell ref="G231:L231"/>
    <mergeCell ref="F217:F219"/>
    <mergeCell ref="G217:G219"/>
    <mergeCell ref="H217:H219"/>
    <mergeCell ref="I217:I219"/>
    <mergeCell ref="J217:J219"/>
    <mergeCell ref="K217:K219"/>
    <mergeCell ref="L217:L219"/>
    <mergeCell ref="D220:F220"/>
    <mergeCell ref="G220:L220"/>
    <mergeCell ref="K206:K208"/>
    <mergeCell ref="L206:L208"/>
    <mergeCell ref="K195:K197"/>
    <mergeCell ref="L195:L197"/>
    <mergeCell ref="D198:F198"/>
    <mergeCell ref="A233:A235"/>
    <mergeCell ref="B233:C242"/>
    <mergeCell ref="D233:D235"/>
    <mergeCell ref="E233:E235"/>
    <mergeCell ref="F233:F235"/>
    <mergeCell ref="G233:G235"/>
    <mergeCell ref="H233:H235"/>
    <mergeCell ref="I233:I235"/>
    <mergeCell ref="J233:J235"/>
    <mergeCell ref="K233:K235"/>
    <mergeCell ref="L233:L235"/>
    <mergeCell ref="D236:D238"/>
    <mergeCell ref="E236:E238"/>
    <mergeCell ref="F236:F238"/>
    <mergeCell ref="G236:G238"/>
    <mergeCell ref="H236:H238"/>
    <mergeCell ref="I236:I238"/>
    <mergeCell ref="J236:J238"/>
    <mergeCell ref="K236:K238"/>
    <mergeCell ref="L236:L238"/>
    <mergeCell ref="D239:D241"/>
    <mergeCell ref="E239:E241"/>
    <mergeCell ref="F239:F241"/>
    <mergeCell ref="G239:G241"/>
    <mergeCell ref="H239:H241"/>
    <mergeCell ref="I239:I241"/>
    <mergeCell ref="J239:J241"/>
    <mergeCell ref="K239:K241"/>
    <mergeCell ref="L239:L241"/>
    <mergeCell ref="D242:F242"/>
    <mergeCell ref="G242:L242"/>
    <mergeCell ref="A244:A246"/>
    <mergeCell ref="B244:C253"/>
    <mergeCell ref="D244:D246"/>
    <mergeCell ref="E244:E246"/>
    <mergeCell ref="F244:F246"/>
    <mergeCell ref="G244:G246"/>
    <mergeCell ref="H244:H246"/>
    <mergeCell ref="I244:I246"/>
    <mergeCell ref="J244:J246"/>
    <mergeCell ref="K244:K246"/>
    <mergeCell ref="L244:L246"/>
    <mergeCell ref="D247:D249"/>
    <mergeCell ref="E247:E249"/>
    <mergeCell ref="F247:F249"/>
    <mergeCell ref="G247:G249"/>
    <mergeCell ref="H247:H249"/>
    <mergeCell ref="I247:I249"/>
    <mergeCell ref="J247:J249"/>
    <mergeCell ref="K247:K249"/>
    <mergeCell ref="L247:L249"/>
    <mergeCell ref="D250:D252"/>
    <mergeCell ref="E250:E252"/>
    <mergeCell ref="F250:F252"/>
    <mergeCell ref="G250:G252"/>
    <mergeCell ref="H250:H252"/>
    <mergeCell ref="I250:I252"/>
    <mergeCell ref="J250:J252"/>
    <mergeCell ref="K250:K252"/>
    <mergeCell ref="L250:L252"/>
    <mergeCell ref="D253:F253"/>
    <mergeCell ref="G253:L253"/>
    <mergeCell ref="A255:A257"/>
    <mergeCell ref="B255:C264"/>
    <mergeCell ref="D255:D257"/>
    <mergeCell ref="E255:E257"/>
    <mergeCell ref="F255:F257"/>
    <mergeCell ref="G255:G257"/>
    <mergeCell ref="H255:H257"/>
    <mergeCell ref="I255:I257"/>
    <mergeCell ref="J255:J257"/>
    <mergeCell ref="K255:K257"/>
    <mergeCell ref="L255:L257"/>
    <mergeCell ref="D258:D260"/>
    <mergeCell ref="E258:E260"/>
    <mergeCell ref="F258:F260"/>
    <mergeCell ref="G258:G260"/>
    <mergeCell ref="H258:H260"/>
    <mergeCell ref="I258:I260"/>
    <mergeCell ref="J258:J260"/>
    <mergeCell ref="K258:K260"/>
    <mergeCell ref="L258:L260"/>
    <mergeCell ref="D261:D263"/>
    <mergeCell ref="E261:E263"/>
    <mergeCell ref="F261:F263"/>
    <mergeCell ref="G261:G263"/>
    <mergeCell ref="H261:H263"/>
    <mergeCell ref="I261:I263"/>
    <mergeCell ref="J261:J263"/>
    <mergeCell ref="K261:K263"/>
    <mergeCell ref="L261:L263"/>
    <mergeCell ref="D264:F264"/>
    <mergeCell ref="G264:L264"/>
    <mergeCell ref="A266:A268"/>
    <mergeCell ref="B266:C275"/>
    <mergeCell ref="D266:D268"/>
    <mergeCell ref="E266:E268"/>
    <mergeCell ref="F266:F268"/>
    <mergeCell ref="G266:G268"/>
    <mergeCell ref="H266:H268"/>
    <mergeCell ref="I266:I268"/>
    <mergeCell ref="J266:J268"/>
    <mergeCell ref="K266:K268"/>
    <mergeCell ref="L266:L268"/>
    <mergeCell ref="D269:D271"/>
    <mergeCell ref="E269:E271"/>
    <mergeCell ref="F269:F271"/>
    <mergeCell ref="G269:G271"/>
    <mergeCell ref="H269:H271"/>
    <mergeCell ref="I269:I271"/>
    <mergeCell ref="J269:J271"/>
    <mergeCell ref="K269:K271"/>
    <mergeCell ref="L269:L271"/>
    <mergeCell ref="D272:D274"/>
    <mergeCell ref="E272:E274"/>
    <mergeCell ref="F272:F274"/>
    <mergeCell ref="G272:G274"/>
    <mergeCell ref="H272:H274"/>
    <mergeCell ref="I272:I274"/>
    <mergeCell ref="J272:J274"/>
    <mergeCell ref="K272:K274"/>
    <mergeCell ref="L272:L274"/>
    <mergeCell ref="D275:F275"/>
    <mergeCell ref="G275:L275"/>
    <mergeCell ref="A299:A301"/>
    <mergeCell ref="B299:C308"/>
    <mergeCell ref="D299:D301"/>
    <mergeCell ref="E299:E301"/>
    <mergeCell ref="F299:F301"/>
    <mergeCell ref="G299:G301"/>
    <mergeCell ref="H299:H301"/>
    <mergeCell ref="I299:I301"/>
    <mergeCell ref="J299:J301"/>
    <mergeCell ref="K299:K301"/>
    <mergeCell ref="L299:L301"/>
    <mergeCell ref="D302:D304"/>
    <mergeCell ref="E302:E304"/>
    <mergeCell ref="F302:F304"/>
    <mergeCell ref="G302:G304"/>
    <mergeCell ref="H302:H304"/>
    <mergeCell ref="I302:I304"/>
    <mergeCell ref="J302:J304"/>
    <mergeCell ref="K302:K304"/>
    <mergeCell ref="L302:L304"/>
    <mergeCell ref="D305:D307"/>
    <mergeCell ref="E305:E307"/>
    <mergeCell ref="F305:F307"/>
    <mergeCell ref="G305:G307"/>
    <mergeCell ref="H305:H307"/>
    <mergeCell ref="I305:I307"/>
    <mergeCell ref="J305:J307"/>
    <mergeCell ref="K305:K307"/>
    <mergeCell ref="L305:L307"/>
    <mergeCell ref="D308:F308"/>
    <mergeCell ref="G308:L308"/>
    <mergeCell ref="G316:G318"/>
    <mergeCell ref="H316:H318"/>
    <mergeCell ref="I316:I318"/>
    <mergeCell ref="J316:J318"/>
    <mergeCell ref="K316:K318"/>
    <mergeCell ref="L316:L318"/>
    <mergeCell ref="D324:D326"/>
    <mergeCell ref="E324:E326"/>
    <mergeCell ref="F324:F326"/>
    <mergeCell ref="G324:G326"/>
    <mergeCell ref="H324:H326"/>
    <mergeCell ref="I324:I326"/>
    <mergeCell ref="J324:J326"/>
    <mergeCell ref="K324:K326"/>
    <mergeCell ref="L324:L326"/>
    <mergeCell ref="D327:D329"/>
    <mergeCell ref="E327:E329"/>
    <mergeCell ref="F327:F329"/>
    <mergeCell ref="G327:G329"/>
    <mergeCell ref="H327:H329"/>
    <mergeCell ref="I327:I329"/>
    <mergeCell ref="J327:J329"/>
    <mergeCell ref="K327:K329"/>
    <mergeCell ref="L327:L329"/>
    <mergeCell ref="D330:F330"/>
    <mergeCell ref="G330:L330"/>
    <mergeCell ref="A332:A334"/>
    <mergeCell ref="B332:C341"/>
    <mergeCell ref="D332:D334"/>
    <mergeCell ref="E332:E334"/>
    <mergeCell ref="F332:F334"/>
    <mergeCell ref="G332:G334"/>
    <mergeCell ref="H332:H334"/>
    <mergeCell ref="I332:I334"/>
    <mergeCell ref="J332:J334"/>
    <mergeCell ref="K332:K334"/>
    <mergeCell ref="L332:L334"/>
    <mergeCell ref="D335:D337"/>
    <mergeCell ref="E335:E337"/>
    <mergeCell ref="F335:F337"/>
    <mergeCell ref="G335:G337"/>
    <mergeCell ref="H335:H337"/>
    <mergeCell ref="I335:I337"/>
    <mergeCell ref="J335:J337"/>
    <mergeCell ref="K335:K337"/>
    <mergeCell ref="L335:L337"/>
    <mergeCell ref="D338:D340"/>
    <mergeCell ref="E338:E340"/>
    <mergeCell ref="F338:F340"/>
    <mergeCell ref="G338:G340"/>
    <mergeCell ref="H338:H340"/>
    <mergeCell ref="I338:I340"/>
    <mergeCell ref="J338:J340"/>
    <mergeCell ref="K338:K340"/>
    <mergeCell ref="L338:L340"/>
    <mergeCell ref="D341:F341"/>
    <mergeCell ref="G341:L341"/>
    <mergeCell ref="A343:A345"/>
    <mergeCell ref="B343:C352"/>
    <mergeCell ref="D343:D345"/>
    <mergeCell ref="E343:E345"/>
    <mergeCell ref="F343:F345"/>
    <mergeCell ref="G343:G345"/>
    <mergeCell ref="H343:H345"/>
    <mergeCell ref="I343:I345"/>
    <mergeCell ref="J343:J345"/>
    <mergeCell ref="K343:K345"/>
    <mergeCell ref="L343:L345"/>
    <mergeCell ref="D346:D348"/>
    <mergeCell ref="E346:E348"/>
    <mergeCell ref="F346:F348"/>
    <mergeCell ref="G346:G348"/>
    <mergeCell ref="H346:H348"/>
    <mergeCell ref="I346:I348"/>
    <mergeCell ref="J346:J348"/>
    <mergeCell ref="K346:K348"/>
    <mergeCell ref="L346:L348"/>
    <mergeCell ref="D349:D351"/>
    <mergeCell ref="E349:E351"/>
    <mergeCell ref="F349:F351"/>
    <mergeCell ref="G349:G351"/>
    <mergeCell ref="H349:H351"/>
    <mergeCell ref="I349:I351"/>
    <mergeCell ref="J349:J351"/>
    <mergeCell ref="K349:K351"/>
    <mergeCell ref="L349:L351"/>
    <mergeCell ref="D352:F352"/>
    <mergeCell ref="G352:L352"/>
    <mergeCell ref="D354:D356"/>
    <mergeCell ref="E354:E356"/>
    <mergeCell ref="F354:F356"/>
    <mergeCell ref="G354:G356"/>
    <mergeCell ref="H354:H356"/>
    <mergeCell ref="I354:I356"/>
    <mergeCell ref="J354:J356"/>
    <mergeCell ref="K354:K356"/>
    <mergeCell ref="L354:L356"/>
    <mergeCell ref="D357:D359"/>
    <mergeCell ref="E357:E359"/>
    <mergeCell ref="F357:F359"/>
    <mergeCell ref="G357:G359"/>
    <mergeCell ref="H357:H359"/>
    <mergeCell ref="I357:I359"/>
    <mergeCell ref="J357:J359"/>
    <mergeCell ref="K357:K359"/>
    <mergeCell ref="L357:L359"/>
    <mergeCell ref="D360:D362"/>
    <mergeCell ref="E360:E362"/>
    <mergeCell ref="F360:F362"/>
    <mergeCell ref="G360:G362"/>
    <mergeCell ref="H360:H362"/>
    <mergeCell ref="I360:I362"/>
    <mergeCell ref="J360:J362"/>
    <mergeCell ref="K360:K362"/>
    <mergeCell ref="L360:L362"/>
    <mergeCell ref="D363:F363"/>
    <mergeCell ref="G363:L363"/>
    <mergeCell ref="A365:A367"/>
    <mergeCell ref="B365:C374"/>
    <mergeCell ref="D365:D367"/>
    <mergeCell ref="E365:E367"/>
    <mergeCell ref="F365:F367"/>
    <mergeCell ref="G365:G367"/>
    <mergeCell ref="H365:H367"/>
    <mergeCell ref="I365:I367"/>
    <mergeCell ref="J365:J367"/>
    <mergeCell ref="K365:K367"/>
    <mergeCell ref="L365:L367"/>
    <mergeCell ref="D368:D370"/>
    <mergeCell ref="E368:E370"/>
    <mergeCell ref="F368:F370"/>
    <mergeCell ref="G368:G370"/>
    <mergeCell ref="H368:H370"/>
    <mergeCell ref="I368:I370"/>
    <mergeCell ref="J368:J370"/>
    <mergeCell ref="K368:K370"/>
    <mergeCell ref="L368:L370"/>
    <mergeCell ref="D371:D373"/>
    <mergeCell ref="E371:E373"/>
    <mergeCell ref="F371:F373"/>
    <mergeCell ref="G371:G373"/>
    <mergeCell ref="H371:H373"/>
    <mergeCell ref="I371:I373"/>
    <mergeCell ref="J371:J373"/>
    <mergeCell ref="K371:K373"/>
    <mergeCell ref="L371:L373"/>
    <mergeCell ref="D374:F374"/>
    <mergeCell ref="G374:L374"/>
    <mergeCell ref="J382:J384"/>
    <mergeCell ref="K382:K384"/>
    <mergeCell ref="L382:L384"/>
    <mergeCell ref="D385:F385"/>
    <mergeCell ref="G385:L385"/>
    <mergeCell ref="A387:A389"/>
    <mergeCell ref="B387:C396"/>
    <mergeCell ref="D387:D389"/>
    <mergeCell ref="E387:E389"/>
    <mergeCell ref="F387:F389"/>
    <mergeCell ref="G387:G389"/>
    <mergeCell ref="H387:H389"/>
    <mergeCell ref="I387:I389"/>
    <mergeCell ref="J387:J389"/>
    <mergeCell ref="K387:K389"/>
    <mergeCell ref="L387:L389"/>
    <mergeCell ref="D390:D392"/>
    <mergeCell ref="E390:E392"/>
    <mergeCell ref="F390:F392"/>
    <mergeCell ref="G390:G392"/>
    <mergeCell ref="H390:H392"/>
    <mergeCell ref="I390:I392"/>
    <mergeCell ref="J390:J392"/>
    <mergeCell ref="K390:K392"/>
    <mergeCell ref="L390:L392"/>
    <mergeCell ref="D393:D395"/>
    <mergeCell ref="E393:E395"/>
    <mergeCell ref="F393:F395"/>
    <mergeCell ref="G393:G395"/>
    <mergeCell ref="H393:H395"/>
    <mergeCell ref="I393:I395"/>
    <mergeCell ref="J393:J395"/>
    <mergeCell ref="K393:K395"/>
    <mergeCell ref="L393:L395"/>
    <mergeCell ref="D396:F396"/>
    <mergeCell ref="G396:L396"/>
    <mergeCell ref="A420:A422"/>
    <mergeCell ref="B420:C429"/>
    <mergeCell ref="D420:D422"/>
    <mergeCell ref="E420:E422"/>
    <mergeCell ref="F420:F422"/>
    <mergeCell ref="G420:G422"/>
    <mergeCell ref="H420:H422"/>
    <mergeCell ref="I420:I422"/>
    <mergeCell ref="J420:J422"/>
    <mergeCell ref="K420:K422"/>
    <mergeCell ref="L420:L422"/>
    <mergeCell ref="D423:D425"/>
    <mergeCell ref="E423:E425"/>
    <mergeCell ref="F423:F425"/>
    <mergeCell ref="G423:G425"/>
    <mergeCell ref="H423:H425"/>
    <mergeCell ref="I423:I425"/>
    <mergeCell ref="J423:J425"/>
    <mergeCell ref="K423:K425"/>
    <mergeCell ref="L423:L425"/>
    <mergeCell ref="D426:D428"/>
    <mergeCell ref="E426:E428"/>
    <mergeCell ref="F426:F428"/>
    <mergeCell ref="G426:G428"/>
    <mergeCell ref="H426:H428"/>
    <mergeCell ref="I426:I428"/>
    <mergeCell ref="J426:J428"/>
    <mergeCell ref="K426:K428"/>
    <mergeCell ref="L426:L428"/>
    <mergeCell ref="D429:F429"/>
    <mergeCell ref="G429:L429"/>
    <mergeCell ref="E442:E444"/>
    <mergeCell ref="F442:F444"/>
    <mergeCell ref="G442:G444"/>
    <mergeCell ref="H442:H444"/>
    <mergeCell ref="I442:I444"/>
    <mergeCell ref="J442:J444"/>
    <mergeCell ref="K442:K444"/>
    <mergeCell ref="L442:L444"/>
    <mergeCell ref="A453:A455"/>
    <mergeCell ref="B453:C462"/>
    <mergeCell ref="D453:D455"/>
    <mergeCell ref="E453:E455"/>
    <mergeCell ref="F453:F455"/>
    <mergeCell ref="G453:G455"/>
    <mergeCell ref="H453:H455"/>
    <mergeCell ref="I453:I455"/>
    <mergeCell ref="J453:J455"/>
    <mergeCell ref="K453:K455"/>
    <mergeCell ref="L453:L455"/>
    <mergeCell ref="D456:D458"/>
    <mergeCell ref="E456:E458"/>
    <mergeCell ref="F456:F458"/>
    <mergeCell ref="G456:G458"/>
    <mergeCell ref="H456:H458"/>
    <mergeCell ref="I456:I458"/>
    <mergeCell ref="J456:J458"/>
    <mergeCell ref="K456:K458"/>
    <mergeCell ref="L456:L458"/>
    <mergeCell ref="D459:D461"/>
    <mergeCell ref="E459:E461"/>
    <mergeCell ref="F459:F461"/>
    <mergeCell ref="G459:G461"/>
    <mergeCell ref="H459:H461"/>
    <mergeCell ref="I459:I461"/>
    <mergeCell ref="J459:J461"/>
    <mergeCell ref="K459:K461"/>
    <mergeCell ref="L459:L461"/>
    <mergeCell ref="D462:F462"/>
    <mergeCell ref="G462:L462"/>
    <mergeCell ref="F475:F477"/>
    <mergeCell ref="G475:G477"/>
    <mergeCell ref="H475:H477"/>
    <mergeCell ref="I475:I477"/>
    <mergeCell ref="J475:J477"/>
    <mergeCell ref="K475:K477"/>
    <mergeCell ref="L475:L477"/>
    <mergeCell ref="B464:C473"/>
    <mergeCell ref="D464:D466"/>
    <mergeCell ref="E464:E466"/>
    <mergeCell ref="F464:F466"/>
    <mergeCell ref="G464:G466"/>
    <mergeCell ref="H464:H466"/>
    <mergeCell ref="I464:I466"/>
    <mergeCell ref="J464:J466"/>
    <mergeCell ref="K464:K466"/>
    <mergeCell ref="L464:L466"/>
    <mergeCell ref="D467:D469"/>
    <mergeCell ref="E467:E469"/>
    <mergeCell ref="F467:F469"/>
    <mergeCell ref="G467:G469"/>
    <mergeCell ref="H467:H469"/>
    <mergeCell ref="I467:I469"/>
    <mergeCell ref="J467:J469"/>
    <mergeCell ref="K467:K469"/>
    <mergeCell ref="L467:L469"/>
    <mergeCell ref="D470:D472"/>
    <mergeCell ref="E470:E472"/>
    <mergeCell ref="F470:F472"/>
    <mergeCell ref="G470:G472"/>
    <mergeCell ref="H470:H472"/>
    <mergeCell ref="I470:I472"/>
    <mergeCell ref="J470:J472"/>
    <mergeCell ref="A486:A488"/>
    <mergeCell ref="B486:C495"/>
    <mergeCell ref="D486:D488"/>
    <mergeCell ref="E486:E488"/>
    <mergeCell ref="F486:F488"/>
    <mergeCell ref="G486:G488"/>
    <mergeCell ref="H486:H488"/>
    <mergeCell ref="I486:I488"/>
    <mergeCell ref="J486:J488"/>
    <mergeCell ref="K486:K488"/>
    <mergeCell ref="L486:L488"/>
    <mergeCell ref="D489:D491"/>
    <mergeCell ref="E489:E491"/>
    <mergeCell ref="F489:F491"/>
    <mergeCell ref="G489:G491"/>
    <mergeCell ref="H489:H491"/>
    <mergeCell ref="I489:I491"/>
    <mergeCell ref="J489:J491"/>
    <mergeCell ref="K489:K491"/>
    <mergeCell ref="L489:L491"/>
    <mergeCell ref="D492:D494"/>
    <mergeCell ref="E492:E494"/>
    <mergeCell ref="F492:F494"/>
    <mergeCell ref="G492:G494"/>
    <mergeCell ref="H492:H494"/>
    <mergeCell ref="I492:I494"/>
    <mergeCell ref="J492:J494"/>
    <mergeCell ref="K492:K494"/>
    <mergeCell ref="L492:L494"/>
    <mergeCell ref="D495:F495"/>
    <mergeCell ref="G495:L495"/>
    <mergeCell ref="D500:D502"/>
    <mergeCell ref="E500:E502"/>
    <mergeCell ref="F500:F502"/>
    <mergeCell ref="G500:G502"/>
    <mergeCell ref="H500:H502"/>
    <mergeCell ref="I500:I502"/>
    <mergeCell ref="J500:J502"/>
    <mergeCell ref="K500:K502"/>
    <mergeCell ref="L500:L502"/>
    <mergeCell ref="D503:D505"/>
    <mergeCell ref="E503:E505"/>
    <mergeCell ref="F503:F505"/>
    <mergeCell ref="G503:G505"/>
    <mergeCell ref="H503:H505"/>
    <mergeCell ref="I503:I505"/>
    <mergeCell ref="J503:J505"/>
    <mergeCell ref="K503:K505"/>
    <mergeCell ref="L503:L505"/>
    <mergeCell ref="D506:F506"/>
    <mergeCell ref="G506:L506"/>
    <mergeCell ref="A508:A510"/>
    <mergeCell ref="B508:C517"/>
    <mergeCell ref="D508:D510"/>
    <mergeCell ref="E508:E510"/>
    <mergeCell ref="F508:F510"/>
    <mergeCell ref="G508:G510"/>
    <mergeCell ref="H508:H510"/>
    <mergeCell ref="I508:I510"/>
    <mergeCell ref="J508:J510"/>
    <mergeCell ref="K508:K510"/>
    <mergeCell ref="L508:L510"/>
    <mergeCell ref="D511:D513"/>
    <mergeCell ref="E511:E513"/>
    <mergeCell ref="F511:F513"/>
    <mergeCell ref="G511:G513"/>
    <mergeCell ref="H511:H513"/>
    <mergeCell ref="I511:I513"/>
    <mergeCell ref="J511:J513"/>
    <mergeCell ref="K511:K513"/>
    <mergeCell ref="L511:L513"/>
    <mergeCell ref="D514:D516"/>
    <mergeCell ref="E514:E516"/>
    <mergeCell ref="F514:F516"/>
    <mergeCell ref="G514:G516"/>
    <mergeCell ref="H514:H516"/>
    <mergeCell ref="I514:I516"/>
    <mergeCell ref="J514:J516"/>
    <mergeCell ref="K514:K516"/>
    <mergeCell ref="L514:L516"/>
    <mergeCell ref="D517:F517"/>
    <mergeCell ref="G517:L517"/>
    <mergeCell ref="B497:C506"/>
    <mergeCell ref="D497:D499"/>
    <mergeCell ref="A497:A499"/>
    <mergeCell ref="E497:E499"/>
    <mergeCell ref="F497:F499"/>
    <mergeCell ref="G497:G499"/>
    <mergeCell ref="H497:H499"/>
    <mergeCell ref="I497:I499"/>
    <mergeCell ref="J497:J499"/>
    <mergeCell ref="K497:K499"/>
    <mergeCell ref="L497:L499"/>
    <mergeCell ref="A519:A521"/>
    <mergeCell ref="B519:C528"/>
    <mergeCell ref="D519:D521"/>
    <mergeCell ref="E519:E521"/>
    <mergeCell ref="F519:F521"/>
    <mergeCell ref="G519:G521"/>
    <mergeCell ref="H519:H521"/>
    <mergeCell ref="I519:I521"/>
    <mergeCell ref="J519:J521"/>
    <mergeCell ref="K519:K521"/>
    <mergeCell ref="L519:L521"/>
    <mergeCell ref="D522:D524"/>
    <mergeCell ref="E522:E524"/>
    <mergeCell ref="F522:F524"/>
    <mergeCell ref="G522:G524"/>
    <mergeCell ref="H522:H524"/>
    <mergeCell ref="I522:I524"/>
    <mergeCell ref="J522:J524"/>
    <mergeCell ref="K522:K524"/>
    <mergeCell ref="L522:L524"/>
    <mergeCell ref="D525:D527"/>
    <mergeCell ref="E525:E527"/>
    <mergeCell ref="F525:F527"/>
    <mergeCell ref="G525:G527"/>
    <mergeCell ref="H525:H527"/>
    <mergeCell ref="I525:I527"/>
    <mergeCell ref="J525:J527"/>
    <mergeCell ref="K525:K527"/>
    <mergeCell ref="L525:L527"/>
    <mergeCell ref="D528:F528"/>
    <mergeCell ref="G528:L528"/>
    <mergeCell ref="A530:A532"/>
    <mergeCell ref="B530:C539"/>
    <mergeCell ref="D530:D532"/>
    <mergeCell ref="E530:E532"/>
    <mergeCell ref="F530:F532"/>
    <mergeCell ref="G530:G532"/>
    <mergeCell ref="H530:H532"/>
    <mergeCell ref="I530:I532"/>
    <mergeCell ref="J530:J532"/>
    <mergeCell ref="K530:K532"/>
    <mergeCell ref="L530:L532"/>
    <mergeCell ref="D533:D535"/>
    <mergeCell ref="E533:E535"/>
    <mergeCell ref="F533:F535"/>
    <mergeCell ref="G533:G535"/>
    <mergeCell ref="H533:H535"/>
    <mergeCell ref="I533:I535"/>
    <mergeCell ref="J533:J535"/>
    <mergeCell ref="K533:K535"/>
    <mergeCell ref="L533:L535"/>
    <mergeCell ref="D536:D538"/>
    <mergeCell ref="E536:E538"/>
    <mergeCell ref="F536:F538"/>
    <mergeCell ref="G536:G538"/>
    <mergeCell ref="H536:H538"/>
    <mergeCell ref="I536:I538"/>
    <mergeCell ref="J536:J538"/>
    <mergeCell ref="K536:K538"/>
    <mergeCell ref="L536:L538"/>
    <mergeCell ref="D539:F539"/>
    <mergeCell ref="G539:L539"/>
    <mergeCell ref="A541:A543"/>
    <mergeCell ref="B541:C550"/>
    <mergeCell ref="D541:D543"/>
    <mergeCell ref="E541:E543"/>
    <mergeCell ref="F541:F543"/>
    <mergeCell ref="G541:G543"/>
    <mergeCell ref="H541:H543"/>
    <mergeCell ref="I541:I543"/>
    <mergeCell ref="J541:J543"/>
    <mergeCell ref="K541:K543"/>
    <mergeCell ref="L541:L543"/>
    <mergeCell ref="D544:D546"/>
    <mergeCell ref="E544:E546"/>
    <mergeCell ref="F544:F546"/>
    <mergeCell ref="G544:G546"/>
    <mergeCell ref="H544:H546"/>
    <mergeCell ref="I544:I546"/>
    <mergeCell ref="J544:J546"/>
    <mergeCell ref="K544:K546"/>
    <mergeCell ref="L544:L546"/>
    <mergeCell ref="D547:D549"/>
    <mergeCell ref="E547:E549"/>
    <mergeCell ref="F547:F549"/>
    <mergeCell ref="G547:G549"/>
    <mergeCell ref="H547:H549"/>
    <mergeCell ref="I547:I549"/>
    <mergeCell ref="J547:J549"/>
    <mergeCell ref="K547:K549"/>
    <mergeCell ref="L547:L549"/>
    <mergeCell ref="D550:F550"/>
    <mergeCell ref="G550:L550"/>
    <mergeCell ref="A552:A554"/>
    <mergeCell ref="B552:C561"/>
    <mergeCell ref="D552:D554"/>
    <mergeCell ref="E552:E554"/>
    <mergeCell ref="F552:F554"/>
    <mergeCell ref="G552:G554"/>
    <mergeCell ref="H552:H554"/>
    <mergeCell ref="I552:I554"/>
    <mergeCell ref="J552:J554"/>
    <mergeCell ref="K552:K554"/>
    <mergeCell ref="L552:L554"/>
    <mergeCell ref="D555:D557"/>
    <mergeCell ref="E555:E557"/>
    <mergeCell ref="F555:F557"/>
    <mergeCell ref="G555:G557"/>
    <mergeCell ref="H555:H557"/>
    <mergeCell ref="I555:I557"/>
    <mergeCell ref="J555:J557"/>
    <mergeCell ref="K555:K557"/>
    <mergeCell ref="L555:L557"/>
    <mergeCell ref="D558:D560"/>
    <mergeCell ref="E558:E560"/>
    <mergeCell ref="F558:F560"/>
    <mergeCell ref="G558:G560"/>
    <mergeCell ref="H558:H560"/>
    <mergeCell ref="I558:I560"/>
    <mergeCell ref="J558:J560"/>
    <mergeCell ref="K558:K560"/>
    <mergeCell ref="L558:L560"/>
    <mergeCell ref="D561:F561"/>
    <mergeCell ref="G561:L561"/>
    <mergeCell ref="B563:C572"/>
    <mergeCell ref="D563:D565"/>
    <mergeCell ref="E563:E565"/>
    <mergeCell ref="F563:F565"/>
    <mergeCell ref="G563:G565"/>
    <mergeCell ref="H563:H565"/>
    <mergeCell ref="I563:I565"/>
    <mergeCell ref="J563:J565"/>
    <mergeCell ref="K563:K565"/>
    <mergeCell ref="L563:L565"/>
    <mergeCell ref="D566:D568"/>
    <mergeCell ref="E566:E568"/>
    <mergeCell ref="F566:F568"/>
    <mergeCell ref="G566:G568"/>
    <mergeCell ref="H566:H568"/>
    <mergeCell ref="I566:I568"/>
    <mergeCell ref="J566:J568"/>
    <mergeCell ref="K566:K568"/>
    <mergeCell ref="L566:L568"/>
    <mergeCell ref="D569:D571"/>
    <mergeCell ref="E569:E571"/>
    <mergeCell ref="F569:F571"/>
    <mergeCell ref="G569:G571"/>
    <mergeCell ref="H569:H571"/>
    <mergeCell ref="I569:I571"/>
    <mergeCell ref="J569:J571"/>
    <mergeCell ref="K569:K571"/>
    <mergeCell ref="L569:L571"/>
    <mergeCell ref="D572:F572"/>
    <mergeCell ref="G572:L572"/>
    <mergeCell ref="A574:A576"/>
    <mergeCell ref="B574:C583"/>
    <mergeCell ref="D574:D576"/>
    <mergeCell ref="E574:E576"/>
    <mergeCell ref="F574:F576"/>
    <mergeCell ref="G574:G576"/>
    <mergeCell ref="H574:H576"/>
    <mergeCell ref="I574:I576"/>
    <mergeCell ref="J574:J576"/>
    <mergeCell ref="K574:K576"/>
    <mergeCell ref="L574:L576"/>
    <mergeCell ref="D577:D579"/>
    <mergeCell ref="E577:E579"/>
    <mergeCell ref="F577:F579"/>
    <mergeCell ref="G577:G579"/>
    <mergeCell ref="H577:H579"/>
    <mergeCell ref="I577:I579"/>
    <mergeCell ref="J577:J579"/>
    <mergeCell ref="K577:K579"/>
    <mergeCell ref="L577:L579"/>
    <mergeCell ref="D580:D582"/>
    <mergeCell ref="E580:E582"/>
    <mergeCell ref="F580:F582"/>
    <mergeCell ref="G580:G582"/>
    <mergeCell ref="H580:H582"/>
    <mergeCell ref="I580:I582"/>
    <mergeCell ref="J580:J582"/>
    <mergeCell ref="K580:K582"/>
    <mergeCell ref="L580:L582"/>
    <mergeCell ref="D583:F583"/>
    <mergeCell ref="G583:L583"/>
    <mergeCell ref="D585:D587"/>
    <mergeCell ref="E585:E587"/>
    <mergeCell ref="F585:F587"/>
    <mergeCell ref="G585:G587"/>
    <mergeCell ref="H585:H587"/>
    <mergeCell ref="I585:I587"/>
    <mergeCell ref="J585:J587"/>
    <mergeCell ref="K585:K587"/>
    <mergeCell ref="L585:L587"/>
    <mergeCell ref="D588:D590"/>
    <mergeCell ref="E588:E590"/>
    <mergeCell ref="F588:F590"/>
    <mergeCell ref="G588:G590"/>
    <mergeCell ref="H588:H590"/>
    <mergeCell ref="I588:I590"/>
    <mergeCell ref="J588:J590"/>
    <mergeCell ref="K588:K590"/>
    <mergeCell ref="L588:L590"/>
    <mergeCell ref="D591:D593"/>
    <mergeCell ref="E591:E593"/>
    <mergeCell ref="F591:F593"/>
    <mergeCell ref="G591:G593"/>
    <mergeCell ref="H591:H593"/>
    <mergeCell ref="I591:I593"/>
    <mergeCell ref="J591:J593"/>
    <mergeCell ref="K591:K593"/>
    <mergeCell ref="L591:L593"/>
    <mergeCell ref="D594:F594"/>
    <mergeCell ref="G594:L594"/>
    <mergeCell ref="A596:A598"/>
    <mergeCell ref="B596:C605"/>
    <mergeCell ref="D596:D598"/>
    <mergeCell ref="E596:E598"/>
    <mergeCell ref="F596:F598"/>
    <mergeCell ref="G596:G598"/>
    <mergeCell ref="H596:H598"/>
    <mergeCell ref="I596:I598"/>
    <mergeCell ref="J596:J598"/>
    <mergeCell ref="K596:K598"/>
    <mergeCell ref="L596:L598"/>
    <mergeCell ref="D599:D601"/>
    <mergeCell ref="E599:E601"/>
    <mergeCell ref="F599:F601"/>
    <mergeCell ref="G599:G601"/>
    <mergeCell ref="H599:H601"/>
    <mergeCell ref="I599:I601"/>
    <mergeCell ref="J599:J601"/>
    <mergeCell ref="K599:K601"/>
    <mergeCell ref="L599:L601"/>
    <mergeCell ref="D602:D604"/>
    <mergeCell ref="E602:E604"/>
    <mergeCell ref="F602:F604"/>
    <mergeCell ref="G602:G604"/>
    <mergeCell ref="H602:H604"/>
    <mergeCell ref="I602:I604"/>
    <mergeCell ref="J602:J604"/>
    <mergeCell ref="K602:K604"/>
    <mergeCell ref="L602:L604"/>
    <mergeCell ref="D605:F605"/>
    <mergeCell ref="G605:L605"/>
    <mergeCell ref="D607:D609"/>
    <mergeCell ref="E607:E609"/>
    <mergeCell ref="F607:F609"/>
    <mergeCell ref="G607:G609"/>
    <mergeCell ref="H607:H609"/>
    <mergeCell ref="I607:I609"/>
    <mergeCell ref="J607:J609"/>
    <mergeCell ref="K607:K609"/>
    <mergeCell ref="L607:L609"/>
    <mergeCell ref="D610:D612"/>
    <mergeCell ref="E610:E612"/>
    <mergeCell ref="F610:F612"/>
    <mergeCell ref="G610:G612"/>
    <mergeCell ref="H610:H612"/>
    <mergeCell ref="I610:I612"/>
    <mergeCell ref="J610:J612"/>
    <mergeCell ref="K610:K612"/>
    <mergeCell ref="L610:L612"/>
    <mergeCell ref="D613:D615"/>
    <mergeCell ref="E613:E615"/>
    <mergeCell ref="F613:F615"/>
    <mergeCell ref="G613:G615"/>
    <mergeCell ref="H613:H615"/>
    <mergeCell ref="I613:I615"/>
    <mergeCell ref="J613:J615"/>
    <mergeCell ref="K613:K615"/>
    <mergeCell ref="L613:L615"/>
    <mergeCell ref="D616:F616"/>
    <mergeCell ref="G616:L616"/>
    <mergeCell ref="A618:A620"/>
    <mergeCell ref="B618:C627"/>
    <mergeCell ref="D618:D620"/>
    <mergeCell ref="E618:E620"/>
    <mergeCell ref="F618:F620"/>
    <mergeCell ref="G618:G620"/>
    <mergeCell ref="H618:H620"/>
    <mergeCell ref="I618:I620"/>
    <mergeCell ref="J618:J620"/>
    <mergeCell ref="K618:K620"/>
    <mergeCell ref="L618:L620"/>
    <mergeCell ref="D621:D623"/>
    <mergeCell ref="E621:E623"/>
    <mergeCell ref="F621:F623"/>
    <mergeCell ref="G621:G623"/>
    <mergeCell ref="H621:H623"/>
    <mergeCell ref="I621:I623"/>
    <mergeCell ref="J621:J623"/>
    <mergeCell ref="K621:K623"/>
    <mergeCell ref="L621:L623"/>
    <mergeCell ref="D624:D626"/>
    <mergeCell ref="E624:E626"/>
    <mergeCell ref="F624:F626"/>
    <mergeCell ref="G624:G626"/>
    <mergeCell ref="H624:H626"/>
    <mergeCell ref="I624:I626"/>
    <mergeCell ref="J624:J626"/>
    <mergeCell ref="K624:K626"/>
    <mergeCell ref="L624:L626"/>
    <mergeCell ref="D627:F627"/>
    <mergeCell ref="G627:L627"/>
    <mergeCell ref="D629:D631"/>
    <mergeCell ref="E629:E631"/>
    <mergeCell ref="F629:F631"/>
    <mergeCell ref="G629:G631"/>
    <mergeCell ref="H629:H631"/>
    <mergeCell ref="I629:I631"/>
    <mergeCell ref="J629:J631"/>
    <mergeCell ref="K629:K631"/>
    <mergeCell ref="L629:L631"/>
    <mergeCell ref="D632:D634"/>
    <mergeCell ref="E632:E634"/>
    <mergeCell ref="F632:F634"/>
    <mergeCell ref="G632:G634"/>
    <mergeCell ref="H632:H634"/>
    <mergeCell ref="I632:I634"/>
    <mergeCell ref="J632:J634"/>
    <mergeCell ref="K632:K634"/>
    <mergeCell ref="L632:L634"/>
    <mergeCell ref="D635:D637"/>
    <mergeCell ref="E635:E637"/>
    <mergeCell ref="F635:F637"/>
    <mergeCell ref="G635:G637"/>
    <mergeCell ref="H635:H637"/>
    <mergeCell ref="I635:I637"/>
    <mergeCell ref="J635:J637"/>
    <mergeCell ref="K635:K637"/>
    <mergeCell ref="L635:L637"/>
    <mergeCell ref="D638:F638"/>
    <mergeCell ref="G638:L638"/>
    <mergeCell ref="A640:A642"/>
    <mergeCell ref="B640:C649"/>
    <mergeCell ref="D640:D642"/>
    <mergeCell ref="E640:E642"/>
    <mergeCell ref="F640:F642"/>
    <mergeCell ref="G640:G642"/>
    <mergeCell ref="H640:H642"/>
    <mergeCell ref="I640:I642"/>
    <mergeCell ref="J640:J642"/>
    <mergeCell ref="K640:K642"/>
    <mergeCell ref="L640:L642"/>
    <mergeCell ref="D643:D645"/>
    <mergeCell ref="E643:E645"/>
    <mergeCell ref="F643:F645"/>
    <mergeCell ref="G643:G645"/>
    <mergeCell ref="H643:H645"/>
    <mergeCell ref="I643:I645"/>
    <mergeCell ref="J643:J645"/>
    <mergeCell ref="K643:K645"/>
    <mergeCell ref="L643:L645"/>
    <mergeCell ref="D646:D648"/>
    <mergeCell ref="E646:E648"/>
    <mergeCell ref="F646:F648"/>
    <mergeCell ref="G646:G648"/>
    <mergeCell ref="H646:H648"/>
    <mergeCell ref="I646:I648"/>
    <mergeCell ref="J646:J648"/>
    <mergeCell ref="K646:K648"/>
    <mergeCell ref="L646:L648"/>
    <mergeCell ref="D649:F649"/>
    <mergeCell ref="G649:L649"/>
    <mergeCell ref="D651:D653"/>
    <mergeCell ref="E651:E653"/>
    <mergeCell ref="F651:F653"/>
    <mergeCell ref="G651:G653"/>
    <mergeCell ref="H651:H653"/>
    <mergeCell ref="I651:I653"/>
    <mergeCell ref="J651:J653"/>
    <mergeCell ref="K651:K653"/>
    <mergeCell ref="L651:L653"/>
    <mergeCell ref="D654:D656"/>
    <mergeCell ref="E654:E656"/>
    <mergeCell ref="F654:F656"/>
    <mergeCell ref="G654:G656"/>
    <mergeCell ref="H654:H656"/>
    <mergeCell ref="I654:I656"/>
    <mergeCell ref="J654:J656"/>
    <mergeCell ref="K654:K656"/>
    <mergeCell ref="L654:L656"/>
    <mergeCell ref="D657:D659"/>
    <mergeCell ref="E657:E659"/>
    <mergeCell ref="F657:F659"/>
    <mergeCell ref="G657:G659"/>
    <mergeCell ref="H657:H659"/>
    <mergeCell ref="I657:I659"/>
    <mergeCell ref="J657:J659"/>
    <mergeCell ref="K657:K659"/>
    <mergeCell ref="L657:L659"/>
    <mergeCell ref="D660:F660"/>
    <mergeCell ref="G660:L660"/>
    <mergeCell ref="A662:A664"/>
    <mergeCell ref="B662:C671"/>
    <mergeCell ref="D662:D664"/>
    <mergeCell ref="E662:E664"/>
    <mergeCell ref="F662:F664"/>
    <mergeCell ref="G662:G664"/>
    <mergeCell ref="H662:H664"/>
    <mergeCell ref="I662:I664"/>
    <mergeCell ref="J662:J664"/>
    <mergeCell ref="K662:K664"/>
    <mergeCell ref="L662:L664"/>
    <mergeCell ref="D665:D667"/>
    <mergeCell ref="E665:E667"/>
    <mergeCell ref="F665:F667"/>
    <mergeCell ref="G665:G667"/>
    <mergeCell ref="H665:H667"/>
    <mergeCell ref="I665:I667"/>
    <mergeCell ref="J665:J667"/>
    <mergeCell ref="K665:K667"/>
    <mergeCell ref="L665:L667"/>
    <mergeCell ref="D668:D670"/>
    <mergeCell ref="E668:E670"/>
    <mergeCell ref="F668:F670"/>
    <mergeCell ref="G668:G670"/>
    <mergeCell ref="H668:H670"/>
    <mergeCell ref="I668:I670"/>
    <mergeCell ref="J668:J670"/>
    <mergeCell ref="K668:K670"/>
    <mergeCell ref="L668:L670"/>
    <mergeCell ref="D671:F671"/>
    <mergeCell ref="G671:L671"/>
    <mergeCell ref="B673:C682"/>
    <mergeCell ref="D673:D675"/>
    <mergeCell ref="E673:E675"/>
    <mergeCell ref="F673:F675"/>
    <mergeCell ref="G673:G675"/>
    <mergeCell ref="H673:H675"/>
    <mergeCell ref="I673:I675"/>
    <mergeCell ref="J673:J675"/>
    <mergeCell ref="K673:K675"/>
    <mergeCell ref="L673:L675"/>
    <mergeCell ref="D676:D678"/>
    <mergeCell ref="E676:E678"/>
    <mergeCell ref="F676:F678"/>
    <mergeCell ref="G676:G678"/>
    <mergeCell ref="H676:H678"/>
    <mergeCell ref="I676:I678"/>
    <mergeCell ref="J676:J678"/>
    <mergeCell ref="K676:K678"/>
    <mergeCell ref="L676:L678"/>
    <mergeCell ref="D679:D681"/>
    <mergeCell ref="E679:E681"/>
    <mergeCell ref="F679:F681"/>
    <mergeCell ref="G679:G681"/>
    <mergeCell ref="H679:H681"/>
    <mergeCell ref="I679:I681"/>
    <mergeCell ref="J679:J681"/>
    <mergeCell ref="K679:K681"/>
    <mergeCell ref="L679:L681"/>
    <mergeCell ref="D682:F682"/>
    <mergeCell ref="G682:L682"/>
    <mergeCell ref="A684:A686"/>
    <mergeCell ref="B684:C693"/>
    <mergeCell ref="D684:D686"/>
    <mergeCell ref="E684:E686"/>
    <mergeCell ref="F684:F686"/>
    <mergeCell ref="G684:G686"/>
    <mergeCell ref="H684:H686"/>
    <mergeCell ref="I684:I686"/>
    <mergeCell ref="J684:J686"/>
    <mergeCell ref="K684:K686"/>
    <mergeCell ref="L684:L686"/>
    <mergeCell ref="D687:D689"/>
    <mergeCell ref="E687:E689"/>
    <mergeCell ref="F687:F689"/>
    <mergeCell ref="G687:G689"/>
    <mergeCell ref="H687:H689"/>
    <mergeCell ref="I687:I689"/>
    <mergeCell ref="J687:J689"/>
    <mergeCell ref="K687:K689"/>
    <mergeCell ref="L687:L689"/>
    <mergeCell ref="D690:D692"/>
    <mergeCell ref="E690:E692"/>
    <mergeCell ref="F690:F692"/>
    <mergeCell ref="G690:G692"/>
    <mergeCell ref="H690:H692"/>
    <mergeCell ref="I690:I692"/>
    <mergeCell ref="J690:J692"/>
    <mergeCell ref="K690:K692"/>
    <mergeCell ref="L690:L692"/>
    <mergeCell ref="D693:F693"/>
    <mergeCell ref="G693:L693"/>
    <mergeCell ref="D695:D697"/>
    <mergeCell ref="E695:E697"/>
    <mergeCell ref="F695:F697"/>
    <mergeCell ref="G695:G697"/>
    <mergeCell ref="H695:H697"/>
    <mergeCell ref="I695:I697"/>
    <mergeCell ref="J695:J697"/>
    <mergeCell ref="K695:K697"/>
    <mergeCell ref="L695:L697"/>
    <mergeCell ref="D698:D700"/>
    <mergeCell ref="E698:E700"/>
    <mergeCell ref="F698:F700"/>
    <mergeCell ref="G698:G700"/>
    <mergeCell ref="H698:H700"/>
    <mergeCell ref="I698:I700"/>
    <mergeCell ref="J698:J700"/>
    <mergeCell ref="K698:K700"/>
    <mergeCell ref="L698:L700"/>
    <mergeCell ref="D701:D703"/>
    <mergeCell ref="E701:E703"/>
    <mergeCell ref="F701:F703"/>
    <mergeCell ref="G701:G703"/>
    <mergeCell ref="H701:H703"/>
    <mergeCell ref="I701:I703"/>
    <mergeCell ref="J701:J703"/>
    <mergeCell ref="K701:K703"/>
    <mergeCell ref="L701:L703"/>
    <mergeCell ref="D704:F704"/>
    <mergeCell ref="G704:L704"/>
    <mergeCell ref="A706:A708"/>
    <mergeCell ref="B706:C715"/>
    <mergeCell ref="D706:D708"/>
    <mergeCell ref="E706:E708"/>
    <mergeCell ref="F706:F708"/>
    <mergeCell ref="G706:G708"/>
    <mergeCell ref="H706:H708"/>
    <mergeCell ref="I706:I708"/>
    <mergeCell ref="J706:J708"/>
    <mergeCell ref="K706:K708"/>
    <mergeCell ref="L706:L708"/>
    <mergeCell ref="D709:D711"/>
    <mergeCell ref="E709:E711"/>
    <mergeCell ref="F709:F711"/>
    <mergeCell ref="G709:G711"/>
    <mergeCell ref="H709:H711"/>
    <mergeCell ref="I709:I711"/>
    <mergeCell ref="J709:J711"/>
    <mergeCell ref="K709:K711"/>
    <mergeCell ref="L709:L711"/>
    <mergeCell ref="D712:D714"/>
    <mergeCell ref="E712:E714"/>
    <mergeCell ref="F712:F714"/>
    <mergeCell ref="G712:G714"/>
    <mergeCell ref="H712:H714"/>
    <mergeCell ref="I712:I714"/>
    <mergeCell ref="J712:J714"/>
    <mergeCell ref="K712:K714"/>
    <mergeCell ref="L712:L714"/>
    <mergeCell ref="D715:F715"/>
    <mergeCell ref="G715:L715"/>
    <mergeCell ref="D717:D719"/>
    <mergeCell ref="E717:E719"/>
    <mergeCell ref="F717:F719"/>
    <mergeCell ref="G717:G719"/>
    <mergeCell ref="H717:H719"/>
    <mergeCell ref="I717:I719"/>
    <mergeCell ref="J717:J719"/>
    <mergeCell ref="K717:K719"/>
    <mergeCell ref="L717:L719"/>
    <mergeCell ref="D720:D722"/>
    <mergeCell ref="E720:E722"/>
    <mergeCell ref="F720:F722"/>
    <mergeCell ref="G720:G722"/>
    <mergeCell ref="H720:H722"/>
    <mergeCell ref="I720:I722"/>
    <mergeCell ref="J720:J722"/>
    <mergeCell ref="K720:K722"/>
    <mergeCell ref="L720:L722"/>
    <mergeCell ref="D723:D725"/>
    <mergeCell ref="E723:E725"/>
    <mergeCell ref="F723:F725"/>
    <mergeCell ref="G723:G725"/>
    <mergeCell ref="H723:H725"/>
    <mergeCell ref="I723:I725"/>
    <mergeCell ref="J723:J725"/>
    <mergeCell ref="K723:K725"/>
    <mergeCell ref="L723:L725"/>
    <mergeCell ref="D726:F726"/>
    <mergeCell ref="G726:L726"/>
    <mergeCell ref="A728:A730"/>
    <mergeCell ref="B728:C737"/>
    <mergeCell ref="D728:D730"/>
    <mergeCell ref="E728:E730"/>
    <mergeCell ref="F728:F730"/>
    <mergeCell ref="G728:G730"/>
    <mergeCell ref="H728:H730"/>
    <mergeCell ref="I728:I730"/>
    <mergeCell ref="J728:J730"/>
    <mergeCell ref="K728:K730"/>
    <mergeCell ref="L728:L730"/>
    <mergeCell ref="D731:D733"/>
    <mergeCell ref="E731:E733"/>
    <mergeCell ref="F731:F733"/>
    <mergeCell ref="G731:G733"/>
    <mergeCell ref="H731:H733"/>
    <mergeCell ref="I731:I733"/>
    <mergeCell ref="J731:J733"/>
    <mergeCell ref="K731:K733"/>
    <mergeCell ref="L731:L733"/>
    <mergeCell ref="D734:D736"/>
    <mergeCell ref="E734:E736"/>
    <mergeCell ref="F734:F736"/>
    <mergeCell ref="G734:G736"/>
    <mergeCell ref="H734:H736"/>
    <mergeCell ref="I734:I736"/>
    <mergeCell ref="J734:J736"/>
    <mergeCell ref="K734:K736"/>
    <mergeCell ref="L734:L736"/>
    <mergeCell ref="D737:F737"/>
    <mergeCell ref="G737:L737"/>
    <mergeCell ref="A717:A719"/>
    <mergeCell ref="B717:C726"/>
    <mergeCell ref="D739:D741"/>
    <mergeCell ref="E739:E741"/>
    <mergeCell ref="F739:F741"/>
    <mergeCell ref="G739:G741"/>
    <mergeCell ref="H739:H741"/>
    <mergeCell ref="I739:I741"/>
    <mergeCell ref="J739:J741"/>
    <mergeCell ref="K739:K741"/>
    <mergeCell ref="L739:L741"/>
    <mergeCell ref="D742:D744"/>
    <mergeCell ref="E742:E744"/>
    <mergeCell ref="F742:F744"/>
    <mergeCell ref="G742:G744"/>
    <mergeCell ref="H742:H744"/>
    <mergeCell ref="I742:I744"/>
    <mergeCell ref="J742:J744"/>
    <mergeCell ref="K742:K744"/>
    <mergeCell ref="L742:L744"/>
    <mergeCell ref="D745:D747"/>
    <mergeCell ref="E745:E747"/>
    <mergeCell ref="F745:F747"/>
    <mergeCell ref="G745:G747"/>
    <mergeCell ref="H745:H747"/>
    <mergeCell ref="I745:I747"/>
    <mergeCell ref="J745:J747"/>
    <mergeCell ref="K745:K747"/>
    <mergeCell ref="L745:L747"/>
    <mergeCell ref="D748:F748"/>
    <mergeCell ref="G748:L748"/>
    <mergeCell ref="A750:A752"/>
    <mergeCell ref="B750:C759"/>
    <mergeCell ref="D750:D752"/>
    <mergeCell ref="E750:E752"/>
    <mergeCell ref="F750:F752"/>
    <mergeCell ref="G750:G752"/>
    <mergeCell ref="H750:H752"/>
    <mergeCell ref="I750:I752"/>
    <mergeCell ref="J750:J752"/>
    <mergeCell ref="K750:K752"/>
    <mergeCell ref="L750:L752"/>
    <mergeCell ref="D753:D755"/>
    <mergeCell ref="E753:E755"/>
    <mergeCell ref="F753:F755"/>
    <mergeCell ref="G753:G755"/>
    <mergeCell ref="H753:H755"/>
    <mergeCell ref="I753:I755"/>
    <mergeCell ref="J753:J755"/>
    <mergeCell ref="K753:K755"/>
    <mergeCell ref="L753:L755"/>
    <mergeCell ref="D756:D758"/>
    <mergeCell ref="E756:E758"/>
    <mergeCell ref="F756:F758"/>
    <mergeCell ref="G756:G758"/>
    <mergeCell ref="H756:H758"/>
    <mergeCell ref="I756:I758"/>
    <mergeCell ref="J756:J758"/>
    <mergeCell ref="K756:K758"/>
    <mergeCell ref="L756:L758"/>
    <mergeCell ref="D759:F759"/>
    <mergeCell ref="G759:L759"/>
    <mergeCell ref="A739:A741"/>
    <mergeCell ref="B739:C748"/>
    <mergeCell ref="D761:D763"/>
    <mergeCell ref="E761:E763"/>
    <mergeCell ref="F761:F763"/>
    <mergeCell ref="G761:G763"/>
    <mergeCell ref="H761:H763"/>
    <mergeCell ref="I761:I763"/>
    <mergeCell ref="J761:J763"/>
    <mergeCell ref="K761:K763"/>
    <mergeCell ref="L761:L763"/>
    <mergeCell ref="D764:D766"/>
    <mergeCell ref="E764:E766"/>
    <mergeCell ref="F764:F766"/>
    <mergeCell ref="G764:G766"/>
    <mergeCell ref="H764:H766"/>
    <mergeCell ref="I764:I766"/>
    <mergeCell ref="J764:J766"/>
    <mergeCell ref="K764:K766"/>
    <mergeCell ref="L764:L766"/>
    <mergeCell ref="D767:D769"/>
    <mergeCell ref="E767:E769"/>
    <mergeCell ref="F767:F769"/>
    <mergeCell ref="G767:G769"/>
    <mergeCell ref="H767:H769"/>
    <mergeCell ref="I767:I769"/>
    <mergeCell ref="J767:J769"/>
    <mergeCell ref="K767:K769"/>
    <mergeCell ref="L767:L769"/>
    <mergeCell ref="D770:F770"/>
    <mergeCell ref="G770:L770"/>
    <mergeCell ref="A772:A774"/>
    <mergeCell ref="B772:C781"/>
    <mergeCell ref="D772:D774"/>
    <mergeCell ref="E772:E774"/>
    <mergeCell ref="F772:F774"/>
    <mergeCell ref="G772:G774"/>
    <mergeCell ref="H772:H774"/>
    <mergeCell ref="I772:I774"/>
    <mergeCell ref="J772:J774"/>
    <mergeCell ref="K772:K774"/>
    <mergeCell ref="L772:L774"/>
    <mergeCell ref="D775:D777"/>
    <mergeCell ref="E775:E777"/>
    <mergeCell ref="F775:F777"/>
    <mergeCell ref="G775:G777"/>
    <mergeCell ref="H775:H777"/>
    <mergeCell ref="I775:I777"/>
    <mergeCell ref="J775:J777"/>
    <mergeCell ref="K775:K777"/>
    <mergeCell ref="L775:L777"/>
    <mergeCell ref="D778:D780"/>
    <mergeCell ref="E778:E780"/>
    <mergeCell ref="F778:F780"/>
    <mergeCell ref="G778:G780"/>
    <mergeCell ref="H778:H780"/>
    <mergeCell ref="I778:I780"/>
    <mergeCell ref="J778:J780"/>
    <mergeCell ref="K778:K780"/>
    <mergeCell ref="L778:L780"/>
    <mergeCell ref="D781:F781"/>
    <mergeCell ref="G781:L781"/>
    <mergeCell ref="A761:A763"/>
    <mergeCell ref="B761:C770"/>
    <mergeCell ref="B783:C792"/>
    <mergeCell ref="D783:D785"/>
    <mergeCell ref="E783:E785"/>
    <mergeCell ref="F783:F785"/>
    <mergeCell ref="G783:G785"/>
    <mergeCell ref="H783:H785"/>
    <mergeCell ref="I783:I785"/>
    <mergeCell ref="J783:J785"/>
    <mergeCell ref="K783:K785"/>
    <mergeCell ref="L783:L785"/>
    <mergeCell ref="D786:D788"/>
    <mergeCell ref="E786:E788"/>
    <mergeCell ref="F786:F788"/>
    <mergeCell ref="G786:G788"/>
    <mergeCell ref="H786:H788"/>
    <mergeCell ref="I786:I788"/>
    <mergeCell ref="J786:J788"/>
    <mergeCell ref="K786:K788"/>
    <mergeCell ref="L786:L788"/>
    <mergeCell ref="D789:D791"/>
    <mergeCell ref="E789:E791"/>
    <mergeCell ref="F789:F791"/>
    <mergeCell ref="G789:G791"/>
    <mergeCell ref="H789:H791"/>
    <mergeCell ref="I789:I791"/>
    <mergeCell ref="J789:J791"/>
    <mergeCell ref="K789:K791"/>
    <mergeCell ref="L789:L791"/>
    <mergeCell ref="D792:F792"/>
    <mergeCell ref="G792:L792"/>
    <mergeCell ref="A794:A796"/>
    <mergeCell ref="B794:C803"/>
    <mergeCell ref="D794:D796"/>
    <mergeCell ref="E794:E796"/>
    <mergeCell ref="F794:F796"/>
    <mergeCell ref="G794:G796"/>
    <mergeCell ref="H794:H796"/>
    <mergeCell ref="I794:I796"/>
    <mergeCell ref="J794:J796"/>
    <mergeCell ref="K794:K796"/>
    <mergeCell ref="L794:L796"/>
    <mergeCell ref="D797:D799"/>
    <mergeCell ref="E797:E799"/>
    <mergeCell ref="F797:F799"/>
    <mergeCell ref="G797:G799"/>
    <mergeCell ref="H797:H799"/>
    <mergeCell ref="I797:I799"/>
    <mergeCell ref="J797:J799"/>
    <mergeCell ref="K797:K799"/>
    <mergeCell ref="L797:L799"/>
    <mergeCell ref="D800:D802"/>
    <mergeCell ref="E800:E802"/>
    <mergeCell ref="F800:F802"/>
    <mergeCell ref="G800:G802"/>
    <mergeCell ref="H800:H802"/>
    <mergeCell ref="I800:I802"/>
    <mergeCell ref="J800:J802"/>
    <mergeCell ref="K800:K802"/>
    <mergeCell ref="L800:L802"/>
    <mergeCell ref="D803:F803"/>
    <mergeCell ref="G803:L803"/>
    <mergeCell ref="A783:A785"/>
    <mergeCell ref="D805:D807"/>
    <mergeCell ref="E805:E807"/>
    <mergeCell ref="F805:F807"/>
    <mergeCell ref="G805:G807"/>
    <mergeCell ref="H805:H807"/>
    <mergeCell ref="I805:I807"/>
    <mergeCell ref="J805:J807"/>
    <mergeCell ref="K805:K807"/>
    <mergeCell ref="L805:L807"/>
    <mergeCell ref="D808:D810"/>
    <mergeCell ref="E808:E810"/>
    <mergeCell ref="F808:F810"/>
    <mergeCell ref="G808:G810"/>
    <mergeCell ref="H808:H810"/>
    <mergeCell ref="I808:I810"/>
    <mergeCell ref="J808:J810"/>
    <mergeCell ref="K808:K810"/>
    <mergeCell ref="L808:L810"/>
    <mergeCell ref="D811:D813"/>
    <mergeCell ref="E811:E813"/>
    <mergeCell ref="F811:F813"/>
    <mergeCell ref="G811:G813"/>
    <mergeCell ref="H811:H813"/>
    <mergeCell ref="I811:I813"/>
    <mergeCell ref="J811:J813"/>
    <mergeCell ref="K811:K813"/>
    <mergeCell ref="L811:L813"/>
    <mergeCell ref="D814:F814"/>
    <mergeCell ref="G814:L814"/>
    <mergeCell ref="A816:A818"/>
    <mergeCell ref="B816:C825"/>
    <mergeCell ref="D816:D818"/>
    <mergeCell ref="E816:E818"/>
    <mergeCell ref="F816:F818"/>
    <mergeCell ref="G816:G818"/>
    <mergeCell ref="H816:H818"/>
    <mergeCell ref="I816:I818"/>
    <mergeCell ref="J816:J818"/>
    <mergeCell ref="K816:K818"/>
    <mergeCell ref="L816:L818"/>
    <mergeCell ref="D819:D821"/>
    <mergeCell ref="E819:E821"/>
    <mergeCell ref="F819:F821"/>
    <mergeCell ref="G819:G821"/>
    <mergeCell ref="H819:H821"/>
    <mergeCell ref="I819:I821"/>
    <mergeCell ref="J819:J821"/>
    <mergeCell ref="K819:K821"/>
    <mergeCell ref="L819:L821"/>
    <mergeCell ref="D822:D824"/>
    <mergeCell ref="E822:E824"/>
    <mergeCell ref="F822:F824"/>
    <mergeCell ref="G822:G824"/>
    <mergeCell ref="H822:H824"/>
    <mergeCell ref="I822:I824"/>
    <mergeCell ref="J822:J824"/>
    <mergeCell ref="K822:K824"/>
    <mergeCell ref="L822:L824"/>
    <mergeCell ref="D825:F825"/>
    <mergeCell ref="G825:L825"/>
    <mergeCell ref="A805:A807"/>
    <mergeCell ref="B805:C814"/>
    <mergeCell ref="D827:D829"/>
    <mergeCell ref="E827:E829"/>
    <mergeCell ref="F827:F829"/>
    <mergeCell ref="G827:G829"/>
    <mergeCell ref="H827:H829"/>
    <mergeCell ref="I827:I829"/>
    <mergeCell ref="J827:J829"/>
    <mergeCell ref="K827:K829"/>
    <mergeCell ref="L827:L829"/>
    <mergeCell ref="D830:D832"/>
    <mergeCell ref="E830:E832"/>
    <mergeCell ref="F830:F832"/>
    <mergeCell ref="G830:G832"/>
    <mergeCell ref="H830:H832"/>
    <mergeCell ref="I830:I832"/>
    <mergeCell ref="J830:J832"/>
    <mergeCell ref="K830:K832"/>
    <mergeCell ref="L830:L832"/>
    <mergeCell ref="D833:D835"/>
    <mergeCell ref="E833:E835"/>
    <mergeCell ref="F833:F835"/>
    <mergeCell ref="G833:G835"/>
    <mergeCell ref="H833:H835"/>
    <mergeCell ref="I833:I835"/>
    <mergeCell ref="J833:J835"/>
    <mergeCell ref="K833:K835"/>
    <mergeCell ref="L833:L835"/>
    <mergeCell ref="D836:F836"/>
    <mergeCell ref="G836:L836"/>
    <mergeCell ref="A838:A840"/>
    <mergeCell ref="B838:C847"/>
    <mergeCell ref="D838:D840"/>
    <mergeCell ref="E838:E840"/>
    <mergeCell ref="F838:F840"/>
    <mergeCell ref="G838:G840"/>
    <mergeCell ref="H838:H840"/>
    <mergeCell ref="I838:I840"/>
    <mergeCell ref="J838:J840"/>
    <mergeCell ref="K838:K840"/>
    <mergeCell ref="L838:L840"/>
    <mergeCell ref="D841:D843"/>
    <mergeCell ref="E841:E843"/>
    <mergeCell ref="F841:F843"/>
    <mergeCell ref="G841:G843"/>
    <mergeCell ref="H841:H843"/>
    <mergeCell ref="I841:I843"/>
    <mergeCell ref="J841:J843"/>
    <mergeCell ref="K841:K843"/>
    <mergeCell ref="L841:L843"/>
    <mergeCell ref="D844:D846"/>
    <mergeCell ref="E844:E846"/>
    <mergeCell ref="F844:F846"/>
    <mergeCell ref="G844:G846"/>
    <mergeCell ref="H844:H846"/>
    <mergeCell ref="I844:I846"/>
    <mergeCell ref="J844:J846"/>
    <mergeCell ref="K844:K846"/>
    <mergeCell ref="L844:L846"/>
    <mergeCell ref="D847:F847"/>
    <mergeCell ref="G847:L847"/>
    <mergeCell ref="A827:A829"/>
    <mergeCell ref="B827:C836"/>
    <mergeCell ref="D849:D851"/>
    <mergeCell ref="E849:E851"/>
    <mergeCell ref="F849:F851"/>
    <mergeCell ref="G849:G851"/>
    <mergeCell ref="H849:H851"/>
    <mergeCell ref="I849:I851"/>
    <mergeCell ref="J849:J851"/>
    <mergeCell ref="K849:K851"/>
    <mergeCell ref="L849:L851"/>
    <mergeCell ref="D852:D854"/>
    <mergeCell ref="E852:E854"/>
    <mergeCell ref="F852:F854"/>
    <mergeCell ref="G852:G854"/>
    <mergeCell ref="H852:H854"/>
    <mergeCell ref="I852:I854"/>
    <mergeCell ref="J852:J854"/>
    <mergeCell ref="K852:K854"/>
    <mergeCell ref="L852:L854"/>
    <mergeCell ref="D855:D857"/>
    <mergeCell ref="E855:E857"/>
    <mergeCell ref="F855:F857"/>
    <mergeCell ref="G855:G857"/>
    <mergeCell ref="H855:H857"/>
    <mergeCell ref="I855:I857"/>
    <mergeCell ref="J855:J857"/>
    <mergeCell ref="K855:K857"/>
    <mergeCell ref="L855:L857"/>
    <mergeCell ref="D858:F858"/>
    <mergeCell ref="G858:L858"/>
    <mergeCell ref="A860:A862"/>
    <mergeCell ref="B860:C869"/>
    <mergeCell ref="D860:D862"/>
    <mergeCell ref="E860:E862"/>
    <mergeCell ref="F860:F862"/>
    <mergeCell ref="G860:G862"/>
    <mergeCell ref="H860:H862"/>
    <mergeCell ref="I860:I862"/>
    <mergeCell ref="J860:J862"/>
    <mergeCell ref="K860:K862"/>
    <mergeCell ref="L860:L862"/>
    <mergeCell ref="D863:D865"/>
    <mergeCell ref="E863:E865"/>
    <mergeCell ref="F863:F865"/>
    <mergeCell ref="G863:G865"/>
    <mergeCell ref="H863:H865"/>
    <mergeCell ref="I863:I865"/>
    <mergeCell ref="J863:J865"/>
    <mergeCell ref="K863:K865"/>
    <mergeCell ref="L863:L865"/>
    <mergeCell ref="D866:D868"/>
    <mergeCell ref="E866:E868"/>
    <mergeCell ref="F866:F868"/>
    <mergeCell ref="G866:G868"/>
    <mergeCell ref="H866:H868"/>
    <mergeCell ref="I866:I868"/>
    <mergeCell ref="J866:J868"/>
    <mergeCell ref="K866:K868"/>
    <mergeCell ref="L866:L868"/>
    <mergeCell ref="D869:F869"/>
    <mergeCell ref="G869:L869"/>
    <mergeCell ref="A849:A851"/>
    <mergeCell ref="B849:C858"/>
    <mergeCell ref="D871:D873"/>
    <mergeCell ref="E871:E873"/>
    <mergeCell ref="F871:F873"/>
    <mergeCell ref="G871:G873"/>
    <mergeCell ref="H871:H873"/>
    <mergeCell ref="I871:I873"/>
    <mergeCell ref="J871:J873"/>
    <mergeCell ref="K871:K873"/>
    <mergeCell ref="L871:L873"/>
    <mergeCell ref="D874:D876"/>
    <mergeCell ref="E874:E876"/>
    <mergeCell ref="F874:F876"/>
    <mergeCell ref="G874:G876"/>
    <mergeCell ref="H874:H876"/>
    <mergeCell ref="I874:I876"/>
    <mergeCell ref="J874:J876"/>
    <mergeCell ref="K874:K876"/>
    <mergeCell ref="L874:L876"/>
    <mergeCell ref="D877:D879"/>
    <mergeCell ref="E877:E879"/>
    <mergeCell ref="F877:F879"/>
    <mergeCell ref="G877:G879"/>
    <mergeCell ref="H877:H879"/>
    <mergeCell ref="I877:I879"/>
    <mergeCell ref="J877:J879"/>
    <mergeCell ref="K877:K879"/>
    <mergeCell ref="L877:L879"/>
    <mergeCell ref="D880:F880"/>
    <mergeCell ref="G880:L880"/>
    <mergeCell ref="A882:A884"/>
    <mergeCell ref="B882:C891"/>
    <mergeCell ref="D882:D884"/>
    <mergeCell ref="E882:E884"/>
    <mergeCell ref="F882:F884"/>
    <mergeCell ref="G882:G884"/>
    <mergeCell ref="H882:H884"/>
    <mergeCell ref="I882:I884"/>
    <mergeCell ref="J882:J884"/>
    <mergeCell ref="K882:K884"/>
    <mergeCell ref="L882:L884"/>
    <mergeCell ref="D885:D887"/>
    <mergeCell ref="E885:E887"/>
    <mergeCell ref="F885:F887"/>
    <mergeCell ref="G885:G887"/>
    <mergeCell ref="H885:H887"/>
    <mergeCell ref="I885:I887"/>
    <mergeCell ref="J885:J887"/>
    <mergeCell ref="K885:K887"/>
    <mergeCell ref="L885:L887"/>
    <mergeCell ref="D888:D890"/>
    <mergeCell ref="E888:E890"/>
    <mergeCell ref="F888:F890"/>
    <mergeCell ref="G888:G890"/>
    <mergeCell ref="H888:H890"/>
    <mergeCell ref="I888:I890"/>
    <mergeCell ref="J888:J890"/>
    <mergeCell ref="K888:K890"/>
    <mergeCell ref="L888:L890"/>
    <mergeCell ref="D891:F891"/>
    <mergeCell ref="G891:L891"/>
    <mergeCell ref="A871:A873"/>
    <mergeCell ref="B871:C880"/>
    <mergeCell ref="B893:C902"/>
    <mergeCell ref="D893:D895"/>
    <mergeCell ref="E893:E895"/>
    <mergeCell ref="F893:F895"/>
    <mergeCell ref="G893:G895"/>
    <mergeCell ref="H893:H895"/>
    <mergeCell ref="I893:I895"/>
    <mergeCell ref="J893:J895"/>
    <mergeCell ref="K893:K895"/>
    <mergeCell ref="L893:L895"/>
    <mergeCell ref="D896:D898"/>
    <mergeCell ref="E896:E898"/>
    <mergeCell ref="F896:F898"/>
    <mergeCell ref="G896:G898"/>
    <mergeCell ref="H896:H898"/>
    <mergeCell ref="I896:I898"/>
    <mergeCell ref="J896:J898"/>
    <mergeCell ref="K896:K898"/>
    <mergeCell ref="L896:L898"/>
    <mergeCell ref="D899:D901"/>
    <mergeCell ref="E899:E901"/>
    <mergeCell ref="F899:F901"/>
    <mergeCell ref="G899:G901"/>
    <mergeCell ref="H899:H901"/>
    <mergeCell ref="I899:I901"/>
    <mergeCell ref="J899:J901"/>
    <mergeCell ref="K899:K901"/>
    <mergeCell ref="L899:L901"/>
    <mergeCell ref="D902:F902"/>
    <mergeCell ref="G902:L902"/>
    <mergeCell ref="A904:A906"/>
    <mergeCell ref="B904:C913"/>
    <mergeCell ref="D904:D906"/>
    <mergeCell ref="E904:E906"/>
    <mergeCell ref="F904:F906"/>
    <mergeCell ref="G904:G906"/>
    <mergeCell ref="H904:H906"/>
    <mergeCell ref="I904:I906"/>
    <mergeCell ref="J904:J906"/>
    <mergeCell ref="K904:K906"/>
    <mergeCell ref="L904:L906"/>
    <mergeCell ref="D907:D909"/>
    <mergeCell ref="E907:E909"/>
    <mergeCell ref="F907:F909"/>
    <mergeCell ref="G907:G909"/>
    <mergeCell ref="H907:H909"/>
    <mergeCell ref="I907:I909"/>
    <mergeCell ref="J907:J909"/>
    <mergeCell ref="K907:K909"/>
    <mergeCell ref="L907:L909"/>
    <mergeCell ref="D910:D912"/>
    <mergeCell ref="E910:E912"/>
    <mergeCell ref="F910:F912"/>
    <mergeCell ref="G910:G912"/>
    <mergeCell ref="H910:H912"/>
    <mergeCell ref="I910:I912"/>
    <mergeCell ref="J910:J912"/>
    <mergeCell ref="K910:K912"/>
    <mergeCell ref="L910:L912"/>
    <mergeCell ref="D913:F913"/>
    <mergeCell ref="G913:L913"/>
    <mergeCell ref="A893:A895"/>
    <mergeCell ref="D915:D917"/>
    <mergeCell ref="E915:E917"/>
    <mergeCell ref="F915:F917"/>
    <mergeCell ref="G915:G917"/>
    <mergeCell ref="H915:H917"/>
    <mergeCell ref="I915:I917"/>
    <mergeCell ref="J915:J917"/>
    <mergeCell ref="K915:K917"/>
    <mergeCell ref="L915:L917"/>
    <mergeCell ref="D918:D920"/>
    <mergeCell ref="E918:E920"/>
    <mergeCell ref="F918:F920"/>
    <mergeCell ref="G918:G920"/>
    <mergeCell ref="H918:H920"/>
    <mergeCell ref="I918:I920"/>
    <mergeCell ref="J918:J920"/>
    <mergeCell ref="K918:K920"/>
    <mergeCell ref="L918:L920"/>
    <mergeCell ref="D921:D923"/>
    <mergeCell ref="E921:E923"/>
    <mergeCell ref="F921:F923"/>
    <mergeCell ref="G921:G923"/>
    <mergeCell ref="H921:H923"/>
    <mergeCell ref="I921:I923"/>
    <mergeCell ref="J921:J923"/>
    <mergeCell ref="K921:K923"/>
    <mergeCell ref="L921:L923"/>
    <mergeCell ref="D924:F924"/>
    <mergeCell ref="G924:L924"/>
    <mergeCell ref="A926:A928"/>
    <mergeCell ref="B926:C935"/>
    <mergeCell ref="D926:D928"/>
    <mergeCell ref="E926:E928"/>
    <mergeCell ref="F926:F928"/>
    <mergeCell ref="G926:G928"/>
    <mergeCell ref="H926:H928"/>
    <mergeCell ref="I926:I928"/>
    <mergeCell ref="J926:J928"/>
    <mergeCell ref="K926:K928"/>
    <mergeCell ref="L926:L928"/>
    <mergeCell ref="D929:D931"/>
    <mergeCell ref="E929:E931"/>
    <mergeCell ref="F929:F931"/>
    <mergeCell ref="G929:G931"/>
    <mergeCell ref="H929:H931"/>
    <mergeCell ref="I929:I931"/>
    <mergeCell ref="J929:J931"/>
    <mergeCell ref="K929:K931"/>
    <mergeCell ref="L929:L931"/>
    <mergeCell ref="D932:D934"/>
    <mergeCell ref="E932:E934"/>
    <mergeCell ref="F932:F934"/>
    <mergeCell ref="G932:G934"/>
    <mergeCell ref="H932:H934"/>
    <mergeCell ref="I932:I934"/>
    <mergeCell ref="J932:J934"/>
    <mergeCell ref="K932:K934"/>
    <mergeCell ref="L932:L934"/>
    <mergeCell ref="D935:F935"/>
    <mergeCell ref="G935:L935"/>
    <mergeCell ref="A915:A917"/>
    <mergeCell ref="B915:C924"/>
    <mergeCell ref="D937:D939"/>
    <mergeCell ref="E937:E939"/>
    <mergeCell ref="F937:F939"/>
    <mergeCell ref="G937:G939"/>
    <mergeCell ref="H937:H939"/>
    <mergeCell ref="I937:I939"/>
    <mergeCell ref="J937:J939"/>
    <mergeCell ref="K937:K939"/>
    <mergeCell ref="L937:L939"/>
    <mergeCell ref="D940:D942"/>
    <mergeCell ref="E940:E942"/>
    <mergeCell ref="F940:F942"/>
    <mergeCell ref="G940:G942"/>
    <mergeCell ref="H940:H942"/>
    <mergeCell ref="I940:I942"/>
    <mergeCell ref="J940:J942"/>
    <mergeCell ref="K940:K942"/>
    <mergeCell ref="L940:L942"/>
    <mergeCell ref="D943:D945"/>
    <mergeCell ref="E943:E945"/>
    <mergeCell ref="F943:F945"/>
    <mergeCell ref="G943:G945"/>
    <mergeCell ref="H943:H945"/>
    <mergeCell ref="I943:I945"/>
    <mergeCell ref="J943:J945"/>
    <mergeCell ref="K943:K945"/>
    <mergeCell ref="L943:L945"/>
    <mergeCell ref="D946:F946"/>
    <mergeCell ref="G946:L946"/>
    <mergeCell ref="A948:A950"/>
    <mergeCell ref="B948:C957"/>
    <mergeCell ref="D948:D950"/>
    <mergeCell ref="E948:E950"/>
    <mergeCell ref="F948:F950"/>
    <mergeCell ref="G948:G950"/>
    <mergeCell ref="H948:H950"/>
    <mergeCell ref="I948:I950"/>
    <mergeCell ref="J948:J950"/>
    <mergeCell ref="K948:K950"/>
    <mergeCell ref="L948:L950"/>
    <mergeCell ref="D951:D953"/>
    <mergeCell ref="E951:E953"/>
    <mergeCell ref="F951:F953"/>
    <mergeCell ref="G951:G953"/>
    <mergeCell ref="H951:H953"/>
    <mergeCell ref="I951:I953"/>
    <mergeCell ref="J951:J953"/>
    <mergeCell ref="K951:K953"/>
    <mergeCell ref="L951:L953"/>
    <mergeCell ref="D954:D956"/>
    <mergeCell ref="E954:E956"/>
    <mergeCell ref="F954:F956"/>
    <mergeCell ref="G954:G956"/>
    <mergeCell ref="H954:H956"/>
    <mergeCell ref="I954:I956"/>
    <mergeCell ref="J954:J956"/>
    <mergeCell ref="K954:K956"/>
    <mergeCell ref="L954:L956"/>
    <mergeCell ref="D957:F957"/>
    <mergeCell ref="G957:L957"/>
    <mergeCell ref="A937:A939"/>
    <mergeCell ref="B937:C946"/>
    <mergeCell ref="D959:D961"/>
    <mergeCell ref="E959:E961"/>
    <mergeCell ref="F959:F961"/>
    <mergeCell ref="G959:G961"/>
    <mergeCell ref="H959:H961"/>
    <mergeCell ref="I959:I961"/>
    <mergeCell ref="J959:J961"/>
    <mergeCell ref="K959:K961"/>
    <mergeCell ref="L959:L961"/>
    <mergeCell ref="D962:D964"/>
    <mergeCell ref="E962:E964"/>
    <mergeCell ref="F962:F964"/>
    <mergeCell ref="G962:G964"/>
    <mergeCell ref="H962:H964"/>
    <mergeCell ref="I962:I964"/>
    <mergeCell ref="J962:J964"/>
    <mergeCell ref="K962:K964"/>
    <mergeCell ref="L962:L964"/>
    <mergeCell ref="D965:D967"/>
    <mergeCell ref="E965:E967"/>
    <mergeCell ref="F965:F967"/>
    <mergeCell ref="G965:G967"/>
    <mergeCell ref="H965:H967"/>
    <mergeCell ref="I965:I967"/>
    <mergeCell ref="J965:J967"/>
    <mergeCell ref="K965:K967"/>
    <mergeCell ref="L965:L967"/>
    <mergeCell ref="D968:F968"/>
    <mergeCell ref="G968:L968"/>
    <mergeCell ref="A970:A972"/>
    <mergeCell ref="B970:C979"/>
    <mergeCell ref="D970:D972"/>
    <mergeCell ref="E970:E972"/>
    <mergeCell ref="F970:F972"/>
    <mergeCell ref="G970:G972"/>
    <mergeCell ref="H970:H972"/>
    <mergeCell ref="I970:I972"/>
    <mergeCell ref="J970:J972"/>
    <mergeCell ref="K970:K972"/>
    <mergeCell ref="L970:L972"/>
    <mergeCell ref="D973:D975"/>
    <mergeCell ref="E973:E975"/>
    <mergeCell ref="F973:F975"/>
    <mergeCell ref="G973:G975"/>
    <mergeCell ref="H973:H975"/>
    <mergeCell ref="I973:I975"/>
    <mergeCell ref="J973:J975"/>
    <mergeCell ref="K973:K975"/>
    <mergeCell ref="L973:L975"/>
    <mergeCell ref="D976:D978"/>
    <mergeCell ref="E976:E978"/>
    <mergeCell ref="F976:F978"/>
    <mergeCell ref="G976:G978"/>
    <mergeCell ref="H976:H978"/>
    <mergeCell ref="I976:I978"/>
    <mergeCell ref="J976:J978"/>
    <mergeCell ref="K976:K978"/>
    <mergeCell ref="L976:L978"/>
    <mergeCell ref="D979:F979"/>
    <mergeCell ref="G979:L979"/>
    <mergeCell ref="A959:A961"/>
    <mergeCell ref="B959:C968"/>
    <mergeCell ref="D981:D983"/>
    <mergeCell ref="E981:E983"/>
    <mergeCell ref="F981:F983"/>
    <mergeCell ref="G981:G983"/>
    <mergeCell ref="H981:H983"/>
    <mergeCell ref="I981:I983"/>
    <mergeCell ref="J981:J983"/>
    <mergeCell ref="K981:K983"/>
    <mergeCell ref="L981:L983"/>
    <mergeCell ref="D984:D986"/>
    <mergeCell ref="E984:E986"/>
    <mergeCell ref="F984:F986"/>
    <mergeCell ref="G984:G986"/>
    <mergeCell ref="H984:H986"/>
    <mergeCell ref="I984:I986"/>
    <mergeCell ref="J984:J986"/>
    <mergeCell ref="K984:K986"/>
    <mergeCell ref="L984:L986"/>
    <mergeCell ref="D987:D989"/>
    <mergeCell ref="E987:E989"/>
    <mergeCell ref="F987:F989"/>
    <mergeCell ref="G987:G989"/>
    <mergeCell ref="H987:H989"/>
    <mergeCell ref="I987:I989"/>
    <mergeCell ref="J987:J989"/>
    <mergeCell ref="K987:K989"/>
    <mergeCell ref="L987:L989"/>
    <mergeCell ref="D990:F990"/>
    <mergeCell ref="G990:L990"/>
    <mergeCell ref="A992:A994"/>
    <mergeCell ref="B992:C1001"/>
    <mergeCell ref="D992:D994"/>
    <mergeCell ref="E992:E994"/>
    <mergeCell ref="F992:F994"/>
    <mergeCell ref="G992:G994"/>
    <mergeCell ref="H992:H994"/>
    <mergeCell ref="I992:I994"/>
    <mergeCell ref="J992:J994"/>
    <mergeCell ref="K992:K994"/>
    <mergeCell ref="L992:L994"/>
    <mergeCell ref="D995:D997"/>
    <mergeCell ref="E995:E997"/>
    <mergeCell ref="F995:F997"/>
    <mergeCell ref="G995:G997"/>
    <mergeCell ref="H995:H997"/>
    <mergeCell ref="I995:I997"/>
    <mergeCell ref="J995:J997"/>
    <mergeCell ref="K995:K997"/>
    <mergeCell ref="L995:L997"/>
    <mergeCell ref="D998:D1000"/>
    <mergeCell ref="E998:E1000"/>
    <mergeCell ref="F998:F1000"/>
    <mergeCell ref="G998:G1000"/>
    <mergeCell ref="H998:H1000"/>
    <mergeCell ref="I998:I1000"/>
    <mergeCell ref="J998:J1000"/>
    <mergeCell ref="K998:K1000"/>
    <mergeCell ref="L998:L1000"/>
    <mergeCell ref="D1001:F1001"/>
    <mergeCell ref="G1001:L1001"/>
    <mergeCell ref="A981:A983"/>
    <mergeCell ref="B981:C990"/>
    <mergeCell ref="B1003:C1012"/>
    <mergeCell ref="D1003:D1005"/>
    <mergeCell ref="E1003:E1005"/>
    <mergeCell ref="F1003:F1005"/>
    <mergeCell ref="G1003:G1005"/>
    <mergeCell ref="H1003:H1005"/>
    <mergeCell ref="I1003:I1005"/>
    <mergeCell ref="J1003:J1005"/>
    <mergeCell ref="K1003:K1005"/>
    <mergeCell ref="L1003:L1005"/>
    <mergeCell ref="D1006:D1008"/>
    <mergeCell ref="E1006:E1008"/>
    <mergeCell ref="F1006:F1008"/>
    <mergeCell ref="G1006:G1008"/>
    <mergeCell ref="H1006:H1008"/>
    <mergeCell ref="I1006:I1008"/>
    <mergeCell ref="J1006:J1008"/>
    <mergeCell ref="K1006:K1008"/>
    <mergeCell ref="L1006:L1008"/>
    <mergeCell ref="D1009:D1011"/>
    <mergeCell ref="E1009:E1011"/>
    <mergeCell ref="F1009:F1011"/>
    <mergeCell ref="G1009:G1011"/>
    <mergeCell ref="H1009:H1011"/>
    <mergeCell ref="I1009:I1011"/>
    <mergeCell ref="J1009:J1011"/>
    <mergeCell ref="K1009:K1011"/>
    <mergeCell ref="L1009:L1011"/>
    <mergeCell ref="D1012:F1012"/>
    <mergeCell ref="G1012:L1012"/>
    <mergeCell ref="A1014:A1016"/>
    <mergeCell ref="B1014:C1023"/>
    <mergeCell ref="D1014:D1016"/>
    <mergeCell ref="E1014:E1016"/>
    <mergeCell ref="F1014:F1016"/>
    <mergeCell ref="G1014:G1016"/>
    <mergeCell ref="H1014:H1016"/>
    <mergeCell ref="I1014:I1016"/>
    <mergeCell ref="J1014:J1016"/>
    <mergeCell ref="K1014:K1016"/>
    <mergeCell ref="L1014:L1016"/>
    <mergeCell ref="D1017:D1019"/>
    <mergeCell ref="E1017:E1019"/>
    <mergeCell ref="F1017:F1019"/>
    <mergeCell ref="G1017:G1019"/>
    <mergeCell ref="H1017:H1019"/>
    <mergeCell ref="I1017:I1019"/>
    <mergeCell ref="J1017:J1019"/>
    <mergeCell ref="K1017:K1019"/>
    <mergeCell ref="L1017:L1019"/>
    <mergeCell ref="D1020:D1022"/>
    <mergeCell ref="E1020:E1022"/>
    <mergeCell ref="F1020:F1022"/>
    <mergeCell ref="G1020:G1022"/>
    <mergeCell ref="H1020:H1022"/>
    <mergeCell ref="I1020:I1022"/>
    <mergeCell ref="J1020:J1022"/>
    <mergeCell ref="K1020:K1022"/>
    <mergeCell ref="L1020:L1022"/>
    <mergeCell ref="D1023:F1023"/>
    <mergeCell ref="G1023:L1023"/>
    <mergeCell ref="A1003:A1005"/>
    <mergeCell ref="D1025:D1027"/>
    <mergeCell ref="E1025:E1027"/>
    <mergeCell ref="F1025:F1027"/>
    <mergeCell ref="G1025:G1027"/>
    <mergeCell ref="H1025:H1027"/>
    <mergeCell ref="I1025:I1027"/>
    <mergeCell ref="J1025:J1027"/>
    <mergeCell ref="K1025:K1027"/>
    <mergeCell ref="L1025:L1027"/>
    <mergeCell ref="D1028:D1030"/>
    <mergeCell ref="E1028:E1030"/>
    <mergeCell ref="F1028:F1030"/>
    <mergeCell ref="G1028:G1030"/>
    <mergeCell ref="H1028:H1030"/>
    <mergeCell ref="I1028:I1030"/>
    <mergeCell ref="J1028:J1030"/>
    <mergeCell ref="K1028:K1030"/>
    <mergeCell ref="L1028:L1030"/>
    <mergeCell ref="D1031:D1033"/>
    <mergeCell ref="E1031:E1033"/>
    <mergeCell ref="F1031:F1033"/>
    <mergeCell ref="G1031:G1033"/>
    <mergeCell ref="H1031:H1033"/>
    <mergeCell ref="I1031:I1033"/>
    <mergeCell ref="J1031:J1033"/>
    <mergeCell ref="K1031:K1033"/>
    <mergeCell ref="L1031:L1033"/>
    <mergeCell ref="D1034:F1034"/>
    <mergeCell ref="G1034:L1034"/>
    <mergeCell ref="A1036:A1038"/>
    <mergeCell ref="B1036:C1045"/>
    <mergeCell ref="D1036:D1038"/>
    <mergeCell ref="E1036:E1038"/>
    <mergeCell ref="F1036:F1038"/>
    <mergeCell ref="G1036:G1038"/>
    <mergeCell ref="H1036:H1038"/>
    <mergeCell ref="I1036:I1038"/>
    <mergeCell ref="J1036:J1038"/>
    <mergeCell ref="K1036:K1038"/>
    <mergeCell ref="L1036:L1038"/>
    <mergeCell ref="D1039:D1041"/>
    <mergeCell ref="E1039:E1041"/>
    <mergeCell ref="F1039:F1041"/>
    <mergeCell ref="G1039:G1041"/>
    <mergeCell ref="H1039:H1041"/>
    <mergeCell ref="I1039:I1041"/>
    <mergeCell ref="J1039:J1041"/>
    <mergeCell ref="K1039:K1041"/>
    <mergeCell ref="L1039:L1041"/>
    <mergeCell ref="D1042:D1044"/>
    <mergeCell ref="E1042:E1044"/>
    <mergeCell ref="F1042:F1044"/>
    <mergeCell ref="G1042:G1044"/>
    <mergeCell ref="H1042:H1044"/>
    <mergeCell ref="I1042:I1044"/>
    <mergeCell ref="J1042:J1044"/>
    <mergeCell ref="K1042:K1044"/>
    <mergeCell ref="L1042:L1044"/>
    <mergeCell ref="D1045:F1045"/>
    <mergeCell ref="G1045:L1045"/>
    <mergeCell ref="A1025:A1027"/>
    <mergeCell ref="B1025:C1034"/>
    <mergeCell ref="D1047:D1049"/>
    <mergeCell ref="E1047:E1049"/>
    <mergeCell ref="F1047:F1049"/>
    <mergeCell ref="G1047:G1049"/>
    <mergeCell ref="H1047:H1049"/>
    <mergeCell ref="I1047:I1049"/>
    <mergeCell ref="J1047:J1049"/>
    <mergeCell ref="K1047:K1049"/>
    <mergeCell ref="L1047:L1049"/>
    <mergeCell ref="D1050:D1052"/>
    <mergeCell ref="E1050:E1052"/>
    <mergeCell ref="F1050:F1052"/>
    <mergeCell ref="G1050:G1052"/>
    <mergeCell ref="H1050:H1052"/>
    <mergeCell ref="I1050:I1052"/>
    <mergeCell ref="J1050:J1052"/>
    <mergeCell ref="K1050:K1052"/>
    <mergeCell ref="L1050:L1052"/>
    <mergeCell ref="D1053:D1055"/>
    <mergeCell ref="E1053:E1055"/>
    <mergeCell ref="F1053:F1055"/>
    <mergeCell ref="G1053:G1055"/>
    <mergeCell ref="H1053:H1055"/>
    <mergeCell ref="I1053:I1055"/>
    <mergeCell ref="J1053:J1055"/>
    <mergeCell ref="K1053:K1055"/>
    <mergeCell ref="L1053:L1055"/>
    <mergeCell ref="D1056:F1056"/>
    <mergeCell ref="G1056:L1056"/>
    <mergeCell ref="A1058:A1060"/>
    <mergeCell ref="B1058:C1067"/>
    <mergeCell ref="D1058:D1060"/>
    <mergeCell ref="E1058:E1060"/>
    <mergeCell ref="F1058:F1060"/>
    <mergeCell ref="G1058:G1060"/>
    <mergeCell ref="H1058:H1060"/>
    <mergeCell ref="I1058:I1060"/>
    <mergeCell ref="J1058:J1060"/>
    <mergeCell ref="K1058:K1060"/>
    <mergeCell ref="L1058:L1060"/>
    <mergeCell ref="D1061:D1063"/>
    <mergeCell ref="E1061:E1063"/>
    <mergeCell ref="F1061:F1063"/>
    <mergeCell ref="G1061:G1063"/>
    <mergeCell ref="H1061:H1063"/>
    <mergeCell ref="I1061:I1063"/>
    <mergeCell ref="J1061:J1063"/>
    <mergeCell ref="K1061:K1063"/>
    <mergeCell ref="L1061:L1063"/>
    <mergeCell ref="D1064:D1066"/>
    <mergeCell ref="E1064:E1066"/>
    <mergeCell ref="F1064:F1066"/>
    <mergeCell ref="G1064:G1066"/>
    <mergeCell ref="H1064:H1066"/>
    <mergeCell ref="I1064:I1066"/>
    <mergeCell ref="J1064:J1066"/>
    <mergeCell ref="K1064:K1066"/>
    <mergeCell ref="L1064:L1066"/>
    <mergeCell ref="D1067:F1067"/>
    <mergeCell ref="G1067:L1067"/>
    <mergeCell ref="A1047:A1049"/>
    <mergeCell ref="B1047:C1056"/>
    <mergeCell ref="D1069:D1071"/>
    <mergeCell ref="E1069:E1071"/>
    <mergeCell ref="F1069:F1071"/>
    <mergeCell ref="G1069:G1071"/>
    <mergeCell ref="H1069:H1071"/>
    <mergeCell ref="I1069:I1071"/>
    <mergeCell ref="J1069:J1071"/>
    <mergeCell ref="K1069:K1071"/>
    <mergeCell ref="L1069:L1071"/>
    <mergeCell ref="D1072:D1074"/>
    <mergeCell ref="E1072:E1074"/>
    <mergeCell ref="F1072:F1074"/>
    <mergeCell ref="G1072:G1074"/>
    <mergeCell ref="H1072:H1074"/>
    <mergeCell ref="I1072:I1074"/>
    <mergeCell ref="J1072:J1074"/>
    <mergeCell ref="K1072:K1074"/>
    <mergeCell ref="L1072:L1074"/>
    <mergeCell ref="D1075:D1077"/>
    <mergeCell ref="E1075:E1077"/>
    <mergeCell ref="F1075:F1077"/>
    <mergeCell ref="G1075:G1077"/>
    <mergeCell ref="H1075:H1077"/>
    <mergeCell ref="I1075:I1077"/>
    <mergeCell ref="J1075:J1077"/>
    <mergeCell ref="K1075:K1077"/>
    <mergeCell ref="L1075:L1077"/>
    <mergeCell ref="D1078:F1078"/>
    <mergeCell ref="G1078:L1078"/>
    <mergeCell ref="A1080:A1082"/>
    <mergeCell ref="B1080:C1089"/>
    <mergeCell ref="D1080:D1082"/>
    <mergeCell ref="E1080:E1082"/>
    <mergeCell ref="F1080:F1082"/>
    <mergeCell ref="G1080:G1082"/>
    <mergeCell ref="H1080:H1082"/>
    <mergeCell ref="I1080:I1082"/>
    <mergeCell ref="J1080:J1082"/>
    <mergeCell ref="K1080:K1082"/>
    <mergeCell ref="L1080:L1082"/>
    <mergeCell ref="D1083:D1085"/>
    <mergeCell ref="E1083:E1085"/>
    <mergeCell ref="F1083:F1085"/>
    <mergeCell ref="G1083:G1085"/>
    <mergeCell ref="H1083:H1085"/>
    <mergeCell ref="I1083:I1085"/>
    <mergeCell ref="J1083:J1085"/>
    <mergeCell ref="K1083:K1085"/>
    <mergeCell ref="L1083:L1085"/>
    <mergeCell ref="D1086:D1088"/>
    <mergeCell ref="E1086:E1088"/>
    <mergeCell ref="F1086:F1088"/>
    <mergeCell ref="G1086:G1088"/>
    <mergeCell ref="H1086:H1088"/>
    <mergeCell ref="I1086:I1088"/>
    <mergeCell ref="J1086:J1088"/>
    <mergeCell ref="K1086:K1088"/>
    <mergeCell ref="L1086:L1088"/>
    <mergeCell ref="D1089:F1089"/>
    <mergeCell ref="G1089:L1089"/>
    <mergeCell ref="A1069:A1071"/>
    <mergeCell ref="B1069:C1078"/>
    <mergeCell ref="D1091:D1093"/>
    <mergeCell ref="E1091:E1093"/>
    <mergeCell ref="F1091:F1093"/>
    <mergeCell ref="G1091:G1093"/>
    <mergeCell ref="H1091:H1093"/>
    <mergeCell ref="I1091:I1093"/>
    <mergeCell ref="J1091:J1093"/>
    <mergeCell ref="K1091:K1093"/>
    <mergeCell ref="L1091:L1093"/>
    <mergeCell ref="D1094:D1096"/>
    <mergeCell ref="E1094:E1096"/>
    <mergeCell ref="F1094:F1096"/>
    <mergeCell ref="G1094:G1096"/>
    <mergeCell ref="H1094:H1096"/>
    <mergeCell ref="I1094:I1096"/>
    <mergeCell ref="J1094:J1096"/>
    <mergeCell ref="K1094:K1096"/>
    <mergeCell ref="L1094:L1096"/>
    <mergeCell ref="D1097:D1099"/>
    <mergeCell ref="E1097:E1099"/>
    <mergeCell ref="F1097:F1099"/>
    <mergeCell ref="G1097:G1099"/>
    <mergeCell ref="H1097:H1099"/>
    <mergeCell ref="I1097:I1099"/>
    <mergeCell ref="J1097:J1099"/>
    <mergeCell ref="K1097:K1099"/>
    <mergeCell ref="L1097:L1099"/>
    <mergeCell ref="D1100:F1100"/>
    <mergeCell ref="G1100:L1100"/>
    <mergeCell ref="A1102:A1104"/>
    <mergeCell ref="B1102:C1111"/>
    <mergeCell ref="D1102:D1104"/>
    <mergeCell ref="E1102:E1104"/>
    <mergeCell ref="F1102:F1104"/>
    <mergeCell ref="G1102:G1104"/>
    <mergeCell ref="H1102:H1104"/>
    <mergeCell ref="I1102:I1104"/>
    <mergeCell ref="J1102:J1104"/>
    <mergeCell ref="K1102:K1104"/>
    <mergeCell ref="L1102:L1104"/>
    <mergeCell ref="D1105:D1107"/>
    <mergeCell ref="E1105:E1107"/>
    <mergeCell ref="F1105:F1107"/>
    <mergeCell ref="G1105:G1107"/>
    <mergeCell ref="H1105:H1107"/>
    <mergeCell ref="I1105:I1107"/>
    <mergeCell ref="J1105:J1107"/>
    <mergeCell ref="K1105:K1107"/>
    <mergeCell ref="L1105:L1107"/>
    <mergeCell ref="D1108:D1110"/>
    <mergeCell ref="E1108:E1110"/>
    <mergeCell ref="F1108:F1110"/>
    <mergeCell ref="G1108:G1110"/>
    <mergeCell ref="H1108:H1110"/>
    <mergeCell ref="I1108:I1110"/>
    <mergeCell ref="J1108:J1110"/>
    <mergeCell ref="K1108:K1110"/>
    <mergeCell ref="L1108:L1110"/>
    <mergeCell ref="D1111:F1111"/>
    <mergeCell ref="G1111:L1111"/>
    <mergeCell ref="A1091:A1093"/>
    <mergeCell ref="B1091:C1100"/>
    <mergeCell ref="B1113:C1122"/>
    <mergeCell ref="D1113:D1115"/>
    <mergeCell ref="E1113:E1115"/>
    <mergeCell ref="F1113:F1115"/>
    <mergeCell ref="G1113:G1115"/>
    <mergeCell ref="H1113:H1115"/>
    <mergeCell ref="I1113:I1115"/>
    <mergeCell ref="J1113:J1115"/>
    <mergeCell ref="K1113:K1115"/>
    <mergeCell ref="L1113:L1115"/>
    <mergeCell ref="D1116:D1118"/>
    <mergeCell ref="E1116:E1118"/>
    <mergeCell ref="F1116:F1118"/>
    <mergeCell ref="G1116:G1118"/>
    <mergeCell ref="H1116:H1118"/>
    <mergeCell ref="I1116:I1118"/>
    <mergeCell ref="J1116:J1118"/>
    <mergeCell ref="K1116:K1118"/>
    <mergeCell ref="L1116:L1118"/>
    <mergeCell ref="D1119:D1121"/>
    <mergeCell ref="E1119:E1121"/>
    <mergeCell ref="F1119:F1121"/>
    <mergeCell ref="G1119:G1121"/>
    <mergeCell ref="H1119:H1121"/>
    <mergeCell ref="I1119:I1121"/>
    <mergeCell ref="J1119:J1121"/>
    <mergeCell ref="K1119:K1121"/>
    <mergeCell ref="L1119:L1121"/>
    <mergeCell ref="D1122:F1122"/>
    <mergeCell ref="G1122:L1122"/>
    <mergeCell ref="A1124:A1126"/>
    <mergeCell ref="B1124:C1133"/>
    <mergeCell ref="D1124:D1126"/>
    <mergeCell ref="E1124:E1126"/>
    <mergeCell ref="F1124:F1126"/>
    <mergeCell ref="G1124:G1126"/>
    <mergeCell ref="H1124:H1126"/>
    <mergeCell ref="I1124:I1126"/>
    <mergeCell ref="J1124:J1126"/>
    <mergeCell ref="K1124:K1126"/>
    <mergeCell ref="L1124:L1126"/>
    <mergeCell ref="D1127:D1129"/>
    <mergeCell ref="E1127:E1129"/>
    <mergeCell ref="F1127:F1129"/>
    <mergeCell ref="G1127:G1129"/>
    <mergeCell ref="H1127:H1129"/>
    <mergeCell ref="I1127:I1129"/>
    <mergeCell ref="J1127:J1129"/>
    <mergeCell ref="K1127:K1129"/>
    <mergeCell ref="L1127:L1129"/>
    <mergeCell ref="D1130:D1132"/>
    <mergeCell ref="E1130:E1132"/>
    <mergeCell ref="F1130:F1132"/>
    <mergeCell ref="G1130:G1132"/>
    <mergeCell ref="H1130:H1132"/>
    <mergeCell ref="I1130:I1132"/>
    <mergeCell ref="J1130:J1132"/>
    <mergeCell ref="K1130:K1132"/>
    <mergeCell ref="L1130:L1132"/>
    <mergeCell ref="D1133:F1133"/>
    <mergeCell ref="G1133:L1133"/>
    <mergeCell ref="A1113:A1115"/>
    <mergeCell ref="D1135:D1137"/>
    <mergeCell ref="E1135:E1137"/>
    <mergeCell ref="F1135:F1137"/>
    <mergeCell ref="G1135:G1137"/>
    <mergeCell ref="H1135:H1137"/>
    <mergeCell ref="I1135:I1137"/>
    <mergeCell ref="J1135:J1137"/>
    <mergeCell ref="K1135:K1137"/>
    <mergeCell ref="L1135:L1137"/>
    <mergeCell ref="D1138:D1140"/>
    <mergeCell ref="E1138:E1140"/>
    <mergeCell ref="F1138:F1140"/>
    <mergeCell ref="G1138:G1140"/>
    <mergeCell ref="H1138:H1140"/>
    <mergeCell ref="I1138:I1140"/>
    <mergeCell ref="J1138:J1140"/>
    <mergeCell ref="K1138:K1140"/>
    <mergeCell ref="L1138:L1140"/>
    <mergeCell ref="D1141:D1143"/>
    <mergeCell ref="E1141:E1143"/>
    <mergeCell ref="F1141:F1143"/>
    <mergeCell ref="G1141:G1143"/>
    <mergeCell ref="H1141:H1143"/>
    <mergeCell ref="I1141:I1143"/>
    <mergeCell ref="J1141:J1143"/>
    <mergeCell ref="K1141:K1143"/>
    <mergeCell ref="L1141:L1143"/>
    <mergeCell ref="D1144:F1144"/>
    <mergeCell ref="G1144:L1144"/>
    <mergeCell ref="A1146:A1148"/>
    <mergeCell ref="B1146:C1155"/>
    <mergeCell ref="D1146:D1148"/>
    <mergeCell ref="E1146:E1148"/>
    <mergeCell ref="F1146:F1148"/>
    <mergeCell ref="G1146:G1148"/>
    <mergeCell ref="H1146:H1148"/>
    <mergeCell ref="I1146:I1148"/>
    <mergeCell ref="J1146:J1148"/>
    <mergeCell ref="K1146:K1148"/>
    <mergeCell ref="L1146:L1148"/>
    <mergeCell ref="D1149:D1151"/>
    <mergeCell ref="E1149:E1151"/>
    <mergeCell ref="F1149:F1151"/>
    <mergeCell ref="G1149:G1151"/>
    <mergeCell ref="H1149:H1151"/>
    <mergeCell ref="I1149:I1151"/>
    <mergeCell ref="J1149:J1151"/>
    <mergeCell ref="K1149:K1151"/>
    <mergeCell ref="L1149:L1151"/>
    <mergeCell ref="D1152:D1154"/>
    <mergeCell ref="E1152:E1154"/>
    <mergeCell ref="F1152:F1154"/>
    <mergeCell ref="G1152:G1154"/>
    <mergeCell ref="H1152:H1154"/>
    <mergeCell ref="I1152:I1154"/>
    <mergeCell ref="J1152:J1154"/>
    <mergeCell ref="K1152:K1154"/>
    <mergeCell ref="L1152:L1154"/>
    <mergeCell ref="D1155:F1155"/>
    <mergeCell ref="G1155:L1155"/>
    <mergeCell ref="A1135:A1137"/>
    <mergeCell ref="B1135:C1144"/>
    <mergeCell ref="D1157:D1159"/>
    <mergeCell ref="E1157:E1159"/>
    <mergeCell ref="F1157:F1159"/>
    <mergeCell ref="G1157:G1159"/>
    <mergeCell ref="H1157:H1159"/>
    <mergeCell ref="I1157:I1159"/>
    <mergeCell ref="J1157:J1159"/>
    <mergeCell ref="K1157:K1159"/>
    <mergeCell ref="L1157:L1159"/>
    <mergeCell ref="D1160:D1162"/>
    <mergeCell ref="E1160:E1162"/>
    <mergeCell ref="F1160:F1162"/>
    <mergeCell ref="G1160:G1162"/>
    <mergeCell ref="H1160:H1162"/>
    <mergeCell ref="I1160:I1162"/>
    <mergeCell ref="J1160:J1162"/>
    <mergeCell ref="K1160:K1162"/>
    <mergeCell ref="L1160:L1162"/>
    <mergeCell ref="D1163:D1165"/>
    <mergeCell ref="E1163:E1165"/>
    <mergeCell ref="F1163:F1165"/>
    <mergeCell ref="G1163:G1165"/>
    <mergeCell ref="H1163:H1165"/>
    <mergeCell ref="I1163:I1165"/>
    <mergeCell ref="J1163:J1165"/>
    <mergeCell ref="K1163:K1165"/>
    <mergeCell ref="L1163:L1165"/>
    <mergeCell ref="D1166:F1166"/>
    <mergeCell ref="G1166:L1166"/>
    <mergeCell ref="A1168:A1170"/>
    <mergeCell ref="B1168:C1177"/>
    <mergeCell ref="D1168:D1170"/>
    <mergeCell ref="E1168:E1170"/>
    <mergeCell ref="F1168:F1170"/>
    <mergeCell ref="G1168:G1170"/>
    <mergeCell ref="H1168:H1170"/>
    <mergeCell ref="I1168:I1170"/>
    <mergeCell ref="J1168:J1170"/>
    <mergeCell ref="K1168:K1170"/>
    <mergeCell ref="L1168:L1170"/>
    <mergeCell ref="D1171:D1173"/>
    <mergeCell ref="E1171:E1173"/>
    <mergeCell ref="F1171:F1173"/>
    <mergeCell ref="G1171:G1173"/>
    <mergeCell ref="H1171:H1173"/>
    <mergeCell ref="I1171:I1173"/>
    <mergeCell ref="J1171:J1173"/>
    <mergeCell ref="K1171:K1173"/>
    <mergeCell ref="L1171:L1173"/>
    <mergeCell ref="D1174:D1176"/>
    <mergeCell ref="E1174:E1176"/>
    <mergeCell ref="F1174:F1176"/>
    <mergeCell ref="G1174:G1176"/>
    <mergeCell ref="H1174:H1176"/>
    <mergeCell ref="I1174:I1176"/>
    <mergeCell ref="J1174:J1176"/>
    <mergeCell ref="K1174:K1176"/>
    <mergeCell ref="L1174:L1176"/>
    <mergeCell ref="D1177:F1177"/>
    <mergeCell ref="G1177:L1177"/>
    <mergeCell ref="A1157:A1159"/>
    <mergeCell ref="B1157:C1166"/>
    <mergeCell ref="D1179:D1181"/>
    <mergeCell ref="E1179:E1181"/>
    <mergeCell ref="F1179:F1181"/>
    <mergeCell ref="G1179:G1181"/>
    <mergeCell ref="H1179:H1181"/>
    <mergeCell ref="I1179:I1181"/>
    <mergeCell ref="J1179:J1181"/>
    <mergeCell ref="K1179:K1181"/>
    <mergeCell ref="L1179:L1181"/>
    <mergeCell ref="D1182:D1184"/>
    <mergeCell ref="E1182:E1184"/>
    <mergeCell ref="F1182:F1184"/>
    <mergeCell ref="G1182:G1184"/>
    <mergeCell ref="H1182:H1184"/>
    <mergeCell ref="I1182:I1184"/>
    <mergeCell ref="J1182:J1184"/>
    <mergeCell ref="K1182:K1184"/>
    <mergeCell ref="L1182:L1184"/>
    <mergeCell ref="D1185:D1187"/>
    <mergeCell ref="E1185:E1187"/>
    <mergeCell ref="F1185:F1187"/>
    <mergeCell ref="G1185:G1187"/>
    <mergeCell ref="H1185:H1187"/>
    <mergeCell ref="I1185:I1187"/>
    <mergeCell ref="J1185:J1187"/>
    <mergeCell ref="K1185:K1187"/>
    <mergeCell ref="L1185:L1187"/>
    <mergeCell ref="D1188:F1188"/>
    <mergeCell ref="G1188:L1188"/>
    <mergeCell ref="A1190:A1192"/>
    <mergeCell ref="B1190:C1199"/>
    <mergeCell ref="D1190:D1192"/>
    <mergeCell ref="E1190:E1192"/>
    <mergeCell ref="F1190:F1192"/>
    <mergeCell ref="G1190:G1192"/>
    <mergeCell ref="H1190:H1192"/>
    <mergeCell ref="I1190:I1192"/>
    <mergeCell ref="J1190:J1192"/>
    <mergeCell ref="K1190:K1192"/>
    <mergeCell ref="L1190:L1192"/>
    <mergeCell ref="D1193:D1195"/>
    <mergeCell ref="E1193:E1195"/>
    <mergeCell ref="F1193:F1195"/>
    <mergeCell ref="G1193:G1195"/>
    <mergeCell ref="H1193:H1195"/>
    <mergeCell ref="I1193:I1195"/>
    <mergeCell ref="J1193:J1195"/>
    <mergeCell ref="K1193:K1195"/>
    <mergeCell ref="L1193:L1195"/>
    <mergeCell ref="D1196:D1198"/>
    <mergeCell ref="E1196:E1198"/>
    <mergeCell ref="F1196:F1198"/>
    <mergeCell ref="G1196:G1198"/>
    <mergeCell ref="H1196:H1198"/>
    <mergeCell ref="I1196:I1198"/>
    <mergeCell ref="J1196:J1198"/>
    <mergeCell ref="K1196:K1198"/>
    <mergeCell ref="L1196:L1198"/>
    <mergeCell ref="D1199:F1199"/>
    <mergeCell ref="G1199:L1199"/>
    <mergeCell ref="A1179:A1181"/>
    <mergeCell ref="B1179:C1188"/>
    <mergeCell ref="D1201:D1203"/>
    <mergeCell ref="E1201:E1203"/>
    <mergeCell ref="F1201:F1203"/>
    <mergeCell ref="G1201:G1203"/>
    <mergeCell ref="H1201:H1203"/>
    <mergeCell ref="I1201:I1203"/>
    <mergeCell ref="J1201:J1203"/>
    <mergeCell ref="K1201:K1203"/>
    <mergeCell ref="L1201:L1203"/>
    <mergeCell ref="D1204:D1206"/>
    <mergeCell ref="E1204:E1206"/>
    <mergeCell ref="F1204:F1206"/>
    <mergeCell ref="G1204:G1206"/>
    <mergeCell ref="H1204:H1206"/>
    <mergeCell ref="I1204:I1206"/>
    <mergeCell ref="J1204:J1206"/>
    <mergeCell ref="K1204:K1206"/>
    <mergeCell ref="L1204:L1206"/>
    <mergeCell ref="D1207:D1209"/>
    <mergeCell ref="E1207:E1209"/>
    <mergeCell ref="F1207:F1209"/>
    <mergeCell ref="G1207:G1209"/>
    <mergeCell ref="H1207:H1209"/>
    <mergeCell ref="I1207:I1209"/>
    <mergeCell ref="J1207:J1209"/>
    <mergeCell ref="K1207:K1209"/>
    <mergeCell ref="L1207:L1209"/>
    <mergeCell ref="D1210:F1210"/>
    <mergeCell ref="G1210:L1210"/>
    <mergeCell ref="A1212:A1214"/>
    <mergeCell ref="B1212:C1221"/>
    <mergeCell ref="D1212:D1214"/>
    <mergeCell ref="E1212:E1214"/>
    <mergeCell ref="F1212:F1214"/>
    <mergeCell ref="G1212:G1214"/>
    <mergeCell ref="H1212:H1214"/>
    <mergeCell ref="I1212:I1214"/>
    <mergeCell ref="J1212:J1214"/>
    <mergeCell ref="K1212:K1214"/>
    <mergeCell ref="L1212:L1214"/>
    <mergeCell ref="D1215:D1217"/>
    <mergeCell ref="E1215:E1217"/>
    <mergeCell ref="F1215:F1217"/>
    <mergeCell ref="G1215:G1217"/>
    <mergeCell ref="H1215:H1217"/>
    <mergeCell ref="I1215:I1217"/>
    <mergeCell ref="J1215:J1217"/>
    <mergeCell ref="K1215:K1217"/>
    <mergeCell ref="L1215:L1217"/>
    <mergeCell ref="D1218:D1220"/>
    <mergeCell ref="E1218:E1220"/>
    <mergeCell ref="F1218:F1220"/>
    <mergeCell ref="G1218:G1220"/>
    <mergeCell ref="H1218:H1220"/>
    <mergeCell ref="I1218:I1220"/>
    <mergeCell ref="J1218:J1220"/>
    <mergeCell ref="K1218:K1220"/>
    <mergeCell ref="L1218:L1220"/>
    <mergeCell ref="D1221:F1221"/>
    <mergeCell ref="G1221:L1221"/>
    <mergeCell ref="A1201:A1203"/>
    <mergeCell ref="B1201:C1210"/>
    <mergeCell ref="B1223:C1232"/>
    <mergeCell ref="D1223:D1225"/>
    <mergeCell ref="E1223:E1225"/>
    <mergeCell ref="F1223:F1225"/>
    <mergeCell ref="G1223:G1225"/>
    <mergeCell ref="H1223:H1225"/>
    <mergeCell ref="I1223:I1225"/>
    <mergeCell ref="J1223:J1225"/>
    <mergeCell ref="K1223:K1225"/>
    <mergeCell ref="L1223:L1225"/>
    <mergeCell ref="D1226:D1228"/>
    <mergeCell ref="E1226:E1228"/>
    <mergeCell ref="F1226:F1228"/>
    <mergeCell ref="G1226:G1228"/>
    <mergeCell ref="H1226:H1228"/>
    <mergeCell ref="I1226:I1228"/>
    <mergeCell ref="J1226:J1228"/>
    <mergeCell ref="K1226:K1228"/>
    <mergeCell ref="L1226:L1228"/>
    <mergeCell ref="D1229:D1231"/>
    <mergeCell ref="E1229:E1231"/>
    <mergeCell ref="F1229:F1231"/>
    <mergeCell ref="G1229:G1231"/>
    <mergeCell ref="H1229:H1231"/>
    <mergeCell ref="I1229:I1231"/>
    <mergeCell ref="J1229:J1231"/>
    <mergeCell ref="K1229:K1231"/>
    <mergeCell ref="L1229:L1231"/>
    <mergeCell ref="D1232:F1232"/>
    <mergeCell ref="G1232:L1232"/>
    <mergeCell ref="A1234:A1236"/>
    <mergeCell ref="B1234:C1243"/>
    <mergeCell ref="D1234:D1236"/>
    <mergeCell ref="E1234:E1236"/>
    <mergeCell ref="F1234:F1236"/>
    <mergeCell ref="G1234:G1236"/>
    <mergeCell ref="H1234:H1236"/>
    <mergeCell ref="I1234:I1236"/>
    <mergeCell ref="J1234:J1236"/>
    <mergeCell ref="K1234:K1236"/>
    <mergeCell ref="L1234:L1236"/>
    <mergeCell ref="D1237:D1239"/>
    <mergeCell ref="E1237:E1239"/>
    <mergeCell ref="F1237:F1239"/>
    <mergeCell ref="G1237:G1239"/>
    <mergeCell ref="H1237:H1239"/>
    <mergeCell ref="I1237:I1239"/>
    <mergeCell ref="J1237:J1239"/>
    <mergeCell ref="K1237:K1239"/>
    <mergeCell ref="L1237:L1239"/>
    <mergeCell ref="D1240:D1242"/>
    <mergeCell ref="E1240:E1242"/>
    <mergeCell ref="F1240:F1242"/>
    <mergeCell ref="G1240:G1242"/>
    <mergeCell ref="H1240:H1242"/>
    <mergeCell ref="I1240:I1242"/>
    <mergeCell ref="J1240:J1242"/>
    <mergeCell ref="K1240:K1242"/>
    <mergeCell ref="L1240:L1242"/>
    <mergeCell ref="D1243:F1243"/>
    <mergeCell ref="G1243:L1243"/>
    <mergeCell ref="A1223:A1225"/>
    <mergeCell ref="D1245:D1247"/>
    <mergeCell ref="E1245:E1247"/>
    <mergeCell ref="F1245:F1247"/>
    <mergeCell ref="G1245:G1247"/>
    <mergeCell ref="H1245:H1247"/>
    <mergeCell ref="I1245:I1247"/>
    <mergeCell ref="J1245:J1247"/>
    <mergeCell ref="K1245:K1247"/>
    <mergeCell ref="L1245:L1247"/>
    <mergeCell ref="D1248:D1250"/>
    <mergeCell ref="E1248:E1250"/>
    <mergeCell ref="F1248:F1250"/>
    <mergeCell ref="G1248:G1250"/>
    <mergeCell ref="H1248:H1250"/>
    <mergeCell ref="I1248:I1250"/>
    <mergeCell ref="J1248:J1250"/>
    <mergeCell ref="K1248:K1250"/>
    <mergeCell ref="L1248:L1250"/>
    <mergeCell ref="D1251:D1253"/>
    <mergeCell ref="E1251:E1253"/>
    <mergeCell ref="F1251:F1253"/>
    <mergeCell ref="G1251:G1253"/>
    <mergeCell ref="H1251:H1253"/>
    <mergeCell ref="I1251:I1253"/>
    <mergeCell ref="J1251:J1253"/>
    <mergeCell ref="K1251:K1253"/>
    <mergeCell ref="L1251:L1253"/>
    <mergeCell ref="D1254:F1254"/>
    <mergeCell ref="G1254:L1254"/>
    <mergeCell ref="A1256:A1258"/>
    <mergeCell ref="B1256:C1265"/>
    <mergeCell ref="D1256:D1258"/>
    <mergeCell ref="E1256:E1258"/>
    <mergeCell ref="F1256:F1258"/>
    <mergeCell ref="G1256:G1258"/>
    <mergeCell ref="H1256:H1258"/>
    <mergeCell ref="I1256:I1258"/>
    <mergeCell ref="J1256:J1258"/>
    <mergeCell ref="K1256:K1258"/>
    <mergeCell ref="L1256:L1258"/>
    <mergeCell ref="D1259:D1261"/>
    <mergeCell ref="E1259:E1261"/>
    <mergeCell ref="F1259:F1261"/>
    <mergeCell ref="G1259:G1261"/>
    <mergeCell ref="H1259:H1261"/>
    <mergeCell ref="I1259:I1261"/>
    <mergeCell ref="J1259:J1261"/>
    <mergeCell ref="K1259:K1261"/>
    <mergeCell ref="L1259:L1261"/>
    <mergeCell ref="D1262:D1264"/>
    <mergeCell ref="E1262:E1264"/>
    <mergeCell ref="F1262:F1264"/>
    <mergeCell ref="G1262:G1264"/>
    <mergeCell ref="H1262:H1264"/>
    <mergeCell ref="I1262:I1264"/>
    <mergeCell ref="J1262:J1264"/>
    <mergeCell ref="K1262:K1264"/>
    <mergeCell ref="L1262:L1264"/>
    <mergeCell ref="D1265:F1265"/>
    <mergeCell ref="G1265:L1265"/>
    <mergeCell ref="A1245:A1247"/>
    <mergeCell ref="B1245:C1254"/>
    <mergeCell ref="D1267:D1269"/>
    <mergeCell ref="E1267:E1269"/>
    <mergeCell ref="F1267:F1269"/>
    <mergeCell ref="G1267:G1269"/>
    <mergeCell ref="H1267:H1269"/>
    <mergeCell ref="I1267:I1269"/>
    <mergeCell ref="J1267:J1269"/>
    <mergeCell ref="K1267:K1269"/>
    <mergeCell ref="L1267:L1269"/>
    <mergeCell ref="D1270:D1272"/>
    <mergeCell ref="E1270:E1272"/>
    <mergeCell ref="F1270:F1272"/>
    <mergeCell ref="G1270:G1272"/>
    <mergeCell ref="H1270:H1272"/>
    <mergeCell ref="I1270:I1272"/>
    <mergeCell ref="J1270:J1272"/>
    <mergeCell ref="K1270:K1272"/>
    <mergeCell ref="L1270:L1272"/>
    <mergeCell ref="D1273:D1275"/>
    <mergeCell ref="E1273:E1275"/>
    <mergeCell ref="F1273:F1275"/>
    <mergeCell ref="G1273:G1275"/>
    <mergeCell ref="H1273:H1275"/>
    <mergeCell ref="I1273:I1275"/>
    <mergeCell ref="J1273:J1275"/>
    <mergeCell ref="K1273:K1275"/>
    <mergeCell ref="L1273:L1275"/>
    <mergeCell ref="D1276:F1276"/>
    <mergeCell ref="G1276:L1276"/>
    <mergeCell ref="A1278:A1280"/>
    <mergeCell ref="B1278:C1287"/>
    <mergeCell ref="D1278:D1280"/>
    <mergeCell ref="E1278:E1280"/>
    <mergeCell ref="F1278:F1280"/>
    <mergeCell ref="G1278:G1280"/>
    <mergeCell ref="H1278:H1280"/>
    <mergeCell ref="I1278:I1280"/>
    <mergeCell ref="J1278:J1280"/>
    <mergeCell ref="K1278:K1280"/>
    <mergeCell ref="L1278:L1280"/>
    <mergeCell ref="D1281:D1283"/>
    <mergeCell ref="E1281:E1283"/>
    <mergeCell ref="F1281:F1283"/>
    <mergeCell ref="G1281:G1283"/>
    <mergeCell ref="H1281:H1283"/>
    <mergeCell ref="I1281:I1283"/>
    <mergeCell ref="J1281:J1283"/>
    <mergeCell ref="K1281:K1283"/>
    <mergeCell ref="L1281:L1283"/>
    <mergeCell ref="D1284:D1286"/>
    <mergeCell ref="E1284:E1286"/>
    <mergeCell ref="F1284:F1286"/>
    <mergeCell ref="G1284:G1286"/>
    <mergeCell ref="H1284:H1286"/>
    <mergeCell ref="I1284:I1286"/>
    <mergeCell ref="J1284:J1286"/>
    <mergeCell ref="K1284:K1286"/>
    <mergeCell ref="L1284:L1286"/>
    <mergeCell ref="D1287:F1287"/>
    <mergeCell ref="G1287:L1287"/>
    <mergeCell ref="A1267:A1269"/>
    <mergeCell ref="B1267:C1276"/>
    <mergeCell ref="D1289:D1291"/>
    <mergeCell ref="E1289:E1291"/>
    <mergeCell ref="F1289:F1291"/>
    <mergeCell ref="G1289:G1291"/>
    <mergeCell ref="H1289:H1291"/>
    <mergeCell ref="I1289:I1291"/>
    <mergeCell ref="J1289:J1291"/>
    <mergeCell ref="K1289:K1291"/>
    <mergeCell ref="L1289:L1291"/>
    <mergeCell ref="D1292:D1294"/>
    <mergeCell ref="E1292:E1294"/>
    <mergeCell ref="F1292:F1294"/>
    <mergeCell ref="G1292:G1294"/>
    <mergeCell ref="H1292:H1294"/>
    <mergeCell ref="I1292:I1294"/>
    <mergeCell ref="J1292:J1294"/>
    <mergeCell ref="K1292:K1294"/>
    <mergeCell ref="L1292:L1294"/>
    <mergeCell ref="D1295:D1297"/>
    <mergeCell ref="E1295:E1297"/>
    <mergeCell ref="F1295:F1297"/>
    <mergeCell ref="G1295:G1297"/>
    <mergeCell ref="H1295:H1297"/>
    <mergeCell ref="I1295:I1297"/>
    <mergeCell ref="J1295:J1297"/>
    <mergeCell ref="K1295:K1297"/>
    <mergeCell ref="L1295:L1297"/>
    <mergeCell ref="D1298:F1298"/>
    <mergeCell ref="G1298:L1298"/>
    <mergeCell ref="A1300:A1302"/>
    <mergeCell ref="B1300:C1309"/>
    <mergeCell ref="D1300:D1302"/>
    <mergeCell ref="E1300:E1302"/>
    <mergeCell ref="F1300:F1302"/>
    <mergeCell ref="G1300:G1302"/>
    <mergeCell ref="H1300:H1302"/>
    <mergeCell ref="I1300:I1302"/>
    <mergeCell ref="J1300:J1302"/>
    <mergeCell ref="K1300:K1302"/>
    <mergeCell ref="L1300:L1302"/>
    <mergeCell ref="D1303:D1305"/>
    <mergeCell ref="E1303:E1305"/>
    <mergeCell ref="F1303:F1305"/>
    <mergeCell ref="G1303:G1305"/>
    <mergeCell ref="H1303:H1305"/>
    <mergeCell ref="I1303:I1305"/>
    <mergeCell ref="J1303:J1305"/>
    <mergeCell ref="K1303:K1305"/>
    <mergeCell ref="L1303:L1305"/>
    <mergeCell ref="D1306:D1308"/>
    <mergeCell ref="E1306:E1308"/>
    <mergeCell ref="F1306:F1308"/>
    <mergeCell ref="G1306:G1308"/>
    <mergeCell ref="H1306:H1308"/>
    <mergeCell ref="I1306:I1308"/>
    <mergeCell ref="J1306:J1308"/>
    <mergeCell ref="K1306:K1308"/>
    <mergeCell ref="L1306:L1308"/>
    <mergeCell ref="D1309:F1309"/>
    <mergeCell ref="G1309:L1309"/>
    <mergeCell ref="A1289:A1291"/>
    <mergeCell ref="B1289:C1298"/>
    <mergeCell ref="D1311:D1313"/>
    <mergeCell ref="E1311:E1313"/>
    <mergeCell ref="F1311:F1313"/>
    <mergeCell ref="G1311:G1313"/>
    <mergeCell ref="H1311:H1313"/>
    <mergeCell ref="I1311:I1313"/>
    <mergeCell ref="J1311:J1313"/>
    <mergeCell ref="K1311:K1313"/>
    <mergeCell ref="L1311:L1313"/>
    <mergeCell ref="D1314:D1316"/>
    <mergeCell ref="E1314:E1316"/>
    <mergeCell ref="F1314:F1316"/>
    <mergeCell ref="G1314:G1316"/>
    <mergeCell ref="H1314:H1316"/>
    <mergeCell ref="I1314:I1316"/>
    <mergeCell ref="J1314:J1316"/>
    <mergeCell ref="K1314:K1316"/>
    <mergeCell ref="L1314:L1316"/>
    <mergeCell ref="D1317:D1319"/>
    <mergeCell ref="E1317:E1319"/>
    <mergeCell ref="F1317:F1319"/>
    <mergeCell ref="G1317:G1319"/>
    <mergeCell ref="H1317:H1319"/>
    <mergeCell ref="I1317:I1319"/>
    <mergeCell ref="J1317:J1319"/>
    <mergeCell ref="K1317:K1319"/>
    <mergeCell ref="L1317:L1319"/>
    <mergeCell ref="D1320:F1320"/>
    <mergeCell ref="G1320:L1320"/>
    <mergeCell ref="A1322:A1324"/>
    <mergeCell ref="B1322:C1331"/>
    <mergeCell ref="D1322:D1324"/>
    <mergeCell ref="E1322:E1324"/>
    <mergeCell ref="F1322:F1324"/>
    <mergeCell ref="G1322:G1324"/>
    <mergeCell ref="H1322:H1324"/>
    <mergeCell ref="I1322:I1324"/>
    <mergeCell ref="J1322:J1324"/>
    <mergeCell ref="K1322:K1324"/>
    <mergeCell ref="L1322:L1324"/>
    <mergeCell ref="D1325:D1327"/>
    <mergeCell ref="E1325:E1327"/>
    <mergeCell ref="F1325:F1327"/>
    <mergeCell ref="G1325:G1327"/>
    <mergeCell ref="H1325:H1327"/>
    <mergeCell ref="I1325:I1327"/>
    <mergeCell ref="J1325:J1327"/>
    <mergeCell ref="K1325:K1327"/>
    <mergeCell ref="L1325:L1327"/>
    <mergeCell ref="D1328:D1330"/>
    <mergeCell ref="E1328:E1330"/>
    <mergeCell ref="F1328:F1330"/>
    <mergeCell ref="G1328:G1330"/>
    <mergeCell ref="H1328:H1330"/>
    <mergeCell ref="I1328:I1330"/>
    <mergeCell ref="J1328:J1330"/>
    <mergeCell ref="K1328:K1330"/>
    <mergeCell ref="L1328:L1330"/>
    <mergeCell ref="D1331:F1331"/>
    <mergeCell ref="G1331:L1331"/>
    <mergeCell ref="A1311:A1313"/>
    <mergeCell ref="B1311:C1320"/>
    <mergeCell ref="B1333:C1342"/>
    <mergeCell ref="D1333:D1335"/>
    <mergeCell ref="E1333:E1335"/>
    <mergeCell ref="F1333:F1335"/>
    <mergeCell ref="G1333:G1335"/>
    <mergeCell ref="H1333:H1335"/>
    <mergeCell ref="I1333:I1335"/>
    <mergeCell ref="J1333:J1335"/>
    <mergeCell ref="K1333:K1335"/>
    <mergeCell ref="L1333:L1335"/>
    <mergeCell ref="D1336:D1338"/>
    <mergeCell ref="E1336:E1338"/>
    <mergeCell ref="F1336:F1338"/>
    <mergeCell ref="G1336:G1338"/>
    <mergeCell ref="H1336:H1338"/>
    <mergeCell ref="I1336:I1338"/>
    <mergeCell ref="J1336:J1338"/>
    <mergeCell ref="K1336:K1338"/>
    <mergeCell ref="L1336:L1338"/>
    <mergeCell ref="D1339:D1341"/>
    <mergeCell ref="E1339:E1341"/>
    <mergeCell ref="F1339:F1341"/>
    <mergeCell ref="G1339:G1341"/>
    <mergeCell ref="H1339:H1341"/>
    <mergeCell ref="I1339:I1341"/>
    <mergeCell ref="J1339:J1341"/>
    <mergeCell ref="K1339:K1341"/>
    <mergeCell ref="L1339:L1341"/>
    <mergeCell ref="D1342:F1342"/>
    <mergeCell ref="G1342:L1342"/>
    <mergeCell ref="A1344:A1346"/>
    <mergeCell ref="B1344:C1353"/>
    <mergeCell ref="D1344:D1346"/>
    <mergeCell ref="E1344:E1346"/>
    <mergeCell ref="F1344:F1346"/>
    <mergeCell ref="G1344:G1346"/>
    <mergeCell ref="H1344:H1346"/>
    <mergeCell ref="I1344:I1346"/>
    <mergeCell ref="J1344:J1346"/>
    <mergeCell ref="K1344:K1346"/>
    <mergeCell ref="L1344:L1346"/>
    <mergeCell ref="D1347:D1349"/>
    <mergeCell ref="E1347:E1349"/>
    <mergeCell ref="F1347:F1349"/>
    <mergeCell ref="G1347:G1349"/>
    <mergeCell ref="H1347:H1349"/>
    <mergeCell ref="I1347:I1349"/>
    <mergeCell ref="J1347:J1349"/>
    <mergeCell ref="K1347:K1349"/>
    <mergeCell ref="L1347:L1349"/>
    <mergeCell ref="D1350:D1352"/>
    <mergeCell ref="E1350:E1352"/>
    <mergeCell ref="F1350:F1352"/>
    <mergeCell ref="G1350:G1352"/>
    <mergeCell ref="H1350:H1352"/>
    <mergeCell ref="I1350:I1352"/>
    <mergeCell ref="J1350:J1352"/>
    <mergeCell ref="K1350:K1352"/>
    <mergeCell ref="L1350:L1352"/>
    <mergeCell ref="D1353:F1353"/>
    <mergeCell ref="G1353:L1353"/>
    <mergeCell ref="A1333:A1335"/>
    <mergeCell ref="D1355:D1357"/>
    <mergeCell ref="E1355:E1357"/>
    <mergeCell ref="F1355:F1357"/>
    <mergeCell ref="G1355:G1357"/>
    <mergeCell ref="H1355:H1357"/>
    <mergeCell ref="I1355:I1357"/>
    <mergeCell ref="J1355:J1357"/>
    <mergeCell ref="K1355:K1357"/>
    <mergeCell ref="L1355:L1357"/>
    <mergeCell ref="D1358:D1360"/>
    <mergeCell ref="E1358:E1360"/>
    <mergeCell ref="F1358:F1360"/>
    <mergeCell ref="G1358:G1360"/>
    <mergeCell ref="H1358:H1360"/>
    <mergeCell ref="I1358:I1360"/>
    <mergeCell ref="J1358:J1360"/>
    <mergeCell ref="K1358:K1360"/>
    <mergeCell ref="L1358:L1360"/>
    <mergeCell ref="D1361:D1363"/>
    <mergeCell ref="E1361:E1363"/>
    <mergeCell ref="F1361:F1363"/>
    <mergeCell ref="G1361:G1363"/>
    <mergeCell ref="H1361:H1363"/>
    <mergeCell ref="I1361:I1363"/>
    <mergeCell ref="J1361:J1363"/>
    <mergeCell ref="K1361:K1363"/>
    <mergeCell ref="L1361:L1363"/>
    <mergeCell ref="D1364:F1364"/>
    <mergeCell ref="G1364:L1364"/>
    <mergeCell ref="A1366:A1368"/>
    <mergeCell ref="B1366:C1375"/>
    <mergeCell ref="D1366:D1368"/>
    <mergeCell ref="E1366:E1368"/>
    <mergeCell ref="F1366:F1368"/>
    <mergeCell ref="G1366:G1368"/>
    <mergeCell ref="H1366:H1368"/>
    <mergeCell ref="I1366:I1368"/>
    <mergeCell ref="J1366:J1368"/>
    <mergeCell ref="K1366:K1368"/>
    <mergeCell ref="L1366:L1368"/>
    <mergeCell ref="D1369:D1371"/>
    <mergeCell ref="E1369:E1371"/>
    <mergeCell ref="F1369:F1371"/>
    <mergeCell ref="G1369:G1371"/>
    <mergeCell ref="H1369:H1371"/>
    <mergeCell ref="I1369:I1371"/>
    <mergeCell ref="J1369:J1371"/>
    <mergeCell ref="K1369:K1371"/>
    <mergeCell ref="L1369:L1371"/>
    <mergeCell ref="D1372:D1374"/>
    <mergeCell ref="E1372:E1374"/>
    <mergeCell ref="F1372:F1374"/>
    <mergeCell ref="G1372:G1374"/>
    <mergeCell ref="H1372:H1374"/>
    <mergeCell ref="I1372:I1374"/>
    <mergeCell ref="J1372:J1374"/>
    <mergeCell ref="K1372:K1374"/>
    <mergeCell ref="L1372:L1374"/>
    <mergeCell ref="D1375:F1375"/>
    <mergeCell ref="G1375:L1375"/>
    <mergeCell ref="A1355:A1357"/>
    <mergeCell ref="B1355:C1364"/>
    <mergeCell ref="D1377:D1379"/>
    <mergeCell ref="E1377:E1379"/>
    <mergeCell ref="F1377:F1379"/>
    <mergeCell ref="G1377:G1379"/>
    <mergeCell ref="H1377:H1379"/>
    <mergeCell ref="I1377:I1379"/>
    <mergeCell ref="J1377:J1379"/>
    <mergeCell ref="K1377:K1379"/>
    <mergeCell ref="L1377:L1379"/>
    <mergeCell ref="D1380:D1382"/>
    <mergeCell ref="E1380:E1382"/>
    <mergeCell ref="F1380:F1382"/>
    <mergeCell ref="G1380:G1382"/>
    <mergeCell ref="H1380:H1382"/>
    <mergeCell ref="I1380:I1382"/>
    <mergeCell ref="J1380:J1382"/>
    <mergeCell ref="K1380:K1382"/>
    <mergeCell ref="L1380:L1382"/>
    <mergeCell ref="D1383:D1385"/>
    <mergeCell ref="E1383:E1385"/>
    <mergeCell ref="F1383:F1385"/>
    <mergeCell ref="G1383:G1385"/>
    <mergeCell ref="H1383:H1385"/>
    <mergeCell ref="I1383:I1385"/>
    <mergeCell ref="J1383:J1385"/>
    <mergeCell ref="K1383:K1385"/>
    <mergeCell ref="L1383:L1385"/>
    <mergeCell ref="D1386:F1386"/>
    <mergeCell ref="G1386:L1386"/>
    <mergeCell ref="A1388:A1390"/>
    <mergeCell ref="B1388:C1397"/>
    <mergeCell ref="D1388:D1390"/>
    <mergeCell ref="E1388:E1390"/>
    <mergeCell ref="F1388:F1390"/>
    <mergeCell ref="G1388:G1390"/>
    <mergeCell ref="H1388:H1390"/>
    <mergeCell ref="I1388:I1390"/>
    <mergeCell ref="J1388:J1390"/>
    <mergeCell ref="K1388:K1390"/>
    <mergeCell ref="L1388:L1390"/>
    <mergeCell ref="D1391:D1393"/>
    <mergeCell ref="E1391:E1393"/>
    <mergeCell ref="F1391:F1393"/>
    <mergeCell ref="G1391:G1393"/>
    <mergeCell ref="H1391:H1393"/>
    <mergeCell ref="I1391:I1393"/>
    <mergeCell ref="J1391:J1393"/>
    <mergeCell ref="K1391:K1393"/>
    <mergeCell ref="L1391:L1393"/>
    <mergeCell ref="D1394:D1396"/>
    <mergeCell ref="E1394:E1396"/>
    <mergeCell ref="F1394:F1396"/>
    <mergeCell ref="G1394:G1396"/>
    <mergeCell ref="H1394:H1396"/>
    <mergeCell ref="I1394:I1396"/>
    <mergeCell ref="J1394:J1396"/>
    <mergeCell ref="K1394:K1396"/>
    <mergeCell ref="L1394:L1396"/>
    <mergeCell ref="D1397:F1397"/>
    <mergeCell ref="G1397:L1397"/>
    <mergeCell ref="A1377:A1379"/>
    <mergeCell ref="B1377:C1386"/>
    <mergeCell ref="D1399:D1401"/>
    <mergeCell ref="E1399:E1401"/>
    <mergeCell ref="F1399:F1401"/>
    <mergeCell ref="G1399:G1401"/>
    <mergeCell ref="H1399:H1401"/>
    <mergeCell ref="I1399:I1401"/>
    <mergeCell ref="J1399:J1401"/>
    <mergeCell ref="K1399:K1401"/>
    <mergeCell ref="L1399:L1401"/>
    <mergeCell ref="D1402:D1404"/>
    <mergeCell ref="E1402:E1404"/>
    <mergeCell ref="F1402:F1404"/>
    <mergeCell ref="G1402:G1404"/>
    <mergeCell ref="H1402:H1404"/>
    <mergeCell ref="I1402:I1404"/>
    <mergeCell ref="J1402:J1404"/>
    <mergeCell ref="K1402:K1404"/>
    <mergeCell ref="L1402:L1404"/>
    <mergeCell ref="D1405:D1407"/>
    <mergeCell ref="E1405:E1407"/>
    <mergeCell ref="F1405:F1407"/>
    <mergeCell ref="G1405:G1407"/>
    <mergeCell ref="H1405:H1407"/>
    <mergeCell ref="I1405:I1407"/>
    <mergeCell ref="J1405:J1407"/>
    <mergeCell ref="K1405:K1407"/>
    <mergeCell ref="L1405:L1407"/>
    <mergeCell ref="D1408:F1408"/>
    <mergeCell ref="G1408:L1408"/>
    <mergeCell ref="A1410:A1412"/>
    <mergeCell ref="B1410:C1419"/>
    <mergeCell ref="D1410:D1412"/>
    <mergeCell ref="E1410:E1412"/>
    <mergeCell ref="F1410:F1412"/>
    <mergeCell ref="G1410:G1412"/>
    <mergeCell ref="H1410:H1412"/>
    <mergeCell ref="I1410:I1412"/>
    <mergeCell ref="J1410:J1412"/>
    <mergeCell ref="K1410:K1412"/>
    <mergeCell ref="L1410:L1412"/>
    <mergeCell ref="D1413:D1415"/>
    <mergeCell ref="E1413:E1415"/>
    <mergeCell ref="F1413:F1415"/>
    <mergeCell ref="G1413:G1415"/>
    <mergeCell ref="H1413:H1415"/>
    <mergeCell ref="I1413:I1415"/>
    <mergeCell ref="J1413:J1415"/>
    <mergeCell ref="K1413:K1415"/>
    <mergeCell ref="L1413:L1415"/>
    <mergeCell ref="D1416:D1418"/>
    <mergeCell ref="E1416:E1418"/>
    <mergeCell ref="F1416:F1418"/>
    <mergeCell ref="G1416:G1418"/>
    <mergeCell ref="H1416:H1418"/>
    <mergeCell ref="I1416:I1418"/>
    <mergeCell ref="J1416:J1418"/>
    <mergeCell ref="K1416:K1418"/>
    <mergeCell ref="L1416:L1418"/>
    <mergeCell ref="D1419:F1419"/>
    <mergeCell ref="G1419:L1419"/>
    <mergeCell ref="A1399:A1401"/>
    <mergeCell ref="B1399:C1408"/>
    <mergeCell ref="D1421:D1423"/>
    <mergeCell ref="E1421:E1423"/>
    <mergeCell ref="F1421:F1423"/>
    <mergeCell ref="G1421:G1423"/>
    <mergeCell ref="H1421:H1423"/>
    <mergeCell ref="I1421:I1423"/>
    <mergeCell ref="J1421:J1423"/>
    <mergeCell ref="K1421:K1423"/>
    <mergeCell ref="L1421:L1423"/>
    <mergeCell ref="D1424:D1426"/>
    <mergeCell ref="E1424:E1426"/>
    <mergeCell ref="F1424:F1426"/>
    <mergeCell ref="G1424:G1426"/>
    <mergeCell ref="H1424:H1426"/>
    <mergeCell ref="I1424:I1426"/>
    <mergeCell ref="J1424:J1426"/>
    <mergeCell ref="K1424:K1426"/>
    <mergeCell ref="L1424:L1426"/>
    <mergeCell ref="D1427:D1429"/>
    <mergeCell ref="E1427:E1429"/>
    <mergeCell ref="F1427:F1429"/>
    <mergeCell ref="G1427:G1429"/>
    <mergeCell ref="H1427:H1429"/>
    <mergeCell ref="I1427:I1429"/>
    <mergeCell ref="J1427:J1429"/>
    <mergeCell ref="K1427:K1429"/>
    <mergeCell ref="L1427:L1429"/>
    <mergeCell ref="D1430:F1430"/>
    <mergeCell ref="G1430:L1430"/>
    <mergeCell ref="A1432:A1434"/>
    <mergeCell ref="B1432:C1441"/>
    <mergeCell ref="D1432:D1434"/>
    <mergeCell ref="E1432:E1434"/>
    <mergeCell ref="F1432:F1434"/>
    <mergeCell ref="G1432:G1434"/>
    <mergeCell ref="H1432:H1434"/>
    <mergeCell ref="I1432:I1434"/>
    <mergeCell ref="J1432:J1434"/>
    <mergeCell ref="K1432:K1434"/>
    <mergeCell ref="L1432:L1434"/>
    <mergeCell ref="D1435:D1437"/>
    <mergeCell ref="E1435:E1437"/>
    <mergeCell ref="F1435:F1437"/>
    <mergeCell ref="G1435:G1437"/>
    <mergeCell ref="H1435:H1437"/>
    <mergeCell ref="I1435:I1437"/>
    <mergeCell ref="J1435:J1437"/>
    <mergeCell ref="K1435:K1437"/>
    <mergeCell ref="L1435:L1437"/>
    <mergeCell ref="D1438:D1440"/>
    <mergeCell ref="E1438:E1440"/>
    <mergeCell ref="F1438:F1440"/>
    <mergeCell ref="G1438:G1440"/>
    <mergeCell ref="H1438:H1440"/>
    <mergeCell ref="I1438:I1440"/>
    <mergeCell ref="J1438:J1440"/>
    <mergeCell ref="K1438:K1440"/>
    <mergeCell ref="L1438:L1440"/>
    <mergeCell ref="D1441:F1441"/>
    <mergeCell ref="G1441:L1441"/>
    <mergeCell ref="A1421:A1423"/>
    <mergeCell ref="B1421:C1430"/>
    <mergeCell ref="B1443:C1452"/>
    <mergeCell ref="D1443:D1445"/>
    <mergeCell ref="E1443:E1445"/>
    <mergeCell ref="F1443:F1445"/>
    <mergeCell ref="G1443:G1445"/>
    <mergeCell ref="H1443:H1445"/>
    <mergeCell ref="I1443:I1445"/>
    <mergeCell ref="J1443:J1445"/>
    <mergeCell ref="K1443:K1445"/>
    <mergeCell ref="L1443:L1445"/>
    <mergeCell ref="D1446:D1448"/>
    <mergeCell ref="E1446:E1448"/>
    <mergeCell ref="F1446:F1448"/>
    <mergeCell ref="G1446:G1448"/>
    <mergeCell ref="H1446:H1448"/>
    <mergeCell ref="I1446:I1448"/>
    <mergeCell ref="J1446:J1448"/>
    <mergeCell ref="K1446:K1448"/>
    <mergeCell ref="L1446:L1448"/>
    <mergeCell ref="D1449:D1451"/>
    <mergeCell ref="E1449:E1451"/>
    <mergeCell ref="F1449:F1451"/>
    <mergeCell ref="G1449:G1451"/>
    <mergeCell ref="H1449:H1451"/>
    <mergeCell ref="I1449:I1451"/>
    <mergeCell ref="J1449:J1451"/>
    <mergeCell ref="K1449:K1451"/>
    <mergeCell ref="L1449:L1451"/>
    <mergeCell ref="D1452:F1452"/>
    <mergeCell ref="G1452:L1452"/>
    <mergeCell ref="A1454:A1456"/>
    <mergeCell ref="B1454:C1463"/>
    <mergeCell ref="D1454:D1456"/>
    <mergeCell ref="E1454:E1456"/>
    <mergeCell ref="F1454:F1456"/>
    <mergeCell ref="G1454:G1456"/>
    <mergeCell ref="H1454:H1456"/>
    <mergeCell ref="I1454:I1456"/>
    <mergeCell ref="J1454:J1456"/>
    <mergeCell ref="K1454:K1456"/>
    <mergeCell ref="L1454:L1456"/>
    <mergeCell ref="D1457:D1459"/>
    <mergeCell ref="E1457:E1459"/>
    <mergeCell ref="F1457:F1459"/>
    <mergeCell ref="G1457:G1459"/>
    <mergeCell ref="H1457:H1459"/>
    <mergeCell ref="I1457:I1459"/>
    <mergeCell ref="J1457:J1459"/>
    <mergeCell ref="K1457:K1459"/>
    <mergeCell ref="L1457:L1459"/>
    <mergeCell ref="D1460:D1462"/>
    <mergeCell ref="E1460:E1462"/>
    <mergeCell ref="F1460:F1462"/>
    <mergeCell ref="G1460:G1462"/>
    <mergeCell ref="H1460:H1462"/>
    <mergeCell ref="I1460:I1462"/>
    <mergeCell ref="J1460:J1462"/>
    <mergeCell ref="K1460:K1462"/>
    <mergeCell ref="L1460:L1462"/>
    <mergeCell ref="D1463:F1463"/>
    <mergeCell ref="G1463:L1463"/>
    <mergeCell ref="A1443:A1445"/>
    <mergeCell ref="D1465:D1467"/>
    <mergeCell ref="E1465:E1467"/>
    <mergeCell ref="F1465:F1467"/>
    <mergeCell ref="G1465:G1467"/>
    <mergeCell ref="H1465:H1467"/>
    <mergeCell ref="I1465:I1467"/>
    <mergeCell ref="J1465:J1467"/>
    <mergeCell ref="K1465:K1467"/>
    <mergeCell ref="L1465:L1467"/>
    <mergeCell ref="D1468:D1470"/>
    <mergeCell ref="E1468:E1470"/>
    <mergeCell ref="F1468:F1470"/>
    <mergeCell ref="G1468:G1470"/>
    <mergeCell ref="H1468:H1470"/>
    <mergeCell ref="I1468:I1470"/>
    <mergeCell ref="J1468:J1470"/>
    <mergeCell ref="K1468:K1470"/>
    <mergeCell ref="L1468:L1470"/>
    <mergeCell ref="D1471:D1473"/>
    <mergeCell ref="E1471:E1473"/>
    <mergeCell ref="F1471:F1473"/>
    <mergeCell ref="G1471:G1473"/>
    <mergeCell ref="H1471:H1473"/>
    <mergeCell ref="I1471:I1473"/>
    <mergeCell ref="J1471:J1473"/>
    <mergeCell ref="K1471:K1473"/>
    <mergeCell ref="L1471:L1473"/>
    <mergeCell ref="D1474:F1474"/>
    <mergeCell ref="G1474:L1474"/>
    <mergeCell ref="A1476:A1478"/>
    <mergeCell ref="B1476:C1485"/>
    <mergeCell ref="D1476:D1478"/>
    <mergeCell ref="E1476:E1478"/>
    <mergeCell ref="F1476:F1478"/>
    <mergeCell ref="G1476:G1478"/>
    <mergeCell ref="H1476:H1478"/>
    <mergeCell ref="I1476:I1478"/>
    <mergeCell ref="J1476:J1478"/>
    <mergeCell ref="K1476:K1478"/>
    <mergeCell ref="L1476:L1478"/>
    <mergeCell ref="D1479:D1481"/>
    <mergeCell ref="E1479:E1481"/>
    <mergeCell ref="F1479:F1481"/>
    <mergeCell ref="G1479:G1481"/>
    <mergeCell ref="H1479:H1481"/>
    <mergeCell ref="I1479:I1481"/>
    <mergeCell ref="J1479:J1481"/>
    <mergeCell ref="K1479:K1481"/>
    <mergeCell ref="L1479:L1481"/>
    <mergeCell ref="D1482:D1484"/>
    <mergeCell ref="E1482:E1484"/>
    <mergeCell ref="F1482:F1484"/>
    <mergeCell ref="G1482:G1484"/>
    <mergeCell ref="H1482:H1484"/>
    <mergeCell ref="I1482:I1484"/>
    <mergeCell ref="J1482:J1484"/>
    <mergeCell ref="K1482:K1484"/>
    <mergeCell ref="L1482:L1484"/>
    <mergeCell ref="D1485:F1485"/>
    <mergeCell ref="G1485:L1485"/>
    <mergeCell ref="A1465:A1467"/>
    <mergeCell ref="B1465:C1474"/>
    <mergeCell ref="D1487:D1489"/>
    <mergeCell ref="E1487:E1489"/>
    <mergeCell ref="F1487:F1489"/>
    <mergeCell ref="G1487:G1489"/>
    <mergeCell ref="H1487:H1489"/>
    <mergeCell ref="I1487:I1489"/>
    <mergeCell ref="J1487:J1489"/>
    <mergeCell ref="K1487:K1489"/>
    <mergeCell ref="L1487:L1489"/>
    <mergeCell ref="D1490:D1492"/>
    <mergeCell ref="E1490:E1492"/>
    <mergeCell ref="F1490:F1492"/>
    <mergeCell ref="G1490:G1492"/>
    <mergeCell ref="H1490:H1492"/>
    <mergeCell ref="I1490:I1492"/>
    <mergeCell ref="J1490:J1492"/>
    <mergeCell ref="K1490:K1492"/>
    <mergeCell ref="L1490:L1492"/>
    <mergeCell ref="D1493:D1495"/>
    <mergeCell ref="E1493:E1495"/>
    <mergeCell ref="F1493:F1495"/>
    <mergeCell ref="G1493:G1495"/>
    <mergeCell ref="H1493:H1495"/>
    <mergeCell ref="I1493:I1495"/>
    <mergeCell ref="J1493:J1495"/>
    <mergeCell ref="K1493:K1495"/>
    <mergeCell ref="L1493:L1495"/>
    <mergeCell ref="D1496:F1496"/>
    <mergeCell ref="G1496:L1496"/>
    <mergeCell ref="A1498:A1500"/>
    <mergeCell ref="B1498:C1507"/>
    <mergeCell ref="D1498:D1500"/>
    <mergeCell ref="E1498:E1500"/>
    <mergeCell ref="F1498:F1500"/>
    <mergeCell ref="G1498:G1500"/>
    <mergeCell ref="H1498:H1500"/>
    <mergeCell ref="I1498:I1500"/>
    <mergeCell ref="J1498:J1500"/>
    <mergeCell ref="K1498:K1500"/>
    <mergeCell ref="L1498:L1500"/>
    <mergeCell ref="D1501:D1503"/>
    <mergeCell ref="E1501:E1503"/>
    <mergeCell ref="F1501:F1503"/>
    <mergeCell ref="G1501:G1503"/>
    <mergeCell ref="H1501:H1503"/>
    <mergeCell ref="I1501:I1503"/>
    <mergeCell ref="J1501:J1503"/>
    <mergeCell ref="K1501:K1503"/>
    <mergeCell ref="L1501:L1503"/>
    <mergeCell ref="D1504:D1506"/>
    <mergeCell ref="E1504:E1506"/>
    <mergeCell ref="F1504:F1506"/>
    <mergeCell ref="G1504:G1506"/>
    <mergeCell ref="H1504:H1506"/>
    <mergeCell ref="I1504:I1506"/>
    <mergeCell ref="J1504:J1506"/>
    <mergeCell ref="K1504:K1506"/>
    <mergeCell ref="L1504:L1506"/>
    <mergeCell ref="D1507:F1507"/>
    <mergeCell ref="G1507:L1507"/>
    <mergeCell ref="A1487:A1489"/>
    <mergeCell ref="B1487:C1496"/>
    <mergeCell ref="D1509:D1511"/>
    <mergeCell ref="E1509:E1511"/>
    <mergeCell ref="F1509:F1511"/>
    <mergeCell ref="G1509:G1511"/>
    <mergeCell ref="H1509:H1511"/>
    <mergeCell ref="I1509:I1511"/>
    <mergeCell ref="J1509:J1511"/>
    <mergeCell ref="K1509:K1511"/>
    <mergeCell ref="L1509:L1511"/>
    <mergeCell ref="D1512:D1514"/>
    <mergeCell ref="E1512:E1514"/>
    <mergeCell ref="F1512:F1514"/>
    <mergeCell ref="G1512:G1514"/>
    <mergeCell ref="H1512:H1514"/>
    <mergeCell ref="I1512:I1514"/>
    <mergeCell ref="J1512:J1514"/>
    <mergeCell ref="K1512:K1514"/>
    <mergeCell ref="L1512:L1514"/>
    <mergeCell ref="D1515:D1517"/>
    <mergeCell ref="E1515:E1517"/>
    <mergeCell ref="F1515:F1517"/>
    <mergeCell ref="G1515:G1517"/>
    <mergeCell ref="H1515:H1517"/>
    <mergeCell ref="I1515:I1517"/>
    <mergeCell ref="J1515:J1517"/>
    <mergeCell ref="K1515:K1517"/>
    <mergeCell ref="L1515:L1517"/>
    <mergeCell ref="D1518:F1518"/>
    <mergeCell ref="G1518:L1518"/>
    <mergeCell ref="A1520:A1522"/>
    <mergeCell ref="B1520:C1529"/>
    <mergeCell ref="D1520:D1522"/>
    <mergeCell ref="E1520:E1522"/>
    <mergeCell ref="F1520:F1522"/>
    <mergeCell ref="G1520:G1522"/>
    <mergeCell ref="H1520:H1522"/>
    <mergeCell ref="I1520:I1522"/>
    <mergeCell ref="J1520:J1522"/>
    <mergeCell ref="K1520:K1522"/>
    <mergeCell ref="L1520:L1522"/>
    <mergeCell ref="D1523:D1525"/>
    <mergeCell ref="E1523:E1525"/>
    <mergeCell ref="F1523:F1525"/>
    <mergeCell ref="G1523:G1525"/>
    <mergeCell ref="H1523:H1525"/>
    <mergeCell ref="I1523:I1525"/>
    <mergeCell ref="J1523:J1525"/>
    <mergeCell ref="K1523:K1525"/>
    <mergeCell ref="L1523:L1525"/>
    <mergeCell ref="D1526:D1528"/>
    <mergeCell ref="E1526:E1528"/>
    <mergeCell ref="F1526:F1528"/>
    <mergeCell ref="G1526:G1528"/>
    <mergeCell ref="H1526:H1528"/>
    <mergeCell ref="I1526:I1528"/>
    <mergeCell ref="J1526:J1528"/>
    <mergeCell ref="K1526:K1528"/>
    <mergeCell ref="L1526:L1528"/>
    <mergeCell ref="D1529:F1529"/>
    <mergeCell ref="G1529:L1529"/>
    <mergeCell ref="A1509:A1511"/>
    <mergeCell ref="B1509:C1518"/>
    <mergeCell ref="D1531:D1533"/>
    <mergeCell ref="E1531:E1533"/>
    <mergeCell ref="F1531:F1533"/>
    <mergeCell ref="G1531:G1533"/>
    <mergeCell ref="H1531:H1533"/>
    <mergeCell ref="I1531:I1533"/>
    <mergeCell ref="J1531:J1533"/>
    <mergeCell ref="K1531:K1533"/>
    <mergeCell ref="L1531:L1533"/>
    <mergeCell ref="D1534:D1536"/>
    <mergeCell ref="E1534:E1536"/>
    <mergeCell ref="F1534:F1536"/>
    <mergeCell ref="G1534:G1536"/>
    <mergeCell ref="H1534:H1536"/>
    <mergeCell ref="I1534:I1536"/>
    <mergeCell ref="J1534:J1536"/>
    <mergeCell ref="K1534:K1536"/>
    <mergeCell ref="L1534:L1536"/>
    <mergeCell ref="D1537:D1539"/>
    <mergeCell ref="E1537:E1539"/>
    <mergeCell ref="F1537:F1539"/>
    <mergeCell ref="G1537:G1539"/>
    <mergeCell ref="H1537:H1539"/>
    <mergeCell ref="I1537:I1539"/>
    <mergeCell ref="J1537:J1539"/>
    <mergeCell ref="K1537:K1539"/>
    <mergeCell ref="L1537:L1539"/>
    <mergeCell ref="D1540:F1540"/>
    <mergeCell ref="G1540:L1540"/>
    <mergeCell ref="A1542:A1544"/>
    <mergeCell ref="B1542:C1551"/>
    <mergeCell ref="D1542:D1544"/>
    <mergeCell ref="E1542:E1544"/>
    <mergeCell ref="F1542:F1544"/>
    <mergeCell ref="G1542:G1544"/>
    <mergeCell ref="H1542:H1544"/>
    <mergeCell ref="I1542:I1544"/>
    <mergeCell ref="J1542:J1544"/>
    <mergeCell ref="K1542:K1544"/>
    <mergeCell ref="L1542:L1544"/>
    <mergeCell ref="D1551:F1551"/>
    <mergeCell ref="G1551:L1551"/>
    <mergeCell ref="A1531:A1533"/>
    <mergeCell ref="B1531:C1540"/>
    <mergeCell ref="D1545:D1547"/>
    <mergeCell ref="E1545:E1547"/>
    <mergeCell ref="F1545:F1547"/>
    <mergeCell ref="G1545:G1547"/>
    <mergeCell ref="H1545:H1547"/>
    <mergeCell ref="I1545:I1547"/>
    <mergeCell ref="J1545:J1547"/>
    <mergeCell ref="K1545:K1547"/>
    <mergeCell ref="L1545:L1547"/>
    <mergeCell ref="D1548:D1550"/>
    <mergeCell ref="E1548:E1550"/>
    <mergeCell ref="F1548:F1550"/>
    <mergeCell ref="G1548:G1550"/>
    <mergeCell ref="H1548:H1550"/>
    <mergeCell ref="I1548:I1550"/>
    <mergeCell ref="J1548:J1550"/>
    <mergeCell ref="K1548:K1550"/>
    <mergeCell ref="L1548:L1550"/>
    <mergeCell ref="B1553:C1562"/>
    <mergeCell ref="D1553:D1555"/>
    <mergeCell ref="E1553:E1555"/>
    <mergeCell ref="F1553:F1555"/>
    <mergeCell ref="G1553:G1555"/>
    <mergeCell ref="H1553:H1555"/>
    <mergeCell ref="I1553:I1555"/>
    <mergeCell ref="J1553:J1555"/>
    <mergeCell ref="K1553:K1555"/>
    <mergeCell ref="L1553:L1555"/>
    <mergeCell ref="D1562:F1562"/>
    <mergeCell ref="G1562:L1562"/>
    <mergeCell ref="A1564:A1566"/>
    <mergeCell ref="B1564:C1573"/>
    <mergeCell ref="D1564:D1566"/>
    <mergeCell ref="E1564:E1566"/>
    <mergeCell ref="F1564:F1566"/>
    <mergeCell ref="G1564:G1566"/>
    <mergeCell ref="H1564:H1566"/>
    <mergeCell ref="I1564:I1566"/>
    <mergeCell ref="J1564:J1566"/>
    <mergeCell ref="K1564:K1566"/>
    <mergeCell ref="L1564:L1566"/>
    <mergeCell ref="D1573:F1573"/>
    <mergeCell ref="G1573:L1573"/>
    <mergeCell ref="A1575:A1577"/>
    <mergeCell ref="B1575:C1584"/>
    <mergeCell ref="D1575:D1577"/>
    <mergeCell ref="E1575:E1577"/>
    <mergeCell ref="F1575:F1577"/>
    <mergeCell ref="G1575:G1577"/>
    <mergeCell ref="H1575:H1577"/>
    <mergeCell ref="I1575:I1577"/>
    <mergeCell ref="J1575:J1577"/>
    <mergeCell ref="K1575:K1577"/>
    <mergeCell ref="L1575:L1577"/>
    <mergeCell ref="D1584:F1584"/>
    <mergeCell ref="G1584:L1584"/>
    <mergeCell ref="D1556:D1558"/>
    <mergeCell ref="E1556:E1558"/>
    <mergeCell ref="F1556:F1558"/>
    <mergeCell ref="G1556:G1558"/>
    <mergeCell ref="H1556:H1558"/>
    <mergeCell ref="I1556:I1558"/>
    <mergeCell ref="J1556:J1558"/>
    <mergeCell ref="K1556:K1558"/>
    <mergeCell ref="L1556:L1558"/>
    <mergeCell ref="D1559:D1561"/>
    <mergeCell ref="E1559:E1561"/>
    <mergeCell ref="F1559:F1561"/>
    <mergeCell ref="G1559:G1561"/>
    <mergeCell ref="H1559:H1561"/>
    <mergeCell ref="I1559:I1561"/>
    <mergeCell ref="J1559:J1561"/>
    <mergeCell ref="K1559:K1561"/>
    <mergeCell ref="L1559:L1561"/>
    <mergeCell ref="A1553:A1555"/>
    <mergeCell ref="D1578:D1580"/>
    <mergeCell ref="E1578:E1580"/>
    <mergeCell ref="F1578:F1580"/>
    <mergeCell ref="G1578:G1580"/>
    <mergeCell ref="H1578:H1580"/>
    <mergeCell ref="I1578:I1580"/>
    <mergeCell ref="J1578:J1580"/>
    <mergeCell ref="J1586:J1588"/>
    <mergeCell ref="K1586:K1588"/>
    <mergeCell ref="L1586:L1588"/>
    <mergeCell ref="D1595:F1595"/>
    <mergeCell ref="G1595:L1595"/>
    <mergeCell ref="A1597:A1599"/>
    <mergeCell ref="B1597:C1606"/>
    <mergeCell ref="D1597:D1599"/>
    <mergeCell ref="E1597:E1599"/>
    <mergeCell ref="F1597:F1599"/>
    <mergeCell ref="G1597:G1599"/>
    <mergeCell ref="H1597:H1599"/>
    <mergeCell ref="I1597:I1599"/>
    <mergeCell ref="J1597:J1599"/>
    <mergeCell ref="K1597:K1599"/>
    <mergeCell ref="L1597:L1599"/>
    <mergeCell ref="D1606:F1606"/>
    <mergeCell ref="G1606:L1606"/>
    <mergeCell ref="A1608:A1610"/>
    <mergeCell ref="B1608:C1617"/>
    <mergeCell ref="D1608:D1610"/>
    <mergeCell ref="E1608:E1610"/>
    <mergeCell ref="F1608:F1610"/>
    <mergeCell ref="G1608:G1610"/>
    <mergeCell ref="H1608:H1610"/>
    <mergeCell ref="I1608:I1610"/>
    <mergeCell ref="J1608:J1610"/>
    <mergeCell ref="K1608:K1610"/>
    <mergeCell ref="L1608:L1610"/>
    <mergeCell ref="D1617:F1617"/>
    <mergeCell ref="G1617:L1617"/>
    <mergeCell ref="D1603:D1605"/>
    <mergeCell ref="E1603:E1605"/>
    <mergeCell ref="F1603:F1605"/>
    <mergeCell ref="G1603:G1605"/>
    <mergeCell ref="H1603:H1605"/>
    <mergeCell ref="I1603:I1605"/>
    <mergeCell ref="J1603:J1605"/>
    <mergeCell ref="K1603:K1605"/>
    <mergeCell ref="L1603:L1605"/>
    <mergeCell ref="D1611:D1613"/>
    <mergeCell ref="E1611:E1613"/>
    <mergeCell ref="F1611:F1613"/>
    <mergeCell ref="G1611:G1613"/>
    <mergeCell ref="H1611:H1613"/>
    <mergeCell ref="I1611:I1613"/>
    <mergeCell ref="J1611:J1613"/>
    <mergeCell ref="K1611:K1613"/>
    <mergeCell ref="L1611:L1613"/>
    <mergeCell ref="D1614:D1616"/>
    <mergeCell ref="E1614:E1616"/>
    <mergeCell ref="F1614:F1616"/>
    <mergeCell ref="G1614:G1616"/>
    <mergeCell ref="H1614:H1616"/>
    <mergeCell ref="I1614:I1616"/>
    <mergeCell ref="J1614:J1616"/>
    <mergeCell ref="K1614:K1616"/>
    <mergeCell ref="L1614:L1616"/>
    <mergeCell ref="D1619:D1621"/>
    <mergeCell ref="E1619:E1621"/>
    <mergeCell ref="F1619:F1621"/>
    <mergeCell ref="G1619:G1621"/>
    <mergeCell ref="H1619:H1621"/>
    <mergeCell ref="I1619:I1621"/>
    <mergeCell ref="J1619:J1621"/>
    <mergeCell ref="K1619:K1621"/>
    <mergeCell ref="L1619:L1621"/>
    <mergeCell ref="D1628:F1628"/>
    <mergeCell ref="G1628:L1628"/>
    <mergeCell ref="A1630:A1632"/>
    <mergeCell ref="B1630:C1639"/>
    <mergeCell ref="D1630:D1632"/>
    <mergeCell ref="E1630:E1632"/>
    <mergeCell ref="F1630:F1632"/>
    <mergeCell ref="G1630:G1632"/>
    <mergeCell ref="H1630:H1632"/>
    <mergeCell ref="I1630:I1632"/>
    <mergeCell ref="J1630:J1632"/>
    <mergeCell ref="K1630:K1632"/>
    <mergeCell ref="L1630:L1632"/>
    <mergeCell ref="D1639:F1639"/>
    <mergeCell ref="G1639:L1639"/>
    <mergeCell ref="A1641:A1643"/>
    <mergeCell ref="B1641:C1650"/>
    <mergeCell ref="D1641:D1643"/>
    <mergeCell ref="E1641:E1643"/>
    <mergeCell ref="F1641:F1643"/>
    <mergeCell ref="G1641:G1643"/>
    <mergeCell ref="H1641:H1643"/>
    <mergeCell ref="I1641:I1643"/>
    <mergeCell ref="J1641:J1643"/>
    <mergeCell ref="K1641:K1643"/>
    <mergeCell ref="L1641:L1643"/>
    <mergeCell ref="D1650:F1650"/>
    <mergeCell ref="G1650:L1650"/>
    <mergeCell ref="D1622:D1624"/>
    <mergeCell ref="E1622:E1624"/>
    <mergeCell ref="F1622:F1624"/>
    <mergeCell ref="G1622:G1624"/>
    <mergeCell ref="H1622:H1624"/>
    <mergeCell ref="I1622:I1624"/>
    <mergeCell ref="J1622:J1624"/>
    <mergeCell ref="K1622:K1624"/>
    <mergeCell ref="L1622:L1624"/>
    <mergeCell ref="D1625:D1627"/>
    <mergeCell ref="E1625:E1627"/>
    <mergeCell ref="F1625:F1627"/>
    <mergeCell ref="G1625:G1627"/>
    <mergeCell ref="H1625:H1627"/>
    <mergeCell ref="I1625:I1627"/>
    <mergeCell ref="J1625:J1627"/>
    <mergeCell ref="K1625:K1627"/>
    <mergeCell ref="L1625:L1627"/>
    <mergeCell ref="A1619:A1621"/>
    <mergeCell ref="B1619:C1628"/>
    <mergeCell ref="D1644:D1646"/>
    <mergeCell ref="E1644:E1646"/>
    <mergeCell ref="F1644:F1646"/>
    <mergeCell ref="G1644:G1646"/>
    <mergeCell ref="H1644:H1646"/>
    <mergeCell ref="I1644:I1646"/>
    <mergeCell ref="J1644:J1646"/>
    <mergeCell ref="B1663:C1672"/>
    <mergeCell ref="D1663:D1665"/>
    <mergeCell ref="E1663:E1665"/>
    <mergeCell ref="F1663:F1665"/>
    <mergeCell ref="G1663:G1665"/>
    <mergeCell ref="H1663:H1665"/>
    <mergeCell ref="I1663:I1665"/>
    <mergeCell ref="J1663:J1665"/>
    <mergeCell ref="K1663:K1665"/>
    <mergeCell ref="L1663:L1665"/>
    <mergeCell ref="D1666:D1668"/>
    <mergeCell ref="E1666:E1668"/>
    <mergeCell ref="F1666:F1668"/>
    <mergeCell ref="G1666:G1668"/>
    <mergeCell ref="H1666:H1668"/>
    <mergeCell ref="I1666:I1668"/>
    <mergeCell ref="J1666:J1668"/>
    <mergeCell ref="K1666:K1668"/>
    <mergeCell ref="L1666:L1668"/>
    <mergeCell ref="D1669:D1671"/>
    <mergeCell ref="E1669:E1671"/>
    <mergeCell ref="F1669:F1671"/>
    <mergeCell ref="G1669:G1671"/>
    <mergeCell ref="H1669:H1671"/>
    <mergeCell ref="I1669:I1671"/>
    <mergeCell ref="J1669:J1671"/>
    <mergeCell ref="K1669:K1671"/>
    <mergeCell ref="L1669:L1671"/>
    <mergeCell ref="D1672:F1672"/>
    <mergeCell ref="G1672:L1672"/>
    <mergeCell ref="E1674:E1676"/>
    <mergeCell ref="F1674:F1676"/>
    <mergeCell ref="G1674:G1676"/>
    <mergeCell ref="H1674:H1676"/>
    <mergeCell ref="I1674:I1676"/>
    <mergeCell ref="J1674:J1676"/>
    <mergeCell ref="K1674:K1676"/>
    <mergeCell ref="L1674:L1676"/>
    <mergeCell ref="D1677:D1679"/>
    <mergeCell ref="E1677:E1679"/>
    <mergeCell ref="F1677:F1679"/>
    <mergeCell ref="G1677:G1679"/>
    <mergeCell ref="H1677:H1679"/>
    <mergeCell ref="I1677:I1679"/>
    <mergeCell ref="J1677:J1679"/>
    <mergeCell ref="K1677:K1679"/>
    <mergeCell ref="L1677:L1679"/>
    <mergeCell ref="D1683:D1685"/>
    <mergeCell ref="E1683:E1685"/>
    <mergeCell ref="F1683:F1685"/>
    <mergeCell ref="G1683:G1685"/>
    <mergeCell ref="H1683:H1685"/>
    <mergeCell ref="I1683:I1685"/>
    <mergeCell ref="J1683:J1685"/>
    <mergeCell ref="K1683:K1685"/>
    <mergeCell ref="L1683:L1685"/>
    <mergeCell ref="D1686:F1686"/>
    <mergeCell ref="G1686:L1686"/>
    <mergeCell ref="A1688:A1690"/>
    <mergeCell ref="B1688:C1697"/>
    <mergeCell ref="D1688:D1690"/>
    <mergeCell ref="E1688:E1690"/>
    <mergeCell ref="F1688:F1690"/>
    <mergeCell ref="G1688:G1690"/>
    <mergeCell ref="H1688:H1690"/>
    <mergeCell ref="I1688:I1690"/>
    <mergeCell ref="J1688:J1690"/>
    <mergeCell ref="K1688:K1690"/>
    <mergeCell ref="L1688:L1690"/>
    <mergeCell ref="D1691:D1693"/>
    <mergeCell ref="E1691:E1693"/>
    <mergeCell ref="F1691:F1693"/>
    <mergeCell ref="G1691:G1693"/>
    <mergeCell ref="H1691:H1693"/>
    <mergeCell ref="I1691:I1693"/>
    <mergeCell ref="J1691:J1693"/>
    <mergeCell ref="K1691:K1693"/>
    <mergeCell ref="L1691:L1693"/>
    <mergeCell ref="D1694:D1696"/>
    <mergeCell ref="E1694:E1696"/>
    <mergeCell ref="F1694:F1696"/>
    <mergeCell ref="G1694:G1696"/>
    <mergeCell ref="H1694:H1696"/>
    <mergeCell ref="I1694:I1696"/>
    <mergeCell ref="J1694:J1696"/>
    <mergeCell ref="K1694:K1696"/>
    <mergeCell ref="L1694:L1696"/>
    <mergeCell ref="D1697:F1697"/>
    <mergeCell ref="G1697:L1697"/>
    <mergeCell ref="D1680:D1682"/>
    <mergeCell ref="E1680:E1682"/>
    <mergeCell ref="F1680:F1682"/>
    <mergeCell ref="G1680:G1682"/>
    <mergeCell ref="H1680:H1682"/>
    <mergeCell ref="I1680:I1682"/>
    <mergeCell ref="J1680:J1682"/>
    <mergeCell ref="K1680:K1682"/>
    <mergeCell ref="L1680:L1682"/>
    <mergeCell ref="A1699:A1701"/>
    <mergeCell ref="B1699:C1708"/>
    <mergeCell ref="D1699:D1701"/>
    <mergeCell ref="E1699:E1701"/>
    <mergeCell ref="F1699:F1701"/>
    <mergeCell ref="G1699:G1701"/>
    <mergeCell ref="H1699:H1701"/>
    <mergeCell ref="I1699:I1701"/>
    <mergeCell ref="J1699:J1701"/>
    <mergeCell ref="K1699:K1701"/>
    <mergeCell ref="L1699:L1701"/>
    <mergeCell ref="D1702:D1704"/>
    <mergeCell ref="E1702:E1704"/>
    <mergeCell ref="F1702:F1704"/>
    <mergeCell ref="G1702:G1704"/>
    <mergeCell ref="H1702:H1704"/>
    <mergeCell ref="I1702:I1704"/>
    <mergeCell ref="J1702:J1704"/>
    <mergeCell ref="K1702:K1704"/>
    <mergeCell ref="L1702:L1704"/>
    <mergeCell ref="D1705:D1707"/>
    <mergeCell ref="E1705:E1707"/>
    <mergeCell ref="F1705:F1707"/>
    <mergeCell ref="G1705:G1707"/>
    <mergeCell ref="H1705:H1707"/>
    <mergeCell ref="I1705:I1707"/>
    <mergeCell ref="J1705:J1707"/>
    <mergeCell ref="K1705:K1707"/>
    <mergeCell ref="L1705:L1707"/>
    <mergeCell ref="D1708:F1708"/>
    <mergeCell ref="G1708:L1708"/>
    <mergeCell ref="A1710:A1712"/>
    <mergeCell ref="B1710:C1719"/>
    <mergeCell ref="D1710:D1712"/>
    <mergeCell ref="E1710:E1712"/>
    <mergeCell ref="F1710:F1712"/>
    <mergeCell ref="G1710:G1712"/>
    <mergeCell ref="H1710:H1712"/>
    <mergeCell ref="I1710:I1712"/>
    <mergeCell ref="J1710:J1712"/>
    <mergeCell ref="K1710:K1712"/>
    <mergeCell ref="L1710:L1712"/>
    <mergeCell ref="D1713:D1715"/>
    <mergeCell ref="E1713:E1715"/>
    <mergeCell ref="F1713:F1715"/>
    <mergeCell ref="G1713:G1715"/>
    <mergeCell ref="H1713:H1715"/>
    <mergeCell ref="I1713:I1715"/>
    <mergeCell ref="J1713:J1715"/>
    <mergeCell ref="K1713:K1715"/>
    <mergeCell ref="L1713:L1715"/>
    <mergeCell ref="D1716:D1718"/>
    <mergeCell ref="E1716:E1718"/>
    <mergeCell ref="F1716:F1718"/>
    <mergeCell ref="G1716:G1718"/>
    <mergeCell ref="H1716:H1718"/>
    <mergeCell ref="I1716:I1718"/>
    <mergeCell ref="J1716:J1718"/>
    <mergeCell ref="K1716:K1718"/>
    <mergeCell ref="L1716:L1718"/>
    <mergeCell ref="D1719:F1719"/>
    <mergeCell ref="G1719:L1719"/>
    <mergeCell ref="D1721:D1723"/>
    <mergeCell ref="E1721:E1723"/>
    <mergeCell ref="F1721:F1723"/>
    <mergeCell ref="G1721:G1723"/>
    <mergeCell ref="H1721:H1723"/>
    <mergeCell ref="I1721:I1723"/>
    <mergeCell ref="J1721:J1723"/>
    <mergeCell ref="K1721:K1723"/>
    <mergeCell ref="L1721:L1723"/>
    <mergeCell ref="D1724:D1726"/>
    <mergeCell ref="E1724:E1726"/>
    <mergeCell ref="F1724:F1726"/>
    <mergeCell ref="G1724:G1726"/>
    <mergeCell ref="H1724:H1726"/>
    <mergeCell ref="I1724:I1726"/>
    <mergeCell ref="J1724:J1726"/>
    <mergeCell ref="K1724:K1726"/>
    <mergeCell ref="L1724:L1726"/>
    <mergeCell ref="D1727:D1729"/>
    <mergeCell ref="E1727:E1729"/>
    <mergeCell ref="F1727:F1729"/>
    <mergeCell ref="G1727:G1729"/>
    <mergeCell ref="H1727:H1729"/>
    <mergeCell ref="I1727:I1729"/>
    <mergeCell ref="J1727:J1729"/>
    <mergeCell ref="K1727:K1729"/>
    <mergeCell ref="L1727:L1729"/>
    <mergeCell ref="D1730:F1730"/>
    <mergeCell ref="G1730:L1730"/>
    <mergeCell ref="A1732:A1734"/>
    <mergeCell ref="B1732:C1741"/>
    <mergeCell ref="D1732:D1734"/>
    <mergeCell ref="E1732:E1734"/>
    <mergeCell ref="F1732:F1734"/>
    <mergeCell ref="G1732:G1734"/>
    <mergeCell ref="H1732:H1734"/>
    <mergeCell ref="I1732:I1734"/>
    <mergeCell ref="J1732:J1734"/>
    <mergeCell ref="K1732:K1734"/>
    <mergeCell ref="L1732:L1734"/>
    <mergeCell ref="D1735:D1737"/>
    <mergeCell ref="E1735:E1737"/>
    <mergeCell ref="F1735:F1737"/>
    <mergeCell ref="G1735:G1737"/>
    <mergeCell ref="H1735:H1737"/>
    <mergeCell ref="I1735:I1737"/>
    <mergeCell ref="J1735:J1737"/>
    <mergeCell ref="K1735:K1737"/>
    <mergeCell ref="L1735:L1737"/>
    <mergeCell ref="D1738:D1740"/>
    <mergeCell ref="E1738:E1740"/>
    <mergeCell ref="F1738:F1740"/>
    <mergeCell ref="G1738:G1740"/>
    <mergeCell ref="H1738:H1740"/>
    <mergeCell ref="I1738:I1740"/>
    <mergeCell ref="J1738:J1740"/>
    <mergeCell ref="K1738:K1740"/>
    <mergeCell ref="L1738:L1740"/>
    <mergeCell ref="D1741:F1741"/>
    <mergeCell ref="G1741:L1741"/>
    <mergeCell ref="A1721:A1723"/>
    <mergeCell ref="B1721:C1730"/>
    <mergeCell ref="D1743:D1745"/>
    <mergeCell ref="E1743:E1745"/>
    <mergeCell ref="F1743:F1745"/>
    <mergeCell ref="G1743:G1745"/>
    <mergeCell ref="H1743:H1745"/>
    <mergeCell ref="I1743:I1745"/>
    <mergeCell ref="J1743:J1745"/>
    <mergeCell ref="K1743:K1745"/>
    <mergeCell ref="L1743:L1745"/>
    <mergeCell ref="D1746:D1748"/>
    <mergeCell ref="E1746:E1748"/>
    <mergeCell ref="F1746:F1748"/>
    <mergeCell ref="G1746:G1748"/>
    <mergeCell ref="H1746:H1748"/>
    <mergeCell ref="I1746:I1748"/>
    <mergeCell ref="J1746:J1748"/>
    <mergeCell ref="K1746:K1748"/>
    <mergeCell ref="L1746:L1748"/>
    <mergeCell ref="D1749:D1751"/>
    <mergeCell ref="E1749:E1751"/>
    <mergeCell ref="F1749:F1751"/>
    <mergeCell ref="G1749:G1751"/>
    <mergeCell ref="H1749:H1751"/>
    <mergeCell ref="I1749:I1751"/>
    <mergeCell ref="J1749:J1751"/>
    <mergeCell ref="K1749:K1751"/>
    <mergeCell ref="L1749:L1751"/>
    <mergeCell ref="D1752:F1752"/>
    <mergeCell ref="G1752:L1752"/>
    <mergeCell ref="A1761:A1763"/>
    <mergeCell ref="B1761:C1770"/>
    <mergeCell ref="D1761:D1763"/>
    <mergeCell ref="E1761:E1763"/>
    <mergeCell ref="F1761:F1763"/>
    <mergeCell ref="G1761:G1763"/>
    <mergeCell ref="H1761:H1763"/>
    <mergeCell ref="I1761:I1763"/>
    <mergeCell ref="J1761:J1763"/>
    <mergeCell ref="K1761:K1763"/>
    <mergeCell ref="L1761:L1763"/>
    <mergeCell ref="D1764:D1766"/>
    <mergeCell ref="E1764:E1766"/>
    <mergeCell ref="F1764:F1766"/>
    <mergeCell ref="G1764:G1766"/>
    <mergeCell ref="H1764:H1766"/>
    <mergeCell ref="I1764:I1766"/>
    <mergeCell ref="J1764:J1766"/>
    <mergeCell ref="K1764:K1766"/>
    <mergeCell ref="L1764:L1766"/>
    <mergeCell ref="D1767:D1769"/>
    <mergeCell ref="E1767:E1769"/>
    <mergeCell ref="F1767:F1769"/>
    <mergeCell ref="G1767:G1769"/>
    <mergeCell ref="H1767:H1769"/>
    <mergeCell ref="I1767:I1769"/>
    <mergeCell ref="J1767:J1769"/>
    <mergeCell ref="K1767:K1769"/>
    <mergeCell ref="L1767:L1769"/>
    <mergeCell ref="D1770:F1770"/>
    <mergeCell ref="G1770:L1770"/>
    <mergeCell ref="A1743:A1745"/>
    <mergeCell ref="B1743:C1752"/>
    <mergeCell ref="D1772:D1774"/>
    <mergeCell ref="E1772:E1774"/>
    <mergeCell ref="F1772:F1774"/>
    <mergeCell ref="G1772:G1774"/>
    <mergeCell ref="H1772:H1774"/>
    <mergeCell ref="I1772:I1774"/>
    <mergeCell ref="J1772:J1774"/>
    <mergeCell ref="K1772:K1774"/>
    <mergeCell ref="L1772:L1774"/>
    <mergeCell ref="D1775:D1777"/>
    <mergeCell ref="E1775:E1777"/>
    <mergeCell ref="F1775:F1777"/>
    <mergeCell ref="G1775:G1777"/>
    <mergeCell ref="H1775:H1777"/>
    <mergeCell ref="I1775:I1777"/>
    <mergeCell ref="J1775:J1777"/>
    <mergeCell ref="K1775:K1777"/>
    <mergeCell ref="L1775:L1777"/>
    <mergeCell ref="D1778:D1780"/>
    <mergeCell ref="E1778:E1780"/>
    <mergeCell ref="F1778:F1780"/>
    <mergeCell ref="G1778:G1780"/>
    <mergeCell ref="H1778:H1780"/>
    <mergeCell ref="I1778:I1780"/>
    <mergeCell ref="J1778:J1780"/>
    <mergeCell ref="K1778:K1780"/>
    <mergeCell ref="L1778:L1780"/>
    <mergeCell ref="D1781:F1781"/>
    <mergeCell ref="G1781:L1781"/>
    <mergeCell ref="A1783:A1785"/>
    <mergeCell ref="B1783:C1792"/>
    <mergeCell ref="D1786:D1788"/>
    <mergeCell ref="E1786:E1788"/>
    <mergeCell ref="F1786:F1788"/>
    <mergeCell ref="G1786:G1788"/>
    <mergeCell ref="H1786:H1788"/>
    <mergeCell ref="I1786:I1788"/>
    <mergeCell ref="J1786:J1788"/>
    <mergeCell ref="K1786:K1788"/>
    <mergeCell ref="L1786:L1788"/>
    <mergeCell ref="D1789:D1791"/>
    <mergeCell ref="E1789:E1791"/>
    <mergeCell ref="F1789:F1791"/>
    <mergeCell ref="G1789:G1791"/>
    <mergeCell ref="H1789:H1791"/>
    <mergeCell ref="I1789:I1791"/>
    <mergeCell ref="J1789:J1791"/>
    <mergeCell ref="K1789:K1791"/>
    <mergeCell ref="L1789:L1791"/>
    <mergeCell ref="D1792:F1792"/>
    <mergeCell ref="G1792:L1792"/>
    <mergeCell ref="A1772:A1774"/>
    <mergeCell ref="B1772:C1781"/>
    <mergeCell ref="H1808:H1810"/>
    <mergeCell ref="I1808:I1810"/>
    <mergeCell ref="J1808:J1810"/>
    <mergeCell ref="K1808:K1810"/>
    <mergeCell ref="L1808:L1810"/>
    <mergeCell ref="D1811:D1813"/>
    <mergeCell ref="E1811:E1813"/>
    <mergeCell ref="F1811:F1813"/>
    <mergeCell ref="G1811:G1813"/>
    <mergeCell ref="H1811:H1813"/>
    <mergeCell ref="I1811:I1813"/>
    <mergeCell ref="J1811:J1813"/>
    <mergeCell ref="K1811:K1813"/>
    <mergeCell ref="L1811:L1813"/>
    <mergeCell ref="D1814:F1814"/>
    <mergeCell ref="G1814:L1814"/>
    <mergeCell ref="A1816:A1818"/>
    <mergeCell ref="B1816:C1825"/>
    <mergeCell ref="D1819:D1821"/>
    <mergeCell ref="E1819:E1821"/>
    <mergeCell ref="F1819:F1821"/>
    <mergeCell ref="G1819:G1821"/>
    <mergeCell ref="H1819:H1821"/>
    <mergeCell ref="I1819:I1821"/>
    <mergeCell ref="J1819:J1821"/>
    <mergeCell ref="K1819:K1821"/>
    <mergeCell ref="L1819:L1821"/>
    <mergeCell ref="D1822:D1824"/>
    <mergeCell ref="E1822:E1824"/>
    <mergeCell ref="F1822:F1824"/>
    <mergeCell ref="G1822:G1824"/>
    <mergeCell ref="H1822:H1824"/>
    <mergeCell ref="I1822:I1824"/>
    <mergeCell ref="J1822:J1824"/>
    <mergeCell ref="K1822:K1824"/>
    <mergeCell ref="L1822:L1824"/>
    <mergeCell ref="D1825:F1825"/>
    <mergeCell ref="G1825:L1825"/>
    <mergeCell ref="H1841:H1843"/>
    <mergeCell ref="I1841:I1843"/>
    <mergeCell ref="J1841:J1843"/>
    <mergeCell ref="K1841:K1843"/>
    <mergeCell ref="L1841:L1843"/>
    <mergeCell ref="D1844:D1846"/>
    <mergeCell ref="E1844:E1846"/>
    <mergeCell ref="F1844:F1846"/>
    <mergeCell ref="G1844:G1846"/>
    <mergeCell ref="H1844:H1846"/>
    <mergeCell ref="I1844:I1846"/>
    <mergeCell ref="J1844:J1846"/>
    <mergeCell ref="K1844:K1846"/>
    <mergeCell ref="L1844:L1846"/>
    <mergeCell ref="D1847:F1847"/>
    <mergeCell ref="G1847:L1847"/>
    <mergeCell ref="A1849:A1851"/>
    <mergeCell ref="B1849:C1858"/>
    <mergeCell ref="D1852:D1854"/>
    <mergeCell ref="E1852:E1854"/>
    <mergeCell ref="F1852:F1854"/>
    <mergeCell ref="G1852:G1854"/>
    <mergeCell ref="H1852:H1854"/>
    <mergeCell ref="I1852:I1854"/>
    <mergeCell ref="J1852:J1854"/>
    <mergeCell ref="K1852:K1854"/>
    <mergeCell ref="L1852:L1854"/>
    <mergeCell ref="D1855:D1857"/>
    <mergeCell ref="E1855:E1857"/>
    <mergeCell ref="F1855:F1857"/>
    <mergeCell ref="G1855:G1857"/>
    <mergeCell ref="H1855:H1857"/>
    <mergeCell ref="I1855:I1857"/>
    <mergeCell ref="J1855:J1857"/>
    <mergeCell ref="K1855:K1857"/>
    <mergeCell ref="L1855:L1857"/>
    <mergeCell ref="D1858:F1858"/>
    <mergeCell ref="G1858:L1858"/>
    <mergeCell ref="A1860:A1862"/>
    <mergeCell ref="B1860:C1869"/>
    <mergeCell ref="D1863:D1865"/>
    <mergeCell ref="E1863:E1865"/>
    <mergeCell ref="F1863:F1865"/>
    <mergeCell ref="G1863:G1865"/>
    <mergeCell ref="H1863:H1865"/>
    <mergeCell ref="I1863:I1865"/>
    <mergeCell ref="J1863:J1865"/>
    <mergeCell ref="K1863:K1865"/>
    <mergeCell ref="L1863:L1865"/>
    <mergeCell ref="D1866:D1868"/>
    <mergeCell ref="E1866:E1868"/>
    <mergeCell ref="F1866:F1868"/>
    <mergeCell ref="G1866:G1868"/>
    <mergeCell ref="H1866:H1868"/>
    <mergeCell ref="I1866:I1868"/>
    <mergeCell ref="J1866:J1868"/>
    <mergeCell ref="K1866:K1868"/>
    <mergeCell ref="L1866:L1868"/>
    <mergeCell ref="D1869:F1869"/>
    <mergeCell ref="G1869:L1869"/>
    <mergeCell ref="A1871:A1873"/>
    <mergeCell ref="B1871:C1880"/>
    <mergeCell ref="D1874:D1876"/>
    <mergeCell ref="E1874:E1876"/>
    <mergeCell ref="F1874:F1876"/>
    <mergeCell ref="G1874:G1876"/>
    <mergeCell ref="H1874:H1876"/>
    <mergeCell ref="I1874:I1876"/>
    <mergeCell ref="J1874:J1876"/>
    <mergeCell ref="K1874:K1876"/>
    <mergeCell ref="L1874:L1876"/>
    <mergeCell ref="D1877:D1879"/>
    <mergeCell ref="E1877:E1879"/>
    <mergeCell ref="F1877:F1879"/>
    <mergeCell ref="G1877:G1879"/>
    <mergeCell ref="H1877:H1879"/>
    <mergeCell ref="I1877:I1879"/>
    <mergeCell ref="J1877:J1879"/>
    <mergeCell ref="K1877:K1879"/>
    <mergeCell ref="L1877:L1879"/>
    <mergeCell ref="D1880:F1880"/>
    <mergeCell ref="G1880:L1880"/>
    <mergeCell ref="H1896:H1898"/>
    <mergeCell ref="I1896:I1898"/>
    <mergeCell ref="J1896:J1898"/>
    <mergeCell ref="K1896:K1898"/>
    <mergeCell ref="L1896:L1898"/>
    <mergeCell ref="D1902:F1902"/>
    <mergeCell ref="G1902:L1902"/>
    <mergeCell ref="A1904:A1906"/>
    <mergeCell ref="B1904:C1913"/>
    <mergeCell ref="D1904:D1906"/>
    <mergeCell ref="E1904:E1906"/>
    <mergeCell ref="F1904:F1906"/>
    <mergeCell ref="G1904:G1906"/>
    <mergeCell ref="H1904:H1906"/>
    <mergeCell ref="I1904:I1906"/>
    <mergeCell ref="J1904:J1906"/>
    <mergeCell ref="K1904:K1906"/>
    <mergeCell ref="L1904:L1906"/>
    <mergeCell ref="D1907:D1909"/>
    <mergeCell ref="E1907:E1909"/>
    <mergeCell ref="F1907:F1909"/>
    <mergeCell ref="G1907:G1909"/>
    <mergeCell ref="H1907:H1909"/>
    <mergeCell ref="I1907:I1909"/>
    <mergeCell ref="J1907:J1909"/>
    <mergeCell ref="K1907:K1909"/>
    <mergeCell ref="L1907:L1909"/>
    <mergeCell ref="D1913:F1913"/>
    <mergeCell ref="G1913:L1913"/>
    <mergeCell ref="D1910:D1912"/>
    <mergeCell ref="E1910:E1912"/>
    <mergeCell ref="F1910:F1912"/>
    <mergeCell ref="G1910:G1912"/>
    <mergeCell ref="H1910:H1912"/>
    <mergeCell ref="I1910:I1912"/>
    <mergeCell ref="J1910:J1912"/>
    <mergeCell ref="K1910:K1912"/>
    <mergeCell ref="L1910:L1912"/>
    <mergeCell ref="D1915:D1917"/>
    <mergeCell ref="E1915:E1917"/>
    <mergeCell ref="F1915:F1917"/>
    <mergeCell ref="G1915:G1917"/>
    <mergeCell ref="H1915:H1917"/>
    <mergeCell ref="I1915:I1917"/>
    <mergeCell ref="J1915:J1917"/>
    <mergeCell ref="K1915:K1917"/>
    <mergeCell ref="L1915:L1917"/>
    <mergeCell ref="D1918:D1920"/>
    <mergeCell ref="E1918:E1920"/>
    <mergeCell ref="F1918:F1920"/>
    <mergeCell ref="G1918:G1920"/>
    <mergeCell ref="H1918:H1920"/>
    <mergeCell ref="I1918:I1920"/>
    <mergeCell ref="J1918:J1920"/>
    <mergeCell ref="K1918:K1920"/>
    <mergeCell ref="L1918:L1920"/>
    <mergeCell ref="D1924:F1924"/>
    <mergeCell ref="G1924:L1924"/>
    <mergeCell ref="A1926:A1928"/>
    <mergeCell ref="B1926:C1935"/>
    <mergeCell ref="D1926:D1928"/>
    <mergeCell ref="E1926:E1928"/>
    <mergeCell ref="F1926:F1928"/>
    <mergeCell ref="G1926:G1928"/>
    <mergeCell ref="H1926:H1928"/>
    <mergeCell ref="I1926:I1928"/>
    <mergeCell ref="J1926:J1928"/>
    <mergeCell ref="K1926:K1928"/>
    <mergeCell ref="L1926:L1928"/>
    <mergeCell ref="D1929:D1931"/>
    <mergeCell ref="E1929:E1931"/>
    <mergeCell ref="F1929:F1931"/>
    <mergeCell ref="G1929:G1931"/>
    <mergeCell ref="H1929:H1931"/>
    <mergeCell ref="I1929:I1931"/>
    <mergeCell ref="J1929:J1931"/>
    <mergeCell ref="K1929:K1931"/>
    <mergeCell ref="L1929:L1931"/>
    <mergeCell ref="D1935:F1935"/>
    <mergeCell ref="G1935:L1935"/>
    <mergeCell ref="D1921:D1923"/>
    <mergeCell ref="E1921:E1923"/>
    <mergeCell ref="F1921:F1923"/>
    <mergeCell ref="G1921:G1923"/>
    <mergeCell ref="H1921:H1923"/>
    <mergeCell ref="I1921:I1923"/>
    <mergeCell ref="J1921:J1923"/>
    <mergeCell ref="K1921:K1923"/>
    <mergeCell ref="L1921:L1923"/>
    <mergeCell ref="A1915:A1917"/>
    <mergeCell ref="B1915:C1924"/>
    <mergeCell ref="D1932:D1934"/>
    <mergeCell ref="E1932:E1934"/>
    <mergeCell ref="F1932:F1934"/>
    <mergeCell ref="G1932:G1934"/>
    <mergeCell ref="H1932:H1934"/>
    <mergeCell ref="I1932:I1934"/>
    <mergeCell ref="J1932:J1934"/>
    <mergeCell ref="K1932:K1934"/>
    <mergeCell ref="L1932:L1934"/>
    <mergeCell ref="D1937:D1939"/>
    <mergeCell ref="E1937:E1939"/>
    <mergeCell ref="F1937:F1939"/>
    <mergeCell ref="G1937:G1939"/>
    <mergeCell ref="H1937:H1939"/>
    <mergeCell ref="I1937:I1939"/>
    <mergeCell ref="J1937:J1939"/>
    <mergeCell ref="K1937:K1939"/>
    <mergeCell ref="L1937:L1939"/>
    <mergeCell ref="D1940:D1942"/>
    <mergeCell ref="E1940:E1942"/>
    <mergeCell ref="F1940:F1942"/>
    <mergeCell ref="G1940:G1942"/>
    <mergeCell ref="H1940:H1942"/>
    <mergeCell ref="I1940:I1942"/>
    <mergeCell ref="J1940:J1942"/>
    <mergeCell ref="K1940:K1942"/>
    <mergeCell ref="L1940:L1942"/>
    <mergeCell ref="D1946:F1946"/>
    <mergeCell ref="G1946:L1946"/>
    <mergeCell ref="A1948:A1950"/>
    <mergeCell ref="B1948:C1957"/>
    <mergeCell ref="D1948:D1950"/>
    <mergeCell ref="E1948:E1950"/>
    <mergeCell ref="F1948:F1950"/>
    <mergeCell ref="G1948:G1950"/>
    <mergeCell ref="H1948:H1950"/>
    <mergeCell ref="I1948:I1950"/>
    <mergeCell ref="J1948:J1950"/>
    <mergeCell ref="K1948:K1950"/>
    <mergeCell ref="L1948:L1950"/>
    <mergeCell ref="D1951:D1953"/>
    <mergeCell ref="E1951:E1953"/>
    <mergeCell ref="F1951:F1953"/>
    <mergeCell ref="G1951:G1953"/>
    <mergeCell ref="H1951:H1953"/>
    <mergeCell ref="I1951:I1953"/>
    <mergeCell ref="J1951:J1953"/>
    <mergeCell ref="K1951:K1953"/>
    <mergeCell ref="L1951:L1953"/>
    <mergeCell ref="D1957:F1957"/>
    <mergeCell ref="G1957:L1957"/>
    <mergeCell ref="D1943:D1945"/>
    <mergeCell ref="E1943:E1945"/>
    <mergeCell ref="F1943:F1945"/>
    <mergeCell ref="G1943:G1945"/>
    <mergeCell ref="H1943:H1945"/>
    <mergeCell ref="I1943:I1945"/>
    <mergeCell ref="J1943:J1945"/>
    <mergeCell ref="K1943:K1945"/>
    <mergeCell ref="L1943:L1945"/>
    <mergeCell ref="A1937:A1939"/>
    <mergeCell ref="B1937:C1946"/>
    <mergeCell ref="D1954:D1956"/>
    <mergeCell ref="E1954:E1956"/>
    <mergeCell ref="F1954:F1956"/>
    <mergeCell ref="G1954:G1956"/>
    <mergeCell ref="H1954:H1956"/>
    <mergeCell ref="I1954:I1956"/>
    <mergeCell ref="J1954:J1956"/>
    <mergeCell ref="K1954:K1956"/>
    <mergeCell ref="L1954:L1956"/>
    <mergeCell ref="D1959:D1961"/>
    <mergeCell ref="E1959:E1961"/>
    <mergeCell ref="F1959:F1961"/>
    <mergeCell ref="G1959:G1961"/>
    <mergeCell ref="H1959:H1961"/>
    <mergeCell ref="I1959:I1961"/>
    <mergeCell ref="J1959:J1961"/>
    <mergeCell ref="K1959:K1961"/>
    <mergeCell ref="L1959:L1961"/>
    <mergeCell ref="D1962:D1964"/>
    <mergeCell ref="E1962:E1964"/>
    <mergeCell ref="F1962:F1964"/>
    <mergeCell ref="G1962:G1964"/>
    <mergeCell ref="H1962:H1964"/>
    <mergeCell ref="I1962:I1964"/>
    <mergeCell ref="J1962:J1964"/>
    <mergeCell ref="K1962:K1964"/>
    <mergeCell ref="L1962:L1964"/>
    <mergeCell ref="D1968:F1968"/>
    <mergeCell ref="G1968:L1968"/>
    <mergeCell ref="A1970:A1972"/>
    <mergeCell ref="B1970:C1979"/>
    <mergeCell ref="D1970:D1972"/>
    <mergeCell ref="E1970:E1972"/>
    <mergeCell ref="F1970:F1972"/>
    <mergeCell ref="G1970:G1972"/>
    <mergeCell ref="H1970:H1972"/>
    <mergeCell ref="I1970:I1972"/>
    <mergeCell ref="J1970:J1972"/>
    <mergeCell ref="K1970:K1972"/>
    <mergeCell ref="L1970:L1972"/>
    <mergeCell ref="D1973:D1975"/>
    <mergeCell ref="E1973:E1975"/>
    <mergeCell ref="F1973:F1975"/>
    <mergeCell ref="G1973:G1975"/>
    <mergeCell ref="H1973:H1975"/>
    <mergeCell ref="I1973:I1975"/>
    <mergeCell ref="J1973:J1975"/>
    <mergeCell ref="K1973:K1975"/>
    <mergeCell ref="L1973:L1975"/>
    <mergeCell ref="D1979:F1979"/>
    <mergeCell ref="G1979:L1979"/>
    <mergeCell ref="D1965:D1967"/>
    <mergeCell ref="E1965:E1967"/>
    <mergeCell ref="F1965:F1967"/>
    <mergeCell ref="G1965:G1967"/>
    <mergeCell ref="H1965:H1967"/>
    <mergeCell ref="I1965:I1967"/>
    <mergeCell ref="J1965:J1967"/>
    <mergeCell ref="K1965:K1967"/>
    <mergeCell ref="L1965:L1967"/>
    <mergeCell ref="A1959:A1961"/>
    <mergeCell ref="B1959:C1968"/>
    <mergeCell ref="D1976:D1978"/>
    <mergeCell ref="E1976:E1978"/>
    <mergeCell ref="F1976:F1978"/>
    <mergeCell ref="G1976:G1978"/>
    <mergeCell ref="H1976:H1978"/>
    <mergeCell ref="I1976:I1978"/>
    <mergeCell ref="J1976:J1978"/>
    <mergeCell ref="K1976:K1978"/>
    <mergeCell ref="L1976:L1978"/>
    <mergeCell ref="D1981:D1983"/>
    <mergeCell ref="E1981:E1983"/>
    <mergeCell ref="F1981:F1983"/>
    <mergeCell ref="G1981:G1983"/>
    <mergeCell ref="H1981:H1983"/>
    <mergeCell ref="I1981:I1983"/>
    <mergeCell ref="J1981:J1983"/>
    <mergeCell ref="K1981:K1983"/>
    <mergeCell ref="L1981:L1983"/>
    <mergeCell ref="D1984:D1986"/>
    <mergeCell ref="E1984:E1986"/>
    <mergeCell ref="F1984:F1986"/>
    <mergeCell ref="G1984:G1986"/>
    <mergeCell ref="H1984:H1986"/>
    <mergeCell ref="I1984:I1986"/>
    <mergeCell ref="J1984:J1986"/>
    <mergeCell ref="K1984:K1986"/>
    <mergeCell ref="L1984:L1986"/>
    <mergeCell ref="D1990:F1990"/>
    <mergeCell ref="G1990:L1990"/>
    <mergeCell ref="A1992:A1994"/>
    <mergeCell ref="B1992:C2001"/>
    <mergeCell ref="D1992:D1994"/>
    <mergeCell ref="E1992:E1994"/>
    <mergeCell ref="F1992:F1994"/>
    <mergeCell ref="G1992:G1994"/>
    <mergeCell ref="H1992:H1994"/>
    <mergeCell ref="I1992:I1994"/>
    <mergeCell ref="J1992:J1994"/>
    <mergeCell ref="K1992:K1994"/>
    <mergeCell ref="L1992:L1994"/>
    <mergeCell ref="D1995:D1997"/>
    <mergeCell ref="E1995:E1997"/>
    <mergeCell ref="F1995:F1997"/>
    <mergeCell ref="G1995:G1997"/>
    <mergeCell ref="H1995:H1997"/>
    <mergeCell ref="I1995:I1997"/>
    <mergeCell ref="J1995:J1997"/>
    <mergeCell ref="K1995:K1997"/>
    <mergeCell ref="L1995:L1997"/>
    <mergeCell ref="D1998:D2000"/>
    <mergeCell ref="E1998:E2000"/>
    <mergeCell ref="F1998:F2000"/>
    <mergeCell ref="G1998:G2000"/>
    <mergeCell ref="H1998:H2000"/>
    <mergeCell ref="I1998:I2000"/>
    <mergeCell ref="J1998:J2000"/>
    <mergeCell ref="K1998:K2000"/>
    <mergeCell ref="L1998:L2000"/>
    <mergeCell ref="D2001:F2001"/>
    <mergeCell ref="G2001:L2001"/>
    <mergeCell ref="D1987:D1989"/>
    <mergeCell ref="E1987:E1989"/>
    <mergeCell ref="F1987:F1989"/>
    <mergeCell ref="G1987:G1989"/>
    <mergeCell ref="H1987:H1989"/>
    <mergeCell ref="I1987:I1989"/>
    <mergeCell ref="J1987:J1989"/>
    <mergeCell ref="K1987:K1989"/>
    <mergeCell ref="L1987:L1989"/>
    <mergeCell ref="A1981:A1983"/>
    <mergeCell ref="B1981:C1990"/>
    <mergeCell ref="B2003:C2012"/>
    <mergeCell ref="D2003:D2005"/>
    <mergeCell ref="E2003:E2005"/>
    <mergeCell ref="F2003:F2005"/>
    <mergeCell ref="G2003:G2005"/>
    <mergeCell ref="H2003:H2005"/>
    <mergeCell ref="I2003:I2005"/>
    <mergeCell ref="J2003:J2005"/>
    <mergeCell ref="K2003:K2005"/>
    <mergeCell ref="L2003:L2005"/>
    <mergeCell ref="D2006:D2008"/>
    <mergeCell ref="E2006:E2008"/>
    <mergeCell ref="F2006:F2008"/>
    <mergeCell ref="G2006:G2008"/>
    <mergeCell ref="H2006:H2008"/>
    <mergeCell ref="I2006:I2008"/>
    <mergeCell ref="J2006:J2008"/>
    <mergeCell ref="K2006:K2008"/>
    <mergeCell ref="L2006:L2008"/>
    <mergeCell ref="D2009:D2011"/>
    <mergeCell ref="E2009:E2011"/>
    <mergeCell ref="F2009:F2011"/>
    <mergeCell ref="G2009:G2011"/>
    <mergeCell ref="H2009:H2011"/>
    <mergeCell ref="I2009:I2011"/>
    <mergeCell ref="J2009:J2011"/>
    <mergeCell ref="K2009:K2011"/>
    <mergeCell ref="L2009:L2011"/>
    <mergeCell ref="D2012:F2012"/>
    <mergeCell ref="G2012:L2012"/>
    <mergeCell ref="A2014:A2016"/>
    <mergeCell ref="B2014:C2023"/>
    <mergeCell ref="D2014:D2016"/>
    <mergeCell ref="E2014:E2016"/>
    <mergeCell ref="F2014:F2016"/>
    <mergeCell ref="G2014:G2016"/>
    <mergeCell ref="H2014:H2016"/>
    <mergeCell ref="I2014:I2016"/>
    <mergeCell ref="J2014:J2016"/>
    <mergeCell ref="K2014:K2016"/>
    <mergeCell ref="L2014:L2016"/>
    <mergeCell ref="D2017:D2019"/>
    <mergeCell ref="E2017:E2019"/>
    <mergeCell ref="F2017:F2019"/>
    <mergeCell ref="G2017:G2019"/>
    <mergeCell ref="H2017:H2019"/>
    <mergeCell ref="I2017:I2019"/>
    <mergeCell ref="J2017:J2019"/>
    <mergeCell ref="K2017:K2019"/>
    <mergeCell ref="L2017:L2019"/>
    <mergeCell ref="D2020:D2022"/>
    <mergeCell ref="E2020:E2022"/>
    <mergeCell ref="F2020:F2022"/>
    <mergeCell ref="G2020:G2022"/>
    <mergeCell ref="H2020:H2022"/>
    <mergeCell ref="I2020:I2022"/>
    <mergeCell ref="J2020:J2022"/>
    <mergeCell ref="K2020:K2022"/>
    <mergeCell ref="L2020:L2022"/>
    <mergeCell ref="D2023:F2023"/>
    <mergeCell ref="G2023:L2023"/>
    <mergeCell ref="A2003:A2005"/>
    <mergeCell ref="D2025:D2027"/>
    <mergeCell ref="E2025:E2027"/>
    <mergeCell ref="F2025:F2027"/>
    <mergeCell ref="G2025:G2027"/>
    <mergeCell ref="H2025:H2027"/>
    <mergeCell ref="I2025:I2027"/>
    <mergeCell ref="J2025:J2027"/>
    <mergeCell ref="K2025:K2027"/>
    <mergeCell ref="L2025:L2027"/>
    <mergeCell ref="D2028:D2030"/>
    <mergeCell ref="E2028:E2030"/>
    <mergeCell ref="F2028:F2030"/>
    <mergeCell ref="G2028:G2030"/>
    <mergeCell ref="H2028:H2030"/>
    <mergeCell ref="I2028:I2030"/>
    <mergeCell ref="J2028:J2030"/>
    <mergeCell ref="K2028:K2030"/>
    <mergeCell ref="L2028:L2030"/>
    <mergeCell ref="D2031:D2033"/>
    <mergeCell ref="E2031:E2033"/>
    <mergeCell ref="F2031:F2033"/>
    <mergeCell ref="G2031:G2033"/>
    <mergeCell ref="H2031:H2033"/>
    <mergeCell ref="I2031:I2033"/>
    <mergeCell ref="J2031:J2033"/>
    <mergeCell ref="K2031:K2033"/>
    <mergeCell ref="L2031:L2033"/>
    <mergeCell ref="D2034:F2034"/>
    <mergeCell ref="G2034:L2034"/>
    <mergeCell ref="A2036:A2038"/>
    <mergeCell ref="B2036:C2045"/>
    <mergeCell ref="D2036:D2038"/>
    <mergeCell ref="E2036:E2038"/>
    <mergeCell ref="F2036:F2038"/>
    <mergeCell ref="G2036:G2038"/>
    <mergeCell ref="H2036:H2038"/>
    <mergeCell ref="I2036:I2038"/>
    <mergeCell ref="J2036:J2038"/>
    <mergeCell ref="K2036:K2038"/>
    <mergeCell ref="L2036:L2038"/>
    <mergeCell ref="D2039:D2041"/>
    <mergeCell ref="E2039:E2041"/>
    <mergeCell ref="F2039:F2041"/>
    <mergeCell ref="G2039:G2041"/>
    <mergeCell ref="H2039:H2041"/>
    <mergeCell ref="I2039:I2041"/>
    <mergeCell ref="J2039:J2041"/>
    <mergeCell ref="K2039:K2041"/>
    <mergeCell ref="L2039:L2041"/>
    <mergeCell ref="D2042:D2044"/>
    <mergeCell ref="E2042:E2044"/>
    <mergeCell ref="F2042:F2044"/>
    <mergeCell ref="G2042:G2044"/>
    <mergeCell ref="H2042:H2044"/>
    <mergeCell ref="I2042:I2044"/>
    <mergeCell ref="J2042:J2044"/>
    <mergeCell ref="K2042:K2044"/>
    <mergeCell ref="L2042:L2044"/>
    <mergeCell ref="D2045:F2045"/>
    <mergeCell ref="G2045:L2045"/>
    <mergeCell ref="A2025:A2027"/>
    <mergeCell ref="B2025:C2034"/>
    <mergeCell ref="D2047:D2049"/>
    <mergeCell ref="E2047:E2049"/>
    <mergeCell ref="F2047:F2049"/>
    <mergeCell ref="G2047:G2049"/>
    <mergeCell ref="H2047:H2049"/>
    <mergeCell ref="I2047:I2049"/>
    <mergeCell ref="J2047:J2049"/>
    <mergeCell ref="K2047:K2049"/>
    <mergeCell ref="L2047:L2049"/>
    <mergeCell ref="D2050:D2052"/>
    <mergeCell ref="E2050:E2052"/>
    <mergeCell ref="F2050:F2052"/>
    <mergeCell ref="G2050:G2052"/>
    <mergeCell ref="H2050:H2052"/>
    <mergeCell ref="I2050:I2052"/>
    <mergeCell ref="J2050:J2052"/>
    <mergeCell ref="K2050:K2052"/>
    <mergeCell ref="L2050:L2052"/>
    <mergeCell ref="D2053:D2055"/>
    <mergeCell ref="E2053:E2055"/>
    <mergeCell ref="F2053:F2055"/>
    <mergeCell ref="G2053:G2055"/>
    <mergeCell ref="H2053:H2055"/>
    <mergeCell ref="I2053:I2055"/>
    <mergeCell ref="J2053:J2055"/>
    <mergeCell ref="K2053:K2055"/>
    <mergeCell ref="L2053:L2055"/>
    <mergeCell ref="D2056:F2056"/>
    <mergeCell ref="G2056:L2056"/>
    <mergeCell ref="A2058:A2060"/>
    <mergeCell ref="B2058:C2067"/>
    <mergeCell ref="D2058:D2060"/>
    <mergeCell ref="E2058:E2060"/>
    <mergeCell ref="F2058:F2060"/>
    <mergeCell ref="G2058:G2060"/>
    <mergeCell ref="H2058:H2060"/>
    <mergeCell ref="I2058:I2060"/>
    <mergeCell ref="J2058:J2060"/>
    <mergeCell ref="K2058:K2060"/>
    <mergeCell ref="L2058:L2060"/>
    <mergeCell ref="D2061:D2063"/>
    <mergeCell ref="E2061:E2063"/>
    <mergeCell ref="F2061:F2063"/>
    <mergeCell ref="G2061:G2063"/>
    <mergeCell ref="H2061:H2063"/>
    <mergeCell ref="I2061:I2063"/>
    <mergeCell ref="J2061:J2063"/>
    <mergeCell ref="K2061:K2063"/>
    <mergeCell ref="L2061:L2063"/>
    <mergeCell ref="D2064:D2066"/>
    <mergeCell ref="E2064:E2066"/>
    <mergeCell ref="F2064:F2066"/>
    <mergeCell ref="G2064:G2066"/>
    <mergeCell ref="H2064:H2066"/>
    <mergeCell ref="I2064:I2066"/>
    <mergeCell ref="J2064:J2066"/>
    <mergeCell ref="K2064:K2066"/>
    <mergeCell ref="L2064:L2066"/>
    <mergeCell ref="D2067:F2067"/>
    <mergeCell ref="G2067:L2067"/>
    <mergeCell ref="A2047:A2049"/>
    <mergeCell ref="B2047:C2056"/>
    <mergeCell ref="D2069:D2071"/>
    <mergeCell ref="E2069:E2071"/>
    <mergeCell ref="F2069:F2071"/>
    <mergeCell ref="G2069:G2071"/>
    <mergeCell ref="H2069:H2071"/>
    <mergeCell ref="I2069:I2071"/>
    <mergeCell ref="J2069:J2071"/>
    <mergeCell ref="K2069:K2071"/>
    <mergeCell ref="L2069:L2071"/>
    <mergeCell ref="D2072:D2074"/>
    <mergeCell ref="E2072:E2074"/>
    <mergeCell ref="F2072:F2074"/>
    <mergeCell ref="G2072:G2074"/>
    <mergeCell ref="H2072:H2074"/>
    <mergeCell ref="I2072:I2074"/>
    <mergeCell ref="J2072:J2074"/>
    <mergeCell ref="K2072:K2074"/>
    <mergeCell ref="L2072:L2074"/>
    <mergeCell ref="D2075:D2077"/>
    <mergeCell ref="E2075:E2077"/>
    <mergeCell ref="F2075:F2077"/>
    <mergeCell ref="G2075:G2077"/>
    <mergeCell ref="H2075:H2077"/>
    <mergeCell ref="I2075:I2077"/>
    <mergeCell ref="J2075:J2077"/>
    <mergeCell ref="K2075:K2077"/>
    <mergeCell ref="L2075:L2077"/>
    <mergeCell ref="D2078:F2078"/>
    <mergeCell ref="G2078:L2078"/>
    <mergeCell ref="A2080:A2082"/>
    <mergeCell ref="B2080:C2089"/>
    <mergeCell ref="D2080:D2082"/>
    <mergeCell ref="E2080:E2082"/>
    <mergeCell ref="F2080:F2082"/>
    <mergeCell ref="G2080:G2082"/>
    <mergeCell ref="H2080:H2082"/>
    <mergeCell ref="I2080:I2082"/>
    <mergeCell ref="J2080:J2082"/>
    <mergeCell ref="K2080:K2082"/>
    <mergeCell ref="L2080:L2082"/>
    <mergeCell ref="D2083:D2085"/>
    <mergeCell ref="E2083:E2085"/>
    <mergeCell ref="F2083:F2085"/>
    <mergeCell ref="G2083:G2085"/>
    <mergeCell ref="H2083:H2085"/>
    <mergeCell ref="I2083:I2085"/>
    <mergeCell ref="J2083:J2085"/>
    <mergeCell ref="K2083:K2085"/>
    <mergeCell ref="L2083:L2085"/>
    <mergeCell ref="D2086:D2088"/>
    <mergeCell ref="E2086:E2088"/>
    <mergeCell ref="F2086:F2088"/>
    <mergeCell ref="G2086:G2088"/>
    <mergeCell ref="H2086:H2088"/>
    <mergeCell ref="I2086:I2088"/>
    <mergeCell ref="J2086:J2088"/>
    <mergeCell ref="K2086:K2088"/>
    <mergeCell ref="L2086:L2088"/>
    <mergeCell ref="D2089:F2089"/>
    <mergeCell ref="G2089:L2089"/>
    <mergeCell ref="A2069:A2071"/>
    <mergeCell ref="B2069:C2078"/>
    <mergeCell ref="D2091:D2093"/>
    <mergeCell ref="E2091:E2093"/>
    <mergeCell ref="F2091:F2093"/>
    <mergeCell ref="G2091:G2093"/>
    <mergeCell ref="H2091:H2093"/>
    <mergeCell ref="I2091:I2093"/>
    <mergeCell ref="J2091:J2093"/>
    <mergeCell ref="K2091:K2093"/>
    <mergeCell ref="L2091:L2093"/>
    <mergeCell ref="D2094:D2096"/>
    <mergeCell ref="E2094:E2096"/>
    <mergeCell ref="F2094:F2096"/>
    <mergeCell ref="G2094:G2096"/>
    <mergeCell ref="H2094:H2096"/>
    <mergeCell ref="I2094:I2096"/>
    <mergeCell ref="J2094:J2096"/>
    <mergeCell ref="K2094:K2096"/>
    <mergeCell ref="L2094:L2096"/>
    <mergeCell ref="D2097:D2099"/>
    <mergeCell ref="E2097:E2099"/>
    <mergeCell ref="F2097:F2099"/>
    <mergeCell ref="G2097:G2099"/>
    <mergeCell ref="H2097:H2099"/>
    <mergeCell ref="I2097:I2099"/>
    <mergeCell ref="J2097:J2099"/>
    <mergeCell ref="K2097:K2099"/>
    <mergeCell ref="L2097:L2099"/>
    <mergeCell ref="D2100:F2100"/>
    <mergeCell ref="G2100:L2100"/>
    <mergeCell ref="A2102:A2104"/>
    <mergeCell ref="B2102:C2111"/>
    <mergeCell ref="D2102:D2104"/>
    <mergeCell ref="E2102:E2104"/>
    <mergeCell ref="F2102:F2104"/>
    <mergeCell ref="G2102:G2104"/>
    <mergeCell ref="H2102:H2104"/>
    <mergeCell ref="I2102:I2104"/>
    <mergeCell ref="J2102:J2104"/>
    <mergeCell ref="K2102:K2104"/>
    <mergeCell ref="L2102:L2104"/>
    <mergeCell ref="D2105:D2107"/>
    <mergeCell ref="E2105:E2107"/>
    <mergeCell ref="F2105:F2107"/>
    <mergeCell ref="G2105:G2107"/>
    <mergeCell ref="H2105:H2107"/>
    <mergeCell ref="I2105:I2107"/>
    <mergeCell ref="J2105:J2107"/>
    <mergeCell ref="K2105:K2107"/>
    <mergeCell ref="L2105:L2107"/>
    <mergeCell ref="D2108:D2110"/>
    <mergeCell ref="E2108:E2110"/>
    <mergeCell ref="F2108:F2110"/>
    <mergeCell ref="G2108:G2110"/>
    <mergeCell ref="H2108:H2110"/>
    <mergeCell ref="I2108:I2110"/>
    <mergeCell ref="J2108:J2110"/>
    <mergeCell ref="K2108:K2110"/>
    <mergeCell ref="L2108:L2110"/>
    <mergeCell ref="D2111:F2111"/>
    <mergeCell ref="G2111:L2111"/>
    <mergeCell ref="A2091:A2093"/>
    <mergeCell ref="B2091:C2100"/>
    <mergeCell ref="E2130:E2132"/>
    <mergeCell ref="F2130:F2132"/>
    <mergeCell ref="G2130:G2132"/>
    <mergeCell ref="H2130:H2132"/>
    <mergeCell ref="I2130:I2132"/>
    <mergeCell ref="J2130:J2132"/>
    <mergeCell ref="K2130:K2132"/>
    <mergeCell ref="L2130:L2132"/>
    <mergeCell ref="D2133:F2133"/>
    <mergeCell ref="G2133:L2133"/>
    <mergeCell ref="A2135:A2137"/>
    <mergeCell ref="B2135:C2144"/>
    <mergeCell ref="D2141:D2143"/>
    <mergeCell ref="E2141:E2143"/>
    <mergeCell ref="F2141:F2143"/>
    <mergeCell ref="G2141:G2143"/>
    <mergeCell ref="H2141:H2143"/>
    <mergeCell ref="I2141:I2143"/>
    <mergeCell ref="J2141:J2143"/>
    <mergeCell ref="K2141:K2143"/>
    <mergeCell ref="L2141:L2143"/>
    <mergeCell ref="D2144:F2144"/>
    <mergeCell ref="G2144:L2144"/>
    <mergeCell ref="D2124:D2126"/>
    <mergeCell ref="E2124:E2126"/>
    <mergeCell ref="F2124:F2126"/>
    <mergeCell ref="G2124:G2126"/>
    <mergeCell ref="H2124:H2126"/>
    <mergeCell ref="I2124:I2126"/>
    <mergeCell ref="J2124:J2126"/>
    <mergeCell ref="K2124:K2126"/>
    <mergeCell ref="L2124:L2126"/>
    <mergeCell ref="D2127:D2129"/>
    <mergeCell ref="E2127:E2129"/>
    <mergeCell ref="F2127:F2129"/>
    <mergeCell ref="G2127:G2129"/>
    <mergeCell ref="H2127:H2129"/>
    <mergeCell ref="I2127:I2129"/>
    <mergeCell ref="J2127:J2129"/>
    <mergeCell ref="K2127:K2129"/>
    <mergeCell ref="L2127:L2129"/>
    <mergeCell ref="D2113:D2115"/>
    <mergeCell ref="E2113:E2115"/>
    <mergeCell ref="F2113:F2115"/>
    <mergeCell ref="G2113:G2115"/>
    <mergeCell ref="H2113:H2115"/>
    <mergeCell ref="I2113:I2115"/>
    <mergeCell ref="J2113:J2115"/>
    <mergeCell ref="K2113:K2115"/>
    <mergeCell ref="F2152:F2154"/>
    <mergeCell ref="G2152:G2154"/>
    <mergeCell ref="H2152:H2154"/>
    <mergeCell ref="I2152:I2154"/>
    <mergeCell ref="J2152:J2154"/>
    <mergeCell ref="K2152:K2154"/>
    <mergeCell ref="L2152:L2154"/>
    <mergeCell ref="D2155:F2155"/>
    <mergeCell ref="G2155:L2155"/>
    <mergeCell ref="A2157:A2159"/>
    <mergeCell ref="B2157:C2166"/>
    <mergeCell ref="D2163:D2165"/>
    <mergeCell ref="E2163:E2165"/>
    <mergeCell ref="F2163:F2165"/>
    <mergeCell ref="G2163:G2165"/>
    <mergeCell ref="H2163:H2165"/>
    <mergeCell ref="I2163:I2165"/>
    <mergeCell ref="J2163:J2165"/>
    <mergeCell ref="K2163:K2165"/>
    <mergeCell ref="L2163:L2165"/>
    <mergeCell ref="D2166:F2166"/>
    <mergeCell ref="G2166:L2166"/>
    <mergeCell ref="A2168:A2170"/>
    <mergeCell ref="B2168:C2177"/>
    <mergeCell ref="D2174:D2176"/>
    <mergeCell ref="E2174:E2176"/>
    <mergeCell ref="F2174:F2176"/>
    <mergeCell ref="G2174:G2176"/>
    <mergeCell ref="H2174:H2176"/>
    <mergeCell ref="I2174:I2176"/>
    <mergeCell ref="J2174:J2176"/>
    <mergeCell ref="K2174:K2176"/>
    <mergeCell ref="L2174:L2176"/>
    <mergeCell ref="D2177:F2177"/>
    <mergeCell ref="G2177:L2177"/>
    <mergeCell ref="D2168:D2170"/>
    <mergeCell ref="E2168:E2170"/>
    <mergeCell ref="F2168:F2170"/>
    <mergeCell ref="G2168:G2170"/>
    <mergeCell ref="H2168:H2170"/>
    <mergeCell ref="I2168:I2170"/>
    <mergeCell ref="J2168:J2170"/>
    <mergeCell ref="K2168:K2170"/>
    <mergeCell ref="L2168:L2170"/>
    <mergeCell ref="D2171:D2173"/>
    <mergeCell ref="E2171:E2173"/>
    <mergeCell ref="F2171:F2173"/>
    <mergeCell ref="G2171:G2173"/>
    <mergeCell ref="H2171:H2173"/>
    <mergeCell ref="I2171:I2173"/>
    <mergeCell ref="J2171:J2173"/>
    <mergeCell ref="K2171:K2173"/>
    <mergeCell ref="L2171:L2173"/>
    <mergeCell ref="D2157:D2159"/>
    <mergeCell ref="E2157:E2159"/>
    <mergeCell ref="F2157:F2159"/>
    <mergeCell ref="L2207:L2209"/>
    <mergeCell ref="D2210:F2210"/>
    <mergeCell ref="G2210:L2210"/>
    <mergeCell ref="E2218:E2220"/>
    <mergeCell ref="F2218:F2220"/>
    <mergeCell ref="G2218:G2220"/>
    <mergeCell ref="H2218:H2220"/>
    <mergeCell ref="I2218:I2220"/>
    <mergeCell ref="J2218:J2220"/>
    <mergeCell ref="K2218:K2220"/>
    <mergeCell ref="L2218:L2220"/>
    <mergeCell ref="D2221:F2221"/>
    <mergeCell ref="G2221:L2221"/>
    <mergeCell ref="A2223:A2225"/>
    <mergeCell ref="B2223:C2232"/>
    <mergeCell ref="D2223:D2225"/>
    <mergeCell ref="E2223:E2225"/>
    <mergeCell ref="F2223:F2225"/>
    <mergeCell ref="G2223:G2225"/>
    <mergeCell ref="H2223:H2225"/>
    <mergeCell ref="I2223:I2225"/>
    <mergeCell ref="J2223:J2225"/>
    <mergeCell ref="K2223:K2225"/>
    <mergeCell ref="L2223:L2225"/>
    <mergeCell ref="D2226:D2228"/>
    <mergeCell ref="E2226:E2228"/>
    <mergeCell ref="F2226:F2228"/>
    <mergeCell ref="G2226:G2228"/>
    <mergeCell ref="H2226:H2228"/>
    <mergeCell ref="I2226:I2228"/>
    <mergeCell ref="J2226:J2228"/>
    <mergeCell ref="K2226:K2228"/>
    <mergeCell ref="L2226:L2228"/>
    <mergeCell ref="D2229:D2231"/>
    <mergeCell ref="E2229:E2231"/>
    <mergeCell ref="F2229:F2231"/>
    <mergeCell ref="G2229:G2231"/>
    <mergeCell ref="H2229:H2231"/>
    <mergeCell ref="I2229:I2231"/>
    <mergeCell ref="J2229:J2231"/>
    <mergeCell ref="K2229:K2231"/>
    <mergeCell ref="L2229:L2231"/>
    <mergeCell ref="D2232:F2232"/>
    <mergeCell ref="G2232:L2232"/>
    <mergeCell ref="A2234:A2236"/>
    <mergeCell ref="B2234:C2243"/>
    <mergeCell ref="D2234:D2236"/>
    <mergeCell ref="E2234:E2236"/>
    <mergeCell ref="F2234:F2236"/>
    <mergeCell ref="G2234:G2236"/>
    <mergeCell ref="H2234:H2236"/>
    <mergeCell ref="I2234:I2236"/>
    <mergeCell ref="J2234:J2236"/>
    <mergeCell ref="K2234:K2236"/>
    <mergeCell ref="L2234:L2236"/>
    <mergeCell ref="D2237:D2239"/>
    <mergeCell ref="E2237:E2239"/>
    <mergeCell ref="F2237:F2239"/>
    <mergeCell ref="G2237:G2239"/>
    <mergeCell ref="H2237:H2239"/>
    <mergeCell ref="I2237:I2239"/>
    <mergeCell ref="J2237:J2239"/>
    <mergeCell ref="K2237:K2239"/>
    <mergeCell ref="L2237:L2239"/>
    <mergeCell ref="D2240:D2242"/>
    <mergeCell ref="E2240:E2242"/>
    <mergeCell ref="F2240:F2242"/>
    <mergeCell ref="G2240:G2242"/>
    <mergeCell ref="H2240:H2242"/>
    <mergeCell ref="I2240:I2242"/>
    <mergeCell ref="J2240:J2242"/>
    <mergeCell ref="K2240:K2242"/>
    <mergeCell ref="L2240:L2242"/>
    <mergeCell ref="D2243:F2243"/>
    <mergeCell ref="G2243:L2243"/>
    <mergeCell ref="A2245:A2247"/>
    <mergeCell ref="B2245:C2254"/>
    <mergeCell ref="D2245:D2247"/>
    <mergeCell ref="E2245:E2247"/>
    <mergeCell ref="F2245:F2247"/>
    <mergeCell ref="G2245:G2247"/>
    <mergeCell ref="H2245:H2247"/>
    <mergeCell ref="I2245:I2247"/>
    <mergeCell ref="J2245:J2247"/>
    <mergeCell ref="K2245:K2247"/>
    <mergeCell ref="L2245:L2247"/>
    <mergeCell ref="D2248:D2250"/>
    <mergeCell ref="E2248:E2250"/>
    <mergeCell ref="F2248:F2250"/>
    <mergeCell ref="G2248:G2250"/>
    <mergeCell ref="H2248:H2250"/>
    <mergeCell ref="I2248:I2250"/>
    <mergeCell ref="J2248:J2250"/>
    <mergeCell ref="K2248:K2250"/>
    <mergeCell ref="L2248:L2250"/>
    <mergeCell ref="D2251:D2253"/>
    <mergeCell ref="E2251:E2253"/>
    <mergeCell ref="F2251:F2253"/>
    <mergeCell ref="G2251:G2253"/>
    <mergeCell ref="H2251:H2253"/>
    <mergeCell ref="I2251:I2253"/>
    <mergeCell ref="J2251:J2253"/>
    <mergeCell ref="K2251:K2253"/>
    <mergeCell ref="L2251:L2253"/>
    <mergeCell ref="D2254:F2254"/>
    <mergeCell ref="G2254:L2254"/>
    <mergeCell ref="D2256:D2258"/>
    <mergeCell ref="E2256:E2258"/>
    <mergeCell ref="F2256:F2258"/>
    <mergeCell ref="G2256:G2258"/>
    <mergeCell ref="H2256:H2258"/>
    <mergeCell ref="I2256:I2258"/>
    <mergeCell ref="J2256:J2258"/>
    <mergeCell ref="K2256:K2258"/>
    <mergeCell ref="L2256:L2258"/>
    <mergeCell ref="D2259:D2261"/>
    <mergeCell ref="E2259:E2261"/>
    <mergeCell ref="F2259:F2261"/>
    <mergeCell ref="G2259:G2261"/>
    <mergeCell ref="H2259:H2261"/>
    <mergeCell ref="I2259:I2261"/>
    <mergeCell ref="J2259:J2261"/>
    <mergeCell ref="K2259:K2261"/>
    <mergeCell ref="L2259:L2261"/>
    <mergeCell ref="D2262:D2264"/>
    <mergeCell ref="E2262:E2264"/>
    <mergeCell ref="F2262:F2264"/>
    <mergeCell ref="G2262:G2264"/>
    <mergeCell ref="H2262:H2264"/>
    <mergeCell ref="I2262:I2264"/>
    <mergeCell ref="J2262:J2264"/>
    <mergeCell ref="K2262:K2264"/>
    <mergeCell ref="L2262:L2264"/>
    <mergeCell ref="D2265:F2265"/>
    <mergeCell ref="G2265:L2265"/>
    <mergeCell ref="A2267:A2269"/>
    <mergeCell ref="B2267:C2276"/>
    <mergeCell ref="D2267:D2269"/>
    <mergeCell ref="E2267:E2269"/>
    <mergeCell ref="F2267:F2269"/>
    <mergeCell ref="G2267:G2269"/>
    <mergeCell ref="H2267:H2269"/>
    <mergeCell ref="I2267:I2269"/>
    <mergeCell ref="J2267:J2269"/>
    <mergeCell ref="K2267:K2269"/>
    <mergeCell ref="L2267:L2269"/>
    <mergeCell ref="D2270:D2272"/>
    <mergeCell ref="E2270:E2272"/>
    <mergeCell ref="F2270:F2272"/>
    <mergeCell ref="G2270:G2272"/>
    <mergeCell ref="H2270:H2272"/>
    <mergeCell ref="I2270:I2272"/>
    <mergeCell ref="J2270:J2272"/>
    <mergeCell ref="K2270:K2272"/>
    <mergeCell ref="L2270:L2272"/>
    <mergeCell ref="D2273:D2275"/>
    <mergeCell ref="E2273:E2275"/>
    <mergeCell ref="F2273:F2275"/>
    <mergeCell ref="G2273:G2275"/>
    <mergeCell ref="H2273:H2275"/>
    <mergeCell ref="I2273:I2275"/>
    <mergeCell ref="J2273:J2275"/>
    <mergeCell ref="K2273:K2275"/>
    <mergeCell ref="L2273:L2275"/>
    <mergeCell ref="D2276:F2276"/>
    <mergeCell ref="G2276:L2276"/>
    <mergeCell ref="A2256:A2258"/>
    <mergeCell ref="B2256:C2265"/>
    <mergeCell ref="D2278:D2280"/>
    <mergeCell ref="E2278:E2280"/>
    <mergeCell ref="F2278:F2280"/>
    <mergeCell ref="G2278:G2280"/>
    <mergeCell ref="H2278:H2280"/>
    <mergeCell ref="I2278:I2280"/>
    <mergeCell ref="J2278:J2280"/>
    <mergeCell ref="K2278:K2280"/>
    <mergeCell ref="L2278:L2280"/>
    <mergeCell ref="D2281:D2283"/>
    <mergeCell ref="E2281:E2283"/>
    <mergeCell ref="F2281:F2283"/>
    <mergeCell ref="G2281:G2283"/>
    <mergeCell ref="H2281:H2283"/>
    <mergeCell ref="I2281:I2283"/>
    <mergeCell ref="J2281:J2283"/>
    <mergeCell ref="K2281:K2283"/>
    <mergeCell ref="L2281:L2283"/>
    <mergeCell ref="D2284:D2286"/>
    <mergeCell ref="E2284:E2286"/>
    <mergeCell ref="F2284:F2286"/>
    <mergeCell ref="G2284:G2286"/>
    <mergeCell ref="H2284:H2286"/>
    <mergeCell ref="I2284:I2286"/>
    <mergeCell ref="J2284:J2286"/>
    <mergeCell ref="K2284:K2286"/>
    <mergeCell ref="L2284:L2286"/>
    <mergeCell ref="D2287:F2287"/>
    <mergeCell ref="G2287:L2287"/>
    <mergeCell ref="A2289:A2291"/>
    <mergeCell ref="B2289:C2298"/>
    <mergeCell ref="D2289:D2291"/>
    <mergeCell ref="E2289:E2291"/>
    <mergeCell ref="F2289:F2291"/>
    <mergeCell ref="G2289:G2291"/>
    <mergeCell ref="H2289:H2291"/>
    <mergeCell ref="I2289:I2291"/>
    <mergeCell ref="J2289:J2291"/>
    <mergeCell ref="K2289:K2291"/>
    <mergeCell ref="L2289:L2291"/>
    <mergeCell ref="D2292:D2294"/>
    <mergeCell ref="E2292:E2294"/>
    <mergeCell ref="F2292:F2294"/>
    <mergeCell ref="G2292:G2294"/>
    <mergeCell ref="H2292:H2294"/>
    <mergeCell ref="I2292:I2294"/>
    <mergeCell ref="J2292:J2294"/>
    <mergeCell ref="K2292:K2294"/>
    <mergeCell ref="L2292:L2294"/>
    <mergeCell ref="D2295:D2297"/>
    <mergeCell ref="E2295:E2297"/>
    <mergeCell ref="F2295:F2297"/>
    <mergeCell ref="G2295:G2297"/>
    <mergeCell ref="H2295:H2297"/>
    <mergeCell ref="I2295:I2297"/>
    <mergeCell ref="J2295:J2297"/>
    <mergeCell ref="K2295:K2297"/>
    <mergeCell ref="L2295:L2297"/>
    <mergeCell ref="D2298:F2298"/>
    <mergeCell ref="G2298:L2298"/>
    <mergeCell ref="A2278:A2280"/>
    <mergeCell ref="B2278:C2287"/>
    <mergeCell ref="D2300:D2302"/>
    <mergeCell ref="E2300:E2302"/>
    <mergeCell ref="F2300:F2302"/>
    <mergeCell ref="G2300:G2302"/>
    <mergeCell ref="H2300:H2302"/>
    <mergeCell ref="I2300:I2302"/>
    <mergeCell ref="J2300:J2302"/>
    <mergeCell ref="K2300:K2302"/>
    <mergeCell ref="L2300:L2302"/>
    <mergeCell ref="D2303:D2305"/>
    <mergeCell ref="E2303:E2305"/>
    <mergeCell ref="F2303:F2305"/>
    <mergeCell ref="G2303:G2305"/>
    <mergeCell ref="H2303:H2305"/>
    <mergeCell ref="I2303:I2305"/>
    <mergeCell ref="J2303:J2305"/>
    <mergeCell ref="K2303:K2305"/>
    <mergeCell ref="L2303:L2305"/>
    <mergeCell ref="D2306:D2308"/>
    <mergeCell ref="E2306:E2308"/>
    <mergeCell ref="F2306:F2308"/>
    <mergeCell ref="G2306:G2308"/>
    <mergeCell ref="H2306:H2308"/>
    <mergeCell ref="I2306:I2308"/>
    <mergeCell ref="J2306:J2308"/>
    <mergeCell ref="K2306:K2308"/>
    <mergeCell ref="L2306:L2308"/>
    <mergeCell ref="D2309:F2309"/>
    <mergeCell ref="G2309:L2309"/>
    <mergeCell ref="A2311:A2313"/>
    <mergeCell ref="B2311:C2320"/>
    <mergeCell ref="D2311:D2313"/>
    <mergeCell ref="E2311:E2313"/>
    <mergeCell ref="F2311:F2313"/>
    <mergeCell ref="G2311:G2313"/>
    <mergeCell ref="H2311:H2313"/>
    <mergeCell ref="I2311:I2313"/>
    <mergeCell ref="J2311:J2313"/>
    <mergeCell ref="K2311:K2313"/>
    <mergeCell ref="L2311:L2313"/>
    <mergeCell ref="D2314:D2316"/>
    <mergeCell ref="E2314:E2316"/>
    <mergeCell ref="F2314:F2316"/>
    <mergeCell ref="G2314:G2316"/>
    <mergeCell ref="H2314:H2316"/>
    <mergeCell ref="I2314:I2316"/>
    <mergeCell ref="J2314:J2316"/>
    <mergeCell ref="K2314:K2316"/>
    <mergeCell ref="L2314:L2316"/>
    <mergeCell ref="D2317:D2319"/>
    <mergeCell ref="E2317:E2319"/>
    <mergeCell ref="F2317:F2319"/>
    <mergeCell ref="G2317:G2319"/>
    <mergeCell ref="H2317:H2319"/>
    <mergeCell ref="I2317:I2319"/>
    <mergeCell ref="J2317:J2319"/>
    <mergeCell ref="K2317:K2319"/>
    <mergeCell ref="L2317:L2319"/>
    <mergeCell ref="D2320:F2320"/>
    <mergeCell ref="G2320:L2320"/>
    <mergeCell ref="A2300:A2302"/>
    <mergeCell ref="B2300:C2309"/>
    <mergeCell ref="D2322:D2324"/>
    <mergeCell ref="E2322:E2324"/>
    <mergeCell ref="F2322:F2324"/>
    <mergeCell ref="G2322:G2324"/>
    <mergeCell ref="H2322:H2324"/>
    <mergeCell ref="I2322:I2324"/>
    <mergeCell ref="J2322:J2324"/>
    <mergeCell ref="K2322:K2324"/>
    <mergeCell ref="L2322:L2324"/>
    <mergeCell ref="D2325:D2327"/>
    <mergeCell ref="E2325:E2327"/>
    <mergeCell ref="F2325:F2327"/>
    <mergeCell ref="G2325:G2327"/>
    <mergeCell ref="H2325:H2327"/>
    <mergeCell ref="I2325:I2327"/>
    <mergeCell ref="J2325:J2327"/>
    <mergeCell ref="K2325:K2327"/>
    <mergeCell ref="L2325:L2327"/>
    <mergeCell ref="D2328:D2330"/>
    <mergeCell ref="E2328:E2330"/>
    <mergeCell ref="F2328:F2330"/>
    <mergeCell ref="G2328:G2330"/>
    <mergeCell ref="H2328:H2330"/>
    <mergeCell ref="I2328:I2330"/>
    <mergeCell ref="J2328:J2330"/>
    <mergeCell ref="K2328:K2330"/>
    <mergeCell ref="L2328:L2330"/>
    <mergeCell ref="D2331:F2331"/>
    <mergeCell ref="G2331:L2331"/>
    <mergeCell ref="A2333:A2335"/>
    <mergeCell ref="B2333:C2342"/>
    <mergeCell ref="D2333:D2335"/>
    <mergeCell ref="E2333:E2335"/>
    <mergeCell ref="F2333:F2335"/>
    <mergeCell ref="G2333:G2335"/>
    <mergeCell ref="H2333:H2335"/>
    <mergeCell ref="I2333:I2335"/>
    <mergeCell ref="J2333:J2335"/>
    <mergeCell ref="K2333:K2335"/>
    <mergeCell ref="L2333:L2335"/>
    <mergeCell ref="D2336:D2338"/>
    <mergeCell ref="E2336:E2338"/>
    <mergeCell ref="F2336:F2338"/>
    <mergeCell ref="G2336:G2338"/>
    <mergeCell ref="H2336:H2338"/>
    <mergeCell ref="I2336:I2338"/>
    <mergeCell ref="J2336:J2338"/>
    <mergeCell ref="K2336:K2338"/>
    <mergeCell ref="L2336:L2338"/>
    <mergeCell ref="D2339:D2341"/>
    <mergeCell ref="E2339:E2341"/>
    <mergeCell ref="F2339:F2341"/>
    <mergeCell ref="G2339:G2341"/>
    <mergeCell ref="H2339:H2341"/>
    <mergeCell ref="I2339:I2341"/>
    <mergeCell ref="J2339:J2341"/>
    <mergeCell ref="K2339:K2341"/>
    <mergeCell ref="L2339:L2341"/>
    <mergeCell ref="D2342:F2342"/>
    <mergeCell ref="G2342:L2342"/>
    <mergeCell ref="A2322:A2324"/>
    <mergeCell ref="B2322:C2331"/>
    <mergeCell ref="B2344:C2356"/>
    <mergeCell ref="D2344:D2346"/>
    <mergeCell ref="E2344:E2346"/>
    <mergeCell ref="F2344:F2346"/>
    <mergeCell ref="G2344:G2346"/>
    <mergeCell ref="H2344:H2346"/>
    <mergeCell ref="I2344:I2346"/>
    <mergeCell ref="J2344:J2346"/>
    <mergeCell ref="K2344:K2346"/>
    <mergeCell ref="L2344:L2346"/>
    <mergeCell ref="D2347:D2349"/>
    <mergeCell ref="E2347:E2349"/>
    <mergeCell ref="F2347:F2349"/>
    <mergeCell ref="G2347:G2349"/>
    <mergeCell ref="H2347:H2349"/>
    <mergeCell ref="I2347:I2349"/>
    <mergeCell ref="J2347:J2349"/>
    <mergeCell ref="K2347:K2349"/>
    <mergeCell ref="L2347:L2349"/>
    <mergeCell ref="D2353:D2355"/>
    <mergeCell ref="E2353:E2355"/>
    <mergeCell ref="F2353:F2355"/>
    <mergeCell ref="G2353:G2355"/>
    <mergeCell ref="H2353:H2355"/>
    <mergeCell ref="I2353:I2355"/>
    <mergeCell ref="J2353:J2355"/>
    <mergeCell ref="K2353:K2355"/>
    <mergeCell ref="L2353:L2355"/>
    <mergeCell ref="D2356:F2356"/>
    <mergeCell ref="G2356:L2356"/>
    <mergeCell ref="A2358:A2360"/>
    <mergeCell ref="B2358:C2367"/>
    <mergeCell ref="D2358:D2360"/>
    <mergeCell ref="E2358:E2360"/>
    <mergeCell ref="F2358:F2360"/>
    <mergeCell ref="G2358:G2360"/>
    <mergeCell ref="H2358:H2360"/>
    <mergeCell ref="I2358:I2360"/>
    <mergeCell ref="J2358:J2360"/>
    <mergeCell ref="K2358:K2360"/>
    <mergeCell ref="L2358:L2360"/>
    <mergeCell ref="D2361:D2363"/>
    <mergeCell ref="E2361:E2363"/>
    <mergeCell ref="F2361:F2363"/>
    <mergeCell ref="G2361:G2363"/>
    <mergeCell ref="H2361:H2363"/>
    <mergeCell ref="I2361:I2363"/>
    <mergeCell ref="J2361:J2363"/>
    <mergeCell ref="K2361:K2363"/>
    <mergeCell ref="L2361:L2363"/>
    <mergeCell ref="D2364:D2366"/>
    <mergeCell ref="E2364:E2366"/>
    <mergeCell ref="F2364:F2366"/>
    <mergeCell ref="G2364:G2366"/>
    <mergeCell ref="H2364:H2366"/>
    <mergeCell ref="I2364:I2366"/>
    <mergeCell ref="J2364:J2366"/>
    <mergeCell ref="K2364:K2366"/>
    <mergeCell ref="L2364:L2366"/>
    <mergeCell ref="D2367:F2367"/>
    <mergeCell ref="G2367:L2367"/>
    <mergeCell ref="A2344:A2346"/>
    <mergeCell ref="D2350:D2352"/>
    <mergeCell ref="E2350:E2352"/>
    <mergeCell ref="D2369:D2371"/>
    <mergeCell ref="E2369:E2371"/>
    <mergeCell ref="F2369:F2371"/>
    <mergeCell ref="G2369:G2371"/>
    <mergeCell ref="H2369:H2371"/>
    <mergeCell ref="I2369:I2371"/>
    <mergeCell ref="J2369:J2371"/>
    <mergeCell ref="K2369:K2371"/>
    <mergeCell ref="L2369:L2371"/>
    <mergeCell ref="D2372:D2374"/>
    <mergeCell ref="E2372:E2374"/>
    <mergeCell ref="F2372:F2374"/>
    <mergeCell ref="G2372:G2374"/>
    <mergeCell ref="H2372:H2374"/>
    <mergeCell ref="I2372:I2374"/>
    <mergeCell ref="J2372:J2374"/>
    <mergeCell ref="K2372:K2374"/>
    <mergeCell ref="L2372:L2374"/>
    <mergeCell ref="D2375:D2377"/>
    <mergeCell ref="E2375:E2377"/>
    <mergeCell ref="F2375:F2377"/>
    <mergeCell ref="G2375:G2377"/>
    <mergeCell ref="H2375:H2377"/>
    <mergeCell ref="I2375:I2377"/>
    <mergeCell ref="J2375:J2377"/>
    <mergeCell ref="K2375:K2377"/>
    <mergeCell ref="L2375:L2377"/>
    <mergeCell ref="D2378:F2378"/>
    <mergeCell ref="G2378:L2378"/>
    <mergeCell ref="A2380:A2382"/>
    <mergeCell ref="B2380:C2389"/>
    <mergeCell ref="D2380:D2382"/>
    <mergeCell ref="E2380:E2382"/>
    <mergeCell ref="F2380:F2382"/>
    <mergeCell ref="G2380:G2382"/>
    <mergeCell ref="H2380:H2382"/>
    <mergeCell ref="I2380:I2382"/>
    <mergeCell ref="J2380:J2382"/>
    <mergeCell ref="K2380:K2382"/>
    <mergeCell ref="L2380:L2382"/>
    <mergeCell ref="D2383:D2385"/>
    <mergeCell ref="E2383:E2385"/>
    <mergeCell ref="F2383:F2385"/>
    <mergeCell ref="G2383:G2385"/>
    <mergeCell ref="H2383:H2385"/>
    <mergeCell ref="I2383:I2385"/>
    <mergeCell ref="J2383:J2385"/>
    <mergeCell ref="K2383:K2385"/>
    <mergeCell ref="L2383:L2385"/>
    <mergeCell ref="D2386:D2388"/>
    <mergeCell ref="E2386:E2388"/>
    <mergeCell ref="F2386:F2388"/>
    <mergeCell ref="G2386:G2388"/>
    <mergeCell ref="H2386:H2388"/>
    <mergeCell ref="I2386:I2388"/>
    <mergeCell ref="J2386:J2388"/>
    <mergeCell ref="K2386:K2388"/>
    <mergeCell ref="L2386:L2388"/>
    <mergeCell ref="D2389:F2389"/>
    <mergeCell ref="G2389:L2389"/>
    <mergeCell ref="A2369:A2371"/>
    <mergeCell ref="B2369:C2378"/>
    <mergeCell ref="D2391:D2393"/>
    <mergeCell ref="E2391:E2393"/>
    <mergeCell ref="F2391:F2393"/>
    <mergeCell ref="G2391:G2393"/>
    <mergeCell ref="H2391:H2393"/>
    <mergeCell ref="I2391:I2393"/>
    <mergeCell ref="J2391:J2393"/>
    <mergeCell ref="K2391:K2393"/>
    <mergeCell ref="L2391:L2393"/>
    <mergeCell ref="D2394:D2396"/>
    <mergeCell ref="E2394:E2396"/>
    <mergeCell ref="F2394:F2396"/>
    <mergeCell ref="G2394:G2396"/>
    <mergeCell ref="H2394:H2396"/>
    <mergeCell ref="I2394:I2396"/>
    <mergeCell ref="J2394:J2396"/>
    <mergeCell ref="K2394:K2396"/>
    <mergeCell ref="L2394:L2396"/>
    <mergeCell ref="D2397:D2399"/>
    <mergeCell ref="E2397:E2399"/>
    <mergeCell ref="F2397:F2399"/>
    <mergeCell ref="G2397:G2399"/>
    <mergeCell ref="H2397:H2399"/>
    <mergeCell ref="I2397:I2399"/>
    <mergeCell ref="J2397:J2399"/>
    <mergeCell ref="K2397:K2399"/>
    <mergeCell ref="L2397:L2399"/>
    <mergeCell ref="D2400:F2400"/>
    <mergeCell ref="G2400:L2400"/>
    <mergeCell ref="A2402:A2404"/>
    <mergeCell ref="B2402:C2411"/>
    <mergeCell ref="D2402:D2404"/>
    <mergeCell ref="E2402:E2404"/>
    <mergeCell ref="F2402:F2404"/>
    <mergeCell ref="G2402:G2404"/>
    <mergeCell ref="H2402:H2404"/>
    <mergeCell ref="I2402:I2404"/>
    <mergeCell ref="J2402:J2404"/>
    <mergeCell ref="K2402:K2404"/>
    <mergeCell ref="L2402:L2404"/>
    <mergeCell ref="D2405:D2407"/>
    <mergeCell ref="E2405:E2407"/>
    <mergeCell ref="F2405:F2407"/>
    <mergeCell ref="G2405:G2407"/>
    <mergeCell ref="H2405:H2407"/>
    <mergeCell ref="I2405:I2407"/>
    <mergeCell ref="J2405:J2407"/>
    <mergeCell ref="K2405:K2407"/>
    <mergeCell ref="L2405:L2407"/>
    <mergeCell ref="D2408:D2410"/>
    <mergeCell ref="E2408:E2410"/>
    <mergeCell ref="F2408:F2410"/>
    <mergeCell ref="G2408:G2410"/>
    <mergeCell ref="H2408:H2410"/>
    <mergeCell ref="I2408:I2410"/>
    <mergeCell ref="J2408:J2410"/>
    <mergeCell ref="K2408:K2410"/>
    <mergeCell ref="L2408:L2410"/>
    <mergeCell ref="D2411:F2411"/>
    <mergeCell ref="G2411:L2411"/>
    <mergeCell ref="A2391:A2393"/>
    <mergeCell ref="B2391:C2400"/>
    <mergeCell ref="D2420:D2422"/>
    <mergeCell ref="E2420:E2422"/>
    <mergeCell ref="F2420:F2422"/>
    <mergeCell ref="G2420:G2422"/>
    <mergeCell ref="H2420:H2422"/>
    <mergeCell ref="I2420:I2422"/>
    <mergeCell ref="J2420:J2422"/>
    <mergeCell ref="K2420:K2422"/>
    <mergeCell ref="L2420:L2422"/>
    <mergeCell ref="D2423:D2425"/>
    <mergeCell ref="E2423:E2425"/>
    <mergeCell ref="F2423:F2425"/>
    <mergeCell ref="G2423:G2425"/>
    <mergeCell ref="H2423:H2425"/>
    <mergeCell ref="I2423:I2425"/>
    <mergeCell ref="J2423:J2425"/>
    <mergeCell ref="K2423:K2425"/>
    <mergeCell ref="L2423:L2425"/>
    <mergeCell ref="D2426:D2428"/>
    <mergeCell ref="E2426:E2428"/>
    <mergeCell ref="F2426:F2428"/>
    <mergeCell ref="G2426:G2428"/>
    <mergeCell ref="H2426:H2428"/>
    <mergeCell ref="I2426:I2428"/>
    <mergeCell ref="J2426:J2428"/>
    <mergeCell ref="K2426:K2428"/>
    <mergeCell ref="L2426:L2428"/>
    <mergeCell ref="D2429:F2429"/>
    <mergeCell ref="G2429:L2429"/>
    <mergeCell ref="A2431:A2433"/>
    <mergeCell ref="B2431:C2440"/>
    <mergeCell ref="D2431:D2433"/>
    <mergeCell ref="E2431:E2433"/>
    <mergeCell ref="F2431:F2433"/>
    <mergeCell ref="G2431:G2433"/>
    <mergeCell ref="H2431:H2433"/>
    <mergeCell ref="I2431:I2433"/>
    <mergeCell ref="J2431:J2433"/>
    <mergeCell ref="K2431:K2433"/>
    <mergeCell ref="L2431:L2433"/>
    <mergeCell ref="D2434:D2436"/>
    <mergeCell ref="E2434:E2436"/>
    <mergeCell ref="F2434:F2436"/>
    <mergeCell ref="G2434:G2436"/>
    <mergeCell ref="H2434:H2436"/>
    <mergeCell ref="I2434:I2436"/>
    <mergeCell ref="J2434:J2436"/>
    <mergeCell ref="K2434:K2436"/>
    <mergeCell ref="L2434:L2436"/>
    <mergeCell ref="D2437:D2439"/>
    <mergeCell ref="E2437:E2439"/>
    <mergeCell ref="F2437:F2439"/>
    <mergeCell ref="G2437:G2439"/>
    <mergeCell ref="H2437:H2439"/>
    <mergeCell ref="I2437:I2439"/>
    <mergeCell ref="J2437:J2439"/>
    <mergeCell ref="K2437:K2439"/>
    <mergeCell ref="L2437:L2439"/>
    <mergeCell ref="D2440:F2440"/>
    <mergeCell ref="G2440:L2440"/>
    <mergeCell ref="A2420:A2422"/>
    <mergeCell ref="B2420:C2429"/>
    <mergeCell ref="D2442:D2444"/>
    <mergeCell ref="E2442:E2444"/>
    <mergeCell ref="F2442:F2444"/>
    <mergeCell ref="G2442:G2444"/>
    <mergeCell ref="H2442:H2444"/>
    <mergeCell ref="I2442:I2444"/>
    <mergeCell ref="J2442:J2444"/>
    <mergeCell ref="K2442:K2444"/>
    <mergeCell ref="L2442:L2444"/>
    <mergeCell ref="D2445:D2447"/>
    <mergeCell ref="E2445:E2447"/>
    <mergeCell ref="F2445:F2447"/>
    <mergeCell ref="G2445:G2447"/>
    <mergeCell ref="H2445:H2447"/>
    <mergeCell ref="I2445:I2447"/>
    <mergeCell ref="J2445:J2447"/>
    <mergeCell ref="K2445:K2447"/>
    <mergeCell ref="L2445:L2447"/>
    <mergeCell ref="D2448:D2450"/>
    <mergeCell ref="E2448:E2450"/>
    <mergeCell ref="F2448:F2450"/>
    <mergeCell ref="G2448:G2450"/>
    <mergeCell ref="H2448:H2450"/>
    <mergeCell ref="I2448:I2450"/>
    <mergeCell ref="J2448:J2450"/>
    <mergeCell ref="K2448:K2450"/>
    <mergeCell ref="L2448:L2450"/>
    <mergeCell ref="D2451:F2451"/>
    <mergeCell ref="G2451:L2451"/>
    <mergeCell ref="A2563:A2565"/>
    <mergeCell ref="B2563:C2572"/>
    <mergeCell ref="D2563:D2565"/>
    <mergeCell ref="E2563:E2565"/>
    <mergeCell ref="F2563:F2565"/>
    <mergeCell ref="G2563:G2565"/>
    <mergeCell ref="H2563:H2565"/>
    <mergeCell ref="I2563:I2565"/>
    <mergeCell ref="J2563:J2565"/>
    <mergeCell ref="K2563:K2565"/>
    <mergeCell ref="L2563:L2565"/>
    <mergeCell ref="D2566:D2568"/>
    <mergeCell ref="E2566:E2568"/>
    <mergeCell ref="F2566:F2568"/>
    <mergeCell ref="G2566:G2568"/>
    <mergeCell ref="H2566:H2568"/>
    <mergeCell ref="I2566:I2568"/>
    <mergeCell ref="J2566:J2568"/>
    <mergeCell ref="K2566:K2568"/>
    <mergeCell ref="L2566:L2568"/>
    <mergeCell ref="D2569:D2571"/>
    <mergeCell ref="E2569:E2571"/>
    <mergeCell ref="F2569:F2571"/>
    <mergeCell ref="G2569:G2571"/>
    <mergeCell ref="H2569:H2571"/>
    <mergeCell ref="I2569:I2571"/>
    <mergeCell ref="J2569:J2571"/>
    <mergeCell ref="K2569:K2571"/>
    <mergeCell ref="L2569:L2571"/>
    <mergeCell ref="D2572:F2572"/>
    <mergeCell ref="G2572:L2572"/>
    <mergeCell ref="A2442:A2444"/>
    <mergeCell ref="B2442:C2451"/>
    <mergeCell ref="A2464:A2466"/>
    <mergeCell ref="B2464:C2473"/>
    <mergeCell ref="B2574:C2583"/>
    <mergeCell ref="D2574:D2576"/>
    <mergeCell ref="E2574:E2576"/>
    <mergeCell ref="F2574:F2576"/>
    <mergeCell ref="G2574:G2576"/>
    <mergeCell ref="H2574:H2576"/>
    <mergeCell ref="I2574:I2576"/>
    <mergeCell ref="J2574:J2576"/>
    <mergeCell ref="K2574:K2576"/>
    <mergeCell ref="L2574:L2576"/>
    <mergeCell ref="D2577:D2579"/>
    <mergeCell ref="E2577:E2579"/>
    <mergeCell ref="F2577:F2579"/>
    <mergeCell ref="G2577:G2579"/>
    <mergeCell ref="H2577:H2579"/>
    <mergeCell ref="I2577:I2579"/>
    <mergeCell ref="J2577:J2579"/>
    <mergeCell ref="K2577:K2579"/>
    <mergeCell ref="L2577:L2579"/>
    <mergeCell ref="D2580:D2582"/>
    <mergeCell ref="E2580:E2582"/>
    <mergeCell ref="F2580:F2582"/>
    <mergeCell ref="G2580:G2582"/>
    <mergeCell ref="H2580:H2582"/>
    <mergeCell ref="I2580:I2582"/>
    <mergeCell ref="J2580:J2582"/>
    <mergeCell ref="K2580:K2582"/>
    <mergeCell ref="L2580:L2582"/>
    <mergeCell ref="D2583:F2583"/>
    <mergeCell ref="G2583:L2583"/>
    <mergeCell ref="A2585:A2587"/>
    <mergeCell ref="B2585:C2594"/>
    <mergeCell ref="D2585:D2587"/>
    <mergeCell ref="E2585:E2587"/>
    <mergeCell ref="F2585:F2587"/>
    <mergeCell ref="G2585:G2587"/>
    <mergeCell ref="H2585:H2587"/>
    <mergeCell ref="I2585:I2587"/>
    <mergeCell ref="J2585:J2587"/>
    <mergeCell ref="K2585:K2587"/>
    <mergeCell ref="L2585:L2587"/>
    <mergeCell ref="D2588:D2590"/>
    <mergeCell ref="E2588:E2590"/>
    <mergeCell ref="F2588:F2590"/>
    <mergeCell ref="G2588:G2590"/>
    <mergeCell ref="H2588:H2590"/>
    <mergeCell ref="I2588:I2590"/>
    <mergeCell ref="J2588:J2590"/>
    <mergeCell ref="K2588:K2590"/>
    <mergeCell ref="L2588:L2590"/>
    <mergeCell ref="D2591:D2593"/>
    <mergeCell ref="E2591:E2593"/>
    <mergeCell ref="F2591:F2593"/>
    <mergeCell ref="G2591:G2593"/>
    <mergeCell ref="H2591:H2593"/>
    <mergeCell ref="I2591:I2593"/>
    <mergeCell ref="J2591:J2593"/>
    <mergeCell ref="K2591:K2593"/>
    <mergeCell ref="L2591:L2593"/>
    <mergeCell ref="D2594:F2594"/>
    <mergeCell ref="G2594:L2594"/>
    <mergeCell ref="A2574:A2576"/>
    <mergeCell ref="D2596:D2598"/>
    <mergeCell ref="E2596:E2598"/>
    <mergeCell ref="F2596:F2598"/>
    <mergeCell ref="G2596:G2598"/>
    <mergeCell ref="H2596:H2598"/>
    <mergeCell ref="I2596:I2598"/>
    <mergeCell ref="J2596:J2598"/>
    <mergeCell ref="K2596:K2598"/>
    <mergeCell ref="L2596:L2598"/>
    <mergeCell ref="D2599:D2601"/>
    <mergeCell ref="E2599:E2601"/>
    <mergeCell ref="F2599:F2601"/>
    <mergeCell ref="G2599:G2601"/>
    <mergeCell ref="H2599:H2601"/>
    <mergeCell ref="I2599:I2601"/>
    <mergeCell ref="J2599:J2601"/>
    <mergeCell ref="K2599:K2601"/>
    <mergeCell ref="L2599:L2601"/>
    <mergeCell ref="D2602:D2604"/>
    <mergeCell ref="E2602:E2604"/>
    <mergeCell ref="F2602:F2604"/>
    <mergeCell ref="G2602:G2604"/>
    <mergeCell ref="H2602:H2604"/>
    <mergeCell ref="I2602:I2604"/>
    <mergeCell ref="J2602:J2604"/>
    <mergeCell ref="K2602:K2604"/>
    <mergeCell ref="L2602:L2604"/>
    <mergeCell ref="D2605:F2605"/>
    <mergeCell ref="G2605:L2605"/>
    <mergeCell ref="A2607:A2609"/>
    <mergeCell ref="B2607:C2616"/>
    <mergeCell ref="D2607:D2609"/>
    <mergeCell ref="E2607:E2609"/>
    <mergeCell ref="F2607:F2609"/>
    <mergeCell ref="G2607:G2609"/>
    <mergeCell ref="H2607:H2609"/>
    <mergeCell ref="I2607:I2609"/>
    <mergeCell ref="J2607:J2609"/>
    <mergeCell ref="K2607:K2609"/>
    <mergeCell ref="L2607:L2609"/>
    <mergeCell ref="D2610:D2612"/>
    <mergeCell ref="E2610:E2612"/>
    <mergeCell ref="F2610:F2612"/>
    <mergeCell ref="G2610:G2612"/>
    <mergeCell ref="H2610:H2612"/>
    <mergeCell ref="I2610:I2612"/>
    <mergeCell ref="J2610:J2612"/>
    <mergeCell ref="K2610:K2612"/>
    <mergeCell ref="L2610:L2612"/>
    <mergeCell ref="D2613:D2615"/>
    <mergeCell ref="E2613:E2615"/>
    <mergeCell ref="F2613:F2615"/>
    <mergeCell ref="G2613:G2615"/>
    <mergeCell ref="H2613:H2615"/>
    <mergeCell ref="I2613:I2615"/>
    <mergeCell ref="J2613:J2615"/>
    <mergeCell ref="K2613:K2615"/>
    <mergeCell ref="L2613:L2615"/>
    <mergeCell ref="D2616:F2616"/>
    <mergeCell ref="G2616:L2616"/>
    <mergeCell ref="A2596:A2598"/>
    <mergeCell ref="B2596:C2605"/>
    <mergeCell ref="D2618:D2620"/>
    <mergeCell ref="E2618:E2620"/>
    <mergeCell ref="F2618:F2620"/>
    <mergeCell ref="G2618:G2620"/>
    <mergeCell ref="H2618:H2620"/>
    <mergeCell ref="I2618:I2620"/>
    <mergeCell ref="J2618:J2620"/>
    <mergeCell ref="K2618:K2620"/>
    <mergeCell ref="L2618:L2620"/>
    <mergeCell ref="D2621:D2623"/>
    <mergeCell ref="E2621:E2623"/>
    <mergeCell ref="F2621:F2623"/>
    <mergeCell ref="G2621:G2623"/>
    <mergeCell ref="H2621:H2623"/>
    <mergeCell ref="I2621:I2623"/>
    <mergeCell ref="J2621:J2623"/>
    <mergeCell ref="K2621:K2623"/>
    <mergeCell ref="L2621:L2623"/>
    <mergeCell ref="D2624:D2626"/>
    <mergeCell ref="E2624:E2626"/>
    <mergeCell ref="F2624:F2626"/>
    <mergeCell ref="G2624:G2626"/>
    <mergeCell ref="H2624:H2626"/>
    <mergeCell ref="I2624:I2626"/>
    <mergeCell ref="J2624:J2626"/>
    <mergeCell ref="K2624:K2626"/>
    <mergeCell ref="L2624:L2626"/>
    <mergeCell ref="D2627:F2627"/>
    <mergeCell ref="G2627:L2627"/>
    <mergeCell ref="A2629:A2631"/>
    <mergeCell ref="B2629:C2638"/>
    <mergeCell ref="D2629:D2631"/>
    <mergeCell ref="E2629:E2631"/>
    <mergeCell ref="F2629:F2631"/>
    <mergeCell ref="G2629:G2631"/>
    <mergeCell ref="H2629:H2631"/>
    <mergeCell ref="I2629:I2631"/>
    <mergeCell ref="J2629:J2631"/>
    <mergeCell ref="K2629:K2631"/>
    <mergeCell ref="L2629:L2631"/>
    <mergeCell ref="D2632:D2634"/>
    <mergeCell ref="E2632:E2634"/>
    <mergeCell ref="F2632:F2634"/>
    <mergeCell ref="G2632:G2634"/>
    <mergeCell ref="H2632:H2634"/>
    <mergeCell ref="I2632:I2634"/>
    <mergeCell ref="J2632:J2634"/>
    <mergeCell ref="K2632:K2634"/>
    <mergeCell ref="L2632:L2634"/>
    <mergeCell ref="D2635:D2637"/>
    <mergeCell ref="E2635:E2637"/>
    <mergeCell ref="F2635:F2637"/>
    <mergeCell ref="G2635:G2637"/>
    <mergeCell ref="H2635:H2637"/>
    <mergeCell ref="I2635:I2637"/>
    <mergeCell ref="J2635:J2637"/>
    <mergeCell ref="K2635:K2637"/>
    <mergeCell ref="L2635:L2637"/>
    <mergeCell ref="D2638:F2638"/>
    <mergeCell ref="G2638:L2638"/>
    <mergeCell ref="A2618:A2620"/>
    <mergeCell ref="B2618:C2627"/>
    <mergeCell ref="D2640:D2642"/>
    <mergeCell ref="E2640:E2642"/>
    <mergeCell ref="F2640:F2642"/>
    <mergeCell ref="G2640:G2642"/>
    <mergeCell ref="H2640:H2642"/>
    <mergeCell ref="I2640:I2642"/>
    <mergeCell ref="J2640:J2642"/>
    <mergeCell ref="K2640:K2642"/>
    <mergeCell ref="L2640:L2642"/>
    <mergeCell ref="D2643:D2645"/>
    <mergeCell ref="E2643:E2645"/>
    <mergeCell ref="F2643:F2645"/>
    <mergeCell ref="G2643:G2645"/>
    <mergeCell ref="H2643:H2645"/>
    <mergeCell ref="I2643:I2645"/>
    <mergeCell ref="J2643:J2645"/>
    <mergeCell ref="K2643:K2645"/>
    <mergeCell ref="L2643:L2645"/>
    <mergeCell ref="D2646:D2648"/>
    <mergeCell ref="E2646:E2648"/>
    <mergeCell ref="F2646:F2648"/>
    <mergeCell ref="G2646:G2648"/>
    <mergeCell ref="H2646:H2648"/>
    <mergeCell ref="I2646:I2648"/>
    <mergeCell ref="J2646:J2648"/>
    <mergeCell ref="K2646:K2648"/>
    <mergeCell ref="L2646:L2648"/>
    <mergeCell ref="D2649:F2649"/>
    <mergeCell ref="G2649:L2649"/>
    <mergeCell ref="A2651:A2653"/>
    <mergeCell ref="B2651:C2660"/>
    <mergeCell ref="D2651:D2653"/>
    <mergeCell ref="E2651:E2653"/>
    <mergeCell ref="F2651:F2653"/>
    <mergeCell ref="G2651:G2653"/>
    <mergeCell ref="H2651:H2653"/>
    <mergeCell ref="I2651:I2653"/>
    <mergeCell ref="J2651:J2653"/>
    <mergeCell ref="K2651:K2653"/>
    <mergeCell ref="L2651:L2653"/>
    <mergeCell ref="D2654:D2656"/>
    <mergeCell ref="E2654:E2656"/>
    <mergeCell ref="F2654:F2656"/>
    <mergeCell ref="G2654:G2656"/>
    <mergeCell ref="H2654:H2656"/>
    <mergeCell ref="I2654:I2656"/>
    <mergeCell ref="J2654:J2656"/>
    <mergeCell ref="K2654:K2656"/>
    <mergeCell ref="L2654:L2656"/>
    <mergeCell ref="D2657:D2659"/>
    <mergeCell ref="E2657:E2659"/>
    <mergeCell ref="F2657:F2659"/>
    <mergeCell ref="G2657:G2659"/>
    <mergeCell ref="H2657:H2659"/>
    <mergeCell ref="I2657:I2659"/>
    <mergeCell ref="J2657:J2659"/>
    <mergeCell ref="K2657:K2659"/>
    <mergeCell ref="L2657:L2659"/>
    <mergeCell ref="D2660:F2660"/>
    <mergeCell ref="G2660:L2660"/>
    <mergeCell ref="A2640:A2642"/>
    <mergeCell ref="B2640:C2649"/>
    <mergeCell ref="D2662:D2664"/>
    <mergeCell ref="E2662:E2664"/>
    <mergeCell ref="F2662:F2664"/>
    <mergeCell ref="G2662:G2664"/>
    <mergeCell ref="H2662:H2664"/>
    <mergeCell ref="I2662:I2664"/>
    <mergeCell ref="J2662:J2664"/>
    <mergeCell ref="K2662:K2664"/>
    <mergeCell ref="L2662:L2664"/>
    <mergeCell ref="D2665:D2667"/>
    <mergeCell ref="E2665:E2667"/>
    <mergeCell ref="F2665:F2667"/>
    <mergeCell ref="G2665:G2667"/>
    <mergeCell ref="H2665:H2667"/>
    <mergeCell ref="I2665:I2667"/>
    <mergeCell ref="J2665:J2667"/>
    <mergeCell ref="K2665:K2667"/>
    <mergeCell ref="L2665:L2667"/>
    <mergeCell ref="D2668:D2670"/>
    <mergeCell ref="E2668:E2670"/>
    <mergeCell ref="F2668:F2670"/>
    <mergeCell ref="G2668:G2670"/>
    <mergeCell ref="H2668:H2670"/>
    <mergeCell ref="I2668:I2670"/>
    <mergeCell ref="J2668:J2670"/>
    <mergeCell ref="K2668:K2670"/>
    <mergeCell ref="L2668:L2670"/>
    <mergeCell ref="D2671:F2671"/>
    <mergeCell ref="G2671:L2671"/>
    <mergeCell ref="A2673:A2675"/>
    <mergeCell ref="B2673:C2682"/>
    <mergeCell ref="D2673:D2675"/>
    <mergeCell ref="E2673:E2675"/>
    <mergeCell ref="F2673:F2675"/>
    <mergeCell ref="G2673:G2675"/>
    <mergeCell ref="H2673:H2675"/>
    <mergeCell ref="I2673:I2675"/>
    <mergeCell ref="J2673:J2675"/>
    <mergeCell ref="K2673:K2675"/>
    <mergeCell ref="L2673:L2675"/>
    <mergeCell ref="D2676:D2678"/>
    <mergeCell ref="E2676:E2678"/>
    <mergeCell ref="F2676:F2678"/>
    <mergeCell ref="G2676:G2678"/>
    <mergeCell ref="H2676:H2678"/>
    <mergeCell ref="I2676:I2678"/>
    <mergeCell ref="J2676:J2678"/>
    <mergeCell ref="K2676:K2678"/>
    <mergeCell ref="L2676:L2678"/>
    <mergeCell ref="D2679:D2681"/>
    <mergeCell ref="E2679:E2681"/>
    <mergeCell ref="F2679:F2681"/>
    <mergeCell ref="G2679:G2681"/>
    <mergeCell ref="H2679:H2681"/>
    <mergeCell ref="I2679:I2681"/>
    <mergeCell ref="J2679:J2681"/>
    <mergeCell ref="K2679:K2681"/>
    <mergeCell ref="L2679:L2681"/>
    <mergeCell ref="D2682:F2682"/>
    <mergeCell ref="G2682:L2682"/>
    <mergeCell ref="A2662:A2664"/>
    <mergeCell ref="B2662:C2671"/>
    <mergeCell ref="B2684:C2693"/>
    <mergeCell ref="D2684:D2686"/>
    <mergeCell ref="E2684:E2686"/>
    <mergeCell ref="F2684:F2686"/>
    <mergeCell ref="G2684:G2686"/>
    <mergeCell ref="H2684:H2686"/>
    <mergeCell ref="I2684:I2686"/>
    <mergeCell ref="J2684:J2686"/>
    <mergeCell ref="K2684:K2686"/>
    <mergeCell ref="L2684:L2686"/>
    <mergeCell ref="D2687:D2689"/>
    <mergeCell ref="E2687:E2689"/>
    <mergeCell ref="F2687:F2689"/>
    <mergeCell ref="G2687:G2689"/>
    <mergeCell ref="H2687:H2689"/>
    <mergeCell ref="I2687:I2689"/>
    <mergeCell ref="J2687:J2689"/>
    <mergeCell ref="K2687:K2689"/>
    <mergeCell ref="L2687:L2689"/>
    <mergeCell ref="D2690:D2692"/>
    <mergeCell ref="E2690:E2692"/>
    <mergeCell ref="F2690:F2692"/>
    <mergeCell ref="G2690:G2692"/>
    <mergeCell ref="H2690:H2692"/>
    <mergeCell ref="I2690:I2692"/>
    <mergeCell ref="J2690:J2692"/>
    <mergeCell ref="K2690:K2692"/>
    <mergeCell ref="L2690:L2692"/>
    <mergeCell ref="D2693:F2693"/>
    <mergeCell ref="G2693:L2693"/>
    <mergeCell ref="A2695:A2697"/>
    <mergeCell ref="B2695:C2704"/>
    <mergeCell ref="D2695:D2697"/>
    <mergeCell ref="E2695:E2697"/>
    <mergeCell ref="F2695:F2697"/>
    <mergeCell ref="G2695:G2697"/>
    <mergeCell ref="H2695:H2697"/>
    <mergeCell ref="I2695:I2697"/>
    <mergeCell ref="J2695:J2697"/>
    <mergeCell ref="K2695:K2697"/>
    <mergeCell ref="L2695:L2697"/>
    <mergeCell ref="D2698:D2700"/>
    <mergeCell ref="E2698:E2700"/>
    <mergeCell ref="F2698:F2700"/>
    <mergeCell ref="G2698:G2700"/>
    <mergeCell ref="H2698:H2700"/>
    <mergeCell ref="I2698:I2700"/>
    <mergeCell ref="J2698:J2700"/>
    <mergeCell ref="K2698:K2700"/>
    <mergeCell ref="L2698:L2700"/>
    <mergeCell ref="D2701:D2703"/>
    <mergeCell ref="E2701:E2703"/>
    <mergeCell ref="F2701:F2703"/>
    <mergeCell ref="G2701:G2703"/>
    <mergeCell ref="H2701:H2703"/>
    <mergeCell ref="I2701:I2703"/>
    <mergeCell ref="J2701:J2703"/>
    <mergeCell ref="K2701:K2703"/>
    <mergeCell ref="L2701:L2703"/>
    <mergeCell ref="D2704:F2704"/>
    <mergeCell ref="G2704:L2704"/>
    <mergeCell ref="A2684:A2686"/>
    <mergeCell ref="D2706:D2708"/>
    <mergeCell ref="E2706:E2708"/>
    <mergeCell ref="F2706:F2708"/>
    <mergeCell ref="G2706:G2708"/>
    <mergeCell ref="H2706:H2708"/>
    <mergeCell ref="I2706:I2708"/>
    <mergeCell ref="J2706:J2708"/>
    <mergeCell ref="K2706:K2708"/>
    <mergeCell ref="L2706:L2708"/>
    <mergeCell ref="D2709:D2711"/>
    <mergeCell ref="E2709:E2711"/>
    <mergeCell ref="F2709:F2711"/>
    <mergeCell ref="G2709:G2711"/>
    <mergeCell ref="H2709:H2711"/>
    <mergeCell ref="I2709:I2711"/>
    <mergeCell ref="J2709:J2711"/>
    <mergeCell ref="K2709:K2711"/>
    <mergeCell ref="L2709:L2711"/>
    <mergeCell ref="D2712:D2714"/>
    <mergeCell ref="E2712:E2714"/>
    <mergeCell ref="F2712:F2714"/>
    <mergeCell ref="G2712:G2714"/>
    <mergeCell ref="H2712:H2714"/>
    <mergeCell ref="I2712:I2714"/>
    <mergeCell ref="J2712:J2714"/>
    <mergeCell ref="K2712:K2714"/>
    <mergeCell ref="L2712:L2714"/>
    <mergeCell ref="D2715:F2715"/>
    <mergeCell ref="G2715:L2715"/>
    <mergeCell ref="A2717:A2719"/>
    <mergeCell ref="B2717:C2726"/>
    <mergeCell ref="D2717:D2719"/>
    <mergeCell ref="E2717:E2719"/>
    <mergeCell ref="F2717:F2719"/>
    <mergeCell ref="G2717:G2719"/>
    <mergeCell ref="H2717:H2719"/>
    <mergeCell ref="I2717:I2719"/>
    <mergeCell ref="J2717:J2719"/>
    <mergeCell ref="K2717:K2719"/>
    <mergeCell ref="L2717:L2719"/>
    <mergeCell ref="D2720:D2722"/>
    <mergeCell ref="E2720:E2722"/>
    <mergeCell ref="F2720:F2722"/>
    <mergeCell ref="G2720:G2722"/>
    <mergeCell ref="H2720:H2722"/>
    <mergeCell ref="I2720:I2722"/>
    <mergeCell ref="J2720:J2722"/>
    <mergeCell ref="K2720:K2722"/>
    <mergeCell ref="L2720:L2722"/>
    <mergeCell ref="D2723:D2725"/>
    <mergeCell ref="E2723:E2725"/>
    <mergeCell ref="F2723:F2725"/>
    <mergeCell ref="G2723:G2725"/>
    <mergeCell ref="H2723:H2725"/>
    <mergeCell ref="I2723:I2725"/>
    <mergeCell ref="J2723:J2725"/>
    <mergeCell ref="K2723:K2725"/>
    <mergeCell ref="L2723:L2725"/>
    <mergeCell ref="D2726:F2726"/>
    <mergeCell ref="G2726:L2726"/>
    <mergeCell ref="A2706:A2708"/>
    <mergeCell ref="B2706:C2715"/>
    <mergeCell ref="D2728:D2730"/>
    <mergeCell ref="E2728:E2730"/>
    <mergeCell ref="F2728:F2730"/>
    <mergeCell ref="G2728:G2730"/>
    <mergeCell ref="H2728:H2730"/>
    <mergeCell ref="I2728:I2730"/>
    <mergeCell ref="J2728:J2730"/>
    <mergeCell ref="K2728:K2730"/>
    <mergeCell ref="L2728:L2730"/>
    <mergeCell ref="D2731:D2733"/>
    <mergeCell ref="E2731:E2733"/>
    <mergeCell ref="F2731:F2733"/>
    <mergeCell ref="G2731:G2733"/>
    <mergeCell ref="H2731:H2733"/>
    <mergeCell ref="I2731:I2733"/>
    <mergeCell ref="J2731:J2733"/>
    <mergeCell ref="K2731:K2733"/>
    <mergeCell ref="L2731:L2733"/>
    <mergeCell ref="D2734:D2736"/>
    <mergeCell ref="E2734:E2736"/>
    <mergeCell ref="F2734:F2736"/>
    <mergeCell ref="G2734:G2736"/>
    <mergeCell ref="H2734:H2736"/>
    <mergeCell ref="I2734:I2736"/>
    <mergeCell ref="J2734:J2736"/>
    <mergeCell ref="K2734:K2736"/>
    <mergeCell ref="L2734:L2736"/>
    <mergeCell ref="D2737:F2737"/>
    <mergeCell ref="G2737:L2737"/>
    <mergeCell ref="A2739:A2741"/>
    <mergeCell ref="B2739:C2748"/>
    <mergeCell ref="D2739:D2741"/>
    <mergeCell ref="E2739:E2741"/>
    <mergeCell ref="F2739:F2741"/>
    <mergeCell ref="G2739:G2741"/>
    <mergeCell ref="H2739:H2741"/>
    <mergeCell ref="I2739:I2741"/>
    <mergeCell ref="J2739:J2741"/>
    <mergeCell ref="K2739:K2741"/>
    <mergeCell ref="L2739:L2741"/>
    <mergeCell ref="D2742:D2744"/>
    <mergeCell ref="E2742:E2744"/>
    <mergeCell ref="F2742:F2744"/>
    <mergeCell ref="G2742:G2744"/>
    <mergeCell ref="H2742:H2744"/>
    <mergeCell ref="I2742:I2744"/>
    <mergeCell ref="J2742:J2744"/>
    <mergeCell ref="K2742:K2744"/>
    <mergeCell ref="L2742:L2744"/>
    <mergeCell ref="D2745:D2747"/>
    <mergeCell ref="E2745:E2747"/>
    <mergeCell ref="F2745:F2747"/>
    <mergeCell ref="G2745:G2747"/>
    <mergeCell ref="H2745:H2747"/>
    <mergeCell ref="I2745:I2747"/>
    <mergeCell ref="J2745:J2747"/>
    <mergeCell ref="K2745:K2747"/>
    <mergeCell ref="L2745:L2747"/>
    <mergeCell ref="D2748:F2748"/>
    <mergeCell ref="G2748:L2748"/>
    <mergeCell ref="A2728:A2730"/>
    <mergeCell ref="B2728:C2737"/>
    <mergeCell ref="D2750:D2752"/>
    <mergeCell ref="E2750:E2752"/>
    <mergeCell ref="F2750:F2752"/>
    <mergeCell ref="G2750:G2752"/>
    <mergeCell ref="H2750:H2752"/>
    <mergeCell ref="I2750:I2752"/>
    <mergeCell ref="J2750:J2752"/>
    <mergeCell ref="K2750:K2752"/>
    <mergeCell ref="L2750:L2752"/>
    <mergeCell ref="D2753:D2755"/>
    <mergeCell ref="E2753:E2755"/>
    <mergeCell ref="F2753:F2755"/>
    <mergeCell ref="G2753:G2755"/>
    <mergeCell ref="H2753:H2755"/>
    <mergeCell ref="I2753:I2755"/>
    <mergeCell ref="J2753:J2755"/>
    <mergeCell ref="K2753:K2755"/>
    <mergeCell ref="L2753:L2755"/>
    <mergeCell ref="D2756:D2758"/>
    <mergeCell ref="E2756:E2758"/>
    <mergeCell ref="F2756:F2758"/>
    <mergeCell ref="G2756:G2758"/>
    <mergeCell ref="H2756:H2758"/>
    <mergeCell ref="I2756:I2758"/>
    <mergeCell ref="J2756:J2758"/>
    <mergeCell ref="K2756:K2758"/>
    <mergeCell ref="L2756:L2758"/>
    <mergeCell ref="D2759:F2759"/>
    <mergeCell ref="G2759:L2759"/>
    <mergeCell ref="A2761:A2763"/>
    <mergeCell ref="B2761:C2770"/>
    <mergeCell ref="D2761:D2763"/>
    <mergeCell ref="E2761:E2763"/>
    <mergeCell ref="F2761:F2763"/>
    <mergeCell ref="G2761:G2763"/>
    <mergeCell ref="H2761:H2763"/>
    <mergeCell ref="I2761:I2763"/>
    <mergeCell ref="J2761:J2763"/>
    <mergeCell ref="K2761:K2763"/>
    <mergeCell ref="L2761:L2763"/>
    <mergeCell ref="D2764:D2766"/>
    <mergeCell ref="E2764:E2766"/>
    <mergeCell ref="F2764:F2766"/>
    <mergeCell ref="G2764:G2766"/>
    <mergeCell ref="H2764:H2766"/>
    <mergeCell ref="I2764:I2766"/>
    <mergeCell ref="J2764:J2766"/>
    <mergeCell ref="K2764:K2766"/>
    <mergeCell ref="L2764:L2766"/>
    <mergeCell ref="D2767:D2769"/>
    <mergeCell ref="E2767:E2769"/>
    <mergeCell ref="F2767:F2769"/>
    <mergeCell ref="G2767:G2769"/>
    <mergeCell ref="H2767:H2769"/>
    <mergeCell ref="I2767:I2769"/>
    <mergeCell ref="J2767:J2769"/>
    <mergeCell ref="K2767:K2769"/>
    <mergeCell ref="L2767:L2769"/>
    <mergeCell ref="D2770:F2770"/>
    <mergeCell ref="G2770:L2770"/>
    <mergeCell ref="A2750:A2752"/>
    <mergeCell ref="B2750:C2759"/>
    <mergeCell ref="D2772:D2774"/>
    <mergeCell ref="E2772:E2774"/>
    <mergeCell ref="F2772:F2774"/>
    <mergeCell ref="G2772:G2774"/>
    <mergeCell ref="H2772:H2774"/>
    <mergeCell ref="I2772:I2774"/>
    <mergeCell ref="J2772:J2774"/>
    <mergeCell ref="K2772:K2774"/>
    <mergeCell ref="L2772:L2774"/>
    <mergeCell ref="D2775:D2777"/>
    <mergeCell ref="E2775:E2777"/>
    <mergeCell ref="F2775:F2777"/>
    <mergeCell ref="G2775:G2777"/>
    <mergeCell ref="H2775:H2777"/>
    <mergeCell ref="I2775:I2777"/>
    <mergeCell ref="J2775:J2777"/>
    <mergeCell ref="K2775:K2777"/>
    <mergeCell ref="L2775:L2777"/>
    <mergeCell ref="D2778:D2780"/>
    <mergeCell ref="E2778:E2780"/>
    <mergeCell ref="F2778:F2780"/>
    <mergeCell ref="G2778:G2780"/>
    <mergeCell ref="H2778:H2780"/>
    <mergeCell ref="I2778:I2780"/>
    <mergeCell ref="J2778:J2780"/>
    <mergeCell ref="K2778:K2780"/>
    <mergeCell ref="L2778:L2780"/>
    <mergeCell ref="D2781:F2781"/>
    <mergeCell ref="G2781:L2781"/>
    <mergeCell ref="A2783:A2785"/>
    <mergeCell ref="B2783:C2792"/>
    <mergeCell ref="D2783:D2785"/>
    <mergeCell ref="E2783:E2785"/>
    <mergeCell ref="F2783:F2785"/>
    <mergeCell ref="G2783:G2785"/>
    <mergeCell ref="H2783:H2785"/>
    <mergeCell ref="I2783:I2785"/>
    <mergeCell ref="J2783:J2785"/>
    <mergeCell ref="K2783:K2785"/>
    <mergeCell ref="L2783:L2785"/>
    <mergeCell ref="D2792:F2792"/>
    <mergeCell ref="G2792:L2792"/>
    <mergeCell ref="A2772:A2774"/>
    <mergeCell ref="B2772:C2781"/>
    <mergeCell ref="D2786:D2788"/>
    <mergeCell ref="E2786:E2788"/>
    <mergeCell ref="F2786:F2788"/>
    <mergeCell ref="G2786:G2788"/>
    <mergeCell ref="H2786:H2788"/>
    <mergeCell ref="I2786:I2788"/>
    <mergeCell ref="J2786:J2788"/>
    <mergeCell ref="K2786:K2788"/>
    <mergeCell ref="L2786:L2788"/>
    <mergeCell ref="D2789:D2791"/>
    <mergeCell ref="E2789:E2791"/>
    <mergeCell ref="F2789:F2791"/>
    <mergeCell ref="G2789:G2791"/>
    <mergeCell ref="H2789:H2791"/>
    <mergeCell ref="I2789:I2791"/>
    <mergeCell ref="J2789:J2791"/>
    <mergeCell ref="K2789:K2791"/>
    <mergeCell ref="L2789:L2791"/>
    <mergeCell ref="B2794:C2803"/>
    <mergeCell ref="D2794:D2796"/>
    <mergeCell ref="E2794:E2796"/>
    <mergeCell ref="F2794:F2796"/>
    <mergeCell ref="G2794:G2796"/>
    <mergeCell ref="H2794:H2796"/>
    <mergeCell ref="I2794:I2796"/>
    <mergeCell ref="J2794:J2796"/>
    <mergeCell ref="K2794:K2796"/>
    <mergeCell ref="L2794:L2796"/>
    <mergeCell ref="D2803:F2803"/>
    <mergeCell ref="G2803:L2803"/>
    <mergeCell ref="A2805:A2807"/>
    <mergeCell ref="B2805:C2814"/>
    <mergeCell ref="D2805:D2807"/>
    <mergeCell ref="E2805:E2807"/>
    <mergeCell ref="F2805:F2807"/>
    <mergeCell ref="G2805:G2807"/>
    <mergeCell ref="H2805:H2807"/>
    <mergeCell ref="I2805:I2807"/>
    <mergeCell ref="J2805:J2807"/>
    <mergeCell ref="K2805:K2807"/>
    <mergeCell ref="L2805:L2807"/>
    <mergeCell ref="D2814:F2814"/>
    <mergeCell ref="G2814:L2814"/>
    <mergeCell ref="A2816:A2818"/>
    <mergeCell ref="B2816:C2825"/>
    <mergeCell ref="D2816:D2818"/>
    <mergeCell ref="E2816:E2818"/>
    <mergeCell ref="F2816:F2818"/>
    <mergeCell ref="G2816:G2818"/>
    <mergeCell ref="H2816:H2818"/>
    <mergeCell ref="I2816:I2818"/>
    <mergeCell ref="J2816:J2818"/>
    <mergeCell ref="K2816:K2818"/>
    <mergeCell ref="L2816:L2818"/>
    <mergeCell ref="D2825:F2825"/>
    <mergeCell ref="G2825:L2825"/>
    <mergeCell ref="D2797:D2799"/>
    <mergeCell ref="E2797:E2799"/>
    <mergeCell ref="F2797:F2799"/>
    <mergeCell ref="G2797:G2799"/>
    <mergeCell ref="H2797:H2799"/>
    <mergeCell ref="I2797:I2799"/>
    <mergeCell ref="J2797:J2799"/>
    <mergeCell ref="K2797:K2799"/>
    <mergeCell ref="L2797:L2799"/>
    <mergeCell ref="D2800:D2802"/>
    <mergeCell ref="E2800:E2802"/>
    <mergeCell ref="F2800:F2802"/>
    <mergeCell ref="G2800:G2802"/>
    <mergeCell ref="H2800:H2802"/>
    <mergeCell ref="I2800:I2802"/>
    <mergeCell ref="J2800:J2802"/>
    <mergeCell ref="K2800:K2802"/>
    <mergeCell ref="L2800:L2802"/>
    <mergeCell ref="A2794:A2796"/>
    <mergeCell ref="D2819:D2821"/>
    <mergeCell ref="E2819:E2821"/>
    <mergeCell ref="F2819:F2821"/>
    <mergeCell ref="G2819:G2821"/>
    <mergeCell ref="H2819:H2821"/>
    <mergeCell ref="I2819:I2821"/>
    <mergeCell ref="J2819:J2821"/>
    <mergeCell ref="J2827:J2829"/>
    <mergeCell ref="K2827:K2829"/>
    <mergeCell ref="L2827:L2829"/>
    <mergeCell ref="D2836:F2836"/>
    <mergeCell ref="G2836:L2836"/>
    <mergeCell ref="A2838:A2840"/>
    <mergeCell ref="B2838:C2847"/>
    <mergeCell ref="D2838:D2840"/>
    <mergeCell ref="E2838:E2840"/>
    <mergeCell ref="F2838:F2840"/>
    <mergeCell ref="G2838:G2840"/>
    <mergeCell ref="H2838:H2840"/>
    <mergeCell ref="I2838:I2840"/>
    <mergeCell ref="J2838:J2840"/>
    <mergeCell ref="K2838:K2840"/>
    <mergeCell ref="L2838:L2840"/>
    <mergeCell ref="D2847:F2847"/>
    <mergeCell ref="G2847:L2847"/>
    <mergeCell ref="A2849:A2851"/>
    <mergeCell ref="B2849:C2858"/>
    <mergeCell ref="D2849:D2851"/>
    <mergeCell ref="E2849:E2851"/>
    <mergeCell ref="F2849:F2851"/>
    <mergeCell ref="G2849:G2851"/>
    <mergeCell ref="H2849:H2851"/>
    <mergeCell ref="I2849:I2851"/>
    <mergeCell ref="J2849:J2851"/>
    <mergeCell ref="K2849:K2851"/>
    <mergeCell ref="L2849:L2851"/>
    <mergeCell ref="D2858:F2858"/>
    <mergeCell ref="G2858:L2858"/>
    <mergeCell ref="D2844:D2846"/>
    <mergeCell ref="E2844:E2846"/>
    <mergeCell ref="F2844:F2846"/>
    <mergeCell ref="G2844:G2846"/>
    <mergeCell ref="H2844:H2846"/>
    <mergeCell ref="I2844:I2846"/>
    <mergeCell ref="J2844:J2846"/>
    <mergeCell ref="K2844:K2846"/>
    <mergeCell ref="L2844:L2846"/>
    <mergeCell ref="D2852:D2854"/>
    <mergeCell ref="E2852:E2854"/>
    <mergeCell ref="F2852:F2854"/>
    <mergeCell ref="G2852:G2854"/>
    <mergeCell ref="H2852:H2854"/>
    <mergeCell ref="I2852:I2854"/>
    <mergeCell ref="J2852:J2854"/>
    <mergeCell ref="K2852:K2854"/>
    <mergeCell ref="L2852:L2854"/>
    <mergeCell ref="D2855:D2857"/>
    <mergeCell ref="E2855:E2857"/>
    <mergeCell ref="F2855:F2857"/>
    <mergeCell ref="G2855:G2857"/>
    <mergeCell ref="H2855:H2857"/>
    <mergeCell ref="I2855:I2857"/>
    <mergeCell ref="J2855:J2857"/>
    <mergeCell ref="K2855:K2857"/>
    <mergeCell ref="L2855:L2857"/>
    <mergeCell ref="D2860:D2862"/>
    <mergeCell ref="E2860:E2862"/>
    <mergeCell ref="F2860:F2862"/>
    <mergeCell ref="G2860:G2862"/>
    <mergeCell ref="H2860:H2862"/>
    <mergeCell ref="I2860:I2862"/>
    <mergeCell ref="J2860:J2862"/>
    <mergeCell ref="K2860:K2862"/>
    <mergeCell ref="L2860:L2862"/>
    <mergeCell ref="D2869:F2869"/>
    <mergeCell ref="G2869:L2869"/>
    <mergeCell ref="A2871:A2873"/>
    <mergeCell ref="B2871:C2880"/>
    <mergeCell ref="D2871:D2873"/>
    <mergeCell ref="E2871:E2873"/>
    <mergeCell ref="F2871:F2873"/>
    <mergeCell ref="G2871:G2873"/>
    <mergeCell ref="H2871:H2873"/>
    <mergeCell ref="I2871:I2873"/>
    <mergeCell ref="J2871:J2873"/>
    <mergeCell ref="K2871:K2873"/>
    <mergeCell ref="L2871:L2873"/>
    <mergeCell ref="D2880:F2880"/>
    <mergeCell ref="G2880:L2880"/>
    <mergeCell ref="A2882:A2884"/>
    <mergeCell ref="B2882:C2891"/>
    <mergeCell ref="D2882:D2884"/>
    <mergeCell ref="E2882:E2884"/>
    <mergeCell ref="F2882:F2884"/>
    <mergeCell ref="G2882:G2884"/>
    <mergeCell ref="H2882:H2884"/>
    <mergeCell ref="I2882:I2884"/>
    <mergeCell ref="J2882:J2884"/>
    <mergeCell ref="K2882:K2884"/>
    <mergeCell ref="L2882:L2884"/>
    <mergeCell ref="D2891:F2891"/>
    <mergeCell ref="G2891:L2891"/>
    <mergeCell ref="D2863:D2865"/>
    <mergeCell ref="E2863:E2865"/>
    <mergeCell ref="F2863:F2865"/>
    <mergeCell ref="G2863:G2865"/>
    <mergeCell ref="H2863:H2865"/>
    <mergeCell ref="I2863:I2865"/>
    <mergeCell ref="J2863:J2865"/>
    <mergeCell ref="K2863:K2865"/>
    <mergeCell ref="L2863:L2865"/>
    <mergeCell ref="D2866:D2868"/>
    <mergeCell ref="E2866:E2868"/>
    <mergeCell ref="F2866:F2868"/>
    <mergeCell ref="G2866:G2868"/>
    <mergeCell ref="H2866:H2868"/>
    <mergeCell ref="I2866:I2868"/>
    <mergeCell ref="J2866:J2868"/>
    <mergeCell ref="K2866:K2868"/>
    <mergeCell ref="L2866:L2868"/>
    <mergeCell ref="A2860:A2862"/>
    <mergeCell ref="B2860:C2869"/>
    <mergeCell ref="D2885:D2887"/>
    <mergeCell ref="E2885:E2887"/>
    <mergeCell ref="F2885:F2887"/>
    <mergeCell ref="G2885:G2887"/>
    <mergeCell ref="H2885:H2887"/>
    <mergeCell ref="I2885:I2887"/>
    <mergeCell ref="J2885:J2887"/>
    <mergeCell ref="B2904:C2913"/>
    <mergeCell ref="D2904:D2906"/>
    <mergeCell ref="E2904:E2906"/>
    <mergeCell ref="F2904:F2906"/>
    <mergeCell ref="G2904:G2906"/>
    <mergeCell ref="H2904:H2906"/>
    <mergeCell ref="I2904:I2906"/>
    <mergeCell ref="J2904:J2906"/>
    <mergeCell ref="K2904:K2906"/>
    <mergeCell ref="L2904:L2906"/>
    <mergeCell ref="D2907:D2909"/>
    <mergeCell ref="E2907:E2909"/>
    <mergeCell ref="F2907:F2909"/>
    <mergeCell ref="G2907:G2909"/>
    <mergeCell ref="H2907:H2909"/>
    <mergeCell ref="I2907:I2909"/>
    <mergeCell ref="J2907:J2909"/>
    <mergeCell ref="K2907:K2909"/>
    <mergeCell ref="L2907:L2909"/>
    <mergeCell ref="D2910:D2912"/>
    <mergeCell ref="E2910:E2912"/>
    <mergeCell ref="F2910:F2912"/>
    <mergeCell ref="G2910:G2912"/>
    <mergeCell ref="H2910:H2912"/>
    <mergeCell ref="I2910:I2912"/>
    <mergeCell ref="J2910:J2912"/>
    <mergeCell ref="K2910:K2912"/>
    <mergeCell ref="L2910:L2912"/>
    <mergeCell ref="D2913:F2913"/>
    <mergeCell ref="G2913:L2913"/>
    <mergeCell ref="E2915:E2917"/>
    <mergeCell ref="F2915:F2917"/>
    <mergeCell ref="G2915:G2917"/>
    <mergeCell ref="H2915:H2917"/>
    <mergeCell ref="I2915:I2917"/>
    <mergeCell ref="J2915:J2917"/>
    <mergeCell ref="K2915:K2917"/>
    <mergeCell ref="L2915:L2917"/>
    <mergeCell ref="D2918:D2920"/>
    <mergeCell ref="E2918:E2920"/>
    <mergeCell ref="F2918:F2920"/>
    <mergeCell ref="G2918:G2920"/>
    <mergeCell ref="H2918:H2920"/>
    <mergeCell ref="I2918:I2920"/>
    <mergeCell ref="J2918:J2920"/>
    <mergeCell ref="K2918:K2920"/>
    <mergeCell ref="L2918:L2920"/>
    <mergeCell ref="D2921:D2923"/>
    <mergeCell ref="E2921:E2923"/>
    <mergeCell ref="F2921:F2923"/>
    <mergeCell ref="G2921:G2923"/>
    <mergeCell ref="H2921:H2923"/>
    <mergeCell ref="I2921:I2923"/>
    <mergeCell ref="J2921:J2923"/>
    <mergeCell ref="K2921:K2923"/>
    <mergeCell ref="L2921:L2923"/>
    <mergeCell ref="D2924:F2924"/>
    <mergeCell ref="G2924:L2924"/>
    <mergeCell ref="A2926:A2928"/>
    <mergeCell ref="B2926:C2935"/>
    <mergeCell ref="D2926:D2928"/>
    <mergeCell ref="E2926:E2928"/>
    <mergeCell ref="F2926:F2928"/>
    <mergeCell ref="G2926:G2928"/>
    <mergeCell ref="H2926:H2928"/>
    <mergeCell ref="I2926:I2928"/>
    <mergeCell ref="J2926:J2928"/>
    <mergeCell ref="K2926:K2928"/>
    <mergeCell ref="L2926:L2928"/>
    <mergeCell ref="D2929:D2931"/>
    <mergeCell ref="E2929:E2931"/>
    <mergeCell ref="F2929:F2931"/>
    <mergeCell ref="G2929:G2931"/>
    <mergeCell ref="H2929:H2931"/>
    <mergeCell ref="I2929:I2931"/>
    <mergeCell ref="J2929:J2931"/>
    <mergeCell ref="K2929:K2931"/>
    <mergeCell ref="L2929:L2931"/>
    <mergeCell ref="D2932:D2934"/>
    <mergeCell ref="E2932:E2934"/>
    <mergeCell ref="F2932:F2934"/>
    <mergeCell ref="G2932:G2934"/>
    <mergeCell ref="H2932:H2934"/>
    <mergeCell ref="I2932:I2934"/>
    <mergeCell ref="J2932:J2934"/>
    <mergeCell ref="K2932:K2934"/>
    <mergeCell ref="L2932:L2934"/>
    <mergeCell ref="D2935:F2935"/>
    <mergeCell ref="G2935:L2935"/>
    <mergeCell ref="A2937:A2939"/>
    <mergeCell ref="B2937:C2946"/>
    <mergeCell ref="D2937:D2939"/>
    <mergeCell ref="E2937:E2939"/>
    <mergeCell ref="F2937:F2939"/>
    <mergeCell ref="G2937:G2939"/>
    <mergeCell ref="H2937:H2939"/>
    <mergeCell ref="I2937:I2939"/>
    <mergeCell ref="J2937:J2939"/>
    <mergeCell ref="K2937:K2939"/>
    <mergeCell ref="L2937:L2939"/>
    <mergeCell ref="D2940:D2942"/>
    <mergeCell ref="E2940:E2942"/>
    <mergeCell ref="F2940:F2942"/>
    <mergeCell ref="G2940:G2942"/>
    <mergeCell ref="H2940:H2942"/>
    <mergeCell ref="I2940:I2942"/>
    <mergeCell ref="J2940:J2942"/>
    <mergeCell ref="K2940:K2942"/>
    <mergeCell ref="L2940:L2942"/>
    <mergeCell ref="D2943:D2945"/>
    <mergeCell ref="E2943:E2945"/>
    <mergeCell ref="F2943:F2945"/>
    <mergeCell ref="G2943:G2945"/>
    <mergeCell ref="H2943:H2945"/>
    <mergeCell ref="I2943:I2945"/>
    <mergeCell ref="J2943:J2945"/>
    <mergeCell ref="K2943:K2945"/>
    <mergeCell ref="L2943:L2945"/>
    <mergeCell ref="D2946:F2946"/>
    <mergeCell ref="G2946:L2946"/>
    <mergeCell ref="A2948:A2950"/>
    <mergeCell ref="B2948:C2957"/>
    <mergeCell ref="D2948:D2950"/>
    <mergeCell ref="E2948:E2950"/>
    <mergeCell ref="F2948:F2950"/>
    <mergeCell ref="G2948:G2950"/>
    <mergeCell ref="H2948:H2950"/>
    <mergeCell ref="I2948:I2950"/>
    <mergeCell ref="J2948:J2950"/>
    <mergeCell ref="K2948:K2950"/>
    <mergeCell ref="L2948:L2950"/>
    <mergeCell ref="D2951:D2953"/>
    <mergeCell ref="E2951:E2953"/>
    <mergeCell ref="F2951:F2953"/>
    <mergeCell ref="G2951:G2953"/>
    <mergeCell ref="H2951:H2953"/>
    <mergeCell ref="I2951:I2953"/>
    <mergeCell ref="J2951:J2953"/>
    <mergeCell ref="K2951:K2953"/>
    <mergeCell ref="L2951:L2953"/>
    <mergeCell ref="D2954:D2956"/>
    <mergeCell ref="E2954:E2956"/>
    <mergeCell ref="F2954:F2956"/>
    <mergeCell ref="G2954:G2956"/>
    <mergeCell ref="H2954:H2956"/>
    <mergeCell ref="I2954:I2956"/>
    <mergeCell ref="J2954:J2956"/>
    <mergeCell ref="K2954:K2956"/>
    <mergeCell ref="L2954:L2956"/>
    <mergeCell ref="D2957:F2957"/>
    <mergeCell ref="G2957:L2957"/>
    <mergeCell ref="D2959:D2961"/>
    <mergeCell ref="E2959:E2961"/>
    <mergeCell ref="F2959:F2961"/>
    <mergeCell ref="G2959:G2961"/>
    <mergeCell ref="H2959:H2961"/>
    <mergeCell ref="I2959:I2961"/>
    <mergeCell ref="J2959:J2961"/>
    <mergeCell ref="K2959:K2961"/>
    <mergeCell ref="L2959:L2961"/>
    <mergeCell ref="D2962:D2964"/>
    <mergeCell ref="E2962:E2964"/>
    <mergeCell ref="F2962:F2964"/>
    <mergeCell ref="G2962:G2964"/>
    <mergeCell ref="H2962:H2964"/>
    <mergeCell ref="I2962:I2964"/>
    <mergeCell ref="J2962:J2964"/>
    <mergeCell ref="K2962:K2964"/>
    <mergeCell ref="L2962:L2964"/>
    <mergeCell ref="D2965:D2967"/>
    <mergeCell ref="E2965:E2967"/>
    <mergeCell ref="F2965:F2967"/>
    <mergeCell ref="G2965:G2967"/>
    <mergeCell ref="H2965:H2967"/>
    <mergeCell ref="I2965:I2967"/>
    <mergeCell ref="J2965:J2967"/>
    <mergeCell ref="K2965:K2967"/>
    <mergeCell ref="L2965:L2967"/>
    <mergeCell ref="D2968:F2968"/>
    <mergeCell ref="G2968:L2968"/>
    <mergeCell ref="A2970:A2972"/>
    <mergeCell ref="B2970:C2979"/>
    <mergeCell ref="D2970:D2972"/>
    <mergeCell ref="E2970:E2972"/>
    <mergeCell ref="F2970:F2972"/>
    <mergeCell ref="G2970:G2972"/>
    <mergeCell ref="H2970:H2972"/>
    <mergeCell ref="I2970:I2972"/>
    <mergeCell ref="J2970:J2972"/>
    <mergeCell ref="K2970:K2972"/>
    <mergeCell ref="L2970:L2972"/>
    <mergeCell ref="D2973:D2975"/>
    <mergeCell ref="E2973:E2975"/>
    <mergeCell ref="F2973:F2975"/>
    <mergeCell ref="G2973:G2975"/>
    <mergeCell ref="H2973:H2975"/>
    <mergeCell ref="I2973:I2975"/>
    <mergeCell ref="J2973:J2975"/>
    <mergeCell ref="K2973:K2975"/>
    <mergeCell ref="L2973:L2975"/>
    <mergeCell ref="D2976:D2978"/>
    <mergeCell ref="E2976:E2978"/>
    <mergeCell ref="F2976:F2978"/>
    <mergeCell ref="G2976:G2978"/>
    <mergeCell ref="H2976:H2978"/>
    <mergeCell ref="I2976:I2978"/>
    <mergeCell ref="J2976:J2978"/>
    <mergeCell ref="K2976:K2978"/>
    <mergeCell ref="L2976:L2978"/>
    <mergeCell ref="D2979:F2979"/>
    <mergeCell ref="G2979:L2979"/>
    <mergeCell ref="A2959:A2961"/>
    <mergeCell ref="B2959:C2968"/>
    <mergeCell ref="D2981:D2983"/>
    <mergeCell ref="E2981:E2983"/>
    <mergeCell ref="F2981:F2983"/>
    <mergeCell ref="G2981:G2983"/>
    <mergeCell ref="H2981:H2983"/>
    <mergeCell ref="I2981:I2983"/>
    <mergeCell ref="J2981:J2983"/>
    <mergeCell ref="K2981:K2983"/>
    <mergeCell ref="L2981:L2983"/>
    <mergeCell ref="D2984:D2986"/>
    <mergeCell ref="E2984:E2986"/>
    <mergeCell ref="F2984:F2986"/>
    <mergeCell ref="G2984:G2986"/>
    <mergeCell ref="H2984:H2986"/>
    <mergeCell ref="I2984:I2986"/>
    <mergeCell ref="J2984:J2986"/>
    <mergeCell ref="K2984:K2986"/>
    <mergeCell ref="L2984:L2986"/>
    <mergeCell ref="D2987:D2989"/>
    <mergeCell ref="E2987:E2989"/>
    <mergeCell ref="F2987:F2989"/>
    <mergeCell ref="G2987:G2989"/>
    <mergeCell ref="H2987:H2989"/>
    <mergeCell ref="I2987:I2989"/>
    <mergeCell ref="J2987:J2989"/>
    <mergeCell ref="K2987:K2989"/>
    <mergeCell ref="L2987:L2989"/>
    <mergeCell ref="D2990:F2990"/>
    <mergeCell ref="G2990:L2990"/>
    <mergeCell ref="A2992:A2994"/>
    <mergeCell ref="B2992:C3001"/>
    <mergeCell ref="D2992:D2994"/>
    <mergeCell ref="E2992:E2994"/>
    <mergeCell ref="F2992:F2994"/>
    <mergeCell ref="G2992:G2994"/>
    <mergeCell ref="H2992:H2994"/>
    <mergeCell ref="I2992:I2994"/>
    <mergeCell ref="J2992:J2994"/>
    <mergeCell ref="K2992:K2994"/>
    <mergeCell ref="L2992:L2994"/>
    <mergeCell ref="D2995:D2997"/>
    <mergeCell ref="E2995:E2997"/>
    <mergeCell ref="F2995:F2997"/>
    <mergeCell ref="G2995:G2997"/>
    <mergeCell ref="H2995:H2997"/>
    <mergeCell ref="I2995:I2997"/>
    <mergeCell ref="J2995:J2997"/>
    <mergeCell ref="K2995:K2997"/>
    <mergeCell ref="L2995:L2997"/>
    <mergeCell ref="D2998:D3000"/>
    <mergeCell ref="E2998:E3000"/>
    <mergeCell ref="F2998:F3000"/>
    <mergeCell ref="G2998:G3000"/>
    <mergeCell ref="H2998:H3000"/>
    <mergeCell ref="I2998:I3000"/>
    <mergeCell ref="J2998:J3000"/>
    <mergeCell ref="K2998:K3000"/>
    <mergeCell ref="L2998:L3000"/>
    <mergeCell ref="D3001:F3001"/>
    <mergeCell ref="G3001:L3001"/>
    <mergeCell ref="A2981:A2983"/>
    <mergeCell ref="B2981:C2990"/>
    <mergeCell ref="D3003:D3005"/>
    <mergeCell ref="E3003:E3005"/>
    <mergeCell ref="F3003:F3005"/>
    <mergeCell ref="G3003:G3005"/>
    <mergeCell ref="H3003:H3005"/>
    <mergeCell ref="I3003:I3005"/>
    <mergeCell ref="J3003:J3005"/>
    <mergeCell ref="K3003:K3005"/>
    <mergeCell ref="L3003:L3005"/>
    <mergeCell ref="D3006:D3008"/>
    <mergeCell ref="E3006:E3008"/>
    <mergeCell ref="F3006:F3008"/>
    <mergeCell ref="G3006:G3008"/>
    <mergeCell ref="H3006:H3008"/>
    <mergeCell ref="I3006:I3008"/>
    <mergeCell ref="J3006:J3008"/>
    <mergeCell ref="K3006:K3008"/>
    <mergeCell ref="L3006:L3008"/>
    <mergeCell ref="D3009:D3011"/>
    <mergeCell ref="E3009:E3011"/>
    <mergeCell ref="F3009:F3011"/>
    <mergeCell ref="G3009:G3011"/>
    <mergeCell ref="H3009:H3011"/>
    <mergeCell ref="I3009:I3011"/>
    <mergeCell ref="J3009:J3011"/>
    <mergeCell ref="K3009:K3011"/>
    <mergeCell ref="L3009:L3011"/>
    <mergeCell ref="D3012:F3012"/>
    <mergeCell ref="G3012:L3012"/>
    <mergeCell ref="A3014:A3016"/>
    <mergeCell ref="B3014:C3023"/>
    <mergeCell ref="D3017:D3019"/>
    <mergeCell ref="E3017:E3019"/>
    <mergeCell ref="F3017:F3019"/>
    <mergeCell ref="G3017:G3019"/>
    <mergeCell ref="H3017:H3019"/>
    <mergeCell ref="I3017:I3019"/>
    <mergeCell ref="J3017:J3019"/>
    <mergeCell ref="K3017:K3019"/>
    <mergeCell ref="L3017:L3019"/>
    <mergeCell ref="D3020:D3022"/>
    <mergeCell ref="E3020:E3022"/>
    <mergeCell ref="F3020:F3022"/>
    <mergeCell ref="G3020:G3022"/>
    <mergeCell ref="H3020:H3022"/>
    <mergeCell ref="I3020:I3022"/>
    <mergeCell ref="J3020:J3022"/>
    <mergeCell ref="K3020:K3022"/>
    <mergeCell ref="L3020:L3022"/>
    <mergeCell ref="D3023:F3023"/>
    <mergeCell ref="G3023:L3023"/>
    <mergeCell ref="A3003:A3005"/>
    <mergeCell ref="B3003:C3012"/>
    <mergeCell ref="H3039:H3041"/>
    <mergeCell ref="I3039:I3041"/>
    <mergeCell ref="J3039:J3041"/>
    <mergeCell ref="K3039:K3041"/>
    <mergeCell ref="L3039:L3041"/>
    <mergeCell ref="D3042:D3044"/>
    <mergeCell ref="E3042:E3044"/>
    <mergeCell ref="F3042:F3044"/>
    <mergeCell ref="G3042:G3044"/>
    <mergeCell ref="H3042:H3044"/>
    <mergeCell ref="I3042:I3044"/>
    <mergeCell ref="J3042:J3044"/>
    <mergeCell ref="K3042:K3044"/>
    <mergeCell ref="L3042:L3044"/>
    <mergeCell ref="D3045:F3045"/>
    <mergeCell ref="G3045:L3045"/>
    <mergeCell ref="A3047:A3049"/>
    <mergeCell ref="B3047:C3056"/>
    <mergeCell ref="D3050:D3052"/>
    <mergeCell ref="E3050:E3052"/>
    <mergeCell ref="F3050:F3052"/>
    <mergeCell ref="G3050:G3052"/>
    <mergeCell ref="H3050:H3052"/>
    <mergeCell ref="I3050:I3052"/>
    <mergeCell ref="J3050:J3052"/>
    <mergeCell ref="K3050:K3052"/>
    <mergeCell ref="L3050:L3052"/>
    <mergeCell ref="D3053:D3055"/>
    <mergeCell ref="E3053:E3055"/>
    <mergeCell ref="F3053:F3055"/>
    <mergeCell ref="G3053:G3055"/>
    <mergeCell ref="H3053:H3055"/>
    <mergeCell ref="I3053:I3055"/>
    <mergeCell ref="J3053:J3055"/>
    <mergeCell ref="K3053:K3055"/>
    <mergeCell ref="L3053:L3055"/>
    <mergeCell ref="D3056:F3056"/>
    <mergeCell ref="G3056:L3056"/>
    <mergeCell ref="H3072:H3074"/>
    <mergeCell ref="I3072:I3074"/>
    <mergeCell ref="J3072:J3074"/>
    <mergeCell ref="K3072:K3074"/>
    <mergeCell ref="L3072:L3074"/>
    <mergeCell ref="D3075:D3077"/>
    <mergeCell ref="E3075:E3077"/>
    <mergeCell ref="F3075:F3077"/>
    <mergeCell ref="G3075:G3077"/>
    <mergeCell ref="H3075:H3077"/>
    <mergeCell ref="I3075:I3077"/>
    <mergeCell ref="J3075:J3077"/>
    <mergeCell ref="K3075:K3077"/>
    <mergeCell ref="L3075:L3077"/>
    <mergeCell ref="D3078:F3078"/>
    <mergeCell ref="G3078:L3078"/>
    <mergeCell ref="A3080:A3082"/>
    <mergeCell ref="B3080:C3089"/>
    <mergeCell ref="D3083:D3085"/>
    <mergeCell ref="E3083:E3085"/>
    <mergeCell ref="F3083:F3085"/>
    <mergeCell ref="G3083:G3085"/>
    <mergeCell ref="H3083:H3085"/>
    <mergeCell ref="I3083:I3085"/>
    <mergeCell ref="J3083:J3085"/>
    <mergeCell ref="K3083:K3085"/>
    <mergeCell ref="L3083:L3085"/>
    <mergeCell ref="D3086:D3088"/>
    <mergeCell ref="E3086:E3088"/>
    <mergeCell ref="F3086:F3088"/>
    <mergeCell ref="G3086:G3088"/>
    <mergeCell ref="H3086:H3088"/>
    <mergeCell ref="I3086:I3088"/>
    <mergeCell ref="J3086:J3088"/>
    <mergeCell ref="K3086:K3088"/>
    <mergeCell ref="L3086:L3088"/>
    <mergeCell ref="D3089:F3089"/>
    <mergeCell ref="G3089:L3089"/>
    <mergeCell ref="A3091:A3093"/>
    <mergeCell ref="B3091:C3100"/>
    <mergeCell ref="D3094:D3096"/>
    <mergeCell ref="E3094:E3096"/>
    <mergeCell ref="F3094:F3096"/>
    <mergeCell ref="G3094:G3096"/>
    <mergeCell ref="H3094:H3096"/>
    <mergeCell ref="I3094:I3096"/>
    <mergeCell ref="J3094:J3096"/>
    <mergeCell ref="K3094:K3096"/>
    <mergeCell ref="L3094:L3096"/>
    <mergeCell ref="D3097:D3099"/>
    <mergeCell ref="E3097:E3099"/>
    <mergeCell ref="F3097:F3099"/>
    <mergeCell ref="G3097:G3099"/>
    <mergeCell ref="H3097:H3099"/>
    <mergeCell ref="I3097:I3099"/>
    <mergeCell ref="J3097:J3099"/>
    <mergeCell ref="K3097:K3099"/>
    <mergeCell ref="L3097:L3099"/>
    <mergeCell ref="D3100:F3100"/>
    <mergeCell ref="G3100:L3100"/>
    <mergeCell ref="A3102:A3104"/>
    <mergeCell ref="B3102:C3111"/>
    <mergeCell ref="D3105:D3107"/>
    <mergeCell ref="E3105:E3107"/>
    <mergeCell ref="F3105:F3107"/>
    <mergeCell ref="G3105:G3107"/>
    <mergeCell ref="H3105:H3107"/>
    <mergeCell ref="I3105:I3107"/>
    <mergeCell ref="J3105:J3107"/>
    <mergeCell ref="K3105:K3107"/>
    <mergeCell ref="L3105:L3107"/>
    <mergeCell ref="D3108:D3110"/>
    <mergeCell ref="E3108:E3110"/>
    <mergeCell ref="F3108:F3110"/>
    <mergeCell ref="G3108:G3110"/>
    <mergeCell ref="H3108:H3110"/>
    <mergeCell ref="I3108:I3110"/>
    <mergeCell ref="J3108:J3110"/>
    <mergeCell ref="K3108:K3110"/>
    <mergeCell ref="L3108:L3110"/>
    <mergeCell ref="D3111:F3111"/>
    <mergeCell ref="G3111:L3111"/>
    <mergeCell ref="H3127:H3129"/>
    <mergeCell ref="I3127:I3129"/>
    <mergeCell ref="J3127:J3129"/>
    <mergeCell ref="K3127:K3129"/>
    <mergeCell ref="L3127:L3129"/>
    <mergeCell ref="D3133:F3133"/>
    <mergeCell ref="G3133:L3133"/>
    <mergeCell ref="A3135:A3137"/>
    <mergeCell ref="B3135:C3144"/>
    <mergeCell ref="D3135:D3137"/>
    <mergeCell ref="E3135:E3137"/>
    <mergeCell ref="F3135:F3137"/>
    <mergeCell ref="G3135:G3137"/>
    <mergeCell ref="H3135:H3137"/>
    <mergeCell ref="I3135:I3137"/>
    <mergeCell ref="J3135:J3137"/>
    <mergeCell ref="K3135:K3137"/>
    <mergeCell ref="L3135:L3137"/>
    <mergeCell ref="D3138:D3140"/>
    <mergeCell ref="E3138:E3140"/>
    <mergeCell ref="F3138:F3140"/>
    <mergeCell ref="G3138:G3140"/>
    <mergeCell ref="H3138:H3140"/>
    <mergeCell ref="I3138:I3140"/>
    <mergeCell ref="J3138:J3140"/>
    <mergeCell ref="K3138:K3140"/>
    <mergeCell ref="L3138:L3140"/>
    <mergeCell ref="D3144:F3144"/>
    <mergeCell ref="G3144:L3144"/>
    <mergeCell ref="D3141:D3143"/>
    <mergeCell ref="E3141:E3143"/>
    <mergeCell ref="F3141:F3143"/>
    <mergeCell ref="G3141:G3143"/>
    <mergeCell ref="H3141:H3143"/>
    <mergeCell ref="I3141:I3143"/>
    <mergeCell ref="J3141:J3143"/>
    <mergeCell ref="K3141:K3143"/>
    <mergeCell ref="L3141:L3143"/>
    <mergeCell ref="D3146:D3148"/>
    <mergeCell ref="E3146:E3148"/>
    <mergeCell ref="F3146:F3148"/>
    <mergeCell ref="G3146:G3148"/>
    <mergeCell ref="H3146:H3148"/>
    <mergeCell ref="I3146:I3148"/>
    <mergeCell ref="J3146:J3148"/>
    <mergeCell ref="K3146:K3148"/>
    <mergeCell ref="L3146:L3148"/>
    <mergeCell ref="D3149:D3151"/>
    <mergeCell ref="E3149:E3151"/>
    <mergeCell ref="F3149:F3151"/>
    <mergeCell ref="G3149:G3151"/>
    <mergeCell ref="H3149:H3151"/>
    <mergeCell ref="I3149:I3151"/>
    <mergeCell ref="J3149:J3151"/>
    <mergeCell ref="K3149:K3151"/>
    <mergeCell ref="L3149:L3151"/>
    <mergeCell ref="D3155:F3155"/>
    <mergeCell ref="G3155:L3155"/>
    <mergeCell ref="A3157:A3159"/>
    <mergeCell ref="B3157:C3166"/>
    <mergeCell ref="D3157:D3159"/>
    <mergeCell ref="E3157:E3159"/>
    <mergeCell ref="F3157:F3159"/>
    <mergeCell ref="G3157:G3159"/>
    <mergeCell ref="H3157:H3159"/>
    <mergeCell ref="I3157:I3159"/>
    <mergeCell ref="J3157:J3159"/>
    <mergeCell ref="K3157:K3159"/>
    <mergeCell ref="L3157:L3159"/>
    <mergeCell ref="D3160:D3162"/>
    <mergeCell ref="E3160:E3162"/>
    <mergeCell ref="F3160:F3162"/>
    <mergeCell ref="G3160:G3162"/>
    <mergeCell ref="H3160:H3162"/>
    <mergeCell ref="I3160:I3162"/>
    <mergeCell ref="J3160:J3162"/>
    <mergeCell ref="K3160:K3162"/>
    <mergeCell ref="L3160:L3162"/>
    <mergeCell ref="D3166:F3166"/>
    <mergeCell ref="G3166:L3166"/>
    <mergeCell ref="D3152:D3154"/>
    <mergeCell ref="E3152:E3154"/>
    <mergeCell ref="F3152:F3154"/>
    <mergeCell ref="G3152:G3154"/>
    <mergeCell ref="H3152:H3154"/>
    <mergeCell ref="I3152:I3154"/>
    <mergeCell ref="J3152:J3154"/>
    <mergeCell ref="K3152:K3154"/>
    <mergeCell ref="L3152:L3154"/>
    <mergeCell ref="A3146:A3148"/>
    <mergeCell ref="B3146:C3155"/>
    <mergeCell ref="D3163:D3165"/>
    <mergeCell ref="E3163:E3165"/>
    <mergeCell ref="F3163:F3165"/>
    <mergeCell ref="G3163:G3165"/>
    <mergeCell ref="H3163:H3165"/>
    <mergeCell ref="I3163:I3165"/>
    <mergeCell ref="J3163:J3165"/>
    <mergeCell ref="K3163:K3165"/>
    <mergeCell ref="L3163:L3165"/>
    <mergeCell ref="D3168:D3170"/>
    <mergeCell ref="E3168:E3170"/>
    <mergeCell ref="F3168:F3170"/>
    <mergeCell ref="G3168:G3170"/>
    <mergeCell ref="H3168:H3170"/>
    <mergeCell ref="I3168:I3170"/>
    <mergeCell ref="J3168:J3170"/>
    <mergeCell ref="K3168:K3170"/>
    <mergeCell ref="L3168:L3170"/>
    <mergeCell ref="D3171:D3173"/>
    <mergeCell ref="E3171:E3173"/>
    <mergeCell ref="F3171:F3173"/>
    <mergeCell ref="G3171:G3173"/>
    <mergeCell ref="H3171:H3173"/>
    <mergeCell ref="I3171:I3173"/>
    <mergeCell ref="J3171:J3173"/>
    <mergeCell ref="K3171:K3173"/>
    <mergeCell ref="L3171:L3173"/>
    <mergeCell ref="D3177:F3177"/>
    <mergeCell ref="G3177:L3177"/>
    <mergeCell ref="A3179:A3181"/>
    <mergeCell ref="B3179:C3188"/>
    <mergeCell ref="D3179:D3181"/>
    <mergeCell ref="E3179:E3181"/>
    <mergeCell ref="F3179:F3181"/>
    <mergeCell ref="G3179:G3181"/>
    <mergeCell ref="H3179:H3181"/>
    <mergeCell ref="I3179:I3181"/>
    <mergeCell ref="J3179:J3181"/>
    <mergeCell ref="K3179:K3181"/>
    <mergeCell ref="L3179:L3181"/>
    <mergeCell ref="D3182:D3184"/>
    <mergeCell ref="E3182:E3184"/>
    <mergeCell ref="F3182:F3184"/>
    <mergeCell ref="G3182:G3184"/>
    <mergeCell ref="H3182:H3184"/>
    <mergeCell ref="I3182:I3184"/>
    <mergeCell ref="J3182:J3184"/>
    <mergeCell ref="K3182:K3184"/>
    <mergeCell ref="L3182:L3184"/>
    <mergeCell ref="D3188:F3188"/>
    <mergeCell ref="G3188:L3188"/>
    <mergeCell ref="D3174:D3176"/>
    <mergeCell ref="E3174:E3176"/>
    <mergeCell ref="F3174:F3176"/>
    <mergeCell ref="G3174:G3176"/>
    <mergeCell ref="H3174:H3176"/>
    <mergeCell ref="I3174:I3176"/>
    <mergeCell ref="J3174:J3176"/>
    <mergeCell ref="K3174:K3176"/>
    <mergeCell ref="L3174:L3176"/>
    <mergeCell ref="A3168:A3170"/>
    <mergeCell ref="B3168:C3177"/>
    <mergeCell ref="D3185:D3187"/>
    <mergeCell ref="E3185:E3187"/>
    <mergeCell ref="F3185:F3187"/>
    <mergeCell ref="G3185:G3187"/>
    <mergeCell ref="H3185:H3187"/>
    <mergeCell ref="I3185:I3187"/>
    <mergeCell ref="J3185:J3187"/>
    <mergeCell ref="K3185:K3187"/>
    <mergeCell ref="L3185:L3187"/>
    <mergeCell ref="D3190:D3192"/>
    <mergeCell ref="E3190:E3192"/>
    <mergeCell ref="F3190:F3192"/>
    <mergeCell ref="G3190:G3192"/>
    <mergeCell ref="H3190:H3192"/>
    <mergeCell ref="I3190:I3192"/>
    <mergeCell ref="J3190:J3192"/>
    <mergeCell ref="K3190:K3192"/>
    <mergeCell ref="L3190:L3192"/>
    <mergeCell ref="D3193:D3195"/>
    <mergeCell ref="E3193:E3195"/>
    <mergeCell ref="F3193:F3195"/>
    <mergeCell ref="G3193:G3195"/>
    <mergeCell ref="H3193:H3195"/>
    <mergeCell ref="I3193:I3195"/>
    <mergeCell ref="J3193:J3195"/>
    <mergeCell ref="K3193:K3195"/>
    <mergeCell ref="L3193:L3195"/>
    <mergeCell ref="D3199:F3199"/>
    <mergeCell ref="G3199:L3199"/>
    <mergeCell ref="A3201:A3203"/>
    <mergeCell ref="B3201:C3210"/>
    <mergeCell ref="D3201:D3203"/>
    <mergeCell ref="E3201:E3203"/>
    <mergeCell ref="F3201:F3203"/>
    <mergeCell ref="G3201:G3203"/>
    <mergeCell ref="H3201:H3203"/>
    <mergeCell ref="I3201:I3203"/>
    <mergeCell ref="J3201:J3203"/>
    <mergeCell ref="K3201:K3203"/>
    <mergeCell ref="L3201:L3203"/>
    <mergeCell ref="D3204:D3206"/>
    <mergeCell ref="E3204:E3206"/>
    <mergeCell ref="F3204:F3206"/>
    <mergeCell ref="G3204:G3206"/>
    <mergeCell ref="H3204:H3206"/>
    <mergeCell ref="I3204:I3206"/>
    <mergeCell ref="J3204:J3206"/>
    <mergeCell ref="K3204:K3206"/>
    <mergeCell ref="L3204:L3206"/>
    <mergeCell ref="D3210:F3210"/>
    <mergeCell ref="G3210:L3210"/>
    <mergeCell ref="D3196:D3198"/>
    <mergeCell ref="E3196:E3198"/>
    <mergeCell ref="F3196:F3198"/>
    <mergeCell ref="G3196:G3198"/>
    <mergeCell ref="H3196:H3198"/>
    <mergeCell ref="I3196:I3198"/>
    <mergeCell ref="J3196:J3198"/>
    <mergeCell ref="K3196:K3198"/>
    <mergeCell ref="L3196:L3198"/>
    <mergeCell ref="A3190:A3192"/>
    <mergeCell ref="B3190:C3199"/>
    <mergeCell ref="D3207:D3209"/>
    <mergeCell ref="E3207:E3209"/>
    <mergeCell ref="F3207:F3209"/>
    <mergeCell ref="G3207:G3209"/>
    <mergeCell ref="H3207:H3209"/>
    <mergeCell ref="I3207:I3209"/>
    <mergeCell ref="J3207:J3209"/>
    <mergeCell ref="K3207:K3209"/>
    <mergeCell ref="L3207:L3209"/>
    <mergeCell ref="D3212:D3214"/>
    <mergeCell ref="E3212:E3214"/>
    <mergeCell ref="F3212:F3214"/>
    <mergeCell ref="G3212:G3214"/>
    <mergeCell ref="H3212:H3214"/>
    <mergeCell ref="I3212:I3214"/>
    <mergeCell ref="J3212:J3214"/>
    <mergeCell ref="K3212:K3214"/>
    <mergeCell ref="L3212:L3214"/>
    <mergeCell ref="D3215:D3217"/>
    <mergeCell ref="E3215:E3217"/>
    <mergeCell ref="F3215:F3217"/>
    <mergeCell ref="G3215:G3217"/>
    <mergeCell ref="H3215:H3217"/>
    <mergeCell ref="I3215:I3217"/>
    <mergeCell ref="J3215:J3217"/>
    <mergeCell ref="K3215:K3217"/>
    <mergeCell ref="L3215:L3217"/>
    <mergeCell ref="D3221:F3221"/>
    <mergeCell ref="G3221:L3221"/>
    <mergeCell ref="A3223:A3225"/>
    <mergeCell ref="B3223:C3232"/>
    <mergeCell ref="D3223:D3225"/>
    <mergeCell ref="E3223:E3225"/>
    <mergeCell ref="F3223:F3225"/>
    <mergeCell ref="G3223:G3225"/>
    <mergeCell ref="H3223:H3225"/>
    <mergeCell ref="I3223:I3225"/>
    <mergeCell ref="J3223:J3225"/>
    <mergeCell ref="K3223:K3225"/>
    <mergeCell ref="L3223:L3225"/>
    <mergeCell ref="D3226:D3228"/>
    <mergeCell ref="E3226:E3228"/>
    <mergeCell ref="F3226:F3228"/>
    <mergeCell ref="G3226:G3228"/>
    <mergeCell ref="H3226:H3228"/>
    <mergeCell ref="I3226:I3228"/>
    <mergeCell ref="J3226:J3228"/>
    <mergeCell ref="K3226:K3228"/>
    <mergeCell ref="L3226:L3228"/>
    <mergeCell ref="D3229:D3231"/>
    <mergeCell ref="E3229:E3231"/>
    <mergeCell ref="F3229:F3231"/>
    <mergeCell ref="G3229:G3231"/>
    <mergeCell ref="H3229:H3231"/>
    <mergeCell ref="I3229:I3231"/>
    <mergeCell ref="J3229:J3231"/>
    <mergeCell ref="K3229:K3231"/>
    <mergeCell ref="L3229:L3231"/>
    <mergeCell ref="D3232:F3232"/>
    <mergeCell ref="G3232:L3232"/>
    <mergeCell ref="D3218:D3220"/>
    <mergeCell ref="E3218:E3220"/>
    <mergeCell ref="F3218:F3220"/>
    <mergeCell ref="G3218:G3220"/>
    <mergeCell ref="H3218:H3220"/>
    <mergeCell ref="I3218:I3220"/>
    <mergeCell ref="J3218:J3220"/>
    <mergeCell ref="K3218:K3220"/>
    <mergeCell ref="L3218:L3220"/>
    <mergeCell ref="A3212:A3214"/>
    <mergeCell ref="B3212:C3221"/>
    <mergeCell ref="B3234:C3243"/>
    <mergeCell ref="D3234:D3236"/>
    <mergeCell ref="E3234:E3236"/>
    <mergeCell ref="F3234:F3236"/>
    <mergeCell ref="G3234:G3236"/>
    <mergeCell ref="H3234:H3236"/>
    <mergeCell ref="I3234:I3236"/>
    <mergeCell ref="J3234:J3236"/>
    <mergeCell ref="K3234:K3236"/>
    <mergeCell ref="L3234:L3236"/>
    <mergeCell ref="D3237:D3239"/>
    <mergeCell ref="E3237:E3239"/>
    <mergeCell ref="F3237:F3239"/>
    <mergeCell ref="G3237:G3239"/>
    <mergeCell ref="H3237:H3239"/>
    <mergeCell ref="I3237:I3239"/>
    <mergeCell ref="J3237:J3239"/>
    <mergeCell ref="K3237:K3239"/>
    <mergeCell ref="L3237:L3239"/>
    <mergeCell ref="D3240:D3242"/>
    <mergeCell ref="E3240:E3242"/>
    <mergeCell ref="F3240:F3242"/>
    <mergeCell ref="G3240:G3242"/>
    <mergeCell ref="H3240:H3242"/>
    <mergeCell ref="I3240:I3242"/>
    <mergeCell ref="J3240:J3242"/>
    <mergeCell ref="K3240:K3242"/>
    <mergeCell ref="L3240:L3242"/>
    <mergeCell ref="D3243:F3243"/>
    <mergeCell ref="G3243:L3243"/>
    <mergeCell ref="A3245:A3247"/>
    <mergeCell ref="B3245:C3254"/>
    <mergeCell ref="D3245:D3247"/>
    <mergeCell ref="E3245:E3247"/>
    <mergeCell ref="F3245:F3247"/>
    <mergeCell ref="G3245:G3247"/>
    <mergeCell ref="H3245:H3247"/>
    <mergeCell ref="I3245:I3247"/>
    <mergeCell ref="J3245:J3247"/>
    <mergeCell ref="K3245:K3247"/>
    <mergeCell ref="L3245:L3247"/>
    <mergeCell ref="D3248:D3250"/>
    <mergeCell ref="E3248:E3250"/>
    <mergeCell ref="F3248:F3250"/>
    <mergeCell ref="G3248:G3250"/>
    <mergeCell ref="H3248:H3250"/>
    <mergeCell ref="I3248:I3250"/>
    <mergeCell ref="J3248:J3250"/>
    <mergeCell ref="K3248:K3250"/>
    <mergeCell ref="L3248:L3250"/>
    <mergeCell ref="D3251:D3253"/>
    <mergeCell ref="E3251:E3253"/>
    <mergeCell ref="F3251:F3253"/>
    <mergeCell ref="G3251:G3253"/>
    <mergeCell ref="H3251:H3253"/>
    <mergeCell ref="I3251:I3253"/>
    <mergeCell ref="J3251:J3253"/>
    <mergeCell ref="K3251:K3253"/>
    <mergeCell ref="L3251:L3253"/>
    <mergeCell ref="D3254:F3254"/>
    <mergeCell ref="G3254:L3254"/>
    <mergeCell ref="A3234:A3236"/>
    <mergeCell ref="D3256:D3258"/>
    <mergeCell ref="E3256:E3258"/>
    <mergeCell ref="F3256:F3258"/>
    <mergeCell ref="G3256:G3258"/>
    <mergeCell ref="H3256:H3258"/>
    <mergeCell ref="I3256:I3258"/>
    <mergeCell ref="J3256:J3258"/>
    <mergeCell ref="K3256:K3258"/>
    <mergeCell ref="L3256:L3258"/>
    <mergeCell ref="D3259:D3261"/>
    <mergeCell ref="E3259:E3261"/>
    <mergeCell ref="F3259:F3261"/>
    <mergeCell ref="G3259:G3261"/>
    <mergeCell ref="H3259:H3261"/>
    <mergeCell ref="I3259:I3261"/>
    <mergeCell ref="J3259:J3261"/>
    <mergeCell ref="K3259:K3261"/>
    <mergeCell ref="L3259:L3261"/>
    <mergeCell ref="D3262:D3264"/>
    <mergeCell ref="E3262:E3264"/>
    <mergeCell ref="F3262:F3264"/>
    <mergeCell ref="G3262:G3264"/>
    <mergeCell ref="H3262:H3264"/>
    <mergeCell ref="I3262:I3264"/>
    <mergeCell ref="J3262:J3264"/>
    <mergeCell ref="K3262:K3264"/>
    <mergeCell ref="L3262:L3264"/>
    <mergeCell ref="D3265:F3265"/>
    <mergeCell ref="G3265:L3265"/>
    <mergeCell ref="A3267:A3269"/>
    <mergeCell ref="B3267:C3276"/>
    <mergeCell ref="D3267:D3269"/>
    <mergeCell ref="E3267:E3269"/>
    <mergeCell ref="F3267:F3269"/>
    <mergeCell ref="G3267:G3269"/>
    <mergeCell ref="H3267:H3269"/>
    <mergeCell ref="I3267:I3269"/>
    <mergeCell ref="J3267:J3269"/>
    <mergeCell ref="K3267:K3269"/>
    <mergeCell ref="L3267:L3269"/>
    <mergeCell ref="D3270:D3272"/>
    <mergeCell ref="E3270:E3272"/>
    <mergeCell ref="F3270:F3272"/>
    <mergeCell ref="G3270:G3272"/>
    <mergeCell ref="H3270:H3272"/>
    <mergeCell ref="I3270:I3272"/>
    <mergeCell ref="J3270:J3272"/>
    <mergeCell ref="K3270:K3272"/>
    <mergeCell ref="L3270:L3272"/>
    <mergeCell ref="D3273:D3275"/>
    <mergeCell ref="E3273:E3275"/>
    <mergeCell ref="F3273:F3275"/>
    <mergeCell ref="G3273:G3275"/>
    <mergeCell ref="H3273:H3275"/>
    <mergeCell ref="I3273:I3275"/>
    <mergeCell ref="J3273:J3275"/>
    <mergeCell ref="K3273:K3275"/>
    <mergeCell ref="L3273:L3275"/>
    <mergeCell ref="D3276:F3276"/>
    <mergeCell ref="G3276:L3276"/>
    <mergeCell ref="A3256:A3258"/>
    <mergeCell ref="B3256:C3265"/>
    <mergeCell ref="D3278:D3280"/>
    <mergeCell ref="E3278:E3280"/>
    <mergeCell ref="F3278:F3280"/>
    <mergeCell ref="G3278:G3280"/>
    <mergeCell ref="H3278:H3280"/>
    <mergeCell ref="I3278:I3280"/>
    <mergeCell ref="J3278:J3280"/>
    <mergeCell ref="K3278:K3280"/>
    <mergeCell ref="L3278:L3280"/>
    <mergeCell ref="D3281:D3283"/>
    <mergeCell ref="E3281:E3283"/>
    <mergeCell ref="F3281:F3283"/>
    <mergeCell ref="G3281:G3283"/>
    <mergeCell ref="H3281:H3283"/>
    <mergeCell ref="I3281:I3283"/>
    <mergeCell ref="J3281:J3283"/>
    <mergeCell ref="K3281:K3283"/>
    <mergeCell ref="L3281:L3283"/>
    <mergeCell ref="D3284:D3286"/>
    <mergeCell ref="E3284:E3286"/>
    <mergeCell ref="F3284:F3286"/>
    <mergeCell ref="G3284:G3286"/>
    <mergeCell ref="H3284:H3286"/>
    <mergeCell ref="I3284:I3286"/>
    <mergeCell ref="J3284:J3286"/>
    <mergeCell ref="K3284:K3286"/>
    <mergeCell ref="L3284:L3286"/>
    <mergeCell ref="D3287:F3287"/>
    <mergeCell ref="G3287:L3287"/>
    <mergeCell ref="A3289:A3291"/>
    <mergeCell ref="B3289:C3298"/>
    <mergeCell ref="D3289:D3291"/>
    <mergeCell ref="E3289:E3291"/>
    <mergeCell ref="F3289:F3291"/>
    <mergeCell ref="G3289:G3291"/>
    <mergeCell ref="H3289:H3291"/>
    <mergeCell ref="I3289:I3291"/>
    <mergeCell ref="J3289:J3291"/>
    <mergeCell ref="K3289:K3291"/>
    <mergeCell ref="L3289:L3291"/>
    <mergeCell ref="D3292:D3294"/>
    <mergeCell ref="E3292:E3294"/>
    <mergeCell ref="F3292:F3294"/>
    <mergeCell ref="G3292:G3294"/>
    <mergeCell ref="H3292:H3294"/>
    <mergeCell ref="I3292:I3294"/>
    <mergeCell ref="J3292:J3294"/>
    <mergeCell ref="K3292:K3294"/>
    <mergeCell ref="L3292:L3294"/>
    <mergeCell ref="D3295:D3297"/>
    <mergeCell ref="E3295:E3297"/>
    <mergeCell ref="F3295:F3297"/>
    <mergeCell ref="G3295:G3297"/>
    <mergeCell ref="H3295:H3297"/>
    <mergeCell ref="I3295:I3297"/>
    <mergeCell ref="J3295:J3297"/>
    <mergeCell ref="K3295:K3297"/>
    <mergeCell ref="L3295:L3297"/>
    <mergeCell ref="D3298:F3298"/>
    <mergeCell ref="G3298:L3298"/>
    <mergeCell ref="A3278:A3280"/>
    <mergeCell ref="B3278:C3287"/>
    <mergeCell ref="D3300:D3302"/>
    <mergeCell ref="E3300:E3302"/>
    <mergeCell ref="F3300:F3302"/>
    <mergeCell ref="G3300:G3302"/>
    <mergeCell ref="H3300:H3302"/>
    <mergeCell ref="I3300:I3302"/>
    <mergeCell ref="J3300:J3302"/>
    <mergeCell ref="K3300:K3302"/>
    <mergeCell ref="L3300:L3302"/>
    <mergeCell ref="D3303:D3305"/>
    <mergeCell ref="E3303:E3305"/>
    <mergeCell ref="F3303:F3305"/>
    <mergeCell ref="G3303:G3305"/>
    <mergeCell ref="H3303:H3305"/>
    <mergeCell ref="I3303:I3305"/>
    <mergeCell ref="J3303:J3305"/>
    <mergeCell ref="K3303:K3305"/>
    <mergeCell ref="L3303:L3305"/>
    <mergeCell ref="D3306:D3308"/>
    <mergeCell ref="E3306:E3308"/>
    <mergeCell ref="F3306:F3308"/>
    <mergeCell ref="G3306:G3308"/>
    <mergeCell ref="H3306:H3308"/>
    <mergeCell ref="I3306:I3308"/>
    <mergeCell ref="J3306:J3308"/>
    <mergeCell ref="K3306:K3308"/>
    <mergeCell ref="L3306:L3308"/>
    <mergeCell ref="D3309:F3309"/>
    <mergeCell ref="G3309:L3309"/>
    <mergeCell ref="A3311:A3313"/>
    <mergeCell ref="B3311:C3320"/>
    <mergeCell ref="D3311:D3313"/>
    <mergeCell ref="E3311:E3313"/>
    <mergeCell ref="F3311:F3313"/>
    <mergeCell ref="G3311:G3313"/>
    <mergeCell ref="H3311:H3313"/>
    <mergeCell ref="I3311:I3313"/>
    <mergeCell ref="J3311:J3313"/>
    <mergeCell ref="K3311:K3313"/>
    <mergeCell ref="L3311:L3313"/>
    <mergeCell ref="D3314:D3316"/>
    <mergeCell ref="E3314:E3316"/>
    <mergeCell ref="F3314:F3316"/>
    <mergeCell ref="G3314:G3316"/>
    <mergeCell ref="H3314:H3316"/>
    <mergeCell ref="I3314:I3316"/>
    <mergeCell ref="J3314:J3316"/>
    <mergeCell ref="K3314:K3316"/>
    <mergeCell ref="L3314:L3316"/>
    <mergeCell ref="D3317:D3319"/>
    <mergeCell ref="E3317:E3319"/>
    <mergeCell ref="F3317:F3319"/>
    <mergeCell ref="G3317:G3319"/>
    <mergeCell ref="H3317:H3319"/>
    <mergeCell ref="I3317:I3319"/>
    <mergeCell ref="J3317:J3319"/>
    <mergeCell ref="K3317:K3319"/>
    <mergeCell ref="L3317:L3319"/>
    <mergeCell ref="D3320:F3320"/>
    <mergeCell ref="G3320:L3320"/>
    <mergeCell ref="A3300:A3302"/>
    <mergeCell ref="B3300:C3309"/>
    <mergeCell ref="D3322:D3324"/>
    <mergeCell ref="E3322:E3324"/>
    <mergeCell ref="F3322:F3324"/>
    <mergeCell ref="G3322:G3324"/>
    <mergeCell ref="H3322:H3324"/>
    <mergeCell ref="I3322:I3324"/>
    <mergeCell ref="J3322:J3324"/>
    <mergeCell ref="K3322:K3324"/>
    <mergeCell ref="L3322:L3324"/>
    <mergeCell ref="D3325:D3327"/>
    <mergeCell ref="E3325:E3327"/>
    <mergeCell ref="F3325:F3327"/>
    <mergeCell ref="G3325:G3327"/>
    <mergeCell ref="H3325:H3327"/>
    <mergeCell ref="I3325:I3327"/>
    <mergeCell ref="J3325:J3327"/>
    <mergeCell ref="K3325:K3327"/>
    <mergeCell ref="L3325:L3327"/>
    <mergeCell ref="D3328:D3330"/>
    <mergeCell ref="E3328:E3330"/>
    <mergeCell ref="F3328:F3330"/>
    <mergeCell ref="G3328:G3330"/>
    <mergeCell ref="H3328:H3330"/>
    <mergeCell ref="I3328:I3330"/>
    <mergeCell ref="J3328:J3330"/>
    <mergeCell ref="K3328:K3330"/>
    <mergeCell ref="L3328:L3330"/>
    <mergeCell ref="D3331:F3331"/>
    <mergeCell ref="G3331:L3331"/>
    <mergeCell ref="A3333:A3335"/>
    <mergeCell ref="B3333:C3342"/>
    <mergeCell ref="D3333:D3335"/>
    <mergeCell ref="E3333:E3335"/>
    <mergeCell ref="F3333:F3335"/>
    <mergeCell ref="G3333:G3335"/>
    <mergeCell ref="H3333:H3335"/>
    <mergeCell ref="I3333:I3335"/>
    <mergeCell ref="J3333:J3335"/>
    <mergeCell ref="K3333:K3335"/>
    <mergeCell ref="L3333:L3335"/>
    <mergeCell ref="D3336:D3338"/>
    <mergeCell ref="E3336:E3338"/>
    <mergeCell ref="F3336:F3338"/>
    <mergeCell ref="G3336:G3338"/>
    <mergeCell ref="H3336:H3338"/>
    <mergeCell ref="I3336:I3338"/>
    <mergeCell ref="J3336:J3338"/>
    <mergeCell ref="K3336:K3338"/>
    <mergeCell ref="L3336:L3338"/>
    <mergeCell ref="D3339:D3341"/>
    <mergeCell ref="E3339:E3341"/>
    <mergeCell ref="F3339:F3341"/>
    <mergeCell ref="G3339:G3341"/>
    <mergeCell ref="H3339:H3341"/>
    <mergeCell ref="I3339:I3341"/>
    <mergeCell ref="J3339:J3341"/>
    <mergeCell ref="K3339:K3341"/>
    <mergeCell ref="L3339:L3341"/>
    <mergeCell ref="D3342:F3342"/>
    <mergeCell ref="G3342:L3342"/>
    <mergeCell ref="A3322:A3324"/>
    <mergeCell ref="B3322:C3331"/>
    <mergeCell ref="E3361:E3363"/>
    <mergeCell ref="F3361:F3363"/>
    <mergeCell ref="G3361:G3363"/>
    <mergeCell ref="H3361:H3363"/>
    <mergeCell ref="I3361:I3363"/>
    <mergeCell ref="J3361:J3363"/>
    <mergeCell ref="K3361:K3363"/>
    <mergeCell ref="L3361:L3363"/>
    <mergeCell ref="D3364:F3364"/>
    <mergeCell ref="G3364:L3364"/>
    <mergeCell ref="A3366:A3368"/>
    <mergeCell ref="B3366:C3375"/>
    <mergeCell ref="D3372:D3374"/>
    <mergeCell ref="E3372:E3374"/>
    <mergeCell ref="F3372:F3374"/>
    <mergeCell ref="G3372:G3374"/>
    <mergeCell ref="H3372:H3374"/>
    <mergeCell ref="I3372:I3374"/>
    <mergeCell ref="J3372:J3374"/>
    <mergeCell ref="K3372:K3374"/>
    <mergeCell ref="L3372:L3374"/>
    <mergeCell ref="D3375:F3375"/>
    <mergeCell ref="G3375:L3375"/>
    <mergeCell ref="D3355:D3357"/>
    <mergeCell ref="E3355:E3357"/>
    <mergeCell ref="F3355:F3357"/>
    <mergeCell ref="G3355:G3357"/>
    <mergeCell ref="H3355:H3357"/>
    <mergeCell ref="I3355:I3357"/>
    <mergeCell ref="J3355:J3357"/>
    <mergeCell ref="K3355:K3357"/>
    <mergeCell ref="L3355:L3357"/>
    <mergeCell ref="D3358:D3360"/>
    <mergeCell ref="E3358:E3360"/>
    <mergeCell ref="F3358:F3360"/>
    <mergeCell ref="G3358:G3360"/>
    <mergeCell ref="H3358:H3360"/>
    <mergeCell ref="I3358:I3360"/>
    <mergeCell ref="J3358:J3360"/>
    <mergeCell ref="K3358:K3360"/>
    <mergeCell ref="L3358:L3360"/>
    <mergeCell ref="D3344:D3346"/>
    <mergeCell ref="E3344:E3346"/>
    <mergeCell ref="F3344:F3346"/>
    <mergeCell ref="G3344:G3346"/>
    <mergeCell ref="H3344:H3346"/>
    <mergeCell ref="I3344:I3346"/>
    <mergeCell ref="J3344:J3346"/>
    <mergeCell ref="K3344:K3346"/>
    <mergeCell ref="F3383:F3385"/>
    <mergeCell ref="G3383:G3385"/>
    <mergeCell ref="H3383:H3385"/>
    <mergeCell ref="I3383:I3385"/>
    <mergeCell ref="J3383:J3385"/>
    <mergeCell ref="K3383:K3385"/>
    <mergeCell ref="L3383:L3385"/>
    <mergeCell ref="D3386:F3386"/>
    <mergeCell ref="G3386:L3386"/>
    <mergeCell ref="A3388:A3390"/>
    <mergeCell ref="B3388:C3397"/>
    <mergeCell ref="D3394:D3396"/>
    <mergeCell ref="E3394:E3396"/>
    <mergeCell ref="F3394:F3396"/>
    <mergeCell ref="G3394:G3396"/>
    <mergeCell ref="H3394:H3396"/>
    <mergeCell ref="I3394:I3396"/>
    <mergeCell ref="J3394:J3396"/>
    <mergeCell ref="K3394:K3396"/>
    <mergeCell ref="L3394:L3396"/>
    <mergeCell ref="D3397:F3397"/>
    <mergeCell ref="G3397:L3397"/>
    <mergeCell ref="A3399:A3401"/>
    <mergeCell ref="B3399:C3408"/>
    <mergeCell ref="D3405:D3407"/>
    <mergeCell ref="E3405:E3407"/>
    <mergeCell ref="F3405:F3407"/>
    <mergeCell ref="G3405:G3407"/>
    <mergeCell ref="H3405:H3407"/>
    <mergeCell ref="I3405:I3407"/>
    <mergeCell ref="J3405:J3407"/>
    <mergeCell ref="K3405:K3407"/>
    <mergeCell ref="L3405:L3407"/>
    <mergeCell ref="D3408:F3408"/>
    <mergeCell ref="G3408:L3408"/>
    <mergeCell ref="D3399:D3401"/>
    <mergeCell ref="E3399:E3401"/>
    <mergeCell ref="F3399:F3401"/>
    <mergeCell ref="G3399:G3401"/>
    <mergeCell ref="H3399:H3401"/>
    <mergeCell ref="I3399:I3401"/>
    <mergeCell ref="J3399:J3401"/>
    <mergeCell ref="K3399:K3401"/>
    <mergeCell ref="L3399:L3401"/>
    <mergeCell ref="D3402:D3404"/>
    <mergeCell ref="E3402:E3404"/>
    <mergeCell ref="F3402:F3404"/>
    <mergeCell ref="G3402:G3404"/>
    <mergeCell ref="H3402:H3404"/>
    <mergeCell ref="I3402:I3404"/>
    <mergeCell ref="J3402:J3404"/>
    <mergeCell ref="K3402:K3404"/>
    <mergeCell ref="L3402:L3404"/>
    <mergeCell ref="D3388:D3390"/>
    <mergeCell ref="E3388:E3390"/>
    <mergeCell ref="F3388:F3390"/>
    <mergeCell ref="A3454:A3456"/>
    <mergeCell ref="B3454:C3463"/>
    <mergeCell ref="D3454:D3456"/>
    <mergeCell ref="E3454:E3456"/>
    <mergeCell ref="F3454:F3456"/>
    <mergeCell ref="G3454:G3456"/>
    <mergeCell ref="H3454:H3456"/>
    <mergeCell ref="I3454:I3456"/>
    <mergeCell ref="J3454:J3456"/>
    <mergeCell ref="K3454:K3456"/>
    <mergeCell ref="L3454:L3456"/>
    <mergeCell ref="D3457:D3459"/>
    <mergeCell ref="E3457:E3459"/>
    <mergeCell ref="F3457:F3459"/>
    <mergeCell ref="G3457:G3459"/>
    <mergeCell ref="H3457:H3459"/>
    <mergeCell ref="I3457:I3459"/>
    <mergeCell ref="J3457:J3459"/>
    <mergeCell ref="K3457:K3459"/>
    <mergeCell ref="L3457:L3459"/>
    <mergeCell ref="D3460:D3462"/>
    <mergeCell ref="E3460:E3462"/>
    <mergeCell ref="F3460:F3462"/>
    <mergeCell ref="G3460:G3462"/>
    <mergeCell ref="H3460:H3462"/>
    <mergeCell ref="I3460:I3462"/>
    <mergeCell ref="J3460:J3462"/>
    <mergeCell ref="K3460:K3462"/>
    <mergeCell ref="L3460:L3462"/>
    <mergeCell ref="D3463:F3463"/>
    <mergeCell ref="G3463:L3463"/>
    <mergeCell ref="A3465:A3467"/>
    <mergeCell ref="B3465:C3474"/>
    <mergeCell ref="D3465:D3467"/>
    <mergeCell ref="E3465:E3467"/>
    <mergeCell ref="F3465:F3467"/>
    <mergeCell ref="G3465:G3467"/>
    <mergeCell ref="H3465:H3467"/>
    <mergeCell ref="I3465:I3467"/>
    <mergeCell ref="J3465:J3467"/>
    <mergeCell ref="K3465:K3467"/>
    <mergeCell ref="L3465:L3467"/>
    <mergeCell ref="D3468:D3470"/>
    <mergeCell ref="E3468:E3470"/>
    <mergeCell ref="F3468:F3470"/>
    <mergeCell ref="G3468:G3470"/>
    <mergeCell ref="H3468:H3470"/>
    <mergeCell ref="I3468:I3470"/>
    <mergeCell ref="J3468:J3470"/>
    <mergeCell ref="K3468:K3470"/>
    <mergeCell ref="L3468:L3470"/>
    <mergeCell ref="D3471:D3473"/>
    <mergeCell ref="E3471:E3473"/>
    <mergeCell ref="F3471:F3473"/>
    <mergeCell ref="G3471:G3473"/>
    <mergeCell ref="H3471:H3473"/>
    <mergeCell ref="I3471:I3473"/>
    <mergeCell ref="J3471:J3473"/>
    <mergeCell ref="K3471:K3473"/>
    <mergeCell ref="L3471:L3473"/>
    <mergeCell ref="D3474:F3474"/>
    <mergeCell ref="G3474:L3474"/>
    <mergeCell ref="A3476:A3478"/>
    <mergeCell ref="B3476:C3485"/>
    <mergeCell ref="D3476:D3478"/>
    <mergeCell ref="E3476:E3478"/>
    <mergeCell ref="F3476:F3478"/>
    <mergeCell ref="G3476:G3478"/>
    <mergeCell ref="H3476:H3478"/>
    <mergeCell ref="I3476:I3478"/>
    <mergeCell ref="J3476:J3478"/>
    <mergeCell ref="K3476:K3478"/>
    <mergeCell ref="L3476:L3478"/>
    <mergeCell ref="D3479:D3481"/>
    <mergeCell ref="E3479:E3481"/>
    <mergeCell ref="F3479:F3481"/>
    <mergeCell ref="G3479:G3481"/>
    <mergeCell ref="H3479:H3481"/>
    <mergeCell ref="I3479:I3481"/>
    <mergeCell ref="J3479:J3481"/>
    <mergeCell ref="K3479:K3481"/>
    <mergeCell ref="L3479:L3481"/>
    <mergeCell ref="D3482:D3484"/>
    <mergeCell ref="E3482:E3484"/>
    <mergeCell ref="F3482:F3484"/>
    <mergeCell ref="G3482:G3484"/>
    <mergeCell ref="H3482:H3484"/>
    <mergeCell ref="I3482:I3484"/>
    <mergeCell ref="J3482:J3484"/>
    <mergeCell ref="K3482:K3484"/>
    <mergeCell ref="L3482:L3484"/>
    <mergeCell ref="D3485:F3485"/>
    <mergeCell ref="G3485:L3485"/>
    <mergeCell ref="D3487:D3489"/>
    <mergeCell ref="E3487:E3489"/>
    <mergeCell ref="F3487:F3489"/>
    <mergeCell ref="G3487:G3489"/>
    <mergeCell ref="H3487:H3489"/>
    <mergeCell ref="I3487:I3489"/>
    <mergeCell ref="J3487:J3489"/>
    <mergeCell ref="K3487:K3489"/>
    <mergeCell ref="L3487:L3489"/>
    <mergeCell ref="A3487:A3489"/>
    <mergeCell ref="D3490:D3492"/>
    <mergeCell ref="E3490:E3492"/>
    <mergeCell ref="F3490:F3492"/>
    <mergeCell ref="G3490:G3492"/>
    <mergeCell ref="H3490:H3492"/>
    <mergeCell ref="I3490:I3492"/>
    <mergeCell ref="J3490:J3492"/>
    <mergeCell ref="K3490:K3492"/>
    <mergeCell ref="L3490:L3492"/>
    <mergeCell ref="D3493:D3495"/>
    <mergeCell ref="E3493:E3495"/>
    <mergeCell ref="F3493:F3495"/>
    <mergeCell ref="G3493:G3495"/>
    <mergeCell ref="H3493:H3495"/>
    <mergeCell ref="I3493:I3495"/>
    <mergeCell ref="J3493:J3495"/>
    <mergeCell ref="K3493:K3495"/>
    <mergeCell ref="L3493:L3495"/>
    <mergeCell ref="D3496:F3496"/>
    <mergeCell ref="G3496:L3496"/>
    <mergeCell ref="A3498:A3500"/>
    <mergeCell ref="B3498:C3507"/>
    <mergeCell ref="D3498:D3500"/>
    <mergeCell ref="E3498:E3500"/>
    <mergeCell ref="F3498:F3500"/>
    <mergeCell ref="G3498:G3500"/>
    <mergeCell ref="H3498:H3500"/>
    <mergeCell ref="I3498:I3500"/>
    <mergeCell ref="J3498:J3500"/>
    <mergeCell ref="K3498:K3500"/>
    <mergeCell ref="L3498:L3500"/>
    <mergeCell ref="D3501:D3503"/>
    <mergeCell ref="E3501:E3503"/>
    <mergeCell ref="F3501:F3503"/>
    <mergeCell ref="G3501:G3503"/>
    <mergeCell ref="H3501:H3503"/>
    <mergeCell ref="I3501:I3503"/>
    <mergeCell ref="J3501:J3503"/>
    <mergeCell ref="K3501:K3503"/>
    <mergeCell ref="L3501:L3503"/>
    <mergeCell ref="D3504:D3506"/>
    <mergeCell ref="E3504:E3506"/>
    <mergeCell ref="F3504:F3506"/>
    <mergeCell ref="G3504:G3506"/>
    <mergeCell ref="H3504:H3506"/>
    <mergeCell ref="I3504:I3506"/>
    <mergeCell ref="J3504:J3506"/>
    <mergeCell ref="K3504:K3506"/>
    <mergeCell ref="L3504:L3506"/>
    <mergeCell ref="D3507:F3507"/>
    <mergeCell ref="G3507:L3507"/>
    <mergeCell ref="B3487:C3496"/>
    <mergeCell ref="D3509:D3511"/>
    <mergeCell ref="E3509:E3511"/>
    <mergeCell ref="F3509:F3511"/>
    <mergeCell ref="G3509:G3511"/>
    <mergeCell ref="H3509:H3511"/>
    <mergeCell ref="I3509:I3511"/>
    <mergeCell ref="J3509:J3511"/>
    <mergeCell ref="K3509:K3511"/>
    <mergeCell ref="L3509:L3511"/>
    <mergeCell ref="D3512:D3514"/>
    <mergeCell ref="E3512:E3514"/>
    <mergeCell ref="F3512:F3514"/>
    <mergeCell ref="G3512:G3514"/>
    <mergeCell ref="H3512:H3514"/>
    <mergeCell ref="I3512:I3514"/>
    <mergeCell ref="J3512:J3514"/>
    <mergeCell ref="K3512:K3514"/>
    <mergeCell ref="L3512:L3514"/>
    <mergeCell ref="D3515:D3517"/>
    <mergeCell ref="E3515:E3517"/>
    <mergeCell ref="F3515:F3517"/>
    <mergeCell ref="G3515:G3517"/>
    <mergeCell ref="H3515:H3517"/>
    <mergeCell ref="I3515:I3517"/>
    <mergeCell ref="J3515:J3517"/>
    <mergeCell ref="K3515:K3517"/>
    <mergeCell ref="L3515:L3517"/>
    <mergeCell ref="D3518:F3518"/>
    <mergeCell ref="G3518:L3518"/>
    <mergeCell ref="A3520:A3522"/>
    <mergeCell ref="B3520:C3529"/>
    <mergeCell ref="D3520:D3522"/>
    <mergeCell ref="E3520:E3522"/>
    <mergeCell ref="F3520:F3522"/>
    <mergeCell ref="G3520:G3522"/>
    <mergeCell ref="H3520:H3522"/>
    <mergeCell ref="I3520:I3522"/>
    <mergeCell ref="J3520:J3522"/>
    <mergeCell ref="K3520:K3522"/>
    <mergeCell ref="L3520:L3522"/>
    <mergeCell ref="D3523:D3525"/>
    <mergeCell ref="E3523:E3525"/>
    <mergeCell ref="F3523:F3525"/>
    <mergeCell ref="G3523:G3525"/>
    <mergeCell ref="H3523:H3525"/>
    <mergeCell ref="I3523:I3525"/>
    <mergeCell ref="J3523:J3525"/>
    <mergeCell ref="K3523:K3525"/>
    <mergeCell ref="L3523:L3525"/>
    <mergeCell ref="D3526:D3528"/>
    <mergeCell ref="E3526:E3528"/>
    <mergeCell ref="F3526:F3528"/>
    <mergeCell ref="G3526:G3528"/>
    <mergeCell ref="H3526:H3528"/>
    <mergeCell ref="I3526:I3528"/>
    <mergeCell ref="J3526:J3528"/>
    <mergeCell ref="K3526:K3528"/>
    <mergeCell ref="L3526:L3528"/>
    <mergeCell ref="D3529:F3529"/>
    <mergeCell ref="G3529:L3529"/>
    <mergeCell ref="A3509:A3511"/>
    <mergeCell ref="B3509:C3518"/>
    <mergeCell ref="D3531:D3533"/>
    <mergeCell ref="E3531:E3533"/>
    <mergeCell ref="F3531:F3533"/>
    <mergeCell ref="G3531:G3533"/>
    <mergeCell ref="H3531:H3533"/>
    <mergeCell ref="I3531:I3533"/>
    <mergeCell ref="J3531:J3533"/>
    <mergeCell ref="K3531:K3533"/>
    <mergeCell ref="L3531:L3533"/>
    <mergeCell ref="D3534:D3536"/>
    <mergeCell ref="E3534:E3536"/>
    <mergeCell ref="F3534:F3536"/>
    <mergeCell ref="G3534:G3536"/>
    <mergeCell ref="H3534:H3536"/>
    <mergeCell ref="I3534:I3536"/>
    <mergeCell ref="J3534:J3536"/>
    <mergeCell ref="K3534:K3536"/>
    <mergeCell ref="L3534:L3536"/>
    <mergeCell ref="D3537:D3539"/>
    <mergeCell ref="E3537:E3539"/>
    <mergeCell ref="F3537:F3539"/>
    <mergeCell ref="G3537:G3539"/>
    <mergeCell ref="H3537:H3539"/>
    <mergeCell ref="I3537:I3539"/>
    <mergeCell ref="J3537:J3539"/>
    <mergeCell ref="K3537:K3539"/>
    <mergeCell ref="L3537:L3539"/>
    <mergeCell ref="D3540:F3540"/>
    <mergeCell ref="G3540:L3540"/>
    <mergeCell ref="A3542:A3544"/>
    <mergeCell ref="B3542:C3551"/>
    <mergeCell ref="D3542:D3544"/>
    <mergeCell ref="E3542:E3544"/>
    <mergeCell ref="F3542:F3544"/>
    <mergeCell ref="G3542:G3544"/>
    <mergeCell ref="H3542:H3544"/>
    <mergeCell ref="I3542:I3544"/>
    <mergeCell ref="J3542:J3544"/>
    <mergeCell ref="K3542:K3544"/>
    <mergeCell ref="L3542:L3544"/>
    <mergeCell ref="D3545:D3547"/>
    <mergeCell ref="E3545:E3547"/>
    <mergeCell ref="F3545:F3547"/>
    <mergeCell ref="G3545:G3547"/>
    <mergeCell ref="H3545:H3547"/>
    <mergeCell ref="I3545:I3547"/>
    <mergeCell ref="J3545:J3547"/>
    <mergeCell ref="K3545:K3547"/>
    <mergeCell ref="L3545:L3547"/>
    <mergeCell ref="D3548:D3550"/>
    <mergeCell ref="E3548:E3550"/>
    <mergeCell ref="F3548:F3550"/>
    <mergeCell ref="G3548:G3550"/>
    <mergeCell ref="H3548:H3550"/>
    <mergeCell ref="I3548:I3550"/>
    <mergeCell ref="J3548:J3550"/>
    <mergeCell ref="K3548:K3550"/>
    <mergeCell ref="L3548:L3550"/>
    <mergeCell ref="D3551:F3551"/>
    <mergeCell ref="G3551:L3551"/>
    <mergeCell ref="A3531:A3533"/>
    <mergeCell ref="B3531:C3540"/>
    <mergeCell ref="D3553:D3555"/>
    <mergeCell ref="E3553:E3555"/>
    <mergeCell ref="F3553:F3555"/>
    <mergeCell ref="G3553:G3555"/>
    <mergeCell ref="H3553:H3555"/>
    <mergeCell ref="I3553:I3555"/>
    <mergeCell ref="J3553:J3555"/>
    <mergeCell ref="K3553:K3555"/>
    <mergeCell ref="L3553:L3555"/>
    <mergeCell ref="D3556:D3558"/>
    <mergeCell ref="E3556:E3558"/>
    <mergeCell ref="F3556:F3558"/>
    <mergeCell ref="G3556:G3558"/>
    <mergeCell ref="H3556:H3558"/>
    <mergeCell ref="I3556:I3558"/>
    <mergeCell ref="J3556:J3558"/>
    <mergeCell ref="K3556:K3558"/>
    <mergeCell ref="L3556:L3558"/>
    <mergeCell ref="D3559:D3561"/>
    <mergeCell ref="E3559:E3561"/>
    <mergeCell ref="F3559:F3561"/>
    <mergeCell ref="G3559:G3561"/>
    <mergeCell ref="H3559:H3561"/>
    <mergeCell ref="I3559:I3561"/>
    <mergeCell ref="J3559:J3561"/>
    <mergeCell ref="K3559:K3561"/>
    <mergeCell ref="L3559:L3561"/>
    <mergeCell ref="D3562:F3562"/>
    <mergeCell ref="G3562:L3562"/>
    <mergeCell ref="A3564:A3566"/>
    <mergeCell ref="B3564:C3573"/>
    <mergeCell ref="D3564:D3566"/>
    <mergeCell ref="E3564:E3566"/>
    <mergeCell ref="F3564:F3566"/>
    <mergeCell ref="G3564:G3566"/>
    <mergeCell ref="H3564:H3566"/>
    <mergeCell ref="I3564:I3566"/>
    <mergeCell ref="J3564:J3566"/>
    <mergeCell ref="K3564:K3566"/>
    <mergeCell ref="L3564:L3566"/>
    <mergeCell ref="D3567:D3569"/>
    <mergeCell ref="E3567:E3569"/>
    <mergeCell ref="F3567:F3569"/>
    <mergeCell ref="G3567:G3569"/>
    <mergeCell ref="H3567:H3569"/>
    <mergeCell ref="I3567:I3569"/>
    <mergeCell ref="J3567:J3569"/>
    <mergeCell ref="K3567:K3569"/>
    <mergeCell ref="L3567:L3569"/>
    <mergeCell ref="D3570:D3572"/>
    <mergeCell ref="E3570:E3572"/>
    <mergeCell ref="F3570:F3572"/>
    <mergeCell ref="G3570:G3572"/>
    <mergeCell ref="H3570:H3572"/>
    <mergeCell ref="I3570:I3572"/>
    <mergeCell ref="J3570:J3572"/>
    <mergeCell ref="K3570:K3572"/>
    <mergeCell ref="L3570:L3572"/>
    <mergeCell ref="D3573:F3573"/>
    <mergeCell ref="G3573:L3573"/>
    <mergeCell ref="A3553:A3555"/>
    <mergeCell ref="B3553:C3562"/>
    <mergeCell ref="B3575:C3584"/>
    <mergeCell ref="D3575:D3577"/>
    <mergeCell ref="E3575:E3577"/>
    <mergeCell ref="F3575:F3577"/>
    <mergeCell ref="G3575:G3577"/>
    <mergeCell ref="H3575:H3577"/>
    <mergeCell ref="I3575:I3577"/>
    <mergeCell ref="J3575:J3577"/>
    <mergeCell ref="K3575:K3577"/>
    <mergeCell ref="L3575:L3577"/>
    <mergeCell ref="D3578:D3580"/>
    <mergeCell ref="E3578:E3580"/>
    <mergeCell ref="F3578:F3580"/>
    <mergeCell ref="G3578:G3580"/>
    <mergeCell ref="H3578:H3580"/>
    <mergeCell ref="I3578:I3580"/>
    <mergeCell ref="J3578:J3580"/>
    <mergeCell ref="K3578:K3580"/>
    <mergeCell ref="L3578:L3580"/>
    <mergeCell ref="D3581:D3583"/>
    <mergeCell ref="E3581:E3583"/>
    <mergeCell ref="F3581:F3583"/>
    <mergeCell ref="G3581:G3583"/>
    <mergeCell ref="H3581:H3583"/>
    <mergeCell ref="I3581:I3583"/>
    <mergeCell ref="J3581:J3583"/>
    <mergeCell ref="K3581:K3583"/>
    <mergeCell ref="L3581:L3583"/>
    <mergeCell ref="D3584:F3584"/>
    <mergeCell ref="G3584:L3584"/>
    <mergeCell ref="A3586:A3588"/>
    <mergeCell ref="B3586:C3595"/>
    <mergeCell ref="D3586:D3588"/>
    <mergeCell ref="E3586:E3588"/>
    <mergeCell ref="F3586:F3588"/>
    <mergeCell ref="G3586:G3588"/>
    <mergeCell ref="H3586:H3588"/>
    <mergeCell ref="I3586:I3588"/>
    <mergeCell ref="J3586:J3588"/>
    <mergeCell ref="K3586:K3588"/>
    <mergeCell ref="L3586:L3588"/>
    <mergeCell ref="D3589:D3591"/>
    <mergeCell ref="E3589:E3591"/>
    <mergeCell ref="F3589:F3591"/>
    <mergeCell ref="G3589:G3591"/>
    <mergeCell ref="H3589:H3591"/>
    <mergeCell ref="I3589:I3591"/>
    <mergeCell ref="J3589:J3591"/>
    <mergeCell ref="K3589:K3591"/>
    <mergeCell ref="L3589:L3591"/>
    <mergeCell ref="D3592:D3594"/>
    <mergeCell ref="E3592:E3594"/>
    <mergeCell ref="F3592:F3594"/>
    <mergeCell ref="G3592:G3594"/>
    <mergeCell ref="H3592:H3594"/>
    <mergeCell ref="I3592:I3594"/>
    <mergeCell ref="J3592:J3594"/>
    <mergeCell ref="K3592:K3594"/>
    <mergeCell ref="L3592:L3594"/>
    <mergeCell ref="D3595:F3595"/>
    <mergeCell ref="G3595:L3595"/>
    <mergeCell ref="A3575:A3577"/>
    <mergeCell ref="D3597:D3599"/>
    <mergeCell ref="E3597:E3599"/>
    <mergeCell ref="F3597:F3599"/>
    <mergeCell ref="G3597:G3599"/>
    <mergeCell ref="H3597:H3599"/>
    <mergeCell ref="I3597:I3599"/>
    <mergeCell ref="J3597:J3599"/>
    <mergeCell ref="K3597:K3599"/>
    <mergeCell ref="L3597:L3599"/>
    <mergeCell ref="D3600:D3602"/>
    <mergeCell ref="E3600:E3602"/>
    <mergeCell ref="F3600:F3602"/>
    <mergeCell ref="G3600:G3602"/>
    <mergeCell ref="H3600:H3602"/>
    <mergeCell ref="I3600:I3602"/>
    <mergeCell ref="J3600:J3602"/>
    <mergeCell ref="K3600:K3602"/>
    <mergeCell ref="L3600:L3602"/>
    <mergeCell ref="D3603:D3605"/>
    <mergeCell ref="E3603:E3605"/>
    <mergeCell ref="F3603:F3605"/>
    <mergeCell ref="G3603:G3605"/>
    <mergeCell ref="H3603:H3605"/>
    <mergeCell ref="I3603:I3605"/>
    <mergeCell ref="J3603:J3605"/>
    <mergeCell ref="K3603:K3605"/>
    <mergeCell ref="L3603:L3605"/>
    <mergeCell ref="D3606:F3606"/>
    <mergeCell ref="G3606:L3606"/>
    <mergeCell ref="A3608:A3610"/>
    <mergeCell ref="B3608:C3617"/>
    <mergeCell ref="D3608:D3610"/>
    <mergeCell ref="E3608:E3610"/>
    <mergeCell ref="F3608:F3610"/>
    <mergeCell ref="G3608:G3610"/>
    <mergeCell ref="H3608:H3610"/>
    <mergeCell ref="I3608:I3610"/>
    <mergeCell ref="J3608:J3610"/>
    <mergeCell ref="K3608:K3610"/>
    <mergeCell ref="L3608:L3610"/>
    <mergeCell ref="D3611:D3613"/>
    <mergeCell ref="E3611:E3613"/>
    <mergeCell ref="F3611:F3613"/>
    <mergeCell ref="G3611:G3613"/>
    <mergeCell ref="H3611:H3613"/>
    <mergeCell ref="I3611:I3613"/>
    <mergeCell ref="J3611:J3613"/>
    <mergeCell ref="K3611:K3613"/>
    <mergeCell ref="L3611:L3613"/>
    <mergeCell ref="D3614:D3616"/>
    <mergeCell ref="E3614:E3616"/>
    <mergeCell ref="F3614:F3616"/>
    <mergeCell ref="G3614:G3616"/>
    <mergeCell ref="H3614:H3616"/>
    <mergeCell ref="I3614:I3616"/>
    <mergeCell ref="J3614:J3616"/>
    <mergeCell ref="K3614:K3616"/>
    <mergeCell ref="L3614:L3616"/>
    <mergeCell ref="D3617:F3617"/>
    <mergeCell ref="G3617:L3617"/>
    <mergeCell ref="A3597:A3599"/>
    <mergeCell ref="B3597:C3606"/>
    <mergeCell ref="D3619:D3621"/>
    <mergeCell ref="E3619:E3621"/>
    <mergeCell ref="F3619:F3621"/>
    <mergeCell ref="G3619:G3621"/>
    <mergeCell ref="H3619:H3621"/>
    <mergeCell ref="I3619:I3621"/>
    <mergeCell ref="J3619:J3621"/>
    <mergeCell ref="K3619:K3621"/>
    <mergeCell ref="L3619:L3621"/>
    <mergeCell ref="D3622:D3624"/>
    <mergeCell ref="E3622:E3624"/>
    <mergeCell ref="F3622:F3624"/>
    <mergeCell ref="G3622:G3624"/>
    <mergeCell ref="H3622:H3624"/>
    <mergeCell ref="I3622:I3624"/>
    <mergeCell ref="J3622:J3624"/>
    <mergeCell ref="K3622:K3624"/>
    <mergeCell ref="L3622:L3624"/>
    <mergeCell ref="D3625:D3627"/>
    <mergeCell ref="E3625:E3627"/>
    <mergeCell ref="F3625:F3627"/>
    <mergeCell ref="G3625:G3627"/>
    <mergeCell ref="H3625:H3627"/>
    <mergeCell ref="I3625:I3627"/>
    <mergeCell ref="J3625:J3627"/>
    <mergeCell ref="K3625:K3627"/>
    <mergeCell ref="L3625:L3627"/>
    <mergeCell ref="D3628:F3628"/>
    <mergeCell ref="G3628:L3628"/>
    <mergeCell ref="A3630:A3632"/>
    <mergeCell ref="B3630:C3639"/>
    <mergeCell ref="D3630:D3632"/>
    <mergeCell ref="E3630:E3632"/>
    <mergeCell ref="F3630:F3632"/>
    <mergeCell ref="G3630:G3632"/>
    <mergeCell ref="H3630:H3632"/>
    <mergeCell ref="I3630:I3632"/>
    <mergeCell ref="J3630:J3632"/>
    <mergeCell ref="K3630:K3632"/>
    <mergeCell ref="L3630:L3632"/>
    <mergeCell ref="D3633:D3635"/>
    <mergeCell ref="E3633:E3635"/>
    <mergeCell ref="F3633:F3635"/>
    <mergeCell ref="G3633:G3635"/>
    <mergeCell ref="H3633:H3635"/>
    <mergeCell ref="I3633:I3635"/>
    <mergeCell ref="J3633:J3635"/>
    <mergeCell ref="K3633:K3635"/>
    <mergeCell ref="L3633:L3635"/>
    <mergeCell ref="D3636:D3638"/>
    <mergeCell ref="E3636:E3638"/>
    <mergeCell ref="F3636:F3638"/>
    <mergeCell ref="G3636:G3638"/>
    <mergeCell ref="H3636:H3638"/>
    <mergeCell ref="I3636:I3638"/>
    <mergeCell ref="J3636:J3638"/>
    <mergeCell ref="K3636:K3638"/>
    <mergeCell ref="L3636:L3638"/>
    <mergeCell ref="D3639:F3639"/>
    <mergeCell ref="G3639:L3639"/>
    <mergeCell ref="A3619:A3621"/>
    <mergeCell ref="B3619:C3628"/>
    <mergeCell ref="D3641:D3643"/>
    <mergeCell ref="E3641:E3643"/>
    <mergeCell ref="F3641:F3643"/>
    <mergeCell ref="G3641:G3643"/>
    <mergeCell ref="H3641:H3643"/>
    <mergeCell ref="I3641:I3643"/>
    <mergeCell ref="J3641:J3643"/>
    <mergeCell ref="K3641:K3643"/>
    <mergeCell ref="L3641:L3643"/>
    <mergeCell ref="D3644:D3646"/>
    <mergeCell ref="E3644:E3646"/>
    <mergeCell ref="F3644:F3646"/>
    <mergeCell ref="G3644:G3646"/>
    <mergeCell ref="H3644:H3646"/>
    <mergeCell ref="I3644:I3646"/>
    <mergeCell ref="J3644:J3646"/>
    <mergeCell ref="K3644:K3646"/>
    <mergeCell ref="L3644:L3646"/>
    <mergeCell ref="D3647:D3649"/>
    <mergeCell ref="E3647:E3649"/>
    <mergeCell ref="F3647:F3649"/>
    <mergeCell ref="G3647:G3649"/>
    <mergeCell ref="H3647:H3649"/>
    <mergeCell ref="I3647:I3649"/>
    <mergeCell ref="J3647:J3649"/>
    <mergeCell ref="K3647:K3649"/>
    <mergeCell ref="L3647:L3649"/>
    <mergeCell ref="D3650:F3650"/>
    <mergeCell ref="G3650:L3650"/>
    <mergeCell ref="A3652:A3654"/>
    <mergeCell ref="B3652:C3661"/>
    <mergeCell ref="D3652:D3654"/>
    <mergeCell ref="E3652:E3654"/>
    <mergeCell ref="F3652:F3654"/>
    <mergeCell ref="G3652:G3654"/>
    <mergeCell ref="H3652:H3654"/>
    <mergeCell ref="I3652:I3654"/>
    <mergeCell ref="J3652:J3654"/>
    <mergeCell ref="K3652:K3654"/>
    <mergeCell ref="L3652:L3654"/>
    <mergeCell ref="D3655:D3657"/>
    <mergeCell ref="E3655:E3657"/>
    <mergeCell ref="F3655:F3657"/>
    <mergeCell ref="G3655:G3657"/>
    <mergeCell ref="H3655:H3657"/>
    <mergeCell ref="I3655:I3657"/>
    <mergeCell ref="J3655:J3657"/>
    <mergeCell ref="K3655:K3657"/>
    <mergeCell ref="L3655:L3657"/>
    <mergeCell ref="D3658:D3660"/>
    <mergeCell ref="E3658:E3660"/>
    <mergeCell ref="F3658:F3660"/>
    <mergeCell ref="G3658:G3660"/>
    <mergeCell ref="H3658:H3660"/>
    <mergeCell ref="I3658:I3660"/>
    <mergeCell ref="J3658:J3660"/>
    <mergeCell ref="K3658:K3660"/>
    <mergeCell ref="L3658:L3660"/>
    <mergeCell ref="D3661:F3661"/>
    <mergeCell ref="G3661:L3661"/>
    <mergeCell ref="A3641:A3643"/>
    <mergeCell ref="B3641:C3650"/>
    <mergeCell ref="D3663:D3665"/>
    <mergeCell ref="E3663:E3665"/>
    <mergeCell ref="F3663:F3665"/>
    <mergeCell ref="G3663:G3665"/>
    <mergeCell ref="H3663:H3665"/>
    <mergeCell ref="I3663:I3665"/>
    <mergeCell ref="J3663:J3665"/>
    <mergeCell ref="K3663:K3665"/>
    <mergeCell ref="L3663:L3665"/>
    <mergeCell ref="D3666:D3668"/>
    <mergeCell ref="E3666:E3668"/>
    <mergeCell ref="F3666:F3668"/>
    <mergeCell ref="G3666:G3668"/>
    <mergeCell ref="H3666:H3668"/>
    <mergeCell ref="I3666:I3668"/>
    <mergeCell ref="J3666:J3668"/>
    <mergeCell ref="K3666:K3668"/>
    <mergeCell ref="L3666:L3668"/>
    <mergeCell ref="D3669:D3671"/>
    <mergeCell ref="E3669:E3671"/>
    <mergeCell ref="F3669:F3671"/>
    <mergeCell ref="G3669:G3671"/>
    <mergeCell ref="H3669:H3671"/>
    <mergeCell ref="I3669:I3671"/>
    <mergeCell ref="J3669:J3671"/>
    <mergeCell ref="K3669:K3671"/>
    <mergeCell ref="L3669:L3671"/>
    <mergeCell ref="D3672:F3672"/>
    <mergeCell ref="G3672:L3672"/>
    <mergeCell ref="A3784:A3786"/>
    <mergeCell ref="B3784:C3793"/>
    <mergeCell ref="D3784:D3786"/>
    <mergeCell ref="E3784:E3786"/>
    <mergeCell ref="F3784:F3786"/>
    <mergeCell ref="G3784:G3786"/>
    <mergeCell ref="H3784:H3786"/>
    <mergeCell ref="I3784:I3786"/>
    <mergeCell ref="J3784:J3786"/>
    <mergeCell ref="K3784:K3786"/>
    <mergeCell ref="L3784:L3786"/>
    <mergeCell ref="D3787:D3789"/>
    <mergeCell ref="E3787:E3789"/>
    <mergeCell ref="F3787:F3789"/>
    <mergeCell ref="G3787:G3789"/>
    <mergeCell ref="H3787:H3789"/>
    <mergeCell ref="I3787:I3789"/>
    <mergeCell ref="J3787:J3789"/>
    <mergeCell ref="K3787:K3789"/>
    <mergeCell ref="L3787:L3789"/>
    <mergeCell ref="D3790:D3792"/>
    <mergeCell ref="E3790:E3792"/>
    <mergeCell ref="F3790:F3792"/>
    <mergeCell ref="G3790:G3792"/>
    <mergeCell ref="H3790:H3792"/>
    <mergeCell ref="I3790:I3792"/>
    <mergeCell ref="J3790:J3792"/>
    <mergeCell ref="K3790:K3792"/>
    <mergeCell ref="L3790:L3792"/>
    <mergeCell ref="D3793:F3793"/>
    <mergeCell ref="G3793:L3793"/>
    <mergeCell ref="A3663:A3665"/>
    <mergeCell ref="B3663:C3672"/>
    <mergeCell ref="A3685:A3687"/>
    <mergeCell ref="B3685:C3694"/>
    <mergeCell ref="L3801:L3803"/>
    <mergeCell ref="D3804:F3804"/>
    <mergeCell ref="G3804:L3804"/>
    <mergeCell ref="A3806:A3808"/>
    <mergeCell ref="B3806:C3815"/>
    <mergeCell ref="D3806:D3808"/>
    <mergeCell ref="E3806:E3808"/>
    <mergeCell ref="F3806:F3808"/>
    <mergeCell ref="G3806:G3808"/>
    <mergeCell ref="H3806:H3808"/>
    <mergeCell ref="I3806:I3808"/>
    <mergeCell ref="J3806:J3808"/>
    <mergeCell ref="K3806:K3808"/>
    <mergeCell ref="L3806:L3808"/>
    <mergeCell ref="D3809:D3811"/>
    <mergeCell ref="E3809:E3811"/>
    <mergeCell ref="F3809:F3811"/>
    <mergeCell ref="G3809:G3811"/>
    <mergeCell ref="H3809:H3811"/>
    <mergeCell ref="I3809:I3811"/>
    <mergeCell ref="J3809:J3811"/>
    <mergeCell ref="K3809:K3811"/>
    <mergeCell ref="L3809:L3811"/>
    <mergeCell ref="D3812:D3814"/>
    <mergeCell ref="E3812:E3814"/>
    <mergeCell ref="F3812:F3814"/>
    <mergeCell ref="G3812:G3814"/>
    <mergeCell ref="H3812:H3814"/>
    <mergeCell ref="I3812:I3814"/>
    <mergeCell ref="J3812:J3814"/>
    <mergeCell ref="K3812:K3814"/>
    <mergeCell ref="L3812:L3814"/>
    <mergeCell ref="D3815:F3815"/>
    <mergeCell ref="G3815:L3815"/>
    <mergeCell ref="A3795:A3797"/>
    <mergeCell ref="D3817:D3819"/>
    <mergeCell ref="E3817:E3819"/>
    <mergeCell ref="F3817:F3819"/>
    <mergeCell ref="G3817:G3819"/>
    <mergeCell ref="H3817:H3819"/>
    <mergeCell ref="I3817:I3819"/>
    <mergeCell ref="J3817:J3819"/>
    <mergeCell ref="K3817:K3819"/>
    <mergeCell ref="L3817:L3819"/>
    <mergeCell ref="D3820:D3822"/>
    <mergeCell ref="E3820:E3822"/>
    <mergeCell ref="F3820:F3822"/>
    <mergeCell ref="G3820:G3822"/>
    <mergeCell ref="H3820:H3822"/>
    <mergeCell ref="I3820:I3822"/>
    <mergeCell ref="J3820:J3822"/>
    <mergeCell ref="K3820:K3822"/>
    <mergeCell ref="L3820:L3822"/>
    <mergeCell ref="D3823:D3825"/>
    <mergeCell ref="E3823:E3825"/>
    <mergeCell ref="F3823:F3825"/>
    <mergeCell ref="G3823:G3825"/>
    <mergeCell ref="H3823:H3825"/>
    <mergeCell ref="I3823:I3825"/>
    <mergeCell ref="J3823:J3825"/>
    <mergeCell ref="K3823:K3825"/>
    <mergeCell ref="L3823:L3825"/>
    <mergeCell ref="D3826:F3826"/>
    <mergeCell ref="G3826:L3826"/>
    <mergeCell ref="A3828:A3830"/>
    <mergeCell ref="B3828:C3837"/>
    <mergeCell ref="D3828:D3830"/>
    <mergeCell ref="E3828:E3830"/>
    <mergeCell ref="F3828:F3830"/>
    <mergeCell ref="G3828:G3830"/>
    <mergeCell ref="H3828:H3830"/>
    <mergeCell ref="I3828:I3830"/>
    <mergeCell ref="J3828:J3830"/>
    <mergeCell ref="K3828:K3830"/>
    <mergeCell ref="L3828:L3830"/>
    <mergeCell ref="D3831:D3833"/>
    <mergeCell ref="E3831:E3833"/>
    <mergeCell ref="F3831:F3833"/>
    <mergeCell ref="G3831:G3833"/>
    <mergeCell ref="H3831:H3833"/>
    <mergeCell ref="I3831:I3833"/>
    <mergeCell ref="J3831:J3833"/>
    <mergeCell ref="K3831:K3833"/>
    <mergeCell ref="L3831:L3833"/>
    <mergeCell ref="D3834:D3836"/>
    <mergeCell ref="E3834:E3836"/>
    <mergeCell ref="F3834:F3836"/>
    <mergeCell ref="G3834:G3836"/>
    <mergeCell ref="H3834:H3836"/>
    <mergeCell ref="I3834:I3836"/>
    <mergeCell ref="J3834:J3836"/>
    <mergeCell ref="K3834:K3836"/>
    <mergeCell ref="L3834:L3836"/>
    <mergeCell ref="D3837:F3837"/>
    <mergeCell ref="G3837:L3837"/>
    <mergeCell ref="A3817:A3819"/>
    <mergeCell ref="B3817:C3826"/>
    <mergeCell ref="K3801:K3803"/>
    <mergeCell ref="D3839:D3841"/>
    <mergeCell ref="E3839:E3841"/>
    <mergeCell ref="F3839:F3841"/>
    <mergeCell ref="G3839:G3841"/>
    <mergeCell ref="H3839:H3841"/>
    <mergeCell ref="I3839:I3841"/>
    <mergeCell ref="J3839:J3841"/>
    <mergeCell ref="K3839:K3841"/>
    <mergeCell ref="L3839:L3841"/>
    <mergeCell ref="D3842:D3844"/>
    <mergeCell ref="E3842:E3844"/>
    <mergeCell ref="F3842:F3844"/>
    <mergeCell ref="G3842:G3844"/>
    <mergeCell ref="H3842:H3844"/>
    <mergeCell ref="I3842:I3844"/>
    <mergeCell ref="J3842:J3844"/>
    <mergeCell ref="K3842:K3844"/>
    <mergeCell ref="L3842:L3844"/>
    <mergeCell ref="D3845:D3847"/>
    <mergeCell ref="E3845:E3847"/>
    <mergeCell ref="F3845:F3847"/>
    <mergeCell ref="G3845:G3847"/>
    <mergeCell ref="H3845:H3847"/>
    <mergeCell ref="I3845:I3847"/>
    <mergeCell ref="J3845:J3847"/>
    <mergeCell ref="K3845:K3847"/>
    <mergeCell ref="L3845:L3847"/>
    <mergeCell ref="D3848:F3848"/>
    <mergeCell ref="G3848:L3848"/>
    <mergeCell ref="A3850:A3852"/>
    <mergeCell ref="B3850:C3859"/>
    <mergeCell ref="D3850:D3852"/>
    <mergeCell ref="E3850:E3852"/>
    <mergeCell ref="F3850:F3852"/>
    <mergeCell ref="G3850:G3852"/>
    <mergeCell ref="H3850:H3852"/>
    <mergeCell ref="I3850:I3852"/>
    <mergeCell ref="J3850:J3852"/>
    <mergeCell ref="K3850:K3852"/>
    <mergeCell ref="L3850:L3852"/>
    <mergeCell ref="D3853:D3855"/>
    <mergeCell ref="E3853:E3855"/>
    <mergeCell ref="F3853:F3855"/>
    <mergeCell ref="G3853:G3855"/>
    <mergeCell ref="H3853:H3855"/>
    <mergeCell ref="I3853:I3855"/>
    <mergeCell ref="J3853:J3855"/>
    <mergeCell ref="K3853:K3855"/>
    <mergeCell ref="L3853:L3855"/>
    <mergeCell ref="D3856:D3858"/>
    <mergeCell ref="E3856:E3858"/>
    <mergeCell ref="F3856:F3858"/>
    <mergeCell ref="G3856:G3858"/>
    <mergeCell ref="H3856:H3858"/>
    <mergeCell ref="I3856:I3858"/>
    <mergeCell ref="J3856:J3858"/>
    <mergeCell ref="K3856:K3858"/>
    <mergeCell ref="L3856:L3858"/>
    <mergeCell ref="D3859:F3859"/>
    <mergeCell ref="G3859:L3859"/>
    <mergeCell ref="A3839:A3841"/>
    <mergeCell ref="B3839:C3848"/>
    <mergeCell ref="D3861:D3863"/>
    <mergeCell ref="E3861:E3863"/>
    <mergeCell ref="F3861:F3863"/>
    <mergeCell ref="G3861:G3863"/>
    <mergeCell ref="H3861:H3863"/>
    <mergeCell ref="I3861:I3863"/>
    <mergeCell ref="J3861:J3863"/>
    <mergeCell ref="K3861:K3863"/>
    <mergeCell ref="L3861:L3863"/>
    <mergeCell ref="D3864:D3866"/>
    <mergeCell ref="E3864:E3866"/>
    <mergeCell ref="F3864:F3866"/>
    <mergeCell ref="G3864:G3866"/>
    <mergeCell ref="H3864:H3866"/>
    <mergeCell ref="I3864:I3866"/>
    <mergeCell ref="J3864:J3866"/>
    <mergeCell ref="K3864:K3866"/>
    <mergeCell ref="L3864:L3866"/>
    <mergeCell ref="D3867:D3869"/>
    <mergeCell ref="E3867:E3869"/>
    <mergeCell ref="F3867:F3869"/>
    <mergeCell ref="G3867:G3869"/>
    <mergeCell ref="H3867:H3869"/>
    <mergeCell ref="I3867:I3869"/>
    <mergeCell ref="J3867:J3869"/>
    <mergeCell ref="K3867:K3869"/>
    <mergeCell ref="L3867:L3869"/>
    <mergeCell ref="D3870:F3870"/>
    <mergeCell ref="G3870:L3870"/>
    <mergeCell ref="A3872:A3874"/>
    <mergeCell ref="B3872:C3881"/>
    <mergeCell ref="D3872:D3874"/>
    <mergeCell ref="E3872:E3874"/>
    <mergeCell ref="F3872:F3874"/>
    <mergeCell ref="G3872:G3874"/>
    <mergeCell ref="H3872:H3874"/>
    <mergeCell ref="I3872:I3874"/>
    <mergeCell ref="J3872:J3874"/>
    <mergeCell ref="K3872:K3874"/>
    <mergeCell ref="L3872:L3874"/>
    <mergeCell ref="D3875:D3877"/>
    <mergeCell ref="E3875:E3877"/>
    <mergeCell ref="F3875:F3877"/>
    <mergeCell ref="G3875:G3877"/>
    <mergeCell ref="H3875:H3877"/>
    <mergeCell ref="I3875:I3877"/>
    <mergeCell ref="J3875:J3877"/>
    <mergeCell ref="K3875:K3877"/>
    <mergeCell ref="L3875:L3877"/>
    <mergeCell ref="D3878:D3880"/>
    <mergeCell ref="E3878:E3880"/>
    <mergeCell ref="F3878:F3880"/>
    <mergeCell ref="G3878:G3880"/>
    <mergeCell ref="H3878:H3880"/>
    <mergeCell ref="I3878:I3880"/>
    <mergeCell ref="J3878:J3880"/>
    <mergeCell ref="K3878:K3880"/>
    <mergeCell ref="L3878:L3880"/>
    <mergeCell ref="D3881:F3881"/>
    <mergeCell ref="G3881:L3881"/>
    <mergeCell ref="A3861:A3863"/>
    <mergeCell ref="B3861:C3870"/>
    <mergeCell ref="D3883:D3885"/>
    <mergeCell ref="E3883:E3885"/>
    <mergeCell ref="F3883:F3885"/>
    <mergeCell ref="G3883:G3885"/>
    <mergeCell ref="H3883:H3885"/>
    <mergeCell ref="I3883:I3885"/>
    <mergeCell ref="J3883:J3885"/>
    <mergeCell ref="K3883:K3885"/>
    <mergeCell ref="L3883:L3885"/>
    <mergeCell ref="D3886:D3888"/>
    <mergeCell ref="E3886:E3888"/>
    <mergeCell ref="F3886:F3888"/>
    <mergeCell ref="G3886:G3888"/>
    <mergeCell ref="H3886:H3888"/>
    <mergeCell ref="I3886:I3888"/>
    <mergeCell ref="J3886:J3888"/>
    <mergeCell ref="K3886:K3888"/>
    <mergeCell ref="L3886:L3888"/>
    <mergeCell ref="D3889:D3891"/>
    <mergeCell ref="E3889:E3891"/>
    <mergeCell ref="F3889:F3891"/>
    <mergeCell ref="G3889:G3891"/>
    <mergeCell ref="H3889:H3891"/>
    <mergeCell ref="I3889:I3891"/>
    <mergeCell ref="J3889:J3891"/>
    <mergeCell ref="K3889:K3891"/>
    <mergeCell ref="L3889:L3891"/>
    <mergeCell ref="D3892:F3892"/>
    <mergeCell ref="G3892:L3892"/>
    <mergeCell ref="A3894:A3896"/>
    <mergeCell ref="B3894:C3903"/>
    <mergeCell ref="D3894:D3896"/>
    <mergeCell ref="E3894:E3896"/>
    <mergeCell ref="F3894:F3896"/>
    <mergeCell ref="G3894:G3896"/>
    <mergeCell ref="H3894:H3896"/>
    <mergeCell ref="I3894:I3896"/>
    <mergeCell ref="J3894:J3896"/>
    <mergeCell ref="K3894:K3896"/>
    <mergeCell ref="L3894:L3896"/>
    <mergeCell ref="D3897:D3899"/>
    <mergeCell ref="E3897:E3899"/>
    <mergeCell ref="F3897:F3899"/>
    <mergeCell ref="G3897:G3899"/>
    <mergeCell ref="H3897:H3899"/>
    <mergeCell ref="I3897:I3899"/>
    <mergeCell ref="J3897:J3899"/>
    <mergeCell ref="K3897:K3899"/>
    <mergeCell ref="L3897:L3899"/>
    <mergeCell ref="D3900:D3902"/>
    <mergeCell ref="E3900:E3902"/>
    <mergeCell ref="F3900:F3902"/>
    <mergeCell ref="G3900:G3902"/>
    <mergeCell ref="H3900:H3902"/>
    <mergeCell ref="I3900:I3902"/>
    <mergeCell ref="J3900:J3902"/>
    <mergeCell ref="K3900:K3902"/>
    <mergeCell ref="L3900:L3902"/>
    <mergeCell ref="D3903:F3903"/>
    <mergeCell ref="G3903:L3903"/>
    <mergeCell ref="A3883:A3885"/>
    <mergeCell ref="B3883:C3892"/>
    <mergeCell ref="B3905:C3914"/>
    <mergeCell ref="D3905:D3907"/>
    <mergeCell ref="E3905:E3907"/>
    <mergeCell ref="F3905:F3907"/>
    <mergeCell ref="G3905:G3907"/>
    <mergeCell ref="H3905:H3907"/>
    <mergeCell ref="I3905:I3907"/>
    <mergeCell ref="J3905:J3907"/>
    <mergeCell ref="K3905:K3907"/>
    <mergeCell ref="L3905:L3907"/>
    <mergeCell ref="D3908:D3910"/>
    <mergeCell ref="E3908:E3910"/>
    <mergeCell ref="F3908:F3910"/>
    <mergeCell ref="G3908:G3910"/>
    <mergeCell ref="H3908:H3910"/>
    <mergeCell ref="I3908:I3910"/>
    <mergeCell ref="J3908:J3910"/>
    <mergeCell ref="K3908:K3910"/>
    <mergeCell ref="L3908:L3910"/>
    <mergeCell ref="D3911:D3913"/>
    <mergeCell ref="E3911:E3913"/>
    <mergeCell ref="F3911:F3913"/>
    <mergeCell ref="G3911:G3913"/>
    <mergeCell ref="H3911:H3913"/>
    <mergeCell ref="I3911:I3913"/>
    <mergeCell ref="J3911:J3913"/>
    <mergeCell ref="K3911:K3913"/>
    <mergeCell ref="L3911:L3913"/>
    <mergeCell ref="D3914:F3914"/>
    <mergeCell ref="G3914:L3914"/>
    <mergeCell ref="A3916:A3918"/>
    <mergeCell ref="B3916:C3925"/>
    <mergeCell ref="D3916:D3918"/>
    <mergeCell ref="E3916:E3918"/>
    <mergeCell ref="F3916:F3918"/>
    <mergeCell ref="G3916:G3918"/>
    <mergeCell ref="H3916:H3918"/>
    <mergeCell ref="I3916:I3918"/>
    <mergeCell ref="J3916:J3918"/>
    <mergeCell ref="K3916:K3918"/>
    <mergeCell ref="L3916:L3918"/>
    <mergeCell ref="D3919:D3921"/>
    <mergeCell ref="E3919:E3921"/>
    <mergeCell ref="F3919:F3921"/>
    <mergeCell ref="G3919:G3921"/>
    <mergeCell ref="H3919:H3921"/>
    <mergeCell ref="I3919:I3921"/>
    <mergeCell ref="J3919:J3921"/>
    <mergeCell ref="K3919:K3921"/>
    <mergeCell ref="L3919:L3921"/>
    <mergeCell ref="D3922:D3924"/>
    <mergeCell ref="E3922:E3924"/>
    <mergeCell ref="F3922:F3924"/>
    <mergeCell ref="G3922:G3924"/>
    <mergeCell ref="H3922:H3924"/>
    <mergeCell ref="I3922:I3924"/>
    <mergeCell ref="J3922:J3924"/>
    <mergeCell ref="K3922:K3924"/>
    <mergeCell ref="L3922:L3924"/>
    <mergeCell ref="D3925:F3925"/>
    <mergeCell ref="G3925:L3925"/>
    <mergeCell ref="A3905:A3907"/>
    <mergeCell ref="D3927:D3929"/>
    <mergeCell ref="E3927:E3929"/>
    <mergeCell ref="F3927:F3929"/>
    <mergeCell ref="G3927:G3929"/>
    <mergeCell ref="H3927:H3929"/>
    <mergeCell ref="I3927:I3929"/>
    <mergeCell ref="J3927:J3929"/>
    <mergeCell ref="K3927:K3929"/>
    <mergeCell ref="L3927:L3929"/>
    <mergeCell ref="D3930:D3932"/>
    <mergeCell ref="E3930:E3932"/>
    <mergeCell ref="F3930:F3932"/>
    <mergeCell ref="G3930:G3932"/>
    <mergeCell ref="H3930:H3932"/>
    <mergeCell ref="I3930:I3932"/>
    <mergeCell ref="J3930:J3932"/>
    <mergeCell ref="K3930:K3932"/>
    <mergeCell ref="L3930:L3932"/>
    <mergeCell ref="D3933:D3935"/>
    <mergeCell ref="E3933:E3935"/>
    <mergeCell ref="F3933:F3935"/>
    <mergeCell ref="G3933:G3935"/>
    <mergeCell ref="H3933:H3935"/>
    <mergeCell ref="I3933:I3935"/>
    <mergeCell ref="J3933:J3935"/>
    <mergeCell ref="K3933:K3935"/>
    <mergeCell ref="L3933:L3935"/>
    <mergeCell ref="D3936:F3936"/>
    <mergeCell ref="G3936:L3936"/>
    <mergeCell ref="A3938:A3940"/>
    <mergeCell ref="B3938:C3947"/>
    <mergeCell ref="D3938:D3940"/>
    <mergeCell ref="E3938:E3940"/>
    <mergeCell ref="F3938:F3940"/>
    <mergeCell ref="G3938:G3940"/>
    <mergeCell ref="H3938:H3940"/>
    <mergeCell ref="I3938:I3940"/>
    <mergeCell ref="J3938:J3940"/>
    <mergeCell ref="K3938:K3940"/>
    <mergeCell ref="L3938:L3940"/>
    <mergeCell ref="D3941:D3943"/>
    <mergeCell ref="E3941:E3943"/>
    <mergeCell ref="F3941:F3943"/>
    <mergeCell ref="G3941:G3943"/>
    <mergeCell ref="H3941:H3943"/>
    <mergeCell ref="I3941:I3943"/>
    <mergeCell ref="J3941:J3943"/>
    <mergeCell ref="K3941:K3943"/>
    <mergeCell ref="L3941:L3943"/>
    <mergeCell ref="D3944:D3946"/>
    <mergeCell ref="E3944:E3946"/>
    <mergeCell ref="F3944:F3946"/>
    <mergeCell ref="G3944:G3946"/>
    <mergeCell ref="H3944:H3946"/>
    <mergeCell ref="I3944:I3946"/>
    <mergeCell ref="J3944:J3946"/>
    <mergeCell ref="K3944:K3946"/>
    <mergeCell ref="L3944:L3946"/>
    <mergeCell ref="D3947:F3947"/>
    <mergeCell ref="G3947:L3947"/>
    <mergeCell ref="A3927:A3929"/>
    <mergeCell ref="B3927:C3936"/>
    <mergeCell ref="D3949:D3951"/>
    <mergeCell ref="E3949:E3951"/>
    <mergeCell ref="F3949:F3951"/>
    <mergeCell ref="G3949:G3951"/>
    <mergeCell ref="H3949:H3951"/>
    <mergeCell ref="I3949:I3951"/>
    <mergeCell ref="J3949:J3951"/>
    <mergeCell ref="K3949:K3951"/>
    <mergeCell ref="L3949:L3951"/>
    <mergeCell ref="D3952:D3954"/>
    <mergeCell ref="E3952:E3954"/>
    <mergeCell ref="F3952:F3954"/>
    <mergeCell ref="G3952:G3954"/>
    <mergeCell ref="H3952:H3954"/>
    <mergeCell ref="I3952:I3954"/>
    <mergeCell ref="J3952:J3954"/>
    <mergeCell ref="K3952:K3954"/>
    <mergeCell ref="L3952:L3954"/>
    <mergeCell ref="D3955:D3957"/>
    <mergeCell ref="E3955:E3957"/>
    <mergeCell ref="F3955:F3957"/>
    <mergeCell ref="G3955:G3957"/>
    <mergeCell ref="H3955:H3957"/>
    <mergeCell ref="I3955:I3957"/>
    <mergeCell ref="J3955:J3957"/>
    <mergeCell ref="K3955:K3957"/>
    <mergeCell ref="L3955:L3957"/>
    <mergeCell ref="D3958:F3958"/>
    <mergeCell ref="G3958:L3958"/>
    <mergeCell ref="A3960:A3962"/>
    <mergeCell ref="B3960:C3969"/>
    <mergeCell ref="D3960:D3962"/>
    <mergeCell ref="E3960:E3962"/>
    <mergeCell ref="F3960:F3962"/>
    <mergeCell ref="G3960:G3962"/>
    <mergeCell ref="H3960:H3962"/>
    <mergeCell ref="I3960:I3962"/>
    <mergeCell ref="J3960:J3962"/>
    <mergeCell ref="K3960:K3962"/>
    <mergeCell ref="L3960:L3962"/>
    <mergeCell ref="D3963:D3965"/>
    <mergeCell ref="E3963:E3965"/>
    <mergeCell ref="F3963:F3965"/>
    <mergeCell ref="G3963:G3965"/>
    <mergeCell ref="H3963:H3965"/>
    <mergeCell ref="I3963:I3965"/>
    <mergeCell ref="J3963:J3965"/>
    <mergeCell ref="K3963:K3965"/>
    <mergeCell ref="L3963:L3965"/>
    <mergeCell ref="D3966:D3968"/>
    <mergeCell ref="E3966:E3968"/>
    <mergeCell ref="F3966:F3968"/>
    <mergeCell ref="G3966:G3968"/>
    <mergeCell ref="H3966:H3968"/>
    <mergeCell ref="I3966:I3968"/>
    <mergeCell ref="J3966:J3968"/>
    <mergeCell ref="K3966:K3968"/>
    <mergeCell ref="L3966:L3968"/>
    <mergeCell ref="D3969:F3969"/>
    <mergeCell ref="G3969:L3969"/>
    <mergeCell ref="A3949:A3951"/>
    <mergeCell ref="B3949:C3958"/>
    <mergeCell ref="D3971:D3973"/>
    <mergeCell ref="E3971:E3973"/>
    <mergeCell ref="F3971:F3973"/>
    <mergeCell ref="G3971:G3973"/>
    <mergeCell ref="H3971:H3973"/>
    <mergeCell ref="I3971:I3973"/>
    <mergeCell ref="J3971:J3973"/>
    <mergeCell ref="K3971:K3973"/>
    <mergeCell ref="L3971:L3973"/>
    <mergeCell ref="D3974:D3976"/>
    <mergeCell ref="E3974:E3976"/>
    <mergeCell ref="F3974:F3976"/>
    <mergeCell ref="G3974:G3976"/>
    <mergeCell ref="H3974:H3976"/>
    <mergeCell ref="I3974:I3976"/>
    <mergeCell ref="J3974:J3976"/>
    <mergeCell ref="K3974:K3976"/>
    <mergeCell ref="L3974:L3976"/>
    <mergeCell ref="D3977:D3979"/>
    <mergeCell ref="E3977:E3979"/>
    <mergeCell ref="F3977:F3979"/>
    <mergeCell ref="G3977:G3979"/>
    <mergeCell ref="H3977:H3979"/>
    <mergeCell ref="I3977:I3979"/>
    <mergeCell ref="J3977:J3979"/>
    <mergeCell ref="K3977:K3979"/>
    <mergeCell ref="L3977:L3979"/>
    <mergeCell ref="D3980:F3980"/>
    <mergeCell ref="G3980:L3980"/>
    <mergeCell ref="A3982:A3984"/>
    <mergeCell ref="B3982:C3991"/>
    <mergeCell ref="D3982:D3984"/>
    <mergeCell ref="E3982:E3984"/>
    <mergeCell ref="F3982:F3984"/>
    <mergeCell ref="G3982:G3984"/>
    <mergeCell ref="H3982:H3984"/>
    <mergeCell ref="I3982:I3984"/>
    <mergeCell ref="J3982:J3984"/>
    <mergeCell ref="K3982:K3984"/>
    <mergeCell ref="L3982:L3984"/>
    <mergeCell ref="D3985:D3987"/>
    <mergeCell ref="E3985:E3987"/>
    <mergeCell ref="F3985:F3987"/>
    <mergeCell ref="G3985:G3987"/>
    <mergeCell ref="H3985:H3987"/>
    <mergeCell ref="I3985:I3987"/>
    <mergeCell ref="J3985:J3987"/>
    <mergeCell ref="K3985:K3987"/>
    <mergeCell ref="L3985:L3987"/>
    <mergeCell ref="D3988:D3990"/>
    <mergeCell ref="E3988:E3990"/>
    <mergeCell ref="F3988:F3990"/>
    <mergeCell ref="G3988:G3990"/>
    <mergeCell ref="H3988:H3990"/>
    <mergeCell ref="I3988:I3990"/>
    <mergeCell ref="J3988:J3990"/>
    <mergeCell ref="K3988:K3990"/>
    <mergeCell ref="L3988:L3990"/>
    <mergeCell ref="D3991:F3991"/>
    <mergeCell ref="G3991:L3991"/>
    <mergeCell ref="A3971:A3973"/>
    <mergeCell ref="B3971:C3980"/>
    <mergeCell ref="D3993:D3995"/>
    <mergeCell ref="E3993:E3995"/>
    <mergeCell ref="F3993:F3995"/>
    <mergeCell ref="G3993:G3995"/>
    <mergeCell ref="H3993:H3995"/>
    <mergeCell ref="I3993:I3995"/>
    <mergeCell ref="J3993:J3995"/>
    <mergeCell ref="K3993:K3995"/>
    <mergeCell ref="L3993:L3995"/>
    <mergeCell ref="D3996:D3998"/>
    <mergeCell ref="E3996:E3998"/>
    <mergeCell ref="F3996:F3998"/>
    <mergeCell ref="G3996:G3998"/>
    <mergeCell ref="H3996:H3998"/>
    <mergeCell ref="I3996:I3998"/>
    <mergeCell ref="J3996:J3998"/>
    <mergeCell ref="K3996:K3998"/>
    <mergeCell ref="L3996:L3998"/>
    <mergeCell ref="D3999:D4001"/>
    <mergeCell ref="E3999:E4001"/>
    <mergeCell ref="F3999:F4001"/>
    <mergeCell ref="G3999:G4001"/>
    <mergeCell ref="H3999:H4001"/>
    <mergeCell ref="I3999:I4001"/>
    <mergeCell ref="J3999:J4001"/>
    <mergeCell ref="K3999:K4001"/>
    <mergeCell ref="L3999:L4001"/>
    <mergeCell ref="D4002:F4002"/>
    <mergeCell ref="G4002:L4002"/>
    <mergeCell ref="A4004:A4006"/>
    <mergeCell ref="B4004:C4013"/>
    <mergeCell ref="D4004:D4006"/>
    <mergeCell ref="E4004:E4006"/>
    <mergeCell ref="F4004:F4006"/>
    <mergeCell ref="G4004:G4006"/>
    <mergeCell ref="H4004:H4006"/>
    <mergeCell ref="I4004:I4006"/>
    <mergeCell ref="J4004:J4006"/>
    <mergeCell ref="K4004:K4006"/>
    <mergeCell ref="L4004:L4006"/>
    <mergeCell ref="D4013:F4013"/>
    <mergeCell ref="G4013:L4013"/>
    <mergeCell ref="A3993:A3995"/>
    <mergeCell ref="B3993:C4002"/>
    <mergeCell ref="D4007:D4009"/>
    <mergeCell ref="E4007:E4009"/>
    <mergeCell ref="F4007:F4009"/>
    <mergeCell ref="G4007:G4009"/>
    <mergeCell ref="H4007:H4009"/>
    <mergeCell ref="I4007:I4009"/>
    <mergeCell ref="J4007:J4009"/>
    <mergeCell ref="K4007:K4009"/>
    <mergeCell ref="L4007:L4009"/>
    <mergeCell ref="D4010:D4012"/>
    <mergeCell ref="E4010:E4012"/>
    <mergeCell ref="F4010:F4012"/>
    <mergeCell ref="G4010:G4012"/>
    <mergeCell ref="H4010:H4012"/>
    <mergeCell ref="I4010:I4012"/>
    <mergeCell ref="J4010:J4012"/>
    <mergeCell ref="K4010:K4012"/>
    <mergeCell ref="L4010:L4012"/>
    <mergeCell ref="B4015:C4024"/>
    <mergeCell ref="D4015:D4017"/>
    <mergeCell ref="E4015:E4017"/>
    <mergeCell ref="F4015:F4017"/>
    <mergeCell ref="G4015:G4017"/>
    <mergeCell ref="H4015:H4017"/>
    <mergeCell ref="I4015:I4017"/>
    <mergeCell ref="J4015:J4017"/>
    <mergeCell ref="K4015:K4017"/>
    <mergeCell ref="L4015:L4017"/>
    <mergeCell ref="D4024:F4024"/>
    <mergeCell ref="G4024:L4024"/>
    <mergeCell ref="A4026:A4028"/>
    <mergeCell ref="B4026:C4035"/>
    <mergeCell ref="D4026:D4028"/>
    <mergeCell ref="E4026:E4028"/>
    <mergeCell ref="F4026:F4028"/>
    <mergeCell ref="G4026:G4028"/>
    <mergeCell ref="H4026:H4028"/>
    <mergeCell ref="I4026:I4028"/>
    <mergeCell ref="J4026:J4028"/>
    <mergeCell ref="K4026:K4028"/>
    <mergeCell ref="L4026:L4028"/>
    <mergeCell ref="D4035:F4035"/>
    <mergeCell ref="G4035:L4035"/>
    <mergeCell ref="A4037:A4039"/>
    <mergeCell ref="B4037:C4046"/>
    <mergeCell ref="D4037:D4039"/>
    <mergeCell ref="E4037:E4039"/>
    <mergeCell ref="F4037:F4039"/>
    <mergeCell ref="G4037:G4039"/>
    <mergeCell ref="H4037:H4039"/>
    <mergeCell ref="I4037:I4039"/>
    <mergeCell ref="J4037:J4039"/>
    <mergeCell ref="K4037:K4039"/>
    <mergeCell ref="L4037:L4039"/>
    <mergeCell ref="D4046:F4046"/>
    <mergeCell ref="G4046:L4046"/>
    <mergeCell ref="D4018:D4020"/>
    <mergeCell ref="E4018:E4020"/>
    <mergeCell ref="F4018:F4020"/>
    <mergeCell ref="G4018:G4020"/>
    <mergeCell ref="H4018:H4020"/>
    <mergeCell ref="I4018:I4020"/>
    <mergeCell ref="J4018:J4020"/>
    <mergeCell ref="K4018:K4020"/>
    <mergeCell ref="L4018:L4020"/>
    <mergeCell ref="D4021:D4023"/>
    <mergeCell ref="E4021:E4023"/>
    <mergeCell ref="F4021:F4023"/>
    <mergeCell ref="G4021:G4023"/>
    <mergeCell ref="H4021:H4023"/>
    <mergeCell ref="I4021:I4023"/>
    <mergeCell ref="J4021:J4023"/>
    <mergeCell ref="K4021:K4023"/>
    <mergeCell ref="L4021:L4023"/>
    <mergeCell ref="A4015:A4017"/>
    <mergeCell ref="D4040:D4042"/>
    <mergeCell ref="E4040:E4042"/>
    <mergeCell ref="F4040:F4042"/>
    <mergeCell ref="G4040:G4042"/>
    <mergeCell ref="H4040:H4042"/>
    <mergeCell ref="I4040:I4042"/>
    <mergeCell ref="J4040:J4042"/>
    <mergeCell ref="J4048:J4050"/>
    <mergeCell ref="K4048:K4050"/>
    <mergeCell ref="L4048:L4050"/>
    <mergeCell ref="D4057:F4057"/>
    <mergeCell ref="G4057:L4057"/>
    <mergeCell ref="A4059:A4061"/>
    <mergeCell ref="B4059:C4068"/>
    <mergeCell ref="D4059:D4061"/>
    <mergeCell ref="E4059:E4061"/>
    <mergeCell ref="F4059:F4061"/>
    <mergeCell ref="G4059:G4061"/>
    <mergeCell ref="H4059:H4061"/>
    <mergeCell ref="I4059:I4061"/>
    <mergeCell ref="J4059:J4061"/>
    <mergeCell ref="K4059:K4061"/>
    <mergeCell ref="L4059:L4061"/>
    <mergeCell ref="D4068:F4068"/>
    <mergeCell ref="G4068:L4068"/>
    <mergeCell ref="A4070:A4072"/>
    <mergeCell ref="B4070:C4079"/>
    <mergeCell ref="D4070:D4072"/>
    <mergeCell ref="E4070:E4072"/>
    <mergeCell ref="F4070:F4072"/>
    <mergeCell ref="G4070:G4072"/>
    <mergeCell ref="H4070:H4072"/>
    <mergeCell ref="I4070:I4072"/>
    <mergeCell ref="J4070:J4072"/>
    <mergeCell ref="K4070:K4072"/>
    <mergeCell ref="L4070:L4072"/>
    <mergeCell ref="D4079:F4079"/>
    <mergeCell ref="G4079:L4079"/>
    <mergeCell ref="D4065:D4067"/>
    <mergeCell ref="E4065:E4067"/>
    <mergeCell ref="F4065:F4067"/>
    <mergeCell ref="G4065:G4067"/>
    <mergeCell ref="H4065:H4067"/>
    <mergeCell ref="I4065:I4067"/>
    <mergeCell ref="J4065:J4067"/>
    <mergeCell ref="K4065:K4067"/>
    <mergeCell ref="L4065:L4067"/>
    <mergeCell ref="D4073:D4075"/>
    <mergeCell ref="E4073:E4075"/>
    <mergeCell ref="F4073:F4075"/>
    <mergeCell ref="G4073:G4075"/>
    <mergeCell ref="H4073:H4075"/>
    <mergeCell ref="I4073:I4075"/>
    <mergeCell ref="J4073:J4075"/>
    <mergeCell ref="K4073:K4075"/>
    <mergeCell ref="L4073:L4075"/>
    <mergeCell ref="D4076:D4078"/>
    <mergeCell ref="E4076:E4078"/>
    <mergeCell ref="F4076:F4078"/>
    <mergeCell ref="G4076:G4078"/>
    <mergeCell ref="H4076:H4078"/>
    <mergeCell ref="I4076:I4078"/>
    <mergeCell ref="J4076:J4078"/>
    <mergeCell ref="K4076:K4078"/>
    <mergeCell ref="L4076:L4078"/>
    <mergeCell ref="L4054:L4056"/>
    <mergeCell ref="D4048:D4050"/>
    <mergeCell ref="E4048:E4050"/>
    <mergeCell ref="F4048:F4050"/>
    <mergeCell ref="G4048:G4050"/>
    <mergeCell ref="H4048:H4050"/>
    <mergeCell ref="D4081:D4083"/>
    <mergeCell ref="E4081:E4083"/>
    <mergeCell ref="F4081:F4083"/>
    <mergeCell ref="G4081:G4083"/>
    <mergeCell ref="H4081:H4083"/>
    <mergeCell ref="I4081:I4083"/>
    <mergeCell ref="J4081:J4083"/>
    <mergeCell ref="K4081:K4083"/>
    <mergeCell ref="L4081:L4083"/>
    <mergeCell ref="D4090:F4090"/>
    <mergeCell ref="G4090:L4090"/>
    <mergeCell ref="A4092:A4094"/>
    <mergeCell ref="B4092:C4101"/>
    <mergeCell ref="D4092:D4094"/>
    <mergeCell ref="E4092:E4094"/>
    <mergeCell ref="F4092:F4094"/>
    <mergeCell ref="G4092:G4094"/>
    <mergeCell ref="H4092:H4094"/>
    <mergeCell ref="I4092:I4094"/>
    <mergeCell ref="J4092:J4094"/>
    <mergeCell ref="K4092:K4094"/>
    <mergeCell ref="L4092:L4094"/>
    <mergeCell ref="D4101:F4101"/>
    <mergeCell ref="G4101:L4101"/>
    <mergeCell ref="A4103:A4105"/>
    <mergeCell ref="B4103:C4112"/>
    <mergeCell ref="D4103:D4105"/>
    <mergeCell ref="E4103:E4105"/>
    <mergeCell ref="F4103:F4105"/>
    <mergeCell ref="G4103:G4105"/>
    <mergeCell ref="H4103:H4105"/>
    <mergeCell ref="I4103:I4105"/>
    <mergeCell ref="J4103:J4105"/>
    <mergeCell ref="K4103:K4105"/>
    <mergeCell ref="L4103:L4105"/>
    <mergeCell ref="D4112:F4112"/>
    <mergeCell ref="G4112:L4112"/>
    <mergeCell ref="D4084:D4086"/>
    <mergeCell ref="E4084:E4086"/>
    <mergeCell ref="F4084:F4086"/>
    <mergeCell ref="G4084:G4086"/>
    <mergeCell ref="H4084:H4086"/>
    <mergeCell ref="I4084:I4086"/>
    <mergeCell ref="J4084:J4086"/>
    <mergeCell ref="K4084:K4086"/>
    <mergeCell ref="L4084:L4086"/>
    <mergeCell ref="D4087:D4089"/>
    <mergeCell ref="E4087:E4089"/>
    <mergeCell ref="F4087:F4089"/>
    <mergeCell ref="G4087:G4089"/>
    <mergeCell ref="H4087:H4089"/>
    <mergeCell ref="I4087:I4089"/>
    <mergeCell ref="J4087:J4089"/>
    <mergeCell ref="K4087:K4089"/>
    <mergeCell ref="L4087:L4089"/>
    <mergeCell ref="A4081:A4083"/>
    <mergeCell ref="B4081:C4090"/>
    <mergeCell ref="D4106:D4108"/>
    <mergeCell ref="E4106:E4108"/>
    <mergeCell ref="F4106:F4108"/>
    <mergeCell ref="G4106:G4108"/>
    <mergeCell ref="H4106:H4108"/>
    <mergeCell ref="I4106:I4108"/>
    <mergeCell ref="J4106:J4108"/>
    <mergeCell ref="B4125:C4134"/>
    <mergeCell ref="D4125:D4127"/>
    <mergeCell ref="E4125:E4127"/>
    <mergeCell ref="F4125:F4127"/>
    <mergeCell ref="G4125:G4127"/>
    <mergeCell ref="H4125:H4127"/>
    <mergeCell ref="I4125:I4127"/>
    <mergeCell ref="J4125:J4127"/>
    <mergeCell ref="K4125:K4127"/>
    <mergeCell ref="L4125:L4127"/>
    <mergeCell ref="D4128:D4130"/>
    <mergeCell ref="E4128:E4130"/>
    <mergeCell ref="F4128:F4130"/>
    <mergeCell ref="G4128:G4130"/>
    <mergeCell ref="H4128:H4130"/>
    <mergeCell ref="I4128:I4130"/>
    <mergeCell ref="J4128:J4130"/>
    <mergeCell ref="K4128:K4130"/>
    <mergeCell ref="L4128:L4130"/>
    <mergeCell ref="D4131:D4133"/>
    <mergeCell ref="E4131:E4133"/>
    <mergeCell ref="F4131:F4133"/>
    <mergeCell ref="G4131:G4133"/>
    <mergeCell ref="H4131:H4133"/>
    <mergeCell ref="I4131:I4133"/>
    <mergeCell ref="J4131:J4133"/>
    <mergeCell ref="K4131:K4133"/>
    <mergeCell ref="L4131:L4133"/>
    <mergeCell ref="D4134:F4134"/>
    <mergeCell ref="G4134:L4134"/>
    <mergeCell ref="E4136:E4138"/>
    <mergeCell ref="F4136:F4138"/>
    <mergeCell ref="G4136:G4138"/>
    <mergeCell ref="H4136:H4138"/>
    <mergeCell ref="I4136:I4138"/>
    <mergeCell ref="J4136:J4138"/>
    <mergeCell ref="K4136:K4138"/>
    <mergeCell ref="L4136:L4138"/>
    <mergeCell ref="D4139:D4141"/>
    <mergeCell ref="E4139:E4141"/>
    <mergeCell ref="F4139:F4141"/>
    <mergeCell ref="G4139:G4141"/>
    <mergeCell ref="H4139:H4141"/>
    <mergeCell ref="I4139:I4141"/>
    <mergeCell ref="J4139:J4141"/>
    <mergeCell ref="K4139:K4141"/>
    <mergeCell ref="L4139:L4141"/>
    <mergeCell ref="D4142:D4144"/>
    <mergeCell ref="E4142:E4144"/>
    <mergeCell ref="F4142:F4144"/>
    <mergeCell ref="G4142:G4144"/>
    <mergeCell ref="H4142:H4144"/>
    <mergeCell ref="I4142:I4144"/>
    <mergeCell ref="J4142:J4144"/>
    <mergeCell ref="K4142:K4144"/>
    <mergeCell ref="L4142:L4144"/>
    <mergeCell ref="D4145:F4145"/>
    <mergeCell ref="G4145:L4145"/>
    <mergeCell ref="A4147:A4149"/>
    <mergeCell ref="B4147:C4156"/>
    <mergeCell ref="D4147:D4149"/>
    <mergeCell ref="E4147:E4149"/>
    <mergeCell ref="F4147:F4149"/>
    <mergeCell ref="G4147:G4149"/>
    <mergeCell ref="H4147:H4149"/>
    <mergeCell ref="I4147:I4149"/>
    <mergeCell ref="J4147:J4149"/>
    <mergeCell ref="K4147:K4149"/>
    <mergeCell ref="L4147:L4149"/>
    <mergeCell ref="D4150:D4152"/>
    <mergeCell ref="E4150:E4152"/>
    <mergeCell ref="F4150:F4152"/>
    <mergeCell ref="G4150:G4152"/>
    <mergeCell ref="H4150:H4152"/>
    <mergeCell ref="I4150:I4152"/>
    <mergeCell ref="J4150:J4152"/>
    <mergeCell ref="K4150:K4152"/>
    <mergeCell ref="L4150:L4152"/>
    <mergeCell ref="D4153:D4155"/>
    <mergeCell ref="E4153:E4155"/>
    <mergeCell ref="F4153:F4155"/>
    <mergeCell ref="G4153:G4155"/>
    <mergeCell ref="H4153:H4155"/>
    <mergeCell ref="I4153:I4155"/>
    <mergeCell ref="J4153:J4155"/>
    <mergeCell ref="K4153:K4155"/>
    <mergeCell ref="L4153:L4155"/>
    <mergeCell ref="D4156:F4156"/>
    <mergeCell ref="G4156:L4156"/>
    <mergeCell ref="A4158:A4160"/>
    <mergeCell ref="B4158:C4167"/>
    <mergeCell ref="D4158:D4160"/>
    <mergeCell ref="E4158:E4160"/>
    <mergeCell ref="F4158:F4160"/>
    <mergeCell ref="G4158:G4160"/>
    <mergeCell ref="H4158:H4160"/>
    <mergeCell ref="I4158:I4160"/>
    <mergeCell ref="J4158:J4160"/>
    <mergeCell ref="K4158:K4160"/>
    <mergeCell ref="L4158:L4160"/>
    <mergeCell ref="D4161:D4163"/>
    <mergeCell ref="E4161:E4163"/>
    <mergeCell ref="F4161:F4163"/>
    <mergeCell ref="G4161:G4163"/>
    <mergeCell ref="H4161:H4163"/>
    <mergeCell ref="I4161:I4163"/>
    <mergeCell ref="J4161:J4163"/>
    <mergeCell ref="K4161:K4163"/>
    <mergeCell ref="L4161:L4163"/>
    <mergeCell ref="D4164:D4166"/>
    <mergeCell ref="E4164:E4166"/>
    <mergeCell ref="F4164:F4166"/>
    <mergeCell ref="G4164:G4166"/>
    <mergeCell ref="H4164:H4166"/>
    <mergeCell ref="I4164:I4166"/>
    <mergeCell ref="J4164:J4166"/>
    <mergeCell ref="K4164:K4166"/>
    <mergeCell ref="L4164:L4166"/>
    <mergeCell ref="D4167:F4167"/>
    <mergeCell ref="G4167:L4167"/>
    <mergeCell ref="A4169:A4171"/>
    <mergeCell ref="B4169:C4178"/>
    <mergeCell ref="D4169:D4171"/>
    <mergeCell ref="E4169:E4171"/>
    <mergeCell ref="F4169:F4171"/>
    <mergeCell ref="G4169:G4171"/>
    <mergeCell ref="H4169:H4171"/>
    <mergeCell ref="I4169:I4171"/>
    <mergeCell ref="J4169:J4171"/>
    <mergeCell ref="K4169:K4171"/>
    <mergeCell ref="L4169:L4171"/>
    <mergeCell ref="D4172:D4174"/>
    <mergeCell ref="E4172:E4174"/>
    <mergeCell ref="F4172:F4174"/>
    <mergeCell ref="G4172:G4174"/>
    <mergeCell ref="H4172:H4174"/>
    <mergeCell ref="I4172:I4174"/>
    <mergeCell ref="J4172:J4174"/>
    <mergeCell ref="K4172:K4174"/>
    <mergeCell ref="L4172:L4174"/>
    <mergeCell ref="D4175:D4177"/>
    <mergeCell ref="E4175:E4177"/>
    <mergeCell ref="F4175:F4177"/>
    <mergeCell ref="G4175:G4177"/>
    <mergeCell ref="H4175:H4177"/>
    <mergeCell ref="I4175:I4177"/>
    <mergeCell ref="J4175:J4177"/>
    <mergeCell ref="K4175:K4177"/>
    <mergeCell ref="L4175:L4177"/>
    <mergeCell ref="D4178:F4178"/>
    <mergeCell ref="G4178:L4178"/>
    <mergeCell ref="D4180:D4182"/>
    <mergeCell ref="E4180:E4182"/>
    <mergeCell ref="F4180:F4182"/>
    <mergeCell ref="G4180:G4182"/>
    <mergeCell ref="H4180:H4182"/>
    <mergeCell ref="I4180:I4182"/>
    <mergeCell ref="J4180:J4182"/>
    <mergeCell ref="K4180:K4182"/>
    <mergeCell ref="L4180:L4182"/>
    <mergeCell ref="D4183:D4185"/>
    <mergeCell ref="E4183:E4185"/>
    <mergeCell ref="F4183:F4185"/>
    <mergeCell ref="G4183:G4185"/>
    <mergeCell ref="H4183:H4185"/>
    <mergeCell ref="I4183:I4185"/>
    <mergeCell ref="J4183:J4185"/>
    <mergeCell ref="K4183:K4185"/>
    <mergeCell ref="L4183:L4185"/>
    <mergeCell ref="D4186:D4188"/>
    <mergeCell ref="E4186:E4188"/>
    <mergeCell ref="F4186:F4188"/>
    <mergeCell ref="G4186:G4188"/>
    <mergeCell ref="H4186:H4188"/>
    <mergeCell ref="I4186:I4188"/>
    <mergeCell ref="J4186:J4188"/>
    <mergeCell ref="K4186:K4188"/>
    <mergeCell ref="L4186:L4188"/>
    <mergeCell ref="D4189:F4189"/>
    <mergeCell ref="G4189:L4189"/>
    <mergeCell ref="A4191:A4193"/>
    <mergeCell ref="B4191:C4200"/>
    <mergeCell ref="D4191:D4193"/>
    <mergeCell ref="E4191:E4193"/>
    <mergeCell ref="F4191:F4193"/>
    <mergeCell ref="G4191:G4193"/>
    <mergeCell ref="H4191:H4193"/>
    <mergeCell ref="I4191:I4193"/>
    <mergeCell ref="J4191:J4193"/>
    <mergeCell ref="K4191:K4193"/>
    <mergeCell ref="L4191:L4193"/>
    <mergeCell ref="D4194:D4196"/>
    <mergeCell ref="E4194:E4196"/>
    <mergeCell ref="F4194:F4196"/>
    <mergeCell ref="G4194:G4196"/>
    <mergeCell ref="H4194:H4196"/>
    <mergeCell ref="I4194:I4196"/>
    <mergeCell ref="J4194:J4196"/>
    <mergeCell ref="K4194:K4196"/>
    <mergeCell ref="L4194:L4196"/>
    <mergeCell ref="D4197:D4199"/>
    <mergeCell ref="E4197:E4199"/>
    <mergeCell ref="F4197:F4199"/>
    <mergeCell ref="G4197:G4199"/>
    <mergeCell ref="H4197:H4199"/>
    <mergeCell ref="I4197:I4199"/>
    <mergeCell ref="J4197:J4199"/>
    <mergeCell ref="K4197:K4199"/>
    <mergeCell ref="L4197:L4199"/>
    <mergeCell ref="D4200:F4200"/>
    <mergeCell ref="G4200:L4200"/>
    <mergeCell ref="A4180:A4182"/>
    <mergeCell ref="B4180:C4189"/>
    <mergeCell ref="D4202:D4204"/>
    <mergeCell ref="E4202:E4204"/>
    <mergeCell ref="F4202:F4204"/>
    <mergeCell ref="G4202:G4204"/>
    <mergeCell ref="H4202:H4204"/>
    <mergeCell ref="I4202:I4204"/>
    <mergeCell ref="J4202:J4204"/>
    <mergeCell ref="K4202:K4204"/>
    <mergeCell ref="L4202:L4204"/>
    <mergeCell ref="D4205:D4207"/>
    <mergeCell ref="E4205:E4207"/>
    <mergeCell ref="F4205:F4207"/>
    <mergeCell ref="G4205:G4207"/>
    <mergeCell ref="H4205:H4207"/>
    <mergeCell ref="I4205:I4207"/>
    <mergeCell ref="J4205:J4207"/>
    <mergeCell ref="K4205:K4207"/>
    <mergeCell ref="L4205:L4207"/>
    <mergeCell ref="D4208:D4210"/>
    <mergeCell ref="E4208:E4210"/>
    <mergeCell ref="F4208:F4210"/>
    <mergeCell ref="G4208:G4210"/>
    <mergeCell ref="H4208:H4210"/>
    <mergeCell ref="I4208:I4210"/>
    <mergeCell ref="J4208:J4210"/>
    <mergeCell ref="K4208:K4210"/>
    <mergeCell ref="L4208:L4210"/>
    <mergeCell ref="D4211:F4211"/>
    <mergeCell ref="G4211:L4211"/>
    <mergeCell ref="A4213:A4215"/>
    <mergeCell ref="B4213:C4222"/>
    <mergeCell ref="D4213:D4215"/>
    <mergeCell ref="E4213:E4215"/>
    <mergeCell ref="F4213:F4215"/>
    <mergeCell ref="G4213:G4215"/>
    <mergeCell ref="H4213:H4215"/>
    <mergeCell ref="I4213:I4215"/>
    <mergeCell ref="J4213:J4215"/>
    <mergeCell ref="K4213:K4215"/>
    <mergeCell ref="L4213:L4215"/>
    <mergeCell ref="D4216:D4218"/>
    <mergeCell ref="E4216:E4218"/>
    <mergeCell ref="F4216:F4218"/>
    <mergeCell ref="G4216:G4218"/>
    <mergeCell ref="H4216:H4218"/>
    <mergeCell ref="I4216:I4218"/>
    <mergeCell ref="J4216:J4218"/>
    <mergeCell ref="K4216:K4218"/>
    <mergeCell ref="L4216:L4218"/>
    <mergeCell ref="D4219:D4221"/>
    <mergeCell ref="E4219:E4221"/>
    <mergeCell ref="F4219:F4221"/>
    <mergeCell ref="G4219:G4221"/>
    <mergeCell ref="H4219:H4221"/>
    <mergeCell ref="I4219:I4221"/>
    <mergeCell ref="J4219:J4221"/>
    <mergeCell ref="K4219:K4221"/>
    <mergeCell ref="L4219:L4221"/>
    <mergeCell ref="D4222:F4222"/>
    <mergeCell ref="G4222:L4222"/>
    <mergeCell ref="A4202:A4204"/>
    <mergeCell ref="B4202:C4211"/>
    <mergeCell ref="D4224:D4226"/>
    <mergeCell ref="E4224:E4226"/>
    <mergeCell ref="F4224:F4226"/>
    <mergeCell ref="G4224:G4226"/>
    <mergeCell ref="H4224:H4226"/>
    <mergeCell ref="I4224:I4226"/>
    <mergeCell ref="J4224:J4226"/>
    <mergeCell ref="K4224:K4226"/>
    <mergeCell ref="L4224:L4226"/>
    <mergeCell ref="D4227:D4229"/>
    <mergeCell ref="E4227:E4229"/>
    <mergeCell ref="F4227:F4229"/>
    <mergeCell ref="G4227:G4229"/>
    <mergeCell ref="H4227:H4229"/>
    <mergeCell ref="I4227:I4229"/>
    <mergeCell ref="J4227:J4229"/>
    <mergeCell ref="K4227:K4229"/>
    <mergeCell ref="L4227:L4229"/>
    <mergeCell ref="D4230:D4232"/>
    <mergeCell ref="E4230:E4232"/>
    <mergeCell ref="F4230:F4232"/>
    <mergeCell ref="G4230:G4232"/>
    <mergeCell ref="H4230:H4232"/>
    <mergeCell ref="I4230:I4232"/>
    <mergeCell ref="J4230:J4232"/>
    <mergeCell ref="K4230:K4232"/>
    <mergeCell ref="L4230:L4232"/>
    <mergeCell ref="D4233:F4233"/>
    <mergeCell ref="G4233:L4233"/>
    <mergeCell ref="A4235:A4237"/>
    <mergeCell ref="B4235:C4244"/>
    <mergeCell ref="D4238:D4240"/>
    <mergeCell ref="E4238:E4240"/>
    <mergeCell ref="F4238:F4240"/>
    <mergeCell ref="G4238:G4240"/>
    <mergeCell ref="H4238:H4240"/>
    <mergeCell ref="I4238:I4240"/>
    <mergeCell ref="J4238:J4240"/>
    <mergeCell ref="K4238:K4240"/>
    <mergeCell ref="L4238:L4240"/>
    <mergeCell ref="D4241:D4243"/>
    <mergeCell ref="E4241:E4243"/>
    <mergeCell ref="F4241:F4243"/>
    <mergeCell ref="G4241:G4243"/>
    <mergeCell ref="H4241:H4243"/>
    <mergeCell ref="I4241:I4243"/>
    <mergeCell ref="J4241:J4243"/>
    <mergeCell ref="K4241:K4243"/>
    <mergeCell ref="L4241:L4243"/>
    <mergeCell ref="D4244:F4244"/>
    <mergeCell ref="G4244:L4244"/>
    <mergeCell ref="A4224:A4226"/>
    <mergeCell ref="B4224:C4233"/>
    <mergeCell ref="H4260:H4262"/>
    <mergeCell ref="I4260:I4262"/>
    <mergeCell ref="J4260:J4262"/>
    <mergeCell ref="K4260:K4262"/>
    <mergeCell ref="L4260:L4262"/>
    <mergeCell ref="D4263:D4265"/>
    <mergeCell ref="E4263:E4265"/>
    <mergeCell ref="F4263:F4265"/>
    <mergeCell ref="G4263:G4265"/>
    <mergeCell ref="H4263:H4265"/>
    <mergeCell ref="I4263:I4265"/>
    <mergeCell ref="J4263:J4265"/>
    <mergeCell ref="K4263:K4265"/>
    <mergeCell ref="L4263:L4265"/>
    <mergeCell ref="D4266:F4266"/>
    <mergeCell ref="G4266:L4266"/>
    <mergeCell ref="A4268:A4270"/>
    <mergeCell ref="B4268:C4277"/>
    <mergeCell ref="D4271:D4273"/>
    <mergeCell ref="E4271:E4273"/>
    <mergeCell ref="F4271:F4273"/>
    <mergeCell ref="G4271:G4273"/>
    <mergeCell ref="H4271:H4273"/>
    <mergeCell ref="I4271:I4273"/>
    <mergeCell ref="J4271:J4273"/>
    <mergeCell ref="K4271:K4273"/>
    <mergeCell ref="L4271:L4273"/>
    <mergeCell ref="D4274:D4276"/>
    <mergeCell ref="E4274:E4276"/>
    <mergeCell ref="F4274:F4276"/>
    <mergeCell ref="G4274:G4276"/>
    <mergeCell ref="H4274:H4276"/>
    <mergeCell ref="I4274:I4276"/>
    <mergeCell ref="J4274:J4276"/>
    <mergeCell ref="K4274:K4276"/>
    <mergeCell ref="L4274:L4276"/>
    <mergeCell ref="D4277:F4277"/>
    <mergeCell ref="G4277:L4277"/>
    <mergeCell ref="H4293:H4295"/>
    <mergeCell ref="I4293:I4295"/>
    <mergeCell ref="J4293:J4295"/>
    <mergeCell ref="K4293:K4295"/>
    <mergeCell ref="L4293:L4295"/>
    <mergeCell ref="D4296:D4298"/>
    <mergeCell ref="E4296:E4298"/>
    <mergeCell ref="F4296:F4298"/>
    <mergeCell ref="G4296:G4298"/>
    <mergeCell ref="H4296:H4298"/>
    <mergeCell ref="I4296:I4298"/>
    <mergeCell ref="J4296:J4298"/>
    <mergeCell ref="K4296:K4298"/>
    <mergeCell ref="L4296:L4298"/>
    <mergeCell ref="D4299:F4299"/>
    <mergeCell ref="G4299:L4299"/>
    <mergeCell ref="A4301:A4303"/>
    <mergeCell ref="B4301:C4310"/>
    <mergeCell ref="D4304:D4306"/>
    <mergeCell ref="E4304:E4306"/>
    <mergeCell ref="F4304:F4306"/>
    <mergeCell ref="G4304:G4306"/>
    <mergeCell ref="H4304:H4306"/>
    <mergeCell ref="I4304:I4306"/>
    <mergeCell ref="J4304:J4306"/>
    <mergeCell ref="K4304:K4306"/>
    <mergeCell ref="L4304:L4306"/>
    <mergeCell ref="D4307:D4309"/>
    <mergeCell ref="E4307:E4309"/>
    <mergeCell ref="F4307:F4309"/>
    <mergeCell ref="G4307:G4309"/>
    <mergeCell ref="H4307:H4309"/>
    <mergeCell ref="I4307:I4309"/>
    <mergeCell ref="J4307:J4309"/>
    <mergeCell ref="K4307:K4309"/>
    <mergeCell ref="L4307:L4309"/>
    <mergeCell ref="D4310:F4310"/>
    <mergeCell ref="G4310:L4310"/>
    <mergeCell ref="A4312:A4314"/>
    <mergeCell ref="B4312:C4321"/>
    <mergeCell ref="D4315:D4317"/>
    <mergeCell ref="E4315:E4317"/>
    <mergeCell ref="F4315:F4317"/>
    <mergeCell ref="G4315:G4317"/>
    <mergeCell ref="H4315:H4317"/>
    <mergeCell ref="I4315:I4317"/>
    <mergeCell ref="J4315:J4317"/>
    <mergeCell ref="K4315:K4317"/>
    <mergeCell ref="L4315:L4317"/>
    <mergeCell ref="D4318:D4320"/>
    <mergeCell ref="E4318:E4320"/>
    <mergeCell ref="F4318:F4320"/>
    <mergeCell ref="G4318:G4320"/>
    <mergeCell ref="H4318:H4320"/>
    <mergeCell ref="I4318:I4320"/>
    <mergeCell ref="J4318:J4320"/>
    <mergeCell ref="K4318:K4320"/>
    <mergeCell ref="L4318:L4320"/>
    <mergeCell ref="D4321:F4321"/>
    <mergeCell ref="G4321:L4321"/>
    <mergeCell ref="A4323:A4325"/>
    <mergeCell ref="B4323:C4332"/>
    <mergeCell ref="D4326:D4328"/>
    <mergeCell ref="E4326:E4328"/>
    <mergeCell ref="F4326:F4328"/>
    <mergeCell ref="G4326:G4328"/>
    <mergeCell ref="H4326:H4328"/>
    <mergeCell ref="I4326:I4328"/>
    <mergeCell ref="J4326:J4328"/>
    <mergeCell ref="K4326:K4328"/>
    <mergeCell ref="L4326:L4328"/>
    <mergeCell ref="D4329:D4331"/>
    <mergeCell ref="E4329:E4331"/>
    <mergeCell ref="F4329:F4331"/>
    <mergeCell ref="G4329:G4331"/>
    <mergeCell ref="H4329:H4331"/>
    <mergeCell ref="I4329:I4331"/>
    <mergeCell ref="J4329:J4331"/>
    <mergeCell ref="K4329:K4331"/>
    <mergeCell ref="L4329:L4331"/>
    <mergeCell ref="D4332:F4332"/>
    <mergeCell ref="G4332:L4332"/>
    <mergeCell ref="H4348:H4350"/>
    <mergeCell ref="I4348:I4350"/>
    <mergeCell ref="J4348:J4350"/>
    <mergeCell ref="K4348:K4350"/>
    <mergeCell ref="L4348:L4350"/>
    <mergeCell ref="D4354:F4354"/>
    <mergeCell ref="G4354:L4354"/>
    <mergeCell ref="A4356:A4358"/>
    <mergeCell ref="B4356:C4365"/>
    <mergeCell ref="D4356:D4358"/>
    <mergeCell ref="E4356:E4358"/>
    <mergeCell ref="F4356:F4358"/>
    <mergeCell ref="G4356:G4358"/>
    <mergeCell ref="H4356:H4358"/>
    <mergeCell ref="I4356:I4358"/>
    <mergeCell ref="J4356:J4358"/>
    <mergeCell ref="K4356:K4358"/>
    <mergeCell ref="L4356:L4358"/>
    <mergeCell ref="D4359:D4361"/>
    <mergeCell ref="E4359:E4361"/>
    <mergeCell ref="F4359:F4361"/>
    <mergeCell ref="G4359:G4361"/>
    <mergeCell ref="H4359:H4361"/>
    <mergeCell ref="I4359:I4361"/>
    <mergeCell ref="J4359:J4361"/>
    <mergeCell ref="K4359:K4361"/>
    <mergeCell ref="L4359:L4361"/>
    <mergeCell ref="D4365:F4365"/>
    <mergeCell ref="G4365:L4365"/>
    <mergeCell ref="D4362:D4364"/>
    <mergeCell ref="E4362:E4364"/>
    <mergeCell ref="F4362:F4364"/>
    <mergeCell ref="G4362:G4364"/>
    <mergeCell ref="H4362:H4364"/>
    <mergeCell ref="I4362:I4364"/>
    <mergeCell ref="J4362:J4364"/>
    <mergeCell ref="K4362:K4364"/>
    <mergeCell ref="L4362:L4364"/>
    <mergeCell ref="D4367:D4369"/>
    <mergeCell ref="E4367:E4369"/>
    <mergeCell ref="F4367:F4369"/>
    <mergeCell ref="G4367:G4369"/>
    <mergeCell ref="H4367:H4369"/>
    <mergeCell ref="I4367:I4369"/>
    <mergeCell ref="J4367:J4369"/>
    <mergeCell ref="K4367:K4369"/>
    <mergeCell ref="L4367:L4369"/>
    <mergeCell ref="D4370:D4372"/>
    <mergeCell ref="E4370:E4372"/>
    <mergeCell ref="F4370:F4372"/>
    <mergeCell ref="G4370:G4372"/>
    <mergeCell ref="H4370:H4372"/>
    <mergeCell ref="I4370:I4372"/>
    <mergeCell ref="J4370:J4372"/>
    <mergeCell ref="K4370:K4372"/>
    <mergeCell ref="L4370:L4372"/>
    <mergeCell ref="D4376:F4376"/>
    <mergeCell ref="G4376:L4376"/>
    <mergeCell ref="A4378:A4380"/>
    <mergeCell ref="B4378:C4387"/>
    <mergeCell ref="D4378:D4380"/>
    <mergeCell ref="E4378:E4380"/>
    <mergeCell ref="F4378:F4380"/>
    <mergeCell ref="G4378:G4380"/>
    <mergeCell ref="H4378:H4380"/>
    <mergeCell ref="I4378:I4380"/>
    <mergeCell ref="J4378:J4380"/>
    <mergeCell ref="K4378:K4380"/>
    <mergeCell ref="L4378:L4380"/>
    <mergeCell ref="D4381:D4383"/>
    <mergeCell ref="E4381:E4383"/>
    <mergeCell ref="F4381:F4383"/>
    <mergeCell ref="G4381:G4383"/>
    <mergeCell ref="H4381:H4383"/>
    <mergeCell ref="I4381:I4383"/>
    <mergeCell ref="J4381:J4383"/>
    <mergeCell ref="K4381:K4383"/>
    <mergeCell ref="L4381:L4383"/>
    <mergeCell ref="D4387:F4387"/>
    <mergeCell ref="G4387:L4387"/>
    <mergeCell ref="D4373:D4375"/>
    <mergeCell ref="E4373:E4375"/>
    <mergeCell ref="F4373:F4375"/>
    <mergeCell ref="G4373:G4375"/>
    <mergeCell ref="H4373:H4375"/>
    <mergeCell ref="I4373:I4375"/>
    <mergeCell ref="J4373:J4375"/>
    <mergeCell ref="K4373:K4375"/>
    <mergeCell ref="L4373:L4375"/>
    <mergeCell ref="A4367:A4369"/>
    <mergeCell ref="B4367:C4376"/>
    <mergeCell ref="D4384:D4386"/>
    <mergeCell ref="E4384:E4386"/>
    <mergeCell ref="F4384:F4386"/>
    <mergeCell ref="G4384:G4386"/>
    <mergeCell ref="H4384:H4386"/>
    <mergeCell ref="I4384:I4386"/>
    <mergeCell ref="J4384:J4386"/>
    <mergeCell ref="K4384:K4386"/>
    <mergeCell ref="L4384:L4386"/>
    <mergeCell ref="D4389:D4391"/>
    <mergeCell ref="E4389:E4391"/>
    <mergeCell ref="F4389:F4391"/>
    <mergeCell ref="G4389:G4391"/>
    <mergeCell ref="H4389:H4391"/>
    <mergeCell ref="I4389:I4391"/>
    <mergeCell ref="J4389:J4391"/>
    <mergeCell ref="K4389:K4391"/>
    <mergeCell ref="L4389:L4391"/>
    <mergeCell ref="D4392:D4394"/>
    <mergeCell ref="E4392:E4394"/>
    <mergeCell ref="F4392:F4394"/>
    <mergeCell ref="G4392:G4394"/>
    <mergeCell ref="H4392:H4394"/>
    <mergeCell ref="I4392:I4394"/>
    <mergeCell ref="J4392:J4394"/>
    <mergeCell ref="K4392:K4394"/>
    <mergeCell ref="L4392:L4394"/>
    <mergeCell ref="D4398:F4398"/>
    <mergeCell ref="G4398:L4398"/>
    <mergeCell ref="A4400:A4402"/>
    <mergeCell ref="B4400:C4409"/>
    <mergeCell ref="D4400:D4402"/>
    <mergeCell ref="E4400:E4402"/>
    <mergeCell ref="F4400:F4402"/>
    <mergeCell ref="G4400:G4402"/>
    <mergeCell ref="H4400:H4402"/>
    <mergeCell ref="I4400:I4402"/>
    <mergeCell ref="J4400:J4402"/>
    <mergeCell ref="K4400:K4402"/>
    <mergeCell ref="L4400:L4402"/>
    <mergeCell ref="D4403:D4405"/>
    <mergeCell ref="E4403:E4405"/>
    <mergeCell ref="F4403:F4405"/>
    <mergeCell ref="G4403:G4405"/>
    <mergeCell ref="H4403:H4405"/>
    <mergeCell ref="I4403:I4405"/>
    <mergeCell ref="J4403:J4405"/>
    <mergeCell ref="K4403:K4405"/>
    <mergeCell ref="L4403:L4405"/>
    <mergeCell ref="D4409:F4409"/>
    <mergeCell ref="G4409:L4409"/>
    <mergeCell ref="D4395:D4397"/>
    <mergeCell ref="E4395:E4397"/>
    <mergeCell ref="F4395:F4397"/>
    <mergeCell ref="G4395:G4397"/>
    <mergeCell ref="H4395:H4397"/>
    <mergeCell ref="I4395:I4397"/>
    <mergeCell ref="J4395:J4397"/>
    <mergeCell ref="K4395:K4397"/>
    <mergeCell ref="L4395:L4397"/>
    <mergeCell ref="A4389:A4391"/>
    <mergeCell ref="B4389:C4398"/>
    <mergeCell ref="D4406:D4408"/>
    <mergeCell ref="E4406:E4408"/>
    <mergeCell ref="F4406:F4408"/>
    <mergeCell ref="G4406:G4408"/>
    <mergeCell ref="H4406:H4408"/>
    <mergeCell ref="I4406:I4408"/>
    <mergeCell ref="J4406:J4408"/>
    <mergeCell ref="K4406:K4408"/>
    <mergeCell ref="L4406:L4408"/>
    <mergeCell ref="D4411:D4413"/>
    <mergeCell ref="E4411:E4413"/>
    <mergeCell ref="F4411:F4413"/>
    <mergeCell ref="G4411:G4413"/>
    <mergeCell ref="H4411:H4413"/>
    <mergeCell ref="I4411:I4413"/>
    <mergeCell ref="J4411:J4413"/>
    <mergeCell ref="K4411:K4413"/>
    <mergeCell ref="L4411:L4413"/>
    <mergeCell ref="D4414:D4416"/>
    <mergeCell ref="E4414:E4416"/>
    <mergeCell ref="F4414:F4416"/>
    <mergeCell ref="G4414:G4416"/>
    <mergeCell ref="H4414:H4416"/>
    <mergeCell ref="I4414:I4416"/>
    <mergeCell ref="J4414:J4416"/>
    <mergeCell ref="K4414:K4416"/>
    <mergeCell ref="L4414:L4416"/>
    <mergeCell ref="D4420:F4420"/>
    <mergeCell ref="G4420:L4420"/>
    <mergeCell ref="A4422:A4424"/>
    <mergeCell ref="B4422:C4431"/>
    <mergeCell ref="D4422:D4424"/>
    <mergeCell ref="E4422:E4424"/>
    <mergeCell ref="F4422:F4424"/>
    <mergeCell ref="G4422:G4424"/>
    <mergeCell ref="H4422:H4424"/>
    <mergeCell ref="I4422:I4424"/>
    <mergeCell ref="J4422:J4424"/>
    <mergeCell ref="K4422:K4424"/>
    <mergeCell ref="L4422:L4424"/>
    <mergeCell ref="D4425:D4427"/>
    <mergeCell ref="E4425:E4427"/>
    <mergeCell ref="F4425:F4427"/>
    <mergeCell ref="G4425:G4427"/>
    <mergeCell ref="H4425:H4427"/>
    <mergeCell ref="I4425:I4427"/>
    <mergeCell ref="J4425:J4427"/>
    <mergeCell ref="K4425:K4427"/>
    <mergeCell ref="L4425:L4427"/>
    <mergeCell ref="D4431:F4431"/>
    <mergeCell ref="G4431:L4431"/>
    <mergeCell ref="D4417:D4419"/>
    <mergeCell ref="E4417:E4419"/>
    <mergeCell ref="F4417:F4419"/>
    <mergeCell ref="G4417:G4419"/>
    <mergeCell ref="H4417:H4419"/>
    <mergeCell ref="I4417:I4419"/>
    <mergeCell ref="J4417:J4419"/>
    <mergeCell ref="K4417:K4419"/>
    <mergeCell ref="L4417:L4419"/>
    <mergeCell ref="A4411:A4413"/>
    <mergeCell ref="B4411:C4420"/>
    <mergeCell ref="D4428:D4430"/>
    <mergeCell ref="E4428:E4430"/>
    <mergeCell ref="F4428:F4430"/>
    <mergeCell ref="G4428:G4430"/>
    <mergeCell ref="H4428:H4430"/>
    <mergeCell ref="I4428:I4430"/>
    <mergeCell ref="J4428:J4430"/>
    <mergeCell ref="K4428:K4430"/>
    <mergeCell ref="L4428:L4430"/>
    <mergeCell ref="D4433:D4435"/>
    <mergeCell ref="E4433:E4435"/>
    <mergeCell ref="F4433:F4435"/>
    <mergeCell ref="G4433:G4435"/>
    <mergeCell ref="H4433:H4435"/>
    <mergeCell ref="I4433:I4435"/>
    <mergeCell ref="J4433:J4435"/>
    <mergeCell ref="K4433:K4435"/>
    <mergeCell ref="L4433:L4435"/>
    <mergeCell ref="D4436:D4438"/>
    <mergeCell ref="E4436:E4438"/>
    <mergeCell ref="F4436:F4438"/>
    <mergeCell ref="G4436:G4438"/>
    <mergeCell ref="H4436:H4438"/>
    <mergeCell ref="I4436:I4438"/>
    <mergeCell ref="J4436:J4438"/>
    <mergeCell ref="K4436:K4438"/>
    <mergeCell ref="L4436:L4438"/>
    <mergeCell ref="D4442:F4442"/>
    <mergeCell ref="G4442:L4442"/>
    <mergeCell ref="A4444:A4446"/>
    <mergeCell ref="B4444:C4453"/>
    <mergeCell ref="D4444:D4446"/>
    <mergeCell ref="E4444:E4446"/>
    <mergeCell ref="F4444:F4446"/>
    <mergeCell ref="G4444:G4446"/>
    <mergeCell ref="H4444:H4446"/>
    <mergeCell ref="I4444:I4446"/>
    <mergeCell ref="J4444:J4446"/>
    <mergeCell ref="K4444:K4446"/>
    <mergeCell ref="L4444:L4446"/>
    <mergeCell ref="D4447:D4449"/>
    <mergeCell ref="E4447:E4449"/>
    <mergeCell ref="F4447:F4449"/>
    <mergeCell ref="G4447:G4449"/>
    <mergeCell ref="H4447:H4449"/>
    <mergeCell ref="I4447:I4449"/>
    <mergeCell ref="J4447:J4449"/>
    <mergeCell ref="K4447:K4449"/>
    <mergeCell ref="L4447:L4449"/>
    <mergeCell ref="D4450:D4452"/>
    <mergeCell ref="E4450:E4452"/>
    <mergeCell ref="F4450:F4452"/>
    <mergeCell ref="G4450:G4452"/>
    <mergeCell ref="H4450:H4452"/>
    <mergeCell ref="I4450:I4452"/>
    <mergeCell ref="J4450:J4452"/>
    <mergeCell ref="K4450:K4452"/>
    <mergeCell ref="L4450:L4452"/>
    <mergeCell ref="D4453:F4453"/>
    <mergeCell ref="G4453:L4453"/>
    <mergeCell ref="D4439:D4441"/>
    <mergeCell ref="E4439:E4441"/>
    <mergeCell ref="F4439:F4441"/>
    <mergeCell ref="G4439:G4441"/>
    <mergeCell ref="H4439:H4441"/>
    <mergeCell ref="I4439:I4441"/>
    <mergeCell ref="J4439:J4441"/>
    <mergeCell ref="K4439:K4441"/>
    <mergeCell ref="L4439:L4441"/>
    <mergeCell ref="A4433:A4435"/>
    <mergeCell ref="B4433:C4442"/>
    <mergeCell ref="A4455:A4457"/>
    <mergeCell ref="B4455:C4464"/>
    <mergeCell ref="D4455:D4457"/>
    <mergeCell ref="E4455:E4457"/>
    <mergeCell ref="F4455:F4457"/>
    <mergeCell ref="G4455:G4457"/>
    <mergeCell ref="H4455:H4457"/>
    <mergeCell ref="I4455:I4457"/>
    <mergeCell ref="J4455:J4457"/>
    <mergeCell ref="K4455:K4457"/>
    <mergeCell ref="L4455:L4457"/>
    <mergeCell ref="D4458:D4460"/>
    <mergeCell ref="E4458:E4460"/>
    <mergeCell ref="F4458:F4460"/>
    <mergeCell ref="G4458:G4460"/>
    <mergeCell ref="H4458:H4460"/>
    <mergeCell ref="I4458:I4460"/>
    <mergeCell ref="J4458:J4460"/>
    <mergeCell ref="K4458:K4460"/>
    <mergeCell ref="L4458:L4460"/>
    <mergeCell ref="D4461:D4463"/>
    <mergeCell ref="E4461:E4463"/>
    <mergeCell ref="F4461:F4463"/>
    <mergeCell ref="G4461:G4463"/>
    <mergeCell ref="H4461:H4463"/>
    <mergeCell ref="I4461:I4463"/>
    <mergeCell ref="J4461:J4463"/>
    <mergeCell ref="K4461:K4463"/>
    <mergeCell ref="L4461:L4463"/>
    <mergeCell ref="D4464:F4464"/>
    <mergeCell ref="G4464:L4464"/>
    <mergeCell ref="A4466:A4468"/>
    <mergeCell ref="B4466:C4475"/>
    <mergeCell ref="D4466:D4468"/>
    <mergeCell ref="E4466:E4468"/>
    <mergeCell ref="F4466:F4468"/>
    <mergeCell ref="G4466:G4468"/>
    <mergeCell ref="H4466:H4468"/>
    <mergeCell ref="I4466:I4468"/>
    <mergeCell ref="J4466:J4468"/>
    <mergeCell ref="K4466:K4468"/>
    <mergeCell ref="L4466:L4468"/>
    <mergeCell ref="D4469:D4471"/>
    <mergeCell ref="E4469:E4471"/>
    <mergeCell ref="F4469:F4471"/>
    <mergeCell ref="G4469:G4471"/>
    <mergeCell ref="H4469:H4471"/>
    <mergeCell ref="I4469:I4471"/>
    <mergeCell ref="J4469:J4471"/>
    <mergeCell ref="K4469:K4471"/>
    <mergeCell ref="L4469:L4471"/>
    <mergeCell ref="D4472:D4474"/>
    <mergeCell ref="E4472:E4474"/>
    <mergeCell ref="F4472:F4474"/>
    <mergeCell ref="G4472:G4474"/>
    <mergeCell ref="H4472:H4474"/>
    <mergeCell ref="I4472:I4474"/>
    <mergeCell ref="J4472:J4474"/>
    <mergeCell ref="K4472:K4474"/>
    <mergeCell ref="L4472:L4474"/>
    <mergeCell ref="D4475:F4475"/>
    <mergeCell ref="G4475:L4475"/>
    <mergeCell ref="A4477:A4479"/>
    <mergeCell ref="B4477:C4486"/>
    <mergeCell ref="D4477:D4479"/>
    <mergeCell ref="E4477:E4479"/>
    <mergeCell ref="F4477:F4479"/>
    <mergeCell ref="G4477:G4479"/>
    <mergeCell ref="H4477:H4479"/>
    <mergeCell ref="I4477:I4479"/>
    <mergeCell ref="J4477:J4479"/>
    <mergeCell ref="K4477:K4479"/>
    <mergeCell ref="L4477:L4479"/>
    <mergeCell ref="D4480:D4482"/>
    <mergeCell ref="E4480:E4482"/>
    <mergeCell ref="F4480:F4482"/>
    <mergeCell ref="G4480:G4482"/>
    <mergeCell ref="H4480:H4482"/>
    <mergeCell ref="I4480:I4482"/>
    <mergeCell ref="J4480:J4482"/>
    <mergeCell ref="K4480:K4482"/>
    <mergeCell ref="L4480:L4482"/>
    <mergeCell ref="D4483:D4485"/>
    <mergeCell ref="E4483:E4485"/>
    <mergeCell ref="F4483:F4485"/>
    <mergeCell ref="G4483:G4485"/>
    <mergeCell ref="H4483:H4485"/>
    <mergeCell ref="I4483:I4485"/>
    <mergeCell ref="J4483:J4485"/>
    <mergeCell ref="K4483:K4485"/>
    <mergeCell ref="L4483:L4485"/>
    <mergeCell ref="D4486:F4486"/>
    <mergeCell ref="G4486:L4486"/>
    <mergeCell ref="A4488:A4490"/>
    <mergeCell ref="B4488:C4497"/>
    <mergeCell ref="D4488:D4490"/>
    <mergeCell ref="E4488:E4490"/>
    <mergeCell ref="F4488:F4490"/>
    <mergeCell ref="G4488:G4490"/>
    <mergeCell ref="H4488:H4490"/>
    <mergeCell ref="I4488:I4490"/>
    <mergeCell ref="J4488:J4490"/>
    <mergeCell ref="K4488:K4490"/>
    <mergeCell ref="L4488:L4490"/>
    <mergeCell ref="D4491:D4493"/>
    <mergeCell ref="E4491:E4493"/>
    <mergeCell ref="F4491:F4493"/>
    <mergeCell ref="G4491:G4493"/>
    <mergeCell ref="H4491:H4493"/>
    <mergeCell ref="I4491:I4493"/>
    <mergeCell ref="J4491:J4493"/>
    <mergeCell ref="K4491:K4493"/>
    <mergeCell ref="L4491:L4493"/>
    <mergeCell ref="D4494:D4496"/>
    <mergeCell ref="E4494:E4496"/>
    <mergeCell ref="F4494:F4496"/>
    <mergeCell ref="G4494:G4496"/>
    <mergeCell ref="H4494:H4496"/>
    <mergeCell ref="I4494:I4496"/>
    <mergeCell ref="J4494:J4496"/>
    <mergeCell ref="K4494:K4496"/>
    <mergeCell ref="L4494:L4496"/>
    <mergeCell ref="D4497:F4497"/>
    <mergeCell ref="G4497:L4497"/>
    <mergeCell ref="A4499:A4501"/>
    <mergeCell ref="B4499:C4508"/>
    <mergeCell ref="D4499:D4501"/>
    <mergeCell ref="E4499:E4501"/>
    <mergeCell ref="F4499:F4501"/>
    <mergeCell ref="G4499:G4501"/>
    <mergeCell ref="H4499:H4501"/>
    <mergeCell ref="I4499:I4501"/>
    <mergeCell ref="J4499:J4501"/>
    <mergeCell ref="K4499:K4501"/>
    <mergeCell ref="L4499:L4501"/>
    <mergeCell ref="D4502:D4504"/>
    <mergeCell ref="E4502:E4504"/>
    <mergeCell ref="F4502:F4504"/>
    <mergeCell ref="G4502:G4504"/>
    <mergeCell ref="H4502:H4504"/>
    <mergeCell ref="I4502:I4504"/>
    <mergeCell ref="J4502:J4504"/>
    <mergeCell ref="K4502:K4504"/>
    <mergeCell ref="L4502:L4504"/>
    <mergeCell ref="D4505:D4507"/>
    <mergeCell ref="E4505:E4507"/>
    <mergeCell ref="F4505:F4507"/>
    <mergeCell ref="G4505:G4507"/>
    <mergeCell ref="H4505:H4507"/>
    <mergeCell ref="I4505:I4507"/>
    <mergeCell ref="J4505:J4507"/>
    <mergeCell ref="K4505:K4507"/>
    <mergeCell ref="L4505:L4507"/>
    <mergeCell ref="D4508:F4508"/>
    <mergeCell ref="G4508:L4508"/>
    <mergeCell ref="A4510:A4512"/>
    <mergeCell ref="B4510:C4519"/>
    <mergeCell ref="D4510:D4512"/>
    <mergeCell ref="E4510:E4512"/>
    <mergeCell ref="F4510:F4512"/>
    <mergeCell ref="G4510:G4512"/>
    <mergeCell ref="H4510:H4512"/>
    <mergeCell ref="I4510:I4512"/>
    <mergeCell ref="J4510:J4512"/>
    <mergeCell ref="K4510:K4512"/>
    <mergeCell ref="L4510:L4512"/>
    <mergeCell ref="D4513:D4515"/>
    <mergeCell ref="E4513:E4515"/>
    <mergeCell ref="F4513:F4515"/>
    <mergeCell ref="G4513:G4515"/>
    <mergeCell ref="H4513:H4515"/>
    <mergeCell ref="I4513:I4515"/>
    <mergeCell ref="J4513:J4515"/>
    <mergeCell ref="K4513:K4515"/>
    <mergeCell ref="L4513:L4515"/>
    <mergeCell ref="D4516:D4518"/>
    <mergeCell ref="E4516:E4518"/>
    <mergeCell ref="F4516:F4518"/>
    <mergeCell ref="G4516:G4518"/>
    <mergeCell ref="H4516:H4518"/>
    <mergeCell ref="I4516:I4518"/>
    <mergeCell ref="J4516:J4518"/>
    <mergeCell ref="K4516:K4518"/>
    <mergeCell ref="L4516:L4518"/>
    <mergeCell ref="D4519:F4519"/>
    <mergeCell ref="G4519:L4519"/>
    <mergeCell ref="A4521:A4523"/>
    <mergeCell ref="B4521:C4530"/>
    <mergeCell ref="D4521:D4523"/>
    <mergeCell ref="E4521:E4523"/>
    <mergeCell ref="F4521:F4523"/>
    <mergeCell ref="G4521:G4523"/>
    <mergeCell ref="H4521:H4523"/>
    <mergeCell ref="I4521:I4523"/>
    <mergeCell ref="J4521:J4523"/>
    <mergeCell ref="K4521:K4523"/>
    <mergeCell ref="L4521:L4523"/>
    <mergeCell ref="D4524:D4526"/>
    <mergeCell ref="E4524:E4526"/>
    <mergeCell ref="F4524:F4526"/>
    <mergeCell ref="G4524:G4526"/>
    <mergeCell ref="H4524:H4526"/>
    <mergeCell ref="I4524:I4526"/>
    <mergeCell ref="J4524:J4526"/>
    <mergeCell ref="K4524:K4526"/>
    <mergeCell ref="L4524:L4526"/>
    <mergeCell ref="D4527:D4529"/>
    <mergeCell ref="E4527:E4529"/>
    <mergeCell ref="F4527:F4529"/>
    <mergeCell ref="G4527:G4529"/>
    <mergeCell ref="H4527:H4529"/>
    <mergeCell ref="I4527:I4529"/>
    <mergeCell ref="J4527:J4529"/>
    <mergeCell ref="K4527:K4529"/>
    <mergeCell ref="L4527:L4529"/>
    <mergeCell ref="D4530:F4530"/>
    <mergeCell ref="G4530:L4530"/>
    <mergeCell ref="A4532:A4534"/>
    <mergeCell ref="B4532:C4541"/>
    <mergeCell ref="D4532:D4534"/>
    <mergeCell ref="E4532:E4534"/>
    <mergeCell ref="F4532:F4534"/>
    <mergeCell ref="G4532:G4534"/>
    <mergeCell ref="H4532:H4534"/>
    <mergeCell ref="I4532:I4534"/>
    <mergeCell ref="J4532:J4534"/>
    <mergeCell ref="K4532:K4534"/>
    <mergeCell ref="L4532:L4534"/>
    <mergeCell ref="D4535:D4537"/>
    <mergeCell ref="E4535:E4537"/>
    <mergeCell ref="F4535:F4537"/>
    <mergeCell ref="G4535:G4537"/>
    <mergeCell ref="H4535:H4537"/>
    <mergeCell ref="I4535:I4537"/>
    <mergeCell ref="J4535:J4537"/>
    <mergeCell ref="K4535:K4537"/>
    <mergeCell ref="L4535:L4537"/>
    <mergeCell ref="D4538:D4540"/>
    <mergeCell ref="E4538:E4540"/>
    <mergeCell ref="F4538:F4540"/>
    <mergeCell ref="G4538:G4540"/>
    <mergeCell ref="H4538:H4540"/>
    <mergeCell ref="I4538:I4540"/>
    <mergeCell ref="J4538:J4540"/>
    <mergeCell ref="K4538:K4540"/>
    <mergeCell ref="L4538:L4540"/>
    <mergeCell ref="D4541:F4541"/>
    <mergeCell ref="G4541:L4541"/>
    <mergeCell ref="A4543:A4545"/>
    <mergeCell ref="B4543:C4552"/>
    <mergeCell ref="D4543:D4545"/>
    <mergeCell ref="E4543:E4545"/>
    <mergeCell ref="F4543:F4545"/>
    <mergeCell ref="G4543:G4545"/>
    <mergeCell ref="H4543:H4545"/>
    <mergeCell ref="I4543:I4545"/>
    <mergeCell ref="J4543:J4545"/>
    <mergeCell ref="K4543:K4545"/>
    <mergeCell ref="L4543:L4545"/>
    <mergeCell ref="D4546:D4548"/>
    <mergeCell ref="E4546:E4548"/>
    <mergeCell ref="F4546:F4548"/>
    <mergeCell ref="G4546:G4548"/>
    <mergeCell ref="H4546:H4548"/>
    <mergeCell ref="I4546:I4548"/>
    <mergeCell ref="J4546:J4548"/>
    <mergeCell ref="K4546:K4548"/>
    <mergeCell ref="L4546:L4548"/>
    <mergeCell ref="D4549:D4551"/>
    <mergeCell ref="E4549:E4551"/>
    <mergeCell ref="F4549:F4551"/>
    <mergeCell ref="G4549:G4551"/>
    <mergeCell ref="H4549:H4551"/>
    <mergeCell ref="I4549:I4551"/>
    <mergeCell ref="J4549:J4551"/>
    <mergeCell ref="K4549:K4551"/>
    <mergeCell ref="L4549:L4551"/>
    <mergeCell ref="D4552:F4552"/>
    <mergeCell ref="G4552:L4552"/>
    <mergeCell ref="A4554:A4556"/>
    <mergeCell ref="B4554:C4563"/>
    <mergeCell ref="D4554:D4556"/>
    <mergeCell ref="E4554:E4556"/>
    <mergeCell ref="F4554:F4556"/>
    <mergeCell ref="G4554:G4556"/>
    <mergeCell ref="H4554:H4556"/>
    <mergeCell ref="I4554:I4556"/>
    <mergeCell ref="J4554:J4556"/>
    <mergeCell ref="K4554:K4556"/>
    <mergeCell ref="L4554:L4556"/>
    <mergeCell ref="D4557:D4559"/>
    <mergeCell ref="E4557:E4559"/>
    <mergeCell ref="F4557:F4559"/>
    <mergeCell ref="G4557:G4559"/>
    <mergeCell ref="H4557:H4559"/>
    <mergeCell ref="I4557:I4559"/>
    <mergeCell ref="J4557:J4559"/>
    <mergeCell ref="K4557:K4559"/>
    <mergeCell ref="L4557:L4559"/>
    <mergeCell ref="D4560:D4562"/>
    <mergeCell ref="E4560:E4562"/>
    <mergeCell ref="F4560:F4562"/>
    <mergeCell ref="G4560:G4562"/>
    <mergeCell ref="H4560:H4562"/>
    <mergeCell ref="I4560:I4562"/>
    <mergeCell ref="J4560:J4562"/>
    <mergeCell ref="K4560:K4562"/>
    <mergeCell ref="L4560:L4562"/>
    <mergeCell ref="D4563:F4563"/>
    <mergeCell ref="G4563:L4563"/>
    <mergeCell ref="A4565:A4567"/>
    <mergeCell ref="B4565:C4574"/>
    <mergeCell ref="D4565:D4567"/>
    <mergeCell ref="E4565:E4567"/>
    <mergeCell ref="F4565:F4567"/>
    <mergeCell ref="G4565:G4567"/>
    <mergeCell ref="H4565:H4567"/>
    <mergeCell ref="I4565:I4567"/>
    <mergeCell ref="J4565:J4567"/>
    <mergeCell ref="K4565:K4567"/>
    <mergeCell ref="L4565:L4567"/>
    <mergeCell ref="D4568:D4570"/>
    <mergeCell ref="E4568:E4570"/>
    <mergeCell ref="F4568:F4570"/>
    <mergeCell ref="G4568:G4570"/>
    <mergeCell ref="H4568:H4570"/>
    <mergeCell ref="I4568:I4570"/>
    <mergeCell ref="J4568:J4570"/>
    <mergeCell ref="K4568:K4570"/>
    <mergeCell ref="L4568:L4570"/>
    <mergeCell ref="D4571:D4573"/>
    <mergeCell ref="E4571:E4573"/>
    <mergeCell ref="F4571:F4573"/>
    <mergeCell ref="G4571:G4573"/>
    <mergeCell ref="H4571:H4573"/>
    <mergeCell ref="I4571:I4573"/>
    <mergeCell ref="J4571:J4573"/>
    <mergeCell ref="K4571:K4573"/>
    <mergeCell ref="L4571:L4573"/>
    <mergeCell ref="D4574:F4574"/>
    <mergeCell ref="G4574:L4574"/>
    <mergeCell ref="A4576:A4578"/>
    <mergeCell ref="B4576:C4585"/>
    <mergeCell ref="D4576:D4578"/>
    <mergeCell ref="E4576:E4578"/>
    <mergeCell ref="F4576:F4578"/>
    <mergeCell ref="G4576:G4578"/>
    <mergeCell ref="H4576:H4578"/>
    <mergeCell ref="I4576:I4578"/>
    <mergeCell ref="J4576:J4578"/>
    <mergeCell ref="K4576:K4578"/>
    <mergeCell ref="L4576:L4578"/>
    <mergeCell ref="D4579:D4581"/>
    <mergeCell ref="E4579:E4581"/>
    <mergeCell ref="F4579:F4581"/>
    <mergeCell ref="G4579:G4581"/>
    <mergeCell ref="H4579:H4581"/>
    <mergeCell ref="I4579:I4581"/>
    <mergeCell ref="J4579:J4581"/>
    <mergeCell ref="K4579:K4581"/>
    <mergeCell ref="L4579:L4581"/>
    <mergeCell ref="D4582:D4584"/>
    <mergeCell ref="E4582:E4584"/>
    <mergeCell ref="F4582:F4584"/>
    <mergeCell ref="G4582:G4584"/>
    <mergeCell ref="H4582:H4584"/>
    <mergeCell ref="I4582:I4584"/>
    <mergeCell ref="J4582:J4584"/>
    <mergeCell ref="K4582:K4584"/>
    <mergeCell ref="L4582:L4584"/>
    <mergeCell ref="D4585:F4585"/>
    <mergeCell ref="G4585:L4585"/>
    <mergeCell ref="A4587:A4589"/>
    <mergeCell ref="B4587:C4596"/>
    <mergeCell ref="D4587:D4589"/>
    <mergeCell ref="E4587:E4589"/>
    <mergeCell ref="F4587:F4589"/>
    <mergeCell ref="G4587:G4589"/>
    <mergeCell ref="H4587:H4589"/>
    <mergeCell ref="I4587:I4589"/>
    <mergeCell ref="J4587:J4589"/>
    <mergeCell ref="K4587:K4589"/>
    <mergeCell ref="L4587:L4589"/>
    <mergeCell ref="D4590:D4592"/>
    <mergeCell ref="E4590:E4592"/>
    <mergeCell ref="F4590:F4592"/>
    <mergeCell ref="G4590:G4592"/>
    <mergeCell ref="H4590:H4592"/>
    <mergeCell ref="I4590:I4592"/>
    <mergeCell ref="J4590:J4592"/>
    <mergeCell ref="K4590:K4592"/>
    <mergeCell ref="L4590:L4592"/>
    <mergeCell ref="D4593:D4595"/>
    <mergeCell ref="E4593:E4595"/>
    <mergeCell ref="F4593:F4595"/>
    <mergeCell ref="G4593:G4595"/>
    <mergeCell ref="H4593:H4595"/>
    <mergeCell ref="I4593:I4595"/>
    <mergeCell ref="J4593:J4595"/>
    <mergeCell ref="K4593:K4595"/>
    <mergeCell ref="L4593:L4595"/>
    <mergeCell ref="D4596:F4596"/>
    <mergeCell ref="G4596:L4596"/>
    <mergeCell ref="A4598:A4600"/>
    <mergeCell ref="B4598:C4607"/>
    <mergeCell ref="D4598:D4600"/>
    <mergeCell ref="E4598:E4600"/>
    <mergeCell ref="F4598:F4600"/>
    <mergeCell ref="G4598:G4600"/>
    <mergeCell ref="H4598:H4600"/>
    <mergeCell ref="I4598:I4600"/>
    <mergeCell ref="J4598:J4600"/>
    <mergeCell ref="K4598:K4600"/>
    <mergeCell ref="L4598:L4600"/>
    <mergeCell ref="D4601:D4603"/>
    <mergeCell ref="E4601:E4603"/>
    <mergeCell ref="F4601:F4603"/>
    <mergeCell ref="G4601:G4603"/>
    <mergeCell ref="H4601:H4603"/>
    <mergeCell ref="I4601:I4603"/>
    <mergeCell ref="J4601:J4603"/>
    <mergeCell ref="K4601:K4603"/>
    <mergeCell ref="L4601:L4603"/>
    <mergeCell ref="D4604:D4606"/>
    <mergeCell ref="E4604:E4606"/>
    <mergeCell ref="F4604:F4606"/>
    <mergeCell ref="G4604:G4606"/>
    <mergeCell ref="H4604:H4606"/>
    <mergeCell ref="I4604:I4606"/>
    <mergeCell ref="J4604:J4606"/>
    <mergeCell ref="K4604:K4606"/>
    <mergeCell ref="L4604:L4606"/>
    <mergeCell ref="D4607:F4607"/>
    <mergeCell ref="G4607:L4607"/>
    <mergeCell ref="A4609:A4611"/>
    <mergeCell ref="B4609:C4618"/>
    <mergeCell ref="D4609:D4611"/>
    <mergeCell ref="E4609:E4611"/>
    <mergeCell ref="F4609:F4611"/>
    <mergeCell ref="G4609:G4611"/>
    <mergeCell ref="H4609:H4611"/>
    <mergeCell ref="I4609:I4611"/>
    <mergeCell ref="J4609:J4611"/>
    <mergeCell ref="K4609:K4611"/>
    <mergeCell ref="L4609:L4611"/>
    <mergeCell ref="D4612:D4614"/>
    <mergeCell ref="E4612:E4614"/>
    <mergeCell ref="F4612:F4614"/>
    <mergeCell ref="G4612:G4614"/>
    <mergeCell ref="H4612:H4614"/>
    <mergeCell ref="I4612:I4614"/>
    <mergeCell ref="J4612:J4614"/>
    <mergeCell ref="K4612:K4614"/>
    <mergeCell ref="L4612:L4614"/>
    <mergeCell ref="D4615:D4617"/>
    <mergeCell ref="E4615:E4617"/>
    <mergeCell ref="F4615:F4617"/>
    <mergeCell ref="G4615:G4617"/>
    <mergeCell ref="H4615:H4617"/>
    <mergeCell ref="I4615:I4617"/>
    <mergeCell ref="J4615:J4617"/>
    <mergeCell ref="K4615:K4617"/>
    <mergeCell ref="L4615:L4617"/>
    <mergeCell ref="D4618:F4618"/>
    <mergeCell ref="G4618:L4618"/>
    <mergeCell ref="A4620:A4622"/>
    <mergeCell ref="B4620:C4629"/>
    <mergeCell ref="D4620:D4622"/>
    <mergeCell ref="E4620:E4622"/>
    <mergeCell ref="F4620:F4622"/>
    <mergeCell ref="G4620:G4622"/>
    <mergeCell ref="H4620:H4622"/>
    <mergeCell ref="I4620:I4622"/>
    <mergeCell ref="J4620:J4622"/>
    <mergeCell ref="K4620:K4622"/>
    <mergeCell ref="L4620:L4622"/>
    <mergeCell ref="D4623:D4625"/>
    <mergeCell ref="E4623:E4625"/>
    <mergeCell ref="F4623:F4625"/>
    <mergeCell ref="G4623:G4625"/>
    <mergeCell ref="H4623:H4625"/>
    <mergeCell ref="I4623:I4625"/>
    <mergeCell ref="J4623:J4625"/>
    <mergeCell ref="K4623:K4625"/>
    <mergeCell ref="L4623:L4625"/>
    <mergeCell ref="D4626:D4628"/>
    <mergeCell ref="E4626:E4628"/>
    <mergeCell ref="F4626:F4628"/>
    <mergeCell ref="G4626:G4628"/>
    <mergeCell ref="H4626:H4628"/>
    <mergeCell ref="I4626:I4628"/>
    <mergeCell ref="J4626:J4628"/>
    <mergeCell ref="K4626:K4628"/>
    <mergeCell ref="L4626:L4628"/>
    <mergeCell ref="D4629:F4629"/>
    <mergeCell ref="G4629:L4629"/>
    <mergeCell ref="A4631:A4633"/>
    <mergeCell ref="B4631:C4640"/>
    <mergeCell ref="D4631:D4633"/>
    <mergeCell ref="E4631:E4633"/>
    <mergeCell ref="F4631:F4633"/>
    <mergeCell ref="G4631:G4633"/>
    <mergeCell ref="H4631:H4633"/>
    <mergeCell ref="I4631:I4633"/>
    <mergeCell ref="J4631:J4633"/>
    <mergeCell ref="K4631:K4633"/>
    <mergeCell ref="L4631:L4633"/>
    <mergeCell ref="D4634:D4636"/>
    <mergeCell ref="E4634:E4636"/>
    <mergeCell ref="F4634:F4636"/>
    <mergeCell ref="G4634:G4636"/>
    <mergeCell ref="H4634:H4636"/>
    <mergeCell ref="I4634:I4636"/>
    <mergeCell ref="J4634:J4636"/>
    <mergeCell ref="K4634:K4636"/>
    <mergeCell ref="L4634:L4636"/>
    <mergeCell ref="D4637:D4639"/>
    <mergeCell ref="E4637:E4639"/>
    <mergeCell ref="F4637:F4639"/>
    <mergeCell ref="G4637:G4639"/>
    <mergeCell ref="H4637:H4639"/>
    <mergeCell ref="I4637:I4639"/>
    <mergeCell ref="J4637:J4639"/>
    <mergeCell ref="K4637:K4639"/>
    <mergeCell ref="L4637:L4639"/>
    <mergeCell ref="D4640:F4640"/>
    <mergeCell ref="G4640:L4640"/>
    <mergeCell ref="A4642:A4644"/>
    <mergeCell ref="B4642:C4651"/>
    <mergeCell ref="D4642:D4644"/>
    <mergeCell ref="E4642:E4644"/>
    <mergeCell ref="F4642:F4644"/>
    <mergeCell ref="G4642:G4644"/>
    <mergeCell ref="H4642:H4644"/>
    <mergeCell ref="I4642:I4644"/>
    <mergeCell ref="J4642:J4644"/>
    <mergeCell ref="K4642:K4644"/>
    <mergeCell ref="L4642:L4644"/>
    <mergeCell ref="D4645:D4647"/>
    <mergeCell ref="E4645:E4647"/>
    <mergeCell ref="F4645:F4647"/>
    <mergeCell ref="G4645:G4647"/>
    <mergeCell ref="H4645:H4647"/>
    <mergeCell ref="I4645:I4647"/>
    <mergeCell ref="J4645:J4647"/>
    <mergeCell ref="K4645:K4647"/>
    <mergeCell ref="L4645:L4647"/>
    <mergeCell ref="D4648:D4650"/>
    <mergeCell ref="E4648:E4650"/>
    <mergeCell ref="F4648:F4650"/>
    <mergeCell ref="G4648:G4650"/>
    <mergeCell ref="H4648:H4650"/>
    <mergeCell ref="I4648:I4650"/>
    <mergeCell ref="J4648:J4650"/>
    <mergeCell ref="K4648:K4650"/>
    <mergeCell ref="L4648:L4650"/>
    <mergeCell ref="D4651:F4651"/>
    <mergeCell ref="G4651:L4651"/>
    <mergeCell ref="A4653:A4655"/>
    <mergeCell ref="B4653:C4662"/>
    <mergeCell ref="D4653:D4655"/>
    <mergeCell ref="E4653:E4655"/>
    <mergeCell ref="F4653:F4655"/>
    <mergeCell ref="G4653:G4655"/>
    <mergeCell ref="H4653:H4655"/>
    <mergeCell ref="I4653:I4655"/>
    <mergeCell ref="J4653:J4655"/>
    <mergeCell ref="K4653:K4655"/>
    <mergeCell ref="L4653:L4655"/>
    <mergeCell ref="D4656:D4658"/>
    <mergeCell ref="E4656:E4658"/>
    <mergeCell ref="F4656:F4658"/>
    <mergeCell ref="G4656:G4658"/>
    <mergeCell ref="H4656:H4658"/>
    <mergeCell ref="I4656:I4658"/>
    <mergeCell ref="J4656:J4658"/>
    <mergeCell ref="K4656:K4658"/>
    <mergeCell ref="L4656:L4658"/>
    <mergeCell ref="D4659:D4661"/>
    <mergeCell ref="E4659:E4661"/>
    <mergeCell ref="F4659:F4661"/>
    <mergeCell ref="G4659:G4661"/>
    <mergeCell ref="H4659:H4661"/>
    <mergeCell ref="I4659:I4661"/>
    <mergeCell ref="J4659:J4661"/>
    <mergeCell ref="K4659:K4661"/>
    <mergeCell ref="L4659:L4661"/>
    <mergeCell ref="D4662:F4662"/>
    <mergeCell ref="G4662:L4662"/>
    <mergeCell ref="A4664:A4666"/>
    <mergeCell ref="B4664:C4673"/>
    <mergeCell ref="D4664:D4666"/>
    <mergeCell ref="E4664:E4666"/>
    <mergeCell ref="F4664:F4666"/>
    <mergeCell ref="G4664:G4666"/>
    <mergeCell ref="H4664:H4666"/>
    <mergeCell ref="I4664:I4666"/>
    <mergeCell ref="J4664:J4666"/>
    <mergeCell ref="K4664:K4666"/>
    <mergeCell ref="L4664:L4666"/>
    <mergeCell ref="D4667:D4669"/>
    <mergeCell ref="E4667:E4669"/>
    <mergeCell ref="F4667:F4669"/>
    <mergeCell ref="G4667:G4669"/>
    <mergeCell ref="H4667:H4669"/>
    <mergeCell ref="I4667:I4669"/>
    <mergeCell ref="J4667:J4669"/>
    <mergeCell ref="K4667:K4669"/>
    <mergeCell ref="L4667:L4669"/>
    <mergeCell ref="D4670:D4672"/>
    <mergeCell ref="E4670:E4672"/>
    <mergeCell ref="F4670:F4672"/>
    <mergeCell ref="G4670:G4672"/>
    <mergeCell ref="H4670:H4672"/>
    <mergeCell ref="I4670:I4672"/>
    <mergeCell ref="J4670:J4672"/>
    <mergeCell ref="K4670:K4672"/>
    <mergeCell ref="L4670:L4672"/>
    <mergeCell ref="D4673:F4673"/>
    <mergeCell ref="G4673:L4673"/>
    <mergeCell ref="A4675:A4677"/>
    <mergeCell ref="B4675:C4684"/>
    <mergeCell ref="D4675:D4677"/>
    <mergeCell ref="E4675:E4677"/>
    <mergeCell ref="F4675:F4677"/>
    <mergeCell ref="G4675:G4677"/>
    <mergeCell ref="H4675:H4677"/>
    <mergeCell ref="I4675:I4677"/>
    <mergeCell ref="J4675:J4677"/>
    <mergeCell ref="K4675:K4677"/>
    <mergeCell ref="L4675:L4677"/>
    <mergeCell ref="D4678:D4680"/>
    <mergeCell ref="E4678:E4680"/>
    <mergeCell ref="F4678:F4680"/>
    <mergeCell ref="G4678:G4680"/>
    <mergeCell ref="H4678:H4680"/>
    <mergeCell ref="I4678:I4680"/>
    <mergeCell ref="J4678:J4680"/>
    <mergeCell ref="K4678:K4680"/>
    <mergeCell ref="L4678:L4680"/>
    <mergeCell ref="D4681:D4683"/>
    <mergeCell ref="E4681:E4683"/>
    <mergeCell ref="F4681:F4683"/>
    <mergeCell ref="G4681:G4683"/>
    <mergeCell ref="H4681:H4683"/>
    <mergeCell ref="I4681:I4683"/>
    <mergeCell ref="J4681:J4683"/>
    <mergeCell ref="K4681:K4683"/>
    <mergeCell ref="L4681:L4683"/>
    <mergeCell ref="D4684:F4684"/>
    <mergeCell ref="G4684:L4684"/>
    <mergeCell ref="A4686:A4688"/>
    <mergeCell ref="B4686:C4695"/>
    <mergeCell ref="D4686:D4688"/>
    <mergeCell ref="E4686:E4688"/>
    <mergeCell ref="F4686:F4688"/>
    <mergeCell ref="G4686:G4688"/>
    <mergeCell ref="H4686:H4688"/>
    <mergeCell ref="I4686:I4688"/>
    <mergeCell ref="J4686:J4688"/>
    <mergeCell ref="K4686:K4688"/>
    <mergeCell ref="L4686:L4688"/>
    <mergeCell ref="D4689:D4691"/>
    <mergeCell ref="E4689:E4691"/>
    <mergeCell ref="F4689:F4691"/>
    <mergeCell ref="G4689:G4691"/>
    <mergeCell ref="H4689:H4691"/>
    <mergeCell ref="I4689:I4691"/>
    <mergeCell ref="J4689:J4691"/>
    <mergeCell ref="K4689:K4691"/>
    <mergeCell ref="L4689:L4691"/>
    <mergeCell ref="D4692:D4694"/>
    <mergeCell ref="E4692:E4694"/>
    <mergeCell ref="F4692:F4694"/>
    <mergeCell ref="G4692:G4694"/>
    <mergeCell ref="H4692:H4694"/>
    <mergeCell ref="I4692:I4694"/>
    <mergeCell ref="J4692:J4694"/>
    <mergeCell ref="K4692:K4694"/>
    <mergeCell ref="L4692:L4694"/>
    <mergeCell ref="D4695:F4695"/>
    <mergeCell ref="G4695:L4695"/>
    <mergeCell ref="A4697:A4699"/>
    <mergeCell ref="B4697:C4706"/>
    <mergeCell ref="D4697:D4699"/>
    <mergeCell ref="E4697:E4699"/>
    <mergeCell ref="F4697:F4699"/>
    <mergeCell ref="G4697:G4699"/>
    <mergeCell ref="H4697:H4699"/>
    <mergeCell ref="I4697:I4699"/>
    <mergeCell ref="J4697:J4699"/>
    <mergeCell ref="K4697:K4699"/>
    <mergeCell ref="L4697:L4699"/>
    <mergeCell ref="D4700:D4702"/>
    <mergeCell ref="E4700:E4702"/>
    <mergeCell ref="F4700:F4702"/>
    <mergeCell ref="G4700:G4702"/>
    <mergeCell ref="H4700:H4702"/>
    <mergeCell ref="I4700:I4702"/>
    <mergeCell ref="J4700:J4702"/>
    <mergeCell ref="K4700:K4702"/>
    <mergeCell ref="L4700:L4702"/>
    <mergeCell ref="D4703:D4705"/>
    <mergeCell ref="E4703:E4705"/>
    <mergeCell ref="F4703:F4705"/>
    <mergeCell ref="G4703:G4705"/>
    <mergeCell ref="H4703:H4705"/>
    <mergeCell ref="I4703:I4705"/>
    <mergeCell ref="J4703:J4705"/>
    <mergeCell ref="K4703:K4705"/>
    <mergeCell ref="L4703:L4705"/>
    <mergeCell ref="D4706:F4706"/>
    <mergeCell ref="G4706:L4706"/>
    <mergeCell ref="A4708:A4710"/>
    <mergeCell ref="B4708:C4717"/>
    <mergeCell ref="D4708:D4710"/>
    <mergeCell ref="E4708:E4710"/>
    <mergeCell ref="F4708:F4710"/>
    <mergeCell ref="G4708:G4710"/>
    <mergeCell ref="H4708:H4710"/>
    <mergeCell ref="I4708:I4710"/>
    <mergeCell ref="J4708:J4710"/>
    <mergeCell ref="K4708:K4710"/>
    <mergeCell ref="L4708:L4710"/>
    <mergeCell ref="D4711:D4713"/>
    <mergeCell ref="E4711:E4713"/>
    <mergeCell ref="F4711:F4713"/>
    <mergeCell ref="G4711:G4713"/>
    <mergeCell ref="H4711:H4713"/>
    <mergeCell ref="I4711:I4713"/>
    <mergeCell ref="J4711:J4713"/>
    <mergeCell ref="K4711:K4713"/>
    <mergeCell ref="L4711:L4713"/>
    <mergeCell ref="D4714:D4716"/>
    <mergeCell ref="E4714:E4716"/>
    <mergeCell ref="F4714:F4716"/>
    <mergeCell ref="G4714:G4716"/>
    <mergeCell ref="H4714:H4716"/>
    <mergeCell ref="I4714:I4716"/>
    <mergeCell ref="J4714:J4716"/>
    <mergeCell ref="K4714:K4716"/>
    <mergeCell ref="L4714:L4716"/>
    <mergeCell ref="D4717:F4717"/>
    <mergeCell ref="G4717:L4717"/>
    <mergeCell ref="A4719:A4721"/>
    <mergeCell ref="B4719:C4728"/>
    <mergeCell ref="D4719:D4721"/>
    <mergeCell ref="E4719:E4721"/>
    <mergeCell ref="F4719:F4721"/>
    <mergeCell ref="G4719:G4721"/>
    <mergeCell ref="H4719:H4721"/>
    <mergeCell ref="I4719:I4721"/>
    <mergeCell ref="J4719:J4721"/>
    <mergeCell ref="K4719:K4721"/>
    <mergeCell ref="L4719:L4721"/>
    <mergeCell ref="D4722:D4724"/>
    <mergeCell ref="E4722:E4724"/>
    <mergeCell ref="F4722:F4724"/>
    <mergeCell ref="G4722:G4724"/>
    <mergeCell ref="H4722:H4724"/>
    <mergeCell ref="I4722:I4724"/>
    <mergeCell ref="J4722:J4724"/>
    <mergeCell ref="K4722:K4724"/>
    <mergeCell ref="L4722:L4724"/>
    <mergeCell ref="D4725:D4727"/>
    <mergeCell ref="E4725:E4727"/>
    <mergeCell ref="F4725:F4727"/>
    <mergeCell ref="G4725:G4727"/>
    <mergeCell ref="H4725:H4727"/>
    <mergeCell ref="I4725:I4727"/>
    <mergeCell ref="J4725:J4727"/>
    <mergeCell ref="K4725:K4727"/>
    <mergeCell ref="L4725:L4727"/>
    <mergeCell ref="D4728:F4728"/>
    <mergeCell ref="G4728:L4728"/>
    <mergeCell ref="A4730:A4732"/>
    <mergeCell ref="B4730:C4739"/>
    <mergeCell ref="D4730:D4732"/>
    <mergeCell ref="E4730:E4732"/>
    <mergeCell ref="F4730:F4732"/>
    <mergeCell ref="G4730:G4732"/>
    <mergeCell ref="H4730:H4732"/>
    <mergeCell ref="I4730:I4732"/>
    <mergeCell ref="J4730:J4732"/>
    <mergeCell ref="K4730:K4732"/>
    <mergeCell ref="L4730:L4732"/>
    <mergeCell ref="D4733:D4735"/>
    <mergeCell ref="E4733:E4735"/>
    <mergeCell ref="F4733:F4735"/>
    <mergeCell ref="G4733:G4735"/>
    <mergeCell ref="H4733:H4735"/>
    <mergeCell ref="I4733:I4735"/>
    <mergeCell ref="J4733:J4735"/>
    <mergeCell ref="K4733:K4735"/>
    <mergeCell ref="L4733:L4735"/>
    <mergeCell ref="D4736:D4738"/>
    <mergeCell ref="E4736:E4738"/>
    <mergeCell ref="F4736:F4738"/>
    <mergeCell ref="G4736:G4738"/>
    <mergeCell ref="H4736:H4738"/>
    <mergeCell ref="I4736:I4738"/>
    <mergeCell ref="J4736:J4738"/>
    <mergeCell ref="K4736:K4738"/>
    <mergeCell ref="L4736:L4738"/>
    <mergeCell ref="D4739:F4739"/>
    <mergeCell ref="G4739:L4739"/>
    <mergeCell ref="A4741:A4743"/>
    <mergeCell ref="B4741:C4750"/>
    <mergeCell ref="D4741:D4743"/>
    <mergeCell ref="E4741:E4743"/>
    <mergeCell ref="F4741:F4743"/>
    <mergeCell ref="G4741:G4743"/>
    <mergeCell ref="H4741:H4743"/>
    <mergeCell ref="I4741:I4743"/>
    <mergeCell ref="J4741:J4743"/>
    <mergeCell ref="K4741:K4743"/>
    <mergeCell ref="L4741:L4743"/>
    <mergeCell ref="D4744:D4746"/>
    <mergeCell ref="E4744:E4746"/>
    <mergeCell ref="F4744:F4746"/>
    <mergeCell ref="G4744:G4746"/>
    <mergeCell ref="H4744:H4746"/>
    <mergeCell ref="I4744:I4746"/>
    <mergeCell ref="J4744:J4746"/>
    <mergeCell ref="K4744:K4746"/>
    <mergeCell ref="L4744:L4746"/>
    <mergeCell ref="D4747:D4749"/>
    <mergeCell ref="E4747:E4749"/>
    <mergeCell ref="F4747:F4749"/>
    <mergeCell ref="G4747:G4749"/>
    <mergeCell ref="H4747:H4749"/>
    <mergeCell ref="I4747:I4749"/>
    <mergeCell ref="J4747:J4749"/>
    <mergeCell ref="K4747:K4749"/>
    <mergeCell ref="L4747:L4749"/>
    <mergeCell ref="D4750:F4750"/>
    <mergeCell ref="G4750:L4750"/>
    <mergeCell ref="A4752:A4754"/>
    <mergeCell ref="B4752:C4761"/>
    <mergeCell ref="D4752:D4754"/>
    <mergeCell ref="E4752:E4754"/>
    <mergeCell ref="F4752:F4754"/>
    <mergeCell ref="G4752:G4754"/>
    <mergeCell ref="H4752:H4754"/>
    <mergeCell ref="I4752:I4754"/>
    <mergeCell ref="J4752:J4754"/>
    <mergeCell ref="K4752:K4754"/>
    <mergeCell ref="L4752:L4754"/>
    <mergeCell ref="D4755:D4757"/>
    <mergeCell ref="E4755:E4757"/>
    <mergeCell ref="F4755:F4757"/>
    <mergeCell ref="G4755:G4757"/>
    <mergeCell ref="H4755:H4757"/>
    <mergeCell ref="I4755:I4757"/>
    <mergeCell ref="J4755:J4757"/>
    <mergeCell ref="K4755:K4757"/>
    <mergeCell ref="L4755:L4757"/>
    <mergeCell ref="D4758:D4760"/>
    <mergeCell ref="E4758:E4760"/>
    <mergeCell ref="F4758:F4760"/>
    <mergeCell ref="G4758:G4760"/>
    <mergeCell ref="H4758:H4760"/>
    <mergeCell ref="I4758:I4760"/>
    <mergeCell ref="J4758:J4760"/>
    <mergeCell ref="K4758:K4760"/>
    <mergeCell ref="L4758:L4760"/>
    <mergeCell ref="D4761:F4761"/>
    <mergeCell ref="G4761:L4761"/>
    <mergeCell ref="A4763:A4765"/>
    <mergeCell ref="B4763:C4772"/>
    <mergeCell ref="D4763:D4765"/>
    <mergeCell ref="E4763:E4765"/>
    <mergeCell ref="F4763:F4765"/>
    <mergeCell ref="G4763:G4765"/>
    <mergeCell ref="H4763:H4765"/>
    <mergeCell ref="I4763:I4765"/>
    <mergeCell ref="J4763:J4765"/>
    <mergeCell ref="K4763:K4765"/>
    <mergeCell ref="L4763:L4765"/>
    <mergeCell ref="D4766:D4768"/>
    <mergeCell ref="E4766:E4768"/>
    <mergeCell ref="F4766:F4768"/>
    <mergeCell ref="G4766:G4768"/>
    <mergeCell ref="H4766:H4768"/>
    <mergeCell ref="I4766:I4768"/>
    <mergeCell ref="J4766:J4768"/>
    <mergeCell ref="K4766:K4768"/>
    <mergeCell ref="L4766:L4768"/>
    <mergeCell ref="D4769:D4771"/>
    <mergeCell ref="E4769:E4771"/>
    <mergeCell ref="F4769:F4771"/>
    <mergeCell ref="G4769:G4771"/>
    <mergeCell ref="H4769:H4771"/>
    <mergeCell ref="I4769:I4771"/>
    <mergeCell ref="J4769:J4771"/>
    <mergeCell ref="K4769:K4771"/>
    <mergeCell ref="L4769:L4771"/>
    <mergeCell ref="D4772:F4772"/>
    <mergeCell ref="G4772:L4772"/>
    <mergeCell ref="A4774:A4776"/>
    <mergeCell ref="B4774:C4783"/>
    <mergeCell ref="D4774:D4776"/>
    <mergeCell ref="E4774:E4776"/>
    <mergeCell ref="F4774:F4776"/>
    <mergeCell ref="G4774:G4776"/>
    <mergeCell ref="H4774:H4776"/>
    <mergeCell ref="I4774:I4776"/>
    <mergeCell ref="J4774:J4776"/>
    <mergeCell ref="K4774:K4776"/>
    <mergeCell ref="L4774:L4776"/>
    <mergeCell ref="D4777:D4779"/>
    <mergeCell ref="E4777:E4779"/>
    <mergeCell ref="F4777:F4779"/>
    <mergeCell ref="G4777:G4779"/>
    <mergeCell ref="H4777:H4779"/>
    <mergeCell ref="I4777:I4779"/>
    <mergeCell ref="J4777:J4779"/>
    <mergeCell ref="K4777:K4779"/>
    <mergeCell ref="L4777:L4779"/>
    <mergeCell ref="D4780:D4782"/>
    <mergeCell ref="E4780:E4782"/>
    <mergeCell ref="F4780:F4782"/>
    <mergeCell ref="G4780:G4782"/>
    <mergeCell ref="H4780:H4782"/>
    <mergeCell ref="I4780:I4782"/>
    <mergeCell ref="J4780:J4782"/>
    <mergeCell ref="K4780:K4782"/>
    <mergeCell ref="L4780:L4782"/>
    <mergeCell ref="D4783:F4783"/>
    <mergeCell ref="G4783:L4783"/>
    <mergeCell ref="A4785:A4787"/>
    <mergeCell ref="B4785:C4794"/>
    <mergeCell ref="D4785:D4787"/>
    <mergeCell ref="E4785:E4787"/>
    <mergeCell ref="F4785:F4787"/>
    <mergeCell ref="G4785:G4787"/>
    <mergeCell ref="H4785:H4787"/>
    <mergeCell ref="I4785:I4787"/>
    <mergeCell ref="J4785:J4787"/>
    <mergeCell ref="K4785:K4787"/>
    <mergeCell ref="L4785:L4787"/>
    <mergeCell ref="D4788:D4790"/>
    <mergeCell ref="E4788:E4790"/>
    <mergeCell ref="F4788:F4790"/>
    <mergeCell ref="G4788:G4790"/>
    <mergeCell ref="H4788:H4790"/>
    <mergeCell ref="I4788:I4790"/>
    <mergeCell ref="J4788:J4790"/>
    <mergeCell ref="K4788:K4790"/>
    <mergeCell ref="L4788:L4790"/>
    <mergeCell ref="D4791:D4793"/>
    <mergeCell ref="E4791:E4793"/>
    <mergeCell ref="F4791:F4793"/>
    <mergeCell ref="G4791:G4793"/>
    <mergeCell ref="H4791:H4793"/>
    <mergeCell ref="I4791:I4793"/>
    <mergeCell ref="J4791:J4793"/>
    <mergeCell ref="K4791:K4793"/>
    <mergeCell ref="L4791:L4793"/>
    <mergeCell ref="D4794:F4794"/>
    <mergeCell ref="G4794:L4794"/>
    <mergeCell ref="A4796:A4798"/>
    <mergeCell ref="B4796:C4805"/>
    <mergeCell ref="D4796:D4798"/>
    <mergeCell ref="E4796:E4798"/>
    <mergeCell ref="F4796:F4798"/>
    <mergeCell ref="G4796:G4798"/>
    <mergeCell ref="H4796:H4798"/>
    <mergeCell ref="I4796:I4798"/>
    <mergeCell ref="J4796:J4798"/>
    <mergeCell ref="K4796:K4798"/>
    <mergeCell ref="L4796:L4798"/>
    <mergeCell ref="D4799:D4801"/>
    <mergeCell ref="E4799:E4801"/>
    <mergeCell ref="F4799:F4801"/>
    <mergeCell ref="G4799:G4801"/>
    <mergeCell ref="H4799:H4801"/>
    <mergeCell ref="I4799:I4801"/>
    <mergeCell ref="J4799:J4801"/>
    <mergeCell ref="K4799:K4801"/>
    <mergeCell ref="L4799:L4801"/>
    <mergeCell ref="D4802:D4804"/>
    <mergeCell ref="E4802:E4804"/>
    <mergeCell ref="F4802:F4804"/>
    <mergeCell ref="G4802:G4804"/>
    <mergeCell ref="H4802:H4804"/>
    <mergeCell ref="I4802:I4804"/>
    <mergeCell ref="J4802:J4804"/>
    <mergeCell ref="K4802:K4804"/>
    <mergeCell ref="L4802:L4804"/>
    <mergeCell ref="D4805:F4805"/>
    <mergeCell ref="G4805:L4805"/>
    <mergeCell ref="A4807:A4809"/>
    <mergeCell ref="B4807:C4816"/>
    <mergeCell ref="D4807:D4809"/>
    <mergeCell ref="E4807:E4809"/>
    <mergeCell ref="F4807:F4809"/>
    <mergeCell ref="G4807:G4809"/>
    <mergeCell ref="H4807:H4809"/>
    <mergeCell ref="I4807:I4809"/>
    <mergeCell ref="J4807:J4809"/>
    <mergeCell ref="K4807:K4809"/>
    <mergeCell ref="L4807:L4809"/>
    <mergeCell ref="D4810:D4812"/>
    <mergeCell ref="E4810:E4812"/>
    <mergeCell ref="F4810:F4812"/>
    <mergeCell ref="G4810:G4812"/>
    <mergeCell ref="H4810:H4812"/>
    <mergeCell ref="I4810:I4812"/>
    <mergeCell ref="J4810:J4812"/>
    <mergeCell ref="K4810:K4812"/>
    <mergeCell ref="L4810:L4812"/>
    <mergeCell ref="D4813:D4815"/>
    <mergeCell ref="E4813:E4815"/>
    <mergeCell ref="F4813:F4815"/>
    <mergeCell ref="G4813:G4815"/>
    <mergeCell ref="H4813:H4815"/>
    <mergeCell ref="I4813:I4815"/>
    <mergeCell ref="J4813:J4815"/>
    <mergeCell ref="K4813:K4815"/>
    <mergeCell ref="L4813:L4815"/>
    <mergeCell ref="D4816:F4816"/>
    <mergeCell ref="G4816:L4816"/>
    <mergeCell ref="A4818:A4820"/>
    <mergeCell ref="B4818:C4827"/>
    <mergeCell ref="D4818:D4820"/>
    <mergeCell ref="E4818:E4820"/>
    <mergeCell ref="F4818:F4820"/>
    <mergeCell ref="G4818:G4820"/>
    <mergeCell ref="H4818:H4820"/>
    <mergeCell ref="I4818:I4820"/>
    <mergeCell ref="J4818:J4820"/>
    <mergeCell ref="K4818:K4820"/>
    <mergeCell ref="L4818:L4820"/>
    <mergeCell ref="D4821:D4823"/>
    <mergeCell ref="E4821:E4823"/>
    <mergeCell ref="F4821:F4823"/>
    <mergeCell ref="G4821:G4823"/>
    <mergeCell ref="H4821:H4823"/>
    <mergeCell ref="I4821:I4823"/>
    <mergeCell ref="J4821:J4823"/>
    <mergeCell ref="K4821:K4823"/>
    <mergeCell ref="L4821:L4823"/>
    <mergeCell ref="D4824:D4826"/>
    <mergeCell ref="E4824:E4826"/>
    <mergeCell ref="F4824:F4826"/>
    <mergeCell ref="G4824:G4826"/>
    <mergeCell ref="H4824:H4826"/>
    <mergeCell ref="I4824:I4826"/>
    <mergeCell ref="J4824:J4826"/>
    <mergeCell ref="K4824:K4826"/>
    <mergeCell ref="L4824:L4826"/>
    <mergeCell ref="D4827:F4827"/>
    <mergeCell ref="G4827:L4827"/>
    <mergeCell ref="A4829:A4831"/>
    <mergeCell ref="B4829:C4838"/>
    <mergeCell ref="D4829:D4831"/>
    <mergeCell ref="E4829:E4831"/>
    <mergeCell ref="F4829:F4831"/>
    <mergeCell ref="G4829:G4831"/>
    <mergeCell ref="H4829:H4831"/>
    <mergeCell ref="I4829:I4831"/>
    <mergeCell ref="J4829:J4831"/>
    <mergeCell ref="K4829:K4831"/>
    <mergeCell ref="L4829:L4831"/>
    <mergeCell ref="D4832:D4834"/>
    <mergeCell ref="E4832:E4834"/>
    <mergeCell ref="F4832:F4834"/>
    <mergeCell ref="G4832:G4834"/>
    <mergeCell ref="H4832:H4834"/>
    <mergeCell ref="I4832:I4834"/>
    <mergeCell ref="J4832:J4834"/>
    <mergeCell ref="K4832:K4834"/>
    <mergeCell ref="L4832:L4834"/>
    <mergeCell ref="D4835:D4837"/>
    <mergeCell ref="E4835:E4837"/>
    <mergeCell ref="F4835:F4837"/>
    <mergeCell ref="G4835:G4837"/>
    <mergeCell ref="H4835:H4837"/>
    <mergeCell ref="I4835:I4837"/>
    <mergeCell ref="J4835:J4837"/>
    <mergeCell ref="K4835:K4837"/>
    <mergeCell ref="L4835:L4837"/>
    <mergeCell ref="D4838:F4838"/>
    <mergeCell ref="G4838:L4838"/>
    <mergeCell ref="A4840:A4842"/>
    <mergeCell ref="B4840:C4849"/>
    <mergeCell ref="D4840:D4842"/>
    <mergeCell ref="E4840:E4842"/>
    <mergeCell ref="F4840:F4842"/>
    <mergeCell ref="G4840:G4842"/>
    <mergeCell ref="H4840:H4842"/>
    <mergeCell ref="I4840:I4842"/>
    <mergeCell ref="J4840:J4842"/>
    <mergeCell ref="K4840:K4842"/>
    <mergeCell ref="L4840:L4842"/>
    <mergeCell ref="D4843:D4845"/>
    <mergeCell ref="E4843:E4845"/>
    <mergeCell ref="F4843:F4845"/>
    <mergeCell ref="G4843:G4845"/>
    <mergeCell ref="H4843:H4845"/>
    <mergeCell ref="I4843:I4845"/>
    <mergeCell ref="J4843:J4845"/>
    <mergeCell ref="K4843:K4845"/>
    <mergeCell ref="L4843:L4845"/>
    <mergeCell ref="D4846:D4848"/>
    <mergeCell ref="E4846:E4848"/>
    <mergeCell ref="F4846:F4848"/>
    <mergeCell ref="G4846:G4848"/>
    <mergeCell ref="H4846:H4848"/>
    <mergeCell ref="I4846:I4848"/>
    <mergeCell ref="J4846:J4848"/>
    <mergeCell ref="K4846:K4848"/>
    <mergeCell ref="L4846:L4848"/>
    <mergeCell ref="D4849:F4849"/>
    <mergeCell ref="G4849:L4849"/>
    <mergeCell ref="A4851:A4853"/>
    <mergeCell ref="B4851:C4860"/>
    <mergeCell ref="D4851:D4853"/>
    <mergeCell ref="E4851:E4853"/>
    <mergeCell ref="F4851:F4853"/>
    <mergeCell ref="G4851:G4853"/>
    <mergeCell ref="H4851:H4853"/>
    <mergeCell ref="I4851:I4853"/>
    <mergeCell ref="J4851:J4853"/>
    <mergeCell ref="K4851:K4853"/>
    <mergeCell ref="L4851:L4853"/>
    <mergeCell ref="D4854:D4856"/>
    <mergeCell ref="E4854:E4856"/>
    <mergeCell ref="F4854:F4856"/>
    <mergeCell ref="G4854:G4856"/>
    <mergeCell ref="H4854:H4856"/>
    <mergeCell ref="I4854:I4856"/>
    <mergeCell ref="J4854:J4856"/>
    <mergeCell ref="K4854:K4856"/>
    <mergeCell ref="L4854:L4856"/>
    <mergeCell ref="D4857:D4859"/>
    <mergeCell ref="E4857:E4859"/>
    <mergeCell ref="F4857:F4859"/>
    <mergeCell ref="G4857:G4859"/>
    <mergeCell ref="H4857:H4859"/>
    <mergeCell ref="I4857:I4859"/>
    <mergeCell ref="J4857:J4859"/>
    <mergeCell ref="K4857:K4859"/>
    <mergeCell ref="L4857:L4859"/>
    <mergeCell ref="D4860:F4860"/>
    <mergeCell ref="G4860:L4860"/>
    <mergeCell ref="A4862:A4864"/>
    <mergeCell ref="B4862:C4871"/>
    <mergeCell ref="D4862:D4864"/>
    <mergeCell ref="E4862:E4864"/>
    <mergeCell ref="F4862:F4864"/>
    <mergeCell ref="G4862:G4864"/>
    <mergeCell ref="H4862:H4864"/>
    <mergeCell ref="I4862:I4864"/>
    <mergeCell ref="J4862:J4864"/>
    <mergeCell ref="K4862:K4864"/>
    <mergeCell ref="L4862:L4864"/>
    <mergeCell ref="D4865:D4867"/>
    <mergeCell ref="E4865:E4867"/>
    <mergeCell ref="F4865:F4867"/>
    <mergeCell ref="G4865:G4867"/>
    <mergeCell ref="H4865:H4867"/>
    <mergeCell ref="I4865:I4867"/>
    <mergeCell ref="J4865:J4867"/>
    <mergeCell ref="K4865:K4867"/>
    <mergeCell ref="L4865:L4867"/>
    <mergeCell ref="D4868:D4870"/>
    <mergeCell ref="E4868:E4870"/>
    <mergeCell ref="F4868:F4870"/>
    <mergeCell ref="G4868:G4870"/>
    <mergeCell ref="H4868:H4870"/>
    <mergeCell ref="I4868:I4870"/>
    <mergeCell ref="J4868:J4870"/>
    <mergeCell ref="K4868:K4870"/>
    <mergeCell ref="L4868:L4870"/>
    <mergeCell ref="D4871:F4871"/>
    <mergeCell ref="G4871:L4871"/>
    <mergeCell ref="A4873:A4875"/>
    <mergeCell ref="B4873:C4882"/>
    <mergeCell ref="D4873:D4875"/>
    <mergeCell ref="E4873:E4875"/>
    <mergeCell ref="F4873:F4875"/>
    <mergeCell ref="G4873:G4875"/>
    <mergeCell ref="H4873:H4875"/>
    <mergeCell ref="I4873:I4875"/>
    <mergeCell ref="J4873:J4875"/>
    <mergeCell ref="K4873:K4875"/>
    <mergeCell ref="L4873:L4875"/>
    <mergeCell ref="D4876:D4878"/>
    <mergeCell ref="E4876:E4878"/>
    <mergeCell ref="F4876:F4878"/>
    <mergeCell ref="G4876:G4878"/>
    <mergeCell ref="H4876:H4878"/>
    <mergeCell ref="I4876:I4878"/>
    <mergeCell ref="J4876:J4878"/>
    <mergeCell ref="K4876:K4878"/>
    <mergeCell ref="L4876:L4878"/>
    <mergeCell ref="D4879:D4881"/>
    <mergeCell ref="E4879:E4881"/>
    <mergeCell ref="F4879:F4881"/>
    <mergeCell ref="G4879:G4881"/>
    <mergeCell ref="H4879:H4881"/>
    <mergeCell ref="I4879:I4881"/>
    <mergeCell ref="J4879:J4881"/>
    <mergeCell ref="K4879:K4881"/>
    <mergeCell ref="L4879:L4881"/>
    <mergeCell ref="D4882:F4882"/>
    <mergeCell ref="G4882:L4882"/>
    <mergeCell ref="A4884:A4886"/>
    <mergeCell ref="B4884:C4893"/>
    <mergeCell ref="D4884:D4886"/>
    <mergeCell ref="E4884:E4886"/>
    <mergeCell ref="F4884:F4886"/>
    <mergeCell ref="G4884:G4886"/>
    <mergeCell ref="H4884:H4886"/>
    <mergeCell ref="I4884:I4886"/>
    <mergeCell ref="J4884:J4886"/>
    <mergeCell ref="K4884:K4886"/>
    <mergeCell ref="L4884:L4886"/>
    <mergeCell ref="D4887:D4889"/>
    <mergeCell ref="E4887:E4889"/>
    <mergeCell ref="F4887:F4889"/>
    <mergeCell ref="G4887:G4889"/>
    <mergeCell ref="H4887:H4889"/>
    <mergeCell ref="I4887:I4889"/>
    <mergeCell ref="J4887:J4889"/>
    <mergeCell ref="K4887:K4889"/>
    <mergeCell ref="L4887:L4889"/>
    <mergeCell ref="D4890:D4892"/>
    <mergeCell ref="E4890:E4892"/>
    <mergeCell ref="F4890:F4892"/>
    <mergeCell ref="G4890:G4892"/>
    <mergeCell ref="H4890:H4892"/>
    <mergeCell ref="I4890:I4892"/>
    <mergeCell ref="J4890:J4892"/>
    <mergeCell ref="K4890:K4892"/>
    <mergeCell ref="L4890:L4892"/>
    <mergeCell ref="D4893:F4893"/>
    <mergeCell ref="G4893:L4893"/>
    <mergeCell ref="A4895:A4897"/>
    <mergeCell ref="B4895:C4904"/>
    <mergeCell ref="D4895:D4897"/>
    <mergeCell ref="E4895:E4897"/>
    <mergeCell ref="F4895:F4897"/>
    <mergeCell ref="G4895:G4897"/>
    <mergeCell ref="H4895:H4897"/>
    <mergeCell ref="I4895:I4897"/>
    <mergeCell ref="J4895:J4897"/>
    <mergeCell ref="K4895:K4897"/>
    <mergeCell ref="L4895:L4897"/>
    <mergeCell ref="D4898:D4900"/>
    <mergeCell ref="E4898:E4900"/>
    <mergeCell ref="F4898:F4900"/>
    <mergeCell ref="G4898:G4900"/>
    <mergeCell ref="H4898:H4900"/>
    <mergeCell ref="I4898:I4900"/>
    <mergeCell ref="J4898:J4900"/>
    <mergeCell ref="K4898:K4900"/>
    <mergeCell ref="L4898:L4900"/>
    <mergeCell ref="D4901:D4903"/>
    <mergeCell ref="E4901:E4903"/>
    <mergeCell ref="F4901:F4903"/>
    <mergeCell ref="G4901:G4903"/>
    <mergeCell ref="H4901:H4903"/>
    <mergeCell ref="I4901:I4903"/>
    <mergeCell ref="J4901:J4903"/>
    <mergeCell ref="K4901:K4903"/>
    <mergeCell ref="L4901:L4903"/>
    <mergeCell ref="D4904:F4904"/>
    <mergeCell ref="G4904:L4904"/>
    <mergeCell ref="A4906:A4908"/>
    <mergeCell ref="B4906:C4915"/>
    <mergeCell ref="D4906:D4908"/>
    <mergeCell ref="E4906:E4908"/>
    <mergeCell ref="F4906:F4908"/>
    <mergeCell ref="G4906:G4908"/>
    <mergeCell ref="H4906:H4908"/>
    <mergeCell ref="I4906:I4908"/>
    <mergeCell ref="J4906:J4908"/>
    <mergeCell ref="K4906:K4908"/>
    <mergeCell ref="L4906:L4908"/>
    <mergeCell ref="D4909:D4911"/>
    <mergeCell ref="E4909:E4911"/>
    <mergeCell ref="F4909:F4911"/>
    <mergeCell ref="G4909:G4911"/>
    <mergeCell ref="H4909:H4911"/>
    <mergeCell ref="I4909:I4911"/>
    <mergeCell ref="J4909:J4911"/>
    <mergeCell ref="K4909:K4911"/>
    <mergeCell ref="L4909:L4911"/>
    <mergeCell ref="D4912:D4914"/>
    <mergeCell ref="E4912:E4914"/>
    <mergeCell ref="F4912:F4914"/>
    <mergeCell ref="G4912:G4914"/>
    <mergeCell ref="H4912:H4914"/>
    <mergeCell ref="I4912:I4914"/>
    <mergeCell ref="J4912:J4914"/>
    <mergeCell ref="K4912:K4914"/>
    <mergeCell ref="L4912:L4914"/>
    <mergeCell ref="D4915:F4915"/>
    <mergeCell ref="G4915:L4915"/>
    <mergeCell ref="A4917:A4919"/>
    <mergeCell ref="B4917:C4926"/>
    <mergeCell ref="D4917:D4919"/>
    <mergeCell ref="E4917:E4919"/>
    <mergeCell ref="F4917:F4919"/>
    <mergeCell ref="G4917:G4919"/>
    <mergeCell ref="H4917:H4919"/>
    <mergeCell ref="I4917:I4919"/>
    <mergeCell ref="J4917:J4919"/>
    <mergeCell ref="K4917:K4919"/>
    <mergeCell ref="L4917:L4919"/>
    <mergeCell ref="D4920:D4922"/>
    <mergeCell ref="E4920:E4922"/>
    <mergeCell ref="F4920:F4922"/>
    <mergeCell ref="G4920:G4922"/>
    <mergeCell ref="H4920:H4922"/>
    <mergeCell ref="I4920:I4922"/>
    <mergeCell ref="J4920:J4922"/>
    <mergeCell ref="K4920:K4922"/>
    <mergeCell ref="L4920:L4922"/>
    <mergeCell ref="D4923:D4925"/>
    <mergeCell ref="E4923:E4925"/>
    <mergeCell ref="F4923:F4925"/>
    <mergeCell ref="G4923:G4925"/>
    <mergeCell ref="H4923:H4925"/>
    <mergeCell ref="I4923:I4925"/>
    <mergeCell ref="J4923:J4925"/>
    <mergeCell ref="K4923:K4925"/>
    <mergeCell ref="L4923:L4925"/>
    <mergeCell ref="D4926:F4926"/>
    <mergeCell ref="G4926:L4926"/>
    <mergeCell ref="A4928:A4930"/>
    <mergeCell ref="B4928:C4937"/>
    <mergeCell ref="D4928:D4930"/>
    <mergeCell ref="E4928:E4930"/>
    <mergeCell ref="F4928:F4930"/>
    <mergeCell ref="G4928:G4930"/>
    <mergeCell ref="H4928:H4930"/>
    <mergeCell ref="I4928:I4930"/>
    <mergeCell ref="J4928:J4930"/>
    <mergeCell ref="K4928:K4930"/>
    <mergeCell ref="L4928:L4930"/>
    <mergeCell ref="D4931:D4933"/>
    <mergeCell ref="E4931:E4933"/>
    <mergeCell ref="F4931:F4933"/>
    <mergeCell ref="G4931:G4933"/>
    <mergeCell ref="H4931:H4933"/>
    <mergeCell ref="I4931:I4933"/>
    <mergeCell ref="J4931:J4933"/>
    <mergeCell ref="K4931:K4933"/>
    <mergeCell ref="L4931:L4933"/>
    <mergeCell ref="D4934:D4936"/>
    <mergeCell ref="E4934:E4936"/>
    <mergeCell ref="F4934:F4936"/>
    <mergeCell ref="G4934:G4936"/>
    <mergeCell ref="H4934:H4936"/>
    <mergeCell ref="I4934:I4936"/>
    <mergeCell ref="J4934:J4936"/>
    <mergeCell ref="K4934:K4936"/>
    <mergeCell ref="L4934:L4936"/>
    <mergeCell ref="D4937:F4937"/>
    <mergeCell ref="G4937:L4937"/>
    <mergeCell ref="A4939:A4941"/>
    <mergeCell ref="B4939:C4948"/>
    <mergeCell ref="D4939:D4941"/>
    <mergeCell ref="E4939:E4941"/>
    <mergeCell ref="F4939:F4941"/>
    <mergeCell ref="G4939:G4941"/>
    <mergeCell ref="H4939:H4941"/>
    <mergeCell ref="I4939:I4941"/>
    <mergeCell ref="J4939:J4941"/>
    <mergeCell ref="K4939:K4941"/>
    <mergeCell ref="L4939:L4941"/>
    <mergeCell ref="D4942:D4944"/>
    <mergeCell ref="E4942:E4944"/>
    <mergeCell ref="F4942:F4944"/>
    <mergeCell ref="G4942:G4944"/>
    <mergeCell ref="H4942:H4944"/>
    <mergeCell ref="I4942:I4944"/>
    <mergeCell ref="J4942:J4944"/>
    <mergeCell ref="K4942:K4944"/>
    <mergeCell ref="L4942:L4944"/>
    <mergeCell ref="D4945:D4947"/>
    <mergeCell ref="E4945:E4947"/>
    <mergeCell ref="F4945:F4947"/>
    <mergeCell ref="G4945:G4947"/>
    <mergeCell ref="H4945:H4947"/>
    <mergeCell ref="I4945:I4947"/>
    <mergeCell ref="J4945:J4947"/>
    <mergeCell ref="K4945:K4947"/>
    <mergeCell ref="L4945:L4947"/>
    <mergeCell ref="D4948:F4948"/>
    <mergeCell ref="G4948:L4948"/>
    <mergeCell ref="A4950:A4952"/>
    <mergeCell ref="B4950:C4959"/>
    <mergeCell ref="D4950:D4952"/>
    <mergeCell ref="E4950:E4952"/>
    <mergeCell ref="F4950:F4952"/>
    <mergeCell ref="G4950:G4952"/>
    <mergeCell ref="H4950:H4952"/>
    <mergeCell ref="I4950:I4952"/>
    <mergeCell ref="J4950:J4952"/>
    <mergeCell ref="K4950:K4952"/>
    <mergeCell ref="L4950:L4952"/>
    <mergeCell ref="D4953:D4955"/>
    <mergeCell ref="E4953:E4955"/>
    <mergeCell ref="F4953:F4955"/>
    <mergeCell ref="G4953:G4955"/>
    <mergeCell ref="H4953:H4955"/>
    <mergeCell ref="I4953:I4955"/>
    <mergeCell ref="J4953:J4955"/>
    <mergeCell ref="K4953:K4955"/>
    <mergeCell ref="L4953:L4955"/>
    <mergeCell ref="D4956:D4958"/>
    <mergeCell ref="E4956:E4958"/>
    <mergeCell ref="F4956:F4958"/>
    <mergeCell ref="G4956:G4958"/>
    <mergeCell ref="H4956:H4958"/>
    <mergeCell ref="I4956:I4958"/>
    <mergeCell ref="J4956:J4958"/>
    <mergeCell ref="K4956:K4958"/>
    <mergeCell ref="L4956:L4958"/>
    <mergeCell ref="D4959:F4959"/>
    <mergeCell ref="G4959:L4959"/>
    <mergeCell ref="A4961:A4963"/>
    <mergeCell ref="B4961:C4970"/>
    <mergeCell ref="D4961:D4963"/>
    <mergeCell ref="E4961:E4963"/>
    <mergeCell ref="F4961:F4963"/>
    <mergeCell ref="G4961:G4963"/>
    <mergeCell ref="H4961:H4963"/>
    <mergeCell ref="I4961:I4963"/>
    <mergeCell ref="J4961:J4963"/>
    <mergeCell ref="K4961:K4963"/>
    <mergeCell ref="L4961:L4963"/>
    <mergeCell ref="D4964:D4966"/>
    <mergeCell ref="E4964:E4966"/>
    <mergeCell ref="F4964:F4966"/>
    <mergeCell ref="G4964:G4966"/>
    <mergeCell ref="H4964:H4966"/>
    <mergeCell ref="I4964:I4966"/>
    <mergeCell ref="J4964:J4966"/>
    <mergeCell ref="K4964:K4966"/>
    <mergeCell ref="L4964:L4966"/>
    <mergeCell ref="D4967:D4969"/>
    <mergeCell ref="E4967:E4969"/>
    <mergeCell ref="F4967:F4969"/>
    <mergeCell ref="G4967:G4969"/>
    <mergeCell ref="H4967:H4969"/>
    <mergeCell ref="I4967:I4969"/>
    <mergeCell ref="J4967:J4969"/>
    <mergeCell ref="K4967:K4969"/>
    <mergeCell ref="L4967:L4969"/>
    <mergeCell ref="D4970:F4970"/>
    <mergeCell ref="G4970:L4970"/>
    <mergeCell ref="A4972:A4974"/>
    <mergeCell ref="B4972:C4981"/>
    <mergeCell ref="D4972:D4974"/>
    <mergeCell ref="E4972:E4974"/>
    <mergeCell ref="F4972:F4974"/>
    <mergeCell ref="G4972:G4974"/>
    <mergeCell ref="H4972:H4974"/>
    <mergeCell ref="I4972:I4974"/>
    <mergeCell ref="J4972:J4974"/>
    <mergeCell ref="K4972:K4974"/>
    <mergeCell ref="L4972:L4974"/>
    <mergeCell ref="D4975:D4977"/>
    <mergeCell ref="E4975:E4977"/>
    <mergeCell ref="F4975:F4977"/>
    <mergeCell ref="G4975:G4977"/>
    <mergeCell ref="H4975:H4977"/>
    <mergeCell ref="I4975:I4977"/>
    <mergeCell ref="J4975:J4977"/>
    <mergeCell ref="K4975:K4977"/>
    <mergeCell ref="L4975:L4977"/>
    <mergeCell ref="D4978:D4980"/>
    <mergeCell ref="E4978:E4980"/>
    <mergeCell ref="F4978:F4980"/>
    <mergeCell ref="G4978:G4980"/>
    <mergeCell ref="H4978:H4980"/>
    <mergeCell ref="I4978:I4980"/>
    <mergeCell ref="J4978:J4980"/>
    <mergeCell ref="K4978:K4980"/>
    <mergeCell ref="L4978:L4980"/>
    <mergeCell ref="D4981:F4981"/>
    <mergeCell ref="G4981:L4981"/>
    <mergeCell ref="A4983:A4985"/>
    <mergeCell ref="B4983:C4992"/>
    <mergeCell ref="D4983:D4985"/>
    <mergeCell ref="E4983:E4985"/>
    <mergeCell ref="F4983:F4985"/>
    <mergeCell ref="G4983:G4985"/>
    <mergeCell ref="H4983:H4985"/>
    <mergeCell ref="I4983:I4985"/>
    <mergeCell ref="J4983:J4985"/>
    <mergeCell ref="K4983:K4985"/>
    <mergeCell ref="L4983:L4985"/>
    <mergeCell ref="D4986:D4988"/>
    <mergeCell ref="E4986:E4988"/>
    <mergeCell ref="F4986:F4988"/>
    <mergeCell ref="G4986:G4988"/>
    <mergeCell ref="H4986:H4988"/>
    <mergeCell ref="I4986:I4988"/>
    <mergeCell ref="J4986:J4988"/>
    <mergeCell ref="K4986:K4988"/>
    <mergeCell ref="L4986:L4988"/>
    <mergeCell ref="D4989:D4991"/>
    <mergeCell ref="E4989:E4991"/>
    <mergeCell ref="F4989:F4991"/>
    <mergeCell ref="G4989:G4991"/>
    <mergeCell ref="H4989:H4991"/>
    <mergeCell ref="I4989:I4991"/>
    <mergeCell ref="J4989:J4991"/>
    <mergeCell ref="K4989:K4991"/>
    <mergeCell ref="L4989:L4991"/>
    <mergeCell ref="D4992:F4992"/>
    <mergeCell ref="G4992:L4992"/>
    <mergeCell ref="A4994:A4996"/>
    <mergeCell ref="B4994:C5003"/>
    <mergeCell ref="D4994:D4996"/>
    <mergeCell ref="E4994:E4996"/>
    <mergeCell ref="F4994:F4996"/>
    <mergeCell ref="G4994:G4996"/>
    <mergeCell ref="H4994:H4996"/>
    <mergeCell ref="I4994:I4996"/>
    <mergeCell ref="J4994:J4996"/>
    <mergeCell ref="K4994:K4996"/>
    <mergeCell ref="L4994:L4996"/>
    <mergeCell ref="D4997:D4999"/>
    <mergeCell ref="E4997:E4999"/>
    <mergeCell ref="F4997:F4999"/>
    <mergeCell ref="G4997:G4999"/>
    <mergeCell ref="H4997:H4999"/>
    <mergeCell ref="I4997:I4999"/>
    <mergeCell ref="J4997:J4999"/>
    <mergeCell ref="K4997:K4999"/>
    <mergeCell ref="L4997:L4999"/>
    <mergeCell ref="D5000:D5002"/>
    <mergeCell ref="E5000:E5002"/>
    <mergeCell ref="F5000:F5002"/>
    <mergeCell ref="G5000:G5002"/>
    <mergeCell ref="H5000:H5002"/>
    <mergeCell ref="I5000:I5002"/>
    <mergeCell ref="J5000:J5002"/>
    <mergeCell ref="K5000:K5002"/>
    <mergeCell ref="L5000:L5002"/>
    <mergeCell ref="D5003:F5003"/>
    <mergeCell ref="G5003:L5003"/>
    <mergeCell ref="A5005:A5007"/>
    <mergeCell ref="B5005:C5014"/>
    <mergeCell ref="D5005:D5007"/>
    <mergeCell ref="E5005:E5007"/>
    <mergeCell ref="F5005:F5007"/>
    <mergeCell ref="G5005:G5007"/>
    <mergeCell ref="H5005:H5007"/>
    <mergeCell ref="I5005:I5007"/>
    <mergeCell ref="J5005:J5007"/>
    <mergeCell ref="K5005:K5007"/>
    <mergeCell ref="L5005:L5007"/>
    <mergeCell ref="D5008:D5010"/>
    <mergeCell ref="E5008:E5010"/>
    <mergeCell ref="F5008:F5010"/>
    <mergeCell ref="G5008:G5010"/>
    <mergeCell ref="H5008:H5010"/>
    <mergeCell ref="I5008:I5010"/>
    <mergeCell ref="J5008:J5010"/>
    <mergeCell ref="K5008:K5010"/>
    <mergeCell ref="L5008:L5010"/>
    <mergeCell ref="D5011:D5013"/>
    <mergeCell ref="E5011:E5013"/>
    <mergeCell ref="F5011:F5013"/>
    <mergeCell ref="G5011:G5013"/>
    <mergeCell ref="H5011:H5013"/>
    <mergeCell ref="I5011:I5013"/>
    <mergeCell ref="J5011:J5013"/>
    <mergeCell ref="K5011:K5013"/>
    <mergeCell ref="L5011:L5013"/>
    <mergeCell ref="D5014:F5014"/>
    <mergeCell ref="G5014:L5014"/>
    <mergeCell ref="A5016:A5018"/>
    <mergeCell ref="B5016:C5025"/>
    <mergeCell ref="D5016:D5018"/>
    <mergeCell ref="E5016:E5018"/>
    <mergeCell ref="F5016:F5018"/>
    <mergeCell ref="G5016:G5018"/>
    <mergeCell ref="H5016:H5018"/>
    <mergeCell ref="I5016:I5018"/>
    <mergeCell ref="J5016:J5018"/>
    <mergeCell ref="K5016:K5018"/>
    <mergeCell ref="L5016:L5018"/>
    <mergeCell ref="D5019:D5021"/>
    <mergeCell ref="E5019:E5021"/>
    <mergeCell ref="F5019:F5021"/>
    <mergeCell ref="G5019:G5021"/>
    <mergeCell ref="H5019:H5021"/>
    <mergeCell ref="I5019:I5021"/>
    <mergeCell ref="J5019:J5021"/>
    <mergeCell ref="K5019:K5021"/>
    <mergeCell ref="L5019:L5021"/>
    <mergeCell ref="D5022:D5024"/>
    <mergeCell ref="E5022:E5024"/>
    <mergeCell ref="F5022:F5024"/>
    <mergeCell ref="G5022:G5024"/>
    <mergeCell ref="H5022:H5024"/>
    <mergeCell ref="I5022:I5024"/>
    <mergeCell ref="J5022:J5024"/>
    <mergeCell ref="K5022:K5024"/>
    <mergeCell ref="L5022:L5024"/>
    <mergeCell ref="D5025:F5025"/>
    <mergeCell ref="G5025:L5025"/>
    <mergeCell ref="A5027:A5029"/>
    <mergeCell ref="B5027:C5036"/>
    <mergeCell ref="D5027:D5029"/>
    <mergeCell ref="E5027:E5029"/>
    <mergeCell ref="F5027:F5029"/>
    <mergeCell ref="G5027:G5029"/>
    <mergeCell ref="H5027:H5029"/>
    <mergeCell ref="I5027:I5029"/>
    <mergeCell ref="J5027:J5029"/>
    <mergeCell ref="K5027:K5029"/>
    <mergeCell ref="L5027:L5029"/>
    <mergeCell ref="D5030:D5032"/>
    <mergeCell ref="E5030:E5032"/>
    <mergeCell ref="F5030:F5032"/>
    <mergeCell ref="G5030:G5032"/>
    <mergeCell ref="H5030:H5032"/>
    <mergeCell ref="I5030:I5032"/>
    <mergeCell ref="J5030:J5032"/>
    <mergeCell ref="K5030:K5032"/>
    <mergeCell ref="L5030:L5032"/>
    <mergeCell ref="D5033:D5035"/>
    <mergeCell ref="E5033:E5035"/>
    <mergeCell ref="F5033:F5035"/>
    <mergeCell ref="G5033:G5035"/>
    <mergeCell ref="H5033:H5035"/>
    <mergeCell ref="I5033:I5035"/>
    <mergeCell ref="J5033:J5035"/>
    <mergeCell ref="K5033:K5035"/>
    <mergeCell ref="L5033:L5035"/>
    <mergeCell ref="D5036:F5036"/>
    <mergeCell ref="G5036:L5036"/>
    <mergeCell ref="A5038:A5040"/>
    <mergeCell ref="B5038:C5047"/>
    <mergeCell ref="D5038:D5040"/>
    <mergeCell ref="E5038:E5040"/>
    <mergeCell ref="F5038:F5040"/>
    <mergeCell ref="G5038:G5040"/>
    <mergeCell ref="H5038:H5040"/>
    <mergeCell ref="I5038:I5040"/>
    <mergeCell ref="J5038:J5040"/>
    <mergeCell ref="K5038:K5040"/>
    <mergeCell ref="L5038:L5040"/>
    <mergeCell ref="D5041:D5043"/>
    <mergeCell ref="E5041:E5043"/>
    <mergeCell ref="F5041:F5043"/>
    <mergeCell ref="G5041:G5043"/>
    <mergeCell ref="H5041:H5043"/>
    <mergeCell ref="I5041:I5043"/>
    <mergeCell ref="J5041:J5043"/>
    <mergeCell ref="K5041:K5043"/>
    <mergeCell ref="L5041:L5043"/>
    <mergeCell ref="D5044:D5046"/>
    <mergeCell ref="E5044:E5046"/>
    <mergeCell ref="F5044:F5046"/>
    <mergeCell ref="G5044:G5046"/>
    <mergeCell ref="H5044:H5046"/>
    <mergeCell ref="I5044:I5046"/>
    <mergeCell ref="J5044:J5046"/>
    <mergeCell ref="K5044:K5046"/>
    <mergeCell ref="L5044:L5046"/>
    <mergeCell ref="D5047:F5047"/>
    <mergeCell ref="G5047:L5047"/>
    <mergeCell ref="A5049:A5051"/>
    <mergeCell ref="B5049:C5058"/>
    <mergeCell ref="D5049:D5051"/>
    <mergeCell ref="E5049:E5051"/>
    <mergeCell ref="F5049:F5051"/>
    <mergeCell ref="G5049:G5051"/>
    <mergeCell ref="H5049:H5051"/>
    <mergeCell ref="I5049:I5051"/>
    <mergeCell ref="J5049:J5051"/>
    <mergeCell ref="K5049:K5051"/>
    <mergeCell ref="L5049:L5051"/>
    <mergeCell ref="D5052:D5054"/>
    <mergeCell ref="E5052:E5054"/>
    <mergeCell ref="F5052:F5054"/>
    <mergeCell ref="G5052:G5054"/>
    <mergeCell ref="H5052:H5054"/>
    <mergeCell ref="I5052:I5054"/>
    <mergeCell ref="J5052:J5054"/>
    <mergeCell ref="K5052:K5054"/>
    <mergeCell ref="L5052:L5054"/>
    <mergeCell ref="D5055:D5057"/>
    <mergeCell ref="E5055:E5057"/>
    <mergeCell ref="F5055:F5057"/>
    <mergeCell ref="G5055:G5057"/>
    <mergeCell ref="H5055:H5057"/>
    <mergeCell ref="I5055:I5057"/>
    <mergeCell ref="J5055:J5057"/>
    <mergeCell ref="K5055:K5057"/>
    <mergeCell ref="L5055:L5057"/>
    <mergeCell ref="D5058:F5058"/>
    <mergeCell ref="G5058:L5058"/>
    <mergeCell ref="A5060:A5062"/>
    <mergeCell ref="B5060:C5069"/>
    <mergeCell ref="D5060:D5062"/>
    <mergeCell ref="E5060:E5062"/>
    <mergeCell ref="F5060:F5062"/>
    <mergeCell ref="G5060:G5062"/>
    <mergeCell ref="H5060:H5062"/>
    <mergeCell ref="I5060:I5062"/>
    <mergeCell ref="J5060:J5062"/>
    <mergeCell ref="K5060:K5062"/>
    <mergeCell ref="L5060:L5062"/>
    <mergeCell ref="D5063:D5065"/>
    <mergeCell ref="E5063:E5065"/>
    <mergeCell ref="F5063:F5065"/>
    <mergeCell ref="G5063:G5065"/>
    <mergeCell ref="H5063:H5065"/>
    <mergeCell ref="I5063:I5065"/>
    <mergeCell ref="J5063:J5065"/>
    <mergeCell ref="K5063:K5065"/>
    <mergeCell ref="L5063:L5065"/>
    <mergeCell ref="D5066:D5068"/>
    <mergeCell ref="E5066:E5068"/>
    <mergeCell ref="F5066:F5068"/>
    <mergeCell ref="G5066:G5068"/>
    <mergeCell ref="H5066:H5068"/>
    <mergeCell ref="I5066:I5068"/>
    <mergeCell ref="J5066:J5068"/>
    <mergeCell ref="K5066:K5068"/>
    <mergeCell ref="L5066:L5068"/>
    <mergeCell ref="D5069:F5069"/>
    <mergeCell ref="G5069:L5069"/>
    <mergeCell ref="A5071:A5073"/>
    <mergeCell ref="B5071:C5080"/>
    <mergeCell ref="D5071:D5073"/>
    <mergeCell ref="E5071:E5073"/>
    <mergeCell ref="F5071:F5073"/>
    <mergeCell ref="G5071:G5073"/>
    <mergeCell ref="H5071:H5073"/>
    <mergeCell ref="I5071:I5073"/>
    <mergeCell ref="J5071:J5073"/>
    <mergeCell ref="K5071:K5073"/>
    <mergeCell ref="L5071:L5073"/>
    <mergeCell ref="D5074:D5076"/>
    <mergeCell ref="E5074:E5076"/>
    <mergeCell ref="F5074:F5076"/>
    <mergeCell ref="G5074:G5076"/>
    <mergeCell ref="H5074:H5076"/>
    <mergeCell ref="I5074:I5076"/>
    <mergeCell ref="J5074:J5076"/>
    <mergeCell ref="K5074:K5076"/>
    <mergeCell ref="L5074:L5076"/>
    <mergeCell ref="D5077:D5079"/>
    <mergeCell ref="E5077:E5079"/>
    <mergeCell ref="F5077:F5079"/>
    <mergeCell ref="G5077:G5079"/>
    <mergeCell ref="H5077:H5079"/>
    <mergeCell ref="I5077:I5079"/>
    <mergeCell ref="J5077:J5079"/>
    <mergeCell ref="K5077:K5079"/>
    <mergeCell ref="L5077:L5079"/>
    <mergeCell ref="D5080:F5080"/>
    <mergeCell ref="G5080:L5080"/>
    <mergeCell ref="A5082:A5084"/>
    <mergeCell ref="B5082:C5091"/>
    <mergeCell ref="D5082:D5084"/>
    <mergeCell ref="E5082:E5084"/>
    <mergeCell ref="F5082:F5084"/>
    <mergeCell ref="G5082:G5084"/>
    <mergeCell ref="H5082:H5084"/>
    <mergeCell ref="I5082:I5084"/>
    <mergeCell ref="J5082:J5084"/>
    <mergeCell ref="K5082:K5084"/>
    <mergeCell ref="L5082:L5084"/>
    <mergeCell ref="D5085:D5087"/>
    <mergeCell ref="E5085:E5087"/>
    <mergeCell ref="F5085:F5087"/>
    <mergeCell ref="G5085:G5087"/>
    <mergeCell ref="H5085:H5087"/>
    <mergeCell ref="I5085:I5087"/>
    <mergeCell ref="J5085:J5087"/>
    <mergeCell ref="K5085:K5087"/>
    <mergeCell ref="L5085:L5087"/>
    <mergeCell ref="D5088:D5090"/>
    <mergeCell ref="E5088:E5090"/>
    <mergeCell ref="F5088:F5090"/>
    <mergeCell ref="G5088:G5090"/>
    <mergeCell ref="H5088:H5090"/>
    <mergeCell ref="I5088:I5090"/>
    <mergeCell ref="J5088:J5090"/>
    <mergeCell ref="K5088:K5090"/>
    <mergeCell ref="L5088:L5090"/>
    <mergeCell ref="D5091:F5091"/>
    <mergeCell ref="G5091:L5091"/>
    <mergeCell ref="A5093:A5095"/>
    <mergeCell ref="B5093:C5102"/>
    <mergeCell ref="D5093:D5095"/>
    <mergeCell ref="E5093:E5095"/>
    <mergeCell ref="F5093:F5095"/>
    <mergeCell ref="G5093:G5095"/>
    <mergeCell ref="H5093:H5095"/>
    <mergeCell ref="I5093:I5095"/>
    <mergeCell ref="J5093:J5095"/>
    <mergeCell ref="K5093:K5095"/>
    <mergeCell ref="L5093:L5095"/>
    <mergeCell ref="D5096:D5098"/>
    <mergeCell ref="E5096:E5098"/>
    <mergeCell ref="F5096:F5098"/>
    <mergeCell ref="G5096:G5098"/>
    <mergeCell ref="H5096:H5098"/>
    <mergeCell ref="I5096:I5098"/>
    <mergeCell ref="J5096:J5098"/>
    <mergeCell ref="K5096:K5098"/>
    <mergeCell ref="L5096:L5098"/>
    <mergeCell ref="D5099:D5101"/>
    <mergeCell ref="E5099:E5101"/>
    <mergeCell ref="F5099:F5101"/>
    <mergeCell ref="G5099:G5101"/>
    <mergeCell ref="H5099:H5101"/>
    <mergeCell ref="I5099:I5101"/>
    <mergeCell ref="J5099:J5101"/>
    <mergeCell ref="K5099:K5101"/>
    <mergeCell ref="L5099:L5101"/>
    <mergeCell ref="D5102:F5102"/>
    <mergeCell ref="G5102:L5102"/>
    <mergeCell ref="A5104:A5106"/>
    <mergeCell ref="B5104:C5113"/>
    <mergeCell ref="D5104:D5106"/>
    <mergeCell ref="E5104:E5106"/>
    <mergeCell ref="F5104:F5106"/>
    <mergeCell ref="G5104:G5106"/>
    <mergeCell ref="H5104:H5106"/>
    <mergeCell ref="I5104:I5106"/>
    <mergeCell ref="J5104:J5106"/>
    <mergeCell ref="K5104:K5106"/>
    <mergeCell ref="L5104:L5106"/>
    <mergeCell ref="D5107:D5109"/>
    <mergeCell ref="E5107:E5109"/>
    <mergeCell ref="F5107:F5109"/>
    <mergeCell ref="G5107:G5109"/>
    <mergeCell ref="H5107:H5109"/>
    <mergeCell ref="I5107:I5109"/>
    <mergeCell ref="J5107:J5109"/>
    <mergeCell ref="K5107:K5109"/>
    <mergeCell ref="L5107:L5109"/>
    <mergeCell ref="D5110:D5112"/>
    <mergeCell ref="E5110:E5112"/>
    <mergeCell ref="F5110:F5112"/>
    <mergeCell ref="G5110:G5112"/>
    <mergeCell ref="H5110:H5112"/>
    <mergeCell ref="I5110:I5112"/>
    <mergeCell ref="J5110:J5112"/>
    <mergeCell ref="K5110:K5112"/>
    <mergeCell ref="L5110:L5112"/>
    <mergeCell ref="D5113:F5113"/>
    <mergeCell ref="G5113:L5113"/>
    <mergeCell ref="A5115:A5117"/>
    <mergeCell ref="B5115:C5124"/>
    <mergeCell ref="D5115:D5117"/>
    <mergeCell ref="E5115:E5117"/>
    <mergeCell ref="F5115:F5117"/>
    <mergeCell ref="G5115:G5117"/>
    <mergeCell ref="H5115:H5117"/>
    <mergeCell ref="I5115:I5117"/>
    <mergeCell ref="J5115:J5117"/>
    <mergeCell ref="K5115:K5117"/>
    <mergeCell ref="L5115:L5117"/>
    <mergeCell ref="D5118:D5120"/>
    <mergeCell ref="E5118:E5120"/>
    <mergeCell ref="F5118:F5120"/>
    <mergeCell ref="G5118:G5120"/>
    <mergeCell ref="H5118:H5120"/>
    <mergeCell ref="I5118:I5120"/>
    <mergeCell ref="J5118:J5120"/>
    <mergeCell ref="K5118:K5120"/>
    <mergeCell ref="L5118:L5120"/>
    <mergeCell ref="D5121:D5123"/>
    <mergeCell ref="E5121:E5123"/>
    <mergeCell ref="F5121:F5123"/>
    <mergeCell ref="G5121:G5123"/>
    <mergeCell ref="H5121:H5123"/>
    <mergeCell ref="I5121:I5123"/>
    <mergeCell ref="J5121:J5123"/>
    <mergeCell ref="K5121:K5123"/>
    <mergeCell ref="L5121:L5123"/>
    <mergeCell ref="D5124:F5124"/>
    <mergeCell ref="G5124:L5124"/>
    <mergeCell ref="A5126:A5128"/>
    <mergeCell ref="B5126:C5135"/>
    <mergeCell ref="D5126:D5128"/>
    <mergeCell ref="E5126:E5128"/>
    <mergeCell ref="F5126:F5128"/>
    <mergeCell ref="G5126:G5128"/>
    <mergeCell ref="H5126:H5128"/>
    <mergeCell ref="I5126:I5128"/>
    <mergeCell ref="J5126:J5128"/>
    <mergeCell ref="K5126:K5128"/>
    <mergeCell ref="L5126:L5128"/>
    <mergeCell ref="D5129:D5131"/>
    <mergeCell ref="E5129:E5131"/>
    <mergeCell ref="F5129:F5131"/>
    <mergeCell ref="G5129:G5131"/>
    <mergeCell ref="H5129:H5131"/>
    <mergeCell ref="I5129:I5131"/>
    <mergeCell ref="J5129:J5131"/>
    <mergeCell ref="K5129:K5131"/>
    <mergeCell ref="L5129:L5131"/>
    <mergeCell ref="D5132:D5134"/>
    <mergeCell ref="E5132:E5134"/>
    <mergeCell ref="F5132:F5134"/>
    <mergeCell ref="G5132:G5134"/>
    <mergeCell ref="H5132:H5134"/>
    <mergeCell ref="I5132:I5134"/>
    <mergeCell ref="J5132:J5134"/>
    <mergeCell ref="K5132:K5134"/>
    <mergeCell ref="L5132:L5134"/>
    <mergeCell ref="D5135:F5135"/>
    <mergeCell ref="G5135:L5135"/>
    <mergeCell ref="A5137:A5139"/>
    <mergeCell ref="B5137:C5146"/>
    <mergeCell ref="D5137:D5139"/>
    <mergeCell ref="E5137:E5139"/>
    <mergeCell ref="F5137:F5139"/>
    <mergeCell ref="G5137:G5139"/>
    <mergeCell ref="H5137:H5139"/>
    <mergeCell ref="I5137:I5139"/>
    <mergeCell ref="J5137:J5139"/>
    <mergeCell ref="K5137:K5139"/>
    <mergeCell ref="L5137:L5139"/>
    <mergeCell ref="D5140:D5142"/>
    <mergeCell ref="E5140:E5142"/>
    <mergeCell ref="F5140:F5142"/>
    <mergeCell ref="G5140:G5142"/>
    <mergeCell ref="H5140:H5142"/>
    <mergeCell ref="I5140:I5142"/>
    <mergeCell ref="J5140:J5142"/>
    <mergeCell ref="K5140:K5142"/>
    <mergeCell ref="L5140:L5142"/>
    <mergeCell ref="D5143:D5145"/>
    <mergeCell ref="E5143:E5145"/>
    <mergeCell ref="F5143:F5145"/>
    <mergeCell ref="G5143:G5145"/>
    <mergeCell ref="H5143:H5145"/>
    <mergeCell ref="I5143:I5145"/>
    <mergeCell ref="J5143:J5145"/>
    <mergeCell ref="K5143:K5145"/>
    <mergeCell ref="L5143:L5145"/>
    <mergeCell ref="D5146:F5146"/>
    <mergeCell ref="G5146:L5146"/>
    <mergeCell ref="A5148:A5150"/>
    <mergeCell ref="B5148:C5157"/>
    <mergeCell ref="D5148:D5150"/>
    <mergeCell ref="E5148:E5150"/>
    <mergeCell ref="F5148:F5150"/>
    <mergeCell ref="G5148:G5150"/>
    <mergeCell ref="H5148:H5150"/>
    <mergeCell ref="I5148:I5150"/>
    <mergeCell ref="J5148:J5150"/>
    <mergeCell ref="K5148:K5150"/>
    <mergeCell ref="L5148:L5150"/>
    <mergeCell ref="D5151:D5153"/>
    <mergeCell ref="E5151:E5153"/>
    <mergeCell ref="F5151:F5153"/>
    <mergeCell ref="G5151:G5153"/>
    <mergeCell ref="H5151:H5153"/>
    <mergeCell ref="I5151:I5153"/>
    <mergeCell ref="J5151:J5153"/>
    <mergeCell ref="K5151:K5153"/>
    <mergeCell ref="L5151:L5153"/>
    <mergeCell ref="D5154:D5156"/>
    <mergeCell ref="E5154:E5156"/>
    <mergeCell ref="F5154:F5156"/>
    <mergeCell ref="G5154:G5156"/>
    <mergeCell ref="H5154:H5156"/>
    <mergeCell ref="I5154:I5156"/>
    <mergeCell ref="J5154:J5156"/>
    <mergeCell ref="K5154:K5156"/>
    <mergeCell ref="L5154:L5156"/>
    <mergeCell ref="D5157:F5157"/>
    <mergeCell ref="G5157:L5157"/>
    <mergeCell ref="A5159:A5161"/>
    <mergeCell ref="B5159:C5168"/>
    <mergeCell ref="D5159:D5161"/>
    <mergeCell ref="E5159:E5161"/>
    <mergeCell ref="F5159:F5161"/>
    <mergeCell ref="G5159:G5161"/>
    <mergeCell ref="H5159:H5161"/>
    <mergeCell ref="I5159:I5161"/>
    <mergeCell ref="J5159:J5161"/>
    <mergeCell ref="K5159:K5161"/>
    <mergeCell ref="L5159:L5161"/>
    <mergeCell ref="D5162:D5164"/>
    <mergeCell ref="E5162:E5164"/>
    <mergeCell ref="F5162:F5164"/>
    <mergeCell ref="G5162:G5164"/>
    <mergeCell ref="H5162:H5164"/>
    <mergeCell ref="I5162:I5164"/>
    <mergeCell ref="J5162:J5164"/>
    <mergeCell ref="K5162:K5164"/>
    <mergeCell ref="L5162:L5164"/>
    <mergeCell ref="D5165:D5167"/>
    <mergeCell ref="E5165:E5167"/>
    <mergeCell ref="F5165:F5167"/>
    <mergeCell ref="G5165:G5167"/>
    <mergeCell ref="H5165:H5167"/>
    <mergeCell ref="I5165:I5167"/>
    <mergeCell ref="J5165:J5167"/>
    <mergeCell ref="K5165:K5167"/>
    <mergeCell ref="L5165:L5167"/>
    <mergeCell ref="D5168:F5168"/>
    <mergeCell ref="G5168:L5168"/>
    <mergeCell ref="A5170:A5172"/>
    <mergeCell ref="B5170:C5179"/>
    <mergeCell ref="D5170:D5172"/>
    <mergeCell ref="E5170:E5172"/>
    <mergeCell ref="F5170:F5172"/>
    <mergeCell ref="G5170:G5172"/>
    <mergeCell ref="H5170:H5172"/>
    <mergeCell ref="I5170:I5172"/>
    <mergeCell ref="J5170:J5172"/>
    <mergeCell ref="K5170:K5172"/>
    <mergeCell ref="L5170:L5172"/>
    <mergeCell ref="D5173:D5175"/>
    <mergeCell ref="E5173:E5175"/>
    <mergeCell ref="F5173:F5175"/>
    <mergeCell ref="G5173:G5175"/>
    <mergeCell ref="H5173:H5175"/>
    <mergeCell ref="I5173:I5175"/>
    <mergeCell ref="J5173:J5175"/>
    <mergeCell ref="K5173:K5175"/>
    <mergeCell ref="L5173:L5175"/>
    <mergeCell ref="D5176:D5178"/>
    <mergeCell ref="E5176:E5178"/>
    <mergeCell ref="F5176:F5178"/>
    <mergeCell ref="G5176:G5178"/>
    <mergeCell ref="H5176:H5178"/>
    <mergeCell ref="I5176:I5178"/>
    <mergeCell ref="J5176:J5178"/>
    <mergeCell ref="K5176:K5178"/>
    <mergeCell ref="L5176:L5178"/>
    <mergeCell ref="D5179:F5179"/>
    <mergeCell ref="G5179:L5179"/>
    <mergeCell ref="A5181:A5183"/>
    <mergeCell ref="B5181:C5190"/>
    <mergeCell ref="D5181:D5183"/>
    <mergeCell ref="E5181:E5183"/>
    <mergeCell ref="F5181:F5183"/>
    <mergeCell ref="G5181:G5183"/>
    <mergeCell ref="H5181:H5183"/>
    <mergeCell ref="I5181:I5183"/>
    <mergeCell ref="J5181:J5183"/>
    <mergeCell ref="K5181:K5183"/>
    <mergeCell ref="L5181:L5183"/>
    <mergeCell ref="D5184:D5186"/>
    <mergeCell ref="E5184:E5186"/>
    <mergeCell ref="F5184:F5186"/>
    <mergeCell ref="G5184:G5186"/>
    <mergeCell ref="H5184:H5186"/>
    <mergeCell ref="I5184:I5186"/>
    <mergeCell ref="J5184:J5186"/>
    <mergeCell ref="K5184:K5186"/>
    <mergeCell ref="L5184:L5186"/>
    <mergeCell ref="D5187:D5189"/>
    <mergeCell ref="E5187:E5189"/>
    <mergeCell ref="F5187:F5189"/>
    <mergeCell ref="G5187:G5189"/>
    <mergeCell ref="H5187:H5189"/>
    <mergeCell ref="I5187:I5189"/>
    <mergeCell ref="J5187:J5189"/>
    <mergeCell ref="K5187:K5189"/>
    <mergeCell ref="L5187:L5189"/>
    <mergeCell ref="D5190:F5190"/>
    <mergeCell ref="G5190:L5190"/>
    <mergeCell ref="A5192:A5194"/>
    <mergeCell ref="B5192:C5201"/>
    <mergeCell ref="D5192:D5194"/>
    <mergeCell ref="E5192:E5194"/>
    <mergeCell ref="F5192:F5194"/>
    <mergeCell ref="G5192:G5194"/>
    <mergeCell ref="H5192:H5194"/>
    <mergeCell ref="I5192:I5194"/>
    <mergeCell ref="J5192:J5194"/>
    <mergeCell ref="K5192:K5194"/>
    <mergeCell ref="L5192:L5194"/>
    <mergeCell ref="D5195:D5197"/>
    <mergeCell ref="E5195:E5197"/>
    <mergeCell ref="F5195:F5197"/>
    <mergeCell ref="G5195:G5197"/>
    <mergeCell ref="H5195:H5197"/>
    <mergeCell ref="I5195:I5197"/>
    <mergeCell ref="J5195:J5197"/>
    <mergeCell ref="K5195:K5197"/>
    <mergeCell ref="L5195:L5197"/>
    <mergeCell ref="D5198:D5200"/>
    <mergeCell ref="E5198:E5200"/>
    <mergeCell ref="F5198:F5200"/>
    <mergeCell ref="G5198:G5200"/>
    <mergeCell ref="H5198:H5200"/>
    <mergeCell ref="I5198:I5200"/>
    <mergeCell ref="J5198:J5200"/>
    <mergeCell ref="K5198:K5200"/>
    <mergeCell ref="L5198:L5200"/>
    <mergeCell ref="D5201:F5201"/>
    <mergeCell ref="G5201:L5201"/>
    <mergeCell ref="A5203:A5205"/>
    <mergeCell ref="B5203:C5212"/>
    <mergeCell ref="D5203:D5205"/>
    <mergeCell ref="E5203:E5205"/>
    <mergeCell ref="F5203:F5205"/>
    <mergeCell ref="G5203:G5205"/>
    <mergeCell ref="H5203:H5205"/>
    <mergeCell ref="I5203:I5205"/>
    <mergeCell ref="J5203:J5205"/>
    <mergeCell ref="K5203:K5205"/>
    <mergeCell ref="L5203:L5205"/>
    <mergeCell ref="D5206:D5208"/>
    <mergeCell ref="E5206:E5208"/>
    <mergeCell ref="F5206:F5208"/>
    <mergeCell ref="G5206:G5208"/>
    <mergeCell ref="H5206:H5208"/>
    <mergeCell ref="I5206:I5208"/>
    <mergeCell ref="J5206:J5208"/>
    <mergeCell ref="K5206:K5208"/>
    <mergeCell ref="L5206:L5208"/>
    <mergeCell ref="D5209:D5211"/>
    <mergeCell ref="E5209:E5211"/>
    <mergeCell ref="F5209:F5211"/>
    <mergeCell ref="G5209:G5211"/>
    <mergeCell ref="H5209:H5211"/>
    <mergeCell ref="I5209:I5211"/>
    <mergeCell ref="J5209:J5211"/>
    <mergeCell ref="K5209:K5211"/>
    <mergeCell ref="L5209:L5211"/>
    <mergeCell ref="D5212:F5212"/>
    <mergeCell ref="G5212:L5212"/>
    <mergeCell ref="A5214:A5216"/>
    <mergeCell ref="B5214:C5223"/>
    <mergeCell ref="D5214:D5216"/>
    <mergeCell ref="E5214:E5216"/>
    <mergeCell ref="F5214:F5216"/>
    <mergeCell ref="G5214:G5216"/>
    <mergeCell ref="H5214:H5216"/>
    <mergeCell ref="I5214:I5216"/>
    <mergeCell ref="J5214:J5216"/>
    <mergeCell ref="K5214:K5216"/>
    <mergeCell ref="L5214:L5216"/>
    <mergeCell ref="D5217:D5219"/>
    <mergeCell ref="E5217:E5219"/>
    <mergeCell ref="F5217:F5219"/>
    <mergeCell ref="G5217:G5219"/>
    <mergeCell ref="H5217:H5219"/>
    <mergeCell ref="I5217:I5219"/>
    <mergeCell ref="J5217:J5219"/>
    <mergeCell ref="K5217:K5219"/>
    <mergeCell ref="L5217:L5219"/>
    <mergeCell ref="D5220:D5222"/>
    <mergeCell ref="E5220:E5222"/>
    <mergeCell ref="F5220:F5222"/>
    <mergeCell ref="G5220:G5222"/>
    <mergeCell ref="H5220:H5222"/>
    <mergeCell ref="I5220:I5222"/>
    <mergeCell ref="J5220:J5222"/>
    <mergeCell ref="K5220:K5222"/>
    <mergeCell ref="L5220:L5222"/>
    <mergeCell ref="D5223:F5223"/>
    <mergeCell ref="G5223:L5223"/>
    <mergeCell ref="A5225:A5227"/>
    <mergeCell ref="B5225:C5234"/>
    <mergeCell ref="D5225:D5227"/>
    <mergeCell ref="E5225:E5227"/>
    <mergeCell ref="F5225:F5227"/>
    <mergeCell ref="G5225:G5227"/>
    <mergeCell ref="H5225:H5227"/>
    <mergeCell ref="I5225:I5227"/>
    <mergeCell ref="J5225:J5227"/>
    <mergeCell ref="K5225:K5227"/>
    <mergeCell ref="L5225:L5227"/>
    <mergeCell ref="D5228:D5230"/>
    <mergeCell ref="E5228:E5230"/>
    <mergeCell ref="F5228:F5230"/>
    <mergeCell ref="G5228:G5230"/>
    <mergeCell ref="H5228:H5230"/>
    <mergeCell ref="I5228:I5230"/>
    <mergeCell ref="J5228:J5230"/>
    <mergeCell ref="K5228:K5230"/>
    <mergeCell ref="L5228:L5230"/>
    <mergeCell ref="D5231:D5233"/>
    <mergeCell ref="E5231:E5233"/>
    <mergeCell ref="F5231:F5233"/>
    <mergeCell ref="G5231:G5233"/>
    <mergeCell ref="H5231:H5233"/>
    <mergeCell ref="I5231:I5233"/>
    <mergeCell ref="J5231:J5233"/>
    <mergeCell ref="K5231:K5233"/>
    <mergeCell ref="L5231:L5233"/>
    <mergeCell ref="D5234:F5234"/>
    <mergeCell ref="G5234:L5234"/>
    <mergeCell ref="A5236:A5238"/>
    <mergeCell ref="B5236:C5245"/>
    <mergeCell ref="D5236:D5238"/>
    <mergeCell ref="E5236:E5238"/>
    <mergeCell ref="F5236:F5238"/>
    <mergeCell ref="G5236:G5238"/>
    <mergeCell ref="H5236:H5238"/>
    <mergeCell ref="I5236:I5238"/>
    <mergeCell ref="J5236:J5238"/>
    <mergeCell ref="K5236:K5238"/>
    <mergeCell ref="L5236:L5238"/>
    <mergeCell ref="D5239:D5241"/>
    <mergeCell ref="E5239:E5241"/>
    <mergeCell ref="F5239:F5241"/>
    <mergeCell ref="G5239:G5241"/>
    <mergeCell ref="H5239:H5241"/>
    <mergeCell ref="I5239:I5241"/>
    <mergeCell ref="J5239:J5241"/>
    <mergeCell ref="K5239:K5241"/>
    <mergeCell ref="L5239:L5241"/>
    <mergeCell ref="D5242:D5244"/>
    <mergeCell ref="E5242:E5244"/>
    <mergeCell ref="F5242:F5244"/>
    <mergeCell ref="G5242:G5244"/>
    <mergeCell ref="H5242:H5244"/>
    <mergeCell ref="I5242:I5244"/>
    <mergeCell ref="J5242:J5244"/>
    <mergeCell ref="K5242:K5244"/>
    <mergeCell ref="L5242:L5244"/>
    <mergeCell ref="D5245:F5245"/>
    <mergeCell ref="G5245:L5245"/>
    <mergeCell ref="A5247:A5249"/>
    <mergeCell ref="B5247:C5256"/>
    <mergeCell ref="D5247:D5249"/>
    <mergeCell ref="E5247:E5249"/>
    <mergeCell ref="F5247:F5249"/>
    <mergeCell ref="G5247:G5249"/>
    <mergeCell ref="H5247:H5249"/>
    <mergeCell ref="I5247:I5249"/>
    <mergeCell ref="J5247:J5249"/>
    <mergeCell ref="K5247:K5249"/>
    <mergeCell ref="L5247:L5249"/>
    <mergeCell ref="D5250:D5252"/>
    <mergeCell ref="E5250:E5252"/>
    <mergeCell ref="F5250:F5252"/>
    <mergeCell ref="G5250:G5252"/>
    <mergeCell ref="H5250:H5252"/>
    <mergeCell ref="I5250:I5252"/>
    <mergeCell ref="J5250:J5252"/>
    <mergeCell ref="K5250:K5252"/>
    <mergeCell ref="L5250:L5252"/>
    <mergeCell ref="D5253:D5255"/>
    <mergeCell ref="E5253:E5255"/>
    <mergeCell ref="F5253:F5255"/>
    <mergeCell ref="G5253:G5255"/>
    <mergeCell ref="H5253:H5255"/>
    <mergeCell ref="I5253:I5255"/>
    <mergeCell ref="J5253:J5255"/>
    <mergeCell ref="K5253:K5255"/>
    <mergeCell ref="L5253:L5255"/>
    <mergeCell ref="D5256:F5256"/>
    <mergeCell ref="G5256:L5256"/>
    <mergeCell ref="A5258:A5260"/>
    <mergeCell ref="B5258:C5267"/>
    <mergeCell ref="D5258:D5260"/>
    <mergeCell ref="E5258:E5260"/>
    <mergeCell ref="F5258:F5260"/>
    <mergeCell ref="G5258:G5260"/>
    <mergeCell ref="H5258:H5260"/>
    <mergeCell ref="I5258:I5260"/>
    <mergeCell ref="J5258:J5260"/>
    <mergeCell ref="K5258:K5260"/>
    <mergeCell ref="L5258:L5260"/>
    <mergeCell ref="D5261:D5263"/>
    <mergeCell ref="E5261:E5263"/>
    <mergeCell ref="F5261:F5263"/>
    <mergeCell ref="G5261:G5263"/>
    <mergeCell ref="H5261:H5263"/>
    <mergeCell ref="I5261:I5263"/>
    <mergeCell ref="J5261:J5263"/>
    <mergeCell ref="K5261:K5263"/>
    <mergeCell ref="L5261:L5263"/>
    <mergeCell ref="D5264:D5266"/>
    <mergeCell ref="E5264:E5266"/>
    <mergeCell ref="F5264:F5266"/>
    <mergeCell ref="G5264:G5266"/>
    <mergeCell ref="H5264:H5266"/>
    <mergeCell ref="I5264:I5266"/>
    <mergeCell ref="J5264:J5266"/>
    <mergeCell ref="K5264:K5266"/>
    <mergeCell ref="L5264:L5266"/>
    <mergeCell ref="D5267:F5267"/>
    <mergeCell ref="G5267:L5267"/>
    <mergeCell ref="G5311:L5311"/>
    <mergeCell ref="A5269:A5271"/>
    <mergeCell ref="B5269:C5278"/>
    <mergeCell ref="D5269:D5271"/>
    <mergeCell ref="E5269:E5271"/>
    <mergeCell ref="F5269:F5271"/>
    <mergeCell ref="G5269:G5271"/>
    <mergeCell ref="H5269:H5271"/>
    <mergeCell ref="I5269:I5271"/>
    <mergeCell ref="J5269:J5271"/>
    <mergeCell ref="K5269:K5271"/>
    <mergeCell ref="L5269:L5271"/>
    <mergeCell ref="D5272:D5274"/>
    <mergeCell ref="E5272:E5274"/>
    <mergeCell ref="F5272:F5274"/>
    <mergeCell ref="G5272:G5274"/>
    <mergeCell ref="H5272:H5274"/>
    <mergeCell ref="I5272:I5274"/>
    <mergeCell ref="J5272:J5274"/>
    <mergeCell ref="K5272:K5274"/>
    <mergeCell ref="L5272:L5274"/>
    <mergeCell ref="D5275:D5277"/>
    <mergeCell ref="E5275:E5277"/>
    <mergeCell ref="F5275:F5277"/>
    <mergeCell ref="G5275:G5277"/>
    <mergeCell ref="H5275:H5277"/>
    <mergeCell ref="I5275:I5277"/>
    <mergeCell ref="J5275:J5277"/>
    <mergeCell ref="K5275:K5277"/>
    <mergeCell ref="L5275:L5277"/>
    <mergeCell ref="D5278:F5278"/>
    <mergeCell ref="G5278:L5278"/>
    <mergeCell ref="A5280:A5282"/>
    <mergeCell ref="B5280:C5289"/>
    <mergeCell ref="D5280:D5282"/>
    <mergeCell ref="E5280:E5282"/>
    <mergeCell ref="F5280:F5282"/>
    <mergeCell ref="G5280:G5282"/>
    <mergeCell ref="H5280:H5282"/>
    <mergeCell ref="I5280:I5282"/>
    <mergeCell ref="J5280:J5282"/>
    <mergeCell ref="K5280:K5282"/>
    <mergeCell ref="L5280:L5282"/>
    <mergeCell ref="D5283:D5285"/>
    <mergeCell ref="E5283:E5285"/>
    <mergeCell ref="F5283:F5285"/>
    <mergeCell ref="G5283:G5285"/>
    <mergeCell ref="H5283:H5285"/>
    <mergeCell ref="I5283:I5285"/>
    <mergeCell ref="J5283:J5285"/>
    <mergeCell ref="K5283:K5285"/>
    <mergeCell ref="L5283:L5285"/>
    <mergeCell ref="D5286:D5288"/>
    <mergeCell ref="E5286:E5288"/>
    <mergeCell ref="F5286:F5288"/>
    <mergeCell ref="G5286:G5288"/>
    <mergeCell ref="H5286:H5288"/>
    <mergeCell ref="I5286:I5288"/>
    <mergeCell ref="J5286:J5288"/>
    <mergeCell ref="K5286:K5288"/>
    <mergeCell ref="L5286:L5288"/>
    <mergeCell ref="D5289:F5289"/>
    <mergeCell ref="G5289:L5289"/>
    <mergeCell ref="L5330:L5332"/>
    <mergeCell ref="D5333:F5333"/>
    <mergeCell ref="G5333:L5333"/>
    <mergeCell ref="A5291:A5293"/>
    <mergeCell ref="B5291:C5300"/>
    <mergeCell ref="D5291:D5293"/>
    <mergeCell ref="E5291:E5293"/>
    <mergeCell ref="F5291:F5293"/>
    <mergeCell ref="G5291:G5293"/>
    <mergeCell ref="H5291:H5293"/>
    <mergeCell ref="I5291:I5293"/>
    <mergeCell ref="J5291:J5293"/>
    <mergeCell ref="K5291:K5293"/>
    <mergeCell ref="L5291:L5293"/>
    <mergeCell ref="D5294:D5296"/>
    <mergeCell ref="E5294:E5296"/>
    <mergeCell ref="F5294:F5296"/>
    <mergeCell ref="G5294:G5296"/>
    <mergeCell ref="H5294:H5296"/>
    <mergeCell ref="I5294:I5296"/>
    <mergeCell ref="J5294:J5296"/>
    <mergeCell ref="K5294:K5296"/>
    <mergeCell ref="L5294:L5296"/>
    <mergeCell ref="D5297:D5299"/>
    <mergeCell ref="E5297:E5299"/>
    <mergeCell ref="F5297:F5299"/>
    <mergeCell ref="G5297:G5299"/>
    <mergeCell ref="H5297:H5299"/>
    <mergeCell ref="I5297:I5299"/>
    <mergeCell ref="J5297:J5299"/>
    <mergeCell ref="K5297:K5299"/>
    <mergeCell ref="L5297:L5299"/>
    <mergeCell ref="D5300:F5300"/>
    <mergeCell ref="G5300:L5300"/>
    <mergeCell ref="A5302:A5304"/>
    <mergeCell ref="B5302:C5311"/>
    <mergeCell ref="D5302:D5304"/>
    <mergeCell ref="E5302:E5304"/>
    <mergeCell ref="F5302:F5304"/>
    <mergeCell ref="G5302:G5304"/>
    <mergeCell ref="H5302:H5304"/>
    <mergeCell ref="I5302:I5304"/>
    <mergeCell ref="J5302:J5304"/>
    <mergeCell ref="K5302:K5304"/>
    <mergeCell ref="L5302:L5304"/>
    <mergeCell ref="D5305:D5307"/>
    <mergeCell ref="E5305:E5307"/>
    <mergeCell ref="F5305:F5307"/>
    <mergeCell ref="G5305:G5307"/>
    <mergeCell ref="H5305:H5307"/>
    <mergeCell ref="I5305:I5307"/>
    <mergeCell ref="J5305:J5307"/>
    <mergeCell ref="K5305:K5307"/>
    <mergeCell ref="L5305:L5307"/>
    <mergeCell ref="D5308:D5310"/>
    <mergeCell ref="E5308:E5310"/>
    <mergeCell ref="F5308:F5310"/>
    <mergeCell ref="G5308:G5310"/>
    <mergeCell ref="H5308:H5310"/>
    <mergeCell ref="I5308:I5310"/>
    <mergeCell ref="J5308:J5310"/>
    <mergeCell ref="K5308:K5310"/>
    <mergeCell ref="L5308:L5310"/>
    <mergeCell ref="D5311:F5311"/>
    <mergeCell ref="J5352:J5354"/>
    <mergeCell ref="K5352:K5354"/>
    <mergeCell ref="L5352:L5354"/>
    <mergeCell ref="D5355:F5355"/>
    <mergeCell ref="G5355:L5355"/>
    <mergeCell ref="A5313:A5315"/>
    <mergeCell ref="B5313:C5322"/>
    <mergeCell ref="D5313:D5315"/>
    <mergeCell ref="E5313:E5315"/>
    <mergeCell ref="F5313:F5315"/>
    <mergeCell ref="G5313:G5315"/>
    <mergeCell ref="H5313:H5315"/>
    <mergeCell ref="I5313:I5315"/>
    <mergeCell ref="J5313:J5315"/>
    <mergeCell ref="K5313:K5315"/>
    <mergeCell ref="L5313:L5315"/>
    <mergeCell ref="D5316:D5318"/>
    <mergeCell ref="E5316:E5318"/>
    <mergeCell ref="F5316:F5318"/>
    <mergeCell ref="G5316:G5318"/>
    <mergeCell ref="H5316:H5318"/>
    <mergeCell ref="I5316:I5318"/>
    <mergeCell ref="J5316:J5318"/>
    <mergeCell ref="K5316:K5318"/>
    <mergeCell ref="L5316:L5318"/>
    <mergeCell ref="D5319:D5321"/>
    <mergeCell ref="E5319:E5321"/>
    <mergeCell ref="F5319:F5321"/>
    <mergeCell ref="G5319:G5321"/>
    <mergeCell ref="H5319:H5321"/>
    <mergeCell ref="I5319:I5321"/>
    <mergeCell ref="J5319:J5321"/>
    <mergeCell ref="K5319:K5321"/>
    <mergeCell ref="L5319:L5321"/>
    <mergeCell ref="D5322:F5322"/>
    <mergeCell ref="G5322:L5322"/>
    <mergeCell ref="A5324:A5326"/>
    <mergeCell ref="B5324:C5333"/>
    <mergeCell ref="D5324:D5326"/>
    <mergeCell ref="E5324:E5326"/>
    <mergeCell ref="F5324:F5326"/>
    <mergeCell ref="G5324:G5326"/>
    <mergeCell ref="H5324:H5326"/>
    <mergeCell ref="I5324:I5326"/>
    <mergeCell ref="J5324:J5326"/>
    <mergeCell ref="K5324:K5326"/>
    <mergeCell ref="L5324:L5326"/>
    <mergeCell ref="D5327:D5329"/>
    <mergeCell ref="E5327:E5329"/>
    <mergeCell ref="F5327:F5329"/>
    <mergeCell ref="G5327:G5329"/>
    <mergeCell ref="H5327:H5329"/>
    <mergeCell ref="I5327:I5329"/>
    <mergeCell ref="J5327:J5329"/>
    <mergeCell ref="K5327:K5329"/>
    <mergeCell ref="L5327:L5329"/>
    <mergeCell ref="D5330:D5332"/>
    <mergeCell ref="E5330:E5332"/>
    <mergeCell ref="F5330:F5332"/>
    <mergeCell ref="G5330:G5332"/>
    <mergeCell ref="H5330:H5332"/>
    <mergeCell ref="I5330:I5332"/>
    <mergeCell ref="J5330:J5332"/>
    <mergeCell ref="K5330:K5332"/>
    <mergeCell ref="H5374:H5376"/>
    <mergeCell ref="I5374:I5376"/>
    <mergeCell ref="J5374:J5376"/>
    <mergeCell ref="K5374:K5376"/>
    <mergeCell ref="L5374:L5376"/>
    <mergeCell ref="D5377:F5377"/>
    <mergeCell ref="G5377:L5377"/>
    <mergeCell ref="A5335:A5337"/>
    <mergeCell ref="B5335:C5344"/>
    <mergeCell ref="D5335:D5337"/>
    <mergeCell ref="E5335:E5337"/>
    <mergeCell ref="F5335:F5337"/>
    <mergeCell ref="G5335:G5337"/>
    <mergeCell ref="H5335:H5337"/>
    <mergeCell ref="I5335:I5337"/>
    <mergeCell ref="J5335:J5337"/>
    <mergeCell ref="K5335:K5337"/>
    <mergeCell ref="L5335:L5337"/>
    <mergeCell ref="D5338:D5340"/>
    <mergeCell ref="E5338:E5340"/>
    <mergeCell ref="F5338:F5340"/>
    <mergeCell ref="G5338:G5340"/>
    <mergeCell ref="H5338:H5340"/>
    <mergeCell ref="I5338:I5340"/>
    <mergeCell ref="J5338:J5340"/>
    <mergeCell ref="K5338:K5340"/>
    <mergeCell ref="L5338:L5340"/>
    <mergeCell ref="D5341:D5343"/>
    <mergeCell ref="E5341:E5343"/>
    <mergeCell ref="F5341:F5343"/>
    <mergeCell ref="G5341:G5343"/>
    <mergeCell ref="H5341:H5343"/>
    <mergeCell ref="I5341:I5343"/>
    <mergeCell ref="J5341:J5343"/>
    <mergeCell ref="K5341:K5343"/>
    <mergeCell ref="L5341:L5343"/>
    <mergeCell ref="D5344:F5344"/>
    <mergeCell ref="G5344:L5344"/>
    <mergeCell ref="A5346:A5348"/>
    <mergeCell ref="B5346:C5355"/>
    <mergeCell ref="D5346:D5348"/>
    <mergeCell ref="E5346:E5348"/>
    <mergeCell ref="F5346:F5348"/>
    <mergeCell ref="G5346:G5348"/>
    <mergeCell ref="H5346:H5348"/>
    <mergeCell ref="I5346:I5348"/>
    <mergeCell ref="J5346:J5348"/>
    <mergeCell ref="K5346:K5348"/>
    <mergeCell ref="L5346:L5348"/>
    <mergeCell ref="D5349:D5351"/>
    <mergeCell ref="E5349:E5351"/>
    <mergeCell ref="F5349:F5351"/>
    <mergeCell ref="G5349:G5351"/>
    <mergeCell ref="H5349:H5351"/>
    <mergeCell ref="I5349:I5351"/>
    <mergeCell ref="J5349:J5351"/>
    <mergeCell ref="K5349:K5351"/>
    <mergeCell ref="L5349:L5351"/>
    <mergeCell ref="D5352:D5354"/>
    <mergeCell ref="E5352:E5354"/>
    <mergeCell ref="F5352:F5354"/>
    <mergeCell ref="G5352:G5354"/>
    <mergeCell ref="H5352:H5354"/>
    <mergeCell ref="I5352:I5354"/>
    <mergeCell ref="F5396:F5398"/>
    <mergeCell ref="G5396:G5398"/>
    <mergeCell ref="H5396:H5398"/>
    <mergeCell ref="I5396:I5398"/>
    <mergeCell ref="J5396:J5398"/>
    <mergeCell ref="K5396:K5398"/>
    <mergeCell ref="L5396:L5398"/>
    <mergeCell ref="D5399:F5399"/>
    <mergeCell ref="G5399:L5399"/>
    <mergeCell ref="A5357:A5359"/>
    <mergeCell ref="B5357:C5366"/>
    <mergeCell ref="D5357:D5359"/>
    <mergeCell ref="E5357:E5359"/>
    <mergeCell ref="F5357:F5359"/>
    <mergeCell ref="G5357:G5359"/>
    <mergeCell ref="H5357:H5359"/>
    <mergeCell ref="I5357:I5359"/>
    <mergeCell ref="J5357:J5359"/>
    <mergeCell ref="K5357:K5359"/>
    <mergeCell ref="L5357:L5359"/>
    <mergeCell ref="D5360:D5362"/>
    <mergeCell ref="E5360:E5362"/>
    <mergeCell ref="F5360:F5362"/>
    <mergeCell ref="G5360:G5362"/>
    <mergeCell ref="H5360:H5362"/>
    <mergeCell ref="I5360:I5362"/>
    <mergeCell ref="J5360:J5362"/>
    <mergeCell ref="K5360:K5362"/>
    <mergeCell ref="L5360:L5362"/>
    <mergeCell ref="D5363:D5365"/>
    <mergeCell ref="E5363:E5365"/>
    <mergeCell ref="F5363:F5365"/>
    <mergeCell ref="G5363:G5365"/>
    <mergeCell ref="H5363:H5365"/>
    <mergeCell ref="I5363:I5365"/>
    <mergeCell ref="J5363:J5365"/>
    <mergeCell ref="K5363:K5365"/>
    <mergeCell ref="L5363:L5365"/>
    <mergeCell ref="D5366:F5366"/>
    <mergeCell ref="G5366:L5366"/>
    <mergeCell ref="A5368:A5370"/>
    <mergeCell ref="B5368:C5377"/>
    <mergeCell ref="D5368:D5370"/>
    <mergeCell ref="E5368:E5370"/>
    <mergeCell ref="F5368:F5370"/>
    <mergeCell ref="G5368:G5370"/>
    <mergeCell ref="H5368:H5370"/>
    <mergeCell ref="I5368:I5370"/>
    <mergeCell ref="J5368:J5370"/>
    <mergeCell ref="K5368:K5370"/>
    <mergeCell ref="L5368:L5370"/>
    <mergeCell ref="D5371:D5373"/>
    <mergeCell ref="E5371:E5373"/>
    <mergeCell ref="F5371:F5373"/>
    <mergeCell ref="G5371:G5373"/>
    <mergeCell ref="H5371:H5373"/>
    <mergeCell ref="I5371:I5373"/>
    <mergeCell ref="J5371:J5373"/>
    <mergeCell ref="K5371:K5373"/>
    <mergeCell ref="L5371:L5373"/>
    <mergeCell ref="D5374:D5376"/>
    <mergeCell ref="E5374:E5376"/>
    <mergeCell ref="F5374:F5376"/>
    <mergeCell ref="G5374:G5376"/>
    <mergeCell ref="D5418:D5420"/>
    <mergeCell ref="E5418:E5420"/>
    <mergeCell ref="F5418:F5420"/>
    <mergeCell ref="G5418:G5420"/>
    <mergeCell ref="H5418:H5420"/>
    <mergeCell ref="I5418:I5420"/>
    <mergeCell ref="J5418:J5420"/>
    <mergeCell ref="K5418:K5420"/>
    <mergeCell ref="L5418:L5420"/>
    <mergeCell ref="D5421:F5421"/>
    <mergeCell ref="G5421:L5421"/>
    <mergeCell ref="A5379:A5381"/>
    <mergeCell ref="B5379:C5388"/>
    <mergeCell ref="D5379:D5381"/>
    <mergeCell ref="E5379:E5381"/>
    <mergeCell ref="F5379:F5381"/>
    <mergeCell ref="G5379:G5381"/>
    <mergeCell ref="H5379:H5381"/>
    <mergeCell ref="I5379:I5381"/>
    <mergeCell ref="J5379:J5381"/>
    <mergeCell ref="K5379:K5381"/>
    <mergeCell ref="L5379:L5381"/>
    <mergeCell ref="D5382:D5384"/>
    <mergeCell ref="E5382:E5384"/>
    <mergeCell ref="F5382:F5384"/>
    <mergeCell ref="G5382:G5384"/>
    <mergeCell ref="H5382:H5384"/>
    <mergeCell ref="I5382:I5384"/>
    <mergeCell ref="J5382:J5384"/>
    <mergeCell ref="K5382:K5384"/>
    <mergeCell ref="L5382:L5384"/>
    <mergeCell ref="D5385:D5387"/>
    <mergeCell ref="E5385:E5387"/>
    <mergeCell ref="F5385:F5387"/>
    <mergeCell ref="G5385:G5387"/>
    <mergeCell ref="H5385:H5387"/>
    <mergeCell ref="I5385:I5387"/>
    <mergeCell ref="J5385:J5387"/>
    <mergeCell ref="K5385:K5387"/>
    <mergeCell ref="L5385:L5387"/>
    <mergeCell ref="D5388:F5388"/>
    <mergeCell ref="G5388:L5388"/>
    <mergeCell ref="A5390:A5392"/>
    <mergeCell ref="B5390:C5399"/>
    <mergeCell ref="D5390:D5392"/>
    <mergeCell ref="E5390:E5392"/>
    <mergeCell ref="F5390:F5392"/>
    <mergeCell ref="G5390:G5392"/>
    <mergeCell ref="H5390:H5392"/>
    <mergeCell ref="I5390:I5392"/>
    <mergeCell ref="J5390:J5392"/>
    <mergeCell ref="K5390:K5392"/>
    <mergeCell ref="L5390:L5392"/>
    <mergeCell ref="D5393:D5395"/>
    <mergeCell ref="E5393:E5395"/>
    <mergeCell ref="F5393:F5395"/>
    <mergeCell ref="G5393:G5395"/>
    <mergeCell ref="H5393:H5395"/>
    <mergeCell ref="I5393:I5395"/>
    <mergeCell ref="J5393:J5395"/>
    <mergeCell ref="K5393:K5395"/>
    <mergeCell ref="L5393:L5395"/>
    <mergeCell ref="D5396:D5398"/>
    <mergeCell ref="E5396:E5398"/>
    <mergeCell ref="K5437:K5439"/>
    <mergeCell ref="L5437:L5439"/>
    <mergeCell ref="D5440:D5442"/>
    <mergeCell ref="E5440:E5442"/>
    <mergeCell ref="F5440:F5442"/>
    <mergeCell ref="G5440:G5442"/>
    <mergeCell ref="H5440:H5442"/>
    <mergeCell ref="I5440:I5442"/>
    <mergeCell ref="J5440:J5442"/>
    <mergeCell ref="K5440:K5442"/>
    <mergeCell ref="L5440:L5442"/>
    <mergeCell ref="D5443:F5443"/>
    <mergeCell ref="G5443:L5443"/>
    <mergeCell ref="A5401:A5403"/>
    <mergeCell ref="B5401:C5410"/>
    <mergeCell ref="D5401:D5403"/>
    <mergeCell ref="E5401:E5403"/>
    <mergeCell ref="F5401:F5403"/>
    <mergeCell ref="G5401:G5403"/>
    <mergeCell ref="H5401:H5403"/>
    <mergeCell ref="I5401:I5403"/>
    <mergeCell ref="J5401:J5403"/>
    <mergeCell ref="K5401:K5403"/>
    <mergeCell ref="L5401:L5403"/>
    <mergeCell ref="D5404:D5406"/>
    <mergeCell ref="E5404:E5406"/>
    <mergeCell ref="F5404:F5406"/>
    <mergeCell ref="G5404:G5406"/>
    <mergeCell ref="H5404:H5406"/>
    <mergeCell ref="I5404:I5406"/>
    <mergeCell ref="J5404:J5406"/>
    <mergeCell ref="K5404:K5406"/>
    <mergeCell ref="L5404:L5406"/>
    <mergeCell ref="D5407:D5409"/>
    <mergeCell ref="E5407:E5409"/>
    <mergeCell ref="F5407:F5409"/>
    <mergeCell ref="G5407:G5409"/>
    <mergeCell ref="H5407:H5409"/>
    <mergeCell ref="I5407:I5409"/>
    <mergeCell ref="J5407:J5409"/>
    <mergeCell ref="K5407:K5409"/>
    <mergeCell ref="L5407:L5409"/>
    <mergeCell ref="D5410:F5410"/>
    <mergeCell ref="G5410:L5410"/>
    <mergeCell ref="A5412:A5414"/>
    <mergeCell ref="B5412:C5421"/>
    <mergeCell ref="D5412:D5414"/>
    <mergeCell ref="E5412:E5414"/>
    <mergeCell ref="F5412:F5414"/>
    <mergeCell ref="G5412:G5414"/>
    <mergeCell ref="H5412:H5414"/>
    <mergeCell ref="I5412:I5414"/>
    <mergeCell ref="J5412:J5414"/>
    <mergeCell ref="K5412:K5414"/>
    <mergeCell ref="L5412:L5414"/>
    <mergeCell ref="D5415:D5417"/>
    <mergeCell ref="E5415:E5417"/>
    <mergeCell ref="F5415:F5417"/>
    <mergeCell ref="G5415:G5417"/>
    <mergeCell ref="H5415:H5417"/>
    <mergeCell ref="I5415:I5417"/>
    <mergeCell ref="J5415:J5417"/>
    <mergeCell ref="K5415:K5417"/>
    <mergeCell ref="L5415:L5417"/>
    <mergeCell ref="I5459:I5461"/>
    <mergeCell ref="J5459:J5461"/>
    <mergeCell ref="K5459:K5461"/>
    <mergeCell ref="L5459:L5461"/>
    <mergeCell ref="D5462:D5464"/>
    <mergeCell ref="E5462:E5464"/>
    <mergeCell ref="F5462:F5464"/>
    <mergeCell ref="G5462:G5464"/>
    <mergeCell ref="H5462:H5464"/>
    <mergeCell ref="I5462:I5464"/>
    <mergeCell ref="J5462:J5464"/>
    <mergeCell ref="K5462:K5464"/>
    <mergeCell ref="L5462:L5464"/>
    <mergeCell ref="D5465:F5465"/>
    <mergeCell ref="G5465:L5465"/>
    <mergeCell ref="A5423:A5425"/>
    <mergeCell ref="B5423:C5432"/>
    <mergeCell ref="D5423:D5425"/>
    <mergeCell ref="E5423:E5425"/>
    <mergeCell ref="F5423:F5425"/>
    <mergeCell ref="G5423:G5425"/>
    <mergeCell ref="H5423:H5425"/>
    <mergeCell ref="I5423:I5425"/>
    <mergeCell ref="J5423:J5425"/>
    <mergeCell ref="K5423:K5425"/>
    <mergeCell ref="L5423:L5425"/>
    <mergeCell ref="D5426:D5428"/>
    <mergeCell ref="E5426:E5428"/>
    <mergeCell ref="F5426:F5428"/>
    <mergeCell ref="G5426:G5428"/>
    <mergeCell ref="H5426:H5428"/>
    <mergeCell ref="I5426:I5428"/>
    <mergeCell ref="J5426:J5428"/>
    <mergeCell ref="K5426:K5428"/>
    <mergeCell ref="L5426:L5428"/>
    <mergeCell ref="D5429:D5431"/>
    <mergeCell ref="E5429:E5431"/>
    <mergeCell ref="F5429:F5431"/>
    <mergeCell ref="G5429:G5431"/>
    <mergeCell ref="H5429:H5431"/>
    <mergeCell ref="I5429:I5431"/>
    <mergeCell ref="J5429:J5431"/>
    <mergeCell ref="K5429:K5431"/>
    <mergeCell ref="L5429:L5431"/>
    <mergeCell ref="D5432:F5432"/>
    <mergeCell ref="G5432:L5432"/>
    <mergeCell ref="A5434:A5436"/>
    <mergeCell ref="B5434:C5443"/>
    <mergeCell ref="D5434:D5436"/>
    <mergeCell ref="E5434:E5436"/>
    <mergeCell ref="F5434:F5436"/>
    <mergeCell ref="G5434:G5436"/>
    <mergeCell ref="H5434:H5436"/>
    <mergeCell ref="I5434:I5436"/>
    <mergeCell ref="J5434:J5436"/>
    <mergeCell ref="K5434:K5436"/>
    <mergeCell ref="L5434:L5436"/>
    <mergeCell ref="D5437:D5439"/>
    <mergeCell ref="E5437:E5439"/>
    <mergeCell ref="F5437:F5439"/>
    <mergeCell ref="G5437:G5439"/>
    <mergeCell ref="H5437:H5439"/>
    <mergeCell ref="I5437:I5439"/>
    <mergeCell ref="J5437:J5439"/>
    <mergeCell ref="G5481:G5483"/>
    <mergeCell ref="H5481:H5483"/>
    <mergeCell ref="I5481:I5483"/>
    <mergeCell ref="J5481:J5483"/>
    <mergeCell ref="K5481:K5483"/>
    <mergeCell ref="L5481:L5483"/>
    <mergeCell ref="D5484:D5486"/>
    <mergeCell ref="E5484:E5486"/>
    <mergeCell ref="F5484:F5486"/>
    <mergeCell ref="G5484:G5486"/>
    <mergeCell ref="H5484:H5486"/>
    <mergeCell ref="I5484:I5486"/>
    <mergeCell ref="J5484:J5486"/>
    <mergeCell ref="K5484:K5486"/>
    <mergeCell ref="L5484:L5486"/>
    <mergeCell ref="D5487:F5487"/>
    <mergeCell ref="G5487:L5487"/>
    <mergeCell ref="A5445:A5447"/>
    <mergeCell ref="B5445:C5454"/>
    <mergeCell ref="D5445:D5447"/>
    <mergeCell ref="E5445:E5447"/>
    <mergeCell ref="F5445:F5447"/>
    <mergeCell ref="G5445:G5447"/>
    <mergeCell ref="H5445:H5447"/>
    <mergeCell ref="I5445:I5447"/>
    <mergeCell ref="J5445:J5447"/>
    <mergeCell ref="K5445:K5447"/>
    <mergeCell ref="L5445:L5447"/>
    <mergeCell ref="D5448:D5450"/>
    <mergeCell ref="E5448:E5450"/>
    <mergeCell ref="F5448:F5450"/>
    <mergeCell ref="G5448:G5450"/>
    <mergeCell ref="H5448:H5450"/>
    <mergeCell ref="I5448:I5450"/>
    <mergeCell ref="J5448:J5450"/>
    <mergeCell ref="K5448:K5450"/>
    <mergeCell ref="L5448:L5450"/>
    <mergeCell ref="D5451:D5453"/>
    <mergeCell ref="E5451:E5453"/>
    <mergeCell ref="F5451:F5453"/>
    <mergeCell ref="G5451:G5453"/>
    <mergeCell ref="H5451:H5453"/>
    <mergeCell ref="I5451:I5453"/>
    <mergeCell ref="J5451:J5453"/>
    <mergeCell ref="K5451:K5453"/>
    <mergeCell ref="L5451:L5453"/>
    <mergeCell ref="D5454:F5454"/>
    <mergeCell ref="G5454:L5454"/>
    <mergeCell ref="A5456:A5458"/>
    <mergeCell ref="B5456:C5465"/>
    <mergeCell ref="D5456:D5458"/>
    <mergeCell ref="E5456:E5458"/>
    <mergeCell ref="F5456:F5458"/>
    <mergeCell ref="G5456:G5458"/>
    <mergeCell ref="H5456:H5458"/>
    <mergeCell ref="I5456:I5458"/>
    <mergeCell ref="J5456:J5458"/>
    <mergeCell ref="K5456:K5458"/>
    <mergeCell ref="L5456:L5458"/>
    <mergeCell ref="D5459:D5461"/>
    <mergeCell ref="E5459:E5461"/>
    <mergeCell ref="F5459:F5461"/>
    <mergeCell ref="G5459:G5461"/>
    <mergeCell ref="H5459:H5461"/>
    <mergeCell ref="E5503:E5505"/>
    <mergeCell ref="F5503:F5505"/>
    <mergeCell ref="G5503:G5505"/>
    <mergeCell ref="H5503:H5505"/>
    <mergeCell ref="I5503:I5505"/>
    <mergeCell ref="J5503:J5505"/>
    <mergeCell ref="K5503:K5505"/>
    <mergeCell ref="L5503:L5505"/>
    <mergeCell ref="D5506:D5508"/>
    <mergeCell ref="E5506:E5508"/>
    <mergeCell ref="F5506:F5508"/>
    <mergeCell ref="G5506:G5508"/>
    <mergeCell ref="H5506:H5508"/>
    <mergeCell ref="I5506:I5508"/>
    <mergeCell ref="J5506:J5508"/>
    <mergeCell ref="K5506:K5508"/>
    <mergeCell ref="L5506:L5508"/>
    <mergeCell ref="D5509:F5509"/>
    <mergeCell ref="G5509:L5509"/>
    <mergeCell ref="A5467:A5469"/>
    <mergeCell ref="B5467:C5476"/>
    <mergeCell ref="D5467:D5469"/>
    <mergeCell ref="E5467:E5469"/>
    <mergeCell ref="F5467:F5469"/>
    <mergeCell ref="G5467:G5469"/>
    <mergeCell ref="H5467:H5469"/>
    <mergeCell ref="I5467:I5469"/>
    <mergeCell ref="J5467:J5469"/>
    <mergeCell ref="K5467:K5469"/>
    <mergeCell ref="L5467:L5469"/>
    <mergeCell ref="D5470:D5472"/>
    <mergeCell ref="E5470:E5472"/>
    <mergeCell ref="F5470:F5472"/>
    <mergeCell ref="G5470:G5472"/>
    <mergeCell ref="H5470:H5472"/>
    <mergeCell ref="I5470:I5472"/>
    <mergeCell ref="J5470:J5472"/>
    <mergeCell ref="K5470:K5472"/>
    <mergeCell ref="L5470:L5472"/>
    <mergeCell ref="D5473:D5475"/>
    <mergeCell ref="E5473:E5475"/>
    <mergeCell ref="F5473:F5475"/>
    <mergeCell ref="G5473:G5475"/>
    <mergeCell ref="H5473:H5475"/>
    <mergeCell ref="I5473:I5475"/>
    <mergeCell ref="J5473:J5475"/>
    <mergeCell ref="K5473:K5475"/>
    <mergeCell ref="L5473:L5475"/>
    <mergeCell ref="D5476:F5476"/>
    <mergeCell ref="G5476:L5476"/>
    <mergeCell ref="A5478:A5480"/>
    <mergeCell ref="B5478:C5487"/>
    <mergeCell ref="D5478:D5480"/>
    <mergeCell ref="E5478:E5480"/>
    <mergeCell ref="F5478:F5480"/>
    <mergeCell ref="G5478:G5480"/>
    <mergeCell ref="H5478:H5480"/>
    <mergeCell ref="I5478:I5480"/>
    <mergeCell ref="J5478:J5480"/>
    <mergeCell ref="K5478:K5480"/>
    <mergeCell ref="L5478:L5480"/>
    <mergeCell ref="D5481:D5483"/>
    <mergeCell ref="E5481:E5483"/>
    <mergeCell ref="F5481:F5483"/>
    <mergeCell ref="L5522:L5524"/>
    <mergeCell ref="D5525:D5527"/>
    <mergeCell ref="E5525:E5527"/>
    <mergeCell ref="F5525:F5527"/>
    <mergeCell ref="G5525:G5527"/>
    <mergeCell ref="H5525:H5527"/>
    <mergeCell ref="I5525:I5527"/>
    <mergeCell ref="J5525:J5527"/>
    <mergeCell ref="K5525:K5527"/>
    <mergeCell ref="L5525:L5527"/>
    <mergeCell ref="D5528:D5530"/>
    <mergeCell ref="E5528:E5530"/>
    <mergeCell ref="F5528:F5530"/>
    <mergeCell ref="G5528:G5530"/>
    <mergeCell ref="H5528:H5530"/>
    <mergeCell ref="I5528:I5530"/>
    <mergeCell ref="J5528:J5530"/>
    <mergeCell ref="K5528:K5530"/>
    <mergeCell ref="L5528:L5530"/>
    <mergeCell ref="D5531:F5531"/>
    <mergeCell ref="G5531:L5531"/>
    <mergeCell ref="A5489:A5491"/>
    <mergeCell ref="B5489:C5498"/>
    <mergeCell ref="D5489:D5491"/>
    <mergeCell ref="E5489:E5491"/>
    <mergeCell ref="F5489:F5491"/>
    <mergeCell ref="G5489:G5491"/>
    <mergeCell ref="H5489:H5491"/>
    <mergeCell ref="I5489:I5491"/>
    <mergeCell ref="J5489:J5491"/>
    <mergeCell ref="K5489:K5491"/>
    <mergeCell ref="L5489:L5491"/>
    <mergeCell ref="D5492:D5494"/>
    <mergeCell ref="E5492:E5494"/>
    <mergeCell ref="F5492:F5494"/>
    <mergeCell ref="G5492:G5494"/>
    <mergeCell ref="H5492:H5494"/>
    <mergeCell ref="I5492:I5494"/>
    <mergeCell ref="J5492:J5494"/>
    <mergeCell ref="K5492:K5494"/>
    <mergeCell ref="L5492:L5494"/>
    <mergeCell ref="D5495:D5497"/>
    <mergeCell ref="E5495:E5497"/>
    <mergeCell ref="F5495:F5497"/>
    <mergeCell ref="G5495:G5497"/>
    <mergeCell ref="H5495:H5497"/>
    <mergeCell ref="I5495:I5497"/>
    <mergeCell ref="J5495:J5497"/>
    <mergeCell ref="K5495:K5497"/>
    <mergeCell ref="L5495:L5497"/>
    <mergeCell ref="D5498:F5498"/>
    <mergeCell ref="G5498:L5498"/>
    <mergeCell ref="A5500:A5502"/>
    <mergeCell ref="B5500:C5509"/>
    <mergeCell ref="D5500:D5502"/>
    <mergeCell ref="E5500:E5502"/>
    <mergeCell ref="F5500:F5502"/>
    <mergeCell ref="G5500:G5502"/>
    <mergeCell ref="H5500:H5502"/>
    <mergeCell ref="I5500:I5502"/>
    <mergeCell ref="J5500:J5502"/>
    <mergeCell ref="K5500:K5502"/>
    <mergeCell ref="L5500:L5502"/>
    <mergeCell ref="D5503:D5505"/>
    <mergeCell ref="J5544:J5546"/>
    <mergeCell ref="K5544:K5546"/>
    <mergeCell ref="L5544:L5546"/>
    <mergeCell ref="D5547:D5549"/>
    <mergeCell ref="E5547:E5549"/>
    <mergeCell ref="F5547:F5549"/>
    <mergeCell ref="G5547:G5549"/>
    <mergeCell ref="H5547:H5549"/>
    <mergeCell ref="I5547:I5549"/>
    <mergeCell ref="J5547:J5549"/>
    <mergeCell ref="K5547:K5549"/>
    <mergeCell ref="L5547:L5549"/>
    <mergeCell ref="D5550:D5552"/>
    <mergeCell ref="E5550:E5552"/>
    <mergeCell ref="F5550:F5552"/>
    <mergeCell ref="G5550:G5552"/>
    <mergeCell ref="H5550:H5552"/>
    <mergeCell ref="I5550:I5552"/>
    <mergeCell ref="J5550:J5552"/>
    <mergeCell ref="K5550:K5552"/>
    <mergeCell ref="L5550:L5552"/>
    <mergeCell ref="D5553:F5553"/>
    <mergeCell ref="G5553:L5553"/>
    <mergeCell ref="A5511:A5513"/>
    <mergeCell ref="B5511:C5520"/>
    <mergeCell ref="D5511:D5513"/>
    <mergeCell ref="E5511:E5513"/>
    <mergeCell ref="F5511:F5513"/>
    <mergeCell ref="G5511:G5513"/>
    <mergeCell ref="H5511:H5513"/>
    <mergeCell ref="I5511:I5513"/>
    <mergeCell ref="J5511:J5513"/>
    <mergeCell ref="K5511:K5513"/>
    <mergeCell ref="L5511:L5513"/>
    <mergeCell ref="D5514:D5516"/>
    <mergeCell ref="E5514:E5516"/>
    <mergeCell ref="F5514:F5516"/>
    <mergeCell ref="G5514:G5516"/>
    <mergeCell ref="H5514:H5516"/>
    <mergeCell ref="I5514:I5516"/>
    <mergeCell ref="J5514:J5516"/>
    <mergeCell ref="K5514:K5516"/>
    <mergeCell ref="L5514:L5516"/>
    <mergeCell ref="D5517:D5519"/>
    <mergeCell ref="E5517:E5519"/>
    <mergeCell ref="F5517:F5519"/>
    <mergeCell ref="G5517:G5519"/>
    <mergeCell ref="H5517:H5519"/>
    <mergeCell ref="I5517:I5519"/>
    <mergeCell ref="J5517:J5519"/>
    <mergeCell ref="K5517:K5519"/>
    <mergeCell ref="L5517:L5519"/>
    <mergeCell ref="D5520:F5520"/>
    <mergeCell ref="G5520:L5520"/>
    <mergeCell ref="A5522:A5524"/>
    <mergeCell ref="B5522:C5531"/>
    <mergeCell ref="D5522:D5524"/>
    <mergeCell ref="E5522:E5524"/>
    <mergeCell ref="F5522:F5524"/>
    <mergeCell ref="G5522:G5524"/>
    <mergeCell ref="H5522:H5524"/>
    <mergeCell ref="I5522:I5524"/>
    <mergeCell ref="J5522:J5524"/>
    <mergeCell ref="K5522:K5524"/>
    <mergeCell ref="H5566:H5568"/>
    <mergeCell ref="I5566:I5568"/>
    <mergeCell ref="J5566:J5568"/>
    <mergeCell ref="K5566:K5568"/>
    <mergeCell ref="L5566:L5568"/>
    <mergeCell ref="D5569:D5571"/>
    <mergeCell ref="E5569:E5571"/>
    <mergeCell ref="F5569:F5571"/>
    <mergeCell ref="G5569:G5571"/>
    <mergeCell ref="H5569:H5571"/>
    <mergeCell ref="I5569:I5571"/>
    <mergeCell ref="J5569:J5571"/>
    <mergeCell ref="K5569:K5571"/>
    <mergeCell ref="L5569:L5571"/>
    <mergeCell ref="D5572:D5574"/>
    <mergeCell ref="E5572:E5574"/>
    <mergeCell ref="F5572:F5574"/>
    <mergeCell ref="G5572:G5574"/>
    <mergeCell ref="H5572:H5574"/>
    <mergeCell ref="I5572:I5574"/>
    <mergeCell ref="J5572:J5574"/>
    <mergeCell ref="K5572:K5574"/>
    <mergeCell ref="L5572:L5574"/>
    <mergeCell ref="D5575:F5575"/>
    <mergeCell ref="G5575:L5575"/>
    <mergeCell ref="A5533:A5535"/>
    <mergeCell ref="B5533:C5542"/>
    <mergeCell ref="D5533:D5535"/>
    <mergeCell ref="E5533:E5535"/>
    <mergeCell ref="F5533:F5535"/>
    <mergeCell ref="G5533:G5535"/>
    <mergeCell ref="H5533:H5535"/>
    <mergeCell ref="I5533:I5535"/>
    <mergeCell ref="J5533:J5535"/>
    <mergeCell ref="K5533:K5535"/>
    <mergeCell ref="L5533:L5535"/>
    <mergeCell ref="D5536:D5538"/>
    <mergeCell ref="E5536:E5538"/>
    <mergeCell ref="F5536:F5538"/>
    <mergeCell ref="G5536:G5538"/>
    <mergeCell ref="H5536:H5538"/>
    <mergeCell ref="I5536:I5538"/>
    <mergeCell ref="J5536:J5538"/>
    <mergeCell ref="K5536:K5538"/>
    <mergeCell ref="L5536:L5538"/>
    <mergeCell ref="D5539:D5541"/>
    <mergeCell ref="E5539:E5541"/>
    <mergeCell ref="F5539:F5541"/>
    <mergeCell ref="G5539:G5541"/>
    <mergeCell ref="H5539:H5541"/>
    <mergeCell ref="I5539:I5541"/>
    <mergeCell ref="J5539:J5541"/>
    <mergeCell ref="K5539:K5541"/>
    <mergeCell ref="L5539:L5541"/>
    <mergeCell ref="D5542:F5542"/>
    <mergeCell ref="G5542:L5542"/>
    <mergeCell ref="A5544:A5546"/>
    <mergeCell ref="B5544:C5553"/>
    <mergeCell ref="D5544:D5546"/>
    <mergeCell ref="E5544:E5546"/>
    <mergeCell ref="F5544:F5546"/>
    <mergeCell ref="G5544:G5546"/>
    <mergeCell ref="H5544:H5546"/>
    <mergeCell ref="I5544:I5546"/>
    <mergeCell ref="F5588:F5590"/>
    <mergeCell ref="G5588:G5590"/>
    <mergeCell ref="H5588:H5590"/>
    <mergeCell ref="I5588:I5590"/>
    <mergeCell ref="J5588:J5590"/>
    <mergeCell ref="K5588:K5590"/>
    <mergeCell ref="L5588:L5590"/>
    <mergeCell ref="D5591:D5593"/>
    <mergeCell ref="E5591:E5593"/>
    <mergeCell ref="F5591:F5593"/>
    <mergeCell ref="G5591:G5593"/>
    <mergeCell ref="H5591:H5593"/>
    <mergeCell ref="I5591:I5593"/>
    <mergeCell ref="J5591:J5593"/>
    <mergeCell ref="K5591:K5593"/>
    <mergeCell ref="L5591:L5593"/>
    <mergeCell ref="D5594:D5596"/>
    <mergeCell ref="E5594:E5596"/>
    <mergeCell ref="F5594:F5596"/>
    <mergeCell ref="G5594:G5596"/>
    <mergeCell ref="H5594:H5596"/>
    <mergeCell ref="I5594:I5596"/>
    <mergeCell ref="J5594:J5596"/>
    <mergeCell ref="K5594:K5596"/>
    <mergeCell ref="L5594:L5596"/>
    <mergeCell ref="D5597:F5597"/>
    <mergeCell ref="G5597:L5597"/>
    <mergeCell ref="A5555:A5557"/>
    <mergeCell ref="B5555:C5564"/>
    <mergeCell ref="D5555:D5557"/>
    <mergeCell ref="E5555:E5557"/>
    <mergeCell ref="F5555:F5557"/>
    <mergeCell ref="G5555:G5557"/>
    <mergeCell ref="H5555:H5557"/>
    <mergeCell ref="I5555:I5557"/>
    <mergeCell ref="J5555:J5557"/>
    <mergeCell ref="K5555:K5557"/>
    <mergeCell ref="L5555:L5557"/>
    <mergeCell ref="D5558:D5560"/>
    <mergeCell ref="E5558:E5560"/>
    <mergeCell ref="F5558:F5560"/>
    <mergeCell ref="G5558:G5560"/>
    <mergeCell ref="H5558:H5560"/>
    <mergeCell ref="I5558:I5560"/>
    <mergeCell ref="J5558:J5560"/>
    <mergeCell ref="K5558:K5560"/>
    <mergeCell ref="L5558:L5560"/>
    <mergeCell ref="D5561:D5563"/>
    <mergeCell ref="E5561:E5563"/>
    <mergeCell ref="F5561:F5563"/>
    <mergeCell ref="G5561:G5563"/>
    <mergeCell ref="H5561:H5563"/>
    <mergeCell ref="I5561:I5563"/>
    <mergeCell ref="J5561:J5563"/>
    <mergeCell ref="K5561:K5563"/>
    <mergeCell ref="L5561:L5563"/>
    <mergeCell ref="D5564:F5564"/>
    <mergeCell ref="G5564:L5564"/>
    <mergeCell ref="A5566:A5568"/>
    <mergeCell ref="B5566:C5575"/>
    <mergeCell ref="D5566:D5568"/>
    <mergeCell ref="E5566:E5568"/>
    <mergeCell ref="F5566:F5568"/>
    <mergeCell ref="G5566:G5568"/>
    <mergeCell ref="D5610:D5612"/>
    <mergeCell ref="E5610:E5612"/>
    <mergeCell ref="F5610:F5612"/>
    <mergeCell ref="G5610:G5612"/>
    <mergeCell ref="H5610:H5612"/>
    <mergeCell ref="I5610:I5612"/>
    <mergeCell ref="J5610:J5612"/>
    <mergeCell ref="K5610:K5612"/>
    <mergeCell ref="L5610:L5612"/>
    <mergeCell ref="D5613:D5615"/>
    <mergeCell ref="E5613:E5615"/>
    <mergeCell ref="F5613:F5615"/>
    <mergeCell ref="G5613:G5615"/>
    <mergeCell ref="H5613:H5615"/>
    <mergeCell ref="I5613:I5615"/>
    <mergeCell ref="J5613:J5615"/>
    <mergeCell ref="K5613:K5615"/>
    <mergeCell ref="L5613:L5615"/>
    <mergeCell ref="D5616:D5618"/>
    <mergeCell ref="E5616:E5618"/>
    <mergeCell ref="F5616:F5618"/>
    <mergeCell ref="G5616:G5618"/>
    <mergeCell ref="H5616:H5618"/>
    <mergeCell ref="I5616:I5618"/>
    <mergeCell ref="J5616:J5618"/>
    <mergeCell ref="K5616:K5618"/>
    <mergeCell ref="L5616:L5618"/>
    <mergeCell ref="D5619:F5619"/>
    <mergeCell ref="G5619:L5619"/>
    <mergeCell ref="A5577:A5579"/>
    <mergeCell ref="B5577:C5586"/>
    <mergeCell ref="D5577:D5579"/>
    <mergeCell ref="E5577:E5579"/>
    <mergeCell ref="F5577:F5579"/>
    <mergeCell ref="G5577:G5579"/>
    <mergeCell ref="H5577:H5579"/>
    <mergeCell ref="I5577:I5579"/>
    <mergeCell ref="J5577:J5579"/>
    <mergeCell ref="K5577:K5579"/>
    <mergeCell ref="L5577:L5579"/>
    <mergeCell ref="D5580:D5582"/>
    <mergeCell ref="E5580:E5582"/>
    <mergeCell ref="F5580:F5582"/>
    <mergeCell ref="G5580:G5582"/>
    <mergeCell ref="H5580:H5582"/>
    <mergeCell ref="I5580:I5582"/>
    <mergeCell ref="J5580:J5582"/>
    <mergeCell ref="K5580:K5582"/>
    <mergeCell ref="L5580:L5582"/>
    <mergeCell ref="D5583:D5585"/>
    <mergeCell ref="E5583:E5585"/>
    <mergeCell ref="F5583:F5585"/>
    <mergeCell ref="G5583:G5585"/>
    <mergeCell ref="H5583:H5585"/>
    <mergeCell ref="I5583:I5585"/>
    <mergeCell ref="J5583:J5585"/>
    <mergeCell ref="K5583:K5585"/>
    <mergeCell ref="L5583:L5585"/>
    <mergeCell ref="D5586:F5586"/>
    <mergeCell ref="G5586:L5586"/>
    <mergeCell ref="A5588:A5590"/>
    <mergeCell ref="B5588:C5597"/>
    <mergeCell ref="D5588:D5590"/>
    <mergeCell ref="E5588:E5590"/>
    <mergeCell ref="A5621:A5623"/>
    <mergeCell ref="B5621:C5630"/>
    <mergeCell ref="D5621:D5623"/>
    <mergeCell ref="E5621:E5623"/>
    <mergeCell ref="F5621:F5623"/>
    <mergeCell ref="G5621:G5623"/>
    <mergeCell ref="H5621:H5623"/>
    <mergeCell ref="I5621:I5623"/>
    <mergeCell ref="J5621:J5623"/>
    <mergeCell ref="K5621:K5623"/>
    <mergeCell ref="L5621:L5623"/>
    <mergeCell ref="D5624:D5626"/>
    <mergeCell ref="E5624:E5626"/>
    <mergeCell ref="F5624:F5626"/>
    <mergeCell ref="G5624:G5626"/>
    <mergeCell ref="H5624:H5626"/>
    <mergeCell ref="I5624:I5626"/>
    <mergeCell ref="J5624:J5626"/>
    <mergeCell ref="K5624:K5626"/>
    <mergeCell ref="L5624:L5626"/>
    <mergeCell ref="D5627:D5629"/>
    <mergeCell ref="E5627:E5629"/>
    <mergeCell ref="F5627:F5629"/>
    <mergeCell ref="G5627:G5629"/>
    <mergeCell ref="H5627:H5629"/>
    <mergeCell ref="I5627:I5629"/>
    <mergeCell ref="J5627:J5629"/>
    <mergeCell ref="K5627:K5629"/>
    <mergeCell ref="L5627:L5629"/>
    <mergeCell ref="D5630:F5630"/>
    <mergeCell ref="G5630:L5630"/>
    <mergeCell ref="A5599:A5601"/>
    <mergeCell ref="B5599:C5608"/>
    <mergeCell ref="D5599:D5601"/>
    <mergeCell ref="E5599:E5601"/>
    <mergeCell ref="F5599:F5601"/>
    <mergeCell ref="G5599:G5601"/>
    <mergeCell ref="H5599:H5601"/>
    <mergeCell ref="I5599:I5601"/>
    <mergeCell ref="J5599:J5601"/>
    <mergeCell ref="K5599:K5601"/>
    <mergeCell ref="L5599:L5601"/>
    <mergeCell ref="D5602:D5604"/>
    <mergeCell ref="E5602:E5604"/>
    <mergeCell ref="F5602:F5604"/>
    <mergeCell ref="G5602:G5604"/>
    <mergeCell ref="H5602:H5604"/>
    <mergeCell ref="I5602:I5604"/>
    <mergeCell ref="J5602:J5604"/>
    <mergeCell ref="K5602:K5604"/>
    <mergeCell ref="L5602:L5604"/>
    <mergeCell ref="D5605:D5607"/>
    <mergeCell ref="E5605:E5607"/>
    <mergeCell ref="F5605:F5607"/>
    <mergeCell ref="G5605:G5607"/>
    <mergeCell ref="H5605:H5607"/>
    <mergeCell ref="I5605:I5607"/>
    <mergeCell ref="J5605:J5607"/>
    <mergeCell ref="K5605:K5607"/>
    <mergeCell ref="L5605:L5607"/>
    <mergeCell ref="D5608:F5608"/>
    <mergeCell ref="G5608:L5608"/>
    <mergeCell ref="A5610:A5612"/>
    <mergeCell ref="B5610:C5619"/>
  </mergeCells>
  <phoneticPr fontId="1" type="noConversion"/>
  <dataValidations disablePrompts="1" count="1">
    <dataValidation type="list" allowBlank="1" showInputMessage="1" showErrorMessage="1" sqref="E24:E32 E35:E43 E5621:E5629 E13:E21 E2:E10 E46:E54 E57:E65 E68:E76 E79:E87 E90:E98 E145:E153 E134:E142 E112:E120 E123:E131 E101:E109 E167:E175 E156:E164 E178:E186 E189:E197 E211:E219 E255:E263 E244:E252 E222:E230 E233:E241 E200:E208 E266:E274 E277:E285 E288:E296 E299:E307 E310:E318 E365:E373 E354:E362 E332:E340 E343:E351 E321:E329 E376:E384 E387:E395 E475:E483 E398:E406 E420:E428 E486:E494 E464:E472 E442:E450 E453:E461 E431:E439 E409:E417 E497:E505 E508:E516 E519:E527 E541:E549 E585:E593 E574:E582 E552:E560 E563:E571 E1025:E1033 E596:E604 E607:E615 E618:E626 E629:E637 E640:E648 E695:E703 E684:E692 E662:E670 E673:E681 E651:E659 E706:E714 E717:E725 E728:E736 E739:E747 E750:E758 E805:E813 E794:E802 E783:E791 E772:E780 E761:E769 E816:E824 E827:E835 E838:E846 E849:E857 E860:E868 E915:E923 E904:E912 E871:E879 E893:E901 E882:E890 E926:E934 E937:E945 E530:E538 E981:E989 E948:E956 E1014:E1022 E992:E1000 E959:E967 E1047:E1055 E970:E978 E1003:E1011 E1036:E1044 E1058:E1066 E1069:E1077 E1091:E1099 E1135:E1143 E1124:E1132 E1102:E1110 E1113:E1121 E1080:E1088 E1146:E1154 E1157:E1165 E1168:E1176 E1179:E1187 E1190:E1198 E1245:E1253 E1234:E1242 E1212:E1220 E1223:E1231 E1201:E1209 E1256:E1264 E1267:E1275 E1278:E1286 E1300:E1308 E1289:E1297 E1366:E1374 E1344:E1352 E1322:E1330 E1333:E1341 E1311:E1319 E1355:E1363 E1377:E1385 E1388:E1396 E1399:E1407 E1410:E1418 E1465:E1473 E1454:E1462 E1421:E1429 E1443:E1451 E1432:E1440 E1476:E1484 E1487:E1495 E1498:E1506 E1509:E1517 E1531:E1539 E1564:E1572 E1575:E1583 E1520:E1528 E1553:E1561 E1542:E1550 E1586:E1594 E1597:E1605 E1608:E1616 E1619:E1627 E1630:E1638 E1688:E1696 E1674:E1685 E1652:E1660 E1663:E1671 E1641:E1649 E1699:E1707 E1710:E1718 E1721:E1729 E1732:E1740 E1743:E1751 E1816:E1824 E1794:E1802 E1761:E1769 E1783:E1791 E1772:E1780 E1805:E1813 E1827:E1835 E1838:E1846 E1849:E1857 E1860:E1868 E1926:E1934 E1904:E1912 E1882:E1890 E1893:E1901 E1871:E1879 E1915:E1923 E1937:E1945 E1948:E1956 E1959:E1967 E1970:E1978 E2025:E2033 E2014:E2022 E1981:E1989 E2003:E2011 E1992:E2000 E2036:E2044 E2047:E2055 E2069:E2077 E2058:E2066 E2080:E2088 E2135:E2143 E2124:E2132 E2102:E2110 E2113:E2121 E2091:E2099 E2146:E2154 E2168:E2176 E2179:E2187 E2157:E2165 E2190:E2198 E2245:E2253 E2223:E2231 E2201:E2209 E2234:E2242 E2212:E2220 E2256:E2264 E2267:E2275 E2289:E2297 E2278:E2286 E2300:E2308 E2358:E2366 E2344:E2355 E2322:E2330 E2333:E2341 E2311:E2319 E2369:E2377 E2380:E2388 E2391:E2399 E2402:E2410 E2431:E2439 E2475:E2483 E2464:E2472 E2453:E2461 E2442:E2450 E2420:E2428 E2486:E2494 E2497:E2505 E2519:E2527 E2508:E2516 E2530:E2538 E2596:E2604 E2585:E2593 E2563:E2571 E2574:E2582 E2552:E2560 E2607:E2615 E2618:E2626 E2629:E2637 E2640:E2648 E2651:E2659 E2706:E2714 E2695:E2703 E2673:E2681 E2684:E2692 E2662:E2670 E2717:E2725 E2728:E2736 E2739:E2747 E2750:E2758 E2761:E2769 E2816:E2824 E2805:E2813 E2783:E2791 E2794:E2802 E2772:E2780 E2827:E2835 E2838:E2846 E2849:E2857 E2860:E2868 E2871:E2879 E2926:E2934 E2915:E2923 E2893:E2901 E2904:E2912 E2882:E2890 E2937:E2945 E2948:E2956 E2959:E2967 E2970:E2978 E2981:E2989 E3036:E3044 E3025:E3033 E3003:E3011 E3014:E3022 E2992:E3000 E3047:E3055 E3058:E3066 E3069:E3077 E3080:E3088 E3091:E3099 E3146:E3154 E3135:E3143 E3113:E3121 E3124:E3132 E3102:E3110 E3157:E3165 E3168:E3176 E3179:E3187 E3190:E3198 E3201:E3209 E3256:E3264 E3245:E3253 E3223:E3231 E3234:E3242 E3212:E3220 E3267:E3275 E3278:E3286 E3289:E3297 E3300:E3308 E3311:E3319 E3366:E3374 E3355:E3363 E3333:E3341 E3344:E3352 E3322:E3330 E3377:E3385 E3388:E3396 E3399:E3407 E3410:E3418 E3421:E3429 E3476:E3484 E3465:E3473 E3443:E3451 E3454:E3462 E3432:E3440 E3487:E3495 E3498:E3506 E3509:E3517 E3520:E3528 E3531:E3539 E3586:E3594 E3575:E3583 E3553:E3561 E3564:E3572 E3542:E3550 E3597:E3605 E3608:E3616 E3619:E3627 E3630:E3638 E3641:E3649 E3696:E3704 E3685:E3693 E3663:E3671 E3674:E3682 E3652:E3660 E3707:E3715 E3718:E3726 E3729:E3737 E3740:E3748 E3751:E3759 E3806:E3814 E3795:E3803 E3773:E3781 E3784:E3792 E3762:E3770 E3817:E3825 E3828:E3836 E3839:E3847 E3850:E3858 E3861:E3869 E3916:E3924 E3905:E3913 E3883:E3891 E3894:E3902 E3872:E3880 E3927:E3935 E3938:E3946 E3949:E3957 E3960:E3968 E3971:E3979 E4026:E4034 E4015:E4023 E3993:E4001 E4004:E4012 E3982:E3990 E4037:E4045 E4048:E4056 E4059:E4067 E4070:E4078 E4081:E4089 E4136:E4144 E4125:E4133 E4103:E4111 E4114:E4122 E4092:E4100 E4147:E4155 E4158:E4166 E4169:E4177 E4180:E4188 E4191:E4199 E4246:E4254 E4235:E4243 E4213:E4221 E4224:E4232 E4202:E4210 E4257:E4265 E4268:E4276 E4279:E4287 E4290:E4298 E4301:E4309 E4356:E4364 E4345:E4353 E4323:E4331 E4334:E4342 E4312:E4320 E4367:E4375 E4378:E4386 E4389:E4397 E4400:E4408 E4411:E4419 E4466:E4474 E4455:E4463 E4433:E4441 E4444:E4452 E4422:E4430 E4477:E4485 E4488:E4496 E4499:E4507 E4510:E4518 E4521:E4529 E4576:E4584 E4565:E4573 E4543:E4551 E4554:E4562 E4532:E4540 E4587:E4595 E4598:E4606 E4609:E4617 E4620:E4628 E4631:E4639 E4686:E4694 E4675:E4683 E4653:E4661 E4664:E4672 E4642:E4650 E4697:E4705 E4708:E4716 E4719:E4727 E4730:E4738 E4741:E4749 E4796:E4804 E4785:E4793 E4763:E4771 E4774:E4782 E4752:E4760 E4807:E4815 E4818:E4826 E4829:E4837 E4840:E4848 E4851:E4859 E4906:E4914 E4895:E4903 E4873:E4881 E4884:E4892 E4862:E4870 E4917:E4925 E4928:E4936 E4939:E4947 E4950:E4958 E4961:E4969 E5016:E5024 E5005:E5013 E4983:E4991 E4994:E5002 E4972:E4980 E5027:E5035 E5038:E5046 E5049:E5057 E5060:E5068 E5071:E5079 E5126:E5134 E5115:E5123 E5093:E5101 E5104:E5112 E5082:E5090 E5137:E5145 E5148:E5156 E5159:E5167 E5170:E5178 E5181:E5189 E5236:E5244 E5225:E5233 E5203:E5211 E5214:E5222 E5192:E5200 E5247:E5255 E5258:E5266 E5269:E5277 E5280:E5288 E5291:E5299 E5346:E5354 E5335:E5343 E5313:E5321 E5324:E5332 E5302:E5310 E5357:E5365 E5368:E5376 E5379:E5387 E5390:E5398 E5401:E5409 E5456:E5464 E5445:E5453 E5423:E5431 E5434:E5442 E5412:E5420 E5467:E5475 E5478:E5486 E5489:E5497 E5500:E5508 E5511:E5519 E5566:E5574 E5555:E5563 E5533:E5541 E5544:E5552 E5522:E5530 E5577:E5585 E5588:E5596 E5599:E5607 E5610:E5618 E2541:E2549">
      <formula1>"금속관입상,금속관벽체,PVC입상,PVC벽체,차열재마감,오픈구,스파이럴입상,스파이럴벽체,덕트마감,댐퍼팽창테이프,세대SP,무보온덕트입상,무보온덕트벽체,보온덕트입상,보온덕트벽체,슬리브,대구경추가차열입상,대구경추가차열벽체,실란트마감입상,실란트마감벽체,금속관입상차열,차열재제거"</formula1>
    </dataValidation>
  </dataValidations>
  <printOptions horizontalCentered="1"/>
  <pageMargins left="0" right="0" top="0.15748031496062992" bottom="0.15748031496062992" header="0.31496062992125984" footer="0.31496062992125984"/>
  <pageSetup paperSize="9" scale="8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F164"/>
  <sheetViews>
    <sheetView tabSelected="1" zoomScale="85" zoomScaleNormal="85" workbookViewId="0">
      <pane xSplit="2" ySplit="4" topLeftCell="C81" activePane="bottomRight" state="frozen"/>
      <selection pane="topRight" activeCell="C1" sqref="C1"/>
      <selection pane="bottomLeft" activeCell="A5" sqref="A5"/>
      <selection pane="bottomRight" activeCell="G88" sqref="G88"/>
    </sheetView>
  </sheetViews>
  <sheetFormatPr defaultRowHeight="16.5" x14ac:dyDescent="0.3"/>
  <cols>
    <col min="1" max="1" width="10.625" customWidth="1"/>
    <col min="2" max="2" width="20.625" bestFit="1" customWidth="1"/>
    <col min="3" max="3" width="8.75" bestFit="1" customWidth="1"/>
    <col min="4" max="21" width="8.625" customWidth="1"/>
    <col min="22" max="22" width="3.625" customWidth="1"/>
    <col min="23" max="23" width="17.625" customWidth="1"/>
    <col min="24" max="24" width="10.625" customWidth="1"/>
    <col min="25" max="26" width="3.625" customWidth="1"/>
    <col min="27" max="27" width="17.625" customWidth="1"/>
    <col min="28" max="28" width="10.625" customWidth="1"/>
    <col min="30" max="30" width="21.5" bestFit="1" customWidth="1"/>
    <col min="31" max="31" width="12.75" customWidth="1"/>
    <col min="32" max="32" width="17.5" customWidth="1"/>
  </cols>
  <sheetData>
    <row r="1" spans="1:28" ht="20.100000000000001" customHeight="1" thickBot="1" x14ac:dyDescent="0.35">
      <c r="B1" s="7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</row>
    <row r="2" spans="1:28" ht="39.950000000000003" customHeight="1" x14ac:dyDescent="0.3">
      <c r="B2" s="192" t="s">
        <v>50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200" t="s">
        <v>72</v>
      </c>
      <c r="X2" s="201"/>
      <c r="AA2" s="190" t="s">
        <v>181</v>
      </c>
      <c r="AB2" s="191"/>
    </row>
    <row r="3" spans="1:28" ht="20.100000000000001" customHeight="1" x14ac:dyDescent="0.3">
      <c r="B3" s="193"/>
      <c r="C3" s="202" t="s">
        <v>77</v>
      </c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4"/>
      <c r="V3" s="36"/>
      <c r="W3" s="39" t="s">
        <v>74</v>
      </c>
      <c r="X3" s="47">
        <f>COUNTA(C4:U4)</f>
        <v>16</v>
      </c>
      <c r="AA3" s="40" t="s">
        <v>75</v>
      </c>
      <c r="AB3" s="41">
        <f>누계!Q3+X3</f>
        <v>105</v>
      </c>
    </row>
    <row r="4" spans="1:28" ht="30" customHeight="1" thickBot="1" x14ac:dyDescent="0.35">
      <c r="B4" s="25" t="s">
        <v>73</v>
      </c>
      <c r="C4" s="50">
        <v>45172</v>
      </c>
      <c r="D4" s="50">
        <v>45173</v>
      </c>
      <c r="E4" s="50">
        <v>45174</v>
      </c>
      <c r="F4" s="50">
        <v>45175</v>
      </c>
      <c r="G4" s="50">
        <v>45179</v>
      </c>
      <c r="H4" s="50">
        <v>45180</v>
      </c>
      <c r="I4" s="50">
        <v>45181</v>
      </c>
      <c r="J4" s="50">
        <v>45183</v>
      </c>
      <c r="K4" s="50">
        <v>45185</v>
      </c>
      <c r="L4" s="50">
        <v>45187</v>
      </c>
      <c r="M4" s="50">
        <v>45188</v>
      </c>
      <c r="N4" s="50">
        <v>45189</v>
      </c>
      <c r="O4" s="50">
        <v>45190</v>
      </c>
      <c r="P4" s="50">
        <v>45192</v>
      </c>
      <c r="Q4" s="50">
        <v>45193</v>
      </c>
      <c r="R4" s="50">
        <v>45194</v>
      </c>
      <c r="S4" s="50"/>
      <c r="T4" s="50"/>
      <c r="U4" s="50"/>
      <c r="V4" s="36"/>
      <c r="W4" s="48" t="s">
        <v>73</v>
      </c>
      <c r="X4" s="49" t="s">
        <v>42</v>
      </c>
      <c r="AA4" s="25" t="s">
        <v>73</v>
      </c>
      <c r="AB4" s="25" t="s">
        <v>42</v>
      </c>
    </row>
    <row r="5" spans="1:28" ht="20.100000000000001" customHeight="1" thickTop="1" x14ac:dyDescent="0.3">
      <c r="A5" s="2"/>
      <c r="B5" s="139" t="s">
        <v>149</v>
      </c>
      <c r="C5" s="66">
        <f>+SUMIFS(사진대지!$R:$R,사진대지!$Q:$Q,"="&amp;$B5,사진대지!$Z:$Z,"="&amp;C$4)</f>
        <v>0</v>
      </c>
      <c r="D5" s="66">
        <f>+SUMIFS(사진대지!$R:$R,사진대지!$Q:$Q,"="&amp;$B5,사진대지!$Z:$Z,"="&amp;D$4)</f>
        <v>0</v>
      </c>
      <c r="E5" s="66">
        <f>+SUMIFS(사진대지!$R:$R,사진대지!$Q:$Q,"="&amp;$B5,사진대지!$Z:$Z,"="&amp;E$4)</f>
        <v>0</v>
      </c>
      <c r="F5" s="66">
        <f>+SUMIFS(사진대지!$R:$R,사진대지!$Q:$Q,"="&amp;$B5,사진대지!$Z:$Z,"="&amp;F$4)</f>
        <v>0</v>
      </c>
      <c r="G5" s="66">
        <f>+SUMIFS(사진대지!$R:$R,사진대지!$Q:$Q,"="&amp;$B5,사진대지!$Z:$Z,"="&amp;G$4)</f>
        <v>0</v>
      </c>
      <c r="H5" s="66">
        <f>+SUMIFS(사진대지!$R:$R,사진대지!$Q:$Q,"="&amp;$B5,사진대지!$Z:$Z,"="&amp;H$4)</f>
        <v>0</v>
      </c>
      <c r="I5" s="66">
        <f>+SUMIFS(사진대지!$R:$R,사진대지!$Q:$Q,"="&amp;$B5,사진대지!$Z:$Z,"="&amp;I$4)</f>
        <v>0</v>
      </c>
      <c r="J5" s="66">
        <f>+SUMIFS(사진대지!$R:$R,사진대지!$Q:$Q,"="&amp;$B5,사진대지!$Z:$Z,"="&amp;J$4)</f>
        <v>0</v>
      </c>
      <c r="K5" s="66">
        <f>+SUMIFS(사진대지!$R:$R,사진대지!$Q:$Q,"="&amp;$B5,사진대지!$Z:$Z,"="&amp;K$4)</f>
        <v>0</v>
      </c>
      <c r="L5" s="66">
        <f>+SUMIFS(사진대지!$R:$R,사진대지!$Q:$Q,"="&amp;$B5,사진대지!$Z:$Z,"="&amp;L$4)</f>
        <v>0</v>
      </c>
      <c r="M5" s="66">
        <f>+SUMIFS(사진대지!$R:$R,사진대지!$Q:$Q,"="&amp;$B5,사진대지!$Z:$Z,"="&amp;M$4)</f>
        <v>0</v>
      </c>
      <c r="N5" s="66">
        <f>+SUMIFS(사진대지!$R:$R,사진대지!$Q:$Q,"="&amp;$B5,사진대지!$Z:$Z,"="&amp;N$4)</f>
        <v>0</v>
      </c>
      <c r="O5" s="66">
        <f>+SUMIFS(사진대지!$R:$R,사진대지!$Q:$Q,"="&amp;$B5,사진대지!$Z:$Z,"="&amp;O$4)</f>
        <v>0</v>
      </c>
      <c r="P5" s="66">
        <f>+SUMIFS(사진대지!$R:$R,사진대지!$Q:$Q,"="&amp;$B5,사진대지!$Z:$Z,"="&amp;P$4)</f>
        <v>0</v>
      </c>
      <c r="Q5" s="66">
        <f>+SUMIFS(사진대지!$R:$R,사진대지!$Q:$Q,"="&amp;$B5,사진대지!$Z:$Z,"="&amp;Q$4)</f>
        <v>0</v>
      </c>
      <c r="R5" s="66">
        <f>+SUMIFS(사진대지!$R:$R,사진대지!$Q:$Q,"="&amp;$B5,사진대지!$Z:$Z,"="&amp;R$4)</f>
        <v>0</v>
      </c>
      <c r="S5" s="66">
        <f>+SUMIFS(사진대지!$R:$R,사진대지!$Q:$Q,"="&amp;$B5,사진대지!$Z:$Z,"="&amp;S$4)</f>
        <v>0</v>
      </c>
      <c r="T5" s="66">
        <f>+SUMIFS(사진대지!$R:$R,사진대지!$Q:$Q,"="&amp;$B5,사진대지!$Z:$Z,"="&amp;T$4)</f>
        <v>0</v>
      </c>
      <c r="U5" s="66">
        <f>+SUMIFS(사진대지!$R:$R,사진대지!$Q:$Q,"="&amp;$B5,사진대지!$Z:$Z,"="&amp;U$4)</f>
        <v>0</v>
      </c>
      <c r="V5" s="70"/>
      <c r="W5" s="140" t="str">
        <f t="shared" ref="W5:W53" si="0">B5</f>
        <v>금속관입상차열15</v>
      </c>
      <c r="X5" s="141">
        <f t="shared" ref="X5:X53" si="1">+SUM(C5:U5)</f>
        <v>0</v>
      </c>
      <c r="Y5" s="68"/>
      <c r="Z5" s="68"/>
      <c r="AA5" s="142" t="str">
        <f>W5</f>
        <v>금속관입상차열15</v>
      </c>
      <c r="AB5" s="143">
        <f>누계!Q5+X5</f>
        <v>0</v>
      </c>
    </row>
    <row r="6" spans="1:28" ht="20.100000000000001" customHeight="1" x14ac:dyDescent="0.3">
      <c r="A6" s="2"/>
      <c r="B6" s="4" t="s">
        <v>150</v>
      </c>
      <c r="C6" s="66">
        <f>+SUMIFS(사진대지!$R:$R,사진대지!$Q:$Q,"="&amp;$B6,사진대지!$Z:$Z,"="&amp;C$4)</f>
        <v>0</v>
      </c>
      <c r="D6" s="66">
        <f>+SUMIFS(사진대지!$R:$R,사진대지!$Q:$Q,"="&amp;$B6,사진대지!$Z:$Z,"="&amp;D$4)</f>
        <v>0</v>
      </c>
      <c r="E6" s="66">
        <f>+SUMIFS(사진대지!$R:$R,사진대지!$Q:$Q,"="&amp;$B6,사진대지!$Z:$Z,"="&amp;E$4)</f>
        <v>0</v>
      </c>
      <c r="F6" s="66">
        <f>+SUMIFS(사진대지!$R:$R,사진대지!$Q:$Q,"="&amp;$B6,사진대지!$Z:$Z,"="&amp;F$4)</f>
        <v>0</v>
      </c>
      <c r="G6" s="66">
        <f>+SUMIFS(사진대지!$R:$R,사진대지!$Q:$Q,"="&amp;$B6,사진대지!$Z:$Z,"="&amp;G$4)</f>
        <v>0</v>
      </c>
      <c r="H6" s="66">
        <f>+SUMIFS(사진대지!$R:$R,사진대지!$Q:$Q,"="&amp;$B6,사진대지!$Z:$Z,"="&amp;H$4)</f>
        <v>0</v>
      </c>
      <c r="I6" s="66">
        <f>+SUMIFS(사진대지!$R:$R,사진대지!$Q:$Q,"="&amp;$B6,사진대지!$Z:$Z,"="&amp;I$4)</f>
        <v>0</v>
      </c>
      <c r="J6" s="66">
        <f>+SUMIFS(사진대지!$R:$R,사진대지!$Q:$Q,"="&amp;$B6,사진대지!$Z:$Z,"="&amp;J$4)</f>
        <v>0</v>
      </c>
      <c r="K6" s="66">
        <f>+SUMIFS(사진대지!$R:$R,사진대지!$Q:$Q,"="&amp;$B6,사진대지!$Z:$Z,"="&amp;K$4)</f>
        <v>0</v>
      </c>
      <c r="L6" s="66">
        <f>+SUMIFS(사진대지!$R:$R,사진대지!$Q:$Q,"="&amp;$B6,사진대지!$Z:$Z,"="&amp;L$4)</f>
        <v>0</v>
      </c>
      <c r="M6" s="66">
        <f>+SUMIFS(사진대지!$R:$R,사진대지!$Q:$Q,"="&amp;$B6,사진대지!$Z:$Z,"="&amp;M$4)</f>
        <v>0</v>
      </c>
      <c r="N6" s="66">
        <f>+SUMIFS(사진대지!$R:$R,사진대지!$Q:$Q,"="&amp;$B6,사진대지!$Z:$Z,"="&amp;N$4)</f>
        <v>0</v>
      </c>
      <c r="O6" s="66">
        <f>+SUMIFS(사진대지!$R:$R,사진대지!$Q:$Q,"="&amp;$B6,사진대지!$Z:$Z,"="&amp;O$4)</f>
        <v>0</v>
      </c>
      <c r="P6" s="66">
        <f>+SUMIFS(사진대지!$R:$R,사진대지!$Q:$Q,"="&amp;$B6,사진대지!$Z:$Z,"="&amp;P$4)</f>
        <v>0</v>
      </c>
      <c r="Q6" s="66">
        <f>+SUMIFS(사진대지!$R:$R,사진대지!$Q:$Q,"="&amp;$B6,사진대지!$Z:$Z,"="&amp;Q$4)</f>
        <v>0</v>
      </c>
      <c r="R6" s="66">
        <f>+SUMIFS(사진대지!$R:$R,사진대지!$Q:$Q,"="&amp;$B6,사진대지!$Z:$Z,"="&amp;R$4)</f>
        <v>0</v>
      </c>
      <c r="S6" s="66">
        <f>+SUMIFS(사진대지!$R:$R,사진대지!$Q:$Q,"="&amp;$B6,사진대지!$Z:$Z,"="&amp;S$4)</f>
        <v>0</v>
      </c>
      <c r="T6" s="66">
        <f>+SUMIFS(사진대지!$R:$R,사진대지!$Q:$Q,"="&amp;$B6,사진대지!$Z:$Z,"="&amp;T$4)</f>
        <v>0</v>
      </c>
      <c r="U6" s="66">
        <f>+SUMIFS(사진대지!$R:$R,사진대지!$Q:$Q,"="&amp;$B6,사진대지!$Z:$Z,"="&amp;U$4)</f>
        <v>0</v>
      </c>
      <c r="V6" s="70"/>
      <c r="W6" s="75" t="str">
        <f t="shared" si="0"/>
        <v>금속관입상차열20</v>
      </c>
      <c r="X6" s="89">
        <f t="shared" si="1"/>
        <v>0</v>
      </c>
      <c r="Y6" s="68"/>
      <c r="Z6" s="68"/>
      <c r="AA6" s="76" t="str">
        <f t="shared" ref="AA6:AA101" si="2">W6</f>
        <v>금속관입상차열20</v>
      </c>
      <c r="AB6" s="93">
        <f>누계!Q6+X6</f>
        <v>0</v>
      </c>
    </row>
    <row r="7" spans="1:28" ht="20.100000000000001" customHeight="1" x14ac:dyDescent="0.3">
      <c r="A7" s="3"/>
      <c r="B7" s="4" t="s">
        <v>151</v>
      </c>
      <c r="C7" s="66">
        <f>+SUMIFS(사진대지!$R:$R,사진대지!$Q:$Q,"="&amp;$B7,사진대지!$Z:$Z,"="&amp;C$4)</f>
        <v>0</v>
      </c>
      <c r="D7" s="66">
        <f>+SUMIFS(사진대지!$R:$R,사진대지!$Q:$Q,"="&amp;$B7,사진대지!$Z:$Z,"="&amp;D$4)</f>
        <v>0</v>
      </c>
      <c r="E7" s="67">
        <f>+SUMIFS(사진대지!$R:$R,사진대지!$Q:$Q,"="&amp;$B7,사진대지!$Z:$Z,"="&amp;E$4)</f>
        <v>0</v>
      </c>
      <c r="F7" s="67">
        <f>+SUMIFS(사진대지!$R:$R,사진대지!$Q:$Q,"="&amp;$B7,사진대지!$Z:$Z,"="&amp;F$4)</f>
        <v>0</v>
      </c>
      <c r="G7" s="67">
        <f>+SUMIFS(사진대지!$R:$R,사진대지!$Q:$Q,"="&amp;$B7,사진대지!$Z:$Z,"="&amp;G$4)</f>
        <v>0</v>
      </c>
      <c r="H7" s="67">
        <f>+SUMIFS(사진대지!$R:$R,사진대지!$Q:$Q,"="&amp;$B7,사진대지!$Z:$Z,"="&amp;H$4)</f>
        <v>0</v>
      </c>
      <c r="I7" s="67">
        <f>+SUMIFS(사진대지!$R:$R,사진대지!$Q:$Q,"="&amp;$B7,사진대지!$Z:$Z,"="&amp;I$4)</f>
        <v>0</v>
      </c>
      <c r="J7" s="67">
        <f>+SUMIFS(사진대지!$R:$R,사진대지!$Q:$Q,"="&amp;$B7,사진대지!$Z:$Z,"="&amp;J$4)</f>
        <v>0</v>
      </c>
      <c r="K7" s="67">
        <f>+SUMIFS(사진대지!$R:$R,사진대지!$Q:$Q,"="&amp;$B7,사진대지!$Z:$Z,"="&amp;K$4)</f>
        <v>0</v>
      </c>
      <c r="L7" s="67">
        <f>+SUMIFS(사진대지!$R:$R,사진대지!$Q:$Q,"="&amp;$B7,사진대지!$Z:$Z,"="&amp;L$4)</f>
        <v>0</v>
      </c>
      <c r="M7" s="67">
        <f>+SUMIFS(사진대지!$R:$R,사진대지!$Q:$Q,"="&amp;$B7,사진대지!$Z:$Z,"="&amp;M$4)</f>
        <v>0</v>
      </c>
      <c r="N7" s="67">
        <f>+SUMIFS(사진대지!$R:$R,사진대지!$Q:$Q,"="&amp;$B7,사진대지!$Z:$Z,"="&amp;N$4)</f>
        <v>0</v>
      </c>
      <c r="O7" s="67">
        <f>+SUMIFS(사진대지!$R:$R,사진대지!$Q:$Q,"="&amp;$B7,사진대지!$Z:$Z,"="&amp;O$4)</f>
        <v>0</v>
      </c>
      <c r="P7" s="67">
        <f>+SUMIFS(사진대지!$R:$R,사진대지!$Q:$Q,"="&amp;$B7,사진대지!$Z:$Z,"="&amp;P$4)</f>
        <v>0</v>
      </c>
      <c r="Q7" s="67">
        <f>+SUMIFS(사진대지!$R:$R,사진대지!$Q:$Q,"="&amp;$B7,사진대지!$Z:$Z,"="&amp;Q$4)</f>
        <v>0</v>
      </c>
      <c r="R7" s="67">
        <f>+SUMIFS(사진대지!$R:$R,사진대지!$Q:$Q,"="&amp;$B7,사진대지!$Z:$Z,"="&amp;R$4)</f>
        <v>0</v>
      </c>
      <c r="S7" s="67">
        <f>+SUMIFS(사진대지!$R:$R,사진대지!$Q:$Q,"="&amp;$B7,사진대지!$Z:$Z,"="&amp;S$4)</f>
        <v>0</v>
      </c>
      <c r="T7" s="67">
        <f>+SUMIFS(사진대지!$R:$R,사진대지!$Q:$Q,"="&amp;$B7,사진대지!$Z:$Z,"="&amp;T$4)</f>
        <v>0</v>
      </c>
      <c r="U7" s="67">
        <f>+SUMIFS(사진대지!$R:$R,사진대지!$Q:$Q,"="&amp;$B7,사진대지!$Z:$Z,"="&amp;U$4)</f>
        <v>0</v>
      </c>
      <c r="V7" s="70"/>
      <c r="W7" s="75" t="str">
        <f t="shared" si="0"/>
        <v>금속관입상차열25</v>
      </c>
      <c r="X7" s="89">
        <f t="shared" si="1"/>
        <v>0</v>
      </c>
      <c r="Y7" s="68"/>
      <c r="Z7" s="68"/>
      <c r="AA7" s="76" t="str">
        <f t="shared" si="2"/>
        <v>금속관입상차열25</v>
      </c>
      <c r="AB7" s="93">
        <f>누계!Q7+X7</f>
        <v>0</v>
      </c>
    </row>
    <row r="8" spans="1:28" ht="20.100000000000001" customHeight="1" x14ac:dyDescent="0.3">
      <c r="A8" s="3"/>
      <c r="B8" s="4" t="s">
        <v>152</v>
      </c>
      <c r="C8" s="66">
        <f>+SUMIFS(사진대지!$R:$R,사진대지!$Q:$Q,"="&amp;$B8,사진대지!$Z:$Z,"="&amp;C$4)</f>
        <v>0</v>
      </c>
      <c r="D8" s="66">
        <f>+SUMIFS(사진대지!$R:$R,사진대지!$Q:$Q,"="&amp;$B8,사진대지!$Z:$Z,"="&amp;D$4)</f>
        <v>0</v>
      </c>
      <c r="E8" s="67">
        <f>+SUMIFS(사진대지!$R:$R,사진대지!$Q:$Q,"="&amp;$B8,사진대지!$Z:$Z,"="&amp;E$4)</f>
        <v>0</v>
      </c>
      <c r="F8" s="67">
        <f>+SUMIFS(사진대지!$R:$R,사진대지!$Q:$Q,"="&amp;$B8,사진대지!$Z:$Z,"="&amp;F$4)</f>
        <v>0</v>
      </c>
      <c r="G8" s="67">
        <f>+SUMIFS(사진대지!$R:$R,사진대지!$Q:$Q,"="&amp;$B8,사진대지!$Z:$Z,"="&amp;G$4)</f>
        <v>0</v>
      </c>
      <c r="H8" s="67">
        <f>+SUMIFS(사진대지!$R:$R,사진대지!$Q:$Q,"="&amp;$B8,사진대지!$Z:$Z,"="&amp;H$4)</f>
        <v>0</v>
      </c>
      <c r="I8" s="67">
        <f>+SUMIFS(사진대지!$R:$R,사진대지!$Q:$Q,"="&amp;$B8,사진대지!$Z:$Z,"="&amp;I$4)</f>
        <v>0</v>
      </c>
      <c r="J8" s="67">
        <f>+SUMIFS(사진대지!$R:$R,사진대지!$Q:$Q,"="&amp;$B8,사진대지!$Z:$Z,"="&amp;J$4)</f>
        <v>0</v>
      </c>
      <c r="K8" s="67">
        <f>+SUMIFS(사진대지!$R:$R,사진대지!$Q:$Q,"="&amp;$B8,사진대지!$Z:$Z,"="&amp;K$4)</f>
        <v>0</v>
      </c>
      <c r="L8" s="67">
        <f>+SUMIFS(사진대지!$R:$R,사진대지!$Q:$Q,"="&amp;$B8,사진대지!$Z:$Z,"="&amp;L$4)</f>
        <v>0</v>
      </c>
      <c r="M8" s="67">
        <f>+SUMIFS(사진대지!$R:$R,사진대지!$Q:$Q,"="&amp;$B8,사진대지!$Z:$Z,"="&amp;M$4)</f>
        <v>0</v>
      </c>
      <c r="N8" s="67">
        <f>+SUMIFS(사진대지!$R:$R,사진대지!$Q:$Q,"="&amp;$B8,사진대지!$Z:$Z,"="&amp;N$4)</f>
        <v>0</v>
      </c>
      <c r="O8" s="67">
        <f>+SUMIFS(사진대지!$R:$R,사진대지!$Q:$Q,"="&amp;$B8,사진대지!$Z:$Z,"="&amp;O$4)</f>
        <v>0</v>
      </c>
      <c r="P8" s="67">
        <f>+SUMIFS(사진대지!$R:$R,사진대지!$Q:$Q,"="&amp;$B8,사진대지!$Z:$Z,"="&amp;P$4)</f>
        <v>0</v>
      </c>
      <c r="Q8" s="67">
        <f>+SUMIFS(사진대지!$R:$R,사진대지!$Q:$Q,"="&amp;$B8,사진대지!$Z:$Z,"="&amp;Q$4)</f>
        <v>0</v>
      </c>
      <c r="R8" s="67">
        <f>+SUMIFS(사진대지!$R:$R,사진대지!$Q:$Q,"="&amp;$B8,사진대지!$Z:$Z,"="&amp;R$4)</f>
        <v>0</v>
      </c>
      <c r="S8" s="67">
        <f>+SUMIFS(사진대지!$R:$R,사진대지!$Q:$Q,"="&amp;$B8,사진대지!$Z:$Z,"="&amp;S$4)</f>
        <v>0</v>
      </c>
      <c r="T8" s="67">
        <f>+SUMIFS(사진대지!$R:$R,사진대지!$Q:$Q,"="&amp;$B8,사진대지!$Z:$Z,"="&amp;T$4)</f>
        <v>0</v>
      </c>
      <c r="U8" s="67">
        <f>+SUMIFS(사진대지!$R:$R,사진대지!$Q:$Q,"="&amp;$B8,사진대지!$Z:$Z,"="&amp;U$4)</f>
        <v>0</v>
      </c>
      <c r="V8" s="70"/>
      <c r="W8" s="75" t="str">
        <f t="shared" si="0"/>
        <v>금속관입상차열32</v>
      </c>
      <c r="X8" s="89">
        <f t="shared" si="1"/>
        <v>0</v>
      </c>
      <c r="Y8" s="68"/>
      <c r="Z8" s="68"/>
      <c r="AA8" s="76" t="str">
        <f t="shared" si="2"/>
        <v>금속관입상차열32</v>
      </c>
      <c r="AB8" s="93">
        <f>누계!Q8+X8</f>
        <v>0</v>
      </c>
    </row>
    <row r="9" spans="1:28" ht="20.100000000000001" customHeight="1" x14ac:dyDescent="0.3">
      <c r="A9" s="3"/>
      <c r="B9" s="4" t="s">
        <v>153</v>
      </c>
      <c r="C9" s="66">
        <f>+SUMIFS(사진대지!$R:$R,사진대지!$Q:$Q,"="&amp;$B9,사진대지!$Z:$Z,"="&amp;C$4)</f>
        <v>0</v>
      </c>
      <c r="D9" s="66">
        <f>+SUMIFS(사진대지!$R:$R,사진대지!$Q:$Q,"="&amp;$B9,사진대지!$Z:$Z,"="&amp;D$4)</f>
        <v>0</v>
      </c>
      <c r="E9" s="67">
        <f>+SUMIFS(사진대지!$R:$R,사진대지!$Q:$Q,"="&amp;$B9,사진대지!$Z:$Z,"="&amp;E$4)</f>
        <v>0</v>
      </c>
      <c r="F9" s="67">
        <f>+SUMIFS(사진대지!$R:$R,사진대지!$Q:$Q,"="&amp;$B9,사진대지!$Z:$Z,"="&amp;F$4)</f>
        <v>0</v>
      </c>
      <c r="G9" s="67">
        <f>+SUMIFS(사진대지!$R:$R,사진대지!$Q:$Q,"="&amp;$B9,사진대지!$Z:$Z,"="&amp;G$4)</f>
        <v>0</v>
      </c>
      <c r="H9" s="67">
        <f>+SUMIFS(사진대지!$R:$R,사진대지!$Q:$Q,"="&amp;$B9,사진대지!$Z:$Z,"="&amp;H$4)</f>
        <v>0</v>
      </c>
      <c r="I9" s="67">
        <f>+SUMIFS(사진대지!$R:$R,사진대지!$Q:$Q,"="&amp;$B9,사진대지!$Z:$Z,"="&amp;I$4)</f>
        <v>0</v>
      </c>
      <c r="J9" s="67">
        <f>+SUMIFS(사진대지!$R:$R,사진대지!$Q:$Q,"="&amp;$B9,사진대지!$Z:$Z,"="&amp;J$4)</f>
        <v>0</v>
      </c>
      <c r="K9" s="67">
        <f>+SUMIFS(사진대지!$R:$R,사진대지!$Q:$Q,"="&amp;$B9,사진대지!$Z:$Z,"="&amp;K$4)</f>
        <v>0</v>
      </c>
      <c r="L9" s="67">
        <f>+SUMIFS(사진대지!$R:$R,사진대지!$Q:$Q,"="&amp;$B9,사진대지!$Z:$Z,"="&amp;L$4)</f>
        <v>0</v>
      </c>
      <c r="M9" s="67">
        <f>+SUMIFS(사진대지!$R:$R,사진대지!$Q:$Q,"="&amp;$B9,사진대지!$Z:$Z,"="&amp;M$4)</f>
        <v>0</v>
      </c>
      <c r="N9" s="67">
        <f>+SUMIFS(사진대지!$R:$R,사진대지!$Q:$Q,"="&amp;$B9,사진대지!$Z:$Z,"="&amp;N$4)</f>
        <v>0</v>
      </c>
      <c r="O9" s="67">
        <f>+SUMIFS(사진대지!$R:$R,사진대지!$Q:$Q,"="&amp;$B9,사진대지!$Z:$Z,"="&amp;O$4)</f>
        <v>0</v>
      </c>
      <c r="P9" s="67">
        <f>+SUMIFS(사진대지!$R:$R,사진대지!$Q:$Q,"="&amp;$B9,사진대지!$Z:$Z,"="&amp;P$4)</f>
        <v>0</v>
      </c>
      <c r="Q9" s="67">
        <f>+SUMIFS(사진대지!$R:$R,사진대지!$Q:$Q,"="&amp;$B9,사진대지!$Z:$Z,"="&amp;Q$4)</f>
        <v>0</v>
      </c>
      <c r="R9" s="67">
        <f>+SUMIFS(사진대지!$R:$R,사진대지!$Q:$Q,"="&amp;$B9,사진대지!$Z:$Z,"="&amp;R$4)</f>
        <v>0</v>
      </c>
      <c r="S9" s="67">
        <f>+SUMIFS(사진대지!$R:$R,사진대지!$Q:$Q,"="&amp;$B9,사진대지!$Z:$Z,"="&amp;S$4)</f>
        <v>0</v>
      </c>
      <c r="T9" s="67">
        <f>+SUMIFS(사진대지!$R:$R,사진대지!$Q:$Q,"="&amp;$B9,사진대지!$Z:$Z,"="&amp;T$4)</f>
        <v>0</v>
      </c>
      <c r="U9" s="67">
        <f>+SUMIFS(사진대지!$R:$R,사진대지!$Q:$Q,"="&amp;$B9,사진대지!$Z:$Z,"="&amp;U$4)</f>
        <v>0</v>
      </c>
      <c r="V9" s="70"/>
      <c r="W9" s="75" t="str">
        <f t="shared" si="0"/>
        <v>금속관입상차열40</v>
      </c>
      <c r="X9" s="89">
        <f t="shared" si="1"/>
        <v>0</v>
      </c>
      <c r="Y9" s="68"/>
      <c r="Z9" s="68"/>
      <c r="AA9" s="76" t="str">
        <f t="shared" si="2"/>
        <v>금속관입상차열40</v>
      </c>
      <c r="AB9" s="93">
        <f>누계!Q9+X9</f>
        <v>0</v>
      </c>
    </row>
    <row r="10" spans="1:28" ht="20.100000000000001" customHeight="1" x14ac:dyDescent="0.3">
      <c r="A10" s="3"/>
      <c r="B10" s="4" t="s">
        <v>154</v>
      </c>
      <c r="C10" s="66">
        <f>+SUMIFS(사진대지!$R:$R,사진대지!$Q:$Q,"="&amp;$B10,사진대지!$Z:$Z,"="&amp;C$4)</f>
        <v>0</v>
      </c>
      <c r="D10" s="66">
        <f>+SUMIFS(사진대지!$R:$R,사진대지!$Q:$Q,"="&amp;$B10,사진대지!$Z:$Z,"="&amp;D$4)</f>
        <v>0</v>
      </c>
      <c r="E10" s="67">
        <f>+SUMIFS(사진대지!$R:$R,사진대지!$Q:$Q,"="&amp;$B10,사진대지!$Z:$Z,"="&amp;E$4)</f>
        <v>0</v>
      </c>
      <c r="F10" s="67">
        <f>+SUMIFS(사진대지!$R:$R,사진대지!$Q:$Q,"="&amp;$B10,사진대지!$Z:$Z,"="&amp;F$4)</f>
        <v>0</v>
      </c>
      <c r="G10" s="67">
        <f>+SUMIFS(사진대지!$R:$R,사진대지!$Q:$Q,"="&amp;$B10,사진대지!$Z:$Z,"="&amp;G$4)</f>
        <v>0</v>
      </c>
      <c r="H10" s="67">
        <f>+SUMIFS(사진대지!$R:$R,사진대지!$Q:$Q,"="&amp;$B10,사진대지!$Z:$Z,"="&amp;H$4)</f>
        <v>0</v>
      </c>
      <c r="I10" s="67">
        <f>+SUMIFS(사진대지!$R:$R,사진대지!$Q:$Q,"="&amp;$B10,사진대지!$Z:$Z,"="&amp;I$4)</f>
        <v>0</v>
      </c>
      <c r="J10" s="67">
        <f>+SUMIFS(사진대지!$R:$R,사진대지!$Q:$Q,"="&amp;$B10,사진대지!$Z:$Z,"="&amp;J$4)</f>
        <v>0</v>
      </c>
      <c r="K10" s="67">
        <f>+SUMIFS(사진대지!$R:$R,사진대지!$Q:$Q,"="&amp;$B10,사진대지!$Z:$Z,"="&amp;K$4)</f>
        <v>0</v>
      </c>
      <c r="L10" s="67">
        <f>+SUMIFS(사진대지!$R:$R,사진대지!$Q:$Q,"="&amp;$B10,사진대지!$Z:$Z,"="&amp;L$4)</f>
        <v>0</v>
      </c>
      <c r="M10" s="67">
        <f>+SUMIFS(사진대지!$R:$R,사진대지!$Q:$Q,"="&amp;$B10,사진대지!$Z:$Z,"="&amp;M$4)</f>
        <v>0</v>
      </c>
      <c r="N10" s="67">
        <f>+SUMIFS(사진대지!$R:$R,사진대지!$Q:$Q,"="&amp;$B10,사진대지!$Z:$Z,"="&amp;N$4)</f>
        <v>0</v>
      </c>
      <c r="O10" s="67">
        <f>+SUMIFS(사진대지!$R:$R,사진대지!$Q:$Q,"="&amp;$B10,사진대지!$Z:$Z,"="&amp;O$4)</f>
        <v>0</v>
      </c>
      <c r="P10" s="67">
        <f>+SUMIFS(사진대지!$R:$R,사진대지!$Q:$Q,"="&amp;$B10,사진대지!$Z:$Z,"="&amp;P$4)</f>
        <v>0</v>
      </c>
      <c r="Q10" s="67">
        <f>+SUMIFS(사진대지!$R:$R,사진대지!$Q:$Q,"="&amp;$B10,사진대지!$Z:$Z,"="&amp;Q$4)</f>
        <v>0</v>
      </c>
      <c r="R10" s="67">
        <f>+SUMIFS(사진대지!$R:$R,사진대지!$Q:$Q,"="&amp;$B10,사진대지!$Z:$Z,"="&amp;R$4)</f>
        <v>0</v>
      </c>
      <c r="S10" s="67">
        <f>+SUMIFS(사진대지!$R:$R,사진대지!$Q:$Q,"="&amp;$B10,사진대지!$Z:$Z,"="&amp;S$4)</f>
        <v>0</v>
      </c>
      <c r="T10" s="67">
        <f>+SUMIFS(사진대지!$R:$R,사진대지!$Q:$Q,"="&amp;$B10,사진대지!$Z:$Z,"="&amp;T$4)</f>
        <v>0</v>
      </c>
      <c r="U10" s="67">
        <f>+SUMIFS(사진대지!$R:$R,사진대지!$Q:$Q,"="&amp;$B10,사진대지!$Z:$Z,"="&amp;U$4)</f>
        <v>0</v>
      </c>
      <c r="V10" s="70"/>
      <c r="W10" s="75" t="str">
        <f t="shared" si="0"/>
        <v>금속관입상차열50</v>
      </c>
      <c r="X10" s="89">
        <f t="shared" si="1"/>
        <v>0</v>
      </c>
      <c r="Y10" s="68"/>
      <c r="Z10" s="68"/>
      <c r="AA10" s="76" t="str">
        <f t="shared" si="2"/>
        <v>금속관입상차열50</v>
      </c>
      <c r="AB10" s="93">
        <f>누계!Q10+X10</f>
        <v>0</v>
      </c>
    </row>
    <row r="11" spans="1:28" ht="20.100000000000001" customHeight="1" x14ac:dyDescent="0.3">
      <c r="A11" s="3"/>
      <c r="B11" s="4" t="s">
        <v>155</v>
      </c>
      <c r="C11" s="66">
        <f>+SUMIFS(사진대지!$R:$R,사진대지!$Q:$Q,"="&amp;$B11,사진대지!$Z:$Z,"="&amp;C$4)</f>
        <v>0</v>
      </c>
      <c r="D11" s="66">
        <f>+SUMIFS(사진대지!$R:$R,사진대지!$Q:$Q,"="&amp;$B11,사진대지!$Z:$Z,"="&amp;D$4)</f>
        <v>0</v>
      </c>
      <c r="E11" s="67">
        <f>+SUMIFS(사진대지!$R:$R,사진대지!$Q:$Q,"="&amp;$B11,사진대지!$Z:$Z,"="&amp;E$4)</f>
        <v>0</v>
      </c>
      <c r="F11" s="67">
        <f>+SUMIFS(사진대지!$R:$R,사진대지!$Q:$Q,"="&amp;$B11,사진대지!$Z:$Z,"="&amp;F$4)</f>
        <v>0</v>
      </c>
      <c r="G11" s="67">
        <f>+SUMIFS(사진대지!$R:$R,사진대지!$Q:$Q,"="&amp;$B11,사진대지!$Z:$Z,"="&amp;G$4)</f>
        <v>0</v>
      </c>
      <c r="H11" s="67">
        <f>+SUMIFS(사진대지!$R:$R,사진대지!$Q:$Q,"="&amp;$B11,사진대지!$Z:$Z,"="&amp;H$4)</f>
        <v>0</v>
      </c>
      <c r="I11" s="67">
        <f>+SUMIFS(사진대지!$R:$R,사진대지!$Q:$Q,"="&amp;$B11,사진대지!$Z:$Z,"="&amp;I$4)</f>
        <v>0</v>
      </c>
      <c r="J11" s="67">
        <f>+SUMIFS(사진대지!$R:$R,사진대지!$Q:$Q,"="&amp;$B11,사진대지!$Z:$Z,"="&amp;J$4)</f>
        <v>0</v>
      </c>
      <c r="K11" s="67">
        <f>+SUMIFS(사진대지!$R:$R,사진대지!$Q:$Q,"="&amp;$B11,사진대지!$Z:$Z,"="&amp;K$4)</f>
        <v>0</v>
      </c>
      <c r="L11" s="67">
        <f>+SUMIFS(사진대지!$R:$R,사진대지!$Q:$Q,"="&amp;$B11,사진대지!$Z:$Z,"="&amp;L$4)</f>
        <v>0</v>
      </c>
      <c r="M11" s="67">
        <f>+SUMIFS(사진대지!$R:$R,사진대지!$Q:$Q,"="&amp;$B11,사진대지!$Z:$Z,"="&amp;M$4)</f>
        <v>0</v>
      </c>
      <c r="N11" s="67">
        <f>+SUMIFS(사진대지!$R:$R,사진대지!$Q:$Q,"="&amp;$B11,사진대지!$Z:$Z,"="&amp;N$4)</f>
        <v>0</v>
      </c>
      <c r="O11" s="67">
        <f>+SUMIFS(사진대지!$R:$R,사진대지!$Q:$Q,"="&amp;$B11,사진대지!$Z:$Z,"="&amp;O$4)</f>
        <v>0</v>
      </c>
      <c r="P11" s="67">
        <f>+SUMIFS(사진대지!$R:$R,사진대지!$Q:$Q,"="&amp;$B11,사진대지!$Z:$Z,"="&amp;P$4)</f>
        <v>0</v>
      </c>
      <c r="Q11" s="67">
        <f>+SUMIFS(사진대지!$R:$R,사진대지!$Q:$Q,"="&amp;$B11,사진대지!$Z:$Z,"="&amp;Q$4)</f>
        <v>0</v>
      </c>
      <c r="R11" s="67">
        <f>+SUMIFS(사진대지!$R:$R,사진대지!$Q:$Q,"="&amp;$B11,사진대지!$Z:$Z,"="&amp;R$4)</f>
        <v>0</v>
      </c>
      <c r="S11" s="67">
        <f>+SUMIFS(사진대지!$R:$R,사진대지!$Q:$Q,"="&amp;$B11,사진대지!$Z:$Z,"="&amp;S$4)</f>
        <v>0</v>
      </c>
      <c r="T11" s="67">
        <f>+SUMIFS(사진대지!$R:$R,사진대지!$Q:$Q,"="&amp;$B11,사진대지!$Z:$Z,"="&amp;T$4)</f>
        <v>0</v>
      </c>
      <c r="U11" s="67">
        <f>+SUMIFS(사진대지!$R:$R,사진대지!$Q:$Q,"="&amp;$B11,사진대지!$Z:$Z,"="&amp;U$4)</f>
        <v>0</v>
      </c>
      <c r="V11" s="70"/>
      <c r="W11" s="75" t="str">
        <f t="shared" si="0"/>
        <v>금속관입상차열65</v>
      </c>
      <c r="X11" s="89">
        <f t="shared" si="1"/>
        <v>0</v>
      </c>
      <c r="Y11" s="68"/>
      <c r="Z11" s="68"/>
      <c r="AA11" s="76" t="str">
        <f t="shared" si="2"/>
        <v>금속관입상차열65</v>
      </c>
      <c r="AB11" s="93">
        <f>누계!Q11+X11</f>
        <v>0</v>
      </c>
    </row>
    <row r="12" spans="1:28" ht="20.100000000000001" customHeight="1" x14ac:dyDescent="0.3">
      <c r="A12" s="3"/>
      <c r="B12" s="4" t="s">
        <v>156</v>
      </c>
      <c r="C12" s="66">
        <f>+SUMIFS(사진대지!$R:$R,사진대지!$Q:$Q,"="&amp;$B12,사진대지!$Z:$Z,"="&amp;C$4)</f>
        <v>0</v>
      </c>
      <c r="D12" s="66">
        <f>+SUMIFS(사진대지!$R:$R,사진대지!$Q:$Q,"="&amp;$B12,사진대지!$Z:$Z,"="&amp;D$4)</f>
        <v>0</v>
      </c>
      <c r="E12" s="67">
        <f>+SUMIFS(사진대지!$R:$R,사진대지!$Q:$Q,"="&amp;$B12,사진대지!$Z:$Z,"="&amp;E$4)</f>
        <v>0</v>
      </c>
      <c r="F12" s="67">
        <f>+SUMIFS(사진대지!$R:$R,사진대지!$Q:$Q,"="&amp;$B12,사진대지!$Z:$Z,"="&amp;F$4)</f>
        <v>0</v>
      </c>
      <c r="G12" s="67">
        <f>+SUMIFS(사진대지!$R:$R,사진대지!$Q:$Q,"="&amp;$B12,사진대지!$Z:$Z,"="&amp;G$4)</f>
        <v>0</v>
      </c>
      <c r="H12" s="67">
        <f>+SUMIFS(사진대지!$R:$R,사진대지!$Q:$Q,"="&amp;$B12,사진대지!$Z:$Z,"="&amp;H$4)</f>
        <v>0</v>
      </c>
      <c r="I12" s="67">
        <f>+SUMIFS(사진대지!$R:$R,사진대지!$Q:$Q,"="&amp;$B12,사진대지!$Z:$Z,"="&amp;I$4)</f>
        <v>0</v>
      </c>
      <c r="J12" s="67">
        <f>+SUMIFS(사진대지!$R:$R,사진대지!$Q:$Q,"="&amp;$B12,사진대지!$Z:$Z,"="&amp;J$4)</f>
        <v>0</v>
      </c>
      <c r="K12" s="67">
        <f>+SUMIFS(사진대지!$R:$R,사진대지!$Q:$Q,"="&amp;$B12,사진대지!$Z:$Z,"="&amp;K$4)</f>
        <v>0</v>
      </c>
      <c r="L12" s="67">
        <f>+SUMIFS(사진대지!$R:$R,사진대지!$Q:$Q,"="&amp;$B12,사진대지!$Z:$Z,"="&amp;L$4)</f>
        <v>0</v>
      </c>
      <c r="M12" s="67">
        <f>+SUMIFS(사진대지!$R:$R,사진대지!$Q:$Q,"="&amp;$B12,사진대지!$Z:$Z,"="&amp;M$4)</f>
        <v>0</v>
      </c>
      <c r="N12" s="67">
        <f>+SUMIFS(사진대지!$R:$R,사진대지!$Q:$Q,"="&amp;$B12,사진대지!$Z:$Z,"="&amp;N$4)</f>
        <v>0</v>
      </c>
      <c r="O12" s="67">
        <f>+SUMIFS(사진대지!$R:$R,사진대지!$Q:$Q,"="&amp;$B12,사진대지!$Z:$Z,"="&amp;O$4)</f>
        <v>0</v>
      </c>
      <c r="P12" s="67">
        <f>+SUMIFS(사진대지!$R:$R,사진대지!$Q:$Q,"="&amp;$B12,사진대지!$Z:$Z,"="&amp;P$4)</f>
        <v>0</v>
      </c>
      <c r="Q12" s="67">
        <f>+SUMIFS(사진대지!$R:$R,사진대지!$Q:$Q,"="&amp;$B12,사진대지!$Z:$Z,"="&amp;Q$4)</f>
        <v>0</v>
      </c>
      <c r="R12" s="67">
        <f>+SUMIFS(사진대지!$R:$R,사진대지!$Q:$Q,"="&amp;$B12,사진대지!$Z:$Z,"="&amp;R$4)</f>
        <v>0</v>
      </c>
      <c r="S12" s="67">
        <f>+SUMIFS(사진대지!$R:$R,사진대지!$Q:$Q,"="&amp;$B12,사진대지!$Z:$Z,"="&amp;S$4)</f>
        <v>0</v>
      </c>
      <c r="T12" s="67">
        <f>+SUMIFS(사진대지!$R:$R,사진대지!$Q:$Q,"="&amp;$B12,사진대지!$Z:$Z,"="&amp;T$4)</f>
        <v>0</v>
      </c>
      <c r="U12" s="67">
        <f>+SUMIFS(사진대지!$R:$R,사진대지!$Q:$Q,"="&amp;$B12,사진대지!$Z:$Z,"="&amp;U$4)</f>
        <v>0</v>
      </c>
      <c r="V12" s="70"/>
      <c r="W12" s="75" t="str">
        <f t="shared" si="0"/>
        <v>금속관입상차열80</v>
      </c>
      <c r="X12" s="89">
        <f t="shared" si="1"/>
        <v>0</v>
      </c>
      <c r="Y12" s="68"/>
      <c r="Z12" s="68"/>
      <c r="AA12" s="76" t="str">
        <f t="shared" si="2"/>
        <v>금속관입상차열80</v>
      </c>
      <c r="AB12" s="93">
        <f>누계!Q12+X12</f>
        <v>0</v>
      </c>
    </row>
    <row r="13" spans="1:28" ht="20.100000000000001" customHeight="1" x14ac:dyDescent="0.3">
      <c r="A13" s="3"/>
      <c r="B13" s="4" t="s">
        <v>157</v>
      </c>
      <c r="C13" s="66">
        <f>+SUMIFS(사진대지!$R:$R,사진대지!$Q:$Q,"="&amp;$B13,사진대지!$Z:$Z,"="&amp;C$4)</f>
        <v>0</v>
      </c>
      <c r="D13" s="66">
        <f>+SUMIFS(사진대지!$R:$R,사진대지!$Q:$Q,"="&amp;$B13,사진대지!$Z:$Z,"="&amp;D$4)</f>
        <v>0</v>
      </c>
      <c r="E13" s="67">
        <f>+SUMIFS(사진대지!$R:$R,사진대지!$Q:$Q,"="&amp;$B13,사진대지!$Z:$Z,"="&amp;E$4)</f>
        <v>0</v>
      </c>
      <c r="F13" s="67">
        <f>+SUMIFS(사진대지!$R:$R,사진대지!$Q:$Q,"="&amp;$B13,사진대지!$Z:$Z,"="&amp;F$4)</f>
        <v>0</v>
      </c>
      <c r="G13" s="67">
        <f>+SUMIFS(사진대지!$R:$R,사진대지!$Q:$Q,"="&amp;$B13,사진대지!$Z:$Z,"="&amp;G$4)</f>
        <v>0</v>
      </c>
      <c r="H13" s="67">
        <f>+SUMIFS(사진대지!$R:$R,사진대지!$Q:$Q,"="&amp;$B13,사진대지!$Z:$Z,"="&amp;H$4)</f>
        <v>0</v>
      </c>
      <c r="I13" s="67">
        <f>+SUMIFS(사진대지!$R:$R,사진대지!$Q:$Q,"="&amp;$B13,사진대지!$Z:$Z,"="&amp;I$4)</f>
        <v>0</v>
      </c>
      <c r="J13" s="67">
        <f>+SUMIFS(사진대지!$R:$R,사진대지!$Q:$Q,"="&amp;$B13,사진대지!$Z:$Z,"="&amp;J$4)</f>
        <v>0</v>
      </c>
      <c r="K13" s="67">
        <f>+SUMIFS(사진대지!$R:$R,사진대지!$Q:$Q,"="&amp;$B13,사진대지!$Z:$Z,"="&amp;K$4)</f>
        <v>0</v>
      </c>
      <c r="L13" s="67">
        <f>+SUMIFS(사진대지!$R:$R,사진대지!$Q:$Q,"="&amp;$B13,사진대지!$Z:$Z,"="&amp;L$4)</f>
        <v>0</v>
      </c>
      <c r="M13" s="67">
        <f>+SUMIFS(사진대지!$R:$R,사진대지!$Q:$Q,"="&amp;$B13,사진대지!$Z:$Z,"="&amp;M$4)</f>
        <v>0</v>
      </c>
      <c r="N13" s="67">
        <f>+SUMIFS(사진대지!$R:$R,사진대지!$Q:$Q,"="&amp;$B13,사진대지!$Z:$Z,"="&amp;N$4)</f>
        <v>0</v>
      </c>
      <c r="O13" s="67">
        <f>+SUMIFS(사진대지!$R:$R,사진대지!$Q:$Q,"="&amp;$B13,사진대지!$Z:$Z,"="&amp;O$4)</f>
        <v>0</v>
      </c>
      <c r="P13" s="67">
        <f>+SUMIFS(사진대지!$R:$R,사진대지!$Q:$Q,"="&amp;$B13,사진대지!$Z:$Z,"="&amp;P$4)</f>
        <v>0</v>
      </c>
      <c r="Q13" s="67">
        <f>+SUMIFS(사진대지!$R:$R,사진대지!$Q:$Q,"="&amp;$B13,사진대지!$Z:$Z,"="&amp;Q$4)</f>
        <v>0</v>
      </c>
      <c r="R13" s="67">
        <f>+SUMIFS(사진대지!$R:$R,사진대지!$Q:$Q,"="&amp;$B13,사진대지!$Z:$Z,"="&amp;R$4)</f>
        <v>0</v>
      </c>
      <c r="S13" s="67">
        <f>+SUMIFS(사진대지!$R:$R,사진대지!$Q:$Q,"="&amp;$B13,사진대지!$Z:$Z,"="&amp;S$4)</f>
        <v>0</v>
      </c>
      <c r="T13" s="67">
        <f>+SUMIFS(사진대지!$R:$R,사진대지!$Q:$Q,"="&amp;$B13,사진대지!$Z:$Z,"="&amp;T$4)</f>
        <v>0</v>
      </c>
      <c r="U13" s="67">
        <f>+SUMIFS(사진대지!$R:$R,사진대지!$Q:$Q,"="&amp;$B13,사진대지!$Z:$Z,"="&amp;U$4)</f>
        <v>0</v>
      </c>
      <c r="V13" s="70"/>
      <c r="W13" s="75" t="str">
        <f t="shared" si="0"/>
        <v>금속관입상차열100</v>
      </c>
      <c r="X13" s="89">
        <f t="shared" si="1"/>
        <v>0</v>
      </c>
      <c r="Y13" s="68"/>
      <c r="Z13" s="68"/>
      <c r="AA13" s="76" t="str">
        <f t="shared" si="2"/>
        <v>금속관입상차열100</v>
      </c>
      <c r="AB13" s="93">
        <f>누계!Q13+X13</f>
        <v>0</v>
      </c>
    </row>
    <row r="14" spans="1:28" ht="20.100000000000001" customHeight="1" x14ac:dyDescent="0.3">
      <c r="A14" s="3"/>
      <c r="B14" s="4" t="s">
        <v>158</v>
      </c>
      <c r="C14" s="66">
        <f>+SUMIFS(사진대지!$R:$R,사진대지!$Q:$Q,"="&amp;$B14,사진대지!$Z:$Z,"="&amp;C$4)</f>
        <v>0</v>
      </c>
      <c r="D14" s="66">
        <f>+SUMIFS(사진대지!$R:$R,사진대지!$Q:$Q,"="&amp;$B14,사진대지!$Z:$Z,"="&amp;D$4)</f>
        <v>0</v>
      </c>
      <c r="E14" s="67">
        <f>+SUMIFS(사진대지!$R:$R,사진대지!$Q:$Q,"="&amp;$B14,사진대지!$Z:$Z,"="&amp;E$4)</f>
        <v>0</v>
      </c>
      <c r="F14" s="67">
        <f>+SUMIFS(사진대지!$R:$R,사진대지!$Q:$Q,"="&amp;$B14,사진대지!$Z:$Z,"="&amp;F$4)</f>
        <v>0</v>
      </c>
      <c r="G14" s="67">
        <f>+SUMIFS(사진대지!$R:$R,사진대지!$Q:$Q,"="&amp;$B14,사진대지!$Z:$Z,"="&amp;G$4)</f>
        <v>0</v>
      </c>
      <c r="H14" s="67">
        <f>+SUMIFS(사진대지!$R:$R,사진대지!$Q:$Q,"="&amp;$B14,사진대지!$Z:$Z,"="&amp;H$4)</f>
        <v>0</v>
      </c>
      <c r="I14" s="67">
        <f>+SUMIFS(사진대지!$R:$R,사진대지!$Q:$Q,"="&amp;$B14,사진대지!$Z:$Z,"="&amp;I$4)</f>
        <v>0</v>
      </c>
      <c r="J14" s="67">
        <f>+SUMIFS(사진대지!$R:$R,사진대지!$Q:$Q,"="&amp;$B14,사진대지!$Z:$Z,"="&amp;J$4)</f>
        <v>0</v>
      </c>
      <c r="K14" s="67">
        <f>+SUMIFS(사진대지!$R:$R,사진대지!$Q:$Q,"="&amp;$B14,사진대지!$Z:$Z,"="&amp;K$4)</f>
        <v>0</v>
      </c>
      <c r="L14" s="67">
        <f>+SUMIFS(사진대지!$R:$R,사진대지!$Q:$Q,"="&amp;$B14,사진대지!$Z:$Z,"="&amp;L$4)</f>
        <v>0</v>
      </c>
      <c r="M14" s="67">
        <f>+SUMIFS(사진대지!$R:$R,사진대지!$Q:$Q,"="&amp;$B14,사진대지!$Z:$Z,"="&amp;M$4)</f>
        <v>0</v>
      </c>
      <c r="N14" s="67">
        <f>+SUMIFS(사진대지!$R:$R,사진대지!$Q:$Q,"="&amp;$B14,사진대지!$Z:$Z,"="&amp;N$4)</f>
        <v>0</v>
      </c>
      <c r="O14" s="67">
        <f>+SUMIFS(사진대지!$R:$R,사진대지!$Q:$Q,"="&amp;$B14,사진대지!$Z:$Z,"="&amp;O$4)</f>
        <v>0</v>
      </c>
      <c r="P14" s="67">
        <f>+SUMIFS(사진대지!$R:$R,사진대지!$Q:$Q,"="&amp;$B14,사진대지!$Z:$Z,"="&amp;P$4)</f>
        <v>0</v>
      </c>
      <c r="Q14" s="67">
        <f>+SUMIFS(사진대지!$R:$R,사진대지!$Q:$Q,"="&amp;$B14,사진대지!$Z:$Z,"="&amp;Q$4)</f>
        <v>0</v>
      </c>
      <c r="R14" s="67">
        <f>+SUMIFS(사진대지!$R:$R,사진대지!$Q:$Q,"="&amp;$B14,사진대지!$Z:$Z,"="&amp;R$4)</f>
        <v>0</v>
      </c>
      <c r="S14" s="67">
        <f>+SUMIFS(사진대지!$R:$R,사진대지!$Q:$Q,"="&amp;$B14,사진대지!$Z:$Z,"="&amp;S$4)</f>
        <v>0</v>
      </c>
      <c r="T14" s="67">
        <f>+SUMIFS(사진대지!$R:$R,사진대지!$Q:$Q,"="&amp;$B14,사진대지!$Z:$Z,"="&amp;T$4)</f>
        <v>0</v>
      </c>
      <c r="U14" s="67">
        <f>+SUMIFS(사진대지!$R:$R,사진대지!$Q:$Q,"="&amp;$B14,사진대지!$Z:$Z,"="&amp;U$4)</f>
        <v>0</v>
      </c>
      <c r="V14" s="70"/>
      <c r="W14" s="75" t="str">
        <f t="shared" si="0"/>
        <v>금속관입상차열125</v>
      </c>
      <c r="X14" s="89">
        <f t="shared" si="1"/>
        <v>0</v>
      </c>
      <c r="Y14" s="68"/>
      <c r="Z14" s="68"/>
      <c r="AA14" s="76" t="str">
        <f t="shared" si="2"/>
        <v>금속관입상차열125</v>
      </c>
      <c r="AB14" s="93">
        <f>누계!Q14+X14</f>
        <v>0</v>
      </c>
    </row>
    <row r="15" spans="1:28" ht="20.100000000000001" customHeight="1" x14ac:dyDescent="0.3">
      <c r="A15" s="3"/>
      <c r="B15" s="4" t="s">
        <v>159</v>
      </c>
      <c r="C15" s="66">
        <f>+SUMIFS(사진대지!$R:$R,사진대지!$Q:$Q,"="&amp;$B15,사진대지!$Z:$Z,"="&amp;C$4)</f>
        <v>0</v>
      </c>
      <c r="D15" s="66">
        <f>+SUMIFS(사진대지!$R:$R,사진대지!$Q:$Q,"="&amp;$B15,사진대지!$Z:$Z,"="&amp;D$4)</f>
        <v>0</v>
      </c>
      <c r="E15" s="67">
        <f>+SUMIFS(사진대지!$R:$R,사진대지!$Q:$Q,"="&amp;$B15,사진대지!$Z:$Z,"="&amp;E$4)</f>
        <v>0</v>
      </c>
      <c r="F15" s="67">
        <f>+SUMIFS(사진대지!$R:$R,사진대지!$Q:$Q,"="&amp;$B15,사진대지!$Z:$Z,"="&amp;F$4)</f>
        <v>0</v>
      </c>
      <c r="G15" s="67">
        <f>+SUMIFS(사진대지!$R:$R,사진대지!$Q:$Q,"="&amp;$B15,사진대지!$Z:$Z,"="&amp;G$4)</f>
        <v>0</v>
      </c>
      <c r="H15" s="67">
        <f>+SUMIFS(사진대지!$R:$R,사진대지!$Q:$Q,"="&amp;$B15,사진대지!$Z:$Z,"="&amp;H$4)</f>
        <v>0</v>
      </c>
      <c r="I15" s="67">
        <f>+SUMIFS(사진대지!$R:$R,사진대지!$Q:$Q,"="&amp;$B15,사진대지!$Z:$Z,"="&amp;I$4)</f>
        <v>0</v>
      </c>
      <c r="J15" s="67">
        <f>+SUMIFS(사진대지!$R:$R,사진대지!$Q:$Q,"="&amp;$B15,사진대지!$Z:$Z,"="&amp;J$4)</f>
        <v>0</v>
      </c>
      <c r="K15" s="67">
        <f>+SUMIFS(사진대지!$R:$R,사진대지!$Q:$Q,"="&amp;$B15,사진대지!$Z:$Z,"="&amp;K$4)</f>
        <v>0</v>
      </c>
      <c r="L15" s="67">
        <f>+SUMIFS(사진대지!$R:$R,사진대지!$Q:$Q,"="&amp;$B15,사진대지!$Z:$Z,"="&amp;L$4)</f>
        <v>0</v>
      </c>
      <c r="M15" s="67">
        <f>+SUMIFS(사진대지!$R:$R,사진대지!$Q:$Q,"="&amp;$B15,사진대지!$Z:$Z,"="&amp;M$4)</f>
        <v>0</v>
      </c>
      <c r="N15" s="67">
        <f>+SUMIFS(사진대지!$R:$R,사진대지!$Q:$Q,"="&amp;$B15,사진대지!$Z:$Z,"="&amp;N$4)</f>
        <v>0</v>
      </c>
      <c r="O15" s="67">
        <f>+SUMIFS(사진대지!$R:$R,사진대지!$Q:$Q,"="&amp;$B15,사진대지!$Z:$Z,"="&amp;O$4)</f>
        <v>0</v>
      </c>
      <c r="P15" s="67">
        <f>+SUMIFS(사진대지!$R:$R,사진대지!$Q:$Q,"="&amp;$B15,사진대지!$Z:$Z,"="&amp;P$4)</f>
        <v>0</v>
      </c>
      <c r="Q15" s="67">
        <f>+SUMIFS(사진대지!$R:$R,사진대지!$Q:$Q,"="&amp;$B15,사진대지!$Z:$Z,"="&amp;Q$4)</f>
        <v>0</v>
      </c>
      <c r="R15" s="67">
        <f>+SUMIFS(사진대지!$R:$R,사진대지!$Q:$Q,"="&amp;$B15,사진대지!$Z:$Z,"="&amp;R$4)</f>
        <v>0</v>
      </c>
      <c r="S15" s="67">
        <f>+SUMIFS(사진대지!$R:$R,사진대지!$Q:$Q,"="&amp;$B15,사진대지!$Z:$Z,"="&amp;S$4)</f>
        <v>0</v>
      </c>
      <c r="T15" s="67">
        <f>+SUMIFS(사진대지!$R:$R,사진대지!$Q:$Q,"="&amp;$B15,사진대지!$Z:$Z,"="&amp;T$4)</f>
        <v>0</v>
      </c>
      <c r="U15" s="67">
        <f>+SUMIFS(사진대지!$R:$R,사진대지!$Q:$Q,"="&amp;$B15,사진대지!$Z:$Z,"="&amp;U$4)</f>
        <v>0</v>
      </c>
      <c r="V15" s="70"/>
      <c r="W15" s="75" t="str">
        <f t="shared" ref="W15" si="3">B15</f>
        <v>금속관입상차열150</v>
      </c>
      <c r="X15" s="89">
        <f t="shared" ref="X15" si="4">+SUM(C15:U15)</f>
        <v>0</v>
      </c>
      <c r="Y15" s="68"/>
      <c r="Z15" s="68"/>
      <c r="AA15" s="76" t="str">
        <f t="shared" ref="AA15" si="5">W15</f>
        <v>금속관입상차열150</v>
      </c>
      <c r="AB15" s="93">
        <f>누계!Q15+X15</f>
        <v>0</v>
      </c>
    </row>
    <row r="16" spans="1:28" ht="20.100000000000001" customHeight="1" x14ac:dyDescent="0.3">
      <c r="A16" s="2"/>
      <c r="B16" s="24" t="s">
        <v>51</v>
      </c>
      <c r="C16" s="64">
        <f>+SUMIFS(사진대지!$R:$R,사진대지!$Q:$Q,"="&amp;$B16,사진대지!$Z:$Z,"="&amp;C$4)</f>
        <v>0</v>
      </c>
      <c r="D16" s="64">
        <f>+SUMIFS(사진대지!$R:$R,사진대지!$Q:$Q,"="&amp;$B16,사진대지!$Z:$Z,"="&amp;D$4)</f>
        <v>0</v>
      </c>
      <c r="E16" s="64">
        <f>+SUMIFS(사진대지!$R:$R,사진대지!$Q:$Q,"="&amp;$B16,사진대지!$Z:$Z,"="&amp;E$4)</f>
        <v>0</v>
      </c>
      <c r="F16" s="64">
        <f>+SUMIFS(사진대지!$R:$R,사진대지!$Q:$Q,"="&amp;$B16,사진대지!$Z:$Z,"="&amp;F$4)</f>
        <v>0</v>
      </c>
      <c r="G16" s="64">
        <f>+SUMIFS(사진대지!$R:$R,사진대지!$Q:$Q,"="&amp;$B16,사진대지!$Z:$Z,"="&amp;G$4)</f>
        <v>0</v>
      </c>
      <c r="H16" s="64">
        <f>+SUMIFS(사진대지!$R:$R,사진대지!$Q:$Q,"="&amp;$B16,사진대지!$Z:$Z,"="&amp;H$4)</f>
        <v>0</v>
      </c>
      <c r="I16" s="64">
        <f>+SUMIFS(사진대지!$R:$R,사진대지!$Q:$Q,"="&amp;$B16,사진대지!$Z:$Z,"="&amp;I$4)</f>
        <v>0</v>
      </c>
      <c r="J16" s="64">
        <f>+SUMIFS(사진대지!$R:$R,사진대지!$Q:$Q,"="&amp;$B16,사진대지!$Z:$Z,"="&amp;J$4)</f>
        <v>0</v>
      </c>
      <c r="K16" s="64">
        <f>+SUMIFS(사진대지!$R:$R,사진대지!$Q:$Q,"="&amp;$B16,사진대지!$Z:$Z,"="&amp;K$4)</f>
        <v>0</v>
      </c>
      <c r="L16" s="64">
        <f>+SUMIFS(사진대지!$R:$R,사진대지!$Q:$Q,"="&amp;$B16,사진대지!$Z:$Z,"="&amp;L$4)</f>
        <v>0</v>
      </c>
      <c r="M16" s="64">
        <f>+SUMIFS(사진대지!$R:$R,사진대지!$Q:$Q,"="&amp;$B16,사진대지!$Z:$Z,"="&amp;M$4)</f>
        <v>0</v>
      </c>
      <c r="N16" s="64">
        <f>+SUMIFS(사진대지!$R:$R,사진대지!$Q:$Q,"="&amp;$B16,사진대지!$Z:$Z,"="&amp;N$4)</f>
        <v>0</v>
      </c>
      <c r="O16" s="64">
        <f>+SUMIFS(사진대지!$R:$R,사진대지!$Q:$Q,"="&amp;$B16,사진대지!$Z:$Z,"="&amp;O$4)</f>
        <v>0</v>
      </c>
      <c r="P16" s="64">
        <f>+SUMIFS(사진대지!$R:$R,사진대지!$Q:$Q,"="&amp;$B16,사진대지!$Z:$Z,"="&amp;P$4)</f>
        <v>0</v>
      </c>
      <c r="Q16" s="64">
        <f>+SUMIFS(사진대지!$R:$R,사진대지!$Q:$Q,"="&amp;$B16,사진대지!$Z:$Z,"="&amp;Q$4)</f>
        <v>0</v>
      </c>
      <c r="R16" s="64">
        <f>+SUMIFS(사진대지!$R:$R,사진대지!$Q:$Q,"="&amp;$B16,사진대지!$Z:$Z,"="&amp;R$4)</f>
        <v>0</v>
      </c>
      <c r="S16" s="64">
        <f>+SUMIFS(사진대지!$R:$R,사진대지!$Q:$Q,"="&amp;$B16,사진대지!$Z:$Z,"="&amp;S$4)</f>
        <v>0</v>
      </c>
      <c r="T16" s="64">
        <f>+SUMIFS(사진대지!$R:$R,사진대지!$Q:$Q,"="&amp;$B16,사진대지!$Z:$Z,"="&amp;T$4)</f>
        <v>0</v>
      </c>
      <c r="U16" s="64">
        <f>+SUMIFS(사진대지!$R:$R,사진대지!$Q:$Q,"="&amp;$B16,사진대지!$Z:$Z,"="&amp;U$4)</f>
        <v>0</v>
      </c>
      <c r="V16" s="70"/>
      <c r="W16" s="71" t="str">
        <f t="shared" ref="W16:W25" si="6">B16</f>
        <v>금속관입상15</v>
      </c>
      <c r="X16" s="87">
        <f t="shared" ref="X16:X25" si="7">+SUM(C16:U16)</f>
        <v>0</v>
      </c>
      <c r="Y16" s="68"/>
      <c r="Z16" s="68"/>
      <c r="AA16" s="72" t="str">
        <f>W16</f>
        <v>금속관입상15</v>
      </c>
      <c r="AB16" s="91">
        <f>누계!Q16+X16</f>
        <v>0</v>
      </c>
    </row>
    <row r="17" spans="1:28" ht="20.100000000000001" customHeight="1" x14ac:dyDescent="0.3">
      <c r="A17" s="2"/>
      <c r="B17" s="21" t="s">
        <v>1</v>
      </c>
      <c r="C17" s="64">
        <f>+SUMIFS(사진대지!$R:$R,사진대지!$Q:$Q,"="&amp;$B17,사진대지!$Z:$Z,"="&amp;C$4)</f>
        <v>0</v>
      </c>
      <c r="D17" s="64">
        <f>+SUMIFS(사진대지!$R:$R,사진대지!$Q:$Q,"="&amp;$B17,사진대지!$Z:$Z,"="&amp;D$4)</f>
        <v>0</v>
      </c>
      <c r="E17" s="64">
        <f>+SUMIFS(사진대지!$R:$R,사진대지!$Q:$Q,"="&amp;$B17,사진대지!$Z:$Z,"="&amp;E$4)</f>
        <v>0</v>
      </c>
      <c r="F17" s="64">
        <f>+SUMIFS(사진대지!$R:$R,사진대지!$Q:$Q,"="&amp;$B17,사진대지!$Z:$Z,"="&amp;F$4)</f>
        <v>0</v>
      </c>
      <c r="G17" s="64">
        <f>+SUMIFS(사진대지!$R:$R,사진대지!$Q:$Q,"="&amp;$B17,사진대지!$Z:$Z,"="&amp;G$4)</f>
        <v>0</v>
      </c>
      <c r="H17" s="64">
        <f>+SUMIFS(사진대지!$R:$R,사진대지!$Q:$Q,"="&amp;$B17,사진대지!$Z:$Z,"="&amp;H$4)</f>
        <v>0</v>
      </c>
      <c r="I17" s="64">
        <f>+SUMIFS(사진대지!$R:$R,사진대지!$Q:$Q,"="&amp;$B17,사진대지!$Z:$Z,"="&amp;I$4)</f>
        <v>0</v>
      </c>
      <c r="J17" s="64">
        <f>+SUMIFS(사진대지!$R:$R,사진대지!$Q:$Q,"="&amp;$B17,사진대지!$Z:$Z,"="&amp;J$4)</f>
        <v>0</v>
      </c>
      <c r="K17" s="64">
        <f>+SUMIFS(사진대지!$R:$R,사진대지!$Q:$Q,"="&amp;$B17,사진대지!$Z:$Z,"="&amp;K$4)</f>
        <v>0</v>
      </c>
      <c r="L17" s="64">
        <f>+SUMIFS(사진대지!$R:$R,사진대지!$Q:$Q,"="&amp;$B17,사진대지!$Z:$Z,"="&amp;L$4)</f>
        <v>0</v>
      </c>
      <c r="M17" s="64">
        <f>+SUMIFS(사진대지!$R:$R,사진대지!$Q:$Q,"="&amp;$B17,사진대지!$Z:$Z,"="&amp;M$4)</f>
        <v>0</v>
      </c>
      <c r="N17" s="64">
        <f>+SUMIFS(사진대지!$R:$R,사진대지!$Q:$Q,"="&amp;$B17,사진대지!$Z:$Z,"="&amp;N$4)</f>
        <v>0</v>
      </c>
      <c r="O17" s="64">
        <f>+SUMIFS(사진대지!$R:$R,사진대지!$Q:$Q,"="&amp;$B17,사진대지!$Z:$Z,"="&amp;O$4)</f>
        <v>0</v>
      </c>
      <c r="P17" s="64">
        <f>+SUMIFS(사진대지!$R:$R,사진대지!$Q:$Q,"="&amp;$B17,사진대지!$Z:$Z,"="&amp;P$4)</f>
        <v>0</v>
      </c>
      <c r="Q17" s="64">
        <f>+SUMIFS(사진대지!$R:$R,사진대지!$Q:$Q,"="&amp;$B17,사진대지!$Z:$Z,"="&amp;Q$4)</f>
        <v>0</v>
      </c>
      <c r="R17" s="64">
        <f>+SUMIFS(사진대지!$R:$R,사진대지!$Q:$Q,"="&amp;$B17,사진대지!$Z:$Z,"="&amp;R$4)</f>
        <v>0</v>
      </c>
      <c r="S17" s="64">
        <f>+SUMIFS(사진대지!$R:$R,사진대지!$Q:$Q,"="&amp;$B17,사진대지!$Z:$Z,"="&amp;S$4)</f>
        <v>0</v>
      </c>
      <c r="T17" s="64">
        <f>+SUMIFS(사진대지!$R:$R,사진대지!$Q:$Q,"="&amp;$B17,사진대지!$Z:$Z,"="&amp;T$4)</f>
        <v>0</v>
      </c>
      <c r="U17" s="64">
        <f>+SUMIFS(사진대지!$R:$R,사진대지!$Q:$Q,"="&amp;$B17,사진대지!$Z:$Z,"="&amp;U$4)</f>
        <v>0</v>
      </c>
      <c r="V17" s="70"/>
      <c r="W17" s="73" t="str">
        <f t="shared" si="6"/>
        <v>금속관입상20</v>
      </c>
      <c r="X17" s="88">
        <f t="shared" si="7"/>
        <v>0</v>
      </c>
      <c r="Y17" s="68"/>
      <c r="Z17" s="68"/>
      <c r="AA17" s="74" t="str">
        <f t="shared" ref="AA17:AA25" si="8">W17</f>
        <v>금속관입상20</v>
      </c>
      <c r="AB17" s="92">
        <f>누계!Q17+X17</f>
        <v>0</v>
      </c>
    </row>
    <row r="18" spans="1:28" ht="20.100000000000001" customHeight="1" x14ac:dyDescent="0.3">
      <c r="A18" s="3"/>
      <c r="B18" s="21" t="s">
        <v>2</v>
      </c>
      <c r="C18" s="64">
        <f>+SUMIFS(사진대지!$R:$R,사진대지!$Q:$Q,"="&amp;$B18,사진대지!$Z:$Z,"="&amp;C$4)</f>
        <v>0</v>
      </c>
      <c r="D18" s="64">
        <f>+SUMIFS(사진대지!$R:$R,사진대지!$Q:$Q,"="&amp;$B18,사진대지!$Z:$Z,"="&amp;D$4)</f>
        <v>0</v>
      </c>
      <c r="E18" s="65">
        <f>+SUMIFS(사진대지!$R:$R,사진대지!$Q:$Q,"="&amp;$B18,사진대지!$Z:$Z,"="&amp;E$4)</f>
        <v>0</v>
      </c>
      <c r="F18" s="65">
        <f>+SUMIFS(사진대지!$R:$R,사진대지!$Q:$Q,"="&amp;$B18,사진대지!$Z:$Z,"="&amp;F$4)</f>
        <v>0</v>
      </c>
      <c r="G18" s="65">
        <f>+SUMIFS(사진대지!$R:$R,사진대지!$Q:$Q,"="&amp;$B18,사진대지!$Z:$Z,"="&amp;G$4)</f>
        <v>0</v>
      </c>
      <c r="H18" s="65">
        <f>+SUMIFS(사진대지!$R:$R,사진대지!$Q:$Q,"="&amp;$B18,사진대지!$Z:$Z,"="&amp;H$4)</f>
        <v>0</v>
      </c>
      <c r="I18" s="65">
        <f>+SUMIFS(사진대지!$R:$R,사진대지!$Q:$Q,"="&amp;$B18,사진대지!$Z:$Z,"="&amp;I$4)</f>
        <v>0</v>
      </c>
      <c r="J18" s="65">
        <f>+SUMIFS(사진대지!$R:$R,사진대지!$Q:$Q,"="&amp;$B18,사진대지!$Z:$Z,"="&amp;J$4)</f>
        <v>0</v>
      </c>
      <c r="K18" s="65">
        <f>+SUMIFS(사진대지!$R:$R,사진대지!$Q:$Q,"="&amp;$B18,사진대지!$Z:$Z,"="&amp;K$4)</f>
        <v>0</v>
      </c>
      <c r="L18" s="65">
        <f>+SUMIFS(사진대지!$R:$R,사진대지!$Q:$Q,"="&amp;$B18,사진대지!$Z:$Z,"="&amp;L$4)</f>
        <v>0</v>
      </c>
      <c r="M18" s="65">
        <f>+SUMIFS(사진대지!$R:$R,사진대지!$Q:$Q,"="&amp;$B18,사진대지!$Z:$Z,"="&amp;M$4)</f>
        <v>0</v>
      </c>
      <c r="N18" s="65">
        <f>+SUMIFS(사진대지!$R:$R,사진대지!$Q:$Q,"="&amp;$B18,사진대지!$Z:$Z,"="&amp;N$4)</f>
        <v>0</v>
      </c>
      <c r="O18" s="65">
        <f>+SUMIFS(사진대지!$R:$R,사진대지!$Q:$Q,"="&amp;$B18,사진대지!$Z:$Z,"="&amp;O$4)</f>
        <v>0</v>
      </c>
      <c r="P18" s="65">
        <f>+SUMIFS(사진대지!$R:$R,사진대지!$Q:$Q,"="&amp;$B18,사진대지!$Z:$Z,"="&amp;P$4)</f>
        <v>0</v>
      </c>
      <c r="Q18" s="65">
        <f>+SUMIFS(사진대지!$R:$R,사진대지!$Q:$Q,"="&amp;$B18,사진대지!$Z:$Z,"="&amp;Q$4)</f>
        <v>0</v>
      </c>
      <c r="R18" s="65">
        <f>+SUMIFS(사진대지!$R:$R,사진대지!$Q:$Q,"="&amp;$B18,사진대지!$Z:$Z,"="&amp;R$4)</f>
        <v>0</v>
      </c>
      <c r="S18" s="65">
        <f>+SUMIFS(사진대지!$R:$R,사진대지!$Q:$Q,"="&amp;$B18,사진대지!$Z:$Z,"="&amp;S$4)</f>
        <v>0</v>
      </c>
      <c r="T18" s="65">
        <f>+SUMIFS(사진대지!$R:$R,사진대지!$Q:$Q,"="&amp;$B18,사진대지!$Z:$Z,"="&amp;T$4)</f>
        <v>0</v>
      </c>
      <c r="U18" s="65">
        <f>+SUMIFS(사진대지!$R:$R,사진대지!$Q:$Q,"="&amp;$B18,사진대지!$Z:$Z,"="&amp;U$4)</f>
        <v>0</v>
      </c>
      <c r="V18" s="70"/>
      <c r="W18" s="73" t="str">
        <f t="shared" si="6"/>
        <v>금속관입상25</v>
      </c>
      <c r="X18" s="88">
        <f t="shared" si="7"/>
        <v>0</v>
      </c>
      <c r="Y18" s="68"/>
      <c r="Z18" s="68"/>
      <c r="AA18" s="74" t="str">
        <f t="shared" si="8"/>
        <v>금속관입상25</v>
      </c>
      <c r="AB18" s="92">
        <f>누계!Q18+X18</f>
        <v>0</v>
      </c>
    </row>
    <row r="19" spans="1:28" ht="20.100000000000001" customHeight="1" x14ac:dyDescent="0.3">
      <c r="A19" s="3"/>
      <c r="B19" s="21" t="s">
        <v>3</v>
      </c>
      <c r="C19" s="64">
        <f>+SUMIFS(사진대지!$R:$R,사진대지!$Q:$Q,"="&amp;$B19,사진대지!$Z:$Z,"="&amp;C$4)</f>
        <v>0</v>
      </c>
      <c r="D19" s="64">
        <f>+SUMIFS(사진대지!$R:$R,사진대지!$Q:$Q,"="&amp;$B19,사진대지!$Z:$Z,"="&amp;D$4)</f>
        <v>0</v>
      </c>
      <c r="E19" s="65">
        <f>+SUMIFS(사진대지!$R:$R,사진대지!$Q:$Q,"="&amp;$B19,사진대지!$Z:$Z,"="&amp;E$4)</f>
        <v>0</v>
      </c>
      <c r="F19" s="65">
        <f>+SUMIFS(사진대지!$R:$R,사진대지!$Q:$Q,"="&amp;$B19,사진대지!$Z:$Z,"="&amp;F$4)</f>
        <v>0</v>
      </c>
      <c r="G19" s="65">
        <f>+SUMIFS(사진대지!$R:$R,사진대지!$Q:$Q,"="&amp;$B19,사진대지!$Z:$Z,"="&amp;G$4)</f>
        <v>0</v>
      </c>
      <c r="H19" s="65">
        <f>+SUMIFS(사진대지!$R:$R,사진대지!$Q:$Q,"="&amp;$B19,사진대지!$Z:$Z,"="&amp;H$4)</f>
        <v>0</v>
      </c>
      <c r="I19" s="65">
        <f>+SUMIFS(사진대지!$R:$R,사진대지!$Q:$Q,"="&amp;$B19,사진대지!$Z:$Z,"="&amp;I$4)</f>
        <v>0</v>
      </c>
      <c r="J19" s="65">
        <f>+SUMIFS(사진대지!$R:$R,사진대지!$Q:$Q,"="&amp;$B19,사진대지!$Z:$Z,"="&amp;J$4)</f>
        <v>0</v>
      </c>
      <c r="K19" s="65">
        <f>+SUMIFS(사진대지!$R:$R,사진대지!$Q:$Q,"="&amp;$B19,사진대지!$Z:$Z,"="&amp;K$4)</f>
        <v>0</v>
      </c>
      <c r="L19" s="65">
        <f>+SUMIFS(사진대지!$R:$R,사진대지!$Q:$Q,"="&amp;$B19,사진대지!$Z:$Z,"="&amp;L$4)</f>
        <v>0</v>
      </c>
      <c r="M19" s="65">
        <f>+SUMIFS(사진대지!$R:$R,사진대지!$Q:$Q,"="&amp;$B19,사진대지!$Z:$Z,"="&amp;M$4)</f>
        <v>0</v>
      </c>
      <c r="N19" s="65">
        <f>+SUMIFS(사진대지!$R:$R,사진대지!$Q:$Q,"="&amp;$B19,사진대지!$Z:$Z,"="&amp;N$4)</f>
        <v>2</v>
      </c>
      <c r="O19" s="65">
        <f>+SUMIFS(사진대지!$R:$R,사진대지!$Q:$Q,"="&amp;$B19,사진대지!$Z:$Z,"="&amp;O$4)</f>
        <v>0</v>
      </c>
      <c r="P19" s="65">
        <f>+SUMIFS(사진대지!$R:$R,사진대지!$Q:$Q,"="&amp;$B19,사진대지!$Z:$Z,"="&amp;P$4)</f>
        <v>0</v>
      </c>
      <c r="Q19" s="65">
        <f>+SUMIFS(사진대지!$R:$R,사진대지!$Q:$Q,"="&amp;$B19,사진대지!$Z:$Z,"="&amp;Q$4)</f>
        <v>0</v>
      </c>
      <c r="R19" s="65">
        <f>+SUMIFS(사진대지!$R:$R,사진대지!$Q:$Q,"="&amp;$B19,사진대지!$Z:$Z,"="&amp;R$4)</f>
        <v>0</v>
      </c>
      <c r="S19" s="65">
        <f>+SUMIFS(사진대지!$R:$R,사진대지!$Q:$Q,"="&amp;$B19,사진대지!$Z:$Z,"="&amp;S$4)</f>
        <v>0</v>
      </c>
      <c r="T19" s="65">
        <f>+SUMIFS(사진대지!$R:$R,사진대지!$Q:$Q,"="&amp;$B19,사진대지!$Z:$Z,"="&amp;T$4)</f>
        <v>0</v>
      </c>
      <c r="U19" s="65">
        <f>+SUMIFS(사진대지!$R:$R,사진대지!$Q:$Q,"="&amp;$B19,사진대지!$Z:$Z,"="&amp;U$4)</f>
        <v>0</v>
      </c>
      <c r="V19" s="70"/>
      <c r="W19" s="73" t="str">
        <f t="shared" si="6"/>
        <v>금속관입상32</v>
      </c>
      <c r="X19" s="88">
        <f t="shared" si="7"/>
        <v>2</v>
      </c>
      <c r="Y19" s="68"/>
      <c r="Z19" s="68"/>
      <c r="AA19" s="74" t="str">
        <f t="shared" si="8"/>
        <v>금속관입상32</v>
      </c>
      <c r="AB19" s="92">
        <f>누계!Q19+X19</f>
        <v>2</v>
      </c>
    </row>
    <row r="20" spans="1:28" ht="20.100000000000001" customHeight="1" x14ac:dyDescent="0.3">
      <c r="A20" s="3"/>
      <c r="B20" s="21" t="s">
        <v>4</v>
      </c>
      <c r="C20" s="64">
        <f>+SUMIFS(사진대지!$R:$R,사진대지!$Q:$Q,"="&amp;$B20,사진대지!$Z:$Z,"="&amp;C$4)</f>
        <v>0</v>
      </c>
      <c r="D20" s="64">
        <f>+SUMIFS(사진대지!$R:$R,사진대지!$Q:$Q,"="&amp;$B20,사진대지!$Z:$Z,"="&amp;D$4)</f>
        <v>0</v>
      </c>
      <c r="E20" s="65">
        <f>+SUMIFS(사진대지!$R:$R,사진대지!$Q:$Q,"="&amp;$B20,사진대지!$Z:$Z,"="&amp;E$4)</f>
        <v>0</v>
      </c>
      <c r="F20" s="65">
        <f>+SUMIFS(사진대지!$R:$R,사진대지!$Q:$Q,"="&amp;$B20,사진대지!$Z:$Z,"="&amp;F$4)</f>
        <v>0</v>
      </c>
      <c r="G20" s="65">
        <f>+SUMIFS(사진대지!$R:$R,사진대지!$Q:$Q,"="&amp;$B20,사진대지!$Z:$Z,"="&amp;G$4)</f>
        <v>0</v>
      </c>
      <c r="H20" s="65">
        <f>+SUMIFS(사진대지!$R:$R,사진대지!$Q:$Q,"="&amp;$B20,사진대지!$Z:$Z,"="&amp;H$4)</f>
        <v>0</v>
      </c>
      <c r="I20" s="65">
        <f>+SUMIFS(사진대지!$R:$R,사진대지!$Q:$Q,"="&amp;$B20,사진대지!$Z:$Z,"="&amp;I$4)</f>
        <v>0</v>
      </c>
      <c r="J20" s="65">
        <f>+SUMIFS(사진대지!$R:$R,사진대지!$Q:$Q,"="&amp;$B20,사진대지!$Z:$Z,"="&amp;J$4)</f>
        <v>0</v>
      </c>
      <c r="K20" s="65">
        <f>+SUMIFS(사진대지!$R:$R,사진대지!$Q:$Q,"="&amp;$B20,사진대지!$Z:$Z,"="&amp;K$4)</f>
        <v>0</v>
      </c>
      <c r="L20" s="65">
        <f>+SUMIFS(사진대지!$R:$R,사진대지!$Q:$Q,"="&amp;$B20,사진대지!$Z:$Z,"="&amp;L$4)</f>
        <v>0</v>
      </c>
      <c r="M20" s="65">
        <f>+SUMIFS(사진대지!$R:$R,사진대지!$Q:$Q,"="&amp;$B20,사진대지!$Z:$Z,"="&amp;M$4)</f>
        <v>0</v>
      </c>
      <c r="N20" s="65">
        <f>+SUMIFS(사진대지!$R:$R,사진대지!$Q:$Q,"="&amp;$B20,사진대지!$Z:$Z,"="&amp;N$4)</f>
        <v>0</v>
      </c>
      <c r="O20" s="65">
        <f>+SUMIFS(사진대지!$R:$R,사진대지!$Q:$Q,"="&amp;$B20,사진대지!$Z:$Z,"="&amp;O$4)</f>
        <v>0</v>
      </c>
      <c r="P20" s="65">
        <f>+SUMIFS(사진대지!$R:$R,사진대지!$Q:$Q,"="&amp;$B20,사진대지!$Z:$Z,"="&amp;P$4)</f>
        <v>0</v>
      </c>
      <c r="Q20" s="65">
        <f>+SUMIFS(사진대지!$R:$R,사진대지!$Q:$Q,"="&amp;$B20,사진대지!$Z:$Z,"="&amp;Q$4)</f>
        <v>0</v>
      </c>
      <c r="R20" s="65">
        <f>+SUMIFS(사진대지!$R:$R,사진대지!$Q:$Q,"="&amp;$B20,사진대지!$Z:$Z,"="&amp;R$4)</f>
        <v>0</v>
      </c>
      <c r="S20" s="65">
        <f>+SUMIFS(사진대지!$R:$R,사진대지!$Q:$Q,"="&amp;$B20,사진대지!$Z:$Z,"="&amp;S$4)</f>
        <v>0</v>
      </c>
      <c r="T20" s="65">
        <f>+SUMIFS(사진대지!$R:$R,사진대지!$Q:$Q,"="&amp;$B20,사진대지!$Z:$Z,"="&amp;T$4)</f>
        <v>0</v>
      </c>
      <c r="U20" s="65">
        <f>+SUMIFS(사진대지!$R:$R,사진대지!$Q:$Q,"="&amp;$B20,사진대지!$Z:$Z,"="&amp;U$4)</f>
        <v>0</v>
      </c>
      <c r="V20" s="70"/>
      <c r="W20" s="73" t="str">
        <f t="shared" si="6"/>
        <v>금속관입상40</v>
      </c>
      <c r="X20" s="88">
        <f t="shared" si="7"/>
        <v>0</v>
      </c>
      <c r="Y20" s="68"/>
      <c r="Z20" s="68"/>
      <c r="AA20" s="74" t="str">
        <f t="shared" si="8"/>
        <v>금속관입상40</v>
      </c>
      <c r="AB20" s="92">
        <f>누계!Q20+X20</f>
        <v>0</v>
      </c>
    </row>
    <row r="21" spans="1:28" ht="20.100000000000001" customHeight="1" x14ac:dyDescent="0.3">
      <c r="A21" s="3"/>
      <c r="B21" s="21" t="s">
        <v>5</v>
      </c>
      <c r="C21" s="64">
        <f>+SUMIFS(사진대지!$R:$R,사진대지!$Q:$Q,"="&amp;$B21,사진대지!$Z:$Z,"="&amp;C$4)</f>
        <v>0</v>
      </c>
      <c r="D21" s="64">
        <f>+SUMIFS(사진대지!$R:$R,사진대지!$Q:$Q,"="&amp;$B21,사진대지!$Z:$Z,"="&amp;D$4)</f>
        <v>0</v>
      </c>
      <c r="E21" s="65">
        <f>+SUMIFS(사진대지!$R:$R,사진대지!$Q:$Q,"="&amp;$B21,사진대지!$Z:$Z,"="&amp;E$4)</f>
        <v>0</v>
      </c>
      <c r="F21" s="65">
        <f>+SUMIFS(사진대지!$R:$R,사진대지!$Q:$Q,"="&amp;$B21,사진대지!$Z:$Z,"="&amp;F$4)</f>
        <v>0</v>
      </c>
      <c r="G21" s="65">
        <f>+SUMIFS(사진대지!$R:$R,사진대지!$Q:$Q,"="&amp;$B21,사진대지!$Z:$Z,"="&amp;G$4)</f>
        <v>0</v>
      </c>
      <c r="H21" s="65">
        <f>+SUMIFS(사진대지!$R:$R,사진대지!$Q:$Q,"="&amp;$B21,사진대지!$Z:$Z,"="&amp;H$4)</f>
        <v>0</v>
      </c>
      <c r="I21" s="65">
        <f>+SUMIFS(사진대지!$R:$R,사진대지!$Q:$Q,"="&amp;$B21,사진대지!$Z:$Z,"="&amp;I$4)</f>
        <v>0</v>
      </c>
      <c r="J21" s="65">
        <f>+SUMIFS(사진대지!$R:$R,사진대지!$Q:$Q,"="&amp;$B21,사진대지!$Z:$Z,"="&amp;J$4)</f>
        <v>0</v>
      </c>
      <c r="K21" s="65">
        <f>+SUMIFS(사진대지!$R:$R,사진대지!$Q:$Q,"="&amp;$B21,사진대지!$Z:$Z,"="&amp;K$4)</f>
        <v>0</v>
      </c>
      <c r="L21" s="65">
        <f>+SUMIFS(사진대지!$R:$R,사진대지!$Q:$Q,"="&amp;$B21,사진대지!$Z:$Z,"="&amp;L$4)</f>
        <v>0</v>
      </c>
      <c r="M21" s="65">
        <f>+SUMIFS(사진대지!$R:$R,사진대지!$Q:$Q,"="&amp;$B21,사진대지!$Z:$Z,"="&amp;M$4)</f>
        <v>1</v>
      </c>
      <c r="N21" s="65">
        <f>+SUMIFS(사진대지!$R:$R,사진대지!$Q:$Q,"="&amp;$B21,사진대지!$Z:$Z,"="&amp;N$4)</f>
        <v>0</v>
      </c>
      <c r="O21" s="65">
        <f>+SUMIFS(사진대지!$R:$R,사진대지!$Q:$Q,"="&amp;$B21,사진대지!$Z:$Z,"="&amp;O$4)</f>
        <v>0</v>
      </c>
      <c r="P21" s="65">
        <f>+SUMIFS(사진대지!$R:$R,사진대지!$Q:$Q,"="&amp;$B21,사진대지!$Z:$Z,"="&amp;P$4)</f>
        <v>0</v>
      </c>
      <c r="Q21" s="65">
        <f>+SUMIFS(사진대지!$R:$R,사진대지!$Q:$Q,"="&amp;$B21,사진대지!$Z:$Z,"="&amp;Q$4)</f>
        <v>0</v>
      </c>
      <c r="R21" s="65">
        <f>+SUMIFS(사진대지!$R:$R,사진대지!$Q:$Q,"="&amp;$B21,사진대지!$Z:$Z,"="&amp;R$4)</f>
        <v>2</v>
      </c>
      <c r="S21" s="65">
        <f>+SUMIFS(사진대지!$R:$R,사진대지!$Q:$Q,"="&amp;$B21,사진대지!$Z:$Z,"="&amp;S$4)</f>
        <v>0</v>
      </c>
      <c r="T21" s="65">
        <f>+SUMIFS(사진대지!$R:$R,사진대지!$Q:$Q,"="&amp;$B21,사진대지!$Z:$Z,"="&amp;T$4)</f>
        <v>0</v>
      </c>
      <c r="U21" s="65">
        <f>+SUMIFS(사진대지!$R:$R,사진대지!$Q:$Q,"="&amp;$B21,사진대지!$Z:$Z,"="&amp;U$4)</f>
        <v>0</v>
      </c>
      <c r="V21" s="70"/>
      <c r="W21" s="73" t="str">
        <f t="shared" si="6"/>
        <v>금속관입상50</v>
      </c>
      <c r="X21" s="88">
        <f t="shared" si="7"/>
        <v>3</v>
      </c>
      <c r="Y21" s="68"/>
      <c r="Z21" s="68"/>
      <c r="AA21" s="74" t="str">
        <f t="shared" si="8"/>
        <v>금속관입상50</v>
      </c>
      <c r="AB21" s="92">
        <f>누계!Q21+X21</f>
        <v>3</v>
      </c>
    </row>
    <row r="22" spans="1:28" ht="20.100000000000001" customHeight="1" x14ac:dyDescent="0.3">
      <c r="A22" s="3"/>
      <c r="B22" s="21" t="s">
        <v>6</v>
      </c>
      <c r="C22" s="64">
        <f>+SUMIFS(사진대지!$R:$R,사진대지!$Q:$Q,"="&amp;$B22,사진대지!$Z:$Z,"="&amp;C$4)</f>
        <v>0</v>
      </c>
      <c r="D22" s="64">
        <f>+SUMIFS(사진대지!$R:$R,사진대지!$Q:$Q,"="&amp;$B22,사진대지!$Z:$Z,"="&amp;D$4)</f>
        <v>0</v>
      </c>
      <c r="E22" s="65">
        <f>+SUMIFS(사진대지!$R:$R,사진대지!$Q:$Q,"="&amp;$B22,사진대지!$Z:$Z,"="&amp;E$4)</f>
        <v>0</v>
      </c>
      <c r="F22" s="65">
        <f>+SUMIFS(사진대지!$R:$R,사진대지!$Q:$Q,"="&amp;$B22,사진대지!$Z:$Z,"="&amp;F$4)</f>
        <v>0</v>
      </c>
      <c r="G22" s="65">
        <f>+SUMIFS(사진대지!$R:$R,사진대지!$Q:$Q,"="&amp;$B22,사진대지!$Z:$Z,"="&amp;G$4)</f>
        <v>0</v>
      </c>
      <c r="H22" s="65">
        <f>+SUMIFS(사진대지!$R:$R,사진대지!$Q:$Q,"="&amp;$B22,사진대지!$Z:$Z,"="&amp;H$4)</f>
        <v>0</v>
      </c>
      <c r="I22" s="65">
        <f>+SUMIFS(사진대지!$R:$R,사진대지!$Q:$Q,"="&amp;$B22,사진대지!$Z:$Z,"="&amp;I$4)</f>
        <v>0</v>
      </c>
      <c r="J22" s="65">
        <f>+SUMIFS(사진대지!$R:$R,사진대지!$Q:$Q,"="&amp;$B22,사진대지!$Z:$Z,"="&amp;J$4)</f>
        <v>0</v>
      </c>
      <c r="K22" s="65">
        <f>+SUMIFS(사진대지!$R:$R,사진대지!$Q:$Q,"="&amp;$B22,사진대지!$Z:$Z,"="&amp;K$4)</f>
        <v>0</v>
      </c>
      <c r="L22" s="65">
        <f>+SUMIFS(사진대지!$R:$R,사진대지!$Q:$Q,"="&amp;$B22,사진대지!$Z:$Z,"="&amp;L$4)</f>
        <v>0</v>
      </c>
      <c r="M22" s="65">
        <f>+SUMIFS(사진대지!$R:$R,사진대지!$Q:$Q,"="&amp;$B22,사진대지!$Z:$Z,"="&amp;M$4)</f>
        <v>0</v>
      </c>
      <c r="N22" s="65">
        <f>+SUMIFS(사진대지!$R:$R,사진대지!$Q:$Q,"="&amp;$B22,사진대지!$Z:$Z,"="&amp;N$4)</f>
        <v>2</v>
      </c>
      <c r="O22" s="65">
        <f>+SUMIFS(사진대지!$R:$R,사진대지!$Q:$Q,"="&amp;$B22,사진대지!$Z:$Z,"="&amp;O$4)</f>
        <v>0</v>
      </c>
      <c r="P22" s="65">
        <f>+SUMIFS(사진대지!$R:$R,사진대지!$Q:$Q,"="&amp;$B22,사진대지!$Z:$Z,"="&amp;P$4)</f>
        <v>0</v>
      </c>
      <c r="Q22" s="65">
        <f>+SUMIFS(사진대지!$R:$R,사진대지!$Q:$Q,"="&amp;$B22,사진대지!$Z:$Z,"="&amp;Q$4)</f>
        <v>0</v>
      </c>
      <c r="R22" s="65">
        <f>+SUMIFS(사진대지!$R:$R,사진대지!$Q:$Q,"="&amp;$B22,사진대지!$Z:$Z,"="&amp;R$4)</f>
        <v>0</v>
      </c>
      <c r="S22" s="65">
        <f>+SUMIFS(사진대지!$R:$R,사진대지!$Q:$Q,"="&amp;$B22,사진대지!$Z:$Z,"="&amp;S$4)</f>
        <v>0</v>
      </c>
      <c r="T22" s="65">
        <f>+SUMIFS(사진대지!$R:$R,사진대지!$Q:$Q,"="&amp;$B22,사진대지!$Z:$Z,"="&amp;T$4)</f>
        <v>0</v>
      </c>
      <c r="U22" s="65">
        <f>+SUMIFS(사진대지!$R:$R,사진대지!$Q:$Q,"="&amp;$B22,사진대지!$Z:$Z,"="&amp;U$4)</f>
        <v>0</v>
      </c>
      <c r="V22" s="70"/>
      <c r="W22" s="73" t="str">
        <f t="shared" si="6"/>
        <v>금속관입상65</v>
      </c>
      <c r="X22" s="88">
        <f t="shared" si="7"/>
        <v>2</v>
      </c>
      <c r="Y22" s="68"/>
      <c r="Z22" s="68"/>
      <c r="AA22" s="74" t="str">
        <f t="shared" si="8"/>
        <v>금속관입상65</v>
      </c>
      <c r="AB22" s="92">
        <f>누계!Q22+X22</f>
        <v>2</v>
      </c>
    </row>
    <row r="23" spans="1:28" ht="20.100000000000001" customHeight="1" x14ac:dyDescent="0.3">
      <c r="A23" s="3"/>
      <c r="B23" s="21" t="s">
        <v>7</v>
      </c>
      <c r="C23" s="64">
        <f>+SUMIFS(사진대지!$R:$R,사진대지!$Q:$Q,"="&amp;$B23,사진대지!$Z:$Z,"="&amp;C$4)</f>
        <v>0</v>
      </c>
      <c r="D23" s="64">
        <f>+SUMIFS(사진대지!$R:$R,사진대지!$Q:$Q,"="&amp;$B23,사진대지!$Z:$Z,"="&amp;D$4)</f>
        <v>0</v>
      </c>
      <c r="E23" s="65">
        <f>+SUMIFS(사진대지!$R:$R,사진대지!$Q:$Q,"="&amp;$B23,사진대지!$Z:$Z,"="&amp;E$4)</f>
        <v>0</v>
      </c>
      <c r="F23" s="65">
        <f>+SUMIFS(사진대지!$R:$R,사진대지!$Q:$Q,"="&amp;$B23,사진대지!$Z:$Z,"="&amp;F$4)</f>
        <v>0</v>
      </c>
      <c r="G23" s="65">
        <f>+SUMIFS(사진대지!$R:$R,사진대지!$Q:$Q,"="&amp;$B23,사진대지!$Z:$Z,"="&amp;G$4)</f>
        <v>0</v>
      </c>
      <c r="H23" s="65">
        <f>+SUMIFS(사진대지!$R:$R,사진대지!$Q:$Q,"="&amp;$B23,사진대지!$Z:$Z,"="&amp;H$4)</f>
        <v>0</v>
      </c>
      <c r="I23" s="65">
        <f>+SUMIFS(사진대지!$R:$R,사진대지!$Q:$Q,"="&amp;$B23,사진대지!$Z:$Z,"="&amp;I$4)</f>
        <v>0</v>
      </c>
      <c r="J23" s="65">
        <f>+SUMIFS(사진대지!$R:$R,사진대지!$Q:$Q,"="&amp;$B23,사진대지!$Z:$Z,"="&amp;J$4)</f>
        <v>0</v>
      </c>
      <c r="K23" s="65">
        <f>+SUMIFS(사진대지!$R:$R,사진대지!$Q:$Q,"="&amp;$B23,사진대지!$Z:$Z,"="&amp;K$4)</f>
        <v>0</v>
      </c>
      <c r="L23" s="65">
        <f>+SUMIFS(사진대지!$R:$R,사진대지!$Q:$Q,"="&amp;$B23,사진대지!$Z:$Z,"="&amp;L$4)</f>
        <v>0</v>
      </c>
      <c r="M23" s="65">
        <f>+SUMIFS(사진대지!$R:$R,사진대지!$Q:$Q,"="&amp;$B23,사진대지!$Z:$Z,"="&amp;M$4)</f>
        <v>0</v>
      </c>
      <c r="N23" s="65">
        <f>+SUMIFS(사진대지!$R:$R,사진대지!$Q:$Q,"="&amp;$B23,사진대지!$Z:$Z,"="&amp;N$4)</f>
        <v>0</v>
      </c>
      <c r="O23" s="65">
        <f>+SUMIFS(사진대지!$R:$R,사진대지!$Q:$Q,"="&amp;$B23,사진대지!$Z:$Z,"="&amp;O$4)</f>
        <v>0</v>
      </c>
      <c r="P23" s="65">
        <f>+SUMIFS(사진대지!$R:$R,사진대지!$Q:$Q,"="&amp;$B23,사진대지!$Z:$Z,"="&amp;P$4)</f>
        <v>0</v>
      </c>
      <c r="Q23" s="65">
        <f>+SUMIFS(사진대지!$R:$R,사진대지!$Q:$Q,"="&amp;$B23,사진대지!$Z:$Z,"="&amp;Q$4)</f>
        <v>0</v>
      </c>
      <c r="R23" s="65">
        <f>+SUMIFS(사진대지!$R:$R,사진대지!$Q:$Q,"="&amp;$B23,사진대지!$Z:$Z,"="&amp;R$4)</f>
        <v>0</v>
      </c>
      <c r="S23" s="65">
        <f>+SUMIFS(사진대지!$R:$R,사진대지!$Q:$Q,"="&amp;$B23,사진대지!$Z:$Z,"="&amp;S$4)</f>
        <v>0</v>
      </c>
      <c r="T23" s="65">
        <f>+SUMIFS(사진대지!$R:$R,사진대지!$Q:$Q,"="&amp;$B23,사진대지!$Z:$Z,"="&amp;T$4)</f>
        <v>0</v>
      </c>
      <c r="U23" s="65">
        <f>+SUMIFS(사진대지!$R:$R,사진대지!$Q:$Q,"="&amp;$B23,사진대지!$Z:$Z,"="&amp;U$4)</f>
        <v>0</v>
      </c>
      <c r="V23" s="70"/>
      <c r="W23" s="73" t="str">
        <f t="shared" si="6"/>
        <v>금속관입상80</v>
      </c>
      <c r="X23" s="88">
        <f t="shared" si="7"/>
        <v>0</v>
      </c>
      <c r="Y23" s="68"/>
      <c r="Z23" s="68"/>
      <c r="AA23" s="74" t="str">
        <f t="shared" si="8"/>
        <v>금속관입상80</v>
      </c>
      <c r="AB23" s="92">
        <f>누계!Q23+X23</f>
        <v>1</v>
      </c>
    </row>
    <row r="24" spans="1:28" ht="20.100000000000001" customHeight="1" x14ac:dyDescent="0.3">
      <c r="A24" s="3"/>
      <c r="B24" s="21" t="s">
        <v>8</v>
      </c>
      <c r="C24" s="64">
        <f>+SUMIFS(사진대지!$R:$R,사진대지!$Q:$Q,"="&amp;$B24,사진대지!$Z:$Z,"="&amp;C$4)</f>
        <v>0</v>
      </c>
      <c r="D24" s="64">
        <f>+SUMIFS(사진대지!$R:$R,사진대지!$Q:$Q,"="&amp;$B24,사진대지!$Z:$Z,"="&amp;D$4)</f>
        <v>0</v>
      </c>
      <c r="E24" s="65">
        <f>+SUMIFS(사진대지!$R:$R,사진대지!$Q:$Q,"="&amp;$B24,사진대지!$Z:$Z,"="&amp;E$4)</f>
        <v>0</v>
      </c>
      <c r="F24" s="65">
        <f>+SUMIFS(사진대지!$R:$R,사진대지!$Q:$Q,"="&amp;$B24,사진대지!$Z:$Z,"="&amp;F$4)</f>
        <v>0</v>
      </c>
      <c r="G24" s="65">
        <f>+SUMIFS(사진대지!$R:$R,사진대지!$Q:$Q,"="&amp;$B24,사진대지!$Z:$Z,"="&amp;G$4)</f>
        <v>0</v>
      </c>
      <c r="H24" s="65">
        <f>+SUMIFS(사진대지!$R:$R,사진대지!$Q:$Q,"="&amp;$B24,사진대지!$Z:$Z,"="&amp;H$4)</f>
        <v>0</v>
      </c>
      <c r="I24" s="65">
        <f>+SUMIFS(사진대지!$R:$R,사진대지!$Q:$Q,"="&amp;$B24,사진대지!$Z:$Z,"="&amp;I$4)</f>
        <v>0</v>
      </c>
      <c r="J24" s="65">
        <f>+SUMIFS(사진대지!$R:$R,사진대지!$Q:$Q,"="&amp;$B24,사진대지!$Z:$Z,"="&amp;J$4)</f>
        <v>0</v>
      </c>
      <c r="K24" s="65">
        <f>+SUMIFS(사진대지!$R:$R,사진대지!$Q:$Q,"="&amp;$B24,사진대지!$Z:$Z,"="&amp;K$4)</f>
        <v>0</v>
      </c>
      <c r="L24" s="65">
        <f>+SUMIFS(사진대지!$R:$R,사진대지!$Q:$Q,"="&amp;$B24,사진대지!$Z:$Z,"="&amp;L$4)</f>
        <v>0</v>
      </c>
      <c r="M24" s="65">
        <f>+SUMIFS(사진대지!$R:$R,사진대지!$Q:$Q,"="&amp;$B24,사진대지!$Z:$Z,"="&amp;M$4)</f>
        <v>1</v>
      </c>
      <c r="N24" s="65">
        <f>+SUMIFS(사진대지!$R:$R,사진대지!$Q:$Q,"="&amp;$B24,사진대지!$Z:$Z,"="&amp;N$4)</f>
        <v>2</v>
      </c>
      <c r="O24" s="65">
        <f>+SUMIFS(사진대지!$R:$R,사진대지!$Q:$Q,"="&amp;$B24,사진대지!$Z:$Z,"="&amp;O$4)</f>
        <v>0</v>
      </c>
      <c r="P24" s="65">
        <f>+SUMIFS(사진대지!$R:$R,사진대지!$Q:$Q,"="&amp;$B24,사진대지!$Z:$Z,"="&amp;P$4)</f>
        <v>0</v>
      </c>
      <c r="Q24" s="65">
        <f>+SUMIFS(사진대지!$R:$R,사진대지!$Q:$Q,"="&amp;$B24,사진대지!$Z:$Z,"="&amp;Q$4)</f>
        <v>0</v>
      </c>
      <c r="R24" s="65">
        <f>+SUMIFS(사진대지!$R:$R,사진대지!$Q:$Q,"="&amp;$B24,사진대지!$Z:$Z,"="&amp;R$4)</f>
        <v>0</v>
      </c>
      <c r="S24" s="65">
        <f>+SUMIFS(사진대지!$R:$R,사진대지!$Q:$Q,"="&amp;$B24,사진대지!$Z:$Z,"="&amp;S$4)</f>
        <v>0</v>
      </c>
      <c r="T24" s="65">
        <f>+SUMIFS(사진대지!$R:$R,사진대지!$Q:$Q,"="&amp;$B24,사진대지!$Z:$Z,"="&amp;T$4)</f>
        <v>0</v>
      </c>
      <c r="U24" s="65">
        <f>+SUMIFS(사진대지!$R:$R,사진대지!$Q:$Q,"="&amp;$B24,사진대지!$Z:$Z,"="&amp;U$4)</f>
        <v>0</v>
      </c>
      <c r="V24" s="70"/>
      <c r="W24" s="73" t="str">
        <f t="shared" si="6"/>
        <v>금속관입상100</v>
      </c>
      <c r="X24" s="88">
        <f t="shared" si="7"/>
        <v>3</v>
      </c>
      <c r="Y24" s="68"/>
      <c r="Z24" s="68"/>
      <c r="AA24" s="74" t="str">
        <f t="shared" si="8"/>
        <v>금속관입상100</v>
      </c>
      <c r="AB24" s="92">
        <f>누계!Q24+X24</f>
        <v>4</v>
      </c>
    </row>
    <row r="25" spans="1:28" ht="20.100000000000001" customHeight="1" x14ac:dyDescent="0.3">
      <c r="A25" s="3"/>
      <c r="B25" s="21" t="s">
        <v>9</v>
      </c>
      <c r="C25" s="64">
        <f>+SUMIFS(사진대지!$R:$R,사진대지!$Q:$Q,"="&amp;$B25,사진대지!$Z:$Z,"="&amp;C$4)</f>
        <v>0</v>
      </c>
      <c r="D25" s="64">
        <f>+SUMIFS(사진대지!$R:$R,사진대지!$Q:$Q,"="&amp;$B25,사진대지!$Z:$Z,"="&amp;D$4)</f>
        <v>0</v>
      </c>
      <c r="E25" s="65">
        <f>+SUMIFS(사진대지!$R:$R,사진대지!$Q:$Q,"="&amp;$B25,사진대지!$Z:$Z,"="&amp;E$4)</f>
        <v>0</v>
      </c>
      <c r="F25" s="65">
        <f>+SUMIFS(사진대지!$R:$R,사진대지!$Q:$Q,"="&amp;$B25,사진대지!$Z:$Z,"="&amp;F$4)</f>
        <v>0</v>
      </c>
      <c r="G25" s="65">
        <f>+SUMIFS(사진대지!$R:$R,사진대지!$Q:$Q,"="&amp;$B25,사진대지!$Z:$Z,"="&amp;G$4)</f>
        <v>0</v>
      </c>
      <c r="H25" s="65">
        <f>+SUMIFS(사진대지!$R:$R,사진대지!$Q:$Q,"="&amp;$B25,사진대지!$Z:$Z,"="&amp;H$4)</f>
        <v>0</v>
      </c>
      <c r="I25" s="65">
        <f>+SUMIFS(사진대지!$R:$R,사진대지!$Q:$Q,"="&amp;$B25,사진대지!$Z:$Z,"="&amp;I$4)</f>
        <v>0</v>
      </c>
      <c r="J25" s="65">
        <f>+SUMIFS(사진대지!$R:$R,사진대지!$Q:$Q,"="&amp;$B25,사진대지!$Z:$Z,"="&amp;J$4)</f>
        <v>0</v>
      </c>
      <c r="K25" s="65">
        <f>+SUMIFS(사진대지!$R:$R,사진대지!$Q:$Q,"="&amp;$B25,사진대지!$Z:$Z,"="&amp;K$4)</f>
        <v>0</v>
      </c>
      <c r="L25" s="65">
        <f>+SUMIFS(사진대지!$R:$R,사진대지!$Q:$Q,"="&amp;$B25,사진대지!$Z:$Z,"="&amp;L$4)</f>
        <v>0</v>
      </c>
      <c r="M25" s="65">
        <f>+SUMIFS(사진대지!$R:$R,사진대지!$Q:$Q,"="&amp;$B25,사진대지!$Z:$Z,"="&amp;M$4)</f>
        <v>0</v>
      </c>
      <c r="N25" s="65">
        <f>+SUMIFS(사진대지!$R:$R,사진대지!$Q:$Q,"="&amp;$B25,사진대지!$Z:$Z,"="&amp;N$4)</f>
        <v>1</v>
      </c>
      <c r="O25" s="65">
        <f>+SUMIFS(사진대지!$R:$R,사진대지!$Q:$Q,"="&amp;$B25,사진대지!$Z:$Z,"="&amp;O$4)</f>
        <v>0</v>
      </c>
      <c r="P25" s="65">
        <f>+SUMIFS(사진대지!$R:$R,사진대지!$Q:$Q,"="&amp;$B25,사진대지!$Z:$Z,"="&amp;P$4)</f>
        <v>0</v>
      </c>
      <c r="Q25" s="65">
        <f>+SUMIFS(사진대지!$R:$R,사진대지!$Q:$Q,"="&amp;$B25,사진대지!$Z:$Z,"="&amp;Q$4)</f>
        <v>0</v>
      </c>
      <c r="R25" s="65">
        <f>+SUMIFS(사진대지!$R:$R,사진대지!$Q:$Q,"="&amp;$B25,사진대지!$Z:$Z,"="&amp;R$4)</f>
        <v>0</v>
      </c>
      <c r="S25" s="65">
        <f>+SUMIFS(사진대지!$R:$R,사진대지!$Q:$Q,"="&amp;$B25,사진대지!$Z:$Z,"="&amp;S$4)</f>
        <v>0</v>
      </c>
      <c r="T25" s="65">
        <f>+SUMIFS(사진대지!$R:$R,사진대지!$Q:$Q,"="&amp;$B25,사진대지!$Z:$Z,"="&amp;T$4)</f>
        <v>0</v>
      </c>
      <c r="U25" s="65">
        <f>+SUMIFS(사진대지!$R:$R,사진대지!$Q:$Q,"="&amp;$B25,사진대지!$Z:$Z,"="&amp;U$4)</f>
        <v>0</v>
      </c>
      <c r="V25" s="70"/>
      <c r="W25" s="73" t="str">
        <f t="shared" si="6"/>
        <v>금속관입상125</v>
      </c>
      <c r="X25" s="88">
        <f t="shared" si="7"/>
        <v>1</v>
      </c>
      <c r="Y25" s="68"/>
      <c r="Z25" s="68"/>
      <c r="AA25" s="74" t="str">
        <f t="shared" si="8"/>
        <v>금속관입상125</v>
      </c>
      <c r="AB25" s="92">
        <f>누계!Q25+X25</f>
        <v>1</v>
      </c>
    </row>
    <row r="26" spans="1:28" ht="20.100000000000001" customHeight="1" x14ac:dyDescent="0.3">
      <c r="A26" s="3"/>
      <c r="B26" s="21" t="s">
        <v>10</v>
      </c>
      <c r="C26" s="64">
        <f>+SUMIFS(사진대지!$R:$R,사진대지!$Q:$Q,"="&amp;$B26,사진대지!$Z:$Z,"="&amp;C$4)</f>
        <v>0</v>
      </c>
      <c r="D26" s="64">
        <f>+SUMIFS(사진대지!$R:$R,사진대지!$Q:$Q,"="&amp;$B26,사진대지!$Z:$Z,"="&amp;D$4)</f>
        <v>0</v>
      </c>
      <c r="E26" s="65">
        <f>+SUMIFS(사진대지!$R:$R,사진대지!$Q:$Q,"="&amp;$B26,사진대지!$Z:$Z,"="&amp;E$4)</f>
        <v>0</v>
      </c>
      <c r="F26" s="65">
        <f>+SUMIFS(사진대지!$R:$R,사진대지!$Q:$Q,"="&amp;$B26,사진대지!$Z:$Z,"="&amp;F$4)</f>
        <v>0</v>
      </c>
      <c r="G26" s="65">
        <f>+SUMIFS(사진대지!$R:$R,사진대지!$Q:$Q,"="&amp;$B26,사진대지!$Z:$Z,"="&amp;G$4)</f>
        <v>0</v>
      </c>
      <c r="H26" s="65">
        <f>+SUMIFS(사진대지!$R:$R,사진대지!$Q:$Q,"="&amp;$B26,사진대지!$Z:$Z,"="&amp;H$4)</f>
        <v>0</v>
      </c>
      <c r="I26" s="65">
        <f>+SUMIFS(사진대지!$R:$R,사진대지!$Q:$Q,"="&amp;$B26,사진대지!$Z:$Z,"="&amp;I$4)</f>
        <v>0</v>
      </c>
      <c r="J26" s="65">
        <f>+SUMIFS(사진대지!$R:$R,사진대지!$Q:$Q,"="&amp;$B26,사진대지!$Z:$Z,"="&amp;J$4)</f>
        <v>0</v>
      </c>
      <c r="K26" s="65">
        <f>+SUMIFS(사진대지!$R:$R,사진대지!$Q:$Q,"="&amp;$B26,사진대지!$Z:$Z,"="&amp;K$4)</f>
        <v>0</v>
      </c>
      <c r="L26" s="65">
        <f>+SUMIFS(사진대지!$R:$R,사진대지!$Q:$Q,"="&amp;$B26,사진대지!$Z:$Z,"="&amp;L$4)</f>
        <v>0</v>
      </c>
      <c r="M26" s="65">
        <f>+SUMIFS(사진대지!$R:$R,사진대지!$Q:$Q,"="&amp;$B26,사진대지!$Z:$Z,"="&amp;M$4)</f>
        <v>5</v>
      </c>
      <c r="N26" s="65">
        <f>+SUMIFS(사진대지!$R:$R,사진대지!$Q:$Q,"="&amp;$B26,사진대지!$Z:$Z,"="&amp;N$4)</f>
        <v>3</v>
      </c>
      <c r="O26" s="65">
        <f>+SUMIFS(사진대지!$R:$R,사진대지!$Q:$Q,"="&amp;$B26,사진대지!$Z:$Z,"="&amp;O$4)</f>
        <v>0</v>
      </c>
      <c r="P26" s="65">
        <f>+SUMIFS(사진대지!$R:$R,사진대지!$Q:$Q,"="&amp;$B26,사진대지!$Z:$Z,"="&amp;P$4)</f>
        <v>0</v>
      </c>
      <c r="Q26" s="65">
        <f>+SUMIFS(사진대지!$R:$R,사진대지!$Q:$Q,"="&amp;$B26,사진대지!$Z:$Z,"="&amp;Q$4)</f>
        <v>0</v>
      </c>
      <c r="R26" s="65">
        <f>+SUMIFS(사진대지!$R:$R,사진대지!$Q:$Q,"="&amp;$B26,사진대지!$Z:$Z,"="&amp;R$4)</f>
        <v>8</v>
      </c>
      <c r="S26" s="65">
        <f>+SUMIFS(사진대지!$R:$R,사진대지!$Q:$Q,"="&amp;$B26,사진대지!$Z:$Z,"="&amp;S$4)</f>
        <v>0</v>
      </c>
      <c r="T26" s="65">
        <f>+SUMIFS(사진대지!$R:$R,사진대지!$Q:$Q,"="&amp;$B26,사진대지!$Z:$Z,"="&amp;T$4)</f>
        <v>0</v>
      </c>
      <c r="U26" s="65">
        <f>+SUMIFS(사진대지!$R:$R,사진대지!$Q:$Q,"="&amp;$B26,사진대지!$Z:$Z,"="&amp;U$4)</f>
        <v>0</v>
      </c>
      <c r="V26" s="70"/>
      <c r="W26" s="73" t="str">
        <f t="shared" si="0"/>
        <v>금속관입상150</v>
      </c>
      <c r="X26" s="88">
        <f t="shared" si="1"/>
        <v>16</v>
      </c>
      <c r="Y26" s="68"/>
      <c r="Z26" s="68"/>
      <c r="AA26" s="74" t="str">
        <f t="shared" si="2"/>
        <v>금속관입상150</v>
      </c>
      <c r="AB26" s="92">
        <f>누계!Q26+X26</f>
        <v>22</v>
      </c>
    </row>
    <row r="27" spans="1:28" ht="20.100000000000001" customHeight="1" x14ac:dyDescent="0.3">
      <c r="A27" s="3"/>
      <c r="B27" s="21" t="s">
        <v>11</v>
      </c>
      <c r="C27" s="64">
        <f>+SUMIFS(사진대지!$R:$R,사진대지!$Q:$Q,"="&amp;$B27,사진대지!$Z:$Z,"="&amp;C$4)</f>
        <v>0</v>
      </c>
      <c r="D27" s="64">
        <f>+SUMIFS(사진대지!$R:$R,사진대지!$Q:$Q,"="&amp;$B27,사진대지!$Z:$Z,"="&amp;D$4)</f>
        <v>0</v>
      </c>
      <c r="E27" s="65">
        <f>+SUMIFS(사진대지!$R:$R,사진대지!$Q:$Q,"="&amp;$B27,사진대지!$Z:$Z,"="&amp;E$4)</f>
        <v>0</v>
      </c>
      <c r="F27" s="65">
        <f>+SUMIFS(사진대지!$R:$R,사진대지!$Q:$Q,"="&amp;$B27,사진대지!$Z:$Z,"="&amp;F$4)</f>
        <v>0</v>
      </c>
      <c r="G27" s="65">
        <f>+SUMIFS(사진대지!$R:$R,사진대지!$Q:$Q,"="&amp;$B27,사진대지!$Z:$Z,"="&amp;G$4)</f>
        <v>0</v>
      </c>
      <c r="H27" s="65">
        <f>+SUMIFS(사진대지!$R:$R,사진대지!$Q:$Q,"="&amp;$B27,사진대지!$Z:$Z,"="&amp;H$4)</f>
        <v>0</v>
      </c>
      <c r="I27" s="65">
        <f>+SUMIFS(사진대지!$R:$R,사진대지!$Q:$Q,"="&amp;$B27,사진대지!$Z:$Z,"="&amp;I$4)</f>
        <v>0</v>
      </c>
      <c r="J27" s="65">
        <f>+SUMIFS(사진대지!$R:$R,사진대지!$Q:$Q,"="&amp;$B27,사진대지!$Z:$Z,"="&amp;J$4)</f>
        <v>0</v>
      </c>
      <c r="K27" s="65">
        <f>+SUMIFS(사진대지!$R:$R,사진대지!$Q:$Q,"="&amp;$B27,사진대지!$Z:$Z,"="&amp;K$4)</f>
        <v>0</v>
      </c>
      <c r="L27" s="65">
        <f>+SUMIFS(사진대지!$R:$R,사진대지!$Q:$Q,"="&amp;$B27,사진대지!$Z:$Z,"="&amp;L$4)</f>
        <v>0</v>
      </c>
      <c r="M27" s="65">
        <f>+SUMIFS(사진대지!$R:$R,사진대지!$Q:$Q,"="&amp;$B27,사진대지!$Z:$Z,"="&amp;M$4)</f>
        <v>0</v>
      </c>
      <c r="N27" s="65">
        <f>+SUMIFS(사진대지!$R:$R,사진대지!$Q:$Q,"="&amp;$B27,사진대지!$Z:$Z,"="&amp;N$4)</f>
        <v>0</v>
      </c>
      <c r="O27" s="65">
        <f>+SUMIFS(사진대지!$R:$R,사진대지!$Q:$Q,"="&amp;$B27,사진대지!$Z:$Z,"="&amp;O$4)</f>
        <v>0</v>
      </c>
      <c r="P27" s="65">
        <f>+SUMIFS(사진대지!$R:$R,사진대지!$Q:$Q,"="&amp;$B27,사진대지!$Z:$Z,"="&amp;P$4)</f>
        <v>0</v>
      </c>
      <c r="Q27" s="65">
        <f>+SUMIFS(사진대지!$R:$R,사진대지!$Q:$Q,"="&amp;$B27,사진대지!$Z:$Z,"="&amp;Q$4)</f>
        <v>0</v>
      </c>
      <c r="R27" s="65">
        <f>+SUMIFS(사진대지!$R:$R,사진대지!$Q:$Q,"="&amp;$B27,사진대지!$Z:$Z,"="&amp;R$4)</f>
        <v>0</v>
      </c>
      <c r="S27" s="65">
        <f>+SUMIFS(사진대지!$R:$R,사진대지!$Q:$Q,"="&amp;$B27,사진대지!$Z:$Z,"="&amp;S$4)</f>
        <v>0</v>
      </c>
      <c r="T27" s="65">
        <f>+SUMIFS(사진대지!$R:$R,사진대지!$Q:$Q,"="&amp;$B27,사진대지!$Z:$Z,"="&amp;T$4)</f>
        <v>0</v>
      </c>
      <c r="U27" s="65">
        <f>+SUMIFS(사진대지!$R:$R,사진대지!$Q:$Q,"="&amp;$B27,사진대지!$Z:$Z,"="&amp;U$4)</f>
        <v>0</v>
      </c>
      <c r="V27" s="70"/>
      <c r="W27" s="73" t="str">
        <f t="shared" si="0"/>
        <v>금속관입상200</v>
      </c>
      <c r="X27" s="88">
        <f t="shared" si="1"/>
        <v>0</v>
      </c>
      <c r="Y27" s="68"/>
      <c r="Z27" s="68"/>
      <c r="AA27" s="74" t="str">
        <f t="shared" si="2"/>
        <v>금속관입상200</v>
      </c>
      <c r="AB27" s="92">
        <f>누계!Q27+X27</f>
        <v>0</v>
      </c>
    </row>
    <row r="28" spans="1:28" ht="20.100000000000001" customHeight="1" x14ac:dyDescent="0.3">
      <c r="A28" s="3"/>
      <c r="B28" s="21" t="s">
        <v>12</v>
      </c>
      <c r="C28" s="64">
        <f>+SUMIFS(사진대지!$R:$R,사진대지!$Q:$Q,"="&amp;$B28,사진대지!$Z:$Z,"="&amp;C$4)</f>
        <v>0</v>
      </c>
      <c r="D28" s="64">
        <f>+SUMIFS(사진대지!$R:$R,사진대지!$Q:$Q,"="&amp;$B28,사진대지!$Z:$Z,"="&amp;D$4)</f>
        <v>0</v>
      </c>
      <c r="E28" s="65">
        <f>+SUMIFS(사진대지!$R:$R,사진대지!$Q:$Q,"="&amp;$B28,사진대지!$Z:$Z,"="&amp;E$4)</f>
        <v>0</v>
      </c>
      <c r="F28" s="65">
        <f>+SUMIFS(사진대지!$R:$R,사진대지!$Q:$Q,"="&amp;$B28,사진대지!$Z:$Z,"="&amp;F$4)</f>
        <v>0</v>
      </c>
      <c r="G28" s="65">
        <f>+SUMIFS(사진대지!$R:$R,사진대지!$Q:$Q,"="&amp;$B28,사진대지!$Z:$Z,"="&amp;G$4)</f>
        <v>0</v>
      </c>
      <c r="H28" s="65">
        <f>+SUMIFS(사진대지!$R:$R,사진대지!$Q:$Q,"="&amp;$B28,사진대지!$Z:$Z,"="&amp;H$4)</f>
        <v>0</v>
      </c>
      <c r="I28" s="65">
        <f>+SUMIFS(사진대지!$R:$R,사진대지!$Q:$Q,"="&amp;$B28,사진대지!$Z:$Z,"="&amp;I$4)</f>
        <v>0</v>
      </c>
      <c r="J28" s="65">
        <f>+SUMIFS(사진대지!$R:$R,사진대지!$Q:$Q,"="&amp;$B28,사진대지!$Z:$Z,"="&amp;J$4)</f>
        <v>0</v>
      </c>
      <c r="K28" s="65">
        <f>+SUMIFS(사진대지!$R:$R,사진대지!$Q:$Q,"="&amp;$B28,사진대지!$Z:$Z,"="&amp;K$4)</f>
        <v>0</v>
      </c>
      <c r="L28" s="65">
        <f>+SUMIFS(사진대지!$R:$R,사진대지!$Q:$Q,"="&amp;$B28,사진대지!$Z:$Z,"="&amp;L$4)</f>
        <v>0</v>
      </c>
      <c r="M28" s="65">
        <f>+SUMIFS(사진대지!$R:$R,사진대지!$Q:$Q,"="&amp;$B28,사진대지!$Z:$Z,"="&amp;M$4)</f>
        <v>0</v>
      </c>
      <c r="N28" s="65">
        <f>+SUMIFS(사진대지!$R:$R,사진대지!$Q:$Q,"="&amp;$B28,사진대지!$Z:$Z,"="&amp;N$4)</f>
        <v>0</v>
      </c>
      <c r="O28" s="65">
        <f>+SUMIFS(사진대지!$R:$R,사진대지!$Q:$Q,"="&amp;$B28,사진대지!$Z:$Z,"="&amp;O$4)</f>
        <v>0</v>
      </c>
      <c r="P28" s="65">
        <f>+SUMIFS(사진대지!$R:$R,사진대지!$Q:$Q,"="&amp;$B28,사진대지!$Z:$Z,"="&amp;P$4)</f>
        <v>0</v>
      </c>
      <c r="Q28" s="65">
        <f>+SUMIFS(사진대지!$R:$R,사진대지!$Q:$Q,"="&amp;$B28,사진대지!$Z:$Z,"="&amp;Q$4)</f>
        <v>0</v>
      </c>
      <c r="R28" s="65">
        <f>+SUMIFS(사진대지!$R:$R,사진대지!$Q:$Q,"="&amp;$B28,사진대지!$Z:$Z,"="&amp;R$4)</f>
        <v>0</v>
      </c>
      <c r="S28" s="65">
        <f>+SUMIFS(사진대지!$R:$R,사진대지!$Q:$Q,"="&amp;$B28,사진대지!$Z:$Z,"="&amp;S$4)</f>
        <v>0</v>
      </c>
      <c r="T28" s="65">
        <f>+SUMIFS(사진대지!$R:$R,사진대지!$Q:$Q,"="&amp;$B28,사진대지!$Z:$Z,"="&amp;T$4)</f>
        <v>0</v>
      </c>
      <c r="U28" s="65">
        <f>+SUMIFS(사진대지!$R:$R,사진대지!$Q:$Q,"="&amp;$B28,사진대지!$Z:$Z,"="&amp;U$4)</f>
        <v>0</v>
      </c>
      <c r="V28" s="70"/>
      <c r="W28" s="73" t="str">
        <f t="shared" si="0"/>
        <v>금속관입상250</v>
      </c>
      <c r="X28" s="88">
        <f t="shared" si="1"/>
        <v>0</v>
      </c>
      <c r="Y28" s="68"/>
      <c r="Z28" s="68"/>
      <c r="AA28" s="74" t="str">
        <f t="shared" si="2"/>
        <v>금속관입상250</v>
      </c>
      <c r="AB28" s="92">
        <f>누계!Q28+X28</f>
        <v>0</v>
      </c>
    </row>
    <row r="29" spans="1:28" ht="20.100000000000001" customHeight="1" x14ac:dyDescent="0.3">
      <c r="A29" s="3"/>
      <c r="B29" s="21" t="s">
        <v>13</v>
      </c>
      <c r="C29" s="64">
        <f>+SUMIFS(사진대지!$R:$R,사진대지!$Q:$Q,"="&amp;$B29,사진대지!$Z:$Z,"="&amp;C$4)</f>
        <v>0</v>
      </c>
      <c r="D29" s="64">
        <f>+SUMIFS(사진대지!$R:$R,사진대지!$Q:$Q,"="&amp;$B29,사진대지!$Z:$Z,"="&amp;D$4)</f>
        <v>0</v>
      </c>
      <c r="E29" s="65">
        <f>+SUMIFS(사진대지!$R:$R,사진대지!$Q:$Q,"="&amp;$B29,사진대지!$Z:$Z,"="&amp;E$4)</f>
        <v>0</v>
      </c>
      <c r="F29" s="65">
        <f>+SUMIFS(사진대지!$R:$R,사진대지!$Q:$Q,"="&amp;$B29,사진대지!$Z:$Z,"="&amp;F$4)</f>
        <v>0</v>
      </c>
      <c r="G29" s="65">
        <f>+SUMIFS(사진대지!$R:$R,사진대지!$Q:$Q,"="&amp;$B29,사진대지!$Z:$Z,"="&amp;G$4)</f>
        <v>0</v>
      </c>
      <c r="H29" s="65">
        <f>+SUMIFS(사진대지!$R:$R,사진대지!$Q:$Q,"="&amp;$B29,사진대지!$Z:$Z,"="&amp;H$4)</f>
        <v>0</v>
      </c>
      <c r="I29" s="65">
        <f>+SUMIFS(사진대지!$R:$R,사진대지!$Q:$Q,"="&amp;$B29,사진대지!$Z:$Z,"="&amp;I$4)</f>
        <v>0</v>
      </c>
      <c r="J29" s="65">
        <f>+SUMIFS(사진대지!$R:$R,사진대지!$Q:$Q,"="&amp;$B29,사진대지!$Z:$Z,"="&amp;J$4)</f>
        <v>0</v>
      </c>
      <c r="K29" s="65">
        <f>+SUMIFS(사진대지!$R:$R,사진대지!$Q:$Q,"="&amp;$B29,사진대지!$Z:$Z,"="&amp;K$4)</f>
        <v>0</v>
      </c>
      <c r="L29" s="65">
        <f>+SUMIFS(사진대지!$R:$R,사진대지!$Q:$Q,"="&amp;$B29,사진대지!$Z:$Z,"="&amp;L$4)</f>
        <v>0</v>
      </c>
      <c r="M29" s="65">
        <f>+SUMIFS(사진대지!$R:$R,사진대지!$Q:$Q,"="&amp;$B29,사진대지!$Z:$Z,"="&amp;M$4)</f>
        <v>0</v>
      </c>
      <c r="N29" s="65">
        <f>+SUMIFS(사진대지!$R:$R,사진대지!$Q:$Q,"="&amp;$B29,사진대지!$Z:$Z,"="&amp;N$4)</f>
        <v>0</v>
      </c>
      <c r="O29" s="65">
        <f>+SUMIFS(사진대지!$R:$R,사진대지!$Q:$Q,"="&amp;$B29,사진대지!$Z:$Z,"="&amp;O$4)</f>
        <v>0</v>
      </c>
      <c r="P29" s="65">
        <f>+SUMIFS(사진대지!$R:$R,사진대지!$Q:$Q,"="&amp;$B29,사진대지!$Z:$Z,"="&amp;P$4)</f>
        <v>0</v>
      </c>
      <c r="Q29" s="65">
        <f>+SUMIFS(사진대지!$R:$R,사진대지!$Q:$Q,"="&amp;$B29,사진대지!$Z:$Z,"="&amp;Q$4)</f>
        <v>0</v>
      </c>
      <c r="R29" s="65">
        <f>+SUMIFS(사진대지!$R:$R,사진대지!$Q:$Q,"="&amp;$B29,사진대지!$Z:$Z,"="&amp;R$4)</f>
        <v>0</v>
      </c>
      <c r="S29" s="65">
        <f>+SUMIFS(사진대지!$R:$R,사진대지!$Q:$Q,"="&amp;$B29,사진대지!$Z:$Z,"="&amp;S$4)</f>
        <v>0</v>
      </c>
      <c r="T29" s="65">
        <f>+SUMIFS(사진대지!$R:$R,사진대지!$Q:$Q,"="&amp;$B29,사진대지!$Z:$Z,"="&amp;T$4)</f>
        <v>0</v>
      </c>
      <c r="U29" s="65">
        <f>+SUMIFS(사진대지!$R:$R,사진대지!$Q:$Q,"="&amp;$B29,사진대지!$Z:$Z,"="&amp;U$4)</f>
        <v>0</v>
      </c>
      <c r="V29" s="70"/>
      <c r="W29" s="73" t="str">
        <f t="shared" si="0"/>
        <v>금속관입상300</v>
      </c>
      <c r="X29" s="88">
        <f t="shared" si="1"/>
        <v>0</v>
      </c>
      <c r="Y29" s="68"/>
      <c r="Z29" s="68"/>
      <c r="AA29" s="74" t="str">
        <f t="shared" si="2"/>
        <v>금속관입상300</v>
      </c>
      <c r="AB29" s="92">
        <f>누계!Q29+X29</f>
        <v>0</v>
      </c>
    </row>
    <row r="30" spans="1:28" ht="20.100000000000001" customHeight="1" x14ac:dyDescent="0.3">
      <c r="A30" s="3"/>
      <c r="B30" s="21" t="s">
        <v>52</v>
      </c>
      <c r="C30" s="64">
        <f>+SUMIFS(사진대지!$R:$R,사진대지!$Q:$Q,"="&amp;$B30,사진대지!$Z:$Z,"="&amp;C$4)</f>
        <v>0</v>
      </c>
      <c r="D30" s="64">
        <f>+SUMIFS(사진대지!$R:$R,사진대지!$Q:$Q,"="&amp;$B30,사진대지!$Z:$Z,"="&amp;D$4)</f>
        <v>0</v>
      </c>
      <c r="E30" s="65">
        <f>+SUMIFS(사진대지!$R:$R,사진대지!$Q:$Q,"="&amp;$B30,사진대지!$Z:$Z,"="&amp;E$4)</f>
        <v>0</v>
      </c>
      <c r="F30" s="65">
        <f>+SUMIFS(사진대지!$R:$R,사진대지!$Q:$Q,"="&amp;$B30,사진대지!$Z:$Z,"="&amp;F$4)</f>
        <v>0</v>
      </c>
      <c r="G30" s="65">
        <f>+SUMIFS(사진대지!$R:$R,사진대지!$Q:$Q,"="&amp;$B30,사진대지!$Z:$Z,"="&amp;G$4)</f>
        <v>0</v>
      </c>
      <c r="H30" s="65">
        <f>+SUMIFS(사진대지!$R:$R,사진대지!$Q:$Q,"="&amp;$B30,사진대지!$Z:$Z,"="&amp;H$4)</f>
        <v>0</v>
      </c>
      <c r="I30" s="65">
        <f>+SUMIFS(사진대지!$R:$R,사진대지!$Q:$Q,"="&amp;$B30,사진대지!$Z:$Z,"="&amp;I$4)</f>
        <v>0</v>
      </c>
      <c r="J30" s="65">
        <f>+SUMIFS(사진대지!$R:$R,사진대지!$Q:$Q,"="&amp;$B30,사진대지!$Z:$Z,"="&amp;J$4)</f>
        <v>0</v>
      </c>
      <c r="K30" s="65">
        <f>+SUMIFS(사진대지!$R:$R,사진대지!$Q:$Q,"="&amp;$B30,사진대지!$Z:$Z,"="&amp;K$4)</f>
        <v>0</v>
      </c>
      <c r="L30" s="65">
        <f>+SUMIFS(사진대지!$R:$R,사진대지!$Q:$Q,"="&amp;$B30,사진대지!$Z:$Z,"="&amp;L$4)</f>
        <v>0</v>
      </c>
      <c r="M30" s="65">
        <f>+SUMIFS(사진대지!$R:$R,사진대지!$Q:$Q,"="&amp;$B30,사진대지!$Z:$Z,"="&amp;M$4)</f>
        <v>0</v>
      </c>
      <c r="N30" s="65">
        <f>+SUMIFS(사진대지!$R:$R,사진대지!$Q:$Q,"="&amp;$B30,사진대지!$Z:$Z,"="&amp;N$4)</f>
        <v>0</v>
      </c>
      <c r="O30" s="65">
        <f>+SUMIFS(사진대지!$R:$R,사진대지!$Q:$Q,"="&amp;$B30,사진대지!$Z:$Z,"="&amp;O$4)</f>
        <v>0</v>
      </c>
      <c r="P30" s="65">
        <f>+SUMIFS(사진대지!$R:$R,사진대지!$Q:$Q,"="&amp;$B30,사진대지!$Z:$Z,"="&amp;P$4)</f>
        <v>0</v>
      </c>
      <c r="Q30" s="65">
        <f>+SUMIFS(사진대지!$R:$R,사진대지!$Q:$Q,"="&amp;$B30,사진대지!$Z:$Z,"="&amp;Q$4)</f>
        <v>0</v>
      </c>
      <c r="R30" s="65">
        <f>+SUMIFS(사진대지!$R:$R,사진대지!$Q:$Q,"="&amp;$B30,사진대지!$Z:$Z,"="&amp;R$4)</f>
        <v>0</v>
      </c>
      <c r="S30" s="65">
        <f>+SUMIFS(사진대지!$R:$R,사진대지!$Q:$Q,"="&amp;$B30,사진대지!$Z:$Z,"="&amp;S$4)</f>
        <v>0</v>
      </c>
      <c r="T30" s="65">
        <f>+SUMIFS(사진대지!$R:$R,사진대지!$Q:$Q,"="&amp;$B30,사진대지!$Z:$Z,"="&amp;T$4)</f>
        <v>0</v>
      </c>
      <c r="U30" s="65">
        <f>+SUMIFS(사진대지!$R:$R,사진대지!$Q:$Q,"="&amp;$B30,사진대지!$Z:$Z,"="&amp;U$4)</f>
        <v>0</v>
      </c>
      <c r="V30" s="70"/>
      <c r="W30" s="73" t="str">
        <f t="shared" si="0"/>
        <v>금속관입상350</v>
      </c>
      <c r="X30" s="88">
        <f t="shared" si="1"/>
        <v>0</v>
      </c>
      <c r="Y30" s="68"/>
      <c r="Z30" s="68"/>
      <c r="AA30" s="74" t="str">
        <f t="shared" si="2"/>
        <v>금속관입상350</v>
      </c>
      <c r="AB30" s="92">
        <f>누계!Q30+X30</f>
        <v>0</v>
      </c>
    </row>
    <row r="31" spans="1:28" ht="20.100000000000001" customHeight="1" x14ac:dyDescent="0.3">
      <c r="A31" s="3"/>
      <c r="B31" s="21" t="s">
        <v>14</v>
      </c>
      <c r="C31" s="64">
        <f>+SUMIFS(사진대지!$R:$R,사진대지!$Q:$Q,"="&amp;$B31,사진대지!$Z:$Z,"="&amp;C$4)</f>
        <v>0</v>
      </c>
      <c r="D31" s="64">
        <f>+SUMIFS(사진대지!$R:$R,사진대지!$Q:$Q,"="&amp;$B31,사진대지!$Z:$Z,"="&amp;D$4)</f>
        <v>0</v>
      </c>
      <c r="E31" s="65">
        <f>+SUMIFS(사진대지!$R:$R,사진대지!$Q:$Q,"="&amp;$B31,사진대지!$Z:$Z,"="&amp;E$4)</f>
        <v>0</v>
      </c>
      <c r="F31" s="65">
        <f>+SUMIFS(사진대지!$R:$R,사진대지!$Q:$Q,"="&amp;$B31,사진대지!$Z:$Z,"="&amp;F$4)</f>
        <v>0</v>
      </c>
      <c r="G31" s="65">
        <f>+SUMIFS(사진대지!$R:$R,사진대지!$Q:$Q,"="&amp;$B31,사진대지!$Z:$Z,"="&amp;G$4)</f>
        <v>0</v>
      </c>
      <c r="H31" s="65">
        <f>+SUMIFS(사진대지!$R:$R,사진대지!$Q:$Q,"="&amp;$B31,사진대지!$Z:$Z,"="&amp;H$4)</f>
        <v>0</v>
      </c>
      <c r="I31" s="65">
        <f>+SUMIFS(사진대지!$R:$R,사진대지!$Q:$Q,"="&amp;$B31,사진대지!$Z:$Z,"="&amp;I$4)</f>
        <v>0</v>
      </c>
      <c r="J31" s="65">
        <f>+SUMIFS(사진대지!$R:$R,사진대지!$Q:$Q,"="&amp;$B31,사진대지!$Z:$Z,"="&amp;J$4)</f>
        <v>0</v>
      </c>
      <c r="K31" s="65">
        <f>+SUMIFS(사진대지!$R:$R,사진대지!$Q:$Q,"="&amp;$B31,사진대지!$Z:$Z,"="&amp;K$4)</f>
        <v>0</v>
      </c>
      <c r="L31" s="65">
        <f>+SUMIFS(사진대지!$R:$R,사진대지!$Q:$Q,"="&amp;$B31,사진대지!$Z:$Z,"="&amp;L$4)</f>
        <v>0</v>
      </c>
      <c r="M31" s="65">
        <f>+SUMIFS(사진대지!$R:$R,사진대지!$Q:$Q,"="&amp;$B31,사진대지!$Z:$Z,"="&amp;M$4)</f>
        <v>0</v>
      </c>
      <c r="N31" s="65">
        <f>+SUMIFS(사진대지!$R:$R,사진대지!$Q:$Q,"="&amp;$B31,사진대지!$Z:$Z,"="&amp;N$4)</f>
        <v>0</v>
      </c>
      <c r="O31" s="65">
        <f>+SUMIFS(사진대지!$R:$R,사진대지!$Q:$Q,"="&amp;$B31,사진대지!$Z:$Z,"="&amp;O$4)</f>
        <v>0</v>
      </c>
      <c r="P31" s="65">
        <f>+SUMIFS(사진대지!$R:$R,사진대지!$Q:$Q,"="&amp;$B31,사진대지!$Z:$Z,"="&amp;P$4)</f>
        <v>0</v>
      </c>
      <c r="Q31" s="65">
        <f>+SUMIFS(사진대지!$R:$R,사진대지!$Q:$Q,"="&amp;$B31,사진대지!$Z:$Z,"="&amp;Q$4)</f>
        <v>0</v>
      </c>
      <c r="R31" s="65">
        <f>+SUMIFS(사진대지!$R:$R,사진대지!$Q:$Q,"="&amp;$B31,사진대지!$Z:$Z,"="&amp;R$4)</f>
        <v>0</v>
      </c>
      <c r="S31" s="65">
        <f>+SUMIFS(사진대지!$R:$R,사진대지!$Q:$Q,"="&amp;$B31,사진대지!$Z:$Z,"="&amp;S$4)</f>
        <v>0</v>
      </c>
      <c r="T31" s="65">
        <f>+SUMIFS(사진대지!$R:$R,사진대지!$Q:$Q,"="&amp;$B31,사진대지!$Z:$Z,"="&amp;T$4)</f>
        <v>0</v>
      </c>
      <c r="U31" s="65">
        <f>+SUMIFS(사진대지!$R:$R,사진대지!$Q:$Q,"="&amp;$B31,사진대지!$Z:$Z,"="&amp;U$4)</f>
        <v>0</v>
      </c>
      <c r="V31" s="70"/>
      <c r="W31" s="73" t="str">
        <f t="shared" si="0"/>
        <v>금속관입상400</v>
      </c>
      <c r="X31" s="88">
        <f t="shared" si="1"/>
        <v>0</v>
      </c>
      <c r="Y31" s="68"/>
      <c r="Z31" s="68"/>
      <c r="AA31" s="74" t="str">
        <f t="shared" si="2"/>
        <v>금속관입상400</v>
      </c>
      <c r="AB31" s="92">
        <f>누계!Q31+X31</f>
        <v>0</v>
      </c>
    </row>
    <row r="32" spans="1:28" ht="20.100000000000001" customHeight="1" x14ac:dyDescent="0.3">
      <c r="A32" s="3"/>
      <c r="B32" s="21" t="s">
        <v>53</v>
      </c>
      <c r="C32" s="64">
        <f>+SUMIFS(사진대지!$R:$R,사진대지!$Q:$Q,"="&amp;$B32,사진대지!$Z:$Z,"="&amp;C$4)</f>
        <v>0</v>
      </c>
      <c r="D32" s="64">
        <f>+SUMIFS(사진대지!$R:$R,사진대지!$Q:$Q,"="&amp;$B32,사진대지!$Z:$Z,"="&amp;D$4)</f>
        <v>0</v>
      </c>
      <c r="E32" s="65">
        <f>+SUMIFS(사진대지!$R:$R,사진대지!$Q:$Q,"="&amp;$B32,사진대지!$Z:$Z,"="&amp;E$4)</f>
        <v>0</v>
      </c>
      <c r="F32" s="65">
        <f>+SUMIFS(사진대지!$R:$R,사진대지!$Q:$Q,"="&amp;$B32,사진대지!$Z:$Z,"="&amp;F$4)</f>
        <v>0</v>
      </c>
      <c r="G32" s="65">
        <f>+SUMIFS(사진대지!$R:$R,사진대지!$Q:$Q,"="&amp;$B32,사진대지!$Z:$Z,"="&amp;G$4)</f>
        <v>0</v>
      </c>
      <c r="H32" s="65">
        <f>+SUMIFS(사진대지!$R:$R,사진대지!$Q:$Q,"="&amp;$B32,사진대지!$Z:$Z,"="&amp;H$4)</f>
        <v>0</v>
      </c>
      <c r="I32" s="65">
        <f>+SUMIFS(사진대지!$R:$R,사진대지!$Q:$Q,"="&amp;$B32,사진대지!$Z:$Z,"="&amp;I$4)</f>
        <v>0</v>
      </c>
      <c r="J32" s="65">
        <f>+SUMIFS(사진대지!$R:$R,사진대지!$Q:$Q,"="&amp;$B32,사진대지!$Z:$Z,"="&amp;J$4)</f>
        <v>0</v>
      </c>
      <c r="K32" s="65">
        <f>+SUMIFS(사진대지!$R:$R,사진대지!$Q:$Q,"="&amp;$B32,사진대지!$Z:$Z,"="&amp;K$4)</f>
        <v>0</v>
      </c>
      <c r="L32" s="65">
        <f>+SUMIFS(사진대지!$R:$R,사진대지!$Q:$Q,"="&amp;$B32,사진대지!$Z:$Z,"="&amp;L$4)</f>
        <v>0</v>
      </c>
      <c r="M32" s="65">
        <f>+SUMIFS(사진대지!$R:$R,사진대지!$Q:$Q,"="&amp;$B32,사진대지!$Z:$Z,"="&amp;M$4)</f>
        <v>0</v>
      </c>
      <c r="N32" s="65">
        <f>+SUMIFS(사진대지!$R:$R,사진대지!$Q:$Q,"="&amp;$B32,사진대지!$Z:$Z,"="&amp;N$4)</f>
        <v>0</v>
      </c>
      <c r="O32" s="65">
        <f>+SUMIFS(사진대지!$R:$R,사진대지!$Q:$Q,"="&amp;$B32,사진대지!$Z:$Z,"="&amp;O$4)</f>
        <v>0</v>
      </c>
      <c r="P32" s="65">
        <f>+SUMIFS(사진대지!$R:$R,사진대지!$Q:$Q,"="&amp;$B32,사진대지!$Z:$Z,"="&amp;P$4)</f>
        <v>0</v>
      </c>
      <c r="Q32" s="65">
        <f>+SUMIFS(사진대지!$R:$R,사진대지!$Q:$Q,"="&amp;$B32,사진대지!$Z:$Z,"="&amp;Q$4)</f>
        <v>0</v>
      </c>
      <c r="R32" s="65">
        <f>+SUMIFS(사진대지!$R:$R,사진대지!$Q:$Q,"="&amp;$B32,사진대지!$Z:$Z,"="&amp;R$4)</f>
        <v>0</v>
      </c>
      <c r="S32" s="65">
        <f>+SUMIFS(사진대지!$R:$R,사진대지!$Q:$Q,"="&amp;$B32,사진대지!$Z:$Z,"="&amp;S$4)</f>
        <v>0</v>
      </c>
      <c r="T32" s="65">
        <f>+SUMIFS(사진대지!$R:$R,사진대지!$Q:$Q,"="&amp;$B32,사진대지!$Z:$Z,"="&amp;T$4)</f>
        <v>0</v>
      </c>
      <c r="U32" s="65">
        <f>+SUMIFS(사진대지!$R:$R,사진대지!$Q:$Q,"="&amp;$B32,사진대지!$Z:$Z,"="&amp;U$4)</f>
        <v>0</v>
      </c>
      <c r="V32" s="70"/>
      <c r="W32" s="73" t="str">
        <f t="shared" ref="W32" si="9">B32</f>
        <v>금속관입상450</v>
      </c>
      <c r="X32" s="88">
        <f t="shared" ref="X32" si="10">+SUM(C32:U32)</f>
        <v>0</v>
      </c>
      <c r="Y32" s="68"/>
      <c r="Z32" s="68"/>
      <c r="AA32" s="74" t="str">
        <f t="shared" ref="AA32" si="11">W32</f>
        <v>금속관입상450</v>
      </c>
      <c r="AB32" s="92">
        <f>누계!Q32+X32</f>
        <v>0</v>
      </c>
    </row>
    <row r="33" spans="1:28" ht="20.100000000000001" customHeight="1" x14ac:dyDescent="0.3">
      <c r="A33" s="3"/>
      <c r="B33" s="21" t="s">
        <v>97</v>
      </c>
      <c r="C33" s="64">
        <f>+SUMIFS(사진대지!$R:$R,사진대지!$Q:$Q,"="&amp;$B33,사진대지!$Z:$Z,"="&amp;C$4)</f>
        <v>0</v>
      </c>
      <c r="D33" s="64">
        <f>+SUMIFS(사진대지!$R:$R,사진대지!$Q:$Q,"="&amp;$B33,사진대지!$Z:$Z,"="&amp;D$4)</f>
        <v>0</v>
      </c>
      <c r="E33" s="65">
        <f>+SUMIFS(사진대지!$R:$R,사진대지!$Q:$Q,"="&amp;$B33,사진대지!$Z:$Z,"="&amp;E$4)</f>
        <v>0</v>
      </c>
      <c r="F33" s="65">
        <f>+SUMIFS(사진대지!$R:$R,사진대지!$Q:$Q,"="&amp;$B33,사진대지!$Z:$Z,"="&amp;F$4)</f>
        <v>0</v>
      </c>
      <c r="G33" s="65">
        <f>+SUMIFS(사진대지!$R:$R,사진대지!$Q:$Q,"="&amp;$B33,사진대지!$Z:$Z,"="&amp;G$4)</f>
        <v>0</v>
      </c>
      <c r="H33" s="65">
        <f>+SUMIFS(사진대지!$R:$R,사진대지!$Q:$Q,"="&amp;$B33,사진대지!$Z:$Z,"="&amp;H$4)</f>
        <v>0</v>
      </c>
      <c r="I33" s="65">
        <f>+SUMIFS(사진대지!$R:$R,사진대지!$Q:$Q,"="&amp;$B33,사진대지!$Z:$Z,"="&amp;I$4)</f>
        <v>0</v>
      </c>
      <c r="J33" s="65">
        <f>+SUMIFS(사진대지!$R:$R,사진대지!$Q:$Q,"="&amp;$B33,사진대지!$Z:$Z,"="&amp;J$4)</f>
        <v>0</v>
      </c>
      <c r="K33" s="65">
        <f>+SUMIFS(사진대지!$R:$R,사진대지!$Q:$Q,"="&amp;$B33,사진대지!$Z:$Z,"="&amp;K$4)</f>
        <v>0</v>
      </c>
      <c r="L33" s="65">
        <f>+SUMIFS(사진대지!$R:$R,사진대지!$Q:$Q,"="&amp;$B33,사진대지!$Z:$Z,"="&amp;L$4)</f>
        <v>0</v>
      </c>
      <c r="M33" s="65">
        <f>+SUMIFS(사진대지!$R:$R,사진대지!$Q:$Q,"="&amp;$B33,사진대지!$Z:$Z,"="&amp;M$4)</f>
        <v>0</v>
      </c>
      <c r="N33" s="65">
        <f>+SUMIFS(사진대지!$R:$R,사진대지!$Q:$Q,"="&amp;$B33,사진대지!$Z:$Z,"="&amp;N$4)</f>
        <v>0</v>
      </c>
      <c r="O33" s="65">
        <f>+SUMIFS(사진대지!$R:$R,사진대지!$Q:$Q,"="&amp;$B33,사진대지!$Z:$Z,"="&amp;O$4)</f>
        <v>0</v>
      </c>
      <c r="P33" s="65">
        <f>+SUMIFS(사진대지!$R:$R,사진대지!$Q:$Q,"="&amp;$B33,사진대지!$Z:$Z,"="&amp;P$4)</f>
        <v>0</v>
      </c>
      <c r="Q33" s="65">
        <f>+SUMIFS(사진대지!$R:$R,사진대지!$Q:$Q,"="&amp;$B33,사진대지!$Z:$Z,"="&amp;Q$4)</f>
        <v>0</v>
      </c>
      <c r="R33" s="65">
        <f>+SUMIFS(사진대지!$R:$R,사진대지!$Q:$Q,"="&amp;$B33,사진대지!$Z:$Z,"="&amp;R$4)</f>
        <v>0</v>
      </c>
      <c r="S33" s="65">
        <f>+SUMIFS(사진대지!$R:$R,사진대지!$Q:$Q,"="&amp;$B33,사진대지!$Z:$Z,"="&amp;S$4)</f>
        <v>0</v>
      </c>
      <c r="T33" s="65">
        <f>+SUMIFS(사진대지!$R:$R,사진대지!$Q:$Q,"="&amp;$B33,사진대지!$Z:$Z,"="&amp;T$4)</f>
        <v>0</v>
      </c>
      <c r="U33" s="65">
        <f>+SUMIFS(사진대지!$R:$R,사진대지!$Q:$Q,"="&amp;$B33,사진대지!$Z:$Z,"="&amp;U$4)</f>
        <v>0</v>
      </c>
      <c r="V33" s="70"/>
      <c r="W33" s="73" t="str">
        <f t="shared" si="0"/>
        <v>금속관입상500</v>
      </c>
      <c r="X33" s="88">
        <f t="shared" si="1"/>
        <v>0</v>
      </c>
      <c r="Y33" s="68"/>
      <c r="Z33" s="68"/>
      <c r="AA33" s="74" t="str">
        <f t="shared" si="2"/>
        <v>금속관입상500</v>
      </c>
      <c r="AB33" s="92">
        <f>누계!Q33+X33</f>
        <v>0</v>
      </c>
    </row>
    <row r="34" spans="1:28" ht="20.100000000000001" customHeight="1" x14ac:dyDescent="0.3">
      <c r="A34" s="3"/>
      <c r="B34" s="21" t="s">
        <v>89</v>
      </c>
      <c r="C34" s="64">
        <f>+SUMIFS(사진대지!$R:$R,사진대지!$Q:$Q,"="&amp;$B34,사진대지!$Z:$Z,"="&amp;C$4)</f>
        <v>0</v>
      </c>
      <c r="D34" s="64">
        <f>+SUMIFS(사진대지!$R:$R,사진대지!$Q:$Q,"="&amp;$B34,사진대지!$Z:$Z,"="&amp;D$4)</f>
        <v>0</v>
      </c>
      <c r="E34" s="65">
        <f>+SUMIFS(사진대지!$R:$R,사진대지!$Q:$Q,"="&amp;$B34,사진대지!$Z:$Z,"="&amp;E$4)</f>
        <v>0</v>
      </c>
      <c r="F34" s="65">
        <f>+SUMIFS(사진대지!$R:$R,사진대지!$Q:$Q,"="&amp;$B34,사진대지!$Z:$Z,"="&amp;F$4)</f>
        <v>0</v>
      </c>
      <c r="G34" s="65">
        <f>+SUMIFS(사진대지!$R:$R,사진대지!$Q:$Q,"="&amp;$B34,사진대지!$Z:$Z,"="&amp;G$4)</f>
        <v>0</v>
      </c>
      <c r="H34" s="65">
        <f>+SUMIFS(사진대지!$R:$R,사진대지!$Q:$Q,"="&amp;$B34,사진대지!$Z:$Z,"="&amp;H$4)</f>
        <v>0</v>
      </c>
      <c r="I34" s="65">
        <f>+SUMIFS(사진대지!$R:$R,사진대지!$Q:$Q,"="&amp;$B34,사진대지!$Z:$Z,"="&amp;I$4)</f>
        <v>0</v>
      </c>
      <c r="J34" s="65">
        <f>+SUMIFS(사진대지!$R:$R,사진대지!$Q:$Q,"="&amp;$B34,사진대지!$Z:$Z,"="&amp;J$4)</f>
        <v>0</v>
      </c>
      <c r="K34" s="65">
        <f>+SUMIFS(사진대지!$R:$R,사진대지!$Q:$Q,"="&amp;$B34,사진대지!$Z:$Z,"="&amp;K$4)</f>
        <v>0</v>
      </c>
      <c r="L34" s="65">
        <f>+SUMIFS(사진대지!$R:$R,사진대지!$Q:$Q,"="&amp;$B34,사진대지!$Z:$Z,"="&amp;L$4)</f>
        <v>0</v>
      </c>
      <c r="M34" s="65">
        <f>+SUMIFS(사진대지!$R:$R,사진대지!$Q:$Q,"="&amp;$B34,사진대지!$Z:$Z,"="&amp;M$4)</f>
        <v>0</v>
      </c>
      <c r="N34" s="65">
        <f>+SUMIFS(사진대지!$R:$R,사진대지!$Q:$Q,"="&amp;$B34,사진대지!$Z:$Z,"="&amp;N$4)</f>
        <v>0</v>
      </c>
      <c r="O34" s="65">
        <f>+SUMIFS(사진대지!$R:$R,사진대지!$Q:$Q,"="&amp;$B34,사진대지!$Z:$Z,"="&amp;O$4)</f>
        <v>0</v>
      </c>
      <c r="P34" s="65">
        <f>+SUMIFS(사진대지!$R:$R,사진대지!$Q:$Q,"="&amp;$B34,사진대지!$Z:$Z,"="&amp;P$4)</f>
        <v>0</v>
      </c>
      <c r="Q34" s="65">
        <f>+SUMIFS(사진대지!$R:$R,사진대지!$Q:$Q,"="&amp;$B34,사진대지!$Z:$Z,"="&amp;Q$4)</f>
        <v>0</v>
      </c>
      <c r="R34" s="65">
        <f>+SUMIFS(사진대지!$R:$R,사진대지!$Q:$Q,"="&amp;$B34,사진대지!$Z:$Z,"="&amp;R$4)</f>
        <v>0</v>
      </c>
      <c r="S34" s="65">
        <f>+SUMIFS(사진대지!$R:$R,사진대지!$Q:$Q,"="&amp;$B34,사진대지!$Z:$Z,"="&amp;S$4)</f>
        <v>0</v>
      </c>
      <c r="T34" s="65">
        <f>+SUMIFS(사진대지!$R:$R,사진대지!$Q:$Q,"="&amp;$B34,사진대지!$Z:$Z,"="&amp;T$4)</f>
        <v>0</v>
      </c>
      <c r="U34" s="65">
        <f>+SUMIFS(사진대지!$R:$R,사진대지!$Q:$Q,"="&amp;$B34,사진대지!$Z:$Z,"="&amp;U$4)</f>
        <v>0</v>
      </c>
      <c r="V34" s="70"/>
      <c r="W34" s="73" t="str">
        <f t="shared" ref="W34" si="12">B34</f>
        <v>스파이럴입상100</v>
      </c>
      <c r="X34" s="88">
        <f t="shared" ref="X34" si="13">+SUM(C34:U34)</f>
        <v>0</v>
      </c>
      <c r="Y34" s="68"/>
      <c r="Z34" s="68"/>
      <c r="AA34" s="74" t="str">
        <f t="shared" ref="AA34" si="14">W34</f>
        <v>스파이럴입상100</v>
      </c>
      <c r="AB34" s="92">
        <f>누계!Q34+X34</f>
        <v>0</v>
      </c>
    </row>
    <row r="35" spans="1:28" ht="20.100000000000001" customHeight="1" x14ac:dyDescent="0.3">
      <c r="A35" s="3"/>
      <c r="B35" s="21" t="s">
        <v>60</v>
      </c>
      <c r="C35" s="64">
        <f>+SUMIFS(사진대지!$R:$R,사진대지!$Q:$Q,"="&amp;$B35,사진대지!$Z:$Z,"="&amp;C$4)</f>
        <v>0</v>
      </c>
      <c r="D35" s="64">
        <f>+SUMIFS(사진대지!$R:$R,사진대지!$Q:$Q,"="&amp;$B35,사진대지!$Z:$Z,"="&amp;D$4)</f>
        <v>0</v>
      </c>
      <c r="E35" s="65">
        <f>+SUMIFS(사진대지!$R:$R,사진대지!$Q:$Q,"="&amp;$B35,사진대지!$Z:$Z,"="&amp;E$4)</f>
        <v>0</v>
      </c>
      <c r="F35" s="65">
        <f>+SUMIFS(사진대지!$R:$R,사진대지!$Q:$Q,"="&amp;$B35,사진대지!$Z:$Z,"="&amp;F$4)</f>
        <v>0</v>
      </c>
      <c r="G35" s="65">
        <f>+SUMIFS(사진대지!$R:$R,사진대지!$Q:$Q,"="&amp;$B35,사진대지!$Z:$Z,"="&amp;G$4)</f>
        <v>0</v>
      </c>
      <c r="H35" s="65">
        <f>+SUMIFS(사진대지!$R:$R,사진대지!$Q:$Q,"="&amp;$B35,사진대지!$Z:$Z,"="&amp;H$4)</f>
        <v>0</v>
      </c>
      <c r="I35" s="65">
        <f>+SUMIFS(사진대지!$R:$R,사진대지!$Q:$Q,"="&amp;$B35,사진대지!$Z:$Z,"="&amp;I$4)</f>
        <v>0</v>
      </c>
      <c r="J35" s="65">
        <f>+SUMIFS(사진대지!$R:$R,사진대지!$Q:$Q,"="&amp;$B35,사진대지!$Z:$Z,"="&amp;J$4)</f>
        <v>0</v>
      </c>
      <c r="K35" s="65">
        <f>+SUMIFS(사진대지!$R:$R,사진대지!$Q:$Q,"="&amp;$B35,사진대지!$Z:$Z,"="&amp;K$4)</f>
        <v>0</v>
      </c>
      <c r="L35" s="65">
        <f>+SUMIFS(사진대지!$R:$R,사진대지!$Q:$Q,"="&amp;$B35,사진대지!$Z:$Z,"="&amp;L$4)</f>
        <v>0</v>
      </c>
      <c r="M35" s="65">
        <f>+SUMIFS(사진대지!$R:$R,사진대지!$Q:$Q,"="&amp;$B35,사진대지!$Z:$Z,"="&amp;M$4)</f>
        <v>0</v>
      </c>
      <c r="N35" s="65">
        <f>+SUMIFS(사진대지!$R:$R,사진대지!$Q:$Q,"="&amp;$B35,사진대지!$Z:$Z,"="&amp;N$4)</f>
        <v>0</v>
      </c>
      <c r="O35" s="65">
        <f>+SUMIFS(사진대지!$R:$R,사진대지!$Q:$Q,"="&amp;$B35,사진대지!$Z:$Z,"="&amp;O$4)</f>
        <v>0</v>
      </c>
      <c r="P35" s="65">
        <f>+SUMIFS(사진대지!$R:$R,사진대지!$Q:$Q,"="&amp;$B35,사진대지!$Z:$Z,"="&amp;P$4)</f>
        <v>0</v>
      </c>
      <c r="Q35" s="65">
        <f>+SUMIFS(사진대지!$R:$R,사진대지!$Q:$Q,"="&amp;$B35,사진대지!$Z:$Z,"="&amp;Q$4)</f>
        <v>0</v>
      </c>
      <c r="R35" s="65">
        <f>+SUMIFS(사진대지!$R:$R,사진대지!$Q:$Q,"="&amp;$B35,사진대지!$Z:$Z,"="&amp;R$4)</f>
        <v>0</v>
      </c>
      <c r="S35" s="65">
        <f>+SUMIFS(사진대지!$R:$R,사진대지!$Q:$Q,"="&amp;$B35,사진대지!$Z:$Z,"="&amp;S$4)</f>
        <v>0</v>
      </c>
      <c r="T35" s="65">
        <f>+SUMIFS(사진대지!$R:$R,사진대지!$Q:$Q,"="&amp;$B35,사진대지!$Z:$Z,"="&amp;T$4)</f>
        <v>0</v>
      </c>
      <c r="U35" s="65">
        <f>+SUMIFS(사진대지!$R:$R,사진대지!$Q:$Q,"="&amp;$B35,사진대지!$Z:$Z,"="&amp;U$4)</f>
        <v>0</v>
      </c>
      <c r="V35" s="70"/>
      <c r="W35" s="73" t="str">
        <f>B35</f>
        <v>스파이럴입상150</v>
      </c>
      <c r="X35" s="88">
        <f>+SUM(C35:U35)</f>
        <v>0</v>
      </c>
      <c r="Y35" s="68"/>
      <c r="Z35" s="68"/>
      <c r="AA35" s="74" t="str">
        <f>W35</f>
        <v>스파이럴입상150</v>
      </c>
      <c r="AB35" s="92">
        <f>누계!Q35+X35</f>
        <v>0</v>
      </c>
    </row>
    <row r="36" spans="1:28" ht="20.100000000000001" customHeight="1" x14ac:dyDescent="0.3">
      <c r="A36" s="3"/>
      <c r="B36" s="21" t="s">
        <v>61</v>
      </c>
      <c r="C36" s="64">
        <f>+SUMIFS(사진대지!$R:$R,사진대지!$Q:$Q,"="&amp;$B36,사진대지!$Z:$Z,"="&amp;C$4)</f>
        <v>0</v>
      </c>
      <c r="D36" s="64">
        <f>+SUMIFS(사진대지!$R:$R,사진대지!$Q:$Q,"="&amp;$B36,사진대지!$Z:$Z,"="&amp;D$4)</f>
        <v>0</v>
      </c>
      <c r="E36" s="65">
        <f>+SUMIFS(사진대지!$R:$R,사진대지!$Q:$Q,"="&amp;$B36,사진대지!$Z:$Z,"="&amp;E$4)</f>
        <v>0</v>
      </c>
      <c r="F36" s="65">
        <f>+SUMIFS(사진대지!$R:$R,사진대지!$Q:$Q,"="&amp;$B36,사진대지!$Z:$Z,"="&amp;F$4)</f>
        <v>0</v>
      </c>
      <c r="G36" s="65">
        <f>+SUMIFS(사진대지!$R:$R,사진대지!$Q:$Q,"="&amp;$B36,사진대지!$Z:$Z,"="&amp;G$4)</f>
        <v>0</v>
      </c>
      <c r="H36" s="65">
        <f>+SUMIFS(사진대지!$R:$R,사진대지!$Q:$Q,"="&amp;$B36,사진대지!$Z:$Z,"="&amp;H$4)</f>
        <v>0</v>
      </c>
      <c r="I36" s="65">
        <f>+SUMIFS(사진대지!$R:$R,사진대지!$Q:$Q,"="&amp;$B36,사진대지!$Z:$Z,"="&amp;I$4)</f>
        <v>0</v>
      </c>
      <c r="J36" s="65">
        <f>+SUMIFS(사진대지!$R:$R,사진대지!$Q:$Q,"="&amp;$B36,사진대지!$Z:$Z,"="&amp;J$4)</f>
        <v>0</v>
      </c>
      <c r="K36" s="65">
        <f>+SUMIFS(사진대지!$R:$R,사진대지!$Q:$Q,"="&amp;$B36,사진대지!$Z:$Z,"="&amp;K$4)</f>
        <v>0</v>
      </c>
      <c r="L36" s="65">
        <f>+SUMIFS(사진대지!$R:$R,사진대지!$Q:$Q,"="&amp;$B36,사진대지!$Z:$Z,"="&amp;L$4)</f>
        <v>0</v>
      </c>
      <c r="M36" s="65">
        <f>+SUMIFS(사진대지!$R:$R,사진대지!$Q:$Q,"="&amp;$B36,사진대지!$Z:$Z,"="&amp;M$4)</f>
        <v>0</v>
      </c>
      <c r="N36" s="65">
        <f>+SUMIFS(사진대지!$R:$R,사진대지!$Q:$Q,"="&amp;$B36,사진대지!$Z:$Z,"="&amp;N$4)</f>
        <v>0</v>
      </c>
      <c r="O36" s="65">
        <f>+SUMIFS(사진대지!$R:$R,사진대지!$Q:$Q,"="&amp;$B36,사진대지!$Z:$Z,"="&amp;O$4)</f>
        <v>0</v>
      </c>
      <c r="P36" s="65">
        <f>+SUMIFS(사진대지!$R:$R,사진대지!$Q:$Q,"="&amp;$B36,사진대지!$Z:$Z,"="&amp;P$4)</f>
        <v>0</v>
      </c>
      <c r="Q36" s="65">
        <f>+SUMIFS(사진대지!$R:$R,사진대지!$Q:$Q,"="&amp;$B36,사진대지!$Z:$Z,"="&amp;Q$4)</f>
        <v>0</v>
      </c>
      <c r="R36" s="65">
        <f>+SUMIFS(사진대지!$R:$R,사진대지!$Q:$Q,"="&amp;$B36,사진대지!$Z:$Z,"="&amp;R$4)</f>
        <v>0</v>
      </c>
      <c r="S36" s="65">
        <f>+SUMIFS(사진대지!$R:$R,사진대지!$Q:$Q,"="&amp;$B36,사진대지!$Z:$Z,"="&amp;S$4)</f>
        <v>0</v>
      </c>
      <c r="T36" s="65">
        <f>+SUMIFS(사진대지!$R:$R,사진대지!$Q:$Q,"="&amp;$B36,사진대지!$Z:$Z,"="&amp;T$4)</f>
        <v>0</v>
      </c>
      <c r="U36" s="65">
        <f>+SUMIFS(사진대지!$R:$R,사진대지!$Q:$Q,"="&amp;$B36,사진대지!$Z:$Z,"="&amp;U$4)</f>
        <v>0</v>
      </c>
      <c r="V36" s="70"/>
      <c r="W36" s="73" t="str">
        <f>B36</f>
        <v>스파이럴입상200</v>
      </c>
      <c r="X36" s="88">
        <f>+SUM(C36:U36)</f>
        <v>0</v>
      </c>
      <c r="Y36" s="68"/>
      <c r="Z36" s="68"/>
      <c r="AA36" s="74" t="str">
        <f>W36</f>
        <v>스파이럴입상200</v>
      </c>
      <c r="AB36" s="92">
        <f>누계!Q36+X36</f>
        <v>0</v>
      </c>
    </row>
    <row r="37" spans="1:28" ht="20.100000000000001" customHeight="1" x14ac:dyDescent="0.3">
      <c r="A37" s="3"/>
      <c r="B37" s="21" t="s">
        <v>87</v>
      </c>
      <c r="C37" s="64">
        <f>+SUMIFS(사진대지!$R:$R,사진대지!$Q:$Q,"="&amp;$B37,사진대지!$Z:$Z,"="&amp;C$4)</f>
        <v>0</v>
      </c>
      <c r="D37" s="64">
        <f>+SUMIFS(사진대지!$R:$R,사진대지!$Q:$Q,"="&amp;$B37,사진대지!$Z:$Z,"="&amp;D$4)</f>
        <v>0</v>
      </c>
      <c r="E37" s="65">
        <f>+SUMIFS(사진대지!$R:$R,사진대지!$Q:$Q,"="&amp;$B37,사진대지!$Z:$Z,"="&amp;E$4)</f>
        <v>0</v>
      </c>
      <c r="F37" s="65">
        <f>+SUMIFS(사진대지!$R:$R,사진대지!$Q:$Q,"="&amp;$B37,사진대지!$Z:$Z,"="&amp;F$4)</f>
        <v>0</v>
      </c>
      <c r="G37" s="65">
        <f>+SUMIFS(사진대지!$R:$R,사진대지!$Q:$Q,"="&amp;$B37,사진대지!$Z:$Z,"="&amp;G$4)</f>
        <v>0</v>
      </c>
      <c r="H37" s="65">
        <f>+SUMIFS(사진대지!$R:$R,사진대지!$Q:$Q,"="&amp;$B37,사진대지!$Z:$Z,"="&amp;H$4)</f>
        <v>0</v>
      </c>
      <c r="I37" s="65">
        <f>+SUMIFS(사진대지!$R:$R,사진대지!$Q:$Q,"="&amp;$B37,사진대지!$Z:$Z,"="&amp;I$4)</f>
        <v>0</v>
      </c>
      <c r="J37" s="65">
        <f>+SUMIFS(사진대지!$R:$R,사진대지!$Q:$Q,"="&amp;$B37,사진대지!$Z:$Z,"="&amp;J$4)</f>
        <v>0</v>
      </c>
      <c r="K37" s="65">
        <f>+SUMIFS(사진대지!$R:$R,사진대지!$Q:$Q,"="&amp;$B37,사진대지!$Z:$Z,"="&amp;K$4)</f>
        <v>0</v>
      </c>
      <c r="L37" s="65">
        <f>+SUMIFS(사진대지!$R:$R,사진대지!$Q:$Q,"="&amp;$B37,사진대지!$Z:$Z,"="&amp;L$4)</f>
        <v>0</v>
      </c>
      <c r="M37" s="65">
        <f>+SUMIFS(사진대지!$R:$R,사진대지!$Q:$Q,"="&amp;$B37,사진대지!$Z:$Z,"="&amp;M$4)</f>
        <v>0</v>
      </c>
      <c r="N37" s="65">
        <f>+SUMIFS(사진대지!$R:$R,사진대지!$Q:$Q,"="&amp;$B37,사진대지!$Z:$Z,"="&amp;N$4)</f>
        <v>0</v>
      </c>
      <c r="O37" s="65">
        <f>+SUMIFS(사진대지!$R:$R,사진대지!$Q:$Q,"="&amp;$B37,사진대지!$Z:$Z,"="&amp;O$4)</f>
        <v>0</v>
      </c>
      <c r="P37" s="65">
        <f>+SUMIFS(사진대지!$R:$R,사진대지!$Q:$Q,"="&amp;$B37,사진대지!$Z:$Z,"="&amp;P$4)</f>
        <v>0</v>
      </c>
      <c r="Q37" s="65">
        <f>+SUMIFS(사진대지!$R:$R,사진대지!$Q:$Q,"="&amp;$B37,사진대지!$Z:$Z,"="&amp;Q$4)</f>
        <v>0</v>
      </c>
      <c r="R37" s="65">
        <f>+SUMIFS(사진대지!$R:$R,사진대지!$Q:$Q,"="&amp;$B37,사진대지!$Z:$Z,"="&amp;R$4)</f>
        <v>0</v>
      </c>
      <c r="S37" s="65">
        <f>+SUMIFS(사진대지!$R:$R,사진대지!$Q:$Q,"="&amp;$B37,사진대지!$Z:$Z,"="&amp;S$4)</f>
        <v>0</v>
      </c>
      <c r="T37" s="65">
        <f>+SUMIFS(사진대지!$R:$R,사진대지!$Q:$Q,"="&amp;$B37,사진대지!$Z:$Z,"="&amp;T$4)</f>
        <v>0</v>
      </c>
      <c r="U37" s="65">
        <f>+SUMIFS(사진대지!$R:$R,사진대지!$Q:$Q,"="&amp;$B37,사진대지!$Z:$Z,"="&amp;U$4)</f>
        <v>0</v>
      </c>
      <c r="V37" s="70"/>
      <c r="W37" s="73" t="str">
        <f t="shared" ref="W37" si="15">B37</f>
        <v>스파이럴입상250</v>
      </c>
      <c r="X37" s="88">
        <f t="shared" ref="X37" si="16">+SUM(C37:U37)</f>
        <v>0</v>
      </c>
      <c r="Y37" s="68"/>
      <c r="Z37" s="68"/>
      <c r="AA37" s="74" t="str">
        <f t="shared" ref="AA37" si="17">W37</f>
        <v>스파이럴입상250</v>
      </c>
      <c r="AB37" s="92">
        <f>누계!Q37+X37</f>
        <v>0</v>
      </c>
    </row>
    <row r="38" spans="1:28" ht="20.100000000000001" customHeight="1" x14ac:dyDescent="0.3">
      <c r="A38" s="3"/>
      <c r="B38" s="21" t="s">
        <v>88</v>
      </c>
      <c r="C38" s="64">
        <f>+SUMIFS(사진대지!$R:$R,사진대지!$Q:$Q,"="&amp;$B38,사진대지!$Z:$Z,"="&amp;C$4)</f>
        <v>0</v>
      </c>
      <c r="D38" s="64">
        <f>+SUMIFS(사진대지!$R:$R,사진대지!$Q:$Q,"="&amp;$B38,사진대지!$Z:$Z,"="&amp;D$4)</f>
        <v>0</v>
      </c>
      <c r="E38" s="65">
        <f>+SUMIFS(사진대지!$R:$R,사진대지!$Q:$Q,"="&amp;$B38,사진대지!$Z:$Z,"="&amp;E$4)</f>
        <v>0</v>
      </c>
      <c r="F38" s="65">
        <f>+SUMIFS(사진대지!$R:$R,사진대지!$Q:$Q,"="&amp;$B38,사진대지!$Z:$Z,"="&amp;F$4)</f>
        <v>0</v>
      </c>
      <c r="G38" s="65">
        <f>+SUMIFS(사진대지!$R:$R,사진대지!$Q:$Q,"="&amp;$B38,사진대지!$Z:$Z,"="&amp;G$4)</f>
        <v>0</v>
      </c>
      <c r="H38" s="65">
        <f>+SUMIFS(사진대지!$R:$R,사진대지!$Q:$Q,"="&amp;$B38,사진대지!$Z:$Z,"="&amp;H$4)</f>
        <v>0</v>
      </c>
      <c r="I38" s="65">
        <f>+SUMIFS(사진대지!$R:$R,사진대지!$Q:$Q,"="&amp;$B38,사진대지!$Z:$Z,"="&amp;I$4)</f>
        <v>0</v>
      </c>
      <c r="J38" s="65">
        <f>+SUMIFS(사진대지!$R:$R,사진대지!$Q:$Q,"="&amp;$B38,사진대지!$Z:$Z,"="&amp;J$4)</f>
        <v>0</v>
      </c>
      <c r="K38" s="65">
        <f>+SUMIFS(사진대지!$R:$R,사진대지!$Q:$Q,"="&amp;$B38,사진대지!$Z:$Z,"="&amp;K$4)</f>
        <v>0</v>
      </c>
      <c r="L38" s="65">
        <f>+SUMIFS(사진대지!$R:$R,사진대지!$Q:$Q,"="&amp;$B38,사진대지!$Z:$Z,"="&amp;L$4)</f>
        <v>0</v>
      </c>
      <c r="M38" s="65">
        <f>+SUMIFS(사진대지!$R:$R,사진대지!$Q:$Q,"="&amp;$B38,사진대지!$Z:$Z,"="&amp;M$4)</f>
        <v>0</v>
      </c>
      <c r="N38" s="65">
        <f>+SUMIFS(사진대지!$R:$R,사진대지!$Q:$Q,"="&amp;$B38,사진대지!$Z:$Z,"="&amp;N$4)</f>
        <v>0</v>
      </c>
      <c r="O38" s="65">
        <f>+SUMIFS(사진대지!$R:$R,사진대지!$Q:$Q,"="&amp;$B38,사진대지!$Z:$Z,"="&amp;O$4)</f>
        <v>0</v>
      </c>
      <c r="P38" s="65">
        <f>+SUMIFS(사진대지!$R:$R,사진대지!$Q:$Q,"="&amp;$B38,사진대지!$Z:$Z,"="&amp;P$4)</f>
        <v>0</v>
      </c>
      <c r="Q38" s="65">
        <f>+SUMIFS(사진대지!$R:$R,사진대지!$Q:$Q,"="&amp;$B38,사진대지!$Z:$Z,"="&amp;Q$4)</f>
        <v>0</v>
      </c>
      <c r="R38" s="65">
        <f>+SUMIFS(사진대지!$R:$R,사진대지!$Q:$Q,"="&amp;$B38,사진대지!$Z:$Z,"="&amp;R$4)</f>
        <v>0</v>
      </c>
      <c r="S38" s="65">
        <f>+SUMIFS(사진대지!$R:$R,사진대지!$Q:$Q,"="&amp;$B38,사진대지!$Z:$Z,"="&amp;S$4)</f>
        <v>0</v>
      </c>
      <c r="T38" s="65">
        <f>+SUMIFS(사진대지!$R:$R,사진대지!$Q:$Q,"="&amp;$B38,사진대지!$Z:$Z,"="&amp;T$4)</f>
        <v>0</v>
      </c>
      <c r="U38" s="65">
        <f>+SUMIFS(사진대지!$R:$R,사진대지!$Q:$Q,"="&amp;$B38,사진대지!$Z:$Z,"="&amp;U$4)</f>
        <v>0</v>
      </c>
      <c r="V38" s="70"/>
      <c r="W38" s="73" t="str">
        <f>B38</f>
        <v>스파이럴입상300</v>
      </c>
      <c r="X38" s="88">
        <f>+SUM(C38:U38)</f>
        <v>0</v>
      </c>
      <c r="Y38" s="68"/>
      <c r="Z38" s="68"/>
      <c r="AA38" s="74" t="str">
        <f>W38</f>
        <v>스파이럴입상300</v>
      </c>
      <c r="AB38" s="92">
        <f>누계!Q38+X38</f>
        <v>0</v>
      </c>
    </row>
    <row r="39" spans="1:28" ht="20.100000000000001" customHeight="1" x14ac:dyDescent="0.3">
      <c r="A39" s="3"/>
      <c r="B39" s="4" t="s">
        <v>15</v>
      </c>
      <c r="C39" s="66">
        <f>+SUMIFS(사진대지!$R:$R,사진대지!$Q:$Q,"="&amp;$B39,사진대지!$Z:$Z,"="&amp;C$4)</f>
        <v>0</v>
      </c>
      <c r="D39" s="66">
        <f>+SUMIFS(사진대지!$R:$R,사진대지!$Q:$Q,"="&amp;$B39,사진대지!$Z:$Z,"="&amp;D$4)</f>
        <v>0</v>
      </c>
      <c r="E39" s="67">
        <f>+SUMIFS(사진대지!$R:$R,사진대지!$Q:$Q,"="&amp;$B39,사진대지!$Z:$Z,"="&amp;E$4)</f>
        <v>0</v>
      </c>
      <c r="F39" s="67">
        <f>+SUMIFS(사진대지!$R:$R,사진대지!$Q:$Q,"="&amp;$B39,사진대지!$Z:$Z,"="&amp;F$4)</f>
        <v>0</v>
      </c>
      <c r="G39" s="67">
        <f>+SUMIFS(사진대지!$R:$R,사진대지!$Q:$Q,"="&amp;$B39,사진대지!$Z:$Z,"="&amp;G$4)</f>
        <v>0</v>
      </c>
      <c r="H39" s="67">
        <f>+SUMIFS(사진대지!$R:$R,사진대지!$Q:$Q,"="&amp;$B39,사진대지!$Z:$Z,"="&amp;H$4)</f>
        <v>0</v>
      </c>
      <c r="I39" s="67">
        <f>+SUMIFS(사진대지!$R:$R,사진대지!$Q:$Q,"="&amp;$B39,사진대지!$Z:$Z,"="&amp;I$4)</f>
        <v>0</v>
      </c>
      <c r="J39" s="67">
        <f>+SUMIFS(사진대지!$R:$R,사진대지!$Q:$Q,"="&amp;$B39,사진대지!$Z:$Z,"="&amp;J$4)</f>
        <v>0</v>
      </c>
      <c r="K39" s="67">
        <f>+SUMIFS(사진대지!$R:$R,사진대지!$Q:$Q,"="&amp;$B39,사진대지!$Z:$Z,"="&amp;K$4)</f>
        <v>0</v>
      </c>
      <c r="L39" s="67">
        <f>+SUMIFS(사진대지!$R:$R,사진대지!$Q:$Q,"="&amp;$B39,사진대지!$Z:$Z,"="&amp;L$4)</f>
        <v>0</v>
      </c>
      <c r="M39" s="67">
        <f>+SUMIFS(사진대지!$R:$R,사진대지!$Q:$Q,"="&amp;$B39,사진대지!$Z:$Z,"="&amp;M$4)</f>
        <v>0</v>
      </c>
      <c r="N39" s="67">
        <f>+SUMIFS(사진대지!$R:$R,사진대지!$Q:$Q,"="&amp;$B39,사진대지!$Z:$Z,"="&amp;N$4)</f>
        <v>0</v>
      </c>
      <c r="O39" s="67">
        <f>+SUMIFS(사진대지!$R:$R,사진대지!$Q:$Q,"="&amp;$B39,사진대지!$Z:$Z,"="&amp;O$4)</f>
        <v>0</v>
      </c>
      <c r="P39" s="67">
        <f>+SUMIFS(사진대지!$R:$R,사진대지!$Q:$Q,"="&amp;$B39,사진대지!$Z:$Z,"="&amp;P$4)</f>
        <v>0</v>
      </c>
      <c r="Q39" s="67">
        <f>+SUMIFS(사진대지!$R:$R,사진대지!$Q:$Q,"="&amp;$B39,사진대지!$Z:$Z,"="&amp;Q$4)</f>
        <v>0</v>
      </c>
      <c r="R39" s="67">
        <f>+SUMIFS(사진대지!$R:$R,사진대지!$Q:$Q,"="&amp;$B39,사진대지!$Z:$Z,"="&amp;R$4)</f>
        <v>0</v>
      </c>
      <c r="S39" s="67">
        <f>+SUMIFS(사진대지!$R:$R,사진대지!$Q:$Q,"="&amp;$B39,사진대지!$Z:$Z,"="&amp;S$4)</f>
        <v>0</v>
      </c>
      <c r="T39" s="67">
        <f>+SUMIFS(사진대지!$R:$R,사진대지!$Q:$Q,"="&amp;$B39,사진대지!$Z:$Z,"="&amp;T$4)</f>
        <v>0</v>
      </c>
      <c r="U39" s="67">
        <f>+SUMIFS(사진대지!$R:$R,사진대지!$Q:$Q,"="&amp;$B39,사진대지!$Z:$Z,"="&amp;U$4)</f>
        <v>0</v>
      </c>
      <c r="V39" s="70"/>
      <c r="W39" s="75" t="str">
        <f t="shared" si="0"/>
        <v>금속관벽체15</v>
      </c>
      <c r="X39" s="89">
        <f t="shared" si="1"/>
        <v>0</v>
      </c>
      <c r="Y39" s="68"/>
      <c r="Z39" s="68"/>
      <c r="AA39" s="76" t="str">
        <f t="shared" si="2"/>
        <v>금속관벽체15</v>
      </c>
      <c r="AB39" s="93">
        <f>누계!Q39+X39</f>
        <v>0</v>
      </c>
    </row>
    <row r="40" spans="1:28" ht="20.100000000000001" customHeight="1" x14ac:dyDescent="0.3">
      <c r="A40" s="3"/>
      <c r="B40" s="4" t="s">
        <v>16</v>
      </c>
      <c r="C40" s="66">
        <f>+SUMIFS(사진대지!$R:$R,사진대지!$Q:$Q,"="&amp;$B40,사진대지!$Z:$Z,"="&amp;C$4)</f>
        <v>0</v>
      </c>
      <c r="D40" s="66">
        <f>+SUMIFS(사진대지!$R:$R,사진대지!$Q:$Q,"="&amp;$B40,사진대지!$Z:$Z,"="&amp;D$4)</f>
        <v>0</v>
      </c>
      <c r="E40" s="67">
        <f>+SUMIFS(사진대지!$R:$R,사진대지!$Q:$Q,"="&amp;$B40,사진대지!$Z:$Z,"="&amp;E$4)</f>
        <v>0</v>
      </c>
      <c r="F40" s="67">
        <f>+SUMIFS(사진대지!$R:$R,사진대지!$Q:$Q,"="&amp;$B40,사진대지!$Z:$Z,"="&amp;F$4)</f>
        <v>0</v>
      </c>
      <c r="G40" s="67">
        <f>+SUMIFS(사진대지!$R:$R,사진대지!$Q:$Q,"="&amp;$B40,사진대지!$Z:$Z,"="&amp;G$4)</f>
        <v>0</v>
      </c>
      <c r="H40" s="67">
        <f>+SUMIFS(사진대지!$R:$R,사진대지!$Q:$Q,"="&amp;$B40,사진대지!$Z:$Z,"="&amp;H$4)</f>
        <v>0</v>
      </c>
      <c r="I40" s="67">
        <f>+SUMIFS(사진대지!$R:$R,사진대지!$Q:$Q,"="&amp;$B40,사진대지!$Z:$Z,"="&amp;I$4)</f>
        <v>0</v>
      </c>
      <c r="J40" s="67">
        <f>+SUMIFS(사진대지!$R:$R,사진대지!$Q:$Q,"="&amp;$B40,사진대지!$Z:$Z,"="&amp;J$4)</f>
        <v>0</v>
      </c>
      <c r="K40" s="67">
        <f>+SUMIFS(사진대지!$R:$R,사진대지!$Q:$Q,"="&amp;$B40,사진대지!$Z:$Z,"="&amp;K$4)</f>
        <v>0</v>
      </c>
      <c r="L40" s="67">
        <f>+SUMIFS(사진대지!$R:$R,사진대지!$Q:$Q,"="&amp;$B40,사진대지!$Z:$Z,"="&amp;L$4)</f>
        <v>0</v>
      </c>
      <c r="M40" s="67">
        <f>+SUMIFS(사진대지!$R:$R,사진대지!$Q:$Q,"="&amp;$B40,사진대지!$Z:$Z,"="&amp;M$4)</f>
        <v>0</v>
      </c>
      <c r="N40" s="67">
        <f>+SUMIFS(사진대지!$R:$R,사진대지!$Q:$Q,"="&amp;$B40,사진대지!$Z:$Z,"="&amp;N$4)</f>
        <v>0</v>
      </c>
      <c r="O40" s="67">
        <f>+SUMIFS(사진대지!$R:$R,사진대지!$Q:$Q,"="&amp;$B40,사진대지!$Z:$Z,"="&amp;O$4)</f>
        <v>0</v>
      </c>
      <c r="P40" s="67">
        <f>+SUMIFS(사진대지!$R:$R,사진대지!$Q:$Q,"="&amp;$B40,사진대지!$Z:$Z,"="&amp;P$4)</f>
        <v>0</v>
      </c>
      <c r="Q40" s="67">
        <f>+SUMIFS(사진대지!$R:$R,사진대지!$Q:$Q,"="&amp;$B40,사진대지!$Z:$Z,"="&amp;Q$4)</f>
        <v>0</v>
      </c>
      <c r="R40" s="67">
        <f>+SUMIFS(사진대지!$R:$R,사진대지!$Q:$Q,"="&amp;$B40,사진대지!$Z:$Z,"="&amp;R$4)</f>
        <v>0</v>
      </c>
      <c r="S40" s="67">
        <f>+SUMIFS(사진대지!$R:$R,사진대지!$Q:$Q,"="&amp;$B40,사진대지!$Z:$Z,"="&amp;S$4)</f>
        <v>0</v>
      </c>
      <c r="T40" s="67">
        <f>+SUMIFS(사진대지!$R:$R,사진대지!$Q:$Q,"="&amp;$B40,사진대지!$Z:$Z,"="&amp;T$4)</f>
        <v>0</v>
      </c>
      <c r="U40" s="67">
        <f>+SUMIFS(사진대지!$R:$R,사진대지!$Q:$Q,"="&amp;$B40,사진대지!$Z:$Z,"="&amp;U$4)</f>
        <v>0</v>
      </c>
      <c r="V40" s="70"/>
      <c r="W40" s="75" t="str">
        <f t="shared" si="0"/>
        <v>금속관벽체20</v>
      </c>
      <c r="X40" s="89">
        <f t="shared" si="1"/>
        <v>0</v>
      </c>
      <c r="Y40" s="68"/>
      <c r="Z40" s="68"/>
      <c r="AA40" s="76" t="str">
        <f t="shared" si="2"/>
        <v>금속관벽체20</v>
      </c>
      <c r="AB40" s="93">
        <f>누계!Q40+X40</f>
        <v>33.5</v>
      </c>
    </row>
    <row r="41" spans="1:28" ht="20.100000000000001" customHeight="1" x14ac:dyDescent="0.3">
      <c r="A41" s="3"/>
      <c r="B41" s="4" t="s">
        <v>17</v>
      </c>
      <c r="C41" s="66">
        <f>+SUMIFS(사진대지!$R:$R,사진대지!$Q:$Q,"="&amp;$B41,사진대지!$Z:$Z,"="&amp;C$4)</f>
        <v>0</v>
      </c>
      <c r="D41" s="66">
        <f>+SUMIFS(사진대지!$R:$R,사진대지!$Q:$Q,"="&amp;$B41,사진대지!$Z:$Z,"="&amp;D$4)</f>
        <v>0</v>
      </c>
      <c r="E41" s="67">
        <f>+SUMIFS(사진대지!$R:$R,사진대지!$Q:$Q,"="&amp;$B41,사진대지!$Z:$Z,"="&amp;E$4)</f>
        <v>0</v>
      </c>
      <c r="F41" s="67">
        <f>+SUMIFS(사진대지!$R:$R,사진대지!$Q:$Q,"="&amp;$B41,사진대지!$Z:$Z,"="&amp;F$4)</f>
        <v>0</v>
      </c>
      <c r="G41" s="67">
        <f>+SUMIFS(사진대지!$R:$R,사진대지!$Q:$Q,"="&amp;$B41,사진대지!$Z:$Z,"="&amp;G$4)</f>
        <v>0</v>
      </c>
      <c r="H41" s="67">
        <f>+SUMIFS(사진대지!$R:$R,사진대지!$Q:$Q,"="&amp;$B41,사진대지!$Z:$Z,"="&amp;H$4)</f>
        <v>0</v>
      </c>
      <c r="I41" s="67">
        <f>+SUMIFS(사진대지!$R:$R,사진대지!$Q:$Q,"="&amp;$B41,사진대지!$Z:$Z,"="&amp;I$4)</f>
        <v>0</v>
      </c>
      <c r="J41" s="67">
        <f>+SUMIFS(사진대지!$R:$R,사진대지!$Q:$Q,"="&amp;$B41,사진대지!$Z:$Z,"="&amp;J$4)</f>
        <v>0</v>
      </c>
      <c r="K41" s="67">
        <f>+SUMIFS(사진대지!$R:$R,사진대지!$Q:$Q,"="&amp;$B41,사진대지!$Z:$Z,"="&amp;K$4)</f>
        <v>0</v>
      </c>
      <c r="L41" s="67">
        <f>+SUMIFS(사진대지!$R:$R,사진대지!$Q:$Q,"="&amp;$B41,사진대지!$Z:$Z,"="&amp;L$4)</f>
        <v>0</v>
      </c>
      <c r="M41" s="67">
        <f>+SUMIFS(사진대지!$R:$R,사진대지!$Q:$Q,"="&amp;$B41,사진대지!$Z:$Z,"="&amp;M$4)</f>
        <v>0</v>
      </c>
      <c r="N41" s="67">
        <f>+SUMIFS(사진대지!$R:$R,사진대지!$Q:$Q,"="&amp;$B41,사진대지!$Z:$Z,"="&amp;N$4)</f>
        <v>0</v>
      </c>
      <c r="O41" s="67">
        <f>+SUMIFS(사진대지!$R:$R,사진대지!$Q:$Q,"="&amp;$B41,사진대지!$Z:$Z,"="&amp;O$4)</f>
        <v>0</v>
      </c>
      <c r="P41" s="67">
        <f>+SUMIFS(사진대지!$R:$R,사진대지!$Q:$Q,"="&amp;$B41,사진대지!$Z:$Z,"="&amp;P$4)</f>
        <v>0</v>
      </c>
      <c r="Q41" s="67">
        <f>+SUMIFS(사진대지!$R:$R,사진대지!$Q:$Q,"="&amp;$B41,사진대지!$Z:$Z,"="&amp;Q$4)</f>
        <v>0</v>
      </c>
      <c r="R41" s="67">
        <f>+SUMIFS(사진대지!$R:$R,사진대지!$Q:$Q,"="&amp;$B41,사진대지!$Z:$Z,"="&amp;R$4)</f>
        <v>0</v>
      </c>
      <c r="S41" s="67">
        <f>+SUMIFS(사진대지!$R:$R,사진대지!$Q:$Q,"="&amp;$B41,사진대지!$Z:$Z,"="&amp;S$4)</f>
        <v>0</v>
      </c>
      <c r="T41" s="67">
        <f>+SUMIFS(사진대지!$R:$R,사진대지!$Q:$Q,"="&amp;$B41,사진대지!$Z:$Z,"="&amp;T$4)</f>
        <v>0</v>
      </c>
      <c r="U41" s="67">
        <f>+SUMIFS(사진대지!$R:$R,사진대지!$Q:$Q,"="&amp;$B41,사진대지!$Z:$Z,"="&amp;U$4)</f>
        <v>0</v>
      </c>
      <c r="V41" s="70"/>
      <c r="W41" s="75" t="str">
        <f t="shared" si="0"/>
        <v>금속관벽체25</v>
      </c>
      <c r="X41" s="89">
        <f t="shared" si="1"/>
        <v>0</v>
      </c>
      <c r="Y41" s="68"/>
      <c r="Z41" s="68"/>
      <c r="AA41" s="76" t="str">
        <f t="shared" si="2"/>
        <v>금속관벽체25</v>
      </c>
      <c r="AB41" s="93">
        <f>누계!Q41+X41</f>
        <v>17.5</v>
      </c>
    </row>
    <row r="42" spans="1:28" ht="20.100000000000001" customHeight="1" x14ac:dyDescent="0.3">
      <c r="A42" s="3"/>
      <c r="B42" s="4" t="s">
        <v>18</v>
      </c>
      <c r="C42" s="66">
        <f>+SUMIFS(사진대지!$R:$R,사진대지!$Q:$Q,"="&amp;$B42,사진대지!$Z:$Z,"="&amp;C$4)</f>
        <v>0</v>
      </c>
      <c r="D42" s="66">
        <f>+SUMIFS(사진대지!$R:$R,사진대지!$Q:$Q,"="&amp;$B42,사진대지!$Z:$Z,"="&amp;D$4)</f>
        <v>0</v>
      </c>
      <c r="E42" s="67">
        <f>+SUMIFS(사진대지!$R:$R,사진대지!$Q:$Q,"="&amp;$B42,사진대지!$Z:$Z,"="&amp;E$4)</f>
        <v>0</v>
      </c>
      <c r="F42" s="67">
        <f>+SUMIFS(사진대지!$R:$R,사진대지!$Q:$Q,"="&amp;$B42,사진대지!$Z:$Z,"="&amp;F$4)</f>
        <v>0</v>
      </c>
      <c r="G42" s="67">
        <f>+SUMIFS(사진대지!$R:$R,사진대지!$Q:$Q,"="&amp;$B42,사진대지!$Z:$Z,"="&amp;G$4)</f>
        <v>0</v>
      </c>
      <c r="H42" s="67">
        <f>+SUMIFS(사진대지!$R:$R,사진대지!$Q:$Q,"="&amp;$B42,사진대지!$Z:$Z,"="&amp;H$4)</f>
        <v>0</v>
      </c>
      <c r="I42" s="67">
        <f>+SUMIFS(사진대지!$R:$R,사진대지!$Q:$Q,"="&amp;$B42,사진대지!$Z:$Z,"="&amp;I$4)</f>
        <v>0</v>
      </c>
      <c r="J42" s="67">
        <f>+SUMIFS(사진대지!$R:$R,사진대지!$Q:$Q,"="&amp;$B42,사진대지!$Z:$Z,"="&amp;J$4)</f>
        <v>0</v>
      </c>
      <c r="K42" s="67">
        <f>+SUMIFS(사진대지!$R:$R,사진대지!$Q:$Q,"="&amp;$B42,사진대지!$Z:$Z,"="&amp;K$4)</f>
        <v>0</v>
      </c>
      <c r="L42" s="67">
        <f>+SUMIFS(사진대지!$R:$R,사진대지!$Q:$Q,"="&amp;$B42,사진대지!$Z:$Z,"="&amp;L$4)</f>
        <v>0</v>
      </c>
      <c r="M42" s="67">
        <f>+SUMIFS(사진대지!$R:$R,사진대지!$Q:$Q,"="&amp;$B42,사진대지!$Z:$Z,"="&amp;M$4)</f>
        <v>0</v>
      </c>
      <c r="N42" s="67">
        <f>+SUMIFS(사진대지!$R:$R,사진대지!$Q:$Q,"="&amp;$B42,사진대지!$Z:$Z,"="&amp;N$4)</f>
        <v>0</v>
      </c>
      <c r="O42" s="67">
        <f>+SUMIFS(사진대지!$R:$R,사진대지!$Q:$Q,"="&amp;$B42,사진대지!$Z:$Z,"="&amp;O$4)</f>
        <v>0</v>
      </c>
      <c r="P42" s="67">
        <f>+SUMIFS(사진대지!$R:$R,사진대지!$Q:$Q,"="&amp;$B42,사진대지!$Z:$Z,"="&amp;P$4)</f>
        <v>0</v>
      </c>
      <c r="Q42" s="67">
        <f>+SUMIFS(사진대지!$R:$R,사진대지!$Q:$Q,"="&amp;$B42,사진대지!$Z:$Z,"="&amp;Q$4)</f>
        <v>0</v>
      </c>
      <c r="R42" s="67">
        <f>+SUMIFS(사진대지!$R:$R,사진대지!$Q:$Q,"="&amp;$B42,사진대지!$Z:$Z,"="&amp;R$4)</f>
        <v>0</v>
      </c>
      <c r="S42" s="67">
        <f>+SUMIFS(사진대지!$R:$R,사진대지!$Q:$Q,"="&amp;$B42,사진대지!$Z:$Z,"="&amp;S$4)</f>
        <v>0</v>
      </c>
      <c r="T42" s="67">
        <f>+SUMIFS(사진대지!$R:$R,사진대지!$Q:$Q,"="&amp;$B42,사진대지!$Z:$Z,"="&amp;T$4)</f>
        <v>0</v>
      </c>
      <c r="U42" s="67">
        <f>+SUMIFS(사진대지!$R:$R,사진대지!$Q:$Q,"="&amp;$B42,사진대지!$Z:$Z,"="&amp;U$4)</f>
        <v>0</v>
      </c>
      <c r="V42" s="70"/>
      <c r="W42" s="75" t="str">
        <f t="shared" si="0"/>
        <v>금속관벽체32</v>
      </c>
      <c r="X42" s="89">
        <f t="shared" si="1"/>
        <v>0</v>
      </c>
      <c r="Y42" s="68"/>
      <c r="Z42" s="68"/>
      <c r="AA42" s="76" t="str">
        <f t="shared" si="2"/>
        <v>금속관벽체32</v>
      </c>
      <c r="AB42" s="93">
        <f>누계!Q42+X42</f>
        <v>18</v>
      </c>
    </row>
    <row r="43" spans="1:28" ht="20.100000000000001" customHeight="1" x14ac:dyDescent="0.3">
      <c r="A43" s="3"/>
      <c r="B43" s="4" t="s">
        <v>19</v>
      </c>
      <c r="C43" s="66">
        <f>+SUMIFS(사진대지!$R:$R,사진대지!$Q:$Q,"="&amp;$B43,사진대지!$Z:$Z,"="&amp;C$4)</f>
        <v>0</v>
      </c>
      <c r="D43" s="66">
        <f>+SUMIFS(사진대지!$R:$R,사진대지!$Q:$Q,"="&amp;$B43,사진대지!$Z:$Z,"="&amp;D$4)</f>
        <v>0</v>
      </c>
      <c r="E43" s="67">
        <f>+SUMIFS(사진대지!$R:$R,사진대지!$Q:$Q,"="&amp;$B43,사진대지!$Z:$Z,"="&amp;E$4)</f>
        <v>0</v>
      </c>
      <c r="F43" s="67">
        <f>+SUMIFS(사진대지!$R:$R,사진대지!$Q:$Q,"="&amp;$B43,사진대지!$Z:$Z,"="&amp;F$4)</f>
        <v>0</v>
      </c>
      <c r="G43" s="67">
        <f>+SUMIFS(사진대지!$R:$R,사진대지!$Q:$Q,"="&amp;$B43,사진대지!$Z:$Z,"="&amp;G$4)</f>
        <v>0</v>
      </c>
      <c r="H43" s="67">
        <f>+SUMIFS(사진대지!$R:$R,사진대지!$Q:$Q,"="&amp;$B43,사진대지!$Z:$Z,"="&amp;H$4)</f>
        <v>0</v>
      </c>
      <c r="I43" s="67">
        <f>+SUMIFS(사진대지!$R:$R,사진대지!$Q:$Q,"="&amp;$B43,사진대지!$Z:$Z,"="&amp;I$4)</f>
        <v>0</v>
      </c>
      <c r="J43" s="67">
        <f>+SUMIFS(사진대지!$R:$R,사진대지!$Q:$Q,"="&amp;$B43,사진대지!$Z:$Z,"="&amp;J$4)</f>
        <v>0</v>
      </c>
      <c r="K43" s="67">
        <f>+SUMIFS(사진대지!$R:$R,사진대지!$Q:$Q,"="&amp;$B43,사진대지!$Z:$Z,"="&amp;K$4)</f>
        <v>1</v>
      </c>
      <c r="L43" s="67">
        <f>+SUMIFS(사진대지!$R:$R,사진대지!$Q:$Q,"="&amp;$B43,사진대지!$Z:$Z,"="&amp;L$4)</f>
        <v>0</v>
      </c>
      <c r="M43" s="67">
        <f>+SUMIFS(사진대지!$R:$R,사진대지!$Q:$Q,"="&amp;$B43,사진대지!$Z:$Z,"="&amp;M$4)</f>
        <v>0</v>
      </c>
      <c r="N43" s="67">
        <f>+SUMIFS(사진대지!$R:$R,사진대지!$Q:$Q,"="&amp;$B43,사진대지!$Z:$Z,"="&amp;N$4)</f>
        <v>2</v>
      </c>
      <c r="O43" s="67">
        <f>+SUMIFS(사진대지!$R:$R,사진대지!$Q:$Q,"="&amp;$B43,사진대지!$Z:$Z,"="&amp;O$4)</f>
        <v>0</v>
      </c>
      <c r="P43" s="67">
        <f>+SUMIFS(사진대지!$R:$R,사진대지!$Q:$Q,"="&amp;$B43,사진대지!$Z:$Z,"="&amp;P$4)</f>
        <v>0</v>
      </c>
      <c r="Q43" s="67">
        <f>+SUMIFS(사진대지!$R:$R,사진대지!$Q:$Q,"="&amp;$B43,사진대지!$Z:$Z,"="&amp;Q$4)</f>
        <v>0</v>
      </c>
      <c r="R43" s="67">
        <f>+SUMIFS(사진대지!$R:$R,사진대지!$Q:$Q,"="&amp;$B43,사진대지!$Z:$Z,"="&amp;R$4)</f>
        <v>0</v>
      </c>
      <c r="S43" s="67">
        <f>+SUMIFS(사진대지!$R:$R,사진대지!$Q:$Q,"="&amp;$B43,사진대지!$Z:$Z,"="&amp;S$4)</f>
        <v>0</v>
      </c>
      <c r="T43" s="67">
        <f>+SUMIFS(사진대지!$R:$R,사진대지!$Q:$Q,"="&amp;$B43,사진대지!$Z:$Z,"="&amp;T$4)</f>
        <v>0</v>
      </c>
      <c r="U43" s="67">
        <f>+SUMIFS(사진대지!$R:$R,사진대지!$Q:$Q,"="&amp;$B43,사진대지!$Z:$Z,"="&amp;U$4)</f>
        <v>0</v>
      </c>
      <c r="V43" s="70"/>
      <c r="W43" s="75" t="str">
        <f t="shared" si="0"/>
        <v>금속관벽체40</v>
      </c>
      <c r="X43" s="89">
        <f t="shared" si="1"/>
        <v>3</v>
      </c>
      <c r="Y43" s="68"/>
      <c r="Z43" s="68"/>
      <c r="AA43" s="76" t="str">
        <f t="shared" si="2"/>
        <v>금속관벽체40</v>
      </c>
      <c r="AB43" s="93">
        <f>누계!Q43+X43</f>
        <v>7</v>
      </c>
    </row>
    <row r="44" spans="1:28" ht="20.100000000000001" customHeight="1" x14ac:dyDescent="0.3">
      <c r="A44" s="3"/>
      <c r="B44" s="4" t="s">
        <v>20</v>
      </c>
      <c r="C44" s="66">
        <f>+SUMIFS(사진대지!$R:$R,사진대지!$Q:$Q,"="&amp;$B44,사진대지!$Z:$Z,"="&amp;C$4)</f>
        <v>1.5</v>
      </c>
      <c r="D44" s="66">
        <f>+SUMIFS(사진대지!$R:$R,사진대지!$Q:$Q,"="&amp;$B44,사진대지!$Z:$Z,"="&amp;D$4)</f>
        <v>1</v>
      </c>
      <c r="E44" s="67">
        <f>+SUMIFS(사진대지!$R:$R,사진대지!$Q:$Q,"="&amp;$B44,사진대지!$Z:$Z,"="&amp;E$4)</f>
        <v>15.5</v>
      </c>
      <c r="F44" s="67">
        <f>+SUMIFS(사진대지!$R:$R,사진대지!$Q:$Q,"="&amp;$B44,사진대지!$Z:$Z,"="&amp;F$4)</f>
        <v>7</v>
      </c>
      <c r="G44" s="67">
        <f>+SUMIFS(사진대지!$R:$R,사진대지!$Q:$Q,"="&amp;$B44,사진대지!$Z:$Z,"="&amp;G$4)</f>
        <v>0</v>
      </c>
      <c r="H44" s="67">
        <f>+SUMIFS(사진대지!$R:$R,사진대지!$Q:$Q,"="&amp;$B44,사진대지!$Z:$Z,"="&amp;H$4)</f>
        <v>9</v>
      </c>
      <c r="I44" s="67">
        <f>+SUMIFS(사진대지!$R:$R,사진대지!$Q:$Q,"="&amp;$B44,사진대지!$Z:$Z,"="&amp;I$4)</f>
        <v>0</v>
      </c>
      <c r="J44" s="67">
        <f>+SUMIFS(사진대지!$R:$R,사진대지!$Q:$Q,"="&amp;$B44,사진대지!$Z:$Z,"="&amp;J$4)</f>
        <v>1</v>
      </c>
      <c r="K44" s="67">
        <f>+SUMIFS(사진대지!$R:$R,사진대지!$Q:$Q,"="&amp;$B44,사진대지!$Z:$Z,"="&amp;K$4)</f>
        <v>23</v>
      </c>
      <c r="L44" s="67">
        <f>+SUMIFS(사진대지!$R:$R,사진대지!$Q:$Q,"="&amp;$B44,사진대지!$Z:$Z,"="&amp;L$4)</f>
        <v>8</v>
      </c>
      <c r="M44" s="67">
        <f>+SUMIFS(사진대지!$R:$R,사진대지!$Q:$Q,"="&amp;$B44,사진대지!$Z:$Z,"="&amp;M$4)</f>
        <v>9</v>
      </c>
      <c r="N44" s="67">
        <f>+SUMIFS(사진대지!$R:$R,사진대지!$Q:$Q,"="&amp;$B44,사진대지!$Z:$Z,"="&amp;N$4)</f>
        <v>0.5</v>
      </c>
      <c r="O44" s="67">
        <f>+SUMIFS(사진대지!$R:$R,사진대지!$Q:$Q,"="&amp;$B44,사진대지!$Z:$Z,"="&amp;O$4)</f>
        <v>0</v>
      </c>
      <c r="P44" s="67">
        <f>+SUMIFS(사진대지!$R:$R,사진대지!$Q:$Q,"="&amp;$B44,사진대지!$Z:$Z,"="&amp;P$4)</f>
        <v>5</v>
      </c>
      <c r="Q44" s="67">
        <f>+SUMIFS(사진대지!$R:$R,사진대지!$Q:$Q,"="&amp;$B44,사진대지!$Z:$Z,"="&amp;Q$4)</f>
        <v>0</v>
      </c>
      <c r="R44" s="67">
        <f>+SUMIFS(사진대지!$R:$R,사진대지!$Q:$Q,"="&amp;$B44,사진대지!$Z:$Z,"="&amp;R$4)</f>
        <v>2.5</v>
      </c>
      <c r="S44" s="67">
        <f>+SUMIFS(사진대지!$R:$R,사진대지!$Q:$Q,"="&amp;$B44,사진대지!$Z:$Z,"="&amp;S$4)</f>
        <v>0</v>
      </c>
      <c r="T44" s="67">
        <f>+SUMIFS(사진대지!$R:$R,사진대지!$Q:$Q,"="&amp;$B44,사진대지!$Z:$Z,"="&amp;T$4)</f>
        <v>0</v>
      </c>
      <c r="U44" s="67">
        <f>+SUMIFS(사진대지!$R:$R,사진대지!$Q:$Q,"="&amp;$B44,사진대지!$Z:$Z,"="&amp;U$4)</f>
        <v>0</v>
      </c>
      <c r="V44" s="70"/>
      <c r="W44" s="75" t="str">
        <f t="shared" si="0"/>
        <v>금속관벽체50</v>
      </c>
      <c r="X44" s="89">
        <f t="shared" si="1"/>
        <v>83</v>
      </c>
      <c r="Y44" s="68"/>
      <c r="Z44" s="68"/>
      <c r="AA44" s="76" t="str">
        <f t="shared" si="2"/>
        <v>금속관벽체50</v>
      </c>
      <c r="AB44" s="93">
        <f>누계!Q44+X44</f>
        <v>374</v>
      </c>
    </row>
    <row r="45" spans="1:28" ht="20.100000000000001" customHeight="1" x14ac:dyDescent="0.3">
      <c r="A45" s="3"/>
      <c r="B45" s="4" t="s">
        <v>21</v>
      </c>
      <c r="C45" s="66">
        <f>+SUMIFS(사진대지!$R:$R,사진대지!$Q:$Q,"="&amp;$B45,사진대지!$Z:$Z,"="&amp;C$4)</f>
        <v>0</v>
      </c>
      <c r="D45" s="66">
        <f>+SUMIFS(사진대지!$R:$R,사진대지!$Q:$Q,"="&amp;$B45,사진대지!$Z:$Z,"="&amp;D$4)</f>
        <v>0</v>
      </c>
      <c r="E45" s="67">
        <f>+SUMIFS(사진대지!$R:$R,사진대지!$Q:$Q,"="&amp;$B45,사진대지!$Z:$Z,"="&amp;E$4)</f>
        <v>0</v>
      </c>
      <c r="F45" s="67">
        <f>+SUMIFS(사진대지!$R:$R,사진대지!$Q:$Q,"="&amp;$B45,사진대지!$Z:$Z,"="&amp;F$4)</f>
        <v>0</v>
      </c>
      <c r="G45" s="67">
        <f>+SUMIFS(사진대지!$R:$R,사진대지!$Q:$Q,"="&amp;$B45,사진대지!$Z:$Z,"="&amp;G$4)</f>
        <v>0</v>
      </c>
      <c r="H45" s="67">
        <f>+SUMIFS(사진대지!$R:$R,사진대지!$Q:$Q,"="&amp;$B45,사진대지!$Z:$Z,"="&amp;H$4)</f>
        <v>0</v>
      </c>
      <c r="I45" s="67">
        <f>+SUMIFS(사진대지!$R:$R,사진대지!$Q:$Q,"="&amp;$B45,사진대지!$Z:$Z,"="&amp;I$4)</f>
        <v>0</v>
      </c>
      <c r="J45" s="67">
        <f>+SUMIFS(사진대지!$R:$R,사진대지!$Q:$Q,"="&amp;$B45,사진대지!$Z:$Z,"="&amp;J$4)</f>
        <v>0</v>
      </c>
      <c r="K45" s="67">
        <f>+SUMIFS(사진대지!$R:$R,사진대지!$Q:$Q,"="&amp;$B45,사진대지!$Z:$Z,"="&amp;K$4)</f>
        <v>0.5</v>
      </c>
      <c r="L45" s="67">
        <f>+SUMIFS(사진대지!$R:$R,사진대지!$Q:$Q,"="&amp;$B45,사진대지!$Z:$Z,"="&amp;L$4)</f>
        <v>0</v>
      </c>
      <c r="M45" s="67">
        <f>+SUMIFS(사진대지!$R:$R,사진대지!$Q:$Q,"="&amp;$B45,사진대지!$Z:$Z,"="&amp;M$4)</f>
        <v>0</v>
      </c>
      <c r="N45" s="67">
        <f>+SUMIFS(사진대지!$R:$R,사진대지!$Q:$Q,"="&amp;$B45,사진대지!$Z:$Z,"="&amp;N$4)</f>
        <v>0</v>
      </c>
      <c r="O45" s="67">
        <f>+SUMIFS(사진대지!$R:$R,사진대지!$Q:$Q,"="&amp;$B45,사진대지!$Z:$Z,"="&amp;O$4)</f>
        <v>0</v>
      </c>
      <c r="P45" s="67">
        <f>+SUMIFS(사진대지!$R:$R,사진대지!$Q:$Q,"="&amp;$B45,사진대지!$Z:$Z,"="&amp;P$4)</f>
        <v>0</v>
      </c>
      <c r="Q45" s="67">
        <f>+SUMIFS(사진대지!$R:$R,사진대지!$Q:$Q,"="&amp;$B45,사진대지!$Z:$Z,"="&amp;Q$4)</f>
        <v>0</v>
      </c>
      <c r="R45" s="67">
        <f>+SUMIFS(사진대지!$R:$R,사진대지!$Q:$Q,"="&amp;$B45,사진대지!$Z:$Z,"="&amp;R$4)</f>
        <v>0</v>
      </c>
      <c r="S45" s="67">
        <f>+SUMIFS(사진대지!$R:$R,사진대지!$Q:$Q,"="&amp;$B45,사진대지!$Z:$Z,"="&amp;S$4)</f>
        <v>0</v>
      </c>
      <c r="T45" s="67">
        <f>+SUMIFS(사진대지!$R:$R,사진대지!$Q:$Q,"="&amp;$B45,사진대지!$Z:$Z,"="&amp;T$4)</f>
        <v>0</v>
      </c>
      <c r="U45" s="67">
        <f>+SUMIFS(사진대지!$R:$R,사진대지!$Q:$Q,"="&amp;$B45,사진대지!$Z:$Z,"="&amp;U$4)</f>
        <v>0</v>
      </c>
      <c r="V45" s="70"/>
      <c r="W45" s="75" t="str">
        <f t="shared" si="0"/>
        <v>금속관벽체65</v>
      </c>
      <c r="X45" s="89">
        <f t="shared" si="1"/>
        <v>0.5</v>
      </c>
      <c r="Y45" s="68"/>
      <c r="Z45" s="68"/>
      <c r="AA45" s="76" t="str">
        <f t="shared" si="2"/>
        <v>금속관벽체65</v>
      </c>
      <c r="AB45" s="93">
        <f>누계!Q45+X45</f>
        <v>2</v>
      </c>
    </row>
    <row r="46" spans="1:28" ht="20.100000000000001" customHeight="1" x14ac:dyDescent="0.3">
      <c r="A46" s="3"/>
      <c r="B46" s="4" t="s">
        <v>22</v>
      </c>
      <c r="C46" s="66">
        <f>+SUMIFS(사진대지!$R:$R,사진대지!$Q:$Q,"="&amp;$B46,사진대지!$Z:$Z,"="&amp;C$4)</f>
        <v>0</v>
      </c>
      <c r="D46" s="66">
        <f>+SUMIFS(사진대지!$R:$R,사진대지!$Q:$Q,"="&amp;$B46,사진대지!$Z:$Z,"="&amp;D$4)</f>
        <v>0</v>
      </c>
      <c r="E46" s="67">
        <f>+SUMIFS(사진대지!$R:$R,사진대지!$Q:$Q,"="&amp;$B46,사진대지!$Z:$Z,"="&amp;E$4)</f>
        <v>0</v>
      </c>
      <c r="F46" s="67">
        <f>+SUMIFS(사진대지!$R:$R,사진대지!$Q:$Q,"="&amp;$B46,사진대지!$Z:$Z,"="&amp;F$4)</f>
        <v>0</v>
      </c>
      <c r="G46" s="67">
        <f>+SUMIFS(사진대지!$R:$R,사진대지!$Q:$Q,"="&amp;$B46,사진대지!$Z:$Z,"="&amp;G$4)</f>
        <v>0</v>
      </c>
      <c r="H46" s="67">
        <f>+SUMIFS(사진대지!$R:$R,사진대지!$Q:$Q,"="&amp;$B46,사진대지!$Z:$Z,"="&amp;H$4)</f>
        <v>0</v>
      </c>
      <c r="I46" s="67">
        <f>+SUMIFS(사진대지!$R:$R,사진대지!$Q:$Q,"="&amp;$B46,사진대지!$Z:$Z,"="&amp;I$4)</f>
        <v>0</v>
      </c>
      <c r="J46" s="67">
        <f>+SUMIFS(사진대지!$R:$R,사진대지!$Q:$Q,"="&amp;$B46,사진대지!$Z:$Z,"="&amp;J$4)</f>
        <v>0</v>
      </c>
      <c r="K46" s="67">
        <f>+SUMIFS(사진대지!$R:$R,사진대지!$Q:$Q,"="&amp;$B46,사진대지!$Z:$Z,"="&amp;K$4)</f>
        <v>0</v>
      </c>
      <c r="L46" s="67">
        <f>+SUMIFS(사진대지!$R:$R,사진대지!$Q:$Q,"="&amp;$B46,사진대지!$Z:$Z,"="&amp;L$4)</f>
        <v>0</v>
      </c>
      <c r="M46" s="67">
        <f>+SUMIFS(사진대지!$R:$R,사진대지!$Q:$Q,"="&amp;$B46,사진대지!$Z:$Z,"="&amp;M$4)</f>
        <v>0</v>
      </c>
      <c r="N46" s="67">
        <f>+SUMIFS(사진대지!$R:$R,사진대지!$Q:$Q,"="&amp;$B46,사진대지!$Z:$Z,"="&amp;N$4)</f>
        <v>2</v>
      </c>
      <c r="O46" s="67">
        <f>+SUMIFS(사진대지!$R:$R,사진대지!$Q:$Q,"="&amp;$B46,사진대지!$Z:$Z,"="&amp;O$4)</f>
        <v>0</v>
      </c>
      <c r="P46" s="67">
        <f>+SUMIFS(사진대지!$R:$R,사진대지!$Q:$Q,"="&amp;$B46,사진대지!$Z:$Z,"="&amp;P$4)</f>
        <v>0</v>
      </c>
      <c r="Q46" s="67">
        <f>+SUMIFS(사진대지!$R:$R,사진대지!$Q:$Q,"="&amp;$B46,사진대지!$Z:$Z,"="&amp;Q$4)</f>
        <v>0</v>
      </c>
      <c r="R46" s="67">
        <f>+SUMIFS(사진대지!$R:$R,사진대지!$Q:$Q,"="&amp;$B46,사진대지!$Z:$Z,"="&amp;R$4)</f>
        <v>0</v>
      </c>
      <c r="S46" s="67">
        <f>+SUMIFS(사진대지!$R:$R,사진대지!$Q:$Q,"="&amp;$B46,사진대지!$Z:$Z,"="&amp;S$4)</f>
        <v>0</v>
      </c>
      <c r="T46" s="67">
        <f>+SUMIFS(사진대지!$R:$R,사진대지!$Q:$Q,"="&amp;$B46,사진대지!$Z:$Z,"="&amp;T$4)</f>
        <v>0</v>
      </c>
      <c r="U46" s="67">
        <f>+SUMIFS(사진대지!$R:$R,사진대지!$Q:$Q,"="&amp;$B46,사진대지!$Z:$Z,"="&amp;U$4)</f>
        <v>0</v>
      </c>
      <c r="V46" s="70"/>
      <c r="W46" s="75" t="str">
        <f t="shared" si="0"/>
        <v>금속관벽체80</v>
      </c>
      <c r="X46" s="89">
        <f t="shared" si="1"/>
        <v>2</v>
      </c>
      <c r="Y46" s="68"/>
      <c r="Z46" s="68"/>
      <c r="AA46" s="76" t="str">
        <f t="shared" si="2"/>
        <v>금속관벽체80</v>
      </c>
      <c r="AB46" s="93">
        <f>누계!Q46+X46</f>
        <v>15.5</v>
      </c>
    </row>
    <row r="47" spans="1:28" ht="20.100000000000001" customHeight="1" x14ac:dyDescent="0.3">
      <c r="A47" s="3"/>
      <c r="B47" s="4" t="s">
        <v>23</v>
      </c>
      <c r="C47" s="66">
        <f>+SUMIFS(사진대지!$R:$R,사진대지!$Q:$Q,"="&amp;$B47,사진대지!$Z:$Z,"="&amp;C$4)</f>
        <v>2.5</v>
      </c>
      <c r="D47" s="66">
        <f>+SUMIFS(사진대지!$R:$R,사진대지!$Q:$Q,"="&amp;$B47,사진대지!$Z:$Z,"="&amp;D$4)</f>
        <v>0</v>
      </c>
      <c r="E47" s="67">
        <f>+SUMIFS(사진대지!$R:$R,사진대지!$Q:$Q,"="&amp;$B47,사진대지!$Z:$Z,"="&amp;E$4)</f>
        <v>2</v>
      </c>
      <c r="F47" s="67">
        <f>+SUMIFS(사진대지!$R:$R,사진대지!$Q:$Q,"="&amp;$B47,사진대지!$Z:$Z,"="&amp;F$4)</f>
        <v>5</v>
      </c>
      <c r="G47" s="67">
        <f>+SUMIFS(사진대지!$R:$R,사진대지!$Q:$Q,"="&amp;$B47,사진대지!$Z:$Z,"="&amp;G$4)</f>
        <v>0</v>
      </c>
      <c r="H47" s="67">
        <f>+SUMIFS(사진대지!$R:$R,사진대지!$Q:$Q,"="&amp;$B47,사진대지!$Z:$Z,"="&amp;H$4)</f>
        <v>1</v>
      </c>
      <c r="I47" s="67">
        <f>+SUMIFS(사진대지!$R:$R,사진대지!$Q:$Q,"="&amp;$B47,사진대지!$Z:$Z,"="&amp;I$4)</f>
        <v>0</v>
      </c>
      <c r="J47" s="67">
        <f>+SUMIFS(사진대지!$R:$R,사진대지!$Q:$Q,"="&amp;$B47,사진대지!$Z:$Z,"="&amp;J$4)</f>
        <v>2</v>
      </c>
      <c r="K47" s="67">
        <f>+SUMIFS(사진대지!$R:$R,사진대지!$Q:$Q,"="&amp;$B47,사진대지!$Z:$Z,"="&amp;K$4)</f>
        <v>2</v>
      </c>
      <c r="L47" s="67">
        <f>+SUMIFS(사진대지!$R:$R,사진대지!$Q:$Q,"="&amp;$B47,사진대지!$Z:$Z,"="&amp;L$4)</f>
        <v>11</v>
      </c>
      <c r="M47" s="67">
        <f>+SUMIFS(사진대지!$R:$R,사진대지!$Q:$Q,"="&amp;$B47,사진대지!$Z:$Z,"="&amp;M$4)</f>
        <v>0</v>
      </c>
      <c r="N47" s="67">
        <f>+SUMIFS(사진대지!$R:$R,사진대지!$Q:$Q,"="&amp;$B47,사진대지!$Z:$Z,"="&amp;N$4)</f>
        <v>3.5</v>
      </c>
      <c r="O47" s="67">
        <f>+SUMIFS(사진대지!$R:$R,사진대지!$Q:$Q,"="&amp;$B47,사진대지!$Z:$Z,"="&amp;O$4)</f>
        <v>0</v>
      </c>
      <c r="P47" s="67">
        <f>+SUMIFS(사진대지!$R:$R,사진대지!$Q:$Q,"="&amp;$B47,사진대지!$Z:$Z,"="&amp;P$4)</f>
        <v>5</v>
      </c>
      <c r="Q47" s="67">
        <f>+SUMIFS(사진대지!$R:$R,사진대지!$Q:$Q,"="&amp;$B47,사진대지!$Z:$Z,"="&amp;Q$4)</f>
        <v>4</v>
      </c>
      <c r="R47" s="67">
        <f>+SUMIFS(사진대지!$R:$R,사진대지!$Q:$Q,"="&amp;$B47,사진대지!$Z:$Z,"="&amp;R$4)</f>
        <v>0</v>
      </c>
      <c r="S47" s="67">
        <f>+SUMIFS(사진대지!$R:$R,사진대지!$Q:$Q,"="&amp;$B47,사진대지!$Z:$Z,"="&amp;S$4)</f>
        <v>0</v>
      </c>
      <c r="T47" s="67">
        <f>+SUMIFS(사진대지!$R:$R,사진대지!$Q:$Q,"="&amp;$B47,사진대지!$Z:$Z,"="&amp;T$4)</f>
        <v>0</v>
      </c>
      <c r="U47" s="67">
        <f>+SUMIFS(사진대지!$R:$R,사진대지!$Q:$Q,"="&amp;$B47,사진대지!$Z:$Z,"="&amp;U$4)</f>
        <v>0</v>
      </c>
      <c r="V47" s="70"/>
      <c r="W47" s="75" t="str">
        <f t="shared" si="0"/>
        <v>금속관벽체100</v>
      </c>
      <c r="X47" s="89">
        <f t="shared" si="1"/>
        <v>38</v>
      </c>
      <c r="Y47" s="68"/>
      <c r="Z47" s="68"/>
      <c r="AA47" s="76" t="str">
        <f t="shared" si="2"/>
        <v>금속관벽체100</v>
      </c>
      <c r="AB47" s="93">
        <f>누계!Q47+X47</f>
        <v>119.5</v>
      </c>
    </row>
    <row r="48" spans="1:28" ht="20.100000000000001" customHeight="1" x14ac:dyDescent="0.3">
      <c r="A48" s="3"/>
      <c r="B48" s="4" t="s">
        <v>24</v>
      </c>
      <c r="C48" s="66">
        <f>+SUMIFS(사진대지!$R:$R,사진대지!$Q:$Q,"="&amp;$B48,사진대지!$Z:$Z,"="&amp;C$4)</f>
        <v>0</v>
      </c>
      <c r="D48" s="66">
        <f>+SUMIFS(사진대지!$R:$R,사진대지!$Q:$Q,"="&amp;$B48,사진대지!$Z:$Z,"="&amp;D$4)</f>
        <v>0</v>
      </c>
      <c r="E48" s="67">
        <f>+SUMIFS(사진대지!$R:$R,사진대지!$Q:$Q,"="&amp;$B48,사진대지!$Z:$Z,"="&amp;E$4)</f>
        <v>0</v>
      </c>
      <c r="F48" s="67">
        <f>+SUMIFS(사진대지!$R:$R,사진대지!$Q:$Q,"="&amp;$B48,사진대지!$Z:$Z,"="&amp;F$4)</f>
        <v>0</v>
      </c>
      <c r="G48" s="67">
        <f>+SUMIFS(사진대지!$R:$R,사진대지!$Q:$Q,"="&amp;$B48,사진대지!$Z:$Z,"="&amp;G$4)</f>
        <v>0</v>
      </c>
      <c r="H48" s="67">
        <f>+SUMIFS(사진대지!$R:$R,사진대지!$Q:$Q,"="&amp;$B48,사진대지!$Z:$Z,"="&amp;H$4)</f>
        <v>0</v>
      </c>
      <c r="I48" s="67">
        <f>+SUMIFS(사진대지!$R:$R,사진대지!$Q:$Q,"="&amp;$B48,사진대지!$Z:$Z,"="&amp;I$4)</f>
        <v>0</v>
      </c>
      <c r="J48" s="67">
        <f>+SUMIFS(사진대지!$R:$R,사진대지!$Q:$Q,"="&amp;$B48,사진대지!$Z:$Z,"="&amp;J$4)</f>
        <v>0</v>
      </c>
      <c r="K48" s="67">
        <f>+SUMIFS(사진대지!$R:$R,사진대지!$Q:$Q,"="&amp;$B48,사진대지!$Z:$Z,"="&amp;K$4)</f>
        <v>0</v>
      </c>
      <c r="L48" s="67">
        <f>+SUMIFS(사진대지!$R:$R,사진대지!$Q:$Q,"="&amp;$B48,사진대지!$Z:$Z,"="&amp;L$4)</f>
        <v>0</v>
      </c>
      <c r="M48" s="67">
        <f>+SUMIFS(사진대지!$R:$R,사진대지!$Q:$Q,"="&amp;$B48,사진대지!$Z:$Z,"="&amp;M$4)</f>
        <v>0</v>
      </c>
      <c r="N48" s="67">
        <f>+SUMIFS(사진대지!$R:$R,사진대지!$Q:$Q,"="&amp;$B48,사진대지!$Z:$Z,"="&amp;N$4)</f>
        <v>0</v>
      </c>
      <c r="O48" s="67">
        <f>+SUMIFS(사진대지!$R:$R,사진대지!$Q:$Q,"="&amp;$B48,사진대지!$Z:$Z,"="&amp;O$4)</f>
        <v>0</v>
      </c>
      <c r="P48" s="67">
        <f>+SUMIFS(사진대지!$R:$R,사진대지!$Q:$Q,"="&amp;$B48,사진대지!$Z:$Z,"="&amp;P$4)</f>
        <v>0</v>
      </c>
      <c r="Q48" s="67">
        <f>+SUMIFS(사진대지!$R:$R,사진대지!$Q:$Q,"="&amp;$B48,사진대지!$Z:$Z,"="&amp;Q$4)</f>
        <v>0</v>
      </c>
      <c r="R48" s="67">
        <f>+SUMIFS(사진대지!$R:$R,사진대지!$Q:$Q,"="&amp;$B48,사진대지!$Z:$Z,"="&amp;R$4)</f>
        <v>0</v>
      </c>
      <c r="S48" s="67">
        <f>+SUMIFS(사진대지!$R:$R,사진대지!$Q:$Q,"="&amp;$B48,사진대지!$Z:$Z,"="&amp;S$4)</f>
        <v>0</v>
      </c>
      <c r="T48" s="67">
        <f>+SUMIFS(사진대지!$R:$R,사진대지!$Q:$Q,"="&amp;$B48,사진대지!$Z:$Z,"="&amp;T$4)</f>
        <v>0</v>
      </c>
      <c r="U48" s="67">
        <f>+SUMIFS(사진대지!$R:$R,사진대지!$Q:$Q,"="&amp;$B48,사진대지!$Z:$Z,"="&amp;U$4)</f>
        <v>0</v>
      </c>
      <c r="V48" s="70"/>
      <c r="W48" s="75" t="str">
        <f t="shared" si="0"/>
        <v>금속관벽체125</v>
      </c>
      <c r="X48" s="89">
        <f t="shared" si="1"/>
        <v>0</v>
      </c>
      <c r="Y48" s="68"/>
      <c r="Z48" s="68"/>
      <c r="AA48" s="76" t="str">
        <f t="shared" si="2"/>
        <v>금속관벽체125</v>
      </c>
      <c r="AB48" s="93">
        <f>누계!Q48+X48</f>
        <v>16</v>
      </c>
    </row>
    <row r="49" spans="1:28" ht="20.100000000000001" customHeight="1" x14ac:dyDescent="0.3">
      <c r="A49" s="3"/>
      <c r="B49" s="4" t="s">
        <v>25</v>
      </c>
      <c r="C49" s="66">
        <f>+SUMIFS(사진대지!$R:$R,사진대지!$Q:$Q,"="&amp;$B49,사진대지!$Z:$Z,"="&amp;C$4)</f>
        <v>2</v>
      </c>
      <c r="D49" s="66">
        <f>+SUMIFS(사진대지!$R:$R,사진대지!$Q:$Q,"="&amp;$B49,사진대지!$Z:$Z,"="&amp;D$4)</f>
        <v>1</v>
      </c>
      <c r="E49" s="67">
        <f>+SUMIFS(사진대지!$R:$R,사진대지!$Q:$Q,"="&amp;$B49,사진대지!$Z:$Z,"="&amp;E$4)</f>
        <v>1.5</v>
      </c>
      <c r="F49" s="67">
        <f>+SUMIFS(사진대지!$R:$R,사진대지!$Q:$Q,"="&amp;$B49,사진대지!$Z:$Z,"="&amp;F$4)</f>
        <v>20.5</v>
      </c>
      <c r="G49" s="67">
        <f>+SUMIFS(사진대지!$R:$R,사진대지!$Q:$Q,"="&amp;$B49,사진대지!$Z:$Z,"="&amp;G$4)</f>
        <v>0</v>
      </c>
      <c r="H49" s="67">
        <f>+SUMIFS(사진대지!$R:$R,사진대지!$Q:$Q,"="&amp;$B49,사진대지!$Z:$Z,"="&amp;H$4)</f>
        <v>1</v>
      </c>
      <c r="I49" s="67">
        <f>+SUMIFS(사진대지!$R:$R,사진대지!$Q:$Q,"="&amp;$B49,사진대지!$Z:$Z,"="&amp;I$4)</f>
        <v>0</v>
      </c>
      <c r="J49" s="67">
        <f>+SUMIFS(사진대지!$R:$R,사진대지!$Q:$Q,"="&amp;$B49,사진대지!$Z:$Z,"="&amp;J$4)</f>
        <v>0</v>
      </c>
      <c r="K49" s="67">
        <f>+SUMIFS(사진대지!$R:$R,사진대지!$Q:$Q,"="&amp;$B49,사진대지!$Z:$Z,"="&amp;K$4)</f>
        <v>13</v>
      </c>
      <c r="L49" s="67">
        <f>+SUMIFS(사진대지!$R:$R,사진대지!$Q:$Q,"="&amp;$B49,사진대지!$Z:$Z,"="&amp;L$4)</f>
        <v>2</v>
      </c>
      <c r="M49" s="67">
        <f>+SUMIFS(사진대지!$R:$R,사진대지!$Q:$Q,"="&amp;$B49,사진대지!$Z:$Z,"="&amp;M$4)</f>
        <v>0</v>
      </c>
      <c r="N49" s="67">
        <f>+SUMIFS(사진대지!$R:$R,사진대지!$Q:$Q,"="&amp;$B49,사진대지!$Z:$Z,"="&amp;N$4)</f>
        <v>8.5</v>
      </c>
      <c r="O49" s="67">
        <f>+SUMIFS(사진대지!$R:$R,사진대지!$Q:$Q,"="&amp;$B49,사진대지!$Z:$Z,"="&amp;O$4)</f>
        <v>0</v>
      </c>
      <c r="P49" s="67">
        <f>+SUMIFS(사진대지!$R:$R,사진대지!$Q:$Q,"="&amp;$B49,사진대지!$Z:$Z,"="&amp;P$4)</f>
        <v>0</v>
      </c>
      <c r="Q49" s="67">
        <f>+SUMIFS(사진대지!$R:$R,사진대지!$Q:$Q,"="&amp;$B49,사진대지!$Z:$Z,"="&amp;Q$4)</f>
        <v>0</v>
      </c>
      <c r="R49" s="67">
        <f>+SUMIFS(사진대지!$R:$R,사진대지!$Q:$Q,"="&amp;$B49,사진대지!$Z:$Z,"="&amp;R$4)</f>
        <v>4</v>
      </c>
      <c r="S49" s="67">
        <f>+SUMIFS(사진대지!$R:$R,사진대지!$Q:$Q,"="&amp;$B49,사진대지!$Z:$Z,"="&amp;S$4)</f>
        <v>0</v>
      </c>
      <c r="T49" s="67">
        <f>+SUMIFS(사진대지!$R:$R,사진대지!$Q:$Q,"="&amp;$B49,사진대지!$Z:$Z,"="&amp;T$4)</f>
        <v>0</v>
      </c>
      <c r="U49" s="67">
        <f>+SUMIFS(사진대지!$R:$R,사진대지!$Q:$Q,"="&amp;$B49,사진대지!$Z:$Z,"="&amp;U$4)</f>
        <v>0</v>
      </c>
      <c r="V49" s="70"/>
      <c r="W49" s="75" t="str">
        <f t="shared" si="0"/>
        <v>금속관벽체150</v>
      </c>
      <c r="X49" s="89">
        <f t="shared" si="1"/>
        <v>53.5</v>
      </c>
      <c r="Y49" s="68"/>
      <c r="Z49" s="68"/>
      <c r="AA49" s="76" t="str">
        <f t="shared" si="2"/>
        <v>금속관벽체150</v>
      </c>
      <c r="AB49" s="93">
        <f>누계!Q49+X49</f>
        <v>215</v>
      </c>
    </row>
    <row r="50" spans="1:28" ht="20.100000000000001" customHeight="1" x14ac:dyDescent="0.3">
      <c r="A50" s="3"/>
      <c r="B50" s="4" t="s">
        <v>98</v>
      </c>
      <c r="C50" s="66">
        <f>+SUMIFS(사진대지!$R:$R,사진대지!$Q:$Q,"="&amp;$B50,사진대지!$Z:$Z,"="&amp;C$4)</f>
        <v>0</v>
      </c>
      <c r="D50" s="66">
        <f>+SUMIFS(사진대지!$R:$R,사진대지!$Q:$Q,"="&amp;$B50,사진대지!$Z:$Z,"="&amp;D$4)</f>
        <v>0</v>
      </c>
      <c r="E50" s="67">
        <f>+SUMIFS(사진대지!$R:$R,사진대지!$Q:$Q,"="&amp;$B50,사진대지!$Z:$Z,"="&amp;E$4)</f>
        <v>0</v>
      </c>
      <c r="F50" s="67">
        <f>+SUMIFS(사진대지!$R:$R,사진대지!$Q:$Q,"="&amp;$B50,사진대지!$Z:$Z,"="&amp;F$4)</f>
        <v>0</v>
      </c>
      <c r="G50" s="67">
        <f>+SUMIFS(사진대지!$R:$R,사진대지!$Q:$Q,"="&amp;$B50,사진대지!$Z:$Z,"="&amp;G$4)</f>
        <v>0</v>
      </c>
      <c r="H50" s="67">
        <f>+SUMIFS(사진대지!$R:$R,사진대지!$Q:$Q,"="&amp;$B50,사진대지!$Z:$Z,"="&amp;H$4)</f>
        <v>0</v>
      </c>
      <c r="I50" s="67">
        <f>+SUMIFS(사진대지!$R:$R,사진대지!$Q:$Q,"="&amp;$B50,사진대지!$Z:$Z,"="&amp;I$4)</f>
        <v>0</v>
      </c>
      <c r="J50" s="67">
        <f>+SUMIFS(사진대지!$R:$R,사진대지!$Q:$Q,"="&amp;$B50,사진대지!$Z:$Z,"="&amp;J$4)</f>
        <v>0</v>
      </c>
      <c r="K50" s="67">
        <f>+SUMIFS(사진대지!$R:$R,사진대지!$Q:$Q,"="&amp;$B50,사진대지!$Z:$Z,"="&amp;K$4)</f>
        <v>0</v>
      </c>
      <c r="L50" s="67">
        <f>+SUMIFS(사진대지!$R:$R,사진대지!$Q:$Q,"="&amp;$B50,사진대지!$Z:$Z,"="&amp;L$4)</f>
        <v>0</v>
      </c>
      <c r="M50" s="67">
        <f>+SUMIFS(사진대지!$R:$R,사진대지!$Q:$Q,"="&amp;$B50,사진대지!$Z:$Z,"="&amp;M$4)</f>
        <v>0</v>
      </c>
      <c r="N50" s="67">
        <f>+SUMIFS(사진대지!$R:$R,사진대지!$Q:$Q,"="&amp;$B50,사진대지!$Z:$Z,"="&amp;N$4)</f>
        <v>0</v>
      </c>
      <c r="O50" s="67">
        <f>+SUMIFS(사진대지!$R:$R,사진대지!$Q:$Q,"="&amp;$B50,사진대지!$Z:$Z,"="&amp;O$4)</f>
        <v>0</v>
      </c>
      <c r="P50" s="67">
        <f>+SUMIFS(사진대지!$R:$R,사진대지!$Q:$Q,"="&amp;$B50,사진대지!$Z:$Z,"="&amp;P$4)</f>
        <v>0</v>
      </c>
      <c r="Q50" s="67">
        <f>+SUMIFS(사진대지!$R:$R,사진대지!$Q:$Q,"="&amp;$B50,사진대지!$Z:$Z,"="&amp;Q$4)</f>
        <v>0</v>
      </c>
      <c r="R50" s="67">
        <f>+SUMIFS(사진대지!$R:$R,사진대지!$Q:$Q,"="&amp;$B50,사진대지!$Z:$Z,"="&amp;R$4)</f>
        <v>0</v>
      </c>
      <c r="S50" s="67">
        <f>+SUMIFS(사진대지!$R:$R,사진대지!$Q:$Q,"="&amp;$B50,사진대지!$Z:$Z,"="&amp;S$4)</f>
        <v>0</v>
      </c>
      <c r="T50" s="67">
        <f>+SUMIFS(사진대지!$R:$R,사진대지!$Q:$Q,"="&amp;$B50,사진대지!$Z:$Z,"="&amp;T$4)</f>
        <v>0</v>
      </c>
      <c r="U50" s="67">
        <f>+SUMIFS(사진대지!$R:$R,사진대지!$Q:$Q,"="&amp;$B50,사진대지!$Z:$Z,"="&amp;U$4)</f>
        <v>0</v>
      </c>
      <c r="V50" s="70"/>
      <c r="W50" s="75" t="str">
        <f t="shared" si="0"/>
        <v>금속관벽체200</v>
      </c>
      <c r="X50" s="89">
        <f t="shared" si="1"/>
        <v>0</v>
      </c>
      <c r="Y50" s="68"/>
      <c r="Z50" s="68"/>
      <c r="AA50" s="76" t="str">
        <f t="shared" si="2"/>
        <v>금속관벽체200</v>
      </c>
      <c r="AB50" s="93">
        <f>누계!Q50+X50</f>
        <v>0</v>
      </c>
    </row>
    <row r="51" spans="1:28" ht="20.100000000000001" customHeight="1" x14ac:dyDescent="0.3">
      <c r="A51" s="3"/>
      <c r="B51" s="4" t="s">
        <v>99</v>
      </c>
      <c r="C51" s="66">
        <f>+SUMIFS(사진대지!$R:$R,사진대지!$Q:$Q,"="&amp;$B51,사진대지!$Z:$Z,"="&amp;C$4)</f>
        <v>0</v>
      </c>
      <c r="D51" s="66">
        <f>+SUMIFS(사진대지!$R:$R,사진대지!$Q:$Q,"="&amp;$B51,사진대지!$Z:$Z,"="&amp;D$4)</f>
        <v>0</v>
      </c>
      <c r="E51" s="67">
        <f>+SUMIFS(사진대지!$R:$R,사진대지!$Q:$Q,"="&amp;$B51,사진대지!$Z:$Z,"="&amp;E$4)</f>
        <v>0</v>
      </c>
      <c r="F51" s="67">
        <f>+SUMIFS(사진대지!$R:$R,사진대지!$Q:$Q,"="&amp;$B51,사진대지!$Z:$Z,"="&amp;F$4)</f>
        <v>0</v>
      </c>
      <c r="G51" s="67">
        <f>+SUMIFS(사진대지!$R:$R,사진대지!$Q:$Q,"="&amp;$B51,사진대지!$Z:$Z,"="&amp;G$4)</f>
        <v>0</v>
      </c>
      <c r="H51" s="67">
        <f>+SUMIFS(사진대지!$R:$R,사진대지!$Q:$Q,"="&amp;$B51,사진대지!$Z:$Z,"="&amp;H$4)</f>
        <v>0</v>
      </c>
      <c r="I51" s="67">
        <f>+SUMIFS(사진대지!$R:$R,사진대지!$Q:$Q,"="&amp;$B51,사진대지!$Z:$Z,"="&amp;I$4)</f>
        <v>0</v>
      </c>
      <c r="J51" s="67">
        <f>+SUMIFS(사진대지!$R:$R,사진대지!$Q:$Q,"="&amp;$B51,사진대지!$Z:$Z,"="&amp;J$4)</f>
        <v>0</v>
      </c>
      <c r="K51" s="67">
        <f>+SUMIFS(사진대지!$R:$R,사진대지!$Q:$Q,"="&amp;$B51,사진대지!$Z:$Z,"="&amp;K$4)</f>
        <v>0</v>
      </c>
      <c r="L51" s="67">
        <f>+SUMIFS(사진대지!$R:$R,사진대지!$Q:$Q,"="&amp;$B51,사진대지!$Z:$Z,"="&amp;L$4)</f>
        <v>0</v>
      </c>
      <c r="M51" s="67">
        <f>+SUMIFS(사진대지!$R:$R,사진대지!$Q:$Q,"="&amp;$B51,사진대지!$Z:$Z,"="&amp;M$4)</f>
        <v>0</v>
      </c>
      <c r="N51" s="67">
        <f>+SUMIFS(사진대지!$R:$R,사진대지!$Q:$Q,"="&amp;$B51,사진대지!$Z:$Z,"="&amp;N$4)</f>
        <v>0</v>
      </c>
      <c r="O51" s="67">
        <f>+SUMIFS(사진대지!$R:$R,사진대지!$Q:$Q,"="&amp;$B51,사진대지!$Z:$Z,"="&amp;O$4)</f>
        <v>0</v>
      </c>
      <c r="P51" s="67">
        <f>+SUMIFS(사진대지!$R:$R,사진대지!$Q:$Q,"="&amp;$B51,사진대지!$Z:$Z,"="&amp;P$4)</f>
        <v>0</v>
      </c>
      <c r="Q51" s="67">
        <f>+SUMIFS(사진대지!$R:$R,사진대지!$Q:$Q,"="&amp;$B51,사진대지!$Z:$Z,"="&amp;Q$4)</f>
        <v>0</v>
      </c>
      <c r="R51" s="67">
        <f>+SUMIFS(사진대지!$R:$R,사진대지!$Q:$Q,"="&amp;$B51,사진대지!$Z:$Z,"="&amp;R$4)</f>
        <v>0</v>
      </c>
      <c r="S51" s="67">
        <f>+SUMIFS(사진대지!$R:$R,사진대지!$Q:$Q,"="&amp;$B51,사진대지!$Z:$Z,"="&amp;S$4)</f>
        <v>0</v>
      </c>
      <c r="T51" s="67">
        <f>+SUMIFS(사진대지!$R:$R,사진대지!$Q:$Q,"="&amp;$B51,사진대지!$Z:$Z,"="&amp;T$4)</f>
        <v>0</v>
      </c>
      <c r="U51" s="67">
        <f>+SUMIFS(사진대지!$R:$R,사진대지!$Q:$Q,"="&amp;$B51,사진대지!$Z:$Z,"="&amp;U$4)</f>
        <v>0</v>
      </c>
      <c r="V51" s="70"/>
      <c r="W51" s="75" t="str">
        <f t="shared" si="0"/>
        <v>금속관벽체250</v>
      </c>
      <c r="X51" s="89">
        <f t="shared" si="1"/>
        <v>0</v>
      </c>
      <c r="Y51" s="68"/>
      <c r="Z51" s="68"/>
      <c r="AA51" s="76" t="str">
        <f t="shared" si="2"/>
        <v>금속관벽체250</v>
      </c>
      <c r="AB51" s="93">
        <f>누계!Q51+X51</f>
        <v>0</v>
      </c>
    </row>
    <row r="52" spans="1:28" ht="20.100000000000001" customHeight="1" x14ac:dyDescent="0.3">
      <c r="A52" s="3"/>
      <c r="B52" s="4" t="s">
        <v>100</v>
      </c>
      <c r="C52" s="66">
        <f>+SUMIFS(사진대지!$R:$R,사진대지!$Q:$Q,"="&amp;$B52,사진대지!$Z:$Z,"="&amp;C$4)</f>
        <v>0</v>
      </c>
      <c r="D52" s="66">
        <f>+SUMIFS(사진대지!$R:$R,사진대지!$Q:$Q,"="&amp;$B52,사진대지!$Z:$Z,"="&amp;D$4)</f>
        <v>0</v>
      </c>
      <c r="E52" s="67">
        <f>+SUMIFS(사진대지!$R:$R,사진대지!$Q:$Q,"="&amp;$B52,사진대지!$Z:$Z,"="&amp;E$4)</f>
        <v>0</v>
      </c>
      <c r="F52" s="67">
        <f>+SUMIFS(사진대지!$R:$R,사진대지!$Q:$Q,"="&amp;$B52,사진대지!$Z:$Z,"="&amp;F$4)</f>
        <v>0</v>
      </c>
      <c r="G52" s="67">
        <f>+SUMIFS(사진대지!$R:$R,사진대지!$Q:$Q,"="&amp;$B52,사진대지!$Z:$Z,"="&amp;G$4)</f>
        <v>0</v>
      </c>
      <c r="H52" s="67">
        <f>+SUMIFS(사진대지!$R:$R,사진대지!$Q:$Q,"="&amp;$B52,사진대지!$Z:$Z,"="&amp;H$4)</f>
        <v>0</v>
      </c>
      <c r="I52" s="67">
        <f>+SUMIFS(사진대지!$R:$R,사진대지!$Q:$Q,"="&amp;$B52,사진대지!$Z:$Z,"="&amp;I$4)</f>
        <v>0</v>
      </c>
      <c r="J52" s="67">
        <f>+SUMIFS(사진대지!$R:$R,사진대지!$Q:$Q,"="&amp;$B52,사진대지!$Z:$Z,"="&amp;J$4)</f>
        <v>0</v>
      </c>
      <c r="K52" s="67">
        <f>+SUMIFS(사진대지!$R:$R,사진대지!$Q:$Q,"="&amp;$B52,사진대지!$Z:$Z,"="&amp;K$4)</f>
        <v>0</v>
      </c>
      <c r="L52" s="67">
        <f>+SUMIFS(사진대지!$R:$R,사진대지!$Q:$Q,"="&amp;$B52,사진대지!$Z:$Z,"="&amp;L$4)</f>
        <v>0</v>
      </c>
      <c r="M52" s="67">
        <f>+SUMIFS(사진대지!$R:$R,사진대지!$Q:$Q,"="&amp;$B52,사진대지!$Z:$Z,"="&amp;M$4)</f>
        <v>0</v>
      </c>
      <c r="N52" s="67">
        <f>+SUMIFS(사진대지!$R:$R,사진대지!$Q:$Q,"="&amp;$B52,사진대지!$Z:$Z,"="&amp;N$4)</f>
        <v>0</v>
      </c>
      <c r="O52" s="67">
        <f>+SUMIFS(사진대지!$R:$R,사진대지!$Q:$Q,"="&amp;$B52,사진대지!$Z:$Z,"="&amp;O$4)</f>
        <v>0</v>
      </c>
      <c r="P52" s="67">
        <f>+SUMIFS(사진대지!$R:$R,사진대지!$Q:$Q,"="&amp;$B52,사진대지!$Z:$Z,"="&amp;P$4)</f>
        <v>0</v>
      </c>
      <c r="Q52" s="67">
        <f>+SUMIFS(사진대지!$R:$R,사진대지!$Q:$Q,"="&amp;$B52,사진대지!$Z:$Z,"="&amp;Q$4)</f>
        <v>0</v>
      </c>
      <c r="R52" s="67">
        <f>+SUMIFS(사진대지!$R:$R,사진대지!$Q:$Q,"="&amp;$B52,사진대지!$Z:$Z,"="&amp;R$4)</f>
        <v>0</v>
      </c>
      <c r="S52" s="67">
        <f>+SUMIFS(사진대지!$R:$R,사진대지!$Q:$Q,"="&amp;$B52,사진대지!$Z:$Z,"="&amp;S$4)</f>
        <v>0</v>
      </c>
      <c r="T52" s="67">
        <f>+SUMIFS(사진대지!$R:$R,사진대지!$Q:$Q,"="&amp;$B52,사진대지!$Z:$Z,"="&amp;T$4)</f>
        <v>0</v>
      </c>
      <c r="U52" s="67">
        <f>+SUMIFS(사진대지!$R:$R,사진대지!$Q:$Q,"="&amp;$B52,사진대지!$Z:$Z,"="&amp;U$4)</f>
        <v>0</v>
      </c>
      <c r="V52" s="70"/>
      <c r="W52" s="75" t="str">
        <f t="shared" si="0"/>
        <v>금속관벽체300</v>
      </c>
      <c r="X52" s="89">
        <f t="shared" si="1"/>
        <v>0</v>
      </c>
      <c r="Y52" s="68"/>
      <c r="Z52" s="68"/>
      <c r="AA52" s="76" t="str">
        <f t="shared" si="2"/>
        <v>금속관벽체300</v>
      </c>
      <c r="AB52" s="93">
        <f>누계!Q52+X52</f>
        <v>0</v>
      </c>
    </row>
    <row r="53" spans="1:28" ht="20.100000000000001" customHeight="1" x14ac:dyDescent="0.3">
      <c r="A53" s="3"/>
      <c r="B53" s="4" t="s">
        <v>101</v>
      </c>
      <c r="C53" s="66">
        <f>+SUMIFS(사진대지!$R:$R,사진대지!$Q:$Q,"="&amp;$B53,사진대지!$Z:$Z,"="&amp;C$4)</f>
        <v>0</v>
      </c>
      <c r="D53" s="66">
        <f>+SUMIFS(사진대지!$R:$R,사진대지!$Q:$Q,"="&amp;$B53,사진대지!$Z:$Z,"="&amp;D$4)</f>
        <v>0</v>
      </c>
      <c r="E53" s="67">
        <f>+SUMIFS(사진대지!$R:$R,사진대지!$Q:$Q,"="&amp;$B53,사진대지!$Z:$Z,"="&amp;E$4)</f>
        <v>0</v>
      </c>
      <c r="F53" s="67">
        <f>+SUMIFS(사진대지!$R:$R,사진대지!$Q:$Q,"="&amp;$B53,사진대지!$Z:$Z,"="&amp;F$4)</f>
        <v>0</v>
      </c>
      <c r="G53" s="67">
        <f>+SUMIFS(사진대지!$R:$R,사진대지!$Q:$Q,"="&amp;$B53,사진대지!$Z:$Z,"="&amp;G$4)</f>
        <v>0</v>
      </c>
      <c r="H53" s="67">
        <f>+SUMIFS(사진대지!$R:$R,사진대지!$Q:$Q,"="&amp;$B53,사진대지!$Z:$Z,"="&amp;H$4)</f>
        <v>0</v>
      </c>
      <c r="I53" s="67">
        <f>+SUMIFS(사진대지!$R:$R,사진대지!$Q:$Q,"="&amp;$B53,사진대지!$Z:$Z,"="&amp;I$4)</f>
        <v>0</v>
      </c>
      <c r="J53" s="67">
        <f>+SUMIFS(사진대지!$R:$R,사진대지!$Q:$Q,"="&amp;$B53,사진대지!$Z:$Z,"="&amp;J$4)</f>
        <v>0</v>
      </c>
      <c r="K53" s="67">
        <f>+SUMIFS(사진대지!$R:$R,사진대지!$Q:$Q,"="&amp;$B53,사진대지!$Z:$Z,"="&amp;K$4)</f>
        <v>0</v>
      </c>
      <c r="L53" s="67">
        <f>+SUMIFS(사진대지!$R:$R,사진대지!$Q:$Q,"="&amp;$B53,사진대지!$Z:$Z,"="&amp;L$4)</f>
        <v>0</v>
      </c>
      <c r="M53" s="67">
        <f>+SUMIFS(사진대지!$R:$R,사진대지!$Q:$Q,"="&amp;$B53,사진대지!$Z:$Z,"="&amp;M$4)</f>
        <v>0</v>
      </c>
      <c r="N53" s="67">
        <f>+SUMIFS(사진대지!$R:$R,사진대지!$Q:$Q,"="&amp;$B53,사진대지!$Z:$Z,"="&amp;N$4)</f>
        <v>0</v>
      </c>
      <c r="O53" s="67">
        <f>+SUMIFS(사진대지!$R:$R,사진대지!$Q:$Q,"="&amp;$B53,사진대지!$Z:$Z,"="&amp;O$4)</f>
        <v>0</v>
      </c>
      <c r="P53" s="67">
        <f>+SUMIFS(사진대지!$R:$R,사진대지!$Q:$Q,"="&amp;$B53,사진대지!$Z:$Z,"="&amp;P$4)</f>
        <v>0</v>
      </c>
      <c r="Q53" s="67">
        <f>+SUMIFS(사진대지!$R:$R,사진대지!$Q:$Q,"="&amp;$B53,사진대지!$Z:$Z,"="&amp;Q$4)</f>
        <v>0</v>
      </c>
      <c r="R53" s="67">
        <f>+SUMIFS(사진대지!$R:$R,사진대지!$Q:$Q,"="&amp;$B53,사진대지!$Z:$Z,"="&amp;R$4)</f>
        <v>0</v>
      </c>
      <c r="S53" s="67">
        <f>+SUMIFS(사진대지!$R:$R,사진대지!$Q:$Q,"="&amp;$B53,사진대지!$Z:$Z,"="&amp;S$4)</f>
        <v>0</v>
      </c>
      <c r="T53" s="67">
        <f>+SUMIFS(사진대지!$R:$R,사진대지!$Q:$Q,"="&amp;$B53,사진대지!$Z:$Z,"="&amp;T$4)</f>
        <v>0</v>
      </c>
      <c r="U53" s="67">
        <f>+SUMIFS(사진대지!$R:$R,사진대지!$Q:$Q,"="&amp;$B53,사진대지!$Z:$Z,"="&amp;U$4)</f>
        <v>0</v>
      </c>
      <c r="V53" s="70"/>
      <c r="W53" s="75" t="str">
        <f t="shared" si="0"/>
        <v>금속관벽체350</v>
      </c>
      <c r="X53" s="89">
        <f t="shared" si="1"/>
        <v>0</v>
      </c>
      <c r="Y53" s="68"/>
      <c r="Z53" s="68"/>
      <c r="AA53" s="76" t="str">
        <f t="shared" si="2"/>
        <v>금속관벽체350</v>
      </c>
      <c r="AB53" s="93">
        <f>누계!Q53+X53</f>
        <v>0</v>
      </c>
    </row>
    <row r="54" spans="1:28" ht="20.100000000000001" customHeight="1" x14ac:dyDescent="0.3">
      <c r="A54" s="3"/>
      <c r="B54" s="4" t="s">
        <v>102</v>
      </c>
      <c r="C54" s="66">
        <f>+SUMIFS(사진대지!$R:$R,사진대지!$Q:$Q,"="&amp;$B54,사진대지!$Z:$Z,"="&amp;C$4)</f>
        <v>0</v>
      </c>
      <c r="D54" s="66">
        <f>+SUMIFS(사진대지!$R:$R,사진대지!$Q:$Q,"="&amp;$B54,사진대지!$Z:$Z,"="&amp;D$4)</f>
        <v>0</v>
      </c>
      <c r="E54" s="67">
        <f>+SUMIFS(사진대지!$R:$R,사진대지!$Q:$Q,"="&amp;$B54,사진대지!$Z:$Z,"="&amp;E$4)</f>
        <v>0</v>
      </c>
      <c r="F54" s="67">
        <f>+SUMIFS(사진대지!$R:$R,사진대지!$Q:$Q,"="&amp;$B54,사진대지!$Z:$Z,"="&amp;F$4)</f>
        <v>0</v>
      </c>
      <c r="G54" s="67">
        <f>+SUMIFS(사진대지!$R:$R,사진대지!$Q:$Q,"="&amp;$B54,사진대지!$Z:$Z,"="&amp;G$4)</f>
        <v>0</v>
      </c>
      <c r="H54" s="67">
        <f>+SUMIFS(사진대지!$R:$R,사진대지!$Q:$Q,"="&amp;$B54,사진대지!$Z:$Z,"="&amp;H$4)</f>
        <v>0</v>
      </c>
      <c r="I54" s="67">
        <f>+SUMIFS(사진대지!$R:$R,사진대지!$Q:$Q,"="&amp;$B54,사진대지!$Z:$Z,"="&amp;I$4)</f>
        <v>0</v>
      </c>
      <c r="J54" s="67">
        <f>+SUMIFS(사진대지!$R:$R,사진대지!$Q:$Q,"="&amp;$B54,사진대지!$Z:$Z,"="&amp;J$4)</f>
        <v>0</v>
      </c>
      <c r="K54" s="67">
        <f>+SUMIFS(사진대지!$R:$R,사진대지!$Q:$Q,"="&amp;$B54,사진대지!$Z:$Z,"="&amp;K$4)</f>
        <v>0</v>
      </c>
      <c r="L54" s="67">
        <f>+SUMIFS(사진대지!$R:$R,사진대지!$Q:$Q,"="&amp;$B54,사진대지!$Z:$Z,"="&amp;L$4)</f>
        <v>0</v>
      </c>
      <c r="M54" s="67">
        <f>+SUMIFS(사진대지!$R:$R,사진대지!$Q:$Q,"="&amp;$B54,사진대지!$Z:$Z,"="&amp;M$4)</f>
        <v>0</v>
      </c>
      <c r="N54" s="67">
        <f>+SUMIFS(사진대지!$R:$R,사진대지!$Q:$Q,"="&amp;$B54,사진대지!$Z:$Z,"="&amp;N$4)</f>
        <v>0</v>
      </c>
      <c r="O54" s="67">
        <f>+SUMIFS(사진대지!$R:$R,사진대지!$Q:$Q,"="&amp;$B54,사진대지!$Z:$Z,"="&amp;O$4)</f>
        <v>0</v>
      </c>
      <c r="P54" s="67">
        <f>+SUMIFS(사진대지!$R:$R,사진대지!$Q:$Q,"="&amp;$B54,사진대지!$Z:$Z,"="&amp;P$4)</f>
        <v>0</v>
      </c>
      <c r="Q54" s="67">
        <f>+SUMIFS(사진대지!$R:$R,사진대지!$Q:$Q,"="&amp;$B54,사진대지!$Z:$Z,"="&amp;Q$4)</f>
        <v>0</v>
      </c>
      <c r="R54" s="67">
        <f>+SUMIFS(사진대지!$R:$R,사진대지!$Q:$Q,"="&amp;$B54,사진대지!$Z:$Z,"="&amp;R$4)</f>
        <v>0</v>
      </c>
      <c r="S54" s="67">
        <f>+SUMIFS(사진대지!$R:$R,사진대지!$Q:$Q,"="&amp;$B54,사진대지!$Z:$Z,"="&amp;S$4)</f>
        <v>0</v>
      </c>
      <c r="T54" s="67">
        <f>+SUMIFS(사진대지!$R:$R,사진대지!$Q:$Q,"="&amp;$B54,사진대지!$Z:$Z,"="&amp;T$4)</f>
        <v>0</v>
      </c>
      <c r="U54" s="67">
        <f>+SUMIFS(사진대지!$R:$R,사진대지!$Q:$Q,"="&amp;$B54,사진대지!$Z:$Z,"="&amp;U$4)</f>
        <v>0</v>
      </c>
      <c r="V54" s="70"/>
      <c r="W54" s="75" t="str">
        <f t="shared" ref="W54:W105" si="18">B54</f>
        <v>금속관벽체400</v>
      </c>
      <c r="X54" s="89">
        <f t="shared" ref="X54:X105" si="19">+SUM(C54:U54)</f>
        <v>0</v>
      </c>
      <c r="Y54" s="68"/>
      <c r="Z54" s="68"/>
      <c r="AA54" s="76" t="str">
        <f t="shared" si="2"/>
        <v>금속관벽체400</v>
      </c>
      <c r="AB54" s="93">
        <f>누계!Q54+X54</f>
        <v>0</v>
      </c>
    </row>
    <row r="55" spans="1:28" ht="20.100000000000001" customHeight="1" x14ac:dyDescent="0.3">
      <c r="A55" s="3"/>
      <c r="B55" s="4" t="s">
        <v>103</v>
      </c>
      <c r="C55" s="66">
        <f>+SUMIFS(사진대지!$R:$R,사진대지!$Q:$Q,"="&amp;$B55,사진대지!$Z:$Z,"="&amp;C$4)</f>
        <v>0</v>
      </c>
      <c r="D55" s="66">
        <f>+SUMIFS(사진대지!$R:$R,사진대지!$Q:$Q,"="&amp;$B55,사진대지!$Z:$Z,"="&amp;D$4)</f>
        <v>0</v>
      </c>
      <c r="E55" s="67">
        <f>+SUMIFS(사진대지!$R:$R,사진대지!$Q:$Q,"="&amp;$B55,사진대지!$Z:$Z,"="&amp;E$4)</f>
        <v>0</v>
      </c>
      <c r="F55" s="67">
        <f>+SUMIFS(사진대지!$R:$R,사진대지!$Q:$Q,"="&amp;$B55,사진대지!$Z:$Z,"="&amp;F$4)</f>
        <v>0</v>
      </c>
      <c r="G55" s="67">
        <f>+SUMIFS(사진대지!$R:$R,사진대지!$Q:$Q,"="&amp;$B55,사진대지!$Z:$Z,"="&amp;G$4)</f>
        <v>0</v>
      </c>
      <c r="H55" s="67">
        <f>+SUMIFS(사진대지!$R:$R,사진대지!$Q:$Q,"="&amp;$B55,사진대지!$Z:$Z,"="&amp;H$4)</f>
        <v>0</v>
      </c>
      <c r="I55" s="67">
        <f>+SUMIFS(사진대지!$R:$R,사진대지!$Q:$Q,"="&amp;$B55,사진대지!$Z:$Z,"="&amp;I$4)</f>
        <v>0</v>
      </c>
      <c r="J55" s="67">
        <f>+SUMIFS(사진대지!$R:$R,사진대지!$Q:$Q,"="&amp;$B55,사진대지!$Z:$Z,"="&amp;J$4)</f>
        <v>0</v>
      </c>
      <c r="K55" s="67">
        <f>+SUMIFS(사진대지!$R:$R,사진대지!$Q:$Q,"="&amp;$B55,사진대지!$Z:$Z,"="&amp;K$4)</f>
        <v>0</v>
      </c>
      <c r="L55" s="67">
        <f>+SUMIFS(사진대지!$R:$R,사진대지!$Q:$Q,"="&amp;$B55,사진대지!$Z:$Z,"="&amp;L$4)</f>
        <v>0</v>
      </c>
      <c r="M55" s="67">
        <f>+SUMIFS(사진대지!$R:$R,사진대지!$Q:$Q,"="&amp;$B55,사진대지!$Z:$Z,"="&amp;M$4)</f>
        <v>0</v>
      </c>
      <c r="N55" s="67">
        <f>+SUMIFS(사진대지!$R:$R,사진대지!$Q:$Q,"="&amp;$B55,사진대지!$Z:$Z,"="&amp;N$4)</f>
        <v>0</v>
      </c>
      <c r="O55" s="67">
        <f>+SUMIFS(사진대지!$R:$R,사진대지!$Q:$Q,"="&amp;$B55,사진대지!$Z:$Z,"="&amp;O$4)</f>
        <v>0</v>
      </c>
      <c r="P55" s="67">
        <f>+SUMIFS(사진대지!$R:$R,사진대지!$Q:$Q,"="&amp;$B55,사진대지!$Z:$Z,"="&amp;P$4)</f>
        <v>0</v>
      </c>
      <c r="Q55" s="67">
        <f>+SUMIFS(사진대지!$R:$R,사진대지!$Q:$Q,"="&amp;$B55,사진대지!$Z:$Z,"="&amp;Q$4)</f>
        <v>0</v>
      </c>
      <c r="R55" s="67">
        <f>+SUMIFS(사진대지!$R:$R,사진대지!$Q:$Q,"="&amp;$B55,사진대지!$Z:$Z,"="&amp;R$4)</f>
        <v>0</v>
      </c>
      <c r="S55" s="67">
        <f>+SUMIFS(사진대지!$R:$R,사진대지!$Q:$Q,"="&amp;$B55,사진대지!$Z:$Z,"="&amp;S$4)</f>
        <v>0</v>
      </c>
      <c r="T55" s="67">
        <f>+SUMIFS(사진대지!$R:$R,사진대지!$Q:$Q,"="&amp;$B55,사진대지!$Z:$Z,"="&amp;T$4)</f>
        <v>0</v>
      </c>
      <c r="U55" s="67">
        <f>+SUMIFS(사진대지!$R:$R,사진대지!$Q:$Q,"="&amp;$B55,사진대지!$Z:$Z,"="&amp;U$4)</f>
        <v>0</v>
      </c>
      <c r="V55" s="70"/>
      <c r="W55" s="75" t="str">
        <f t="shared" si="18"/>
        <v>금속관벽체450</v>
      </c>
      <c r="X55" s="89">
        <f t="shared" si="19"/>
        <v>0</v>
      </c>
      <c r="Y55" s="68"/>
      <c r="Z55" s="68"/>
      <c r="AA55" s="76" t="str">
        <f t="shared" si="2"/>
        <v>금속관벽체450</v>
      </c>
      <c r="AB55" s="93">
        <f>누계!Q55+X55</f>
        <v>0</v>
      </c>
    </row>
    <row r="56" spans="1:28" ht="20.100000000000001" customHeight="1" x14ac:dyDescent="0.3">
      <c r="A56" s="3"/>
      <c r="B56" s="4" t="s">
        <v>104</v>
      </c>
      <c r="C56" s="66">
        <f>+SUMIFS(사진대지!$R:$R,사진대지!$Q:$Q,"="&amp;$B56,사진대지!$Z:$Z,"="&amp;C$4)</f>
        <v>0</v>
      </c>
      <c r="D56" s="66">
        <f>+SUMIFS(사진대지!$R:$R,사진대지!$Q:$Q,"="&amp;$B56,사진대지!$Z:$Z,"="&amp;D$4)</f>
        <v>0</v>
      </c>
      <c r="E56" s="67">
        <f>+SUMIFS(사진대지!$R:$R,사진대지!$Q:$Q,"="&amp;$B56,사진대지!$Z:$Z,"="&amp;E$4)</f>
        <v>0</v>
      </c>
      <c r="F56" s="67">
        <f>+SUMIFS(사진대지!$R:$R,사진대지!$Q:$Q,"="&amp;$B56,사진대지!$Z:$Z,"="&amp;F$4)</f>
        <v>0</v>
      </c>
      <c r="G56" s="67">
        <f>+SUMIFS(사진대지!$R:$R,사진대지!$Q:$Q,"="&amp;$B56,사진대지!$Z:$Z,"="&amp;G$4)</f>
        <v>0</v>
      </c>
      <c r="H56" s="67">
        <f>+SUMIFS(사진대지!$R:$R,사진대지!$Q:$Q,"="&amp;$B56,사진대지!$Z:$Z,"="&amp;H$4)</f>
        <v>0</v>
      </c>
      <c r="I56" s="67">
        <f>+SUMIFS(사진대지!$R:$R,사진대지!$Q:$Q,"="&amp;$B56,사진대지!$Z:$Z,"="&amp;I$4)</f>
        <v>0</v>
      </c>
      <c r="J56" s="67">
        <f>+SUMIFS(사진대지!$R:$R,사진대지!$Q:$Q,"="&amp;$B56,사진대지!$Z:$Z,"="&amp;J$4)</f>
        <v>0</v>
      </c>
      <c r="K56" s="67">
        <f>+SUMIFS(사진대지!$R:$R,사진대지!$Q:$Q,"="&amp;$B56,사진대지!$Z:$Z,"="&amp;K$4)</f>
        <v>0</v>
      </c>
      <c r="L56" s="67">
        <f>+SUMIFS(사진대지!$R:$R,사진대지!$Q:$Q,"="&amp;$B56,사진대지!$Z:$Z,"="&amp;L$4)</f>
        <v>0</v>
      </c>
      <c r="M56" s="67">
        <f>+SUMIFS(사진대지!$R:$R,사진대지!$Q:$Q,"="&amp;$B56,사진대지!$Z:$Z,"="&amp;M$4)</f>
        <v>0</v>
      </c>
      <c r="N56" s="67">
        <f>+SUMIFS(사진대지!$R:$R,사진대지!$Q:$Q,"="&amp;$B56,사진대지!$Z:$Z,"="&amp;N$4)</f>
        <v>0</v>
      </c>
      <c r="O56" s="67">
        <f>+SUMIFS(사진대지!$R:$R,사진대지!$Q:$Q,"="&amp;$B56,사진대지!$Z:$Z,"="&amp;O$4)</f>
        <v>0</v>
      </c>
      <c r="P56" s="67">
        <f>+SUMIFS(사진대지!$R:$R,사진대지!$Q:$Q,"="&amp;$B56,사진대지!$Z:$Z,"="&amp;P$4)</f>
        <v>0</v>
      </c>
      <c r="Q56" s="67">
        <f>+SUMIFS(사진대지!$R:$R,사진대지!$Q:$Q,"="&amp;$B56,사진대지!$Z:$Z,"="&amp;Q$4)</f>
        <v>0</v>
      </c>
      <c r="R56" s="67">
        <f>+SUMIFS(사진대지!$R:$R,사진대지!$Q:$Q,"="&amp;$B56,사진대지!$Z:$Z,"="&amp;R$4)</f>
        <v>0</v>
      </c>
      <c r="S56" s="67">
        <f>+SUMIFS(사진대지!$R:$R,사진대지!$Q:$Q,"="&amp;$B56,사진대지!$Z:$Z,"="&amp;S$4)</f>
        <v>0</v>
      </c>
      <c r="T56" s="67">
        <f>+SUMIFS(사진대지!$R:$R,사진대지!$Q:$Q,"="&amp;$B56,사진대지!$Z:$Z,"="&amp;T$4)</f>
        <v>0</v>
      </c>
      <c r="U56" s="67">
        <f>+SUMIFS(사진대지!$R:$R,사진대지!$Q:$Q,"="&amp;$B56,사진대지!$Z:$Z,"="&amp;U$4)</f>
        <v>0</v>
      </c>
      <c r="V56" s="70"/>
      <c r="W56" s="75" t="str">
        <f t="shared" si="18"/>
        <v>금속관벽체500</v>
      </c>
      <c r="X56" s="89">
        <f t="shared" si="19"/>
        <v>0</v>
      </c>
      <c r="Y56" s="68"/>
      <c r="Z56" s="68"/>
      <c r="AA56" s="76" t="str">
        <f t="shared" si="2"/>
        <v>금속관벽체500</v>
      </c>
      <c r="AB56" s="93">
        <f>누계!Q56+X56</f>
        <v>0</v>
      </c>
    </row>
    <row r="57" spans="1:28" ht="20.100000000000001" customHeight="1" x14ac:dyDescent="0.3">
      <c r="A57" s="3"/>
      <c r="B57" s="4" t="s">
        <v>90</v>
      </c>
      <c r="C57" s="66">
        <f>+SUMIFS(사진대지!$R:$R,사진대지!$Q:$Q,"="&amp;$B57,사진대지!$Z:$Z,"="&amp;C$4)</f>
        <v>0</v>
      </c>
      <c r="D57" s="66">
        <f>+SUMIFS(사진대지!$R:$R,사진대지!$Q:$Q,"="&amp;$B57,사진대지!$Z:$Z,"="&amp;D$4)</f>
        <v>0</v>
      </c>
      <c r="E57" s="67">
        <f>+SUMIFS(사진대지!$R:$R,사진대지!$Q:$Q,"="&amp;$B57,사진대지!$Z:$Z,"="&amp;E$4)</f>
        <v>0</v>
      </c>
      <c r="F57" s="67">
        <f>+SUMIFS(사진대지!$R:$R,사진대지!$Q:$Q,"="&amp;$B57,사진대지!$Z:$Z,"="&amp;F$4)</f>
        <v>0</v>
      </c>
      <c r="G57" s="67">
        <f>+SUMIFS(사진대지!$R:$R,사진대지!$Q:$Q,"="&amp;$B57,사진대지!$Z:$Z,"="&amp;G$4)</f>
        <v>0</v>
      </c>
      <c r="H57" s="67">
        <f>+SUMIFS(사진대지!$R:$R,사진대지!$Q:$Q,"="&amp;$B57,사진대지!$Z:$Z,"="&amp;H$4)</f>
        <v>0</v>
      </c>
      <c r="I57" s="67">
        <f>+SUMIFS(사진대지!$R:$R,사진대지!$Q:$Q,"="&amp;$B57,사진대지!$Z:$Z,"="&amp;I$4)</f>
        <v>0</v>
      </c>
      <c r="J57" s="67">
        <f>+SUMIFS(사진대지!$R:$R,사진대지!$Q:$Q,"="&amp;$B57,사진대지!$Z:$Z,"="&amp;J$4)</f>
        <v>0</v>
      </c>
      <c r="K57" s="67">
        <f>+SUMIFS(사진대지!$R:$R,사진대지!$Q:$Q,"="&amp;$B57,사진대지!$Z:$Z,"="&amp;K$4)</f>
        <v>0</v>
      </c>
      <c r="L57" s="67">
        <f>+SUMIFS(사진대지!$R:$R,사진대지!$Q:$Q,"="&amp;$B57,사진대지!$Z:$Z,"="&amp;L$4)</f>
        <v>0</v>
      </c>
      <c r="M57" s="67">
        <f>+SUMIFS(사진대지!$R:$R,사진대지!$Q:$Q,"="&amp;$B57,사진대지!$Z:$Z,"="&amp;M$4)</f>
        <v>0</v>
      </c>
      <c r="N57" s="67">
        <f>+SUMIFS(사진대지!$R:$R,사진대지!$Q:$Q,"="&amp;$B57,사진대지!$Z:$Z,"="&amp;N$4)</f>
        <v>0</v>
      </c>
      <c r="O57" s="67">
        <f>+SUMIFS(사진대지!$R:$R,사진대지!$Q:$Q,"="&amp;$B57,사진대지!$Z:$Z,"="&amp;O$4)</f>
        <v>0</v>
      </c>
      <c r="P57" s="67">
        <f>+SUMIFS(사진대지!$R:$R,사진대지!$Q:$Q,"="&amp;$B57,사진대지!$Z:$Z,"="&amp;P$4)</f>
        <v>0</v>
      </c>
      <c r="Q57" s="67">
        <f>+SUMIFS(사진대지!$R:$R,사진대지!$Q:$Q,"="&amp;$B57,사진대지!$Z:$Z,"="&amp;Q$4)</f>
        <v>0</v>
      </c>
      <c r="R57" s="67">
        <f>+SUMIFS(사진대지!$R:$R,사진대지!$Q:$Q,"="&amp;$B57,사진대지!$Z:$Z,"="&amp;R$4)</f>
        <v>0</v>
      </c>
      <c r="S57" s="67">
        <f>+SUMIFS(사진대지!$R:$R,사진대지!$Q:$Q,"="&amp;$B57,사진대지!$Z:$Z,"="&amp;S$4)</f>
        <v>0</v>
      </c>
      <c r="T57" s="67">
        <f>+SUMIFS(사진대지!$R:$R,사진대지!$Q:$Q,"="&amp;$B57,사진대지!$Z:$Z,"="&amp;T$4)</f>
        <v>0</v>
      </c>
      <c r="U57" s="67">
        <f>+SUMIFS(사진대지!$R:$R,사진대지!$Q:$Q,"="&amp;$B57,사진대지!$Z:$Z,"="&amp;U$4)</f>
        <v>0</v>
      </c>
      <c r="V57" s="70"/>
      <c r="W57" s="75" t="str">
        <f t="shared" ref="W57" si="20">B57</f>
        <v>스파이럴벽체100</v>
      </c>
      <c r="X57" s="89">
        <f t="shared" ref="X57" si="21">+SUM(C57:U57)</f>
        <v>0</v>
      </c>
      <c r="Y57" s="68"/>
      <c r="Z57" s="68"/>
      <c r="AA57" s="76" t="str">
        <f t="shared" ref="AA57" si="22">W57</f>
        <v>스파이럴벽체100</v>
      </c>
      <c r="AB57" s="93">
        <f>누계!Q57+X57</f>
        <v>0</v>
      </c>
    </row>
    <row r="58" spans="1:28" ht="20.100000000000001" customHeight="1" x14ac:dyDescent="0.3">
      <c r="A58" s="3"/>
      <c r="B58" s="4" t="s">
        <v>62</v>
      </c>
      <c r="C58" s="66">
        <f>+SUMIFS(사진대지!$R:$R,사진대지!$Q:$Q,"="&amp;$B58,사진대지!$Z:$Z,"="&amp;C$4)</f>
        <v>0</v>
      </c>
      <c r="D58" s="66">
        <f>+SUMIFS(사진대지!$R:$R,사진대지!$Q:$Q,"="&amp;$B58,사진대지!$Z:$Z,"="&amp;D$4)</f>
        <v>0</v>
      </c>
      <c r="E58" s="67">
        <f>+SUMIFS(사진대지!$R:$R,사진대지!$Q:$Q,"="&amp;$B58,사진대지!$Z:$Z,"="&amp;E$4)</f>
        <v>0</v>
      </c>
      <c r="F58" s="67">
        <f>+SUMIFS(사진대지!$R:$R,사진대지!$Q:$Q,"="&amp;$B58,사진대지!$Z:$Z,"="&amp;F$4)</f>
        <v>0</v>
      </c>
      <c r="G58" s="67">
        <f>+SUMIFS(사진대지!$R:$R,사진대지!$Q:$Q,"="&amp;$B58,사진대지!$Z:$Z,"="&amp;G$4)</f>
        <v>0</v>
      </c>
      <c r="H58" s="67">
        <f>+SUMIFS(사진대지!$R:$R,사진대지!$Q:$Q,"="&amp;$B58,사진대지!$Z:$Z,"="&amp;H$4)</f>
        <v>0</v>
      </c>
      <c r="I58" s="67">
        <f>+SUMIFS(사진대지!$R:$R,사진대지!$Q:$Q,"="&amp;$B58,사진대지!$Z:$Z,"="&amp;I$4)</f>
        <v>0</v>
      </c>
      <c r="J58" s="67">
        <f>+SUMIFS(사진대지!$R:$R,사진대지!$Q:$Q,"="&amp;$B58,사진대지!$Z:$Z,"="&amp;J$4)</f>
        <v>0</v>
      </c>
      <c r="K58" s="67">
        <f>+SUMIFS(사진대지!$R:$R,사진대지!$Q:$Q,"="&amp;$B58,사진대지!$Z:$Z,"="&amp;K$4)</f>
        <v>0</v>
      </c>
      <c r="L58" s="67">
        <f>+SUMIFS(사진대지!$R:$R,사진대지!$Q:$Q,"="&amp;$B58,사진대지!$Z:$Z,"="&amp;L$4)</f>
        <v>0</v>
      </c>
      <c r="M58" s="67">
        <f>+SUMIFS(사진대지!$R:$R,사진대지!$Q:$Q,"="&amp;$B58,사진대지!$Z:$Z,"="&amp;M$4)</f>
        <v>0</v>
      </c>
      <c r="N58" s="67">
        <f>+SUMIFS(사진대지!$R:$R,사진대지!$Q:$Q,"="&amp;$B58,사진대지!$Z:$Z,"="&amp;N$4)</f>
        <v>0</v>
      </c>
      <c r="O58" s="67">
        <f>+SUMIFS(사진대지!$R:$R,사진대지!$Q:$Q,"="&amp;$B58,사진대지!$Z:$Z,"="&amp;O$4)</f>
        <v>0</v>
      </c>
      <c r="P58" s="67">
        <f>+SUMIFS(사진대지!$R:$R,사진대지!$Q:$Q,"="&amp;$B58,사진대지!$Z:$Z,"="&amp;P$4)</f>
        <v>0</v>
      </c>
      <c r="Q58" s="67">
        <f>+SUMIFS(사진대지!$R:$R,사진대지!$Q:$Q,"="&amp;$B58,사진대지!$Z:$Z,"="&amp;Q$4)</f>
        <v>0</v>
      </c>
      <c r="R58" s="67">
        <f>+SUMIFS(사진대지!$R:$R,사진대지!$Q:$Q,"="&amp;$B58,사진대지!$Z:$Z,"="&amp;R$4)</f>
        <v>0</v>
      </c>
      <c r="S58" s="67">
        <f>+SUMIFS(사진대지!$R:$R,사진대지!$Q:$Q,"="&amp;$B58,사진대지!$Z:$Z,"="&amp;S$4)</f>
        <v>0</v>
      </c>
      <c r="T58" s="67">
        <f>+SUMIFS(사진대지!$R:$R,사진대지!$Q:$Q,"="&amp;$B58,사진대지!$Z:$Z,"="&amp;T$4)</f>
        <v>0</v>
      </c>
      <c r="U58" s="67">
        <f>+SUMIFS(사진대지!$R:$R,사진대지!$Q:$Q,"="&amp;$B58,사진대지!$Z:$Z,"="&amp;U$4)</f>
        <v>0</v>
      </c>
      <c r="V58" s="70"/>
      <c r="W58" s="75" t="str">
        <f>B58</f>
        <v>스파이럴벽체125</v>
      </c>
      <c r="X58" s="89">
        <f>+SUM(C58:U58)</f>
        <v>0</v>
      </c>
      <c r="Y58" s="68"/>
      <c r="Z58" s="68"/>
      <c r="AA58" s="76" t="str">
        <f>W58</f>
        <v>스파이럴벽체125</v>
      </c>
      <c r="AB58" s="93">
        <f>누계!Q58+X58</f>
        <v>0</v>
      </c>
    </row>
    <row r="59" spans="1:28" ht="20.100000000000001" customHeight="1" x14ac:dyDescent="0.3">
      <c r="A59" s="3"/>
      <c r="B59" s="4" t="s">
        <v>63</v>
      </c>
      <c r="C59" s="66">
        <f>+SUMIFS(사진대지!$R:$R,사진대지!$Q:$Q,"="&amp;$B59,사진대지!$Z:$Z,"="&amp;C$4)</f>
        <v>0</v>
      </c>
      <c r="D59" s="66">
        <f>+SUMIFS(사진대지!$R:$R,사진대지!$Q:$Q,"="&amp;$B59,사진대지!$Z:$Z,"="&amp;D$4)</f>
        <v>0</v>
      </c>
      <c r="E59" s="67">
        <f>+SUMIFS(사진대지!$R:$R,사진대지!$Q:$Q,"="&amp;$B59,사진대지!$Z:$Z,"="&amp;E$4)</f>
        <v>0</v>
      </c>
      <c r="F59" s="67">
        <f>+SUMIFS(사진대지!$R:$R,사진대지!$Q:$Q,"="&amp;$B59,사진대지!$Z:$Z,"="&amp;F$4)</f>
        <v>0</v>
      </c>
      <c r="G59" s="67">
        <f>+SUMIFS(사진대지!$R:$R,사진대지!$Q:$Q,"="&amp;$B59,사진대지!$Z:$Z,"="&amp;G$4)</f>
        <v>0</v>
      </c>
      <c r="H59" s="67">
        <f>+SUMIFS(사진대지!$R:$R,사진대지!$Q:$Q,"="&amp;$B59,사진대지!$Z:$Z,"="&amp;H$4)</f>
        <v>0</v>
      </c>
      <c r="I59" s="67">
        <f>+SUMIFS(사진대지!$R:$R,사진대지!$Q:$Q,"="&amp;$B59,사진대지!$Z:$Z,"="&amp;I$4)</f>
        <v>0</v>
      </c>
      <c r="J59" s="67">
        <f>+SUMIFS(사진대지!$R:$R,사진대지!$Q:$Q,"="&amp;$B59,사진대지!$Z:$Z,"="&amp;J$4)</f>
        <v>0</v>
      </c>
      <c r="K59" s="67">
        <f>+SUMIFS(사진대지!$R:$R,사진대지!$Q:$Q,"="&amp;$B59,사진대지!$Z:$Z,"="&amp;K$4)</f>
        <v>0</v>
      </c>
      <c r="L59" s="67">
        <f>+SUMIFS(사진대지!$R:$R,사진대지!$Q:$Q,"="&amp;$B59,사진대지!$Z:$Z,"="&amp;L$4)</f>
        <v>0</v>
      </c>
      <c r="M59" s="67">
        <f>+SUMIFS(사진대지!$R:$R,사진대지!$Q:$Q,"="&amp;$B59,사진대지!$Z:$Z,"="&amp;M$4)</f>
        <v>0</v>
      </c>
      <c r="N59" s="67">
        <f>+SUMIFS(사진대지!$R:$R,사진대지!$Q:$Q,"="&amp;$B59,사진대지!$Z:$Z,"="&amp;N$4)</f>
        <v>0</v>
      </c>
      <c r="O59" s="67">
        <f>+SUMIFS(사진대지!$R:$R,사진대지!$Q:$Q,"="&amp;$B59,사진대지!$Z:$Z,"="&amp;O$4)</f>
        <v>0</v>
      </c>
      <c r="P59" s="67">
        <f>+SUMIFS(사진대지!$R:$R,사진대지!$Q:$Q,"="&amp;$B59,사진대지!$Z:$Z,"="&amp;P$4)</f>
        <v>0</v>
      </c>
      <c r="Q59" s="67">
        <f>+SUMIFS(사진대지!$R:$R,사진대지!$Q:$Q,"="&amp;$B59,사진대지!$Z:$Z,"="&amp;Q$4)</f>
        <v>0</v>
      </c>
      <c r="R59" s="67">
        <f>+SUMIFS(사진대지!$R:$R,사진대지!$Q:$Q,"="&amp;$B59,사진대지!$Z:$Z,"="&amp;R$4)</f>
        <v>0</v>
      </c>
      <c r="S59" s="67">
        <f>+SUMIFS(사진대지!$R:$R,사진대지!$Q:$Q,"="&amp;$B59,사진대지!$Z:$Z,"="&amp;S$4)</f>
        <v>0</v>
      </c>
      <c r="T59" s="67">
        <f>+SUMIFS(사진대지!$R:$R,사진대지!$Q:$Q,"="&amp;$B59,사진대지!$Z:$Z,"="&amp;T$4)</f>
        <v>0</v>
      </c>
      <c r="U59" s="67">
        <f>+SUMIFS(사진대지!$R:$R,사진대지!$Q:$Q,"="&amp;$B59,사진대지!$Z:$Z,"="&amp;U$4)</f>
        <v>0</v>
      </c>
      <c r="V59" s="70"/>
      <c r="W59" s="75" t="str">
        <f t="shared" ref="W59" si="23">B59</f>
        <v>스파이럴벽체150</v>
      </c>
      <c r="X59" s="89">
        <f t="shared" ref="X59" si="24">+SUM(C59:U59)</f>
        <v>0</v>
      </c>
      <c r="Y59" s="68"/>
      <c r="Z59" s="68"/>
      <c r="AA59" s="76" t="str">
        <f t="shared" ref="AA59" si="25">W59</f>
        <v>스파이럴벽체150</v>
      </c>
      <c r="AB59" s="93">
        <f>누계!Q59+X59</f>
        <v>0</v>
      </c>
    </row>
    <row r="60" spans="1:28" ht="20.100000000000001" customHeight="1" x14ac:dyDescent="0.3">
      <c r="A60" s="3"/>
      <c r="B60" s="4" t="s">
        <v>91</v>
      </c>
      <c r="C60" s="66">
        <f>+SUMIFS(사진대지!$R:$R,사진대지!$Q:$Q,"="&amp;$B60,사진대지!$Z:$Z,"="&amp;C$4)</f>
        <v>0</v>
      </c>
      <c r="D60" s="66">
        <f>+SUMIFS(사진대지!$R:$R,사진대지!$Q:$Q,"="&amp;$B60,사진대지!$Z:$Z,"="&amp;D$4)</f>
        <v>0</v>
      </c>
      <c r="E60" s="67">
        <f>+SUMIFS(사진대지!$R:$R,사진대지!$Q:$Q,"="&amp;$B60,사진대지!$Z:$Z,"="&amp;E$4)</f>
        <v>0</v>
      </c>
      <c r="F60" s="67">
        <f>+SUMIFS(사진대지!$R:$R,사진대지!$Q:$Q,"="&amp;$B60,사진대지!$Z:$Z,"="&amp;F$4)</f>
        <v>0</v>
      </c>
      <c r="G60" s="67">
        <f>+SUMIFS(사진대지!$R:$R,사진대지!$Q:$Q,"="&amp;$B60,사진대지!$Z:$Z,"="&amp;G$4)</f>
        <v>0</v>
      </c>
      <c r="H60" s="67">
        <f>+SUMIFS(사진대지!$R:$R,사진대지!$Q:$Q,"="&amp;$B60,사진대지!$Z:$Z,"="&amp;H$4)</f>
        <v>0</v>
      </c>
      <c r="I60" s="67">
        <f>+SUMIFS(사진대지!$R:$R,사진대지!$Q:$Q,"="&amp;$B60,사진대지!$Z:$Z,"="&amp;I$4)</f>
        <v>0</v>
      </c>
      <c r="J60" s="67">
        <f>+SUMIFS(사진대지!$R:$R,사진대지!$Q:$Q,"="&amp;$B60,사진대지!$Z:$Z,"="&amp;J$4)</f>
        <v>0</v>
      </c>
      <c r="K60" s="67">
        <f>+SUMIFS(사진대지!$R:$R,사진대지!$Q:$Q,"="&amp;$B60,사진대지!$Z:$Z,"="&amp;K$4)</f>
        <v>0</v>
      </c>
      <c r="L60" s="67">
        <f>+SUMIFS(사진대지!$R:$R,사진대지!$Q:$Q,"="&amp;$B60,사진대지!$Z:$Z,"="&amp;L$4)</f>
        <v>0</v>
      </c>
      <c r="M60" s="67">
        <f>+SUMIFS(사진대지!$R:$R,사진대지!$Q:$Q,"="&amp;$B60,사진대지!$Z:$Z,"="&amp;M$4)</f>
        <v>0</v>
      </c>
      <c r="N60" s="67">
        <f>+SUMIFS(사진대지!$R:$R,사진대지!$Q:$Q,"="&amp;$B60,사진대지!$Z:$Z,"="&amp;N$4)</f>
        <v>0</v>
      </c>
      <c r="O60" s="67">
        <f>+SUMIFS(사진대지!$R:$R,사진대지!$Q:$Q,"="&amp;$B60,사진대지!$Z:$Z,"="&amp;O$4)</f>
        <v>0</v>
      </c>
      <c r="P60" s="67">
        <f>+SUMIFS(사진대지!$R:$R,사진대지!$Q:$Q,"="&amp;$B60,사진대지!$Z:$Z,"="&amp;P$4)</f>
        <v>0</v>
      </c>
      <c r="Q60" s="67">
        <f>+SUMIFS(사진대지!$R:$R,사진대지!$Q:$Q,"="&amp;$B60,사진대지!$Z:$Z,"="&amp;Q$4)</f>
        <v>0</v>
      </c>
      <c r="R60" s="67">
        <f>+SUMIFS(사진대지!$R:$R,사진대지!$Q:$Q,"="&amp;$B60,사진대지!$Z:$Z,"="&amp;R$4)</f>
        <v>0</v>
      </c>
      <c r="S60" s="67">
        <f>+SUMIFS(사진대지!$R:$R,사진대지!$Q:$Q,"="&amp;$B60,사진대지!$Z:$Z,"="&amp;S$4)</f>
        <v>0</v>
      </c>
      <c r="T60" s="67">
        <f>+SUMIFS(사진대지!$R:$R,사진대지!$Q:$Q,"="&amp;$B60,사진대지!$Z:$Z,"="&amp;T$4)</f>
        <v>0</v>
      </c>
      <c r="U60" s="67">
        <f>+SUMIFS(사진대지!$R:$R,사진대지!$Q:$Q,"="&amp;$B60,사진대지!$Z:$Z,"="&amp;U$4)</f>
        <v>0</v>
      </c>
      <c r="V60" s="70"/>
      <c r="W60" s="75" t="str">
        <f>B60</f>
        <v>스파이럴벽체200</v>
      </c>
      <c r="X60" s="89">
        <f>+SUM(C60:U60)</f>
        <v>0</v>
      </c>
      <c r="Y60" s="68"/>
      <c r="Z60" s="68"/>
      <c r="AA60" s="76" t="str">
        <f>W60</f>
        <v>스파이럴벽체200</v>
      </c>
      <c r="AB60" s="93">
        <f>누계!Q60+X60</f>
        <v>0</v>
      </c>
    </row>
    <row r="61" spans="1:28" ht="20.100000000000001" customHeight="1" x14ac:dyDescent="0.3">
      <c r="A61" s="3"/>
      <c r="B61" s="4" t="s">
        <v>92</v>
      </c>
      <c r="C61" s="66">
        <f>+SUMIFS(사진대지!$R:$R,사진대지!$Q:$Q,"="&amp;$B61,사진대지!$Z:$Z,"="&amp;C$4)</f>
        <v>0</v>
      </c>
      <c r="D61" s="66">
        <f>+SUMIFS(사진대지!$R:$R,사진대지!$Q:$Q,"="&amp;$B61,사진대지!$Z:$Z,"="&amp;D$4)</f>
        <v>0</v>
      </c>
      <c r="E61" s="67">
        <f>+SUMIFS(사진대지!$R:$R,사진대지!$Q:$Q,"="&amp;$B61,사진대지!$Z:$Z,"="&amp;E$4)</f>
        <v>0</v>
      </c>
      <c r="F61" s="67">
        <f>+SUMIFS(사진대지!$R:$R,사진대지!$Q:$Q,"="&amp;$B61,사진대지!$Z:$Z,"="&amp;F$4)</f>
        <v>0</v>
      </c>
      <c r="G61" s="67">
        <f>+SUMIFS(사진대지!$R:$R,사진대지!$Q:$Q,"="&amp;$B61,사진대지!$Z:$Z,"="&amp;G$4)</f>
        <v>0</v>
      </c>
      <c r="H61" s="67">
        <f>+SUMIFS(사진대지!$R:$R,사진대지!$Q:$Q,"="&amp;$B61,사진대지!$Z:$Z,"="&amp;H$4)</f>
        <v>0</v>
      </c>
      <c r="I61" s="67">
        <f>+SUMIFS(사진대지!$R:$R,사진대지!$Q:$Q,"="&amp;$B61,사진대지!$Z:$Z,"="&amp;I$4)</f>
        <v>0</v>
      </c>
      <c r="J61" s="67">
        <f>+SUMIFS(사진대지!$R:$R,사진대지!$Q:$Q,"="&amp;$B61,사진대지!$Z:$Z,"="&amp;J$4)</f>
        <v>0</v>
      </c>
      <c r="K61" s="67">
        <f>+SUMIFS(사진대지!$R:$R,사진대지!$Q:$Q,"="&amp;$B61,사진대지!$Z:$Z,"="&amp;K$4)</f>
        <v>0</v>
      </c>
      <c r="L61" s="67">
        <f>+SUMIFS(사진대지!$R:$R,사진대지!$Q:$Q,"="&amp;$B61,사진대지!$Z:$Z,"="&amp;L$4)</f>
        <v>0</v>
      </c>
      <c r="M61" s="67">
        <f>+SUMIFS(사진대지!$R:$R,사진대지!$Q:$Q,"="&amp;$B61,사진대지!$Z:$Z,"="&amp;M$4)</f>
        <v>0</v>
      </c>
      <c r="N61" s="67">
        <f>+SUMIFS(사진대지!$R:$R,사진대지!$Q:$Q,"="&amp;$B61,사진대지!$Z:$Z,"="&amp;N$4)</f>
        <v>0</v>
      </c>
      <c r="O61" s="67">
        <f>+SUMIFS(사진대지!$R:$R,사진대지!$Q:$Q,"="&amp;$B61,사진대지!$Z:$Z,"="&amp;O$4)</f>
        <v>0</v>
      </c>
      <c r="P61" s="67">
        <f>+SUMIFS(사진대지!$R:$R,사진대지!$Q:$Q,"="&amp;$B61,사진대지!$Z:$Z,"="&amp;P$4)</f>
        <v>0</v>
      </c>
      <c r="Q61" s="67">
        <f>+SUMIFS(사진대지!$R:$R,사진대지!$Q:$Q,"="&amp;$B61,사진대지!$Z:$Z,"="&amp;Q$4)</f>
        <v>0</v>
      </c>
      <c r="R61" s="67">
        <f>+SUMIFS(사진대지!$R:$R,사진대지!$Q:$Q,"="&amp;$B61,사진대지!$Z:$Z,"="&amp;R$4)</f>
        <v>0</v>
      </c>
      <c r="S61" s="67">
        <f>+SUMIFS(사진대지!$R:$R,사진대지!$Q:$Q,"="&amp;$B61,사진대지!$Z:$Z,"="&amp;S$4)</f>
        <v>0</v>
      </c>
      <c r="T61" s="67">
        <f>+SUMIFS(사진대지!$R:$R,사진대지!$Q:$Q,"="&amp;$B61,사진대지!$Z:$Z,"="&amp;T$4)</f>
        <v>0</v>
      </c>
      <c r="U61" s="67">
        <f>+SUMIFS(사진대지!$R:$R,사진대지!$Q:$Q,"="&amp;$B61,사진대지!$Z:$Z,"="&amp;U$4)</f>
        <v>0</v>
      </c>
      <c r="V61" s="70"/>
      <c r="W61" s="75" t="str">
        <f>B61</f>
        <v>스파이럴벽체250</v>
      </c>
      <c r="X61" s="89">
        <f>+SUM(C61:U61)</f>
        <v>0</v>
      </c>
      <c r="Y61" s="68"/>
      <c r="Z61" s="68"/>
      <c r="AA61" s="76" t="str">
        <f>W61</f>
        <v>스파이럴벽체250</v>
      </c>
      <c r="AB61" s="93">
        <f>누계!Q61+X61</f>
        <v>0</v>
      </c>
    </row>
    <row r="62" spans="1:28" ht="20.100000000000001" customHeight="1" x14ac:dyDescent="0.3">
      <c r="A62" s="3"/>
      <c r="B62" s="4" t="s">
        <v>93</v>
      </c>
      <c r="C62" s="66">
        <f>+SUMIFS(사진대지!$R:$R,사진대지!$Q:$Q,"="&amp;$B62,사진대지!$Z:$Z,"="&amp;C$4)</f>
        <v>0</v>
      </c>
      <c r="D62" s="66">
        <f>+SUMIFS(사진대지!$R:$R,사진대지!$Q:$Q,"="&amp;$B62,사진대지!$Z:$Z,"="&amp;D$4)</f>
        <v>0</v>
      </c>
      <c r="E62" s="67">
        <f>+SUMIFS(사진대지!$R:$R,사진대지!$Q:$Q,"="&amp;$B62,사진대지!$Z:$Z,"="&amp;E$4)</f>
        <v>0</v>
      </c>
      <c r="F62" s="67">
        <f>+SUMIFS(사진대지!$R:$R,사진대지!$Q:$Q,"="&amp;$B62,사진대지!$Z:$Z,"="&amp;F$4)</f>
        <v>0</v>
      </c>
      <c r="G62" s="67">
        <f>+SUMIFS(사진대지!$R:$R,사진대지!$Q:$Q,"="&amp;$B62,사진대지!$Z:$Z,"="&amp;G$4)</f>
        <v>0</v>
      </c>
      <c r="H62" s="67">
        <f>+SUMIFS(사진대지!$R:$R,사진대지!$Q:$Q,"="&amp;$B62,사진대지!$Z:$Z,"="&amp;H$4)</f>
        <v>0</v>
      </c>
      <c r="I62" s="67">
        <f>+SUMIFS(사진대지!$R:$R,사진대지!$Q:$Q,"="&amp;$B62,사진대지!$Z:$Z,"="&amp;I$4)</f>
        <v>0</v>
      </c>
      <c r="J62" s="67">
        <f>+SUMIFS(사진대지!$R:$R,사진대지!$Q:$Q,"="&amp;$B62,사진대지!$Z:$Z,"="&amp;J$4)</f>
        <v>0</v>
      </c>
      <c r="K62" s="67">
        <f>+SUMIFS(사진대지!$R:$R,사진대지!$Q:$Q,"="&amp;$B62,사진대지!$Z:$Z,"="&amp;K$4)</f>
        <v>0</v>
      </c>
      <c r="L62" s="67">
        <f>+SUMIFS(사진대지!$R:$R,사진대지!$Q:$Q,"="&amp;$B62,사진대지!$Z:$Z,"="&amp;L$4)</f>
        <v>0</v>
      </c>
      <c r="M62" s="67">
        <f>+SUMIFS(사진대지!$R:$R,사진대지!$Q:$Q,"="&amp;$B62,사진대지!$Z:$Z,"="&amp;M$4)</f>
        <v>0</v>
      </c>
      <c r="N62" s="67">
        <f>+SUMIFS(사진대지!$R:$R,사진대지!$Q:$Q,"="&amp;$B62,사진대지!$Z:$Z,"="&amp;N$4)</f>
        <v>0</v>
      </c>
      <c r="O62" s="67">
        <f>+SUMIFS(사진대지!$R:$R,사진대지!$Q:$Q,"="&amp;$B62,사진대지!$Z:$Z,"="&amp;O$4)</f>
        <v>0</v>
      </c>
      <c r="P62" s="67">
        <f>+SUMIFS(사진대지!$R:$R,사진대지!$Q:$Q,"="&amp;$B62,사진대지!$Z:$Z,"="&amp;P$4)</f>
        <v>0</v>
      </c>
      <c r="Q62" s="67">
        <f>+SUMIFS(사진대지!$R:$R,사진대지!$Q:$Q,"="&amp;$B62,사진대지!$Z:$Z,"="&amp;Q$4)</f>
        <v>0</v>
      </c>
      <c r="R62" s="67">
        <f>+SUMIFS(사진대지!$R:$R,사진대지!$Q:$Q,"="&amp;$B62,사진대지!$Z:$Z,"="&amp;R$4)</f>
        <v>0</v>
      </c>
      <c r="S62" s="67">
        <f>+SUMIFS(사진대지!$R:$R,사진대지!$Q:$Q,"="&amp;$B62,사진대지!$Z:$Z,"="&amp;S$4)</f>
        <v>0</v>
      </c>
      <c r="T62" s="67">
        <f>+SUMIFS(사진대지!$R:$R,사진대지!$Q:$Q,"="&amp;$B62,사진대지!$Z:$Z,"="&amp;T$4)</f>
        <v>0</v>
      </c>
      <c r="U62" s="67">
        <f>+SUMIFS(사진대지!$R:$R,사진대지!$Q:$Q,"="&amp;$B62,사진대지!$Z:$Z,"="&amp;U$4)</f>
        <v>0</v>
      </c>
      <c r="V62" s="70"/>
      <c r="W62" s="75" t="str">
        <f>B62</f>
        <v>스파이럴벽체300</v>
      </c>
      <c r="X62" s="89">
        <f>+SUM(C62:U62)</f>
        <v>0</v>
      </c>
      <c r="Y62" s="68"/>
      <c r="Z62" s="68"/>
      <c r="AA62" s="76" t="str">
        <f>W62</f>
        <v>스파이럴벽체300</v>
      </c>
      <c r="AB62" s="93">
        <f>누계!Q62+X62</f>
        <v>0</v>
      </c>
    </row>
    <row r="63" spans="1:28" ht="20.100000000000001" customHeight="1" x14ac:dyDescent="0.3">
      <c r="A63" s="3"/>
      <c r="B63" s="21" t="s">
        <v>54</v>
      </c>
      <c r="C63" s="64">
        <f>+SUMIFS(사진대지!$R:$R,사진대지!$Q:$Q,"="&amp;$B63,사진대지!$Z:$Z,"="&amp;C$4)</f>
        <v>0</v>
      </c>
      <c r="D63" s="64">
        <f>+SUMIFS(사진대지!$R:$R,사진대지!$Q:$Q,"="&amp;$B63,사진대지!$Z:$Z,"="&amp;D$4)</f>
        <v>0</v>
      </c>
      <c r="E63" s="65">
        <f>+SUMIFS(사진대지!$R:$R,사진대지!$Q:$Q,"="&amp;$B63,사진대지!$Z:$Z,"="&amp;E$4)</f>
        <v>0</v>
      </c>
      <c r="F63" s="65">
        <f>+SUMIFS(사진대지!$R:$R,사진대지!$Q:$Q,"="&amp;$B63,사진대지!$Z:$Z,"="&amp;F$4)</f>
        <v>0</v>
      </c>
      <c r="G63" s="65">
        <f>+SUMIFS(사진대지!$R:$R,사진대지!$Q:$Q,"="&amp;$B63,사진대지!$Z:$Z,"="&amp;G$4)</f>
        <v>0</v>
      </c>
      <c r="H63" s="65">
        <f>+SUMIFS(사진대지!$R:$R,사진대지!$Q:$Q,"="&amp;$B63,사진대지!$Z:$Z,"="&amp;H$4)</f>
        <v>0</v>
      </c>
      <c r="I63" s="65">
        <f>+SUMIFS(사진대지!$R:$R,사진대지!$Q:$Q,"="&amp;$B63,사진대지!$Z:$Z,"="&amp;I$4)</f>
        <v>0</v>
      </c>
      <c r="J63" s="65">
        <f>+SUMIFS(사진대지!$R:$R,사진대지!$Q:$Q,"="&amp;$B63,사진대지!$Z:$Z,"="&amp;J$4)</f>
        <v>0</v>
      </c>
      <c r="K63" s="65">
        <f>+SUMIFS(사진대지!$R:$R,사진대지!$Q:$Q,"="&amp;$B63,사진대지!$Z:$Z,"="&amp;K$4)</f>
        <v>0</v>
      </c>
      <c r="L63" s="65">
        <f>+SUMIFS(사진대지!$R:$R,사진대지!$Q:$Q,"="&amp;$B63,사진대지!$Z:$Z,"="&amp;L$4)</f>
        <v>0</v>
      </c>
      <c r="M63" s="65">
        <f>+SUMIFS(사진대지!$R:$R,사진대지!$Q:$Q,"="&amp;$B63,사진대지!$Z:$Z,"="&amp;M$4)</f>
        <v>0</v>
      </c>
      <c r="N63" s="65">
        <f>+SUMIFS(사진대지!$R:$R,사진대지!$Q:$Q,"="&amp;$B63,사진대지!$Z:$Z,"="&amp;N$4)</f>
        <v>0</v>
      </c>
      <c r="O63" s="65">
        <f>+SUMIFS(사진대지!$R:$R,사진대지!$Q:$Q,"="&amp;$B63,사진대지!$Z:$Z,"="&amp;O$4)</f>
        <v>0</v>
      </c>
      <c r="P63" s="65">
        <f>+SUMIFS(사진대지!$R:$R,사진대지!$Q:$Q,"="&amp;$B63,사진대지!$Z:$Z,"="&amp;P$4)</f>
        <v>0</v>
      </c>
      <c r="Q63" s="65">
        <f>+SUMIFS(사진대지!$R:$R,사진대지!$Q:$Q,"="&amp;$B63,사진대지!$Z:$Z,"="&amp;Q$4)</f>
        <v>0</v>
      </c>
      <c r="R63" s="65">
        <f>+SUMIFS(사진대지!$R:$R,사진대지!$Q:$Q,"="&amp;$B63,사진대지!$Z:$Z,"="&amp;R$4)</f>
        <v>0</v>
      </c>
      <c r="S63" s="65">
        <f>+SUMIFS(사진대지!$R:$R,사진대지!$Q:$Q,"="&amp;$B63,사진대지!$Z:$Z,"="&amp;S$4)</f>
        <v>0</v>
      </c>
      <c r="T63" s="65">
        <f>+SUMIFS(사진대지!$R:$R,사진대지!$Q:$Q,"="&amp;$B63,사진대지!$Z:$Z,"="&amp;T$4)</f>
        <v>0</v>
      </c>
      <c r="U63" s="65">
        <f>+SUMIFS(사진대지!$R:$R,사진대지!$Q:$Q,"="&amp;$B63,사진대지!$Z:$Z,"="&amp;U$4)</f>
        <v>0</v>
      </c>
      <c r="V63" s="70"/>
      <c r="W63" s="73" t="str">
        <f t="shared" si="18"/>
        <v>PVC입상30</v>
      </c>
      <c r="X63" s="88">
        <f t="shared" si="19"/>
        <v>0</v>
      </c>
      <c r="Y63" s="68"/>
      <c r="Z63" s="68"/>
      <c r="AA63" s="74" t="str">
        <f t="shared" si="2"/>
        <v>PVC입상30</v>
      </c>
      <c r="AB63" s="92">
        <f>누계!Q63+X63</f>
        <v>0</v>
      </c>
    </row>
    <row r="64" spans="1:28" ht="20.100000000000001" customHeight="1" x14ac:dyDescent="0.3">
      <c r="A64" s="3"/>
      <c r="B64" s="21" t="s">
        <v>26</v>
      </c>
      <c r="C64" s="64">
        <f>+SUMIFS(사진대지!$R:$R,사진대지!$Q:$Q,"="&amp;$B64,사진대지!$Z:$Z,"="&amp;C$4)</f>
        <v>0</v>
      </c>
      <c r="D64" s="64">
        <f>+SUMIFS(사진대지!$R:$R,사진대지!$Q:$Q,"="&amp;$B64,사진대지!$Z:$Z,"="&amp;D$4)</f>
        <v>0</v>
      </c>
      <c r="E64" s="65">
        <f>+SUMIFS(사진대지!$R:$R,사진대지!$Q:$Q,"="&amp;$B64,사진대지!$Z:$Z,"="&amp;E$4)</f>
        <v>0</v>
      </c>
      <c r="F64" s="65">
        <f>+SUMIFS(사진대지!$R:$R,사진대지!$Q:$Q,"="&amp;$B64,사진대지!$Z:$Z,"="&amp;F$4)</f>
        <v>0</v>
      </c>
      <c r="G64" s="65">
        <f>+SUMIFS(사진대지!$R:$R,사진대지!$Q:$Q,"="&amp;$B64,사진대지!$Z:$Z,"="&amp;G$4)</f>
        <v>0</v>
      </c>
      <c r="H64" s="65">
        <f>+SUMIFS(사진대지!$R:$R,사진대지!$Q:$Q,"="&amp;$B64,사진대지!$Z:$Z,"="&amp;H$4)</f>
        <v>0</v>
      </c>
      <c r="I64" s="65">
        <f>+SUMIFS(사진대지!$R:$R,사진대지!$Q:$Q,"="&amp;$B64,사진대지!$Z:$Z,"="&amp;I$4)</f>
        <v>0</v>
      </c>
      <c r="J64" s="65">
        <f>+SUMIFS(사진대지!$R:$R,사진대지!$Q:$Q,"="&amp;$B64,사진대지!$Z:$Z,"="&amp;J$4)</f>
        <v>0</v>
      </c>
      <c r="K64" s="65">
        <f>+SUMIFS(사진대지!$R:$R,사진대지!$Q:$Q,"="&amp;$B64,사진대지!$Z:$Z,"="&amp;K$4)</f>
        <v>0</v>
      </c>
      <c r="L64" s="65">
        <f>+SUMIFS(사진대지!$R:$R,사진대지!$Q:$Q,"="&amp;$B64,사진대지!$Z:$Z,"="&amp;L$4)</f>
        <v>0</v>
      </c>
      <c r="M64" s="65">
        <f>+SUMIFS(사진대지!$R:$R,사진대지!$Q:$Q,"="&amp;$B64,사진대지!$Z:$Z,"="&amp;M$4)</f>
        <v>0</v>
      </c>
      <c r="N64" s="65">
        <f>+SUMIFS(사진대지!$R:$R,사진대지!$Q:$Q,"="&amp;$B64,사진대지!$Z:$Z,"="&amp;N$4)</f>
        <v>0</v>
      </c>
      <c r="O64" s="65">
        <f>+SUMIFS(사진대지!$R:$R,사진대지!$Q:$Q,"="&amp;$B64,사진대지!$Z:$Z,"="&amp;O$4)</f>
        <v>0</v>
      </c>
      <c r="P64" s="65">
        <f>+SUMIFS(사진대지!$R:$R,사진대지!$Q:$Q,"="&amp;$B64,사진대지!$Z:$Z,"="&amp;P$4)</f>
        <v>0</v>
      </c>
      <c r="Q64" s="65">
        <f>+SUMIFS(사진대지!$R:$R,사진대지!$Q:$Q,"="&amp;$B64,사진대지!$Z:$Z,"="&amp;Q$4)</f>
        <v>0</v>
      </c>
      <c r="R64" s="65">
        <f>+SUMIFS(사진대지!$R:$R,사진대지!$Q:$Q,"="&amp;$B64,사진대지!$Z:$Z,"="&amp;R$4)</f>
        <v>0</v>
      </c>
      <c r="S64" s="65">
        <f>+SUMIFS(사진대지!$R:$R,사진대지!$Q:$Q,"="&amp;$B64,사진대지!$Z:$Z,"="&amp;S$4)</f>
        <v>0</v>
      </c>
      <c r="T64" s="65">
        <f>+SUMIFS(사진대지!$R:$R,사진대지!$Q:$Q,"="&amp;$B64,사진대지!$Z:$Z,"="&amp;T$4)</f>
        <v>0</v>
      </c>
      <c r="U64" s="65">
        <f>+SUMIFS(사진대지!$R:$R,사진대지!$Q:$Q,"="&amp;$B64,사진대지!$Z:$Z,"="&amp;U$4)</f>
        <v>0</v>
      </c>
      <c r="V64" s="70"/>
      <c r="W64" s="73" t="str">
        <f t="shared" si="18"/>
        <v>PVC입상40</v>
      </c>
      <c r="X64" s="88">
        <f t="shared" si="19"/>
        <v>0</v>
      </c>
      <c r="Y64" s="68"/>
      <c r="Z64" s="68"/>
      <c r="AA64" s="74" t="str">
        <f t="shared" si="2"/>
        <v>PVC입상40</v>
      </c>
      <c r="AB64" s="92">
        <f>누계!Q64+X64</f>
        <v>0</v>
      </c>
    </row>
    <row r="65" spans="1:28" ht="20.100000000000001" customHeight="1" x14ac:dyDescent="0.3">
      <c r="A65" s="3"/>
      <c r="B65" s="21" t="s">
        <v>27</v>
      </c>
      <c r="C65" s="64">
        <f>+SUMIFS(사진대지!$R:$R,사진대지!$Q:$Q,"="&amp;$B65,사진대지!$Z:$Z,"="&amp;C$4)</f>
        <v>0</v>
      </c>
      <c r="D65" s="64">
        <f>+SUMIFS(사진대지!$R:$R,사진대지!$Q:$Q,"="&amp;$B65,사진대지!$Z:$Z,"="&amp;D$4)</f>
        <v>0</v>
      </c>
      <c r="E65" s="65">
        <f>+SUMIFS(사진대지!$R:$R,사진대지!$Q:$Q,"="&amp;$B65,사진대지!$Z:$Z,"="&amp;E$4)</f>
        <v>0</v>
      </c>
      <c r="F65" s="65">
        <f>+SUMIFS(사진대지!$R:$R,사진대지!$Q:$Q,"="&amp;$B65,사진대지!$Z:$Z,"="&amp;F$4)</f>
        <v>0</v>
      </c>
      <c r="G65" s="65">
        <f>+SUMIFS(사진대지!$R:$R,사진대지!$Q:$Q,"="&amp;$B65,사진대지!$Z:$Z,"="&amp;G$4)</f>
        <v>0</v>
      </c>
      <c r="H65" s="65">
        <f>+SUMIFS(사진대지!$R:$R,사진대지!$Q:$Q,"="&amp;$B65,사진대지!$Z:$Z,"="&amp;H$4)</f>
        <v>0</v>
      </c>
      <c r="I65" s="65">
        <f>+SUMIFS(사진대지!$R:$R,사진대지!$Q:$Q,"="&amp;$B65,사진대지!$Z:$Z,"="&amp;I$4)</f>
        <v>0</v>
      </c>
      <c r="J65" s="65">
        <f>+SUMIFS(사진대지!$R:$R,사진대지!$Q:$Q,"="&amp;$B65,사진대지!$Z:$Z,"="&amp;J$4)</f>
        <v>0</v>
      </c>
      <c r="K65" s="65">
        <f>+SUMIFS(사진대지!$R:$R,사진대지!$Q:$Q,"="&amp;$B65,사진대지!$Z:$Z,"="&amp;K$4)</f>
        <v>0</v>
      </c>
      <c r="L65" s="65">
        <f>+SUMIFS(사진대지!$R:$R,사진대지!$Q:$Q,"="&amp;$B65,사진대지!$Z:$Z,"="&amp;L$4)</f>
        <v>0</v>
      </c>
      <c r="M65" s="65">
        <f>+SUMIFS(사진대지!$R:$R,사진대지!$Q:$Q,"="&amp;$B65,사진대지!$Z:$Z,"="&amp;M$4)</f>
        <v>0</v>
      </c>
      <c r="N65" s="65">
        <f>+SUMIFS(사진대지!$R:$R,사진대지!$Q:$Q,"="&amp;$B65,사진대지!$Z:$Z,"="&amp;N$4)</f>
        <v>0</v>
      </c>
      <c r="O65" s="65">
        <f>+SUMIFS(사진대지!$R:$R,사진대지!$Q:$Q,"="&amp;$B65,사진대지!$Z:$Z,"="&amp;O$4)</f>
        <v>0</v>
      </c>
      <c r="P65" s="65">
        <f>+SUMIFS(사진대지!$R:$R,사진대지!$Q:$Q,"="&amp;$B65,사진대지!$Z:$Z,"="&amp;P$4)</f>
        <v>0</v>
      </c>
      <c r="Q65" s="65">
        <f>+SUMIFS(사진대지!$R:$R,사진대지!$Q:$Q,"="&amp;$B65,사진대지!$Z:$Z,"="&amp;Q$4)</f>
        <v>0</v>
      </c>
      <c r="R65" s="65">
        <f>+SUMIFS(사진대지!$R:$R,사진대지!$Q:$Q,"="&amp;$B65,사진대지!$Z:$Z,"="&amp;R$4)</f>
        <v>0</v>
      </c>
      <c r="S65" s="65">
        <f>+SUMIFS(사진대지!$R:$R,사진대지!$Q:$Q,"="&amp;$B65,사진대지!$Z:$Z,"="&amp;S$4)</f>
        <v>0</v>
      </c>
      <c r="T65" s="65">
        <f>+SUMIFS(사진대지!$R:$R,사진대지!$Q:$Q,"="&amp;$B65,사진대지!$Z:$Z,"="&amp;T$4)</f>
        <v>0</v>
      </c>
      <c r="U65" s="65">
        <f>+SUMIFS(사진대지!$R:$R,사진대지!$Q:$Q,"="&amp;$B65,사진대지!$Z:$Z,"="&amp;U$4)</f>
        <v>0</v>
      </c>
      <c r="V65" s="70"/>
      <c r="W65" s="73" t="str">
        <f t="shared" si="18"/>
        <v>PVC입상50</v>
      </c>
      <c r="X65" s="88">
        <f t="shared" si="19"/>
        <v>0</v>
      </c>
      <c r="Y65" s="68"/>
      <c r="Z65" s="68"/>
      <c r="AA65" s="74" t="str">
        <f t="shared" si="2"/>
        <v>PVC입상50</v>
      </c>
      <c r="AB65" s="92">
        <f>누계!Q65+X65</f>
        <v>0</v>
      </c>
    </row>
    <row r="66" spans="1:28" ht="20.100000000000001" customHeight="1" x14ac:dyDescent="0.3">
      <c r="A66" s="3"/>
      <c r="B66" s="21" t="s">
        <v>28</v>
      </c>
      <c r="C66" s="64">
        <f>+SUMIFS(사진대지!$R:$R,사진대지!$Q:$Q,"="&amp;$B66,사진대지!$Z:$Z,"="&amp;C$4)</f>
        <v>0</v>
      </c>
      <c r="D66" s="64">
        <f>+SUMIFS(사진대지!$R:$R,사진대지!$Q:$Q,"="&amp;$B66,사진대지!$Z:$Z,"="&amp;D$4)</f>
        <v>0</v>
      </c>
      <c r="E66" s="65">
        <f>+SUMIFS(사진대지!$R:$R,사진대지!$Q:$Q,"="&amp;$B66,사진대지!$Z:$Z,"="&amp;E$4)</f>
        <v>0</v>
      </c>
      <c r="F66" s="65">
        <f>+SUMIFS(사진대지!$R:$R,사진대지!$Q:$Q,"="&amp;$B66,사진대지!$Z:$Z,"="&amp;F$4)</f>
        <v>0</v>
      </c>
      <c r="G66" s="65">
        <f>+SUMIFS(사진대지!$R:$R,사진대지!$Q:$Q,"="&amp;$B66,사진대지!$Z:$Z,"="&amp;G$4)</f>
        <v>0</v>
      </c>
      <c r="H66" s="65">
        <f>+SUMIFS(사진대지!$R:$R,사진대지!$Q:$Q,"="&amp;$B66,사진대지!$Z:$Z,"="&amp;H$4)</f>
        <v>0</v>
      </c>
      <c r="I66" s="65">
        <f>+SUMIFS(사진대지!$R:$R,사진대지!$Q:$Q,"="&amp;$B66,사진대지!$Z:$Z,"="&amp;I$4)</f>
        <v>0</v>
      </c>
      <c r="J66" s="65">
        <f>+SUMIFS(사진대지!$R:$R,사진대지!$Q:$Q,"="&amp;$B66,사진대지!$Z:$Z,"="&amp;J$4)</f>
        <v>0</v>
      </c>
      <c r="K66" s="65">
        <f>+SUMIFS(사진대지!$R:$R,사진대지!$Q:$Q,"="&amp;$B66,사진대지!$Z:$Z,"="&amp;K$4)</f>
        <v>0</v>
      </c>
      <c r="L66" s="65">
        <f>+SUMIFS(사진대지!$R:$R,사진대지!$Q:$Q,"="&amp;$B66,사진대지!$Z:$Z,"="&amp;L$4)</f>
        <v>0</v>
      </c>
      <c r="M66" s="65">
        <f>+SUMIFS(사진대지!$R:$R,사진대지!$Q:$Q,"="&amp;$B66,사진대지!$Z:$Z,"="&amp;M$4)</f>
        <v>0</v>
      </c>
      <c r="N66" s="65">
        <f>+SUMIFS(사진대지!$R:$R,사진대지!$Q:$Q,"="&amp;$B66,사진대지!$Z:$Z,"="&amp;N$4)</f>
        <v>0</v>
      </c>
      <c r="O66" s="65">
        <f>+SUMIFS(사진대지!$R:$R,사진대지!$Q:$Q,"="&amp;$B66,사진대지!$Z:$Z,"="&amp;O$4)</f>
        <v>0</v>
      </c>
      <c r="P66" s="65">
        <f>+SUMIFS(사진대지!$R:$R,사진대지!$Q:$Q,"="&amp;$B66,사진대지!$Z:$Z,"="&amp;P$4)</f>
        <v>0</v>
      </c>
      <c r="Q66" s="65">
        <f>+SUMIFS(사진대지!$R:$R,사진대지!$Q:$Q,"="&amp;$B66,사진대지!$Z:$Z,"="&amp;Q$4)</f>
        <v>0</v>
      </c>
      <c r="R66" s="65">
        <f>+SUMIFS(사진대지!$R:$R,사진대지!$Q:$Q,"="&amp;$B66,사진대지!$Z:$Z,"="&amp;R$4)</f>
        <v>0</v>
      </c>
      <c r="S66" s="65">
        <f>+SUMIFS(사진대지!$R:$R,사진대지!$Q:$Q,"="&amp;$B66,사진대지!$Z:$Z,"="&amp;S$4)</f>
        <v>0</v>
      </c>
      <c r="T66" s="65">
        <f>+SUMIFS(사진대지!$R:$R,사진대지!$Q:$Q,"="&amp;$B66,사진대지!$Z:$Z,"="&amp;T$4)</f>
        <v>0</v>
      </c>
      <c r="U66" s="65">
        <f>+SUMIFS(사진대지!$R:$R,사진대지!$Q:$Q,"="&amp;$B66,사진대지!$Z:$Z,"="&amp;U$4)</f>
        <v>0</v>
      </c>
      <c r="V66" s="70"/>
      <c r="W66" s="73" t="str">
        <f t="shared" si="18"/>
        <v>PVC입상75</v>
      </c>
      <c r="X66" s="88">
        <f t="shared" si="19"/>
        <v>0</v>
      </c>
      <c r="Y66" s="68"/>
      <c r="Z66" s="68"/>
      <c r="AA66" s="74" t="str">
        <f t="shared" si="2"/>
        <v>PVC입상75</v>
      </c>
      <c r="AB66" s="92">
        <f>누계!Q66+X66</f>
        <v>0</v>
      </c>
    </row>
    <row r="67" spans="1:28" ht="20.100000000000001" customHeight="1" x14ac:dyDescent="0.3">
      <c r="A67" s="3"/>
      <c r="B67" s="21" t="s">
        <v>29</v>
      </c>
      <c r="C67" s="64">
        <f>+SUMIFS(사진대지!$R:$R,사진대지!$Q:$Q,"="&amp;$B67,사진대지!$Z:$Z,"="&amp;C$4)</f>
        <v>0</v>
      </c>
      <c r="D67" s="64">
        <f>+SUMIFS(사진대지!$R:$R,사진대지!$Q:$Q,"="&amp;$B67,사진대지!$Z:$Z,"="&amp;D$4)</f>
        <v>0</v>
      </c>
      <c r="E67" s="65">
        <f>+SUMIFS(사진대지!$R:$R,사진대지!$Q:$Q,"="&amp;$B67,사진대지!$Z:$Z,"="&amp;E$4)</f>
        <v>0</v>
      </c>
      <c r="F67" s="65">
        <f>+SUMIFS(사진대지!$R:$R,사진대지!$Q:$Q,"="&amp;$B67,사진대지!$Z:$Z,"="&amp;F$4)</f>
        <v>0</v>
      </c>
      <c r="G67" s="65">
        <f>+SUMIFS(사진대지!$R:$R,사진대지!$Q:$Q,"="&amp;$B67,사진대지!$Z:$Z,"="&amp;G$4)</f>
        <v>0</v>
      </c>
      <c r="H67" s="65">
        <f>+SUMIFS(사진대지!$R:$R,사진대지!$Q:$Q,"="&amp;$B67,사진대지!$Z:$Z,"="&amp;H$4)</f>
        <v>0</v>
      </c>
      <c r="I67" s="65">
        <f>+SUMIFS(사진대지!$R:$R,사진대지!$Q:$Q,"="&amp;$B67,사진대지!$Z:$Z,"="&amp;I$4)</f>
        <v>0</v>
      </c>
      <c r="J67" s="65">
        <f>+SUMIFS(사진대지!$R:$R,사진대지!$Q:$Q,"="&amp;$B67,사진대지!$Z:$Z,"="&amp;J$4)</f>
        <v>0</v>
      </c>
      <c r="K67" s="65">
        <f>+SUMIFS(사진대지!$R:$R,사진대지!$Q:$Q,"="&amp;$B67,사진대지!$Z:$Z,"="&amp;K$4)</f>
        <v>0</v>
      </c>
      <c r="L67" s="65">
        <f>+SUMIFS(사진대지!$R:$R,사진대지!$Q:$Q,"="&amp;$B67,사진대지!$Z:$Z,"="&amp;L$4)</f>
        <v>0</v>
      </c>
      <c r="M67" s="65">
        <f>+SUMIFS(사진대지!$R:$R,사진대지!$Q:$Q,"="&amp;$B67,사진대지!$Z:$Z,"="&amp;M$4)</f>
        <v>0</v>
      </c>
      <c r="N67" s="65">
        <f>+SUMIFS(사진대지!$R:$R,사진대지!$Q:$Q,"="&amp;$B67,사진대지!$Z:$Z,"="&amp;N$4)</f>
        <v>0</v>
      </c>
      <c r="O67" s="65">
        <f>+SUMIFS(사진대지!$R:$R,사진대지!$Q:$Q,"="&amp;$B67,사진대지!$Z:$Z,"="&amp;O$4)</f>
        <v>0</v>
      </c>
      <c r="P67" s="65">
        <f>+SUMIFS(사진대지!$R:$R,사진대지!$Q:$Q,"="&amp;$B67,사진대지!$Z:$Z,"="&amp;P$4)</f>
        <v>0</v>
      </c>
      <c r="Q67" s="65">
        <f>+SUMIFS(사진대지!$R:$R,사진대지!$Q:$Q,"="&amp;$B67,사진대지!$Z:$Z,"="&amp;Q$4)</f>
        <v>0</v>
      </c>
      <c r="R67" s="65">
        <f>+SUMIFS(사진대지!$R:$R,사진대지!$Q:$Q,"="&amp;$B67,사진대지!$Z:$Z,"="&amp;R$4)</f>
        <v>0</v>
      </c>
      <c r="S67" s="65">
        <f>+SUMIFS(사진대지!$R:$R,사진대지!$Q:$Q,"="&amp;$B67,사진대지!$Z:$Z,"="&amp;S$4)</f>
        <v>0</v>
      </c>
      <c r="T67" s="65">
        <f>+SUMIFS(사진대지!$R:$R,사진대지!$Q:$Q,"="&amp;$B67,사진대지!$Z:$Z,"="&amp;T$4)</f>
        <v>0</v>
      </c>
      <c r="U67" s="65">
        <f>+SUMIFS(사진대지!$R:$R,사진대지!$Q:$Q,"="&amp;$B67,사진대지!$Z:$Z,"="&amp;U$4)</f>
        <v>0</v>
      </c>
      <c r="V67" s="70"/>
      <c r="W67" s="73" t="str">
        <f t="shared" si="18"/>
        <v>PVC입상100</v>
      </c>
      <c r="X67" s="88">
        <f t="shared" si="19"/>
        <v>0</v>
      </c>
      <c r="Y67" s="68"/>
      <c r="Z67" s="68"/>
      <c r="AA67" s="74" t="str">
        <f t="shared" si="2"/>
        <v>PVC입상100</v>
      </c>
      <c r="AB67" s="92">
        <f>누계!Q67+X67</f>
        <v>0</v>
      </c>
    </row>
    <row r="68" spans="1:28" ht="20.100000000000001" customHeight="1" x14ac:dyDescent="0.3">
      <c r="A68" s="3"/>
      <c r="B68" s="21" t="s">
        <v>30</v>
      </c>
      <c r="C68" s="64">
        <f>+SUMIFS(사진대지!$R:$R,사진대지!$Q:$Q,"="&amp;$B68,사진대지!$Z:$Z,"="&amp;C$4)</f>
        <v>0</v>
      </c>
      <c r="D68" s="64">
        <f>+SUMIFS(사진대지!$R:$R,사진대지!$Q:$Q,"="&amp;$B68,사진대지!$Z:$Z,"="&amp;D$4)</f>
        <v>0</v>
      </c>
      <c r="E68" s="65">
        <f>+SUMIFS(사진대지!$R:$R,사진대지!$Q:$Q,"="&amp;$B68,사진대지!$Z:$Z,"="&amp;E$4)</f>
        <v>0</v>
      </c>
      <c r="F68" s="65">
        <f>+SUMIFS(사진대지!$R:$R,사진대지!$Q:$Q,"="&amp;$B68,사진대지!$Z:$Z,"="&amp;F$4)</f>
        <v>0</v>
      </c>
      <c r="G68" s="65">
        <f>+SUMIFS(사진대지!$R:$R,사진대지!$Q:$Q,"="&amp;$B68,사진대지!$Z:$Z,"="&amp;G$4)</f>
        <v>0</v>
      </c>
      <c r="H68" s="65">
        <f>+SUMIFS(사진대지!$R:$R,사진대지!$Q:$Q,"="&amp;$B68,사진대지!$Z:$Z,"="&amp;H$4)</f>
        <v>0</v>
      </c>
      <c r="I68" s="65">
        <f>+SUMIFS(사진대지!$R:$R,사진대지!$Q:$Q,"="&amp;$B68,사진대지!$Z:$Z,"="&amp;I$4)</f>
        <v>0</v>
      </c>
      <c r="J68" s="65">
        <f>+SUMIFS(사진대지!$R:$R,사진대지!$Q:$Q,"="&amp;$B68,사진대지!$Z:$Z,"="&amp;J$4)</f>
        <v>0</v>
      </c>
      <c r="K68" s="65">
        <f>+SUMIFS(사진대지!$R:$R,사진대지!$Q:$Q,"="&amp;$B68,사진대지!$Z:$Z,"="&amp;K$4)</f>
        <v>0</v>
      </c>
      <c r="L68" s="65">
        <f>+SUMIFS(사진대지!$R:$R,사진대지!$Q:$Q,"="&amp;$B68,사진대지!$Z:$Z,"="&amp;L$4)</f>
        <v>0</v>
      </c>
      <c r="M68" s="65">
        <f>+SUMIFS(사진대지!$R:$R,사진대지!$Q:$Q,"="&amp;$B68,사진대지!$Z:$Z,"="&amp;M$4)</f>
        <v>0</v>
      </c>
      <c r="N68" s="65">
        <f>+SUMIFS(사진대지!$R:$R,사진대지!$Q:$Q,"="&amp;$B68,사진대지!$Z:$Z,"="&amp;N$4)</f>
        <v>0</v>
      </c>
      <c r="O68" s="65">
        <f>+SUMIFS(사진대지!$R:$R,사진대지!$Q:$Q,"="&amp;$B68,사진대지!$Z:$Z,"="&amp;O$4)</f>
        <v>0</v>
      </c>
      <c r="P68" s="65">
        <f>+SUMIFS(사진대지!$R:$R,사진대지!$Q:$Q,"="&amp;$B68,사진대지!$Z:$Z,"="&amp;P$4)</f>
        <v>0</v>
      </c>
      <c r="Q68" s="65">
        <f>+SUMIFS(사진대지!$R:$R,사진대지!$Q:$Q,"="&amp;$B68,사진대지!$Z:$Z,"="&amp;Q$4)</f>
        <v>0</v>
      </c>
      <c r="R68" s="65">
        <f>+SUMIFS(사진대지!$R:$R,사진대지!$Q:$Q,"="&amp;$B68,사진대지!$Z:$Z,"="&amp;R$4)</f>
        <v>0</v>
      </c>
      <c r="S68" s="65">
        <f>+SUMIFS(사진대지!$R:$R,사진대지!$Q:$Q,"="&amp;$B68,사진대지!$Z:$Z,"="&amp;S$4)</f>
        <v>0</v>
      </c>
      <c r="T68" s="65">
        <f>+SUMIFS(사진대지!$R:$R,사진대지!$Q:$Q,"="&amp;$B68,사진대지!$Z:$Z,"="&amp;T$4)</f>
        <v>0</v>
      </c>
      <c r="U68" s="65">
        <f>+SUMIFS(사진대지!$R:$R,사진대지!$Q:$Q,"="&amp;$B68,사진대지!$Z:$Z,"="&amp;U$4)</f>
        <v>0</v>
      </c>
      <c r="V68" s="70"/>
      <c r="W68" s="73" t="str">
        <f t="shared" si="18"/>
        <v>PVC입상125</v>
      </c>
      <c r="X68" s="88">
        <f t="shared" si="19"/>
        <v>0</v>
      </c>
      <c r="Y68" s="68"/>
      <c r="Z68" s="68"/>
      <c r="AA68" s="74" t="str">
        <f t="shared" si="2"/>
        <v>PVC입상125</v>
      </c>
      <c r="AB68" s="92">
        <f>누계!Q68+X68</f>
        <v>0</v>
      </c>
    </row>
    <row r="69" spans="1:28" ht="20.100000000000001" customHeight="1" x14ac:dyDescent="0.3">
      <c r="A69" s="3"/>
      <c r="B69" s="21" t="s">
        <v>31</v>
      </c>
      <c r="C69" s="64">
        <f>+SUMIFS(사진대지!$R:$R,사진대지!$Q:$Q,"="&amp;$B69,사진대지!$Z:$Z,"="&amp;C$4)</f>
        <v>0</v>
      </c>
      <c r="D69" s="64">
        <f>+SUMIFS(사진대지!$R:$R,사진대지!$Q:$Q,"="&amp;$B69,사진대지!$Z:$Z,"="&amp;D$4)</f>
        <v>0</v>
      </c>
      <c r="E69" s="65">
        <f>+SUMIFS(사진대지!$R:$R,사진대지!$Q:$Q,"="&amp;$B69,사진대지!$Z:$Z,"="&amp;E$4)</f>
        <v>0</v>
      </c>
      <c r="F69" s="65">
        <f>+SUMIFS(사진대지!$R:$R,사진대지!$Q:$Q,"="&amp;$B69,사진대지!$Z:$Z,"="&amp;F$4)</f>
        <v>0</v>
      </c>
      <c r="G69" s="65">
        <f>+SUMIFS(사진대지!$R:$R,사진대지!$Q:$Q,"="&amp;$B69,사진대지!$Z:$Z,"="&amp;G$4)</f>
        <v>0</v>
      </c>
      <c r="H69" s="65">
        <f>+SUMIFS(사진대지!$R:$R,사진대지!$Q:$Q,"="&amp;$B69,사진대지!$Z:$Z,"="&amp;H$4)</f>
        <v>0</v>
      </c>
      <c r="I69" s="65">
        <f>+SUMIFS(사진대지!$R:$R,사진대지!$Q:$Q,"="&amp;$B69,사진대지!$Z:$Z,"="&amp;I$4)</f>
        <v>0</v>
      </c>
      <c r="J69" s="65">
        <f>+SUMIFS(사진대지!$R:$R,사진대지!$Q:$Q,"="&amp;$B69,사진대지!$Z:$Z,"="&amp;J$4)</f>
        <v>0</v>
      </c>
      <c r="K69" s="65">
        <f>+SUMIFS(사진대지!$R:$R,사진대지!$Q:$Q,"="&amp;$B69,사진대지!$Z:$Z,"="&amp;K$4)</f>
        <v>0</v>
      </c>
      <c r="L69" s="65">
        <f>+SUMIFS(사진대지!$R:$R,사진대지!$Q:$Q,"="&amp;$B69,사진대지!$Z:$Z,"="&amp;L$4)</f>
        <v>0</v>
      </c>
      <c r="M69" s="65">
        <f>+SUMIFS(사진대지!$R:$R,사진대지!$Q:$Q,"="&amp;$B69,사진대지!$Z:$Z,"="&amp;M$4)</f>
        <v>0</v>
      </c>
      <c r="N69" s="65">
        <f>+SUMIFS(사진대지!$R:$R,사진대지!$Q:$Q,"="&amp;$B69,사진대지!$Z:$Z,"="&amp;N$4)</f>
        <v>0</v>
      </c>
      <c r="O69" s="65">
        <f>+SUMIFS(사진대지!$R:$R,사진대지!$Q:$Q,"="&amp;$B69,사진대지!$Z:$Z,"="&amp;O$4)</f>
        <v>0</v>
      </c>
      <c r="P69" s="65">
        <f>+SUMIFS(사진대지!$R:$R,사진대지!$Q:$Q,"="&amp;$B69,사진대지!$Z:$Z,"="&amp;P$4)</f>
        <v>0</v>
      </c>
      <c r="Q69" s="65">
        <f>+SUMIFS(사진대지!$R:$R,사진대지!$Q:$Q,"="&amp;$B69,사진대지!$Z:$Z,"="&amp;Q$4)</f>
        <v>0</v>
      </c>
      <c r="R69" s="65">
        <f>+SUMIFS(사진대지!$R:$R,사진대지!$Q:$Q,"="&amp;$B69,사진대지!$Z:$Z,"="&amp;R$4)</f>
        <v>0</v>
      </c>
      <c r="S69" s="65">
        <f>+SUMIFS(사진대지!$R:$R,사진대지!$Q:$Q,"="&amp;$B69,사진대지!$Z:$Z,"="&amp;S$4)</f>
        <v>0</v>
      </c>
      <c r="T69" s="65">
        <f>+SUMIFS(사진대지!$R:$R,사진대지!$Q:$Q,"="&amp;$B69,사진대지!$Z:$Z,"="&amp;T$4)</f>
        <v>0</v>
      </c>
      <c r="U69" s="65">
        <f>+SUMIFS(사진대지!$R:$R,사진대지!$Q:$Q,"="&amp;$B69,사진대지!$Z:$Z,"="&amp;U$4)</f>
        <v>0</v>
      </c>
      <c r="V69" s="70"/>
      <c r="W69" s="73" t="str">
        <f t="shared" si="18"/>
        <v>PVC입상150</v>
      </c>
      <c r="X69" s="88">
        <f t="shared" si="19"/>
        <v>0</v>
      </c>
      <c r="Y69" s="68"/>
      <c r="Z69" s="68"/>
      <c r="AA69" s="74" t="str">
        <f t="shared" si="2"/>
        <v>PVC입상150</v>
      </c>
      <c r="AB69" s="92">
        <f>누계!Q69+X69</f>
        <v>0</v>
      </c>
    </row>
    <row r="70" spans="1:28" ht="20.100000000000001" customHeight="1" x14ac:dyDescent="0.3">
      <c r="A70" s="3"/>
      <c r="B70" s="21" t="s">
        <v>32</v>
      </c>
      <c r="C70" s="64">
        <f>+SUMIFS(사진대지!$R:$R,사진대지!$Q:$Q,"="&amp;$B70,사진대지!$Z:$Z,"="&amp;C$4)</f>
        <v>0</v>
      </c>
      <c r="D70" s="64">
        <f>+SUMIFS(사진대지!$R:$R,사진대지!$Q:$Q,"="&amp;$B70,사진대지!$Z:$Z,"="&amp;D$4)</f>
        <v>0</v>
      </c>
      <c r="E70" s="65">
        <f>+SUMIFS(사진대지!$R:$R,사진대지!$Q:$Q,"="&amp;$B70,사진대지!$Z:$Z,"="&amp;E$4)</f>
        <v>0</v>
      </c>
      <c r="F70" s="65">
        <f>+SUMIFS(사진대지!$R:$R,사진대지!$Q:$Q,"="&amp;$B70,사진대지!$Z:$Z,"="&amp;F$4)</f>
        <v>0</v>
      </c>
      <c r="G70" s="65">
        <f>+SUMIFS(사진대지!$R:$R,사진대지!$Q:$Q,"="&amp;$B70,사진대지!$Z:$Z,"="&amp;G$4)</f>
        <v>0</v>
      </c>
      <c r="H70" s="65">
        <f>+SUMIFS(사진대지!$R:$R,사진대지!$Q:$Q,"="&amp;$B70,사진대지!$Z:$Z,"="&amp;H$4)</f>
        <v>0</v>
      </c>
      <c r="I70" s="65">
        <f>+SUMIFS(사진대지!$R:$R,사진대지!$Q:$Q,"="&amp;$B70,사진대지!$Z:$Z,"="&amp;I$4)</f>
        <v>0</v>
      </c>
      <c r="J70" s="65">
        <f>+SUMIFS(사진대지!$R:$R,사진대지!$Q:$Q,"="&amp;$B70,사진대지!$Z:$Z,"="&amp;J$4)</f>
        <v>0</v>
      </c>
      <c r="K70" s="65">
        <f>+SUMIFS(사진대지!$R:$R,사진대지!$Q:$Q,"="&amp;$B70,사진대지!$Z:$Z,"="&amp;K$4)</f>
        <v>0</v>
      </c>
      <c r="L70" s="65">
        <f>+SUMIFS(사진대지!$R:$R,사진대지!$Q:$Q,"="&amp;$B70,사진대지!$Z:$Z,"="&amp;L$4)</f>
        <v>0</v>
      </c>
      <c r="M70" s="65">
        <f>+SUMIFS(사진대지!$R:$R,사진대지!$Q:$Q,"="&amp;$B70,사진대지!$Z:$Z,"="&amp;M$4)</f>
        <v>0</v>
      </c>
      <c r="N70" s="65">
        <f>+SUMIFS(사진대지!$R:$R,사진대지!$Q:$Q,"="&amp;$B70,사진대지!$Z:$Z,"="&amp;N$4)</f>
        <v>0</v>
      </c>
      <c r="O70" s="65">
        <f>+SUMIFS(사진대지!$R:$R,사진대지!$Q:$Q,"="&amp;$B70,사진대지!$Z:$Z,"="&amp;O$4)</f>
        <v>0</v>
      </c>
      <c r="P70" s="65">
        <f>+SUMIFS(사진대지!$R:$R,사진대지!$Q:$Q,"="&amp;$B70,사진대지!$Z:$Z,"="&amp;P$4)</f>
        <v>0</v>
      </c>
      <c r="Q70" s="65">
        <f>+SUMIFS(사진대지!$R:$R,사진대지!$Q:$Q,"="&amp;$B70,사진대지!$Z:$Z,"="&amp;Q$4)</f>
        <v>0</v>
      </c>
      <c r="R70" s="65">
        <f>+SUMIFS(사진대지!$R:$R,사진대지!$Q:$Q,"="&amp;$B70,사진대지!$Z:$Z,"="&amp;R$4)</f>
        <v>0</v>
      </c>
      <c r="S70" s="65">
        <f>+SUMIFS(사진대지!$R:$R,사진대지!$Q:$Q,"="&amp;$B70,사진대지!$Z:$Z,"="&amp;S$4)</f>
        <v>0</v>
      </c>
      <c r="T70" s="65">
        <f>+SUMIFS(사진대지!$R:$R,사진대지!$Q:$Q,"="&amp;$B70,사진대지!$Z:$Z,"="&amp;T$4)</f>
        <v>0</v>
      </c>
      <c r="U70" s="65">
        <f>+SUMIFS(사진대지!$R:$R,사진대지!$Q:$Q,"="&amp;$B70,사진대지!$Z:$Z,"="&amp;U$4)</f>
        <v>0</v>
      </c>
      <c r="V70" s="70"/>
      <c r="W70" s="73" t="str">
        <f t="shared" si="18"/>
        <v>PVC입상200</v>
      </c>
      <c r="X70" s="88">
        <f t="shared" si="19"/>
        <v>0</v>
      </c>
      <c r="Y70" s="68"/>
      <c r="Z70" s="68"/>
      <c r="AA70" s="74" t="str">
        <f t="shared" si="2"/>
        <v>PVC입상200</v>
      </c>
      <c r="AB70" s="92">
        <f>누계!Q70+X70</f>
        <v>0</v>
      </c>
    </row>
    <row r="71" spans="1:28" ht="20.100000000000001" customHeight="1" x14ac:dyDescent="0.3">
      <c r="A71" s="3"/>
      <c r="B71" s="21" t="s">
        <v>33</v>
      </c>
      <c r="C71" s="64">
        <f>+SUMIFS(사진대지!$R:$R,사진대지!$Q:$Q,"="&amp;$B71,사진대지!$Z:$Z,"="&amp;C$4)</f>
        <v>0</v>
      </c>
      <c r="D71" s="64">
        <f>+SUMIFS(사진대지!$R:$R,사진대지!$Q:$Q,"="&amp;$B71,사진대지!$Z:$Z,"="&amp;D$4)</f>
        <v>0</v>
      </c>
      <c r="E71" s="65">
        <f>+SUMIFS(사진대지!$R:$R,사진대지!$Q:$Q,"="&amp;$B71,사진대지!$Z:$Z,"="&amp;E$4)</f>
        <v>0</v>
      </c>
      <c r="F71" s="65">
        <f>+SUMIFS(사진대지!$R:$R,사진대지!$Q:$Q,"="&amp;$B71,사진대지!$Z:$Z,"="&amp;F$4)</f>
        <v>0</v>
      </c>
      <c r="G71" s="65">
        <f>+SUMIFS(사진대지!$R:$R,사진대지!$Q:$Q,"="&amp;$B71,사진대지!$Z:$Z,"="&amp;G$4)</f>
        <v>0</v>
      </c>
      <c r="H71" s="65">
        <f>+SUMIFS(사진대지!$R:$R,사진대지!$Q:$Q,"="&amp;$B71,사진대지!$Z:$Z,"="&amp;H$4)</f>
        <v>0</v>
      </c>
      <c r="I71" s="65">
        <f>+SUMIFS(사진대지!$R:$R,사진대지!$Q:$Q,"="&amp;$B71,사진대지!$Z:$Z,"="&amp;I$4)</f>
        <v>0</v>
      </c>
      <c r="J71" s="65">
        <f>+SUMIFS(사진대지!$R:$R,사진대지!$Q:$Q,"="&amp;$B71,사진대지!$Z:$Z,"="&amp;J$4)</f>
        <v>0</v>
      </c>
      <c r="K71" s="65">
        <f>+SUMIFS(사진대지!$R:$R,사진대지!$Q:$Q,"="&amp;$B71,사진대지!$Z:$Z,"="&amp;K$4)</f>
        <v>0</v>
      </c>
      <c r="L71" s="65">
        <f>+SUMIFS(사진대지!$R:$R,사진대지!$Q:$Q,"="&amp;$B71,사진대지!$Z:$Z,"="&amp;L$4)</f>
        <v>0</v>
      </c>
      <c r="M71" s="65">
        <f>+SUMIFS(사진대지!$R:$R,사진대지!$Q:$Q,"="&amp;$B71,사진대지!$Z:$Z,"="&amp;M$4)</f>
        <v>0</v>
      </c>
      <c r="N71" s="65">
        <f>+SUMIFS(사진대지!$R:$R,사진대지!$Q:$Q,"="&amp;$B71,사진대지!$Z:$Z,"="&amp;N$4)</f>
        <v>0</v>
      </c>
      <c r="O71" s="65">
        <f>+SUMIFS(사진대지!$R:$R,사진대지!$Q:$Q,"="&amp;$B71,사진대지!$Z:$Z,"="&amp;O$4)</f>
        <v>0</v>
      </c>
      <c r="P71" s="65">
        <f>+SUMIFS(사진대지!$R:$R,사진대지!$Q:$Q,"="&amp;$B71,사진대지!$Z:$Z,"="&amp;P$4)</f>
        <v>0</v>
      </c>
      <c r="Q71" s="65">
        <f>+SUMIFS(사진대지!$R:$R,사진대지!$Q:$Q,"="&amp;$B71,사진대지!$Z:$Z,"="&amp;Q$4)</f>
        <v>0</v>
      </c>
      <c r="R71" s="65">
        <f>+SUMIFS(사진대지!$R:$R,사진대지!$Q:$Q,"="&amp;$B71,사진대지!$Z:$Z,"="&amp;R$4)</f>
        <v>0</v>
      </c>
      <c r="S71" s="65">
        <f>+SUMIFS(사진대지!$R:$R,사진대지!$Q:$Q,"="&amp;$B71,사진대지!$Z:$Z,"="&amp;S$4)</f>
        <v>0</v>
      </c>
      <c r="T71" s="65">
        <f>+SUMIFS(사진대지!$R:$R,사진대지!$Q:$Q,"="&amp;$B71,사진대지!$Z:$Z,"="&amp;T$4)</f>
        <v>0</v>
      </c>
      <c r="U71" s="65">
        <f>+SUMIFS(사진대지!$R:$R,사진대지!$Q:$Q,"="&amp;$B71,사진대지!$Z:$Z,"="&amp;U$4)</f>
        <v>0</v>
      </c>
      <c r="V71" s="70"/>
      <c r="W71" s="73" t="str">
        <f t="shared" si="18"/>
        <v>PVC입상250</v>
      </c>
      <c r="X71" s="88">
        <f t="shared" si="19"/>
        <v>0</v>
      </c>
      <c r="Y71" s="68"/>
      <c r="Z71" s="68"/>
      <c r="AA71" s="74" t="str">
        <f t="shared" si="2"/>
        <v>PVC입상250</v>
      </c>
      <c r="AB71" s="92">
        <f>누계!Q71+X71</f>
        <v>0</v>
      </c>
    </row>
    <row r="72" spans="1:28" ht="20.100000000000001" customHeight="1" x14ac:dyDescent="0.3">
      <c r="A72" s="3"/>
      <c r="B72" s="21" t="s">
        <v>34</v>
      </c>
      <c r="C72" s="64">
        <f>+SUMIFS(사진대지!$R:$R,사진대지!$Q:$Q,"="&amp;$B72,사진대지!$Z:$Z,"="&amp;C$4)</f>
        <v>0</v>
      </c>
      <c r="D72" s="64">
        <f>+SUMIFS(사진대지!$R:$R,사진대지!$Q:$Q,"="&amp;$B72,사진대지!$Z:$Z,"="&amp;D$4)</f>
        <v>0</v>
      </c>
      <c r="E72" s="65">
        <f>+SUMIFS(사진대지!$R:$R,사진대지!$Q:$Q,"="&amp;$B72,사진대지!$Z:$Z,"="&amp;E$4)</f>
        <v>0</v>
      </c>
      <c r="F72" s="65">
        <f>+SUMIFS(사진대지!$R:$R,사진대지!$Q:$Q,"="&amp;$B72,사진대지!$Z:$Z,"="&amp;F$4)</f>
        <v>0</v>
      </c>
      <c r="G72" s="65">
        <f>+SUMIFS(사진대지!$R:$R,사진대지!$Q:$Q,"="&amp;$B72,사진대지!$Z:$Z,"="&amp;G$4)</f>
        <v>0</v>
      </c>
      <c r="H72" s="65">
        <f>+SUMIFS(사진대지!$R:$R,사진대지!$Q:$Q,"="&amp;$B72,사진대지!$Z:$Z,"="&amp;H$4)</f>
        <v>0</v>
      </c>
      <c r="I72" s="65">
        <f>+SUMIFS(사진대지!$R:$R,사진대지!$Q:$Q,"="&amp;$B72,사진대지!$Z:$Z,"="&amp;I$4)</f>
        <v>0</v>
      </c>
      <c r="J72" s="65">
        <f>+SUMIFS(사진대지!$R:$R,사진대지!$Q:$Q,"="&amp;$B72,사진대지!$Z:$Z,"="&amp;J$4)</f>
        <v>0</v>
      </c>
      <c r="K72" s="65">
        <f>+SUMIFS(사진대지!$R:$R,사진대지!$Q:$Q,"="&amp;$B72,사진대지!$Z:$Z,"="&amp;K$4)</f>
        <v>0</v>
      </c>
      <c r="L72" s="65">
        <f>+SUMIFS(사진대지!$R:$R,사진대지!$Q:$Q,"="&amp;$B72,사진대지!$Z:$Z,"="&amp;L$4)</f>
        <v>0</v>
      </c>
      <c r="M72" s="65">
        <f>+SUMIFS(사진대지!$R:$R,사진대지!$Q:$Q,"="&amp;$B72,사진대지!$Z:$Z,"="&amp;M$4)</f>
        <v>0</v>
      </c>
      <c r="N72" s="65">
        <f>+SUMIFS(사진대지!$R:$R,사진대지!$Q:$Q,"="&amp;$B72,사진대지!$Z:$Z,"="&amp;N$4)</f>
        <v>0</v>
      </c>
      <c r="O72" s="65">
        <f>+SUMIFS(사진대지!$R:$R,사진대지!$Q:$Q,"="&amp;$B72,사진대지!$Z:$Z,"="&amp;O$4)</f>
        <v>0</v>
      </c>
      <c r="P72" s="65">
        <f>+SUMIFS(사진대지!$R:$R,사진대지!$Q:$Q,"="&amp;$B72,사진대지!$Z:$Z,"="&amp;P$4)</f>
        <v>0</v>
      </c>
      <c r="Q72" s="65">
        <f>+SUMIFS(사진대지!$R:$R,사진대지!$Q:$Q,"="&amp;$B72,사진대지!$Z:$Z,"="&amp;Q$4)</f>
        <v>0</v>
      </c>
      <c r="R72" s="65">
        <f>+SUMIFS(사진대지!$R:$R,사진대지!$Q:$Q,"="&amp;$B72,사진대지!$Z:$Z,"="&amp;R$4)</f>
        <v>0</v>
      </c>
      <c r="S72" s="65">
        <f>+SUMIFS(사진대지!$R:$R,사진대지!$Q:$Q,"="&amp;$B72,사진대지!$Z:$Z,"="&amp;S$4)</f>
        <v>0</v>
      </c>
      <c r="T72" s="65">
        <f>+SUMIFS(사진대지!$R:$R,사진대지!$Q:$Q,"="&amp;$B72,사진대지!$Z:$Z,"="&amp;T$4)</f>
        <v>0</v>
      </c>
      <c r="U72" s="65">
        <f>+SUMIFS(사진대지!$R:$R,사진대지!$Q:$Q,"="&amp;$B72,사진대지!$Z:$Z,"="&amp;U$4)</f>
        <v>0</v>
      </c>
      <c r="V72" s="70"/>
      <c r="W72" s="73" t="str">
        <f t="shared" si="18"/>
        <v>PVC입상300</v>
      </c>
      <c r="X72" s="88">
        <f t="shared" si="19"/>
        <v>0</v>
      </c>
      <c r="Y72" s="68"/>
      <c r="Z72" s="68"/>
      <c r="AA72" s="74" t="str">
        <f t="shared" si="2"/>
        <v>PVC입상300</v>
      </c>
      <c r="AB72" s="92">
        <f>누계!Q72+X72</f>
        <v>0</v>
      </c>
    </row>
    <row r="73" spans="1:28" ht="20.100000000000001" customHeight="1" x14ac:dyDescent="0.3">
      <c r="A73" s="3"/>
      <c r="B73" s="21" t="s">
        <v>148</v>
      </c>
      <c r="C73" s="64">
        <f>+SUMIFS(사진대지!$R:$R,사진대지!$Q:$Q,"="&amp;$B73,사진대지!$Z:$Z,"="&amp;C$4)</f>
        <v>0</v>
      </c>
      <c r="D73" s="64">
        <f>+SUMIFS(사진대지!$R:$R,사진대지!$Q:$Q,"="&amp;$B73,사진대지!$Z:$Z,"="&amp;D$4)</f>
        <v>0</v>
      </c>
      <c r="E73" s="65">
        <f>+SUMIFS(사진대지!$R:$R,사진대지!$Q:$Q,"="&amp;$B73,사진대지!$Z:$Z,"="&amp;E$4)</f>
        <v>0</v>
      </c>
      <c r="F73" s="65">
        <f>+SUMIFS(사진대지!$R:$R,사진대지!$Q:$Q,"="&amp;$B73,사진대지!$Z:$Z,"="&amp;F$4)</f>
        <v>0</v>
      </c>
      <c r="G73" s="65">
        <f>+SUMIFS(사진대지!$R:$R,사진대지!$Q:$Q,"="&amp;$B73,사진대지!$Z:$Z,"="&amp;G$4)</f>
        <v>0</v>
      </c>
      <c r="H73" s="65">
        <f>+SUMIFS(사진대지!$R:$R,사진대지!$Q:$Q,"="&amp;$B73,사진대지!$Z:$Z,"="&amp;H$4)</f>
        <v>0</v>
      </c>
      <c r="I73" s="65">
        <f>+SUMIFS(사진대지!$R:$R,사진대지!$Q:$Q,"="&amp;$B73,사진대지!$Z:$Z,"="&amp;I$4)</f>
        <v>0</v>
      </c>
      <c r="J73" s="65">
        <f>+SUMIFS(사진대지!$R:$R,사진대지!$Q:$Q,"="&amp;$B73,사진대지!$Z:$Z,"="&amp;J$4)</f>
        <v>0</v>
      </c>
      <c r="K73" s="65">
        <f>+SUMIFS(사진대지!$R:$R,사진대지!$Q:$Q,"="&amp;$B73,사진대지!$Z:$Z,"="&amp;K$4)</f>
        <v>0</v>
      </c>
      <c r="L73" s="65">
        <f>+SUMIFS(사진대지!$R:$R,사진대지!$Q:$Q,"="&amp;$B73,사진대지!$Z:$Z,"="&amp;L$4)</f>
        <v>0</v>
      </c>
      <c r="M73" s="65">
        <f>+SUMIFS(사진대지!$R:$R,사진대지!$Q:$Q,"="&amp;$B73,사진대지!$Z:$Z,"="&amp;M$4)</f>
        <v>0</v>
      </c>
      <c r="N73" s="65">
        <f>+SUMIFS(사진대지!$R:$R,사진대지!$Q:$Q,"="&amp;$B73,사진대지!$Z:$Z,"="&amp;N$4)</f>
        <v>0</v>
      </c>
      <c r="O73" s="65">
        <f>+SUMIFS(사진대지!$R:$R,사진대지!$Q:$Q,"="&amp;$B73,사진대지!$Z:$Z,"="&amp;O$4)</f>
        <v>0</v>
      </c>
      <c r="P73" s="65">
        <f>+SUMIFS(사진대지!$R:$R,사진대지!$Q:$Q,"="&amp;$B73,사진대지!$Z:$Z,"="&amp;P$4)</f>
        <v>0</v>
      </c>
      <c r="Q73" s="65">
        <f>+SUMIFS(사진대지!$R:$R,사진대지!$Q:$Q,"="&amp;$B73,사진대지!$Z:$Z,"="&amp;Q$4)</f>
        <v>0</v>
      </c>
      <c r="R73" s="65">
        <f>+SUMIFS(사진대지!$R:$R,사진대지!$Q:$Q,"="&amp;$B73,사진대지!$Z:$Z,"="&amp;R$4)</f>
        <v>0</v>
      </c>
      <c r="S73" s="65">
        <f>+SUMIFS(사진대지!$R:$R,사진대지!$Q:$Q,"="&amp;$B73,사진대지!$Z:$Z,"="&amp;S$4)</f>
        <v>0</v>
      </c>
      <c r="T73" s="65">
        <f>+SUMIFS(사진대지!$R:$R,사진대지!$Q:$Q,"="&amp;$B73,사진대지!$Z:$Z,"="&amp;T$4)</f>
        <v>0</v>
      </c>
      <c r="U73" s="65">
        <f>+SUMIFS(사진대지!$R:$R,사진대지!$Q:$Q,"="&amp;$B73,사진대지!$Z:$Z,"="&amp;U$4)</f>
        <v>0</v>
      </c>
      <c r="V73" s="70"/>
      <c r="W73" s="73" t="str">
        <f t="shared" ref="W73" si="26">B73</f>
        <v>PVC입상350</v>
      </c>
      <c r="X73" s="88">
        <f t="shared" ref="X73" si="27">+SUM(C73:U73)</f>
        <v>0</v>
      </c>
      <c r="Y73" s="68"/>
      <c r="Z73" s="68"/>
      <c r="AA73" s="74" t="str">
        <f t="shared" ref="AA73" si="28">W73</f>
        <v>PVC입상350</v>
      </c>
      <c r="AB73" s="92">
        <f>누계!Q73+X73</f>
        <v>0</v>
      </c>
    </row>
    <row r="74" spans="1:28" ht="20.100000000000001" customHeight="1" x14ac:dyDescent="0.3">
      <c r="A74" s="3"/>
      <c r="B74" s="21" t="s">
        <v>83</v>
      </c>
      <c r="C74" s="64">
        <f>+SUMIFS(사진대지!$R:$R,사진대지!$Q:$Q,"="&amp;$B74,사진대지!$Z:$Z,"="&amp;C$4)</f>
        <v>0</v>
      </c>
      <c r="D74" s="64">
        <f>+SUMIFS(사진대지!$R:$R,사진대지!$Q:$Q,"="&amp;$B74,사진대지!$Z:$Z,"="&amp;D$4)</f>
        <v>0</v>
      </c>
      <c r="E74" s="65">
        <f>+SUMIFS(사진대지!$R:$R,사진대지!$Q:$Q,"="&amp;$B74,사진대지!$Z:$Z,"="&amp;E$4)</f>
        <v>0</v>
      </c>
      <c r="F74" s="65">
        <f>+SUMIFS(사진대지!$R:$R,사진대지!$Q:$Q,"="&amp;$B74,사진대지!$Z:$Z,"="&amp;F$4)</f>
        <v>0</v>
      </c>
      <c r="G74" s="65">
        <f>+SUMIFS(사진대지!$R:$R,사진대지!$Q:$Q,"="&amp;$B74,사진대지!$Z:$Z,"="&amp;G$4)</f>
        <v>0</v>
      </c>
      <c r="H74" s="65">
        <f>+SUMIFS(사진대지!$R:$R,사진대지!$Q:$Q,"="&amp;$B74,사진대지!$Z:$Z,"="&amp;H$4)</f>
        <v>0</v>
      </c>
      <c r="I74" s="65">
        <f>+SUMIFS(사진대지!$R:$R,사진대지!$Q:$Q,"="&amp;$B74,사진대지!$Z:$Z,"="&amp;I$4)</f>
        <v>0</v>
      </c>
      <c r="J74" s="65">
        <f>+SUMIFS(사진대지!$R:$R,사진대지!$Q:$Q,"="&amp;$B74,사진대지!$Z:$Z,"="&amp;J$4)</f>
        <v>0</v>
      </c>
      <c r="K74" s="65">
        <f>+SUMIFS(사진대지!$R:$R,사진대지!$Q:$Q,"="&amp;$B74,사진대지!$Z:$Z,"="&amp;K$4)</f>
        <v>0</v>
      </c>
      <c r="L74" s="65">
        <f>+SUMIFS(사진대지!$R:$R,사진대지!$Q:$Q,"="&amp;$B74,사진대지!$Z:$Z,"="&amp;L$4)</f>
        <v>0</v>
      </c>
      <c r="M74" s="65">
        <f>+SUMIFS(사진대지!$R:$R,사진대지!$Q:$Q,"="&amp;$B74,사진대지!$Z:$Z,"="&amp;M$4)</f>
        <v>0</v>
      </c>
      <c r="N74" s="65">
        <f>+SUMIFS(사진대지!$R:$R,사진대지!$Q:$Q,"="&amp;$B74,사진대지!$Z:$Z,"="&amp;N$4)</f>
        <v>0</v>
      </c>
      <c r="O74" s="65">
        <f>+SUMIFS(사진대지!$R:$R,사진대지!$Q:$Q,"="&amp;$B74,사진대지!$Z:$Z,"="&amp;O$4)</f>
        <v>0</v>
      </c>
      <c r="P74" s="65">
        <f>+SUMIFS(사진대지!$R:$R,사진대지!$Q:$Q,"="&amp;$B74,사진대지!$Z:$Z,"="&amp;P$4)</f>
        <v>0</v>
      </c>
      <c r="Q74" s="65">
        <f>+SUMIFS(사진대지!$R:$R,사진대지!$Q:$Q,"="&amp;$B74,사진대지!$Z:$Z,"="&amp;Q$4)</f>
        <v>0</v>
      </c>
      <c r="R74" s="65">
        <f>+SUMIFS(사진대지!$R:$R,사진대지!$Q:$Q,"="&amp;$B74,사진대지!$Z:$Z,"="&amp;R$4)</f>
        <v>0</v>
      </c>
      <c r="S74" s="65">
        <f>+SUMIFS(사진대지!$R:$R,사진대지!$Q:$Q,"="&amp;$B74,사진대지!$Z:$Z,"="&amp;S$4)</f>
        <v>0</v>
      </c>
      <c r="T74" s="65">
        <f>+SUMIFS(사진대지!$R:$R,사진대지!$Q:$Q,"="&amp;$B74,사진대지!$Z:$Z,"="&amp;T$4)</f>
        <v>0</v>
      </c>
      <c r="U74" s="65">
        <f>+SUMIFS(사진대지!$R:$R,사진대지!$Q:$Q,"="&amp;$B74,사진대지!$Z:$Z,"="&amp;U$4)</f>
        <v>0</v>
      </c>
      <c r="V74" s="70"/>
      <c r="W74" s="73" t="str">
        <f t="shared" si="18"/>
        <v>PVC입상400</v>
      </c>
      <c r="X74" s="88">
        <f t="shared" si="19"/>
        <v>0</v>
      </c>
      <c r="Y74" s="68"/>
      <c r="Z74" s="68"/>
      <c r="AA74" s="74" t="str">
        <f t="shared" si="2"/>
        <v>PVC입상400</v>
      </c>
      <c r="AB74" s="92">
        <f>누계!Q74+X74</f>
        <v>0</v>
      </c>
    </row>
    <row r="75" spans="1:28" ht="20.100000000000001" customHeight="1" x14ac:dyDescent="0.3">
      <c r="A75" s="3"/>
      <c r="B75" s="134" t="s">
        <v>94</v>
      </c>
      <c r="C75" s="115">
        <f>+SUMIFS(사진대지!$R:$R,사진대지!$Q:$Q,"="&amp;$B75,사진대지!$Z:$Z,"="&amp;C$4)</f>
        <v>0</v>
      </c>
      <c r="D75" s="115">
        <f>+SUMIFS(사진대지!$R:$R,사진대지!$Q:$Q,"="&amp;$B75,사진대지!$Z:$Z,"="&amp;D$4)</f>
        <v>0</v>
      </c>
      <c r="E75" s="116">
        <f>+SUMIFS(사진대지!$R:$R,사진대지!$Q:$Q,"="&amp;$B75,사진대지!$Z:$Z,"="&amp;E$4)</f>
        <v>0</v>
      </c>
      <c r="F75" s="116">
        <f>+SUMIFS(사진대지!$R:$R,사진대지!$Q:$Q,"="&amp;$B75,사진대지!$Z:$Z,"="&amp;F$4)</f>
        <v>0</v>
      </c>
      <c r="G75" s="116">
        <f>+SUMIFS(사진대지!$R:$R,사진대지!$Q:$Q,"="&amp;$B75,사진대지!$Z:$Z,"="&amp;G$4)</f>
        <v>0</v>
      </c>
      <c r="H75" s="116">
        <f>+SUMIFS(사진대지!$R:$R,사진대지!$Q:$Q,"="&amp;$B75,사진대지!$Z:$Z,"="&amp;H$4)</f>
        <v>0</v>
      </c>
      <c r="I75" s="116">
        <f>+SUMIFS(사진대지!$R:$R,사진대지!$Q:$Q,"="&amp;$B75,사진대지!$Z:$Z,"="&amp;I$4)</f>
        <v>0</v>
      </c>
      <c r="J75" s="116">
        <f>+SUMIFS(사진대지!$R:$R,사진대지!$Q:$Q,"="&amp;$B75,사진대지!$Z:$Z,"="&amp;J$4)</f>
        <v>0</v>
      </c>
      <c r="K75" s="116">
        <f>+SUMIFS(사진대지!$R:$R,사진대지!$Q:$Q,"="&amp;$B75,사진대지!$Z:$Z,"="&amp;K$4)</f>
        <v>0</v>
      </c>
      <c r="L75" s="116">
        <f>+SUMIFS(사진대지!$R:$R,사진대지!$Q:$Q,"="&amp;$B75,사진대지!$Z:$Z,"="&amp;L$4)</f>
        <v>0</v>
      </c>
      <c r="M75" s="116">
        <f>+SUMIFS(사진대지!$R:$R,사진대지!$Q:$Q,"="&amp;$B75,사진대지!$Z:$Z,"="&amp;M$4)</f>
        <v>0</v>
      </c>
      <c r="N75" s="116">
        <f>+SUMIFS(사진대지!$R:$R,사진대지!$Q:$Q,"="&amp;$B75,사진대지!$Z:$Z,"="&amp;N$4)</f>
        <v>0</v>
      </c>
      <c r="O75" s="116">
        <f>+SUMIFS(사진대지!$R:$R,사진대지!$Q:$Q,"="&amp;$B75,사진대지!$Z:$Z,"="&amp;O$4)</f>
        <v>0</v>
      </c>
      <c r="P75" s="116">
        <f>+SUMIFS(사진대지!$R:$R,사진대지!$Q:$Q,"="&amp;$B75,사진대지!$Z:$Z,"="&amp;P$4)</f>
        <v>0</v>
      </c>
      <c r="Q75" s="116">
        <f>+SUMIFS(사진대지!$R:$R,사진대지!$Q:$Q,"="&amp;$B75,사진대지!$Z:$Z,"="&amp;Q$4)</f>
        <v>0</v>
      </c>
      <c r="R75" s="116">
        <f>+SUMIFS(사진대지!$R:$R,사진대지!$Q:$Q,"="&amp;$B75,사진대지!$Z:$Z,"="&amp;R$4)</f>
        <v>0</v>
      </c>
      <c r="S75" s="116">
        <f>+SUMIFS(사진대지!$R:$R,사진대지!$Q:$Q,"="&amp;$B75,사진대지!$Z:$Z,"="&amp;S$4)</f>
        <v>0</v>
      </c>
      <c r="T75" s="116">
        <f>+SUMIFS(사진대지!$R:$R,사진대지!$Q:$Q,"="&amp;$B75,사진대지!$Z:$Z,"="&amp;T$4)</f>
        <v>0</v>
      </c>
      <c r="U75" s="116">
        <f>+SUMIFS(사진대지!$R:$R,사진대지!$Q:$Q,"="&amp;$B75,사진대지!$Z:$Z,"="&amp;U$4)</f>
        <v>0</v>
      </c>
      <c r="V75" s="70"/>
      <c r="W75" s="117" t="str">
        <f t="shared" si="18"/>
        <v>세대SP25</v>
      </c>
      <c r="X75" s="118">
        <f t="shared" si="19"/>
        <v>0</v>
      </c>
      <c r="Y75" s="68"/>
      <c r="Z75" s="68"/>
      <c r="AA75" s="119" t="str">
        <f t="shared" si="2"/>
        <v>세대SP25</v>
      </c>
      <c r="AB75" s="120">
        <f>누계!Q75+X75</f>
        <v>0</v>
      </c>
    </row>
    <row r="76" spans="1:28" ht="20.100000000000001" customHeight="1" x14ac:dyDescent="0.3">
      <c r="A76" s="3"/>
      <c r="B76" s="134" t="s">
        <v>95</v>
      </c>
      <c r="C76" s="115">
        <f>+SUMIFS(사진대지!$R:$R,사진대지!$Q:$Q,"="&amp;$B76,사진대지!$Z:$Z,"="&amp;C$4)</f>
        <v>0</v>
      </c>
      <c r="D76" s="115">
        <f>+SUMIFS(사진대지!$R:$R,사진대지!$Q:$Q,"="&amp;$B76,사진대지!$Z:$Z,"="&amp;D$4)</f>
        <v>0</v>
      </c>
      <c r="E76" s="116">
        <f>+SUMIFS(사진대지!$R:$R,사진대지!$Q:$Q,"="&amp;$B76,사진대지!$Z:$Z,"="&amp;E$4)</f>
        <v>0</v>
      </c>
      <c r="F76" s="116">
        <f>+SUMIFS(사진대지!$R:$R,사진대지!$Q:$Q,"="&amp;$B76,사진대지!$Z:$Z,"="&amp;F$4)</f>
        <v>0</v>
      </c>
      <c r="G76" s="116">
        <f>+SUMIFS(사진대지!$R:$R,사진대지!$Q:$Q,"="&amp;$B76,사진대지!$Z:$Z,"="&amp;G$4)</f>
        <v>0</v>
      </c>
      <c r="H76" s="116">
        <f>+SUMIFS(사진대지!$R:$R,사진대지!$Q:$Q,"="&amp;$B76,사진대지!$Z:$Z,"="&amp;H$4)</f>
        <v>0</v>
      </c>
      <c r="I76" s="116">
        <f>+SUMIFS(사진대지!$R:$R,사진대지!$Q:$Q,"="&amp;$B76,사진대지!$Z:$Z,"="&amp;I$4)</f>
        <v>0</v>
      </c>
      <c r="J76" s="116">
        <f>+SUMIFS(사진대지!$R:$R,사진대지!$Q:$Q,"="&amp;$B76,사진대지!$Z:$Z,"="&amp;J$4)</f>
        <v>0</v>
      </c>
      <c r="K76" s="116">
        <f>+SUMIFS(사진대지!$R:$R,사진대지!$Q:$Q,"="&amp;$B76,사진대지!$Z:$Z,"="&amp;K$4)</f>
        <v>0</v>
      </c>
      <c r="L76" s="116">
        <f>+SUMIFS(사진대지!$R:$R,사진대지!$Q:$Q,"="&amp;$B76,사진대지!$Z:$Z,"="&amp;L$4)</f>
        <v>0</v>
      </c>
      <c r="M76" s="116">
        <f>+SUMIFS(사진대지!$R:$R,사진대지!$Q:$Q,"="&amp;$B76,사진대지!$Z:$Z,"="&amp;M$4)</f>
        <v>0</v>
      </c>
      <c r="N76" s="116">
        <f>+SUMIFS(사진대지!$R:$R,사진대지!$Q:$Q,"="&amp;$B76,사진대지!$Z:$Z,"="&amp;N$4)</f>
        <v>0</v>
      </c>
      <c r="O76" s="116">
        <f>+SUMIFS(사진대지!$R:$R,사진대지!$Q:$Q,"="&amp;$B76,사진대지!$Z:$Z,"="&amp;O$4)</f>
        <v>0</v>
      </c>
      <c r="P76" s="116">
        <f>+SUMIFS(사진대지!$R:$R,사진대지!$Q:$Q,"="&amp;$B76,사진대지!$Z:$Z,"="&amp;P$4)</f>
        <v>0</v>
      </c>
      <c r="Q76" s="116">
        <f>+SUMIFS(사진대지!$R:$R,사진대지!$Q:$Q,"="&amp;$B76,사진대지!$Z:$Z,"="&amp;Q$4)</f>
        <v>0</v>
      </c>
      <c r="R76" s="116">
        <f>+SUMIFS(사진대지!$R:$R,사진대지!$Q:$Q,"="&amp;$B76,사진대지!$Z:$Z,"="&amp;R$4)</f>
        <v>0</v>
      </c>
      <c r="S76" s="116">
        <f>+SUMIFS(사진대지!$R:$R,사진대지!$Q:$Q,"="&amp;$B76,사진대지!$Z:$Z,"="&amp;S$4)</f>
        <v>0</v>
      </c>
      <c r="T76" s="116">
        <f>+SUMIFS(사진대지!$R:$R,사진대지!$Q:$Q,"="&amp;$B76,사진대지!$Z:$Z,"="&amp;T$4)</f>
        <v>0</v>
      </c>
      <c r="U76" s="116">
        <f>+SUMIFS(사진대지!$R:$R,사진대지!$Q:$Q,"="&amp;$B76,사진대지!$Z:$Z,"="&amp;U$4)</f>
        <v>0</v>
      </c>
      <c r="V76" s="70"/>
      <c r="W76" s="117" t="str">
        <f t="shared" ref="W76" si="29">B76</f>
        <v>세대SP40</v>
      </c>
      <c r="X76" s="118">
        <f t="shared" ref="X76" si="30">+SUM(C76:U76)</f>
        <v>0</v>
      </c>
      <c r="Y76" s="68"/>
      <c r="Z76" s="68"/>
      <c r="AA76" s="119" t="str">
        <f t="shared" ref="AA76" si="31">W76</f>
        <v>세대SP40</v>
      </c>
      <c r="AB76" s="120">
        <f>누계!Q76+X76</f>
        <v>0</v>
      </c>
    </row>
    <row r="77" spans="1:28" ht="20.100000000000001" customHeight="1" x14ac:dyDescent="0.3">
      <c r="A77" s="3"/>
      <c r="B77" s="134" t="s">
        <v>96</v>
      </c>
      <c r="C77" s="115">
        <f>+SUMIFS(사진대지!$R:$R,사진대지!$Q:$Q,"="&amp;$B77,사진대지!$Z:$Z,"="&amp;C$4)</f>
        <v>0</v>
      </c>
      <c r="D77" s="115">
        <f>+SUMIFS(사진대지!$R:$R,사진대지!$Q:$Q,"="&amp;$B77,사진대지!$Z:$Z,"="&amp;D$4)</f>
        <v>0</v>
      </c>
      <c r="E77" s="116">
        <f>+SUMIFS(사진대지!$R:$R,사진대지!$Q:$Q,"="&amp;$B77,사진대지!$Z:$Z,"="&amp;E$4)</f>
        <v>0</v>
      </c>
      <c r="F77" s="116">
        <f>+SUMIFS(사진대지!$R:$R,사진대지!$Q:$Q,"="&amp;$B77,사진대지!$Z:$Z,"="&amp;F$4)</f>
        <v>0</v>
      </c>
      <c r="G77" s="116">
        <f>+SUMIFS(사진대지!$R:$R,사진대지!$Q:$Q,"="&amp;$B77,사진대지!$Z:$Z,"="&amp;G$4)</f>
        <v>0</v>
      </c>
      <c r="H77" s="116">
        <f>+SUMIFS(사진대지!$R:$R,사진대지!$Q:$Q,"="&amp;$B77,사진대지!$Z:$Z,"="&amp;H$4)</f>
        <v>0</v>
      </c>
      <c r="I77" s="116">
        <f>+SUMIFS(사진대지!$R:$R,사진대지!$Q:$Q,"="&amp;$B77,사진대지!$Z:$Z,"="&amp;I$4)</f>
        <v>0</v>
      </c>
      <c r="J77" s="116">
        <f>+SUMIFS(사진대지!$R:$R,사진대지!$Q:$Q,"="&amp;$B77,사진대지!$Z:$Z,"="&amp;J$4)</f>
        <v>0</v>
      </c>
      <c r="K77" s="116">
        <f>+SUMIFS(사진대지!$R:$R,사진대지!$Q:$Q,"="&amp;$B77,사진대지!$Z:$Z,"="&amp;K$4)</f>
        <v>0</v>
      </c>
      <c r="L77" s="116">
        <f>+SUMIFS(사진대지!$R:$R,사진대지!$Q:$Q,"="&amp;$B77,사진대지!$Z:$Z,"="&amp;L$4)</f>
        <v>0</v>
      </c>
      <c r="M77" s="116">
        <f>+SUMIFS(사진대지!$R:$R,사진대지!$Q:$Q,"="&amp;$B77,사진대지!$Z:$Z,"="&amp;M$4)</f>
        <v>0</v>
      </c>
      <c r="N77" s="116">
        <f>+SUMIFS(사진대지!$R:$R,사진대지!$Q:$Q,"="&amp;$B77,사진대지!$Z:$Z,"="&amp;N$4)</f>
        <v>0</v>
      </c>
      <c r="O77" s="116">
        <f>+SUMIFS(사진대지!$R:$R,사진대지!$Q:$Q,"="&amp;$B77,사진대지!$Z:$Z,"="&amp;O$4)</f>
        <v>0</v>
      </c>
      <c r="P77" s="116">
        <f>+SUMIFS(사진대지!$R:$R,사진대지!$Q:$Q,"="&amp;$B77,사진대지!$Z:$Z,"="&amp;P$4)</f>
        <v>0</v>
      </c>
      <c r="Q77" s="116">
        <f>+SUMIFS(사진대지!$R:$R,사진대지!$Q:$Q,"="&amp;$B77,사진대지!$Z:$Z,"="&amp;Q$4)</f>
        <v>0</v>
      </c>
      <c r="R77" s="116">
        <f>+SUMIFS(사진대지!$R:$R,사진대지!$Q:$Q,"="&amp;$B77,사진대지!$Z:$Z,"="&amp;R$4)</f>
        <v>0</v>
      </c>
      <c r="S77" s="116">
        <f>+SUMIFS(사진대지!$R:$R,사진대지!$Q:$Q,"="&amp;$B77,사진대지!$Z:$Z,"="&amp;S$4)</f>
        <v>0</v>
      </c>
      <c r="T77" s="116">
        <f>+SUMIFS(사진대지!$R:$R,사진대지!$Q:$Q,"="&amp;$B77,사진대지!$Z:$Z,"="&amp;T$4)</f>
        <v>0</v>
      </c>
      <c r="U77" s="116">
        <f>+SUMIFS(사진대지!$R:$R,사진대지!$Q:$Q,"="&amp;$B77,사진대지!$Z:$Z,"="&amp;U$4)</f>
        <v>0</v>
      </c>
      <c r="V77" s="70"/>
      <c r="W77" s="117" t="str">
        <f t="shared" si="18"/>
        <v>세대SP50</v>
      </c>
      <c r="X77" s="118">
        <f t="shared" si="19"/>
        <v>0</v>
      </c>
      <c r="Y77" s="68"/>
      <c r="Z77" s="68"/>
      <c r="AA77" s="119" t="str">
        <f t="shared" si="2"/>
        <v>세대SP50</v>
      </c>
      <c r="AB77" s="120">
        <f>누계!Q77+X77</f>
        <v>0</v>
      </c>
    </row>
    <row r="78" spans="1:28" ht="20.100000000000001" customHeight="1" x14ac:dyDescent="0.3">
      <c r="A78" s="3"/>
      <c r="B78" s="134" t="s">
        <v>162</v>
      </c>
      <c r="C78" s="115">
        <f>+SUMIFS(사진대지!$R:$R,사진대지!$Q:$Q,"="&amp;$B78,사진대지!$Z:$Z,"="&amp;C$4)</f>
        <v>0</v>
      </c>
      <c r="D78" s="115">
        <f>+SUMIFS(사진대지!$R:$R,사진대지!$Q:$Q,"="&amp;$B78,사진대지!$Z:$Z,"="&amp;D$4)</f>
        <v>0</v>
      </c>
      <c r="E78" s="116">
        <f>+SUMIFS(사진대지!$R:$R,사진대지!$Q:$Q,"="&amp;$B78,사진대지!$Z:$Z,"="&amp;E$4)</f>
        <v>0</v>
      </c>
      <c r="F78" s="116">
        <f>+SUMIFS(사진대지!$R:$R,사진대지!$Q:$Q,"="&amp;$B78,사진대지!$Z:$Z,"="&amp;F$4)</f>
        <v>0</v>
      </c>
      <c r="G78" s="116">
        <f>+SUMIFS(사진대지!$R:$R,사진대지!$Q:$Q,"="&amp;$B78,사진대지!$Z:$Z,"="&amp;G$4)</f>
        <v>0</v>
      </c>
      <c r="H78" s="116">
        <f>+SUMIFS(사진대지!$R:$R,사진대지!$Q:$Q,"="&amp;$B78,사진대지!$Z:$Z,"="&amp;H$4)</f>
        <v>0</v>
      </c>
      <c r="I78" s="116">
        <f>+SUMIFS(사진대지!$R:$R,사진대지!$Q:$Q,"="&amp;$B78,사진대지!$Z:$Z,"="&amp;I$4)</f>
        <v>0</v>
      </c>
      <c r="J78" s="116">
        <f>+SUMIFS(사진대지!$R:$R,사진대지!$Q:$Q,"="&amp;$B78,사진대지!$Z:$Z,"="&amp;J$4)</f>
        <v>0</v>
      </c>
      <c r="K78" s="116">
        <f>+SUMIFS(사진대지!$R:$R,사진대지!$Q:$Q,"="&amp;$B78,사진대지!$Z:$Z,"="&amp;K$4)</f>
        <v>0</v>
      </c>
      <c r="L78" s="116">
        <f>+SUMIFS(사진대지!$R:$R,사진대지!$Q:$Q,"="&amp;$B78,사진대지!$Z:$Z,"="&amp;L$4)</f>
        <v>0</v>
      </c>
      <c r="M78" s="116">
        <f>+SUMIFS(사진대지!$R:$R,사진대지!$Q:$Q,"="&amp;$B78,사진대지!$Z:$Z,"="&amp;M$4)</f>
        <v>0</v>
      </c>
      <c r="N78" s="116">
        <f>+SUMIFS(사진대지!$R:$R,사진대지!$Q:$Q,"="&amp;$B78,사진대지!$Z:$Z,"="&amp;N$4)</f>
        <v>0</v>
      </c>
      <c r="O78" s="116">
        <f>+SUMIFS(사진대지!$R:$R,사진대지!$Q:$Q,"="&amp;$B78,사진대지!$Z:$Z,"="&amp;O$4)</f>
        <v>0</v>
      </c>
      <c r="P78" s="116">
        <f>+SUMIFS(사진대지!$R:$R,사진대지!$Q:$Q,"="&amp;$B78,사진대지!$Z:$Z,"="&amp;P$4)</f>
        <v>0</v>
      </c>
      <c r="Q78" s="116">
        <f>+SUMIFS(사진대지!$R:$R,사진대지!$Q:$Q,"="&amp;$B78,사진대지!$Z:$Z,"="&amp;Q$4)</f>
        <v>0</v>
      </c>
      <c r="R78" s="116">
        <f>+SUMIFS(사진대지!$R:$R,사진대지!$Q:$Q,"="&amp;$B78,사진대지!$Z:$Z,"="&amp;R$4)</f>
        <v>0</v>
      </c>
      <c r="S78" s="116">
        <f>+SUMIFS(사진대지!$R:$R,사진대지!$Q:$Q,"="&amp;$B78,사진대지!$Z:$Z,"="&amp;S$4)</f>
        <v>0</v>
      </c>
      <c r="T78" s="116">
        <f>+SUMIFS(사진대지!$R:$R,사진대지!$Q:$Q,"="&amp;$B78,사진대지!$Z:$Z,"="&amp;T$4)</f>
        <v>0</v>
      </c>
      <c r="U78" s="116">
        <f>+SUMIFS(사진대지!$R:$R,사진대지!$Q:$Q,"="&amp;$B78,사진대지!$Z:$Z,"="&amp;U$4)</f>
        <v>0</v>
      </c>
      <c r="V78" s="70"/>
      <c r="W78" s="117" t="str">
        <f t="shared" ref="W78" si="32">B78</f>
        <v>세대SP65</v>
      </c>
      <c r="X78" s="118">
        <f t="shared" ref="X78" si="33">+SUM(C78:U78)</f>
        <v>0</v>
      </c>
      <c r="Y78" s="68"/>
      <c r="Z78" s="68"/>
      <c r="AA78" s="119" t="str">
        <f t="shared" ref="AA78" si="34">W78</f>
        <v>세대SP65</v>
      </c>
      <c r="AB78" s="120">
        <f>누계!Q78+X78</f>
        <v>0</v>
      </c>
    </row>
    <row r="79" spans="1:28" ht="20.100000000000001" customHeight="1" x14ac:dyDescent="0.3">
      <c r="A79" s="3"/>
      <c r="B79" s="4" t="s">
        <v>55</v>
      </c>
      <c r="C79" s="66">
        <f>+SUMIFS(사진대지!$R:$R,사진대지!$Q:$Q,"="&amp;$B79,사진대지!$Z:$Z,"="&amp;C$4)</f>
        <v>0</v>
      </c>
      <c r="D79" s="66">
        <f>+SUMIFS(사진대지!$R:$R,사진대지!$Q:$Q,"="&amp;$B79,사진대지!$Z:$Z,"="&amp;D$4)</f>
        <v>0</v>
      </c>
      <c r="E79" s="67">
        <f>+SUMIFS(사진대지!$R:$R,사진대지!$Q:$Q,"="&amp;$B79,사진대지!$Z:$Z,"="&amp;E$4)</f>
        <v>0</v>
      </c>
      <c r="F79" s="67">
        <f>+SUMIFS(사진대지!$R:$R,사진대지!$Q:$Q,"="&amp;$B79,사진대지!$Z:$Z,"="&amp;F$4)</f>
        <v>0</v>
      </c>
      <c r="G79" s="67">
        <f>+SUMIFS(사진대지!$R:$R,사진대지!$Q:$Q,"="&amp;$B79,사진대지!$Z:$Z,"="&amp;G$4)</f>
        <v>0</v>
      </c>
      <c r="H79" s="67">
        <f>+SUMIFS(사진대지!$R:$R,사진대지!$Q:$Q,"="&amp;$B79,사진대지!$Z:$Z,"="&amp;H$4)</f>
        <v>0</v>
      </c>
      <c r="I79" s="67">
        <f>+SUMIFS(사진대지!$R:$R,사진대지!$Q:$Q,"="&amp;$B79,사진대지!$Z:$Z,"="&amp;I$4)</f>
        <v>0</v>
      </c>
      <c r="J79" s="67">
        <f>+SUMIFS(사진대지!$R:$R,사진대지!$Q:$Q,"="&amp;$B79,사진대지!$Z:$Z,"="&amp;J$4)</f>
        <v>0</v>
      </c>
      <c r="K79" s="67">
        <f>+SUMIFS(사진대지!$R:$R,사진대지!$Q:$Q,"="&amp;$B79,사진대지!$Z:$Z,"="&amp;K$4)</f>
        <v>0</v>
      </c>
      <c r="L79" s="67">
        <f>+SUMIFS(사진대지!$R:$R,사진대지!$Q:$Q,"="&amp;$B79,사진대지!$Z:$Z,"="&amp;L$4)</f>
        <v>0</v>
      </c>
      <c r="M79" s="67">
        <f>+SUMIFS(사진대지!$R:$R,사진대지!$Q:$Q,"="&amp;$B79,사진대지!$Z:$Z,"="&amp;M$4)</f>
        <v>0</v>
      </c>
      <c r="N79" s="67">
        <f>+SUMIFS(사진대지!$R:$R,사진대지!$Q:$Q,"="&amp;$B79,사진대지!$Z:$Z,"="&amp;N$4)</f>
        <v>0</v>
      </c>
      <c r="O79" s="67">
        <f>+SUMIFS(사진대지!$R:$R,사진대지!$Q:$Q,"="&amp;$B79,사진대지!$Z:$Z,"="&amp;O$4)</f>
        <v>0</v>
      </c>
      <c r="P79" s="67">
        <f>+SUMIFS(사진대지!$R:$R,사진대지!$Q:$Q,"="&amp;$B79,사진대지!$Z:$Z,"="&amp;P$4)</f>
        <v>0</v>
      </c>
      <c r="Q79" s="67">
        <f>+SUMIFS(사진대지!$R:$R,사진대지!$Q:$Q,"="&amp;$B79,사진대지!$Z:$Z,"="&amp;Q$4)</f>
        <v>0</v>
      </c>
      <c r="R79" s="67">
        <f>+SUMIFS(사진대지!$R:$R,사진대지!$Q:$Q,"="&amp;$B79,사진대지!$Z:$Z,"="&amp;R$4)</f>
        <v>0</v>
      </c>
      <c r="S79" s="67">
        <f>+SUMIFS(사진대지!$R:$R,사진대지!$Q:$Q,"="&amp;$B79,사진대지!$Z:$Z,"="&amp;S$4)</f>
        <v>0</v>
      </c>
      <c r="T79" s="67">
        <f>+SUMIFS(사진대지!$R:$R,사진대지!$Q:$Q,"="&amp;$B79,사진대지!$Z:$Z,"="&amp;T$4)</f>
        <v>0</v>
      </c>
      <c r="U79" s="67">
        <f>+SUMIFS(사진대지!$R:$R,사진대지!$Q:$Q,"="&amp;$B79,사진대지!$Z:$Z,"="&amp;U$4)</f>
        <v>0</v>
      </c>
      <c r="V79" s="70"/>
      <c r="W79" s="75" t="str">
        <f t="shared" si="18"/>
        <v>PVC벽체25</v>
      </c>
      <c r="X79" s="89">
        <f t="shared" si="19"/>
        <v>0</v>
      </c>
      <c r="Y79" s="68"/>
      <c r="Z79" s="68"/>
      <c r="AA79" s="76" t="str">
        <f t="shared" si="2"/>
        <v>PVC벽체25</v>
      </c>
      <c r="AB79" s="93">
        <f>누계!Q79+X79</f>
        <v>0</v>
      </c>
    </row>
    <row r="80" spans="1:28" ht="20.100000000000001" customHeight="1" x14ac:dyDescent="0.3">
      <c r="A80" s="3"/>
      <c r="B80" s="4" t="s">
        <v>56</v>
      </c>
      <c r="C80" s="66">
        <f>+SUMIFS(사진대지!$R:$R,사진대지!$Q:$Q,"="&amp;$B80,사진대지!$Z:$Z,"="&amp;C$4)</f>
        <v>0</v>
      </c>
      <c r="D80" s="66">
        <f>+SUMIFS(사진대지!$R:$R,사진대지!$Q:$Q,"="&amp;$B80,사진대지!$Z:$Z,"="&amp;D$4)</f>
        <v>0</v>
      </c>
      <c r="E80" s="67">
        <f>+SUMIFS(사진대지!$R:$R,사진대지!$Q:$Q,"="&amp;$B80,사진대지!$Z:$Z,"="&amp;E$4)</f>
        <v>0</v>
      </c>
      <c r="F80" s="67">
        <f>+SUMIFS(사진대지!$R:$R,사진대지!$Q:$Q,"="&amp;$B80,사진대지!$Z:$Z,"="&amp;F$4)</f>
        <v>0</v>
      </c>
      <c r="G80" s="67">
        <f>+SUMIFS(사진대지!$R:$R,사진대지!$Q:$Q,"="&amp;$B80,사진대지!$Z:$Z,"="&amp;G$4)</f>
        <v>0</v>
      </c>
      <c r="H80" s="67">
        <f>+SUMIFS(사진대지!$R:$R,사진대지!$Q:$Q,"="&amp;$B80,사진대지!$Z:$Z,"="&amp;H$4)</f>
        <v>0</v>
      </c>
      <c r="I80" s="67">
        <f>+SUMIFS(사진대지!$R:$R,사진대지!$Q:$Q,"="&amp;$B80,사진대지!$Z:$Z,"="&amp;I$4)</f>
        <v>0</v>
      </c>
      <c r="J80" s="67">
        <f>+SUMIFS(사진대지!$R:$R,사진대지!$Q:$Q,"="&amp;$B80,사진대지!$Z:$Z,"="&amp;J$4)</f>
        <v>0</v>
      </c>
      <c r="K80" s="67">
        <f>+SUMIFS(사진대지!$R:$R,사진대지!$Q:$Q,"="&amp;$B80,사진대지!$Z:$Z,"="&amp;K$4)</f>
        <v>0</v>
      </c>
      <c r="L80" s="67">
        <f>+SUMIFS(사진대지!$R:$R,사진대지!$Q:$Q,"="&amp;$B80,사진대지!$Z:$Z,"="&amp;L$4)</f>
        <v>0</v>
      </c>
      <c r="M80" s="67">
        <f>+SUMIFS(사진대지!$R:$R,사진대지!$Q:$Q,"="&amp;$B80,사진대지!$Z:$Z,"="&amp;M$4)</f>
        <v>0</v>
      </c>
      <c r="N80" s="67">
        <f>+SUMIFS(사진대지!$R:$R,사진대지!$Q:$Q,"="&amp;$B80,사진대지!$Z:$Z,"="&amp;N$4)</f>
        <v>0</v>
      </c>
      <c r="O80" s="67">
        <f>+SUMIFS(사진대지!$R:$R,사진대지!$Q:$Q,"="&amp;$B80,사진대지!$Z:$Z,"="&amp;O$4)</f>
        <v>0</v>
      </c>
      <c r="P80" s="67">
        <f>+SUMIFS(사진대지!$R:$R,사진대지!$Q:$Q,"="&amp;$B80,사진대지!$Z:$Z,"="&amp;P$4)</f>
        <v>0</v>
      </c>
      <c r="Q80" s="67">
        <f>+SUMIFS(사진대지!$R:$R,사진대지!$Q:$Q,"="&amp;$B80,사진대지!$Z:$Z,"="&amp;Q$4)</f>
        <v>0</v>
      </c>
      <c r="R80" s="67">
        <f>+SUMIFS(사진대지!$R:$R,사진대지!$Q:$Q,"="&amp;$B80,사진대지!$Z:$Z,"="&amp;R$4)</f>
        <v>0</v>
      </c>
      <c r="S80" s="67">
        <f>+SUMIFS(사진대지!$R:$R,사진대지!$Q:$Q,"="&amp;$B80,사진대지!$Z:$Z,"="&amp;S$4)</f>
        <v>0</v>
      </c>
      <c r="T80" s="67">
        <f>+SUMIFS(사진대지!$R:$R,사진대지!$Q:$Q,"="&amp;$B80,사진대지!$Z:$Z,"="&amp;T$4)</f>
        <v>0</v>
      </c>
      <c r="U80" s="67">
        <f>+SUMIFS(사진대지!$R:$R,사진대지!$Q:$Q,"="&amp;$B80,사진대지!$Z:$Z,"="&amp;U$4)</f>
        <v>0</v>
      </c>
      <c r="V80" s="70"/>
      <c r="W80" s="75" t="str">
        <f t="shared" si="18"/>
        <v>PVC벽체30</v>
      </c>
      <c r="X80" s="89">
        <f t="shared" si="19"/>
        <v>0</v>
      </c>
      <c r="Y80" s="68"/>
      <c r="Z80" s="68"/>
      <c r="AA80" s="76" t="str">
        <f t="shared" si="2"/>
        <v>PVC벽체30</v>
      </c>
      <c r="AB80" s="93">
        <f>누계!Q80+X80</f>
        <v>0</v>
      </c>
    </row>
    <row r="81" spans="1:28" ht="20.100000000000001" customHeight="1" x14ac:dyDescent="0.3">
      <c r="A81" s="3"/>
      <c r="B81" s="4" t="s">
        <v>57</v>
      </c>
      <c r="C81" s="66">
        <f>+SUMIFS(사진대지!$R:$R,사진대지!$Q:$Q,"="&amp;$B81,사진대지!$Z:$Z,"="&amp;C$4)</f>
        <v>0</v>
      </c>
      <c r="D81" s="66">
        <f>+SUMIFS(사진대지!$R:$R,사진대지!$Q:$Q,"="&amp;$B81,사진대지!$Z:$Z,"="&amp;D$4)</f>
        <v>0</v>
      </c>
      <c r="E81" s="67">
        <f>+SUMIFS(사진대지!$R:$R,사진대지!$Q:$Q,"="&amp;$B81,사진대지!$Z:$Z,"="&amp;E$4)</f>
        <v>0</v>
      </c>
      <c r="F81" s="67">
        <f>+SUMIFS(사진대지!$R:$R,사진대지!$Q:$Q,"="&amp;$B81,사진대지!$Z:$Z,"="&amp;F$4)</f>
        <v>0</v>
      </c>
      <c r="G81" s="67">
        <f>+SUMIFS(사진대지!$R:$R,사진대지!$Q:$Q,"="&amp;$B81,사진대지!$Z:$Z,"="&amp;G$4)</f>
        <v>0</v>
      </c>
      <c r="H81" s="67">
        <f>+SUMIFS(사진대지!$R:$R,사진대지!$Q:$Q,"="&amp;$B81,사진대지!$Z:$Z,"="&amp;H$4)</f>
        <v>0</v>
      </c>
      <c r="I81" s="67">
        <f>+SUMIFS(사진대지!$R:$R,사진대지!$Q:$Q,"="&amp;$B81,사진대지!$Z:$Z,"="&amp;I$4)</f>
        <v>0</v>
      </c>
      <c r="J81" s="67">
        <f>+SUMIFS(사진대지!$R:$R,사진대지!$Q:$Q,"="&amp;$B81,사진대지!$Z:$Z,"="&amp;J$4)</f>
        <v>0</v>
      </c>
      <c r="K81" s="67">
        <f>+SUMIFS(사진대지!$R:$R,사진대지!$Q:$Q,"="&amp;$B81,사진대지!$Z:$Z,"="&amp;K$4)</f>
        <v>0</v>
      </c>
      <c r="L81" s="67">
        <f>+SUMIFS(사진대지!$R:$R,사진대지!$Q:$Q,"="&amp;$B81,사진대지!$Z:$Z,"="&amp;L$4)</f>
        <v>0</v>
      </c>
      <c r="M81" s="67">
        <f>+SUMIFS(사진대지!$R:$R,사진대지!$Q:$Q,"="&amp;$B81,사진대지!$Z:$Z,"="&amp;M$4)</f>
        <v>0</v>
      </c>
      <c r="N81" s="67">
        <f>+SUMIFS(사진대지!$R:$R,사진대지!$Q:$Q,"="&amp;$B81,사진대지!$Z:$Z,"="&amp;N$4)</f>
        <v>0</v>
      </c>
      <c r="O81" s="67">
        <f>+SUMIFS(사진대지!$R:$R,사진대지!$Q:$Q,"="&amp;$B81,사진대지!$Z:$Z,"="&amp;O$4)</f>
        <v>0</v>
      </c>
      <c r="P81" s="67">
        <f>+SUMIFS(사진대지!$R:$R,사진대지!$Q:$Q,"="&amp;$B81,사진대지!$Z:$Z,"="&amp;P$4)</f>
        <v>0</v>
      </c>
      <c r="Q81" s="67">
        <f>+SUMIFS(사진대지!$R:$R,사진대지!$Q:$Q,"="&amp;$B81,사진대지!$Z:$Z,"="&amp;Q$4)</f>
        <v>0</v>
      </c>
      <c r="R81" s="67">
        <f>+SUMIFS(사진대지!$R:$R,사진대지!$Q:$Q,"="&amp;$B81,사진대지!$Z:$Z,"="&amp;R$4)</f>
        <v>0</v>
      </c>
      <c r="S81" s="67">
        <f>+SUMIFS(사진대지!$R:$R,사진대지!$Q:$Q,"="&amp;$B81,사진대지!$Z:$Z,"="&amp;S$4)</f>
        <v>0</v>
      </c>
      <c r="T81" s="67">
        <f>+SUMIFS(사진대지!$R:$R,사진대지!$Q:$Q,"="&amp;$B81,사진대지!$Z:$Z,"="&amp;T$4)</f>
        <v>0</v>
      </c>
      <c r="U81" s="67">
        <f>+SUMIFS(사진대지!$R:$R,사진대지!$Q:$Q,"="&amp;$B81,사진대지!$Z:$Z,"="&amp;U$4)</f>
        <v>0</v>
      </c>
      <c r="V81" s="70"/>
      <c r="W81" s="75" t="str">
        <f t="shared" si="18"/>
        <v>PVC벽체40</v>
      </c>
      <c r="X81" s="89">
        <f t="shared" si="19"/>
        <v>0</v>
      </c>
      <c r="Y81" s="68"/>
      <c r="Z81" s="68"/>
      <c r="AA81" s="76" t="str">
        <f t="shared" si="2"/>
        <v>PVC벽체40</v>
      </c>
      <c r="AB81" s="93">
        <f>누계!Q81+X81</f>
        <v>0</v>
      </c>
    </row>
    <row r="82" spans="1:28" ht="20.100000000000001" customHeight="1" x14ac:dyDescent="0.3">
      <c r="A82" s="3"/>
      <c r="B82" s="4" t="s">
        <v>58</v>
      </c>
      <c r="C82" s="66">
        <f>+SUMIFS(사진대지!$R:$R,사진대지!$Q:$Q,"="&amp;$B82,사진대지!$Z:$Z,"="&amp;C$4)</f>
        <v>0</v>
      </c>
      <c r="D82" s="66">
        <f>+SUMIFS(사진대지!$R:$R,사진대지!$Q:$Q,"="&amp;$B82,사진대지!$Z:$Z,"="&amp;D$4)</f>
        <v>0</v>
      </c>
      <c r="E82" s="67">
        <f>+SUMIFS(사진대지!$R:$R,사진대지!$Q:$Q,"="&amp;$B82,사진대지!$Z:$Z,"="&amp;E$4)</f>
        <v>0</v>
      </c>
      <c r="F82" s="67">
        <f>+SUMIFS(사진대지!$R:$R,사진대지!$Q:$Q,"="&amp;$B82,사진대지!$Z:$Z,"="&amp;F$4)</f>
        <v>0</v>
      </c>
      <c r="G82" s="67">
        <f>+SUMIFS(사진대지!$R:$R,사진대지!$Q:$Q,"="&amp;$B82,사진대지!$Z:$Z,"="&amp;G$4)</f>
        <v>0</v>
      </c>
      <c r="H82" s="67">
        <f>+SUMIFS(사진대지!$R:$R,사진대지!$Q:$Q,"="&amp;$B82,사진대지!$Z:$Z,"="&amp;H$4)</f>
        <v>0</v>
      </c>
      <c r="I82" s="67">
        <f>+SUMIFS(사진대지!$R:$R,사진대지!$Q:$Q,"="&amp;$B82,사진대지!$Z:$Z,"="&amp;I$4)</f>
        <v>0</v>
      </c>
      <c r="J82" s="67">
        <f>+SUMIFS(사진대지!$R:$R,사진대지!$Q:$Q,"="&amp;$B82,사진대지!$Z:$Z,"="&amp;J$4)</f>
        <v>0</v>
      </c>
      <c r="K82" s="67">
        <f>+SUMIFS(사진대지!$R:$R,사진대지!$Q:$Q,"="&amp;$B82,사진대지!$Z:$Z,"="&amp;K$4)</f>
        <v>0</v>
      </c>
      <c r="L82" s="67">
        <f>+SUMIFS(사진대지!$R:$R,사진대지!$Q:$Q,"="&amp;$B82,사진대지!$Z:$Z,"="&amp;L$4)</f>
        <v>0</v>
      </c>
      <c r="M82" s="67">
        <f>+SUMIFS(사진대지!$R:$R,사진대지!$Q:$Q,"="&amp;$B82,사진대지!$Z:$Z,"="&amp;M$4)</f>
        <v>0</v>
      </c>
      <c r="N82" s="67">
        <f>+SUMIFS(사진대지!$R:$R,사진대지!$Q:$Q,"="&amp;$B82,사진대지!$Z:$Z,"="&amp;N$4)</f>
        <v>0</v>
      </c>
      <c r="O82" s="67">
        <f>+SUMIFS(사진대지!$R:$R,사진대지!$Q:$Q,"="&amp;$B82,사진대지!$Z:$Z,"="&amp;O$4)</f>
        <v>0</v>
      </c>
      <c r="P82" s="67">
        <f>+SUMIFS(사진대지!$R:$R,사진대지!$Q:$Q,"="&amp;$B82,사진대지!$Z:$Z,"="&amp;P$4)</f>
        <v>0</v>
      </c>
      <c r="Q82" s="67">
        <f>+SUMIFS(사진대지!$R:$R,사진대지!$Q:$Q,"="&amp;$B82,사진대지!$Z:$Z,"="&amp;Q$4)</f>
        <v>0</v>
      </c>
      <c r="R82" s="67">
        <f>+SUMIFS(사진대지!$R:$R,사진대지!$Q:$Q,"="&amp;$B82,사진대지!$Z:$Z,"="&amp;R$4)</f>
        <v>0</v>
      </c>
      <c r="S82" s="67">
        <f>+SUMIFS(사진대지!$R:$R,사진대지!$Q:$Q,"="&amp;$B82,사진대지!$Z:$Z,"="&amp;S$4)</f>
        <v>0</v>
      </c>
      <c r="T82" s="67">
        <f>+SUMIFS(사진대지!$R:$R,사진대지!$Q:$Q,"="&amp;$B82,사진대지!$Z:$Z,"="&amp;T$4)</f>
        <v>0</v>
      </c>
      <c r="U82" s="67">
        <f>+SUMIFS(사진대지!$R:$R,사진대지!$Q:$Q,"="&amp;$B82,사진대지!$Z:$Z,"="&amp;U$4)</f>
        <v>0</v>
      </c>
      <c r="V82" s="70"/>
      <c r="W82" s="75" t="str">
        <f t="shared" si="18"/>
        <v>PVC벽체50</v>
      </c>
      <c r="X82" s="89">
        <f t="shared" si="19"/>
        <v>0</v>
      </c>
      <c r="Y82" s="68"/>
      <c r="Z82" s="68"/>
      <c r="AA82" s="76" t="str">
        <f t="shared" si="2"/>
        <v>PVC벽체50</v>
      </c>
      <c r="AB82" s="93">
        <f>누계!Q82+X82</f>
        <v>0</v>
      </c>
    </row>
    <row r="83" spans="1:28" ht="20.100000000000001" customHeight="1" x14ac:dyDescent="0.3">
      <c r="A83" s="3"/>
      <c r="B83" s="4" t="s">
        <v>35</v>
      </c>
      <c r="C83" s="66">
        <f>+SUMIFS(사진대지!$R:$R,사진대지!$Q:$Q,"="&amp;$B83,사진대지!$Z:$Z,"="&amp;C$4)</f>
        <v>0</v>
      </c>
      <c r="D83" s="66">
        <f>+SUMIFS(사진대지!$R:$R,사진대지!$Q:$Q,"="&amp;$B83,사진대지!$Z:$Z,"="&amp;D$4)</f>
        <v>0</v>
      </c>
      <c r="E83" s="67">
        <f>+SUMIFS(사진대지!$R:$R,사진대지!$Q:$Q,"="&amp;$B83,사진대지!$Z:$Z,"="&amp;E$4)</f>
        <v>0</v>
      </c>
      <c r="F83" s="67">
        <f>+SUMIFS(사진대지!$R:$R,사진대지!$Q:$Q,"="&amp;$B83,사진대지!$Z:$Z,"="&amp;F$4)</f>
        <v>0</v>
      </c>
      <c r="G83" s="67">
        <f>+SUMIFS(사진대지!$R:$R,사진대지!$Q:$Q,"="&amp;$B83,사진대지!$Z:$Z,"="&amp;G$4)</f>
        <v>0</v>
      </c>
      <c r="H83" s="67">
        <f>+SUMIFS(사진대지!$R:$R,사진대지!$Q:$Q,"="&amp;$B83,사진대지!$Z:$Z,"="&amp;H$4)</f>
        <v>0</v>
      </c>
      <c r="I83" s="67">
        <f>+SUMIFS(사진대지!$R:$R,사진대지!$Q:$Q,"="&amp;$B83,사진대지!$Z:$Z,"="&amp;I$4)</f>
        <v>0</v>
      </c>
      <c r="J83" s="67">
        <f>+SUMIFS(사진대지!$R:$R,사진대지!$Q:$Q,"="&amp;$B83,사진대지!$Z:$Z,"="&amp;J$4)</f>
        <v>0</v>
      </c>
      <c r="K83" s="67">
        <f>+SUMIFS(사진대지!$R:$R,사진대지!$Q:$Q,"="&amp;$B83,사진대지!$Z:$Z,"="&amp;K$4)</f>
        <v>0</v>
      </c>
      <c r="L83" s="67">
        <f>+SUMIFS(사진대지!$R:$R,사진대지!$Q:$Q,"="&amp;$B83,사진대지!$Z:$Z,"="&amp;L$4)</f>
        <v>0</v>
      </c>
      <c r="M83" s="67">
        <f>+SUMIFS(사진대지!$R:$R,사진대지!$Q:$Q,"="&amp;$B83,사진대지!$Z:$Z,"="&amp;M$4)</f>
        <v>0</v>
      </c>
      <c r="N83" s="67">
        <f>+SUMIFS(사진대지!$R:$R,사진대지!$Q:$Q,"="&amp;$B83,사진대지!$Z:$Z,"="&amp;N$4)</f>
        <v>0</v>
      </c>
      <c r="O83" s="67">
        <f>+SUMIFS(사진대지!$R:$R,사진대지!$Q:$Q,"="&amp;$B83,사진대지!$Z:$Z,"="&amp;O$4)</f>
        <v>0</v>
      </c>
      <c r="P83" s="67">
        <f>+SUMIFS(사진대지!$R:$R,사진대지!$Q:$Q,"="&amp;$B83,사진대지!$Z:$Z,"="&amp;P$4)</f>
        <v>0</v>
      </c>
      <c r="Q83" s="67">
        <f>+SUMIFS(사진대지!$R:$R,사진대지!$Q:$Q,"="&amp;$B83,사진대지!$Z:$Z,"="&amp;Q$4)</f>
        <v>0</v>
      </c>
      <c r="R83" s="67">
        <f>+SUMIFS(사진대지!$R:$R,사진대지!$Q:$Q,"="&amp;$B83,사진대지!$Z:$Z,"="&amp;R$4)</f>
        <v>0</v>
      </c>
      <c r="S83" s="67">
        <f>+SUMIFS(사진대지!$R:$R,사진대지!$Q:$Q,"="&amp;$B83,사진대지!$Z:$Z,"="&amp;S$4)</f>
        <v>0</v>
      </c>
      <c r="T83" s="67">
        <f>+SUMIFS(사진대지!$R:$R,사진대지!$Q:$Q,"="&amp;$B83,사진대지!$Z:$Z,"="&amp;T$4)</f>
        <v>0</v>
      </c>
      <c r="U83" s="67">
        <f>+SUMIFS(사진대지!$R:$R,사진대지!$Q:$Q,"="&amp;$B83,사진대지!$Z:$Z,"="&amp;U$4)</f>
        <v>0</v>
      </c>
      <c r="V83" s="70"/>
      <c r="W83" s="75" t="str">
        <f t="shared" si="18"/>
        <v>PVC벽체65</v>
      </c>
      <c r="X83" s="89">
        <f t="shared" si="19"/>
        <v>0</v>
      </c>
      <c r="Y83" s="68"/>
      <c r="Z83" s="68"/>
      <c r="AA83" s="76" t="str">
        <f t="shared" si="2"/>
        <v>PVC벽체65</v>
      </c>
      <c r="AB83" s="93">
        <f>누계!Q83+X83</f>
        <v>0.5</v>
      </c>
    </row>
    <row r="84" spans="1:28" ht="20.100000000000001" customHeight="1" x14ac:dyDescent="0.3">
      <c r="A84" s="3"/>
      <c r="B84" s="4" t="s">
        <v>59</v>
      </c>
      <c r="C84" s="66">
        <f>+SUMIFS(사진대지!$R:$R,사진대지!$Q:$Q,"="&amp;$B84,사진대지!$Z:$Z,"="&amp;C$4)</f>
        <v>0</v>
      </c>
      <c r="D84" s="66">
        <f>+SUMIFS(사진대지!$R:$R,사진대지!$Q:$Q,"="&amp;$B84,사진대지!$Z:$Z,"="&amp;D$4)</f>
        <v>0</v>
      </c>
      <c r="E84" s="67">
        <f>+SUMIFS(사진대지!$R:$R,사진대지!$Q:$Q,"="&amp;$B84,사진대지!$Z:$Z,"="&amp;E$4)</f>
        <v>0</v>
      </c>
      <c r="F84" s="67">
        <f>+SUMIFS(사진대지!$R:$R,사진대지!$Q:$Q,"="&amp;$B84,사진대지!$Z:$Z,"="&amp;F$4)</f>
        <v>0</v>
      </c>
      <c r="G84" s="67">
        <f>+SUMIFS(사진대지!$R:$R,사진대지!$Q:$Q,"="&amp;$B84,사진대지!$Z:$Z,"="&amp;G$4)</f>
        <v>0</v>
      </c>
      <c r="H84" s="67">
        <f>+SUMIFS(사진대지!$R:$R,사진대지!$Q:$Q,"="&amp;$B84,사진대지!$Z:$Z,"="&amp;H$4)</f>
        <v>0</v>
      </c>
      <c r="I84" s="67">
        <f>+SUMIFS(사진대지!$R:$R,사진대지!$Q:$Q,"="&amp;$B84,사진대지!$Z:$Z,"="&amp;I$4)</f>
        <v>0</v>
      </c>
      <c r="J84" s="67">
        <f>+SUMIFS(사진대지!$R:$R,사진대지!$Q:$Q,"="&amp;$B84,사진대지!$Z:$Z,"="&amp;J$4)</f>
        <v>0</v>
      </c>
      <c r="K84" s="67">
        <f>+SUMIFS(사진대지!$R:$R,사진대지!$Q:$Q,"="&amp;$B84,사진대지!$Z:$Z,"="&amp;K$4)</f>
        <v>0</v>
      </c>
      <c r="L84" s="67">
        <f>+SUMIFS(사진대지!$R:$R,사진대지!$Q:$Q,"="&amp;$B84,사진대지!$Z:$Z,"="&amp;L$4)</f>
        <v>0</v>
      </c>
      <c r="M84" s="67">
        <f>+SUMIFS(사진대지!$R:$R,사진대지!$Q:$Q,"="&amp;$B84,사진대지!$Z:$Z,"="&amp;M$4)</f>
        <v>0</v>
      </c>
      <c r="N84" s="67">
        <f>+SUMIFS(사진대지!$R:$R,사진대지!$Q:$Q,"="&amp;$B84,사진대지!$Z:$Z,"="&amp;N$4)</f>
        <v>0</v>
      </c>
      <c r="O84" s="67">
        <f>+SUMIFS(사진대지!$R:$R,사진대지!$Q:$Q,"="&amp;$B84,사진대지!$Z:$Z,"="&amp;O$4)</f>
        <v>0</v>
      </c>
      <c r="P84" s="67">
        <f>+SUMIFS(사진대지!$R:$R,사진대지!$Q:$Q,"="&amp;$B84,사진대지!$Z:$Z,"="&amp;P$4)</f>
        <v>0</v>
      </c>
      <c r="Q84" s="67">
        <f>+SUMIFS(사진대지!$R:$R,사진대지!$Q:$Q,"="&amp;$B84,사진대지!$Z:$Z,"="&amp;Q$4)</f>
        <v>0</v>
      </c>
      <c r="R84" s="67">
        <f>+SUMIFS(사진대지!$R:$R,사진대지!$Q:$Q,"="&amp;$B84,사진대지!$Z:$Z,"="&amp;R$4)</f>
        <v>0</v>
      </c>
      <c r="S84" s="67">
        <f>+SUMIFS(사진대지!$R:$R,사진대지!$Q:$Q,"="&amp;$B84,사진대지!$Z:$Z,"="&amp;S$4)</f>
        <v>0</v>
      </c>
      <c r="T84" s="67">
        <f>+SUMIFS(사진대지!$R:$R,사진대지!$Q:$Q,"="&amp;$B84,사진대지!$Z:$Z,"="&amp;T$4)</f>
        <v>0</v>
      </c>
      <c r="U84" s="67">
        <f>+SUMIFS(사진대지!$R:$R,사진대지!$Q:$Q,"="&amp;$B84,사진대지!$Z:$Z,"="&amp;U$4)</f>
        <v>0</v>
      </c>
      <c r="V84" s="70"/>
      <c r="W84" s="75" t="str">
        <f t="shared" si="18"/>
        <v>PVC벽체75</v>
      </c>
      <c r="X84" s="89">
        <f t="shared" si="19"/>
        <v>0</v>
      </c>
      <c r="Y84" s="68"/>
      <c r="Z84" s="68"/>
      <c r="AA84" s="76" t="str">
        <f t="shared" si="2"/>
        <v>PVC벽체75</v>
      </c>
      <c r="AB84" s="93">
        <f>누계!Q84+X84</f>
        <v>0</v>
      </c>
    </row>
    <row r="85" spans="1:28" ht="20.100000000000001" customHeight="1" x14ac:dyDescent="0.3">
      <c r="A85" s="3"/>
      <c r="B85" s="4" t="s">
        <v>36</v>
      </c>
      <c r="C85" s="66">
        <f>+SUMIFS(사진대지!$R:$R,사진대지!$Q:$Q,"="&amp;$B85,사진대지!$Z:$Z,"="&amp;C$4)</f>
        <v>0</v>
      </c>
      <c r="D85" s="66">
        <f>+SUMIFS(사진대지!$R:$R,사진대지!$Q:$Q,"="&amp;$B85,사진대지!$Z:$Z,"="&amp;D$4)</f>
        <v>0</v>
      </c>
      <c r="E85" s="67">
        <f>+SUMIFS(사진대지!$R:$R,사진대지!$Q:$Q,"="&amp;$B85,사진대지!$Z:$Z,"="&amp;E$4)</f>
        <v>0</v>
      </c>
      <c r="F85" s="67">
        <f>+SUMIFS(사진대지!$R:$R,사진대지!$Q:$Q,"="&amp;$B85,사진대지!$Z:$Z,"="&amp;F$4)</f>
        <v>0</v>
      </c>
      <c r="G85" s="67">
        <f>+SUMIFS(사진대지!$R:$R,사진대지!$Q:$Q,"="&amp;$B85,사진대지!$Z:$Z,"="&amp;G$4)</f>
        <v>0</v>
      </c>
      <c r="H85" s="67">
        <f>+SUMIFS(사진대지!$R:$R,사진대지!$Q:$Q,"="&amp;$B85,사진대지!$Z:$Z,"="&amp;H$4)</f>
        <v>0</v>
      </c>
      <c r="I85" s="67">
        <f>+SUMIFS(사진대지!$R:$R,사진대지!$Q:$Q,"="&amp;$B85,사진대지!$Z:$Z,"="&amp;I$4)</f>
        <v>0</v>
      </c>
      <c r="J85" s="67">
        <f>+SUMIFS(사진대지!$R:$R,사진대지!$Q:$Q,"="&amp;$B85,사진대지!$Z:$Z,"="&amp;J$4)</f>
        <v>0</v>
      </c>
      <c r="K85" s="67">
        <f>+SUMIFS(사진대지!$R:$R,사진대지!$Q:$Q,"="&amp;$B85,사진대지!$Z:$Z,"="&amp;K$4)</f>
        <v>0</v>
      </c>
      <c r="L85" s="67">
        <f>+SUMIFS(사진대지!$R:$R,사진대지!$Q:$Q,"="&amp;$B85,사진대지!$Z:$Z,"="&amp;L$4)</f>
        <v>0</v>
      </c>
      <c r="M85" s="67">
        <f>+SUMIFS(사진대지!$R:$R,사진대지!$Q:$Q,"="&amp;$B85,사진대지!$Z:$Z,"="&amp;M$4)</f>
        <v>0</v>
      </c>
      <c r="N85" s="67">
        <f>+SUMIFS(사진대지!$R:$R,사진대지!$Q:$Q,"="&amp;$B85,사진대지!$Z:$Z,"="&amp;N$4)</f>
        <v>0</v>
      </c>
      <c r="O85" s="67">
        <f>+SUMIFS(사진대지!$R:$R,사진대지!$Q:$Q,"="&amp;$B85,사진대지!$Z:$Z,"="&amp;O$4)</f>
        <v>0</v>
      </c>
      <c r="P85" s="67">
        <f>+SUMIFS(사진대지!$R:$R,사진대지!$Q:$Q,"="&amp;$B85,사진대지!$Z:$Z,"="&amp;P$4)</f>
        <v>0</v>
      </c>
      <c r="Q85" s="67">
        <f>+SUMIFS(사진대지!$R:$R,사진대지!$Q:$Q,"="&amp;$B85,사진대지!$Z:$Z,"="&amp;Q$4)</f>
        <v>0</v>
      </c>
      <c r="R85" s="67">
        <f>+SUMIFS(사진대지!$R:$R,사진대지!$Q:$Q,"="&amp;$B85,사진대지!$Z:$Z,"="&amp;R$4)</f>
        <v>0</v>
      </c>
      <c r="S85" s="67">
        <f>+SUMIFS(사진대지!$R:$R,사진대지!$Q:$Q,"="&amp;$B85,사진대지!$Z:$Z,"="&amp;S$4)</f>
        <v>0</v>
      </c>
      <c r="T85" s="67">
        <f>+SUMIFS(사진대지!$R:$R,사진대지!$Q:$Q,"="&amp;$B85,사진대지!$Z:$Z,"="&amp;T$4)</f>
        <v>0</v>
      </c>
      <c r="U85" s="67">
        <f>+SUMIFS(사진대지!$R:$R,사진대지!$Q:$Q,"="&amp;$B85,사진대지!$Z:$Z,"="&amp;U$4)</f>
        <v>0</v>
      </c>
      <c r="V85" s="70"/>
      <c r="W85" s="75" t="str">
        <f t="shared" si="18"/>
        <v>PVC벽체100</v>
      </c>
      <c r="X85" s="89">
        <f t="shared" si="19"/>
        <v>0</v>
      </c>
      <c r="Y85" s="68"/>
      <c r="Z85" s="68"/>
      <c r="AA85" s="76" t="str">
        <f t="shared" si="2"/>
        <v>PVC벽체100</v>
      </c>
      <c r="AB85" s="93">
        <f>누계!Q85+X85</f>
        <v>0.5</v>
      </c>
    </row>
    <row r="86" spans="1:28" ht="20.100000000000001" customHeight="1" x14ac:dyDescent="0.3">
      <c r="A86" s="3"/>
      <c r="B86" s="4" t="s">
        <v>37</v>
      </c>
      <c r="C86" s="66">
        <f>+SUMIFS(사진대지!$R:$R,사진대지!$Q:$Q,"="&amp;$B86,사진대지!$Z:$Z,"="&amp;C$4)</f>
        <v>0</v>
      </c>
      <c r="D86" s="66">
        <f>+SUMIFS(사진대지!$R:$R,사진대지!$Q:$Q,"="&amp;$B86,사진대지!$Z:$Z,"="&amp;D$4)</f>
        <v>0</v>
      </c>
      <c r="E86" s="67">
        <f>+SUMIFS(사진대지!$R:$R,사진대지!$Q:$Q,"="&amp;$B86,사진대지!$Z:$Z,"="&amp;E$4)</f>
        <v>0</v>
      </c>
      <c r="F86" s="67">
        <f>+SUMIFS(사진대지!$R:$R,사진대지!$Q:$Q,"="&amp;$B86,사진대지!$Z:$Z,"="&amp;F$4)</f>
        <v>0</v>
      </c>
      <c r="G86" s="67">
        <f>+SUMIFS(사진대지!$R:$R,사진대지!$Q:$Q,"="&amp;$B86,사진대지!$Z:$Z,"="&amp;G$4)</f>
        <v>0</v>
      </c>
      <c r="H86" s="67">
        <f>+SUMIFS(사진대지!$R:$R,사진대지!$Q:$Q,"="&amp;$B86,사진대지!$Z:$Z,"="&amp;H$4)</f>
        <v>0</v>
      </c>
      <c r="I86" s="67">
        <f>+SUMIFS(사진대지!$R:$R,사진대지!$Q:$Q,"="&amp;$B86,사진대지!$Z:$Z,"="&amp;I$4)</f>
        <v>0</v>
      </c>
      <c r="J86" s="67">
        <f>+SUMIFS(사진대지!$R:$R,사진대지!$Q:$Q,"="&amp;$B86,사진대지!$Z:$Z,"="&amp;J$4)</f>
        <v>0</v>
      </c>
      <c r="K86" s="67">
        <f>+SUMIFS(사진대지!$R:$R,사진대지!$Q:$Q,"="&amp;$B86,사진대지!$Z:$Z,"="&amp;K$4)</f>
        <v>0</v>
      </c>
      <c r="L86" s="67">
        <f>+SUMIFS(사진대지!$R:$R,사진대지!$Q:$Q,"="&amp;$B86,사진대지!$Z:$Z,"="&amp;L$4)</f>
        <v>0</v>
      </c>
      <c r="M86" s="67">
        <f>+SUMIFS(사진대지!$R:$R,사진대지!$Q:$Q,"="&amp;$B86,사진대지!$Z:$Z,"="&amp;M$4)</f>
        <v>0</v>
      </c>
      <c r="N86" s="67">
        <f>+SUMIFS(사진대지!$R:$R,사진대지!$Q:$Q,"="&amp;$B86,사진대지!$Z:$Z,"="&amp;N$4)</f>
        <v>0</v>
      </c>
      <c r="O86" s="67">
        <f>+SUMIFS(사진대지!$R:$R,사진대지!$Q:$Q,"="&amp;$B86,사진대지!$Z:$Z,"="&amp;O$4)</f>
        <v>0</v>
      </c>
      <c r="P86" s="67">
        <f>+SUMIFS(사진대지!$R:$R,사진대지!$Q:$Q,"="&amp;$B86,사진대지!$Z:$Z,"="&amp;P$4)</f>
        <v>0</v>
      </c>
      <c r="Q86" s="67">
        <f>+SUMIFS(사진대지!$R:$R,사진대지!$Q:$Q,"="&amp;$B86,사진대지!$Z:$Z,"="&amp;Q$4)</f>
        <v>0</v>
      </c>
      <c r="R86" s="67">
        <f>+SUMIFS(사진대지!$R:$R,사진대지!$Q:$Q,"="&amp;$B86,사진대지!$Z:$Z,"="&amp;R$4)</f>
        <v>0</v>
      </c>
      <c r="S86" s="67">
        <f>+SUMIFS(사진대지!$R:$R,사진대지!$Q:$Q,"="&amp;$B86,사진대지!$Z:$Z,"="&amp;S$4)</f>
        <v>0</v>
      </c>
      <c r="T86" s="67">
        <f>+SUMIFS(사진대지!$R:$R,사진대지!$Q:$Q,"="&amp;$B86,사진대지!$Z:$Z,"="&amp;T$4)</f>
        <v>0</v>
      </c>
      <c r="U86" s="67">
        <f>+SUMIFS(사진대지!$R:$R,사진대지!$Q:$Q,"="&amp;$B86,사진대지!$Z:$Z,"="&amp;U$4)</f>
        <v>0</v>
      </c>
      <c r="V86" s="70"/>
      <c r="W86" s="75" t="str">
        <f t="shared" si="18"/>
        <v>PVC벽체125</v>
      </c>
      <c r="X86" s="89">
        <f t="shared" si="19"/>
        <v>0</v>
      </c>
      <c r="Y86" s="68"/>
      <c r="Z86" s="68"/>
      <c r="AA86" s="76" t="str">
        <f t="shared" si="2"/>
        <v>PVC벽체125</v>
      </c>
      <c r="AB86" s="93">
        <f>누계!Q86+X86</f>
        <v>0</v>
      </c>
    </row>
    <row r="87" spans="1:28" ht="20.100000000000001" customHeight="1" x14ac:dyDescent="0.3">
      <c r="A87" s="3"/>
      <c r="B87" s="4" t="s">
        <v>38</v>
      </c>
      <c r="C87" s="66">
        <f>+SUMIFS(사진대지!$R:$R,사진대지!$Q:$Q,"="&amp;$B87,사진대지!$Z:$Z,"="&amp;C$4)</f>
        <v>0</v>
      </c>
      <c r="D87" s="66">
        <f>+SUMIFS(사진대지!$R:$R,사진대지!$Q:$Q,"="&amp;$B87,사진대지!$Z:$Z,"="&amp;D$4)</f>
        <v>0</v>
      </c>
      <c r="E87" s="67">
        <f>+SUMIFS(사진대지!$R:$R,사진대지!$Q:$Q,"="&amp;$B87,사진대지!$Z:$Z,"="&amp;E$4)</f>
        <v>0</v>
      </c>
      <c r="F87" s="67">
        <f>+SUMIFS(사진대지!$R:$R,사진대지!$Q:$Q,"="&amp;$B87,사진대지!$Z:$Z,"="&amp;F$4)</f>
        <v>0</v>
      </c>
      <c r="G87" s="67">
        <f>+SUMIFS(사진대지!$R:$R,사진대지!$Q:$Q,"="&amp;$B87,사진대지!$Z:$Z,"="&amp;G$4)</f>
        <v>0</v>
      </c>
      <c r="H87" s="67">
        <f>+SUMIFS(사진대지!$R:$R,사진대지!$Q:$Q,"="&amp;$B87,사진대지!$Z:$Z,"="&amp;H$4)</f>
        <v>0</v>
      </c>
      <c r="I87" s="67">
        <f>+SUMIFS(사진대지!$R:$R,사진대지!$Q:$Q,"="&amp;$B87,사진대지!$Z:$Z,"="&amp;I$4)</f>
        <v>0</v>
      </c>
      <c r="J87" s="67">
        <f>+SUMIFS(사진대지!$R:$R,사진대지!$Q:$Q,"="&amp;$B87,사진대지!$Z:$Z,"="&amp;J$4)</f>
        <v>0</v>
      </c>
      <c r="K87" s="67">
        <f>+SUMIFS(사진대지!$R:$R,사진대지!$Q:$Q,"="&amp;$B87,사진대지!$Z:$Z,"="&amp;K$4)</f>
        <v>0</v>
      </c>
      <c r="L87" s="67">
        <f>+SUMIFS(사진대지!$R:$R,사진대지!$Q:$Q,"="&amp;$B87,사진대지!$Z:$Z,"="&amp;L$4)</f>
        <v>0</v>
      </c>
      <c r="M87" s="67">
        <f>+SUMIFS(사진대지!$R:$R,사진대지!$Q:$Q,"="&amp;$B87,사진대지!$Z:$Z,"="&amp;M$4)</f>
        <v>0</v>
      </c>
      <c r="N87" s="67">
        <f>+SUMIFS(사진대지!$R:$R,사진대지!$Q:$Q,"="&amp;$B87,사진대지!$Z:$Z,"="&amp;N$4)</f>
        <v>0</v>
      </c>
      <c r="O87" s="67">
        <f>+SUMIFS(사진대지!$R:$R,사진대지!$Q:$Q,"="&amp;$B87,사진대지!$Z:$Z,"="&amp;O$4)</f>
        <v>0</v>
      </c>
      <c r="P87" s="67">
        <f>+SUMIFS(사진대지!$R:$R,사진대지!$Q:$Q,"="&amp;$B87,사진대지!$Z:$Z,"="&amp;P$4)</f>
        <v>0</v>
      </c>
      <c r="Q87" s="67">
        <f>+SUMIFS(사진대지!$R:$R,사진대지!$Q:$Q,"="&amp;$B87,사진대지!$Z:$Z,"="&amp;Q$4)</f>
        <v>0</v>
      </c>
      <c r="R87" s="67">
        <f>+SUMIFS(사진대지!$R:$R,사진대지!$Q:$Q,"="&amp;$B87,사진대지!$Z:$Z,"="&amp;R$4)</f>
        <v>0</v>
      </c>
      <c r="S87" s="67">
        <f>+SUMIFS(사진대지!$R:$R,사진대지!$Q:$Q,"="&amp;$B87,사진대지!$Z:$Z,"="&amp;S$4)</f>
        <v>0</v>
      </c>
      <c r="T87" s="67">
        <f>+SUMIFS(사진대지!$R:$R,사진대지!$Q:$Q,"="&amp;$B87,사진대지!$Z:$Z,"="&amp;T$4)</f>
        <v>0</v>
      </c>
      <c r="U87" s="67">
        <f>+SUMIFS(사진대지!$R:$R,사진대지!$Q:$Q,"="&amp;$B87,사진대지!$Z:$Z,"="&amp;U$4)</f>
        <v>0</v>
      </c>
      <c r="V87" s="70"/>
      <c r="W87" s="75" t="str">
        <f t="shared" si="18"/>
        <v>PVC벽체150</v>
      </c>
      <c r="X87" s="89">
        <f t="shared" si="19"/>
        <v>0</v>
      </c>
      <c r="Y87" s="68"/>
      <c r="Z87" s="68"/>
      <c r="AA87" s="76" t="str">
        <f t="shared" si="2"/>
        <v>PVC벽체150</v>
      </c>
      <c r="AB87" s="93">
        <f>누계!Q87+X87</f>
        <v>0</v>
      </c>
    </row>
    <row r="88" spans="1:28" ht="20.100000000000001" customHeight="1" x14ac:dyDescent="0.3">
      <c r="A88" s="3"/>
      <c r="B88" s="4" t="s">
        <v>105</v>
      </c>
      <c r="C88" s="66">
        <f>+SUMIFS(사진대지!$R:$R,사진대지!$Q:$Q,"="&amp;$B88,사진대지!$Z:$Z,"="&amp;C$4)</f>
        <v>0</v>
      </c>
      <c r="D88" s="66">
        <f>+SUMIFS(사진대지!$R:$R,사진대지!$Q:$Q,"="&amp;$B88,사진대지!$Z:$Z,"="&amp;D$4)</f>
        <v>0</v>
      </c>
      <c r="E88" s="67">
        <f>+SUMIFS(사진대지!$R:$R,사진대지!$Q:$Q,"="&amp;$B88,사진대지!$Z:$Z,"="&amp;E$4)</f>
        <v>0</v>
      </c>
      <c r="F88" s="67">
        <f>+SUMIFS(사진대지!$R:$R,사진대지!$Q:$Q,"="&amp;$B88,사진대지!$Z:$Z,"="&amp;F$4)</f>
        <v>0</v>
      </c>
      <c r="G88" s="67">
        <f>+SUMIFS(사진대지!$R:$R,사진대지!$Q:$Q,"="&amp;$B88,사진대지!$Z:$Z,"="&amp;G$4)</f>
        <v>0</v>
      </c>
      <c r="H88" s="67">
        <f>+SUMIFS(사진대지!$R:$R,사진대지!$Q:$Q,"="&amp;$B88,사진대지!$Z:$Z,"="&amp;H$4)</f>
        <v>0</v>
      </c>
      <c r="I88" s="67">
        <f>+SUMIFS(사진대지!$R:$R,사진대지!$Q:$Q,"="&amp;$B88,사진대지!$Z:$Z,"="&amp;I$4)</f>
        <v>0</v>
      </c>
      <c r="J88" s="67">
        <f>+SUMIFS(사진대지!$R:$R,사진대지!$Q:$Q,"="&amp;$B88,사진대지!$Z:$Z,"="&amp;J$4)</f>
        <v>0</v>
      </c>
      <c r="K88" s="67">
        <f>+SUMIFS(사진대지!$R:$R,사진대지!$Q:$Q,"="&amp;$B88,사진대지!$Z:$Z,"="&amp;K$4)</f>
        <v>0</v>
      </c>
      <c r="L88" s="67">
        <f>+SUMIFS(사진대지!$R:$R,사진대지!$Q:$Q,"="&amp;$B88,사진대지!$Z:$Z,"="&amp;L$4)</f>
        <v>0</v>
      </c>
      <c r="M88" s="67">
        <f>+SUMIFS(사진대지!$R:$R,사진대지!$Q:$Q,"="&amp;$B88,사진대지!$Z:$Z,"="&amp;M$4)</f>
        <v>0</v>
      </c>
      <c r="N88" s="67">
        <f>+SUMIFS(사진대지!$R:$R,사진대지!$Q:$Q,"="&amp;$B88,사진대지!$Z:$Z,"="&amp;N$4)</f>
        <v>0</v>
      </c>
      <c r="O88" s="67">
        <f>+SUMIFS(사진대지!$R:$R,사진대지!$Q:$Q,"="&amp;$B88,사진대지!$Z:$Z,"="&amp;O$4)</f>
        <v>0</v>
      </c>
      <c r="P88" s="67">
        <f>+SUMIFS(사진대지!$R:$R,사진대지!$Q:$Q,"="&amp;$B88,사진대지!$Z:$Z,"="&amp;P$4)</f>
        <v>0</v>
      </c>
      <c r="Q88" s="67">
        <f>+SUMIFS(사진대지!$R:$R,사진대지!$Q:$Q,"="&amp;$B88,사진대지!$Z:$Z,"="&amp;Q$4)</f>
        <v>0</v>
      </c>
      <c r="R88" s="67">
        <f>+SUMIFS(사진대지!$R:$R,사진대지!$Q:$Q,"="&amp;$B88,사진대지!$Z:$Z,"="&amp;R$4)</f>
        <v>0</v>
      </c>
      <c r="S88" s="67">
        <f>+SUMIFS(사진대지!$R:$R,사진대지!$Q:$Q,"="&amp;$B88,사진대지!$Z:$Z,"="&amp;S$4)</f>
        <v>0</v>
      </c>
      <c r="T88" s="67">
        <f>+SUMIFS(사진대지!$R:$R,사진대지!$Q:$Q,"="&amp;$B88,사진대지!$Z:$Z,"="&amp;T$4)</f>
        <v>0</v>
      </c>
      <c r="U88" s="67">
        <f>+SUMIFS(사진대지!$R:$R,사진대지!$Q:$Q,"="&amp;$B88,사진대지!$Z:$Z,"="&amp;U$4)</f>
        <v>0</v>
      </c>
      <c r="V88" s="70"/>
      <c r="W88" s="75" t="str">
        <f t="shared" si="18"/>
        <v>PVC벽체200</v>
      </c>
      <c r="X88" s="89">
        <f t="shared" si="19"/>
        <v>0</v>
      </c>
      <c r="Y88" s="68"/>
      <c r="Z88" s="68"/>
      <c r="AA88" s="76" t="str">
        <f t="shared" si="2"/>
        <v>PVC벽체200</v>
      </c>
      <c r="AB88" s="93">
        <f>누계!Q88+X88</f>
        <v>0</v>
      </c>
    </row>
    <row r="89" spans="1:28" ht="20.100000000000001" customHeight="1" x14ac:dyDescent="0.3">
      <c r="A89" s="3"/>
      <c r="B89" s="4" t="s">
        <v>106</v>
      </c>
      <c r="C89" s="66">
        <f>+SUMIFS(사진대지!$R:$R,사진대지!$Q:$Q,"="&amp;$B89,사진대지!$Z:$Z,"="&amp;C$4)</f>
        <v>0</v>
      </c>
      <c r="D89" s="66">
        <f>+SUMIFS(사진대지!$R:$R,사진대지!$Q:$Q,"="&amp;$B89,사진대지!$Z:$Z,"="&amp;D$4)</f>
        <v>0</v>
      </c>
      <c r="E89" s="67">
        <f>+SUMIFS(사진대지!$R:$R,사진대지!$Q:$Q,"="&amp;$B89,사진대지!$Z:$Z,"="&amp;E$4)</f>
        <v>0</v>
      </c>
      <c r="F89" s="67">
        <f>+SUMIFS(사진대지!$R:$R,사진대지!$Q:$Q,"="&amp;$B89,사진대지!$Z:$Z,"="&amp;F$4)</f>
        <v>0</v>
      </c>
      <c r="G89" s="67">
        <f>+SUMIFS(사진대지!$R:$R,사진대지!$Q:$Q,"="&amp;$B89,사진대지!$Z:$Z,"="&amp;G$4)</f>
        <v>0</v>
      </c>
      <c r="H89" s="67">
        <f>+SUMIFS(사진대지!$R:$R,사진대지!$Q:$Q,"="&amp;$B89,사진대지!$Z:$Z,"="&amp;H$4)</f>
        <v>0</v>
      </c>
      <c r="I89" s="67">
        <f>+SUMIFS(사진대지!$R:$R,사진대지!$Q:$Q,"="&amp;$B89,사진대지!$Z:$Z,"="&amp;I$4)</f>
        <v>0</v>
      </c>
      <c r="J89" s="67">
        <f>+SUMIFS(사진대지!$R:$R,사진대지!$Q:$Q,"="&amp;$B89,사진대지!$Z:$Z,"="&amp;J$4)</f>
        <v>0</v>
      </c>
      <c r="K89" s="67">
        <f>+SUMIFS(사진대지!$R:$R,사진대지!$Q:$Q,"="&amp;$B89,사진대지!$Z:$Z,"="&amp;K$4)</f>
        <v>0</v>
      </c>
      <c r="L89" s="67">
        <f>+SUMIFS(사진대지!$R:$R,사진대지!$Q:$Q,"="&amp;$B89,사진대지!$Z:$Z,"="&amp;L$4)</f>
        <v>0</v>
      </c>
      <c r="M89" s="67">
        <f>+SUMIFS(사진대지!$R:$R,사진대지!$Q:$Q,"="&amp;$B89,사진대지!$Z:$Z,"="&amp;M$4)</f>
        <v>0</v>
      </c>
      <c r="N89" s="67">
        <f>+SUMIFS(사진대지!$R:$R,사진대지!$Q:$Q,"="&amp;$B89,사진대지!$Z:$Z,"="&amp;N$4)</f>
        <v>0</v>
      </c>
      <c r="O89" s="67">
        <f>+SUMIFS(사진대지!$R:$R,사진대지!$Q:$Q,"="&amp;$B89,사진대지!$Z:$Z,"="&amp;O$4)</f>
        <v>0</v>
      </c>
      <c r="P89" s="67">
        <f>+SUMIFS(사진대지!$R:$R,사진대지!$Q:$Q,"="&amp;$B89,사진대지!$Z:$Z,"="&amp;P$4)</f>
        <v>0</v>
      </c>
      <c r="Q89" s="67">
        <f>+SUMIFS(사진대지!$R:$R,사진대지!$Q:$Q,"="&amp;$B89,사진대지!$Z:$Z,"="&amp;Q$4)</f>
        <v>0</v>
      </c>
      <c r="R89" s="67">
        <f>+SUMIFS(사진대지!$R:$R,사진대지!$Q:$Q,"="&amp;$B89,사진대지!$Z:$Z,"="&amp;R$4)</f>
        <v>0</v>
      </c>
      <c r="S89" s="67">
        <f>+SUMIFS(사진대지!$R:$R,사진대지!$Q:$Q,"="&amp;$B89,사진대지!$Z:$Z,"="&amp;S$4)</f>
        <v>0</v>
      </c>
      <c r="T89" s="67">
        <f>+SUMIFS(사진대지!$R:$R,사진대지!$Q:$Q,"="&amp;$B89,사진대지!$Z:$Z,"="&amp;T$4)</f>
        <v>0</v>
      </c>
      <c r="U89" s="67">
        <f>+SUMIFS(사진대지!$R:$R,사진대지!$Q:$Q,"="&amp;$B89,사진대지!$Z:$Z,"="&amp;U$4)</f>
        <v>0</v>
      </c>
      <c r="V89" s="70"/>
      <c r="W89" s="75" t="str">
        <f t="shared" si="18"/>
        <v>PVC벽체250</v>
      </c>
      <c r="X89" s="89">
        <f t="shared" si="19"/>
        <v>0</v>
      </c>
      <c r="Y89" s="68"/>
      <c r="Z89" s="68"/>
      <c r="AA89" s="76" t="str">
        <f t="shared" si="2"/>
        <v>PVC벽체250</v>
      </c>
      <c r="AB89" s="93">
        <f>누계!Q89+X89</f>
        <v>0</v>
      </c>
    </row>
    <row r="90" spans="1:28" ht="20.100000000000001" customHeight="1" x14ac:dyDescent="0.3">
      <c r="A90" s="3"/>
      <c r="B90" s="4" t="s">
        <v>107</v>
      </c>
      <c r="C90" s="66">
        <f>+SUMIFS(사진대지!$R:$R,사진대지!$Q:$Q,"="&amp;$B90,사진대지!$Z:$Z,"="&amp;C$4)</f>
        <v>0</v>
      </c>
      <c r="D90" s="66">
        <f>+SUMIFS(사진대지!$R:$R,사진대지!$Q:$Q,"="&amp;$B90,사진대지!$Z:$Z,"="&amp;D$4)</f>
        <v>0</v>
      </c>
      <c r="E90" s="67">
        <f>+SUMIFS(사진대지!$R:$R,사진대지!$Q:$Q,"="&amp;$B90,사진대지!$Z:$Z,"="&amp;E$4)</f>
        <v>0</v>
      </c>
      <c r="F90" s="67">
        <f>+SUMIFS(사진대지!$R:$R,사진대지!$Q:$Q,"="&amp;$B90,사진대지!$Z:$Z,"="&amp;F$4)</f>
        <v>0</v>
      </c>
      <c r="G90" s="67">
        <f>+SUMIFS(사진대지!$R:$R,사진대지!$Q:$Q,"="&amp;$B90,사진대지!$Z:$Z,"="&amp;G$4)</f>
        <v>0</v>
      </c>
      <c r="H90" s="67">
        <f>+SUMIFS(사진대지!$R:$R,사진대지!$Q:$Q,"="&amp;$B90,사진대지!$Z:$Z,"="&amp;H$4)</f>
        <v>0</v>
      </c>
      <c r="I90" s="67">
        <f>+SUMIFS(사진대지!$R:$R,사진대지!$Q:$Q,"="&amp;$B90,사진대지!$Z:$Z,"="&amp;I$4)</f>
        <v>0</v>
      </c>
      <c r="J90" s="67">
        <f>+SUMIFS(사진대지!$R:$R,사진대지!$Q:$Q,"="&amp;$B90,사진대지!$Z:$Z,"="&amp;J$4)</f>
        <v>0</v>
      </c>
      <c r="K90" s="67">
        <f>+SUMIFS(사진대지!$R:$R,사진대지!$Q:$Q,"="&amp;$B90,사진대지!$Z:$Z,"="&amp;K$4)</f>
        <v>0</v>
      </c>
      <c r="L90" s="67">
        <f>+SUMIFS(사진대지!$R:$R,사진대지!$Q:$Q,"="&amp;$B90,사진대지!$Z:$Z,"="&amp;L$4)</f>
        <v>0</v>
      </c>
      <c r="M90" s="67">
        <f>+SUMIFS(사진대지!$R:$R,사진대지!$Q:$Q,"="&amp;$B90,사진대지!$Z:$Z,"="&amp;M$4)</f>
        <v>0</v>
      </c>
      <c r="N90" s="67">
        <f>+SUMIFS(사진대지!$R:$R,사진대지!$Q:$Q,"="&amp;$B90,사진대지!$Z:$Z,"="&amp;N$4)</f>
        <v>0</v>
      </c>
      <c r="O90" s="67">
        <f>+SUMIFS(사진대지!$R:$R,사진대지!$Q:$Q,"="&amp;$B90,사진대지!$Z:$Z,"="&amp;O$4)</f>
        <v>0</v>
      </c>
      <c r="P90" s="67">
        <f>+SUMIFS(사진대지!$R:$R,사진대지!$Q:$Q,"="&amp;$B90,사진대지!$Z:$Z,"="&amp;P$4)</f>
        <v>0</v>
      </c>
      <c r="Q90" s="67">
        <f>+SUMIFS(사진대지!$R:$R,사진대지!$Q:$Q,"="&amp;$B90,사진대지!$Z:$Z,"="&amp;Q$4)</f>
        <v>0</v>
      </c>
      <c r="R90" s="67">
        <f>+SUMIFS(사진대지!$R:$R,사진대지!$Q:$Q,"="&amp;$B90,사진대지!$Z:$Z,"="&amp;R$4)</f>
        <v>0</v>
      </c>
      <c r="S90" s="67">
        <f>+SUMIFS(사진대지!$R:$R,사진대지!$Q:$Q,"="&amp;$B90,사진대지!$Z:$Z,"="&amp;S$4)</f>
        <v>0</v>
      </c>
      <c r="T90" s="67">
        <f>+SUMIFS(사진대지!$R:$R,사진대지!$Q:$Q,"="&amp;$B90,사진대지!$Z:$Z,"="&amp;T$4)</f>
        <v>0</v>
      </c>
      <c r="U90" s="67">
        <f>+SUMIFS(사진대지!$R:$R,사진대지!$Q:$Q,"="&amp;$B90,사진대지!$Z:$Z,"="&amp;U$4)</f>
        <v>0</v>
      </c>
      <c r="V90" s="70"/>
      <c r="W90" s="75" t="str">
        <f t="shared" si="18"/>
        <v>PVC벽체300</v>
      </c>
      <c r="X90" s="89">
        <f t="shared" si="19"/>
        <v>0</v>
      </c>
      <c r="Y90" s="68"/>
      <c r="Z90" s="68"/>
      <c r="AA90" s="76" t="str">
        <f t="shared" si="2"/>
        <v>PVC벽체300</v>
      </c>
      <c r="AB90" s="93">
        <f>누계!Q90+X90</f>
        <v>0</v>
      </c>
    </row>
    <row r="91" spans="1:28" ht="20.100000000000001" customHeight="1" x14ac:dyDescent="0.3">
      <c r="A91" s="3"/>
      <c r="B91" s="4" t="s">
        <v>108</v>
      </c>
      <c r="C91" s="66">
        <f>+SUMIFS(사진대지!$R:$R,사진대지!$Q:$Q,"="&amp;$B91,사진대지!$Z:$Z,"="&amp;C$4)</f>
        <v>0</v>
      </c>
      <c r="D91" s="66">
        <f>+SUMIFS(사진대지!$R:$R,사진대지!$Q:$Q,"="&amp;$B91,사진대지!$Z:$Z,"="&amp;D$4)</f>
        <v>0</v>
      </c>
      <c r="E91" s="67">
        <f>+SUMIFS(사진대지!$R:$R,사진대지!$Q:$Q,"="&amp;$B91,사진대지!$Z:$Z,"="&amp;E$4)</f>
        <v>0</v>
      </c>
      <c r="F91" s="67">
        <f>+SUMIFS(사진대지!$R:$R,사진대지!$Q:$Q,"="&amp;$B91,사진대지!$Z:$Z,"="&amp;F$4)</f>
        <v>0</v>
      </c>
      <c r="G91" s="67">
        <f>+SUMIFS(사진대지!$R:$R,사진대지!$Q:$Q,"="&amp;$B91,사진대지!$Z:$Z,"="&amp;G$4)</f>
        <v>0</v>
      </c>
      <c r="H91" s="67">
        <f>+SUMIFS(사진대지!$R:$R,사진대지!$Q:$Q,"="&amp;$B91,사진대지!$Z:$Z,"="&amp;H$4)</f>
        <v>0</v>
      </c>
      <c r="I91" s="67">
        <f>+SUMIFS(사진대지!$R:$R,사진대지!$Q:$Q,"="&amp;$B91,사진대지!$Z:$Z,"="&amp;I$4)</f>
        <v>0</v>
      </c>
      <c r="J91" s="67">
        <f>+SUMIFS(사진대지!$R:$R,사진대지!$Q:$Q,"="&amp;$B91,사진대지!$Z:$Z,"="&amp;J$4)</f>
        <v>0</v>
      </c>
      <c r="K91" s="67">
        <f>+SUMIFS(사진대지!$R:$R,사진대지!$Q:$Q,"="&amp;$B91,사진대지!$Z:$Z,"="&amp;K$4)</f>
        <v>0</v>
      </c>
      <c r="L91" s="67">
        <f>+SUMIFS(사진대지!$R:$R,사진대지!$Q:$Q,"="&amp;$B91,사진대지!$Z:$Z,"="&amp;L$4)</f>
        <v>0</v>
      </c>
      <c r="M91" s="67">
        <f>+SUMIFS(사진대지!$R:$R,사진대지!$Q:$Q,"="&amp;$B91,사진대지!$Z:$Z,"="&amp;M$4)</f>
        <v>0</v>
      </c>
      <c r="N91" s="67">
        <f>+SUMIFS(사진대지!$R:$R,사진대지!$Q:$Q,"="&amp;$B91,사진대지!$Z:$Z,"="&amp;N$4)</f>
        <v>0</v>
      </c>
      <c r="O91" s="67">
        <f>+SUMIFS(사진대지!$R:$R,사진대지!$Q:$Q,"="&amp;$B91,사진대지!$Z:$Z,"="&amp;O$4)</f>
        <v>0</v>
      </c>
      <c r="P91" s="67">
        <f>+SUMIFS(사진대지!$R:$R,사진대지!$Q:$Q,"="&amp;$B91,사진대지!$Z:$Z,"="&amp;P$4)</f>
        <v>0</v>
      </c>
      <c r="Q91" s="67">
        <f>+SUMIFS(사진대지!$R:$R,사진대지!$Q:$Q,"="&amp;$B91,사진대지!$Z:$Z,"="&amp;Q$4)</f>
        <v>0</v>
      </c>
      <c r="R91" s="67">
        <f>+SUMIFS(사진대지!$R:$R,사진대지!$Q:$Q,"="&amp;$B91,사진대지!$Z:$Z,"="&amp;R$4)</f>
        <v>0</v>
      </c>
      <c r="S91" s="67">
        <f>+SUMIFS(사진대지!$R:$R,사진대지!$Q:$Q,"="&amp;$B91,사진대지!$Z:$Z,"="&amp;S$4)</f>
        <v>0</v>
      </c>
      <c r="T91" s="67">
        <f>+SUMIFS(사진대지!$R:$R,사진대지!$Q:$Q,"="&amp;$B91,사진대지!$Z:$Z,"="&amp;T$4)</f>
        <v>0</v>
      </c>
      <c r="U91" s="67">
        <f>+SUMIFS(사진대지!$R:$R,사진대지!$Q:$Q,"="&amp;$B91,사진대지!$Z:$Z,"="&amp;U$4)</f>
        <v>0</v>
      </c>
      <c r="V91" s="70"/>
      <c r="W91" s="75" t="str">
        <f t="shared" ref="W91" si="35">B91</f>
        <v>PVC벽체350</v>
      </c>
      <c r="X91" s="89">
        <f t="shared" ref="X91" si="36">+SUM(C91:U91)</f>
        <v>0</v>
      </c>
      <c r="Y91" s="68"/>
      <c r="Z91" s="68"/>
      <c r="AA91" s="76" t="str">
        <f t="shared" ref="AA91" si="37">W91</f>
        <v>PVC벽체350</v>
      </c>
      <c r="AB91" s="93">
        <f>누계!Q91+X91</f>
        <v>0</v>
      </c>
    </row>
    <row r="92" spans="1:28" ht="20.100000000000001" customHeight="1" x14ac:dyDescent="0.3">
      <c r="A92" s="3"/>
      <c r="B92" s="4" t="s">
        <v>84</v>
      </c>
      <c r="C92" s="66">
        <f>+SUMIFS(사진대지!$R:$R,사진대지!$Q:$Q,"="&amp;$B92,사진대지!$Z:$Z,"="&amp;C$4)</f>
        <v>0</v>
      </c>
      <c r="D92" s="66">
        <f>+SUMIFS(사진대지!$R:$R,사진대지!$Q:$Q,"="&amp;$B92,사진대지!$Z:$Z,"="&amp;D$4)</f>
        <v>0</v>
      </c>
      <c r="E92" s="67">
        <f>+SUMIFS(사진대지!$R:$R,사진대지!$Q:$Q,"="&amp;$B92,사진대지!$Z:$Z,"="&amp;E$4)</f>
        <v>0</v>
      </c>
      <c r="F92" s="67">
        <f>+SUMIFS(사진대지!$R:$R,사진대지!$Q:$Q,"="&amp;$B92,사진대지!$Z:$Z,"="&amp;F$4)</f>
        <v>0</v>
      </c>
      <c r="G92" s="67">
        <f>+SUMIFS(사진대지!$R:$R,사진대지!$Q:$Q,"="&amp;$B92,사진대지!$Z:$Z,"="&amp;G$4)</f>
        <v>0</v>
      </c>
      <c r="H92" s="67">
        <f>+SUMIFS(사진대지!$R:$R,사진대지!$Q:$Q,"="&amp;$B92,사진대지!$Z:$Z,"="&amp;H$4)</f>
        <v>0</v>
      </c>
      <c r="I92" s="67">
        <f>+SUMIFS(사진대지!$R:$R,사진대지!$Q:$Q,"="&amp;$B92,사진대지!$Z:$Z,"="&amp;I$4)</f>
        <v>0</v>
      </c>
      <c r="J92" s="67">
        <f>+SUMIFS(사진대지!$R:$R,사진대지!$Q:$Q,"="&amp;$B92,사진대지!$Z:$Z,"="&amp;J$4)</f>
        <v>0</v>
      </c>
      <c r="K92" s="67">
        <f>+SUMIFS(사진대지!$R:$R,사진대지!$Q:$Q,"="&amp;$B92,사진대지!$Z:$Z,"="&amp;K$4)</f>
        <v>0</v>
      </c>
      <c r="L92" s="67">
        <f>+SUMIFS(사진대지!$R:$R,사진대지!$Q:$Q,"="&amp;$B92,사진대지!$Z:$Z,"="&amp;L$4)</f>
        <v>0</v>
      </c>
      <c r="M92" s="67">
        <f>+SUMIFS(사진대지!$R:$R,사진대지!$Q:$Q,"="&amp;$B92,사진대지!$Z:$Z,"="&amp;M$4)</f>
        <v>0</v>
      </c>
      <c r="N92" s="67">
        <f>+SUMIFS(사진대지!$R:$R,사진대지!$Q:$Q,"="&amp;$B92,사진대지!$Z:$Z,"="&amp;N$4)</f>
        <v>0</v>
      </c>
      <c r="O92" s="67">
        <f>+SUMIFS(사진대지!$R:$R,사진대지!$Q:$Q,"="&amp;$B92,사진대지!$Z:$Z,"="&amp;O$4)</f>
        <v>0</v>
      </c>
      <c r="P92" s="67">
        <f>+SUMIFS(사진대지!$R:$R,사진대지!$Q:$Q,"="&amp;$B92,사진대지!$Z:$Z,"="&amp;P$4)</f>
        <v>0</v>
      </c>
      <c r="Q92" s="67">
        <f>+SUMIFS(사진대지!$R:$R,사진대지!$Q:$Q,"="&amp;$B92,사진대지!$Z:$Z,"="&amp;Q$4)</f>
        <v>0</v>
      </c>
      <c r="R92" s="67">
        <f>+SUMIFS(사진대지!$R:$R,사진대지!$Q:$Q,"="&amp;$B92,사진대지!$Z:$Z,"="&amp;R$4)</f>
        <v>0</v>
      </c>
      <c r="S92" s="67">
        <f>+SUMIFS(사진대지!$R:$R,사진대지!$Q:$Q,"="&amp;$B92,사진대지!$Z:$Z,"="&amp;S$4)</f>
        <v>0</v>
      </c>
      <c r="T92" s="67">
        <f>+SUMIFS(사진대지!$R:$R,사진대지!$Q:$Q,"="&amp;$B92,사진대지!$Z:$Z,"="&amp;T$4)</f>
        <v>0</v>
      </c>
      <c r="U92" s="67">
        <f>+SUMIFS(사진대지!$R:$R,사진대지!$Q:$Q,"="&amp;$B92,사진대지!$Z:$Z,"="&amp;U$4)</f>
        <v>0</v>
      </c>
      <c r="V92" s="70"/>
      <c r="W92" s="75" t="str">
        <f t="shared" si="18"/>
        <v>PVC벽체400</v>
      </c>
      <c r="X92" s="89">
        <f t="shared" si="19"/>
        <v>0</v>
      </c>
      <c r="Y92" s="68"/>
      <c r="Z92" s="68"/>
      <c r="AA92" s="76" t="str">
        <f t="shared" si="2"/>
        <v>PVC벽체400</v>
      </c>
      <c r="AB92" s="93">
        <f>누계!Q92+X92</f>
        <v>0</v>
      </c>
    </row>
    <row r="93" spans="1:28" ht="20.100000000000001" customHeight="1" x14ac:dyDescent="0.3">
      <c r="A93" s="3"/>
      <c r="B93" s="134" t="s">
        <v>133</v>
      </c>
      <c r="C93" s="115">
        <f>+SUMIFS(사진대지!$R:$R,사진대지!$Q:$Q,"="&amp;$B93,사진대지!$Z:$Z,"="&amp;C$4)</f>
        <v>0</v>
      </c>
      <c r="D93" s="115">
        <f>+SUMIFS(사진대지!$R:$R,사진대지!$Q:$Q,"="&amp;$B93,사진대지!$Z:$Z,"="&amp;D$4)</f>
        <v>0</v>
      </c>
      <c r="E93" s="116">
        <f>+SUMIFS(사진대지!$R:$R,사진대지!$Q:$Q,"="&amp;$B93,사진대지!$Z:$Z,"="&amp;E$4)</f>
        <v>0</v>
      </c>
      <c r="F93" s="116">
        <f>+SUMIFS(사진대지!$R:$R,사진대지!$Q:$Q,"="&amp;$B93,사진대지!$Z:$Z,"="&amp;F$4)</f>
        <v>0</v>
      </c>
      <c r="G93" s="116">
        <f>+SUMIFS(사진대지!$R:$R,사진대지!$Q:$Q,"="&amp;$B93,사진대지!$Z:$Z,"="&amp;G$4)</f>
        <v>0</v>
      </c>
      <c r="H93" s="116">
        <f>+SUMIFS(사진대지!$R:$R,사진대지!$Q:$Q,"="&amp;$B93,사진대지!$Z:$Z,"="&amp;H$4)</f>
        <v>0</v>
      </c>
      <c r="I93" s="116">
        <f>+SUMIFS(사진대지!$R:$R,사진대지!$Q:$Q,"="&amp;$B93,사진대지!$Z:$Z,"="&amp;I$4)</f>
        <v>0</v>
      </c>
      <c r="J93" s="116">
        <f>+SUMIFS(사진대지!$R:$R,사진대지!$Q:$Q,"="&amp;$B93,사진대지!$Z:$Z,"="&amp;J$4)</f>
        <v>0</v>
      </c>
      <c r="K93" s="116">
        <f>+SUMIFS(사진대지!$R:$R,사진대지!$Q:$Q,"="&amp;$B93,사진대지!$Z:$Z,"="&amp;K$4)</f>
        <v>0</v>
      </c>
      <c r="L93" s="116">
        <f>+SUMIFS(사진대지!$R:$R,사진대지!$Q:$Q,"="&amp;$B93,사진대지!$Z:$Z,"="&amp;L$4)</f>
        <v>0</v>
      </c>
      <c r="M93" s="116">
        <f>+SUMIFS(사진대지!$R:$R,사진대지!$Q:$Q,"="&amp;$B93,사진대지!$Z:$Z,"="&amp;M$4)</f>
        <v>0</v>
      </c>
      <c r="N93" s="116">
        <f>+SUMIFS(사진대지!$R:$R,사진대지!$Q:$Q,"="&amp;$B93,사진대지!$Z:$Z,"="&amp;N$4)</f>
        <v>0</v>
      </c>
      <c r="O93" s="116">
        <f>+SUMIFS(사진대지!$R:$R,사진대지!$Q:$Q,"="&amp;$B93,사진대지!$Z:$Z,"="&amp;O$4)</f>
        <v>0</v>
      </c>
      <c r="P93" s="116">
        <f>+SUMIFS(사진대지!$R:$R,사진대지!$Q:$Q,"="&amp;$B93,사진대지!$Z:$Z,"="&amp;P$4)</f>
        <v>0</v>
      </c>
      <c r="Q93" s="116">
        <f>+SUMIFS(사진대지!$R:$R,사진대지!$Q:$Q,"="&amp;$B93,사진대지!$Z:$Z,"="&amp;Q$4)</f>
        <v>0</v>
      </c>
      <c r="R93" s="116">
        <f>+SUMIFS(사진대지!$R:$R,사진대지!$Q:$Q,"="&amp;$B93,사진대지!$Z:$Z,"="&amp;R$4)</f>
        <v>0</v>
      </c>
      <c r="S93" s="116">
        <f>+SUMIFS(사진대지!$R:$R,사진대지!$Q:$Q,"="&amp;$B93,사진대지!$Z:$Z,"="&amp;S$4)</f>
        <v>0</v>
      </c>
      <c r="T93" s="116">
        <f>+SUMIFS(사진대지!$R:$R,사진대지!$Q:$Q,"="&amp;$B93,사진대지!$Z:$Z,"="&amp;T$4)</f>
        <v>0</v>
      </c>
      <c r="U93" s="116">
        <f>+SUMIFS(사진대지!$R:$R,사진대지!$Q:$Q,"="&amp;$B93,사진대지!$Z:$Z,"="&amp;U$4)</f>
        <v>0</v>
      </c>
      <c r="V93" s="70"/>
      <c r="W93" s="117" t="str">
        <f t="shared" si="18"/>
        <v>대구경추가차열입상</v>
      </c>
      <c r="X93" s="118">
        <f t="shared" si="19"/>
        <v>0</v>
      </c>
      <c r="Y93" s="68"/>
      <c r="Z93" s="68"/>
      <c r="AA93" s="119" t="str">
        <f t="shared" si="2"/>
        <v>대구경추가차열입상</v>
      </c>
      <c r="AB93" s="120">
        <f>누계!Q93+X93</f>
        <v>0</v>
      </c>
    </row>
    <row r="94" spans="1:28" ht="20.100000000000001" customHeight="1" x14ac:dyDescent="0.3">
      <c r="A94" s="3"/>
      <c r="B94" s="134" t="s">
        <v>134</v>
      </c>
      <c r="C94" s="115">
        <f>+SUMIFS(사진대지!$R:$R,사진대지!$Q:$Q,"="&amp;$B94,사진대지!$Z:$Z,"="&amp;C$4)</f>
        <v>0</v>
      </c>
      <c r="D94" s="115">
        <f>+SUMIFS(사진대지!$R:$R,사진대지!$Q:$Q,"="&amp;$B94,사진대지!$Z:$Z,"="&amp;D$4)</f>
        <v>0</v>
      </c>
      <c r="E94" s="116">
        <f>+SUMIFS(사진대지!$R:$R,사진대지!$Q:$Q,"="&amp;$B94,사진대지!$Z:$Z,"="&amp;E$4)</f>
        <v>0</v>
      </c>
      <c r="F94" s="116">
        <f>+SUMIFS(사진대지!$R:$R,사진대지!$Q:$Q,"="&amp;$B94,사진대지!$Z:$Z,"="&amp;F$4)</f>
        <v>0</v>
      </c>
      <c r="G94" s="116">
        <f>+SUMIFS(사진대지!$R:$R,사진대지!$Q:$Q,"="&amp;$B94,사진대지!$Z:$Z,"="&amp;G$4)</f>
        <v>0</v>
      </c>
      <c r="H94" s="116">
        <f>+SUMIFS(사진대지!$R:$R,사진대지!$Q:$Q,"="&amp;$B94,사진대지!$Z:$Z,"="&amp;H$4)</f>
        <v>0</v>
      </c>
      <c r="I94" s="116">
        <f>+SUMIFS(사진대지!$R:$R,사진대지!$Q:$Q,"="&amp;$B94,사진대지!$Z:$Z,"="&amp;I$4)</f>
        <v>0</v>
      </c>
      <c r="J94" s="116">
        <f>+SUMIFS(사진대지!$R:$R,사진대지!$Q:$Q,"="&amp;$B94,사진대지!$Z:$Z,"="&amp;J$4)</f>
        <v>0</v>
      </c>
      <c r="K94" s="116">
        <f>+SUMIFS(사진대지!$R:$R,사진대지!$Q:$Q,"="&amp;$B94,사진대지!$Z:$Z,"="&amp;K$4)</f>
        <v>0</v>
      </c>
      <c r="L94" s="116">
        <f>+SUMIFS(사진대지!$R:$R,사진대지!$Q:$Q,"="&amp;$B94,사진대지!$Z:$Z,"="&amp;L$4)</f>
        <v>0</v>
      </c>
      <c r="M94" s="116">
        <f>+SUMIFS(사진대지!$R:$R,사진대지!$Q:$Q,"="&amp;$B94,사진대지!$Z:$Z,"="&amp;M$4)</f>
        <v>0</v>
      </c>
      <c r="N94" s="116">
        <f>+SUMIFS(사진대지!$R:$R,사진대지!$Q:$Q,"="&amp;$B94,사진대지!$Z:$Z,"="&amp;N$4)</f>
        <v>0</v>
      </c>
      <c r="O94" s="116">
        <f>+SUMIFS(사진대지!$R:$R,사진대지!$Q:$Q,"="&amp;$B94,사진대지!$Z:$Z,"="&amp;O$4)</f>
        <v>0</v>
      </c>
      <c r="P94" s="116">
        <f>+SUMIFS(사진대지!$R:$R,사진대지!$Q:$Q,"="&amp;$B94,사진대지!$Z:$Z,"="&amp;P$4)</f>
        <v>0</v>
      </c>
      <c r="Q94" s="116">
        <f>+SUMIFS(사진대지!$R:$R,사진대지!$Q:$Q,"="&amp;$B94,사진대지!$Z:$Z,"="&amp;Q$4)</f>
        <v>0</v>
      </c>
      <c r="R94" s="116">
        <f>+SUMIFS(사진대지!$R:$R,사진대지!$Q:$Q,"="&amp;$B94,사진대지!$Z:$Z,"="&amp;R$4)</f>
        <v>0</v>
      </c>
      <c r="S94" s="116">
        <f>+SUMIFS(사진대지!$R:$R,사진대지!$Q:$Q,"="&amp;$B94,사진대지!$Z:$Z,"="&amp;S$4)</f>
        <v>0</v>
      </c>
      <c r="T94" s="116">
        <f>+SUMIFS(사진대지!$R:$R,사진대지!$Q:$Q,"="&amp;$B94,사진대지!$Z:$Z,"="&amp;T$4)</f>
        <v>0</v>
      </c>
      <c r="U94" s="116">
        <f>+SUMIFS(사진대지!$R:$R,사진대지!$Q:$Q,"="&amp;$B94,사진대지!$Z:$Z,"="&amp;U$4)</f>
        <v>0</v>
      </c>
      <c r="V94" s="70"/>
      <c r="W94" s="117" t="str">
        <f t="shared" ref="W94:W96" si="38">B94</f>
        <v>대구경추가차열벽체</v>
      </c>
      <c r="X94" s="118">
        <f t="shared" ref="X94:X96" si="39">+SUM(C94:U94)</f>
        <v>0</v>
      </c>
      <c r="Y94" s="68"/>
      <c r="Z94" s="68"/>
      <c r="AA94" s="119" t="str">
        <f t="shared" ref="AA94:AA96" si="40">W94</f>
        <v>대구경추가차열벽체</v>
      </c>
      <c r="AB94" s="120">
        <f>누계!Q94+X94</f>
        <v>0</v>
      </c>
    </row>
    <row r="95" spans="1:28" ht="20.100000000000001" customHeight="1" x14ac:dyDescent="0.3">
      <c r="A95" s="3"/>
      <c r="B95" s="134" t="s">
        <v>135</v>
      </c>
      <c r="C95" s="66">
        <f>+SUMIFS(사진대지!$R:$R,사진대지!$Q:$Q,"="&amp;$B95,사진대지!$Z:$Z,"="&amp;C$4)</f>
        <v>0</v>
      </c>
      <c r="D95" s="66">
        <f>+SUMIFS(사진대지!$R:$R,사진대지!$Q:$Q,"="&amp;$B95,사진대지!$Z:$Z,"="&amp;D$4)</f>
        <v>0</v>
      </c>
      <c r="E95" s="67">
        <f>+SUMIFS(사진대지!$R:$R,사진대지!$Q:$Q,"="&amp;$B95,사진대지!$Z:$Z,"="&amp;E$4)</f>
        <v>0</v>
      </c>
      <c r="F95" s="67">
        <f>+SUMIFS(사진대지!$R:$R,사진대지!$Q:$Q,"="&amp;$B95,사진대지!$Z:$Z,"="&amp;F$4)</f>
        <v>0</v>
      </c>
      <c r="G95" s="67">
        <f>+SUMIFS(사진대지!$R:$R,사진대지!$Q:$Q,"="&amp;$B95,사진대지!$Z:$Z,"="&amp;G$4)</f>
        <v>0</v>
      </c>
      <c r="H95" s="67">
        <f>+SUMIFS(사진대지!$R:$R,사진대지!$Q:$Q,"="&amp;$B95,사진대지!$Z:$Z,"="&amp;H$4)</f>
        <v>0</v>
      </c>
      <c r="I95" s="67">
        <f>+SUMIFS(사진대지!$R:$R,사진대지!$Q:$Q,"="&amp;$B95,사진대지!$Z:$Z,"="&amp;I$4)</f>
        <v>0</v>
      </c>
      <c r="J95" s="67">
        <f>+SUMIFS(사진대지!$R:$R,사진대지!$Q:$Q,"="&amp;$B95,사진대지!$Z:$Z,"="&amp;J$4)</f>
        <v>0</v>
      </c>
      <c r="K95" s="67">
        <f>+SUMIFS(사진대지!$R:$R,사진대지!$Q:$Q,"="&amp;$B95,사진대지!$Z:$Z,"="&amp;K$4)</f>
        <v>0</v>
      </c>
      <c r="L95" s="67">
        <f>+SUMIFS(사진대지!$R:$R,사진대지!$Q:$Q,"="&amp;$B95,사진대지!$Z:$Z,"="&amp;L$4)</f>
        <v>0</v>
      </c>
      <c r="M95" s="67">
        <f>+SUMIFS(사진대지!$R:$R,사진대지!$Q:$Q,"="&amp;$B95,사진대지!$Z:$Z,"="&amp;M$4)</f>
        <v>0</v>
      </c>
      <c r="N95" s="67">
        <f>+SUMIFS(사진대지!$R:$R,사진대지!$Q:$Q,"="&amp;$B95,사진대지!$Z:$Z,"="&amp;N$4)</f>
        <v>0</v>
      </c>
      <c r="O95" s="67">
        <f>+SUMIFS(사진대지!$R:$R,사진대지!$Q:$Q,"="&amp;$B95,사진대지!$Z:$Z,"="&amp;O$4)</f>
        <v>0</v>
      </c>
      <c r="P95" s="67">
        <f>+SUMIFS(사진대지!$R:$R,사진대지!$Q:$Q,"="&amp;$B95,사진대지!$Z:$Z,"="&amp;P$4)</f>
        <v>0</v>
      </c>
      <c r="Q95" s="67">
        <f>+SUMIFS(사진대지!$R:$R,사진대지!$Q:$Q,"="&amp;$B95,사진대지!$Z:$Z,"="&amp;Q$4)</f>
        <v>0</v>
      </c>
      <c r="R95" s="67">
        <f>+SUMIFS(사진대지!$R:$R,사진대지!$Q:$Q,"="&amp;$B95,사진대지!$Z:$Z,"="&amp;R$4)</f>
        <v>0</v>
      </c>
      <c r="S95" s="67">
        <f>+SUMIFS(사진대지!$R:$R,사진대지!$Q:$Q,"="&amp;$B95,사진대지!$Z:$Z,"="&amp;S$4)</f>
        <v>0</v>
      </c>
      <c r="T95" s="67">
        <f>+SUMIFS(사진대지!$R:$R,사진대지!$Q:$Q,"="&amp;$B95,사진대지!$Z:$Z,"="&amp;T$4)</f>
        <v>0</v>
      </c>
      <c r="U95" s="67">
        <f>+SUMIFS(사진대지!$R:$R,사진대지!$Q:$Q,"="&amp;$B95,사진대지!$Z:$Z,"="&amp;U$4)</f>
        <v>0</v>
      </c>
      <c r="V95" s="70"/>
      <c r="W95" s="75" t="str">
        <f t="shared" ref="W95" si="41">B95</f>
        <v>실란트마감입상</v>
      </c>
      <c r="X95" s="89">
        <f t="shared" ref="X95" si="42">+SUM(C95:U95)</f>
        <v>0</v>
      </c>
      <c r="Y95" s="68"/>
      <c r="Z95" s="68"/>
      <c r="AA95" s="76" t="str">
        <f t="shared" ref="AA95" si="43">W95</f>
        <v>실란트마감입상</v>
      </c>
      <c r="AB95" s="93">
        <f>누계!Q95+X95</f>
        <v>0</v>
      </c>
    </row>
    <row r="96" spans="1:28" ht="20.100000000000001" customHeight="1" x14ac:dyDescent="0.3">
      <c r="A96" s="3"/>
      <c r="B96" s="134" t="s">
        <v>136</v>
      </c>
      <c r="C96" s="66">
        <f>+SUMIFS(사진대지!$R:$R,사진대지!$Q:$Q,"="&amp;$B96,사진대지!$Z:$Z,"="&amp;C$4)</f>
        <v>0</v>
      </c>
      <c r="D96" s="66">
        <f>+SUMIFS(사진대지!$R:$R,사진대지!$Q:$Q,"="&amp;$B96,사진대지!$Z:$Z,"="&amp;D$4)</f>
        <v>0</v>
      </c>
      <c r="E96" s="67">
        <f>+SUMIFS(사진대지!$R:$R,사진대지!$Q:$Q,"="&amp;$B96,사진대지!$Z:$Z,"="&amp;E$4)</f>
        <v>0</v>
      </c>
      <c r="F96" s="67">
        <f>+SUMIFS(사진대지!$R:$R,사진대지!$Q:$Q,"="&amp;$B96,사진대지!$Z:$Z,"="&amp;F$4)</f>
        <v>0</v>
      </c>
      <c r="G96" s="67">
        <f>+SUMIFS(사진대지!$R:$R,사진대지!$Q:$Q,"="&amp;$B96,사진대지!$Z:$Z,"="&amp;G$4)</f>
        <v>0</v>
      </c>
      <c r="H96" s="67">
        <f>+SUMIFS(사진대지!$R:$R,사진대지!$Q:$Q,"="&amp;$B96,사진대지!$Z:$Z,"="&amp;H$4)</f>
        <v>0</v>
      </c>
      <c r="I96" s="67">
        <f>+SUMIFS(사진대지!$R:$R,사진대지!$Q:$Q,"="&amp;$B96,사진대지!$Z:$Z,"="&amp;I$4)</f>
        <v>0</v>
      </c>
      <c r="J96" s="67">
        <f>+SUMIFS(사진대지!$R:$R,사진대지!$Q:$Q,"="&amp;$B96,사진대지!$Z:$Z,"="&amp;J$4)</f>
        <v>0</v>
      </c>
      <c r="K96" s="67">
        <f>+SUMIFS(사진대지!$R:$R,사진대지!$Q:$Q,"="&amp;$B96,사진대지!$Z:$Z,"="&amp;K$4)</f>
        <v>0</v>
      </c>
      <c r="L96" s="67">
        <f>+SUMIFS(사진대지!$R:$R,사진대지!$Q:$Q,"="&amp;$B96,사진대지!$Z:$Z,"="&amp;L$4)</f>
        <v>0</v>
      </c>
      <c r="M96" s="67">
        <f>+SUMIFS(사진대지!$R:$R,사진대지!$Q:$Q,"="&amp;$B96,사진대지!$Z:$Z,"="&amp;M$4)</f>
        <v>0</v>
      </c>
      <c r="N96" s="67">
        <f>+SUMIFS(사진대지!$R:$R,사진대지!$Q:$Q,"="&amp;$B96,사진대지!$Z:$Z,"="&amp;N$4)</f>
        <v>0</v>
      </c>
      <c r="O96" s="67">
        <f>+SUMIFS(사진대지!$R:$R,사진대지!$Q:$Q,"="&amp;$B96,사진대지!$Z:$Z,"="&amp;O$4)</f>
        <v>0</v>
      </c>
      <c r="P96" s="67">
        <f>+SUMIFS(사진대지!$R:$R,사진대지!$Q:$Q,"="&amp;$B96,사진대지!$Z:$Z,"="&amp;P$4)</f>
        <v>0</v>
      </c>
      <c r="Q96" s="67">
        <f>+SUMIFS(사진대지!$R:$R,사진대지!$Q:$Q,"="&amp;$B96,사진대지!$Z:$Z,"="&amp;Q$4)</f>
        <v>0</v>
      </c>
      <c r="R96" s="67">
        <f>+SUMIFS(사진대지!$R:$R,사진대지!$Q:$Q,"="&amp;$B96,사진대지!$Z:$Z,"="&amp;R$4)</f>
        <v>0</v>
      </c>
      <c r="S96" s="67">
        <f>+SUMIFS(사진대지!$R:$R,사진대지!$Q:$Q,"="&amp;$B96,사진대지!$Z:$Z,"="&amp;S$4)</f>
        <v>0</v>
      </c>
      <c r="T96" s="67">
        <f>+SUMIFS(사진대지!$R:$R,사진대지!$Q:$Q,"="&amp;$B96,사진대지!$Z:$Z,"="&amp;T$4)</f>
        <v>0</v>
      </c>
      <c r="U96" s="67">
        <f>+SUMIFS(사진대지!$R:$R,사진대지!$Q:$Q,"="&amp;$B96,사진대지!$Z:$Z,"="&amp;U$4)</f>
        <v>0</v>
      </c>
      <c r="V96" s="70"/>
      <c r="W96" s="75" t="str">
        <f t="shared" si="38"/>
        <v>실란트마감벽체</v>
      </c>
      <c r="X96" s="89">
        <f t="shared" si="39"/>
        <v>0</v>
      </c>
      <c r="Y96" s="68"/>
      <c r="Z96" s="68"/>
      <c r="AA96" s="76" t="str">
        <f t="shared" si="40"/>
        <v>실란트마감벽체</v>
      </c>
      <c r="AB96" s="93">
        <f>누계!Q96+X96</f>
        <v>0</v>
      </c>
    </row>
    <row r="97" spans="1:28" ht="20.100000000000001" customHeight="1" x14ac:dyDescent="0.3">
      <c r="A97" s="3"/>
      <c r="B97" s="4" t="s">
        <v>117</v>
      </c>
      <c r="C97" s="66">
        <f>+SUMIFS(사진대지!$R:$R,사진대지!$Q:$Q,"="&amp;$B97,사진대지!$Z:$Z,"="&amp;C$4)</f>
        <v>0</v>
      </c>
      <c r="D97" s="66">
        <f>+SUMIFS(사진대지!$R:$R,사진대지!$Q:$Q,"="&amp;$B97,사진대지!$Z:$Z,"="&amp;D$4)</f>
        <v>0</v>
      </c>
      <c r="E97" s="67">
        <f>+SUMIFS(사진대지!$R:$R,사진대지!$Q:$Q,"="&amp;$B97,사진대지!$Z:$Z,"="&amp;E$4)</f>
        <v>0</v>
      </c>
      <c r="F97" s="67">
        <f>+SUMIFS(사진대지!$R:$R,사진대지!$Q:$Q,"="&amp;$B97,사진대지!$Z:$Z,"="&amp;F$4)</f>
        <v>0</v>
      </c>
      <c r="G97" s="67">
        <f>+SUMIFS(사진대지!$R:$R,사진대지!$Q:$Q,"="&amp;$B97,사진대지!$Z:$Z,"="&amp;G$4)</f>
        <v>0</v>
      </c>
      <c r="H97" s="67">
        <f>+SUMIFS(사진대지!$R:$R,사진대지!$Q:$Q,"="&amp;$B97,사진대지!$Z:$Z,"="&amp;H$4)</f>
        <v>0</v>
      </c>
      <c r="I97" s="67">
        <f>+SUMIFS(사진대지!$R:$R,사진대지!$Q:$Q,"="&amp;$B97,사진대지!$Z:$Z,"="&amp;I$4)</f>
        <v>0</v>
      </c>
      <c r="J97" s="67">
        <f>+SUMIFS(사진대지!$R:$R,사진대지!$Q:$Q,"="&amp;$B97,사진대지!$Z:$Z,"="&amp;J$4)</f>
        <v>0</v>
      </c>
      <c r="K97" s="67">
        <f>+SUMIFS(사진대지!$R:$R,사진대지!$Q:$Q,"="&amp;$B97,사진대지!$Z:$Z,"="&amp;K$4)</f>
        <v>0</v>
      </c>
      <c r="L97" s="67">
        <f>+SUMIFS(사진대지!$R:$R,사진대지!$Q:$Q,"="&amp;$B97,사진대지!$Z:$Z,"="&amp;L$4)</f>
        <v>0</v>
      </c>
      <c r="M97" s="67">
        <f>+SUMIFS(사진대지!$R:$R,사진대지!$Q:$Q,"="&amp;$B97,사진대지!$Z:$Z,"="&amp;M$4)</f>
        <v>0</v>
      </c>
      <c r="N97" s="67">
        <f>+SUMIFS(사진대지!$R:$R,사진대지!$Q:$Q,"="&amp;$B97,사진대지!$Z:$Z,"="&amp;N$4)</f>
        <v>0</v>
      </c>
      <c r="O97" s="67">
        <f>+SUMIFS(사진대지!$R:$R,사진대지!$Q:$Q,"="&amp;$B97,사진대지!$Z:$Z,"="&amp;O$4)</f>
        <v>0</v>
      </c>
      <c r="P97" s="67">
        <f>+SUMIFS(사진대지!$R:$R,사진대지!$Q:$Q,"="&amp;$B97,사진대지!$Z:$Z,"="&amp;P$4)</f>
        <v>0</v>
      </c>
      <c r="Q97" s="67">
        <f>+SUMIFS(사진대지!$R:$R,사진대지!$Q:$Q,"="&amp;$B97,사진대지!$Z:$Z,"="&amp;Q$4)</f>
        <v>0</v>
      </c>
      <c r="R97" s="67">
        <f>+SUMIFS(사진대지!$R:$R,사진대지!$Q:$Q,"="&amp;$B97,사진대지!$Z:$Z,"="&amp;R$4)</f>
        <v>0</v>
      </c>
      <c r="S97" s="67">
        <f>+SUMIFS(사진대지!$R:$R,사진대지!$Q:$Q,"="&amp;$B97,사진대지!$Z:$Z,"="&amp;S$4)</f>
        <v>0</v>
      </c>
      <c r="T97" s="67">
        <f>+SUMIFS(사진대지!$R:$R,사진대지!$Q:$Q,"="&amp;$B97,사진대지!$Z:$Z,"="&amp;T$4)</f>
        <v>0</v>
      </c>
      <c r="U97" s="67">
        <f>+SUMIFS(사진대지!$R:$R,사진대지!$Q:$Q,"="&amp;$B97,사진대지!$Z:$Z,"="&amp;U$4)</f>
        <v>0</v>
      </c>
      <c r="V97" s="70"/>
      <c r="W97" s="75" t="str">
        <f t="shared" si="18"/>
        <v>슬리브</v>
      </c>
      <c r="X97" s="89">
        <f t="shared" si="19"/>
        <v>0</v>
      </c>
      <c r="Y97" s="68"/>
      <c r="Z97" s="68"/>
      <c r="AA97" s="76" t="str">
        <f t="shared" si="2"/>
        <v>슬리브</v>
      </c>
      <c r="AB97" s="93">
        <f>누계!Q97+X97</f>
        <v>0</v>
      </c>
    </row>
    <row r="98" spans="1:28" ht="20.100000000000001" customHeight="1" x14ac:dyDescent="0.3">
      <c r="A98" s="194" t="s">
        <v>64</v>
      </c>
      <c r="B98" s="134" t="s">
        <v>114</v>
      </c>
      <c r="C98" s="64">
        <f>+SUMIFS(사진대지!$X:$X,사진대지!$T:$T,"="&amp;$B98,사진대지!$Z:$Z,"="&amp;C$4)</f>
        <v>0</v>
      </c>
      <c r="D98" s="64">
        <f>+SUMIFS(사진대지!$X:$X,사진대지!$T:$T,"="&amp;$B98,사진대지!$Z:$Z,"="&amp;D$4)</f>
        <v>0</v>
      </c>
      <c r="E98" s="65">
        <f>+SUMIFS(사진대지!$X:$X,사진대지!$T:$T,"="&amp;$B98,사진대지!$Z:$Z,"="&amp;E$4)</f>
        <v>0</v>
      </c>
      <c r="F98" s="65">
        <f>+SUMIFS(사진대지!$X:$X,사진대지!$T:$T,"="&amp;$B98,사진대지!$Z:$Z,"="&amp;F$4)</f>
        <v>0</v>
      </c>
      <c r="G98" s="65">
        <f>+SUMIFS(사진대지!$X:$X,사진대지!$T:$T,"="&amp;$B98,사진대지!$Z:$Z,"="&amp;G$4)</f>
        <v>0</v>
      </c>
      <c r="H98" s="65">
        <f>+SUMIFS(사진대지!$X:$X,사진대지!$T:$T,"="&amp;$B98,사진대지!$Z:$Z,"="&amp;H$4)</f>
        <v>0</v>
      </c>
      <c r="I98" s="65">
        <f>+SUMIFS(사진대지!$X:$X,사진대지!$T:$T,"="&amp;$B98,사진대지!$Z:$Z,"="&amp;I$4)</f>
        <v>0</v>
      </c>
      <c r="J98" s="65">
        <f>+SUMIFS(사진대지!$X:$X,사진대지!$T:$T,"="&amp;$B98,사진대지!$Z:$Z,"="&amp;J$4)</f>
        <v>0</v>
      </c>
      <c r="K98" s="65">
        <f>+SUMIFS(사진대지!$X:$X,사진대지!$T:$T,"="&amp;$B98,사진대지!$Z:$Z,"="&amp;K$4)</f>
        <v>0</v>
      </c>
      <c r="L98" s="65">
        <f>+SUMIFS(사진대지!$X:$X,사진대지!$T:$T,"="&amp;$B98,사진대지!$Z:$Z,"="&amp;L$4)</f>
        <v>0</v>
      </c>
      <c r="M98" s="65">
        <f>+SUMIFS(사진대지!$X:$X,사진대지!$T:$T,"="&amp;$B98,사진대지!$Z:$Z,"="&amp;M$4)</f>
        <v>7.8000000000000007</v>
      </c>
      <c r="N98" s="65">
        <f>+SUMIFS(사진대지!$X:$X,사진대지!$T:$T,"="&amp;$B98,사진대지!$Z:$Z,"="&amp;N$4)</f>
        <v>0</v>
      </c>
      <c r="O98" s="65">
        <f>+SUMIFS(사진대지!$X:$X,사진대지!$T:$T,"="&amp;$B98,사진대지!$Z:$Z,"="&amp;O$4)</f>
        <v>8.9</v>
      </c>
      <c r="P98" s="65">
        <f>+SUMIFS(사진대지!$X:$X,사진대지!$T:$T,"="&amp;$B98,사진대지!$Z:$Z,"="&amp;P$4)</f>
        <v>0</v>
      </c>
      <c r="Q98" s="65">
        <f>+SUMIFS(사진대지!$X:$X,사진대지!$T:$T,"="&amp;$B98,사진대지!$Z:$Z,"="&amp;Q$4)</f>
        <v>0</v>
      </c>
      <c r="R98" s="65">
        <f>+SUMIFS(사진대지!$X:$X,사진대지!$T:$T,"="&amp;$B98,사진대지!$Z:$Z,"="&amp;R$4)</f>
        <v>0</v>
      </c>
      <c r="S98" s="65">
        <f>+SUMIFS(사진대지!$X:$X,사진대지!$T:$T,"="&amp;$B98,사진대지!$Z:$Z,"="&amp;S$4)</f>
        <v>0</v>
      </c>
      <c r="T98" s="65">
        <f>+SUMIFS(사진대지!$X:$X,사진대지!$T:$T,"="&amp;$B98,사진대지!$Z:$Z,"="&amp;T$4)</f>
        <v>0</v>
      </c>
      <c r="U98" s="65">
        <f>+SUMIFS(사진대지!$X:$X,사진대지!$T:$T,"="&amp;$B98,사진대지!$Z:$Z,"="&amp;U$4)</f>
        <v>0</v>
      </c>
      <c r="V98" s="126"/>
      <c r="W98" s="73" t="str">
        <f t="shared" si="18"/>
        <v>무보온덕트입상</v>
      </c>
      <c r="X98" s="88">
        <f t="shared" si="19"/>
        <v>16.700000000000003</v>
      </c>
      <c r="Y98" s="68"/>
      <c r="Z98" s="125"/>
      <c r="AA98" s="74" t="str">
        <f t="shared" si="2"/>
        <v>무보온덕트입상</v>
      </c>
      <c r="AB98" s="92">
        <f>누계!Q98+X98</f>
        <v>35</v>
      </c>
    </row>
    <row r="99" spans="1:28" ht="20.100000000000001" customHeight="1" x14ac:dyDescent="0.3">
      <c r="A99" s="195"/>
      <c r="B99" s="134" t="s">
        <v>110</v>
      </c>
      <c r="C99" s="64">
        <f>+SUMIFS(사진대지!$X:$X,사진대지!$T:$T,"="&amp;$B99,사진대지!$Z:$Z,"="&amp;C$4)</f>
        <v>0</v>
      </c>
      <c r="D99" s="64">
        <f>+SUMIFS(사진대지!$X:$X,사진대지!$T:$T,"="&amp;$B99,사진대지!$Z:$Z,"="&amp;D$4)</f>
        <v>0</v>
      </c>
      <c r="E99" s="65">
        <f>+SUMIFS(사진대지!$X:$X,사진대지!$T:$T,"="&amp;$B99,사진대지!$Z:$Z,"="&amp;E$4)</f>
        <v>0</v>
      </c>
      <c r="F99" s="65">
        <f>+SUMIFS(사진대지!$X:$X,사진대지!$T:$T,"="&amp;$B99,사진대지!$Z:$Z,"="&amp;F$4)</f>
        <v>0</v>
      </c>
      <c r="G99" s="65">
        <f>+SUMIFS(사진대지!$X:$X,사진대지!$T:$T,"="&amp;$B99,사진대지!$Z:$Z,"="&amp;G$4)</f>
        <v>0</v>
      </c>
      <c r="H99" s="65">
        <f>+SUMIFS(사진대지!$X:$X,사진대지!$T:$T,"="&amp;$B99,사진대지!$Z:$Z,"="&amp;H$4)</f>
        <v>0</v>
      </c>
      <c r="I99" s="65">
        <f>+SUMIFS(사진대지!$X:$X,사진대지!$T:$T,"="&amp;$B99,사진대지!$Z:$Z,"="&amp;I$4)</f>
        <v>0</v>
      </c>
      <c r="J99" s="65">
        <f>+SUMIFS(사진대지!$X:$X,사진대지!$T:$T,"="&amp;$B99,사진대지!$Z:$Z,"="&amp;J$4)</f>
        <v>0</v>
      </c>
      <c r="K99" s="65">
        <f>+SUMIFS(사진대지!$X:$X,사진대지!$T:$T,"="&amp;$B99,사진대지!$Z:$Z,"="&amp;K$4)</f>
        <v>0</v>
      </c>
      <c r="L99" s="65">
        <f>+SUMIFS(사진대지!$X:$X,사진대지!$T:$T,"="&amp;$B99,사진대지!$Z:$Z,"="&amp;L$4)</f>
        <v>0</v>
      </c>
      <c r="M99" s="65">
        <f>+SUMIFS(사진대지!$X:$X,사진대지!$T:$T,"="&amp;$B99,사진대지!$Z:$Z,"="&amp;M$4)</f>
        <v>0</v>
      </c>
      <c r="N99" s="65">
        <f>+SUMIFS(사진대지!$X:$X,사진대지!$T:$T,"="&amp;$B99,사진대지!$Z:$Z,"="&amp;N$4)</f>
        <v>0</v>
      </c>
      <c r="O99" s="65">
        <f>+SUMIFS(사진대지!$X:$X,사진대지!$T:$T,"="&amp;$B99,사진대지!$Z:$Z,"="&amp;O$4)</f>
        <v>1.1000000000000001</v>
      </c>
      <c r="P99" s="65">
        <f>+SUMIFS(사진대지!$X:$X,사진대지!$T:$T,"="&amp;$B99,사진대지!$Z:$Z,"="&amp;P$4)</f>
        <v>0</v>
      </c>
      <c r="Q99" s="65">
        <f>+SUMIFS(사진대지!$X:$X,사진대지!$T:$T,"="&amp;$B99,사진대지!$Z:$Z,"="&amp;Q$4)</f>
        <v>0</v>
      </c>
      <c r="R99" s="65">
        <f>+SUMIFS(사진대지!$X:$X,사진대지!$T:$T,"="&amp;$B99,사진대지!$Z:$Z,"="&amp;R$4)</f>
        <v>0</v>
      </c>
      <c r="S99" s="65">
        <f>+SUMIFS(사진대지!$X:$X,사진대지!$T:$T,"="&amp;$B99,사진대지!$Z:$Z,"="&amp;S$4)</f>
        <v>0</v>
      </c>
      <c r="T99" s="65">
        <f>+SUMIFS(사진대지!$X:$X,사진대지!$T:$T,"="&amp;$B99,사진대지!$Z:$Z,"="&amp;T$4)</f>
        <v>0</v>
      </c>
      <c r="U99" s="65">
        <f>+SUMIFS(사진대지!$X:$X,사진대지!$T:$T,"="&amp;$B99,사진대지!$Z:$Z,"="&amp;U$4)</f>
        <v>0</v>
      </c>
      <c r="V99" s="126"/>
      <c r="W99" s="73" t="str">
        <f t="shared" si="18"/>
        <v>보온덕트입상</v>
      </c>
      <c r="X99" s="88">
        <f t="shared" si="19"/>
        <v>1.1000000000000001</v>
      </c>
      <c r="Y99" s="68"/>
      <c r="Z99" s="125"/>
      <c r="AA99" s="74" t="str">
        <f t="shared" si="2"/>
        <v>보온덕트입상</v>
      </c>
      <c r="AB99" s="92">
        <f>누계!Q99+X99</f>
        <v>20.3</v>
      </c>
    </row>
    <row r="100" spans="1:28" ht="20.100000000000001" customHeight="1" x14ac:dyDescent="0.3">
      <c r="A100" s="195"/>
      <c r="B100" s="134" t="s">
        <v>116</v>
      </c>
      <c r="C100" s="66">
        <f>+SUMIFS(사진대지!$X:$X,사진대지!$T:$T,"="&amp;$B100,사진대지!$Z:$Z,"="&amp;C$4)</f>
        <v>19.600000000000001</v>
      </c>
      <c r="D100" s="66">
        <f>+SUMIFS(사진대지!$X:$X,사진대지!$T:$T,"="&amp;$B100,사진대지!$Z:$Z,"="&amp;D$4)</f>
        <v>7.6999999999999993</v>
      </c>
      <c r="E100" s="67">
        <f>+SUMIFS(사진대지!$X:$X,사진대지!$T:$T,"="&amp;$B100,사진대지!$Z:$Z,"="&amp;E$4)</f>
        <v>0</v>
      </c>
      <c r="F100" s="67">
        <f>+SUMIFS(사진대지!$X:$X,사진대지!$T:$T,"="&amp;$B100,사진대지!$Z:$Z,"="&amp;F$4)</f>
        <v>0</v>
      </c>
      <c r="G100" s="67">
        <f>+SUMIFS(사진대지!$X:$X,사진대지!$T:$T,"="&amp;$B100,사진대지!$Z:$Z,"="&amp;G$4)</f>
        <v>12.3</v>
      </c>
      <c r="H100" s="67">
        <f>+SUMIFS(사진대지!$X:$X,사진대지!$T:$T,"="&amp;$B100,사진대지!$Z:$Z,"="&amp;H$4)</f>
        <v>33.799999999999997</v>
      </c>
      <c r="I100" s="67">
        <f>+SUMIFS(사진대지!$X:$X,사진대지!$T:$T,"="&amp;$B100,사진대지!$Z:$Z,"="&amp;I$4)</f>
        <v>17.600000000000001</v>
      </c>
      <c r="J100" s="67">
        <f>+SUMIFS(사진대지!$X:$X,사진대지!$T:$T,"="&amp;$B100,사진대지!$Z:$Z,"="&amp;J$4)</f>
        <v>0</v>
      </c>
      <c r="K100" s="67">
        <f>+SUMIFS(사진대지!$X:$X,사진대지!$T:$T,"="&amp;$B100,사진대지!$Z:$Z,"="&amp;K$4)</f>
        <v>23.4</v>
      </c>
      <c r="L100" s="67">
        <f>+SUMIFS(사진대지!$X:$X,사진대지!$T:$T,"="&amp;$B100,사진대지!$Z:$Z,"="&amp;L$4)</f>
        <v>36.999999999999993</v>
      </c>
      <c r="M100" s="67">
        <f>+SUMIFS(사진대지!$X:$X,사진대지!$T:$T,"="&amp;$B100,사진대지!$Z:$Z,"="&amp;M$4)</f>
        <v>20.8</v>
      </c>
      <c r="N100" s="67">
        <f>+SUMIFS(사진대지!$X:$X,사진대지!$T:$T,"="&amp;$B100,사진대지!$Z:$Z,"="&amp;N$4)</f>
        <v>7.4</v>
      </c>
      <c r="O100" s="67">
        <f>+SUMIFS(사진대지!$X:$X,사진대지!$T:$T,"="&amp;$B100,사진대지!$Z:$Z,"="&amp;O$4)</f>
        <v>3.1</v>
      </c>
      <c r="P100" s="67">
        <f>+SUMIFS(사진대지!$X:$X,사진대지!$T:$T,"="&amp;$B100,사진대지!$Z:$Z,"="&amp;P$4)</f>
        <v>8.8000000000000007</v>
      </c>
      <c r="Q100" s="67">
        <f>+SUMIFS(사진대지!$X:$X,사진대지!$T:$T,"="&amp;$B100,사진대지!$Z:$Z,"="&amp;Q$4)</f>
        <v>5.6</v>
      </c>
      <c r="R100" s="67">
        <f>+SUMIFS(사진대지!$X:$X,사진대지!$T:$T,"="&amp;$B100,사진대지!$Z:$Z,"="&amp;R$4)</f>
        <v>0</v>
      </c>
      <c r="S100" s="67">
        <f>+SUMIFS(사진대지!$X:$X,사진대지!$T:$T,"="&amp;$B100,사진대지!$Z:$Z,"="&amp;S$4)</f>
        <v>0</v>
      </c>
      <c r="T100" s="67">
        <f>+SUMIFS(사진대지!$X:$X,사진대지!$T:$T,"="&amp;$B100,사진대지!$Z:$Z,"="&amp;T$4)</f>
        <v>0</v>
      </c>
      <c r="U100" s="67">
        <f>+SUMIFS(사진대지!$X:$X,사진대지!$T:$T,"="&amp;$B100,사진대지!$Z:$Z,"="&amp;U$4)</f>
        <v>0</v>
      </c>
      <c r="V100" s="126"/>
      <c r="W100" s="75" t="str">
        <f t="shared" ref="W100" si="44">B100</f>
        <v>무보온덕트벽체</v>
      </c>
      <c r="X100" s="89">
        <f t="shared" ref="X100" si="45">+SUM(C100:U100)</f>
        <v>197.10000000000002</v>
      </c>
      <c r="Y100" s="68"/>
      <c r="Z100" s="125"/>
      <c r="AA100" s="76" t="str">
        <f t="shared" ref="AA100" si="46">W100</f>
        <v>무보온덕트벽체</v>
      </c>
      <c r="AB100" s="93">
        <f>누계!Q100+X100</f>
        <v>709.1</v>
      </c>
    </row>
    <row r="101" spans="1:28" ht="20.100000000000001" customHeight="1" x14ac:dyDescent="0.3">
      <c r="A101" s="195"/>
      <c r="B101" s="134" t="s">
        <v>112</v>
      </c>
      <c r="C101" s="66">
        <f>+SUMIFS(사진대지!$X:$X,사진대지!$T:$T,"="&amp;$B101,사진대지!$Z:$Z,"="&amp;C$4)</f>
        <v>20.799999999999997</v>
      </c>
      <c r="D101" s="66">
        <f>+SUMIFS(사진대지!$X:$X,사진대지!$T:$T,"="&amp;$B101,사진대지!$Z:$Z,"="&amp;D$4)</f>
        <v>8</v>
      </c>
      <c r="E101" s="67">
        <f>+SUMIFS(사진대지!$X:$X,사진대지!$T:$T,"="&amp;$B101,사진대지!$Z:$Z,"="&amp;E$4)</f>
        <v>7.2</v>
      </c>
      <c r="F101" s="67">
        <f>+SUMIFS(사진대지!$X:$X,사진대지!$T:$T,"="&amp;$B101,사진대지!$Z:$Z,"="&amp;F$4)</f>
        <v>12.1</v>
      </c>
      <c r="G101" s="67">
        <f>+SUMIFS(사진대지!$X:$X,사진대지!$T:$T,"="&amp;$B101,사진대지!$Z:$Z,"="&amp;G$4)</f>
        <v>38</v>
      </c>
      <c r="H101" s="67">
        <f>+SUMIFS(사진대지!$X:$X,사진대지!$T:$T,"="&amp;$B101,사진대지!$Z:$Z,"="&amp;H$4)</f>
        <v>16.099999999999998</v>
      </c>
      <c r="I101" s="67">
        <f>+SUMIFS(사진대지!$X:$X,사진대지!$T:$T,"="&amp;$B101,사진대지!$Z:$Z,"="&amp;I$4)</f>
        <v>14.8</v>
      </c>
      <c r="J101" s="67">
        <f>+SUMIFS(사진대지!$X:$X,사진대지!$T:$T,"="&amp;$B101,사진대지!$Z:$Z,"="&amp;J$4)</f>
        <v>0</v>
      </c>
      <c r="K101" s="67">
        <f>+SUMIFS(사진대지!$X:$X,사진대지!$T:$T,"="&amp;$B101,사진대지!$Z:$Z,"="&amp;K$4)</f>
        <v>52.500000000000007</v>
      </c>
      <c r="L101" s="67">
        <f>+SUMIFS(사진대지!$X:$X,사진대지!$T:$T,"="&amp;$B101,사진대지!$Z:$Z,"="&amp;L$4)</f>
        <v>65.599999999999994</v>
      </c>
      <c r="M101" s="67">
        <f>+SUMIFS(사진대지!$X:$X,사진대지!$T:$T,"="&amp;$B101,사진대지!$Z:$Z,"="&amp;M$4)</f>
        <v>20.400000000000002</v>
      </c>
      <c r="N101" s="67">
        <f>+SUMIFS(사진대지!$X:$X,사진대지!$T:$T,"="&amp;$B101,사진대지!$Z:$Z,"="&amp;N$4)</f>
        <v>4.3000000000000007</v>
      </c>
      <c r="O101" s="67">
        <f>+SUMIFS(사진대지!$X:$X,사진대지!$T:$T,"="&amp;$B101,사진대지!$Z:$Z,"="&amp;O$4)</f>
        <v>5.4</v>
      </c>
      <c r="P101" s="67">
        <f>+SUMIFS(사진대지!$X:$X,사진대지!$T:$T,"="&amp;$B101,사진대지!$Z:$Z,"="&amp;P$4)</f>
        <v>24.8</v>
      </c>
      <c r="Q101" s="67">
        <f>+SUMIFS(사진대지!$X:$X,사진대지!$T:$T,"="&amp;$B101,사진대지!$Z:$Z,"="&amp;Q$4)</f>
        <v>21.6</v>
      </c>
      <c r="R101" s="67">
        <f>+SUMIFS(사진대지!$X:$X,사진대지!$T:$T,"="&amp;$B101,사진대지!$Z:$Z,"="&amp;R$4)</f>
        <v>9.4</v>
      </c>
      <c r="S101" s="67">
        <f>+SUMIFS(사진대지!$X:$X,사진대지!$T:$T,"="&amp;$B101,사진대지!$Z:$Z,"="&amp;S$4)</f>
        <v>0</v>
      </c>
      <c r="T101" s="67">
        <f>+SUMIFS(사진대지!$X:$X,사진대지!$T:$T,"="&amp;$B101,사진대지!$Z:$Z,"="&amp;T$4)</f>
        <v>0</v>
      </c>
      <c r="U101" s="67">
        <f>+SUMIFS(사진대지!$X:$X,사진대지!$T:$T,"="&amp;$B101,사진대지!$Z:$Z,"="&amp;U$4)</f>
        <v>0</v>
      </c>
      <c r="V101" s="126"/>
      <c r="W101" s="75" t="str">
        <f t="shared" si="18"/>
        <v>보온덕트벽체</v>
      </c>
      <c r="X101" s="89">
        <f t="shared" si="19"/>
        <v>321</v>
      </c>
      <c r="Y101" s="68"/>
      <c r="Z101" s="125"/>
      <c r="AA101" s="76" t="str">
        <f t="shared" si="2"/>
        <v>보온덕트벽체</v>
      </c>
      <c r="AB101" s="93">
        <f>누계!Q101+X101</f>
        <v>1022.6999999999999</v>
      </c>
    </row>
    <row r="102" spans="1:28" ht="20.100000000000001" customHeight="1" x14ac:dyDescent="0.3">
      <c r="A102" s="195"/>
      <c r="B102" s="122" t="s">
        <v>86</v>
      </c>
      <c r="C102" s="115">
        <f>+SUMIFS(사진대지!$X:$X,사진대지!$T:$T,"="&amp;$B102,사진대지!$Z:$Z,"="&amp;C$4)</f>
        <v>0</v>
      </c>
      <c r="D102" s="115">
        <f>+SUMIFS(사진대지!$X:$X,사진대지!$T:$T,"="&amp;$B102,사진대지!$Z:$Z,"="&amp;D$4)</f>
        <v>0</v>
      </c>
      <c r="E102" s="116">
        <f>+SUMIFS(사진대지!$X:$X,사진대지!$T:$T,"="&amp;$B102,사진대지!$Z:$Z,"="&amp;E$4)</f>
        <v>0</v>
      </c>
      <c r="F102" s="116">
        <f>+SUMIFS(사진대지!$X:$X,사진대지!$T:$T,"="&amp;$B102,사진대지!$Z:$Z,"="&amp;F$4)</f>
        <v>0</v>
      </c>
      <c r="G102" s="116">
        <f>+SUMIFS(사진대지!$X:$X,사진대지!$T:$T,"="&amp;$B102,사진대지!$Z:$Z,"="&amp;G$4)</f>
        <v>0</v>
      </c>
      <c r="H102" s="116">
        <f>+SUMIFS(사진대지!$X:$X,사진대지!$T:$T,"="&amp;$B102,사진대지!$Z:$Z,"="&amp;H$4)</f>
        <v>0</v>
      </c>
      <c r="I102" s="116">
        <f>+SUMIFS(사진대지!$X:$X,사진대지!$T:$T,"="&amp;$B102,사진대지!$Z:$Z,"="&amp;I$4)</f>
        <v>0</v>
      </c>
      <c r="J102" s="116">
        <f>+SUMIFS(사진대지!$X:$X,사진대지!$T:$T,"="&amp;$B102,사진대지!$Z:$Z,"="&amp;J$4)</f>
        <v>0</v>
      </c>
      <c r="K102" s="116">
        <f>+SUMIFS(사진대지!$X:$X,사진대지!$T:$T,"="&amp;$B102,사진대지!$Z:$Z,"="&amp;K$4)</f>
        <v>0</v>
      </c>
      <c r="L102" s="116">
        <f>+SUMIFS(사진대지!$X:$X,사진대지!$T:$T,"="&amp;$B102,사진대지!$Z:$Z,"="&amp;L$4)</f>
        <v>0</v>
      </c>
      <c r="M102" s="116">
        <f>+SUMIFS(사진대지!$X:$X,사진대지!$T:$T,"="&amp;$B102,사진대지!$Z:$Z,"="&amp;M$4)</f>
        <v>0</v>
      </c>
      <c r="N102" s="116">
        <f>+SUMIFS(사진대지!$X:$X,사진대지!$T:$T,"="&amp;$B102,사진대지!$Z:$Z,"="&amp;N$4)</f>
        <v>0</v>
      </c>
      <c r="O102" s="116">
        <f>+SUMIFS(사진대지!$X:$X,사진대지!$T:$T,"="&amp;$B102,사진대지!$Z:$Z,"="&amp;O$4)</f>
        <v>0</v>
      </c>
      <c r="P102" s="116">
        <f>+SUMIFS(사진대지!$X:$X,사진대지!$T:$T,"="&amp;$B102,사진대지!$Z:$Z,"="&amp;P$4)</f>
        <v>0</v>
      </c>
      <c r="Q102" s="116">
        <f>+SUMIFS(사진대지!$X:$X,사진대지!$T:$T,"="&amp;$B102,사진대지!$Z:$Z,"="&amp;Q$4)</f>
        <v>0</v>
      </c>
      <c r="R102" s="116">
        <f>+SUMIFS(사진대지!$X:$X,사진대지!$T:$T,"="&amp;$B102,사진대지!$Z:$Z,"="&amp;R$4)</f>
        <v>0</v>
      </c>
      <c r="S102" s="116">
        <f>+SUMIFS(사진대지!$X:$X,사진대지!$T:$T,"="&amp;$B102,사진대지!$Z:$Z,"="&amp;S$4)</f>
        <v>0</v>
      </c>
      <c r="T102" s="116">
        <f>+SUMIFS(사진대지!$X:$X,사진대지!$T:$T,"="&amp;$B102,사진대지!$Z:$Z,"="&amp;T$4)</f>
        <v>0</v>
      </c>
      <c r="U102" s="116">
        <f>+SUMIFS(사진대지!$X:$X,사진대지!$T:$T,"="&amp;$B102,사진대지!$Z:$Z,"="&amp;U$4)</f>
        <v>0</v>
      </c>
      <c r="V102" s="126"/>
      <c r="W102" s="123" t="str">
        <f t="shared" ref="W102" si="47">B102</f>
        <v>댐퍼팽창테이프</v>
      </c>
      <c r="X102" s="118">
        <f t="shared" ref="X102" si="48">+SUM(C102:U102)</f>
        <v>0</v>
      </c>
      <c r="Y102" s="68"/>
      <c r="Z102" s="125"/>
      <c r="AA102" s="124" t="str">
        <f t="shared" ref="AA102" si="49">W102</f>
        <v>댐퍼팽창테이프</v>
      </c>
      <c r="AB102" s="120">
        <f>누계!Q102+X102</f>
        <v>988.80000000000018</v>
      </c>
    </row>
    <row r="103" spans="1:28" ht="20.100000000000001" customHeight="1" x14ac:dyDescent="0.3">
      <c r="A103" s="195"/>
      <c r="B103" s="23" t="s">
        <v>85</v>
      </c>
      <c r="C103" s="66">
        <f>+SUMIFS(사진대지!$X:$X,사진대지!$T:$T,"="&amp;$B103,사진대지!$Z:$Z,"="&amp;C$4)</f>
        <v>0</v>
      </c>
      <c r="D103" s="66">
        <f>+SUMIFS(사진대지!$X:$X,사진대지!$T:$T,"="&amp;$B103,사진대지!$Z:$Z,"="&amp;D$4)</f>
        <v>0</v>
      </c>
      <c r="E103" s="67">
        <f>+SUMIFS(사진대지!$X:$X,사진대지!$T:$T,"="&amp;$B103,사진대지!$Z:$Z,"="&amp;E$4)</f>
        <v>0</v>
      </c>
      <c r="F103" s="67">
        <f>+SUMIFS(사진대지!$X:$X,사진대지!$T:$T,"="&amp;$B103,사진대지!$Z:$Z,"="&amp;F$4)</f>
        <v>0</v>
      </c>
      <c r="G103" s="67">
        <f>+SUMIFS(사진대지!$X:$X,사진대지!$T:$T,"="&amp;$B103,사진대지!$Z:$Z,"="&amp;G$4)</f>
        <v>0</v>
      </c>
      <c r="H103" s="67">
        <f>+SUMIFS(사진대지!$X:$X,사진대지!$T:$T,"="&amp;$B103,사진대지!$Z:$Z,"="&amp;H$4)</f>
        <v>0</v>
      </c>
      <c r="I103" s="67">
        <f>+SUMIFS(사진대지!$X:$X,사진대지!$T:$T,"="&amp;$B103,사진대지!$Z:$Z,"="&amp;I$4)</f>
        <v>0</v>
      </c>
      <c r="J103" s="67">
        <f>+SUMIFS(사진대지!$X:$X,사진대지!$T:$T,"="&amp;$B103,사진대지!$Z:$Z,"="&amp;J$4)</f>
        <v>0</v>
      </c>
      <c r="K103" s="67">
        <f>+SUMIFS(사진대지!$X:$X,사진대지!$T:$T,"="&amp;$B103,사진대지!$Z:$Z,"="&amp;K$4)</f>
        <v>0</v>
      </c>
      <c r="L103" s="67">
        <f>+SUMIFS(사진대지!$X:$X,사진대지!$T:$T,"="&amp;$B103,사진대지!$Z:$Z,"="&amp;L$4)</f>
        <v>0</v>
      </c>
      <c r="M103" s="67">
        <f>+SUMIFS(사진대지!$X:$X,사진대지!$T:$T,"="&amp;$B103,사진대지!$Z:$Z,"="&amp;M$4)</f>
        <v>0</v>
      </c>
      <c r="N103" s="67">
        <f>+SUMIFS(사진대지!$X:$X,사진대지!$T:$T,"="&amp;$B103,사진대지!$Z:$Z,"="&amp;N$4)</f>
        <v>0</v>
      </c>
      <c r="O103" s="67">
        <f>+SUMIFS(사진대지!$X:$X,사진대지!$T:$T,"="&amp;$B103,사진대지!$Z:$Z,"="&amp;O$4)</f>
        <v>0</v>
      </c>
      <c r="P103" s="67">
        <f>+SUMIFS(사진대지!$X:$X,사진대지!$T:$T,"="&amp;$B103,사진대지!$Z:$Z,"="&amp;P$4)</f>
        <v>0</v>
      </c>
      <c r="Q103" s="67">
        <f>+SUMIFS(사진대지!$X:$X,사진대지!$T:$T,"="&amp;$B103,사진대지!$Z:$Z,"="&amp;Q$4)</f>
        <v>0</v>
      </c>
      <c r="R103" s="67">
        <f>+SUMIFS(사진대지!$X:$X,사진대지!$T:$T,"="&amp;$B103,사진대지!$Z:$Z,"="&amp;R$4)</f>
        <v>0</v>
      </c>
      <c r="S103" s="67">
        <f>+SUMIFS(사진대지!$X:$X,사진대지!$T:$T,"="&amp;$B103,사진대지!$Z:$Z,"="&amp;S$4)</f>
        <v>0</v>
      </c>
      <c r="T103" s="67">
        <f>+SUMIFS(사진대지!$X:$X,사진대지!$T:$T,"="&amp;$B103,사진대지!$Z:$Z,"="&amp;T$4)</f>
        <v>0</v>
      </c>
      <c r="U103" s="67">
        <f>+SUMIFS(사진대지!$X:$X,사진대지!$T:$T,"="&amp;$B103,사진대지!$Z:$Z,"="&amp;U$4)</f>
        <v>0</v>
      </c>
      <c r="V103" s="126"/>
      <c r="W103" s="77" t="str">
        <f t="shared" si="18"/>
        <v>덕트마감</v>
      </c>
      <c r="X103" s="89">
        <f t="shared" si="19"/>
        <v>0</v>
      </c>
      <c r="Y103" s="68"/>
      <c r="Z103" s="125"/>
      <c r="AA103" s="78" t="str">
        <f t="shared" ref="AA103:AA105" si="50">W103</f>
        <v>덕트마감</v>
      </c>
      <c r="AB103" s="93">
        <f>누계!Q103+X103</f>
        <v>21.700000000000003</v>
      </c>
    </row>
    <row r="104" spans="1:28" ht="20.100000000000001" customHeight="1" x14ac:dyDescent="0.3">
      <c r="A104" s="195"/>
      <c r="B104" s="22" t="s">
        <v>65</v>
      </c>
      <c r="C104" s="64">
        <f>+SUMIFS(사진대지!$X:$X,사진대지!$T:$T,"="&amp;$B104,사진대지!$Z:$Z,"="&amp;C$4)</f>
        <v>0</v>
      </c>
      <c r="D104" s="64">
        <f>+SUMIFS(사진대지!$X:$X,사진대지!$T:$T,"="&amp;$B104,사진대지!$Z:$Z,"="&amp;D$4)</f>
        <v>0</v>
      </c>
      <c r="E104" s="65">
        <f>+SUMIFS(사진대지!$X:$X,사진대지!$T:$T,"="&amp;$B104,사진대지!$Z:$Z,"="&amp;E$4)</f>
        <v>0</v>
      </c>
      <c r="F104" s="65">
        <f>+SUMIFS(사진대지!$X:$X,사진대지!$T:$T,"="&amp;$B104,사진대지!$Z:$Z,"="&amp;F$4)</f>
        <v>2.2000000000000002</v>
      </c>
      <c r="G104" s="65">
        <f>+SUMIFS(사진대지!$X:$X,사진대지!$T:$T,"="&amp;$B104,사진대지!$Z:$Z,"="&amp;G$4)</f>
        <v>0</v>
      </c>
      <c r="H104" s="65">
        <f>+SUMIFS(사진대지!$X:$X,사진대지!$T:$T,"="&amp;$B104,사진대지!$Z:$Z,"="&amp;H$4)</f>
        <v>0</v>
      </c>
      <c r="I104" s="65">
        <f>+SUMIFS(사진대지!$X:$X,사진대지!$T:$T,"="&amp;$B104,사진대지!$Z:$Z,"="&amp;I$4)</f>
        <v>0</v>
      </c>
      <c r="J104" s="65">
        <f>+SUMIFS(사진대지!$X:$X,사진대지!$T:$T,"="&amp;$B104,사진대지!$Z:$Z,"="&amp;J$4)</f>
        <v>1.6</v>
      </c>
      <c r="K104" s="65">
        <f>+SUMIFS(사진대지!$X:$X,사진대지!$T:$T,"="&amp;$B104,사진대지!$Z:$Z,"="&amp;K$4)</f>
        <v>1.8</v>
      </c>
      <c r="L104" s="65">
        <f>+SUMIFS(사진대지!$X:$X,사진대지!$T:$T,"="&amp;$B104,사진대지!$Z:$Z,"="&amp;L$4)</f>
        <v>1.2</v>
      </c>
      <c r="M104" s="65">
        <f>+SUMIFS(사진대지!$X:$X,사진대지!$T:$T,"="&amp;$B104,사진대지!$Z:$Z,"="&amp;M$4)</f>
        <v>0</v>
      </c>
      <c r="N104" s="65">
        <f>+SUMIFS(사진대지!$X:$X,사진대지!$T:$T,"="&amp;$B104,사진대지!$Z:$Z,"="&amp;N$4)</f>
        <v>0</v>
      </c>
      <c r="O104" s="65">
        <f>+SUMIFS(사진대지!$X:$X,사진대지!$T:$T,"="&amp;$B104,사진대지!$Z:$Z,"="&amp;O$4)</f>
        <v>0</v>
      </c>
      <c r="P104" s="65">
        <f>+SUMIFS(사진대지!$X:$X,사진대지!$T:$T,"="&amp;$B104,사진대지!$Z:$Z,"="&amp;P$4)</f>
        <v>0</v>
      </c>
      <c r="Q104" s="65">
        <f>+SUMIFS(사진대지!$X:$X,사진대지!$T:$T,"="&amp;$B104,사진대지!$Z:$Z,"="&amp;Q$4)</f>
        <v>0</v>
      </c>
      <c r="R104" s="65">
        <f>+SUMIFS(사진대지!$X:$X,사진대지!$T:$T,"="&amp;$B104,사진대지!$Z:$Z,"="&amp;R$4)</f>
        <v>0</v>
      </c>
      <c r="S104" s="65">
        <f>+SUMIFS(사진대지!$X:$X,사진대지!$T:$T,"="&amp;$B104,사진대지!$Z:$Z,"="&amp;S$4)</f>
        <v>0</v>
      </c>
      <c r="T104" s="65">
        <f>+SUMIFS(사진대지!$X:$X,사진대지!$T:$T,"="&amp;$B104,사진대지!$Z:$Z,"="&amp;T$4)</f>
        <v>0</v>
      </c>
      <c r="U104" s="65">
        <f>+SUMIFS(사진대지!$X:$X,사진대지!$T:$T,"="&amp;$B104,사진대지!$Z:$Z,"="&amp;U$4)</f>
        <v>0</v>
      </c>
      <c r="V104" s="126"/>
      <c r="W104" s="79" t="str">
        <f t="shared" si="18"/>
        <v>오픈구</v>
      </c>
      <c r="X104" s="88">
        <f t="shared" si="19"/>
        <v>6.8000000000000007</v>
      </c>
      <c r="Y104" s="68"/>
      <c r="Z104" s="125"/>
      <c r="AA104" s="80" t="str">
        <f t="shared" si="50"/>
        <v>오픈구</v>
      </c>
      <c r="AB104" s="92">
        <f>누계!Q104+X104</f>
        <v>74.2</v>
      </c>
    </row>
    <row r="105" spans="1:28" ht="20.100000000000001" customHeight="1" x14ac:dyDescent="0.3">
      <c r="A105" s="196"/>
      <c r="B105" s="122" t="s">
        <v>66</v>
      </c>
      <c r="C105" s="115">
        <f>+SUMIFS(사진대지!$X:$X,사진대지!$T:$T,"="&amp;$B105,사진대지!$Z:$Z,"="&amp;C$4)</f>
        <v>61.199999999999996</v>
      </c>
      <c r="D105" s="115">
        <f>+SUMIFS(사진대지!$X:$X,사진대지!$T:$T,"="&amp;$B105,사진대지!$Z:$Z,"="&amp;D$4)</f>
        <v>23.7</v>
      </c>
      <c r="E105" s="116">
        <f>+SUMIFS(사진대지!$X:$X,사진대지!$T:$T,"="&amp;$B105,사진대지!$Z:$Z,"="&amp;E$4)</f>
        <v>14.4</v>
      </c>
      <c r="F105" s="116">
        <f>+SUMIFS(사진대지!$X:$X,사진대지!$T:$T,"="&amp;$B105,사진대지!$Z:$Z,"="&amp;F$4)</f>
        <v>24.2</v>
      </c>
      <c r="G105" s="116">
        <f>+SUMIFS(사진대지!$X:$X,사진대지!$T:$T,"="&amp;$B105,사진대지!$Z:$Z,"="&amp;G$4)</f>
        <v>88.3</v>
      </c>
      <c r="H105" s="116">
        <f>+SUMIFS(사진대지!$X:$X,사진대지!$T:$T,"="&amp;$B105,사진대지!$Z:$Z,"="&amp;H$4)</f>
        <v>66</v>
      </c>
      <c r="I105" s="116">
        <f>+SUMIFS(사진대지!$X:$X,사진대지!$T:$T,"="&amp;$B105,사진대지!$Z:$Z,"="&amp;I$4)</f>
        <v>47.199999999999996</v>
      </c>
      <c r="J105" s="116">
        <f>+SUMIFS(사진대지!$X:$X,사진대지!$T:$T,"="&amp;$B105,사진대지!$Z:$Z,"="&amp;J$4)</f>
        <v>0</v>
      </c>
      <c r="K105" s="116">
        <f>+SUMIFS(사진대지!$X:$X,사진대지!$T:$T,"="&amp;$B105,사진대지!$Z:$Z,"="&amp;K$4)</f>
        <v>128.40000000000003</v>
      </c>
      <c r="L105" s="116">
        <f>+SUMIFS(사진대지!$X:$X,사진대지!$T:$T,"="&amp;$B105,사진대지!$Z:$Z,"="&amp;L$4)</f>
        <v>179.40000000000003</v>
      </c>
      <c r="M105" s="116">
        <f>+SUMIFS(사진대지!$X:$X,사진대지!$T:$T,"="&amp;$B105,사진대지!$Z:$Z,"="&amp;M$4)</f>
        <v>100.60000000000002</v>
      </c>
      <c r="N105" s="116">
        <f>+SUMIFS(사진대지!$X:$X,사진대지!$T:$T,"="&amp;$B105,사진대지!$Z:$Z,"="&amp;N$4)</f>
        <v>16</v>
      </c>
      <c r="O105" s="116">
        <f>+SUMIFS(사진대지!$X:$X,사진대지!$T:$T,"="&amp;$B105,사진대지!$Z:$Z,"="&amp;O$4)</f>
        <v>42.7</v>
      </c>
      <c r="P105" s="116">
        <f>+SUMIFS(사진대지!$X:$X,사진대지!$T:$T,"="&amp;$B105,사진대지!$Z:$Z,"="&amp;P$4)</f>
        <v>58.4</v>
      </c>
      <c r="Q105" s="116">
        <f>+SUMIFS(사진대지!$X:$X,사진대지!$T:$T,"="&amp;$B105,사진대지!$Z:$Z,"="&amp;Q$4)</f>
        <v>48.800000000000004</v>
      </c>
      <c r="R105" s="116">
        <f>+SUMIFS(사진대지!$X:$X,사진대지!$T:$T,"="&amp;$B105,사진대지!$Z:$Z,"="&amp;R$4)</f>
        <v>18.8</v>
      </c>
      <c r="S105" s="116">
        <f>+SUMIFS(사진대지!$X:$X,사진대지!$T:$T,"="&amp;$B105,사진대지!$Z:$Z,"="&amp;S$4)</f>
        <v>0</v>
      </c>
      <c r="T105" s="116">
        <f>+SUMIFS(사진대지!$X:$X,사진대지!$T:$T,"="&amp;$B105,사진대지!$Z:$Z,"="&amp;T$4)</f>
        <v>0</v>
      </c>
      <c r="U105" s="116">
        <f>+SUMIFS(사진대지!$X:$X,사진대지!$T:$T,"="&amp;$B105,사진대지!$Z:$Z,"="&amp;U$4)</f>
        <v>0</v>
      </c>
      <c r="V105" s="126"/>
      <c r="W105" s="123" t="str">
        <f t="shared" si="18"/>
        <v>차열재마감</v>
      </c>
      <c r="X105" s="118">
        <f t="shared" si="19"/>
        <v>918.1</v>
      </c>
      <c r="Y105" s="68"/>
      <c r="Z105" s="125"/>
      <c r="AA105" s="124" t="str">
        <f t="shared" si="50"/>
        <v>차열재마감</v>
      </c>
      <c r="AB105" s="120">
        <f>누계!Q105+X105</f>
        <v>3067.8</v>
      </c>
    </row>
    <row r="106" spans="1:28" ht="20.100000000000001" customHeight="1" thickBot="1" x14ac:dyDescent="0.35">
      <c r="A106" s="1"/>
      <c r="B106" s="37" t="s">
        <v>67</v>
      </c>
      <c r="C106" s="27">
        <f t="shared" ref="C106:U106" si="51">SUM(C5:C105)</f>
        <v>107.6</v>
      </c>
      <c r="D106" s="27">
        <f t="shared" si="51"/>
        <v>41.4</v>
      </c>
      <c r="E106" s="27">
        <f t="shared" si="51"/>
        <v>40.6</v>
      </c>
      <c r="F106" s="27">
        <f t="shared" si="51"/>
        <v>71</v>
      </c>
      <c r="G106" s="27">
        <f t="shared" si="51"/>
        <v>138.6</v>
      </c>
      <c r="H106" s="27">
        <f t="shared" si="51"/>
        <v>126.89999999999999</v>
      </c>
      <c r="I106" s="27">
        <f t="shared" si="51"/>
        <v>79.599999999999994</v>
      </c>
      <c r="J106" s="27">
        <f t="shared" si="51"/>
        <v>4.5999999999999996</v>
      </c>
      <c r="K106" s="27">
        <f t="shared" si="51"/>
        <v>245.60000000000002</v>
      </c>
      <c r="L106" s="27">
        <f t="shared" si="51"/>
        <v>304.20000000000005</v>
      </c>
      <c r="M106" s="27">
        <f t="shared" si="51"/>
        <v>165.60000000000002</v>
      </c>
      <c r="N106" s="27">
        <f t="shared" si="51"/>
        <v>54.2</v>
      </c>
      <c r="O106" s="27">
        <f t="shared" si="51"/>
        <v>61.2</v>
      </c>
      <c r="P106" s="27">
        <f t="shared" si="51"/>
        <v>102</v>
      </c>
      <c r="Q106" s="27">
        <f t="shared" si="51"/>
        <v>80</v>
      </c>
      <c r="R106" s="27">
        <f t="shared" si="51"/>
        <v>44.7</v>
      </c>
      <c r="S106" s="27">
        <f t="shared" si="51"/>
        <v>0</v>
      </c>
      <c r="T106" s="27">
        <f t="shared" si="51"/>
        <v>0</v>
      </c>
      <c r="U106" s="27">
        <f t="shared" si="51"/>
        <v>0</v>
      </c>
      <c r="V106" s="70"/>
      <c r="W106" s="81" t="s">
        <v>67</v>
      </c>
      <c r="X106" s="90">
        <f>+SUM(X4:X105)</f>
        <v>1667.8</v>
      </c>
      <c r="Y106" s="68"/>
      <c r="Z106" s="68"/>
      <c r="AA106" s="82" t="s">
        <v>44</v>
      </c>
      <c r="AB106" s="94">
        <f>SUM(AB5:AB105)</f>
        <v>6793.6</v>
      </c>
    </row>
    <row r="107" spans="1:28" ht="20.100000000000001" customHeight="1" x14ac:dyDescent="0.3"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95"/>
    </row>
    <row r="108" spans="1:28" ht="20.100000000000001" customHeight="1" thickBot="1" x14ac:dyDescent="0.35"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70"/>
      <c r="X108" s="70"/>
      <c r="Y108" s="68"/>
      <c r="Z108" s="68"/>
      <c r="AA108" s="68"/>
      <c r="AB108" s="95"/>
    </row>
    <row r="109" spans="1:28" ht="20.100000000000001" customHeight="1" x14ac:dyDescent="0.3">
      <c r="B109" s="30" t="s">
        <v>160</v>
      </c>
      <c r="C109" s="28">
        <f>SUM(C5:C15)</f>
        <v>0</v>
      </c>
      <c r="D109" s="28">
        <f t="shared" ref="D109:U109" si="52">SUM(D5:D15)</f>
        <v>0</v>
      </c>
      <c r="E109" s="28">
        <f t="shared" si="52"/>
        <v>0</v>
      </c>
      <c r="F109" s="28">
        <f t="shared" si="52"/>
        <v>0</v>
      </c>
      <c r="G109" s="28">
        <f t="shared" si="52"/>
        <v>0</v>
      </c>
      <c r="H109" s="28">
        <f t="shared" si="52"/>
        <v>0</v>
      </c>
      <c r="I109" s="28">
        <f t="shared" si="52"/>
        <v>0</v>
      </c>
      <c r="J109" s="28">
        <f t="shared" si="52"/>
        <v>0</v>
      </c>
      <c r="K109" s="28">
        <f t="shared" si="52"/>
        <v>0</v>
      </c>
      <c r="L109" s="28">
        <f t="shared" si="52"/>
        <v>0</v>
      </c>
      <c r="M109" s="28">
        <f t="shared" si="52"/>
        <v>0</v>
      </c>
      <c r="N109" s="28">
        <f t="shared" si="52"/>
        <v>0</v>
      </c>
      <c r="O109" s="28">
        <f t="shared" si="52"/>
        <v>0</v>
      </c>
      <c r="P109" s="28">
        <f t="shared" si="52"/>
        <v>0</v>
      </c>
      <c r="Q109" s="28">
        <f t="shared" si="52"/>
        <v>0</v>
      </c>
      <c r="R109" s="28">
        <f t="shared" si="52"/>
        <v>0</v>
      </c>
      <c r="S109" s="28">
        <f t="shared" si="52"/>
        <v>0</v>
      </c>
      <c r="T109" s="28">
        <f t="shared" si="52"/>
        <v>0</v>
      </c>
      <c r="U109" s="28">
        <f t="shared" si="52"/>
        <v>0</v>
      </c>
      <c r="V109" s="68"/>
      <c r="W109" s="83" t="str">
        <f t="shared" ref="W109" si="53">B109</f>
        <v>금속관 입상차열</v>
      </c>
      <c r="X109" s="135">
        <f>SUM(X5:X15)</f>
        <v>0</v>
      </c>
      <c r="Y109" s="68"/>
      <c r="Z109" s="68"/>
      <c r="AA109" s="69" t="str">
        <f>W109</f>
        <v>금속관 입상차열</v>
      </c>
      <c r="AB109" s="28">
        <f>SUM(AB5:AB15)</f>
        <v>0</v>
      </c>
    </row>
    <row r="110" spans="1:28" ht="20.100000000000001" customHeight="1" x14ac:dyDescent="0.3">
      <c r="B110" s="30" t="s">
        <v>147</v>
      </c>
      <c r="C110" s="28">
        <f>SUM(C16:C26)</f>
        <v>0</v>
      </c>
      <c r="D110" s="28">
        <f t="shared" ref="D110:U110" si="54">SUM(D16:D26)</f>
        <v>0</v>
      </c>
      <c r="E110" s="28">
        <f t="shared" si="54"/>
        <v>0</v>
      </c>
      <c r="F110" s="28">
        <f t="shared" si="54"/>
        <v>0</v>
      </c>
      <c r="G110" s="28">
        <f t="shared" si="54"/>
        <v>0</v>
      </c>
      <c r="H110" s="28">
        <f t="shared" si="54"/>
        <v>0</v>
      </c>
      <c r="I110" s="28">
        <f t="shared" si="54"/>
        <v>0</v>
      </c>
      <c r="J110" s="28">
        <f t="shared" si="54"/>
        <v>0</v>
      </c>
      <c r="K110" s="28">
        <f t="shared" si="54"/>
        <v>0</v>
      </c>
      <c r="L110" s="28">
        <f t="shared" si="54"/>
        <v>0</v>
      </c>
      <c r="M110" s="28">
        <f t="shared" si="54"/>
        <v>7</v>
      </c>
      <c r="N110" s="28">
        <f t="shared" si="54"/>
        <v>10</v>
      </c>
      <c r="O110" s="28">
        <f t="shared" si="54"/>
        <v>0</v>
      </c>
      <c r="P110" s="28">
        <f t="shared" si="54"/>
        <v>0</v>
      </c>
      <c r="Q110" s="28">
        <f t="shared" si="54"/>
        <v>0</v>
      </c>
      <c r="R110" s="28">
        <f t="shared" si="54"/>
        <v>10</v>
      </c>
      <c r="S110" s="28">
        <f t="shared" si="54"/>
        <v>0</v>
      </c>
      <c r="T110" s="28">
        <f t="shared" si="54"/>
        <v>0</v>
      </c>
      <c r="U110" s="28">
        <f t="shared" si="54"/>
        <v>0</v>
      </c>
      <c r="V110" s="68"/>
      <c r="W110" s="84" t="str">
        <f t="shared" ref="W110:W131" si="55">B110</f>
        <v>금속관 입상(소구경)</v>
      </c>
      <c r="X110" s="136">
        <f>SUM(X16:X26)</f>
        <v>27</v>
      </c>
      <c r="Y110" s="68"/>
      <c r="Z110" s="68"/>
      <c r="AA110" s="69" t="str">
        <f>W110</f>
        <v>금속관 입상(소구경)</v>
      </c>
      <c r="AB110" s="28">
        <f>SUM(AB16:AB26)</f>
        <v>35</v>
      </c>
    </row>
    <row r="111" spans="1:28" ht="20.100000000000001" customHeight="1" x14ac:dyDescent="0.3">
      <c r="B111" s="30" t="s">
        <v>119</v>
      </c>
      <c r="C111" s="28">
        <f>SUM(C27:C33)</f>
        <v>0</v>
      </c>
      <c r="D111" s="28">
        <f t="shared" ref="D111:U111" si="56">SUM(D27:D33)</f>
        <v>0</v>
      </c>
      <c r="E111" s="28">
        <f t="shared" si="56"/>
        <v>0</v>
      </c>
      <c r="F111" s="28">
        <f t="shared" si="56"/>
        <v>0</v>
      </c>
      <c r="G111" s="28">
        <f t="shared" si="56"/>
        <v>0</v>
      </c>
      <c r="H111" s="28">
        <f t="shared" si="56"/>
        <v>0</v>
      </c>
      <c r="I111" s="28">
        <f t="shared" si="56"/>
        <v>0</v>
      </c>
      <c r="J111" s="28">
        <f t="shared" si="56"/>
        <v>0</v>
      </c>
      <c r="K111" s="28">
        <f t="shared" si="56"/>
        <v>0</v>
      </c>
      <c r="L111" s="28">
        <f t="shared" si="56"/>
        <v>0</v>
      </c>
      <c r="M111" s="28">
        <f t="shared" si="56"/>
        <v>0</v>
      </c>
      <c r="N111" s="28">
        <f t="shared" si="56"/>
        <v>0</v>
      </c>
      <c r="O111" s="28">
        <f t="shared" si="56"/>
        <v>0</v>
      </c>
      <c r="P111" s="28">
        <f t="shared" si="56"/>
        <v>0</v>
      </c>
      <c r="Q111" s="28">
        <f t="shared" si="56"/>
        <v>0</v>
      </c>
      <c r="R111" s="28">
        <f t="shared" si="56"/>
        <v>0</v>
      </c>
      <c r="S111" s="28">
        <f t="shared" si="56"/>
        <v>0</v>
      </c>
      <c r="T111" s="28">
        <f t="shared" si="56"/>
        <v>0</v>
      </c>
      <c r="U111" s="28">
        <f t="shared" si="56"/>
        <v>0</v>
      </c>
      <c r="V111" s="68"/>
      <c r="W111" s="84" t="str">
        <f t="shared" ref="W111:W113" si="57">B111</f>
        <v>금속관 입상(대구경)</v>
      </c>
      <c r="X111" s="136">
        <f>SUM(X27:X33)</f>
        <v>0</v>
      </c>
      <c r="Y111" s="68"/>
      <c r="Z111" s="68"/>
      <c r="AA111" s="69" t="str">
        <f t="shared" ref="AA111:AA113" si="58">W111</f>
        <v>금속관 입상(대구경)</v>
      </c>
      <c r="AB111" s="28">
        <f>SUM(AB27:AB33)</f>
        <v>0</v>
      </c>
    </row>
    <row r="112" spans="1:28" ht="20.100000000000001" customHeight="1" x14ac:dyDescent="0.3">
      <c r="B112" s="30" t="s">
        <v>121</v>
      </c>
      <c r="C112" s="28">
        <f>SUM(C34:C38)</f>
        <v>0</v>
      </c>
      <c r="D112" s="28">
        <f t="shared" ref="D112:U112" si="59">SUM(D34:D38)</f>
        <v>0</v>
      </c>
      <c r="E112" s="28">
        <f t="shared" si="59"/>
        <v>0</v>
      </c>
      <c r="F112" s="28">
        <f t="shared" si="59"/>
        <v>0</v>
      </c>
      <c r="G112" s="28">
        <f t="shared" si="59"/>
        <v>0</v>
      </c>
      <c r="H112" s="28">
        <f t="shared" si="59"/>
        <v>0</v>
      </c>
      <c r="I112" s="28">
        <f t="shared" si="59"/>
        <v>0</v>
      </c>
      <c r="J112" s="28">
        <f t="shared" si="59"/>
        <v>0</v>
      </c>
      <c r="K112" s="28">
        <f t="shared" si="59"/>
        <v>0</v>
      </c>
      <c r="L112" s="28">
        <f t="shared" si="59"/>
        <v>0</v>
      </c>
      <c r="M112" s="28">
        <f t="shared" si="59"/>
        <v>0</v>
      </c>
      <c r="N112" s="28">
        <f t="shared" si="59"/>
        <v>0</v>
      </c>
      <c r="O112" s="28">
        <f t="shared" si="59"/>
        <v>0</v>
      </c>
      <c r="P112" s="28">
        <f t="shared" si="59"/>
        <v>0</v>
      </c>
      <c r="Q112" s="28">
        <f t="shared" si="59"/>
        <v>0</v>
      </c>
      <c r="R112" s="28">
        <f t="shared" si="59"/>
        <v>0</v>
      </c>
      <c r="S112" s="28">
        <f t="shared" si="59"/>
        <v>0</v>
      </c>
      <c r="T112" s="28">
        <f t="shared" si="59"/>
        <v>0</v>
      </c>
      <c r="U112" s="28">
        <f t="shared" si="59"/>
        <v>0</v>
      </c>
      <c r="V112" s="68"/>
      <c r="W112" s="84" t="str">
        <f t="shared" ref="W112" si="60">B112</f>
        <v>스파이럴 입상</v>
      </c>
      <c r="X112" s="136">
        <f>SUM(X34:X38)</f>
        <v>0</v>
      </c>
      <c r="Y112" s="68"/>
      <c r="Z112" s="68"/>
      <c r="AA112" s="69" t="str">
        <f t="shared" ref="AA112" si="61">W112</f>
        <v>스파이럴 입상</v>
      </c>
      <c r="AB112" s="28">
        <f>SUM(AB34:AB38)</f>
        <v>0</v>
      </c>
    </row>
    <row r="113" spans="1:28" ht="20.100000000000001" customHeight="1" x14ac:dyDescent="0.3">
      <c r="B113" s="30" t="s">
        <v>69</v>
      </c>
      <c r="C113" s="28">
        <f>SUM(C39:C49)</f>
        <v>6</v>
      </c>
      <c r="D113" s="28">
        <f t="shared" ref="D113:U113" si="62">SUM(D39:D49)</f>
        <v>2</v>
      </c>
      <c r="E113" s="28">
        <f t="shared" si="62"/>
        <v>19</v>
      </c>
      <c r="F113" s="28">
        <f t="shared" si="62"/>
        <v>32.5</v>
      </c>
      <c r="G113" s="28">
        <f t="shared" si="62"/>
        <v>0</v>
      </c>
      <c r="H113" s="28">
        <f t="shared" si="62"/>
        <v>11</v>
      </c>
      <c r="I113" s="28">
        <f t="shared" si="62"/>
        <v>0</v>
      </c>
      <c r="J113" s="28">
        <f t="shared" si="62"/>
        <v>3</v>
      </c>
      <c r="K113" s="28">
        <f t="shared" si="62"/>
        <v>39.5</v>
      </c>
      <c r="L113" s="28">
        <f t="shared" si="62"/>
        <v>21</v>
      </c>
      <c r="M113" s="28">
        <f t="shared" si="62"/>
        <v>9</v>
      </c>
      <c r="N113" s="28">
        <f t="shared" si="62"/>
        <v>16.5</v>
      </c>
      <c r="O113" s="28">
        <f t="shared" si="62"/>
        <v>0</v>
      </c>
      <c r="P113" s="28">
        <f t="shared" si="62"/>
        <v>10</v>
      </c>
      <c r="Q113" s="28">
        <f t="shared" si="62"/>
        <v>4</v>
      </c>
      <c r="R113" s="28">
        <f t="shared" si="62"/>
        <v>6.5</v>
      </c>
      <c r="S113" s="28">
        <f t="shared" si="62"/>
        <v>0</v>
      </c>
      <c r="T113" s="28">
        <f t="shared" si="62"/>
        <v>0</v>
      </c>
      <c r="U113" s="28">
        <f t="shared" si="62"/>
        <v>0</v>
      </c>
      <c r="V113" s="68"/>
      <c r="W113" s="84" t="str">
        <f t="shared" si="57"/>
        <v>금속관 벽체</v>
      </c>
      <c r="X113" s="136">
        <f>SUM(X39:X49)</f>
        <v>180</v>
      </c>
      <c r="Y113" s="68"/>
      <c r="Z113" s="68"/>
      <c r="AA113" s="69" t="str">
        <f t="shared" si="58"/>
        <v>금속관 벽체</v>
      </c>
      <c r="AB113" s="28">
        <f>SUM(AB39:AB49)</f>
        <v>818</v>
      </c>
    </row>
    <row r="114" spans="1:28" ht="20.100000000000001" customHeight="1" x14ac:dyDescent="0.3">
      <c r="B114" s="30" t="s">
        <v>120</v>
      </c>
      <c r="C114" s="28">
        <f>SUM(C50:C56)</f>
        <v>0</v>
      </c>
      <c r="D114" s="28">
        <f t="shared" ref="D114:U114" si="63">SUM(D50:D56)</f>
        <v>0</v>
      </c>
      <c r="E114" s="28">
        <f t="shared" si="63"/>
        <v>0</v>
      </c>
      <c r="F114" s="28">
        <f t="shared" si="63"/>
        <v>0</v>
      </c>
      <c r="G114" s="28">
        <f t="shared" si="63"/>
        <v>0</v>
      </c>
      <c r="H114" s="28">
        <f t="shared" si="63"/>
        <v>0</v>
      </c>
      <c r="I114" s="28">
        <f t="shared" si="63"/>
        <v>0</v>
      </c>
      <c r="J114" s="28">
        <f t="shared" si="63"/>
        <v>0</v>
      </c>
      <c r="K114" s="28">
        <f t="shared" si="63"/>
        <v>0</v>
      </c>
      <c r="L114" s="28">
        <f t="shared" si="63"/>
        <v>0</v>
      </c>
      <c r="M114" s="28">
        <f t="shared" si="63"/>
        <v>0</v>
      </c>
      <c r="N114" s="28">
        <f t="shared" si="63"/>
        <v>0</v>
      </c>
      <c r="O114" s="28">
        <f t="shared" si="63"/>
        <v>0</v>
      </c>
      <c r="P114" s="28">
        <f t="shared" si="63"/>
        <v>0</v>
      </c>
      <c r="Q114" s="28">
        <f t="shared" si="63"/>
        <v>0</v>
      </c>
      <c r="R114" s="28">
        <f t="shared" si="63"/>
        <v>0</v>
      </c>
      <c r="S114" s="28">
        <f t="shared" si="63"/>
        <v>0</v>
      </c>
      <c r="T114" s="28">
        <f t="shared" si="63"/>
        <v>0</v>
      </c>
      <c r="U114" s="28">
        <f t="shared" si="63"/>
        <v>0</v>
      </c>
      <c r="V114" s="68"/>
      <c r="W114" s="84" t="str">
        <f t="shared" si="55"/>
        <v>금속관 벽체(대구경)</v>
      </c>
      <c r="X114" s="136">
        <f>SUM(X50:X56)</f>
        <v>0</v>
      </c>
      <c r="Y114" s="68"/>
      <c r="Z114" s="68"/>
      <c r="AA114" s="69" t="str">
        <f t="shared" ref="AA114:AA131" si="64">W114</f>
        <v>금속관 벽체(대구경)</v>
      </c>
      <c r="AB114" s="28">
        <f>SUM(AB50:AB56)</f>
        <v>0</v>
      </c>
    </row>
    <row r="115" spans="1:28" ht="20.100000000000001" customHeight="1" x14ac:dyDescent="0.3">
      <c r="B115" s="30" t="s">
        <v>122</v>
      </c>
      <c r="C115" s="28">
        <f>SUM(C57:C62)</f>
        <v>0</v>
      </c>
      <c r="D115" s="28">
        <f t="shared" ref="D115:U115" si="65">SUM(D57:D62)</f>
        <v>0</v>
      </c>
      <c r="E115" s="28">
        <f t="shared" si="65"/>
        <v>0</v>
      </c>
      <c r="F115" s="28">
        <f t="shared" si="65"/>
        <v>0</v>
      </c>
      <c r="G115" s="28">
        <f t="shared" si="65"/>
        <v>0</v>
      </c>
      <c r="H115" s="28">
        <f t="shared" si="65"/>
        <v>0</v>
      </c>
      <c r="I115" s="28">
        <f t="shared" si="65"/>
        <v>0</v>
      </c>
      <c r="J115" s="28">
        <f t="shared" si="65"/>
        <v>0</v>
      </c>
      <c r="K115" s="28">
        <f t="shared" si="65"/>
        <v>0</v>
      </c>
      <c r="L115" s="28">
        <f t="shared" si="65"/>
        <v>0</v>
      </c>
      <c r="M115" s="28">
        <f t="shared" si="65"/>
        <v>0</v>
      </c>
      <c r="N115" s="28">
        <f t="shared" si="65"/>
        <v>0</v>
      </c>
      <c r="O115" s="28">
        <f t="shared" si="65"/>
        <v>0</v>
      </c>
      <c r="P115" s="28">
        <f t="shared" si="65"/>
        <v>0</v>
      </c>
      <c r="Q115" s="28">
        <f t="shared" si="65"/>
        <v>0</v>
      </c>
      <c r="R115" s="28">
        <f t="shared" si="65"/>
        <v>0</v>
      </c>
      <c r="S115" s="28">
        <f t="shared" si="65"/>
        <v>0</v>
      </c>
      <c r="T115" s="28">
        <f t="shared" si="65"/>
        <v>0</v>
      </c>
      <c r="U115" s="28">
        <f t="shared" si="65"/>
        <v>0</v>
      </c>
      <c r="V115" s="68"/>
      <c r="W115" s="84" t="str">
        <f t="shared" ref="W115" si="66">B115</f>
        <v>스파이럴 벽체</v>
      </c>
      <c r="X115" s="136">
        <f>SUM(X57:X62)</f>
        <v>0</v>
      </c>
      <c r="Y115" s="68"/>
      <c r="Z115" s="68"/>
      <c r="AA115" s="69" t="str">
        <f t="shared" ref="AA115" si="67">W115</f>
        <v>스파이럴 벽체</v>
      </c>
      <c r="AB115" s="28">
        <f>SUM(AB57:AB62)</f>
        <v>0</v>
      </c>
    </row>
    <row r="116" spans="1:28" ht="20.100000000000001" customHeight="1" x14ac:dyDescent="0.3">
      <c r="B116" s="30" t="s">
        <v>70</v>
      </c>
      <c r="C116" s="28">
        <f>SUM(C63:C74)</f>
        <v>0</v>
      </c>
      <c r="D116" s="28">
        <f t="shared" ref="D116:U116" si="68">SUM(D63:D74)</f>
        <v>0</v>
      </c>
      <c r="E116" s="28">
        <f t="shared" si="68"/>
        <v>0</v>
      </c>
      <c r="F116" s="28">
        <f t="shared" si="68"/>
        <v>0</v>
      </c>
      <c r="G116" s="28">
        <f t="shared" si="68"/>
        <v>0</v>
      </c>
      <c r="H116" s="28">
        <f t="shared" si="68"/>
        <v>0</v>
      </c>
      <c r="I116" s="28">
        <f t="shared" si="68"/>
        <v>0</v>
      </c>
      <c r="J116" s="28">
        <f t="shared" si="68"/>
        <v>0</v>
      </c>
      <c r="K116" s="28">
        <f t="shared" si="68"/>
        <v>0</v>
      </c>
      <c r="L116" s="28">
        <f t="shared" si="68"/>
        <v>0</v>
      </c>
      <c r="M116" s="28">
        <f t="shared" si="68"/>
        <v>0</v>
      </c>
      <c r="N116" s="28">
        <f t="shared" si="68"/>
        <v>0</v>
      </c>
      <c r="O116" s="28">
        <f t="shared" si="68"/>
        <v>0</v>
      </c>
      <c r="P116" s="28">
        <f t="shared" si="68"/>
        <v>0</v>
      </c>
      <c r="Q116" s="28">
        <f t="shared" si="68"/>
        <v>0</v>
      </c>
      <c r="R116" s="28">
        <f t="shared" si="68"/>
        <v>0</v>
      </c>
      <c r="S116" s="28">
        <f t="shared" si="68"/>
        <v>0</v>
      </c>
      <c r="T116" s="28">
        <f t="shared" si="68"/>
        <v>0</v>
      </c>
      <c r="U116" s="28">
        <f t="shared" si="68"/>
        <v>0</v>
      </c>
      <c r="V116" s="68"/>
      <c r="W116" s="84" t="str">
        <f t="shared" si="55"/>
        <v>PVC 입상</v>
      </c>
      <c r="X116" s="136">
        <f>SUM(X63:X74)</f>
        <v>0</v>
      </c>
      <c r="Y116" s="68"/>
      <c r="Z116" s="68"/>
      <c r="AA116" s="69" t="str">
        <f t="shared" si="64"/>
        <v>PVC 입상</v>
      </c>
      <c r="AB116" s="28">
        <f>SUM(AB63:AB74)</f>
        <v>0</v>
      </c>
    </row>
    <row r="117" spans="1:28" ht="20.100000000000001" customHeight="1" x14ac:dyDescent="0.3">
      <c r="B117" s="30" t="s">
        <v>124</v>
      </c>
      <c r="C117" s="28">
        <f>SUM(C75:C78)</f>
        <v>0</v>
      </c>
      <c r="D117" s="28">
        <f t="shared" ref="D117:U117" si="69">SUM(D75:D78)</f>
        <v>0</v>
      </c>
      <c r="E117" s="28">
        <f t="shared" si="69"/>
        <v>0</v>
      </c>
      <c r="F117" s="28">
        <f t="shared" si="69"/>
        <v>0</v>
      </c>
      <c r="G117" s="28">
        <f t="shared" si="69"/>
        <v>0</v>
      </c>
      <c r="H117" s="28">
        <f t="shared" si="69"/>
        <v>0</v>
      </c>
      <c r="I117" s="28">
        <f t="shared" si="69"/>
        <v>0</v>
      </c>
      <c r="J117" s="28">
        <f t="shared" si="69"/>
        <v>0</v>
      </c>
      <c r="K117" s="28">
        <f t="shared" si="69"/>
        <v>0</v>
      </c>
      <c r="L117" s="28">
        <f t="shared" si="69"/>
        <v>0</v>
      </c>
      <c r="M117" s="28">
        <f t="shared" si="69"/>
        <v>0</v>
      </c>
      <c r="N117" s="28">
        <f t="shared" si="69"/>
        <v>0</v>
      </c>
      <c r="O117" s="28">
        <f t="shared" si="69"/>
        <v>0</v>
      </c>
      <c r="P117" s="28">
        <f t="shared" si="69"/>
        <v>0</v>
      </c>
      <c r="Q117" s="28">
        <f t="shared" si="69"/>
        <v>0</v>
      </c>
      <c r="R117" s="28">
        <f t="shared" si="69"/>
        <v>0</v>
      </c>
      <c r="S117" s="28">
        <f t="shared" si="69"/>
        <v>0</v>
      </c>
      <c r="T117" s="28">
        <f t="shared" si="69"/>
        <v>0</v>
      </c>
      <c r="U117" s="28">
        <f t="shared" si="69"/>
        <v>0</v>
      </c>
      <c r="V117" s="68"/>
      <c r="W117" s="84" t="str">
        <f>B117</f>
        <v>세대SP</v>
      </c>
      <c r="X117" s="136">
        <f>SUM(X75:X78)</f>
        <v>0</v>
      </c>
      <c r="Y117" s="68"/>
      <c r="Z117" s="68"/>
      <c r="AA117" s="69" t="str">
        <f>W117</f>
        <v>세대SP</v>
      </c>
      <c r="AB117" s="28">
        <f>SUM(AB75:AB78)</f>
        <v>0</v>
      </c>
    </row>
    <row r="118" spans="1:28" ht="20.100000000000001" customHeight="1" x14ac:dyDescent="0.3">
      <c r="B118" s="30" t="s">
        <v>71</v>
      </c>
      <c r="C118" s="28">
        <f>SUM(C79:C92)</f>
        <v>0</v>
      </c>
      <c r="D118" s="28">
        <f t="shared" ref="D118:U118" si="70">SUM(D79:D92)</f>
        <v>0</v>
      </c>
      <c r="E118" s="28">
        <f t="shared" si="70"/>
        <v>0</v>
      </c>
      <c r="F118" s="28">
        <f t="shared" si="70"/>
        <v>0</v>
      </c>
      <c r="G118" s="28">
        <f t="shared" si="70"/>
        <v>0</v>
      </c>
      <c r="H118" s="28">
        <f t="shared" si="70"/>
        <v>0</v>
      </c>
      <c r="I118" s="28">
        <f t="shared" si="70"/>
        <v>0</v>
      </c>
      <c r="J118" s="28">
        <f t="shared" si="70"/>
        <v>0</v>
      </c>
      <c r="K118" s="28">
        <f t="shared" si="70"/>
        <v>0</v>
      </c>
      <c r="L118" s="28">
        <f t="shared" si="70"/>
        <v>0</v>
      </c>
      <c r="M118" s="28">
        <f t="shared" si="70"/>
        <v>0</v>
      </c>
      <c r="N118" s="28">
        <f t="shared" si="70"/>
        <v>0</v>
      </c>
      <c r="O118" s="28">
        <f t="shared" si="70"/>
        <v>0</v>
      </c>
      <c r="P118" s="28">
        <f t="shared" si="70"/>
        <v>0</v>
      </c>
      <c r="Q118" s="28">
        <f t="shared" si="70"/>
        <v>0</v>
      </c>
      <c r="R118" s="28">
        <f t="shared" si="70"/>
        <v>0</v>
      </c>
      <c r="S118" s="28">
        <f t="shared" si="70"/>
        <v>0</v>
      </c>
      <c r="T118" s="28">
        <f t="shared" si="70"/>
        <v>0</v>
      </c>
      <c r="U118" s="28">
        <f t="shared" si="70"/>
        <v>0</v>
      </c>
      <c r="V118" s="68"/>
      <c r="W118" s="84" t="str">
        <f t="shared" ref="W118" si="71">B118</f>
        <v>PVC 벽체</v>
      </c>
      <c r="X118" s="136">
        <f>SUM(X79:X92)</f>
        <v>0</v>
      </c>
      <c r="Y118" s="68"/>
      <c r="Z118" s="68"/>
      <c r="AA118" s="69" t="str">
        <f t="shared" ref="AA118" si="72">W118</f>
        <v>PVC 벽체</v>
      </c>
      <c r="AB118" s="28">
        <f>SUM(AB79:AB92)</f>
        <v>1</v>
      </c>
    </row>
    <row r="119" spans="1:28" ht="20.100000000000001" customHeight="1" x14ac:dyDescent="0.3">
      <c r="B119" s="30" t="s">
        <v>133</v>
      </c>
      <c r="C119" s="28">
        <f t="shared" ref="C119:C124" si="73">SUM(C93)</f>
        <v>0</v>
      </c>
      <c r="D119" s="28">
        <f t="shared" ref="D119:U119" si="74">SUM(D93)</f>
        <v>0</v>
      </c>
      <c r="E119" s="28">
        <f t="shared" si="74"/>
        <v>0</v>
      </c>
      <c r="F119" s="28">
        <f t="shared" si="74"/>
        <v>0</v>
      </c>
      <c r="G119" s="28">
        <f t="shared" si="74"/>
        <v>0</v>
      </c>
      <c r="H119" s="28">
        <f t="shared" si="74"/>
        <v>0</v>
      </c>
      <c r="I119" s="28">
        <f t="shared" si="74"/>
        <v>0</v>
      </c>
      <c r="J119" s="28">
        <f t="shared" si="74"/>
        <v>0</v>
      </c>
      <c r="K119" s="28">
        <f t="shared" si="74"/>
        <v>0</v>
      </c>
      <c r="L119" s="28">
        <f t="shared" si="74"/>
        <v>0</v>
      </c>
      <c r="M119" s="28">
        <f t="shared" si="74"/>
        <v>0</v>
      </c>
      <c r="N119" s="28">
        <f t="shared" si="74"/>
        <v>0</v>
      </c>
      <c r="O119" s="28">
        <f t="shared" si="74"/>
        <v>0</v>
      </c>
      <c r="P119" s="28">
        <f t="shared" si="74"/>
        <v>0</v>
      </c>
      <c r="Q119" s="28">
        <f t="shared" si="74"/>
        <v>0</v>
      </c>
      <c r="R119" s="28">
        <f t="shared" si="74"/>
        <v>0</v>
      </c>
      <c r="S119" s="28">
        <f t="shared" si="74"/>
        <v>0</v>
      </c>
      <c r="T119" s="28">
        <f t="shared" si="74"/>
        <v>0</v>
      </c>
      <c r="U119" s="28">
        <f t="shared" si="74"/>
        <v>0</v>
      </c>
      <c r="V119" s="68"/>
      <c r="W119" s="84" t="str">
        <f>B119</f>
        <v>대구경추가차열입상</v>
      </c>
      <c r="X119" s="136">
        <f t="shared" ref="X119:X124" si="75">SUM(X93)</f>
        <v>0</v>
      </c>
      <c r="Y119" s="68"/>
      <c r="Z119" s="68"/>
      <c r="AA119" s="69" t="str">
        <f>W119</f>
        <v>대구경추가차열입상</v>
      </c>
      <c r="AB119" s="28">
        <f t="shared" ref="AB119:AB124" si="76">SUM(AB93)</f>
        <v>0</v>
      </c>
    </row>
    <row r="120" spans="1:28" ht="20.100000000000001" customHeight="1" x14ac:dyDescent="0.3">
      <c r="B120" s="30" t="s">
        <v>134</v>
      </c>
      <c r="C120" s="28">
        <f t="shared" si="73"/>
        <v>0</v>
      </c>
      <c r="D120" s="28">
        <f t="shared" ref="D120:U120" si="77">SUM(D94)</f>
        <v>0</v>
      </c>
      <c r="E120" s="28">
        <f t="shared" si="77"/>
        <v>0</v>
      </c>
      <c r="F120" s="28">
        <f t="shared" si="77"/>
        <v>0</v>
      </c>
      <c r="G120" s="28">
        <f t="shared" si="77"/>
        <v>0</v>
      </c>
      <c r="H120" s="28">
        <f t="shared" si="77"/>
        <v>0</v>
      </c>
      <c r="I120" s="28">
        <f t="shared" si="77"/>
        <v>0</v>
      </c>
      <c r="J120" s="28">
        <f t="shared" si="77"/>
        <v>0</v>
      </c>
      <c r="K120" s="28">
        <f t="shared" si="77"/>
        <v>0</v>
      </c>
      <c r="L120" s="28">
        <f t="shared" si="77"/>
        <v>0</v>
      </c>
      <c r="M120" s="28">
        <f t="shared" si="77"/>
        <v>0</v>
      </c>
      <c r="N120" s="28">
        <f t="shared" si="77"/>
        <v>0</v>
      </c>
      <c r="O120" s="28">
        <f t="shared" si="77"/>
        <v>0</v>
      </c>
      <c r="P120" s="28">
        <f t="shared" si="77"/>
        <v>0</v>
      </c>
      <c r="Q120" s="28">
        <f t="shared" si="77"/>
        <v>0</v>
      </c>
      <c r="R120" s="28">
        <f t="shared" si="77"/>
        <v>0</v>
      </c>
      <c r="S120" s="28">
        <f t="shared" si="77"/>
        <v>0</v>
      </c>
      <c r="T120" s="28">
        <f t="shared" si="77"/>
        <v>0</v>
      </c>
      <c r="U120" s="28">
        <f t="shared" si="77"/>
        <v>0</v>
      </c>
      <c r="V120" s="68"/>
      <c r="W120" s="84" t="str">
        <f>B120</f>
        <v>대구경추가차열벽체</v>
      </c>
      <c r="X120" s="136">
        <f t="shared" si="75"/>
        <v>0</v>
      </c>
      <c r="Y120" s="68"/>
      <c r="Z120" s="68"/>
      <c r="AA120" s="69" t="str">
        <f>W120</f>
        <v>대구경추가차열벽체</v>
      </c>
      <c r="AB120" s="28">
        <f t="shared" si="76"/>
        <v>0</v>
      </c>
    </row>
    <row r="121" spans="1:28" ht="20.100000000000001" customHeight="1" x14ac:dyDescent="0.3">
      <c r="B121" s="30" t="s">
        <v>135</v>
      </c>
      <c r="C121" s="28">
        <f t="shared" si="73"/>
        <v>0</v>
      </c>
      <c r="D121" s="28">
        <f t="shared" ref="D121:U121" si="78">SUM(D95)</f>
        <v>0</v>
      </c>
      <c r="E121" s="28">
        <f t="shared" si="78"/>
        <v>0</v>
      </c>
      <c r="F121" s="28">
        <f t="shared" si="78"/>
        <v>0</v>
      </c>
      <c r="G121" s="28">
        <f t="shared" si="78"/>
        <v>0</v>
      </c>
      <c r="H121" s="28">
        <f t="shared" si="78"/>
        <v>0</v>
      </c>
      <c r="I121" s="28">
        <f t="shared" si="78"/>
        <v>0</v>
      </c>
      <c r="J121" s="28">
        <f t="shared" si="78"/>
        <v>0</v>
      </c>
      <c r="K121" s="28">
        <f t="shared" si="78"/>
        <v>0</v>
      </c>
      <c r="L121" s="28">
        <f t="shared" si="78"/>
        <v>0</v>
      </c>
      <c r="M121" s="28">
        <f t="shared" si="78"/>
        <v>0</v>
      </c>
      <c r="N121" s="28">
        <f t="shared" si="78"/>
        <v>0</v>
      </c>
      <c r="O121" s="28">
        <f t="shared" si="78"/>
        <v>0</v>
      </c>
      <c r="P121" s="28">
        <f t="shared" si="78"/>
        <v>0</v>
      </c>
      <c r="Q121" s="28">
        <f t="shared" si="78"/>
        <v>0</v>
      </c>
      <c r="R121" s="28">
        <f t="shared" si="78"/>
        <v>0</v>
      </c>
      <c r="S121" s="28">
        <f t="shared" si="78"/>
        <v>0</v>
      </c>
      <c r="T121" s="28">
        <f t="shared" si="78"/>
        <v>0</v>
      </c>
      <c r="U121" s="28">
        <f t="shared" si="78"/>
        <v>0</v>
      </c>
      <c r="V121" s="68"/>
      <c r="W121" s="84" t="str">
        <f>B121</f>
        <v>실란트마감입상</v>
      </c>
      <c r="X121" s="136">
        <f t="shared" si="75"/>
        <v>0</v>
      </c>
      <c r="Y121" s="68"/>
      <c r="Z121" s="68"/>
      <c r="AA121" s="69" t="str">
        <f>W121</f>
        <v>실란트마감입상</v>
      </c>
      <c r="AB121" s="28">
        <f t="shared" si="76"/>
        <v>0</v>
      </c>
    </row>
    <row r="122" spans="1:28" ht="20.100000000000001" customHeight="1" x14ac:dyDescent="0.3">
      <c r="B122" s="30" t="s">
        <v>136</v>
      </c>
      <c r="C122" s="28">
        <f t="shared" si="73"/>
        <v>0</v>
      </c>
      <c r="D122" s="28">
        <f t="shared" ref="D122:U122" si="79">SUM(D96)</f>
        <v>0</v>
      </c>
      <c r="E122" s="28">
        <f t="shared" si="79"/>
        <v>0</v>
      </c>
      <c r="F122" s="28">
        <f t="shared" si="79"/>
        <v>0</v>
      </c>
      <c r="G122" s="28">
        <f t="shared" si="79"/>
        <v>0</v>
      </c>
      <c r="H122" s="28">
        <f t="shared" si="79"/>
        <v>0</v>
      </c>
      <c r="I122" s="28">
        <f t="shared" si="79"/>
        <v>0</v>
      </c>
      <c r="J122" s="28">
        <f t="shared" si="79"/>
        <v>0</v>
      </c>
      <c r="K122" s="28">
        <f t="shared" si="79"/>
        <v>0</v>
      </c>
      <c r="L122" s="28">
        <f t="shared" si="79"/>
        <v>0</v>
      </c>
      <c r="M122" s="28">
        <f t="shared" si="79"/>
        <v>0</v>
      </c>
      <c r="N122" s="28">
        <f t="shared" si="79"/>
        <v>0</v>
      </c>
      <c r="O122" s="28">
        <f t="shared" si="79"/>
        <v>0</v>
      </c>
      <c r="P122" s="28">
        <f t="shared" si="79"/>
        <v>0</v>
      </c>
      <c r="Q122" s="28">
        <f t="shared" si="79"/>
        <v>0</v>
      </c>
      <c r="R122" s="28">
        <f t="shared" si="79"/>
        <v>0</v>
      </c>
      <c r="S122" s="28">
        <f t="shared" si="79"/>
        <v>0</v>
      </c>
      <c r="T122" s="28">
        <f t="shared" si="79"/>
        <v>0</v>
      </c>
      <c r="U122" s="28">
        <f t="shared" si="79"/>
        <v>0</v>
      </c>
      <c r="V122" s="68"/>
      <c r="W122" s="84" t="str">
        <f>B122</f>
        <v>실란트마감벽체</v>
      </c>
      <c r="X122" s="136">
        <f t="shared" si="75"/>
        <v>0</v>
      </c>
      <c r="Y122" s="68"/>
      <c r="Z122" s="68"/>
      <c r="AA122" s="69" t="str">
        <f>W122</f>
        <v>실란트마감벽체</v>
      </c>
      <c r="AB122" s="28">
        <f t="shared" si="76"/>
        <v>0</v>
      </c>
    </row>
    <row r="123" spans="1:28" ht="20.100000000000001" customHeight="1" x14ac:dyDescent="0.3">
      <c r="B123" s="30" t="s">
        <v>117</v>
      </c>
      <c r="C123" s="28">
        <f t="shared" si="73"/>
        <v>0</v>
      </c>
      <c r="D123" s="28">
        <f t="shared" ref="D123:U123" si="80">SUM(D97)</f>
        <v>0</v>
      </c>
      <c r="E123" s="28">
        <f t="shared" si="80"/>
        <v>0</v>
      </c>
      <c r="F123" s="28">
        <f t="shared" si="80"/>
        <v>0</v>
      </c>
      <c r="G123" s="28">
        <f t="shared" si="80"/>
        <v>0</v>
      </c>
      <c r="H123" s="28">
        <f t="shared" si="80"/>
        <v>0</v>
      </c>
      <c r="I123" s="28">
        <f t="shared" si="80"/>
        <v>0</v>
      </c>
      <c r="J123" s="28">
        <f t="shared" si="80"/>
        <v>0</v>
      </c>
      <c r="K123" s="28">
        <f t="shared" si="80"/>
        <v>0</v>
      </c>
      <c r="L123" s="28">
        <f t="shared" si="80"/>
        <v>0</v>
      </c>
      <c r="M123" s="28">
        <f t="shared" si="80"/>
        <v>0</v>
      </c>
      <c r="N123" s="28">
        <f t="shared" si="80"/>
        <v>0</v>
      </c>
      <c r="O123" s="28">
        <f t="shared" si="80"/>
        <v>0</v>
      </c>
      <c r="P123" s="28">
        <f t="shared" si="80"/>
        <v>0</v>
      </c>
      <c r="Q123" s="28">
        <f t="shared" si="80"/>
        <v>0</v>
      </c>
      <c r="R123" s="28">
        <f t="shared" si="80"/>
        <v>0</v>
      </c>
      <c r="S123" s="28">
        <f t="shared" si="80"/>
        <v>0</v>
      </c>
      <c r="T123" s="28">
        <f t="shared" si="80"/>
        <v>0</v>
      </c>
      <c r="U123" s="28">
        <f t="shared" si="80"/>
        <v>0</v>
      </c>
      <c r="V123" s="68"/>
      <c r="W123" s="84" t="str">
        <f>B123</f>
        <v>슬리브</v>
      </c>
      <c r="X123" s="136">
        <f t="shared" si="75"/>
        <v>0</v>
      </c>
      <c r="Y123" s="68"/>
      <c r="Z123" s="68"/>
      <c r="AA123" s="69" t="str">
        <f>W123</f>
        <v>슬리브</v>
      </c>
      <c r="AB123" s="28">
        <f t="shared" si="76"/>
        <v>0</v>
      </c>
    </row>
    <row r="124" spans="1:28" ht="20.100000000000001" customHeight="1" x14ac:dyDescent="0.3">
      <c r="A124" s="197" t="s">
        <v>80</v>
      </c>
      <c r="B124" s="30" t="s">
        <v>113</v>
      </c>
      <c r="C124" s="28">
        <f t="shared" si="73"/>
        <v>0</v>
      </c>
      <c r="D124" s="28">
        <f t="shared" ref="D124:U124" si="81">SUM(D98)</f>
        <v>0</v>
      </c>
      <c r="E124" s="28">
        <f t="shared" si="81"/>
        <v>0</v>
      </c>
      <c r="F124" s="28">
        <f t="shared" si="81"/>
        <v>0</v>
      </c>
      <c r="G124" s="28">
        <f t="shared" si="81"/>
        <v>0</v>
      </c>
      <c r="H124" s="28">
        <f t="shared" si="81"/>
        <v>0</v>
      </c>
      <c r="I124" s="28">
        <f t="shared" si="81"/>
        <v>0</v>
      </c>
      <c r="J124" s="28">
        <f t="shared" si="81"/>
        <v>0</v>
      </c>
      <c r="K124" s="28">
        <f t="shared" si="81"/>
        <v>0</v>
      </c>
      <c r="L124" s="28">
        <f t="shared" si="81"/>
        <v>0</v>
      </c>
      <c r="M124" s="28">
        <f t="shared" si="81"/>
        <v>7.8000000000000007</v>
      </c>
      <c r="N124" s="28">
        <f t="shared" si="81"/>
        <v>0</v>
      </c>
      <c r="O124" s="28">
        <f t="shared" si="81"/>
        <v>8.9</v>
      </c>
      <c r="P124" s="28">
        <f t="shared" si="81"/>
        <v>0</v>
      </c>
      <c r="Q124" s="28">
        <f t="shared" si="81"/>
        <v>0</v>
      </c>
      <c r="R124" s="28">
        <f t="shared" si="81"/>
        <v>0</v>
      </c>
      <c r="S124" s="28">
        <f t="shared" si="81"/>
        <v>0</v>
      </c>
      <c r="T124" s="28">
        <f t="shared" si="81"/>
        <v>0</v>
      </c>
      <c r="U124" s="28">
        <f t="shared" si="81"/>
        <v>0</v>
      </c>
      <c r="V124" s="125"/>
      <c r="W124" s="84" t="str">
        <f t="shared" si="55"/>
        <v>무보온덕트입상</v>
      </c>
      <c r="X124" s="136">
        <f t="shared" si="75"/>
        <v>16.700000000000003</v>
      </c>
      <c r="Y124" s="68"/>
      <c r="Z124" s="125"/>
      <c r="AA124" s="69" t="str">
        <f t="shared" si="64"/>
        <v>무보온덕트입상</v>
      </c>
      <c r="AB124" s="28">
        <f t="shared" si="76"/>
        <v>35</v>
      </c>
    </row>
    <row r="125" spans="1:28" ht="20.100000000000001" customHeight="1" x14ac:dyDescent="0.3">
      <c r="A125" s="198"/>
      <c r="B125" s="30" t="s">
        <v>109</v>
      </c>
      <c r="C125" s="28">
        <f t="shared" ref="C125:C131" si="82">C99</f>
        <v>0</v>
      </c>
      <c r="D125" s="28">
        <f t="shared" ref="D125:U125" si="83">D99</f>
        <v>0</v>
      </c>
      <c r="E125" s="28">
        <f t="shared" si="83"/>
        <v>0</v>
      </c>
      <c r="F125" s="28">
        <f t="shared" si="83"/>
        <v>0</v>
      </c>
      <c r="G125" s="28">
        <f t="shared" si="83"/>
        <v>0</v>
      </c>
      <c r="H125" s="28">
        <f t="shared" si="83"/>
        <v>0</v>
      </c>
      <c r="I125" s="28">
        <f t="shared" si="83"/>
        <v>0</v>
      </c>
      <c r="J125" s="28">
        <f t="shared" si="83"/>
        <v>0</v>
      </c>
      <c r="K125" s="28">
        <f t="shared" si="83"/>
        <v>0</v>
      </c>
      <c r="L125" s="28">
        <f t="shared" si="83"/>
        <v>0</v>
      </c>
      <c r="M125" s="28">
        <f t="shared" si="83"/>
        <v>0</v>
      </c>
      <c r="N125" s="28">
        <f t="shared" si="83"/>
        <v>0</v>
      </c>
      <c r="O125" s="28">
        <f t="shared" si="83"/>
        <v>1.1000000000000001</v>
      </c>
      <c r="P125" s="28">
        <f t="shared" si="83"/>
        <v>0</v>
      </c>
      <c r="Q125" s="28">
        <f t="shared" si="83"/>
        <v>0</v>
      </c>
      <c r="R125" s="28">
        <f t="shared" si="83"/>
        <v>0</v>
      </c>
      <c r="S125" s="28">
        <f t="shared" si="83"/>
        <v>0</v>
      </c>
      <c r="T125" s="28">
        <f t="shared" si="83"/>
        <v>0</v>
      </c>
      <c r="U125" s="28">
        <f t="shared" si="83"/>
        <v>0</v>
      </c>
      <c r="V125" s="125"/>
      <c r="W125" s="84" t="str">
        <f t="shared" ref="W125" si="84">B125</f>
        <v>보온덕트입상</v>
      </c>
      <c r="X125" s="136">
        <f t="shared" ref="X125:X131" si="85">X99</f>
        <v>1.1000000000000001</v>
      </c>
      <c r="Y125" s="68"/>
      <c r="Z125" s="125"/>
      <c r="AA125" s="69" t="str">
        <f t="shared" ref="AA125" si="86">W125</f>
        <v>보온덕트입상</v>
      </c>
      <c r="AB125" s="28">
        <f t="shared" ref="AB125:AB131" si="87">AB99</f>
        <v>20.3</v>
      </c>
    </row>
    <row r="126" spans="1:28" ht="20.100000000000001" customHeight="1" x14ac:dyDescent="0.3">
      <c r="A126" s="198"/>
      <c r="B126" s="30" t="s">
        <v>115</v>
      </c>
      <c r="C126" s="28">
        <f t="shared" si="82"/>
        <v>19.600000000000001</v>
      </c>
      <c r="D126" s="28">
        <f t="shared" ref="D126:U126" si="88">D100</f>
        <v>7.6999999999999993</v>
      </c>
      <c r="E126" s="28">
        <f t="shared" si="88"/>
        <v>0</v>
      </c>
      <c r="F126" s="28">
        <f t="shared" si="88"/>
        <v>0</v>
      </c>
      <c r="G126" s="28">
        <f t="shared" si="88"/>
        <v>12.3</v>
      </c>
      <c r="H126" s="28">
        <f t="shared" si="88"/>
        <v>33.799999999999997</v>
      </c>
      <c r="I126" s="28">
        <f t="shared" si="88"/>
        <v>17.600000000000001</v>
      </c>
      <c r="J126" s="28">
        <f t="shared" si="88"/>
        <v>0</v>
      </c>
      <c r="K126" s="28">
        <f t="shared" si="88"/>
        <v>23.4</v>
      </c>
      <c r="L126" s="28">
        <f t="shared" si="88"/>
        <v>36.999999999999993</v>
      </c>
      <c r="M126" s="28">
        <f t="shared" si="88"/>
        <v>20.8</v>
      </c>
      <c r="N126" s="28">
        <f t="shared" si="88"/>
        <v>7.4</v>
      </c>
      <c r="O126" s="28">
        <f t="shared" si="88"/>
        <v>3.1</v>
      </c>
      <c r="P126" s="28">
        <f t="shared" si="88"/>
        <v>8.8000000000000007</v>
      </c>
      <c r="Q126" s="28">
        <f t="shared" si="88"/>
        <v>5.6</v>
      </c>
      <c r="R126" s="28">
        <f t="shared" si="88"/>
        <v>0</v>
      </c>
      <c r="S126" s="28">
        <f t="shared" si="88"/>
        <v>0</v>
      </c>
      <c r="T126" s="28">
        <f t="shared" si="88"/>
        <v>0</v>
      </c>
      <c r="U126" s="28">
        <f t="shared" si="88"/>
        <v>0</v>
      </c>
      <c r="V126" s="125"/>
      <c r="W126" s="84" t="str">
        <f t="shared" si="55"/>
        <v>무보온덕트벽체</v>
      </c>
      <c r="X126" s="136">
        <f t="shared" si="85"/>
        <v>197.10000000000002</v>
      </c>
      <c r="Y126" s="68"/>
      <c r="Z126" s="125"/>
      <c r="AA126" s="69" t="str">
        <f t="shared" si="64"/>
        <v>무보온덕트벽체</v>
      </c>
      <c r="AB126" s="28">
        <f t="shared" si="87"/>
        <v>709.1</v>
      </c>
    </row>
    <row r="127" spans="1:28" ht="20.100000000000001" customHeight="1" x14ac:dyDescent="0.3">
      <c r="A127" s="198"/>
      <c r="B127" s="30" t="s">
        <v>111</v>
      </c>
      <c r="C127" s="28">
        <f t="shared" si="82"/>
        <v>20.799999999999997</v>
      </c>
      <c r="D127" s="28">
        <f t="shared" ref="D127:U127" si="89">D101</f>
        <v>8</v>
      </c>
      <c r="E127" s="28">
        <f t="shared" si="89"/>
        <v>7.2</v>
      </c>
      <c r="F127" s="28">
        <f t="shared" si="89"/>
        <v>12.1</v>
      </c>
      <c r="G127" s="28">
        <f t="shared" si="89"/>
        <v>38</v>
      </c>
      <c r="H127" s="28">
        <f t="shared" si="89"/>
        <v>16.099999999999998</v>
      </c>
      <c r="I127" s="28">
        <f t="shared" si="89"/>
        <v>14.8</v>
      </c>
      <c r="J127" s="28">
        <f t="shared" si="89"/>
        <v>0</v>
      </c>
      <c r="K127" s="28">
        <f t="shared" si="89"/>
        <v>52.500000000000007</v>
      </c>
      <c r="L127" s="28">
        <f t="shared" si="89"/>
        <v>65.599999999999994</v>
      </c>
      <c r="M127" s="28">
        <f t="shared" si="89"/>
        <v>20.400000000000002</v>
      </c>
      <c r="N127" s="28">
        <f t="shared" si="89"/>
        <v>4.3000000000000007</v>
      </c>
      <c r="O127" s="28">
        <f t="shared" si="89"/>
        <v>5.4</v>
      </c>
      <c r="P127" s="28">
        <f t="shared" si="89"/>
        <v>24.8</v>
      </c>
      <c r="Q127" s="28">
        <f t="shared" si="89"/>
        <v>21.6</v>
      </c>
      <c r="R127" s="28">
        <f t="shared" si="89"/>
        <v>9.4</v>
      </c>
      <c r="S127" s="28">
        <f t="shared" si="89"/>
        <v>0</v>
      </c>
      <c r="T127" s="28">
        <f t="shared" si="89"/>
        <v>0</v>
      </c>
      <c r="U127" s="28">
        <f t="shared" si="89"/>
        <v>0</v>
      </c>
      <c r="V127" s="125"/>
      <c r="W127" s="84" t="str">
        <f t="shared" ref="W127:W128" si="90">B127</f>
        <v>보온덕트벽체</v>
      </c>
      <c r="X127" s="136">
        <f t="shared" si="85"/>
        <v>321</v>
      </c>
      <c r="Y127" s="68"/>
      <c r="Z127" s="125"/>
      <c r="AA127" s="69" t="str">
        <f t="shared" ref="AA127:AA128" si="91">W127</f>
        <v>보온덕트벽체</v>
      </c>
      <c r="AB127" s="28">
        <f t="shared" si="87"/>
        <v>1022.6999999999999</v>
      </c>
    </row>
    <row r="128" spans="1:28" ht="20.100000000000001" customHeight="1" x14ac:dyDescent="0.3">
      <c r="A128" s="198"/>
      <c r="B128" s="30" t="s">
        <v>125</v>
      </c>
      <c r="C128" s="28">
        <f t="shared" si="82"/>
        <v>0</v>
      </c>
      <c r="D128" s="28">
        <f t="shared" ref="D128:U128" si="92">D102</f>
        <v>0</v>
      </c>
      <c r="E128" s="28">
        <f t="shared" si="92"/>
        <v>0</v>
      </c>
      <c r="F128" s="28">
        <f t="shared" si="92"/>
        <v>0</v>
      </c>
      <c r="G128" s="28">
        <f t="shared" si="92"/>
        <v>0</v>
      </c>
      <c r="H128" s="28">
        <f t="shared" si="92"/>
        <v>0</v>
      </c>
      <c r="I128" s="28">
        <f t="shared" si="92"/>
        <v>0</v>
      </c>
      <c r="J128" s="28">
        <f t="shared" si="92"/>
        <v>0</v>
      </c>
      <c r="K128" s="28">
        <f t="shared" si="92"/>
        <v>0</v>
      </c>
      <c r="L128" s="28">
        <f t="shared" si="92"/>
        <v>0</v>
      </c>
      <c r="M128" s="28">
        <f t="shared" si="92"/>
        <v>0</v>
      </c>
      <c r="N128" s="28">
        <f t="shared" si="92"/>
        <v>0</v>
      </c>
      <c r="O128" s="28">
        <f t="shared" si="92"/>
        <v>0</v>
      </c>
      <c r="P128" s="28">
        <f t="shared" si="92"/>
        <v>0</v>
      </c>
      <c r="Q128" s="28">
        <f t="shared" si="92"/>
        <v>0</v>
      </c>
      <c r="R128" s="28">
        <f t="shared" si="92"/>
        <v>0</v>
      </c>
      <c r="S128" s="28">
        <f t="shared" si="92"/>
        <v>0</v>
      </c>
      <c r="T128" s="28">
        <f t="shared" si="92"/>
        <v>0</v>
      </c>
      <c r="U128" s="28">
        <f t="shared" si="92"/>
        <v>0</v>
      </c>
      <c r="V128" s="125"/>
      <c r="W128" s="84" t="str">
        <f t="shared" si="90"/>
        <v>댐퍼팽창테이프</v>
      </c>
      <c r="X128" s="136">
        <f t="shared" si="85"/>
        <v>0</v>
      </c>
      <c r="Y128" s="68"/>
      <c r="Z128" s="125"/>
      <c r="AA128" s="69" t="str">
        <f t="shared" si="91"/>
        <v>댐퍼팽창테이프</v>
      </c>
      <c r="AB128" s="28">
        <f t="shared" si="87"/>
        <v>988.80000000000018</v>
      </c>
    </row>
    <row r="129" spans="1:30" ht="20.100000000000001" customHeight="1" x14ac:dyDescent="0.3">
      <c r="A129" s="198"/>
      <c r="B129" s="30" t="s">
        <v>126</v>
      </c>
      <c r="C129" s="28">
        <f t="shared" si="82"/>
        <v>0</v>
      </c>
      <c r="D129" s="28">
        <f t="shared" ref="D129:U129" si="93">D103</f>
        <v>0</v>
      </c>
      <c r="E129" s="28">
        <f t="shared" si="93"/>
        <v>0</v>
      </c>
      <c r="F129" s="28">
        <f t="shared" si="93"/>
        <v>0</v>
      </c>
      <c r="G129" s="28">
        <f t="shared" si="93"/>
        <v>0</v>
      </c>
      <c r="H129" s="28">
        <f t="shared" si="93"/>
        <v>0</v>
      </c>
      <c r="I129" s="28">
        <f t="shared" si="93"/>
        <v>0</v>
      </c>
      <c r="J129" s="28">
        <f t="shared" si="93"/>
        <v>0</v>
      </c>
      <c r="K129" s="28">
        <f t="shared" si="93"/>
        <v>0</v>
      </c>
      <c r="L129" s="28">
        <f t="shared" si="93"/>
        <v>0</v>
      </c>
      <c r="M129" s="28">
        <f t="shared" si="93"/>
        <v>0</v>
      </c>
      <c r="N129" s="28">
        <f t="shared" si="93"/>
        <v>0</v>
      </c>
      <c r="O129" s="28">
        <f t="shared" si="93"/>
        <v>0</v>
      </c>
      <c r="P129" s="28">
        <f t="shared" si="93"/>
        <v>0</v>
      </c>
      <c r="Q129" s="28">
        <f t="shared" si="93"/>
        <v>0</v>
      </c>
      <c r="R129" s="28">
        <f t="shared" si="93"/>
        <v>0</v>
      </c>
      <c r="S129" s="28">
        <f t="shared" si="93"/>
        <v>0</v>
      </c>
      <c r="T129" s="28">
        <f t="shared" si="93"/>
        <v>0</v>
      </c>
      <c r="U129" s="28">
        <f t="shared" si="93"/>
        <v>0</v>
      </c>
      <c r="V129" s="125"/>
      <c r="W129" s="84" t="str">
        <f t="shared" si="55"/>
        <v>덕트마감</v>
      </c>
      <c r="X129" s="136">
        <f t="shared" si="85"/>
        <v>0</v>
      </c>
      <c r="Y129" s="68"/>
      <c r="Z129" s="125"/>
      <c r="AA129" s="69" t="str">
        <f t="shared" si="64"/>
        <v>덕트마감</v>
      </c>
      <c r="AB129" s="28">
        <f t="shared" si="87"/>
        <v>21.700000000000003</v>
      </c>
    </row>
    <row r="130" spans="1:30" ht="20.100000000000001" customHeight="1" x14ac:dyDescent="0.3">
      <c r="A130" s="198"/>
      <c r="B130" s="30" t="s">
        <v>127</v>
      </c>
      <c r="C130" s="28">
        <f t="shared" si="82"/>
        <v>0</v>
      </c>
      <c r="D130" s="28">
        <f t="shared" ref="D130:U130" si="94">D104</f>
        <v>0</v>
      </c>
      <c r="E130" s="28">
        <f t="shared" si="94"/>
        <v>0</v>
      </c>
      <c r="F130" s="28">
        <f t="shared" si="94"/>
        <v>2.2000000000000002</v>
      </c>
      <c r="G130" s="28">
        <f t="shared" si="94"/>
        <v>0</v>
      </c>
      <c r="H130" s="28">
        <f t="shared" si="94"/>
        <v>0</v>
      </c>
      <c r="I130" s="28">
        <f t="shared" si="94"/>
        <v>0</v>
      </c>
      <c r="J130" s="28">
        <f t="shared" si="94"/>
        <v>1.6</v>
      </c>
      <c r="K130" s="28">
        <f t="shared" si="94"/>
        <v>1.8</v>
      </c>
      <c r="L130" s="28">
        <f t="shared" si="94"/>
        <v>1.2</v>
      </c>
      <c r="M130" s="28">
        <f t="shared" si="94"/>
        <v>0</v>
      </c>
      <c r="N130" s="28">
        <f t="shared" si="94"/>
        <v>0</v>
      </c>
      <c r="O130" s="28">
        <f t="shared" si="94"/>
        <v>0</v>
      </c>
      <c r="P130" s="28">
        <f t="shared" si="94"/>
        <v>0</v>
      </c>
      <c r="Q130" s="28">
        <f t="shared" si="94"/>
        <v>0</v>
      </c>
      <c r="R130" s="28">
        <f t="shared" si="94"/>
        <v>0</v>
      </c>
      <c r="S130" s="28">
        <f t="shared" si="94"/>
        <v>0</v>
      </c>
      <c r="T130" s="28">
        <f t="shared" si="94"/>
        <v>0</v>
      </c>
      <c r="U130" s="28">
        <f t="shared" si="94"/>
        <v>0</v>
      </c>
      <c r="V130" s="125"/>
      <c r="W130" s="84" t="str">
        <f t="shared" si="55"/>
        <v>오픈구</v>
      </c>
      <c r="X130" s="136">
        <f t="shared" si="85"/>
        <v>6.8000000000000007</v>
      </c>
      <c r="Y130" s="68"/>
      <c r="Z130" s="125"/>
      <c r="AA130" s="69" t="str">
        <f t="shared" si="64"/>
        <v>오픈구</v>
      </c>
      <c r="AB130" s="28">
        <f t="shared" si="87"/>
        <v>74.2</v>
      </c>
    </row>
    <row r="131" spans="1:30" ht="20.100000000000001" customHeight="1" thickBot="1" x14ac:dyDescent="0.35">
      <c r="A131" s="199"/>
      <c r="B131" s="30" t="s">
        <v>128</v>
      </c>
      <c r="C131" s="28">
        <f t="shared" si="82"/>
        <v>61.199999999999996</v>
      </c>
      <c r="D131" s="28">
        <f t="shared" ref="D131:U131" si="95">D105</f>
        <v>23.7</v>
      </c>
      <c r="E131" s="28">
        <f t="shared" si="95"/>
        <v>14.4</v>
      </c>
      <c r="F131" s="28">
        <f t="shared" si="95"/>
        <v>24.2</v>
      </c>
      <c r="G131" s="28">
        <f t="shared" si="95"/>
        <v>88.3</v>
      </c>
      <c r="H131" s="28">
        <f t="shared" si="95"/>
        <v>66</v>
      </c>
      <c r="I131" s="28">
        <f t="shared" si="95"/>
        <v>47.199999999999996</v>
      </c>
      <c r="J131" s="28">
        <f t="shared" si="95"/>
        <v>0</v>
      </c>
      <c r="K131" s="28">
        <f t="shared" si="95"/>
        <v>128.40000000000003</v>
      </c>
      <c r="L131" s="28">
        <f t="shared" si="95"/>
        <v>179.40000000000003</v>
      </c>
      <c r="M131" s="28">
        <f t="shared" si="95"/>
        <v>100.60000000000002</v>
      </c>
      <c r="N131" s="28">
        <f t="shared" si="95"/>
        <v>16</v>
      </c>
      <c r="O131" s="28">
        <f t="shared" si="95"/>
        <v>42.7</v>
      </c>
      <c r="P131" s="28">
        <f t="shared" si="95"/>
        <v>58.4</v>
      </c>
      <c r="Q131" s="28">
        <f t="shared" si="95"/>
        <v>48.800000000000004</v>
      </c>
      <c r="R131" s="28">
        <f t="shared" si="95"/>
        <v>18.8</v>
      </c>
      <c r="S131" s="28">
        <f t="shared" si="95"/>
        <v>0</v>
      </c>
      <c r="T131" s="28">
        <f t="shared" si="95"/>
        <v>0</v>
      </c>
      <c r="U131" s="28">
        <f t="shared" si="95"/>
        <v>0</v>
      </c>
      <c r="V131" s="125"/>
      <c r="W131" s="137" t="str">
        <f t="shared" si="55"/>
        <v>차열재마감</v>
      </c>
      <c r="X131" s="138">
        <f t="shared" si="85"/>
        <v>918.1</v>
      </c>
      <c r="Y131" s="68"/>
      <c r="Z131" s="125"/>
      <c r="AA131" s="69" t="str">
        <f t="shared" si="64"/>
        <v>차열재마감</v>
      </c>
      <c r="AB131" s="28">
        <f t="shared" si="87"/>
        <v>3067.8</v>
      </c>
    </row>
    <row r="132" spans="1:30" ht="20.100000000000001" customHeight="1" thickBot="1" x14ac:dyDescent="0.35"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</row>
    <row r="133" spans="1:30" ht="20.100000000000001" customHeight="1" x14ac:dyDescent="0.3">
      <c r="B133" s="30" t="s">
        <v>160</v>
      </c>
      <c r="C133" s="28">
        <f>C109</f>
        <v>0</v>
      </c>
      <c r="D133" s="28">
        <f t="shared" ref="D133:U133" si="96">D109</f>
        <v>0</v>
      </c>
      <c r="E133" s="28">
        <f t="shared" si="96"/>
        <v>0</v>
      </c>
      <c r="F133" s="28">
        <f t="shared" si="96"/>
        <v>0</v>
      </c>
      <c r="G133" s="28">
        <f t="shared" si="96"/>
        <v>0</v>
      </c>
      <c r="H133" s="28">
        <f t="shared" si="96"/>
        <v>0</v>
      </c>
      <c r="I133" s="28">
        <f t="shared" si="96"/>
        <v>0</v>
      </c>
      <c r="J133" s="28">
        <f t="shared" si="96"/>
        <v>0</v>
      </c>
      <c r="K133" s="28">
        <f t="shared" si="96"/>
        <v>0</v>
      </c>
      <c r="L133" s="28">
        <f t="shared" si="96"/>
        <v>0</v>
      </c>
      <c r="M133" s="28">
        <f t="shared" si="96"/>
        <v>0</v>
      </c>
      <c r="N133" s="28">
        <f t="shared" si="96"/>
        <v>0</v>
      </c>
      <c r="O133" s="28">
        <f t="shared" si="96"/>
        <v>0</v>
      </c>
      <c r="P133" s="28">
        <f t="shared" si="96"/>
        <v>0</v>
      </c>
      <c r="Q133" s="28">
        <f t="shared" si="96"/>
        <v>0</v>
      </c>
      <c r="R133" s="28">
        <f t="shared" si="96"/>
        <v>0</v>
      </c>
      <c r="S133" s="28">
        <f t="shared" si="96"/>
        <v>0</v>
      </c>
      <c r="T133" s="28">
        <f t="shared" si="96"/>
        <v>0</v>
      </c>
      <c r="U133" s="28">
        <f t="shared" si="96"/>
        <v>0</v>
      </c>
      <c r="V133" s="68"/>
      <c r="W133" s="83" t="str">
        <f t="shared" ref="W133" si="97">B133</f>
        <v>금속관 입상차열</v>
      </c>
      <c r="X133" s="135">
        <f>X109</f>
        <v>0</v>
      </c>
      <c r="Y133" s="68"/>
      <c r="Z133" s="68"/>
      <c r="AA133" s="69" t="str">
        <f>W133</f>
        <v>금속관 입상차열</v>
      </c>
      <c r="AB133" s="28">
        <f>AB109</f>
        <v>0</v>
      </c>
    </row>
    <row r="134" spans="1:30" ht="20.100000000000001" customHeight="1" x14ac:dyDescent="0.3">
      <c r="B134" s="30" t="s">
        <v>68</v>
      </c>
      <c r="C134" s="28">
        <f>SUM(C110:C112)</f>
        <v>0</v>
      </c>
      <c r="D134" s="28">
        <f t="shared" ref="D134:U134" si="98">SUM(D110:D112)</f>
        <v>0</v>
      </c>
      <c r="E134" s="28">
        <f t="shared" si="98"/>
        <v>0</v>
      </c>
      <c r="F134" s="28">
        <f t="shared" si="98"/>
        <v>0</v>
      </c>
      <c r="G134" s="28">
        <f t="shared" si="98"/>
        <v>0</v>
      </c>
      <c r="H134" s="28">
        <f t="shared" si="98"/>
        <v>0</v>
      </c>
      <c r="I134" s="28">
        <f t="shared" si="98"/>
        <v>0</v>
      </c>
      <c r="J134" s="28">
        <f t="shared" si="98"/>
        <v>0</v>
      </c>
      <c r="K134" s="28">
        <f t="shared" si="98"/>
        <v>0</v>
      </c>
      <c r="L134" s="28">
        <f t="shared" si="98"/>
        <v>0</v>
      </c>
      <c r="M134" s="28">
        <f t="shared" si="98"/>
        <v>7</v>
      </c>
      <c r="N134" s="28">
        <f t="shared" si="98"/>
        <v>10</v>
      </c>
      <c r="O134" s="28">
        <f t="shared" si="98"/>
        <v>0</v>
      </c>
      <c r="P134" s="28">
        <f t="shared" si="98"/>
        <v>0</v>
      </c>
      <c r="Q134" s="28">
        <f t="shared" si="98"/>
        <v>0</v>
      </c>
      <c r="R134" s="28">
        <f t="shared" si="98"/>
        <v>10</v>
      </c>
      <c r="S134" s="28">
        <f t="shared" si="98"/>
        <v>0</v>
      </c>
      <c r="T134" s="28">
        <f t="shared" si="98"/>
        <v>0</v>
      </c>
      <c r="U134" s="28">
        <f t="shared" si="98"/>
        <v>0</v>
      </c>
      <c r="V134" s="68"/>
      <c r="W134" s="84" t="str">
        <f t="shared" ref="W134:W138" si="99">B134</f>
        <v>금속관 입상</v>
      </c>
      <c r="X134" s="136">
        <f>SUM(X110:X112)</f>
        <v>27</v>
      </c>
      <c r="Y134" s="68"/>
      <c r="Z134" s="68"/>
      <c r="AA134" s="69" t="str">
        <f>W134</f>
        <v>금속관 입상</v>
      </c>
      <c r="AB134" s="28">
        <f>SUM(AB110:AB112)</f>
        <v>35</v>
      </c>
    </row>
    <row r="135" spans="1:30" ht="20.100000000000001" customHeight="1" x14ac:dyDescent="0.3">
      <c r="B135" s="30" t="s">
        <v>69</v>
      </c>
      <c r="C135" s="28">
        <f t="shared" ref="C135:U135" si="100">SUM(C113:C115)</f>
        <v>6</v>
      </c>
      <c r="D135" s="28">
        <f t="shared" si="100"/>
        <v>2</v>
      </c>
      <c r="E135" s="28">
        <f t="shared" si="100"/>
        <v>19</v>
      </c>
      <c r="F135" s="28">
        <f t="shared" si="100"/>
        <v>32.5</v>
      </c>
      <c r="G135" s="28">
        <f t="shared" si="100"/>
        <v>0</v>
      </c>
      <c r="H135" s="28">
        <f t="shared" si="100"/>
        <v>11</v>
      </c>
      <c r="I135" s="28">
        <f t="shared" si="100"/>
        <v>0</v>
      </c>
      <c r="J135" s="28">
        <f t="shared" si="100"/>
        <v>3</v>
      </c>
      <c r="K135" s="28">
        <f t="shared" si="100"/>
        <v>39.5</v>
      </c>
      <c r="L135" s="28">
        <f t="shared" si="100"/>
        <v>21</v>
      </c>
      <c r="M135" s="28">
        <f t="shared" si="100"/>
        <v>9</v>
      </c>
      <c r="N135" s="28">
        <f t="shared" si="100"/>
        <v>16.5</v>
      </c>
      <c r="O135" s="28">
        <f t="shared" si="100"/>
        <v>0</v>
      </c>
      <c r="P135" s="28">
        <f t="shared" si="100"/>
        <v>10</v>
      </c>
      <c r="Q135" s="28">
        <f t="shared" si="100"/>
        <v>4</v>
      </c>
      <c r="R135" s="28">
        <f t="shared" si="100"/>
        <v>6.5</v>
      </c>
      <c r="S135" s="28">
        <f t="shared" si="100"/>
        <v>0</v>
      </c>
      <c r="T135" s="28">
        <f t="shared" si="100"/>
        <v>0</v>
      </c>
      <c r="U135" s="28">
        <f t="shared" si="100"/>
        <v>0</v>
      </c>
      <c r="V135" s="68"/>
      <c r="W135" s="84" t="str">
        <f t="shared" si="99"/>
        <v>금속관 벽체</v>
      </c>
      <c r="X135" s="136">
        <f>SUM(X113:X115)</f>
        <v>180</v>
      </c>
      <c r="Y135" s="68"/>
      <c r="Z135" s="68"/>
      <c r="AA135" s="69" t="str">
        <f t="shared" ref="AA135:AA138" si="101">W135</f>
        <v>금속관 벽체</v>
      </c>
      <c r="AB135" s="28">
        <f>SUM(AB113:AB115)</f>
        <v>818</v>
      </c>
      <c r="AC135" s="144"/>
      <c r="AD135" s="144"/>
    </row>
    <row r="136" spans="1:30" ht="20.100000000000001" customHeight="1" x14ac:dyDescent="0.3">
      <c r="B136" s="30" t="s">
        <v>70</v>
      </c>
      <c r="C136" s="28">
        <f t="shared" ref="C136:U136" si="102">C116</f>
        <v>0</v>
      </c>
      <c r="D136" s="28">
        <f t="shared" si="102"/>
        <v>0</v>
      </c>
      <c r="E136" s="28">
        <f t="shared" si="102"/>
        <v>0</v>
      </c>
      <c r="F136" s="28">
        <f t="shared" si="102"/>
        <v>0</v>
      </c>
      <c r="G136" s="28">
        <f t="shared" si="102"/>
        <v>0</v>
      </c>
      <c r="H136" s="28">
        <f t="shared" si="102"/>
        <v>0</v>
      </c>
      <c r="I136" s="28">
        <f t="shared" si="102"/>
        <v>0</v>
      </c>
      <c r="J136" s="28">
        <f t="shared" si="102"/>
        <v>0</v>
      </c>
      <c r="K136" s="28">
        <f t="shared" si="102"/>
        <v>0</v>
      </c>
      <c r="L136" s="28">
        <f t="shared" si="102"/>
        <v>0</v>
      </c>
      <c r="M136" s="28">
        <f t="shared" si="102"/>
        <v>0</v>
      </c>
      <c r="N136" s="28">
        <f t="shared" si="102"/>
        <v>0</v>
      </c>
      <c r="O136" s="28">
        <f t="shared" si="102"/>
        <v>0</v>
      </c>
      <c r="P136" s="28">
        <f t="shared" si="102"/>
        <v>0</v>
      </c>
      <c r="Q136" s="28">
        <f t="shared" si="102"/>
        <v>0</v>
      </c>
      <c r="R136" s="28">
        <f t="shared" si="102"/>
        <v>0</v>
      </c>
      <c r="S136" s="28">
        <f t="shared" si="102"/>
        <v>0</v>
      </c>
      <c r="T136" s="28">
        <f t="shared" si="102"/>
        <v>0</v>
      </c>
      <c r="U136" s="28">
        <f t="shared" si="102"/>
        <v>0</v>
      </c>
      <c r="V136" s="68"/>
      <c r="W136" s="84" t="str">
        <f t="shared" si="99"/>
        <v>PVC 입상</v>
      </c>
      <c r="X136" s="136">
        <f>X116</f>
        <v>0</v>
      </c>
      <c r="Y136" s="68"/>
      <c r="Z136" s="68"/>
      <c r="AA136" s="69" t="str">
        <f t="shared" si="101"/>
        <v>PVC 입상</v>
      </c>
      <c r="AB136" s="28">
        <f>AB116</f>
        <v>0</v>
      </c>
      <c r="AC136" s="145"/>
      <c r="AD136" s="145"/>
    </row>
    <row r="137" spans="1:30" ht="20.100000000000001" customHeight="1" x14ac:dyDescent="0.3">
      <c r="B137" s="30" t="s">
        <v>124</v>
      </c>
      <c r="C137" s="28">
        <f t="shared" ref="C137:U137" si="103">C117</f>
        <v>0</v>
      </c>
      <c r="D137" s="28">
        <f t="shared" si="103"/>
        <v>0</v>
      </c>
      <c r="E137" s="28">
        <f t="shared" si="103"/>
        <v>0</v>
      </c>
      <c r="F137" s="28">
        <f t="shared" si="103"/>
        <v>0</v>
      </c>
      <c r="G137" s="28">
        <f t="shared" si="103"/>
        <v>0</v>
      </c>
      <c r="H137" s="28">
        <f t="shared" si="103"/>
        <v>0</v>
      </c>
      <c r="I137" s="28">
        <f t="shared" si="103"/>
        <v>0</v>
      </c>
      <c r="J137" s="28">
        <f t="shared" si="103"/>
        <v>0</v>
      </c>
      <c r="K137" s="28">
        <f t="shared" si="103"/>
        <v>0</v>
      </c>
      <c r="L137" s="28">
        <f t="shared" si="103"/>
        <v>0</v>
      </c>
      <c r="M137" s="28">
        <f t="shared" si="103"/>
        <v>0</v>
      </c>
      <c r="N137" s="28">
        <f t="shared" si="103"/>
        <v>0</v>
      </c>
      <c r="O137" s="28">
        <f t="shared" si="103"/>
        <v>0</v>
      </c>
      <c r="P137" s="28">
        <f t="shared" si="103"/>
        <v>0</v>
      </c>
      <c r="Q137" s="28">
        <f t="shared" si="103"/>
        <v>0</v>
      </c>
      <c r="R137" s="28">
        <f t="shared" si="103"/>
        <v>0</v>
      </c>
      <c r="S137" s="28">
        <f t="shared" si="103"/>
        <v>0</v>
      </c>
      <c r="T137" s="28">
        <f t="shared" si="103"/>
        <v>0</v>
      </c>
      <c r="U137" s="28">
        <f t="shared" si="103"/>
        <v>0</v>
      </c>
      <c r="V137" s="68"/>
      <c r="W137" s="84" t="str">
        <f t="shared" si="99"/>
        <v>세대SP</v>
      </c>
      <c r="X137" s="136">
        <f>X117</f>
        <v>0</v>
      </c>
      <c r="Y137" s="68"/>
      <c r="Z137" s="68"/>
      <c r="AA137" s="69" t="str">
        <f t="shared" si="101"/>
        <v>세대SP</v>
      </c>
      <c r="AB137" s="28">
        <f>AB117</f>
        <v>0</v>
      </c>
    </row>
    <row r="138" spans="1:30" ht="20.100000000000001" customHeight="1" x14ac:dyDescent="0.3">
      <c r="B138" s="30" t="s">
        <v>71</v>
      </c>
      <c r="C138" s="28">
        <f t="shared" ref="C138:U138" si="104">C118</f>
        <v>0</v>
      </c>
      <c r="D138" s="28">
        <f t="shared" si="104"/>
        <v>0</v>
      </c>
      <c r="E138" s="28">
        <f t="shared" si="104"/>
        <v>0</v>
      </c>
      <c r="F138" s="28">
        <f t="shared" si="104"/>
        <v>0</v>
      </c>
      <c r="G138" s="28">
        <f t="shared" si="104"/>
        <v>0</v>
      </c>
      <c r="H138" s="28">
        <f t="shared" si="104"/>
        <v>0</v>
      </c>
      <c r="I138" s="28">
        <f t="shared" si="104"/>
        <v>0</v>
      </c>
      <c r="J138" s="28">
        <f t="shared" si="104"/>
        <v>0</v>
      </c>
      <c r="K138" s="28">
        <f t="shared" si="104"/>
        <v>0</v>
      </c>
      <c r="L138" s="28">
        <f t="shared" si="104"/>
        <v>0</v>
      </c>
      <c r="M138" s="28">
        <f t="shared" si="104"/>
        <v>0</v>
      </c>
      <c r="N138" s="28">
        <f t="shared" si="104"/>
        <v>0</v>
      </c>
      <c r="O138" s="28">
        <f t="shared" si="104"/>
        <v>0</v>
      </c>
      <c r="P138" s="28">
        <f t="shared" si="104"/>
        <v>0</v>
      </c>
      <c r="Q138" s="28">
        <f t="shared" si="104"/>
        <v>0</v>
      </c>
      <c r="R138" s="28">
        <f t="shared" si="104"/>
        <v>0</v>
      </c>
      <c r="S138" s="28">
        <f t="shared" si="104"/>
        <v>0</v>
      </c>
      <c r="T138" s="28">
        <f t="shared" si="104"/>
        <v>0</v>
      </c>
      <c r="U138" s="28">
        <f t="shared" si="104"/>
        <v>0</v>
      </c>
      <c r="V138" s="68"/>
      <c r="W138" s="84" t="str">
        <f t="shared" si="99"/>
        <v>PVC 벽체</v>
      </c>
      <c r="X138" s="136">
        <f>X118</f>
        <v>0</v>
      </c>
      <c r="Y138" s="68"/>
      <c r="Z138" s="68"/>
      <c r="AA138" s="69" t="str">
        <f t="shared" si="101"/>
        <v>PVC 벽체</v>
      </c>
      <c r="AB138" s="28">
        <f>AB118</f>
        <v>1</v>
      </c>
      <c r="AC138" s="144"/>
      <c r="AD138" s="144"/>
    </row>
    <row r="139" spans="1:30" ht="20.100000000000001" customHeight="1" x14ac:dyDescent="0.3">
      <c r="B139" s="30" t="s">
        <v>123</v>
      </c>
      <c r="C139" s="28">
        <f t="shared" ref="C139:U139" si="105">SUM(C119:C120)</f>
        <v>0</v>
      </c>
      <c r="D139" s="28">
        <f t="shared" si="105"/>
        <v>0</v>
      </c>
      <c r="E139" s="28">
        <f t="shared" si="105"/>
        <v>0</v>
      </c>
      <c r="F139" s="28">
        <f t="shared" si="105"/>
        <v>0</v>
      </c>
      <c r="G139" s="28">
        <f t="shared" si="105"/>
        <v>0</v>
      </c>
      <c r="H139" s="28">
        <f t="shared" si="105"/>
        <v>0</v>
      </c>
      <c r="I139" s="28">
        <f t="shared" si="105"/>
        <v>0</v>
      </c>
      <c r="J139" s="28">
        <f t="shared" si="105"/>
        <v>0</v>
      </c>
      <c r="K139" s="28">
        <f t="shared" si="105"/>
        <v>0</v>
      </c>
      <c r="L139" s="28">
        <f t="shared" si="105"/>
        <v>0</v>
      </c>
      <c r="M139" s="28">
        <f t="shared" si="105"/>
        <v>0</v>
      </c>
      <c r="N139" s="28">
        <f t="shared" si="105"/>
        <v>0</v>
      </c>
      <c r="O139" s="28">
        <f t="shared" si="105"/>
        <v>0</v>
      </c>
      <c r="P139" s="28">
        <f t="shared" si="105"/>
        <v>0</v>
      </c>
      <c r="Q139" s="28">
        <f t="shared" si="105"/>
        <v>0</v>
      </c>
      <c r="R139" s="28">
        <f t="shared" si="105"/>
        <v>0</v>
      </c>
      <c r="S139" s="28">
        <f t="shared" si="105"/>
        <v>0</v>
      </c>
      <c r="T139" s="28">
        <f t="shared" si="105"/>
        <v>0</v>
      </c>
      <c r="U139" s="28">
        <f t="shared" si="105"/>
        <v>0</v>
      </c>
      <c r="V139" s="68"/>
      <c r="W139" s="84" t="str">
        <f>B139</f>
        <v>대구경추가차열</v>
      </c>
      <c r="X139" s="136">
        <f>SUM(X119:X120)</f>
        <v>0</v>
      </c>
      <c r="Y139" s="68"/>
      <c r="Z139" s="68"/>
      <c r="AA139" s="69" t="str">
        <f>W139</f>
        <v>대구경추가차열</v>
      </c>
      <c r="AB139" s="28">
        <f>SUM(AB119:AB120)</f>
        <v>0</v>
      </c>
    </row>
    <row r="140" spans="1:30" ht="20.100000000000001" customHeight="1" x14ac:dyDescent="0.3">
      <c r="B140" s="30" t="s">
        <v>118</v>
      </c>
      <c r="C140" s="28">
        <f t="shared" ref="C140:U140" si="106">SUM(C121:C122)</f>
        <v>0</v>
      </c>
      <c r="D140" s="28">
        <f t="shared" si="106"/>
        <v>0</v>
      </c>
      <c r="E140" s="28">
        <f t="shared" si="106"/>
        <v>0</v>
      </c>
      <c r="F140" s="28">
        <f t="shared" si="106"/>
        <v>0</v>
      </c>
      <c r="G140" s="28">
        <f t="shared" si="106"/>
        <v>0</v>
      </c>
      <c r="H140" s="28">
        <f t="shared" si="106"/>
        <v>0</v>
      </c>
      <c r="I140" s="28">
        <f t="shared" si="106"/>
        <v>0</v>
      </c>
      <c r="J140" s="28">
        <f t="shared" si="106"/>
        <v>0</v>
      </c>
      <c r="K140" s="28">
        <f t="shared" si="106"/>
        <v>0</v>
      </c>
      <c r="L140" s="28">
        <f t="shared" si="106"/>
        <v>0</v>
      </c>
      <c r="M140" s="28">
        <f t="shared" si="106"/>
        <v>0</v>
      </c>
      <c r="N140" s="28">
        <f t="shared" si="106"/>
        <v>0</v>
      </c>
      <c r="O140" s="28">
        <f t="shared" si="106"/>
        <v>0</v>
      </c>
      <c r="P140" s="28">
        <f t="shared" si="106"/>
        <v>0</v>
      </c>
      <c r="Q140" s="28">
        <f t="shared" si="106"/>
        <v>0</v>
      </c>
      <c r="R140" s="28">
        <f t="shared" si="106"/>
        <v>0</v>
      </c>
      <c r="S140" s="28">
        <f t="shared" si="106"/>
        <v>0</v>
      </c>
      <c r="T140" s="28">
        <f t="shared" si="106"/>
        <v>0</v>
      </c>
      <c r="U140" s="28">
        <f t="shared" si="106"/>
        <v>0</v>
      </c>
      <c r="V140" s="68"/>
      <c r="W140" s="84" t="str">
        <f>B140</f>
        <v>실란트마감</v>
      </c>
      <c r="X140" s="136">
        <f>SUM(X121:X122)</f>
        <v>0</v>
      </c>
      <c r="Y140" s="68"/>
      <c r="Z140" s="68"/>
      <c r="AA140" s="69" t="str">
        <f>W140</f>
        <v>실란트마감</v>
      </c>
      <c r="AB140" s="28">
        <f>SUM(AB121:AB122)</f>
        <v>0</v>
      </c>
    </row>
    <row r="141" spans="1:30" ht="20.100000000000001" customHeight="1" x14ac:dyDescent="0.3">
      <c r="B141" s="30" t="s">
        <v>117</v>
      </c>
      <c r="C141" s="28">
        <f t="shared" ref="C141:U141" si="107">C123</f>
        <v>0</v>
      </c>
      <c r="D141" s="28">
        <f t="shared" si="107"/>
        <v>0</v>
      </c>
      <c r="E141" s="28">
        <f t="shared" si="107"/>
        <v>0</v>
      </c>
      <c r="F141" s="28">
        <f t="shared" si="107"/>
        <v>0</v>
      </c>
      <c r="G141" s="28">
        <f t="shared" si="107"/>
        <v>0</v>
      </c>
      <c r="H141" s="28">
        <f t="shared" si="107"/>
        <v>0</v>
      </c>
      <c r="I141" s="28">
        <f t="shared" si="107"/>
        <v>0</v>
      </c>
      <c r="J141" s="28">
        <f t="shared" si="107"/>
        <v>0</v>
      </c>
      <c r="K141" s="28">
        <f t="shared" si="107"/>
        <v>0</v>
      </c>
      <c r="L141" s="28">
        <f t="shared" si="107"/>
        <v>0</v>
      </c>
      <c r="M141" s="28">
        <f t="shared" si="107"/>
        <v>0</v>
      </c>
      <c r="N141" s="28">
        <f t="shared" si="107"/>
        <v>0</v>
      </c>
      <c r="O141" s="28">
        <f t="shared" si="107"/>
        <v>0</v>
      </c>
      <c r="P141" s="28">
        <f t="shared" si="107"/>
        <v>0</v>
      </c>
      <c r="Q141" s="28">
        <f t="shared" si="107"/>
        <v>0</v>
      </c>
      <c r="R141" s="28">
        <f t="shared" si="107"/>
        <v>0</v>
      </c>
      <c r="S141" s="28">
        <f t="shared" si="107"/>
        <v>0</v>
      </c>
      <c r="T141" s="28">
        <f t="shared" si="107"/>
        <v>0</v>
      </c>
      <c r="U141" s="28">
        <f t="shared" si="107"/>
        <v>0</v>
      </c>
      <c r="V141" s="68"/>
      <c r="W141" s="84" t="str">
        <f>B141</f>
        <v>슬리브</v>
      </c>
      <c r="X141" s="136">
        <f>X123</f>
        <v>0</v>
      </c>
      <c r="Y141" s="68"/>
      <c r="Z141" s="68"/>
      <c r="AA141" s="69" t="str">
        <f>W141</f>
        <v>슬리브</v>
      </c>
      <c r="AB141" s="28">
        <f>AB123</f>
        <v>0</v>
      </c>
    </row>
    <row r="142" spans="1:30" ht="20.100000000000001" customHeight="1" x14ac:dyDescent="0.3">
      <c r="A142" s="197" t="s">
        <v>80</v>
      </c>
      <c r="B142" s="30" t="s">
        <v>129</v>
      </c>
      <c r="C142" s="28">
        <f t="shared" ref="C142:U142" si="108">SUM(C124:C125)</f>
        <v>0</v>
      </c>
      <c r="D142" s="28">
        <f t="shared" si="108"/>
        <v>0</v>
      </c>
      <c r="E142" s="28">
        <f t="shared" si="108"/>
        <v>0</v>
      </c>
      <c r="F142" s="28">
        <f t="shared" si="108"/>
        <v>0</v>
      </c>
      <c r="G142" s="28">
        <f t="shared" si="108"/>
        <v>0</v>
      </c>
      <c r="H142" s="28">
        <f t="shared" si="108"/>
        <v>0</v>
      </c>
      <c r="I142" s="28">
        <f t="shared" si="108"/>
        <v>0</v>
      </c>
      <c r="J142" s="28">
        <f t="shared" si="108"/>
        <v>0</v>
      </c>
      <c r="K142" s="28">
        <f t="shared" si="108"/>
        <v>0</v>
      </c>
      <c r="L142" s="28">
        <f t="shared" si="108"/>
        <v>0</v>
      </c>
      <c r="M142" s="28">
        <f t="shared" si="108"/>
        <v>7.8000000000000007</v>
      </c>
      <c r="N142" s="28">
        <f t="shared" si="108"/>
        <v>0</v>
      </c>
      <c r="O142" s="28">
        <f t="shared" si="108"/>
        <v>10</v>
      </c>
      <c r="P142" s="28">
        <f t="shared" si="108"/>
        <v>0</v>
      </c>
      <c r="Q142" s="28">
        <f t="shared" si="108"/>
        <v>0</v>
      </c>
      <c r="R142" s="28">
        <f t="shared" si="108"/>
        <v>0</v>
      </c>
      <c r="S142" s="28">
        <f t="shared" si="108"/>
        <v>0</v>
      </c>
      <c r="T142" s="28">
        <f t="shared" si="108"/>
        <v>0</v>
      </c>
      <c r="U142" s="28">
        <f t="shared" si="108"/>
        <v>0</v>
      </c>
      <c r="V142" s="125"/>
      <c r="W142" s="84" t="str">
        <f t="shared" ref="W142:W147" si="109">B142</f>
        <v>덕트입상</v>
      </c>
      <c r="X142" s="136">
        <f>SUM(X124:X125)</f>
        <v>17.800000000000004</v>
      </c>
      <c r="Y142" s="68"/>
      <c r="Z142" s="125"/>
      <c r="AA142" s="69" t="str">
        <f t="shared" ref="AA142:AA147" si="110">W142</f>
        <v>덕트입상</v>
      </c>
      <c r="AB142" s="28">
        <f>SUM(AB124:AB125)</f>
        <v>55.3</v>
      </c>
    </row>
    <row r="143" spans="1:30" ht="20.100000000000001" customHeight="1" x14ac:dyDescent="0.3">
      <c r="A143" s="198"/>
      <c r="B143" s="30" t="s">
        <v>130</v>
      </c>
      <c r="C143" s="28">
        <f t="shared" ref="C143:U143" si="111">SUM(C126:C127)</f>
        <v>40.4</v>
      </c>
      <c r="D143" s="28">
        <f t="shared" si="111"/>
        <v>15.7</v>
      </c>
      <c r="E143" s="28">
        <f t="shared" si="111"/>
        <v>7.2</v>
      </c>
      <c r="F143" s="28">
        <f t="shared" si="111"/>
        <v>12.1</v>
      </c>
      <c r="G143" s="28">
        <f t="shared" si="111"/>
        <v>50.3</v>
      </c>
      <c r="H143" s="28">
        <f t="shared" si="111"/>
        <v>49.899999999999991</v>
      </c>
      <c r="I143" s="28">
        <f t="shared" si="111"/>
        <v>32.400000000000006</v>
      </c>
      <c r="J143" s="28">
        <f t="shared" si="111"/>
        <v>0</v>
      </c>
      <c r="K143" s="28">
        <f t="shared" si="111"/>
        <v>75.900000000000006</v>
      </c>
      <c r="L143" s="28">
        <f t="shared" si="111"/>
        <v>102.6</v>
      </c>
      <c r="M143" s="28">
        <f t="shared" si="111"/>
        <v>41.2</v>
      </c>
      <c r="N143" s="28">
        <f t="shared" si="111"/>
        <v>11.700000000000001</v>
      </c>
      <c r="O143" s="28">
        <f t="shared" si="111"/>
        <v>8.5</v>
      </c>
      <c r="P143" s="28">
        <f t="shared" si="111"/>
        <v>33.6</v>
      </c>
      <c r="Q143" s="28">
        <f t="shared" si="111"/>
        <v>27.200000000000003</v>
      </c>
      <c r="R143" s="28">
        <f t="shared" si="111"/>
        <v>9.4</v>
      </c>
      <c r="S143" s="28">
        <f t="shared" si="111"/>
        <v>0</v>
      </c>
      <c r="T143" s="28">
        <f t="shared" si="111"/>
        <v>0</v>
      </c>
      <c r="U143" s="28">
        <f t="shared" si="111"/>
        <v>0</v>
      </c>
      <c r="V143" s="125"/>
      <c r="W143" s="84" t="str">
        <f t="shared" si="109"/>
        <v>덕트벽체</v>
      </c>
      <c r="X143" s="136">
        <f>SUM(X126:X127)</f>
        <v>518.1</v>
      </c>
      <c r="Y143" s="68"/>
      <c r="Z143" s="125"/>
      <c r="AA143" s="69" t="str">
        <f t="shared" si="110"/>
        <v>덕트벽체</v>
      </c>
      <c r="AB143" s="28">
        <f>SUM(AB126:AB127)</f>
        <v>1731.8</v>
      </c>
    </row>
    <row r="144" spans="1:30" ht="20.100000000000001" customHeight="1" x14ac:dyDescent="0.3">
      <c r="A144" s="198"/>
      <c r="B144" s="30" t="s">
        <v>125</v>
      </c>
      <c r="C144" s="28">
        <f t="shared" ref="C144:U144" si="112">C128</f>
        <v>0</v>
      </c>
      <c r="D144" s="28">
        <f t="shared" si="112"/>
        <v>0</v>
      </c>
      <c r="E144" s="28">
        <f t="shared" si="112"/>
        <v>0</v>
      </c>
      <c r="F144" s="28">
        <f t="shared" si="112"/>
        <v>0</v>
      </c>
      <c r="G144" s="28">
        <f t="shared" si="112"/>
        <v>0</v>
      </c>
      <c r="H144" s="28">
        <f t="shared" si="112"/>
        <v>0</v>
      </c>
      <c r="I144" s="28">
        <f t="shared" si="112"/>
        <v>0</v>
      </c>
      <c r="J144" s="28">
        <f t="shared" si="112"/>
        <v>0</v>
      </c>
      <c r="K144" s="28">
        <f t="shared" si="112"/>
        <v>0</v>
      </c>
      <c r="L144" s="28">
        <f t="shared" si="112"/>
        <v>0</v>
      </c>
      <c r="M144" s="28">
        <f t="shared" si="112"/>
        <v>0</v>
      </c>
      <c r="N144" s="28">
        <f t="shared" si="112"/>
        <v>0</v>
      </c>
      <c r="O144" s="28">
        <f t="shared" si="112"/>
        <v>0</v>
      </c>
      <c r="P144" s="28">
        <f t="shared" si="112"/>
        <v>0</v>
      </c>
      <c r="Q144" s="28">
        <f t="shared" si="112"/>
        <v>0</v>
      </c>
      <c r="R144" s="28">
        <f t="shared" si="112"/>
        <v>0</v>
      </c>
      <c r="S144" s="28">
        <f t="shared" si="112"/>
        <v>0</v>
      </c>
      <c r="T144" s="28">
        <f t="shared" si="112"/>
        <v>0</v>
      </c>
      <c r="U144" s="28">
        <f t="shared" si="112"/>
        <v>0</v>
      </c>
      <c r="V144" s="125"/>
      <c r="W144" s="84" t="str">
        <f t="shared" si="109"/>
        <v>댐퍼팽창테이프</v>
      </c>
      <c r="X144" s="136">
        <f>X128</f>
        <v>0</v>
      </c>
      <c r="Y144" s="68"/>
      <c r="Z144" s="125"/>
      <c r="AA144" s="69" t="str">
        <f t="shared" si="110"/>
        <v>댐퍼팽창테이프</v>
      </c>
      <c r="AB144" s="28">
        <f>AB128</f>
        <v>988.80000000000018</v>
      </c>
    </row>
    <row r="145" spans="1:32" ht="20.100000000000001" customHeight="1" x14ac:dyDescent="0.3">
      <c r="A145" s="198"/>
      <c r="B145" s="30" t="s">
        <v>126</v>
      </c>
      <c r="C145" s="28">
        <f t="shared" ref="C145:U145" si="113">C129</f>
        <v>0</v>
      </c>
      <c r="D145" s="28">
        <f t="shared" si="113"/>
        <v>0</v>
      </c>
      <c r="E145" s="28">
        <f t="shared" si="113"/>
        <v>0</v>
      </c>
      <c r="F145" s="28">
        <f t="shared" si="113"/>
        <v>0</v>
      </c>
      <c r="G145" s="28">
        <f t="shared" si="113"/>
        <v>0</v>
      </c>
      <c r="H145" s="28">
        <f t="shared" si="113"/>
        <v>0</v>
      </c>
      <c r="I145" s="28">
        <f t="shared" si="113"/>
        <v>0</v>
      </c>
      <c r="J145" s="28">
        <f t="shared" si="113"/>
        <v>0</v>
      </c>
      <c r="K145" s="28">
        <f t="shared" si="113"/>
        <v>0</v>
      </c>
      <c r="L145" s="28">
        <f t="shared" si="113"/>
        <v>0</v>
      </c>
      <c r="M145" s="28">
        <f t="shared" si="113"/>
        <v>0</v>
      </c>
      <c r="N145" s="28">
        <f t="shared" si="113"/>
        <v>0</v>
      </c>
      <c r="O145" s="28">
        <f t="shared" si="113"/>
        <v>0</v>
      </c>
      <c r="P145" s="28">
        <f t="shared" si="113"/>
        <v>0</v>
      </c>
      <c r="Q145" s="28">
        <f t="shared" si="113"/>
        <v>0</v>
      </c>
      <c r="R145" s="28">
        <f t="shared" si="113"/>
        <v>0</v>
      </c>
      <c r="S145" s="28">
        <f t="shared" si="113"/>
        <v>0</v>
      </c>
      <c r="T145" s="28">
        <f t="shared" si="113"/>
        <v>0</v>
      </c>
      <c r="U145" s="28">
        <f t="shared" si="113"/>
        <v>0</v>
      </c>
      <c r="V145" s="125"/>
      <c r="W145" s="84" t="str">
        <f t="shared" si="109"/>
        <v>덕트마감</v>
      </c>
      <c r="X145" s="136">
        <f>X129</f>
        <v>0</v>
      </c>
      <c r="Y145" s="68"/>
      <c r="Z145" s="125"/>
      <c r="AA145" s="69" t="str">
        <f t="shared" si="110"/>
        <v>덕트마감</v>
      </c>
      <c r="AB145" s="28">
        <f>AB129</f>
        <v>21.700000000000003</v>
      </c>
    </row>
    <row r="146" spans="1:32" ht="20.100000000000001" customHeight="1" x14ac:dyDescent="0.3">
      <c r="A146" s="198"/>
      <c r="B146" s="30" t="s">
        <v>127</v>
      </c>
      <c r="C146" s="28">
        <f t="shared" ref="C146:U146" si="114">C130</f>
        <v>0</v>
      </c>
      <c r="D146" s="28">
        <f t="shared" si="114"/>
        <v>0</v>
      </c>
      <c r="E146" s="28">
        <f t="shared" si="114"/>
        <v>0</v>
      </c>
      <c r="F146" s="28">
        <f t="shared" si="114"/>
        <v>2.2000000000000002</v>
      </c>
      <c r="G146" s="28">
        <f t="shared" si="114"/>
        <v>0</v>
      </c>
      <c r="H146" s="28">
        <f t="shared" si="114"/>
        <v>0</v>
      </c>
      <c r="I146" s="28">
        <f t="shared" si="114"/>
        <v>0</v>
      </c>
      <c r="J146" s="28">
        <f t="shared" si="114"/>
        <v>1.6</v>
      </c>
      <c r="K146" s="28">
        <f t="shared" si="114"/>
        <v>1.8</v>
      </c>
      <c r="L146" s="28">
        <f t="shared" si="114"/>
        <v>1.2</v>
      </c>
      <c r="M146" s="28">
        <f t="shared" si="114"/>
        <v>0</v>
      </c>
      <c r="N146" s="28">
        <f t="shared" si="114"/>
        <v>0</v>
      </c>
      <c r="O146" s="28">
        <f t="shared" si="114"/>
        <v>0</v>
      </c>
      <c r="P146" s="28">
        <f t="shared" si="114"/>
        <v>0</v>
      </c>
      <c r="Q146" s="28">
        <f t="shared" si="114"/>
        <v>0</v>
      </c>
      <c r="R146" s="28">
        <f t="shared" si="114"/>
        <v>0</v>
      </c>
      <c r="S146" s="28">
        <f t="shared" si="114"/>
        <v>0</v>
      </c>
      <c r="T146" s="28">
        <f t="shared" si="114"/>
        <v>0</v>
      </c>
      <c r="U146" s="28">
        <f t="shared" si="114"/>
        <v>0</v>
      </c>
      <c r="V146" s="125"/>
      <c r="W146" s="84" t="str">
        <f t="shared" si="109"/>
        <v>오픈구</v>
      </c>
      <c r="X146" s="136">
        <f>X130</f>
        <v>6.8000000000000007</v>
      </c>
      <c r="Y146" s="68"/>
      <c r="Z146" s="125"/>
      <c r="AA146" s="69" t="str">
        <f t="shared" si="110"/>
        <v>오픈구</v>
      </c>
      <c r="AB146" s="28">
        <f>AB130</f>
        <v>74.2</v>
      </c>
    </row>
    <row r="147" spans="1:32" ht="20.100000000000001" customHeight="1" thickBot="1" x14ac:dyDescent="0.35">
      <c r="A147" s="199"/>
      <c r="B147" s="30" t="s">
        <v>128</v>
      </c>
      <c r="C147" s="28">
        <f t="shared" ref="C147:U147" si="115">C131</f>
        <v>61.199999999999996</v>
      </c>
      <c r="D147" s="28">
        <f t="shared" si="115"/>
        <v>23.7</v>
      </c>
      <c r="E147" s="28">
        <f t="shared" si="115"/>
        <v>14.4</v>
      </c>
      <c r="F147" s="28">
        <f t="shared" si="115"/>
        <v>24.2</v>
      </c>
      <c r="G147" s="28">
        <f t="shared" si="115"/>
        <v>88.3</v>
      </c>
      <c r="H147" s="28">
        <f t="shared" si="115"/>
        <v>66</v>
      </c>
      <c r="I147" s="28">
        <f t="shared" si="115"/>
        <v>47.199999999999996</v>
      </c>
      <c r="J147" s="28">
        <f t="shared" si="115"/>
        <v>0</v>
      </c>
      <c r="K147" s="28">
        <f t="shared" si="115"/>
        <v>128.40000000000003</v>
      </c>
      <c r="L147" s="28">
        <f t="shared" si="115"/>
        <v>179.40000000000003</v>
      </c>
      <c r="M147" s="28">
        <f t="shared" si="115"/>
        <v>100.60000000000002</v>
      </c>
      <c r="N147" s="28">
        <f t="shared" si="115"/>
        <v>16</v>
      </c>
      <c r="O147" s="28">
        <f t="shared" si="115"/>
        <v>42.7</v>
      </c>
      <c r="P147" s="28">
        <f t="shared" si="115"/>
        <v>58.4</v>
      </c>
      <c r="Q147" s="28">
        <f t="shared" si="115"/>
        <v>48.800000000000004</v>
      </c>
      <c r="R147" s="28">
        <f t="shared" si="115"/>
        <v>18.8</v>
      </c>
      <c r="S147" s="28">
        <f t="shared" si="115"/>
        <v>0</v>
      </c>
      <c r="T147" s="28">
        <f t="shared" si="115"/>
        <v>0</v>
      </c>
      <c r="U147" s="28">
        <f t="shared" si="115"/>
        <v>0</v>
      </c>
      <c r="V147" s="125"/>
      <c r="W147" s="137" t="str">
        <f t="shared" si="109"/>
        <v>차열재마감</v>
      </c>
      <c r="X147" s="138">
        <f>X131</f>
        <v>918.1</v>
      </c>
      <c r="Y147" s="68"/>
      <c r="Z147" s="125"/>
      <c r="AA147" s="69" t="str">
        <f t="shared" si="110"/>
        <v>차열재마감</v>
      </c>
      <c r="AB147" s="28">
        <f>AB131</f>
        <v>3067.8</v>
      </c>
    </row>
    <row r="148" spans="1:32" ht="20.100000000000001" customHeight="1" x14ac:dyDescent="0.3"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32" ht="20.100000000000001" customHeight="1" thickBot="1" x14ac:dyDescent="0.35">
      <c r="A149" s="132" t="s">
        <v>131</v>
      </c>
      <c r="B149" s="127"/>
      <c r="C149" s="128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E149" s="111" t="s">
        <v>178</v>
      </c>
      <c r="AF149" s="111" t="s">
        <v>179</v>
      </c>
    </row>
    <row r="150" spans="1:32" ht="20.100000000000001" customHeight="1" x14ac:dyDescent="0.3">
      <c r="B150" s="30" t="s">
        <v>161</v>
      </c>
      <c r="C150" s="28">
        <f>C109</f>
        <v>0</v>
      </c>
      <c r="D150" s="28">
        <f t="shared" ref="D150:U150" si="116">D109</f>
        <v>0</v>
      </c>
      <c r="E150" s="28">
        <f t="shared" si="116"/>
        <v>0</v>
      </c>
      <c r="F150" s="28">
        <f t="shared" si="116"/>
        <v>0</v>
      </c>
      <c r="G150" s="28">
        <f t="shared" si="116"/>
        <v>0</v>
      </c>
      <c r="H150" s="28">
        <f t="shared" si="116"/>
        <v>0</v>
      </c>
      <c r="I150" s="28">
        <f t="shared" si="116"/>
        <v>0</v>
      </c>
      <c r="J150" s="28">
        <f t="shared" si="116"/>
        <v>0</v>
      </c>
      <c r="K150" s="28">
        <f t="shared" si="116"/>
        <v>0</v>
      </c>
      <c r="L150" s="28">
        <f t="shared" si="116"/>
        <v>0</v>
      </c>
      <c r="M150" s="28">
        <f t="shared" si="116"/>
        <v>0</v>
      </c>
      <c r="N150" s="28">
        <f t="shared" si="116"/>
        <v>0</v>
      </c>
      <c r="O150" s="28">
        <f t="shared" si="116"/>
        <v>0</v>
      </c>
      <c r="P150" s="28">
        <f t="shared" si="116"/>
        <v>0</v>
      </c>
      <c r="Q150" s="28">
        <f t="shared" si="116"/>
        <v>0</v>
      </c>
      <c r="R150" s="28">
        <f t="shared" si="116"/>
        <v>0</v>
      </c>
      <c r="S150" s="28">
        <f t="shared" si="116"/>
        <v>0</v>
      </c>
      <c r="T150" s="28">
        <f t="shared" si="116"/>
        <v>0</v>
      </c>
      <c r="U150" s="28">
        <f t="shared" si="116"/>
        <v>0</v>
      </c>
      <c r="V150" s="68"/>
      <c r="W150" s="83" t="str">
        <f t="shared" ref="W150" si="117">B150</f>
        <v>HB 금속관 입상차열</v>
      </c>
      <c r="X150" s="135">
        <f>X109</f>
        <v>0</v>
      </c>
      <c r="Y150" s="68"/>
      <c r="Z150" s="68"/>
      <c r="AA150" s="69" t="str">
        <f t="shared" ref="AA150" si="118">W150</f>
        <v>HB 금속관 입상차열</v>
      </c>
      <c r="AB150" s="28">
        <f>AB109</f>
        <v>0</v>
      </c>
      <c r="AD150" s="69" t="s">
        <v>166</v>
      </c>
      <c r="AE150" s="150">
        <f>+X150*2500</f>
        <v>0</v>
      </c>
      <c r="AF150" s="150">
        <f>+AB150*2500</f>
        <v>0</v>
      </c>
    </row>
    <row r="151" spans="1:32" ht="20.100000000000001" customHeight="1" x14ac:dyDescent="0.3">
      <c r="B151" s="30" t="s">
        <v>132</v>
      </c>
      <c r="C151" s="28">
        <f t="shared" ref="C151:U151" si="119">(C110+C112+C116)+(C113+C115+C118)*2</f>
        <v>12</v>
      </c>
      <c r="D151" s="28">
        <f t="shared" si="119"/>
        <v>4</v>
      </c>
      <c r="E151" s="28">
        <f t="shared" si="119"/>
        <v>38</v>
      </c>
      <c r="F151" s="28">
        <f t="shared" si="119"/>
        <v>65</v>
      </c>
      <c r="G151" s="28">
        <f t="shared" si="119"/>
        <v>0</v>
      </c>
      <c r="H151" s="28">
        <f t="shared" si="119"/>
        <v>22</v>
      </c>
      <c r="I151" s="28">
        <f t="shared" si="119"/>
        <v>0</v>
      </c>
      <c r="J151" s="28">
        <f t="shared" si="119"/>
        <v>6</v>
      </c>
      <c r="K151" s="28">
        <f t="shared" si="119"/>
        <v>79</v>
      </c>
      <c r="L151" s="28">
        <f t="shared" si="119"/>
        <v>42</v>
      </c>
      <c r="M151" s="28">
        <f t="shared" si="119"/>
        <v>25</v>
      </c>
      <c r="N151" s="28">
        <f t="shared" si="119"/>
        <v>43</v>
      </c>
      <c r="O151" s="28">
        <f t="shared" si="119"/>
        <v>0</v>
      </c>
      <c r="P151" s="28">
        <f t="shared" si="119"/>
        <v>20</v>
      </c>
      <c r="Q151" s="28">
        <f t="shared" si="119"/>
        <v>8</v>
      </c>
      <c r="R151" s="28">
        <f t="shared" si="119"/>
        <v>23</v>
      </c>
      <c r="S151" s="28">
        <f t="shared" si="119"/>
        <v>0</v>
      </c>
      <c r="T151" s="28">
        <f t="shared" si="119"/>
        <v>0</v>
      </c>
      <c r="U151" s="28">
        <f t="shared" si="119"/>
        <v>0</v>
      </c>
      <c r="V151" s="68"/>
      <c r="W151" s="84" t="str">
        <f t="shared" ref="W151:W155" si="120">B151</f>
        <v>HB 배관(소구경)</v>
      </c>
      <c r="X151" s="136">
        <f>(X110+X112+X116)+(X113+X115+X118)*2</f>
        <v>387</v>
      </c>
      <c r="Y151" s="68"/>
      <c r="Z151" s="68"/>
      <c r="AA151" s="69" t="str">
        <f t="shared" ref="AA151:AA156" si="121">W151</f>
        <v>HB 배관(소구경)</v>
      </c>
      <c r="AB151" s="28">
        <f>(AB110+AB112+AB116)+(AB113+AB115+AB118)*2</f>
        <v>1673</v>
      </c>
      <c r="AD151" s="69" t="s">
        <v>167</v>
      </c>
      <c r="AE151" s="150">
        <f t="shared" ref="AE151" si="122">+X151*5000</f>
        <v>1935000</v>
      </c>
      <c r="AF151" s="150">
        <f t="shared" ref="AF151" si="123">+AB151*5000</f>
        <v>8365000</v>
      </c>
    </row>
    <row r="152" spans="1:32" ht="20.100000000000001" customHeight="1" x14ac:dyDescent="0.3">
      <c r="B152" s="30" t="s">
        <v>138</v>
      </c>
      <c r="C152" s="28">
        <f t="shared" ref="C152:U152" si="124">+(C111)+(C114)*2</f>
        <v>0</v>
      </c>
      <c r="D152" s="28">
        <f t="shared" si="124"/>
        <v>0</v>
      </c>
      <c r="E152" s="28">
        <f t="shared" si="124"/>
        <v>0</v>
      </c>
      <c r="F152" s="28">
        <f t="shared" si="124"/>
        <v>0</v>
      </c>
      <c r="G152" s="28">
        <f t="shared" si="124"/>
        <v>0</v>
      </c>
      <c r="H152" s="28">
        <f t="shared" si="124"/>
        <v>0</v>
      </c>
      <c r="I152" s="28">
        <f t="shared" si="124"/>
        <v>0</v>
      </c>
      <c r="J152" s="28">
        <f t="shared" si="124"/>
        <v>0</v>
      </c>
      <c r="K152" s="28">
        <f t="shared" si="124"/>
        <v>0</v>
      </c>
      <c r="L152" s="28">
        <f t="shared" si="124"/>
        <v>0</v>
      </c>
      <c r="M152" s="28">
        <f t="shared" si="124"/>
        <v>0</v>
      </c>
      <c r="N152" s="28">
        <f t="shared" si="124"/>
        <v>0</v>
      </c>
      <c r="O152" s="28">
        <f t="shared" si="124"/>
        <v>0</v>
      </c>
      <c r="P152" s="28">
        <f t="shared" si="124"/>
        <v>0</v>
      </c>
      <c r="Q152" s="28">
        <f t="shared" si="124"/>
        <v>0</v>
      </c>
      <c r="R152" s="28">
        <f t="shared" si="124"/>
        <v>0</v>
      </c>
      <c r="S152" s="28">
        <f t="shared" si="124"/>
        <v>0</v>
      </c>
      <c r="T152" s="28">
        <f t="shared" si="124"/>
        <v>0</v>
      </c>
      <c r="U152" s="28">
        <f t="shared" si="124"/>
        <v>0</v>
      </c>
      <c r="V152" s="68"/>
      <c r="W152" s="84" t="str">
        <f t="shared" si="120"/>
        <v>HB 배관(대구경)</v>
      </c>
      <c r="X152" s="136">
        <f>+(X111)+(X114)*2</f>
        <v>0</v>
      </c>
      <c r="Y152" s="68"/>
      <c r="Z152" s="68"/>
      <c r="AA152" s="69" t="str">
        <f t="shared" si="121"/>
        <v>HB 배관(대구경)</v>
      </c>
      <c r="AB152" s="28">
        <f>+(AB111)+(AB114)*2</f>
        <v>0</v>
      </c>
      <c r="AD152" s="152" t="s">
        <v>168</v>
      </c>
      <c r="AE152" s="153">
        <f>+X152*10000</f>
        <v>0</v>
      </c>
      <c r="AF152" s="153">
        <f>+AB152*10000</f>
        <v>0</v>
      </c>
    </row>
    <row r="153" spans="1:32" ht="20.100000000000001" customHeight="1" x14ac:dyDescent="0.3">
      <c r="B153" s="30" t="s">
        <v>137</v>
      </c>
      <c r="C153" s="28">
        <f t="shared" ref="C153:U153" si="125">+C117*2</f>
        <v>0</v>
      </c>
      <c r="D153" s="28">
        <f t="shared" si="125"/>
        <v>0</v>
      </c>
      <c r="E153" s="133">
        <f t="shared" si="125"/>
        <v>0</v>
      </c>
      <c r="F153" s="28">
        <f t="shared" si="125"/>
        <v>0</v>
      </c>
      <c r="G153" s="28">
        <f t="shared" si="125"/>
        <v>0</v>
      </c>
      <c r="H153" s="28">
        <f t="shared" si="125"/>
        <v>0</v>
      </c>
      <c r="I153" s="28">
        <f t="shared" si="125"/>
        <v>0</v>
      </c>
      <c r="J153" s="28">
        <f t="shared" si="125"/>
        <v>0</v>
      </c>
      <c r="K153" s="28">
        <f t="shared" si="125"/>
        <v>0</v>
      </c>
      <c r="L153" s="28">
        <f t="shared" si="125"/>
        <v>0</v>
      </c>
      <c r="M153" s="28">
        <f t="shared" si="125"/>
        <v>0</v>
      </c>
      <c r="N153" s="28">
        <f t="shared" si="125"/>
        <v>0</v>
      </c>
      <c r="O153" s="28">
        <f t="shared" si="125"/>
        <v>0</v>
      </c>
      <c r="P153" s="28">
        <f t="shared" si="125"/>
        <v>0</v>
      </c>
      <c r="Q153" s="28">
        <f t="shared" si="125"/>
        <v>0</v>
      </c>
      <c r="R153" s="28">
        <f t="shared" si="125"/>
        <v>0</v>
      </c>
      <c r="S153" s="28">
        <f t="shared" si="125"/>
        <v>0</v>
      </c>
      <c r="T153" s="28">
        <f t="shared" si="125"/>
        <v>0</v>
      </c>
      <c r="U153" s="28">
        <f t="shared" si="125"/>
        <v>0</v>
      </c>
      <c r="V153" s="68"/>
      <c r="W153" s="84" t="str">
        <f t="shared" si="120"/>
        <v>HB 세대SP</v>
      </c>
      <c r="X153" s="136">
        <f>+X117*2</f>
        <v>0</v>
      </c>
      <c r="Y153" s="68"/>
      <c r="Z153" s="68"/>
      <c r="AA153" s="69" t="str">
        <f t="shared" si="121"/>
        <v>HB 세대SP</v>
      </c>
      <c r="AB153" s="28">
        <f>+AB117*2</f>
        <v>0</v>
      </c>
      <c r="AD153" s="69" t="s">
        <v>169</v>
      </c>
      <c r="AE153" s="150">
        <f>+X153*4000</f>
        <v>0</v>
      </c>
      <c r="AF153" s="150">
        <f>+AB153*4000</f>
        <v>0</v>
      </c>
    </row>
    <row r="154" spans="1:32" ht="20.100000000000001" customHeight="1" x14ac:dyDescent="0.3">
      <c r="B154" s="30" t="s">
        <v>139</v>
      </c>
      <c r="C154" s="28">
        <f t="shared" ref="C154:U154" si="126">+C119+C120*2</f>
        <v>0</v>
      </c>
      <c r="D154" s="28">
        <f t="shared" si="126"/>
        <v>0</v>
      </c>
      <c r="E154" s="28">
        <f t="shared" si="126"/>
        <v>0</v>
      </c>
      <c r="F154" s="28">
        <f t="shared" si="126"/>
        <v>0</v>
      </c>
      <c r="G154" s="28">
        <f t="shared" si="126"/>
        <v>0</v>
      </c>
      <c r="H154" s="28">
        <f t="shared" si="126"/>
        <v>0</v>
      </c>
      <c r="I154" s="28">
        <f t="shared" si="126"/>
        <v>0</v>
      </c>
      <c r="J154" s="28">
        <f t="shared" si="126"/>
        <v>0</v>
      </c>
      <c r="K154" s="28">
        <f t="shared" si="126"/>
        <v>0</v>
      </c>
      <c r="L154" s="28">
        <f t="shared" si="126"/>
        <v>0</v>
      </c>
      <c r="M154" s="28">
        <f t="shared" si="126"/>
        <v>0</v>
      </c>
      <c r="N154" s="28">
        <f t="shared" si="126"/>
        <v>0</v>
      </c>
      <c r="O154" s="28">
        <f t="shared" si="126"/>
        <v>0</v>
      </c>
      <c r="P154" s="28">
        <f t="shared" si="126"/>
        <v>0</v>
      </c>
      <c r="Q154" s="28">
        <f t="shared" si="126"/>
        <v>0</v>
      </c>
      <c r="R154" s="28">
        <f t="shared" si="126"/>
        <v>0</v>
      </c>
      <c r="S154" s="28">
        <f t="shared" si="126"/>
        <v>0</v>
      </c>
      <c r="T154" s="28">
        <f t="shared" si="126"/>
        <v>0</v>
      </c>
      <c r="U154" s="28">
        <f t="shared" si="126"/>
        <v>0</v>
      </c>
      <c r="V154" s="68"/>
      <c r="W154" s="84" t="str">
        <f t="shared" ref="W154" si="127">B154</f>
        <v>HB 대구경추가차열</v>
      </c>
      <c r="X154" s="136">
        <f>+X119+X120*2</f>
        <v>0</v>
      </c>
      <c r="Y154" s="68"/>
      <c r="Z154" s="68"/>
      <c r="AA154" s="69" t="str">
        <f t="shared" si="121"/>
        <v>HB 대구경추가차열</v>
      </c>
      <c r="AB154" s="28">
        <f>+AB119+AB120*2</f>
        <v>0</v>
      </c>
      <c r="AD154" s="152" t="s">
        <v>170</v>
      </c>
      <c r="AE154" s="153">
        <f>+X154*2500</f>
        <v>0</v>
      </c>
      <c r="AF154" s="153">
        <f>+AB154*2500</f>
        <v>0</v>
      </c>
    </row>
    <row r="155" spans="1:32" ht="20.100000000000001" customHeight="1" x14ac:dyDescent="0.3">
      <c r="B155" s="30" t="s">
        <v>140</v>
      </c>
      <c r="C155" s="28">
        <f t="shared" ref="C155:U155" si="128">C121+C122*2</f>
        <v>0</v>
      </c>
      <c r="D155" s="28">
        <f t="shared" si="128"/>
        <v>0</v>
      </c>
      <c r="E155" s="28">
        <f t="shared" si="128"/>
        <v>0</v>
      </c>
      <c r="F155" s="28">
        <f t="shared" si="128"/>
        <v>0</v>
      </c>
      <c r="G155" s="28">
        <f t="shared" si="128"/>
        <v>0</v>
      </c>
      <c r="H155" s="28">
        <f t="shared" si="128"/>
        <v>0</v>
      </c>
      <c r="I155" s="28">
        <f t="shared" si="128"/>
        <v>0</v>
      </c>
      <c r="J155" s="28">
        <f t="shared" si="128"/>
        <v>0</v>
      </c>
      <c r="K155" s="28">
        <f t="shared" si="128"/>
        <v>0</v>
      </c>
      <c r="L155" s="28">
        <f t="shared" si="128"/>
        <v>0</v>
      </c>
      <c r="M155" s="28">
        <f t="shared" si="128"/>
        <v>0</v>
      </c>
      <c r="N155" s="28">
        <f t="shared" si="128"/>
        <v>0</v>
      </c>
      <c r="O155" s="28">
        <f t="shared" si="128"/>
        <v>0</v>
      </c>
      <c r="P155" s="28">
        <f t="shared" si="128"/>
        <v>0</v>
      </c>
      <c r="Q155" s="28">
        <f t="shared" si="128"/>
        <v>0</v>
      </c>
      <c r="R155" s="28">
        <f t="shared" si="128"/>
        <v>0</v>
      </c>
      <c r="S155" s="28">
        <f t="shared" si="128"/>
        <v>0</v>
      </c>
      <c r="T155" s="28">
        <f t="shared" si="128"/>
        <v>0</v>
      </c>
      <c r="U155" s="28">
        <f t="shared" si="128"/>
        <v>0</v>
      </c>
      <c r="V155" s="68"/>
      <c r="W155" s="84" t="str">
        <f t="shared" si="120"/>
        <v>HB 실란트마감</v>
      </c>
      <c r="X155" s="136">
        <f>X121+X122*2</f>
        <v>0</v>
      </c>
      <c r="Y155" s="68"/>
      <c r="Z155" s="68"/>
      <c r="AA155" s="69" t="str">
        <f t="shared" si="121"/>
        <v>HB 실란트마감</v>
      </c>
      <c r="AB155" s="28">
        <f>AB121+AB122*2</f>
        <v>0</v>
      </c>
      <c r="AD155" s="69" t="s">
        <v>171</v>
      </c>
      <c r="AE155" s="150">
        <f>+X155*2500</f>
        <v>0</v>
      </c>
      <c r="AF155" s="150">
        <f>+AB155*2500</f>
        <v>0</v>
      </c>
    </row>
    <row r="156" spans="1:32" ht="20.100000000000001" customHeight="1" x14ac:dyDescent="0.3">
      <c r="B156" s="30" t="s">
        <v>141</v>
      </c>
      <c r="C156" s="28">
        <f t="shared" ref="C156:U156" si="129">C123</f>
        <v>0</v>
      </c>
      <c r="D156" s="28">
        <f t="shared" si="129"/>
        <v>0</v>
      </c>
      <c r="E156" s="28">
        <f t="shared" si="129"/>
        <v>0</v>
      </c>
      <c r="F156" s="28">
        <f t="shared" si="129"/>
        <v>0</v>
      </c>
      <c r="G156" s="28">
        <f t="shared" si="129"/>
        <v>0</v>
      </c>
      <c r="H156" s="28">
        <f t="shared" si="129"/>
        <v>0</v>
      </c>
      <c r="I156" s="28">
        <f t="shared" si="129"/>
        <v>0</v>
      </c>
      <c r="J156" s="28">
        <f t="shared" si="129"/>
        <v>0</v>
      </c>
      <c r="K156" s="28">
        <f t="shared" si="129"/>
        <v>0</v>
      </c>
      <c r="L156" s="28">
        <f t="shared" si="129"/>
        <v>0</v>
      </c>
      <c r="M156" s="28">
        <f t="shared" si="129"/>
        <v>0</v>
      </c>
      <c r="N156" s="28">
        <f t="shared" si="129"/>
        <v>0</v>
      </c>
      <c r="O156" s="28">
        <f t="shared" si="129"/>
        <v>0</v>
      </c>
      <c r="P156" s="28">
        <f t="shared" si="129"/>
        <v>0</v>
      </c>
      <c r="Q156" s="28">
        <f t="shared" si="129"/>
        <v>0</v>
      </c>
      <c r="R156" s="28">
        <f t="shared" si="129"/>
        <v>0</v>
      </c>
      <c r="S156" s="28">
        <f t="shared" si="129"/>
        <v>0</v>
      </c>
      <c r="T156" s="28">
        <f t="shared" si="129"/>
        <v>0</v>
      </c>
      <c r="U156" s="28">
        <f t="shared" si="129"/>
        <v>0</v>
      </c>
      <c r="V156" s="68"/>
      <c r="W156" s="84" t="str">
        <f t="shared" ref="W156:W161" si="130">B156</f>
        <v>HB 슬리브</v>
      </c>
      <c r="X156" s="136">
        <f>X123</f>
        <v>0</v>
      </c>
      <c r="Y156" s="68"/>
      <c r="Z156" s="68"/>
      <c r="AA156" s="69" t="str">
        <f t="shared" si="121"/>
        <v>HB 슬리브</v>
      </c>
      <c r="AB156" s="28">
        <f>AB123</f>
        <v>0</v>
      </c>
      <c r="AD156" s="69" t="s">
        <v>172</v>
      </c>
      <c r="AE156" s="150">
        <f>+X156*2500</f>
        <v>0</v>
      </c>
      <c r="AF156" s="150">
        <f>+AB156*2500</f>
        <v>0</v>
      </c>
    </row>
    <row r="157" spans="1:32" ht="20.100000000000001" customHeight="1" x14ac:dyDescent="0.3">
      <c r="A157" s="197" t="s">
        <v>80</v>
      </c>
      <c r="B157" s="30" t="s">
        <v>142</v>
      </c>
      <c r="C157" s="28">
        <f t="shared" ref="C157:U157" si="131">(C124+C125+C126+C127)*2</f>
        <v>80.8</v>
      </c>
      <c r="D157" s="28">
        <f t="shared" si="131"/>
        <v>31.4</v>
      </c>
      <c r="E157" s="28">
        <f t="shared" si="131"/>
        <v>14.4</v>
      </c>
      <c r="F157" s="28">
        <f t="shared" si="131"/>
        <v>24.2</v>
      </c>
      <c r="G157" s="28">
        <f t="shared" si="131"/>
        <v>100.6</v>
      </c>
      <c r="H157" s="28">
        <f t="shared" si="131"/>
        <v>99.799999999999983</v>
      </c>
      <c r="I157" s="28">
        <f t="shared" si="131"/>
        <v>64.800000000000011</v>
      </c>
      <c r="J157" s="28">
        <f t="shared" si="131"/>
        <v>0</v>
      </c>
      <c r="K157" s="28">
        <f t="shared" si="131"/>
        <v>151.80000000000001</v>
      </c>
      <c r="L157" s="28">
        <f t="shared" si="131"/>
        <v>205.2</v>
      </c>
      <c r="M157" s="28">
        <f t="shared" si="131"/>
        <v>98</v>
      </c>
      <c r="N157" s="28">
        <f t="shared" si="131"/>
        <v>23.400000000000002</v>
      </c>
      <c r="O157" s="28">
        <f t="shared" si="131"/>
        <v>37</v>
      </c>
      <c r="P157" s="28">
        <f t="shared" si="131"/>
        <v>67.2</v>
      </c>
      <c r="Q157" s="28">
        <f t="shared" si="131"/>
        <v>54.400000000000006</v>
      </c>
      <c r="R157" s="28">
        <f t="shared" si="131"/>
        <v>18.8</v>
      </c>
      <c r="S157" s="28">
        <f t="shared" si="131"/>
        <v>0</v>
      </c>
      <c r="T157" s="28">
        <f t="shared" si="131"/>
        <v>0</v>
      </c>
      <c r="U157" s="28">
        <f t="shared" si="131"/>
        <v>0</v>
      </c>
      <c r="V157" s="125"/>
      <c r="W157" s="84" t="str">
        <f t="shared" si="130"/>
        <v>HB 덕트</v>
      </c>
      <c r="X157" s="136">
        <f>(X124+X125+X126+X127)*2</f>
        <v>1071.8000000000002</v>
      </c>
      <c r="Y157" s="68"/>
      <c r="Z157" s="125"/>
      <c r="AA157" s="69" t="str">
        <f t="shared" ref="AA157:AA161" si="132">W157</f>
        <v>HB 덕트</v>
      </c>
      <c r="AB157" s="28">
        <f>(AB124+AB125+AB126+AB127)*2</f>
        <v>3574.2</v>
      </c>
      <c r="AD157" s="69" t="s">
        <v>173</v>
      </c>
      <c r="AE157" s="150">
        <f>+X157*20000</f>
        <v>21436000.000000004</v>
      </c>
      <c r="AF157" s="150">
        <f>+AB157*20000</f>
        <v>71484000</v>
      </c>
    </row>
    <row r="158" spans="1:32" ht="20.100000000000001" customHeight="1" x14ac:dyDescent="0.3">
      <c r="A158" s="198"/>
      <c r="B158" s="30" t="s">
        <v>143</v>
      </c>
      <c r="C158" s="28">
        <f t="shared" ref="C158:U158" si="133">+C128*2</f>
        <v>0</v>
      </c>
      <c r="D158" s="28">
        <f t="shared" si="133"/>
        <v>0</v>
      </c>
      <c r="E158" s="28">
        <f t="shared" si="133"/>
        <v>0</v>
      </c>
      <c r="F158" s="28">
        <f t="shared" si="133"/>
        <v>0</v>
      </c>
      <c r="G158" s="28">
        <f t="shared" si="133"/>
        <v>0</v>
      </c>
      <c r="H158" s="28">
        <f t="shared" si="133"/>
        <v>0</v>
      </c>
      <c r="I158" s="28">
        <f t="shared" si="133"/>
        <v>0</v>
      </c>
      <c r="J158" s="28">
        <f t="shared" si="133"/>
        <v>0</v>
      </c>
      <c r="K158" s="28">
        <f t="shared" si="133"/>
        <v>0</v>
      </c>
      <c r="L158" s="28">
        <f t="shared" si="133"/>
        <v>0</v>
      </c>
      <c r="M158" s="28">
        <f t="shared" si="133"/>
        <v>0</v>
      </c>
      <c r="N158" s="28">
        <f t="shared" si="133"/>
        <v>0</v>
      </c>
      <c r="O158" s="28">
        <f t="shared" si="133"/>
        <v>0</v>
      </c>
      <c r="P158" s="28">
        <f t="shared" si="133"/>
        <v>0</v>
      </c>
      <c r="Q158" s="28">
        <f t="shared" si="133"/>
        <v>0</v>
      </c>
      <c r="R158" s="28">
        <f t="shared" si="133"/>
        <v>0</v>
      </c>
      <c r="S158" s="28">
        <f t="shared" si="133"/>
        <v>0</v>
      </c>
      <c r="T158" s="28">
        <f t="shared" si="133"/>
        <v>0</v>
      </c>
      <c r="U158" s="28">
        <f t="shared" si="133"/>
        <v>0</v>
      </c>
      <c r="V158" s="125"/>
      <c r="W158" s="129" t="str">
        <f t="shared" ref="W158" si="134">B158</f>
        <v>HB 댐퍼팽창테이프</v>
      </c>
      <c r="X158" s="136">
        <f>+X128*2</f>
        <v>0</v>
      </c>
      <c r="Y158" s="68"/>
      <c r="Z158" s="125"/>
      <c r="AA158" s="131" t="str">
        <f t="shared" ref="AA158" si="135">W158</f>
        <v>HB 댐퍼팽창테이프</v>
      </c>
      <c r="AB158" s="28">
        <f>+AB128*2</f>
        <v>1977.6000000000004</v>
      </c>
      <c r="AD158" s="131" t="s">
        <v>174</v>
      </c>
      <c r="AE158" s="150">
        <f>+X158*10000</f>
        <v>0</v>
      </c>
      <c r="AF158" s="150">
        <f>+AB158*10000</f>
        <v>19776000.000000004</v>
      </c>
    </row>
    <row r="159" spans="1:32" ht="20.100000000000001" customHeight="1" x14ac:dyDescent="0.3">
      <c r="A159" s="198"/>
      <c r="B159" s="30" t="s">
        <v>144</v>
      </c>
      <c r="C159" s="28">
        <f>+C129*2</f>
        <v>0</v>
      </c>
      <c r="D159" s="28">
        <f t="shared" ref="D159:U159" si="136">+D129*2</f>
        <v>0</v>
      </c>
      <c r="E159" s="28">
        <f t="shared" si="136"/>
        <v>0</v>
      </c>
      <c r="F159" s="28">
        <f t="shared" si="136"/>
        <v>0</v>
      </c>
      <c r="G159" s="28">
        <f t="shared" si="136"/>
        <v>0</v>
      </c>
      <c r="H159" s="28">
        <f t="shared" si="136"/>
        <v>0</v>
      </c>
      <c r="I159" s="28">
        <f t="shared" si="136"/>
        <v>0</v>
      </c>
      <c r="J159" s="28">
        <f t="shared" si="136"/>
        <v>0</v>
      </c>
      <c r="K159" s="28">
        <f t="shared" si="136"/>
        <v>0</v>
      </c>
      <c r="L159" s="28">
        <f t="shared" si="136"/>
        <v>0</v>
      </c>
      <c r="M159" s="28">
        <f t="shared" si="136"/>
        <v>0</v>
      </c>
      <c r="N159" s="28">
        <f t="shared" si="136"/>
        <v>0</v>
      </c>
      <c r="O159" s="28">
        <f t="shared" si="136"/>
        <v>0</v>
      </c>
      <c r="P159" s="28">
        <f t="shared" si="136"/>
        <v>0</v>
      </c>
      <c r="Q159" s="28">
        <f t="shared" si="136"/>
        <v>0</v>
      </c>
      <c r="R159" s="28">
        <f t="shared" si="136"/>
        <v>0</v>
      </c>
      <c r="S159" s="28">
        <f t="shared" si="136"/>
        <v>0</v>
      </c>
      <c r="T159" s="28">
        <f t="shared" si="136"/>
        <v>0</v>
      </c>
      <c r="U159" s="28">
        <f t="shared" si="136"/>
        <v>0</v>
      </c>
      <c r="V159" s="125"/>
      <c r="W159" s="129" t="str">
        <f t="shared" si="130"/>
        <v>HB 덕트마감</v>
      </c>
      <c r="X159" s="136">
        <f>+X129*2</f>
        <v>0</v>
      </c>
      <c r="Y159" s="68"/>
      <c r="Z159" s="125"/>
      <c r="AA159" s="131" t="str">
        <f t="shared" si="132"/>
        <v>HB 덕트마감</v>
      </c>
      <c r="AB159" s="28">
        <f>+AB129*2</f>
        <v>43.400000000000006</v>
      </c>
      <c r="AD159" s="131" t="s">
        <v>175</v>
      </c>
      <c r="AE159" s="150">
        <f>+X159*10000</f>
        <v>0</v>
      </c>
      <c r="AF159" s="150">
        <f>+AB159*10000</f>
        <v>434000.00000000006</v>
      </c>
    </row>
    <row r="160" spans="1:32" ht="20.100000000000001" customHeight="1" x14ac:dyDescent="0.3">
      <c r="A160" s="198"/>
      <c r="B160" s="30" t="s">
        <v>145</v>
      </c>
      <c r="C160" s="28">
        <f>+C130*2</f>
        <v>0</v>
      </c>
      <c r="D160" s="28">
        <f t="shared" ref="D160:U160" si="137">+D130*2</f>
        <v>0</v>
      </c>
      <c r="E160" s="28">
        <f t="shared" si="137"/>
        <v>0</v>
      </c>
      <c r="F160" s="28">
        <f t="shared" si="137"/>
        <v>4.4000000000000004</v>
      </c>
      <c r="G160" s="28">
        <f t="shared" si="137"/>
        <v>0</v>
      </c>
      <c r="H160" s="28">
        <f t="shared" si="137"/>
        <v>0</v>
      </c>
      <c r="I160" s="28">
        <f t="shared" si="137"/>
        <v>0</v>
      </c>
      <c r="J160" s="28">
        <f t="shared" si="137"/>
        <v>3.2</v>
      </c>
      <c r="K160" s="28">
        <f t="shared" si="137"/>
        <v>3.6</v>
      </c>
      <c r="L160" s="28">
        <f t="shared" si="137"/>
        <v>2.4</v>
      </c>
      <c r="M160" s="28">
        <f t="shared" si="137"/>
        <v>0</v>
      </c>
      <c r="N160" s="28">
        <f t="shared" si="137"/>
        <v>0</v>
      </c>
      <c r="O160" s="28">
        <f t="shared" si="137"/>
        <v>0</v>
      </c>
      <c r="P160" s="28">
        <f t="shared" si="137"/>
        <v>0</v>
      </c>
      <c r="Q160" s="28">
        <f t="shared" si="137"/>
        <v>0</v>
      </c>
      <c r="R160" s="28">
        <f t="shared" si="137"/>
        <v>0</v>
      </c>
      <c r="S160" s="28">
        <f t="shared" si="137"/>
        <v>0</v>
      </c>
      <c r="T160" s="28">
        <f t="shared" si="137"/>
        <v>0</v>
      </c>
      <c r="U160" s="28">
        <f t="shared" si="137"/>
        <v>0</v>
      </c>
      <c r="V160" s="125"/>
      <c r="W160" s="84" t="str">
        <f t="shared" si="130"/>
        <v>HB 오픈구</v>
      </c>
      <c r="X160" s="136">
        <f>+X130*2</f>
        <v>13.600000000000001</v>
      </c>
      <c r="Y160" s="68"/>
      <c r="Z160" s="125"/>
      <c r="AA160" s="69" t="str">
        <f t="shared" si="132"/>
        <v>HB 오픈구</v>
      </c>
      <c r="AB160" s="28">
        <f>+AB130*2</f>
        <v>148.4</v>
      </c>
      <c r="AD160" s="69" t="s">
        <v>176</v>
      </c>
      <c r="AE160" s="150">
        <f>+X160*20000</f>
        <v>272000</v>
      </c>
      <c r="AF160" s="150">
        <f>+AB160*20000</f>
        <v>2968000</v>
      </c>
    </row>
    <row r="161" spans="1:32" ht="20.100000000000001" customHeight="1" thickBot="1" x14ac:dyDescent="0.35">
      <c r="A161" s="199"/>
      <c r="B161" s="30" t="s">
        <v>146</v>
      </c>
      <c r="C161" s="28">
        <f>+C131*2</f>
        <v>122.39999999999999</v>
      </c>
      <c r="D161" s="28">
        <f t="shared" ref="D161:U161" si="138">+D131*2</f>
        <v>47.4</v>
      </c>
      <c r="E161" s="28">
        <f t="shared" si="138"/>
        <v>28.8</v>
      </c>
      <c r="F161" s="28">
        <f t="shared" si="138"/>
        <v>48.4</v>
      </c>
      <c r="G161" s="28">
        <f t="shared" si="138"/>
        <v>176.6</v>
      </c>
      <c r="H161" s="28">
        <f t="shared" si="138"/>
        <v>132</v>
      </c>
      <c r="I161" s="28">
        <f t="shared" si="138"/>
        <v>94.399999999999991</v>
      </c>
      <c r="J161" s="28">
        <f t="shared" si="138"/>
        <v>0</v>
      </c>
      <c r="K161" s="28">
        <f t="shared" si="138"/>
        <v>256.80000000000007</v>
      </c>
      <c r="L161" s="28">
        <f t="shared" si="138"/>
        <v>358.80000000000007</v>
      </c>
      <c r="M161" s="28">
        <f t="shared" si="138"/>
        <v>201.20000000000005</v>
      </c>
      <c r="N161" s="28">
        <f t="shared" si="138"/>
        <v>32</v>
      </c>
      <c r="O161" s="28">
        <f t="shared" si="138"/>
        <v>85.4</v>
      </c>
      <c r="P161" s="28">
        <f t="shared" si="138"/>
        <v>116.8</v>
      </c>
      <c r="Q161" s="28">
        <f t="shared" si="138"/>
        <v>97.600000000000009</v>
      </c>
      <c r="R161" s="28">
        <f t="shared" si="138"/>
        <v>37.6</v>
      </c>
      <c r="S161" s="28">
        <f t="shared" si="138"/>
        <v>0</v>
      </c>
      <c r="T161" s="28">
        <f t="shared" si="138"/>
        <v>0</v>
      </c>
      <c r="U161" s="28">
        <f t="shared" si="138"/>
        <v>0</v>
      </c>
      <c r="V161" s="125"/>
      <c r="W161" s="130" t="str">
        <f t="shared" si="130"/>
        <v>HB 차열재마감</v>
      </c>
      <c r="X161" s="138">
        <f>+X131*2</f>
        <v>1836.2</v>
      </c>
      <c r="Y161" s="68"/>
      <c r="Z161" s="125"/>
      <c r="AA161" s="69" t="str">
        <f t="shared" si="132"/>
        <v>HB 차열재마감</v>
      </c>
      <c r="AB161" s="28">
        <f>+AB131*2</f>
        <v>6135.6</v>
      </c>
      <c r="AD161" s="69" t="s">
        <v>177</v>
      </c>
      <c r="AE161" s="150">
        <f>+X161*10000</f>
        <v>18362000</v>
      </c>
      <c r="AF161" s="150">
        <f>+AB161*10000</f>
        <v>61356000</v>
      </c>
    </row>
    <row r="162" spans="1:32" x14ac:dyDescent="0.3">
      <c r="AD162" s="111" t="s">
        <v>163</v>
      </c>
      <c r="AE162" s="151">
        <f>SUM(AE150:AE161)</f>
        <v>42005000</v>
      </c>
      <c r="AF162" s="151">
        <f>SUM(AF150:AF161)</f>
        <v>164383000</v>
      </c>
    </row>
    <row r="163" spans="1:32" x14ac:dyDescent="0.3">
      <c r="AD163" s="111" t="s">
        <v>164</v>
      </c>
      <c r="AE163" s="151"/>
      <c r="AF163" s="151"/>
    </row>
    <row r="164" spans="1:32" x14ac:dyDescent="0.3">
      <c r="AD164" s="111" t="s">
        <v>165</v>
      </c>
      <c r="AE164" s="151">
        <f>SUM(AE162:AE163)</f>
        <v>42005000</v>
      </c>
      <c r="AF164" s="151">
        <f>SUM(AF162:AF163)</f>
        <v>164383000</v>
      </c>
    </row>
  </sheetData>
  <mergeCells count="8">
    <mergeCell ref="AA2:AB2"/>
    <mergeCell ref="B2:B3"/>
    <mergeCell ref="A98:A105"/>
    <mergeCell ref="A124:A131"/>
    <mergeCell ref="A157:A161"/>
    <mergeCell ref="W2:X2"/>
    <mergeCell ref="C3:U3"/>
    <mergeCell ref="A142:A147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11"/>
  <sheetViews>
    <sheetView zoomScale="85" zoomScaleNormal="85" workbookViewId="0">
      <pane xSplit="2" ySplit="4" topLeftCell="C81" activePane="bottomRight" state="frozen"/>
      <selection pane="topRight" activeCell="C1" sqref="C1"/>
      <selection pane="bottomLeft" activeCell="A5" sqref="A5"/>
      <selection pane="bottomRight" activeCell="D100" sqref="D100"/>
    </sheetView>
  </sheetViews>
  <sheetFormatPr defaultRowHeight="17.25" x14ac:dyDescent="0.3"/>
  <cols>
    <col min="1" max="1" width="10.625" customWidth="1"/>
    <col min="2" max="2" width="19.25" bestFit="1" customWidth="1"/>
    <col min="17" max="17" width="15.625" style="29" customWidth="1"/>
  </cols>
  <sheetData>
    <row r="1" spans="2:17" ht="20.100000000000001" customHeight="1" x14ac:dyDescent="0.3"/>
    <row r="2" spans="2:17" ht="39.950000000000003" customHeight="1" thickBot="1" x14ac:dyDescent="0.35">
      <c r="B2" s="42" t="s">
        <v>48</v>
      </c>
    </row>
    <row r="3" spans="2:17" ht="20.100000000000001" customHeight="1" x14ac:dyDescent="0.3">
      <c r="B3" s="38" t="s">
        <v>76</v>
      </c>
      <c r="C3" s="38">
        <v>7</v>
      </c>
      <c r="D3" s="38">
        <v>5</v>
      </c>
      <c r="E3" s="38">
        <v>2</v>
      </c>
      <c r="F3" s="38">
        <v>9</v>
      </c>
      <c r="G3" s="38">
        <v>7</v>
      </c>
      <c r="H3" s="38">
        <v>13</v>
      </c>
      <c r="I3" s="38">
        <v>14</v>
      </c>
      <c r="J3" s="38">
        <v>15</v>
      </c>
      <c r="K3" s="38">
        <v>17</v>
      </c>
      <c r="L3" s="38"/>
      <c r="M3" s="38"/>
      <c r="N3" s="38"/>
      <c r="O3" s="38"/>
      <c r="P3" s="43"/>
      <c r="Q3" s="45">
        <f>SUM(C3:P3)</f>
        <v>89</v>
      </c>
    </row>
    <row r="4" spans="2:17" ht="30" customHeight="1" thickBot="1" x14ac:dyDescent="0.35">
      <c r="B4" s="25" t="s">
        <v>0</v>
      </c>
      <c r="C4" s="26" t="s">
        <v>182</v>
      </c>
      <c r="D4" s="26">
        <v>12</v>
      </c>
      <c r="E4" s="26">
        <v>1</v>
      </c>
      <c r="F4" s="26" t="s">
        <v>183</v>
      </c>
      <c r="G4" s="26">
        <v>4</v>
      </c>
      <c r="H4" s="26">
        <v>5</v>
      </c>
      <c r="I4" s="26">
        <v>6</v>
      </c>
      <c r="J4" s="26">
        <v>7</v>
      </c>
      <c r="K4" s="26">
        <v>8</v>
      </c>
      <c r="L4" s="26"/>
      <c r="M4" s="26"/>
      <c r="N4" s="26"/>
      <c r="O4" s="26"/>
      <c r="P4" s="44"/>
      <c r="Q4" s="46" t="s">
        <v>47</v>
      </c>
    </row>
    <row r="5" spans="2:17" ht="20.100000000000001" customHeight="1" thickTop="1" x14ac:dyDescent="0.3">
      <c r="B5" s="146" t="str">
        <f>집계표!B5</f>
        <v>금속관입상차열15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8">
        <v>0</v>
      </c>
      <c r="Q5" s="149">
        <f>SUM(C5:P5)</f>
        <v>0</v>
      </c>
    </row>
    <row r="6" spans="2:17" ht="20.100000000000001" customHeight="1" x14ac:dyDescent="0.3">
      <c r="B6" s="60" t="str">
        <f>집계표!B6</f>
        <v>금속관입상차열20</v>
      </c>
      <c r="C6" s="102">
        <v>0</v>
      </c>
      <c r="D6" s="102">
        <v>0</v>
      </c>
      <c r="E6" s="102">
        <v>0</v>
      </c>
      <c r="F6" s="102">
        <v>0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3">
        <v>0</v>
      </c>
      <c r="Q6" s="104">
        <f t="shared" ref="Q6:Q104" si="0">SUM(C6:P6)</f>
        <v>0</v>
      </c>
    </row>
    <row r="7" spans="2:17" ht="20.100000000000001" customHeight="1" x14ac:dyDescent="0.3">
      <c r="B7" s="60" t="str">
        <f>집계표!B7</f>
        <v>금속관입상차열25</v>
      </c>
      <c r="C7" s="102">
        <v>0</v>
      </c>
      <c r="D7" s="102">
        <v>0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3">
        <v>0</v>
      </c>
      <c r="Q7" s="104">
        <f t="shared" si="0"/>
        <v>0</v>
      </c>
    </row>
    <row r="8" spans="2:17" ht="20.100000000000001" customHeight="1" x14ac:dyDescent="0.3">
      <c r="B8" s="60" t="str">
        <f>집계표!B8</f>
        <v>금속관입상차열32</v>
      </c>
      <c r="C8" s="102">
        <v>0</v>
      </c>
      <c r="D8" s="102">
        <v>0</v>
      </c>
      <c r="E8" s="102">
        <v>0</v>
      </c>
      <c r="F8" s="102">
        <v>0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3">
        <v>0</v>
      </c>
      <c r="Q8" s="104">
        <f t="shared" si="0"/>
        <v>0</v>
      </c>
    </row>
    <row r="9" spans="2:17" ht="20.100000000000001" customHeight="1" x14ac:dyDescent="0.3">
      <c r="B9" s="60" t="str">
        <f>집계표!B9</f>
        <v>금속관입상차열40</v>
      </c>
      <c r="C9" s="102">
        <v>0</v>
      </c>
      <c r="D9" s="102">
        <v>0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3">
        <v>0</v>
      </c>
      <c r="Q9" s="104">
        <f t="shared" si="0"/>
        <v>0</v>
      </c>
    </row>
    <row r="10" spans="2:17" ht="20.100000000000001" customHeight="1" x14ac:dyDescent="0.3">
      <c r="B10" s="60" t="str">
        <f>집계표!B10</f>
        <v>금속관입상차열50</v>
      </c>
      <c r="C10" s="102">
        <v>0</v>
      </c>
      <c r="D10" s="102">
        <v>0</v>
      </c>
      <c r="E10" s="102">
        <v>0</v>
      </c>
      <c r="F10" s="102">
        <v>0</v>
      </c>
      <c r="G10" s="102">
        <v>0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</v>
      </c>
      <c r="P10" s="103">
        <v>0</v>
      </c>
      <c r="Q10" s="104">
        <f t="shared" si="0"/>
        <v>0</v>
      </c>
    </row>
    <row r="11" spans="2:17" ht="20.100000000000001" customHeight="1" x14ac:dyDescent="0.3">
      <c r="B11" s="60" t="str">
        <f>집계표!B11</f>
        <v>금속관입상차열65</v>
      </c>
      <c r="C11" s="102">
        <v>0</v>
      </c>
      <c r="D11" s="102">
        <v>0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</v>
      </c>
      <c r="M11" s="102">
        <v>0</v>
      </c>
      <c r="N11" s="102">
        <v>0</v>
      </c>
      <c r="O11" s="102">
        <v>0</v>
      </c>
      <c r="P11" s="103">
        <v>0</v>
      </c>
      <c r="Q11" s="104">
        <f t="shared" si="0"/>
        <v>0</v>
      </c>
    </row>
    <row r="12" spans="2:17" ht="20.100000000000001" customHeight="1" x14ac:dyDescent="0.3">
      <c r="B12" s="60" t="str">
        <f>집계표!B12</f>
        <v>금속관입상차열80</v>
      </c>
      <c r="C12" s="102">
        <v>0</v>
      </c>
      <c r="D12" s="102">
        <v>0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3">
        <v>0</v>
      </c>
      <c r="Q12" s="104">
        <f t="shared" si="0"/>
        <v>0</v>
      </c>
    </row>
    <row r="13" spans="2:17" ht="20.100000000000001" customHeight="1" x14ac:dyDescent="0.3">
      <c r="B13" s="60" t="str">
        <f>집계표!B13</f>
        <v>금속관입상차열100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</v>
      </c>
      <c r="P13" s="103">
        <v>0</v>
      </c>
      <c r="Q13" s="104">
        <f t="shared" si="0"/>
        <v>0</v>
      </c>
    </row>
    <row r="14" spans="2:17" ht="20.100000000000001" customHeight="1" x14ac:dyDescent="0.3">
      <c r="B14" s="60" t="str">
        <f>집계표!B14</f>
        <v>금속관입상차열125</v>
      </c>
      <c r="C14" s="102">
        <v>0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3">
        <v>0</v>
      </c>
      <c r="Q14" s="104">
        <f t="shared" si="0"/>
        <v>0</v>
      </c>
    </row>
    <row r="15" spans="2:17" ht="20.100000000000001" customHeight="1" x14ac:dyDescent="0.3">
      <c r="B15" s="60" t="str">
        <f>집계표!B15</f>
        <v>금속관입상차열150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3">
        <v>0</v>
      </c>
      <c r="Q15" s="104">
        <f t="shared" si="0"/>
        <v>0</v>
      </c>
    </row>
    <row r="16" spans="2:17" ht="20.100000000000001" customHeight="1" x14ac:dyDescent="0.3">
      <c r="B16" s="58" t="str">
        <f>집계표!B16</f>
        <v>금속관입상15</v>
      </c>
      <c r="C16" s="96">
        <v>0</v>
      </c>
      <c r="D16" s="96">
        <v>0</v>
      </c>
      <c r="E16" s="96">
        <v>0</v>
      </c>
      <c r="F16" s="96">
        <v>0</v>
      </c>
      <c r="G16" s="96">
        <v>0</v>
      </c>
      <c r="H16" s="96">
        <v>0</v>
      </c>
      <c r="I16" s="96">
        <v>0</v>
      </c>
      <c r="J16" s="96">
        <v>0</v>
      </c>
      <c r="K16" s="96">
        <v>0</v>
      </c>
      <c r="L16" s="96">
        <v>0</v>
      </c>
      <c r="M16" s="96">
        <v>0</v>
      </c>
      <c r="N16" s="96">
        <v>0</v>
      </c>
      <c r="O16" s="96">
        <v>0</v>
      </c>
      <c r="P16" s="97">
        <v>0</v>
      </c>
      <c r="Q16" s="98">
        <f>SUM(C16:P16)</f>
        <v>0</v>
      </c>
    </row>
    <row r="17" spans="2:20" ht="20.100000000000001" customHeight="1" x14ac:dyDescent="0.3">
      <c r="B17" s="59" t="str">
        <f>집계표!B17</f>
        <v>금속관입상20</v>
      </c>
      <c r="C17" s="99">
        <v>0</v>
      </c>
      <c r="D17" s="99">
        <v>0</v>
      </c>
      <c r="E17" s="99">
        <v>0</v>
      </c>
      <c r="F17" s="99">
        <v>0</v>
      </c>
      <c r="G17" s="99">
        <v>0</v>
      </c>
      <c r="H17" s="99">
        <v>0</v>
      </c>
      <c r="I17" s="99">
        <v>0</v>
      </c>
      <c r="J17" s="99">
        <v>0</v>
      </c>
      <c r="K17" s="99">
        <v>0</v>
      </c>
      <c r="L17" s="99">
        <v>0</v>
      </c>
      <c r="M17" s="99">
        <v>0</v>
      </c>
      <c r="N17" s="99">
        <v>0</v>
      </c>
      <c r="O17" s="99">
        <v>0</v>
      </c>
      <c r="P17" s="100">
        <v>0</v>
      </c>
      <c r="Q17" s="101">
        <f t="shared" ref="Q17:Q26" si="1">SUM(C17:P17)</f>
        <v>0</v>
      </c>
    </row>
    <row r="18" spans="2:20" ht="20.100000000000001" customHeight="1" x14ac:dyDescent="0.3">
      <c r="B18" s="59" t="str">
        <f>집계표!B18</f>
        <v>금속관입상25</v>
      </c>
      <c r="C18" s="99">
        <v>0</v>
      </c>
      <c r="D18" s="99">
        <v>0</v>
      </c>
      <c r="E18" s="99">
        <v>0</v>
      </c>
      <c r="F18" s="99">
        <v>0</v>
      </c>
      <c r="G18" s="99">
        <v>0</v>
      </c>
      <c r="H18" s="99">
        <v>0</v>
      </c>
      <c r="I18" s="99">
        <v>0</v>
      </c>
      <c r="J18" s="99">
        <v>0</v>
      </c>
      <c r="K18" s="99">
        <v>0</v>
      </c>
      <c r="L18" s="99">
        <v>0</v>
      </c>
      <c r="M18" s="99">
        <v>0</v>
      </c>
      <c r="N18" s="99">
        <v>0</v>
      </c>
      <c r="O18" s="99">
        <v>0</v>
      </c>
      <c r="P18" s="100">
        <v>0</v>
      </c>
      <c r="Q18" s="101">
        <f t="shared" si="1"/>
        <v>0</v>
      </c>
    </row>
    <row r="19" spans="2:20" ht="20.100000000000001" customHeight="1" x14ac:dyDescent="0.3">
      <c r="B19" s="59" t="str">
        <f>집계표!B19</f>
        <v>금속관입상32</v>
      </c>
      <c r="C19" s="99">
        <v>0</v>
      </c>
      <c r="D19" s="99">
        <v>0</v>
      </c>
      <c r="E19" s="99">
        <v>0</v>
      </c>
      <c r="F19" s="99">
        <v>0</v>
      </c>
      <c r="G19" s="99">
        <v>0</v>
      </c>
      <c r="H19" s="99">
        <v>0</v>
      </c>
      <c r="I19" s="99">
        <v>0</v>
      </c>
      <c r="J19" s="99">
        <v>0</v>
      </c>
      <c r="K19" s="99">
        <v>0</v>
      </c>
      <c r="L19" s="99">
        <v>0</v>
      </c>
      <c r="M19" s="99">
        <v>0</v>
      </c>
      <c r="N19" s="99">
        <v>0</v>
      </c>
      <c r="O19" s="99">
        <v>0</v>
      </c>
      <c r="P19" s="100">
        <v>0</v>
      </c>
      <c r="Q19" s="101">
        <f t="shared" si="1"/>
        <v>0</v>
      </c>
    </row>
    <row r="20" spans="2:20" ht="20.100000000000001" customHeight="1" x14ac:dyDescent="0.3">
      <c r="B20" s="59" t="str">
        <f>집계표!B20</f>
        <v>금속관입상40</v>
      </c>
      <c r="C20" s="99">
        <v>0</v>
      </c>
      <c r="D20" s="99">
        <v>0</v>
      </c>
      <c r="E20" s="99">
        <v>0</v>
      </c>
      <c r="F20" s="99">
        <v>0</v>
      </c>
      <c r="G20" s="99">
        <v>0</v>
      </c>
      <c r="H20" s="99">
        <v>0</v>
      </c>
      <c r="I20" s="99">
        <v>0</v>
      </c>
      <c r="J20" s="99">
        <v>0</v>
      </c>
      <c r="K20" s="99">
        <v>0</v>
      </c>
      <c r="L20" s="99">
        <v>0</v>
      </c>
      <c r="M20" s="99">
        <v>0</v>
      </c>
      <c r="N20" s="99">
        <v>0</v>
      </c>
      <c r="O20" s="99">
        <v>0</v>
      </c>
      <c r="P20" s="100">
        <v>0</v>
      </c>
      <c r="Q20" s="101">
        <f t="shared" si="1"/>
        <v>0</v>
      </c>
    </row>
    <row r="21" spans="2:20" ht="20.100000000000001" customHeight="1" x14ac:dyDescent="0.3">
      <c r="B21" s="59" t="str">
        <f>집계표!B21</f>
        <v>금속관입상50</v>
      </c>
      <c r="C21" s="99">
        <v>0</v>
      </c>
      <c r="D21" s="99">
        <v>0</v>
      </c>
      <c r="E21" s="99">
        <v>0</v>
      </c>
      <c r="F21" s="99">
        <v>0</v>
      </c>
      <c r="G21" s="99">
        <v>0</v>
      </c>
      <c r="H21" s="99">
        <v>0</v>
      </c>
      <c r="I21" s="99">
        <v>0</v>
      </c>
      <c r="J21" s="99">
        <v>0</v>
      </c>
      <c r="K21" s="99">
        <v>0</v>
      </c>
      <c r="L21" s="99">
        <v>0</v>
      </c>
      <c r="M21" s="99">
        <v>0</v>
      </c>
      <c r="N21" s="99">
        <v>0</v>
      </c>
      <c r="O21" s="99">
        <v>0</v>
      </c>
      <c r="P21" s="100">
        <v>0</v>
      </c>
      <c r="Q21" s="101">
        <f t="shared" si="1"/>
        <v>0</v>
      </c>
    </row>
    <row r="22" spans="2:20" ht="20.100000000000001" customHeight="1" x14ac:dyDescent="0.3">
      <c r="B22" s="59" t="str">
        <f>집계표!B22</f>
        <v>금속관입상65</v>
      </c>
      <c r="C22" s="99">
        <v>0</v>
      </c>
      <c r="D22" s="99">
        <v>0</v>
      </c>
      <c r="E22" s="99">
        <v>0</v>
      </c>
      <c r="F22" s="99">
        <v>0</v>
      </c>
      <c r="G22" s="99">
        <v>0</v>
      </c>
      <c r="H22" s="99">
        <v>0</v>
      </c>
      <c r="I22" s="99">
        <v>0</v>
      </c>
      <c r="J22" s="99">
        <v>0</v>
      </c>
      <c r="K22" s="99">
        <v>0</v>
      </c>
      <c r="L22" s="99">
        <v>0</v>
      </c>
      <c r="M22" s="99">
        <v>0</v>
      </c>
      <c r="N22" s="99">
        <v>0</v>
      </c>
      <c r="O22" s="99">
        <v>0</v>
      </c>
      <c r="P22" s="100">
        <v>0</v>
      </c>
      <c r="Q22" s="101">
        <f t="shared" si="1"/>
        <v>0</v>
      </c>
    </row>
    <row r="23" spans="2:20" ht="20.100000000000001" customHeight="1" x14ac:dyDescent="0.3">
      <c r="B23" s="59" t="str">
        <f>집계표!B23</f>
        <v>금속관입상80</v>
      </c>
      <c r="C23" s="99">
        <v>0</v>
      </c>
      <c r="D23" s="99">
        <v>0</v>
      </c>
      <c r="E23" s="99">
        <v>0</v>
      </c>
      <c r="F23" s="99">
        <v>0</v>
      </c>
      <c r="G23" s="99">
        <v>0</v>
      </c>
      <c r="H23" s="99">
        <v>0</v>
      </c>
      <c r="I23" s="99">
        <v>0</v>
      </c>
      <c r="J23" s="99">
        <v>0</v>
      </c>
      <c r="K23" s="99">
        <v>1</v>
      </c>
      <c r="L23" s="99">
        <v>0</v>
      </c>
      <c r="M23" s="99">
        <v>0</v>
      </c>
      <c r="N23" s="99">
        <v>0</v>
      </c>
      <c r="O23" s="99">
        <v>0</v>
      </c>
      <c r="P23" s="100">
        <v>0</v>
      </c>
      <c r="Q23" s="101">
        <f t="shared" si="1"/>
        <v>1</v>
      </c>
    </row>
    <row r="24" spans="2:20" ht="20.100000000000001" customHeight="1" x14ac:dyDescent="0.3">
      <c r="B24" s="59" t="str">
        <f>집계표!B24</f>
        <v>금속관입상100</v>
      </c>
      <c r="C24" s="99">
        <v>0</v>
      </c>
      <c r="D24" s="99">
        <v>0</v>
      </c>
      <c r="E24" s="99">
        <v>0</v>
      </c>
      <c r="F24" s="99">
        <v>0</v>
      </c>
      <c r="G24" s="99">
        <v>0</v>
      </c>
      <c r="H24" s="99">
        <v>0</v>
      </c>
      <c r="I24" s="99">
        <v>0</v>
      </c>
      <c r="J24" s="99">
        <v>0</v>
      </c>
      <c r="K24" s="99">
        <v>1</v>
      </c>
      <c r="L24" s="99">
        <v>0</v>
      </c>
      <c r="M24" s="99">
        <v>0</v>
      </c>
      <c r="N24" s="99">
        <v>0</v>
      </c>
      <c r="O24" s="99">
        <v>0</v>
      </c>
      <c r="P24" s="100">
        <v>0</v>
      </c>
      <c r="Q24" s="101">
        <f t="shared" si="1"/>
        <v>1</v>
      </c>
    </row>
    <row r="25" spans="2:20" ht="20.100000000000001" customHeight="1" x14ac:dyDescent="0.3">
      <c r="B25" s="59" t="str">
        <f>집계표!B25</f>
        <v>금속관입상125</v>
      </c>
      <c r="C25" s="99">
        <v>0</v>
      </c>
      <c r="D25" s="99">
        <v>0</v>
      </c>
      <c r="E25" s="99">
        <v>0</v>
      </c>
      <c r="F25" s="99">
        <v>0</v>
      </c>
      <c r="G25" s="99">
        <v>0</v>
      </c>
      <c r="H25" s="99">
        <v>0</v>
      </c>
      <c r="I25" s="99">
        <v>0</v>
      </c>
      <c r="J25" s="99">
        <v>0</v>
      </c>
      <c r="K25" s="99">
        <v>0</v>
      </c>
      <c r="L25" s="99">
        <v>0</v>
      </c>
      <c r="M25" s="99">
        <v>0</v>
      </c>
      <c r="N25" s="99">
        <v>0</v>
      </c>
      <c r="O25" s="99">
        <v>0</v>
      </c>
      <c r="P25" s="100">
        <v>0</v>
      </c>
      <c r="Q25" s="101">
        <f t="shared" si="1"/>
        <v>0</v>
      </c>
    </row>
    <row r="26" spans="2:20" ht="20.100000000000001" customHeight="1" x14ac:dyDescent="0.3">
      <c r="B26" s="59" t="str">
        <f>집계표!B26</f>
        <v>금속관입상150</v>
      </c>
      <c r="C26" s="99">
        <v>0</v>
      </c>
      <c r="D26" s="99">
        <v>0</v>
      </c>
      <c r="E26" s="99">
        <v>0</v>
      </c>
      <c r="F26" s="99">
        <v>0</v>
      </c>
      <c r="G26" s="99">
        <v>0</v>
      </c>
      <c r="H26" s="99">
        <v>0</v>
      </c>
      <c r="I26" s="99">
        <v>0</v>
      </c>
      <c r="J26" s="99">
        <v>0</v>
      </c>
      <c r="K26" s="99">
        <v>6</v>
      </c>
      <c r="L26" s="99">
        <v>0</v>
      </c>
      <c r="M26" s="99">
        <v>0</v>
      </c>
      <c r="N26" s="99">
        <v>0</v>
      </c>
      <c r="O26" s="99">
        <v>0</v>
      </c>
      <c r="P26" s="100">
        <v>0</v>
      </c>
      <c r="Q26" s="101">
        <f t="shared" si="1"/>
        <v>6</v>
      </c>
    </row>
    <row r="27" spans="2:20" ht="20.100000000000001" customHeight="1" x14ac:dyDescent="0.3">
      <c r="B27" s="59" t="str">
        <f>집계표!B27</f>
        <v>금속관입상200</v>
      </c>
      <c r="C27" s="99">
        <v>0</v>
      </c>
      <c r="D27" s="99">
        <v>0</v>
      </c>
      <c r="E27" s="99">
        <v>0</v>
      </c>
      <c r="F27" s="99">
        <v>0</v>
      </c>
      <c r="G27" s="99">
        <v>0</v>
      </c>
      <c r="H27" s="99">
        <v>0</v>
      </c>
      <c r="I27" s="99">
        <v>0</v>
      </c>
      <c r="J27" s="99">
        <v>0</v>
      </c>
      <c r="K27" s="99">
        <v>0</v>
      </c>
      <c r="L27" s="99">
        <v>0</v>
      </c>
      <c r="M27" s="99">
        <v>0</v>
      </c>
      <c r="N27" s="99">
        <v>0</v>
      </c>
      <c r="O27" s="99">
        <v>0</v>
      </c>
      <c r="P27" s="100">
        <v>0</v>
      </c>
      <c r="Q27" s="101">
        <f t="shared" si="0"/>
        <v>0</v>
      </c>
    </row>
    <row r="28" spans="2:20" ht="20.100000000000001" customHeight="1" x14ac:dyDescent="0.3">
      <c r="B28" s="59" t="str">
        <f>집계표!B28</f>
        <v>금속관입상250</v>
      </c>
      <c r="C28" s="99">
        <v>0</v>
      </c>
      <c r="D28" s="99">
        <v>0</v>
      </c>
      <c r="E28" s="99">
        <v>0</v>
      </c>
      <c r="F28" s="99">
        <v>0</v>
      </c>
      <c r="G28" s="99">
        <v>0</v>
      </c>
      <c r="H28" s="99">
        <v>0</v>
      </c>
      <c r="I28" s="99">
        <v>0</v>
      </c>
      <c r="J28" s="99">
        <v>0</v>
      </c>
      <c r="K28" s="99">
        <v>0</v>
      </c>
      <c r="L28" s="99">
        <v>0</v>
      </c>
      <c r="M28" s="99">
        <v>0</v>
      </c>
      <c r="N28" s="99">
        <v>0</v>
      </c>
      <c r="O28" s="99">
        <v>0</v>
      </c>
      <c r="P28" s="100">
        <v>0</v>
      </c>
      <c r="Q28" s="101">
        <f t="shared" si="0"/>
        <v>0</v>
      </c>
    </row>
    <row r="29" spans="2:20" ht="20.100000000000001" customHeight="1" x14ac:dyDescent="0.3">
      <c r="B29" s="59" t="str">
        <f>집계표!B29</f>
        <v>금속관입상300</v>
      </c>
      <c r="C29" s="99">
        <v>0</v>
      </c>
      <c r="D29" s="99">
        <v>0</v>
      </c>
      <c r="E29" s="99">
        <v>0</v>
      </c>
      <c r="F29" s="99">
        <v>0</v>
      </c>
      <c r="G29" s="99">
        <v>0</v>
      </c>
      <c r="H29" s="99">
        <v>0</v>
      </c>
      <c r="I29" s="99">
        <v>0</v>
      </c>
      <c r="J29" s="99">
        <v>0</v>
      </c>
      <c r="K29" s="99">
        <v>0</v>
      </c>
      <c r="L29" s="99">
        <v>0</v>
      </c>
      <c r="M29" s="99">
        <v>0</v>
      </c>
      <c r="N29" s="99">
        <v>0</v>
      </c>
      <c r="O29" s="99">
        <v>0</v>
      </c>
      <c r="P29" s="100">
        <v>0</v>
      </c>
      <c r="Q29" s="101">
        <f t="shared" si="0"/>
        <v>0</v>
      </c>
    </row>
    <row r="30" spans="2:20" ht="20.100000000000001" customHeight="1" x14ac:dyDescent="0.3">
      <c r="B30" s="59" t="str">
        <f>집계표!B30</f>
        <v>금속관입상350</v>
      </c>
      <c r="C30" s="99">
        <v>0</v>
      </c>
      <c r="D30" s="99">
        <v>0</v>
      </c>
      <c r="E30" s="99">
        <v>0</v>
      </c>
      <c r="F30" s="99">
        <v>0</v>
      </c>
      <c r="G30" s="99">
        <v>0</v>
      </c>
      <c r="H30" s="99">
        <v>0</v>
      </c>
      <c r="I30" s="99">
        <v>0</v>
      </c>
      <c r="J30" s="99">
        <v>0</v>
      </c>
      <c r="K30" s="99">
        <v>0</v>
      </c>
      <c r="L30" s="99">
        <v>0</v>
      </c>
      <c r="M30" s="99">
        <v>0</v>
      </c>
      <c r="N30" s="99">
        <v>0</v>
      </c>
      <c r="O30" s="99">
        <v>0</v>
      </c>
      <c r="P30" s="100">
        <v>0</v>
      </c>
      <c r="Q30" s="101">
        <f t="shared" si="0"/>
        <v>0</v>
      </c>
    </row>
    <row r="31" spans="2:20" ht="20.100000000000001" customHeight="1" x14ac:dyDescent="0.3">
      <c r="B31" s="59" t="str">
        <f>집계표!B31</f>
        <v>금속관입상400</v>
      </c>
      <c r="C31" s="99">
        <v>0</v>
      </c>
      <c r="D31" s="99">
        <v>0</v>
      </c>
      <c r="E31" s="99">
        <v>0</v>
      </c>
      <c r="F31" s="99">
        <v>0</v>
      </c>
      <c r="G31" s="99">
        <v>0</v>
      </c>
      <c r="H31" s="99">
        <v>0</v>
      </c>
      <c r="I31" s="99">
        <v>0</v>
      </c>
      <c r="J31" s="99">
        <v>0</v>
      </c>
      <c r="K31" s="99">
        <v>0</v>
      </c>
      <c r="L31" s="99">
        <v>0</v>
      </c>
      <c r="M31" s="99">
        <v>0</v>
      </c>
      <c r="N31" s="99">
        <v>0</v>
      </c>
      <c r="O31" s="99">
        <v>0</v>
      </c>
      <c r="P31" s="100">
        <v>0</v>
      </c>
      <c r="Q31" s="101">
        <f t="shared" ref="Q31:Q32" si="2">SUM(C31:P31)</f>
        <v>0</v>
      </c>
      <c r="T31" t="s">
        <v>49</v>
      </c>
    </row>
    <row r="32" spans="2:20" ht="20.100000000000001" customHeight="1" x14ac:dyDescent="0.3">
      <c r="B32" s="59" t="str">
        <f>집계표!B32</f>
        <v>금속관입상450</v>
      </c>
      <c r="C32" s="99">
        <v>0</v>
      </c>
      <c r="D32" s="99">
        <v>0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0</v>
      </c>
      <c r="K32" s="99">
        <v>0</v>
      </c>
      <c r="L32" s="99">
        <v>0</v>
      </c>
      <c r="M32" s="99">
        <v>0</v>
      </c>
      <c r="N32" s="99">
        <v>0</v>
      </c>
      <c r="O32" s="99">
        <v>0</v>
      </c>
      <c r="P32" s="100">
        <v>0</v>
      </c>
      <c r="Q32" s="101">
        <f t="shared" si="2"/>
        <v>0</v>
      </c>
      <c r="T32" t="s">
        <v>49</v>
      </c>
    </row>
    <row r="33" spans="2:20" ht="20.100000000000001" customHeight="1" x14ac:dyDescent="0.3">
      <c r="B33" s="59" t="str">
        <f>집계표!B33</f>
        <v>금속관입상500</v>
      </c>
      <c r="C33" s="99">
        <v>0</v>
      </c>
      <c r="D33" s="99">
        <v>0</v>
      </c>
      <c r="E33" s="99">
        <v>0</v>
      </c>
      <c r="F33" s="99">
        <v>0</v>
      </c>
      <c r="G33" s="99">
        <v>0</v>
      </c>
      <c r="H33" s="99">
        <v>0</v>
      </c>
      <c r="I33" s="99">
        <v>0</v>
      </c>
      <c r="J33" s="99">
        <v>0</v>
      </c>
      <c r="K33" s="99">
        <v>0</v>
      </c>
      <c r="L33" s="99">
        <v>0</v>
      </c>
      <c r="M33" s="99">
        <v>0</v>
      </c>
      <c r="N33" s="99">
        <v>0</v>
      </c>
      <c r="O33" s="99">
        <v>0</v>
      </c>
      <c r="P33" s="100">
        <v>0</v>
      </c>
      <c r="Q33" s="101">
        <f t="shared" si="0"/>
        <v>0</v>
      </c>
      <c r="T33" t="s">
        <v>49</v>
      </c>
    </row>
    <row r="34" spans="2:20" ht="20.100000000000001" customHeight="1" x14ac:dyDescent="0.3">
      <c r="B34" s="59" t="str">
        <f>집계표!B34</f>
        <v>스파이럴입상100</v>
      </c>
      <c r="C34" s="99">
        <v>0</v>
      </c>
      <c r="D34" s="99">
        <v>0</v>
      </c>
      <c r="E34" s="99">
        <v>0</v>
      </c>
      <c r="F34" s="99">
        <v>0</v>
      </c>
      <c r="G34" s="99">
        <v>0</v>
      </c>
      <c r="H34" s="99">
        <v>0</v>
      </c>
      <c r="I34" s="99">
        <v>0</v>
      </c>
      <c r="J34" s="99">
        <v>0</v>
      </c>
      <c r="K34" s="99">
        <v>0</v>
      </c>
      <c r="L34" s="99">
        <v>0</v>
      </c>
      <c r="M34" s="99">
        <v>0</v>
      </c>
      <c r="N34" s="99">
        <v>0</v>
      </c>
      <c r="O34" s="99">
        <v>0</v>
      </c>
      <c r="P34" s="100">
        <v>0</v>
      </c>
      <c r="Q34" s="101">
        <f t="shared" si="0"/>
        <v>0</v>
      </c>
    </row>
    <row r="35" spans="2:20" ht="20.100000000000001" customHeight="1" x14ac:dyDescent="0.3">
      <c r="B35" s="59" t="str">
        <f>집계표!B35</f>
        <v>스파이럴입상150</v>
      </c>
      <c r="C35" s="99">
        <v>0</v>
      </c>
      <c r="D35" s="99">
        <v>0</v>
      </c>
      <c r="E35" s="99">
        <v>0</v>
      </c>
      <c r="F35" s="99">
        <v>0</v>
      </c>
      <c r="G35" s="99">
        <v>0</v>
      </c>
      <c r="H35" s="99">
        <v>0</v>
      </c>
      <c r="I35" s="99">
        <v>0</v>
      </c>
      <c r="J35" s="99">
        <v>0</v>
      </c>
      <c r="K35" s="99">
        <v>0</v>
      </c>
      <c r="L35" s="99">
        <v>0</v>
      </c>
      <c r="M35" s="99">
        <v>0</v>
      </c>
      <c r="N35" s="99">
        <v>0</v>
      </c>
      <c r="O35" s="99">
        <v>0</v>
      </c>
      <c r="P35" s="100">
        <v>0</v>
      </c>
      <c r="Q35" s="101">
        <f t="shared" si="0"/>
        <v>0</v>
      </c>
    </row>
    <row r="36" spans="2:20" ht="20.100000000000001" customHeight="1" x14ac:dyDescent="0.3">
      <c r="B36" s="59" t="str">
        <f>집계표!B36</f>
        <v>스파이럴입상200</v>
      </c>
      <c r="C36" s="99">
        <v>0</v>
      </c>
      <c r="D36" s="99">
        <v>0</v>
      </c>
      <c r="E36" s="99">
        <v>0</v>
      </c>
      <c r="F36" s="99">
        <v>0</v>
      </c>
      <c r="G36" s="99">
        <v>0</v>
      </c>
      <c r="H36" s="99">
        <v>0</v>
      </c>
      <c r="I36" s="99">
        <v>0</v>
      </c>
      <c r="J36" s="99">
        <v>0</v>
      </c>
      <c r="K36" s="99">
        <v>0</v>
      </c>
      <c r="L36" s="99">
        <v>0</v>
      </c>
      <c r="M36" s="99">
        <v>0</v>
      </c>
      <c r="N36" s="99">
        <v>0</v>
      </c>
      <c r="O36" s="99">
        <v>0</v>
      </c>
      <c r="P36" s="100">
        <v>0</v>
      </c>
      <c r="Q36" s="101">
        <f t="shared" si="0"/>
        <v>0</v>
      </c>
    </row>
    <row r="37" spans="2:20" ht="20.100000000000001" customHeight="1" x14ac:dyDescent="0.3">
      <c r="B37" s="59" t="str">
        <f>집계표!B37</f>
        <v>스파이럴입상250</v>
      </c>
      <c r="C37" s="99">
        <v>0</v>
      </c>
      <c r="D37" s="99">
        <v>0</v>
      </c>
      <c r="E37" s="99">
        <v>0</v>
      </c>
      <c r="F37" s="99">
        <v>0</v>
      </c>
      <c r="G37" s="99">
        <v>0</v>
      </c>
      <c r="H37" s="99">
        <v>0</v>
      </c>
      <c r="I37" s="99">
        <v>0</v>
      </c>
      <c r="J37" s="99">
        <v>0</v>
      </c>
      <c r="K37" s="99">
        <v>0</v>
      </c>
      <c r="L37" s="99">
        <v>0</v>
      </c>
      <c r="M37" s="99">
        <v>0</v>
      </c>
      <c r="N37" s="99">
        <v>0</v>
      </c>
      <c r="O37" s="99">
        <v>0</v>
      </c>
      <c r="P37" s="100">
        <v>0</v>
      </c>
      <c r="Q37" s="101">
        <f t="shared" si="0"/>
        <v>0</v>
      </c>
    </row>
    <row r="38" spans="2:20" ht="20.100000000000001" customHeight="1" x14ac:dyDescent="0.3">
      <c r="B38" s="59" t="str">
        <f>집계표!B38</f>
        <v>스파이럴입상300</v>
      </c>
      <c r="C38" s="99">
        <v>0</v>
      </c>
      <c r="D38" s="99">
        <v>0</v>
      </c>
      <c r="E38" s="99">
        <v>0</v>
      </c>
      <c r="F38" s="99">
        <v>0</v>
      </c>
      <c r="G38" s="99">
        <v>0</v>
      </c>
      <c r="H38" s="99">
        <v>0</v>
      </c>
      <c r="I38" s="99">
        <v>0</v>
      </c>
      <c r="J38" s="99">
        <v>0</v>
      </c>
      <c r="K38" s="99">
        <v>0</v>
      </c>
      <c r="L38" s="99">
        <v>0</v>
      </c>
      <c r="M38" s="99">
        <v>0</v>
      </c>
      <c r="N38" s="99">
        <v>0</v>
      </c>
      <c r="O38" s="99">
        <v>0</v>
      </c>
      <c r="P38" s="100">
        <v>0</v>
      </c>
      <c r="Q38" s="101">
        <f t="shared" si="0"/>
        <v>0</v>
      </c>
    </row>
    <row r="39" spans="2:20" ht="20.100000000000001" customHeight="1" x14ac:dyDescent="0.3">
      <c r="B39" s="60" t="str">
        <f>집계표!B39</f>
        <v>금속관벽체15</v>
      </c>
      <c r="C39" s="102">
        <v>0</v>
      </c>
      <c r="D39" s="102">
        <v>0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0</v>
      </c>
      <c r="N39" s="102">
        <v>0</v>
      </c>
      <c r="O39" s="102">
        <v>0</v>
      </c>
      <c r="P39" s="103">
        <v>0</v>
      </c>
      <c r="Q39" s="104">
        <f t="shared" si="0"/>
        <v>0</v>
      </c>
    </row>
    <row r="40" spans="2:20" ht="20.100000000000001" customHeight="1" x14ac:dyDescent="0.3">
      <c r="B40" s="60" t="str">
        <f>집계표!B40</f>
        <v>금속관벽체20</v>
      </c>
      <c r="C40" s="102">
        <v>5</v>
      </c>
      <c r="D40" s="102">
        <v>2</v>
      </c>
      <c r="E40" s="102">
        <v>0</v>
      </c>
      <c r="F40" s="102">
        <v>0.5</v>
      </c>
      <c r="G40" s="102">
        <v>0</v>
      </c>
      <c r="H40" s="102">
        <v>1</v>
      </c>
      <c r="I40" s="102">
        <v>9.5</v>
      </c>
      <c r="J40" s="102">
        <v>10</v>
      </c>
      <c r="K40" s="102">
        <v>5.5</v>
      </c>
      <c r="L40" s="102">
        <v>0</v>
      </c>
      <c r="M40" s="102">
        <v>0</v>
      </c>
      <c r="N40" s="102">
        <v>0</v>
      </c>
      <c r="O40" s="102">
        <v>0</v>
      </c>
      <c r="P40" s="103">
        <v>0</v>
      </c>
      <c r="Q40" s="104">
        <f t="shared" si="0"/>
        <v>33.5</v>
      </c>
    </row>
    <row r="41" spans="2:20" ht="20.100000000000001" customHeight="1" x14ac:dyDescent="0.3">
      <c r="B41" s="60" t="str">
        <f>집계표!B41</f>
        <v>금속관벽체25</v>
      </c>
      <c r="C41" s="102">
        <v>17.5</v>
      </c>
      <c r="D41" s="102">
        <v>0</v>
      </c>
      <c r="E41" s="102">
        <v>0</v>
      </c>
      <c r="F41" s="102">
        <v>0</v>
      </c>
      <c r="G41" s="102">
        <v>0</v>
      </c>
      <c r="H41" s="102">
        <v>0</v>
      </c>
      <c r="I41" s="102">
        <v>0</v>
      </c>
      <c r="J41" s="102">
        <v>0</v>
      </c>
      <c r="K41" s="102">
        <v>0</v>
      </c>
      <c r="L41" s="102">
        <v>0</v>
      </c>
      <c r="M41" s="102">
        <v>0</v>
      </c>
      <c r="N41" s="102">
        <v>0</v>
      </c>
      <c r="O41" s="102">
        <v>0</v>
      </c>
      <c r="P41" s="103">
        <v>0</v>
      </c>
      <c r="Q41" s="104">
        <f t="shared" si="0"/>
        <v>17.5</v>
      </c>
    </row>
    <row r="42" spans="2:20" ht="20.100000000000001" customHeight="1" x14ac:dyDescent="0.3">
      <c r="B42" s="60" t="str">
        <f>집계표!B42</f>
        <v>금속관벽체32</v>
      </c>
      <c r="C42" s="102">
        <v>3</v>
      </c>
      <c r="D42" s="102">
        <v>0</v>
      </c>
      <c r="E42" s="102">
        <v>2</v>
      </c>
      <c r="F42" s="102">
        <v>0</v>
      </c>
      <c r="G42" s="102">
        <v>0</v>
      </c>
      <c r="H42" s="102">
        <v>0</v>
      </c>
      <c r="I42" s="102">
        <v>0</v>
      </c>
      <c r="J42" s="102">
        <v>0</v>
      </c>
      <c r="K42" s="102">
        <v>13</v>
      </c>
      <c r="L42" s="102">
        <v>0</v>
      </c>
      <c r="M42" s="102">
        <v>0</v>
      </c>
      <c r="N42" s="102">
        <v>0</v>
      </c>
      <c r="O42" s="102">
        <v>0</v>
      </c>
      <c r="P42" s="103">
        <v>0</v>
      </c>
      <c r="Q42" s="104">
        <f t="shared" si="0"/>
        <v>18</v>
      </c>
    </row>
    <row r="43" spans="2:20" ht="20.100000000000001" customHeight="1" x14ac:dyDescent="0.3">
      <c r="B43" s="60" t="str">
        <f>집계표!B43</f>
        <v>금속관벽체40</v>
      </c>
      <c r="C43" s="102">
        <v>0</v>
      </c>
      <c r="D43" s="102">
        <v>1</v>
      </c>
      <c r="E43" s="102">
        <v>0</v>
      </c>
      <c r="F43" s="102">
        <v>3</v>
      </c>
      <c r="G43" s="102">
        <v>0</v>
      </c>
      <c r="H43" s="102">
        <v>0</v>
      </c>
      <c r="I43" s="102">
        <v>0</v>
      </c>
      <c r="J43" s="102">
        <v>0</v>
      </c>
      <c r="K43" s="102">
        <v>0</v>
      </c>
      <c r="L43" s="102">
        <v>0</v>
      </c>
      <c r="M43" s="102">
        <v>0</v>
      </c>
      <c r="N43" s="102">
        <v>0</v>
      </c>
      <c r="O43" s="102">
        <v>0</v>
      </c>
      <c r="P43" s="103">
        <v>0</v>
      </c>
      <c r="Q43" s="104">
        <f t="shared" si="0"/>
        <v>4</v>
      </c>
    </row>
    <row r="44" spans="2:20" ht="20.100000000000001" customHeight="1" x14ac:dyDescent="0.3">
      <c r="B44" s="60" t="str">
        <f>집계표!B44</f>
        <v>금속관벽체50</v>
      </c>
      <c r="C44" s="102">
        <v>48</v>
      </c>
      <c r="D44" s="102">
        <v>1</v>
      </c>
      <c r="E44" s="102">
        <v>0</v>
      </c>
      <c r="F44" s="102">
        <v>2</v>
      </c>
      <c r="G44" s="102">
        <v>10.5</v>
      </c>
      <c r="H44" s="102">
        <v>10</v>
      </c>
      <c r="I44" s="102">
        <v>45</v>
      </c>
      <c r="J44" s="102">
        <v>82.5</v>
      </c>
      <c r="K44" s="102">
        <v>92</v>
      </c>
      <c r="L44" s="102">
        <v>0</v>
      </c>
      <c r="M44" s="102">
        <v>0</v>
      </c>
      <c r="N44" s="102">
        <v>0</v>
      </c>
      <c r="O44" s="102">
        <v>0</v>
      </c>
      <c r="P44" s="103">
        <v>0</v>
      </c>
      <c r="Q44" s="104">
        <f t="shared" si="0"/>
        <v>291</v>
      </c>
    </row>
    <row r="45" spans="2:20" ht="20.100000000000001" customHeight="1" x14ac:dyDescent="0.3">
      <c r="B45" s="60" t="str">
        <f>집계표!B45</f>
        <v>금속관벽체65</v>
      </c>
      <c r="C45" s="102">
        <v>1</v>
      </c>
      <c r="D45" s="102">
        <v>0</v>
      </c>
      <c r="E45" s="102">
        <v>0</v>
      </c>
      <c r="F45" s="102">
        <v>0</v>
      </c>
      <c r="G45" s="102">
        <v>0.5</v>
      </c>
      <c r="H45" s="102">
        <v>0</v>
      </c>
      <c r="I45" s="102">
        <v>0</v>
      </c>
      <c r="J45" s="102">
        <v>0</v>
      </c>
      <c r="K45" s="102">
        <v>0</v>
      </c>
      <c r="L45" s="102">
        <v>0</v>
      </c>
      <c r="M45" s="102">
        <v>0</v>
      </c>
      <c r="N45" s="102">
        <v>0</v>
      </c>
      <c r="O45" s="102">
        <v>0</v>
      </c>
      <c r="P45" s="103">
        <v>0</v>
      </c>
      <c r="Q45" s="104">
        <f t="shared" si="0"/>
        <v>1.5</v>
      </c>
    </row>
    <row r="46" spans="2:20" ht="20.100000000000001" customHeight="1" x14ac:dyDescent="0.3">
      <c r="B46" s="60" t="str">
        <f>집계표!B46</f>
        <v>금속관벽체80</v>
      </c>
      <c r="C46" s="102">
        <v>0</v>
      </c>
      <c r="D46" s="102">
        <v>0</v>
      </c>
      <c r="E46" s="102">
        <v>0</v>
      </c>
      <c r="F46" s="102">
        <v>0</v>
      </c>
      <c r="G46" s="102">
        <v>0</v>
      </c>
      <c r="H46" s="102">
        <v>1.5</v>
      </c>
      <c r="I46" s="102">
        <v>8.5</v>
      </c>
      <c r="J46" s="102">
        <v>0</v>
      </c>
      <c r="K46" s="102">
        <v>3.5</v>
      </c>
      <c r="L46" s="102">
        <v>0</v>
      </c>
      <c r="M46" s="102">
        <v>0</v>
      </c>
      <c r="N46" s="102">
        <v>0</v>
      </c>
      <c r="O46" s="102">
        <v>0</v>
      </c>
      <c r="P46" s="103">
        <v>0</v>
      </c>
      <c r="Q46" s="104">
        <f t="shared" si="0"/>
        <v>13.5</v>
      </c>
    </row>
    <row r="47" spans="2:20" ht="20.100000000000001" customHeight="1" x14ac:dyDescent="0.3">
      <c r="B47" s="60" t="str">
        <f>집계표!B47</f>
        <v>금속관벽체100</v>
      </c>
      <c r="C47" s="102">
        <v>15</v>
      </c>
      <c r="D47" s="102">
        <v>2</v>
      </c>
      <c r="E47" s="102">
        <v>0.5</v>
      </c>
      <c r="F47" s="102">
        <v>0</v>
      </c>
      <c r="G47" s="102">
        <v>0.5</v>
      </c>
      <c r="H47" s="102">
        <v>4.5</v>
      </c>
      <c r="I47" s="102">
        <v>7.5</v>
      </c>
      <c r="J47" s="102">
        <v>17</v>
      </c>
      <c r="K47" s="102">
        <v>34.5</v>
      </c>
      <c r="L47" s="102">
        <v>0</v>
      </c>
      <c r="M47" s="102">
        <v>0</v>
      </c>
      <c r="N47" s="102">
        <v>0</v>
      </c>
      <c r="O47" s="102">
        <v>0</v>
      </c>
      <c r="P47" s="103">
        <v>0</v>
      </c>
      <c r="Q47" s="104">
        <f t="shared" si="0"/>
        <v>81.5</v>
      </c>
    </row>
    <row r="48" spans="2:20" ht="20.100000000000001" customHeight="1" x14ac:dyDescent="0.3">
      <c r="B48" s="60" t="str">
        <f>집계표!B48</f>
        <v>금속관벽체125</v>
      </c>
      <c r="C48" s="102">
        <v>0</v>
      </c>
      <c r="D48" s="102">
        <v>0.5</v>
      </c>
      <c r="E48" s="102">
        <v>0</v>
      </c>
      <c r="F48" s="102">
        <v>3</v>
      </c>
      <c r="G48" s="102">
        <v>0</v>
      </c>
      <c r="H48" s="102">
        <v>4</v>
      </c>
      <c r="I48" s="102">
        <v>2.5</v>
      </c>
      <c r="J48" s="102">
        <v>2</v>
      </c>
      <c r="K48" s="102">
        <v>4</v>
      </c>
      <c r="L48" s="102">
        <v>0</v>
      </c>
      <c r="M48" s="102">
        <v>0</v>
      </c>
      <c r="N48" s="102">
        <v>0</v>
      </c>
      <c r="O48" s="102">
        <v>0</v>
      </c>
      <c r="P48" s="103">
        <v>0</v>
      </c>
      <c r="Q48" s="104">
        <f t="shared" si="0"/>
        <v>16</v>
      </c>
    </row>
    <row r="49" spans="2:17" ht="20.100000000000001" customHeight="1" x14ac:dyDescent="0.3">
      <c r="B49" s="60" t="str">
        <f>집계표!B49</f>
        <v>금속관벽체150</v>
      </c>
      <c r="C49" s="102">
        <v>55.5</v>
      </c>
      <c r="D49" s="102">
        <v>7.5</v>
      </c>
      <c r="E49" s="102">
        <v>3.5</v>
      </c>
      <c r="F49" s="102">
        <v>8</v>
      </c>
      <c r="G49" s="102">
        <v>0</v>
      </c>
      <c r="H49" s="102">
        <v>2</v>
      </c>
      <c r="I49" s="102">
        <v>33.5</v>
      </c>
      <c r="J49" s="102">
        <v>23</v>
      </c>
      <c r="K49" s="102">
        <v>28.5</v>
      </c>
      <c r="L49" s="102">
        <v>0</v>
      </c>
      <c r="M49" s="102">
        <v>0</v>
      </c>
      <c r="N49" s="102">
        <v>0</v>
      </c>
      <c r="O49" s="102">
        <v>0</v>
      </c>
      <c r="P49" s="103">
        <v>0</v>
      </c>
      <c r="Q49" s="104">
        <f t="shared" si="0"/>
        <v>161.5</v>
      </c>
    </row>
    <row r="50" spans="2:17" ht="20.100000000000001" customHeight="1" x14ac:dyDescent="0.3">
      <c r="B50" s="60" t="str">
        <f>집계표!B50</f>
        <v>금속관벽체200</v>
      </c>
      <c r="C50" s="102">
        <v>0</v>
      </c>
      <c r="D50" s="102">
        <v>0</v>
      </c>
      <c r="E50" s="102">
        <v>0</v>
      </c>
      <c r="F50" s="102">
        <v>0</v>
      </c>
      <c r="G50" s="102">
        <v>0</v>
      </c>
      <c r="H50" s="102">
        <v>0</v>
      </c>
      <c r="I50" s="102">
        <v>0</v>
      </c>
      <c r="J50" s="102">
        <v>0</v>
      </c>
      <c r="K50" s="102">
        <v>0</v>
      </c>
      <c r="L50" s="102">
        <v>0</v>
      </c>
      <c r="M50" s="102">
        <v>0</v>
      </c>
      <c r="N50" s="102">
        <v>0</v>
      </c>
      <c r="O50" s="102">
        <v>0</v>
      </c>
      <c r="P50" s="103">
        <v>0</v>
      </c>
      <c r="Q50" s="104">
        <f t="shared" ref="Q50" si="3">SUM(C50:P50)</f>
        <v>0</v>
      </c>
    </row>
    <row r="51" spans="2:17" ht="20.100000000000001" customHeight="1" x14ac:dyDescent="0.3">
      <c r="B51" s="60" t="str">
        <f>집계표!B51</f>
        <v>금속관벽체250</v>
      </c>
      <c r="C51" s="102">
        <v>0</v>
      </c>
      <c r="D51" s="102">
        <v>0</v>
      </c>
      <c r="E51" s="102">
        <v>0</v>
      </c>
      <c r="F51" s="102">
        <v>0</v>
      </c>
      <c r="G51" s="102">
        <v>0</v>
      </c>
      <c r="H51" s="102">
        <v>0</v>
      </c>
      <c r="I51" s="102">
        <v>0</v>
      </c>
      <c r="J51" s="102">
        <v>0</v>
      </c>
      <c r="K51" s="102">
        <v>0</v>
      </c>
      <c r="L51" s="102">
        <v>0</v>
      </c>
      <c r="M51" s="102">
        <v>0</v>
      </c>
      <c r="N51" s="102">
        <v>0</v>
      </c>
      <c r="O51" s="102">
        <v>0</v>
      </c>
      <c r="P51" s="103">
        <v>0</v>
      </c>
      <c r="Q51" s="104">
        <f t="shared" si="0"/>
        <v>0</v>
      </c>
    </row>
    <row r="52" spans="2:17" ht="20.100000000000001" customHeight="1" x14ac:dyDescent="0.3">
      <c r="B52" s="60" t="str">
        <f>집계표!B52</f>
        <v>금속관벽체300</v>
      </c>
      <c r="C52" s="102">
        <v>0</v>
      </c>
      <c r="D52" s="102">
        <v>0</v>
      </c>
      <c r="E52" s="102">
        <v>0</v>
      </c>
      <c r="F52" s="102">
        <v>0</v>
      </c>
      <c r="G52" s="102">
        <v>0</v>
      </c>
      <c r="H52" s="102">
        <v>0</v>
      </c>
      <c r="I52" s="102">
        <v>0</v>
      </c>
      <c r="J52" s="102">
        <v>0</v>
      </c>
      <c r="K52" s="102">
        <v>0</v>
      </c>
      <c r="L52" s="102">
        <v>0</v>
      </c>
      <c r="M52" s="102">
        <v>0</v>
      </c>
      <c r="N52" s="102">
        <v>0</v>
      </c>
      <c r="O52" s="102">
        <v>0</v>
      </c>
      <c r="P52" s="103">
        <v>0</v>
      </c>
      <c r="Q52" s="104">
        <f t="shared" si="0"/>
        <v>0</v>
      </c>
    </row>
    <row r="53" spans="2:17" ht="20.100000000000001" customHeight="1" x14ac:dyDescent="0.3">
      <c r="B53" s="60" t="str">
        <f>집계표!B53</f>
        <v>금속관벽체350</v>
      </c>
      <c r="C53" s="102">
        <v>0</v>
      </c>
      <c r="D53" s="102">
        <v>0</v>
      </c>
      <c r="E53" s="102">
        <v>0</v>
      </c>
      <c r="F53" s="102">
        <v>0</v>
      </c>
      <c r="G53" s="102">
        <v>0</v>
      </c>
      <c r="H53" s="102">
        <v>0</v>
      </c>
      <c r="I53" s="102">
        <v>0</v>
      </c>
      <c r="J53" s="102">
        <v>0</v>
      </c>
      <c r="K53" s="102">
        <v>0</v>
      </c>
      <c r="L53" s="102">
        <v>0</v>
      </c>
      <c r="M53" s="102">
        <v>0</v>
      </c>
      <c r="N53" s="102">
        <v>0</v>
      </c>
      <c r="O53" s="102">
        <v>0</v>
      </c>
      <c r="P53" s="103">
        <v>0</v>
      </c>
      <c r="Q53" s="104">
        <f t="shared" si="0"/>
        <v>0</v>
      </c>
    </row>
    <row r="54" spans="2:17" ht="20.100000000000001" customHeight="1" x14ac:dyDescent="0.3">
      <c r="B54" s="60" t="str">
        <f>집계표!B54</f>
        <v>금속관벽체400</v>
      </c>
      <c r="C54" s="102">
        <v>0</v>
      </c>
      <c r="D54" s="102">
        <v>0</v>
      </c>
      <c r="E54" s="102">
        <v>0</v>
      </c>
      <c r="F54" s="102">
        <v>0</v>
      </c>
      <c r="G54" s="102">
        <v>0</v>
      </c>
      <c r="H54" s="102">
        <v>0</v>
      </c>
      <c r="I54" s="102">
        <v>0</v>
      </c>
      <c r="J54" s="102">
        <v>0</v>
      </c>
      <c r="K54" s="102">
        <v>0</v>
      </c>
      <c r="L54" s="102">
        <v>0</v>
      </c>
      <c r="M54" s="102">
        <v>0</v>
      </c>
      <c r="N54" s="102">
        <v>0</v>
      </c>
      <c r="O54" s="102">
        <v>0</v>
      </c>
      <c r="P54" s="103">
        <v>0</v>
      </c>
      <c r="Q54" s="104">
        <f t="shared" si="0"/>
        <v>0</v>
      </c>
    </row>
    <row r="55" spans="2:17" ht="20.100000000000001" customHeight="1" x14ac:dyDescent="0.3">
      <c r="B55" s="60" t="str">
        <f>집계표!B55</f>
        <v>금속관벽체450</v>
      </c>
      <c r="C55" s="102">
        <v>0</v>
      </c>
      <c r="D55" s="102">
        <v>0</v>
      </c>
      <c r="E55" s="102">
        <v>0</v>
      </c>
      <c r="F55" s="102">
        <v>0</v>
      </c>
      <c r="G55" s="102">
        <v>0</v>
      </c>
      <c r="H55" s="102">
        <v>0</v>
      </c>
      <c r="I55" s="102">
        <v>0</v>
      </c>
      <c r="J55" s="102">
        <v>0</v>
      </c>
      <c r="K55" s="102">
        <v>0</v>
      </c>
      <c r="L55" s="102">
        <v>0</v>
      </c>
      <c r="M55" s="102">
        <v>0</v>
      </c>
      <c r="N55" s="102">
        <v>0</v>
      </c>
      <c r="O55" s="102">
        <v>0</v>
      </c>
      <c r="P55" s="103">
        <v>0</v>
      </c>
      <c r="Q55" s="104">
        <f t="shared" si="0"/>
        <v>0</v>
      </c>
    </row>
    <row r="56" spans="2:17" ht="20.100000000000001" customHeight="1" x14ac:dyDescent="0.3">
      <c r="B56" s="60" t="str">
        <f>집계표!B56</f>
        <v>금속관벽체500</v>
      </c>
      <c r="C56" s="102">
        <v>0</v>
      </c>
      <c r="D56" s="102">
        <v>0</v>
      </c>
      <c r="E56" s="102">
        <v>0</v>
      </c>
      <c r="F56" s="102">
        <v>0</v>
      </c>
      <c r="G56" s="102">
        <v>0</v>
      </c>
      <c r="H56" s="102">
        <v>0</v>
      </c>
      <c r="I56" s="102">
        <v>0</v>
      </c>
      <c r="J56" s="102">
        <v>0</v>
      </c>
      <c r="K56" s="102">
        <v>0</v>
      </c>
      <c r="L56" s="102">
        <v>0</v>
      </c>
      <c r="M56" s="102">
        <v>0</v>
      </c>
      <c r="N56" s="102">
        <v>0</v>
      </c>
      <c r="O56" s="102">
        <v>0</v>
      </c>
      <c r="P56" s="103">
        <v>0</v>
      </c>
      <c r="Q56" s="104">
        <f t="shared" si="0"/>
        <v>0</v>
      </c>
    </row>
    <row r="57" spans="2:17" ht="20.100000000000001" customHeight="1" x14ac:dyDescent="0.3">
      <c r="B57" s="60" t="str">
        <f>집계표!B57</f>
        <v>스파이럴벽체100</v>
      </c>
      <c r="C57" s="102">
        <v>0</v>
      </c>
      <c r="D57" s="102">
        <v>0</v>
      </c>
      <c r="E57" s="102">
        <v>0</v>
      </c>
      <c r="F57" s="102">
        <v>0</v>
      </c>
      <c r="G57" s="102">
        <v>0</v>
      </c>
      <c r="H57" s="102">
        <v>0</v>
      </c>
      <c r="I57" s="102">
        <v>0</v>
      </c>
      <c r="J57" s="102">
        <v>0</v>
      </c>
      <c r="K57" s="102">
        <v>0</v>
      </c>
      <c r="L57" s="102">
        <v>0</v>
      </c>
      <c r="M57" s="102">
        <v>0</v>
      </c>
      <c r="N57" s="102">
        <v>0</v>
      </c>
      <c r="O57" s="102">
        <v>0</v>
      </c>
      <c r="P57" s="103">
        <v>0</v>
      </c>
      <c r="Q57" s="104">
        <f t="shared" si="0"/>
        <v>0</v>
      </c>
    </row>
    <row r="58" spans="2:17" ht="20.100000000000001" customHeight="1" x14ac:dyDescent="0.3">
      <c r="B58" s="60" t="str">
        <f>집계표!B58</f>
        <v>스파이럴벽체125</v>
      </c>
      <c r="C58" s="102">
        <v>0</v>
      </c>
      <c r="D58" s="102">
        <v>0</v>
      </c>
      <c r="E58" s="102">
        <v>0</v>
      </c>
      <c r="F58" s="102">
        <v>0</v>
      </c>
      <c r="G58" s="102">
        <v>0</v>
      </c>
      <c r="H58" s="102">
        <v>0</v>
      </c>
      <c r="I58" s="102">
        <v>0</v>
      </c>
      <c r="J58" s="102">
        <v>0</v>
      </c>
      <c r="K58" s="102">
        <v>0</v>
      </c>
      <c r="L58" s="102">
        <v>0</v>
      </c>
      <c r="M58" s="102">
        <v>0</v>
      </c>
      <c r="N58" s="102">
        <v>0</v>
      </c>
      <c r="O58" s="102">
        <v>0</v>
      </c>
      <c r="P58" s="103">
        <v>0</v>
      </c>
      <c r="Q58" s="104">
        <f t="shared" si="0"/>
        <v>0</v>
      </c>
    </row>
    <row r="59" spans="2:17" ht="20.100000000000001" customHeight="1" x14ac:dyDescent="0.3">
      <c r="B59" s="60" t="str">
        <f>집계표!B59</f>
        <v>스파이럴벽체150</v>
      </c>
      <c r="C59" s="102">
        <v>0</v>
      </c>
      <c r="D59" s="102">
        <v>0</v>
      </c>
      <c r="E59" s="102">
        <v>0</v>
      </c>
      <c r="F59" s="102">
        <v>0</v>
      </c>
      <c r="G59" s="102">
        <v>0</v>
      </c>
      <c r="H59" s="102">
        <v>0</v>
      </c>
      <c r="I59" s="102">
        <v>0</v>
      </c>
      <c r="J59" s="102">
        <v>0</v>
      </c>
      <c r="K59" s="102">
        <v>0</v>
      </c>
      <c r="L59" s="102">
        <v>0</v>
      </c>
      <c r="M59" s="102">
        <v>0</v>
      </c>
      <c r="N59" s="102">
        <v>0</v>
      </c>
      <c r="O59" s="102">
        <v>0</v>
      </c>
      <c r="P59" s="103">
        <v>0</v>
      </c>
      <c r="Q59" s="104">
        <f t="shared" si="0"/>
        <v>0</v>
      </c>
    </row>
    <row r="60" spans="2:17" ht="19.5" customHeight="1" x14ac:dyDescent="0.3">
      <c r="B60" s="60" t="str">
        <f>집계표!B60</f>
        <v>스파이럴벽체200</v>
      </c>
      <c r="C60" s="102">
        <v>0</v>
      </c>
      <c r="D60" s="102">
        <v>0</v>
      </c>
      <c r="E60" s="102">
        <v>0</v>
      </c>
      <c r="F60" s="102">
        <v>0</v>
      </c>
      <c r="G60" s="102">
        <v>0</v>
      </c>
      <c r="H60" s="102">
        <v>0</v>
      </c>
      <c r="I60" s="102">
        <v>0</v>
      </c>
      <c r="J60" s="102">
        <v>0</v>
      </c>
      <c r="K60" s="102">
        <v>0</v>
      </c>
      <c r="L60" s="102">
        <v>0</v>
      </c>
      <c r="M60" s="102">
        <v>0</v>
      </c>
      <c r="N60" s="102">
        <v>0</v>
      </c>
      <c r="O60" s="102">
        <v>0</v>
      </c>
      <c r="P60" s="103">
        <v>0</v>
      </c>
      <c r="Q60" s="104">
        <f t="shared" si="0"/>
        <v>0</v>
      </c>
    </row>
    <row r="61" spans="2:17" ht="20.100000000000001" customHeight="1" x14ac:dyDescent="0.3">
      <c r="B61" s="60" t="str">
        <f>집계표!B61</f>
        <v>스파이럴벽체250</v>
      </c>
      <c r="C61" s="102">
        <v>0</v>
      </c>
      <c r="D61" s="102">
        <v>0</v>
      </c>
      <c r="E61" s="102">
        <v>0</v>
      </c>
      <c r="F61" s="102">
        <v>0</v>
      </c>
      <c r="G61" s="102">
        <v>0</v>
      </c>
      <c r="H61" s="102">
        <v>0</v>
      </c>
      <c r="I61" s="102">
        <v>0</v>
      </c>
      <c r="J61" s="102">
        <v>0</v>
      </c>
      <c r="K61" s="102">
        <v>0</v>
      </c>
      <c r="L61" s="102">
        <v>0</v>
      </c>
      <c r="M61" s="102">
        <v>0</v>
      </c>
      <c r="N61" s="102">
        <v>0</v>
      </c>
      <c r="O61" s="102">
        <v>0</v>
      </c>
      <c r="P61" s="103">
        <v>0</v>
      </c>
      <c r="Q61" s="104">
        <f t="shared" ref="Q61" si="4">SUM(C61:P61)</f>
        <v>0</v>
      </c>
    </row>
    <row r="62" spans="2:17" ht="20.100000000000001" customHeight="1" x14ac:dyDescent="0.3">
      <c r="B62" s="60" t="str">
        <f>집계표!B62</f>
        <v>스파이럴벽체300</v>
      </c>
      <c r="C62" s="102">
        <v>0</v>
      </c>
      <c r="D62" s="102">
        <v>0</v>
      </c>
      <c r="E62" s="102">
        <v>0</v>
      </c>
      <c r="F62" s="102">
        <v>0</v>
      </c>
      <c r="G62" s="102">
        <v>0</v>
      </c>
      <c r="H62" s="102">
        <v>0</v>
      </c>
      <c r="I62" s="102">
        <v>0</v>
      </c>
      <c r="J62" s="102">
        <v>0</v>
      </c>
      <c r="K62" s="102">
        <v>0</v>
      </c>
      <c r="L62" s="102">
        <v>0</v>
      </c>
      <c r="M62" s="102">
        <v>0</v>
      </c>
      <c r="N62" s="102">
        <v>0</v>
      </c>
      <c r="O62" s="102">
        <v>0</v>
      </c>
      <c r="P62" s="103">
        <v>0</v>
      </c>
      <c r="Q62" s="104">
        <f t="shared" si="0"/>
        <v>0</v>
      </c>
    </row>
    <row r="63" spans="2:17" ht="20.100000000000001" customHeight="1" x14ac:dyDescent="0.3">
      <c r="B63" s="59" t="str">
        <f>집계표!B63</f>
        <v>PVC입상30</v>
      </c>
      <c r="C63" s="99">
        <v>0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0</v>
      </c>
      <c r="K63" s="99">
        <v>0</v>
      </c>
      <c r="L63" s="99">
        <v>0</v>
      </c>
      <c r="M63" s="99">
        <v>0</v>
      </c>
      <c r="N63" s="99">
        <v>0</v>
      </c>
      <c r="O63" s="99">
        <v>0</v>
      </c>
      <c r="P63" s="100">
        <v>0</v>
      </c>
      <c r="Q63" s="101">
        <f t="shared" si="0"/>
        <v>0</v>
      </c>
    </row>
    <row r="64" spans="2:17" ht="20.100000000000001" customHeight="1" x14ac:dyDescent="0.3">
      <c r="B64" s="59" t="str">
        <f>집계표!B64</f>
        <v>PVC입상40</v>
      </c>
      <c r="C64" s="99">
        <v>0</v>
      </c>
      <c r="D64" s="99">
        <v>0</v>
      </c>
      <c r="E64" s="99">
        <v>0</v>
      </c>
      <c r="F64" s="99">
        <v>0</v>
      </c>
      <c r="G64" s="99">
        <v>0</v>
      </c>
      <c r="H64" s="99">
        <v>0</v>
      </c>
      <c r="I64" s="99">
        <v>0</v>
      </c>
      <c r="J64" s="99">
        <v>0</v>
      </c>
      <c r="K64" s="99">
        <v>0</v>
      </c>
      <c r="L64" s="99">
        <v>0</v>
      </c>
      <c r="M64" s="99">
        <v>0</v>
      </c>
      <c r="N64" s="99">
        <v>0</v>
      </c>
      <c r="O64" s="99">
        <v>0</v>
      </c>
      <c r="P64" s="100">
        <v>0</v>
      </c>
      <c r="Q64" s="101">
        <f t="shared" ref="Q64" si="5">SUM(C64:P64)</f>
        <v>0</v>
      </c>
    </row>
    <row r="65" spans="2:17" ht="20.100000000000001" customHeight="1" x14ac:dyDescent="0.3">
      <c r="B65" s="59" t="str">
        <f>집계표!B65</f>
        <v>PVC입상50</v>
      </c>
      <c r="C65" s="99">
        <v>0</v>
      </c>
      <c r="D65" s="99">
        <v>0</v>
      </c>
      <c r="E65" s="99">
        <v>0</v>
      </c>
      <c r="F65" s="99">
        <v>0</v>
      </c>
      <c r="G65" s="99">
        <v>0</v>
      </c>
      <c r="H65" s="99">
        <v>0</v>
      </c>
      <c r="I65" s="99">
        <v>0</v>
      </c>
      <c r="J65" s="99">
        <v>0</v>
      </c>
      <c r="K65" s="99">
        <v>0</v>
      </c>
      <c r="L65" s="99">
        <v>0</v>
      </c>
      <c r="M65" s="99">
        <v>0</v>
      </c>
      <c r="N65" s="99">
        <v>0</v>
      </c>
      <c r="O65" s="99">
        <v>0</v>
      </c>
      <c r="P65" s="100">
        <v>0</v>
      </c>
      <c r="Q65" s="101">
        <f t="shared" si="0"/>
        <v>0</v>
      </c>
    </row>
    <row r="66" spans="2:17" ht="20.100000000000001" customHeight="1" x14ac:dyDescent="0.3">
      <c r="B66" s="59" t="str">
        <f>집계표!B66</f>
        <v>PVC입상75</v>
      </c>
      <c r="C66" s="99">
        <v>0</v>
      </c>
      <c r="D66" s="99">
        <v>0</v>
      </c>
      <c r="E66" s="99">
        <v>0</v>
      </c>
      <c r="F66" s="99">
        <v>0</v>
      </c>
      <c r="G66" s="99">
        <v>0</v>
      </c>
      <c r="H66" s="99">
        <v>0</v>
      </c>
      <c r="I66" s="99">
        <v>0</v>
      </c>
      <c r="J66" s="99">
        <v>0</v>
      </c>
      <c r="K66" s="99">
        <v>0</v>
      </c>
      <c r="L66" s="99">
        <v>0</v>
      </c>
      <c r="M66" s="99">
        <v>0</v>
      </c>
      <c r="N66" s="99">
        <v>0</v>
      </c>
      <c r="O66" s="99">
        <v>0</v>
      </c>
      <c r="P66" s="100">
        <v>0</v>
      </c>
      <c r="Q66" s="101">
        <f t="shared" ref="Q66" si="6">SUM(C66:P66)</f>
        <v>0</v>
      </c>
    </row>
    <row r="67" spans="2:17" ht="20.100000000000001" customHeight="1" x14ac:dyDescent="0.3">
      <c r="B67" s="59" t="str">
        <f>집계표!B67</f>
        <v>PVC입상100</v>
      </c>
      <c r="C67" s="99">
        <v>0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</v>
      </c>
      <c r="K67" s="99">
        <v>0</v>
      </c>
      <c r="L67" s="99">
        <v>0</v>
      </c>
      <c r="M67" s="99">
        <v>0</v>
      </c>
      <c r="N67" s="99">
        <v>0</v>
      </c>
      <c r="O67" s="99">
        <v>0</v>
      </c>
      <c r="P67" s="100">
        <v>0</v>
      </c>
      <c r="Q67" s="101">
        <f t="shared" si="0"/>
        <v>0</v>
      </c>
    </row>
    <row r="68" spans="2:17" ht="20.100000000000001" customHeight="1" x14ac:dyDescent="0.3">
      <c r="B68" s="59" t="str">
        <f>집계표!B68</f>
        <v>PVC입상125</v>
      </c>
      <c r="C68" s="99">
        <v>0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0</v>
      </c>
      <c r="K68" s="99">
        <v>0</v>
      </c>
      <c r="L68" s="99">
        <v>0</v>
      </c>
      <c r="M68" s="99">
        <v>0</v>
      </c>
      <c r="N68" s="99">
        <v>0</v>
      </c>
      <c r="O68" s="99">
        <v>0</v>
      </c>
      <c r="P68" s="100">
        <v>0</v>
      </c>
      <c r="Q68" s="101">
        <f t="shared" si="0"/>
        <v>0</v>
      </c>
    </row>
    <row r="69" spans="2:17" ht="20.100000000000001" customHeight="1" x14ac:dyDescent="0.3">
      <c r="B69" s="59" t="str">
        <f>집계표!B69</f>
        <v>PVC입상150</v>
      </c>
      <c r="C69" s="99">
        <v>0</v>
      </c>
      <c r="D69" s="99">
        <v>0</v>
      </c>
      <c r="E69" s="99">
        <v>0</v>
      </c>
      <c r="F69" s="99">
        <v>0</v>
      </c>
      <c r="G69" s="99">
        <v>0</v>
      </c>
      <c r="H69" s="99">
        <v>0</v>
      </c>
      <c r="I69" s="99">
        <v>0</v>
      </c>
      <c r="J69" s="99">
        <v>0</v>
      </c>
      <c r="K69" s="99">
        <v>0</v>
      </c>
      <c r="L69" s="99">
        <v>0</v>
      </c>
      <c r="M69" s="99">
        <v>0</v>
      </c>
      <c r="N69" s="99">
        <v>0</v>
      </c>
      <c r="O69" s="99">
        <v>0</v>
      </c>
      <c r="P69" s="100">
        <v>0</v>
      </c>
      <c r="Q69" s="101">
        <f t="shared" si="0"/>
        <v>0</v>
      </c>
    </row>
    <row r="70" spans="2:17" ht="20.100000000000001" customHeight="1" x14ac:dyDescent="0.3">
      <c r="B70" s="59" t="str">
        <f>집계표!B70</f>
        <v>PVC입상200</v>
      </c>
      <c r="C70" s="99">
        <v>0</v>
      </c>
      <c r="D70" s="99">
        <v>0</v>
      </c>
      <c r="E70" s="99">
        <v>0</v>
      </c>
      <c r="F70" s="99">
        <v>0</v>
      </c>
      <c r="G70" s="99">
        <v>0</v>
      </c>
      <c r="H70" s="99">
        <v>0</v>
      </c>
      <c r="I70" s="99">
        <v>0</v>
      </c>
      <c r="J70" s="99">
        <v>0</v>
      </c>
      <c r="K70" s="99">
        <v>0</v>
      </c>
      <c r="L70" s="99">
        <v>0</v>
      </c>
      <c r="M70" s="99">
        <v>0</v>
      </c>
      <c r="N70" s="99">
        <v>0</v>
      </c>
      <c r="O70" s="99">
        <v>0</v>
      </c>
      <c r="P70" s="100">
        <v>0</v>
      </c>
      <c r="Q70" s="101">
        <f t="shared" si="0"/>
        <v>0</v>
      </c>
    </row>
    <row r="71" spans="2:17" ht="20.100000000000001" customHeight="1" x14ac:dyDescent="0.3">
      <c r="B71" s="59" t="str">
        <f>집계표!B71</f>
        <v>PVC입상250</v>
      </c>
      <c r="C71" s="99">
        <v>0</v>
      </c>
      <c r="D71" s="99">
        <v>0</v>
      </c>
      <c r="E71" s="99">
        <v>0</v>
      </c>
      <c r="F71" s="99">
        <v>0</v>
      </c>
      <c r="G71" s="99">
        <v>0</v>
      </c>
      <c r="H71" s="99">
        <v>0</v>
      </c>
      <c r="I71" s="99">
        <v>0</v>
      </c>
      <c r="J71" s="99">
        <v>0</v>
      </c>
      <c r="K71" s="99">
        <v>0</v>
      </c>
      <c r="L71" s="99">
        <v>0</v>
      </c>
      <c r="M71" s="99">
        <v>0</v>
      </c>
      <c r="N71" s="99">
        <v>0</v>
      </c>
      <c r="O71" s="99">
        <v>0</v>
      </c>
      <c r="P71" s="100">
        <v>0</v>
      </c>
      <c r="Q71" s="101">
        <f t="shared" si="0"/>
        <v>0</v>
      </c>
    </row>
    <row r="72" spans="2:17" ht="20.100000000000001" customHeight="1" x14ac:dyDescent="0.3">
      <c r="B72" s="59" t="str">
        <f>집계표!B72</f>
        <v>PVC입상300</v>
      </c>
      <c r="C72" s="99">
        <v>0</v>
      </c>
      <c r="D72" s="99">
        <v>0</v>
      </c>
      <c r="E72" s="99">
        <v>0</v>
      </c>
      <c r="F72" s="99">
        <v>0</v>
      </c>
      <c r="G72" s="99">
        <v>0</v>
      </c>
      <c r="H72" s="99">
        <v>0</v>
      </c>
      <c r="I72" s="99">
        <v>0</v>
      </c>
      <c r="J72" s="99">
        <v>0</v>
      </c>
      <c r="K72" s="99">
        <v>0</v>
      </c>
      <c r="L72" s="99">
        <v>0</v>
      </c>
      <c r="M72" s="99">
        <v>0</v>
      </c>
      <c r="N72" s="99">
        <v>0</v>
      </c>
      <c r="O72" s="99">
        <v>0</v>
      </c>
      <c r="P72" s="100">
        <v>0</v>
      </c>
      <c r="Q72" s="101">
        <f t="shared" ref="Q72" si="7">SUM(C72:P72)</f>
        <v>0</v>
      </c>
    </row>
    <row r="73" spans="2:17" ht="20.100000000000001" customHeight="1" x14ac:dyDescent="0.3">
      <c r="B73" s="59" t="str">
        <f>집계표!B73</f>
        <v>PVC입상350</v>
      </c>
      <c r="C73" s="99">
        <v>0</v>
      </c>
      <c r="D73" s="99">
        <v>0</v>
      </c>
      <c r="E73" s="99">
        <v>0</v>
      </c>
      <c r="F73" s="99">
        <v>0</v>
      </c>
      <c r="G73" s="99">
        <v>0</v>
      </c>
      <c r="H73" s="99">
        <v>0</v>
      </c>
      <c r="I73" s="99">
        <v>0</v>
      </c>
      <c r="J73" s="99">
        <v>0</v>
      </c>
      <c r="K73" s="99">
        <v>0</v>
      </c>
      <c r="L73" s="99">
        <v>0</v>
      </c>
      <c r="M73" s="99">
        <v>0</v>
      </c>
      <c r="N73" s="99">
        <v>0</v>
      </c>
      <c r="O73" s="99">
        <v>0</v>
      </c>
      <c r="P73" s="100">
        <v>0</v>
      </c>
      <c r="Q73" s="101">
        <f t="shared" si="0"/>
        <v>0</v>
      </c>
    </row>
    <row r="74" spans="2:17" ht="20.100000000000001" customHeight="1" x14ac:dyDescent="0.3">
      <c r="B74" s="59" t="str">
        <f>집계표!B74</f>
        <v>PVC입상400</v>
      </c>
      <c r="C74" s="99">
        <v>0</v>
      </c>
      <c r="D74" s="99">
        <v>0</v>
      </c>
      <c r="E74" s="99">
        <v>0</v>
      </c>
      <c r="F74" s="99">
        <v>0</v>
      </c>
      <c r="G74" s="99">
        <v>0</v>
      </c>
      <c r="H74" s="99">
        <v>0</v>
      </c>
      <c r="I74" s="99">
        <v>0</v>
      </c>
      <c r="J74" s="99">
        <v>0</v>
      </c>
      <c r="K74" s="99">
        <v>0</v>
      </c>
      <c r="L74" s="99">
        <v>0</v>
      </c>
      <c r="M74" s="99">
        <v>0</v>
      </c>
      <c r="N74" s="99">
        <v>0</v>
      </c>
      <c r="O74" s="99">
        <v>0</v>
      </c>
      <c r="P74" s="100">
        <v>0</v>
      </c>
      <c r="Q74" s="101">
        <f t="shared" si="0"/>
        <v>0</v>
      </c>
    </row>
    <row r="75" spans="2:17" ht="20.100000000000001" customHeight="1" x14ac:dyDescent="0.3">
      <c r="B75" s="111" t="str">
        <f>집계표!B75</f>
        <v>세대SP25</v>
      </c>
      <c r="C75" s="112">
        <v>0</v>
      </c>
      <c r="D75" s="112">
        <v>0</v>
      </c>
      <c r="E75" s="112">
        <v>0</v>
      </c>
      <c r="F75" s="112">
        <v>0</v>
      </c>
      <c r="G75" s="112">
        <v>0</v>
      </c>
      <c r="H75" s="112">
        <v>0</v>
      </c>
      <c r="I75" s="112">
        <v>0</v>
      </c>
      <c r="J75" s="112">
        <v>0</v>
      </c>
      <c r="K75" s="112">
        <v>0</v>
      </c>
      <c r="L75" s="112">
        <v>0</v>
      </c>
      <c r="M75" s="112">
        <v>0</v>
      </c>
      <c r="N75" s="112">
        <v>0</v>
      </c>
      <c r="O75" s="112">
        <v>0</v>
      </c>
      <c r="P75" s="113">
        <v>0</v>
      </c>
      <c r="Q75" s="114">
        <f t="shared" si="0"/>
        <v>0</v>
      </c>
    </row>
    <row r="76" spans="2:17" ht="20.100000000000001" customHeight="1" x14ac:dyDescent="0.3">
      <c r="B76" s="111" t="str">
        <f>집계표!B76</f>
        <v>세대SP40</v>
      </c>
      <c r="C76" s="112">
        <v>0</v>
      </c>
      <c r="D76" s="112">
        <v>0</v>
      </c>
      <c r="E76" s="112">
        <v>0</v>
      </c>
      <c r="F76" s="112">
        <v>0</v>
      </c>
      <c r="G76" s="112">
        <v>0</v>
      </c>
      <c r="H76" s="112">
        <v>0</v>
      </c>
      <c r="I76" s="112">
        <v>0</v>
      </c>
      <c r="J76" s="112">
        <v>0</v>
      </c>
      <c r="K76" s="112">
        <v>0</v>
      </c>
      <c r="L76" s="112">
        <v>0</v>
      </c>
      <c r="M76" s="112">
        <v>0</v>
      </c>
      <c r="N76" s="112">
        <v>0</v>
      </c>
      <c r="O76" s="112">
        <v>0</v>
      </c>
      <c r="P76" s="113">
        <v>0</v>
      </c>
      <c r="Q76" s="114">
        <f t="shared" si="0"/>
        <v>0</v>
      </c>
    </row>
    <row r="77" spans="2:17" ht="20.100000000000001" customHeight="1" x14ac:dyDescent="0.3">
      <c r="B77" s="111" t="str">
        <f>집계표!B77</f>
        <v>세대SP50</v>
      </c>
      <c r="C77" s="112">
        <v>0</v>
      </c>
      <c r="D77" s="112">
        <v>0</v>
      </c>
      <c r="E77" s="112">
        <v>0</v>
      </c>
      <c r="F77" s="112">
        <v>0</v>
      </c>
      <c r="G77" s="112">
        <v>0</v>
      </c>
      <c r="H77" s="112">
        <v>0</v>
      </c>
      <c r="I77" s="112">
        <v>0</v>
      </c>
      <c r="J77" s="112">
        <v>0</v>
      </c>
      <c r="K77" s="112">
        <v>0</v>
      </c>
      <c r="L77" s="112">
        <v>0</v>
      </c>
      <c r="M77" s="112">
        <v>0</v>
      </c>
      <c r="N77" s="112">
        <v>0</v>
      </c>
      <c r="O77" s="112">
        <v>0</v>
      </c>
      <c r="P77" s="113">
        <v>0</v>
      </c>
      <c r="Q77" s="114">
        <f t="shared" si="0"/>
        <v>0</v>
      </c>
    </row>
    <row r="78" spans="2:17" ht="20.100000000000001" customHeight="1" x14ac:dyDescent="0.3">
      <c r="B78" s="111" t="str">
        <f>집계표!B78</f>
        <v>세대SP65</v>
      </c>
      <c r="C78" s="112">
        <v>0</v>
      </c>
      <c r="D78" s="112">
        <v>0</v>
      </c>
      <c r="E78" s="112">
        <v>0</v>
      </c>
      <c r="F78" s="112">
        <v>0</v>
      </c>
      <c r="G78" s="112">
        <v>0</v>
      </c>
      <c r="H78" s="112">
        <v>0</v>
      </c>
      <c r="I78" s="112">
        <v>0</v>
      </c>
      <c r="J78" s="112">
        <v>0</v>
      </c>
      <c r="K78" s="112">
        <v>0</v>
      </c>
      <c r="L78" s="112">
        <v>0</v>
      </c>
      <c r="M78" s="112">
        <v>0</v>
      </c>
      <c r="N78" s="112">
        <v>0</v>
      </c>
      <c r="O78" s="112">
        <v>0</v>
      </c>
      <c r="P78" s="113">
        <v>0</v>
      </c>
      <c r="Q78" s="114">
        <f t="shared" si="0"/>
        <v>0</v>
      </c>
    </row>
    <row r="79" spans="2:17" ht="20.100000000000001" customHeight="1" x14ac:dyDescent="0.3">
      <c r="B79" s="60" t="str">
        <f>집계표!B79</f>
        <v>PVC벽체25</v>
      </c>
      <c r="C79" s="102">
        <v>0</v>
      </c>
      <c r="D79" s="102">
        <v>0</v>
      </c>
      <c r="E79" s="102">
        <v>0</v>
      </c>
      <c r="F79" s="102">
        <v>0</v>
      </c>
      <c r="G79" s="102">
        <v>0</v>
      </c>
      <c r="H79" s="102">
        <v>0</v>
      </c>
      <c r="I79" s="102">
        <v>0</v>
      </c>
      <c r="J79" s="102">
        <v>0</v>
      </c>
      <c r="K79" s="102">
        <v>0</v>
      </c>
      <c r="L79" s="102">
        <v>0</v>
      </c>
      <c r="M79" s="102">
        <v>0</v>
      </c>
      <c r="N79" s="102">
        <v>0</v>
      </c>
      <c r="O79" s="102">
        <v>0</v>
      </c>
      <c r="P79" s="103">
        <v>0</v>
      </c>
      <c r="Q79" s="104">
        <f t="shared" si="0"/>
        <v>0</v>
      </c>
    </row>
    <row r="80" spans="2:17" ht="20.100000000000001" customHeight="1" x14ac:dyDescent="0.3">
      <c r="B80" s="60" t="str">
        <f>집계표!B80</f>
        <v>PVC벽체30</v>
      </c>
      <c r="C80" s="102">
        <v>0</v>
      </c>
      <c r="D80" s="102">
        <v>0</v>
      </c>
      <c r="E80" s="102">
        <v>0</v>
      </c>
      <c r="F80" s="102">
        <v>0</v>
      </c>
      <c r="G80" s="102">
        <v>0</v>
      </c>
      <c r="H80" s="102">
        <v>0</v>
      </c>
      <c r="I80" s="102">
        <v>0</v>
      </c>
      <c r="J80" s="102">
        <v>0</v>
      </c>
      <c r="K80" s="102">
        <v>0</v>
      </c>
      <c r="L80" s="102">
        <v>0</v>
      </c>
      <c r="M80" s="102">
        <v>0</v>
      </c>
      <c r="N80" s="102">
        <v>0</v>
      </c>
      <c r="O80" s="102">
        <v>0</v>
      </c>
      <c r="P80" s="103">
        <v>0</v>
      </c>
      <c r="Q80" s="104">
        <f t="shared" ref="Q80" si="8">SUM(C80:P80)</f>
        <v>0</v>
      </c>
    </row>
    <row r="81" spans="2:17" ht="20.100000000000001" customHeight="1" x14ac:dyDescent="0.3">
      <c r="B81" s="60" t="str">
        <f>집계표!B81</f>
        <v>PVC벽체40</v>
      </c>
      <c r="C81" s="102">
        <v>0</v>
      </c>
      <c r="D81" s="102">
        <v>0</v>
      </c>
      <c r="E81" s="102">
        <v>0</v>
      </c>
      <c r="F81" s="102">
        <v>0</v>
      </c>
      <c r="G81" s="102">
        <v>0</v>
      </c>
      <c r="H81" s="102">
        <v>0</v>
      </c>
      <c r="I81" s="102">
        <v>0</v>
      </c>
      <c r="J81" s="102">
        <v>0</v>
      </c>
      <c r="K81" s="102">
        <v>0</v>
      </c>
      <c r="L81" s="102">
        <v>0</v>
      </c>
      <c r="M81" s="102">
        <v>0</v>
      </c>
      <c r="N81" s="102">
        <v>0</v>
      </c>
      <c r="O81" s="102">
        <v>0</v>
      </c>
      <c r="P81" s="103">
        <v>0</v>
      </c>
      <c r="Q81" s="104">
        <f t="shared" si="0"/>
        <v>0</v>
      </c>
    </row>
    <row r="82" spans="2:17" ht="20.100000000000001" customHeight="1" x14ac:dyDescent="0.3">
      <c r="B82" s="60" t="str">
        <f>집계표!B82</f>
        <v>PVC벽체50</v>
      </c>
      <c r="C82" s="102">
        <v>0</v>
      </c>
      <c r="D82" s="102">
        <v>0</v>
      </c>
      <c r="E82" s="102">
        <v>0</v>
      </c>
      <c r="F82" s="102">
        <v>0</v>
      </c>
      <c r="G82" s="102">
        <v>0</v>
      </c>
      <c r="H82" s="102">
        <v>0</v>
      </c>
      <c r="I82" s="102">
        <v>0</v>
      </c>
      <c r="J82" s="102">
        <v>0</v>
      </c>
      <c r="K82" s="102">
        <v>0</v>
      </c>
      <c r="L82" s="102">
        <v>0</v>
      </c>
      <c r="M82" s="102">
        <v>0</v>
      </c>
      <c r="N82" s="102">
        <v>0</v>
      </c>
      <c r="O82" s="102">
        <v>0</v>
      </c>
      <c r="P82" s="103">
        <v>0</v>
      </c>
      <c r="Q82" s="104">
        <f t="shared" ref="Q82" si="9">SUM(C82:P82)</f>
        <v>0</v>
      </c>
    </row>
    <row r="83" spans="2:17" ht="20.100000000000001" customHeight="1" x14ac:dyDescent="0.3">
      <c r="B83" s="60" t="str">
        <f>집계표!B83</f>
        <v>PVC벽체65</v>
      </c>
      <c r="C83" s="102">
        <v>0</v>
      </c>
      <c r="D83" s="102">
        <v>0</v>
      </c>
      <c r="E83" s="102">
        <v>0</v>
      </c>
      <c r="F83" s="102">
        <v>0</v>
      </c>
      <c r="G83" s="102">
        <v>0</v>
      </c>
      <c r="H83" s="102">
        <v>0.5</v>
      </c>
      <c r="I83" s="102">
        <v>0</v>
      </c>
      <c r="J83" s="102">
        <v>0</v>
      </c>
      <c r="K83" s="102">
        <v>0</v>
      </c>
      <c r="L83" s="102">
        <v>0</v>
      </c>
      <c r="M83" s="102">
        <v>0</v>
      </c>
      <c r="N83" s="102">
        <v>0</v>
      </c>
      <c r="O83" s="102">
        <v>0</v>
      </c>
      <c r="P83" s="103">
        <v>0</v>
      </c>
      <c r="Q83" s="104">
        <f t="shared" si="0"/>
        <v>0.5</v>
      </c>
    </row>
    <row r="84" spans="2:17" ht="20.100000000000001" customHeight="1" x14ac:dyDescent="0.3">
      <c r="B84" s="60" t="str">
        <f>집계표!B84</f>
        <v>PVC벽체75</v>
      </c>
      <c r="C84" s="102">
        <v>0</v>
      </c>
      <c r="D84" s="102">
        <v>0</v>
      </c>
      <c r="E84" s="102">
        <v>0</v>
      </c>
      <c r="F84" s="102">
        <v>0</v>
      </c>
      <c r="G84" s="102">
        <v>0</v>
      </c>
      <c r="H84" s="102">
        <v>0</v>
      </c>
      <c r="I84" s="102">
        <v>0</v>
      </c>
      <c r="J84" s="102">
        <v>0</v>
      </c>
      <c r="K84" s="102">
        <v>0</v>
      </c>
      <c r="L84" s="102">
        <v>0</v>
      </c>
      <c r="M84" s="102">
        <v>0</v>
      </c>
      <c r="N84" s="102">
        <v>0</v>
      </c>
      <c r="O84" s="102">
        <v>0</v>
      </c>
      <c r="P84" s="103">
        <v>0</v>
      </c>
      <c r="Q84" s="104">
        <f t="shared" si="0"/>
        <v>0</v>
      </c>
    </row>
    <row r="85" spans="2:17" ht="20.100000000000001" customHeight="1" x14ac:dyDescent="0.3">
      <c r="B85" s="60" t="str">
        <f>집계표!B85</f>
        <v>PVC벽체100</v>
      </c>
      <c r="C85" s="102">
        <v>0</v>
      </c>
      <c r="D85" s="102">
        <v>0</v>
      </c>
      <c r="E85" s="102">
        <v>0</v>
      </c>
      <c r="F85" s="102">
        <v>0</v>
      </c>
      <c r="G85" s="102">
        <v>0</v>
      </c>
      <c r="H85" s="102">
        <v>0.5</v>
      </c>
      <c r="I85" s="102">
        <v>0</v>
      </c>
      <c r="J85" s="102">
        <v>0</v>
      </c>
      <c r="K85" s="102">
        <v>0</v>
      </c>
      <c r="L85" s="102">
        <v>0</v>
      </c>
      <c r="M85" s="102">
        <v>0</v>
      </c>
      <c r="N85" s="102">
        <v>0</v>
      </c>
      <c r="O85" s="102">
        <v>0</v>
      </c>
      <c r="P85" s="103">
        <v>0</v>
      </c>
      <c r="Q85" s="104">
        <f t="shared" ref="Q85" si="10">SUM(C85:P85)</f>
        <v>0.5</v>
      </c>
    </row>
    <row r="86" spans="2:17" ht="20.100000000000001" customHeight="1" x14ac:dyDescent="0.3">
      <c r="B86" s="60" t="str">
        <f>집계표!B86</f>
        <v>PVC벽체125</v>
      </c>
      <c r="C86" s="102">
        <v>0</v>
      </c>
      <c r="D86" s="102">
        <v>0</v>
      </c>
      <c r="E86" s="102">
        <v>0</v>
      </c>
      <c r="F86" s="102">
        <v>0</v>
      </c>
      <c r="G86" s="102">
        <v>0</v>
      </c>
      <c r="H86" s="102">
        <v>0</v>
      </c>
      <c r="I86" s="102">
        <v>0</v>
      </c>
      <c r="J86" s="102">
        <v>0</v>
      </c>
      <c r="K86" s="102">
        <v>0</v>
      </c>
      <c r="L86" s="102">
        <v>0</v>
      </c>
      <c r="M86" s="102">
        <v>0</v>
      </c>
      <c r="N86" s="102">
        <v>0</v>
      </c>
      <c r="O86" s="102">
        <v>0</v>
      </c>
      <c r="P86" s="103">
        <v>0</v>
      </c>
      <c r="Q86" s="104">
        <f t="shared" si="0"/>
        <v>0</v>
      </c>
    </row>
    <row r="87" spans="2:17" ht="20.100000000000001" customHeight="1" x14ac:dyDescent="0.3">
      <c r="B87" s="60" t="str">
        <f>집계표!B87</f>
        <v>PVC벽체150</v>
      </c>
      <c r="C87" s="102">
        <v>0</v>
      </c>
      <c r="D87" s="102">
        <v>0</v>
      </c>
      <c r="E87" s="102">
        <v>0</v>
      </c>
      <c r="F87" s="102">
        <v>0</v>
      </c>
      <c r="G87" s="102">
        <v>0</v>
      </c>
      <c r="H87" s="102">
        <v>0</v>
      </c>
      <c r="I87" s="102">
        <v>0</v>
      </c>
      <c r="J87" s="102">
        <v>0</v>
      </c>
      <c r="K87" s="102">
        <v>0</v>
      </c>
      <c r="L87" s="102">
        <v>0</v>
      </c>
      <c r="M87" s="102">
        <v>0</v>
      </c>
      <c r="N87" s="102">
        <v>0</v>
      </c>
      <c r="O87" s="102">
        <v>0</v>
      </c>
      <c r="P87" s="103">
        <v>0</v>
      </c>
      <c r="Q87" s="104">
        <f t="shared" ref="Q87" si="11">SUM(C87:P87)</f>
        <v>0</v>
      </c>
    </row>
    <row r="88" spans="2:17" ht="20.100000000000001" customHeight="1" x14ac:dyDescent="0.3">
      <c r="B88" s="60" t="str">
        <f>집계표!B88</f>
        <v>PVC벽체200</v>
      </c>
      <c r="C88" s="102">
        <v>0</v>
      </c>
      <c r="D88" s="102">
        <v>0</v>
      </c>
      <c r="E88" s="102">
        <v>0</v>
      </c>
      <c r="F88" s="102">
        <v>0</v>
      </c>
      <c r="G88" s="102">
        <v>0</v>
      </c>
      <c r="H88" s="102">
        <v>0</v>
      </c>
      <c r="I88" s="102">
        <v>0</v>
      </c>
      <c r="J88" s="102">
        <v>0</v>
      </c>
      <c r="K88" s="102">
        <v>0</v>
      </c>
      <c r="L88" s="102">
        <v>0</v>
      </c>
      <c r="M88" s="102">
        <v>0</v>
      </c>
      <c r="N88" s="102">
        <v>0</v>
      </c>
      <c r="O88" s="102">
        <v>0</v>
      </c>
      <c r="P88" s="103">
        <v>0</v>
      </c>
      <c r="Q88" s="104">
        <f t="shared" si="0"/>
        <v>0</v>
      </c>
    </row>
    <row r="89" spans="2:17" ht="20.100000000000001" customHeight="1" x14ac:dyDescent="0.3">
      <c r="B89" s="60" t="str">
        <f>집계표!B89</f>
        <v>PVC벽체250</v>
      </c>
      <c r="C89" s="102">
        <v>0</v>
      </c>
      <c r="D89" s="102">
        <v>0</v>
      </c>
      <c r="E89" s="102">
        <v>0</v>
      </c>
      <c r="F89" s="102">
        <v>0</v>
      </c>
      <c r="G89" s="102">
        <v>0</v>
      </c>
      <c r="H89" s="102">
        <v>0</v>
      </c>
      <c r="I89" s="102">
        <v>0</v>
      </c>
      <c r="J89" s="102">
        <v>0</v>
      </c>
      <c r="K89" s="102">
        <v>0</v>
      </c>
      <c r="L89" s="102">
        <v>0</v>
      </c>
      <c r="M89" s="102">
        <v>0</v>
      </c>
      <c r="N89" s="102">
        <v>0</v>
      </c>
      <c r="O89" s="102">
        <v>0</v>
      </c>
      <c r="P89" s="103">
        <v>0</v>
      </c>
      <c r="Q89" s="104">
        <f t="shared" ref="Q89" si="12">SUM(C89:P89)</f>
        <v>0</v>
      </c>
    </row>
    <row r="90" spans="2:17" ht="20.100000000000001" customHeight="1" x14ac:dyDescent="0.3">
      <c r="B90" s="60" t="str">
        <f>집계표!B90</f>
        <v>PVC벽체300</v>
      </c>
      <c r="C90" s="102">
        <v>0</v>
      </c>
      <c r="D90" s="102">
        <v>0</v>
      </c>
      <c r="E90" s="102">
        <v>0</v>
      </c>
      <c r="F90" s="102">
        <v>0</v>
      </c>
      <c r="G90" s="102">
        <v>0</v>
      </c>
      <c r="H90" s="102">
        <v>0</v>
      </c>
      <c r="I90" s="102">
        <v>0</v>
      </c>
      <c r="J90" s="102">
        <v>0</v>
      </c>
      <c r="K90" s="102">
        <v>0</v>
      </c>
      <c r="L90" s="102">
        <v>0</v>
      </c>
      <c r="M90" s="102">
        <v>0</v>
      </c>
      <c r="N90" s="102">
        <v>0</v>
      </c>
      <c r="O90" s="102">
        <v>0</v>
      </c>
      <c r="P90" s="103">
        <v>0</v>
      </c>
      <c r="Q90" s="104">
        <f t="shared" si="0"/>
        <v>0</v>
      </c>
    </row>
    <row r="91" spans="2:17" ht="20.100000000000001" customHeight="1" x14ac:dyDescent="0.3">
      <c r="B91" s="60" t="str">
        <f>집계표!B91</f>
        <v>PVC벽체350</v>
      </c>
      <c r="C91" s="102">
        <v>0</v>
      </c>
      <c r="D91" s="102">
        <v>0</v>
      </c>
      <c r="E91" s="102">
        <v>0</v>
      </c>
      <c r="F91" s="102">
        <v>0</v>
      </c>
      <c r="G91" s="102">
        <v>0</v>
      </c>
      <c r="H91" s="102">
        <v>0</v>
      </c>
      <c r="I91" s="102">
        <v>0</v>
      </c>
      <c r="J91" s="102">
        <v>0</v>
      </c>
      <c r="K91" s="102">
        <v>0</v>
      </c>
      <c r="L91" s="102">
        <v>0</v>
      </c>
      <c r="M91" s="102">
        <v>0</v>
      </c>
      <c r="N91" s="102">
        <v>0</v>
      </c>
      <c r="O91" s="102">
        <v>0</v>
      </c>
      <c r="P91" s="103">
        <v>0</v>
      </c>
      <c r="Q91" s="104">
        <f t="shared" ref="Q91:Q96" si="13">SUM(C91:P91)</f>
        <v>0</v>
      </c>
    </row>
    <row r="92" spans="2:17" ht="20.100000000000001" customHeight="1" x14ac:dyDescent="0.3">
      <c r="B92" s="60" t="str">
        <f>집계표!B92</f>
        <v>PVC벽체400</v>
      </c>
      <c r="C92" s="102">
        <v>0</v>
      </c>
      <c r="D92" s="102">
        <v>0</v>
      </c>
      <c r="E92" s="102">
        <v>0</v>
      </c>
      <c r="F92" s="102">
        <v>0</v>
      </c>
      <c r="G92" s="102">
        <v>0</v>
      </c>
      <c r="H92" s="102">
        <v>0</v>
      </c>
      <c r="I92" s="102">
        <v>0</v>
      </c>
      <c r="J92" s="102">
        <v>0</v>
      </c>
      <c r="K92" s="102">
        <v>0</v>
      </c>
      <c r="L92" s="102">
        <v>0</v>
      </c>
      <c r="M92" s="102">
        <v>0</v>
      </c>
      <c r="N92" s="102">
        <v>0</v>
      </c>
      <c r="O92" s="102">
        <v>0</v>
      </c>
      <c r="P92" s="103">
        <v>0</v>
      </c>
      <c r="Q92" s="104">
        <f t="shared" si="13"/>
        <v>0</v>
      </c>
    </row>
    <row r="93" spans="2:17" ht="20.100000000000001" customHeight="1" x14ac:dyDescent="0.3">
      <c r="B93" s="111" t="str">
        <f>집계표!B93</f>
        <v>대구경추가차열입상</v>
      </c>
      <c r="C93" s="112">
        <v>0</v>
      </c>
      <c r="D93" s="112">
        <v>0</v>
      </c>
      <c r="E93" s="112">
        <v>0</v>
      </c>
      <c r="F93" s="112">
        <v>0</v>
      </c>
      <c r="G93" s="112">
        <v>0</v>
      </c>
      <c r="H93" s="112">
        <v>0</v>
      </c>
      <c r="I93" s="112">
        <v>0</v>
      </c>
      <c r="J93" s="112">
        <v>0</v>
      </c>
      <c r="K93" s="112">
        <v>0</v>
      </c>
      <c r="L93" s="112">
        <v>0</v>
      </c>
      <c r="M93" s="112">
        <v>0</v>
      </c>
      <c r="N93" s="112">
        <v>0</v>
      </c>
      <c r="O93" s="112">
        <v>0</v>
      </c>
      <c r="P93" s="113">
        <v>0</v>
      </c>
      <c r="Q93" s="114">
        <f t="shared" ref="Q93" si="14">SUM(C93:P93)</f>
        <v>0</v>
      </c>
    </row>
    <row r="94" spans="2:17" ht="20.100000000000001" customHeight="1" x14ac:dyDescent="0.3">
      <c r="B94" s="111" t="str">
        <f>집계표!B94</f>
        <v>대구경추가차열벽체</v>
      </c>
      <c r="C94" s="112">
        <v>0</v>
      </c>
      <c r="D94" s="112">
        <v>0</v>
      </c>
      <c r="E94" s="112">
        <v>0</v>
      </c>
      <c r="F94" s="112">
        <v>0</v>
      </c>
      <c r="G94" s="112">
        <v>0</v>
      </c>
      <c r="H94" s="112">
        <v>0</v>
      </c>
      <c r="I94" s="112">
        <v>0</v>
      </c>
      <c r="J94" s="112">
        <v>0</v>
      </c>
      <c r="K94" s="112">
        <v>0</v>
      </c>
      <c r="L94" s="112">
        <v>0</v>
      </c>
      <c r="M94" s="112">
        <v>0</v>
      </c>
      <c r="N94" s="112">
        <v>0</v>
      </c>
      <c r="O94" s="112">
        <v>0</v>
      </c>
      <c r="P94" s="113">
        <v>0</v>
      </c>
      <c r="Q94" s="114">
        <f t="shared" si="13"/>
        <v>0</v>
      </c>
    </row>
    <row r="95" spans="2:17" ht="20.100000000000001" customHeight="1" x14ac:dyDescent="0.3">
      <c r="B95" s="60" t="str">
        <f>집계표!B95</f>
        <v>실란트마감입상</v>
      </c>
      <c r="C95" s="102">
        <v>0</v>
      </c>
      <c r="D95" s="102">
        <v>0</v>
      </c>
      <c r="E95" s="102">
        <v>0</v>
      </c>
      <c r="F95" s="102">
        <v>0</v>
      </c>
      <c r="G95" s="102">
        <v>0</v>
      </c>
      <c r="H95" s="102">
        <v>0</v>
      </c>
      <c r="I95" s="102">
        <v>0</v>
      </c>
      <c r="J95" s="102">
        <v>0</v>
      </c>
      <c r="K95" s="102">
        <v>0</v>
      </c>
      <c r="L95" s="102">
        <v>0</v>
      </c>
      <c r="M95" s="102">
        <v>0</v>
      </c>
      <c r="N95" s="102">
        <v>0</v>
      </c>
      <c r="O95" s="102">
        <v>0</v>
      </c>
      <c r="P95" s="103">
        <v>0</v>
      </c>
      <c r="Q95" s="104">
        <f t="shared" ref="Q95" si="15">SUM(C95:P95)</f>
        <v>0</v>
      </c>
    </row>
    <row r="96" spans="2:17" ht="20.100000000000001" customHeight="1" x14ac:dyDescent="0.3">
      <c r="B96" s="60" t="str">
        <f>집계표!B96</f>
        <v>실란트마감벽체</v>
      </c>
      <c r="C96" s="102">
        <v>0</v>
      </c>
      <c r="D96" s="102">
        <v>0</v>
      </c>
      <c r="E96" s="102">
        <v>0</v>
      </c>
      <c r="F96" s="102">
        <v>0</v>
      </c>
      <c r="G96" s="102">
        <v>0</v>
      </c>
      <c r="H96" s="102">
        <v>0</v>
      </c>
      <c r="I96" s="102">
        <v>0</v>
      </c>
      <c r="J96" s="102">
        <v>0</v>
      </c>
      <c r="K96" s="102">
        <v>0</v>
      </c>
      <c r="L96" s="102">
        <v>0</v>
      </c>
      <c r="M96" s="102">
        <v>0</v>
      </c>
      <c r="N96" s="102">
        <v>0</v>
      </c>
      <c r="O96" s="102">
        <v>0</v>
      </c>
      <c r="P96" s="103">
        <v>0</v>
      </c>
      <c r="Q96" s="104">
        <f t="shared" si="13"/>
        <v>0</v>
      </c>
    </row>
    <row r="97" spans="1:17" ht="20.100000000000001" customHeight="1" x14ac:dyDescent="0.3">
      <c r="B97" s="60" t="str">
        <f>집계표!B97</f>
        <v>슬리브</v>
      </c>
      <c r="C97" s="102">
        <v>0</v>
      </c>
      <c r="D97" s="102">
        <v>0</v>
      </c>
      <c r="E97" s="102">
        <v>0</v>
      </c>
      <c r="F97" s="102">
        <v>0</v>
      </c>
      <c r="G97" s="102">
        <v>0</v>
      </c>
      <c r="H97" s="102">
        <v>0</v>
      </c>
      <c r="I97" s="102">
        <v>0</v>
      </c>
      <c r="J97" s="102">
        <v>0</v>
      </c>
      <c r="K97" s="102">
        <v>0</v>
      </c>
      <c r="L97" s="102">
        <v>0</v>
      </c>
      <c r="M97" s="102">
        <v>0</v>
      </c>
      <c r="N97" s="102">
        <v>0</v>
      </c>
      <c r="O97" s="102">
        <v>0</v>
      </c>
      <c r="P97" s="103">
        <v>0</v>
      </c>
      <c r="Q97" s="104">
        <f t="shared" si="0"/>
        <v>0</v>
      </c>
    </row>
    <row r="98" spans="1:17" ht="20.100000000000001" customHeight="1" x14ac:dyDescent="0.3">
      <c r="A98" s="194" t="s">
        <v>46</v>
      </c>
      <c r="B98" s="59" t="str">
        <f>집계표!B98</f>
        <v>무보온덕트입상</v>
      </c>
      <c r="C98" s="99">
        <v>0</v>
      </c>
      <c r="D98" s="99">
        <v>2.5</v>
      </c>
      <c r="E98" s="99">
        <v>0</v>
      </c>
      <c r="F98" s="99">
        <v>5.7</v>
      </c>
      <c r="G98" s="99">
        <v>2.4</v>
      </c>
      <c r="H98" s="99">
        <v>0</v>
      </c>
      <c r="I98" s="99">
        <v>0</v>
      </c>
      <c r="J98" s="99">
        <v>3.6</v>
      </c>
      <c r="K98" s="99">
        <v>4.0999999999999996</v>
      </c>
      <c r="L98" s="99">
        <v>0</v>
      </c>
      <c r="M98" s="99">
        <v>0</v>
      </c>
      <c r="N98" s="99">
        <v>0</v>
      </c>
      <c r="O98" s="99">
        <v>0</v>
      </c>
      <c r="P98" s="100">
        <v>0</v>
      </c>
      <c r="Q98" s="101">
        <f t="shared" si="0"/>
        <v>18.299999999999997</v>
      </c>
    </row>
    <row r="99" spans="1:17" ht="20.100000000000001" customHeight="1" x14ac:dyDescent="0.3">
      <c r="A99" s="195"/>
      <c r="B99" s="59" t="str">
        <f>집계표!B99</f>
        <v>보온덕트입상</v>
      </c>
      <c r="C99" s="99">
        <v>0</v>
      </c>
      <c r="D99" s="99">
        <v>2.7</v>
      </c>
      <c r="E99" s="99">
        <v>0</v>
      </c>
      <c r="F99" s="99">
        <v>7</v>
      </c>
      <c r="G99" s="99">
        <v>0</v>
      </c>
      <c r="H99" s="99">
        <v>0</v>
      </c>
      <c r="I99" s="99">
        <v>0</v>
      </c>
      <c r="J99" s="99">
        <v>5.2</v>
      </c>
      <c r="K99" s="99">
        <v>4.3000000000000007</v>
      </c>
      <c r="L99" s="99">
        <v>0</v>
      </c>
      <c r="M99" s="99">
        <v>0</v>
      </c>
      <c r="N99" s="99">
        <v>0</v>
      </c>
      <c r="O99" s="99">
        <v>0</v>
      </c>
      <c r="P99" s="100">
        <v>0</v>
      </c>
      <c r="Q99" s="101">
        <f t="shared" si="0"/>
        <v>19.2</v>
      </c>
    </row>
    <row r="100" spans="1:17" ht="20.100000000000001" customHeight="1" x14ac:dyDescent="0.3">
      <c r="A100" s="195"/>
      <c r="B100" s="60" t="str">
        <f>집계표!B100</f>
        <v>무보온덕트벽체</v>
      </c>
      <c r="C100" s="102">
        <v>0</v>
      </c>
      <c r="D100" s="102">
        <v>31.4</v>
      </c>
      <c r="E100" s="102">
        <v>4.9000000000000004</v>
      </c>
      <c r="F100" s="102">
        <v>28.700000000000003</v>
      </c>
      <c r="G100" s="102">
        <v>41</v>
      </c>
      <c r="H100" s="102">
        <v>100.7</v>
      </c>
      <c r="I100" s="102">
        <v>116.4</v>
      </c>
      <c r="J100" s="102">
        <v>70.399999999999991</v>
      </c>
      <c r="K100" s="102">
        <v>118.49999999999999</v>
      </c>
      <c r="L100" s="102">
        <v>0</v>
      </c>
      <c r="M100" s="102">
        <v>0</v>
      </c>
      <c r="N100" s="102">
        <v>0</v>
      </c>
      <c r="O100" s="102">
        <v>0</v>
      </c>
      <c r="P100" s="103">
        <v>0</v>
      </c>
      <c r="Q100" s="104">
        <f t="shared" ref="Q100" si="16">SUM(C100:P100)</f>
        <v>512</v>
      </c>
    </row>
    <row r="101" spans="1:17" ht="20.100000000000001" customHeight="1" x14ac:dyDescent="0.3">
      <c r="A101" s="195"/>
      <c r="B101" s="60" t="str">
        <f>집계표!B101</f>
        <v>보온덕트벽체</v>
      </c>
      <c r="C101" s="102">
        <v>0</v>
      </c>
      <c r="D101" s="102">
        <v>30.700000000000003</v>
      </c>
      <c r="E101" s="102">
        <v>9.9999999999999982</v>
      </c>
      <c r="F101" s="102">
        <v>41.300000000000004</v>
      </c>
      <c r="G101" s="102">
        <v>75.399999999999991</v>
      </c>
      <c r="H101" s="102">
        <v>116.7</v>
      </c>
      <c r="I101" s="102">
        <v>91.9</v>
      </c>
      <c r="J101" s="102">
        <v>202.9</v>
      </c>
      <c r="K101" s="102">
        <v>132.79999999999998</v>
      </c>
      <c r="L101" s="102">
        <v>0</v>
      </c>
      <c r="M101" s="102">
        <v>0</v>
      </c>
      <c r="N101" s="102">
        <v>0</v>
      </c>
      <c r="O101" s="102">
        <v>0</v>
      </c>
      <c r="P101" s="103">
        <v>0</v>
      </c>
      <c r="Q101" s="104">
        <f t="shared" si="0"/>
        <v>701.69999999999993</v>
      </c>
    </row>
    <row r="102" spans="1:17" ht="20.100000000000001" customHeight="1" x14ac:dyDescent="0.3">
      <c r="A102" s="195"/>
      <c r="B102" s="121" t="str">
        <f>집계표!B102</f>
        <v>댐퍼팽창테이프</v>
      </c>
      <c r="C102" s="112">
        <v>558.6</v>
      </c>
      <c r="D102" s="112">
        <v>85.7</v>
      </c>
      <c r="E102" s="112"/>
      <c r="F102" s="112">
        <v>159.6</v>
      </c>
      <c r="G102" s="112">
        <v>76.900000000000006</v>
      </c>
      <c r="H102" s="112">
        <v>20.2</v>
      </c>
      <c r="I102" s="112">
        <v>25.1</v>
      </c>
      <c r="J102" s="112">
        <v>0</v>
      </c>
      <c r="K102" s="112">
        <v>62.7</v>
      </c>
      <c r="L102" s="112">
        <v>0</v>
      </c>
      <c r="M102" s="112">
        <v>0</v>
      </c>
      <c r="N102" s="112">
        <v>0</v>
      </c>
      <c r="O102" s="112">
        <v>0</v>
      </c>
      <c r="P102" s="113">
        <v>0</v>
      </c>
      <c r="Q102" s="114">
        <f t="shared" si="0"/>
        <v>988.80000000000018</v>
      </c>
    </row>
    <row r="103" spans="1:17" ht="20.100000000000001" customHeight="1" x14ac:dyDescent="0.3">
      <c r="A103" s="195"/>
      <c r="B103" s="61" t="str">
        <f>집계표!B103</f>
        <v>덕트마감</v>
      </c>
      <c r="C103" s="102">
        <v>0</v>
      </c>
      <c r="D103" s="102">
        <v>0</v>
      </c>
      <c r="E103" s="102">
        <v>0</v>
      </c>
      <c r="F103" s="102">
        <v>2.6</v>
      </c>
      <c r="G103" s="102">
        <v>0</v>
      </c>
      <c r="H103" s="102">
        <v>19.100000000000001</v>
      </c>
      <c r="I103" s="102">
        <v>0</v>
      </c>
      <c r="J103" s="102">
        <v>0</v>
      </c>
      <c r="K103" s="102">
        <v>0</v>
      </c>
      <c r="L103" s="102">
        <v>0</v>
      </c>
      <c r="M103" s="102">
        <v>0</v>
      </c>
      <c r="N103" s="102">
        <v>0</v>
      </c>
      <c r="O103" s="102">
        <v>0</v>
      </c>
      <c r="P103" s="103">
        <v>0</v>
      </c>
      <c r="Q103" s="104">
        <f t="shared" ref="Q103" si="17">SUM(C103:P103)</f>
        <v>21.700000000000003</v>
      </c>
    </row>
    <row r="104" spans="1:17" ht="20.100000000000001" customHeight="1" x14ac:dyDescent="0.3">
      <c r="A104" s="195"/>
      <c r="B104" s="62" t="str">
        <f>집계표!B104</f>
        <v>오픈구</v>
      </c>
      <c r="C104" s="99">
        <v>0</v>
      </c>
      <c r="D104" s="99">
        <v>23.800000000000004</v>
      </c>
      <c r="E104" s="99">
        <v>9</v>
      </c>
      <c r="F104" s="99">
        <v>24.1</v>
      </c>
      <c r="G104" s="99">
        <v>0</v>
      </c>
      <c r="H104" s="99">
        <v>0</v>
      </c>
      <c r="I104" s="99">
        <v>4.2</v>
      </c>
      <c r="J104" s="99">
        <v>0.5</v>
      </c>
      <c r="K104" s="99">
        <v>5.8000000000000007</v>
      </c>
      <c r="L104" s="99">
        <v>0</v>
      </c>
      <c r="M104" s="99">
        <v>0</v>
      </c>
      <c r="N104" s="99">
        <v>0</v>
      </c>
      <c r="O104" s="99">
        <v>0</v>
      </c>
      <c r="P104" s="100">
        <v>0</v>
      </c>
      <c r="Q104" s="101">
        <f t="shared" si="0"/>
        <v>67.400000000000006</v>
      </c>
    </row>
    <row r="105" spans="1:17" ht="20.100000000000001" customHeight="1" x14ac:dyDescent="0.3">
      <c r="A105" s="196"/>
      <c r="B105" s="121" t="str">
        <f>집계표!B105</f>
        <v>차열재마감</v>
      </c>
      <c r="C105" s="112">
        <v>0</v>
      </c>
      <c r="D105" s="112">
        <v>128.80000000000001</v>
      </c>
      <c r="E105" s="112">
        <v>24.899999999999995</v>
      </c>
      <c r="F105" s="112">
        <v>170.5</v>
      </c>
      <c r="G105" s="112">
        <v>216.3</v>
      </c>
      <c r="H105" s="112">
        <v>329.2</v>
      </c>
      <c r="I105" s="112">
        <v>300.19999999999993</v>
      </c>
      <c r="J105" s="112">
        <v>540.5</v>
      </c>
      <c r="K105" s="112">
        <v>439.3</v>
      </c>
      <c r="L105" s="112">
        <v>0</v>
      </c>
      <c r="M105" s="112">
        <v>0</v>
      </c>
      <c r="N105" s="112">
        <v>0</v>
      </c>
      <c r="O105" s="112">
        <v>0</v>
      </c>
      <c r="P105" s="113">
        <v>0</v>
      </c>
      <c r="Q105" s="114">
        <f t="shared" ref="Q105" si="18">SUM(C105:P105)</f>
        <v>2149.7000000000003</v>
      </c>
    </row>
    <row r="106" spans="1:17" ht="20.100000000000001" customHeight="1" thickBot="1" x14ac:dyDescent="0.35">
      <c r="B106" s="31" t="s">
        <v>79</v>
      </c>
      <c r="C106" s="105">
        <f t="shared" ref="C106:Q106" si="19">SUM(C5:C105)</f>
        <v>703.6</v>
      </c>
      <c r="D106" s="105">
        <f t="shared" si="19"/>
        <v>319.60000000000002</v>
      </c>
      <c r="E106" s="105">
        <f t="shared" ref="E106:I106" si="20">SUM(E5:E105)</f>
        <v>54.8</v>
      </c>
      <c r="F106" s="105">
        <f t="shared" si="20"/>
        <v>456.00000000000006</v>
      </c>
      <c r="G106" s="105">
        <f t="shared" si="20"/>
        <v>423.5</v>
      </c>
      <c r="H106" s="105">
        <f t="shared" si="20"/>
        <v>609.90000000000009</v>
      </c>
      <c r="I106" s="105">
        <f t="shared" si="20"/>
        <v>644.29999999999995</v>
      </c>
      <c r="J106" s="105">
        <f t="shared" si="19"/>
        <v>957.6</v>
      </c>
      <c r="K106" s="105">
        <f t="shared" si="19"/>
        <v>956.5</v>
      </c>
      <c r="L106" s="105">
        <f t="shared" si="19"/>
        <v>0</v>
      </c>
      <c r="M106" s="105">
        <f t="shared" si="19"/>
        <v>0</v>
      </c>
      <c r="N106" s="105">
        <f t="shared" si="19"/>
        <v>0</v>
      </c>
      <c r="O106" s="105">
        <f t="shared" si="19"/>
        <v>0</v>
      </c>
      <c r="P106" s="106">
        <f t="shared" si="19"/>
        <v>0</v>
      </c>
      <c r="Q106" s="107">
        <f t="shared" si="19"/>
        <v>5125.8</v>
      </c>
    </row>
    <row r="107" spans="1:17" ht="20.100000000000001" customHeight="1" x14ac:dyDescent="0.3">
      <c r="B107" s="63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108"/>
    </row>
    <row r="108" spans="1:17" ht="20.100000000000001" customHeight="1" x14ac:dyDescent="0.3">
      <c r="B108" s="63"/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108"/>
    </row>
    <row r="109" spans="1:17" ht="20.100000000000001" customHeight="1" x14ac:dyDescent="0.3"/>
    <row r="110" spans="1:17" ht="20.100000000000001" customHeight="1" x14ac:dyDescent="0.3"/>
    <row r="111" spans="1:17" ht="20.100000000000001" customHeight="1" x14ac:dyDescent="0.3"/>
  </sheetData>
  <mergeCells count="1">
    <mergeCell ref="A98:A10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사진대지</vt:lpstr>
      <vt:lpstr>집계표</vt:lpstr>
      <vt:lpstr>누계</vt:lpstr>
      <vt:lpstr>사진대지!Print_Area</vt:lpstr>
      <vt:lpstr>사진대지!Print_Titles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사용자</cp:lastModifiedBy>
  <cp:lastPrinted>2023-10-04T00:16:42Z</cp:lastPrinted>
  <dcterms:created xsi:type="dcterms:W3CDTF">2016-11-23T06:47:05Z</dcterms:created>
  <dcterms:modified xsi:type="dcterms:W3CDTF">2023-10-04T00:21:04Z</dcterms:modified>
</cp:coreProperties>
</file>